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openxmlformats-officedocument.customXmlProperties+xml" PartName="/customXml/itemProps1.xml"/>
  <Override ContentType="application/vnd.openxmlformats-officedocument.customXmlProperties+xml" PartName="/customXml/itemProps2.xml"/>
  <Override ContentType="application/vnd.openxmlformats-officedocument.customXmlProperties+xml" PartName="/customXml/itemProps3.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    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899C9086-67A9-5B14-2C2D-5A8001700F7D}" lastEdited="7" lowestEdited="6" rupBuild="28429"/>
  <workbookPr codeName="ThisWorkbook" defaultThemeVersion="124226"/>
  <mc:AlternateContent>
    <mc:Choice Requires="x15">
      <x15ac:absPath xmlns:x15ac="http://schemas.microsoft.com/office/spreadsheetml/2010/11/ac" url="E:\Projects\Clients\NashvilleMPO\ModelUpdate2023\Model\Development\nashville_abm_tcad9_03132025_github\2018\DaySimSummaries\output\"/>
    </mc:Choice>
  </mc:AlternateContent>
  <xr:revisionPtr documentId="13_ncr:1_{62D706C4-AC12-484E-8D72-E428A716C835}" revIDLastSave="0" xr10:uidLastSave="{00000000-0000-0000-0000-000000000000}" xr6:coauthVersionLast="47" xr6:coauthVersionMax="47"/>
  <bookViews>
    <workbookView windowHeight="15840" windowWidth="29040" xWindow="-120" xr2:uid="{00000000-000D-0000-FFFF-FFFF00000000}" yWindow="-120"/>
  </bookViews>
  <sheets>
    <sheet name="TLFD" r:id="rId1" sheetId="3"/>
    <sheet name="TDFD" r:id="rId2" sheetId="4"/>
    <sheet name="TDFD_Agg" r:id="rId3" sheetId="10"/>
    <sheet name="County_Flow" r:id="rId4" sheetId="1"/>
    <sheet name="Flow_ODData" r:id="rId5" sheetId="17"/>
    <sheet name="WorkAtHome" r:id="rId6" sheetId="8"/>
    <sheet name="Telecommute" r:id="rId7" sheetId="19"/>
    <sheet name="Documentation" r:id="rId8" sheetId="7"/>
    <sheet name="CoeffDef" r:id="rId9" sheetId="11"/>
    <sheet name="County Codes" r:id="rId10" sheetId="16"/>
    <sheet name="WorkLocationCoefficients" r:id="rId11" sheetId="13"/>
    <sheet name="calibration_flow" r:id="rId12" sheetId="18"/>
    <sheet name="calibration_dist" r:id="rId13" sheetId="12"/>
  </sheets>
  <definedNames>
    <definedName name="athm">WorkAtHome!$I$7:$K$12</definedName>
    <definedName name="avgdist">TLFD!$O$11:$O$14</definedName>
    <definedName name="avgtime">TDFD!$O$11:$O$14</definedName>
    <definedName name="flows">County_Flow!$AX$7:$AZ$12</definedName>
    <definedName name="out1">TLFD!$B$11:$D$101</definedName>
    <definedName name="out10">County_Flow!$AX$7:$BE$14</definedName>
    <definedName name="out11">WorkAtHome!$B$18:$D$24</definedName>
    <definedName name="out12">WorkAtHome!$I$18:$K$24</definedName>
    <definedName name="out13">WorkAtHome!$B$7:$D$13</definedName>
    <definedName name="out14">WorkAtHome!$I$7:$K$13</definedName>
    <definedName name="out2">TLFD!$H$11:$J$101</definedName>
    <definedName name="out3">TDFD!$B$11:$D$101</definedName>
    <definedName name="out4">TDFD!$H$11:$J$101</definedName>
    <definedName name="out5">TLFD!$N$11:$N$14</definedName>
    <definedName name="out6">TLFD!$O$11:$O$14</definedName>
    <definedName name="out7">TDFD!$N$11:$N$14</definedName>
    <definedName name="out8">TDFD!$O$11:$O$14</definedName>
    <definedName name="out9">County_Flow!$B$7:$I$14</definedName>
    <definedName hidden="1" localSheetId="11" name="solver_adj">calibration_flow!$U$4:$U$23</definedName>
    <definedName hidden="1" localSheetId="11" name="solver_cvg">0.0001</definedName>
    <definedName hidden="1" localSheetId="11" name="solver_drv">1</definedName>
    <definedName hidden="1" localSheetId="11" name="solver_eng">1</definedName>
    <definedName hidden="1" localSheetId="11" name="solver_est">1</definedName>
    <definedName hidden="1" localSheetId="11" name="solver_itr">2147483647</definedName>
    <definedName hidden="1" localSheetId="11" name="solver_lhs1">calibration_flow!$AC$160</definedName>
    <definedName hidden="1" localSheetId="11" name="solver_lhs2">calibration_flow!$AC$4:$AC$23</definedName>
    <definedName hidden="1" localSheetId="11" name="solver_lhs3">calibration_flow!$AW$30:$AW$49</definedName>
    <definedName hidden="1" localSheetId="11" name="solver_lhs4">calibration_flow!$AW$30:$AW$49</definedName>
    <definedName hidden="1" localSheetId="11" name="solver_mip">2147483647</definedName>
    <definedName hidden="1" localSheetId="11" name="solver_mni">30</definedName>
    <definedName hidden="1" localSheetId="11" name="solver_mrt">0.075</definedName>
    <definedName hidden="1" localSheetId="11" name="solver_msl">2</definedName>
    <definedName hidden="1" localSheetId="11" name="solver_neg">1</definedName>
    <definedName hidden="1" localSheetId="11" name="solver_nod">2147483647</definedName>
    <definedName hidden="1" localSheetId="11" name="solver_num">3</definedName>
    <definedName hidden="1" localSheetId="11" name="solver_nwt">1</definedName>
    <definedName hidden="1" localSheetId="11" name="solver_opt">calibration_flow!$U$26</definedName>
    <definedName hidden="1" localSheetId="11" name="solver_pre">0.000001</definedName>
    <definedName hidden="1" localSheetId="11" name="solver_rbv">1</definedName>
    <definedName hidden="1" localSheetId="11" name="solver_rel1">1</definedName>
    <definedName hidden="1" localSheetId="11" name="solver_rel2">1</definedName>
    <definedName hidden="1" localSheetId="11" name="solver_rel3">1</definedName>
    <definedName hidden="1" localSheetId="11" name="solver_rel4">1</definedName>
    <definedName hidden="1" localSheetId="11" name="solver_rhs1">1.5</definedName>
    <definedName hidden="1" localSheetId="11" name="solver_rhs2">0.02</definedName>
    <definedName hidden="1" localSheetId="11" name="solver_rhs3">0.25</definedName>
    <definedName hidden="1" localSheetId="11" name="solver_rhs4">0.25</definedName>
    <definedName hidden="1" localSheetId="11" name="solver_rlx">2</definedName>
    <definedName hidden="1" localSheetId="11" name="solver_rsd">0</definedName>
    <definedName hidden="1" localSheetId="11" name="solver_scl">1</definedName>
    <definedName hidden="1" localSheetId="11" name="solver_sho">2</definedName>
    <definedName hidden="1" localSheetId="11" name="solver_ssz">100</definedName>
    <definedName hidden="1" localSheetId="11" name="solver_tim">2147483647</definedName>
    <definedName hidden="1" localSheetId="11" name="solver_tol">0.01</definedName>
    <definedName hidden="1" localSheetId="11" name="solver_typ">2</definedName>
    <definedName hidden="1" localSheetId="11" name="solver_val">0</definedName>
    <definedName hidden="1" localSheetId="11" name="solver_ver">3</definedName>
    <definedName name="tot">WorkAtHome!$I$18:$K$23</definedName>
    <definedName name="Wrk_dist">TLFD!$H$11:$J$101</definedName>
    <definedName name="Wrk_time">TDFD!$H$11:$J$101</definedName>
    <definedName name="out_1">TLFD!$B$11:$D$100</definedName>
    <definedName name="out_3">TDFD!$B$11:$D$100</definedName>
    <definedName name="out_5">TLFD!$N$11:$N$14</definedName>
    <definedName name="out_7">TDFD!$N$11:$N$14</definedName>
    <definedName name="out_9">County_Flow!$B$7:$U$26</definedName>
    <definedName name="out_11">WorkAtHome!$B$18:$D$24</definedName>
    <definedName name="out_13">WorkAtHome!$B$7:$D$13</definedName>
    <definedName name="out_2">TLFD!$H$11:$J$100</definedName>
    <definedName name="out_4">TDFD!$H$11:$J$100</definedName>
    <definedName name="out_6">TLFD!$O$11:$O$14</definedName>
    <definedName name="out_8">TDFD!$O$11:$O$14</definedName>
    <definedName name="out_10">County_Flow!$AX$7:$BQ$26</definedName>
    <definedName name="out_12">WorkAtHome!$I$18:$K$24</definedName>
    <definedName name="out_14">WorkAtHome!$I$7:$K$13</definedName>
    <definedName name="out_16">Telecommute!$I$22:$K$32</definedName>
    <definedName name="out_18">Telecommute!$I$7:$K$17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i="12" l="1" r="R25"/>
  <c i="18" l="1" r="Q23"/>
  <c i="12" l="1" r="H30"/>
  <c i="12" r="I30"/>
  <c i="19" r="H6"/>
  <c i="19" r="O6"/>
  <c i="19" r="E7"/>
  <c i="19" r="H7"/>
  <c i="19" r="O7" s="1"/>
  <c i="19" r="L7"/>
  <c i="19" r="S7" s="1"/>
  <c i="19" r="E8"/>
  <c i="19" r="H8"/>
  <c i="19" r="O8" s="1"/>
  <c i="19" r="L8"/>
  <c i="19" r="E9"/>
  <c i="19" r="H9"/>
  <c i="19" r="O9" s="1"/>
  <c i="19" r="L9"/>
  <c i="19" r="E10"/>
  <c i="19" r="H10"/>
  <c i="19" r="O10" s="1"/>
  <c i="19" r="L10"/>
  <c i="19" r="E11"/>
  <c i="19" r="H11"/>
  <c i="19" r="O11" s="1"/>
  <c i="19" r="L11"/>
  <c i="19" r="E12"/>
  <c i="19" r="H12"/>
  <c i="19" r="O12" s="1"/>
  <c i="19" r="L12"/>
  <c i="19" r="E13"/>
  <c i="19" r="H13"/>
  <c i="19" r="O13" s="1"/>
  <c i="19" r="L13"/>
  <c i="19" r="E14"/>
  <c i="19" r="H14"/>
  <c i="19" r="O14" s="1"/>
  <c i="19" r="L14"/>
  <c i="19" r="E15"/>
  <c i="19" r="H15"/>
  <c i="19" r="O15" s="1"/>
  <c i="19" r="L15"/>
  <c i="19" r="E16"/>
  <c i="19" r="H16"/>
  <c i="19" r="O16" s="1"/>
  <c i="19" r="L16"/>
  <c i="19" r="E17"/>
  <c i="19" r="H17"/>
  <c i="19" r="O17" s="1"/>
  <c i="19" r="L17"/>
  <c i="19" r="B18"/>
  <c i="19" r="C18"/>
  <c i="19" r="D18"/>
  <c i="19" r="I18"/>
  <c i="19" r="J18"/>
  <c i="19" r="K18"/>
  <c i="19" r="A21"/>
  <c i="19" r="A36" s="1"/>
  <c i="19" r="H36" s="1"/>
  <c i="19" r="A22"/>
  <c i="19" r="H22" s="1"/>
  <c i="19" r="O22" s="1"/>
  <c i="19" r="E22"/>
  <c i="19" r="L22"/>
  <c i="19" r="A23"/>
  <c i="19" r="A38" s="1"/>
  <c i="19" r="H38" s="1"/>
  <c i="19" r="O38" s="1"/>
  <c i="19" r="E23"/>
  <c i="19" r="L23"/>
  <c i="19" r="A24"/>
  <c i="19" r="H24" s="1"/>
  <c i="19" r="O24" s="1"/>
  <c i="19" r="E24"/>
  <c i="19" r="L24"/>
  <c i="19" r="A25"/>
  <c i="19" r="A40" s="1"/>
  <c i="19" r="H40" s="1"/>
  <c i="19" r="O40" s="1"/>
  <c i="19" r="E25"/>
  <c i="19" r="L25"/>
  <c i="19" r="A26"/>
  <c i="19" r="H26" s="1"/>
  <c i="19" r="O26" s="1"/>
  <c i="19" r="E26"/>
  <c i="19" r="L26"/>
  <c i="19" r="A27"/>
  <c i="19" r="H27" s="1"/>
  <c i="19" r="O27" s="1"/>
  <c i="19" r="E27"/>
  <c i="19" r="L27"/>
  <c i="19" r="A28"/>
  <c i="19" r="A43" s="1"/>
  <c i="19" r="H43" s="1"/>
  <c i="19" r="O43" s="1"/>
  <c i="19" r="E28"/>
  <c i="19" r="L28"/>
  <c i="19" r="A29"/>
  <c i="19" r="A44" s="1"/>
  <c i="19" r="H44" s="1"/>
  <c i="19" r="O44" s="1"/>
  <c i="19" r="E29"/>
  <c i="19" r="L29"/>
  <c i="19" r="A30"/>
  <c i="19" r="H30" s="1"/>
  <c i="19" r="O30" s="1"/>
  <c i="19" r="E30"/>
  <c i="19" r="L30"/>
  <c i="19" r="A31"/>
  <c i="19" r="A46" s="1"/>
  <c i="19" r="H46" s="1"/>
  <c i="19" r="O46" s="1"/>
  <c i="19" r="E31"/>
  <c i="19" r="L31"/>
  <c i="19" r="A32"/>
  <c i="19" r="H32" s="1"/>
  <c i="19" r="O32" s="1"/>
  <c i="19" r="E32"/>
  <c i="19" r="L32"/>
  <c i="19" r="B33"/>
  <c i="19" r="C33"/>
  <c i="19" r="D33"/>
  <c i="19" r="I33"/>
  <c i="19" r="J33"/>
  <c i="19" r="K33"/>
  <c i="19" r="B37"/>
  <c i="19" r="C37"/>
  <c i="19" r="D37"/>
  <c i="19" r="I37"/>
  <c i="19" r="J37"/>
  <c i="19" r="K37"/>
  <c i="19" r="B38"/>
  <c i="19" r="C38"/>
  <c i="19" r="D38"/>
  <c i="19" r="I38"/>
  <c i="19" r="J38"/>
  <c i="19" r="K38"/>
  <c i="19" r="B39"/>
  <c i="19" r="C39"/>
  <c i="19" r="D39"/>
  <c i="19" r="I39"/>
  <c i="19" r="J39"/>
  <c i="19" r="K39"/>
  <c i="19" r="B40"/>
  <c i="19" r="C40"/>
  <c i="19" r="D40"/>
  <c i="19" r="I40"/>
  <c i="19" r="J40"/>
  <c i="19" r="K40"/>
  <c i="19" r="B41"/>
  <c i="19" r="C41"/>
  <c i="19" r="D41"/>
  <c i="19" r="I41"/>
  <c i="19" r="J41"/>
  <c i="19" r="K41"/>
  <c i="19" r="B42"/>
  <c i="19" r="C42"/>
  <c i="19" r="D42"/>
  <c i="19" r="I42"/>
  <c i="19" r="J42"/>
  <c i="19" r="K42"/>
  <c i="19" r="B43"/>
  <c i="19" r="C43"/>
  <c i="19" r="D43"/>
  <c i="19" r="I43"/>
  <c i="19" r="J43"/>
  <c i="19" r="K43"/>
  <c i="19" r="B44"/>
  <c i="19" r="C44"/>
  <c i="19" r="D44"/>
  <c i="19" r="I44"/>
  <c i="19" r="J44"/>
  <c i="19" r="K44"/>
  <c i="19" r="B45"/>
  <c i="19" r="C45"/>
  <c i="19" r="D45"/>
  <c i="19" r="I45"/>
  <c i="19" r="J45"/>
  <c i="19" r="K45"/>
  <c i="19" r="B46"/>
  <c i="19" r="C46"/>
  <c i="19" r="D46"/>
  <c i="19" r="I46"/>
  <c i="19" r="J46"/>
  <c i="19" r="Q46" s="1"/>
  <c i="19" r="K46"/>
  <c i="19" r="B47"/>
  <c i="19" r="C47"/>
  <c i="19" r="D47"/>
  <c i="19" r="I47"/>
  <c i="19" r="J47"/>
  <c i="19" r="K47"/>
  <c i="19" l="1" r="S27"/>
  <c i="19" r="P42"/>
  <c i="19" r="S17"/>
  <c i="19" r="S9"/>
  <c i="19" r="R46"/>
  <c i="19" r="S26"/>
  <c i="19" r="S10"/>
  <c i="19" r="S22"/>
  <c i="19" r="Q37"/>
  <c i="19" r="L42"/>
  <c i="19" r="P39"/>
  <c i="19" r="P43"/>
  <c i="19" r="R33"/>
  <c i="19" r="R18"/>
  <c i="19" r="S14"/>
  <c i="19" r="S13"/>
  <c i="19" r="S11"/>
  <c i="19" r="Q18"/>
  <c i="19" r="P18"/>
  <c i="19" r="R43"/>
  <c i="19" r="R39"/>
  <c i="19" r="S25"/>
  <c i="19" r="Q43"/>
  <c i="19" r="Q39"/>
  <c i="19" r="H25"/>
  <c i="19" r="O25" s="1"/>
  <c i="19" r="H31"/>
  <c i="19" r="O31" s="1"/>
  <c i="19" r="R42"/>
  <c i="19" r="Q42"/>
  <c i="19" r="S8"/>
  <c i="19" r="S15"/>
  <c i="19" r="L46"/>
  <c i="19" r="E37"/>
  <c i="19" r="S32"/>
  <c i="19" r="R45"/>
  <c i="19" r="P37"/>
  <c i="19" r="S12"/>
  <c i="19" r="E47"/>
  <c i="19" r="A42"/>
  <c i="19" r="H42" s="1"/>
  <c i="19" r="O42" s="1"/>
  <c i="19" r="A37"/>
  <c i="19" r="H37" s="1"/>
  <c i="19" r="O37" s="1"/>
  <c i="19" r="P45"/>
  <c i="19" r="A45"/>
  <c i="19" r="H45" s="1"/>
  <c i="19" r="O45" s="1"/>
  <c i="19" r="C48"/>
  <c i="19" r="L37"/>
  <c i="19" r="S30"/>
  <c i="19" r="R37"/>
  <c i="19" r="R40"/>
  <c i="19" r="P44"/>
  <c i="19" r="E39"/>
  <c i="19" r="Q41"/>
  <c i="19" r="H29"/>
  <c i="19" r="O29" s="1"/>
  <c i="19" r="E33"/>
  <c i="12" r="H27" s="1"/>
  <c i="12" r="H32" s="1"/>
  <c i="19" r="Q40"/>
  <c i="19" r="S28"/>
  <c i="19" r="E38"/>
  <c i="19" r="P41"/>
  <c i="19" r="L44"/>
  <c i="19" r="A47"/>
  <c i="19" r="H47" s="1"/>
  <c i="19" r="O47" s="1"/>
  <c i="19" r="E44"/>
  <c i="19" r="P46"/>
  <c i="19" r="K48"/>
  <c i="19" r="R41"/>
  <c i="19" r="E42"/>
  <c i="19" r="S42" s="1"/>
  <c i="19" r="A39"/>
  <c i="19" r="H39" s="1"/>
  <c i="19" r="O39" s="1"/>
  <c i="19" r="L47"/>
  <c i="19" r="S29"/>
  <c i="19" r="L41"/>
  <c i="19" r="S24"/>
  <c i="19" r="Q38"/>
  <c i="19" r="P40"/>
  <c i="19" r="R38"/>
  <c i="19" r="Q45"/>
  <c i="19" r="P38"/>
  <c i="19" r="R44"/>
  <c i="19" r="B48"/>
  <c i="19" r="Q44"/>
  <c i="19" r="Q33"/>
  <c i="19" r="H21"/>
  <c i="19" r="L39"/>
  <c i="19" r="P33"/>
  <c i="19" r="L33"/>
  <c i="19" r="L43"/>
  <c i="19" r="H23"/>
  <c i="19" r="O23" s="1"/>
  <c i="19" r="S16"/>
  <c i="19" r="E41"/>
  <c i="19" r="A41"/>
  <c i="19" r="H41" s="1"/>
  <c i="19" r="O41" s="1"/>
  <c i="19" r="D48"/>
  <c i="19" r="E43"/>
  <c i="19" r="E46"/>
  <c i="19" r="L40"/>
  <c i="19" r="L45"/>
  <c i="19" r="E40"/>
  <c i="19" r="R47"/>
  <c i="19" r="Q47"/>
  <c i="19" r="P47"/>
  <c i="19" r="O21"/>
  <c i="19" r="E45"/>
  <c i="19" r="L18"/>
  <c i="12" r="I26" s="1"/>
  <c i="19" r="H28"/>
  <c i="19" r="O28" s="1"/>
  <c i="19" r="E18"/>
  <c i="19" r="S31"/>
  <c i="19" r="S23"/>
  <c i="19" r="L38"/>
  <c i="19" r="J48"/>
  <c i="19" r="I48"/>
  <c i="18" r="CW30"/>
  <c i="18" r="CW31"/>
  <c i="18" r="CW32"/>
  <c i="18" r="CW33"/>
  <c i="18" r="CW34"/>
  <c i="18" r="CW35"/>
  <c i="18" r="CW36"/>
  <c i="18" r="CW37"/>
  <c i="18" r="CW38"/>
  <c i="18" r="CW39"/>
  <c i="18" r="CW40"/>
  <c i="18" r="CW41"/>
  <c i="18" r="CW42"/>
  <c i="18" r="CW43"/>
  <c i="18" r="CW44"/>
  <c i="18" r="CW45"/>
  <c i="18" r="CW46"/>
  <c i="18" r="CW47"/>
  <c i="18" r="CW48"/>
  <c i="18" r="CW49"/>
  <c i="18" r="CW50"/>
  <c i="18" r="CW51"/>
  <c i="18" r="CW52"/>
  <c i="18" r="CW53"/>
  <c i="18" r="CW54"/>
  <c i="18" r="CW55"/>
  <c i="18" r="CW56"/>
  <c i="18" r="CW57"/>
  <c i="18" r="CW58"/>
  <c i="18" r="CW59"/>
  <c i="18" r="CW60"/>
  <c i="18" r="CW61"/>
  <c i="18" r="CW62"/>
  <c i="18" r="CW63"/>
  <c i="18" r="CW64"/>
  <c i="18" r="CW65"/>
  <c i="18" r="CW66"/>
  <c i="18" r="CW67"/>
  <c i="18" r="CW68"/>
  <c i="18" r="CW69"/>
  <c i="18" r="CW70"/>
  <c i="18" r="CW71"/>
  <c i="18" r="CW72"/>
  <c i="18" r="CW73"/>
  <c i="18" r="CW74"/>
  <c i="18" r="CW75"/>
  <c i="18" r="CW76"/>
  <c i="18" r="CW77"/>
  <c i="18" r="CW78"/>
  <c i="18" r="CW79"/>
  <c i="18" r="CW80"/>
  <c i="18" r="CW81"/>
  <c i="18" r="CW82"/>
  <c i="18" r="CW83"/>
  <c i="18" r="CW84"/>
  <c i="18" r="CW85"/>
  <c i="18" r="CW86"/>
  <c i="18" r="CW87"/>
  <c i="18" r="CW88"/>
  <c i="18" r="CW89"/>
  <c i="18" r="CW90"/>
  <c i="18" r="CW91"/>
  <c i="18" r="CW92"/>
  <c i="18" r="CW93"/>
  <c i="18" r="CW94"/>
  <c i="18" r="CW95"/>
  <c i="18" r="CW96"/>
  <c i="18" r="CW97"/>
  <c i="18" r="CW98"/>
  <c i="18" r="CW99"/>
  <c i="18" r="CW100"/>
  <c i="18" r="CW101"/>
  <c i="18" r="CW102"/>
  <c i="18" r="CW103"/>
  <c i="18" r="CW104"/>
  <c i="18" r="CW105"/>
  <c i="18" r="CW106"/>
  <c i="18" r="CW107"/>
  <c i="18" r="CW108"/>
  <c i="18" r="CW109"/>
  <c i="18" r="CW110"/>
  <c i="18" r="CW111"/>
  <c i="18" r="CW112"/>
  <c i="18" r="CW113"/>
  <c i="18" r="CW114"/>
  <c i="18" r="CW115"/>
  <c i="18" r="CW116"/>
  <c i="18" r="CW117"/>
  <c i="18" r="CW118"/>
  <c i="18" r="CW119"/>
  <c i="18" r="CW120"/>
  <c i="18" r="CW121"/>
  <c i="18" r="CW122"/>
  <c i="18" r="CW123"/>
  <c i="18" r="CW124"/>
  <c i="18" r="CW125"/>
  <c i="18" r="CW126"/>
  <c i="18" r="CW127"/>
  <c i="18" r="CW128"/>
  <c i="18" r="CW129"/>
  <c i="18" r="CW130"/>
  <c i="18" r="CW131"/>
  <c i="18" r="CW132"/>
  <c i="18" r="CW133"/>
  <c i="18" r="CW134"/>
  <c i="18" r="CW135"/>
  <c i="18" r="CW136"/>
  <c i="18" r="CW137"/>
  <c i="18" r="CW138"/>
  <c i="18" r="CW139"/>
  <c i="18" r="CW140"/>
  <c i="18" r="CW141"/>
  <c i="18" r="CW142"/>
  <c i="18" r="CW143"/>
  <c i="18" r="CW144"/>
  <c i="18" r="CW145"/>
  <c i="18" r="CW146"/>
  <c i="18" r="CW147"/>
  <c i="18" r="CW148"/>
  <c i="18" r="CW149"/>
  <c i="18" r="CW150"/>
  <c i="18" r="CW151"/>
  <c i="18" r="CW152"/>
  <c i="18" r="CW153"/>
  <c i="18" r="CW154"/>
  <c i="18" r="CW155"/>
  <c i="18" r="CW156"/>
  <c i="18" r="CW157"/>
  <c i="18" r="CW158"/>
  <c i="18" r="CW159"/>
  <c i="18" r="CW160"/>
  <c i="18" r="CW161"/>
  <c i="18" r="CW162"/>
  <c i="18" r="CW163"/>
  <c i="18" r="CW164"/>
  <c i="18" r="CW165"/>
  <c i="18" r="CW166"/>
  <c i="18" r="CW167"/>
  <c i="18" r="CW168"/>
  <c i="18" r="CW169"/>
  <c i="18" r="CW170"/>
  <c i="18" r="CW171"/>
  <c i="18" r="CW172"/>
  <c i="18" r="CW173"/>
  <c i="18" r="CW174"/>
  <c i="18" r="CW175"/>
  <c i="18" r="CW176"/>
  <c i="18" r="CW177"/>
  <c i="18" r="CW178"/>
  <c i="18" r="CW179"/>
  <c i="18" r="CW180"/>
  <c i="18" r="CW181"/>
  <c i="18" r="CW182"/>
  <c i="18" r="CW183"/>
  <c i="18" r="CW184"/>
  <c i="18" r="CW185"/>
  <c i="18" r="CW186"/>
  <c i="18" r="CW187"/>
  <c i="18" r="CW188"/>
  <c i="18" r="CW189"/>
  <c i="18" r="CW190"/>
  <c i="18" r="CW191"/>
  <c i="18" r="CW192"/>
  <c i="18" r="CW193"/>
  <c i="18" r="CW194"/>
  <c i="18" r="CW195"/>
  <c i="18" r="CW196"/>
  <c i="18" r="CW197"/>
  <c i="18" r="CW198"/>
  <c i="18" r="CW199"/>
  <c i="18" r="CW200"/>
  <c i="18" r="CW201"/>
  <c i="18" r="CW202"/>
  <c i="18" r="CW203"/>
  <c i="18" r="CW204"/>
  <c i="18" r="CW205"/>
  <c i="18" r="CW206"/>
  <c i="18" r="CW207"/>
  <c i="18" r="CW208"/>
  <c i="18" r="CW209"/>
  <c i="18" r="CW210"/>
  <c i="18" r="CW211"/>
  <c i="18" r="CW212"/>
  <c i="18" r="CW213"/>
  <c i="18" r="CW214"/>
  <c i="18" r="CW215"/>
  <c i="18" r="CW216"/>
  <c i="18" r="CW217"/>
  <c i="18" r="CW218"/>
  <c i="18" r="CW219"/>
  <c i="18" r="CW220"/>
  <c i="18" r="CW221"/>
  <c i="18" r="CW222"/>
  <c i="18" r="CW223"/>
  <c i="18" r="CW224"/>
  <c i="18" r="CW225"/>
  <c i="18" r="CW226"/>
  <c i="18" r="CW227"/>
  <c i="18" r="CW228"/>
  <c i="18" r="CW229"/>
  <c i="18" r="CW230"/>
  <c i="18" r="CW231"/>
  <c i="18" r="CW232"/>
  <c i="18" r="CW233"/>
  <c i="18" r="CW234"/>
  <c i="18" r="CW235"/>
  <c i="18" r="CW236"/>
  <c i="18" r="CW237"/>
  <c i="18" r="CW238"/>
  <c i="18" r="CW239"/>
  <c i="18" r="CW240"/>
  <c i="18" r="CW241"/>
  <c i="18" r="CW242"/>
  <c i="18" r="CW243"/>
  <c i="18" r="CW244"/>
  <c i="18" r="CW245"/>
  <c i="18" r="CW246"/>
  <c i="18" r="CW247"/>
  <c i="18" r="CW248"/>
  <c i="18" r="CW249"/>
  <c i="18" r="CW250"/>
  <c i="18" r="CW251"/>
  <c i="18" r="CW252"/>
  <c i="18" r="CW253"/>
  <c i="18" r="CW254"/>
  <c i="18" r="CW255"/>
  <c i="18" r="CW256"/>
  <c i="18" r="CW257"/>
  <c i="18" r="CW258"/>
  <c i="18" r="CW259"/>
  <c i="18" r="CW260"/>
  <c i="18" r="CW261"/>
  <c i="18" r="CW262"/>
  <c i="18" r="CW263"/>
  <c i="18" r="CW264"/>
  <c i="18" r="CW265"/>
  <c i="18" r="CW266"/>
  <c i="18" r="CW267"/>
  <c i="18" r="CW268"/>
  <c i="18" r="CW269"/>
  <c i="18" r="CW270"/>
  <c i="18" r="CW271"/>
  <c i="18" r="CW272"/>
  <c i="18" r="CW273"/>
  <c i="18" r="CW274"/>
  <c i="18" r="CW275"/>
  <c i="18" r="CW276"/>
  <c i="18" r="CW277"/>
  <c i="18" r="CW278"/>
  <c i="18" r="CW279"/>
  <c i="18" r="CW280"/>
  <c i="18" r="CW281"/>
  <c i="18" r="CW282"/>
  <c i="18" r="CW283"/>
  <c i="18" r="CW284"/>
  <c i="18" r="CW285"/>
  <c i="18" r="CW286"/>
  <c i="18" r="CW287"/>
  <c i="18" r="CW288"/>
  <c i="18" r="CW289"/>
  <c i="18" r="CW290"/>
  <c i="18" r="CW291"/>
  <c i="18" r="CW292"/>
  <c i="18" r="CW293"/>
  <c i="18" r="CW294"/>
  <c i="18" r="CW295"/>
  <c i="18" r="CW296"/>
  <c i="18" r="CW297"/>
  <c i="18" r="CW298"/>
  <c i="18" r="CW299"/>
  <c i="18" r="CW300"/>
  <c i="18" r="CW301"/>
  <c i="18" r="CW302"/>
  <c i="18" r="CW303"/>
  <c i="18" r="CW304"/>
  <c i="18" r="CW305"/>
  <c i="18" r="CW306"/>
  <c i="18" r="CW307"/>
  <c i="18" r="CW308"/>
  <c i="18" r="CW309"/>
  <c i="18" r="CW310"/>
  <c i="18" r="CW311"/>
  <c i="18" r="CW312"/>
  <c i="18" r="CW313"/>
  <c i="18" r="CW314"/>
  <c i="18" r="CW315"/>
  <c i="18" r="CW316"/>
  <c i="18" r="CW317"/>
  <c i="18" r="CW318"/>
  <c i="18" r="CW319"/>
  <c i="18" r="CW320"/>
  <c i="18" r="CW321"/>
  <c i="18" r="CW322"/>
  <c i="18" r="CW323"/>
  <c i="18" r="CW324"/>
  <c i="18" r="CW325"/>
  <c i="18" r="CW326"/>
  <c i="18" r="CW327"/>
  <c i="18" r="CW328"/>
  <c i="18" r="CW329"/>
  <c i="18" r="CW330"/>
  <c i="18" r="CW331"/>
  <c i="18" r="CW332"/>
  <c i="18" r="CW333"/>
  <c i="18" r="CW334"/>
  <c i="18" r="CW335"/>
  <c i="18" r="CW336"/>
  <c i="18" r="CW337"/>
  <c i="18" r="CW338"/>
  <c i="18" r="CW339"/>
  <c i="18" r="CW340"/>
  <c i="18" r="CW341"/>
  <c i="18" r="CW342"/>
  <c i="18" r="CW343"/>
  <c i="18" r="CW344"/>
  <c i="18" r="CW345"/>
  <c i="18" r="CW346"/>
  <c i="18" r="CW347"/>
  <c i="18" r="CW348"/>
  <c i="18" r="CW349"/>
  <c i="18" r="CW350"/>
  <c i="18" r="CW351"/>
  <c i="18" r="CW352"/>
  <c i="18" r="CW353"/>
  <c i="18" r="CW354"/>
  <c i="18" r="CW355"/>
  <c i="18" r="CW356"/>
  <c i="18" r="CW357"/>
  <c i="18" r="CW358"/>
  <c i="18" r="CW359"/>
  <c i="18" r="CW360"/>
  <c i="18" r="CW361"/>
  <c i="18" r="CW362"/>
  <c i="18" r="CW363"/>
  <c i="18" r="CW364"/>
  <c i="18" r="CW365"/>
  <c i="18" r="CW366"/>
  <c i="18" r="CW367"/>
  <c i="18" r="CW368"/>
  <c i="18" r="CW369"/>
  <c i="18" r="CW370"/>
  <c i="18" r="CW371"/>
  <c i="18" r="CW372"/>
  <c i="18" r="CW373"/>
  <c i="18" r="CW374"/>
  <c i="18" r="CW375"/>
  <c i="18" r="CW376"/>
  <c i="18" r="CW377"/>
  <c i="18" r="CW378"/>
  <c i="18" r="CW379"/>
  <c i="18" r="CW380"/>
  <c i="18" r="CW381"/>
  <c i="18" r="CW382"/>
  <c i="18" r="CW383"/>
  <c i="18" r="CW384"/>
  <c i="18" r="CW385"/>
  <c i="18" r="CW386"/>
  <c i="18" r="CW387"/>
  <c i="18" r="CW388"/>
  <c i="18" r="CW389"/>
  <c i="18" r="CW390"/>
  <c i="18" r="CW391"/>
  <c i="18" r="CW392"/>
  <c i="18" r="CW393"/>
  <c i="18" r="CW394"/>
  <c i="18" r="CW395"/>
  <c i="18" r="CW396"/>
  <c i="18" r="CW397"/>
  <c i="18" r="CW398"/>
  <c i="18" r="CW399"/>
  <c i="18" r="CW400"/>
  <c i="18" r="CW401"/>
  <c i="18" r="CW3"/>
  <c i="18" r="CW4"/>
  <c i="18" r="CW5"/>
  <c i="18" r="CW6"/>
  <c i="18" r="CW7"/>
  <c i="18" r="CW8"/>
  <c i="18" r="CW9"/>
  <c i="18" r="CW10"/>
  <c i="18" r="CW11"/>
  <c i="18" r="CW12"/>
  <c i="18" r="CW13"/>
  <c i="18" r="CW14"/>
  <c i="18" r="CW15"/>
  <c i="18" r="CW16"/>
  <c i="18" r="CW17"/>
  <c i="18" r="CW18"/>
  <c i="18" r="CW19"/>
  <c i="18" r="CW20"/>
  <c i="18" r="CW21"/>
  <c i="18" r="CW22"/>
  <c i="18" r="CW23"/>
  <c i="18" r="CW24"/>
  <c i="18" r="CW25"/>
  <c i="18" r="CW26"/>
  <c i="18" r="CW27"/>
  <c i="18" r="CW28"/>
  <c i="18" r="CW29"/>
  <c i="18" r="CW2"/>
  <c i="19" l="1" r="R48"/>
  <c i="19" r="S37"/>
  <c i="19" r="S46"/>
  <c i="19" r="S47"/>
  <c i="19" r="S38"/>
  <c i="19" r="P48"/>
  <c i="19" r="Q48"/>
  <c i="19" r="S39"/>
  <c i="19" r="S44"/>
  <c i="19" r="S45"/>
  <c i="19" r="S41"/>
  <c i="19" r="S43"/>
  <c i="19" r="S40"/>
  <c i="19" r="E48"/>
  <c i="12" r="H26"/>
  <c i="12" r="H31" s="1"/>
  <c i="19" r="S33"/>
  <c i="12" r="I27"/>
  <c i="12" r="I32" s="1"/>
  <c i="19" r="S18"/>
  <c i="19" r="L48"/>
  <c i="18" r="CV3"/>
  <c i="18" r="CV4" s="1"/>
  <c i="8" r="J17"/>
  <c i="8" r="K17"/>
  <c i="8" r="L17"/>
  <c i="8" r="I17"/>
  <c i="8" r="C17"/>
  <c i="8" r="D17"/>
  <c i="8" r="E17"/>
  <c i="8" r="B17"/>
  <c i="8" r="P8"/>
  <c i="8" r="Q8"/>
  <c i="8" r="R8"/>
  <c i="8" r="P9"/>
  <c i="8" r="Q9"/>
  <c i="8" r="R9"/>
  <c i="8" r="P10"/>
  <c i="8" r="Q10"/>
  <c i="8" r="R10"/>
  <c i="8" r="P11"/>
  <c i="8" r="Q11"/>
  <c i="8" r="R11"/>
  <c i="8" r="P12"/>
  <c i="8" r="Q12"/>
  <c i="8" r="R12"/>
  <c i="8" r="P13"/>
  <c i="8" r="Q13"/>
  <c i="8" r="R13"/>
  <c i="8" r="J14"/>
  <c i="8" r="K14"/>
  <c i="8" r="I14"/>
  <c i="8" r="L8"/>
  <c i="8" r="L9"/>
  <c i="8" r="L10"/>
  <c i="8" r="L11"/>
  <c i="8" r="L12"/>
  <c i="8" r="L13"/>
  <c i="8" r="C14"/>
  <c i="8" r="D14"/>
  <c i="8" r="B14"/>
  <c i="19" l="1" r="S48"/>
  <c i="12" r="I31"/>
  <c i="18" r="CV5"/>
  <c i="8" r="I30"/>
  <c i="8" r="J30"/>
  <c i="8" r="K30"/>
  <c i="8" r="I31"/>
  <c i="8" r="J31"/>
  <c i="8" r="K31"/>
  <c i="8" r="I32"/>
  <c i="8" r="J32"/>
  <c i="8" r="K32"/>
  <c i="8" r="I33"/>
  <c i="8" r="J33"/>
  <c i="8" r="K33"/>
  <c i="8" r="I34"/>
  <c i="8" r="J34"/>
  <c i="8" r="K34"/>
  <c i="8" r="I35"/>
  <c i="8" r="J35"/>
  <c i="8" r="K35"/>
  <c i="8" r="J29"/>
  <c i="8" r="K29"/>
  <c i="8" r="I29"/>
  <c i="8" r="B30"/>
  <c i="8" r="C30"/>
  <c i="8" r="D30"/>
  <c i="8" r="B31"/>
  <c i="8" r="C31"/>
  <c i="8" r="D31"/>
  <c i="8" r="B32"/>
  <c i="8" r="C32"/>
  <c i="8" r="D32"/>
  <c i="8" r="B33"/>
  <c i="8" r="C33"/>
  <c i="8" r="D33"/>
  <c i="8" r="B34"/>
  <c i="8" r="C34"/>
  <c i="8" r="D34"/>
  <c i="8" r="B35"/>
  <c i="8" r="C35"/>
  <c i="8" r="D35"/>
  <c i="8" r="C29"/>
  <c i="8" r="D29"/>
  <c i="8" r="B29"/>
  <c i="18" l="1" r="CV6"/>
  <c i="12" r="T94"/>
  <c i="12" r="U94"/>
  <c i="12" r="V94"/>
  <c i="12" r="T95"/>
  <c i="12" r="U95"/>
  <c i="12" r="V95"/>
  <c i="18" l="1" r="CV7"/>
  <c i="12" r="T93"/>
  <c i="12" r="U93"/>
  <c i="12" r="V93"/>
  <c i="12" r="T90"/>
  <c i="12" r="U90"/>
  <c i="12" r="V90"/>
  <c i="12" r="T91"/>
  <c i="12" r="U91"/>
  <c i="12" r="V91"/>
  <c i="12" r="T92"/>
  <c i="12" r="U92"/>
  <c i="12" r="V92"/>
  <c i="12" r="T77"/>
  <c i="12" r="U77"/>
  <c i="12" r="V77"/>
  <c i="12" r="T78"/>
  <c i="12" r="U78"/>
  <c i="12" r="V78"/>
  <c i="12" r="T79"/>
  <c i="12" r="U79"/>
  <c i="12" r="V79"/>
  <c i="12" r="T80"/>
  <c i="12" r="U80"/>
  <c i="12" r="V80"/>
  <c i="12" r="T81"/>
  <c i="12" r="U81"/>
  <c i="12" r="V81"/>
  <c i="12" r="T82"/>
  <c i="12" r="U82"/>
  <c i="12" r="V82"/>
  <c i="12" r="T83"/>
  <c i="12" r="U83"/>
  <c i="12" r="V83"/>
  <c i="12" r="T84"/>
  <c i="12" r="U84"/>
  <c i="12" r="V84"/>
  <c i="12" r="T85"/>
  <c i="12" r="U85"/>
  <c i="12" r="V85"/>
  <c i="12" r="T86"/>
  <c i="12" r="U86"/>
  <c i="12" r="V86"/>
  <c i="12" r="T87"/>
  <c i="12" r="U87"/>
  <c i="12" r="V87"/>
  <c i="12" r="T88"/>
  <c i="12" r="U88"/>
  <c i="12" r="V88"/>
  <c i="12" r="T89"/>
  <c i="12" r="U89"/>
  <c i="12" r="V89"/>
  <c i="18" l="1" r="CV8"/>
  <c i="18" r="AK11"/>
  <c i="18" r="AK10"/>
  <c i="18" r="AK6"/>
  <c i="18" l="1" r="CV9"/>
  <c i="17" r="X24"/>
  <c i="17" r="C51" s="1"/>
  <c i="18" r="C50" s="1"/>
  <c i="17" r="X23"/>
  <c i="17" r="X22"/>
  <c i="17" r="X21"/>
  <c i="17" r="X20"/>
  <c i="17" r="X19"/>
  <c i="17" r="X18"/>
  <c i="17" r="X17"/>
  <c i="17" r="X16"/>
  <c i="17" r="X15"/>
  <c i="17" r="X14"/>
  <c i="17" r="X13"/>
  <c i="17" r="X12"/>
  <c i="17" r="X11"/>
  <c i="17" r="X10"/>
  <c i="17" r="X9"/>
  <c i="17" r="X8"/>
  <c i="17" r="X7"/>
  <c i="17" r="X6"/>
  <c i="17" r="X5"/>
  <c i="17" r="X4"/>
  <c i="17" r="W25"/>
  <c i="1" r="CQ8" s="1"/>
  <c i="17" r="V25"/>
  <c i="1" r="CP8" s="1"/>
  <c i="1" r="BY41" s="1"/>
  <c i="18" r="E23" s="1"/>
  <c i="17" r="U25"/>
  <c i="1" r="CO8" s="1"/>
  <c i="1" r="BY40" s="1"/>
  <c i="18" r="E22" s="1"/>
  <c i="17" r="T25"/>
  <c i="1" r="CN8" s="1"/>
  <c i="1" r="BY39" s="1"/>
  <c i="18" r="E21" s="1"/>
  <c i="17" r="S25"/>
  <c i="1" r="CM8" s="1"/>
  <c i="1" r="BY38" s="1"/>
  <c i="18" r="E20" s="1"/>
  <c i="17" r="R25"/>
  <c i="1" r="CL8" s="1"/>
  <c i="1" r="BY37" s="1"/>
  <c i="18" r="E19" s="1"/>
  <c i="17" r="Q25"/>
  <c i="1" r="CK8" s="1"/>
  <c i="1" r="BY36" s="1"/>
  <c i="18" r="E18" s="1"/>
  <c i="17" r="P25"/>
  <c i="1" r="CJ8" s="1"/>
  <c i="1" r="BY35" s="1"/>
  <c i="18" r="E17" s="1"/>
  <c i="17" r="O25"/>
  <c i="1" r="CI8" s="1"/>
  <c i="1" r="BY34" s="1"/>
  <c i="18" r="E16" s="1"/>
  <c i="17" r="N25"/>
  <c i="1" r="CH8" s="1"/>
  <c i="1" r="BY33" s="1"/>
  <c i="18" r="E15" s="1"/>
  <c i="17" r="M25"/>
  <c i="1" r="CG8" s="1"/>
  <c i="1" r="BY32" s="1"/>
  <c i="18" r="E14" s="1"/>
  <c i="17" r="L25"/>
  <c i="1" r="CF8" s="1"/>
  <c i="1" r="BY31" s="1"/>
  <c i="18" r="E13" s="1"/>
  <c i="17" r="K25"/>
  <c i="1" r="CE8" s="1"/>
  <c i="1" r="BY30" s="1"/>
  <c i="18" r="E12" s="1"/>
  <c i="17" r="J25"/>
  <c i="1" r="CD8" s="1"/>
  <c i="1" r="BY29" s="1"/>
  <c i="18" r="E11" s="1"/>
  <c i="17" r="I25"/>
  <c i="1" r="CC8" s="1"/>
  <c i="1" r="BY28" s="1"/>
  <c i="18" r="E10" s="1"/>
  <c i="17" r="H25"/>
  <c i="1" r="CB8" s="1"/>
  <c i="1" r="BY27" s="1"/>
  <c i="18" r="E9" s="1"/>
  <c i="17" r="G25"/>
  <c i="1" r="CA8" s="1"/>
  <c i="1" r="BY26" s="1"/>
  <c i="18" r="E8" s="1"/>
  <c i="17" r="F25"/>
  <c i="1" r="BZ8" s="1"/>
  <c i="1" r="BY25" s="1"/>
  <c i="18" r="E7" s="1"/>
  <c i="17" r="E25"/>
  <c i="1" r="BY8" s="1"/>
  <c i="1" r="BY24" s="1"/>
  <c i="18" r="E6" s="1"/>
  <c i="17" r="D25"/>
  <c i="1" r="BX8" s="1"/>
  <c i="1" r="BY23" s="1"/>
  <c i="18" r="E5" s="1"/>
  <c i="17" r="C25"/>
  <c i="1" r="BW8" s="1"/>
  <c i="1" r="BY22" s="1"/>
  <c i="18" r="E4" s="1"/>
  <c i="18" l="1" r="CV10"/>
  <c i="17" r="J51"/>
  <c i="18" r="J50" s="1"/>
  <c i="1" r="BY42"/>
  <c i="18" r="E24" s="1"/>
  <c i="17" r="W51"/>
  <c i="18" r="W50" s="1"/>
  <c i="17" r="V51"/>
  <c i="18" r="V50" s="1"/>
  <c i="17" r="U51"/>
  <c i="18" r="U50" s="1"/>
  <c i="17" r="X51"/>
  <c i="17" r="T51"/>
  <c i="18" r="T50" s="1"/>
  <c i="17" r="R51"/>
  <c i="18" r="R50" s="1"/>
  <c i="17" r="Q51"/>
  <c i="18" r="Q50" s="1"/>
  <c i="17" r="P51"/>
  <c i="18" r="P50" s="1"/>
  <c i="17" r="X25"/>
  <c i="17" r="O51"/>
  <c i="18" r="O50" s="1"/>
  <c i="17" r="N51"/>
  <c i="18" r="N50" s="1"/>
  <c i="17" r="M51"/>
  <c i="18" r="M50" s="1"/>
  <c i="17" r="L51"/>
  <c i="18" r="L50" s="1"/>
  <c i="17" r="S51"/>
  <c i="18" r="S50" s="1"/>
  <c i="17" r="K51"/>
  <c i="18" r="K50" s="1"/>
  <c i="17" r="I51"/>
  <c i="18" r="I50" s="1"/>
  <c i="17" r="H51"/>
  <c i="18" r="H50" s="1"/>
  <c i="17" r="G51"/>
  <c i="18" r="G50" s="1"/>
  <c i="17" r="F51"/>
  <c i="18" r="F50" s="1"/>
  <c i="17" r="E51"/>
  <c i="18" r="E50" s="1"/>
  <c i="17" r="D51"/>
  <c i="18" r="D50" s="1"/>
  <c i="18" l="1" r="CV11"/>
  <c i="1" r="CR8"/>
  <c i="18" l="1" r="CV12"/>
  <c i="8" r="J25"/>
  <c i="8" r="J36" s="1"/>
  <c i="8" r="K25"/>
  <c i="8" r="K36" s="1"/>
  <c i="8" r="I25"/>
  <c i="8" r="I36" s="1"/>
  <c i="8" r="C25"/>
  <c i="8" r="C36" s="1"/>
  <c i="8" r="D25"/>
  <c i="8" r="D36" s="1"/>
  <c i="8" r="B25"/>
  <c i="8" r="B36" s="1"/>
  <c i="1" r="AT28"/>
  <c i="1" r="CQ9" s="1"/>
  <c i="1" r="AS28"/>
  <c i="1" r="CP9" s="1"/>
  <c i="1" r="BZ41" s="1"/>
  <c i="18" r="F23" s="1"/>
  <c i="1" r="AR28"/>
  <c i="1" r="CO9" s="1"/>
  <c i="1" r="BZ40" s="1"/>
  <c i="18" r="F22" s="1"/>
  <c i="1" r="AQ28"/>
  <c i="1" r="CN9" s="1"/>
  <c i="1" r="BZ39" s="1"/>
  <c i="18" r="F21" s="1"/>
  <c i="1" r="AP28"/>
  <c i="1" r="CM9" s="1"/>
  <c i="1" r="BZ38" s="1"/>
  <c i="18" r="F20" s="1"/>
  <c i="1" r="AO28"/>
  <c i="1" r="CL9" s="1"/>
  <c i="1" r="BZ37" s="1"/>
  <c i="18" r="F19" s="1"/>
  <c i="1" r="AN28"/>
  <c i="1" r="CK9" s="1"/>
  <c i="1" r="BZ36" s="1"/>
  <c i="18" r="F18" s="1"/>
  <c i="1" r="AM28"/>
  <c i="1" r="CJ9" s="1"/>
  <c i="1" r="BZ35" s="1"/>
  <c i="18" r="F17" s="1"/>
  <c i="1" r="AL28"/>
  <c i="1" r="CI9" s="1"/>
  <c i="1" r="BZ34" s="1"/>
  <c i="18" r="F16" s="1"/>
  <c i="1" r="AK28"/>
  <c i="1" r="CH9" s="1"/>
  <c i="1" r="BZ33" s="1"/>
  <c i="18" r="F15" s="1"/>
  <c i="1" r="AJ28"/>
  <c i="1" r="CG9" s="1"/>
  <c i="1" r="BZ32" s="1"/>
  <c i="18" r="F14" s="1"/>
  <c i="1" r="AI28"/>
  <c i="1" r="CF9" s="1"/>
  <c i="1" r="BZ31" s="1"/>
  <c i="18" r="F13" s="1"/>
  <c i="1" r="AH28"/>
  <c i="1" r="CE9" s="1"/>
  <c i="1" r="BZ30" s="1"/>
  <c i="18" r="F12" s="1"/>
  <c i="1" r="AG28"/>
  <c i="1" r="CD9" s="1"/>
  <c i="1" r="BZ29" s="1"/>
  <c i="18" r="F11" s="1"/>
  <c i="1" r="AF28"/>
  <c i="1" r="CC9" s="1"/>
  <c i="1" r="BZ28" s="1"/>
  <c i="18" r="F10" s="1"/>
  <c i="1" r="AE28"/>
  <c i="1" r="CB9" s="1"/>
  <c i="1" r="BZ27" s="1"/>
  <c i="18" r="F9" s="1"/>
  <c i="1" r="AD28"/>
  <c i="1" r="CA9" s="1"/>
  <c i="1" r="BZ26" s="1"/>
  <c i="18" r="F8" s="1"/>
  <c i="1" r="AC28"/>
  <c i="1" r="BZ9" s="1"/>
  <c i="1" r="BZ25" s="1"/>
  <c i="18" r="F7" s="1"/>
  <c i="1" r="AB28"/>
  <c i="1" r="BY9" s="1"/>
  <c i="1" r="BZ24" s="1"/>
  <c i="18" r="F6" s="1"/>
  <c i="1" r="AA28"/>
  <c i="1" r="BX9" s="1"/>
  <c i="1" r="BZ23" s="1"/>
  <c i="18" r="F5" s="1"/>
  <c i="1" r="Z28"/>
  <c i="1" r="BW9" s="1"/>
  <c i="1" r="BZ22" s="1"/>
  <c i="18" r="F4" s="1"/>
  <c i="1" r="AU27"/>
  <c i="1" r="AR54" s="1"/>
  <c i="1" r="AU26"/>
  <c i="1" r="AU25"/>
  <c i="1" r="AU24"/>
  <c i="1" r="AU23"/>
  <c i="1" r="AU22"/>
  <c i="1" r="AU21"/>
  <c i="1" r="AU20"/>
  <c i="1" r="AU19"/>
  <c i="1" r="AU18"/>
  <c i="1" r="AU17"/>
  <c i="1" r="AU16"/>
  <c i="1" r="AU15"/>
  <c i="1" r="AU14"/>
  <c i="1" r="AU13"/>
  <c i="1" r="AU12"/>
  <c i="1" r="AU11"/>
  <c i="1" r="AU10"/>
  <c i="1" r="AU9"/>
  <c i="1" r="AU8"/>
  <c i="1" r="AU7"/>
  <c i="18" l="1" r="CV13"/>
  <c i="1" r="AP54"/>
  <c i="18" r="AQ130" s="1"/>
  <c i="18" r="AQ156" s="1"/>
  <c i="1" r="AK54"/>
  <c i="18" r="AL130" s="1"/>
  <c i="18" r="AL156" s="1"/>
  <c i="1" r="AJ54"/>
  <c i="18" r="AK130" s="1"/>
  <c i="18" r="AK156" s="1"/>
  <c i="1" r="AQ54"/>
  <c i="18" r="AR130" s="1"/>
  <c i="18" r="AR156" s="1"/>
  <c i="1" r="AI54"/>
  <c i="18" r="AJ130" s="1"/>
  <c i="18" r="AJ156" s="1"/>
  <c i="1" r="AH54"/>
  <c i="18" r="AI130" s="1"/>
  <c i="18" r="AI156" s="1"/>
  <c i="1" r="AG54"/>
  <c i="18" r="AH130" s="1"/>
  <c i="18" r="AH156" s="1"/>
  <c i="1" r="AO54"/>
  <c i="18" r="AP130" s="1"/>
  <c i="18" r="AP156" s="1"/>
  <c i="1" r="AF54"/>
  <c i="18" r="AG130" s="1"/>
  <c i="18" r="AG156" s="1"/>
  <c i="1" r="AM54"/>
  <c i="18" r="AN130" s="1"/>
  <c i="18" r="AN156" s="1"/>
  <c i="1" r="AN54"/>
  <c i="18" r="AO130" s="1"/>
  <c i="18" r="AO156" s="1"/>
  <c i="1" r="AL54"/>
  <c i="18" r="AM130" s="1"/>
  <c i="18" r="AM156" s="1"/>
  <c i="1" r="AE54"/>
  <c i="18" r="AF130" s="1"/>
  <c i="18" r="AF156" s="1"/>
  <c i="1" r="AD54"/>
  <c i="18" r="AE130" s="1"/>
  <c i="18" r="AE156" s="1"/>
  <c i="18" r="AS130"/>
  <c i="18" r="AS156" s="1"/>
  <c i="1" r="AC54"/>
  <c i="18" r="AD130" s="1"/>
  <c i="18" r="AD156" s="1"/>
  <c i="1" r="AB54"/>
  <c i="18" r="AC130" s="1"/>
  <c i="18" r="AC156" s="1"/>
  <c i="1" r="AA54"/>
  <c i="18" r="AB130" s="1"/>
  <c i="18" r="AB156" s="1"/>
  <c i="1" r="Z54"/>
  <c i="18" r="AA130" s="1"/>
  <c i="18" r="AA156" s="1"/>
  <c i="1" r="AT54"/>
  <c i="18" r="AU130" s="1"/>
  <c i="18" r="AU156" s="1"/>
  <c i="1" r="AS54"/>
  <c i="18" r="AT130" s="1"/>
  <c i="18" r="AT156" s="1"/>
  <c i="1" r="BZ42"/>
  <c i="18" r="F24" s="1"/>
  <c i="1" r="AU28"/>
  <c i="1" r="AX35"/>
  <c i="18" r="AA31" s="1"/>
  <c i="1" r="AY35"/>
  <c i="18" r="AB31" s="1"/>
  <c i="1" r="AZ35"/>
  <c i="18" r="AC31" s="1"/>
  <c i="1" r="BA35"/>
  <c i="18" r="AD31" s="1"/>
  <c i="1" r="BB35"/>
  <c i="18" r="AE31" s="1"/>
  <c i="1" r="BC35"/>
  <c i="18" r="AF31" s="1"/>
  <c i="1" r="BD35"/>
  <c i="18" r="AG31" s="1"/>
  <c i="1" r="BE35"/>
  <c i="18" r="AH31" s="1"/>
  <c i="1" r="BF35"/>
  <c i="18" r="AI31" s="1"/>
  <c i="1" r="BG35"/>
  <c i="18" r="AJ31" s="1"/>
  <c i="1" r="BH35"/>
  <c i="18" r="AK31" s="1"/>
  <c i="1" r="BI35"/>
  <c i="18" r="AL31" s="1"/>
  <c i="1" r="BJ35"/>
  <c i="18" r="AM31" s="1"/>
  <c i="1" r="BK35"/>
  <c i="18" r="AN31" s="1"/>
  <c i="1" r="BL35"/>
  <c i="18" r="AO31" s="1"/>
  <c i="1" r="BM35"/>
  <c i="18" r="AP31" s="1"/>
  <c i="1" r="BN35"/>
  <c i="18" r="AQ31" s="1"/>
  <c i="1" r="BO35"/>
  <c i="18" r="AR31" s="1"/>
  <c i="1" r="BP35"/>
  <c i="18" r="AS31" s="1"/>
  <c i="1" r="BQ35"/>
  <c i="18" r="AT31" s="1"/>
  <c i="1" r="BR35"/>
  <c i="18" r="AU31" s="1"/>
  <c i="1" r="AX36"/>
  <c i="18" r="AA32" s="1"/>
  <c i="1" r="AY36"/>
  <c i="18" r="AB32" s="1"/>
  <c i="1" r="AZ36"/>
  <c i="18" r="AC32" s="1"/>
  <c i="1" r="BA36"/>
  <c i="18" r="AD32" s="1"/>
  <c i="1" r="BB36"/>
  <c i="18" r="AE32" s="1"/>
  <c i="1" r="BC36"/>
  <c i="18" r="AF32" s="1"/>
  <c i="1" r="BD36"/>
  <c i="18" r="AG32" s="1"/>
  <c i="1" r="BE36"/>
  <c i="18" r="AH32" s="1"/>
  <c i="1" r="BF36"/>
  <c i="18" r="AI32" s="1"/>
  <c i="1" r="BG36"/>
  <c i="18" r="AJ32" s="1"/>
  <c i="1" r="BH36"/>
  <c i="18" r="AK32" s="1"/>
  <c i="1" r="BI36"/>
  <c i="18" r="AL32" s="1"/>
  <c i="1" r="BJ36"/>
  <c i="18" r="AM32" s="1"/>
  <c i="1" r="BK36"/>
  <c i="18" r="AN32" s="1"/>
  <c i="1" r="BL36"/>
  <c i="18" r="AO32" s="1"/>
  <c i="1" r="BM36"/>
  <c i="18" r="AP32" s="1"/>
  <c i="1" r="BN36"/>
  <c i="18" r="AQ32" s="1"/>
  <c i="1" r="BO36"/>
  <c i="18" r="AR32" s="1"/>
  <c i="1" r="BP36"/>
  <c i="18" r="AS32" s="1"/>
  <c i="1" r="BQ36"/>
  <c i="18" r="AT32" s="1"/>
  <c i="1" r="BR36"/>
  <c i="18" r="AU32" s="1"/>
  <c i="1" r="AX37"/>
  <c i="18" r="AA33" s="1"/>
  <c i="1" r="AY37"/>
  <c i="18" r="AB33" s="1"/>
  <c i="1" r="AZ37"/>
  <c i="18" r="AC33" s="1"/>
  <c i="1" r="BA37"/>
  <c i="18" r="AD33" s="1"/>
  <c i="1" r="BB37"/>
  <c i="18" r="AE33" s="1"/>
  <c i="1" r="BC37"/>
  <c i="18" r="AF33" s="1"/>
  <c i="1" r="BD37"/>
  <c i="18" r="AG33" s="1"/>
  <c i="1" r="BE37"/>
  <c i="18" r="AH33" s="1"/>
  <c i="1" r="BF37"/>
  <c i="18" r="AI33" s="1"/>
  <c i="1" r="BG37"/>
  <c i="18" r="AJ33" s="1"/>
  <c i="1" r="BH37"/>
  <c i="18" r="AK33" s="1"/>
  <c i="1" r="BI37"/>
  <c i="18" r="AL33" s="1"/>
  <c i="1" r="BJ37"/>
  <c i="18" r="AM33" s="1"/>
  <c i="1" r="BK37"/>
  <c i="18" r="AN33" s="1"/>
  <c i="1" r="BL37"/>
  <c i="18" r="AO33" s="1"/>
  <c i="1" r="BM37"/>
  <c i="18" r="AP33" s="1"/>
  <c i="1" r="BN37"/>
  <c i="18" r="AQ33" s="1"/>
  <c i="1" r="BO37"/>
  <c i="18" r="AR33" s="1"/>
  <c i="1" r="BP37"/>
  <c i="18" r="AS33" s="1"/>
  <c i="1" r="BQ37"/>
  <c i="18" r="AT33" s="1"/>
  <c i="1" r="BR37"/>
  <c i="18" r="AU33" s="1"/>
  <c i="1" r="AX38"/>
  <c i="18" r="AA34" s="1"/>
  <c i="1" r="AY38"/>
  <c i="18" r="AB34" s="1"/>
  <c i="1" r="AZ38"/>
  <c i="18" r="AC34" s="1"/>
  <c i="1" r="BA38"/>
  <c i="18" r="AD34" s="1"/>
  <c i="1" r="BB38"/>
  <c i="18" r="AE34" s="1"/>
  <c i="1" r="BC38"/>
  <c i="18" r="AF34" s="1"/>
  <c i="1" r="BD38"/>
  <c i="18" r="AG34" s="1"/>
  <c i="1" r="BE38"/>
  <c i="18" r="AH34" s="1"/>
  <c i="1" r="BF38"/>
  <c i="18" r="AI34" s="1"/>
  <c i="1" r="BG38"/>
  <c i="18" r="AJ34" s="1"/>
  <c i="1" r="BH38"/>
  <c i="18" r="AK34" s="1"/>
  <c i="1" r="BI38"/>
  <c i="18" r="AL34" s="1"/>
  <c i="1" r="BJ38"/>
  <c i="18" r="AM34" s="1"/>
  <c i="1" r="BK38"/>
  <c i="18" r="AN34" s="1"/>
  <c i="1" r="BL38"/>
  <c i="18" r="AO34" s="1"/>
  <c i="1" r="BM38"/>
  <c i="18" r="AP34" s="1"/>
  <c i="1" r="BN38"/>
  <c i="18" r="AQ34" s="1"/>
  <c i="1" r="BO38"/>
  <c i="18" r="AR34" s="1"/>
  <c i="1" r="BP38"/>
  <c i="18" r="AS34" s="1"/>
  <c i="1" r="BQ38"/>
  <c i="18" r="AT34" s="1"/>
  <c i="1" r="BR38"/>
  <c i="18" r="AU34" s="1"/>
  <c i="1" r="AX39"/>
  <c i="18" r="AA35" s="1"/>
  <c i="1" r="AY39"/>
  <c i="18" r="AB35" s="1"/>
  <c i="1" r="AZ39"/>
  <c i="18" r="AC35" s="1"/>
  <c i="1" r="BA39"/>
  <c i="18" r="AD35" s="1"/>
  <c i="1" r="BB39"/>
  <c i="18" r="AE35" s="1"/>
  <c i="1" r="BC39"/>
  <c i="18" r="AF35" s="1"/>
  <c i="1" r="BD39"/>
  <c i="18" r="AG35" s="1"/>
  <c i="1" r="BE39"/>
  <c i="18" r="AH35" s="1"/>
  <c i="1" r="BF39"/>
  <c i="18" r="AI35" s="1"/>
  <c i="1" r="BG39"/>
  <c i="18" r="AJ35" s="1"/>
  <c i="1" r="BH39"/>
  <c i="18" r="AK35" s="1"/>
  <c i="1" r="BI39"/>
  <c i="18" r="AL35" s="1"/>
  <c i="1" r="BJ39"/>
  <c i="18" r="AM35" s="1"/>
  <c i="1" r="BK39"/>
  <c i="18" r="AN35" s="1"/>
  <c i="1" r="BL39"/>
  <c i="18" r="AO35" s="1"/>
  <c i="1" r="BM39"/>
  <c i="18" r="AP35" s="1"/>
  <c i="1" r="BN39"/>
  <c i="18" r="AQ35" s="1"/>
  <c i="1" r="BO39"/>
  <c i="18" r="AR35" s="1"/>
  <c i="1" r="BP39"/>
  <c i="18" r="AS35" s="1"/>
  <c i="1" r="BQ39"/>
  <c i="18" r="AT35" s="1"/>
  <c i="1" r="BR39"/>
  <c i="18" r="AU35" s="1"/>
  <c i="1" r="AX40"/>
  <c i="18" r="AA36" s="1"/>
  <c i="1" r="AY40"/>
  <c i="18" r="AB36" s="1"/>
  <c i="1" r="AZ40"/>
  <c i="18" r="AC36" s="1"/>
  <c i="1" r="BA40"/>
  <c i="18" r="AD36" s="1"/>
  <c i="1" r="BB40"/>
  <c i="18" r="AE36" s="1"/>
  <c i="1" r="BC40"/>
  <c i="18" r="AF36" s="1"/>
  <c i="1" r="BD40"/>
  <c i="18" r="AG36" s="1"/>
  <c i="1" r="BE40"/>
  <c i="18" r="AH36" s="1"/>
  <c i="1" r="BF40"/>
  <c i="18" r="AI36" s="1"/>
  <c i="1" r="BG40"/>
  <c i="18" r="AJ36" s="1"/>
  <c i="1" r="BH40"/>
  <c i="18" r="AK36" s="1"/>
  <c i="1" r="BI40"/>
  <c i="18" r="AL36" s="1"/>
  <c i="1" r="BJ40"/>
  <c i="18" r="AM36" s="1"/>
  <c i="1" r="BK40"/>
  <c i="18" r="AN36" s="1"/>
  <c i="1" r="BL40"/>
  <c i="18" r="AO36" s="1"/>
  <c i="1" r="BM40"/>
  <c i="18" r="AP36" s="1"/>
  <c i="1" r="BN40"/>
  <c i="18" r="AQ36" s="1"/>
  <c i="1" r="BO40"/>
  <c i="18" r="AR36" s="1"/>
  <c i="1" r="BP40"/>
  <c i="18" r="AS36" s="1"/>
  <c i="1" r="BQ40"/>
  <c i="18" r="AT36" s="1"/>
  <c i="1" r="BR40"/>
  <c i="18" r="AU36" s="1"/>
  <c i="1" r="AX41"/>
  <c i="18" r="AA37" s="1"/>
  <c i="1" r="AY41"/>
  <c i="18" r="AB37" s="1"/>
  <c i="1" r="AZ41"/>
  <c i="18" r="AC37" s="1"/>
  <c i="1" r="BA41"/>
  <c i="18" r="AD37" s="1"/>
  <c i="1" r="BB41"/>
  <c i="18" r="AE37" s="1"/>
  <c i="1" r="BC41"/>
  <c i="18" r="AF37" s="1"/>
  <c i="1" r="BD41"/>
  <c i="18" r="AG37" s="1"/>
  <c i="1" r="BE41"/>
  <c i="18" r="AH37" s="1"/>
  <c i="1" r="BF41"/>
  <c i="18" r="AI37" s="1"/>
  <c i="1" r="BG41"/>
  <c i="18" r="AJ37" s="1"/>
  <c i="1" r="BH41"/>
  <c i="18" r="AK37" s="1"/>
  <c i="1" r="BI41"/>
  <c i="18" r="AL37" s="1"/>
  <c i="1" r="BJ41"/>
  <c i="18" r="AM37" s="1"/>
  <c i="1" r="BK41"/>
  <c i="18" r="AN37" s="1"/>
  <c i="1" r="BL41"/>
  <c i="18" r="AO37" s="1"/>
  <c i="1" r="BM41"/>
  <c i="18" r="AP37" s="1"/>
  <c i="1" r="BN41"/>
  <c i="18" r="AQ37" s="1"/>
  <c i="1" r="BO41"/>
  <c i="18" r="AR37" s="1"/>
  <c i="1" r="BP41"/>
  <c i="18" r="AS37" s="1"/>
  <c i="1" r="BQ41"/>
  <c i="18" r="AT37" s="1"/>
  <c i="1" r="BR41"/>
  <c i="18" r="AU37" s="1"/>
  <c i="1" r="AX42"/>
  <c i="18" r="AA38" s="1"/>
  <c i="1" r="AY42"/>
  <c i="18" r="AB38" s="1"/>
  <c i="1" r="AZ42"/>
  <c i="18" r="AC38" s="1"/>
  <c i="1" r="BA42"/>
  <c i="18" r="AD38" s="1"/>
  <c i="1" r="BB42"/>
  <c i="18" r="AE38" s="1"/>
  <c i="1" r="BC42"/>
  <c i="18" r="AF38" s="1"/>
  <c i="1" r="BD42"/>
  <c i="18" r="AG38" s="1"/>
  <c i="1" r="BE42"/>
  <c i="18" r="AH38" s="1"/>
  <c i="1" r="BF42"/>
  <c i="18" r="AI38" s="1"/>
  <c i="1" r="BG42"/>
  <c i="18" r="AJ38" s="1"/>
  <c i="1" r="BH42"/>
  <c i="18" r="AK38" s="1"/>
  <c i="1" r="BI42"/>
  <c i="18" r="AL38" s="1"/>
  <c i="1" r="BJ42"/>
  <c i="18" r="AM38" s="1"/>
  <c i="1" r="BK42"/>
  <c i="18" r="AN38" s="1"/>
  <c i="1" r="BL42"/>
  <c i="18" r="AO38" s="1"/>
  <c i="1" r="BM42"/>
  <c i="18" r="AP38" s="1"/>
  <c i="1" r="BN42"/>
  <c i="18" r="AQ38" s="1"/>
  <c i="1" r="BO42"/>
  <c i="18" r="AR38" s="1"/>
  <c i="1" r="BP42"/>
  <c i="18" r="AS38" s="1"/>
  <c i="1" r="BQ42"/>
  <c i="18" r="AT38" s="1"/>
  <c i="1" r="BR42"/>
  <c i="18" r="AU38" s="1"/>
  <c i="1" r="AX43"/>
  <c i="18" r="AA39" s="1"/>
  <c i="1" r="AY43"/>
  <c i="18" r="AB39" s="1"/>
  <c i="1" r="AZ43"/>
  <c i="18" r="AC39" s="1"/>
  <c i="1" r="BA43"/>
  <c i="18" r="AD39" s="1"/>
  <c i="1" r="BB43"/>
  <c i="18" r="AE39" s="1"/>
  <c i="1" r="BC43"/>
  <c i="18" r="AF39" s="1"/>
  <c i="1" r="BD43"/>
  <c i="18" r="AG39" s="1"/>
  <c i="1" r="BE43"/>
  <c i="18" r="AH39" s="1"/>
  <c i="1" r="BF43"/>
  <c i="18" r="AI39" s="1"/>
  <c i="1" r="BG43"/>
  <c i="18" r="AJ39" s="1"/>
  <c i="1" r="BH43"/>
  <c i="18" r="AK39" s="1"/>
  <c i="1" r="BI43"/>
  <c i="18" r="AL39" s="1"/>
  <c i="1" r="BJ43"/>
  <c i="18" r="AM39" s="1"/>
  <c i="1" r="BK43"/>
  <c i="18" r="AN39" s="1"/>
  <c i="1" r="BL43"/>
  <c i="18" r="AO39" s="1"/>
  <c i="1" r="BM43"/>
  <c i="18" r="AP39" s="1"/>
  <c i="1" r="BN43"/>
  <c i="18" r="AQ39" s="1"/>
  <c i="1" r="BO43"/>
  <c i="18" r="AR39" s="1"/>
  <c i="1" r="BP43"/>
  <c i="18" r="AS39" s="1"/>
  <c i="1" r="BQ43"/>
  <c i="18" r="AT39" s="1"/>
  <c i="1" r="BR43"/>
  <c i="18" r="AU39" s="1"/>
  <c i="1" r="AX44"/>
  <c i="18" r="AA40" s="1"/>
  <c i="1" r="AY44"/>
  <c i="18" r="AB40" s="1"/>
  <c i="1" r="AZ44"/>
  <c i="18" r="AC40" s="1"/>
  <c i="1" r="BA44"/>
  <c i="18" r="AD40" s="1"/>
  <c i="1" r="BB44"/>
  <c i="18" r="AE40" s="1"/>
  <c i="1" r="BC44"/>
  <c i="18" r="AF40" s="1"/>
  <c i="1" r="BD44"/>
  <c i="18" r="AG40" s="1"/>
  <c i="1" r="BE44"/>
  <c i="18" r="AH40" s="1"/>
  <c i="1" r="BF44"/>
  <c i="18" r="AI40" s="1"/>
  <c i="1" r="BG44"/>
  <c i="18" r="AJ40" s="1"/>
  <c i="1" r="BH44"/>
  <c i="18" r="AK40" s="1"/>
  <c i="1" r="BI44"/>
  <c i="18" r="AL40" s="1"/>
  <c i="1" r="BJ44"/>
  <c i="18" r="AM40" s="1"/>
  <c i="1" r="BK44"/>
  <c i="18" r="AN40" s="1"/>
  <c i="1" r="BL44"/>
  <c i="18" r="AO40" s="1"/>
  <c i="1" r="BM44"/>
  <c i="18" r="AP40" s="1"/>
  <c i="1" r="BN44"/>
  <c i="18" r="AQ40" s="1"/>
  <c i="1" r="BO44"/>
  <c i="18" r="AR40" s="1"/>
  <c i="1" r="BP44"/>
  <c i="18" r="AS40" s="1"/>
  <c i="1" r="BQ44"/>
  <c i="18" r="AT40" s="1"/>
  <c i="1" r="BR44"/>
  <c i="18" r="AU40" s="1"/>
  <c i="1" r="AX45"/>
  <c i="18" r="AA41" s="1"/>
  <c i="1" r="AY45"/>
  <c i="18" r="AB41" s="1"/>
  <c i="1" r="AZ45"/>
  <c i="18" r="AC41" s="1"/>
  <c i="1" r="BA45"/>
  <c i="18" r="AD41" s="1"/>
  <c i="1" r="BB45"/>
  <c i="18" r="AE41" s="1"/>
  <c i="1" r="BC45"/>
  <c i="18" r="AF41" s="1"/>
  <c i="1" r="BD45"/>
  <c i="18" r="AG41" s="1"/>
  <c i="1" r="BE45"/>
  <c i="18" r="AH41" s="1"/>
  <c i="1" r="BF45"/>
  <c i="18" r="AI41" s="1"/>
  <c i="1" r="BG45"/>
  <c i="18" r="AJ41" s="1"/>
  <c i="1" r="BH45"/>
  <c i="18" r="AK41" s="1"/>
  <c i="1" r="BI45"/>
  <c i="18" r="AL41" s="1"/>
  <c i="1" r="BJ45"/>
  <c i="18" r="AM41" s="1"/>
  <c i="1" r="BK45"/>
  <c i="18" r="AN41" s="1"/>
  <c i="1" r="BL45"/>
  <c i="18" r="AO41" s="1"/>
  <c i="1" r="BM45"/>
  <c i="18" r="AP41" s="1"/>
  <c i="1" r="BN45"/>
  <c i="18" r="AQ41" s="1"/>
  <c i="1" r="BO45"/>
  <c i="18" r="AR41" s="1"/>
  <c i="1" r="BP45"/>
  <c i="18" r="AS41" s="1"/>
  <c i="1" r="BQ45"/>
  <c i="18" r="AT41" s="1"/>
  <c i="1" r="BR45"/>
  <c i="18" r="AU41" s="1"/>
  <c i="1" r="AX46"/>
  <c i="18" r="AA42" s="1"/>
  <c i="1" r="AY46"/>
  <c i="18" r="AB42" s="1"/>
  <c i="1" r="AZ46"/>
  <c i="18" r="AC42" s="1"/>
  <c i="1" r="BA46"/>
  <c i="18" r="AD42" s="1"/>
  <c i="1" r="BB46"/>
  <c i="18" r="AE42" s="1"/>
  <c i="1" r="BC46"/>
  <c i="18" r="AF42" s="1"/>
  <c i="1" r="BD46"/>
  <c i="18" r="AG42" s="1"/>
  <c i="1" r="BE46"/>
  <c i="18" r="AH42" s="1"/>
  <c i="1" r="BF46"/>
  <c i="18" r="AI42" s="1"/>
  <c i="1" r="BG46"/>
  <c i="18" r="AJ42" s="1"/>
  <c i="1" r="BH46"/>
  <c i="18" r="AK42" s="1"/>
  <c i="1" r="BI46"/>
  <c i="18" r="AL42" s="1"/>
  <c i="1" r="BJ46"/>
  <c i="18" r="AM42" s="1"/>
  <c i="1" r="BK46"/>
  <c i="18" r="AN42" s="1"/>
  <c i="1" r="BL46"/>
  <c i="18" r="AO42" s="1"/>
  <c i="1" r="BM46"/>
  <c i="18" r="AP42" s="1"/>
  <c i="1" r="BN46"/>
  <c i="18" r="AQ42" s="1"/>
  <c i="1" r="BO46"/>
  <c i="18" r="AR42" s="1"/>
  <c i="1" r="BP46"/>
  <c i="18" r="AS42" s="1"/>
  <c i="1" r="BQ46"/>
  <c i="18" r="AT42" s="1"/>
  <c i="1" r="BR46"/>
  <c i="18" r="AU42" s="1"/>
  <c i="1" r="AX47"/>
  <c i="18" r="AA43" s="1"/>
  <c i="1" r="AY47"/>
  <c i="18" r="AB43" s="1"/>
  <c i="1" r="AZ47"/>
  <c i="18" r="AC43" s="1"/>
  <c i="1" r="BA47"/>
  <c i="18" r="AD43" s="1"/>
  <c i="1" r="BB47"/>
  <c i="18" r="AE43" s="1"/>
  <c i="1" r="BC47"/>
  <c i="18" r="AF43" s="1"/>
  <c i="1" r="BD47"/>
  <c i="18" r="AG43" s="1"/>
  <c i="1" r="BE47"/>
  <c i="18" r="AH43" s="1"/>
  <c i="1" r="BF47"/>
  <c i="18" r="AI43" s="1"/>
  <c i="1" r="BG47"/>
  <c i="18" r="AJ43" s="1"/>
  <c i="1" r="BH47"/>
  <c i="18" r="AK43" s="1"/>
  <c i="1" r="BI47"/>
  <c i="18" r="AL43" s="1"/>
  <c i="1" r="BJ47"/>
  <c i="18" r="AM43" s="1"/>
  <c i="1" r="BK47"/>
  <c i="18" r="AN43" s="1"/>
  <c i="1" r="BL47"/>
  <c i="18" r="AO43" s="1"/>
  <c i="1" r="BM47"/>
  <c i="18" r="AP43" s="1"/>
  <c i="1" r="BN47"/>
  <c i="18" r="AQ43" s="1"/>
  <c i="1" r="BO47"/>
  <c i="18" r="AR43" s="1"/>
  <c i="1" r="BP47"/>
  <c i="18" r="AS43" s="1"/>
  <c i="1" r="BQ47"/>
  <c i="18" r="AT43" s="1"/>
  <c i="1" r="BR47"/>
  <c i="18" r="AU43" s="1"/>
  <c i="1" r="AX48"/>
  <c i="18" r="AA44" s="1"/>
  <c i="1" r="AY48"/>
  <c i="18" r="AB44" s="1"/>
  <c i="1" r="AZ48"/>
  <c i="18" r="AC44" s="1"/>
  <c i="1" r="BA48"/>
  <c i="18" r="AD44" s="1"/>
  <c i="1" r="BB48"/>
  <c i="18" r="AE44" s="1"/>
  <c i="1" r="BC48"/>
  <c i="18" r="AF44" s="1"/>
  <c i="1" r="BD48"/>
  <c i="18" r="AG44" s="1"/>
  <c i="1" r="BE48"/>
  <c i="18" r="AH44" s="1"/>
  <c i="1" r="BF48"/>
  <c i="18" r="AI44" s="1"/>
  <c i="1" r="BG48"/>
  <c i="18" r="AJ44" s="1"/>
  <c i="1" r="BH48"/>
  <c i="18" r="AK44" s="1"/>
  <c i="1" r="BI48"/>
  <c i="18" r="AL44" s="1"/>
  <c i="1" r="BJ48"/>
  <c i="18" r="AM44" s="1"/>
  <c i="1" r="BK48"/>
  <c i="18" r="AN44" s="1"/>
  <c i="1" r="BL48"/>
  <c i="18" r="AO44" s="1"/>
  <c i="1" r="BM48"/>
  <c i="18" r="AP44" s="1"/>
  <c i="1" r="BN48"/>
  <c i="18" r="AQ44" s="1"/>
  <c i="1" r="BO48"/>
  <c i="18" r="AR44" s="1"/>
  <c i="1" r="BP48"/>
  <c i="18" r="AS44" s="1"/>
  <c i="1" r="BQ48"/>
  <c i="18" r="AT44" s="1"/>
  <c i="1" r="BR48"/>
  <c i="18" r="AU44" s="1"/>
  <c i="1" r="AX49"/>
  <c i="18" r="AA45" s="1"/>
  <c i="1" r="AY49"/>
  <c i="18" r="AB45" s="1"/>
  <c i="1" r="AZ49"/>
  <c i="18" r="AC45" s="1"/>
  <c i="1" r="BA49"/>
  <c i="18" r="AD45" s="1"/>
  <c i="1" r="BB49"/>
  <c i="18" r="AE45" s="1"/>
  <c i="1" r="BC49"/>
  <c i="18" r="AF45" s="1"/>
  <c i="1" r="BD49"/>
  <c i="18" r="AG45" s="1"/>
  <c i="1" r="BE49"/>
  <c i="18" r="AH45" s="1"/>
  <c i="1" r="BF49"/>
  <c i="18" r="AI45" s="1"/>
  <c i="1" r="BG49"/>
  <c i="18" r="AJ45" s="1"/>
  <c i="1" r="BH49"/>
  <c i="18" r="AK45" s="1"/>
  <c i="1" r="BI49"/>
  <c i="18" r="AL45" s="1"/>
  <c i="1" r="BJ49"/>
  <c i="18" r="AM45" s="1"/>
  <c i="1" r="BK49"/>
  <c i="18" r="AN45" s="1"/>
  <c i="1" r="BL49"/>
  <c i="18" r="AO45" s="1"/>
  <c i="1" r="BM49"/>
  <c i="18" r="AP45" s="1"/>
  <c i="1" r="BN49"/>
  <c i="18" r="AQ45" s="1"/>
  <c i="1" r="BO49"/>
  <c i="18" r="AR45" s="1"/>
  <c i="1" r="BP49"/>
  <c i="18" r="AS45" s="1"/>
  <c i="1" r="BQ49"/>
  <c i="18" r="AT45" s="1"/>
  <c i="1" r="BR49"/>
  <c i="18" r="AU45" s="1"/>
  <c i="1" r="AX50"/>
  <c i="18" r="AA46" s="1"/>
  <c i="1" r="AY50"/>
  <c i="18" r="AB46" s="1"/>
  <c i="1" r="AZ50"/>
  <c i="18" r="AC46" s="1"/>
  <c i="1" r="BA50"/>
  <c i="18" r="AD46" s="1"/>
  <c i="1" r="BB50"/>
  <c i="18" r="AE46" s="1"/>
  <c i="1" r="BC50"/>
  <c i="18" r="AF46" s="1"/>
  <c i="1" r="BD50"/>
  <c i="18" r="AG46" s="1"/>
  <c i="1" r="BE50"/>
  <c i="18" r="AH46" s="1"/>
  <c i="1" r="BF50"/>
  <c i="18" r="AI46" s="1"/>
  <c i="1" r="BG50"/>
  <c i="18" r="AJ46" s="1"/>
  <c i="1" r="BH50"/>
  <c i="18" r="AK46" s="1"/>
  <c i="1" r="BI50"/>
  <c i="18" r="AL46" s="1"/>
  <c i="1" r="BJ50"/>
  <c i="18" r="AM46" s="1"/>
  <c i="1" r="BK50"/>
  <c i="18" r="AN46" s="1"/>
  <c i="1" r="BL50"/>
  <c i="18" r="AO46" s="1"/>
  <c i="1" r="BM50"/>
  <c i="18" r="AP46" s="1"/>
  <c i="1" r="BN50"/>
  <c i="18" r="AQ46" s="1"/>
  <c i="1" r="BO50"/>
  <c i="18" r="AR46" s="1"/>
  <c i="1" r="BP50"/>
  <c i="18" r="AS46" s="1"/>
  <c i="1" r="BQ50"/>
  <c i="18" r="AT46" s="1"/>
  <c i="1" r="BR50"/>
  <c i="18" r="AU46" s="1"/>
  <c i="1" r="AX51"/>
  <c i="18" r="AA47" s="1"/>
  <c i="1" r="AY51"/>
  <c i="18" r="AB47" s="1"/>
  <c i="1" r="AZ51"/>
  <c i="18" r="AC47" s="1"/>
  <c i="1" r="BA51"/>
  <c i="18" r="AD47" s="1"/>
  <c i="1" r="BB51"/>
  <c i="18" r="AE47" s="1"/>
  <c i="1" r="BC51"/>
  <c i="18" r="AF47" s="1"/>
  <c i="1" r="BD51"/>
  <c i="18" r="AG47" s="1"/>
  <c i="1" r="BE51"/>
  <c i="18" r="AH47" s="1"/>
  <c i="1" r="BF51"/>
  <c i="18" r="AI47" s="1"/>
  <c i="1" r="BG51"/>
  <c i="18" r="AJ47" s="1"/>
  <c i="1" r="BH51"/>
  <c i="18" r="AK47" s="1"/>
  <c i="1" r="BI51"/>
  <c i="18" r="AL47" s="1"/>
  <c i="1" r="BJ51"/>
  <c i="18" r="AM47" s="1"/>
  <c i="1" r="BK51"/>
  <c i="18" r="AN47" s="1"/>
  <c i="1" r="BL51"/>
  <c i="18" r="AO47" s="1"/>
  <c i="1" r="BM51"/>
  <c i="18" r="AP47" s="1"/>
  <c i="1" r="BN51"/>
  <c i="18" r="AQ47" s="1"/>
  <c i="1" r="BO51"/>
  <c i="18" r="AR47" s="1"/>
  <c i="1" r="BP51"/>
  <c i="18" r="AS47" s="1"/>
  <c i="1" r="BQ51"/>
  <c i="18" r="AT47" s="1"/>
  <c i="1" r="BR51"/>
  <c i="18" r="AU47" s="1"/>
  <c i="1" r="AX52"/>
  <c i="18" r="AA48" s="1"/>
  <c i="1" r="AY52"/>
  <c i="18" r="AB48" s="1"/>
  <c i="1" r="AZ52"/>
  <c i="18" r="AC48" s="1"/>
  <c i="1" r="BA52"/>
  <c i="18" r="AD48" s="1"/>
  <c i="1" r="BB52"/>
  <c i="18" r="AE48" s="1"/>
  <c i="1" r="BC52"/>
  <c i="18" r="AF48" s="1"/>
  <c i="1" r="BD52"/>
  <c i="18" r="AG48" s="1"/>
  <c i="1" r="BE52"/>
  <c i="18" r="AH48" s="1"/>
  <c i="1" r="BF52"/>
  <c i="18" r="AI48" s="1"/>
  <c i="1" r="BG52"/>
  <c i="18" r="AJ48" s="1"/>
  <c i="1" r="BH52"/>
  <c i="18" r="AK48" s="1"/>
  <c i="1" r="BI52"/>
  <c i="18" r="AL48" s="1"/>
  <c i="1" r="BJ52"/>
  <c i="18" r="AM48" s="1"/>
  <c i="1" r="BK52"/>
  <c i="18" r="AN48" s="1"/>
  <c i="1" r="BL52"/>
  <c i="18" r="AO48" s="1"/>
  <c i="1" r="BM52"/>
  <c i="18" r="AP48" s="1"/>
  <c i="1" r="BN52"/>
  <c i="18" r="AQ48" s="1"/>
  <c i="1" r="BO52"/>
  <c i="18" r="AR48" s="1"/>
  <c i="1" r="BP52"/>
  <c i="18" r="AS48" s="1"/>
  <c i="1" r="BQ52"/>
  <c i="18" r="AT48" s="1"/>
  <c i="1" r="BR52"/>
  <c i="18" r="AU48" s="1"/>
  <c i="1" r="AX53"/>
  <c i="18" r="AA49" s="1"/>
  <c i="1" r="AY53"/>
  <c i="18" r="AB49" s="1"/>
  <c i="1" r="AZ53"/>
  <c i="18" r="AC49" s="1"/>
  <c i="1" r="BA53"/>
  <c i="18" r="AD49" s="1"/>
  <c i="1" r="BB53"/>
  <c i="18" r="AE49" s="1"/>
  <c i="1" r="BC53"/>
  <c i="18" r="AF49" s="1"/>
  <c i="1" r="BD53"/>
  <c i="18" r="AG49" s="1"/>
  <c i="1" r="BE53"/>
  <c i="18" r="AH49" s="1"/>
  <c i="1" r="BF53"/>
  <c i="18" r="AI49" s="1"/>
  <c i="1" r="BG53"/>
  <c i="18" r="AJ49" s="1"/>
  <c i="1" r="BH53"/>
  <c i="18" r="AK49" s="1"/>
  <c i="1" r="BI53"/>
  <c i="18" r="AL49" s="1"/>
  <c i="1" r="BJ53"/>
  <c i="18" r="AM49" s="1"/>
  <c i="1" r="BK53"/>
  <c i="18" r="AN49" s="1"/>
  <c i="1" r="BL53"/>
  <c i="18" r="AO49" s="1"/>
  <c i="1" r="BM53"/>
  <c i="18" r="AP49" s="1"/>
  <c i="1" r="BN53"/>
  <c i="18" r="AQ49" s="1"/>
  <c i="1" r="BO53"/>
  <c i="18" r="AR49" s="1"/>
  <c i="1" r="BP53"/>
  <c i="18" r="AS49" s="1"/>
  <c i="1" r="BQ53"/>
  <c i="18" r="AT49" s="1"/>
  <c i="1" r="BR53"/>
  <c i="18" r="AU49" s="1"/>
  <c i="1" r="AX54"/>
  <c i="18" r="AA50" s="1"/>
  <c i="1" r="AY54"/>
  <c i="18" r="AB50" s="1"/>
  <c i="1" r="AZ54"/>
  <c i="18" r="AC50" s="1"/>
  <c i="1" r="BA54"/>
  <c i="18" r="AD50" s="1"/>
  <c i="1" r="BB54"/>
  <c i="18" r="AE50" s="1"/>
  <c i="18" r="BD50" s="1"/>
  <c i="18" r="CB50" s="1"/>
  <c i="1" r="BC54"/>
  <c i="18" r="AF50" s="1"/>
  <c i="18" r="BE50" s="1"/>
  <c i="18" r="CC50" s="1"/>
  <c i="1" r="BD54"/>
  <c i="18" r="AG50" s="1"/>
  <c i="18" r="BF50" s="1"/>
  <c i="18" r="CD50" s="1"/>
  <c i="1" r="BE54"/>
  <c i="18" r="AH50" s="1"/>
  <c i="18" r="BG50" s="1"/>
  <c i="18" r="CE50" s="1"/>
  <c i="1" r="BF54"/>
  <c i="18" r="AI50" s="1"/>
  <c i="18" r="BH50" s="1"/>
  <c i="18" r="CF50" s="1"/>
  <c i="1" r="BG54"/>
  <c i="18" r="AJ50" s="1"/>
  <c i="18" r="BI50" s="1"/>
  <c i="18" r="CG50" s="1"/>
  <c i="1" r="BH54"/>
  <c i="18" r="AK50" s="1"/>
  <c i="18" r="BJ50" s="1"/>
  <c i="18" r="CH50" s="1"/>
  <c i="1" r="BI54"/>
  <c i="18" r="AL50" s="1"/>
  <c i="18" r="BK50" s="1"/>
  <c i="18" r="CI50" s="1"/>
  <c i="1" r="BJ54"/>
  <c i="18" r="AM50" s="1"/>
  <c i="18" r="BL50" s="1"/>
  <c i="18" r="CJ50" s="1"/>
  <c i="1" r="BK54"/>
  <c i="18" r="AN50" s="1"/>
  <c i="18" r="BM50" s="1"/>
  <c i="18" r="CK50" s="1"/>
  <c i="1" r="BL54"/>
  <c i="18" r="AO50" s="1"/>
  <c i="18" r="BN50" s="1"/>
  <c i="18" r="CL50" s="1"/>
  <c i="1" r="BM54"/>
  <c i="18" r="AP50" s="1"/>
  <c i="18" r="BO50" s="1"/>
  <c i="18" r="CM50" s="1"/>
  <c i="1" r="BN54"/>
  <c i="18" r="AQ50" s="1"/>
  <c i="18" r="BP50" s="1"/>
  <c i="18" r="CN50" s="1"/>
  <c i="1" r="BO54"/>
  <c i="18" r="AR50" s="1"/>
  <c i="18" r="BQ50" s="1"/>
  <c i="18" r="CO50" s="1"/>
  <c i="1" r="BP54"/>
  <c i="18" r="AS50" s="1"/>
  <c i="18" r="BR50" s="1"/>
  <c i="18" r="CP50" s="1"/>
  <c i="1" r="BQ54"/>
  <c i="18" r="AT50" s="1"/>
  <c i="1" r="BR54"/>
  <c i="18" r="AU50" s="1"/>
  <c i="1" r="AY34"/>
  <c i="18" r="AB30" s="1"/>
  <c i="1" r="AZ34"/>
  <c i="18" r="AC30" s="1"/>
  <c i="1" r="BA34"/>
  <c i="18" r="AD30" s="1"/>
  <c i="1" r="BB34"/>
  <c i="18" r="AE30" s="1"/>
  <c i="1" r="BC34"/>
  <c i="18" r="AF30" s="1"/>
  <c i="1" r="BD34"/>
  <c i="18" r="AG30" s="1"/>
  <c i="1" r="BE34"/>
  <c i="18" r="AH30" s="1"/>
  <c i="1" r="BF34"/>
  <c i="18" r="AI30" s="1"/>
  <c i="1" r="BG34"/>
  <c i="18" r="AJ30" s="1"/>
  <c i="1" r="BH34"/>
  <c i="18" r="AK30" s="1"/>
  <c i="1" r="BI34"/>
  <c i="18" r="AL30" s="1"/>
  <c i="1" r="BJ34"/>
  <c i="18" r="AM30" s="1"/>
  <c i="1" r="BK34"/>
  <c i="18" r="AN30" s="1"/>
  <c i="1" r="BL34"/>
  <c i="18" r="AO30" s="1"/>
  <c i="1" r="BM34"/>
  <c i="18" r="AP30" s="1"/>
  <c i="1" r="BN34"/>
  <c i="18" r="AQ30" s="1"/>
  <c i="1" r="BO34"/>
  <c i="18" r="AR30" s="1"/>
  <c i="1" r="BP34"/>
  <c i="18" r="AS30" s="1"/>
  <c i="1" r="BQ34"/>
  <c i="18" r="AT30" s="1"/>
  <c i="1" r="BR34"/>
  <c i="18" r="AU30" s="1"/>
  <c i="1" r="AX34"/>
  <c i="18" r="AA30" s="1"/>
  <c i="1" r="BR28"/>
  <c i="1" r="CQ10" s="1"/>
  <c i="1" r="BQ28"/>
  <c i="1" r="CP10" s="1"/>
  <c i="1" r="CA41" s="1"/>
  <c i="18" r="G23" s="1"/>
  <c i="1" r="BP28"/>
  <c i="1" r="CO10" s="1"/>
  <c i="1" r="CA40" s="1"/>
  <c i="18" r="G22" s="1"/>
  <c i="1" r="BO28"/>
  <c i="1" r="CN10" s="1"/>
  <c i="1" r="CA39" s="1"/>
  <c i="18" r="G21" s="1"/>
  <c i="1" r="BN28"/>
  <c i="1" r="CM10" s="1"/>
  <c i="1" r="CA38" s="1"/>
  <c i="18" r="G20" s="1"/>
  <c i="1" r="BM28"/>
  <c i="1" r="CL10" s="1"/>
  <c i="1" r="CA37" s="1"/>
  <c i="18" r="G19" s="1"/>
  <c i="1" r="BL28"/>
  <c i="1" r="CK10" s="1"/>
  <c i="1" r="CA36" s="1"/>
  <c i="18" r="G18" s="1"/>
  <c i="1" r="BK28"/>
  <c i="1" r="CJ10" s="1"/>
  <c i="1" r="CA35" s="1"/>
  <c i="18" r="G17" s="1"/>
  <c i="1" r="BJ28"/>
  <c i="1" r="CI10" s="1"/>
  <c i="1" r="CA34" s="1"/>
  <c i="18" r="G16" s="1"/>
  <c i="1" r="BI28"/>
  <c i="1" r="CH10" s="1"/>
  <c i="1" r="CA33" s="1"/>
  <c i="18" r="G15" s="1"/>
  <c i="1" r="BH28"/>
  <c i="1" r="CG10" s="1"/>
  <c i="1" r="CA32" s="1"/>
  <c i="18" r="G14" s="1"/>
  <c i="1" r="BG28"/>
  <c i="1" r="CF10" s="1"/>
  <c i="1" r="CA31" s="1"/>
  <c i="18" r="G13" s="1"/>
  <c i="1" r="BF28"/>
  <c i="1" r="CE10" s="1"/>
  <c i="1" r="CA30" s="1"/>
  <c i="18" r="G12" s="1"/>
  <c i="1" r="BE28"/>
  <c i="1" r="CD10" s="1"/>
  <c i="1" r="CA29" s="1"/>
  <c i="18" r="G11" s="1"/>
  <c i="1" r="BD28"/>
  <c i="1" r="CC10" s="1"/>
  <c i="1" r="CA28" s="1"/>
  <c i="18" r="G10" s="1"/>
  <c i="1" r="BC28"/>
  <c i="1" r="CB10" s="1"/>
  <c i="1" r="CA27" s="1"/>
  <c i="18" r="G9" s="1"/>
  <c i="1" r="BB28"/>
  <c i="1" r="CA10" s="1"/>
  <c i="1" r="CA26" s="1"/>
  <c i="18" r="G8" s="1"/>
  <c i="1" r="BA28"/>
  <c i="1" r="BZ10" s="1"/>
  <c i="1" r="CA25" s="1"/>
  <c i="18" r="G7" s="1"/>
  <c i="1" r="AZ28"/>
  <c i="1" r="BY10" s="1"/>
  <c i="1" r="CA24" s="1"/>
  <c i="18" r="G6" s="1"/>
  <c i="1" r="AY28"/>
  <c i="1" r="BX10" s="1"/>
  <c i="1" r="CA23" s="1"/>
  <c i="18" r="G5" s="1"/>
  <c i="1" r="AX28"/>
  <c i="1" r="BW10" s="1"/>
  <c i="1" r="CA22" s="1"/>
  <c i="18" r="G4" s="1"/>
  <c i="1" r="BS27"/>
  <c i="1" r="BS26"/>
  <c i="1" r="BS25"/>
  <c i="1" r="BS24"/>
  <c i="1" r="BS23"/>
  <c i="1" r="BS22"/>
  <c i="1" r="BS21"/>
  <c i="1" r="BS20"/>
  <c i="1" r="BS19"/>
  <c i="1" r="BS18"/>
  <c i="1" r="BS17"/>
  <c i="1" r="BS16"/>
  <c i="1" r="BS15"/>
  <c i="1" r="BS14"/>
  <c i="1" r="BS13"/>
  <c i="1" r="BS12"/>
  <c i="1" r="BS11"/>
  <c i="1" r="BS10"/>
  <c i="1" r="BS9"/>
  <c i="1" r="BS8"/>
  <c i="1" r="BS7"/>
  <c i="1" r="W8"/>
  <c i="1" r="W9"/>
  <c i="1" r="W10"/>
  <c i="1" r="W11"/>
  <c i="1" r="W12"/>
  <c i="1" r="W13"/>
  <c i="1" r="W14"/>
  <c i="1" r="W15"/>
  <c i="1" r="W16"/>
  <c i="1" r="W17"/>
  <c i="1" r="W18"/>
  <c i="1" r="W19"/>
  <c i="1" r="W20"/>
  <c i="1" r="W21"/>
  <c i="1" r="W22"/>
  <c i="1" r="W23"/>
  <c i="1" r="W24"/>
  <c i="1" r="W25"/>
  <c i="1" r="W26"/>
  <c i="1" r="W27"/>
  <c i="1" r="E54" s="1"/>
  <c i="1" r="W7"/>
  <c i="1" r="C28"/>
  <c i="1" r="BX7" s="1"/>
  <c i="1" r="BX23" s="1"/>
  <c i="18" r="D5" s="1"/>
  <c i="1" r="D28"/>
  <c i="1" r="BY7" s="1"/>
  <c i="1" r="BX24" s="1"/>
  <c i="18" r="D6" s="1"/>
  <c i="1" r="E28"/>
  <c i="1" r="BZ7" s="1"/>
  <c i="1" r="BX25" s="1"/>
  <c i="18" r="D7" s="1"/>
  <c i="1" r="F28"/>
  <c i="1" r="CA7" s="1"/>
  <c i="1" r="BX26" s="1"/>
  <c i="18" r="D8" s="1"/>
  <c i="1" r="G28"/>
  <c i="1" r="CB7" s="1"/>
  <c i="1" r="BX27" s="1"/>
  <c i="18" r="D9" s="1"/>
  <c i="1" r="H28"/>
  <c i="1" r="CC7" s="1"/>
  <c i="1" r="BX28" s="1"/>
  <c i="18" r="D10" s="1"/>
  <c i="1" r="I28"/>
  <c i="1" r="CD7" s="1"/>
  <c i="1" r="BX29" s="1"/>
  <c i="18" r="D11" s="1"/>
  <c i="1" r="J28"/>
  <c i="1" r="CE7" s="1"/>
  <c i="1" r="BX30" s="1"/>
  <c i="18" r="D12" s="1"/>
  <c i="1" r="K28"/>
  <c i="1" r="CF7" s="1"/>
  <c i="1" r="BX31" s="1"/>
  <c i="18" r="D13" s="1"/>
  <c i="1" r="L28"/>
  <c i="1" r="CG7" s="1"/>
  <c i="1" r="BX32" s="1"/>
  <c i="18" r="D14" s="1"/>
  <c i="1" r="M28"/>
  <c i="1" r="CH7" s="1"/>
  <c i="1" r="BX33" s="1"/>
  <c i="18" r="D15" s="1"/>
  <c i="1" r="N28"/>
  <c i="1" r="CI7" s="1"/>
  <c i="1" r="BX34" s="1"/>
  <c i="18" r="D16" s="1"/>
  <c i="1" r="O28"/>
  <c i="1" r="CJ7" s="1"/>
  <c i="1" r="BX35" s="1"/>
  <c i="18" r="D17" s="1"/>
  <c i="1" r="P28"/>
  <c i="1" r="CK7" s="1"/>
  <c i="1" r="BX36" s="1"/>
  <c i="18" r="D18" s="1"/>
  <c i="1" r="Q28"/>
  <c i="1" r="CL7" s="1"/>
  <c i="1" r="BX37" s="1"/>
  <c i="18" r="D19" s="1"/>
  <c i="1" r="R28"/>
  <c i="1" r="CM7" s="1"/>
  <c i="1" r="BX38" s="1"/>
  <c i="18" r="D20" s="1"/>
  <c i="1" r="S28"/>
  <c i="1" r="CN7" s="1"/>
  <c i="1" r="BX39" s="1"/>
  <c i="18" r="D21" s="1"/>
  <c i="1" r="T28"/>
  <c i="1" r="CO7" s="1"/>
  <c i="1" r="BX40" s="1"/>
  <c i="18" r="D22" s="1"/>
  <c i="1" r="U28"/>
  <c i="1" r="CP7" s="1"/>
  <c i="1" r="BX41" s="1"/>
  <c i="18" r="D23" s="1"/>
  <c i="1" r="V28"/>
  <c i="1" r="CQ7" s="1"/>
  <c i="1" r="B28"/>
  <c i="1" r="BW7" s="1"/>
  <c i="1" r="BX22" s="1"/>
  <c i="18" r="D4" s="1"/>
  <c i="1" l="1" r="K36"/>
  <c i="18" r="BA50"/>
  <c i="18" r="BY50" s="1"/>
  <c i="1" r="T37"/>
  <c i="18" r="CV14"/>
  <c i="18" r="BB50"/>
  <c i="18" r="BZ50" s="1"/>
  <c i="18" r="BC50"/>
  <c i="18" r="CA50" s="1"/>
  <c i="18" r="BT50"/>
  <c i="18" r="CR50" s="1"/>
  <c i="18" r="BS50"/>
  <c i="18" r="CQ50" s="1"/>
  <c i="1" r="V35"/>
  <c i="18" r="AV38"/>
  <c i="18" r="AG51"/>
  <c i="18" r="AV36"/>
  <c i="18" r="AF51"/>
  <c i="18" r="AE51"/>
  <c i="18" r="AV34"/>
  <c i="18" r="AC51"/>
  <c i="18" r="AV32"/>
  <c i="18" r="AK51"/>
  <c i="18" r="AV49"/>
  <c i="18" r="AV47"/>
  <c i="18" r="AI51"/>
  <c i="18" r="AV43"/>
  <c i="18" r="AH51"/>
  <c i="18" r="AJ51"/>
  <c i="18" r="AV41"/>
  <c i="18" r="AV37"/>
  <c i="18" r="AV35"/>
  <c i="18" r="AV40"/>
  <c i="18" r="AV33"/>
  <c i="18" r="AV39"/>
  <c i="18" r="AB51"/>
  <c i="18" r="AV45"/>
  <c i="18" r="AV30"/>
  <c i="18" r="AA51"/>
  <c i="18" r="AV31"/>
  <c i="18" r="AZ50"/>
  <c i="18" r="BX50" s="1"/>
  <c i="18" r="AV50"/>
  <c i="18" r="AS51"/>
  <c i="18" r="AV48"/>
  <c i="18" r="AT51"/>
  <c i="18" r="AR51"/>
  <c i="18" r="AQ51"/>
  <c i="18" r="AV46"/>
  <c i="18" r="AP51"/>
  <c i="18" r="AO51"/>
  <c i="18" r="AV44"/>
  <c i="18" r="AD51"/>
  <c i="18" r="AU51"/>
  <c i="18" r="AN51"/>
  <c i="18" r="AM51"/>
  <c i="18" r="AV42"/>
  <c i="18" r="AL51"/>
  <c i="18" r="X50"/>
  <c i="1" r="AG47"/>
  <c i="17" r="O44"/>
  <c i="18" r="O43" s="1"/>
  <c i="17" r="I44"/>
  <c i="18" r="I43" s="1"/>
  <c i="17" r="G44"/>
  <c i="18" r="G43" s="1"/>
  <c i="17" r="U44"/>
  <c i="18" r="U43" s="1"/>
  <c i="17" r="H44"/>
  <c i="18" r="H43" s="1"/>
  <c i="17" r="L44"/>
  <c i="18" r="L43" s="1"/>
  <c i="17" r="T44"/>
  <c i="18" r="T43" s="1"/>
  <c i="17" r="J44"/>
  <c i="18" r="J43" s="1"/>
  <c i="17" r="S44"/>
  <c i="18" r="S43" s="1"/>
  <c i="17" r="Q44"/>
  <c i="18" r="Q43" s="1"/>
  <c i="17" r="D44"/>
  <c i="18" r="D43" s="1"/>
  <c i="17" r="N44"/>
  <c i="18" r="N43" s="1"/>
  <c i="17" r="F44"/>
  <c i="18" r="F43" s="1"/>
  <c i="17" r="R44"/>
  <c i="18" r="R43" s="1"/>
  <c i="17" r="P44"/>
  <c i="18" r="P43" s="1"/>
  <c i="17" r="W44"/>
  <c i="18" r="W43" s="1"/>
  <c i="17" r="X44"/>
  <c i="17" r="V44"/>
  <c i="18" r="V43" s="1"/>
  <c i="17" r="E44"/>
  <c i="18" r="E43" s="1"/>
  <c i="17" r="M44"/>
  <c i="18" r="M43" s="1"/>
  <c i="17" r="K44"/>
  <c i="18" r="K43" s="1"/>
  <c i="17" r="C44"/>
  <c i="18" r="C43" s="1"/>
  <c i="1" r="AL49"/>
  <c i="17" r="E46"/>
  <c i="18" r="E45" s="1"/>
  <c i="17" r="V46"/>
  <c i="18" r="V45" s="1"/>
  <c i="17" r="H46"/>
  <c i="18" r="H45" s="1"/>
  <c i="17" r="K46"/>
  <c i="18" r="K45" s="1"/>
  <c i="17" r="C46"/>
  <c i="18" r="C45" s="1"/>
  <c i="17" r="D46"/>
  <c i="18" r="D45" s="1"/>
  <c i="17" r="F46"/>
  <c i="18" r="F45" s="1"/>
  <c i="17" r="W46"/>
  <c i="18" r="W45" s="1"/>
  <c i="17" r="M46"/>
  <c i="18" r="M45" s="1"/>
  <c i="17" r="P46"/>
  <c i="18" r="P45" s="1"/>
  <c i="17" r="N46"/>
  <c i="18" r="N45" s="1"/>
  <c i="17" r="T46"/>
  <c i="18" r="T45" s="1"/>
  <c i="17" r="L46"/>
  <c i="18" r="L45" s="1"/>
  <c i="17" r="X46"/>
  <c i="17" r="S46"/>
  <c i="18" r="S45" s="1"/>
  <c i="17" r="R46"/>
  <c i="18" r="R45" s="1"/>
  <c i="17" r="G46"/>
  <c i="18" r="G45" s="1"/>
  <c i="17" r="I46"/>
  <c i="18" r="I45" s="1"/>
  <c i="17" r="J46"/>
  <c i="18" r="J45" s="1"/>
  <c i="17" r="Q46"/>
  <c i="18" r="Q45" s="1"/>
  <c i="17" r="O46"/>
  <c i="18" r="O45" s="1"/>
  <c i="17" r="U46"/>
  <c i="18" r="U45" s="1"/>
  <c i="1" r="AB52"/>
  <c i="17" r="H49"/>
  <c i="18" r="H48" s="1"/>
  <c i="17" r="J49"/>
  <c i="18" r="J48" s="1"/>
  <c i="17" r="K49"/>
  <c i="18" r="K48" s="1"/>
  <c i="17" r="N49"/>
  <c i="18" r="N48" s="1"/>
  <c i="17" r="D49"/>
  <c i="18" r="D48" s="1"/>
  <c i="17" r="I49"/>
  <c i="18" r="I48" s="1"/>
  <c i="17" r="L49"/>
  <c i="18" r="L48" s="1"/>
  <c i="17" r="X49"/>
  <c i="17" r="W49"/>
  <c i="18" r="W48" s="1"/>
  <c i="17" r="M49"/>
  <c i="18" r="M48" s="1"/>
  <c i="17" r="F49"/>
  <c i="18" r="F48" s="1"/>
  <c i="17" r="G49"/>
  <c i="18" r="G48" s="1"/>
  <c i="17" r="P49"/>
  <c i="18" r="P48" s="1"/>
  <c i="17" r="U49"/>
  <c i="18" r="U48" s="1"/>
  <c i="17" r="Q49"/>
  <c i="18" r="Q48" s="1"/>
  <c i="17" r="R49"/>
  <c i="18" r="R48" s="1"/>
  <c i="17" r="O49"/>
  <c i="18" r="O48" s="1"/>
  <c i="17" r="E49"/>
  <c i="18" r="E48" s="1"/>
  <c i="17" r="C49"/>
  <c i="18" r="C48" s="1"/>
  <c i="17" r="S49"/>
  <c i="18" r="S48" s="1"/>
  <c i="17" r="V49"/>
  <c i="18" r="V48" s="1"/>
  <c i="17" r="T49"/>
  <c i="18" r="T48" s="1"/>
  <c i="1" r="AF48"/>
  <c i="17" r="G45"/>
  <c i="18" r="G44" s="1"/>
  <c i="17" r="I45"/>
  <c i="18" r="I44" s="1"/>
  <c i="17" r="F45"/>
  <c i="18" r="F44" s="1"/>
  <c i="17" r="C45"/>
  <c i="18" r="C44" s="1"/>
  <c i="17" r="H45"/>
  <c i="18" r="H44" s="1"/>
  <c i="17" r="D45"/>
  <c i="18" r="D44" s="1"/>
  <c i="17" r="E45"/>
  <c i="18" r="E44" s="1"/>
  <c i="17" r="P45"/>
  <c i="18" r="P44" s="1"/>
  <c i="17" r="U45"/>
  <c i="18" r="U44" s="1"/>
  <c i="17" r="X45"/>
  <c i="17" r="S45"/>
  <c i="18" r="S44" s="1"/>
  <c i="17" r="T45"/>
  <c i="18" r="T44" s="1"/>
  <c i="17" r="V45"/>
  <c i="18" r="V44" s="1"/>
  <c i="17" r="K45"/>
  <c i="18" r="K44" s="1"/>
  <c i="17" r="L45"/>
  <c i="18" r="L44" s="1"/>
  <c i="17" r="O45"/>
  <c i="18" r="O44" s="1"/>
  <c i="17" r="N45"/>
  <c i="18" r="N44" s="1"/>
  <c i="17" r="M45"/>
  <c i="18" r="M44" s="1"/>
  <c i="17" r="R45"/>
  <c i="18" r="R44" s="1"/>
  <c i="17" r="J45"/>
  <c i="18" r="J44" s="1"/>
  <c i="17" r="W45"/>
  <c i="18" r="W44" s="1"/>
  <c i="17" r="Q45"/>
  <c i="18" r="Q44" s="1"/>
  <c i="1" r="AB51"/>
  <c i="17" r="J48"/>
  <c i="18" r="J47" s="1"/>
  <c i="17" r="G48"/>
  <c i="18" r="G47" s="1"/>
  <c i="17" r="C48"/>
  <c i="18" r="C47" s="1"/>
  <c i="17" r="K48"/>
  <c i="18" r="K47" s="1"/>
  <c i="17" r="H48"/>
  <c i="18" r="H47" s="1"/>
  <c i="17" r="D48"/>
  <c i="18" r="D47" s="1"/>
  <c i="17" r="E48"/>
  <c i="18" r="E47" s="1"/>
  <c i="17" r="I48"/>
  <c i="18" r="I47" s="1"/>
  <c i="17" r="L48"/>
  <c i="18" r="L47" s="1"/>
  <c i="17" r="M48"/>
  <c i="18" r="M47" s="1"/>
  <c i="17" r="F48"/>
  <c i="18" r="F47" s="1"/>
  <c i="17" r="U48"/>
  <c i="18" r="U47" s="1"/>
  <c i="17" r="T48"/>
  <c i="18" r="T47" s="1"/>
  <c i="17" r="N48"/>
  <c i="18" r="N47" s="1"/>
  <c i="17" r="S48"/>
  <c i="18" r="S47" s="1"/>
  <c i="17" r="R48"/>
  <c i="18" r="R47" s="1"/>
  <c i="17" r="V48"/>
  <c i="18" r="V47" s="1"/>
  <c i="17" r="Q48"/>
  <c i="18" r="Q47" s="1"/>
  <c i="17" r="O48"/>
  <c i="18" r="O47" s="1"/>
  <c i="17" r="P48"/>
  <c i="18" r="P47" s="1"/>
  <c i="17" r="W48"/>
  <c i="18" r="W47" s="1"/>
  <c i="17" r="X48"/>
  <c i="1" r="AE50"/>
  <c i="17" r="L47"/>
  <c i="18" r="L46" s="1"/>
  <c i="17" r="O47"/>
  <c i="18" r="O46" s="1"/>
  <c i="17" r="M47"/>
  <c i="18" r="M46" s="1"/>
  <c i="17" r="X47"/>
  <c i="17" r="R47"/>
  <c i="18" r="R46" s="1"/>
  <c i="17" r="N47"/>
  <c i="18" r="N46" s="1"/>
  <c i="17" r="U47"/>
  <c i="18" r="U46" s="1"/>
  <c i="17" r="T47"/>
  <c i="18" r="T46" s="1"/>
  <c i="17" r="V47"/>
  <c i="18" r="V46" s="1"/>
  <c i="17" r="F47"/>
  <c i="18" r="F46" s="1"/>
  <c i="17" r="S47"/>
  <c i="18" r="S46" s="1"/>
  <c i="17" r="D47"/>
  <c i="18" r="D46" s="1"/>
  <c i="17" r="H47"/>
  <c i="18" r="H46" s="1"/>
  <c i="17" r="K47"/>
  <c i="18" r="K46" s="1"/>
  <c i="17" r="Q47"/>
  <c i="18" r="Q46" s="1"/>
  <c i="17" r="P47"/>
  <c i="18" r="P46" s="1"/>
  <c i="17" r="C47"/>
  <c i="18" r="C46" s="1"/>
  <c i="17" r="G47"/>
  <c i="18" r="G46" s="1"/>
  <c i="17" r="J47"/>
  <c i="18" r="J46" s="1"/>
  <c i="17" r="W47"/>
  <c i="18" r="W46" s="1"/>
  <c i="17" r="E47"/>
  <c i="18" r="E46" s="1"/>
  <c i="17" r="I47"/>
  <c i="18" r="I46" s="1"/>
  <c i="1" r="AT34"/>
  <c i="17" r="P31"/>
  <c i="18" r="P30" s="1"/>
  <c i="17" r="I31"/>
  <c i="18" r="I30" s="1"/>
  <c i="17" r="G31"/>
  <c i="18" r="G30" s="1"/>
  <c i="17" r="H31"/>
  <c i="18" r="H30" s="1"/>
  <c i="17" r="L31"/>
  <c i="18" r="L30" s="1"/>
  <c i="17" r="J31"/>
  <c i="18" r="J30" s="1"/>
  <c i="17" r="O31"/>
  <c i="18" r="O30" s="1"/>
  <c i="17" r="N31"/>
  <c i="18" r="N30" s="1"/>
  <c i="17" r="Q31"/>
  <c i="18" r="Q30" s="1"/>
  <c i="17" r="M31"/>
  <c i="18" r="M30" s="1"/>
  <c i="17" r="K31"/>
  <c i="18" r="K30" s="1"/>
  <c i="17" r="V31"/>
  <c i="18" r="V30" s="1"/>
  <c i="17" r="C31"/>
  <c i="18" r="C30" s="1"/>
  <c i="17" r="S31"/>
  <c i="18" r="S30" s="1"/>
  <c i="17" r="F31"/>
  <c i="18" r="F30" s="1"/>
  <c i="17" r="X31"/>
  <c i="17" r="R31"/>
  <c i="18" r="R30" s="1"/>
  <c i="17" r="E31"/>
  <c i="18" r="E30" s="1"/>
  <c i="17" r="U31"/>
  <c i="18" r="U30" s="1"/>
  <c i="17" r="T31"/>
  <c i="18" r="T30" s="1"/>
  <c i="17" r="D31"/>
  <c i="18" r="D30" s="1"/>
  <c i="17" r="W31"/>
  <c i="18" r="W30" s="1"/>
  <c i="1" r="AA35"/>
  <c i="17" r="G32"/>
  <c i="18" r="G31" s="1"/>
  <c i="17" r="L32"/>
  <c i="18" r="L31" s="1"/>
  <c i="17" r="O32"/>
  <c i="18" r="O31" s="1"/>
  <c i="17" r="D32"/>
  <c i="18" r="D31" s="1"/>
  <c i="17" r="M32"/>
  <c i="18" r="M31" s="1"/>
  <c i="17" r="R32"/>
  <c i="18" r="R31" s="1"/>
  <c i="17" r="X32"/>
  <c i="17" r="F32"/>
  <c i="18" r="F31" s="1"/>
  <c i="17" r="P32"/>
  <c i="18" r="P31" s="1"/>
  <c i="17" r="S32"/>
  <c i="18" r="S31" s="1"/>
  <c i="17" r="C32"/>
  <c i="18" r="C31" s="1"/>
  <c i="17" r="H32"/>
  <c i="18" r="H31" s="1"/>
  <c i="17" r="K32"/>
  <c i="18" r="K31" s="1"/>
  <c i="17" r="N32"/>
  <c i="18" r="N31" s="1"/>
  <c i="17" r="V32"/>
  <c i="18" r="V31" s="1"/>
  <c i="17" r="E32"/>
  <c i="18" r="E31" s="1"/>
  <c i="17" r="I32"/>
  <c i="18" r="I31" s="1"/>
  <c i="17" r="Q32"/>
  <c i="18" r="Q31" s="1"/>
  <c i="17" r="U32"/>
  <c i="18" r="U31" s="1"/>
  <c i="17" r="J32"/>
  <c i="18" r="J31" s="1"/>
  <c i="17" r="W32"/>
  <c i="18" r="W31" s="1"/>
  <c i="17" r="T32"/>
  <c i="18" r="T31" s="1"/>
  <c i="1" r="AR36"/>
  <c i="17" r="U33"/>
  <c i="18" r="U32" s="1"/>
  <c i="17" r="F33"/>
  <c i="18" r="F32" s="1"/>
  <c i="17" r="S33"/>
  <c i="18" r="S32" s="1"/>
  <c i="17" r="C33"/>
  <c i="18" r="C32" s="1"/>
  <c i="17" r="T33"/>
  <c i="18" r="T32" s="1"/>
  <c i="17" r="O33"/>
  <c i="18" r="O32" s="1"/>
  <c i="17" r="G33"/>
  <c i="18" r="G32" s="1"/>
  <c i="17" r="R33"/>
  <c i="18" r="R32" s="1"/>
  <c i="17" r="J33"/>
  <c i="18" r="J32" s="1"/>
  <c i="17" r="M33"/>
  <c i="18" r="M32" s="1"/>
  <c i="17" r="W33"/>
  <c i="18" r="W32" s="1"/>
  <c i="17" r="H33"/>
  <c i="18" r="H32" s="1"/>
  <c i="17" r="N33"/>
  <c i="18" r="N32" s="1"/>
  <c i="17" r="Q33"/>
  <c i="18" r="Q32" s="1"/>
  <c i="17" r="I33"/>
  <c i="18" r="I32" s="1"/>
  <c i="17" r="K33"/>
  <c i="18" r="K32" s="1"/>
  <c i="17" r="E33"/>
  <c i="18" r="E32" s="1"/>
  <c i="17" r="P33"/>
  <c i="18" r="P32" s="1"/>
  <c i="17" r="X33"/>
  <c i="17" r="L33"/>
  <c i="18" r="L32" s="1"/>
  <c i="17" r="V33"/>
  <c i="18" r="V32" s="1"/>
  <c i="17" r="D33"/>
  <c i="18" r="D32" s="1"/>
  <c i="1" r="AI46"/>
  <c i="17" r="Q43"/>
  <c i="18" r="Q42" s="1"/>
  <c i="17" r="V43"/>
  <c i="18" r="V42" s="1"/>
  <c i="17" r="L43"/>
  <c i="18" r="L42" s="1"/>
  <c i="17" r="X43"/>
  <c i="17" r="M43"/>
  <c i="18" r="M42" s="1"/>
  <c i="17" r="C43"/>
  <c i="18" r="C42" s="1"/>
  <c i="17" r="E43"/>
  <c i="18" r="E42" s="1"/>
  <c i="17" r="T43"/>
  <c i="18" r="T42" s="1"/>
  <c i="17" r="G43"/>
  <c i="18" r="G42" s="1"/>
  <c i="17" r="W43"/>
  <c i="18" r="W42" s="1"/>
  <c i="17" r="P43"/>
  <c i="18" r="P42" s="1"/>
  <c i="17" r="N43"/>
  <c i="18" r="N42" s="1"/>
  <c i="17" r="R43"/>
  <c i="18" r="R42" s="1"/>
  <c i="17" r="K43"/>
  <c i="18" r="K42" s="1"/>
  <c i="17" r="I43"/>
  <c i="18" r="I42" s="1"/>
  <c i="17" r="F43"/>
  <c i="18" r="F42" s="1"/>
  <c i="17" r="O43"/>
  <c i="18" r="O42" s="1"/>
  <c i="17" r="S43"/>
  <c i="18" r="S42" s="1"/>
  <c i="17" r="D43"/>
  <c i="18" r="D42" s="1"/>
  <c i="17" r="H43"/>
  <c i="18" r="H42" s="1"/>
  <c i="17" r="J43"/>
  <c i="18" r="J42" s="1"/>
  <c i="17" r="U43"/>
  <c i="18" r="U42" s="1"/>
  <c i="1" r="AE37"/>
  <c i="17" r="K34"/>
  <c i="18" r="K33" s="1"/>
  <c i="17" r="D34"/>
  <c i="18" r="D33" s="1"/>
  <c i="17" r="E34"/>
  <c i="18" r="E33" s="1"/>
  <c i="17" r="L34"/>
  <c i="18" r="L33" s="1"/>
  <c i="17" r="F34"/>
  <c i="18" r="F33" s="1"/>
  <c i="17" r="G34"/>
  <c i="18" r="G33" s="1"/>
  <c i="17" r="H34"/>
  <c i="18" r="H33" s="1"/>
  <c i="17" r="I34"/>
  <c i="18" r="I33" s="1"/>
  <c i="17" r="J34"/>
  <c i="18" r="J33" s="1"/>
  <c i="17" r="N34"/>
  <c i="18" r="N33" s="1"/>
  <c i="17" r="R34"/>
  <c i="18" r="R33" s="1"/>
  <c i="17" r="T34"/>
  <c i="18" r="T33" s="1"/>
  <c i="17" r="O34"/>
  <c i="18" r="O33" s="1"/>
  <c i="17" r="Q34"/>
  <c i="18" r="Q33" s="1"/>
  <c i="17" r="V34"/>
  <c i="18" r="V33" s="1"/>
  <c i="17" r="U34"/>
  <c i="18" r="U33" s="1"/>
  <c i="17" r="X34"/>
  <c i="17" r="P34"/>
  <c i="18" r="P33" s="1"/>
  <c i="17" r="C34"/>
  <c i="18" r="C33" s="1"/>
  <c i="17" r="W34"/>
  <c i="18" r="W33" s="1"/>
  <c i="17" r="M34"/>
  <c i="18" r="M33" s="1"/>
  <c i="17" r="S34"/>
  <c i="18" r="S33" s="1"/>
  <c i="1" r="AM38"/>
  <c i="17" r="V35"/>
  <c i="18" r="V34" s="1"/>
  <c i="17" r="W35"/>
  <c i="18" r="W34" s="1"/>
  <c i="17" r="X35"/>
  <c i="17" r="I35"/>
  <c i="18" r="I34" s="1"/>
  <c i="17" r="O35"/>
  <c i="18" r="O34" s="1"/>
  <c i="17" r="K35"/>
  <c i="18" r="K34" s="1"/>
  <c i="17" r="C35"/>
  <c i="18" r="C34" s="1"/>
  <c i="17" r="U35"/>
  <c i="18" r="U34" s="1"/>
  <c i="17" r="H35"/>
  <c i="18" r="H34" s="1"/>
  <c i="17" r="N35"/>
  <c i="18" r="N34" s="1"/>
  <c i="17" r="J35"/>
  <c i="18" r="J34" s="1"/>
  <c i="17" r="R35"/>
  <c i="18" r="R34" s="1"/>
  <c i="17" r="F35"/>
  <c i="18" r="F34" s="1"/>
  <c i="17" r="G35"/>
  <c i="18" r="G34" s="1"/>
  <c i="17" r="T35"/>
  <c i="18" r="T34" s="1"/>
  <c i="17" r="S35"/>
  <c i="18" r="S34" s="1"/>
  <c i="17" r="M35"/>
  <c i="18" r="M34" s="1"/>
  <c i="17" r="L35"/>
  <c i="18" r="L34" s="1"/>
  <c i="17" r="P35"/>
  <c i="18" r="P34" s="1"/>
  <c i="17" r="E35"/>
  <c i="18" r="E34" s="1"/>
  <c i="17" r="D35"/>
  <c i="18" r="D34" s="1"/>
  <c i="17" r="Q35"/>
  <c i="18" r="Q34" s="1"/>
  <c i="1" r="Z39"/>
  <c i="17" r="E36"/>
  <c i="18" r="E35" s="1"/>
  <c i="17" r="G36"/>
  <c i="18" r="G35" s="1"/>
  <c i="17" r="D36"/>
  <c i="18" r="D35" s="1"/>
  <c i="17" r="C36"/>
  <c i="18" r="C35" s="1"/>
  <c i="17" r="F36"/>
  <c i="18" r="F35" s="1"/>
  <c i="17" r="H36"/>
  <c i="18" r="H35" s="1"/>
  <c i="17" r="Q36"/>
  <c i="18" r="Q35" s="1"/>
  <c i="17" r="K36"/>
  <c i="18" r="K35" s="1"/>
  <c i="17" r="O36"/>
  <c i="18" r="O35" s="1"/>
  <c i="17" r="N36"/>
  <c i="18" r="N35" s="1"/>
  <c i="17" r="P36"/>
  <c i="18" r="P35" s="1"/>
  <c i="17" r="M36"/>
  <c i="18" r="M35" s="1"/>
  <c i="17" r="R36"/>
  <c i="18" r="R35" s="1"/>
  <c i="17" r="X36"/>
  <c i="17" r="T36"/>
  <c i="18" r="T35" s="1"/>
  <c i="17" r="L36"/>
  <c i="18" r="L35" s="1"/>
  <c i="17" r="J36"/>
  <c i="18" r="J35" s="1"/>
  <c i="17" r="W36"/>
  <c i="18" r="W35" s="1"/>
  <c i="17" r="I36"/>
  <c i="18" r="I35" s="1"/>
  <c i="17" r="V36"/>
  <c i="18" r="V35" s="1"/>
  <c i="17" r="S36"/>
  <c i="18" r="S35" s="1"/>
  <c i="17" r="U36"/>
  <c i="18" r="U35" s="1"/>
  <c i="1" r="AJ45"/>
  <c i="17" r="R42"/>
  <c i="18" r="R41" s="1"/>
  <c i="17" r="P42"/>
  <c i="18" r="P41" s="1"/>
  <c i="17" r="S42"/>
  <c i="18" r="S41" s="1"/>
  <c i="17" r="Q42"/>
  <c i="18" r="Q41" s="1"/>
  <c i="17" r="X42"/>
  <c i="17" r="U42"/>
  <c i="18" r="U41" s="1"/>
  <c i="17" r="D42"/>
  <c i="18" r="D41" s="1"/>
  <c i="17" r="T42"/>
  <c i="18" r="T41" s="1"/>
  <c i="17" r="N42"/>
  <c i="18" r="N41" s="1"/>
  <c i="17" r="M42"/>
  <c i="18" r="M41" s="1"/>
  <c i="17" r="L42"/>
  <c i="18" r="L41" s="1"/>
  <c i="17" r="E42"/>
  <c i="18" r="E41" s="1"/>
  <c i="17" r="H42"/>
  <c i="18" r="H41" s="1"/>
  <c i="17" r="I42"/>
  <c i="18" r="I41" s="1"/>
  <c i="17" r="G42"/>
  <c i="18" r="G41" s="1"/>
  <c i="17" r="F42"/>
  <c i="18" r="F41" s="1"/>
  <c i="17" r="K42"/>
  <c i="18" r="K41" s="1"/>
  <c i="17" r="O42"/>
  <c i="18" r="O41" s="1"/>
  <c i="17" r="W42"/>
  <c i="18" r="W41" s="1"/>
  <c i="17" r="J42"/>
  <c i="18" r="J41" s="1"/>
  <c i="17" r="V42"/>
  <c i="18" r="V41" s="1"/>
  <c i="17" r="C42"/>
  <c i="18" r="C41" s="1"/>
  <c i="1" r="AS53"/>
  <c i="17" r="K50"/>
  <c i="18" r="K49" s="1"/>
  <c i="17" r="M50"/>
  <c i="18" r="M49" s="1"/>
  <c i="17" r="J50"/>
  <c i="18" r="J49" s="1"/>
  <c i="17" r="L50"/>
  <c i="18" r="L49" s="1"/>
  <c i="17" r="P50"/>
  <c i="18" r="P49" s="1"/>
  <c i="17" r="S50"/>
  <c i="18" r="S49" s="1"/>
  <c i="17" r="O50"/>
  <c i="18" r="O49" s="1"/>
  <c i="17" r="Q50"/>
  <c i="18" r="Q49" s="1"/>
  <c i="17" r="R50"/>
  <c i="18" r="R49" s="1"/>
  <c i="17" r="N50"/>
  <c i="18" r="N49" s="1"/>
  <c i="17" r="T50"/>
  <c i="18" r="T49" s="1"/>
  <c i="17" r="V50"/>
  <c i="18" r="V49" s="1"/>
  <c i="17" r="U50"/>
  <c i="18" r="U49" s="1"/>
  <c i="17" r="E50"/>
  <c i="18" r="E49" s="1"/>
  <c i="17" r="I50"/>
  <c i="18" r="I49" s="1"/>
  <c i="17" r="C50"/>
  <c i="18" r="C49" s="1"/>
  <c i="17" r="F50"/>
  <c i="18" r="F49" s="1"/>
  <c i="17" r="H50"/>
  <c i="18" r="H49" s="1"/>
  <c i="17" r="G50"/>
  <c i="18" r="G49" s="1"/>
  <c i="17" r="X50"/>
  <c i="17" r="D50"/>
  <c i="18" r="D49" s="1"/>
  <c i="17" r="W50"/>
  <c i="18" r="W49" s="1"/>
  <c i="1" r="Z40"/>
  <c i="17" r="K37"/>
  <c i="18" r="K36" s="1"/>
  <c i="17" r="W37"/>
  <c i="18" r="W36" s="1"/>
  <c i="17" r="H37"/>
  <c i="18" r="H36" s="1"/>
  <c i="17" r="Q37"/>
  <c i="18" r="Q36" s="1"/>
  <c i="17" r="P37"/>
  <c i="18" r="P36" s="1"/>
  <c i="17" r="J37"/>
  <c i="18" r="J36" s="1"/>
  <c i="17" r="N37"/>
  <c i="18" r="N36" s="1"/>
  <c i="17" r="L37"/>
  <c i="18" r="L36" s="1"/>
  <c i="17" r="E37"/>
  <c i="18" r="E36" s="1"/>
  <c i="17" r="I37"/>
  <c i="18" r="I36" s="1"/>
  <c i="17" r="F37"/>
  <c i="18" r="F36" s="1"/>
  <c i="17" r="U37"/>
  <c i="18" r="U36" s="1"/>
  <c i="17" r="X37"/>
  <c i="17" r="S37"/>
  <c i="18" r="S36" s="1"/>
  <c i="17" r="T37"/>
  <c i="18" r="T36" s="1"/>
  <c i="17" r="V37"/>
  <c i="18" r="V36" s="1"/>
  <c i="17" r="G37"/>
  <c i="18" r="G36" s="1"/>
  <c i="17" r="R37"/>
  <c i="18" r="R36" s="1"/>
  <c i="17" r="M37"/>
  <c i="18" r="M36" s="1"/>
  <c i="17" r="C37"/>
  <c i="18" r="C36" s="1"/>
  <c i="17" r="D37"/>
  <c i="18" r="D36" s="1"/>
  <c i="17" r="O37"/>
  <c i="18" r="O36" s="1"/>
  <c i="1" r="AS41"/>
  <c i="17" r="P38"/>
  <c i="18" r="P37" s="1"/>
  <c i="17" r="G38"/>
  <c i="18" r="G37" s="1"/>
  <c i="17" r="S38"/>
  <c i="18" r="S37" s="1"/>
  <c i="17" r="U38"/>
  <c i="18" r="U37" s="1"/>
  <c i="17" r="T38"/>
  <c i="18" r="T37" s="1"/>
  <c i="17" r="J38"/>
  <c i="18" r="J37" s="1"/>
  <c i="17" r="M38"/>
  <c i="18" r="M37" s="1"/>
  <c i="17" r="I38"/>
  <c i="18" r="I37" s="1"/>
  <c i="17" r="F38"/>
  <c i="18" r="F37" s="1"/>
  <c i="17" r="C38"/>
  <c i="18" r="C37" s="1"/>
  <c i="17" r="R38"/>
  <c i="18" r="R37" s="1"/>
  <c i="17" r="W38"/>
  <c i="18" r="W37" s="1"/>
  <c i="17" r="V38"/>
  <c i="18" r="V37" s="1"/>
  <c i="17" r="L38"/>
  <c i="18" r="L37" s="1"/>
  <c i="17" r="O38"/>
  <c i="18" r="O37" s="1"/>
  <c i="17" r="H38"/>
  <c i="18" r="H37" s="1"/>
  <c i="17" r="N38"/>
  <c i="18" r="N37" s="1"/>
  <c i="17" r="X38"/>
  <c i="17" r="D38"/>
  <c i="18" r="D37" s="1"/>
  <c i="17" r="K38"/>
  <c i="18" r="K37" s="1"/>
  <c i="17" r="E38"/>
  <c i="18" r="E37" s="1"/>
  <c i="17" r="Q38"/>
  <c i="18" r="Q37" s="1"/>
  <c i="1" r="AM42"/>
  <c i="17" r="G39"/>
  <c i="18" r="G38" s="1"/>
  <c i="17" r="C39"/>
  <c i="18" r="C38" s="1"/>
  <c i="17" r="L39"/>
  <c i="18" r="L38" s="1"/>
  <c i="17" r="I39"/>
  <c i="18" r="I38" s="1"/>
  <c i="17" r="N39"/>
  <c i="18" r="N38" s="1"/>
  <c i="17" r="O39"/>
  <c i="18" r="O38" s="1"/>
  <c i="17" r="S39"/>
  <c i="18" r="S38" s="1"/>
  <c i="17" r="F39"/>
  <c i="18" r="F38" s="1"/>
  <c i="17" r="H39"/>
  <c i="18" r="H38" s="1"/>
  <c i="17" r="D39"/>
  <c i="18" r="D38" s="1"/>
  <c i="17" r="V39"/>
  <c i="18" r="V38" s="1"/>
  <c i="17" r="X39"/>
  <c i="17" r="Q39"/>
  <c i="18" r="Q38" s="1"/>
  <c i="17" r="E39"/>
  <c i="18" r="E38" s="1"/>
  <c i="17" r="M39"/>
  <c i="18" r="M38" s="1"/>
  <c i="17" r="T39"/>
  <c i="18" r="T38" s="1"/>
  <c i="17" r="R39"/>
  <c i="18" r="R38" s="1"/>
  <c i="17" r="W39"/>
  <c i="18" r="W38" s="1"/>
  <c i="17" r="K39"/>
  <c i="18" r="K38" s="1"/>
  <c i="17" r="J39"/>
  <c i="18" r="J38" s="1"/>
  <c i="17" r="P39"/>
  <c i="18" r="P38" s="1"/>
  <c i="17" r="U39"/>
  <c i="18" r="U38" s="1"/>
  <c i="1" r="AT43"/>
  <c i="17" r="K40"/>
  <c i="18" r="K39" s="1"/>
  <c i="17" r="T40"/>
  <c i="18" r="T39" s="1"/>
  <c i="17" r="V40"/>
  <c i="18" r="V39" s="1"/>
  <c i="17" r="N40"/>
  <c i="18" r="N39" s="1"/>
  <c i="17" r="P40"/>
  <c i="18" r="P39" s="1"/>
  <c i="17" r="F40"/>
  <c i="18" r="F39" s="1"/>
  <c i="17" r="I40"/>
  <c i="18" r="I39" s="1"/>
  <c i="17" r="S40"/>
  <c i="18" r="S39" s="1"/>
  <c i="17" r="L40"/>
  <c i="18" r="L39" s="1"/>
  <c i="17" r="E40"/>
  <c i="18" r="E39" s="1"/>
  <c i="17" r="W40"/>
  <c i="18" r="W39" s="1"/>
  <c i="17" r="O40"/>
  <c i="18" r="O39" s="1"/>
  <c i="17" r="H40"/>
  <c i="18" r="H39" s="1"/>
  <c i="17" r="X40"/>
  <c i="17" r="G40"/>
  <c i="18" r="G39" s="1"/>
  <c i="17" r="C40"/>
  <c i="18" r="C39" s="1"/>
  <c i="17" r="J40"/>
  <c i="18" r="J39" s="1"/>
  <c i="17" r="D40"/>
  <c i="18" r="D39" s="1"/>
  <c i="17" r="Q40"/>
  <c i="18" r="Q39" s="1"/>
  <c i="17" r="U40"/>
  <c i="18" r="U39" s="1"/>
  <c i="17" r="M40"/>
  <c i="18" r="M39" s="1"/>
  <c i="17" r="R40"/>
  <c i="18" r="R39" s="1"/>
  <c i="1" r="AO44"/>
  <c i="17" r="U41"/>
  <c i="18" r="U40" s="1"/>
  <c i="17" r="W41"/>
  <c i="18" r="W40" s="1"/>
  <c i="17" r="F41"/>
  <c i="18" r="F40" s="1"/>
  <c i="17" r="J41"/>
  <c i="18" r="J40" s="1"/>
  <c i="17" r="X41"/>
  <c i="17" r="R41"/>
  <c i="18" r="R40" s="1"/>
  <c i="17" r="O41"/>
  <c i="18" r="O40" s="1"/>
  <c i="17" r="P41"/>
  <c i="18" r="P40" s="1"/>
  <c i="17" r="C41"/>
  <c i="18" r="C40" s="1"/>
  <c i="17" r="T41"/>
  <c i="18" r="T40" s="1"/>
  <c i="17" r="L41"/>
  <c i="18" r="L40" s="1"/>
  <c i="17" r="S41"/>
  <c i="18" r="S40" s="1"/>
  <c i="17" r="V41"/>
  <c i="18" r="V40" s="1"/>
  <c i="17" r="D41"/>
  <c i="18" r="D40" s="1"/>
  <c i="17" r="G41"/>
  <c i="18" r="G40" s="1"/>
  <c i="17" r="N41"/>
  <c i="18" r="N40" s="1"/>
  <c i="17" r="M41"/>
  <c i="18" r="M40" s="1"/>
  <c i="17" r="H41"/>
  <c i="18" r="H40" s="1"/>
  <c i="17" r="I41"/>
  <c i="18" r="I40" s="1"/>
  <c i="17" r="K41"/>
  <c i="18" r="K40" s="1"/>
  <c i="17" r="E41"/>
  <c i="18" r="E40" s="1"/>
  <c i="17" r="Q41"/>
  <c i="18" r="Q40" s="1"/>
  <c i="1" r="AE49"/>
  <c i="1" r="AM47"/>
  <c i="1" r="AJ49"/>
  <c i="1" r="AS43"/>
  <c i="1" r="AQ45"/>
  <c i="1" r="AN47"/>
  <c i="1" r="AK49"/>
  <c i="1" r="AM49"/>
  <c i="1" r="AC48"/>
  <c i="1" r="AB35"/>
  <c i="1" r="AQ38"/>
  <c i="1" r="AG46"/>
  <c i="1" r="AD48"/>
  <c i="1" r="AT36"/>
  <c i="1" r="AK42"/>
  <c i="1" r="AI44"/>
  <c i="1" r="AR45"/>
  <c i="1" r="AO47"/>
  <c i="1" r="AE40"/>
  <c i="1" r="AH46"/>
  <c i="1" r="AM43"/>
  <c i="1" r="AB42"/>
  <c i="1" r="AE48"/>
  <c i="1" r="AK45"/>
  <c i="1" r="AS45"/>
  <c i="1" r="AT38"/>
  <c i="1" r="AH47"/>
  <c i="1" r="AP47"/>
  <c i="1" r="AQ40"/>
  <c i="1" r="AN42"/>
  <c i="1" r="AL36"/>
  <c i="1" r="AL44"/>
  <c i="1" r="AQ34"/>
  <c i="1" r="AF40"/>
  <c i="1" r="AJ46"/>
  <c i="1" r="AD36"/>
  <c i="1" r="AC42"/>
  <c i="1" r="AG48"/>
  <c i="1" r="AT39"/>
  <c i="1" r="AA44"/>
  <c i="1" r="AF35"/>
  <c i="1" r="AQ41"/>
  <c i="1" r="AT45"/>
  <c i="1" r="AC37"/>
  <c i="1" r="AL45"/>
  <c i="1" r="AQ47"/>
  <c i="1" r="AR40"/>
  <c i="1" r="AI47"/>
  <c i="1" r="AN49"/>
  <c i="1" r="AK46"/>
  <c i="1" r="AF49"/>
  <c i="1" r="AR47"/>
  <c i="1" r="AH48"/>
  <c i="1" r="AO49"/>
  <c i="1" r="AU54"/>
  <c i="1" r="AO43"/>
  <c i="1" r="AA46"/>
  <c i="1" r="AD37"/>
  <c i="1" r="AM45"/>
  <c i="1" r="AS47"/>
  <c i="1" r="AA39"/>
  <c i="1" r="AJ47"/>
  <c i="1" r="AP49"/>
  <c i="1" r="AG49"/>
  <c i="1" r="AD44"/>
  <c i="1" r="AG50"/>
  <c i="1" r="AN45"/>
  <c i="1" r="AB46"/>
  <c i="1" r="AD52"/>
  <c i="1" r="AK47"/>
  <c i="1" r="AT47"/>
  <c i="1" r="AD38"/>
  <c i="1" r="AQ49"/>
  <c i="1" r="AI35"/>
  <c i="1" r="J49"/>
  <c i="1" r="AA40"/>
  <c i="1" r="AP36"/>
  <c i="1" r="AF37"/>
  <c i="1" r="AT41"/>
  <c i="1" r="AC39"/>
  <c i="1" r="CA42"/>
  <c i="18" r="G24" s="1"/>
  <c i="1" r="AQ43"/>
  <c i="1" r="AG42"/>
  <c i="1" r="Z41"/>
  <c i="1" r="D38"/>
  <c i="1" r="AO45"/>
  <c i="1" r="AE44"/>
  <c i="1" r="AR42"/>
  <c i="1" r="AL47"/>
  <c i="1" r="AC46"/>
  <c i="1" r="AP44"/>
  <c i="1" r="T44"/>
  <c i="1" r="AI49"/>
  <c i="1" r="AR49"/>
  <c i="1" r="AN46"/>
  <c i="1" r="Z34"/>
  <c i="1" r="AD46"/>
  <c i="1" r="AK48"/>
  <c i="1" r="AH36"/>
  <c i="1" r="AA48"/>
  <c i="1" r="AB40"/>
  <c i="1" r="AS49"/>
  <c i="1" r="AR43"/>
  <c i="1" r="AH44"/>
  <c i="1" r="Z42"/>
  <c i="1" r="AP45"/>
  <c i="1" r="AF46"/>
  <c i="1" r="AB36"/>
  <c i="1" r="AD50"/>
  <c i="1" r="AF51"/>
  <c i="1" r="AA52"/>
  <c i="1" r="AA38"/>
  <c i="1" r="AD53"/>
  <c i="1" r="AI38"/>
  <c i="1" r="AJ40"/>
  <c i="1" r="AN40"/>
  <c i="1" r="AT53"/>
  <c i="1" r="AN43"/>
  <c i="1" r="AE38"/>
  <c i="1" r="AH50"/>
  <c i="1" r="AE52"/>
  <c i="1" r="AJ51"/>
  <c i="1" r="AO51"/>
  <c i="1" r="AA50"/>
  <c i="1" r="AO42"/>
  <c i="1" r="AM53"/>
  <c i="1" r="AS51"/>
  <c i="1" r="AM44"/>
  <c i="1" r="AA34"/>
  <c i="1" r="AN51"/>
  <c i="1" r="AC51"/>
  <c i="1" r="AK51"/>
  <c i="1" r="AQ36"/>
  <c i="1" r="AQ53"/>
  <c i="1" r="AB34"/>
  <c i="1" r="AA53"/>
  <c i="1" r="AI53"/>
  <c i="1" r="AN38"/>
  <c i="1" r="AC35"/>
  <c i="1" r="AO35"/>
  <c i="1" r="B51"/>
  <c i="1" r="Z51"/>
  <c i="1" r="AG51"/>
  <c i="1" r="AM36"/>
  <c i="1" r="AK40"/>
  <c i="1" r="AR38"/>
  <c i="1" r="AL37"/>
  <c i="1" r="AR34"/>
  <c i="1" r="AE53"/>
  <c i="1" r="AJ38"/>
  <c i="1" r="AH42"/>
  <c i="1" r="AO40"/>
  <c i="1" r="AP53"/>
  <c i="1" r="AE36"/>
  <c i="1" r="AI36"/>
  <c i="1" r="AG40"/>
  <c i="1" r="AF44"/>
  <c i="1" r="AL42"/>
  <c i="1" r="AQ35"/>
  <c i="1" r="AB38"/>
  <c i="1" r="AF38"/>
  <c i="1" r="AD42"/>
  <c i="1" r="AJ44"/>
  <c i="1" r="AC34"/>
  <c i="1" r="AA51"/>
  <c i="1" r="U50"/>
  <c i="1" r="AO50"/>
  <c i="1" r="AS50"/>
  <c i="1" r="AK50"/>
  <c i="1" r="AJ50"/>
  <c i="1" r="AM50"/>
  <c i="1" r="AQ50"/>
  <c i="1" r="AI50"/>
  <c i="1" r="AL50"/>
  <c i="1" r="AT50"/>
  <c i="1" r="AN50"/>
  <c i="1" r="AP50"/>
  <c i="1" r="AR50"/>
  <c i="1" r="AR41"/>
  <c i="1" r="AC40"/>
  <c i="1" r="AB44"/>
  <c i="1" r="AG35"/>
  <c i="1" r="R52"/>
  <c i="1" r="AP52"/>
  <c i="1" r="AG52"/>
  <c i="1" r="AN52"/>
  <c i="1" r="AJ52"/>
  <c i="1" r="AH52"/>
  <c i="1" r="AF52"/>
  <c i="1" r="AQ52"/>
  <c i="1" r="AL52"/>
  <c i="1" r="AR52"/>
  <c i="1" r="AI52"/>
  <c i="1" r="AS52"/>
  <c i="1" r="AK52"/>
  <c i="1" r="AM52"/>
  <c i="1" r="AO52"/>
  <c i="1" r="BX42"/>
  <c i="18" r="D24" s="1"/>
  <c i="1" r="AL51"/>
  <c i="1" r="AN53"/>
  <c i="1" r="AT51"/>
  <c i="1" r="AS40"/>
  <c i="1" r="Z53"/>
  <c i="1" r="AP51"/>
  <c i="1" r="AJ53"/>
  <c i="1" r="AR53"/>
  <c i="1" r="AP42"/>
  <c i="1" r="Z48"/>
  <c i="1" r="AB50"/>
  <c i="1" r="Z36"/>
  <c i="1" r="AA36"/>
  <c i="1" r="J54"/>
  <c i="1" r="AD51"/>
  <c i="1" r="AH51"/>
  <c i="1" r="AN36"/>
  <c i="1" r="AO38"/>
  <c i="1" r="AJ35"/>
  <c i="1" r="AN44"/>
  <c i="1" r="AL53"/>
  <c i="1" r="AB53"/>
  <c i="1" r="AF53"/>
  <c i="1" r="AK38"/>
  <c i="1" r="AL40"/>
  <c i="1" r="AD35"/>
  <c i="1" r="AL46"/>
  <c i="1" r="AL43"/>
  <c i="1" r="D54"/>
  <c i="1" r="AS34"/>
  <c i="1" r="AJ36"/>
  <c i="1" r="AH40"/>
  <c i="1" r="AI42"/>
  <c i="1" r="AA37"/>
  <c i="1" r="AI48"/>
  <c i="1" r="AT52"/>
  <c i="1" r="C39"/>
  <c i="1" r="AE39"/>
  <c i="1" r="AO39"/>
  <c i="1" r="AH39"/>
  <c i="1" r="AP39"/>
  <c i="1" r="AG39"/>
  <c i="1" r="AF39"/>
  <c i="1" r="AN39"/>
  <c i="1" r="AD39"/>
  <c i="1" r="AJ39"/>
  <c i="1" r="AI39"/>
  <c i="1" r="AQ39"/>
  <c i="1" r="AK39"/>
  <c i="1" r="AL39"/>
  <c i="1" r="AM39"/>
  <c i="1" r="AF36"/>
  <c i="1" r="AG38"/>
  <c i="1" r="AE42"/>
  <c i="1" r="AG44"/>
  <c i="1" r="AS38"/>
  <c i="1" r="AF50"/>
  <c i="1" r="Z46"/>
  <c i="1" r="AC38"/>
  <c i="1" r="AD40"/>
  <c i="1" r="AC44"/>
  <c i="1" r="AE46"/>
  <c i="1" r="AP40"/>
  <c i="1" r="AC52"/>
  <c i="1" r="Z37"/>
  <c i="1" r="AH53"/>
  <c i="1" r="AA42"/>
  <c i="1" r="AB48"/>
  <c i="1" r="AD49"/>
  <c i="1" r="AP43"/>
  <c i="1" r="AT49"/>
  <c i="1" r="AK44"/>
  <c i="1" r="AH35"/>
  <c i="1" r="Z44"/>
  <c i="1" r="AQ51"/>
  <c i="1" r="AR39"/>
  <c i="1" r="P41"/>
  <c i="1" r="AL41"/>
  <c i="1" r="AB41"/>
  <c i="1" r="AM41"/>
  <c i="1" r="AI41"/>
  <c i="1" r="AK41"/>
  <c i="1" r="AE41"/>
  <c i="1" r="AA41"/>
  <c i="1" r="AG41"/>
  <c i="1" r="AN41"/>
  <c i="1" r="AC41"/>
  <c i="1" r="AD41"/>
  <c i="1" r="AF41"/>
  <c i="1" r="AH41"/>
  <c i="1" r="AJ41"/>
  <c i="1" r="AM51"/>
  <c i="1" r="AO53"/>
  <c i="1" r="AB39"/>
  <c i="1" r="Z50"/>
  <c i="1" r="AR51"/>
  <c i="1" r="S44"/>
  <c i="1" r="J43"/>
  <c i="1" r="AJ43"/>
  <c i="1" r="AA43"/>
  <c i="1" r="AF43"/>
  <c i="1" r="AH43"/>
  <c i="1" r="Z43"/>
  <c i="1" r="AB43"/>
  <c i="1" r="AD43"/>
  <c i="1" r="AC43"/>
  <c i="1" r="AI43"/>
  <c i="1" r="AK43"/>
  <c i="1" r="AE43"/>
  <c i="1" r="AG43"/>
  <c i="1" r="AD45"/>
  <c i="1" r="AH45"/>
  <c i="1" r="Z45"/>
  <c i="1" r="AI45"/>
  <c i="1" r="AB45"/>
  <c i="1" r="AG45"/>
  <c i="1" r="AA45"/>
  <c i="1" r="AC45"/>
  <c i="1" r="AE45"/>
  <c i="1" r="AF45"/>
  <c i="1" r="CR9"/>
  <c i="1" r="AH49"/>
  <c i="1" r="AK53"/>
  <c i="1" r="AC50"/>
  <c i="1" r="AT40"/>
  <c i="1" r="AO41"/>
  <c i="1" r="U44"/>
  <c i="1" r="AS42"/>
  <c i="1" r="AT42"/>
  <c i="1" r="O44"/>
  <c i="1" r="AP46"/>
  <c i="1" r="AO46"/>
  <c i="1" r="AR46"/>
  <c i="1" r="AS46"/>
  <c i="1" r="AQ46"/>
  <c i="1" r="AT46"/>
  <c i="1" r="AE51"/>
  <c i="1" r="AI51"/>
  <c i="1" r="AO36"/>
  <c i="1" r="AS36"/>
  <c i="1" r="Z52"/>
  <c i="1" r="AQ42"/>
  <c i="1" r="Z38"/>
  <c i="1" r="AN35"/>
  <c i="1" r="AK35"/>
  <c i="1" r="AR35"/>
  <c i="1" r="AM35"/>
  <c i="1" r="AT35"/>
  <c i="1" r="AL35"/>
  <c i="1" r="AP35"/>
  <c i="1" r="AS35"/>
  <c i="1" r="AE47"/>
  <c i="1" r="AC47"/>
  <c i="1" r="AF47"/>
  <c i="1" r="AA47"/>
  <c i="1" r="AD47"/>
  <c i="1" r="Z47"/>
  <c i="1" r="AB47"/>
  <c i="1" r="AC36"/>
  <c i="1" r="AC53"/>
  <c i="1" r="AG53"/>
  <c i="1" r="AL38"/>
  <c i="1" r="AP38"/>
  <c i="1" r="AP34"/>
  <c i="1" r="P44"/>
  <c i="1" r="AR44"/>
  <c i="1" r="AT44"/>
  <c i="1" r="AQ44"/>
  <c i="1" r="AS44"/>
  <c i="1" r="AP48"/>
  <c i="1" r="AN48"/>
  <c i="1" r="AO48"/>
  <c i="1" r="AL48"/>
  <c i="1" r="AR48"/>
  <c i="1" r="AM48"/>
  <c i="1" r="AQ48"/>
  <c i="1" r="AT48"/>
  <c i="1" r="AS48"/>
  <c i="1" r="AS39"/>
  <c i="1" r="AK36"/>
  <c i="1" r="AI40"/>
  <c i="1" r="AM40"/>
  <c i="1" r="AE35"/>
  <c i="1" r="AM46"/>
  <c i="1" r="AJ34"/>
  <c i="1" r="AM34"/>
  <c i="1" r="AE34"/>
  <c i="1" r="AF34"/>
  <c i="1" r="AD34"/>
  <c i="1" r="AL34"/>
  <c i="1" r="AH34"/>
  <c i="1" r="AN34"/>
  <c i="1" r="AO34"/>
  <c i="1" r="AG34"/>
  <c i="1" r="AI34"/>
  <c i="1" r="AK34"/>
  <c i="1" r="W37"/>
  <c i="1" r="AM37"/>
  <c i="1" r="AK37"/>
  <c i="1" r="AS37"/>
  <c i="1" r="AH37"/>
  <c i="1" r="AQ37"/>
  <c i="1" r="AJ37"/>
  <c i="1" r="AI37"/>
  <c i="1" r="AG37"/>
  <c i="1" r="AO37"/>
  <c i="1" r="AR37"/>
  <c i="1" r="AN37"/>
  <c i="1" r="AT37"/>
  <c i="1" r="AP37"/>
  <c i="1" r="C49"/>
  <c i="1" r="AB49"/>
  <c i="1" r="AA49"/>
  <c i="1" r="Z49"/>
  <c i="1" r="AC49"/>
  <c i="1" r="AP41"/>
  <c i="1" r="AG36"/>
  <c i="1" r="AH38"/>
  <c i="1" r="AF42"/>
  <c i="1" r="AJ42"/>
  <c i="1" r="AB37"/>
  <c i="1" r="AJ48"/>
  <c i="1" r="Z35"/>
  <c i="1" r="R44"/>
  <c i="1" r="V43"/>
  <c i="1" r="U43"/>
  <c i="1" r="T43"/>
  <c i="1" r="S43"/>
  <c i="1" r="N43"/>
  <c i="1" r="M43"/>
  <c i="1" r="G39"/>
  <c i="1" r="F39"/>
  <c i="1" r="D39"/>
  <c i="1" r="G43"/>
  <c i="1" r="V37"/>
  <c i="1" r="G38"/>
  <c i="1" r="F43"/>
  <c i="1" r="E39"/>
  <c i="1" r="H38"/>
  <c i="1" r="P36"/>
  <c i="1" r="T41"/>
  <c i="1" r="O36"/>
  <c i="1" r="N36"/>
  <c i="1" r="M36"/>
  <c i="1" r="L36"/>
  <c i="1" r="C36"/>
  <c i="1" r="J36"/>
  <c i="1" r="B36"/>
  <c i="1" r="R34"/>
  <c i="1" r="BE55"/>
  <c i="1" r="CD14" s="1"/>
  <c i="1" r="CE29" s="1"/>
  <c i="1" r="I36"/>
  <c i="1" r="Q44"/>
  <c i="1" r="V41"/>
  <c i="1" r="H36"/>
  <c i="1" r="W43"/>
  <c i="1" r="U41"/>
  <c i="1" r="G36"/>
  <c i="1" r="E42"/>
  <c i="1" r="F36"/>
  <c i="1" r="BS42"/>
  <c i="1" r="W41"/>
  <c i="1" r="S41"/>
  <c i="1" r="E36"/>
  <c i="1" r="I40"/>
  <c i="1" r="R41"/>
  <c i="1" r="D36"/>
  <c i="1" r="B39"/>
  <c i="1" r="Q41"/>
  <c i="1" r="B37"/>
  <c i="1" r="O41"/>
  <c i="1" r="W35"/>
  <c i="1" r="Q36"/>
  <c i="1" r="N41"/>
  <c i="1" r="B35"/>
  <c i="1" r="M41"/>
  <c i="1" r="U35"/>
  <c i="1" r="K41"/>
  <c i="1" r="T35"/>
  <c i="1" r="F41"/>
  <c i="1" r="S35"/>
  <c i="1" r="U54"/>
  <c i="1" r="BF55"/>
  <c i="1" r="CE14" s="1"/>
  <c i="1" r="CE30" s="1"/>
  <c i="1" r="T54"/>
  <c i="1" r="B41"/>
  <c i="1" r="R35"/>
  <c i="1" r="S54"/>
  <c i="1" r="U40"/>
  <c i="1" r="Q35"/>
  <c i="1" r="R54"/>
  <c i="1" r="N39"/>
  <c i="1" r="P35"/>
  <c i="1" r="Q54"/>
  <c i="1" r="M39"/>
  <c i="1" r="O35"/>
  <c i="1" r="P54"/>
  <c i="1" r="L39"/>
  <c i="1" r="N35"/>
  <c i="1" r="O54"/>
  <c i="1" r="K39"/>
  <c i="1" r="L35"/>
  <c i="1" r="N54"/>
  <c i="1" r="J39"/>
  <c i="1" r="K35"/>
  <c i="1" r="C53"/>
  <c i="1" r="M38"/>
  <c i="1" r="M54"/>
  <c i="1" r="I39"/>
  <c i="1" r="L54"/>
  <c i="1" r="H39"/>
  <c i="1" r="D47"/>
  <c i="1" r="H47"/>
  <c i="1" r="W50"/>
  <c i="1" r="V50"/>
  <c i="1" r="R50"/>
  <c i="1" r="Q50"/>
  <c i="1" r="F47"/>
  <c i="1" r="I47"/>
  <c i="1" r="K50"/>
  <c i="1" r="E47"/>
  <c i="1" r="P50"/>
  <c i="1" r="I50"/>
  <c i="1" r="M50"/>
  <c i="1" r="N50"/>
  <c i="1" r="O50"/>
  <c i="1" r="S50"/>
  <c i="1" r="T50"/>
  <c i="1" r="S46"/>
  <c i="1" r="BS40"/>
  <c i="1" r="P45"/>
  <c i="1" r="Q45"/>
  <c i="1" r="B47"/>
  <c i="1" r="J47"/>
  <c i="1" r="K47"/>
  <c i="1" r="R46"/>
  <c i="1" r="N46"/>
  <c i="1" r="Q46"/>
  <c i="1" r="W46"/>
  <c i="1" r="BD55"/>
  <c i="1" r="CC14" s="1"/>
  <c i="1" r="CE28" s="1"/>
  <c i="1" r="G34"/>
  <c i="1" r="L47"/>
  <c i="1" r="V44"/>
  <c i="1" r="BG55"/>
  <c i="1" r="CF14" s="1"/>
  <c i="1" r="CE31" s="1"/>
  <c i="1" r="BC55"/>
  <c i="1" r="CB14" s="1"/>
  <c i="1" r="CE27" s="1"/>
  <c i="1" r="G47"/>
  <c i="1" r="BB55"/>
  <c i="1" r="CA14" s="1"/>
  <c i="1" r="CE26" s="1"/>
  <c i="1" r="BS38"/>
  <c i="1" r="BA55"/>
  <c i="1" r="BZ14" s="1"/>
  <c i="1" r="CE25" s="1"/>
  <c i="1" r="C47"/>
  <c i="1" r="K54"/>
  <c i="1" r="L41"/>
  <c i="1" r="BS53"/>
  <c i="1" r="AZ55"/>
  <c i="1" r="BY14" s="1"/>
  <c i="1" r="CE24" s="1"/>
  <c i="1" r="B52"/>
  <c i="1" r="I54"/>
  <c i="1" r="L50"/>
  <c i="1" r="V46"/>
  <c i="1" r="R43"/>
  <c i="1" r="J41"/>
  <c i="1" r="L38"/>
  <c i="1" r="BS51"/>
  <c i="1" r="BS36"/>
  <c i="1" r="G51"/>
  <c i="1" r="H54"/>
  <c i="1" r="U46"/>
  <c i="1" r="Q43"/>
  <c i="1" r="I41"/>
  <c i="1" r="K38"/>
  <c i="1" r="C50"/>
  <c i="1" r="G54"/>
  <c i="1" r="J50"/>
  <c i="1" r="T46"/>
  <c i="1" r="P43"/>
  <c i="1" r="H41"/>
  <c i="1" r="J38"/>
  <c i="1" r="BS49"/>
  <c i="1" r="K49"/>
  <c i="1" r="F54"/>
  <c i="1" r="O43"/>
  <c i="1" r="G41"/>
  <c i="1" r="I38"/>
  <c i="1" r="E48"/>
  <c i="1" r="BS47"/>
  <c i="1" r="O47"/>
  <c i="1" r="I49"/>
  <c i="1" r="E41"/>
  <c i="1" r="K46"/>
  <c i="1" r="B53"/>
  <c i="1" r="H49"/>
  <c i="1" r="P46"/>
  <c i="1" r="L43"/>
  <c i="1" r="D41"/>
  <c i="1" r="F38"/>
  <c i="1" r="BS45"/>
  <c i="1" r="S45"/>
  <c i="1" r="W52"/>
  <c i="1" r="G49"/>
  <c i="1" r="O46"/>
  <c i="1" r="K43"/>
  <c i="1" r="C41"/>
  <c i="1" r="E38"/>
  <c i="1" r="B44"/>
  <c i="1" r="F49"/>
  <c i="1" r="U52"/>
  <c i="1" r="E49"/>
  <c i="1" r="M46"/>
  <c i="1" r="I43"/>
  <c i="1" r="W40"/>
  <c i="1" r="C38"/>
  <c i="1" r="T52"/>
  <c i="1" r="D49"/>
  <c i="1" r="R45"/>
  <c i="1" r="H43"/>
  <c i="1" r="V40"/>
  <c i="1" r="B38"/>
  <c i="1" r="BS41"/>
  <c i="1" r="S52"/>
  <c i="1" r="B49"/>
  <c i="1" r="H40"/>
  <c i="1" r="BS39"/>
  <c i="1" r="Q52"/>
  <c i="1" r="W48"/>
  <c i="1" r="O45"/>
  <c i="1" r="E43"/>
  <c i="1" r="G40"/>
  <c i="1" r="U37"/>
  <c i="1" r="M35"/>
  <c i="1" r="V52"/>
  <c i="1" r="N45"/>
  <c i="1" r="S37"/>
  <c i="1" r="N52"/>
  <c i="1" r="T48"/>
  <c i="1" r="L45"/>
  <c i="1" r="B43"/>
  <c i="1" r="D40"/>
  <c i="1" r="R37"/>
  <c i="1" r="AX55"/>
  <c i="1" r="BW14" s="1"/>
  <c i="1" r="CE22" s="1"/>
  <c i="1" r="BS35"/>
  <c i="1" r="C43"/>
  <c i="1" r="M52"/>
  <c i="1" r="S48"/>
  <c i="1" r="K45"/>
  <c i="1" r="W42"/>
  <c i="1" r="C40"/>
  <c i="1" r="Q37"/>
  <c i="1" r="BR55"/>
  <c i="1" r="CQ14" s="1"/>
  <c i="1" r="BS54"/>
  <c i="1" r="L52"/>
  <c i="1" r="R48"/>
  <c i="1" r="J45"/>
  <c i="1" r="V42"/>
  <c i="1" r="B40"/>
  <c i="1" r="P37"/>
  <c i="1" r="O52"/>
  <c i="1" r="K52"/>
  <c i="1" r="Q48"/>
  <c i="1" r="I45"/>
  <c i="1" r="U42"/>
  <c i="1" r="W39"/>
  <c i="1" r="O37"/>
  <c i="1" r="BP55"/>
  <c i="1" r="CO14" s="1"/>
  <c i="1" r="CE40" s="1"/>
  <c i="1" r="BQ55"/>
  <c i="1" r="CP14" s="1"/>
  <c i="1" r="CE41" s="1"/>
  <c i="1" r="BS52"/>
  <c i="1" r="Q34"/>
  <c i="1" r="J52"/>
  <c i="1" r="P48"/>
  <c i="1" r="H45"/>
  <c i="1" r="T42"/>
  <c i="1" r="V39"/>
  <c i="1" r="N37"/>
  <c i="1" r="BO55"/>
  <c i="1" r="CN14" s="1"/>
  <c i="1" r="CE39" s="1"/>
  <c i="1" r="V48"/>
  <c i="1" r="P34"/>
  <c i="1" r="I52"/>
  <c i="1" r="O48"/>
  <c i="1" r="G45"/>
  <c i="1" r="S42"/>
  <c i="1" r="U39"/>
  <c i="1" r="M37"/>
  <c i="1" r="BN55"/>
  <c i="1" r="CM14" s="1"/>
  <c i="1" r="CE38" s="1"/>
  <c i="1" r="BS50"/>
  <c i="1" r="BS34"/>
  <c i="1" r="F40"/>
  <c i="1" r="U48"/>
  <c i="1" r="O34"/>
  <c i="1" r="H52"/>
  <c i="1" r="N48"/>
  <c i="1" r="F45"/>
  <c i="1" r="R42"/>
  <c i="1" r="T39"/>
  <c i="1" r="L37"/>
  <c i="1" r="BM55"/>
  <c i="1" r="CL14" s="1"/>
  <c i="1" r="CE37" s="1"/>
  <c i="1" r="N34"/>
  <c i="1" r="G52"/>
  <c i="1" r="M48"/>
  <c i="1" r="E45"/>
  <c i="1" r="Q42"/>
  <c i="1" r="S39"/>
  <c i="1" r="K37"/>
  <c i="1" r="BL55"/>
  <c i="1" r="CK14" s="1"/>
  <c i="1" r="CE36" s="1"/>
  <c i="1" r="BS48"/>
  <c i="1" r="BS43"/>
  <c i="1" r="M45"/>
  <c i="1" r="M34"/>
  <c i="1" r="F51"/>
  <c i="1" r="L48"/>
  <c i="1" r="D45"/>
  <c i="1" r="D42"/>
  <c i="1" r="R39"/>
  <c i="1" r="J37"/>
  <c i="1" r="BK55"/>
  <c i="1" r="CJ14" s="1"/>
  <c i="1" r="CE35" s="1"/>
  <c i="1" r="P52"/>
  <c i="1" r="BS37"/>
  <c i="1" r="E40"/>
  <c i="1" r="L34"/>
  <c i="1" r="E51"/>
  <c i="1" r="K48"/>
  <c i="1" r="C45"/>
  <c i="1" r="C42"/>
  <c i="1" r="Q39"/>
  <c i="1" r="I37"/>
  <c i="1" r="BJ55"/>
  <c i="1" r="CI14" s="1"/>
  <c i="1" r="CE34" s="1"/>
  <c i="1" r="BS46"/>
  <c i="1" r="K34"/>
  <c i="1" r="D51"/>
  <c i="1" r="N47"/>
  <c i="1" r="B45"/>
  <c i="1" r="B42"/>
  <c i="1" r="P39"/>
  <c i="1" r="H37"/>
  <c i="1" r="BI55"/>
  <c i="1" r="CH14" s="1"/>
  <c i="1" r="CE33" s="1"/>
  <c i="1" r="D43"/>
  <c i="1" r="H34"/>
  <c i="1" r="C51"/>
  <c i="1" r="M47"/>
  <c i="1" r="W44"/>
  <c i="1" r="O39"/>
  <c i="1" r="G37"/>
  <c i="1" r="BH55"/>
  <c i="1" r="CG14" s="1"/>
  <c i="1" r="CE32" s="1"/>
  <c i="1" r="BS44"/>
  <c i="1" r="J34"/>
  <c i="1" r="I34"/>
  <c i="1" r="AY55"/>
  <c i="1" r="BX14" s="1"/>
  <c i="1" r="CE23" s="1"/>
  <c i="1" r="J48"/>
  <c i="1" r="R53"/>
  <c i="1" r="U51"/>
  <c i="1" r="F34"/>
  <c i="1" r="Q53"/>
  <c i="1" r="J46"/>
  <c i="1" r="V53"/>
  <c i="1" r="U53"/>
  <c i="1" r="F50"/>
  <c i="1" r="B50"/>
  <c i="1" r="S51"/>
  <c i="1" r="R51"/>
  <c i="1" r="V49"/>
  <c i="1" r="D48"/>
  <c i="1" r="H46"/>
  <c i="1" r="L44"/>
  <c i="1" r="P42"/>
  <c i="1" r="T40"/>
  <c i="1" r="F37"/>
  <c i="1" r="J35"/>
  <c i="1" r="D34"/>
  <c i="1" r="C54"/>
  <c i="1" r="C52"/>
  <c i="1" r="M44"/>
  <c i="1" r="M53"/>
  <c i="1" r="Q51"/>
  <c i="1" r="U49"/>
  <c i="1" r="C48"/>
  <c i="1" r="G46"/>
  <c i="1" r="K44"/>
  <c i="1" r="O42"/>
  <c i="1" r="S40"/>
  <c i="1" r="W38"/>
  <c i="1" r="E37"/>
  <c i="1" r="I35"/>
  <c i="1" r="C34"/>
  <c i="1" r="F52"/>
  <c i="1" r="E52"/>
  <c i="1" r="I48"/>
  <c i="1" r="G48"/>
  <c i="1" r="N44"/>
  <c i="1" r="O53"/>
  <c i="1" r="L53"/>
  <c i="1" r="P51"/>
  <c i="1" r="T49"/>
  <c i="1" r="B48"/>
  <c i="1" r="F46"/>
  <c i="1" r="J44"/>
  <c i="1" r="N42"/>
  <c i="1" r="R40"/>
  <c i="1" r="V38"/>
  <c i="1" r="D37"/>
  <c i="1" r="H35"/>
  <c i="1" r="D52"/>
  <c i="1" r="S53"/>
  <c i="1" r="W49"/>
  <c i="1" r="K53"/>
  <c i="1" r="O51"/>
  <c i="1" r="S49"/>
  <c i="1" r="W47"/>
  <c i="1" r="E46"/>
  <c i="1" r="I44"/>
  <c i="1" r="M42"/>
  <c i="1" r="Q40"/>
  <c i="1" r="U38"/>
  <c i="1" r="C37"/>
  <c i="1" r="G35"/>
  <c i="1" r="B54"/>
  <c i="1" r="L46"/>
  <c i="1" r="J53"/>
  <c i="1" r="N51"/>
  <c i="1" r="R49"/>
  <c i="1" r="V47"/>
  <c i="1" r="D46"/>
  <c i="1" r="H44"/>
  <c i="1" r="L42"/>
  <c i="1" r="P40"/>
  <c i="1" r="T38"/>
  <c i="1" r="F35"/>
  <c i="1" r="H48"/>
  <c i="1" r="F48"/>
  <c i="1" r="B34"/>
  <c i="1" r="I53"/>
  <c i="1" r="M51"/>
  <c i="1" r="Q49"/>
  <c i="1" r="U47"/>
  <c i="1" r="C46"/>
  <c i="1" r="G44"/>
  <c i="1" r="K42"/>
  <c i="1" r="O40"/>
  <c i="1" r="S38"/>
  <c i="1" r="W36"/>
  <c i="1" r="E35"/>
  <c i="1" r="H50"/>
  <c i="1" r="E50"/>
  <c i="1" r="D50"/>
  <c i="1" r="W34"/>
  <c i="1" r="H53"/>
  <c i="1" r="L51"/>
  <c i="1" r="P49"/>
  <c i="1" r="T47"/>
  <c i="1" r="B46"/>
  <c i="1" r="F44"/>
  <c i="1" r="J42"/>
  <c i="1" r="N40"/>
  <c i="1" r="R38"/>
  <c i="1" r="V36"/>
  <c i="1" r="D35"/>
  <c i="1" r="V34"/>
  <c i="1" r="G53"/>
  <c i="1" r="K51"/>
  <c i="1" r="O49"/>
  <c i="1" r="S47"/>
  <c i="1" r="W45"/>
  <c i="1" r="E44"/>
  <c i="1" r="I42"/>
  <c i="1" r="M40"/>
  <c i="1" r="Q38"/>
  <c i="1" r="U36"/>
  <c i="1" r="C35"/>
  <c i="1" r="G50"/>
  <c i="1" r="W51"/>
  <c i="1" r="V51"/>
  <c i="1" r="T51"/>
  <c i="1" r="N53"/>
  <c i="1" r="U34"/>
  <c i="1" r="F53"/>
  <c i="1" r="J51"/>
  <c i="1" r="N49"/>
  <c i="1" r="R47"/>
  <c i="1" r="V45"/>
  <c i="1" r="D44"/>
  <c i="1" r="H42"/>
  <c i="1" r="L40"/>
  <c i="1" r="P38"/>
  <c i="1" r="T36"/>
  <c i="1" r="W53"/>
  <c i="1" r="T53"/>
  <c i="1" r="I46"/>
  <c i="1" r="T34"/>
  <c i="1" r="W54"/>
  <c i="1" r="E53"/>
  <c i="1" r="I51"/>
  <c i="1" r="M49"/>
  <c i="1" r="Q47"/>
  <c i="1" r="U45"/>
  <c i="1" r="C44"/>
  <c i="1" r="G42"/>
  <c i="1" r="K40"/>
  <c i="1" r="O38"/>
  <c i="1" r="S36"/>
  <c i="1" r="S34"/>
  <c i="1" r="V54"/>
  <c i="1" r="D53"/>
  <c i="1" r="H51"/>
  <c i="1" r="L49"/>
  <c i="1" r="P47"/>
  <c i="1" r="T45"/>
  <c i="1" r="F42"/>
  <c i="1" r="J40"/>
  <c i="1" r="N38"/>
  <c i="1" r="R36"/>
  <c i="1" r="E34"/>
  <c i="1" r="P53"/>
  <c i="1" r="BS28"/>
  <c i="1" r="AT55" s="1"/>
  <c i="1" r="CQ13" s="1"/>
  <c i="1" r="W28"/>
  <c i="1" r="CR7" s="1"/>
  <c i="8" r="Q24"/>
  <c i="8" r="R24"/>
  <c i="8" r="P24"/>
  <c i="8" r="L24"/>
  <c i="8" r="E24"/>
  <c i="8" r="E18"/>
  <c i="8" r="E19"/>
  <c i="8" r="E20"/>
  <c i="8" r="E21"/>
  <c i="8" r="E22"/>
  <c i="8" r="E23"/>
  <c i="8" r="P7"/>
  <c i="8" r="Q7"/>
  <c i="8" r="R7"/>
  <c i="8" r="E13"/>
  <c i="8" r="S13" s="1"/>
  <c i="8" r="H13"/>
  <c i="8" r="O13" s="1"/>
  <c i="18" l="1" r="V24"/>
  <c i="18" r="V25"/>
  <c i="18" r="K23"/>
  <c i="18" r="K13"/>
  <c i="18" r="K20"/>
  <c i="18" r="K22"/>
  <c i="18" r="K15"/>
  <c i="18" r="K12"/>
  <c i="18" r="K8"/>
  <c i="18" r="K16"/>
  <c i="18" r="K9"/>
  <c i="18" r="K17"/>
  <c i="18" r="K6"/>
  <c i="18" r="K10"/>
  <c i="18" r="K4"/>
  <c i="18" r="K5"/>
  <c i="18" r="K21"/>
  <c i="18" r="K11"/>
  <c i="18" r="K18"/>
  <c i="18" r="K14"/>
  <c i="18" r="K19"/>
  <c i="18" r="K7"/>
  <c i="18" r="AU123"/>
  <c i="18" r="AU149" s="1"/>
  <c i="18" r="AU129"/>
  <c i="18" r="AU155" s="1"/>
  <c i="18" r="AU128"/>
  <c i="18" r="AU154" s="1"/>
  <c i="18" r="CV15"/>
  <c i="8" r="E35"/>
  <c i="8" r="L35"/>
  <c i="18" r="CX4"/>
  <c i="1" r="AB55"/>
  <c i="1" r="BY13" s="1"/>
  <c i="1" r="CD24" s="1"/>
  <c i="1" r="AA55"/>
  <c i="1" r="BX13" s="1"/>
  <c i="1" r="CD23" s="1"/>
  <c i="18" r="CX5"/>
  <c i="1" r="AC55"/>
  <c i="1" r="BZ13" s="1"/>
  <c i="1" r="CD25" s="1"/>
  <c i="18" r="S51"/>
  <c i="1" r="AP55"/>
  <c i="1" r="CM13" s="1"/>
  <c i="1" r="CD38" s="1"/>
  <c i="1" r="AK55"/>
  <c i="1" r="CH13" s="1"/>
  <c i="1" r="CD33" s="1"/>
  <c i="1" r="AI55"/>
  <c i="1" r="CF13" s="1"/>
  <c i="1" r="CD31" s="1"/>
  <c i="18" r="T51"/>
  <c i="1" r="AQ55"/>
  <c i="1" r="CN13" s="1"/>
  <c i="1" r="CD39" s="1"/>
  <c i="1" r="AG55"/>
  <c i="1" r="CD13" s="1"/>
  <c i="1" r="CD29" s="1"/>
  <c i="18" r="R51"/>
  <c i="1" r="AO55"/>
  <c i="1" r="CL13" s="1"/>
  <c i="1" r="CD37" s="1"/>
  <c i="18" r="Q51"/>
  <c i="1" r="AN55"/>
  <c i="1" r="CK13" s="1"/>
  <c i="1" r="CD36" s="1"/>
  <c i="1" r="Z55"/>
  <c i="1" r="BW13" s="1"/>
  <c i="1" r="CD22" s="1"/>
  <c i="1" r="AH55"/>
  <c i="1" r="CE13" s="1"/>
  <c i="1" r="CD30" s="1"/>
  <c i="18" r="O51"/>
  <c i="1" r="AL55"/>
  <c i="1" r="CI13" s="1"/>
  <c i="1" r="CD34" s="1"/>
  <c i="18" r="V51"/>
  <c i="1" r="AS55"/>
  <c i="1" r="CP13" s="1"/>
  <c i="1" r="CD41" s="1"/>
  <c i="18" r="U51"/>
  <c i="1" r="AR55"/>
  <c i="1" r="CO13" s="1"/>
  <c i="1" r="CD40" s="1"/>
  <c i="1" r="AD55"/>
  <c i="1" r="CA13" s="1"/>
  <c i="1" r="CD26" s="1"/>
  <c i="1" r="AF55"/>
  <c i="1" r="CC13" s="1"/>
  <c i="1" r="CD28" s="1"/>
  <c i="1" r="AE55"/>
  <c i="1" r="CB13" s="1"/>
  <c i="1" r="CD27" s="1"/>
  <c i="18" r="P51"/>
  <c i="1" r="AM55"/>
  <c i="1" r="CJ13" s="1"/>
  <c i="1" r="CD35" s="1"/>
  <c i="1" r="AJ55"/>
  <c i="1" r="CG13" s="1"/>
  <c i="1" r="CD32" s="1"/>
  <c i="18" r="BT47"/>
  <c i="18" r="CR47" s="1"/>
  <c i="18" r="BT46"/>
  <c i="18" r="CR46" s="1"/>
  <c i="18" r="X41"/>
  <c i="18" r="BU41" s="1"/>
  <c i="18" r="CS41" s="1"/>
  <c i="18" r="BT33"/>
  <c i="18" r="CR33" s="1"/>
  <c i="18" r="BT42"/>
  <c i="18" r="CR42" s="1"/>
  <c i="18" r="X32"/>
  <c i="18" r="AW32" s="1"/>
  <c i="18" r="BT44"/>
  <c i="18" r="CR44" s="1"/>
  <c i="18" r="BT45"/>
  <c i="18" r="CR45" s="1"/>
  <c i="18" r="BT36"/>
  <c i="18" r="CR36" s="1"/>
  <c i="18" r="X33"/>
  <c i="18" r="BT43"/>
  <c i="18" r="CR43" s="1"/>
  <c i="18" r="X31"/>
  <c i="18" r="BU31" s="1"/>
  <c i="18" r="CS31" s="1"/>
  <c i="18" r="X39"/>
  <c i="18" r="X36"/>
  <c i="18" r="AV130"/>
  <c i="18" r="AV156" s="1"/>
  <c i="18" r="CS50"/>
  <c i="18" r="X48"/>
  <c i="18" r="BT37"/>
  <c i="18" r="CR37" s="1"/>
  <c i="18" r="X35"/>
  <c i="18" r="AW35" s="1"/>
  <c i="18" r="BT34"/>
  <c i="18" r="CR34" s="1"/>
  <c i="18" r="BT31"/>
  <c i="18" r="CR31" s="1"/>
  <c i="18" r="X47"/>
  <c i="18" r="BU47" s="1"/>
  <c i="18" r="CS47" s="1"/>
  <c i="18" r="X45"/>
  <c i="18" r="BU45" s="1"/>
  <c i="18" r="CS45" s="1"/>
  <c i="18" r="BT41"/>
  <c i="18" r="CR41" s="1"/>
  <c i="18" r="X46"/>
  <c i="18" r="BU46" s="1"/>
  <c i="18" r="CS46" s="1"/>
  <c i="18" r="AV51"/>
  <c i="18" r="X43"/>
  <c i="18" r="X42"/>
  <c i="18" r="BU42" s="1"/>
  <c i="18" r="CS42" s="1"/>
  <c i="18" r="X40"/>
  <c i="18" r="BU40" s="1"/>
  <c i="18" r="CS40" s="1"/>
  <c i="18" r="X38"/>
  <c i="18" r="BT35"/>
  <c i="18" r="CR35" s="1"/>
  <c i="18" r="X44"/>
  <c i="18" r="BT32"/>
  <c i="18" r="CR32" s="1"/>
  <c i="18" r="X37"/>
  <c i="18" r="AW37" s="1"/>
  <c i="18" r="X49"/>
  <c i="18" r="BU49" s="1"/>
  <c i="18" r="CS49" s="1"/>
  <c i="18" r="BT49"/>
  <c i="18" r="CR49" s="1"/>
  <c i="18" r="X34"/>
  <c i="18" r="W51"/>
  <c i="18" r="BT39"/>
  <c i="18" r="CR39" s="1"/>
  <c i="18" r="BT40"/>
  <c i="18" r="CR40" s="1"/>
  <c i="18" r="BT38"/>
  <c i="18" r="CR38" s="1"/>
  <c i="18" r="BT48"/>
  <c i="18" r="CR48" s="1"/>
  <c i="1" r="CR10"/>
  <c i="17" r="Q52"/>
  <c i="1" r="CK12" s="1"/>
  <c i="1" r="CC36" s="1"/>
  <c i="18" r="I18" s="1"/>
  <c i="17" r="H52"/>
  <c i="1" r="CB12" s="1"/>
  <c i="1" r="CC27" s="1"/>
  <c i="18" r="I9" s="1"/>
  <c i="17" r="V52"/>
  <c i="1" r="CP12" s="1"/>
  <c i="1" r="CC41" s="1"/>
  <c i="18" r="I23" s="1"/>
  <c i="17" r="S52"/>
  <c i="1" r="CM12" s="1"/>
  <c i="1" r="CC38" s="1"/>
  <c i="18" r="I20" s="1"/>
  <c i="17" r="T52"/>
  <c i="1" r="CN12" s="1"/>
  <c i="1" r="CC39" s="1"/>
  <c i="18" r="I21" s="1"/>
  <c i="17" r="U52"/>
  <c i="1" r="CO12" s="1"/>
  <c i="1" r="CC40" s="1"/>
  <c i="18" r="I22" s="1"/>
  <c i="17" r="E52"/>
  <c i="1" r="BY12" s="1"/>
  <c i="1" r="CC24" s="1"/>
  <c i="18" r="I6" s="1"/>
  <c i="17" r="M52"/>
  <c i="1" r="CG12" s="1"/>
  <c i="1" r="CC32" s="1"/>
  <c i="18" r="I14" s="1"/>
  <c i="17" r="N52"/>
  <c i="1" r="CH12" s="1"/>
  <c i="1" r="CC33" s="1"/>
  <c i="18" r="I15" s="1"/>
  <c i="17" r="R52"/>
  <c i="1" r="CL12" s="1"/>
  <c i="1" r="CC37" s="1"/>
  <c i="18" r="I19" s="1"/>
  <c i="17" r="G52"/>
  <c i="1" r="CA12" s="1"/>
  <c i="1" r="CC26" s="1"/>
  <c i="18" r="I8" s="1"/>
  <c i="17" r="C52"/>
  <c i="1" r="BW12" s="1"/>
  <c i="1" r="CC22" s="1"/>
  <c i="18" r="I4" s="1"/>
  <c i="17" r="J52"/>
  <c i="1" r="CD12" s="1"/>
  <c i="1" r="CC29" s="1"/>
  <c i="18" r="I11" s="1"/>
  <c i="17" r="P52"/>
  <c i="1" r="CJ12" s="1"/>
  <c i="1" r="CC35" s="1"/>
  <c i="18" r="I17" s="1"/>
  <c i="17" r="D52"/>
  <c i="1" r="BX12" s="1"/>
  <c i="1" r="CC23" s="1"/>
  <c i="18" r="I5" s="1"/>
  <c i="17" r="W52"/>
  <c i="1" r="CQ12" s="1"/>
  <c i="17" r="L52"/>
  <c i="1" r="CF12" s="1"/>
  <c i="1" r="CC31" s="1"/>
  <c i="18" r="I13" s="1"/>
  <c i="17" r="I52"/>
  <c i="1" r="CC12" s="1"/>
  <c i="1" r="CC28" s="1"/>
  <c i="18" r="I10" s="1"/>
  <c i="17" r="F52"/>
  <c i="1" r="BZ12" s="1"/>
  <c i="1" r="CC25" s="1"/>
  <c i="18" r="I7" s="1"/>
  <c i="17" r="K52"/>
  <c i="1" r="CE12" s="1"/>
  <c i="1" r="CC30" s="1"/>
  <c i="18" r="I12" s="1"/>
  <c i="17" r="O52"/>
  <c i="1" r="CI12" s="1"/>
  <c i="1" r="CC34" s="1"/>
  <c i="18" r="I16" s="1"/>
  <c i="17" r="X52"/>
  <c i="17" r="G71" s="1"/>
  <c i="1" r="AU39"/>
  <c i="1" r="AU42"/>
  <c i="1" r="AU34"/>
  <c i="1" r="AU41"/>
  <c i="1" r="AU37"/>
  <c i="1" r="AU51"/>
  <c i="1" r="AU40"/>
  <c i="1" r="CE42"/>
  <c i="1" r="CI30" s="1"/>
  <c i="1" r="AU47"/>
  <c i="1" r="AU46"/>
  <c i="1" r="AU50"/>
  <c i="1" r="AU48"/>
  <c i="1" r="AU35"/>
  <c i="1" r="AU53"/>
  <c i="1" r="AU49"/>
  <c i="1" r="AU44"/>
  <c i="1" r="AU45"/>
  <c i="1" r="AU52"/>
  <c i="1" r="AU36"/>
  <c i="1" r="AU38"/>
  <c i="1" r="AU43"/>
  <c i="1" r="BS55"/>
  <c i="1" r="CR14" s="1"/>
  <c i="1" r="I55"/>
  <c i="1" r="CD11" s="1"/>
  <c i="1" r="CB29" s="1"/>
  <c i="18" r="H11" s="1"/>
  <c i="1" r="N55"/>
  <c i="1" r="CI11" s="1"/>
  <c i="1" r="CB34" s="1"/>
  <c i="18" r="H16" s="1"/>
  <c i="1" r="Q55"/>
  <c i="1" r="CL11" s="1"/>
  <c i="1" r="CB37" s="1"/>
  <c i="18" r="H19" s="1"/>
  <c i="1" r="U55"/>
  <c i="1" r="CP11" s="1"/>
  <c i="1" r="CB41" s="1"/>
  <c i="18" r="H23" s="1"/>
  <c i="1" r="B55"/>
  <c i="1" r="BW11" s="1"/>
  <c i="1" r="CB22" s="1"/>
  <c i="18" r="H4" s="1"/>
  <c i="1" r="C55"/>
  <c i="1" r="BX11" s="1"/>
  <c i="1" r="CB23" s="1"/>
  <c i="18" r="H5" s="1"/>
  <c i="1" r="M55"/>
  <c i="1" r="CH11" s="1"/>
  <c i="1" r="CB33" s="1"/>
  <c i="18" r="H15" s="1"/>
  <c i="1" r="D55"/>
  <c i="1" r="BY11" s="1"/>
  <c i="1" r="CB24" s="1"/>
  <c i="18" r="H6" s="1"/>
  <c i="1" r="V55"/>
  <c i="1" r="CQ11" s="1"/>
  <c i="1" r="E55"/>
  <c i="1" r="BZ11" s="1"/>
  <c i="1" r="CB25" s="1"/>
  <c i="18" r="H7" s="1"/>
  <c i="1" r="J55"/>
  <c i="1" r="CE11" s="1"/>
  <c i="1" r="CB30" s="1"/>
  <c i="18" r="H12" s="1"/>
  <c i="1" r="K55"/>
  <c i="1" r="CF11" s="1"/>
  <c i="1" r="CB31" s="1"/>
  <c i="18" r="H13" s="1"/>
  <c i="1" r="P55"/>
  <c i="1" r="CK11" s="1"/>
  <c i="1" r="CB36" s="1"/>
  <c i="18" r="H18" s="1"/>
  <c i="1" r="T55"/>
  <c i="1" r="CO11" s="1"/>
  <c i="1" r="CB40" s="1"/>
  <c i="18" r="H22" s="1"/>
  <c i="1" r="F55"/>
  <c i="1" r="CA11" s="1"/>
  <c i="1" r="CB26" s="1"/>
  <c i="18" r="H8" s="1"/>
  <c i="1" r="H55"/>
  <c i="1" r="CC11" s="1"/>
  <c i="1" r="CB28" s="1"/>
  <c i="18" r="H10" s="1"/>
  <c i="1" r="G55"/>
  <c i="1" r="CB11" s="1"/>
  <c i="1" r="CB27" s="1"/>
  <c i="18" r="H9" s="1"/>
  <c i="1" r="R55"/>
  <c i="1" r="CM11" s="1"/>
  <c i="1" r="CB38" s="1"/>
  <c i="18" r="H20" s="1"/>
  <c i="1" r="L55"/>
  <c i="1" r="CG11" s="1"/>
  <c i="1" r="CB32" s="1"/>
  <c i="18" r="H14" s="1"/>
  <c i="1" r="S55"/>
  <c i="1" r="CN11" s="1"/>
  <c i="1" r="CB39" s="1"/>
  <c i="18" r="H21" s="1"/>
  <c i="1" r="W55"/>
  <c i="1" r="CR11" s="1"/>
  <c i="1" r="O55"/>
  <c i="1" r="CJ11" s="1"/>
  <c i="1" r="CB35" s="1"/>
  <c i="18" r="H17" s="1"/>
  <c i="8" r="S24"/>
  <c i="8" r="P35"/>
  <c i="8" r="R35"/>
  <c i="8" r="Q35"/>
  <c i="8" r="E7"/>
  <c i="10" r="H11"/>
  <c i="1" l="1" r="CK28"/>
  <c i="18" r="Q10" s="1"/>
  <c i="1" r="CK24"/>
  <c i="18" r="Q6" s="1"/>
  <c i="1" r="CK27"/>
  <c i="18" r="Q9" s="1"/>
  <c i="1" r="CK34"/>
  <c i="18" r="Q16" s="1"/>
  <c i="1" r="CK26"/>
  <c i="18" r="Q8" s="1"/>
  <c i="1" r="CK25"/>
  <c i="18" r="Q7" s="1"/>
  <c i="1" r="CK37"/>
  <c i="18" r="Q19" s="1"/>
  <c i="1" r="CK35"/>
  <c i="18" r="Q17" s="1"/>
  <c i="1" r="CK32"/>
  <c i="18" r="Q14" s="1"/>
  <c i="1" r="CK30"/>
  <c i="18" r="Q12" s="1"/>
  <c i="1" r="CK36"/>
  <c i="18" r="Q18" s="1"/>
  <c i="1" r="CK33"/>
  <c i="18" r="Q15" s="1"/>
  <c i="1" r="CK29"/>
  <c i="18" r="Q11" s="1"/>
  <c i="1" r="CK40"/>
  <c i="18" r="Q22" s="1"/>
  <c i="1" r="CK39"/>
  <c i="18" r="Q21" s="1"/>
  <c i="1" r="CK38"/>
  <c i="18" r="Q20" s="1"/>
  <c i="18" r="O12"/>
  <c i="1" r="CK23"/>
  <c i="18" r="Q5" s="1"/>
  <c i="1" r="CK31"/>
  <c i="18" r="Q13" s="1"/>
  <c i="1" r="CK22"/>
  <c i="18" r="Q4" s="1"/>
  <c i="1" r="CK41"/>
  <c i="18" r="AU121"/>
  <c i="18" r="AU147" s="1"/>
  <c i="18" r="AU122"/>
  <c i="18" r="AU148" s="1"/>
  <c i="18" r="AU113"/>
  <c i="18" r="AU139" s="1"/>
  <c i="18" r="E51"/>
  <c i="18" r="BB57" s="1"/>
  <c i="18" r="AU114"/>
  <c i="18" r="AU140" s="1"/>
  <c i="18" r="AU119"/>
  <c i="18" r="AU145" s="1"/>
  <c i="18" r="AU125"/>
  <c i="18" r="AU151" s="1"/>
  <c i="18" r="AU120"/>
  <c i="18" r="AU146" s="1"/>
  <c i="18" r="AU117"/>
  <c i="18" r="AU143" s="1"/>
  <c i="18" r="AU126"/>
  <c i="18" r="AU152" s="1"/>
  <c i="18" r="AU127"/>
  <c i="18" r="AU153" s="1"/>
  <c i="18" r="AU111"/>
  <c i="18" r="AU137" s="1"/>
  <c i="18" r="AU116"/>
  <c i="18" r="AU142" s="1"/>
  <c i="18" r="AU112"/>
  <c i="18" r="AU138" s="1"/>
  <c i="18" r="AU115"/>
  <c i="18" r="AU141" s="1"/>
  <c i="18" r="AU118"/>
  <c i="18" r="AU144" s="1"/>
  <c i="18" r="AU124"/>
  <c i="18" r="AU150" s="1"/>
  <c i="18" r="AW46"/>
  <c i="1" r="BH80"/>
  <c i="18" r="H51"/>
  <c i="18" r="CX7"/>
  <c i="18" r="K51"/>
  <c i="18" r="BH57" s="1"/>
  <c i="18" r="CX10"/>
  <c i="18" r="L51"/>
  <c i="18" r="BI57" s="1"/>
  <c i="18" r="CX11"/>
  <c i="18" r="G51"/>
  <c i="18" r="BD57" s="1"/>
  <c i="18" r="CX6"/>
  <c i="18" r="N51"/>
  <c i="18" r="BK57" s="1"/>
  <c i="18" r="CX13"/>
  <c i="18" r="D51"/>
  <c i="18" r="BA57" s="1"/>
  <c i="18" r="CX3"/>
  <c i="18" r="I51"/>
  <c i="18" r="BF57" s="1"/>
  <c i="18" r="CX8"/>
  <c i="18" r="M51"/>
  <c i="18" r="BJ57" s="1"/>
  <c i="18" r="CX12"/>
  <c i="18" r="CX14"/>
  <c i="18" r="C51"/>
  <c i="18" r="AZ57" s="1"/>
  <c i="18" r="CX2"/>
  <c i="18" r="F51"/>
  <c i="18" r="J51"/>
  <c i="18" r="BG57" s="1"/>
  <c i="18" r="CX9"/>
  <c i="18" r="CV16"/>
  <c i="18" r="CX15"/>
  <c i="1" r="BL78"/>
  <c i="1" r="BC82"/>
  <c i="18" r="AW41"/>
  <c i="18" r="BU32"/>
  <c i="18" r="CS32" s="1"/>
  <c i="8" r="E29"/>
  <c i="18" r="AW40"/>
  <c i="18" r="AW42"/>
  <c i="18" r="X30"/>
  <c i="18" r="BU30" s="1"/>
  <c i="18" r="CS30" s="1"/>
  <c i="1" r="CI40"/>
  <c i="18" r="AW47"/>
  <c i="1" r="CI27"/>
  <c i="1" r="CI24"/>
  <c i="1" r="CI26"/>
  <c i="1" r="CI25"/>
  <c i="1" r="BC76"/>
  <c i="18" r="AW31"/>
  <c i="1" r="AX69"/>
  <c i="1" r="BR62"/>
  <c i="18" r="AW49"/>
  <c i="1" r="BI79"/>
  <c i="1" r="BC74"/>
  <c i="1" r="BF72"/>
  <c i="1" r="BH70"/>
  <c i="1" r="AY78"/>
  <c i="1" r="BO62"/>
  <c i="1" r="BN82"/>
  <c i="1" r="BP66"/>
  <c i="1" r="AY63"/>
  <c i="1" r="AZ79"/>
  <c i="18" r="BU35"/>
  <c i="18" r="CS35" s="1"/>
  <c i="1" r="BD72"/>
  <c i="1" r="AY61"/>
  <c i="1" r="AZ65"/>
  <c i="1" r="BH75"/>
  <c i="1" r="BQ82"/>
  <c i="1" r="BK82"/>
  <c i="1" r="BF79"/>
  <c i="1" r="BO80"/>
  <c i="1" r="BM70"/>
  <c i="1" r="BL68"/>
  <c i="1" r="BB63"/>
  <c i="1" r="BS78"/>
  <c i="1" r="BE74"/>
  <c i="1" r="BN64"/>
  <c i="1" r="BC79"/>
  <c i="1" r="BA77"/>
  <c i="1" r="BO79"/>
  <c i="1" r="BI73"/>
  <c i="1" r="BD82"/>
  <c i="18" r="J23"/>
  <c i="18" r="J19"/>
  <c i="18" r="J21"/>
  <c i="18" r="BR32"/>
  <c i="18" r="BG32"/>
  <c i="18" r="BJ32"/>
  <c i="18" r="BO32"/>
  <c i="18" r="AZ32"/>
  <c i="18" r="BC32"/>
  <c i="18" r="BL32"/>
  <c i="18" r="BF32"/>
  <c i="18" r="BQ32"/>
  <c i="18" r="BN32"/>
  <c i="18" r="BI32"/>
  <c i="18" r="BB32"/>
  <c i="18" r="BE32"/>
  <c i="18" r="BH32"/>
  <c i="18" r="BS32"/>
  <c i="18" r="BP32"/>
  <c i="18" r="BK32"/>
  <c i="18" r="BA32"/>
  <c i="18" r="BD32"/>
  <c i="18" r="BM32"/>
  <c i="18" r="AV122"/>
  <c i="18" r="AV148" s="1"/>
  <c i="18" r="BM42"/>
  <c i="18" r="AZ42"/>
  <c i="18" r="BE42"/>
  <c i="18" r="BJ42"/>
  <c i="18" r="BB42"/>
  <c i="18" r="BG42"/>
  <c i="18" r="BO42"/>
  <c i="18" r="BQ42"/>
  <c i="18" r="BL42"/>
  <c i="18" r="W25" s="1"/>
  <c i="18" r="R25" s="1"/>
  <c i="18" r="BS42"/>
  <c i="18" r="BD42"/>
  <c i="18" r="BI42"/>
  <c i="18" r="BF42"/>
  <c i="18" r="BA42"/>
  <c i="18" r="BN42"/>
  <c i="18" r="BK42"/>
  <c i="18" r="BC42"/>
  <c i="18" r="BR42"/>
  <c i="18" r="BP42"/>
  <c i="18" r="BH42"/>
  <c i="18" r="AW45"/>
  <c i="18" r="BD48"/>
  <c i="18" r="BA48"/>
  <c i="18" r="BQ48"/>
  <c i="18" r="BI48"/>
  <c i="18" r="BS48"/>
  <c i="18" r="BP48"/>
  <c i="18" r="BM48"/>
  <c i="18" r="BF48"/>
  <c i="18" r="BO48"/>
  <c i="18" r="BC48"/>
  <c i="18" r="BR48"/>
  <c i="18" r="AZ48"/>
  <c i="18" r="BH48"/>
  <c i="18" r="BL48"/>
  <c i="18" r="BE48"/>
  <c i="18" r="BK48"/>
  <c i="18" r="BJ48"/>
  <c i="18" r="BN48"/>
  <c i="18" r="BB48"/>
  <c i="18" r="BG48"/>
  <c i="18" r="AV127"/>
  <c i="18" r="AV153" s="1"/>
  <c i="18" r="BH47"/>
  <c i="18" r="BE47"/>
  <c i="18" r="BQ47"/>
  <c i="18" r="BK47"/>
  <c i="18" r="BM47"/>
  <c i="18" r="BD47"/>
  <c i="18" r="AZ47"/>
  <c i="18" r="BS47"/>
  <c i="18" r="BN47"/>
  <c i="18" r="BG47"/>
  <c i="18" r="BJ47"/>
  <c i="18" r="BC47"/>
  <c i="18" r="BL47"/>
  <c i="18" r="BP47"/>
  <c i="18" r="BA47"/>
  <c i="18" r="BF47"/>
  <c i="18" r="BI47"/>
  <c i="18" r="BR47"/>
  <c i="18" r="BB47"/>
  <c i="18" r="BO47"/>
  <c i="17" r="O72"/>
  <c i="18" r="BU37"/>
  <c i="18" r="CS37" s="1"/>
  <c i="18" r="BQ57"/>
  <c i="18" r="BP33"/>
  <c i="18" r="BE33"/>
  <c i="18" r="BK33"/>
  <c i="18" r="BS33"/>
  <c i="18" r="BB33"/>
  <c i="18" r="BO33"/>
  <c i="18" r="BJ33"/>
  <c i="18" r="BR33"/>
  <c i="18" r="BI33"/>
  <c i="18" r="BD33"/>
  <c i="18" r="BN33"/>
  <c i="18" r="BH33"/>
  <c i="18" r="BA33"/>
  <c i="18" r="BG33"/>
  <c i="18" r="BQ33"/>
  <c i="18" r="BM33"/>
  <c i="18" r="BF33"/>
  <c i="18" r="BC33"/>
  <c i="18" r="AZ33"/>
  <c i="18" r="BL33"/>
  <c i="18" r="BI43"/>
  <c i="18" r="BL43"/>
  <c i="18" r="BE43"/>
  <c i="18" r="BO43"/>
  <c i="18" r="AZ43"/>
  <c i="18" r="BH43"/>
  <c i="18" r="BD43"/>
  <c i="18" r="BR43"/>
  <c i="18" r="BK43"/>
  <c i="18" r="BN43"/>
  <c i="18" r="BP43"/>
  <c i="18" r="BB43"/>
  <c i="18" r="BQ43"/>
  <c i="18" r="BG43"/>
  <c i="18" r="BC43"/>
  <c i="18" r="BJ43"/>
  <c i="18" r="BM43"/>
  <c i="18" r="BA43"/>
  <c i="18" r="BF43"/>
  <c i="18" r="BS43"/>
  <c i="18" r="BN57"/>
  <c i="18" r="J10"/>
  <c i="18" r="BP34"/>
  <c i="18" r="BE34"/>
  <c i="18" r="BH34"/>
  <c i="18" r="BM34"/>
  <c i="18" r="BR34"/>
  <c i="18" r="BF34"/>
  <c i="18" r="BA34"/>
  <c i="18" r="BJ34"/>
  <c i="18" r="BD34"/>
  <c i="18" r="BO34"/>
  <c i="18" r="BL34"/>
  <c i="18" r="BG34"/>
  <c i="18" r="AZ34"/>
  <c i="18" r="BC34"/>
  <c i="18" r="BQ34"/>
  <c i="18" r="BN34"/>
  <c i="18" r="BI34"/>
  <c i="18" r="BS34"/>
  <c i="18" r="BB34"/>
  <c i="18" r="BK34"/>
  <c i="18" r="BL38"/>
  <c i="18" r="BA38"/>
  <c i="18" r="BQ38"/>
  <c i="18" r="BD38"/>
  <c i="18" r="BI38"/>
  <c i="18" r="BN38"/>
  <c i="18" r="BF38"/>
  <c i="18" r="AZ38"/>
  <c i="18" r="BK38"/>
  <c i="18" r="BS38"/>
  <c i="18" r="BP38"/>
  <c i="18" r="BH38"/>
  <c i="18" r="BC38"/>
  <c i="18" r="BB38"/>
  <c i="18" r="BM38"/>
  <c i="18" r="BJ38"/>
  <c i="18" r="BE38"/>
  <c i="18" r="BR38"/>
  <c i="18" r="BO38"/>
  <c i="18" r="BG38"/>
  <c i="18" r="BU33"/>
  <c i="18" r="CS33" s="1"/>
  <c i="18" r="J17"/>
  <c i="18" r="AW33"/>
  <c i="18" r="AW43"/>
  <c i="18" r="J16"/>
  <c i="18" r="J18"/>
  <c i="18" r="BU43"/>
  <c i="18" r="CS43" s="1"/>
  <c i="18" r="BR57"/>
  <c i="18" r="BC44"/>
  <c i="18" r="BH44"/>
  <c i="18" r="AZ44"/>
  <c i="18" r="BS44"/>
  <c i="18" r="BE44"/>
  <c i="18" r="BQ44"/>
  <c i="18" r="BP44"/>
  <c i="18" r="BM44"/>
  <c i="18" r="BJ44"/>
  <c i="18" r="BB44"/>
  <c i="18" r="BO44"/>
  <c i="18" r="BG44"/>
  <c i="18" r="BR44"/>
  <c i="18" r="BD44"/>
  <c i="18" r="BL44"/>
  <c i="18" r="BI44"/>
  <c i="18" r="BA44"/>
  <c i="18" r="BK44"/>
  <c i="18" r="BN44"/>
  <c i="18" r="BF44"/>
  <c i="18" r="J11"/>
  <c i="18" r="BP57"/>
  <c i="18" r="BN36"/>
  <c i="18" r="BC36"/>
  <c i="18" r="BS36"/>
  <c i="18" r="BF36"/>
  <c i="18" r="BK36"/>
  <c i="18" r="BP36"/>
  <c i="18" r="BD36"/>
  <c i="18" r="BH36"/>
  <c i="18" r="BB36"/>
  <c i="18" r="BM36"/>
  <c i="18" r="BR36"/>
  <c i="18" r="BJ36"/>
  <c i="18" r="BE36"/>
  <c i="18" r="BA36"/>
  <c i="18" r="BO36"/>
  <c i="18" r="BL36"/>
  <c i="18" r="BG36"/>
  <c i="18" r="BQ36"/>
  <c i="18" r="AZ36"/>
  <c i="18" r="BI36"/>
  <c i="18" r="BM57"/>
  <c i="18" r="J12"/>
  <c i="18" r="BS57"/>
  <c i="18" r="BN35"/>
  <c i="18" r="BC35"/>
  <c i="18" r="BI35"/>
  <c i="18" r="BQ35"/>
  <c i="18" r="AZ35"/>
  <c i="18" r="BM35"/>
  <c i="18" r="BH35"/>
  <c i="18" r="BF35"/>
  <c i="18" r="BP35"/>
  <c i="18" r="BG35"/>
  <c i="18" r="BB35"/>
  <c i="18" r="BL35"/>
  <c i="18" r="BS35"/>
  <c i="18" r="BE35"/>
  <c i="18" r="BO35"/>
  <c i="18" r="BK35"/>
  <c i="18" r="BD35"/>
  <c i="18" r="BA35"/>
  <c i="18" r="BR35"/>
  <c i="18" r="BJ35"/>
  <c i="18" r="AW38"/>
  <c i="18" r="BE39"/>
  <c i="18" r="BM39"/>
  <c i="18" r="BB39"/>
  <c i="18" r="BP39"/>
  <c i="18" r="BI39"/>
  <c i="18" r="BS39"/>
  <c i="18" r="BD39"/>
  <c i="18" r="BL39"/>
  <c i="18" r="AZ39"/>
  <c i="18" r="BH39"/>
  <c i="18" r="BO39"/>
  <c i="18" r="BR39"/>
  <c i="18" r="BA39"/>
  <c i="18" r="BK39"/>
  <c i="18" r="BG39"/>
  <c i="18" r="BJ39"/>
  <c i="18" r="BN39"/>
  <c i="18" r="BQ39"/>
  <c i="18" r="BF39"/>
  <c i="18" r="BC39"/>
  <c i="18" r="J4"/>
  <c i="18" r="J7"/>
  <c i="1" r="BP76"/>
  <c i="1" r="CI42"/>
  <c i="18" r="O24" s="1"/>
  <c i="18" r="K24"/>
  <c i="18" r="BU38"/>
  <c i="18" r="CS38" s="1"/>
  <c i="18" r="J22"/>
  <c i="18" r="BT57"/>
  <c i="18" r="J5"/>
  <c i="18" r="AW44"/>
  <c i="18" r="AW34"/>
  <c i="18" r="AV121"/>
  <c i="18" r="AV147" s="1"/>
  <c i="18" r="BR41"/>
  <c i="18" r="BC41"/>
  <c i="18" r="BK41"/>
  <c i="18" r="W24" s="1"/>
  <c i="18" r="R24" s="1"/>
  <c i="18" r="BN41"/>
  <c i="18" r="BG41"/>
  <c i="18" r="AZ41"/>
  <c i="18" r="BQ41"/>
  <c i="18" r="BJ41"/>
  <c i="18" r="BF41"/>
  <c i="18" r="BB41"/>
  <c i="18" r="BM41"/>
  <c i="18" r="BP41"/>
  <c i="18" r="BA41"/>
  <c i="18" r="BI41"/>
  <c i="18" r="BE41"/>
  <c i="18" r="BL41"/>
  <c i="18" r="BS41"/>
  <c i="18" r="BO41"/>
  <c i="18" r="BD41"/>
  <c i="18" r="BH41"/>
  <c i="18" r="AW39"/>
  <c i="18" r="J13"/>
  <c i="18" r="BU44"/>
  <c i="18" r="CS44" s="1"/>
  <c i="18" r="AV126"/>
  <c i="18" r="AV152" s="1"/>
  <c i="18" r="BA46"/>
  <c i="18" r="BF46"/>
  <c i="18" r="BQ46"/>
  <c i="18" r="BC46"/>
  <c i="18" r="BK46"/>
  <c i="18" r="BH46"/>
  <c i="18" r="BP46"/>
  <c i="18" r="AZ46"/>
  <c i="18" r="BM46"/>
  <c i="18" r="BE46"/>
  <c i="18" r="BB46"/>
  <c i="18" r="BJ46"/>
  <c i="18" r="BR46"/>
  <c i="18" r="BO46"/>
  <c i="18" r="BG46"/>
  <c i="18" r="BS46"/>
  <c i="18" r="BN46"/>
  <c i="18" r="BL46"/>
  <c i="18" r="BD46"/>
  <c i="18" r="BI46"/>
  <c i="18" r="BU34"/>
  <c i="18" r="CS34" s="1"/>
  <c i="18" r="AV111"/>
  <c i="18" r="AV137" s="1"/>
  <c i="18" r="BR31"/>
  <c i="18" r="BG31"/>
  <c i="18" r="BM31"/>
  <c i="18" r="BD31"/>
  <c i="18" r="BA31"/>
  <c i="18" r="BQ31"/>
  <c i="18" r="BL31"/>
  <c i="18" r="BK31"/>
  <c i="18" r="BF31"/>
  <c i="18" r="BP31"/>
  <c i="18" r="BJ31"/>
  <c i="18" r="BC31"/>
  <c i="18" r="BI31"/>
  <c i="18" r="AZ31"/>
  <c i="18" r="BS31"/>
  <c i="18" r="BO31"/>
  <c i="18" r="BH31"/>
  <c i="18" r="BE31"/>
  <c i="18" r="BB31"/>
  <c i="18" r="BN31"/>
  <c i="18" r="BL57"/>
  <c i="18" r="BU39"/>
  <c i="18" r="CS39" s="1"/>
  <c i="18" r="J14"/>
  <c i="18" r="AW48"/>
  <c i="18" r="J20"/>
  <c i="1" r="BS68"/>
  <c i="18" r="J6"/>
  <c i="18" r="BU48"/>
  <c i="18" r="CS48" s="1"/>
  <c i="18" r="BO57"/>
  <c i="18" r="J15"/>
  <c i="1" r="BB67"/>
  <c i="18" r="J8"/>
  <c i="18" r="AW36"/>
  <c i="18" r="J9"/>
  <c i="18" r="AV120"/>
  <c i="18" r="AV146" s="1"/>
  <c i="18" r="BO40"/>
  <c i="18" r="BB40"/>
  <c i="18" r="BG40"/>
  <c i="18" r="BL40"/>
  <c i="18" r="AZ40"/>
  <c i="18" r="BD40"/>
  <c i="18" r="BJ40"/>
  <c i="18" r="BI40"/>
  <c i="18" r="BQ40"/>
  <c i="18" r="BS40"/>
  <c i="18" r="BN40"/>
  <c i="18" r="BR40"/>
  <c i="18" r="BF40"/>
  <c i="18" r="BA40"/>
  <c i="18" r="BK40"/>
  <c i="18" r="BH40"/>
  <c i="18" r="BC40"/>
  <c i="18" r="BP40"/>
  <c i="18" r="BM40"/>
  <c i="18" r="BE40"/>
  <c i="18" r="BU36"/>
  <c i="18" r="CS36" s="1"/>
  <c i="18" r="AV125"/>
  <c i="18" r="AV151" s="1"/>
  <c i="18" r="BG45"/>
  <c i="18" r="BJ45"/>
  <c i="18" r="BC45"/>
  <c i="18" r="BS45"/>
  <c i="18" r="BM45"/>
  <c i="18" r="BF45"/>
  <c i="18" r="AZ45"/>
  <c i="18" r="BB45"/>
  <c i="18" r="BP45"/>
  <c i="18" r="BI45"/>
  <c i="18" r="BL45"/>
  <c i="18" r="BN45"/>
  <c i="18" r="BE45"/>
  <c i="18" r="BA45"/>
  <c i="18" r="BR45"/>
  <c i="18" r="BH45"/>
  <c i="18" r="BK45"/>
  <c i="18" r="BO45"/>
  <c i="18" r="BD45"/>
  <c i="18" r="BQ45"/>
  <c i="18" r="BL37"/>
  <c i="18" r="BA37"/>
  <c i="18" r="BG37"/>
  <c i="18" r="BO37"/>
  <c i="18" r="BR37"/>
  <c i="18" r="BK37"/>
  <c i="18" r="BF37"/>
  <c i="18" r="BN37"/>
  <c i="18" r="BE37"/>
  <c i="18" r="AZ37"/>
  <c i="18" r="BJ37"/>
  <c i="18" r="BQ37"/>
  <c i="18" r="BC37"/>
  <c i="18" r="BM37"/>
  <c i="18" r="BI37"/>
  <c i="18" r="BD37"/>
  <c i="18" r="BP37"/>
  <c i="18" r="BB37"/>
  <c i="18" r="BS37"/>
  <c i="18" r="BH37"/>
  <c i="1" r="BS77"/>
  <c i="18" r="BE57"/>
  <c i="1" r="BA76"/>
  <c i="18" r="AV129"/>
  <c i="18" r="AV155" s="1"/>
  <c i="18" r="BF49"/>
  <c i="18" r="BO49"/>
  <c i="18" r="BI49"/>
  <c i="18" r="BK49"/>
  <c i="18" r="BB49"/>
  <c i="18" r="BQ49"/>
  <c i="18" r="BL49"/>
  <c i="18" r="BE49"/>
  <c i="18" r="BH49"/>
  <c i="18" r="BA49"/>
  <c i="18" r="BS49"/>
  <c i="18" r="BN49"/>
  <c i="18" r="BD49"/>
  <c i="18" r="BG49"/>
  <c i="18" r="BP49"/>
  <c i="18" r="BJ49"/>
  <c i="18" r="AZ49"/>
  <c i="18" r="BM49"/>
  <c i="18" r="BC49"/>
  <c i="18" r="BR49"/>
  <c i="1" r="BC67"/>
  <c i="1" r="BI72"/>
  <c i="1" r="AX65"/>
  <c i="1" r="BB81"/>
  <c i="1" r="AY81"/>
  <c i="1" r="BD77"/>
  <c i="1" r="BE75"/>
  <c i="1" r="AX75"/>
  <c i="1" r="BJ61"/>
  <c i="1" r="BQ80"/>
  <c i="1" r="BQ68"/>
  <c i="1" r="BE76"/>
  <c i="1" r="AX76"/>
  <c i="1" r="BL71"/>
  <c i="1" r="BS61"/>
  <c i="1" r="BR73"/>
  <c i="1" r="BA61"/>
  <c i="1" r="BS82"/>
  <c i="1" r="BP82"/>
  <c i="1" r="BC77"/>
  <c i="1" r="BP69"/>
  <c i="1" r="AZ82"/>
  <c i="1" r="BC72"/>
  <c i="1" r="BD80"/>
  <c i="1" r="BE81"/>
  <c i="1" r="BA67"/>
  <c i="1" r="AY74"/>
  <c i="1" r="BE79"/>
  <c i="1" r="BB79"/>
  <c i="1" r="BK73"/>
  <c i="1" r="BB66"/>
  <c i="1" r="BH78"/>
  <c i="1" r="BB61"/>
  <c i="1" r="BO68"/>
  <c i="1" r="BJ81"/>
  <c i="1" r="BL66"/>
  <c i="1" r="BL77"/>
  <c i="1" r="BF77"/>
  <c i="1" r="BO71"/>
  <c i="1" r="BF64"/>
  <c i="1" r="BL76"/>
  <c i="1" r="BP71"/>
  <c i="1" r="AZ72"/>
  <c i="1" r="BN81"/>
  <c i="1" r="BR70"/>
  <c i="1" r="BS69"/>
  <c i="1" r="BJ62"/>
  <c i="1" r="AX82"/>
  <c i="1" r="BG63"/>
  <c i="1" r="BH68"/>
  <c i="1" r="AX74"/>
  <c i="1" r="BB80"/>
  <c i="1" r="BK75"/>
  <c i="1" r="BM77"/>
  <c i="1" r="BE66"/>
  <c i="1" r="BM80"/>
  <c i="1" r="BP63"/>
  <c i="1" r="BG64"/>
  <c i="1" r="BD70"/>
  <c i="1" r="BI64"/>
  <c i="1" r="BQ78"/>
  <c i="1" r="AX62"/>
  <c i="1" r="BC65"/>
  <c i="1" r="BL63"/>
  <c i="1" r="AY77"/>
  <c i="1" r="BB74"/>
  <c i="1" r="BR66"/>
  <c i="1" r="AY67"/>
  <c i="1" r="BN66"/>
  <c i="1" r="BC75"/>
  <c i="1" r="BQ72"/>
  <c i="1" r="BB68"/>
  <c i="1" r="BQ75"/>
  <c i="1" r="BG73"/>
  <c i="1" r="AY71"/>
  <c i="1" r="BE80"/>
  <c i="1" r="AZ77"/>
  <c i="1" r="BM61"/>
  <c i="1" r="BA63"/>
  <c i="1" r="BB65"/>
  <c i="1" r="BN73"/>
  <c i="1" r="BS79"/>
  <c i="1" r="BG68"/>
  <c i="1" r="BO81"/>
  <c i="1" r="BE72"/>
  <c i="1" r="AZ63"/>
  <c i="1" r="BS62"/>
  <c i="1" r="BP62"/>
  <c i="1" r="BL82"/>
  <c i="1" r="AX66"/>
  <c i="1" r="BG67"/>
  <c i="1" r="BB82"/>
  <c i="1" r="BM76"/>
  <c i="1" r="BQ62"/>
  <c i="1" r="BD74"/>
  <c i="1" r="BF76"/>
  <c i="1" r="AX67"/>
  <c i="1" r="BD61"/>
  <c i="1" r="AZ70"/>
  <c i="1" r="BS75"/>
  <c i="1" r="BD63"/>
  <c i="1" r="BH74"/>
  <c i="1" r="AX78"/>
  <c i="1" r="BI70"/>
  <c i="1" r="AZ61"/>
  <c i="1" r="BP77"/>
  <c i="1" r="BO82"/>
  <c i="1" r="BP80"/>
  <c i="1" r="BB64"/>
  <c i="1" r="BC78"/>
  <c i="1" r="BF80"/>
  <c i="1" r="BJ82"/>
  <c i="1" r="BH72"/>
  <c i="1" r="BA81"/>
  <c i="1" r="BH79"/>
  <c i="1" r="BM75"/>
  <c i="1" r="BD67"/>
  <c i="1" r="BR71"/>
  <c i="1" r="BM62"/>
  <c i="1" r="BA74"/>
  <c i="1" r="BG74"/>
  <c i="1" r="BB76"/>
  <c i="1" r="BM68"/>
  <c i="1" r="BC81"/>
  <c i="1" r="BR82"/>
  <c i="1" r="BS80"/>
  <c i="1" r="AX79"/>
  <c i="1" r="BF62"/>
  <c i="1" r="BG76"/>
  <c i="1" r="AZ78"/>
  <c i="1" r="BE68"/>
  <c i="1" r="BH73"/>
  <c i="1" r="BK63"/>
  <c i="1" r="BN72"/>
  <c i="1" r="AZ69"/>
  <c i="1" r="BC70"/>
  <c i="1" r="BI61"/>
  <c i="1" r="BH66"/>
  <c i="1" r="BP79"/>
  <c i="1" r="BD76"/>
  <c i="1" r="BF74"/>
  <c i="1" r="BQ66"/>
  <c i="1" r="BG79"/>
  <c i="1" r="AZ81"/>
  <c i="1" r="BA79"/>
  <c i="1" r="BB77"/>
  <c i="1" r="BH81"/>
  <c i="1" r="BK74"/>
  <c i="1" r="BF66"/>
  <c i="1" r="BN62"/>
  <c i="1" r="BN79"/>
  <c i="1" r="BP64"/>
  <c i="1" r="AZ76"/>
  <c i="1" r="BA65"/>
  <c i="1" r="AX68"/>
  <c i="1" r="BF63"/>
  <c i="1" r="AY72"/>
  <c i="1" r="BO77"/>
  <c i="1" r="BA78"/>
  <c i="1" r="BM72"/>
  <c i="1" r="BJ72"/>
  <c i="1" r="AY65"/>
  <c i="1" r="BK77"/>
  <c i="1" r="BD79"/>
  <c i="1" r="BE77"/>
  <c i="1" r="BF75"/>
  <c i="1" r="AY75"/>
  <c i="1" r="BO72"/>
  <c i="1" r="BJ77"/>
  <c i="1" r="BL73"/>
  <c i="1" r="BK62"/>
  <c i="1" r="BA82"/>
  <c i="1" r="BG65"/>
  <c i="1" r="BR80"/>
  <c i="1" r="AX63"/>
  <c i="1" r="BS64"/>
  <c i="1" r="BD81"/>
  <c i="1" r="BI77"/>
  <c i="1" r="BQ73"/>
  <c i="1" r="BK79"/>
  <c i="1" r="BR64"/>
  <c i="8" r="S35"/>
  <c i="1" r="BL72"/>
  <c i="1" r="BN70"/>
  <c i="1" r="BC63"/>
  <c i="1" r="BO75"/>
  <c i="1" r="BH77"/>
  <c i="1" r="BI75"/>
  <c i="1" r="BJ73"/>
  <c i="1" r="BC73"/>
  <c i="1" r="BS70"/>
  <c i="1" r="BG80"/>
  <c i="1" r="BI74"/>
  <c i="1" r="AX61"/>
  <c i="1" r="BN80"/>
  <c i="1" r="BI66"/>
  <c i="1" r="BG70"/>
  <c i="1" r="BK68"/>
  <c i="1" r="BE61"/>
  <c i="1" r="BB78"/>
  <c i="1" r="BJ74"/>
  <c i="1" r="BA68"/>
  <c i="1" r="BK66"/>
  <c i="1" r="BJ63"/>
  <c i="1" r="BR68"/>
  <c i="1" r="BC61"/>
  <c i="1" r="BS73"/>
  <c i="1" r="BL75"/>
  <c i="1" r="BM73"/>
  <c i="1" r="BN71"/>
  <c i="1" r="BG71"/>
  <c i="1" r="BA69"/>
  <c i="1" r="BG77"/>
  <c i="1" r="BI78"/>
  <c i="1" r="BF65"/>
  <c i="1" r="BM82"/>
  <c i="1" r="AY79"/>
  <c i="1" r="AX81"/>
  <c i="1" r="BL61"/>
  <c i="1" r="BI82"/>
  <c i="1" r="BH65"/>
  <c i="1" r="AX70"/>
  <c i="1" r="BK72"/>
  <c i="1" r="AZ67"/>
  <c i="1" r="BF81"/>
  <c i="1" r="BA72"/>
  <c i="1" r="BP73"/>
  <c i="1" r="BQ71"/>
  <c i="1" r="BR69"/>
  <c i="1" r="BK69"/>
  <c i="1" r="BE67"/>
  <c i="1" r="BA70"/>
  <c i="1" r="BM64"/>
  <c i="1" r="BQ74"/>
  <c i="1" r="BO66"/>
  <c i="1" r="BP75"/>
  <c i="1" r="BF70"/>
  <c i="1" r="BQ79"/>
  <c i="1" r="BO64"/>
  <c i="1" r="BQ70"/>
  <c i="1" r="BD65"/>
  <c i="1" r="BJ79"/>
  <c i="1" r="BE70"/>
  <c i="1" r="AX72"/>
  <c i="1" r="AY70"/>
  <c i="1" r="AZ68"/>
  <c i="1" r="BO67"/>
  <c i="1" r="BI65"/>
  <c i="1" r="BJ64"/>
  <c i="1" r="BI81"/>
  <c i="1" r="BG75"/>
  <c i="1" r="BJ75"/>
  <c i="1" r="BB72"/>
  <c i="1" r="BD68"/>
  <c i="1" r="BL64"/>
  <c i="1" r="BP70"/>
  <c i="1" r="BH63"/>
  <c i="1" r="BN77"/>
  <c i="1" r="BI68"/>
  <c i="1" r="BB70"/>
  <c i="1" r="BC68"/>
  <c i="1" r="BD66"/>
  <c i="1" r="BS65"/>
  <c i="1" r="BM63"/>
  <c i="1" r="BC66"/>
  <c i="1" r="BO73"/>
  <c i="1" r="BG61"/>
  <c i="1" r="BD75"/>
  <c i="1" r="BP81"/>
  <c i="1" r="AX80"/>
  <c i="1" r="BL70"/>
  <c i="1" r="BG81"/>
  <c i="1" r="BE65"/>
  <c i="1" r="BR79"/>
  <c i="1" r="BL81"/>
  <c i="1" r="BO70"/>
  <c i="1" r="BH61"/>
  <c i="1" r="BR75"/>
  <c i="1" r="BM66"/>
  <c i="1" r="BF68"/>
  <c i="1" r="BG66"/>
  <c i="1" r="BH64"/>
  <c i="1" r="BA64"/>
  <c i="1" r="BN75"/>
  <c i="1" r="BS71"/>
  <c i="1" r="BR78"/>
  <c i="1" r="BR77"/>
  <c i="1" r="BH82"/>
  <c i="1" r="BP68"/>
  <c i="1" r="BI63"/>
  <c i="1" r="BK61"/>
  <c i="1" r="BM81"/>
  <c i="1" r="BJ68"/>
  <c i="1" r="AY69"/>
  <c i="1" r="BK81"/>
  <c i="1" r="AZ74"/>
  <c i="1" r="BQ64"/>
  <c i="1" r="BJ66"/>
  <c i="1" r="BK64"/>
  <c i="1" r="BL62"/>
  <c i="1" r="BE62"/>
  <c i="1" r="CR12"/>
  <c i="17" r="X64"/>
  <c i="17" r="J62"/>
  <c i="17" r="I76"/>
  <c i="17" r="H77"/>
  <c i="17" r="U72"/>
  <c i="17" r="F79"/>
  <c i="17" r="K73"/>
  <c i="17" r="F67"/>
  <c i="17" r="U71"/>
  <c i="17" r="H61"/>
  <c i="17" r="I66"/>
  <c i="17" r="I74"/>
  <c i="17" r="O61"/>
  <c i="17" r="L66"/>
  <c i="17" r="O63"/>
  <c i="17" r="X70"/>
  <c i="17" r="W59"/>
  <c i="17" r="E59"/>
  <c i="17" r="I72"/>
  <c i="17" r="Q67"/>
  <c i="17" r="Q60"/>
  <c i="17" r="L77"/>
  <c i="17" r="O70"/>
  <c i="17" r="T64"/>
  <c i="17" r="Q75"/>
  <c i="17" r="E78"/>
  <c i="17" r="I60"/>
  <c i="17" r="F68"/>
  <c i="17" r="N61"/>
  <c i="17" r="J75"/>
  <c i="17" r="T78"/>
  <c i="17" r="S79"/>
  <c i="17" r="N69"/>
  <c i="17" r="O74"/>
  <c i="17" r="Q73"/>
  <c i="17" r="I75"/>
  <c i="17" r="C77"/>
  <c i="17" r="R66"/>
  <c i="17" r="N79"/>
  <c i="17" r="W71"/>
  <c i="17" r="C62"/>
  <c i="17" r="L73"/>
  <c i="17" r="N72"/>
  <c i="17" r="G79"/>
  <c i="17" r="E76"/>
  <c i="17" r="P66"/>
  <c i="17" r="O71"/>
  <c i="17" r="R76"/>
  <c i="17" r="R65"/>
  <c i="17" r="I65"/>
  <c i="17" r="W68"/>
  <c i="17" r="X79"/>
  <c i="17" r="K64"/>
  <c i="17" r="K70"/>
  <c i="17" r="K71"/>
  <c i="17" r="G60"/>
  <c i="17" r="P72"/>
  <c i="17" r="W75"/>
  <c i="17" r="C72"/>
  <c i="17" r="S74"/>
  <c i="17" r="I59"/>
  <c i="17" r="D77"/>
  <c i="17" r="R77"/>
  <c i="17" r="W58"/>
  <c i="17" r="V65"/>
  <c i="17" r="L69"/>
  <c i="17" r="M72"/>
  <c i="17" r="E79"/>
  <c i="17" r="O64"/>
  <c i="17" r="N75"/>
  <c i="17" r="O66"/>
  <c i="17" r="U68"/>
  <c i="17" r="F74"/>
  <c i="17" r="W69"/>
  <c i="17" r="V64"/>
  <c i="17" r="F71"/>
  <c i="17" r="L62"/>
  <c i="17" r="R72"/>
  <c i="17" r="S76"/>
  <c i="17" r="W66"/>
  <c i="17" r="O75"/>
  <c i="17" r="S75"/>
  <c i="17" r="D73"/>
  <c i="17" r="D58"/>
  <c i="17" r="T62"/>
  <c i="17" r="L79"/>
  <c i="17" r="K78"/>
  <c i="17" r="C70"/>
  <c i="17" r="W63"/>
  <c i="17" r="K79"/>
  <c i="17" r="K58"/>
  <c i="17" r="X77"/>
  <c i="17" r="K77"/>
  <c i="17" r="T79"/>
  <c i="17" r="P64"/>
  <c i="17" r="F65"/>
  <c i="17" r="G58"/>
  <c i="17" r="S60"/>
  <c i="17" r="F62"/>
  <c i="17" r="C74"/>
  <c i="17" r="I58"/>
  <c i="17" r="S77"/>
  <c i="17" r="S68"/>
  <c i="17" r="V66"/>
  <c i="17" r="X65"/>
  <c i="17" r="V60"/>
  <c i="17" r="M76"/>
  <c i="17" r="I63"/>
  <c i="17" r="L76"/>
  <c i="17" r="J61"/>
  <c i="17" r="T68"/>
  <c i="17" r="T67"/>
  <c i="17" r="Q65"/>
  <c i="17" r="K68"/>
  <c i="17" r="H63"/>
  <c i="17" r="H66"/>
  <c i="17" r="N78"/>
  <c i="17" r="D79"/>
  <c i="17" r="L74"/>
  <c i="17" r="W79"/>
  <c i="17" r="Q71"/>
  <c i="17" r="F63"/>
  <c i="17" r="F76"/>
  <c i="17" r="M64"/>
  <c i="17" r="W64"/>
  <c i="17" r="V74"/>
  <c i="17" r="N58"/>
  <c i="17" r="X73"/>
  <c i="17" r="V79"/>
  <c i="17" r="J71"/>
  <c i="17" r="O79"/>
  <c i="17" r="W72"/>
  <c i="17" r="E77"/>
  <c i="17" r="P69"/>
  <c i="17" r="X59"/>
  <c i="17" r="N64"/>
  <c i="17" r="O67"/>
  <c i="17" r="F64"/>
  <c i="17" r="R59"/>
  <c i="17" r="R70"/>
  <c i="17" r="L59"/>
  <c i="17" r="F75"/>
  <c i="17" r="O60"/>
  <c i="17" r="T75"/>
  <c i="17" r="Q70"/>
  <c i="17" r="V67"/>
  <c i="17" r="P78"/>
  <c i="17" r="F72"/>
  <c i="17" r="G73"/>
  <c i="17" r="E60"/>
  <c i="17" r="G62"/>
  <c i="17" r="O78"/>
  <c i="17" r="F60"/>
  <c i="17" r="X63"/>
  <c i="17" r="D62"/>
  <c i="17" r="H70"/>
  <c i="17" r="F77"/>
  <c i="17" r="X69"/>
  <c i="17" r="E58"/>
  <c i="17" r="K67"/>
  <c i="17" r="Q77"/>
  <c i="17" r="H60"/>
  <c i="17" r="E69"/>
  <c i="17" r="X76"/>
  <c i="17" r="P58"/>
  <c i="17" r="P59"/>
  <c i="17" r="P75"/>
  <c i="17" r="H78"/>
  <c i="17" r="T77"/>
  <c i="17" r="C65"/>
  <c i="17" r="C63"/>
  <c i="17" r="M65"/>
  <c i="17" r="C58"/>
  <c i="17" r="P67"/>
  <c i="17" r="L61"/>
  <c i="17" r="J72"/>
  <c i="17" r="C64"/>
  <c i="17" r="I67"/>
  <c i="17" r="F78"/>
  <c i="17" r="V63"/>
  <c i="17" r="E67"/>
  <c i="17" r="E65"/>
  <c i="17" r="P63"/>
  <c i="17" r="H65"/>
  <c i="17" r="J73"/>
  <c i="17" r="N76"/>
  <c i="17" r="S62"/>
  <c i="17" r="G75"/>
  <c i="17" r="C67"/>
  <c i="17" r="J67"/>
  <c i="17" r="D78"/>
  <c i="17" r="C59"/>
  <c i="17" r="W60"/>
  <c i="17" r="M67"/>
  <c i="17" r="C68"/>
  <c i="17" r="U73"/>
  <c i="17" r="R60"/>
  <c i="17" r="U69"/>
  <c i="17" r="D66"/>
  <c i="17" r="V69"/>
  <c i="17" r="J69"/>
  <c i="17" r="D68"/>
  <c i="17" r="F73"/>
  <c i="17" r="H67"/>
  <c i="17" r="Q74"/>
  <c i="17" r="K59"/>
  <c i="17" r="O59"/>
  <c i="17" r="J78"/>
  <c i="17" r="K76"/>
  <c i="17" r="G74"/>
  <c i="17" r="T60"/>
  <c i="17" r="Q62"/>
  <c i="17" r="R62"/>
  <c i="17" r="C78"/>
  <c i="17" r="P71"/>
  <c i="17" r="H59"/>
  <c i="17" r="D69"/>
  <c i="17" r="U77"/>
  <c i="17" r="M58"/>
  <c i="17" r="E64"/>
  <c i="17" r="V78"/>
  <c i="17" r="R74"/>
  <c i="17" r="M60"/>
  <c i="17" r="R63"/>
  <c i="17" r="W74"/>
  <c i="17" r="G63"/>
  <c i="17" r="Q58"/>
  <c i="17" r="U66"/>
  <c i="17" r="Q63"/>
  <c i="17" r="R79"/>
  <c i="17" r="H71"/>
  <c i="17" r="V62"/>
  <c i="17" r="U76"/>
  <c i="17" r="C75"/>
  <c i="17" r="P79"/>
  <c i="17" r="P60"/>
  <c i="17" r="J59"/>
  <c i="17" r="L60"/>
  <c i="17" r="K65"/>
  <c i="17" r="L65"/>
  <c i="17" r="Q79"/>
  <c i="17" r="I71"/>
  <c i="17" r="L75"/>
  <c i="17" r="E75"/>
  <c i="17" r="H74"/>
  <c i="17" r="E71"/>
  <c i="17" r="D64"/>
  <c i="17" r="V70"/>
  <c i="17" r="D60"/>
  <c i="17" r="X68"/>
  <c i="17" r="G66"/>
  <c i="17" r="E61"/>
  <c i="17" r="D67"/>
  <c i="17" r="H68"/>
  <c i="17" r="W67"/>
  <c i="17" r="N66"/>
  <c i="17" r="S69"/>
  <c i="17" r="S61"/>
  <c i="17" r="W73"/>
  <c i="17" r="X60"/>
  <c i="17" r="H73"/>
  <c i="17" r="O69"/>
  <c i="17" r="L71"/>
  <c i="17" r="N65"/>
  <c i="17" r="G65"/>
  <c i="17" r="E73"/>
  <c i="17" r="H79"/>
  <c i="17" r="S78"/>
  <c i="17" r="C73"/>
  <c i="17" r="X72"/>
  <c i="17" r="X74"/>
  <c i="17" r="J58"/>
  <c i="17" r="J64"/>
  <c i="17" r="G61"/>
  <c i="17" r="Q78"/>
  <c i="17" r="W76"/>
  <c i="17" r="I77"/>
  <c i="17" r="E72"/>
  <c i="17" r="J68"/>
  <c i="17" r="K63"/>
  <c i="17" r="G68"/>
  <c i="17" r="I70"/>
  <c i="17" r="U65"/>
  <c i="17" r="N63"/>
  <c i="17" r="S72"/>
  <c i="17" r="N73"/>
  <c i="17" r="D71"/>
  <c i="17" r="I78"/>
  <c i="17" r="R58"/>
  <c i="17" r="P76"/>
  <c i="17" r="Q64"/>
  <c i="17" r="T69"/>
  <c i="17" r="M73"/>
  <c i="17" r="N62"/>
  <c i="17" r="C61"/>
  <c i="17" r="O73"/>
  <c i="17" r="V58"/>
  <c i="17" r="U78"/>
  <c i="17" r="F61"/>
  <c i="17" r="J70"/>
  <c i="17" r="H69"/>
  <c i="17" r="R68"/>
  <c i="17" r="D59"/>
  <c i="17" r="G64"/>
  <c i="17" r="G72"/>
  <c i="17" r="T72"/>
  <c i="17" r="Q69"/>
  <c i="17" r="O65"/>
  <c i="17" r="P73"/>
  <c i="17" r="C69"/>
  <c i="17" r="Q68"/>
  <c i="17" r="J65"/>
  <c i="17" r="G70"/>
  <c i="17" r="W62"/>
  <c i="17" r="W61"/>
  <c i="17" r="N77"/>
  <c i="17" r="M69"/>
  <c i="17" r="D70"/>
  <c i="17" r="V59"/>
  <c i="17" r="N70"/>
  <c i="17" r="D61"/>
  <c i="17" r="Q76"/>
  <c i="17" r="T59"/>
  <c i="17" r="T65"/>
  <c i="17" r="O77"/>
  <c i="17" r="K66"/>
  <c i="17" r="E68"/>
  <c i="17" r="U62"/>
  <c i="17" r="X58"/>
  <c i="17" r="P74"/>
  <c i="17" r="R64"/>
  <c i="17" r="C76"/>
  <c i="17" r="P77"/>
  <c i="17" r="F66"/>
  <c i="17" r="J77"/>
  <c i="17" r="E74"/>
  <c i="17" r="H62"/>
  <c i="17" r="E70"/>
  <c i="17" r="S67"/>
  <c i="17" r="S71"/>
  <c i="17" r="D74"/>
  <c i="17" r="G67"/>
  <c i="17" r="H64"/>
  <c i="17" r="G69"/>
  <c i="17" r="U61"/>
  <c i="17" r="O58"/>
  <c i="17" r="M79"/>
  <c i="17" r="S64"/>
  <c i="17" r="U64"/>
  <c i="17" r="D65"/>
  <c i="17" r="U59"/>
  <c i="17" r="V71"/>
  <c i="17" r="U79"/>
  <c i="17" r="M66"/>
  <c i="17" r="W65"/>
  <c i="17" r="R69"/>
  <c i="17" r="M71"/>
  <c i="17" r="M70"/>
  <c i="17" r="U60"/>
  <c i="17" r="G77"/>
  <c i="17" r="R71"/>
  <c i="17" r="N71"/>
  <c i="17" r="D76"/>
  <c i="17" r="Q66"/>
  <c i="17" r="X67"/>
  <c i="17" r="T73"/>
  <c i="17" r="L68"/>
  <c i="17" r="U70"/>
  <c i="17" r="F69"/>
  <c i="17" r="F59"/>
  <c i="17" r="K72"/>
  <c i="17" r="O76"/>
  <c i="17" r="R61"/>
  <c i="17" r="T58"/>
  <c i="17" r="L58"/>
  <c i="17" r="N68"/>
  <c i="17" r="U67"/>
  <c i="17" r="V77"/>
  <c i="17" r="X62"/>
  <c i="17" r="L78"/>
  <c i="17" r="M61"/>
  <c i="17" r="P61"/>
  <c i="17" r="S59"/>
  <c i="17" r="X78"/>
  <c i="17" r="V73"/>
  <c i="17" r="K75"/>
  <c i="17" r="M77"/>
  <c i="17" r="M68"/>
  <c i="17" r="C71"/>
  <c i="17" r="S73"/>
  <c i="17" r="E62"/>
  <c i="17" r="X66"/>
  <c i="17" r="T70"/>
  <c i="17" r="V76"/>
  <c i="17" r="H72"/>
  <c i="17" r="X75"/>
  <c i="17" r="Q72"/>
  <c i="17" r="R73"/>
  <c i="17" r="I73"/>
  <c i="17" r="N59"/>
  <c i="17" r="G76"/>
  <c i="17" r="F70"/>
  <c i="17" r="G78"/>
  <c i="17" r="H76"/>
  <c i="17" r="P70"/>
  <c i="17" r="D75"/>
  <c i="17" r="L63"/>
  <c i="17" r="T66"/>
  <c i="17" r="C79"/>
  <c i="17" r="Q59"/>
  <c i="17" r="R78"/>
  <c i="17" r="T76"/>
  <c i="17" r="V68"/>
  <c i="17" r="K61"/>
  <c i="17" r="X71"/>
  <c i="17" r="U63"/>
  <c i="17" r="V61"/>
  <c i="17" r="W70"/>
  <c i="17" r="M59"/>
  <c i="17" r="T61"/>
  <c i="17" r="S58"/>
  <c i="17" r="I79"/>
  <c i="17" r="I61"/>
  <c i="17" r="T71"/>
  <c i="17" r="H58"/>
  <c i="17" r="V72"/>
  <c i="17" r="L72"/>
  <c i="17" r="U58"/>
  <c i="17" r="I69"/>
  <c i="17" r="H75"/>
  <c i="17" r="R75"/>
  <c i="17" r="Q61"/>
  <c i="17" r="M74"/>
  <c i="17" r="G59"/>
  <c i="17" r="E63"/>
  <c i="17" r="R67"/>
  <c i="17" r="E66"/>
  <c i="17" r="D63"/>
  <c i="17" r="W78"/>
  <c i="17" r="N67"/>
  <c i="17" r="J66"/>
  <c i="17" r="C66"/>
  <c i="17" r="S66"/>
  <c i="17" r="O68"/>
  <c i="17" r="L64"/>
  <c i="17" r="M75"/>
  <c i="17" r="D72"/>
  <c i="17" r="M63"/>
  <c i="17" r="V75"/>
  <c i="17" r="W77"/>
  <c i="17" r="J74"/>
  <c i="17" r="J79"/>
  <c i="17" r="P62"/>
  <c i="17" r="N60"/>
  <c i="17" r="P68"/>
  <c i="17" r="K62"/>
  <c i="17" r="I62"/>
  <c i="17" r="S63"/>
  <c i="17" r="I68"/>
  <c i="17" r="M78"/>
  <c i="17" r="S65"/>
  <c i="17" r="L70"/>
  <c i="17" r="K60"/>
  <c i="17" r="T74"/>
  <c i="17" r="U75"/>
  <c i="1" r="CC42"/>
  <c i="17" r="X61"/>
  <c i="17" r="J76"/>
  <c i="17" r="K74"/>
  <c i="17" r="P65"/>
  <c i="1" r="BP74"/>
  <c i="17" r="T63"/>
  <c i="1" r="AX73"/>
  <c i="17" r="J63"/>
  <c i="1" r="BP78"/>
  <c i="1" r="BB71"/>
  <c i="17" r="O62"/>
  <c i="1" r="BN69"/>
  <c i="1" r="BF69"/>
  <c i="17" r="L67"/>
  <c i="1" r="BD64"/>
  <c i="1" r="BA71"/>
  <c i="17" r="S70"/>
  <c i="1" r="BK80"/>
  <c i="1" r="BE69"/>
  <c i="17" r="C60"/>
  <c i="1" r="BG62"/>
  <c i="1" r="BI67"/>
  <c i="17" r="M62"/>
  <c i="1" r="BE82"/>
  <c i="1" r="BM65"/>
  <c i="17" r="F58"/>
  <c i="1" r="BI80"/>
  <c i="1" r="BQ63"/>
  <c i="17" r="J60"/>
  <c i="1" r="BM78"/>
  <c i="1" r="AY62"/>
  <c i="1" r="CI36"/>
  <c i="17" r="N74"/>
  <c i="17" r="I64"/>
  <c i="1" r="BQ76"/>
  <c i="1" r="BJ71"/>
  <c i="17" r="U74"/>
  <c i="17" r="K69"/>
  <c i="1" r="BE63"/>
  <c i="1" r="CI33"/>
  <c i="1" r="BL80"/>
  <c i="1" r="BJ78"/>
  <c i="1" r="BF73"/>
  <c i="1" r="BN76"/>
  <c i="1" r="BR67"/>
  <c i="1" r="BK71"/>
  <c i="1" r="BR74"/>
  <c i="1" r="AZ66"/>
  <c i="1" r="BO69"/>
  <c i="1" r="AZ73"/>
  <c i="1" r="BH62"/>
  <c i="1" r="BS67"/>
  <c i="1" r="BD71"/>
  <c i="1" r="BP61"/>
  <c i="1" r="BA66"/>
  <c i="1" r="BH69"/>
  <c i="1" r="BS81"/>
  <c i="1" r="BE64"/>
  <c i="1" r="BL67"/>
  <c i="1" r="BA80"/>
  <c i="1" r="BI62"/>
  <c i="1" r="BP65"/>
  <c i="1" r="BE78"/>
  <c i="1" r="CI35"/>
  <c i="1" r="AY76"/>
  <c i="1" r="AX64"/>
  <c i="1" r="BI76"/>
  <c i="1" r="CI28"/>
  <c i="1" r="BS76"/>
  <c i="1" r="BB62"/>
  <c i="1" r="BM74"/>
  <c i="1" r="CI23"/>
  <c i="1" r="BC69"/>
  <c i="1" r="BA75"/>
  <c i="1" r="BK78"/>
  <c i="1" r="BJ67"/>
  <c i="1" r="BK65"/>
  <c i="1" r="BE73"/>
  <c i="1" r="BO76"/>
  <c i="1" r="BN65"/>
  <c i="1" r="BO63"/>
  <c i="1" r="BI71"/>
  <c i="1" r="BS74"/>
  <c i="1" r="BR63"/>
  <c i="1" r="BS66"/>
  <c i="1" r="BM69"/>
  <c i="1" r="BA73"/>
  <c i="1" r="AZ62"/>
  <c i="1" r="BO61"/>
  <c i="1" r="BQ67"/>
  <c i="1" r="BE71"/>
  <c i="1" r="BL79"/>
  <c i="1" r="BR81"/>
  <c i="1" r="AY66"/>
  <c i="1" r="BI69"/>
  <c i="1" r="BR61"/>
  <c i="1" r="AZ80"/>
  <c i="1" r="CI32"/>
  <c i="1" r="BR76"/>
  <c i="1" r="BM67"/>
  <c i="1" r="AY82"/>
  <c i="1" r="BD78"/>
  <c i="1" r="BM71"/>
  <c i="1" r="AZ75"/>
  <c i="1" r="BQ65"/>
  <c i="1" r="BC80"/>
  <c i="1" r="BH76"/>
  <c i="1" r="CI37"/>
  <c i="1" r="BQ69"/>
  <c i="1" r="BD73"/>
  <c i="1" r="AY64"/>
  <c i="1" r="BG78"/>
  <c i="1" r="BL74"/>
  <c i="1" r="AY68"/>
  <c i="1" r="BH71"/>
  <c i="1" r="BC62"/>
  <c i="1" r="BK76"/>
  <c i="1" r="BP72"/>
  <c i="1" r="CI31"/>
  <c i="1" r="BL69"/>
  <c i="1" r="BF61"/>
  <c i="1" r="BO74"/>
  <c i="1" r="BB69"/>
  <c i="1" r="BP67"/>
  <c i="1" r="BN68"/>
  <c i="1" r="BS72"/>
  <c i="1" r="BF67"/>
  <c i="1" r="CI41"/>
  <c i="1" r="BQ61"/>
  <c i="1" r="AX71"/>
  <c i="1" r="CB42"/>
  <c i="1" r="CF30" s="1"/>
  <c i="18" r="L12" s="1"/>
  <c i="1" r="BC64"/>
  <c i="1" r="BB73"/>
  <c i="1" r="AY73"/>
  <c i="1" r="BF78"/>
  <c i="1" r="BJ65"/>
  <c i="1" r="BQ77"/>
  <c i="1" r="BF71"/>
  <c i="1" r="BC71"/>
  <c i="1" r="BJ76"/>
  <c i="1" r="BN63"/>
  <c i="1" r="BJ70"/>
  <c i="1" r="BJ69"/>
  <c i="1" r="BG69"/>
  <c i="1" r="BN74"/>
  <c i="1" r="BK70"/>
  <c i="1" r="AX77"/>
  <c i="1" r="BN67"/>
  <c i="1" r="BK67"/>
  <c i="1" r="BR72"/>
  <c i="1" r="BB75"/>
  <c i="1" r="BO78"/>
  <c i="1" r="BR65"/>
  <c i="1" r="BO65"/>
  <c i="1" r="AZ71"/>
  <c i="1" r="BG82"/>
  <c i="1" r="CI39"/>
  <c i="1" r="CI22"/>
  <c i="1" r="BF82"/>
  <c i="1" r="AZ64"/>
  <c i="1" r="BS63"/>
  <c i="1" r="BD69"/>
  <c i="1" r="BN61"/>
  <c i="1" r="AU55"/>
  <c i="1" r="CR13" s="1"/>
  <c i="1" r="BJ80"/>
  <c i="1" r="BD62"/>
  <c i="1" r="BA62"/>
  <c i="1" r="BH67"/>
  <c i="1" r="BQ81"/>
  <c i="1" r="CI38"/>
  <c i="1" r="BN78"/>
  <c i="1" r="BG72"/>
  <c i="1" r="BM79"/>
  <c i="1" r="BL65"/>
  <c i="1" r="AY80"/>
  <c i="1" r="CI29"/>
  <c i="1" r="CI34"/>
  <c i="1" r="CD42"/>
  <c i="1" r="AC81"/>
  <c i="1" r="AG79"/>
  <c i="1" r="AK77"/>
  <c i="1" r="AO75"/>
  <c i="1" r="AS73"/>
  <c i="1" r="AA72"/>
  <c i="1" r="AE70"/>
  <c i="1" r="AI68"/>
  <c i="1" r="AM66"/>
  <c i="1" r="AQ64"/>
  <c i="1" r="AU62"/>
  <c i="1" r="AC61"/>
  <c i="1" r="AU61"/>
  <c i="1" r="AP70"/>
  <c i="1" r="AJ72"/>
  <c i="1" r="AE81"/>
  <c i="1" r="AT82"/>
  <c i="1" r="AB81"/>
  <c i="1" r="AF79"/>
  <c i="1" r="AJ77"/>
  <c i="1" r="AN75"/>
  <c i="1" r="AR73"/>
  <c i="1" r="Z72"/>
  <c i="1" r="AD70"/>
  <c i="1" r="AH68"/>
  <c i="1" r="AL66"/>
  <c i="1" r="AP64"/>
  <c i="1" r="AT62"/>
  <c i="1" r="AB61"/>
  <c i="1" r="AR72"/>
  <c i="1" r="AR70"/>
  <c i="1" r="AR79"/>
  <c i="1" r="AL81"/>
  <c i="1" r="AH61"/>
  <c i="1" r="AS82"/>
  <c i="1" r="AA81"/>
  <c i="1" r="AE79"/>
  <c i="1" r="AI77"/>
  <c i="1" r="AM75"/>
  <c i="1" r="AQ73"/>
  <c i="1" r="AU71"/>
  <c i="1" r="AC70"/>
  <c i="1" r="AG68"/>
  <c i="1" r="AK66"/>
  <c i="1" r="AO64"/>
  <c i="1" r="AS62"/>
  <c i="1" r="AA61"/>
  <c i="1" r="AJ65"/>
  <c i="1" r="AP61"/>
  <c i="1" r="AO61"/>
  <c i="1" r="AJ63"/>
  <c i="1" r="AE65"/>
  <c i="1" r="AR82"/>
  <c i="1" r="Z81"/>
  <c i="1" r="AD79"/>
  <c i="1" r="AH77"/>
  <c i="1" r="AL75"/>
  <c i="1" r="AP73"/>
  <c i="1" r="AT71"/>
  <c i="1" r="AB70"/>
  <c i="1" r="AF68"/>
  <c i="1" r="AJ66"/>
  <c i="1" r="AN64"/>
  <c i="1" r="AR62"/>
  <c i="1" r="Z61"/>
  <c i="1" r="AR65"/>
  <c i="1" r="AR63"/>
  <c i="1" r="AJ76"/>
  <c i="1" r="AL74"/>
  <c i="1" r="AC67"/>
  <c i="1" r="AU66"/>
  <c i="1" r="AR66"/>
  <c i="1" r="AQ82"/>
  <c i="1" r="AU80"/>
  <c i="1" r="AC79"/>
  <c i="1" r="AG77"/>
  <c i="1" r="AK75"/>
  <c i="1" r="AO73"/>
  <c i="1" r="AS71"/>
  <c i="1" r="AA70"/>
  <c i="1" r="AE68"/>
  <c i="1" r="AI66"/>
  <c i="1" r="AM64"/>
  <c i="1" r="AQ62"/>
  <c i="1" r="AS63"/>
  <c i="1" r="AH67"/>
  <c i="1" r="AD78"/>
  <c i="1" r="AN72"/>
  <c i="1" r="AD76"/>
  <c i="1" r="AB76"/>
  <c i="1" r="AL79"/>
  <c i="1" r="AP82"/>
  <c i="1" r="BN109" s="1"/>
  <c i="1" r="AT80"/>
  <c i="1" r="AB79"/>
  <c i="1" r="AF77"/>
  <c i="1" r="AJ75"/>
  <c i="1" r="AN73"/>
  <c i="1" r="AR71"/>
  <c i="1" r="Z70"/>
  <c i="1" r="AD68"/>
  <c i="1" r="AH66"/>
  <c i="1" r="AL64"/>
  <c i="1" r="AP62"/>
  <c i="1" r="AM67"/>
  <c i="1" r="Z71"/>
  <c i="1" r="AP72"/>
  <c i="1" r="AA78"/>
  <c i="1" r="AC76"/>
  <c i="1" r="AQ68"/>
  <c i="1" r="AF72"/>
  <c i="1" r="AO82"/>
  <c i="1" r="AS80"/>
  <c i="1" r="AA79"/>
  <c i="1" r="AE77"/>
  <c i="1" r="AI75"/>
  <c i="1" r="AM73"/>
  <c i="1" r="AQ71"/>
  <c i="1" r="AU69"/>
  <c i="1" r="AC68"/>
  <c i="1" r="AG66"/>
  <c i="1" r="AK64"/>
  <c i="1" r="AO62"/>
  <c i="1" r="AN74"/>
  <c i="1" r="AB78"/>
  <c i="1" r="AP79"/>
  <c i="1" r="Z65"/>
  <c i="1" r="AN82"/>
  <c i="1" r="AR80"/>
  <c i="1" r="Z79"/>
  <c i="1" r="AD77"/>
  <c i="1" r="AH75"/>
  <c i="1" r="AL73"/>
  <c i="1" r="AP71"/>
  <c i="1" r="AT69"/>
  <c i="1" r="AB68"/>
  <c i="1" r="AF66"/>
  <c i="1" r="AJ64"/>
  <c i="1" r="AN62"/>
  <c i="1" r="Z62"/>
  <c i="1" r="AD69"/>
  <c i="1" r="AH76"/>
  <c i="1" r="AE76"/>
  <c i="1" r="AG74"/>
  <c i="1" r="AE74"/>
  <c i="1" r="AM82"/>
  <c i="1" r="AQ80"/>
  <c i="1" r="AU78"/>
  <c i="1" r="AC77"/>
  <c i="1" r="AG75"/>
  <c i="1" r="AK73"/>
  <c i="1" r="AO71"/>
  <c i="1" r="AS69"/>
  <c i="1" r="AA68"/>
  <c i="1" r="AE66"/>
  <c i="1" r="AI64"/>
  <c i="1" r="AM62"/>
  <c i="1" r="AU63"/>
  <c i="1" r="AR81"/>
  <c i="1" r="AM72"/>
  <c i="1" r="AM81"/>
  <c i="1" r="AA76"/>
  <c i="1" r="AL82"/>
  <c i="1" r="AP80"/>
  <c i="1" r="AT78"/>
  <c i="1" r="AB77"/>
  <c i="1" r="AF75"/>
  <c i="1" r="AJ73"/>
  <c i="1" r="AN71"/>
  <c i="1" r="AR69"/>
  <c i="1" r="Z68"/>
  <c i="1" r="AX95" s="1"/>
  <c i="1" r="AD66"/>
  <c i="1" r="AH64"/>
  <c i="1" r="AL62"/>
  <c i="1" r="AC62"/>
  <c i="1" r="AP81"/>
  <c i="1" r="AH74"/>
  <c i="1" r="AD63"/>
  <c i="1" r="AK82"/>
  <c i="1" r="AO80"/>
  <c i="1" r="AS78"/>
  <c i="1" r="AA77"/>
  <c i="1" r="AE75"/>
  <c i="1" r="AI73"/>
  <c i="1" r="AM71"/>
  <c i="1" r="AQ69"/>
  <c i="1" r="AU67"/>
  <c i="1" r="AC66"/>
  <c i="1" r="AG64"/>
  <c i="1" r="AK62"/>
  <c i="1" r="AS61"/>
  <c i="1" r="AI74"/>
  <c i="1" r="AU77"/>
  <c i="1" r="AS77"/>
  <c i="1" r="AC72"/>
  <c i="1" r="AJ82"/>
  <c i="1" r="AN80"/>
  <c i="1" r="AR78"/>
  <c i="1" r="Z77"/>
  <c i="1" r="AD75"/>
  <c i="1" r="AH73"/>
  <c i="1" r="AL71"/>
  <c i="1" r="AP69"/>
  <c i="1" r="AT67"/>
  <c i="1" r="AB66"/>
  <c i="1" r="AF64"/>
  <c i="1" r="AJ62"/>
  <c i="1" r="AP63"/>
  <c i="1" r="AR61"/>
  <c i="1" r="AD67"/>
  <c i="1" r="BB94" s="1"/>
  <c i="1" r="AT68"/>
  <c i="1" r="AL61"/>
  <c i="1" r="AG63"/>
  <c i="1" r="AJ70"/>
  <c i="1" r="AI82"/>
  <c i="1" r="AM80"/>
  <c i="1" r="AQ78"/>
  <c i="1" r="AU76"/>
  <c i="1" r="AC75"/>
  <c i="1" r="AG73"/>
  <c i="1" r="AK71"/>
  <c i="1" r="AO69"/>
  <c i="1" r="AS67"/>
  <c i="1" r="AA66"/>
  <c i="1" r="AE64"/>
  <c i="1" r="AI62"/>
  <c i="1" r="AQ63"/>
  <c i="1" r="AF67"/>
  <c i="1" r="AU68"/>
  <c i="1" r="AA67"/>
  <c i="1" r="AA63"/>
  <c i="1" r="AH82"/>
  <c i="1" r="AL80"/>
  <c i="1" r="AP78"/>
  <c i="1" r="AT76"/>
  <c i="1" r="AB75"/>
  <c i="1" r="AF73"/>
  <c i="1" r="AJ71"/>
  <c i="1" r="AN69"/>
  <c i="1" r="AR67"/>
  <c i="1" r="Z66"/>
  <c i="1" r="AD64"/>
  <c i="1" r="AH62"/>
  <c i="1" r="Z64"/>
  <c i="1" r="AN65"/>
  <c i="1" r="AF78"/>
  <c i="1" r="AT70"/>
  <c i="1" r="AG65"/>
  <c i="1" r="AM61"/>
  <c i="1" r="AC65"/>
  <c i="1" r="AM77"/>
  <c i="1" r="AG82"/>
  <c i="1" r="AK80"/>
  <c i="1" r="AO78"/>
  <c i="1" r="AS76"/>
  <c i="1" r="AA75"/>
  <c i="1" r="AE73"/>
  <c i="1" r="AI71"/>
  <c i="1" r="AM69"/>
  <c i="1" r="AQ67"/>
  <c i="1" r="AU65"/>
  <c i="1" r="AC64"/>
  <c i="1" r="AG62"/>
  <c i="1" r="AF71"/>
  <c i="1" r="AA62"/>
  <c i="1" r="AT61"/>
  <c i="1" r="Z80"/>
  <c i="1" r="AJ74"/>
  <c i="1" r="AN81"/>
  <c i="1" r="AT77"/>
  <c i="1" r="AH81"/>
  <c i="1" r="AF82"/>
  <c i="1" r="AJ80"/>
  <c i="1" r="AN78"/>
  <c i="1" r="BL105" s="1"/>
  <c i="1" r="AR76"/>
  <c i="1" r="Z75"/>
  <c i="1" r="AD73"/>
  <c i="1" r="AH71"/>
  <c i="1" r="AL69"/>
  <c i="1" r="AP67"/>
  <c i="1" r="AT65"/>
  <c i="1" r="AB64"/>
  <c i="1" r="AF62"/>
  <c i="1" r="AD62"/>
  <c i="1" r="AB80"/>
  <c i="1" r="AT79"/>
  <c i="1" r="AB67"/>
  <c i="1" r="AD65"/>
  <c i="1" r="AN68"/>
  <c i="1" r="AE82"/>
  <c i="1" r="AI80"/>
  <c i="1" r="AM78"/>
  <c i="1" r="AQ76"/>
  <c i="1" r="AU74"/>
  <c i="1" r="AC73"/>
  <c i="1" r="AG71"/>
  <c i="1" r="AK69"/>
  <c i="1" r="AO67"/>
  <c i="1" r="AS65"/>
  <c i="1" r="AA64"/>
  <c i="1" r="AE62"/>
  <c i="1" r="AN67"/>
  <c i="1" r="AK72"/>
  <c i="1" r="AO79"/>
  <c i="1" r="AG70"/>
  <c i="1" r="AD82"/>
  <c i="1" r="AH80"/>
  <c i="1" r="AL78"/>
  <c i="1" r="AP76"/>
  <c i="1" r="AT74"/>
  <c i="1" r="AB73"/>
  <c i="1" r="AJ69"/>
  <c i="1" r="AB69"/>
  <c i="1" r="AK63"/>
  <c i="1" r="AN61"/>
  <c i="1" r="AS68"/>
  <c i="1" r="Z67"/>
  <c i="1" r="AO66"/>
  <c i="1" r="AC82"/>
  <c i="1" r="AG80"/>
  <c i="1" r="AK78"/>
  <c i="1" r="AO76"/>
  <c i="1" r="AS74"/>
  <c i="1" r="AA73"/>
  <c i="1" r="AE71"/>
  <c i="1" r="AI69"/>
  <c i="1" r="AQ65"/>
  <c i="1" r="AH65"/>
  <c i="1" r="AF65"/>
  <c i="1" r="AN70"/>
  <c i="1" r="AP77"/>
  <c i="1" r="AB82"/>
  <c i="1" r="AF80"/>
  <c i="1" r="AJ78"/>
  <c i="1" r="AN76"/>
  <c i="1" r="AR74"/>
  <c i="1" r="Z73"/>
  <c i="1" r="AD71"/>
  <c i="1" r="AH69"/>
  <c i="1" r="AL67"/>
  <c i="1" r="AP65"/>
  <c i="1" r="AT63"/>
  <c i="1" r="AB62"/>
  <c i="1" r="AT81"/>
  <c i="1" r="AQ70"/>
  <c i="1" r="AQ79"/>
  <c i="1" r="AI72"/>
  <c i="1" r="AE61"/>
  <c i="1" r="AA82"/>
  <c i="1" r="AE80"/>
  <c i="1" r="AI78"/>
  <c i="1" r="AM76"/>
  <c i="1" r="AQ74"/>
  <c i="1" r="AU72"/>
  <c i="1" r="AC71"/>
  <c i="1" r="AG69"/>
  <c i="1" r="AK67"/>
  <c i="1" r="AO65"/>
  <c i="1" r="AF76"/>
  <c i="1" r="Z78"/>
  <c i="1" r="AF74"/>
  <c i="1" r="AT75"/>
  <c i="1" r="Z82"/>
  <c i="1" r="AD80"/>
  <c i="1" r="AH78"/>
  <c i="1" r="AL76"/>
  <c i="1" r="AP74"/>
  <c i="1" r="AT72"/>
  <c i="1" r="AB71"/>
  <c i="1" r="AF69"/>
  <c i="1" r="AJ67"/>
  <c i="1" r="AL65"/>
  <c i="1" r="AN63"/>
  <c i="1" r="Z69"/>
  <c i="1" r="AX96" s="1"/>
  <c i="1" r="AH63"/>
  <c i="1" r="AK61"/>
  <c i="1" r="AQ75"/>
  <c i="1" r="AU81"/>
  <c i="1" r="AC80"/>
  <c i="1" r="AG78"/>
  <c i="1" r="AK76"/>
  <c i="1" r="AO74"/>
  <c i="1" r="AS72"/>
  <c i="1" r="AA71"/>
  <c i="1" r="AE69"/>
  <c i="1" r="AI67"/>
  <c i="1" r="AM65"/>
  <c i="1" r="AS79"/>
  <c i="1" r="AO70"/>
  <c i="1" r="AM70"/>
  <c i="1" r="AB74"/>
  <c i="1" r="AS81"/>
  <c i="1" r="AA80"/>
  <c i="1" r="AE78"/>
  <c i="1" r="AI76"/>
  <c i="1" r="AM74"/>
  <c i="1" r="AQ72"/>
  <c i="1" r="AU70"/>
  <c i="1" r="AC69"/>
  <c i="1" r="AG67"/>
  <c i="1" r="AK65"/>
  <c i="1" r="AO63"/>
  <c i="1" r="AL63"/>
  <c i="1" r="AL72"/>
  <c i="1" r="AR68"/>
  <c i="1" r="AQ81"/>
  <c i="1" r="AU79"/>
  <c i="1" r="AC78"/>
  <c i="1" r="AG76"/>
  <c i="1" r="AK74"/>
  <c i="1" r="AO72"/>
  <c i="1" r="AS70"/>
  <c i="1" r="AA69"/>
  <c i="1" r="AE67"/>
  <c i="1" r="AI65"/>
  <c i="1" r="AM63"/>
  <c i="1" r="AQ61"/>
  <c i="1" r="AO81"/>
  <c i="1" r="AI63"/>
  <c i="1" r="AK81"/>
  <c i="1" r="AK68"/>
  <c i="1" r="AJ81"/>
  <c i="1" r="AN79"/>
  <c i="1" r="AR77"/>
  <c i="1" r="Z76"/>
  <c i="1" r="AD74"/>
  <c i="1" r="AH72"/>
  <c i="1" r="AL70"/>
  <c i="1" r="AP68"/>
  <c i="1" r="AT66"/>
  <c i="1" r="AB65"/>
  <c i="1" r="AF63"/>
  <c i="1" r="AJ61"/>
  <c i="1" r="AU73"/>
  <c i="1" r="AI81"/>
  <c i="1" r="AM79"/>
  <c i="1" r="BK106" s="1"/>
  <c i="1" r="AQ77"/>
  <c i="1" r="AU75"/>
  <c i="1" r="AC74"/>
  <c i="1" r="AG72"/>
  <c i="1" r="AK70"/>
  <c i="1" r="AO68"/>
  <c i="1" r="AS66"/>
  <c i="1" r="AA65"/>
  <c i="1" r="AE63"/>
  <c i="1" r="AI61"/>
  <c i="1" r="AS64"/>
  <c i="1" r="AG81"/>
  <c i="1" r="AK79"/>
  <c i="1" r="BI106" s="1"/>
  <c i="1" r="AO77"/>
  <c i="1" r="AS75"/>
  <c i="1" r="AA74"/>
  <c i="1" r="AE72"/>
  <c i="1" r="AI70"/>
  <c i="1" r="AM68"/>
  <c i="1" r="AQ66"/>
  <c i="1" r="AU64"/>
  <c i="1" r="AC63"/>
  <c i="1" r="AG61"/>
  <c i="1" r="AI79"/>
  <c i="1" r="AF81"/>
  <c i="1" r="AJ79"/>
  <c i="1" r="AN77"/>
  <c i="1" r="AR75"/>
  <c i="1" r="Z74"/>
  <c i="1" r="AD72"/>
  <c i="1" r="AH70"/>
  <c i="1" r="AL68"/>
  <c i="1" r="AP66"/>
  <c i="1" r="AT64"/>
  <c i="1" r="AB63"/>
  <c i="1" r="AF61"/>
  <c i="1" r="AD81"/>
  <c i="1" r="AH79"/>
  <c i="1" r="AL77"/>
  <c i="1" r="AP75"/>
  <c i="1" r="AT73"/>
  <c i="1" r="AB72"/>
  <c i="1" r="AF70"/>
  <c i="1" r="BD97" s="1"/>
  <c i="1" r="AJ68"/>
  <c i="1" r="AN66"/>
  <c i="1" r="AR64"/>
  <c i="1" r="Z63"/>
  <c i="1" r="AD61"/>
  <c i="1" r="M63"/>
  <c i="1" r="I65"/>
  <c i="1" r="E67"/>
  <c i="1" r="W68"/>
  <c i="1" r="S70"/>
  <c i="1" r="O72"/>
  <c i="1" r="K74"/>
  <c i="1" r="G76"/>
  <c i="1" r="C78"/>
  <c i="1" r="U79"/>
  <c i="1" r="Q81"/>
  <c i="1" r="N61"/>
  <c i="1" r="K80"/>
  <c i="1" r="B75"/>
  <c i="1" r="I81"/>
  <c i="1" r="N63"/>
  <c i="1" r="J65"/>
  <c i="1" r="F67"/>
  <c i="1" r="B69"/>
  <c i="1" r="T70"/>
  <c i="1" r="P72"/>
  <c i="1" r="L74"/>
  <c i="1" r="H76"/>
  <c i="1" r="D78"/>
  <c i="1" r="V79"/>
  <c i="1" r="R81"/>
  <c i="1" r="O61"/>
  <c i="1" r="M69"/>
  <c i="1" r="F61"/>
  <c i="1" r="O63"/>
  <c i="1" r="K65"/>
  <c i="1" r="G67"/>
  <c i="1" r="C69"/>
  <c i="1" r="U70"/>
  <c i="1" r="Q72"/>
  <c i="1" r="M74"/>
  <c i="1" r="I76"/>
  <c i="1" r="E78"/>
  <c i="1" r="W79"/>
  <c i="1" r="S81"/>
  <c i="1" r="P61"/>
  <c i="1" r="C64"/>
  <c i="1" r="H62"/>
  <c i="1" r="V65"/>
  <c i="1" r="N69"/>
  <c i="1" r="T76"/>
  <c i="1" r="P63"/>
  <c i="1" r="L65"/>
  <c i="1" r="H67"/>
  <c i="1" r="D69"/>
  <c i="1" r="V70"/>
  <c i="1" r="R72"/>
  <c i="1" r="N74"/>
  <c i="1" r="J76"/>
  <c i="1" r="F78"/>
  <c i="1" r="B80"/>
  <c i="1" r="T81"/>
  <c i="1" r="Q61"/>
  <c i="1" r="U65"/>
  <c i="1" r="R67"/>
  <c i="1" r="H82"/>
  <c i="1" r="V64"/>
  <c i="1" r="H81"/>
  <c i="1" r="Q63"/>
  <c i="1" r="M65"/>
  <c i="1" r="I67"/>
  <c i="1" r="E69"/>
  <c i="1" r="W70"/>
  <c i="1" r="S72"/>
  <c i="1" r="O74"/>
  <c i="1" r="K76"/>
  <c i="1" r="G78"/>
  <c i="1" r="C80"/>
  <c i="1" r="U81"/>
  <c i="1" r="R61"/>
  <c i="1" r="I71"/>
  <c i="1" r="Q77"/>
  <c i="1" r="R63"/>
  <c i="1" r="N65"/>
  <c i="1" r="J67"/>
  <c i="1" r="F69"/>
  <c i="1" r="B71"/>
  <c i="1" r="T72"/>
  <c i="1" r="P74"/>
  <c i="1" r="L76"/>
  <c i="1" r="H78"/>
  <c i="1" r="D80"/>
  <c i="1" r="V81"/>
  <c i="1" r="S61"/>
  <c i="1" r="Q67"/>
  <c i="1" r="S63"/>
  <c i="1" r="O65"/>
  <c i="1" r="K67"/>
  <c i="1" r="G69"/>
  <c i="1" r="C71"/>
  <c i="1" r="U72"/>
  <c i="1" r="Q74"/>
  <c i="1" r="M76"/>
  <c i="1" r="I78"/>
  <c i="1" r="E80"/>
  <c i="1" r="W81"/>
  <c i="1" r="T61"/>
  <c i="1" r="N68"/>
  <c i="1" r="B62"/>
  <c i="1" r="T63"/>
  <c i="1" r="P65"/>
  <c i="1" r="L67"/>
  <c i="1" r="H69"/>
  <c i="1" r="D71"/>
  <c i="1" r="V72"/>
  <c i="1" r="R74"/>
  <c i="1" r="N76"/>
  <c i="1" r="J78"/>
  <c i="1" r="F80"/>
  <c i="1" r="B82"/>
  <c i="1" r="U61"/>
  <c i="1" r="G82"/>
  <c i="1" r="C62"/>
  <c i="1" r="U63"/>
  <c i="1" r="Q65"/>
  <c i="1" r="M67"/>
  <c i="1" r="I69"/>
  <c i="1" r="E71"/>
  <c i="1" r="W72"/>
  <c i="1" r="S74"/>
  <c i="1" r="O76"/>
  <c i="1" r="K78"/>
  <c i="1" r="G80"/>
  <c i="1" r="C82"/>
  <c i="1" r="V61"/>
  <c i="1" r="W74"/>
  <c i="1" r="M79"/>
  <c i="1" r="D62"/>
  <c i="1" r="V63"/>
  <c i="1" r="R65"/>
  <c i="1" r="N67"/>
  <c i="1" r="J69"/>
  <c i="1" r="F71"/>
  <c i="1" r="B73"/>
  <c i="1" r="T74"/>
  <c i="1" r="P76"/>
  <c i="1" r="L78"/>
  <c i="1" r="H80"/>
  <c i="1" r="D82"/>
  <c i="1" r="W61"/>
  <c i="1" r="R66"/>
  <c i="1" r="E62"/>
  <c i="1" r="W63"/>
  <c i="1" r="S65"/>
  <c i="1" r="O67"/>
  <c i="1" r="K69"/>
  <c i="1" r="G71"/>
  <c i="1" r="C73"/>
  <c i="1" r="U74"/>
  <c i="1" r="Q76"/>
  <c i="1" r="M78"/>
  <c i="1" r="I80"/>
  <c i="1" r="E82"/>
  <c i="1" r="B61"/>
  <c i="1" r="S76"/>
  <c i="1" r="D64"/>
  <c i="1" r="J71"/>
  <c i="1" r="P78"/>
  <c i="1" r="F62"/>
  <c i="1" r="B64"/>
  <c i="1" r="T65"/>
  <c i="1" r="P67"/>
  <c i="1" r="L69"/>
  <c i="1" r="H71"/>
  <c i="1" r="D73"/>
  <c i="1" r="V74"/>
  <c i="1" r="R76"/>
  <c i="1" r="N78"/>
  <c i="1" r="J80"/>
  <c i="1" r="F82"/>
  <c i="1" r="E73"/>
  <c i="1" r="F73"/>
  <c i="1" r="G62"/>
  <c i="1" r="O78"/>
  <c i="1" r="L80"/>
  <c i="1" r="I62"/>
  <c i="1" r="E64"/>
  <c i="1" r="W65"/>
  <c i="1" r="S67"/>
  <c i="1" r="O69"/>
  <c i="1" r="K71"/>
  <c i="1" r="G73"/>
  <c i="1" r="C75"/>
  <c i="1" r="U76"/>
  <c i="1" r="Q78"/>
  <c i="1" r="M80"/>
  <c i="1" r="I82"/>
  <c i="1" r="J62"/>
  <c i="1" r="F64"/>
  <c i="1" r="B66"/>
  <c i="1" r="T67"/>
  <c i="1" r="P69"/>
  <c i="1" r="L71"/>
  <c i="1" r="H73"/>
  <c i="1" r="D75"/>
  <c i="1" r="V76"/>
  <c i="1" r="R78"/>
  <c i="1" r="N80"/>
  <c i="1" r="J82"/>
  <c i="1" r="D63"/>
  <c i="1" r="K62"/>
  <c i="1" r="G64"/>
  <c i="1" r="C66"/>
  <c i="1" r="U67"/>
  <c i="1" r="Q69"/>
  <c i="1" r="M71"/>
  <c i="1" r="I73"/>
  <c i="1" r="E75"/>
  <c i="1" r="W76"/>
  <c i="1" r="S78"/>
  <c i="1" r="O80"/>
  <c i="1" r="K82"/>
  <c i="1" r="S66"/>
  <c i="1" r="L62"/>
  <c i="1" r="H64"/>
  <c i="1" r="D66"/>
  <c i="1" r="V67"/>
  <c i="1" r="R69"/>
  <c i="1" r="N71"/>
  <c i="1" r="J73"/>
  <c i="1" r="F75"/>
  <c i="1" r="B77"/>
  <c i="1" r="T78"/>
  <c i="1" r="P80"/>
  <c i="1" r="L82"/>
  <c i="1" r="P77"/>
  <c i="1" r="C74"/>
  <c i="1" r="M62"/>
  <c i="1" r="I64"/>
  <c i="1" r="E66"/>
  <c i="1" r="W67"/>
  <c i="1" r="S69"/>
  <c i="1" r="O71"/>
  <c i="1" r="K73"/>
  <c i="1" r="G75"/>
  <c i="1" r="C77"/>
  <c i="1" r="U78"/>
  <c i="1" r="Q80"/>
  <c i="1" r="M82"/>
  <c i="1" r="N62"/>
  <c i="1" r="J64"/>
  <c i="1" r="F66"/>
  <c i="1" r="B68"/>
  <c i="1" r="T69"/>
  <c i="1" r="P71"/>
  <c i="1" r="L73"/>
  <c i="1" r="H75"/>
  <c i="1" r="D77"/>
  <c i="1" r="V78"/>
  <c i="1" r="R80"/>
  <c i="1" r="N82"/>
  <c i="1" r="T75"/>
  <c i="1" r="O62"/>
  <c i="1" r="K64"/>
  <c i="1" r="G66"/>
  <c i="1" r="C68"/>
  <c i="1" r="U69"/>
  <c i="1" r="Q71"/>
  <c i="1" r="M73"/>
  <c i="1" r="I75"/>
  <c i="1" r="E77"/>
  <c i="1" r="W78"/>
  <c i="1" r="S80"/>
  <c i="1" r="O82"/>
  <c i="1" r="O68"/>
  <c i="1" r="P62"/>
  <c i="1" r="L64"/>
  <c i="1" r="H66"/>
  <c i="1" r="D68"/>
  <c i="1" r="V69"/>
  <c i="1" r="R71"/>
  <c i="1" r="N73"/>
  <c i="1" r="J75"/>
  <c i="1" r="F77"/>
  <c i="1" r="B79"/>
  <c i="1" r="T80"/>
  <c i="1" r="P82"/>
  <c i="1" r="Q62"/>
  <c i="1" r="M64"/>
  <c i="1" r="I66"/>
  <c i="1" r="E68"/>
  <c i="1" r="W69"/>
  <c i="1" r="S71"/>
  <c i="1" r="O73"/>
  <c i="1" r="K75"/>
  <c i="1" r="G77"/>
  <c i="1" r="C79"/>
  <c i="1" r="U80"/>
  <c i="1" r="Q82"/>
  <c i="1" r="R62"/>
  <c i="1" r="N64"/>
  <c i="1" r="J66"/>
  <c i="1" r="F68"/>
  <c i="1" r="B70"/>
  <c i="1" r="T71"/>
  <c i="1" r="P73"/>
  <c i="1" r="L75"/>
  <c i="1" r="H77"/>
  <c i="1" r="D79"/>
  <c i="1" r="V80"/>
  <c i="1" r="R82"/>
  <c i="1" r="G72"/>
  <c i="1" r="S62"/>
  <c i="1" r="O64"/>
  <c i="1" r="K66"/>
  <c i="1" r="G68"/>
  <c i="1" r="C70"/>
  <c i="1" r="U71"/>
  <c i="1" r="Q73"/>
  <c i="1" r="M75"/>
  <c i="1" r="I77"/>
  <c i="1" r="E79"/>
  <c i="1" r="W80"/>
  <c i="1" r="S82"/>
  <c i="1" r="B74"/>
  <c i="1" r="E63"/>
  <c i="1" r="T62"/>
  <c i="1" r="P64"/>
  <c i="1" r="L66"/>
  <c i="1" r="H68"/>
  <c i="1" r="D70"/>
  <c i="1" r="V71"/>
  <c i="1" r="R73"/>
  <c i="1" r="N75"/>
  <c i="1" r="J77"/>
  <c i="1" r="F79"/>
  <c i="1" r="B81"/>
  <c i="1" r="T82"/>
  <c i="1" r="Q75"/>
  <c i="1" r="E61"/>
  <c i="1" r="U62"/>
  <c i="1" r="Q64"/>
  <c i="1" r="M66"/>
  <c i="1" r="I68"/>
  <c i="1" r="E70"/>
  <c i="1" r="W71"/>
  <c i="1" r="S73"/>
  <c i="1" r="O75"/>
  <c i="1" r="K77"/>
  <c i="1" r="G79"/>
  <c i="1" r="C81"/>
  <c i="1" r="U82"/>
  <c i="1" r="S64"/>
  <c i="1" r="W82"/>
  <c i="1" r="F72"/>
  <c i="1" r="V62"/>
  <c i="1" r="R64"/>
  <c i="1" r="N66"/>
  <c i="1" r="J68"/>
  <c i="1" r="F70"/>
  <c i="1" r="B72"/>
  <c i="1" r="T73"/>
  <c i="1" r="P75"/>
  <c i="1" r="L77"/>
  <c i="1" r="H79"/>
  <c i="1" r="D81"/>
  <c i="1" r="V82"/>
  <c i="1" r="W62"/>
  <c i="1" r="O66"/>
  <c i="1" r="K68"/>
  <c i="1" r="G70"/>
  <c i="1" r="C72"/>
  <c i="1" r="U73"/>
  <c i="1" r="M77"/>
  <c i="1" r="I79"/>
  <c i="1" r="E81"/>
  <c i="1" r="L79"/>
  <c i="1" r="U75"/>
  <c i="1" r="B63"/>
  <c i="1" r="T64"/>
  <c i="1" r="P66"/>
  <c i="1" r="L68"/>
  <c i="1" r="H70"/>
  <c i="1" r="D72"/>
  <c i="1" r="V73"/>
  <c i="1" r="R75"/>
  <c i="1" r="N77"/>
  <c i="1" r="J79"/>
  <c i="1" r="F81"/>
  <c i="1" r="C61"/>
  <c i="1" r="W64"/>
  <c i="1" r="C63"/>
  <c i="1" r="U64"/>
  <c i="1" r="Q66"/>
  <c i="1" r="M68"/>
  <c i="1" r="I70"/>
  <c i="1" r="E72"/>
  <c i="1" r="W73"/>
  <c i="1" r="S75"/>
  <c i="1" r="O77"/>
  <c i="1" r="K79"/>
  <c i="1" r="G81"/>
  <c i="1" r="D61"/>
  <c i="1" r="J70"/>
  <c i="1" r="F63"/>
  <c i="1" r="B65"/>
  <c i="1" r="T66"/>
  <c i="1" r="P68"/>
  <c i="1" r="L70"/>
  <c i="1" r="H72"/>
  <c i="1" r="D74"/>
  <c i="1" r="V75"/>
  <c i="1" r="R77"/>
  <c i="1" r="N79"/>
  <c i="1" r="J81"/>
  <c i="1" r="G61"/>
  <c i="1" r="G63"/>
  <c i="1" r="C65"/>
  <c i="1" r="U66"/>
  <c i="1" r="Q68"/>
  <c i="1" r="M70"/>
  <c i="1" r="I72"/>
  <c i="1" r="E74"/>
  <c i="1" r="W75"/>
  <c i="1" r="S77"/>
  <c i="1" r="O79"/>
  <c i="1" r="K81"/>
  <c i="1" r="H61"/>
  <c i="1" r="H63"/>
  <c i="1" r="D65"/>
  <c i="1" r="V66"/>
  <c i="1" r="R68"/>
  <c i="1" r="N70"/>
  <c i="1" r="J72"/>
  <c i="1" r="F74"/>
  <c i="1" r="B76"/>
  <c i="1" r="T77"/>
  <c i="1" r="P79"/>
  <c i="1" r="L81"/>
  <c i="1" r="I61"/>
  <c i="1" r="L63"/>
  <c i="1" r="H65"/>
  <c i="1" r="D67"/>
  <c i="1" r="V68"/>
  <c i="1" r="R70"/>
  <c i="1" r="N72"/>
  <c i="1" r="J74"/>
  <c i="1" r="F76"/>
  <c i="1" r="B78"/>
  <c i="1" r="T79"/>
  <c i="1" r="P81"/>
  <c i="1" r="M61"/>
  <c i="1" r="K70"/>
  <c i="1" r="C67"/>
  <c i="1" r="V77"/>
  <c i="1" r="Q79"/>
  <c i="1" r="S68"/>
  <c i="1" r="E65"/>
  <c i="1" r="T68"/>
  <c i="1" r="U68"/>
  <c i="1" r="O70"/>
  <c i="1" r="P70"/>
  <c i="1" r="Q70"/>
  <c i="1" r="G65"/>
  <c i="1" r="K72"/>
  <c i="1" r="U77"/>
  <c i="1" r="F65"/>
  <c i="1" r="L72"/>
  <c i="1" r="R79"/>
  <c i="1" r="M72"/>
  <c i="1" r="G74"/>
  <c i="1" r="H74"/>
  <c i="1" r="L61"/>
  <c i="1" r="I74"/>
  <c i="1" r="C76"/>
  <c i="1" r="D76"/>
  <c i="1" r="W77"/>
  <c i="1" r="E76"/>
  <c i="1" r="S79"/>
  <c i="1" r="M81"/>
  <c i="1" r="N81"/>
  <c i="1" r="O81"/>
  <c i="1" r="K61"/>
  <c i="1" r="J61"/>
  <c i="1" r="I63"/>
  <c i="1" r="J63"/>
  <c i="1" r="K63"/>
  <c i="1" r="B67"/>
  <c i="1" r="W66"/>
  <c i="1" l="1" r="BG94"/>
  <c i="18" r="AV117"/>
  <c i="18" r="AV143" s="1"/>
  <c i="1" r="BH97"/>
  <c i="1" r="BI101"/>
  <c i="1" r="BP106"/>
  <c i="1" r="BP98"/>
  <c i="1" r="BN100"/>
  <c i="1" r="BA92"/>
  <c i="18" r="O6"/>
  <c i="18" r="O10"/>
  <c i="1" r="BH107"/>
  <c i="18" r="O9"/>
  <c i="18" r="O8"/>
  <c i="18" r="O17"/>
  <c i="18" r="O15"/>
  <c i="18" r="O22"/>
  <c i="18" r="O4"/>
  <c i="18" r="O19"/>
  <c i="18" r="O21"/>
  <c i="18" r="O16"/>
  <c i="18" r="O11"/>
  <c i="18" r="O23"/>
  <c i="18" r="O18"/>
  <c i="1" r="BC104"/>
  <c i="18" r="O20"/>
  <c i="18" r="O14"/>
  <c i="18" r="O5"/>
  <c i="18" r="O13"/>
  <c i="18" r="O7"/>
  <c i="1" r="AY101"/>
  <c i="1" r="BA103"/>
  <c i="1" r="BQ108"/>
  <c i="1" r="BR89"/>
  <c i="1" r="BF99"/>
  <c i="1" r="BE106"/>
  <c i="1" r="BC101"/>
  <c i="1" r="BI99"/>
  <c i="18" r="BN30"/>
  <c i="18" r="CY16" s="1"/>
  <c i="18" r="BE30"/>
  <c i="18" r="CY7" s="1"/>
  <c i="18" r="CZ7" s="1"/>
  <c i="18" r="DA7" s="1"/>
  <c i="1" r="BA91"/>
  <c i="1" r="BC109"/>
  <c i="1" r="BN95"/>
  <c i="18" r="AV110"/>
  <c i="18" r="AV136" s="1"/>
  <c i="1" r="AZ106"/>
  <c i="1" r="BB100"/>
  <c i="1" r="BA106"/>
  <c i="1" r="BA98"/>
  <c i="1" r="BL88"/>
  <c i="1" r="BC93"/>
  <c i="1" r="BH96"/>
  <c i="1" r="BD109"/>
  <c i="1" r="BF108"/>
  <c i="1" r="AZ88"/>
  <c i="18" r="X51"/>
  <c i="18" r="V61" s="1"/>
  <c i="1" r="BC103"/>
  <c i="18" r="BC57"/>
  <c i="1" r="BQ98"/>
  <c i="1" r="BI102"/>
  <c i="1" r="BK101"/>
  <c i="1" r="BP103"/>
  <c i="1" r="AY94"/>
  <c i="1" r="BE97"/>
  <c i="1" r="AX99"/>
  <c i="1" r="BP89"/>
  <c i="18" r="CV17"/>
  <c i="18" r="CX16"/>
  <c i="18" r="BQ30"/>
  <c i="18" r="BQ51" s="1"/>
  <c i="18" r="BB30"/>
  <c i="18" r="CY4" s="1"/>
  <c i="18" r="CZ4" s="1"/>
  <c i="18" r="DA4" s="1"/>
  <c i="18" r="BS30"/>
  <c i="18" r="BS51" s="1"/>
  <c i="18" r="AW30"/>
  <c a="1" i="18" r="AK9" s="1"/>
  <c i="18" r="AK9" s="1"/>
  <c i="18" r="BL30"/>
  <c i="18" r="CY14" s="1"/>
  <c i="18" r="CZ14" s="1"/>
  <c i="18" r="DA14" s="1"/>
  <c i="18" r="BJ30"/>
  <c i="18" r="CY12" s="1"/>
  <c i="18" r="CZ12" s="1"/>
  <c i="18" r="DA12" s="1"/>
  <c i="18" r="BO30"/>
  <c i="18" r="CM30" s="1"/>
  <c i="1" r="BL90"/>
  <c i="1" r="BD107"/>
  <c i="18" r="BG30"/>
  <c i="18" r="CY9" s="1"/>
  <c i="18" r="CZ9" s="1"/>
  <c i="18" r="DA9" s="1"/>
  <c i="18" r="BF30"/>
  <c i="18" r="CY8" s="1"/>
  <c i="18" r="CZ8" s="1"/>
  <c i="18" r="DA8" s="1"/>
  <c i="18" r="BM30"/>
  <c i="18" r="CY15" s="1"/>
  <c i="18" r="CZ15" s="1"/>
  <c i="18" r="DA15" s="1"/>
  <c i="18" r="BR30"/>
  <c i="18" r="BR51" s="1"/>
  <c i="18" r="BT30"/>
  <c i="18" r="AZ30"/>
  <c i="18" r="CY2" s="1"/>
  <c i="18" r="CZ2" s="1"/>
  <c i="18" r="DA2" s="1"/>
  <c i="18" r="BC30"/>
  <c i="18" r="CY5" s="1"/>
  <c i="18" r="CZ5" s="1"/>
  <c i="18" r="DA5" s="1"/>
  <c i="18" r="BD30"/>
  <c i="18" r="CY6" s="1"/>
  <c i="18" r="CZ6" s="1"/>
  <c i="18" r="DA6" s="1"/>
  <c i="1" r="BC90"/>
  <c i="18" r="BK30"/>
  <c i="18" r="CY13" s="1"/>
  <c i="18" r="CZ13" s="1"/>
  <c i="18" r="DA13" s="1"/>
  <c i="18" r="BP30"/>
  <c i="18" r="BP51" s="1"/>
  <c i="18" r="BA30"/>
  <c i="18" r="CY3" s="1"/>
  <c i="18" r="CZ3" s="1"/>
  <c i="18" r="DA3" s="1"/>
  <c i="1" r="BM90"/>
  <c i="18" r="BI30"/>
  <c i="18" r="CY11" s="1"/>
  <c i="18" r="CZ11" s="1"/>
  <c i="18" r="DA11" s="1"/>
  <c i="18" r="AV112"/>
  <c i="18" r="AV138" s="1"/>
  <c i="1" r="BI97"/>
  <c i="18" r="BH30"/>
  <c i="18" r="CY10" s="1"/>
  <c i="18" r="CZ10" s="1"/>
  <c i="18" r="DA10" s="1"/>
  <c i="1" r="BE96"/>
  <c i="1" r="BH91"/>
  <c i="1" r="BB91"/>
  <c i="1" r="BP108"/>
  <c i="1" r="BR103"/>
  <c i="1" r="BN93"/>
  <c i="1" r="BR88"/>
  <c i="1" r="BD106"/>
  <c i="1" r="BO90"/>
  <c i="1" r="BO107"/>
  <c i="1" r="BK109"/>
  <c i="1" r="AX88"/>
  <c i="1" r="BO89"/>
  <c i="1" r="AZ92"/>
  <c i="1" r="AY90"/>
  <c i="1" r="BD99"/>
  <c i="1" r="BM97"/>
  <c i="1" r="AY105"/>
  <c i="1" r="BR106"/>
  <c i="1" r="BM91"/>
  <c i="1" r="AX91"/>
  <c i="1" r="BN107"/>
  <c i="1" r="BQ101"/>
  <c i="1" r="BA108"/>
  <c i="1" r="BM92"/>
  <c i="1" r="AZ90"/>
  <c i="1" r="BO95"/>
  <c i="1" r="BJ101"/>
  <c i="1" r="BC88"/>
  <c i="1" r="BR104"/>
  <c i="1" r="BE102"/>
  <c i="1" r="BN103"/>
  <c i="1" r="BJ105"/>
  <c i="1" r="BS105"/>
  <c i="1" r="BJ95"/>
  <c i="1" r="AZ95"/>
  <c i="1" r="BJ89"/>
  <c i="1" r="BL95"/>
  <c i="1" r="AY88"/>
  <c i="1" r="BR109"/>
  <c i="1" r="BB109"/>
  <c i="1" r="BJ91"/>
  <c i="1" r="BB90"/>
  <c i="1" r="AX103"/>
  <c i="1" r="BL102"/>
  <c i="1" r="BN92"/>
  <c i="1" r="BN108"/>
  <c i="1" r="BO94"/>
  <c i="1" r="AY102"/>
  <c i="1" r="BN91"/>
  <c i="1" r="BC108"/>
  <c i="1" r="BN99"/>
  <c i="1" r="BD104"/>
  <c i="1" r="BQ103"/>
  <c i="1" r="BB99"/>
  <c i="1" r="BC106"/>
  <c i="1" r="BR101"/>
  <c i="1" r="BL91"/>
  <c i="1" r="BG109"/>
  <c i="1" r="BC94"/>
  <c i="1" r="BQ109"/>
  <c i="1" r="AX101"/>
  <c i="1" r="BG90"/>
  <c i="1" r="BL103"/>
  <c i="1" r="BF106"/>
  <c i="1" r="BE101"/>
  <c i="1" r="BH102"/>
  <c i="1" r="BP93"/>
  <c i="1" r="BF109"/>
  <c i="1" r="BG101"/>
  <c i="1" r="BM109"/>
  <c i="1" r="BS93"/>
  <c i="1" r="BP97"/>
  <c i="1" r="BA104"/>
  <c i="1" r="AZ100"/>
  <c i="1" r="BJ93"/>
  <c i="1" r="BD88"/>
  <c i="1" r="AX98"/>
  <c i="1" r="BJ88"/>
  <c i="1" r="BF102"/>
  <c i="1" r="BJ106"/>
  <c i="1" r="BS89"/>
  <c i="1" r="BG91"/>
  <c i="1" r="BP90"/>
  <c i="1" r="BO106"/>
  <c i="1" r="BO96"/>
  <c i="1" r="AZ101"/>
  <c i="1" r="BI100"/>
  <c i="1" r="BQ88"/>
  <c i="1" r="BK104"/>
  <c i="1" r="BR95"/>
  <c i="1" r="BM88"/>
  <c i="1" r="BM104"/>
  <c i="1" r="AX106"/>
  <c i="1" r="BB103"/>
  <c i="1" r="BE103"/>
  <c i="1" r="BD92"/>
  <c i="1" r="BG95"/>
  <c i="1" r="BL109"/>
  <c i="1" r="BS106"/>
  <c i="1" r="BR97"/>
  <c i="1" r="AX92"/>
  <c i="1" r="BO108"/>
  <c i="1" r="BP95"/>
  <c i="1" r="BR105"/>
  <c i="1" r="AZ105"/>
  <c i="1" r="AY92"/>
  <c i="1" r="BJ99"/>
  <c i="1" r="BB107"/>
  <c i="1" r="BE95"/>
  <c i="1" r="AX90"/>
  <c i="1" r="BJ90"/>
  <c i="1" r="AX109"/>
  <c i="1" r="BF89"/>
  <c i="1" r="BM95"/>
  <c i="1" r="BM103"/>
  <c i="1" r="BI92"/>
  <c i="1" r="BD101"/>
  <c i="1" r="BI105"/>
  <c i="1" r="AX93"/>
  <c i="1" r="BK108"/>
  <c i="1" r="BE93"/>
  <c i="1" r="BS91"/>
  <c i="1" r="BH95"/>
  <c i="1" r="BE99"/>
  <c i="1" r="BA95"/>
  <c i="1" r="BK102"/>
  <c i="1" r="BA96"/>
  <c i="1" r="BA109"/>
  <c i="1" r="BS96"/>
  <c i="1" r="BM100"/>
  <c i="1" r="AZ99"/>
  <c i="1" r="BR100"/>
  <c i="1" r="BO99"/>
  <c i="1" r="AX94"/>
  <c i="1" r="BL107"/>
  <c i="1" r="BK89"/>
  <c i="1" r="BE104"/>
  <c i="1" r="AY108"/>
  <c i="1" r="BN102"/>
  <c i="1" r="BQ95"/>
  <c i="1" r="AX102"/>
  <c i="1" r="BH109"/>
  <c i="1" r="BG102"/>
  <c i="18" r="AV115"/>
  <c i="18" r="AV141" s="1"/>
  <c i="1" r="BJ104"/>
  <c i="1" r="BG103"/>
  <c i="1" r="BS107"/>
  <c i="1" r="BF88"/>
  <c i="1" r="BS100"/>
  <c i="1" r="BS99"/>
  <c i="1" r="BI90"/>
  <c i="1" r="AY106"/>
  <c i="1" r="BB108"/>
  <c i="1" r="BO101"/>
  <c i="1" r="AZ96"/>
  <c i="1" r="BS104"/>
  <c i="1" r="BQ107"/>
  <c i="1" r="BD90"/>
  <c i="1" r="BR91"/>
  <c i="1" r="BS95"/>
  <c i="1" r="BH101"/>
  <c i="1" r="BA93"/>
  <c i="1" r="BG99"/>
  <c i="1" r="BS94"/>
  <c i="1" r="BB97"/>
  <c i="1" r="BC99"/>
  <c i="1" r="BO103"/>
  <c i="1" r="BE90"/>
  <c i="1" r="AZ109"/>
  <c i="1" r="BK93"/>
  <c i="1" r="AZ98"/>
  <c i="1" r="BO92"/>
  <c i="1" r="AZ93"/>
  <c i="1" r="BR94"/>
  <c i="1" r="BL101"/>
  <c i="1" r="BK91"/>
  <c i="1" r="BI104"/>
  <c i="1" r="BQ93"/>
  <c i="1" r="BN96"/>
  <c i="1" r="BG93"/>
  <c i="1" r="AZ91"/>
  <c i="1" r="BJ98"/>
  <c i="1" r="BI91"/>
  <c i="1" r="BC95"/>
  <c i="1" r="BS98"/>
  <c i="1" r="BF100"/>
  <c i="1" r="AY97"/>
  <c i="1" r="AX105"/>
  <c i="1" r="BP94"/>
  <c i="1" r="BK99"/>
  <c i="1" r="BD103"/>
  <c i="1" r="BL96"/>
  <c i="1" r="BG104"/>
  <c i="1" r="BS102"/>
  <c i="1" r="BP105"/>
  <c i="18" r="CQ42"/>
  <c i="18" r="AT122"/>
  <c i="18" r="AT148" s="1"/>
  <c i="18" r="BY49"/>
  <c i="18" r="AB129"/>
  <c i="18" r="AB155" s="1"/>
  <c i="18" r="CF45"/>
  <c i="18" r="AI125"/>
  <c i="18" r="AI151" s="1"/>
  <c i="18" r="CB31"/>
  <c i="18" r="AE111"/>
  <c i="18" r="AE137" s="1"/>
  <c i="18" r="CI35"/>
  <c i="18" r="AL115"/>
  <c i="18" r="AL141" s="1"/>
  <c i="18" r="CQ36"/>
  <c i="18" r="AT116"/>
  <c i="18" r="AT142" s="1"/>
  <c i="18" r="CK34"/>
  <c i="18" r="AN114"/>
  <c i="18" r="AN140" s="1"/>
  <c i="18" r="CD33"/>
  <c i="18" r="AG113"/>
  <c i="18" r="AG139" s="1"/>
  <c i="18" r="CB47"/>
  <c i="18" r="AE127"/>
  <c i="18" r="AE153" s="1"/>
  <c i="18" r="CJ42"/>
  <c i="18" r="AM122"/>
  <c i="18" r="AM148" s="1"/>
  <c i="18" r="CF49"/>
  <c i="18" r="AI129"/>
  <c i="18" r="AI155" s="1"/>
  <c i="18" r="CP45"/>
  <c i="18" r="AS125"/>
  <c i="18" r="AS151" s="1"/>
  <c i="18" r="AN111"/>
  <c i="18" r="AN137" s="1"/>
  <c i="18" r="CK31"/>
  <c i="18" r="CM35"/>
  <c i="18" r="AP115"/>
  <c i="18" r="AP141" s="1"/>
  <c i="18" r="CA36"/>
  <c i="18" r="AD116"/>
  <c i="18" r="AD142" s="1"/>
  <c i="18" r="CF34"/>
  <c i="18" r="AI114"/>
  <c i="18" r="AI140" s="1"/>
  <c i="18" r="CK33"/>
  <c i="18" r="AN113"/>
  <c i="18" r="AN139" s="1"/>
  <c i="18" r="CK47"/>
  <c i="18" r="AN127"/>
  <c i="18" r="AN153" s="1"/>
  <c i="18" r="CO42"/>
  <c i="18" r="AR122"/>
  <c i="18" r="AR148" s="1"/>
  <c i="18" r="CC49"/>
  <c i="18" r="AF129"/>
  <c i="18" r="AF155" s="1"/>
  <c i="18" r="BY45"/>
  <c i="18" r="AB125"/>
  <c i="18" r="AB151" s="1"/>
  <c i="18" r="CE31"/>
  <c i="18" r="AH111"/>
  <c i="18" r="AH137" s="1"/>
  <c i="18" r="CC35"/>
  <c i="18" r="AF115"/>
  <c i="18" r="AF141" s="1"/>
  <c i="18" r="CL36"/>
  <c i="18" r="AO116"/>
  <c i="18" r="AO142" s="1"/>
  <c i="18" r="CC34"/>
  <c i="18" r="AF114"/>
  <c i="18" r="AF140" s="1"/>
  <c i="18" r="CO33"/>
  <c i="18" r="AR113"/>
  <c i="18" r="AR139" s="1"/>
  <c i="18" r="CI47"/>
  <c i="18" r="AL127"/>
  <c i="18" r="AL153" s="1"/>
  <c i="18" r="CM42"/>
  <c i="18" r="AP122"/>
  <c i="18" r="AP148" s="1"/>
  <c i="18" r="CB35"/>
  <c i="18" r="AE115"/>
  <c i="18" r="AE141" s="1"/>
  <c i="1" r="CH28"/>
  <c i="18" r="N10" s="1"/>
  <c i="18" r="J24"/>
  <c i="18" r="CJ49"/>
  <c i="18" r="AM129"/>
  <c i="18" r="AM155" s="1"/>
  <c i="18" r="CC45"/>
  <c i="18" r="AF125"/>
  <c i="18" r="AF151" s="1"/>
  <c i="18" r="CP31"/>
  <c i="18" r="AS111"/>
  <c i="18" r="AS137" s="1"/>
  <c i="18" r="CQ35"/>
  <c i="18" r="AT115"/>
  <c i="18" r="AT141" s="1"/>
  <c i="18" r="AV116"/>
  <c i="18" r="AV142" s="1"/>
  <c i="18" r="CE38"/>
  <c i="18" r="AH118"/>
  <c i="18" r="AH144" s="1"/>
  <c i="18" r="CN34"/>
  <c i="18" r="AQ114"/>
  <c i="18" r="AQ140" s="1"/>
  <c i="18" r="CE33"/>
  <c i="18" r="AH113"/>
  <c i="18" r="AH139" s="1"/>
  <c i="18" r="CO47"/>
  <c i="18" r="AR127"/>
  <c i="18" r="AR153" s="1"/>
  <c i="18" r="CE42"/>
  <c i="18" r="AH122"/>
  <c i="18" r="AH148" s="1"/>
  <c i="18" r="CQ49"/>
  <c i="18" r="AT129"/>
  <c i="18" r="AT155" s="1"/>
  <c i="18" r="CO49"/>
  <c i="18" r="AR129"/>
  <c i="18" r="AR155" s="1"/>
  <c i="18" r="CL45"/>
  <c i="18" r="AO125"/>
  <c i="18" r="AO151" s="1"/>
  <c i="18" r="CJ35"/>
  <c i="18" r="AM115"/>
  <c i="18" r="AM141" s="1"/>
  <c i="18" r="CM38"/>
  <c i="18" r="AP118"/>
  <c i="18" r="AP144" s="1"/>
  <c i="18" r="AV114"/>
  <c i="18" r="AV140" s="1"/>
  <c i="18" r="BY33"/>
  <c i="18" r="AB113"/>
  <c i="18" r="AB139" s="1"/>
  <c i="18" r="CC47"/>
  <c i="18" r="AF127"/>
  <c i="18" r="AF153" s="1"/>
  <c i="18" r="BZ42"/>
  <c i="18" r="AC122"/>
  <c i="18" r="AC148" s="1"/>
  <c i="18" r="BZ49"/>
  <c i="18" r="AC129"/>
  <c i="18" r="AC155" s="1"/>
  <c i="18" r="CJ45"/>
  <c i="18" r="AM125"/>
  <c i="18" r="AM151" s="1"/>
  <c i="18" r="AQ110"/>
  <c i="18" r="AQ136" s="1"/>
  <c i="18" r="BZ35"/>
  <c i="18" r="AC115"/>
  <c i="18" r="AC141" s="1"/>
  <c i="18" r="CP38"/>
  <c i="18" r="AS118"/>
  <c i="18" r="AS144" s="1"/>
  <c i="18" r="CF33"/>
  <c i="18" r="AI113"/>
  <c i="18" r="AI139" s="1"/>
  <c i="18" r="CF47"/>
  <c i="18" r="AI127"/>
  <c i="18" r="AI153" s="1"/>
  <c i="18" r="CH42"/>
  <c i="18" r="AK122"/>
  <c i="18" r="AK148" s="1"/>
  <c i="18" r="CP34"/>
  <c i="18" r="AS114"/>
  <c i="18" r="AS140" s="1"/>
  <c i="18" r="CI49"/>
  <c i="18" r="AL129"/>
  <c i="18" r="AL155" s="1"/>
  <c i="18" r="CG45"/>
  <c i="18" r="AJ125"/>
  <c i="18" r="AJ151" s="1"/>
  <c i="18" r="CG46"/>
  <c i="18" r="AJ126"/>
  <c i="18" r="AJ152" s="1"/>
  <c i="18" r="CE35"/>
  <c i="18" r="AH115"/>
  <c i="18" r="AH141" s="1"/>
  <c i="18" r="CC38"/>
  <c i="18" r="AF118"/>
  <c i="18" r="AF144" s="1"/>
  <c i="18" r="CL33"/>
  <c i="18" r="AO113"/>
  <c i="18" r="AO139" s="1"/>
  <c i="18" r="CC42"/>
  <c i="18" r="AF122"/>
  <c i="18" r="AF148" s="1"/>
  <c i="18" r="CG49"/>
  <c i="18" r="AJ129"/>
  <c i="18" r="AJ155" s="1"/>
  <c i="18" r="CN45"/>
  <c i="18" r="AQ125"/>
  <c i="18" r="AQ151" s="1"/>
  <c i="18" r="CB46"/>
  <c i="18" r="AE126"/>
  <c i="18" r="AE152" s="1"/>
  <c i="18" r="CN35"/>
  <c i="18" r="AQ115"/>
  <c i="18" r="AQ141" s="1"/>
  <c i="18" r="CH38"/>
  <c i="18" r="AK118"/>
  <c i="18" r="AK144" s="1"/>
  <c i="18" r="CB33"/>
  <c i="18" r="AE113"/>
  <c i="18" r="AE139" s="1"/>
  <c i="18" r="CE48"/>
  <c i="18" r="AH128"/>
  <c i="18" r="AH154" s="1"/>
  <c i="18" r="BX42"/>
  <c i="18" r="AA122"/>
  <c i="18" r="AA148" s="1"/>
  <c i="18" r="CM49"/>
  <c i="18" r="AP129"/>
  <c i="18" r="AP155" s="1"/>
  <c i="18" r="BZ45"/>
  <c i="18" r="AC125"/>
  <c i="18" r="AC151" s="1"/>
  <c i="18" r="CJ46"/>
  <c i="18" r="AM126"/>
  <c i="18" r="AM152" s="1"/>
  <c i="18" r="CD35"/>
  <c i="18" r="AG115"/>
  <c i="18" r="AG141" s="1"/>
  <c i="18" r="CD44"/>
  <c i="18" r="AG124"/>
  <c i="18" r="AG150" s="1"/>
  <c i="18" r="CK38"/>
  <c i="18" r="AN118"/>
  <c i="18" r="AN144" s="1"/>
  <c i="18" r="CG33"/>
  <c i="18" r="AJ113"/>
  <c i="18" r="AJ139" s="1"/>
  <c i="18" r="BZ48"/>
  <c i="18" r="AC128"/>
  <c i="18" r="AC154" s="1"/>
  <c i="18" r="CK42"/>
  <c i="18" r="AN122"/>
  <c i="18" r="AN148" s="1"/>
  <c i="18" r="BX47"/>
  <c i="18" r="AA127"/>
  <c i="18" r="AA153" s="1"/>
  <c i="18" r="CD49"/>
  <c i="18" r="AG129"/>
  <c i="18" r="AG155" s="1"/>
  <c i="18" r="BX45"/>
  <c i="18" r="AA125"/>
  <c i="18" r="AA151" s="1"/>
  <c i="18" r="CL46"/>
  <c i="18" r="AO126"/>
  <c i="18" r="AO152" s="1"/>
  <c i="18" r="CF35"/>
  <c i="18" r="AI115"/>
  <c i="18" r="AI141" s="1"/>
  <c i="18" r="CL44"/>
  <c i="18" r="AO124"/>
  <c i="18" r="AO150" s="1"/>
  <c i="18" r="BZ38"/>
  <c i="18" r="AC118"/>
  <c i="18" r="AC144" s="1"/>
  <c i="18" r="CP33"/>
  <c i="18" r="AS113"/>
  <c i="18" r="AS139" s="1"/>
  <c i="18" r="CL48"/>
  <c i="18" r="AO128"/>
  <c i="18" r="AO154" s="1"/>
  <c i="18" r="CD45"/>
  <c i="18" r="AG125"/>
  <c i="18" r="AG151" s="1"/>
  <c i="18" r="CQ46"/>
  <c i="18" r="AT126"/>
  <c i="18" r="AT152" s="1"/>
  <c i="18" r="CK35"/>
  <c i="18" r="AN115"/>
  <c i="18" r="AN141" s="1"/>
  <c i="18" r="CI44"/>
  <c i="18" r="AL124"/>
  <c i="18" r="AL150" s="1"/>
  <c i="18" r="CA38"/>
  <c i="18" r="AD118"/>
  <c i="18" r="AD144" s="1"/>
  <c i="18" r="CH33"/>
  <c i="18" r="AK113"/>
  <c i="18" r="AK139" s="1"/>
  <c i="18" r="CH48"/>
  <c i="18" r="AK128"/>
  <c i="18" r="AK154" s="1"/>
  <c i="18" r="CK32"/>
  <c i="18" r="AN112"/>
  <c i="18" r="AN138" s="1"/>
  <c i="1" r="CF42"/>
  <c i="18" r="L24" s="1"/>
  <c i="18" r="H24"/>
  <c i="18" r="CK45"/>
  <c i="18" r="AN125"/>
  <c i="18" r="AN151" s="1"/>
  <c i="18" r="CE46"/>
  <c i="18" r="AH126"/>
  <c i="18" r="AH152" s="1"/>
  <c i="18" r="BX35"/>
  <c i="18" r="AA115"/>
  <c i="18" r="AA141" s="1"/>
  <c i="18" r="BY44"/>
  <c i="18" r="AB124"/>
  <c i="18" r="AB150" s="1"/>
  <c i="18" r="CF38"/>
  <c i="18" r="AI118"/>
  <c i="18" r="AI144" s="1"/>
  <c i="18" r="CM33"/>
  <c i="18" r="AP113"/>
  <c i="18" r="AP139" s="1"/>
  <c i="18" r="CI48"/>
  <c i="18" r="AL128"/>
  <c i="18" r="AL154" s="1"/>
  <c i="18" r="CB32"/>
  <c i="18" r="AE112"/>
  <c i="18" r="AE138" s="1"/>
  <c i="18" r="CQ45"/>
  <c i="18" r="AT125"/>
  <c i="18" r="AT151" s="1"/>
  <c i="18" r="CM46"/>
  <c i="18" r="AP126"/>
  <c i="18" r="AP152" s="1"/>
  <c i="18" r="CA39"/>
  <c i="18" r="AD119"/>
  <c i="18" r="AD145" s="1"/>
  <c i="18" r="CO35"/>
  <c i="18" r="AR115"/>
  <c i="18" r="AR141" s="1"/>
  <c i="18" r="CG44"/>
  <c i="18" r="AJ124"/>
  <c i="18" r="AJ150" s="1"/>
  <c i="18" r="CN38"/>
  <c i="18" r="AQ118"/>
  <c i="18" r="AQ144" s="1"/>
  <c i="18" r="BZ33"/>
  <c i="18" r="AC113"/>
  <c i="18" r="AC139" s="1"/>
  <c i="18" r="CC48"/>
  <c i="18" r="AF128"/>
  <c i="18" r="AF154" s="1"/>
  <c i="18" r="BY32"/>
  <c i="18" r="AB112"/>
  <c i="18" r="AB138" s="1"/>
  <c i="18" r="CA33"/>
  <c i="18" r="AD113"/>
  <c i="18" r="AD139" s="1"/>
  <c i="18" r="CA45"/>
  <c i="18" r="AD125"/>
  <c i="18" r="AD151" s="1"/>
  <c i="18" r="CP46"/>
  <c i="18" r="AS126"/>
  <c i="18" r="AS152" s="1"/>
  <c i="18" r="CF41"/>
  <c i="18" r="AI121"/>
  <c i="18" r="AI147" s="1"/>
  <c i="18" r="CD39"/>
  <c i="18" r="AG119"/>
  <c i="18" r="AG145" s="1"/>
  <c i="18" r="CG35"/>
  <c i="18" r="AJ115"/>
  <c i="18" r="AJ141" s="1"/>
  <c i="18" r="CJ44"/>
  <c i="18" r="AM124"/>
  <c i="18" r="AM150" s="1"/>
  <c i="18" r="CQ38"/>
  <c i="18" r="AT118"/>
  <c i="18" r="AT144" s="1"/>
  <c i="18" r="CQ33"/>
  <c i="18" r="AT113"/>
  <c i="18" r="AT139" s="1"/>
  <c i="18" r="CJ48"/>
  <c i="18" r="AM128"/>
  <c i="18" r="AM154" s="1"/>
  <c i="18" r="CI32"/>
  <c i="18" r="AL112"/>
  <c i="18" r="AL138" s="1"/>
  <c i="18" r="CI45"/>
  <c i="18" r="AL125"/>
  <c i="18" r="AL151" s="1"/>
  <c i="18" r="CH45"/>
  <c i="18" r="AK125"/>
  <c i="18" r="AK151" s="1"/>
  <c i="18" r="CH46"/>
  <c i="18" r="AK126"/>
  <c i="18" r="AK152" s="1"/>
  <c i="18" r="CB41"/>
  <c i="18" r="AE121"/>
  <c i="18" r="AE147" s="1"/>
  <c i="18" r="CO39"/>
  <c i="18" r="AR119"/>
  <c i="18" r="AR145" s="1"/>
  <c i="18" r="CA35"/>
  <c i="18" r="AD115"/>
  <c i="18" r="AD141" s="1"/>
  <c i="18" r="CB44"/>
  <c i="18" r="AE124"/>
  <c i="18" r="AE150" s="1"/>
  <c i="18" r="CI38"/>
  <c i="18" r="AL118"/>
  <c i="18" r="AL144" s="1"/>
  <c i="18" r="CI33"/>
  <c i="18" r="AL113"/>
  <c i="18" r="AL139" s="1"/>
  <c i="18" r="CF48"/>
  <c i="18" r="AI128"/>
  <c i="18" r="AI154" s="1"/>
  <c i="18" r="CN32"/>
  <c i="18" r="AQ112"/>
  <c i="18" r="AQ138" s="1"/>
  <c i="18" r="CF37"/>
  <c i="18" r="AI117"/>
  <c i="18" r="AI143" s="1"/>
  <c i="18" r="CE45"/>
  <c i="18" r="AH125"/>
  <c i="18" r="AH151" s="1"/>
  <c i="18" r="BZ46"/>
  <c i="18" r="AC126"/>
  <c i="18" r="AC152" s="1"/>
  <c i="18" r="CM41"/>
  <c i="18" r="AP121"/>
  <c i="18" r="AP147" s="1"/>
  <c i="18" r="CL39"/>
  <c i="18" r="AO119"/>
  <c i="18" r="AO145" s="1"/>
  <c i="18" r="CL35"/>
  <c i="18" r="AO115"/>
  <c i="18" r="AO141" s="1"/>
  <c i="18" r="CP44"/>
  <c i="18" r="AS124"/>
  <c i="18" r="AS150" s="1"/>
  <c i="18" r="BX38"/>
  <c i="18" r="AA118"/>
  <c i="18" r="AA144" s="1"/>
  <c i="18" r="CC33"/>
  <c i="18" r="AF113"/>
  <c i="18" r="AF139" s="1"/>
  <c i="18" r="BX48"/>
  <c i="18" r="AA128"/>
  <c i="18" r="AA154" s="1"/>
  <c i="18" r="CQ32"/>
  <c i="18" r="AT112"/>
  <c i="18" r="AT138" s="1"/>
  <c i="18" r="CD36"/>
  <c i="18" r="AG116"/>
  <c i="18" r="AG142" s="1"/>
  <c i="18" r="CQ37"/>
  <c i="18" r="AT117"/>
  <c i="18" r="AT143" s="1"/>
  <c i="18" r="S64"/>
  <c i="18" r="X75"/>
  <c i="18" r="E76"/>
  <c i="18" r="W57"/>
  <c i="18" r="D60"/>
  <c i="18" r="M67"/>
  <c i="18" r="V74"/>
  <c i="18" r="N60"/>
  <c i="18" r="G62"/>
  <c i="18" r="P69"/>
  <c i="18" r="G57"/>
  <c i="18" r="M63"/>
  <c i="18" r="O75"/>
  <c i="18" r="D66"/>
  <c i="18" r="R69"/>
  <c i="18" r="Q66"/>
  <c i="18" r="P59"/>
  <c i="18" r="R61"/>
  <c i="18" r="M78"/>
  <c i="18" r="BJ59" s="1"/>
  <c i="18" r="N58"/>
  <c i="18" r="R74"/>
  <c i="18" r="N76"/>
  <c i="18" r="K71"/>
  <c i="18" r="K58"/>
  <c i="18" r="U78"/>
  <c i="18" r="BR59" s="1"/>
  <c i="18" r="Q62"/>
  <c i="18" r="X60"/>
  <c i="18" r="O66"/>
  <c i="18" r="Q57"/>
  <c i="18" r="R77"/>
  <c i="18" r="W77"/>
  <c i="18" r="E58"/>
  <c i="18" r="I58"/>
  <c i="18" r="R59"/>
  <c i="18" r="BU57"/>
  <c i="18" r="E72"/>
  <c i="18" r="D78"/>
  <c i="18" r="BA59" s="1"/>
  <c i="18" r="V58"/>
  <c i="18" r="T62"/>
  <c i="18" r="K68"/>
  <c i="18" r="R57"/>
  <c i="18" r="O57"/>
  <c i="18" r="T57"/>
  <c i="18" r="W59"/>
  <c i="18" r="R63"/>
  <c i="18" r="E71"/>
  <c i="18" r="N78"/>
  <c i="18" r="BK59" s="1"/>
  <c i="18" r="F64"/>
  <c i="18" r="K60"/>
  <c i="18" r="H60"/>
  <c i="18" r="E74"/>
  <c i="18" r="C76"/>
  <c i="18" r="P60"/>
  <c i="18" r="T71"/>
  <c i="18" r="N61"/>
  <c i="18" r="E57"/>
  <c i="18" r="W78"/>
  <c i="18" r="BT59" s="1"/>
  <c i="18" r="R60"/>
  <c i="18" r="I66"/>
  <c i="18" r="P64"/>
  <c i="18" r="G70"/>
  <c i="18" r="L59"/>
  <c i="18" r="O59"/>
  <c i="18" r="X65"/>
  <c i="18" r="Q67"/>
  <c i="18" r="X73"/>
  <c i="18" r="I60"/>
  <c i="18" r="M76"/>
  <c i="18" r="N62"/>
  <c i="18" r="E68"/>
  <c i="18" r="L66"/>
  <c i="18" r="C72"/>
  <c i="18" r="H61"/>
  <c i="18" r="K61"/>
  <c i="18" r="P61"/>
  <c i="18" r="O63"/>
  <c i="18" r="J67"/>
  <c i="18" r="S74"/>
  <c i="18" r="F61"/>
  <c i="18" r="L78"/>
  <c i="18" r="BI59" s="1"/>
  <c i="18" r="W64"/>
  <c i="18" r="R67"/>
  <c i="18" r="U69"/>
  <c i="18" r="K70"/>
  <c i="18" r="N74"/>
  <c i="18" r="C63"/>
  <c i="18" r="T76"/>
  <c i="18" r="C78"/>
  <c i="18" r="AZ59" s="1"/>
  <c i="18" r="I70"/>
  <c i="18" r="O61"/>
  <c i="18" r="J64"/>
  <c i="18" r="W69"/>
  <c i="18" r="H68"/>
  <c i="18" r="U73"/>
  <c i="18" r="D63"/>
  <c i="18" r="G63"/>
  <c i="18" r="L63"/>
  <c i="18" r="K65"/>
  <c i="18" r="F69"/>
  <c i="18" r="O76"/>
  <c i="18" r="E70"/>
  <c i="18" r="I65"/>
  <c i="18" r="J63"/>
  <c i="18" r="Q71"/>
  <c i="18" r="I78"/>
  <c i="18" r="BF59" s="1"/>
  <c i="18" r="F73"/>
  <c i="18" r="H59"/>
  <c i="18" r="K69"/>
  <c i="18" r="Q77"/>
  <c i="18" r="C73"/>
  <c i="18" r="D58"/>
  <c i="18" r="I62"/>
  <c i="18" r="D71"/>
  <c i="18" r="J65"/>
  <c i="18" r="G73"/>
  <c i="18" r="U76"/>
  <c i="18" r="S58"/>
  <c i="18" r="F66"/>
  <c i="18" r="S71"/>
  <c i="18" r="D70"/>
  <c i="18" r="Q75"/>
  <c i="18" r="V64"/>
  <c i="18" r="C65"/>
  <c i="18" r="H65"/>
  <c i="18" r="G67"/>
  <c i="18" r="X70"/>
  <c i="18" r="K78"/>
  <c i="18" r="BH59" s="1"/>
  <c i="18" r="C64"/>
  <c i="18" r="L71"/>
  <c i="18" r="U70"/>
  <c i="18" r="R65"/>
  <c i="18" r="V73"/>
  <c i="18" r="X69"/>
  <c i="18" r="V65"/>
  <c i="18" r="N77"/>
  <c i="18" r="N69"/>
  <c i="18" r="R72"/>
  <c i="18" r="G72"/>
  <c i="18" r="U64"/>
  <c i="18" r="V57"/>
  <c i="18" r="M60"/>
  <c i="18" r="F74"/>
  <c i="18" r="N63"/>
  <c i="18" r="Q78"/>
  <c i="18" r="BN59" s="1"/>
  <c i="18" r="O60"/>
  <c i="18" r="X67"/>
  <c i="18" r="O73"/>
  <c i="18" r="V71"/>
  <c i="18" r="M77"/>
  <c i="18" r="R66"/>
  <c i="18" r="U66"/>
  <c i="18" r="D67"/>
  <c i="18" r="C69"/>
  <c i="18" r="T72"/>
  <c i="18" r="L58"/>
  <c i="18" r="U65"/>
  <c i="18" r="H73"/>
  <c i="18" r="V68"/>
  <c i="18" r="E73"/>
  <c i="18" r="H67"/>
  <c i="18" r="Q74"/>
  <c i="18" r="H64"/>
  <c i="18" r="K77"/>
  <c i="18" r="J71"/>
  <c i="18" r="X66"/>
  <c i="18" r="O67"/>
  <c i="18" r="D61"/>
  <c i="18" r="P65"/>
  <c i="18" r="L67"/>
  <c i="18" r="V59"/>
  <c i="18" r="Q76"/>
  <c i="18" r="N59"/>
  <c i="18" r="G75"/>
  <c i="18" r="K62"/>
  <c i="18" r="T69"/>
  <c i="18" r="K75"/>
  <c i="18" r="R73"/>
  <c i="18" r="J57"/>
  <c i="18" r="N68"/>
  <c i="18" r="Q68"/>
  <c i="18" r="D75"/>
  <c i="18" r="K64"/>
  <c i="18" r="S65"/>
  <c i="18" r="T68"/>
  <c i="18" r="G76"/>
  <c i="18" r="G71"/>
  <c i="18" r="R64"/>
  <c i="18" r="G64"/>
  <c i="18" r="P71"/>
  <c i="18" r="G77"/>
  <c i="18" r="N75"/>
  <c i="18" r="U77"/>
  <c i="18" r="J70"/>
  <c i="18" r="M70"/>
  <c i="18" r="R70"/>
  <c i="18" r="Q72"/>
  <c i="18" r="L76"/>
  <c i="18" r="D62"/>
  <c i="18" r="M69"/>
  <c i="18" r="X25" s="1"/>
  <c i="18" r="V76"/>
  <c i="18" r="H75"/>
  <c i="18" r="J74"/>
  <c i="18" r="C71"/>
  <c i="18" r="W71"/>
  <c i="18" r="E67"/>
  <c i="18" r="P73"/>
  <c i="18" r="E62"/>
  <c i="18" r="K59"/>
  <c i="18" r="S70"/>
  <c i="18" r="H57"/>
  <c i="18" r="F60"/>
  <c i="18" r="P70"/>
  <c i="18" r="P78"/>
  <c i="18" r="BM59" s="1"/>
  <c i="18" r="H74"/>
  <c i="18" r="H69"/>
  <c i="18" r="S57"/>
  <c i="18" r="M65"/>
  <c i="18" r="X68"/>
  <c i="18" r="C66"/>
  <c i="18" r="L73"/>
  <c i="18" r="D57"/>
  <c i="18" r="J77"/>
  <c i="18" r="J59"/>
  <c i="18" r="F72"/>
  <c i="18" r="I72"/>
  <c i="18" r="N72"/>
  <c i="18" r="M74"/>
  <c i="18" r="H78"/>
  <c i="18" r="BE59" s="1"/>
  <c i="18" r="V63"/>
  <c i="18" r="I71"/>
  <c i="18" r="R78"/>
  <c i="18" r="BO59" s="1"/>
  <c i="18" r="U67"/>
  <c i="18" r="I76"/>
  <c i="18" r="T58"/>
  <c i="18" r="F68"/>
  <c i="18" r="E63"/>
  <c i="18" r="D64"/>
  <c i="18" r="K57"/>
  <c i="18" r="V70"/>
  <c i="18" r="I75"/>
  <c i="18" r="X74"/>
  <c i="18" r="L72"/>
  <c i="18" r="N66"/>
  <c i="18" r="D74"/>
  <c i="18" r="T77"/>
  <c i="18" r="M58"/>
  <c i="18" r="L75"/>
  <c i="18" r="J58"/>
  <c i="18" r="C74"/>
  <c i="18" r="U75"/>
  <c i="18" r="M68"/>
  <c i="18" r="X24" s="1"/>
  <c i="18" r="W65"/>
  <c i="18" r="J60"/>
  <c i="18" r="E69"/>
  <c i="18" r="O69"/>
  <c i="18" r="S72"/>
  <c i="18" r="Q69"/>
  <c i="18" r="D77"/>
  <c i="18" r="S68"/>
  <c i="18" r="G59"/>
  <c i="18" r="X62"/>
  <c i="18" r="T75"/>
  <c i="18" r="W75"/>
  <c i="18" r="F76"/>
  <c i="18" r="E78"/>
  <c i="18" r="BB59" s="1"/>
  <c i="18" r="E60"/>
  <c i="18" r="N67"/>
  <c i="18" r="W74"/>
  <c i="18" r="P76"/>
  <c i="18" r="O72"/>
  <c i="18" r="K74"/>
  <c i="18" r="F78"/>
  <c i="18" r="BC59" s="1"/>
  <c i="18" r="T63"/>
  <c i="18" r="G58"/>
  <c i="18" r="C60"/>
  <c i="18" r="V77"/>
  <c i="18" r="Q63"/>
  <c i="18" r="I67"/>
  <c i="18" r="S67"/>
  <c i="18" r="F62"/>
  <c i="18" r="W70"/>
  <c i="18" r="M71"/>
  <c i="18" r="V78"/>
  <c i="18" r="BS59" s="1"/>
  <c i="18" r="D59"/>
  <c i="18" r="C61"/>
  <c i="18" r="T64"/>
  <c i="18" r="P77"/>
  <c i="18" r="S77"/>
  <c i="18" r="X77"/>
  <c i="18" r="X57"/>
  <c i="18" r="W61"/>
  <c i="18" r="J69"/>
  <c i="18" r="S76"/>
  <c i="18" r="Q61"/>
  <c i="18" r="R75"/>
  <c i="18" r="I73"/>
  <c i="18" r="E65"/>
  <c i="18" r="V60"/>
  <c i="18" r="U62"/>
  <c i="18" r="P66"/>
  <c i="18" r="M57"/>
  <c i="18" r="P57"/>
  <c i="18" r="U57"/>
  <c i="18" r="F58"/>
  <c i="18" r="S63"/>
  <c i="18" r="F71"/>
  <c i="18" r="O78"/>
  <c i="18" r="BL59" s="1"/>
  <c i="18" r="L60"/>
  <c i="18" r="G69"/>
  <c i="18" r="U72"/>
  <c i="18" r="H77"/>
  <c i="18" r="N71"/>
  <c i="18" r="E75"/>
  <c i="18" r="W58"/>
  <c i="18" r="R62"/>
  <c i="18" r="Q64"/>
  <c i="18" r="L68"/>
  <c i="18" r="I63"/>
  <c i="18" r="O70"/>
  <c i="18" r="C58"/>
  <c i="18" r="X59"/>
  <c i="18" r="O65"/>
  <c i="18" r="X72"/>
  <c i="18" r="P58"/>
  <c i="18" r="H62"/>
  <c i="18" r="S73"/>
  <c i="18" r="W63"/>
  <c i="18" r="V67"/>
  <c i="18" r="X61"/>
  <c i="18" r="C57"/>
  <c i="18" r="Q58"/>
  <c i="18" r="D76"/>
  <c i="18" r="Q59"/>
  <c i="18" r="X63"/>
  <c i="18" r="P67"/>
  <c i="18" r="W76"/>
  <c i="18" r="S60"/>
  <c i="18" r="N64"/>
  <c i="18" r="M66"/>
  <c i="18" r="H70"/>
  <c i="18" r="M59"/>
  <c i="18" r="H63"/>
  <c i="18" r="U59"/>
  <c i="18" r="T61"/>
  <c i="18" r="K67"/>
  <c i="18" r="T74"/>
  <c i="18" r="L62"/>
  <c i="18" r="S66"/>
  <c i="18" r="M73"/>
  <c i="18" r="M61"/>
  <c i="18" r="N57"/>
  <c i="18" r="U61"/>
  <c i="18" r="E64"/>
  <c i="18" r="V72"/>
  <c i="18" r="K63"/>
  <c i="18" r="S78"/>
  <c i="18" r="BP59" s="1"/>
  <c i="18" r="O62"/>
  <c i="18" r="J66"/>
  <c i="18" r="I68"/>
  <c i="18" r="D72"/>
  <c i="18" r="I61"/>
  <c i="18" r="W66"/>
  <c i="18" r="P63"/>
  <c i="18" r="W68"/>
  <c i="18" r="W62"/>
  <c i="18" r="R58"/>
  <c i="18" r="H58"/>
  <c i="18" r="O68"/>
  <c i="18" r="F65"/>
  <c i="18" r="Q65"/>
  <c i="18" r="G61"/>
  <c i="18" r="J76"/>
  <c i="18" r="E77"/>
  <c i="18" r="D73"/>
  <c i="18" r="J73"/>
  <c i="18" r="V62"/>
  <c i="18" r="I74"/>
  <c i="18" r="F75"/>
  <c i="18" r="X58"/>
  <c i="18" r="E59"/>
  <c i="18" r="X76"/>
  <c i="18" r="T60"/>
  <c i="18" r="W60"/>
  <c i="18" r="U74"/>
  <c i="18" r="J72"/>
  <c i="18" r="T78"/>
  <c i="18" r="BQ59" s="1"/>
  <c i="18" r="P62"/>
  <c i="18" r="S62"/>
  <c i="18" r="J68"/>
  <c i="18" r="C59"/>
  <c i="18" r="U58"/>
  <c i="18" r="L64"/>
  <c i="18" r="O64"/>
  <c i="18" r="F70"/>
  <c i="18" r="W73"/>
  <c i="18" r="K72"/>
  <c i="18" r="Q60"/>
  <c i="18" r="H66"/>
  <c i="18" r="K66"/>
  <c i="18" r="X71"/>
  <c i="18" r="S75"/>
  <c i="18" r="S59"/>
  <c i="18" r="M62"/>
  <c i="18" r="D68"/>
  <c i="18" r="G68"/>
  <c i="18" r="T73"/>
  <c i="18" r="O77"/>
  <c i="18" r="J61"/>
  <c i="18" r="I64"/>
  <c i="18" r="V69"/>
  <c i="18" r="C70"/>
  <c i="18" r="P75"/>
  <c i="18" r="L57"/>
  <c i="18" r="F63"/>
  <c i="18" r="F67"/>
  <c i="18" r="E66"/>
  <c i="18" r="R71"/>
  <c i="18" r="U71"/>
  <c i="18" r="L77"/>
  <c i="18" r="L61"/>
  <c i="18" r="X64"/>
  <c i="18" r="G65"/>
  <c i="18" r="J78"/>
  <c i="18" r="BG59" s="1"/>
  <c i="18" r="W67"/>
  <c i="18" r="N73"/>
  <c i="18" r="Q73"/>
  <c i="18" r="I57"/>
  <c i="18" r="D65"/>
  <c i="18" r="T66"/>
  <c i="18" r="C67"/>
  <c i="18" r="T70"/>
  <c i="18" r="T65"/>
  <c i="18" r="S69"/>
  <c i="18" r="J75"/>
  <c i="18" r="M75"/>
  <c i="18" r="G74"/>
  <c i="18" r="V66"/>
  <c i="18" r="P68"/>
  <c i="18" r="U68"/>
  <c i="18" r="P72"/>
  <c i="18" r="O74"/>
  <c i="18" r="G60"/>
  <c i="18" r="C75"/>
  <c i="18" r="O71"/>
  <c i="18" r="F77"/>
  <c i="18" r="I77"/>
  <c i="18" r="I59"/>
  <c i="18" r="R68"/>
  <c i="18" r="L70"/>
  <c i="18" r="Q70"/>
  <c i="18" r="L74"/>
  <c i="18" r="K76"/>
  <c i="18" r="C62"/>
  <c i="18" r="L69"/>
  <c i="18" r="K73"/>
  <c i="18" r="X78"/>
  <c i="18" r="BU59" s="1"/>
  <c i="18" r="F57"/>
  <c i="18" r="E61"/>
  <c i="18" r="N70"/>
  <c i="18" r="H72"/>
  <c i="18" r="M72"/>
  <c i="18" r="H76"/>
  <c i="18" r="G78"/>
  <c i="18" r="BD59" s="1"/>
  <c i="18" r="U63"/>
  <c i="18" r="H71"/>
  <c i="18" r="CC46"/>
  <c i="18" r="AF126"/>
  <c i="18" r="AF152" s="1"/>
  <c i="18" r="CQ41"/>
  <c i="18" r="AT121"/>
  <c i="18" r="AT147" s="1"/>
  <c i="18" r="CH39"/>
  <c i="18" r="AK119"/>
  <c i="18" r="AK145" s="1"/>
  <c i="18" r="CE44"/>
  <c i="18" r="AH124"/>
  <c i="18" r="AH150" s="1"/>
  <c i="18" r="CD38"/>
  <c i="18" r="AG118"/>
  <c i="18" r="AG144" s="1"/>
  <c i="18" r="CQ43"/>
  <c i="18" r="AT123"/>
  <c i="18" r="AT149" s="1"/>
  <c i="18" r="CN33"/>
  <c i="18" r="AQ113"/>
  <c i="18" r="AQ139" s="1"/>
  <c i="18" r="CP48"/>
  <c i="18" r="AS128"/>
  <c i="18" r="AS154" s="1"/>
  <c i="18" r="CF32"/>
  <c i="18" r="AI112"/>
  <c i="18" r="AI138" s="1"/>
  <c i="18" r="BZ37"/>
  <c i="18" r="AC117"/>
  <c i="18" r="AC143" s="1"/>
  <c i="18" r="CK46"/>
  <c i="18" r="AN126"/>
  <c i="18" r="AN152" s="1"/>
  <c i="18" r="CJ41"/>
  <c i="18" r="AM121"/>
  <c i="18" r="AM147" s="1"/>
  <c i="18" r="CE39"/>
  <c i="18" r="AH119"/>
  <c i="18" r="AH145" s="1"/>
  <c i="18" r="CM44"/>
  <c i="18" r="AP124"/>
  <c i="18" r="AP150" s="1"/>
  <c i="18" r="CL38"/>
  <c i="18" r="AO118"/>
  <c i="18" r="AO144" s="1"/>
  <c i="18" r="CD43"/>
  <c i="18" r="AG123"/>
  <c i="18" r="AG149" s="1"/>
  <c i="18" r="AV113"/>
  <c i="18" r="AV139" s="1"/>
  <c i="18" r="CA48"/>
  <c i="18" r="AD128"/>
  <c i="18" r="AD154" s="1"/>
  <c i="18" r="CC32"/>
  <c i="18" r="AF112"/>
  <c i="18" r="AF138" s="1"/>
  <c i="18" r="CN37"/>
  <c i="18" r="AQ117"/>
  <c i="18" r="AQ143" s="1"/>
  <c i="18" r="CC40"/>
  <c i="18" r="AF120"/>
  <c i="18" r="AF146" s="1"/>
  <c i="18" r="BX46"/>
  <c i="18" r="AA126"/>
  <c i="18" r="AA152" s="1"/>
  <c i="18" r="CC41"/>
  <c i="18" r="AF121"/>
  <c i="18" r="AF147" s="1"/>
  <c i="18" r="CI39"/>
  <c i="18" r="AL119"/>
  <c i="18" r="AL145" s="1"/>
  <c i="18" r="BZ44"/>
  <c i="18" r="AC124"/>
  <c i="18" r="AC150" s="1"/>
  <c i="18" r="CG38"/>
  <c i="18" r="AJ118"/>
  <c i="18" r="AJ144" s="1"/>
  <c i="18" r="BY43"/>
  <c i="18" r="AB123"/>
  <c i="18" r="AB149" s="1"/>
  <c i="18" r="CM48"/>
  <c i="18" r="AP128"/>
  <c i="18" r="AP154" s="1"/>
  <c i="18" r="BZ32"/>
  <c i="18" r="AC112"/>
  <c i="18" r="AC138" s="1"/>
  <c i="18" r="BY31"/>
  <c i="18" r="AB111"/>
  <c i="18" r="AB137" s="1"/>
  <c i="18" r="CB37"/>
  <c i="18" r="AE117"/>
  <c i="18" r="AE143" s="1"/>
  <c i="18" r="CK40"/>
  <c i="18" r="AN120"/>
  <c i="18" r="AN146" s="1"/>
  <c i="18" r="CN46"/>
  <c i="18" r="AQ126"/>
  <c i="18" r="AQ152" s="1"/>
  <c i="18" r="CG41"/>
  <c i="18" r="AJ121"/>
  <c i="18" r="AJ147" s="1"/>
  <c i="18" r="BY39"/>
  <c i="18" r="AB119"/>
  <c i="18" r="AB145" s="1"/>
  <c i="18" r="CH44"/>
  <c i="18" r="AK124"/>
  <c i="18" r="AK150" s="1"/>
  <c i="18" r="CB38"/>
  <c i="18" r="AE118"/>
  <c i="18" r="AE144" s="1"/>
  <c i="18" r="CK43"/>
  <c i="18" r="AN123"/>
  <c i="18" r="AN149" s="1"/>
  <c i="18" r="CD48"/>
  <c i="18" r="AG128"/>
  <c i="18" r="AG154" s="1"/>
  <c i="18" r="CG32"/>
  <c i="18" r="AJ112"/>
  <c i="18" r="AJ138" s="1"/>
  <c i="18" r="CG37"/>
  <c i="18" r="AJ117"/>
  <c i="18" r="AJ143" s="1"/>
  <c i="18" r="CN40"/>
  <c i="18" r="AQ120"/>
  <c i="18" r="AQ146" s="1"/>
  <c i="18" r="CF46"/>
  <c i="18" r="AI126"/>
  <c i="18" r="AI152" s="1"/>
  <c i="18" r="BY41"/>
  <c i="18" r="AB121"/>
  <c i="18" r="AB147" s="1"/>
  <c i="18" r="CP39"/>
  <c i="18" r="AS119"/>
  <c i="18" r="AS145" s="1"/>
  <c i="18" r="CK44"/>
  <c i="18" r="AN124"/>
  <c i="18" r="AN150" s="1"/>
  <c i="18" r="CO38"/>
  <c i="18" r="AR118"/>
  <c i="18" r="AR144" s="1"/>
  <c i="18" r="CH43"/>
  <c i="18" r="AK123"/>
  <c i="18" r="AK149" s="1"/>
  <c i="18" r="CK48"/>
  <c i="18" r="AN128"/>
  <c i="18" r="AN154" s="1"/>
  <c i="18" r="CL32"/>
  <c i="18" r="AO112"/>
  <c i="18" r="AO138" s="1"/>
  <c i="1" r="BE89"/>
  <c i="1" r="BH93"/>
  <c i="18" r="CK37"/>
  <c i="18" r="AN117"/>
  <c i="18" r="AN143" s="1"/>
  <c i="18" r="CA40"/>
  <c i="18" r="AD120"/>
  <c i="18" r="AD146" s="1"/>
  <c i="18" r="CI46"/>
  <c i="18" r="AL126"/>
  <c i="18" r="AL152" s="1"/>
  <c i="18" r="CN41"/>
  <c i="18" r="AQ121"/>
  <c i="18" r="AQ147" s="1"/>
  <c i="18" r="CM39"/>
  <c i="18" r="AP119"/>
  <c i="18" r="AP145" s="1"/>
  <c i="18" r="CN44"/>
  <c i="18" r="AQ124"/>
  <c i="18" r="AQ150" s="1"/>
  <c i="18" r="BY38"/>
  <c i="18" r="AB118"/>
  <c i="18" r="AB144" s="1"/>
  <c i="18" r="CA43"/>
  <c i="18" r="AD123"/>
  <c i="18" r="AD149" s="1"/>
  <c i="18" r="CN48"/>
  <c i="18" r="AQ128"/>
  <c i="18" r="AQ154" s="1"/>
  <c i="18" r="CO32"/>
  <c i="18" r="AR112"/>
  <c i="18" r="AR138" s="1"/>
  <c i="1" r="AY104"/>
  <c i="1" r="BF103"/>
  <c i="1" r="BF93"/>
  <c i="1" r="BD95"/>
  <c i="1" r="CG22"/>
  <c i="18" r="M4" s="1"/>
  <c i="18" r="I24"/>
  <c i="18" r="CA37"/>
  <c i="18" r="AD117"/>
  <c i="18" r="AD143" s="1"/>
  <c i="18" r="CF40"/>
  <c i="18" r="AI120"/>
  <c i="18" r="AI146" s="1"/>
  <c i="18" r="CA46"/>
  <c i="18" r="AD126"/>
  <c i="18" r="AD152" s="1"/>
  <c i="18" r="CK41"/>
  <c i="18" r="AN121"/>
  <c i="18" r="AN147" s="1"/>
  <c i="18" r="CF39"/>
  <c i="18" r="AI119"/>
  <c i="18" r="AI145" s="1"/>
  <c i="18" r="CO44"/>
  <c i="18" r="AR124"/>
  <c i="18" r="AR150" s="1"/>
  <c i="18" r="CJ38"/>
  <c i="18" r="AM118"/>
  <c i="18" r="AM144" s="1"/>
  <c i="18" r="CE43"/>
  <c i="18" r="AH123"/>
  <c i="18" r="AH149" s="1"/>
  <c i="18" r="CQ48"/>
  <c i="18" r="AT128"/>
  <c i="18" r="AT154" s="1"/>
  <c i="18" r="CD32"/>
  <c i="18" r="AG112"/>
  <c i="18" r="AG138" s="1"/>
  <c i="1" r="BD108"/>
  <c i="1" r="BI95"/>
  <c i="1" r="BS92"/>
  <c i="1" r="BI98"/>
  <c i="1" r="BQ105"/>
  <c i="1" r="BB96"/>
  <c i="1" r="AZ97"/>
  <c i="18" r="CO37"/>
  <c i="18" r="AR117"/>
  <c i="18" r="AR143" s="1"/>
  <c i="18" r="CI40"/>
  <c i="18" r="AL120"/>
  <c i="18" r="AL146" s="1"/>
  <c i="18" r="CO46"/>
  <c i="18" r="AR126"/>
  <c i="18" r="AR152" s="1"/>
  <c i="18" r="BZ41"/>
  <c i="18" r="AC121"/>
  <c i="18" r="AC147" s="1"/>
  <c i="18" r="BX39"/>
  <c i="18" r="AA119"/>
  <c i="18" r="AA145" s="1"/>
  <c i="18" r="CG36"/>
  <c i="18" r="AJ116"/>
  <c i="18" r="AJ142" s="1"/>
  <c i="18" r="CC44"/>
  <c i="18" r="AF124"/>
  <c i="18" r="AF150" s="1"/>
  <c i="18" r="AV118"/>
  <c i="18" r="AV144" s="1"/>
  <c i="18" r="CO43"/>
  <c i="18" r="AR123"/>
  <c i="18" r="AR149" s="1"/>
  <c i="18" r="CG48"/>
  <c i="18" r="AJ128"/>
  <c i="18" r="AJ154" s="1"/>
  <c i="18" r="CJ32"/>
  <c i="18" r="AM112"/>
  <c i="18" r="AM138" s="1"/>
  <c i="1" r="BG106"/>
  <c i="1" r="BI108"/>
  <c i="1" r="BM107"/>
  <c i="1" r="AX89"/>
  <c i="1" r="AX97"/>
  <c i="18" r="CH37"/>
  <c i="18" r="AK117"/>
  <c i="18" r="AK143" s="1"/>
  <c i="18" r="BY40"/>
  <c i="18" r="AB120"/>
  <c i="18" r="AB146" s="1"/>
  <c i="18" r="AO111"/>
  <c i="18" r="AO137" s="1"/>
  <c i="18" r="CL31"/>
  <c i="18" r="CD46"/>
  <c i="18" r="AG126"/>
  <c i="18" r="AG152" s="1"/>
  <c i="18" r="CD41"/>
  <c i="18" r="AG121"/>
  <c i="18" r="AG147" s="1"/>
  <c i="18" r="CJ39"/>
  <c i="18" r="AM119"/>
  <c i="18" r="AM145" s="1"/>
  <c i="18" r="BX36"/>
  <c i="18" r="AA116"/>
  <c i="18" r="AA142" s="1"/>
  <c i="18" r="CQ44"/>
  <c i="18" r="AT124"/>
  <c i="18" r="AT150" s="1"/>
  <c i="18" r="CI34"/>
  <c i="18" r="AL114"/>
  <c i="18" r="AL140" s="1"/>
  <c i="18" r="BZ43"/>
  <c i="18" r="AC123"/>
  <c i="18" r="AC149" s="1"/>
  <c i="18" r="CO48"/>
  <c i="18" r="AR128"/>
  <c i="18" r="AR154" s="1"/>
  <c i="18" r="CA32"/>
  <c i="18" r="AD112"/>
  <c i="18" r="AD138" s="1"/>
  <c i="1" r="BI109"/>
  <c i="1" r="BL89"/>
  <c i="1" r="AZ108"/>
  <c i="18" r="BX37"/>
  <c i="18" r="AA117"/>
  <c i="18" r="AA143" s="1"/>
  <c i="18" r="CD40"/>
  <c i="18" r="AG120"/>
  <c i="18" r="AG146" s="1"/>
  <c i="18" r="BZ31"/>
  <c i="18" r="AC111"/>
  <c i="18" r="AC137" s="1"/>
  <c i="18" r="BY46"/>
  <c i="18" r="AB126"/>
  <c i="18" r="AB152" s="1"/>
  <c i="18" r="CH41"/>
  <c i="18" r="AK121"/>
  <c i="18" r="AK147" s="1"/>
  <c i="18" r="CB39"/>
  <c i="18" r="AE119"/>
  <c i="18" r="AE145" s="1"/>
  <c i="18" r="CO36"/>
  <c i="18" r="AR116"/>
  <c i="18" r="AR142" s="1"/>
  <c i="18" r="BX44"/>
  <c i="18" r="AA124"/>
  <c i="18" r="AA150" s="1"/>
  <c i="18" r="BZ34"/>
  <c i="18" r="AC114"/>
  <c i="18" r="AC140" s="1"/>
  <c i="18" r="CN43"/>
  <c i="18" r="AQ123"/>
  <c i="18" r="AQ149" s="1"/>
  <c i="18" r="BY48"/>
  <c i="18" r="AB128"/>
  <c i="18" r="AB154" s="1"/>
  <c i="18" r="BX32"/>
  <c i="18" r="AA112"/>
  <c i="18" r="AA138" s="1"/>
  <c i="1" r="BM108"/>
  <c i="1" r="BG98"/>
  <c i="1" r="BL100"/>
  <c i="1" r="BJ102"/>
  <c i="18" r="CC37"/>
  <c i="18" r="AF117"/>
  <c i="18" r="AF143" s="1"/>
  <c i="18" r="CP40"/>
  <c i="18" r="AS120"/>
  <c i="18" r="AS146" s="1"/>
  <c i="18" r="CC31"/>
  <c i="18" r="AF111"/>
  <c i="18" r="AF137" s="1"/>
  <c i="18" r="CO41"/>
  <c i="18" r="AR121"/>
  <c i="18" r="AR147" s="1"/>
  <c i="18" r="CQ39"/>
  <c i="18" r="AT119"/>
  <c i="18" r="AT145" s="1"/>
  <c i="18" r="CE36"/>
  <c i="18" r="AH116"/>
  <c i="18" r="AH142" s="1"/>
  <c i="18" r="CF44"/>
  <c i="18" r="AI124"/>
  <c i="18" r="AI150" s="1"/>
  <c i="18" r="CQ34"/>
  <c i="18" r="AT114"/>
  <c i="18" r="AT140" s="1"/>
  <c i="18" r="CL43"/>
  <c i="18" r="AO123"/>
  <c i="18" r="AO149" s="1"/>
  <c i="18" r="CM47"/>
  <c i="18" r="AP127"/>
  <c i="18" r="AP153" s="1"/>
  <c i="18" r="CB48"/>
  <c i="18" r="AE128"/>
  <c i="18" r="AE154" s="1"/>
  <c i="18" r="CM32"/>
  <c i="18" r="AP112"/>
  <c i="18" r="AP138" s="1"/>
  <c i="1" r="AX100"/>
  <c i="1" r="BF101"/>
  <c i="1" r="BD93"/>
  <c i="18" r="CL37"/>
  <c i="18" r="AO117"/>
  <c i="18" r="AO143" s="1"/>
  <c i="18" r="CL40"/>
  <c i="18" r="AO120"/>
  <c i="18" r="AO146" s="1"/>
  <c i="18" r="CF31"/>
  <c i="18" r="AI111"/>
  <c i="18" r="AI137" s="1"/>
  <c i="18" r="BX41"/>
  <c i="18" r="AA121"/>
  <c i="18" r="AA147" s="1"/>
  <c i="18" r="CG39"/>
  <c i="18" r="AJ119"/>
  <c i="18" r="AJ145" s="1"/>
  <c i="18" r="CJ36"/>
  <c i="18" r="AM116"/>
  <c i="18" r="AM142" s="1"/>
  <c i="18" r="CA44"/>
  <c i="18" r="AD124"/>
  <c i="18" r="AD150" s="1"/>
  <c i="18" r="CG34"/>
  <c i="18" r="AJ114"/>
  <c i="18" r="AJ140" s="1"/>
  <c i="18" r="CI43"/>
  <c i="18" r="AL123"/>
  <c i="18" r="AL149" s="1"/>
  <c i="18" r="BZ47"/>
  <c i="18" r="AC127"/>
  <c i="18" r="AC153" s="1"/>
  <c i="18" r="AV128"/>
  <c i="18" r="AV154" s="1"/>
  <c i="18" r="CH32"/>
  <c i="18" r="AK112"/>
  <c i="18" r="AK138" s="1"/>
  <c i="1" r="BK90"/>
  <c i="1" r="BI88"/>
  <c i="1" r="BP101"/>
  <c i="1" r="BB106"/>
  <c i="18" r="CD37"/>
  <c i="18" r="AG117"/>
  <c i="18" r="AG143" s="1"/>
  <c i="18" r="CQ40"/>
  <c i="18" r="AT120"/>
  <c i="18" r="AT146" s="1"/>
  <c i="18" r="AP111"/>
  <c i="18" r="AP137" s="1"/>
  <c i="18" r="CM31"/>
  <c i="18" r="CE41"/>
  <c i="18" r="AH121"/>
  <c i="18" r="AH147" s="1"/>
  <c i="18" r="CN39"/>
  <c i="18" r="AQ119"/>
  <c i="18" r="AQ145" s="1"/>
  <c i="18" r="CM36"/>
  <c i="18" r="AP116"/>
  <c i="18" r="AP142" s="1"/>
  <c i="18" r="AV124"/>
  <c i="18" r="AV150" s="1"/>
  <c i="18" r="CL34"/>
  <c i="18" r="AO114"/>
  <c i="18" r="AO140" s="1"/>
  <c i="18" r="CP43"/>
  <c i="18" r="AS123"/>
  <c i="18" r="AS149" s="1"/>
  <c i="18" r="CP47"/>
  <c i="18" r="AS127"/>
  <c i="18" r="AS153" s="1"/>
  <c i="18" r="CE32"/>
  <c i="18" r="AH112"/>
  <c i="18" r="AH138" s="1"/>
  <c i="1" r="BG92"/>
  <c i="1" r="BR96"/>
  <c i="1" r="AX108"/>
  <c i="1" r="BN97"/>
  <c i="18" r="CI37"/>
  <c i="18" r="AL117"/>
  <c i="18" r="AL143" s="1"/>
  <c i="18" r="CO40"/>
  <c i="18" r="AR120"/>
  <c i="18" r="AR146" s="1"/>
  <c i="18" r="CQ31"/>
  <c i="18" r="AT111"/>
  <c i="18" r="AT137" s="1"/>
  <c i="18" r="CL41"/>
  <c i="18" r="AO121"/>
  <c i="18" r="AO147" s="1"/>
  <c i="18" r="BZ39"/>
  <c i="18" r="AC119"/>
  <c i="18" r="AC145" s="1"/>
  <c i="18" r="BY36"/>
  <c i="18" r="AB116"/>
  <c i="18" r="AB142" s="1"/>
  <c i="18" r="CO34"/>
  <c i="18" r="AR114"/>
  <c i="18" r="AR140" s="1"/>
  <c i="18" r="CB43"/>
  <c i="18" r="AE123"/>
  <c i="18" r="AE149" s="1"/>
  <c i="18" r="CG47"/>
  <c i="18" r="AJ127"/>
  <c i="18" r="AJ153" s="1"/>
  <c i="18" r="CF42"/>
  <c i="18" r="AI122"/>
  <c i="18" r="AI148" s="1"/>
  <c i="18" r="CP32"/>
  <c i="18" r="AS112"/>
  <c i="18" r="AS138" s="1"/>
  <c i="1" r="BS101"/>
  <c i="1" r="BN98"/>
  <c i="1" r="BR107"/>
  <c i="1" r="BP109"/>
  <c i="1" r="BS88"/>
  <c i="18" r="CP49"/>
  <c i="18" r="AS129"/>
  <c i="18" r="AS155" s="1"/>
  <c i="18" r="CP37"/>
  <c i="18" r="AS117"/>
  <c i="18" r="AS143" s="1"/>
  <c i="18" r="CG40"/>
  <c i="18" r="AJ120"/>
  <c i="18" r="AJ146" s="1"/>
  <c i="18" r="BX31"/>
  <c i="18" r="AA111"/>
  <c i="18" r="AA137" s="1"/>
  <c i="18" r="CI41"/>
  <c i="18" r="AL121"/>
  <c i="18" r="AL147" s="1"/>
  <c i="18" r="CK39"/>
  <c i="18" r="AN119"/>
  <c i="18" r="AN145" s="1"/>
  <c i="18" r="CC36"/>
  <c i="18" r="AF116"/>
  <c i="18" r="AF142" s="1"/>
  <c i="18" r="CA34"/>
  <c i="18" r="AD114"/>
  <c i="18" r="AD140" s="1"/>
  <c i="18" r="CF43"/>
  <c i="18" r="AI123"/>
  <c i="18" r="AI149" s="1"/>
  <c i="18" r="CD47"/>
  <c i="18" r="AG127"/>
  <c i="18" r="AG153" s="1"/>
  <c i="18" r="CN42"/>
  <c i="18" r="AQ122"/>
  <c i="18" r="AQ148" s="1"/>
  <c i="1" r="AY96"/>
  <c i="1" r="BJ100"/>
  <c i="1" r="BC92"/>
  <c i="1" r="BA88"/>
  <c i="18" r="CA49"/>
  <c i="18" r="AD129"/>
  <c i="18" r="AD155" s="1"/>
  <c i="18" r="CM37"/>
  <c i="18" r="AP117"/>
  <c i="18" r="AP143" s="1"/>
  <c i="18" r="CH40"/>
  <c i="18" r="AK120"/>
  <c i="18" r="AK146" s="1"/>
  <c i="18" r="CG31"/>
  <c i="18" r="AJ111"/>
  <c i="18" r="AJ137" s="1"/>
  <c i="18" r="BZ30"/>
  <c i="18" r="BB51"/>
  <c i="18" r="CA41"/>
  <c i="18" r="AD121"/>
  <c i="18" r="AD147" s="1"/>
  <c i="18" r="CC39"/>
  <c i="18" r="AF119"/>
  <c i="18" r="AF145" s="1"/>
  <c i="18" r="CH36"/>
  <c i="18" r="AK116"/>
  <c i="18" r="AK142" s="1"/>
  <c i="18" r="BX34"/>
  <c i="18" r="AA114"/>
  <c i="18" r="AA140" s="1"/>
  <c i="18" r="BX43"/>
  <c i="18" r="AA123"/>
  <c i="18" r="AA149" s="1"/>
  <c i="18" r="BY47"/>
  <c i="18" r="AB127"/>
  <c i="18" r="AB153" s="1"/>
  <c i="18" r="CP42"/>
  <c i="18" r="AS122"/>
  <c i="18" r="AS148" s="1"/>
  <c i="1" r="BB93"/>
  <c i="1" r="BH90"/>
  <c i="18" r="CK49"/>
  <c i="18" r="AN129"/>
  <c i="18" r="AN155" s="1"/>
  <c i="18" r="CE37"/>
  <c i="18" r="AH117"/>
  <c i="18" r="AH143" s="1"/>
  <c i="18" r="CB40"/>
  <c i="18" r="AE120"/>
  <c i="18" r="AE146" s="1"/>
  <c i="18" r="CA31"/>
  <c i="18" r="AD111"/>
  <c i="18" r="AD137" s="1"/>
  <c i="18" r="CP41"/>
  <c i="18" r="AS121"/>
  <c i="18" r="AS147" s="1"/>
  <c i="18" r="AV119"/>
  <c i="18" r="AV145" s="1"/>
  <c i="18" r="CP36"/>
  <c i="18" r="AS116"/>
  <c i="18" r="AS142" s="1"/>
  <c i="18" r="CE34"/>
  <c i="18" r="AH114"/>
  <c i="18" r="AH140" s="1"/>
  <c i="18" r="CM43"/>
  <c i="18" r="AP123"/>
  <c i="18" r="AP149" s="1"/>
  <c i="18" r="CN47"/>
  <c i="18" r="AQ127"/>
  <c i="18" r="AQ153" s="1"/>
  <c i="18" r="CA42"/>
  <c i="18" r="AD122"/>
  <c i="18" r="AD148" s="1"/>
  <c i="1" r="BN104"/>
  <c i="1" r="BB104"/>
  <c i="18" r="BX49"/>
  <c i="18" r="AA129"/>
  <c i="18" r="AA155" s="1"/>
  <c i="18" r="BY37"/>
  <c i="18" r="AB117"/>
  <c i="18" r="AB143" s="1"/>
  <c i="18" r="BX40"/>
  <c i="18" r="AA120"/>
  <c i="18" r="AA146" s="1"/>
  <c i="18" r="CH31"/>
  <c i="18" r="AK111"/>
  <c i="18" r="AK137" s="1"/>
  <c i="18" r="CK36"/>
  <c i="18" r="AN116"/>
  <c i="18" r="AN142" s="1"/>
  <c i="18" r="CJ34"/>
  <c i="18" r="AM114"/>
  <c i="18" r="AM140" s="1"/>
  <c i="18" r="CC43"/>
  <c i="18" r="AF123"/>
  <c i="18" r="AF149" s="1"/>
  <c i="18" r="CJ47"/>
  <c i="18" r="AM127"/>
  <c i="18" r="AM153" s="1"/>
  <c i="18" r="CI42"/>
  <c i="18" r="AL122"/>
  <c i="18" r="AL148" s="1"/>
  <c i="1" r="BD96"/>
  <c i="1" r="BL97"/>
  <c i="1" r="BP96"/>
  <c i="18" r="CH49"/>
  <c i="18" r="AK129"/>
  <c i="18" r="AK155" s="1"/>
  <c i="18" r="CJ37"/>
  <c i="18" r="AM117"/>
  <c i="18" r="AM143" s="1"/>
  <c i="18" r="CJ40"/>
  <c i="18" r="AM120"/>
  <c i="18" r="AM146" s="1"/>
  <c i="18" r="CN31"/>
  <c i="18" r="AQ111"/>
  <c i="18" r="AQ137" s="1"/>
  <c i="18" r="BZ36"/>
  <c i="18" r="AC116"/>
  <c i="18" r="AC142" s="1"/>
  <c i="18" r="CM34"/>
  <c i="18" r="AP114"/>
  <c i="18" r="AP140" s="1"/>
  <c i="18" r="CJ43"/>
  <c i="18" r="AM123"/>
  <c i="18" r="AM149" s="1"/>
  <c i="18" r="CA47"/>
  <c i="18" r="AD127"/>
  <c i="18" r="AD153" s="1"/>
  <c i="18" r="CL42"/>
  <c i="18" r="AO122"/>
  <c i="18" r="AO148" s="1"/>
  <c i="1" r="BK88"/>
  <c i="1" r="BL98"/>
  <c i="1" r="BP107"/>
  <c i="1" r="BL99"/>
  <c i="1" r="BH92"/>
  <c i="18" r="CN49"/>
  <c i="18" r="AQ129"/>
  <c i="18" r="AQ155" s="1"/>
  <c i="18" r="CE40"/>
  <c i="18" r="AH120"/>
  <c i="18" r="AH146" s="1"/>
  <c i="18" r="CD31"/>
  <c i="18" r="AG111"/>
  <c i="18" r="AG137" s="1"/>
  <c i="18" r="CF36"/>
  <c i="18" r="AI116"/>
  <c i="18" r="AI142" s="1"/>
  <c i="18" r="CB34"/>
  <c i="18" r="AE114"/>
  <c i="18" r="AE140" s="1"/>
  <c i="18" r="CG43"/>
  <c i="18" r="AJ123"/>
  <c i="18" r="AJ149" s="1"/>
  <c i="18" r="CH47"/>
  <c i="18" r="AK127"/>
  <c i="18" r="AK153" s="1"/>
  <c i="18" r="BY42"/>
  <c i="18" r="AB122"/>
  <c i="18" r="AB148" s="1"/>
  <c i="18" r="BU51"/>
  <c i="1" r="BE108"/>
  <c i="1" r="BF92"/>
  <c i="1" r="BH100"/>
  <c i="1" r="BC97"/>
  <c i="18" r="CE49"/>
  <c i="18" r="AH129"/>
  <c i="18" r="AH155" s="1"/>
  <c i="18" r="CO45"/>
  <c i="18" r="AR125"/>
  <c i="18" r="AR151" s="1"/>
  <c i="18" r="BZ40"/>
  <c i="18" r="AC120"/>
  <c i="18" r="AC146" s="1"/>
  <c i="18" r="CI31"/>
  <c i="18" r="AL111"/>
  <c i="18" r="AL137" s="1"/>
  <c i="18" r="CH35"/>
  <c i="18" r="AK115"/>
  <c i="18" r="AK141" s="1"/>
  <c i="18" r="CB36"/>
  <c i="18" r="AE116"/>
  <c i="18" r="AE142" s="1"/>
  <c i="18" r="CH34"/>
  <c i="18" r="AK114"/>
  <c i="18" r="AK140" s="1"/>
  <c i="18" r="AV123"/>
  <c i="18" r="AV149" s="1"/>
  <c i="18" r="CE47"/>
  <c i="18" r="AH127"/>
  <c i="18" r="AH153" s="1"/>
  <c i="18" r="CD42"/>
  <c i="18" r="AG122"/>
  <c i="18" r="AG148" s="1"/>
  <c i="1" r="BQ91"/>
  <c i="1" r="AZ94"/>
  <c i="1" r="BD102"/>
  <c i="1" r="BQ89"/>
  <c i="18" r="CB49"/>
  <c i="18" r="AE129"/>
  <c i="18" r="AE155" s="1"/>
  <c i="18" r="CB45"/>
  <c i="18" r="AE125"/>
  <c i="18" r="AE151" s="1"/>
  <c i="18" r="CM40"/>
  <c i="18" r="AP120"/>
  <c i="18" r="AP146" s="1"/>
  <c i="18" r="CJ31"/>
  <c i="18" r="AM111"/>
  <c i="18" r="AM137" s="1"/>
  <c i="18" r="CP35"/>
  <c i="18" r="AS115"/>
  <c i="18" r="AS141" s="1"/>
  <c i="18" r="CN36"/>
  <c i="18" r="AQ116"/>
  <c i="18" r="AQ142" s="1"/>
  <c i="18" r="BY34"/>
  <c i="18" r="AB114"/>
  <c i="18" r="AB140" s="1"/>
  <c i="18" r="CJ33"/>
  <c i="18" r="AM113"/>
  <c i="18" r="AM139" s="1"/>
  <c i="18" r="CL47"/>
  <c i="18" r="AO127"/>
  <c i="18" r="AO153" s="1"/>
  <c i="18" r="CG42"/>
  <c i="18" r="AJ122"/>
  <c i="18" r="AJ148" s="1"/>
  <c i="1" r="BG88"/>
  <c i="1" r="BD91"/>
  <c i="1" r="BN106"/>
  <c i="1" r="BQ100"/>
  <c i="18" r="CL49"/>
  <c i="18" r="AO129"/>
  <c i="18" r="AO155" s="1"/>
  <c i="18" r="CM45"/>
  <c i="18" r="AP125"/>
  <c i="18" r="AP151" s="1"/>
  <c i="18" r="CO31"/>
  <c i="18" r="AR111"/>
  <c i="18" r="AR137" s="1"/>
  <c i="18" r="BY35"/>
  <c i="18" r="AB115"/>
  <c i="18" r="AB141" s="1"/>
  <c i="18" r="CI36"/>
  <c i="18" r="AL116"/>
  <c i="18" r="AL142" s="1"/>
  <c i="18" r="CD34"/>
  <c i="18" r="AG114"/>
  <c i="18" r="AG140" s="1"/>
  <c i="18" r="BX33"/>
  <c i="18" r="AA113"/>
  <c i="18" r="AA139" s="1"/>
  <c i="18" r="CQ47"/>
  <c i="18" r="AT127"/>
  <c i="18" r="AT153" s="1"/>
  <c i="18" r="CB42"/>
  <c i="18" r="AE122"/>
  <c i="18" r="AE148" s="1"/>
  <c i="1" r="BQ97"/>
  <c i="1" r="BQ102"/>
  <c i="1" r="BM99"/>
  <c i="1" r="BG107"/>
  <c i="1" r="AZ103"/>
  <c i="1" r="BO91"/>
  <c i="1" r="BA105"/>
  <c i="1" r="BB92"/>
  <c i="1" r="BE92"/>
  <c i="1" r="BB105"/>
  <c i="1" r="AY99"/>
  <c i="1" r="BP91"/>
  <c i="1" r="BR102"/>
  <c i="1" r="AY103"/>
  <c i="1" r="BL93"/>
  <c i="1" r="BO100"/>
  <c i="1" r="BS97"/>
  <c i="1" r="BM93"/>
  <c i="1" r="BO98"/>
  <c i="1" r="BO104"/>
  <c i="1" r="BI94"/>
  <c i="1" r="BK100"/>
  <c i="1" r="BA97"/>
  <c i="1" r="BG108"/>
  <c i="1" r="BA99"/>
  <c i="1" r="BC105"/>
  <c i="1" r="BO109"/>
  <c i="1" r="BJ108"/>
  <c i="1" r="BM102"/>
  <c i="1" r="BH88"/>
  <c i="1" r="BB88"/>
  <c i="1" r="BM98"/>
  <c i="1" r="BA94"/>
  <c i="1" r="AZ104"/>
  <c i="1" r="BE94"/>
  <c i="1" r="BA101"/>
  <c i="1" r="BI89"/>
  <c i="1" r="AY109"/>
  <c i="1" r="BL108"/>
  <c i="1" r="BE91"/>
  <c i="1" r="BD94"/>
  <c i="1" r="BF107"/>
  <c i="1" r="AX107"/>
  <c i="1" r="BP92"/>
  <c i="1" r="BG89"/>
  <c i="1" r="BF95"/>
  <c i="1" r="BB89"/>
  <c i="1" r="BO97"/>
  <c i="1" r="AY89"/>
  <c i="1" r="BK98"/>
  <c i="1" r="BP102"/>
  <c i="1" r="BP104"/>
  <c i="1" r="AY98"/>
  <c i="1" r="BG100"/>
  <c i="1" r="BN89"/>
  <c i="1" r="BL104"/>
  <c i="1" r="BQ99"/>
  <c i="1" r="BC102"/>
  <c i="1" r="BP100"/>
  <c i="1" r="BQ90"/>
  <c i="1" r="BI93"/>
  <c i="1" r="BB101"/>
  <c i="1" r="BH106"/>
  <c i="1" r="BH108"/>
  <c i="1" r="BR90"/>
  <c i="1" r="BM96"/>
  <c i="1" r="BB95"/>
  <c i="1" r="BH104"/>
  <c i="1" r="BR98"/>
  <c i="1" r="BE88"/>
  <c i="1" r="BK96"/>
  <c i="1" r="BA90"/>
  <c i="1" r="BQ106"/>
  <c i="1" r="BO102"/>
  <c i="1" r="BC100"/>
  <c i="1" r="BF104"/>
  <c i="1" r="BF91"/>
  <c i="1" r="BJ109"/>
  <c i="1" r="BO93"/>
  <c i="1" r="BH99"/>
  <c i="1" r="BK95"/>
  <c i="1" r="BF90"/>
  <c i="1" r="BA100"/>
  <c i="1" r="BM89"/>
  <c i="1" r="BE107"/>
  <c i="1" r="BR93"/>
  <c i="1" r="BF97"/>
  <c i="1" r="BG97"/>
  <c i="1" r="BH105"/>
  <c i="1" r="BM105"/>
  <c i="1" r="CG37"/>
  <c i="1" r="CJ37" s="1"/>
  <c i="18" r="P19" s="1"/>
  <c i="1" r="CG42"/>
  <c i="18" r="M24" s="1"/>
  <c i="1" r="CG29"/>
  <c i="1" r="CJ29" s="1"/>
  <c i="18" r="P11" s="1"/>
  <c i="1" r="CG35"/>
  <c i="1" r="CJ35" s="1"/>
  <c i="18" r="P17" s="1"/>
  <c i="1" r="CG23"/>
  <c i="18" r="M5" s="1"/>
  <c i="18" r="R5" s="1"/>
  <c i="1" r="CG31"/>
  <c i="1" r="CJ31" s="1"/>
  <c i="18" r="P13" s="1"/>
  <c i="1" r="CG28"/>
  <c i="1" r="CJ28" s="1"/>
  <c i="18" r="P10" s="1"/>
  <c i="1" r="CG25"/>
  <c i="1" r="CJ25" s="1"/>
  <c i="18" r="P7" s="1"/>
  <c i="1" r="CG30"/>
  <c i="1" r="CJ30" s="1"/>
  <c i="18" r="P12" s="1"/>
  <c i="1" r="CF31"/>
  <c i="18" r="L13" s="1"/>
  <c i="1" r="CG34"/>
  <c i="1" r="CJ34" s="1"/>
  <c i="18" r="P16" s="1"/>
  <c i="1" r="CF23"/>
  <c i="18" r="L5" s="1"/>
  <c i="1" r="CF32"/>
  <c i="18" r="L14" s="1"/>
  <c i="1" r="BC91"/>
  <c i="1" r="BR108"/>
  <c i="1" r="BD98"/>
  <c i="1" r="AY93"/>
  <c i="1" r="BL106"/>
  <c i="1" r="AZ89"/>
  <c i="1" r="BQ94"/>
  <c i="1" r="BL94"/>
  <c i="1" r="BE105"/>
  <c i="1" r="BA107"/>
  <c i="1" r="BF96"/>
  <c i="1" r="BS108"/>
  <c i="1" r="BB98"/>
  <c i="1" r="CG36"/>
  <c i="1" r="CJ36" s="1"/>
  <c i="18" r="P18" s="1"/>
  <c i="1" r="BO88"/>
  <c i="1" r="BI96"/>
  <c i="1" r="CG27"/>
  <c i="1" r="CJ27" s="1"/>
  <c i="18" r="P9" s="1"/>
  <c i="1" r="BE98"/>
  <c i="1" r="BK107"/>
  <c i="1" r="CG41"/>
  <c i="18" r="M23" s="1"/>
  <c i="18" r="R23" s="1"/>
  <c i="1" r="CG38"/>
  <c i="18" r="M20" s="1"/>
  <c i="1" r="CG39"/>
  <c i="1" r="CJ39" s="1"/>
  <c i="18" r="P21" s="1"/>
  <c i="1" r="BI107"/>
  <c i="1" r="CG40"/>
  <c i="1" r="CJ40" s="1"/>
  <c i="18" r="P22" s="1"/>
  <c i="1" r="BE109"/>
  <c i="1" r="CG24"/>
  <c i="1" r="CJ24" s="1"/>
  <c i="18" r="P6" s="1"/>
  <c i="1" r="CG32"/>
  <c i="1" r="CJ32" s="1"/>
  <c i="18" r="P14" s="1"/>
  <c i="1" r="BP88"/>
  <c i="1" r="CG33"/>
  <c i="1" r="CJ33" s="1"/>
  <c i="18" r="P15" s="1"/>
  <c i="1" r="BH89"/>
  <c i="1" r="CF25"/>
  <c i="18" r="L7" s="1"/>
  <c i="1" r="CG26"/>
  <c i="1" r="CJ26" s="1"/>
  <c i="18" r="P8" s="1"/>
  <c i="1" r="CH34"/>
  <c i="1" r="CL34" s="1"/>
  <c i="1" r="CH33"/>
  <c i="1" r="CL33" s="1"/>
  <c i="1" r="CH32"/>
  <c i="1" r="CL32" s="1"/>
  <c i="1" r="AZ102"/>
  <c i="1" r="AY95"/>
  <c i="1" r="BQ96"/>
  <c i="1" r="BK103"/>
  <c i="1" r="BP99"/>
  <c i="1" r="BC107"/>
  <c i="1" r="BC96"/>
  <c i="1" r="BK94"/>
  <c i="1" r="CF36"/>
  <c i="18" r="L18" s="1"/>
  <c i="1" r="BM106"/>
  <c i="1" r="BM101"/>
  <c i="1" r="CF33"/>
  <c i="18" r="L15" s="1"/>
  <c i="1" r="BI103"/>
  <c i="1" r="BC89"/>
  <c i="1" r="BJ94"/>
  <c i="1" r="BE100"/>
  <c i="1" r="BH98"/>
  <c i="1" r="BQ92"/>
  <c i="1" r="BA102"/>
  <c i="1" r="BM94"/>
  <c i="1" r="BS103"/>
  <c i="1" r="BK92"/>
  <c i="1" r="BJ97"/>
  <c i="1" r="BK105"/>
  <c i="1" r="CH29"/>
  <c i="1" r="CL29" s="1"/>
  <c i="1" r="CH26"/>
  <c i="1" r="CL26" s="1"/>
  <c i="1" r="BG105"/>
  <c i="1" r="BK97"/>
  <c i="1" r="BH103"/>
  <c i="1" r="AY91"/>
  <c i="1" r="CF38"/>
  <c i="18" r="L20" s="1"/>
  <c i="1" r="CF27"/>
  <c i="18" r="L9" s="1"/>
  <c i="1" r="BJ92"/>
  <c i="1" r="BH94"/>
  <c i="1" r="BN88"/>
  <c i="1" r="BF94"/>
  <c i="1" r="BJ103"/>
  <c i="1" r="BD105"/>
  <c i="1" r="BF105"/>
  <c i="1" r="AZ107"/>
  <c i="1" r="BL92"/>
  <c i="1" r="BD100"/>
  <c i="1" r="BD89"/>
  <c i="1" r="CH36"/>
  <c i="1" r="CL36" s="1"/>
  <c i="1" r="CH35"/>
  <c i="1" r="CL35" s="1"/>
  <c i="1" r="CH31"/>
  <c i="1" r="CL31" s="1"/>
  <c i="1" r="CH23"/>
  <c i="1" r="CL23" s="1"/>
  <c i="1" r="BO105"/>
  <c i="1" r="BA89"/>
  <c i="1" r="BR99"/>
  <c i="1" r="BN90"/>
  <c i="1" r="BC98"/>
  <c i="1" r="CF40"/>
  <c i="18" r="L22" s="1"/>
  <c i="1" r="BG96"/>
  <c i="1" r="AY100"/>
  <c i="1" r="CF26"/>
  <c i="18" r="L8" s="1"/>
  <c i="1" r="CF22"/>
  <c i="18" r="L4" s="1"/>
  <c i="1" r="AU82"/>
  <c i="1" r="BS109" s="1"/>
  <c i="1" r="BR92"/>
  <c i="1" r="BN94"/>
  <c i="1" r="BB102"/>
  <c i="1" r="CH30"/>
  <c i="1" r="CL30" s="1"/>
  <c i="1" r="BN101"/>
  <c i="1" r="BJ96"/>
  <c i="1" r="AX104"/>
  <c i="1" r="CH41"/>
  <c i="1" r="CL41" s="1"/>
  <c i="1" r="CF24"/>
  <c i="18" r="L6" s="1"/>
  <c i="1" r="CF28"/>
  <c i="18" r="L10" s="1"/>
  <c i="1" r="BF98"/>
  <c i="1" r="BS90"/>
  <c i="1" r="CH40"/>
  <c i="1" r="CL40" s="1"/>
  <c i="1" r="CF35"/>
  <c i="18" r="L17" s="1"/>
  <c i="1" r="CF39"/>
  <c i="18" r="L21" s="1"/>
  <c i="1" r="CH39"/>
  <c i="1" r="CL39" s="1"/>
  <c i="1" r="CF29"/>
  <c i="18" r="L11" s="1"/>
  <c i="1" r="CH38"/>
  <c i="1" r="CL38" s="1"/>
  <c i="1" r="CH27"/>
  <c i="1" r="CL27" s="1"/>
  <c i="1" r="CF34"/>
  <c i="18" r="L16" s="1"/>
  <c i="1" r="BN105"/>
  <c i="1" r="BQ104"/>
  <c i="1" r="CH25"/>
  <c i="1" r="CL25" s="1"/>
  <c i="1" r="CF37"/>
  <c i="18" r="L19" s="1"/>
  <c i="1" r="AY107"/>
  <c i="1" r="BJ107"/>
  <c i="1" r="CH37"/>
  <c i="1" r="CL37" s="1"/>
  <c i="1" r="CF41"/>
  <c i="18" r="L23" s="1"/>
  <c i="1" r="CH24"/>
  <c i="1" r="CL24" s="1"/>
  <c i="1" r="CH42"/>
  <c i="1" r="CK42"/>
  <c i="1" r="CH22"/>
  <c i="1" r="CL22" s="1"/>
  <c i="12" r="O39"/>
  <c i="12" r="O38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59"/>
  <c i="12" r="F60"/>
  <c i="12" r="F61"/>
  <c i="12" r="F62"/>
  <c i="12" r="F63"/>
  <c i="12" r="F64"/>
  <c i="12" r="F65"/>
  <c i="12" r="F66"/>
  <c i="12" r="F67"/>
  <c i="12" r="F68"/>
  <c i="12" r="F69"/>
  <c i="12" r="F70"/>
  <c i="12" r="F71"/>
  <c i="12" r="F72"/>
  <c i="12" r="F73"/>
  <c i="12" r="F74"/>
  <c i="12" r="F75"/>
  <c i="12" r="F76"/>
  <c i="12" r="F77"/>
  <c i="12" r="F78"/>
  <c i="12" r="F79"/>
  <c i="12" r="F80"/>
  <c i="12" r="F81"/>
  <c i="12" r="F82"/>
  <c i="12" r="F83"/>
  <c i="12" r="F84"/>
  <c i="12" r="F85"/>
  <c i="12" r="F86"/>
  <c i="12" r="F87"/>
  <c i="12" r="F88"/>
  <c i="12" r="F89"/>
  <c i="12" r="F90"/>
  <c i="12" r="F91"/>
  <c i="12" r="F92"/>
  <c i="12" r="F93"/>
  <c i="12" r="F94"/>
  <c i="12" r="F95"/>
  <c i="12" r="F96"/>
  <c i="12" r="F97"/>
  <c i="12" r="F98"/>
  <c i="12" r="F99"/>
  <c i="12" r="F100"/>
  <c i="12" r="F101"/>
  <c i="12" r="F102"/>
  <c i="12" r="F103"/>
  <c i="12" r="F104"/>
  <c i="12" r="F105"/>
  <c i="12" r="F106"/>
  <c i="12" r="F107"/>
  <c i="12" r="F108"/>
  <c i="12" r="F109"/>
  <c i="12" r="F110"/>
  <c i="12" r="F111"/>
  <c i="12" r="F112"/>
  <c i="12" r="F113"/>
  <c i="12" r="F114"/>
  <c i="12" r="F115"/>
  <c i="12" r="F116"/>
  <c i="12" r="F117"/>
  <c i="12" r="F118"/>
  <c i="12" r="F119"/>
  <c i="12" r="F120"/>
  <c i="12" r="F121"/>
  <c i="12" r="F122"/>
  <c i="12" r="F123"/>
  <c i="12" r="F124"/>
  <c i="12" r="F125"/>
  <c i="12" r="F126"/>
  <c i="12" r="F37"/>
  <c i="12" r="E37"/>
  <c i="12" r="A37"/>
  <c i="12" r="B37" s="1"/>
  <c i="12" r="E38"/>
  <c i="12" r="E39"/>
  <c i="12" r="E40"/>
  <c i="12" r="E41"/>
  <c i="12" r="E42"/>
  <c i="12" r="E43"/>
  <c i="12" r="E44"/>
  <c i="12" r="E45"/>
  <c i="12" r="E46"/>
  <c i="12" r="E47"/>
  <c i="12" r="E48"/>
  <c i="12" r="E49"/>
  <c i="12" r="E50"/>
  <c i="12" r="E51"/>
  <c i="12" r="E52"/>
  <c i="12" r="E53"/>
  <c i="12" r="E54"/>
  <c i="12" r="E55"/>
  <c i="12" r="E56"/>
  <c i="12" r="E57"/>
  <c i="12" r="E58"/>
  <c i="12" r="E59"/>
  <c i="12" r="E60"/>
  <c i="12" r="E61"/>
  <c i="12" r="E62"/>
  <c i="12" r="E63"/>
  <c i="12" r="E64"/>
  <c i="12" r="E65"/>
  <c i="12" r="E66"/>
  <c i="12" r="E67"/>
  <c i="12" r="E68"/>
  <c i="12" r="E69"/>
  <c i="12" r="E70"/>
  <c i="12" r="E71"/>
  <c i="12" r="E72"/>
  <c i="12" r="E73"/>
  <c i="12" r="E74"/>
  <c i="12" r="E75"/>
  <c i="12" r="E76"/>
  <c i="12" r="E77"/>
  <c i="12" r="E78"/>
  <c i="12" r="E79"/>
  <c i="12" r="E80"/>
  <c i="12" r="E81"/>
  <c i="12" r="E82"/>
  <c i="12" r="E83"/>
  <c i="12" r="E84"/>
  <c i="12" r="E85"/>
  <c i="12" r="E86"/>
  <c i="12" r="E87"/>
  <c i="12" r="E88"/>
  <c i="12" r="E89"/>
  <c i="12" r="E90"/>
  <c i="12" r="E91"/>
  <c i="12" r="E92"/>
  <c i="12" r="E93"/>
  <c i="12" r="E94"/>
  <c i="12" r="E95"/>
  <c i="12" r="E96"/>
  <c i="12" r="E97"/>
  <c i="12" r="E98"/>
  <c i="12" r="E99"/>
  <c i="12" r="E100"/>
  <c i="12" r="E101"/>
  <c i="12" r="E102"/>
  <c i="12" r="E103"/>
  <c i="12" r="E104"/>
  <c i="12" r="E105"/>
  <c i="12" r="E106"/>
  <c i="12" r="E107"/>
  <c i="12" r="E108"/>
  <c i="12" r="E109"/>
  <c i="12" r="E110"/>
  <c i="12" r="E111"/>
  <c i="12" r="E112"/>
  <c i="12" r="E113"/>
  <c i="12" r="E114"/>
  <c i="12" r="E115"/>
  <c i="12" r="E116"/>
  <c i="12" r="E117"/>
  <c i="12" r="E118"/>
  <c i="12" r="E119"/>
  <c i="12" r="E120"/>
  <c i="12" r="E121"/>
  <c i="12" r="E122"/>
  <c i="12" r="E123"/>
  <c i="12" r="E124"/>
  <c i="12" r="E125"/>
  <c i="12" r="E126"/>
  <c i="12" r="D38"/>
  <c i="12" r="D39"/>
  <c i="12" r="D40"/>
  <c i="12" r="D41"/>
  <c i="12" r="D42"/>
  <c i="12" r="D43"/>
  <c i="12" r="D44"/>
  <c i="12" r="D45"/>
  <c i="12" r="D46"/>
  <c i="12" r="D47"/>
  <c i="12" r="D48"/>
  <c i="12" r="D49"/>
  <c i="12" r="D50"/>
  <c i="12" r="D51"/>
  <c i="12" r="D52"/>
  <c i="12" r="D53"/>
  <c i="12" r="D54"/>
  <c i="12" r="D55"/>
  <c i="12" r="D56"/>
  <c i="12" r="D57"/>
  <c i="12" r="D58"/>
  <c i="12" r="D59"/>
  <c i="12" r="D60"/>
  <c i="12" r="D61"/>
  <c i="12" r="D62"/>
  <c i="12" r="D63"/>
  <c i="12" r="D64"/>
  <c i="12" r="D65"/>
  <c i="12" r="D66"/>
  <c i="12" r="D67"/>
  <c i="12" r="D68"/>
  <c i="12" r="D69"/>
  <c i="12" r="D70"/>
  <c i="12" r="D71"/>
  <c i="12" r="D72"/>
  <c i="12" r="D73"/>
  <c i="12" r="D74"/>
  <c i="12" r="D75"/>
  <c i="12" r="D76"/>
  <c i="12" r="D77"/>
  <c i="12" r="D78"/>
  <c i="12" r="D79"/>
  <c i="12" r="D80"/>
  <c i="12" r="D81"/>
  <c i="12" r="D82"/>
  <c i="12" r="D83"/>
  <c i="12" r="D84"/>
  <c i="12" r="D85"/>
  <c i="12" r="D86"/>
  <c i="12" r="D87"/>
  <c i="12" r="D88"/>
  <c i="12" r="D89"/>
  <c i="12" r="D90"/>
  <c i="12" r="D91"/>
  <c i="12" r="D92"/>
  <c i="12" r="D93"/>
  <c i="12" r="D94"/>
  <c i="12" r="D95"/>
  <c i="12" r="D96"/>
  <c i="12" r="D97"/>
  <c i="12" r="D98"/>
  <c i="12" r="D99"/>
  <c i="12" r="D100"/>
  <c i="12" r="D101"/>
  <c i="12" r="D102"/>
  <c i="12" r="D103"/>
  <c i="12" r="D104"/>
  <c i="12" r="D105"/>
  <c i="12" r="D106"/>
  <c i="12" r="D107"/>
  <c i="12" r="D108"/>
  <c i="12" r="D109"/>
  <c i="12" r="D110"/>
  <c i="12" r="D111"/>
  <c i="12" r="D112"/>
  <c i="12" r="D113"/>
  <c i="12" r="D114"/>
  <c i="12" r="D115"/>
  <c i="12" r="D116"/>
  <c i="12" r="D117"/>
  <c i="12" r="D118"/>
  <c i="12" r="D119"/>
  <c i="12" r="D120"/>
  <c i="12" r="D121"/>
  <c i="12" r="D122"/>
  <c i="12" r="D123"/>
  <c i="12" r="D124"/>
  <c i="12" r="D125"/>
  <c i="12" r="D126"/>
  <c i="12" r="D37"/>
  <c i="12" r="C38"/>
  <c i="12" r="C39"/>
  <c i="12" r="C40"/>
  <c i="12" r="C41"/>
  <c i="12" r="C42"/>
  <c i="12" r="C43"/>
  <c i="12" r="C44"/>
  <c i="12" r="C45"/>
  <c i="12" r="C46"/>
  <c i="12" r="C47"/>
  <c i="12" r="C48"/>
  <c i="12" r="C49"/>
  <c i="12" r="C50"/>
  <c i="12" r="C51"/>
  <c i="12" r="C52"/>
  <c i="12" r="C53"/>
  <c i="12" r="C54"/>
  <c i="12" r="C55"/>
  <c i="12" r="C56"/>
  <c i="12" r="C57"/>
  <c i="12" r="C58"/>
  <c i="12" r="C59"/>
  <c i="12" r="C60"/>
  <c i="12" r="C61"/>
  <c i="12" r="C62"/>
  <c i="12" r="C63"/>
  <c i="12" r="C64"/>
  <c i="12" r="C65"/>
  <c i="12" r="C66"/>
  <c i="12" r="C67"/>
  <c i="12" r="C68"/>
  <c i="12" r="C69"/>
  <c i="12" r="C70"/>
  <c i="12" r="C71"/>
  <c i="12" r="C72"/>
  <c i="12" r="C73"/>
  <c i="12" r="C74"/>
  <c i="12" r="C75"/>
  <c i="12" r="C76"/>
  <c i="12" r="C77"/>
  <c i="12" r="C78"/>
  <c i="12" r="C79"/>
  <c i="12" r="C80"/>
  <c i="12" r="C81"/>
  <c i="12" r="C82"/>
  <c i="12" r="C83"/>
  <c i="12" r="C84"/>
  <c i="12" r="C85"/>
  <c i="12" r="C86"/>
  <c i="12" r="C87"/>
  <c i="12" r="C88"/>
  <c i="12" r="C89"/>
  <c i="12" r="C90"/>
  <c i="12" r="C91"/>
  <c i="12" r="C92"/>
  <c i="12" r="C93"/>
  <c i="12" r="C94"/>
  <c i="12" r="C95"/>
  <c i="12" r="C96"/>
  <c i="12" r="C97"/>
  <c i="12" r="C98"/>
  <c i="12" r="C99"/>
  <c i="12" r="C100"/>
  <c i="12" r="C101"/>
  <c i="12" r="C102"/>
  <c i="12" r="C103"/>
  <c i="12" r="C104"/>
  <c i="12" r="C105"/>
  <c i="12" r="C106"/>
  <c i="12" r="C107"/>
  <c i="12" r="C108"/>
  <c i="12" r="C109"/>
  <c i="12" r="C110"/>
  <c i="12" r="C111"/>
  <c i="12" r="C112"/>
  <c i="12" r="C113"/>
  <c i="12" r="C114"/>
  <c i="12" r="C115"/>
  <c i="12" r="C116"/>
  <c i="12" r="C117"/>
  <c i="12" r="C118"/>
  <c i="12" r="C119"/>
  <c i="12" r="C120"/>
  <c i="12" r="C121"/>
  <c i="12" r="C122"/>
  <c i="12" r="C123"/>
  <c i="12" r="C124"/>
  <c i="12" r="C125"/>
  <c i="12" r="C126"/>
  <c i="12" r="C37"/>
  <c i="12" r="A38"/>
  <c i="12" r="B38" s="1"/>
  <c i="12" r="A39"/>
  <c i="12" r="B39" s="1"/>
  <c i="12" r="A40"/>
  <c i="12" r="B40" s="1"/>
  <c i="12" r="A41"/>
  <c i="12" r="B41" s="1"/>
  <c i="12" r="A42"/>
  <c i="12" r="B42" s="1"/>
  <c i="12" r="A43"/>
  <c i="12" r="B43" s="1"/>
  <c i="12" r="A44"/>
  <c i="12" r="B44" s="1"/>
  <c i="12" r="A45"/>
  <c i="12" r="B45" s="1"/>
  <c i="12" r="A46"/>
  <c i="12" r="B46" s="1"/>
  <c i="12" r="A47"/>
  <c i="12" r="B47" s="1"/>
  <c i="12" r="A48"/>
  <c i="12" r="B48" s="1"/>
  <c i="12" r="A49"/>
  <c i="12" r="B49" s="1"/>
  <c i="12" r="A50"/>
  <c i="12" r="B50" s="1"/>
  <c i="12" r="A51"/>
  <c i="12" r="B51" s="1"/>
  <c i="12" r="A52"/>
  <c i="12" r="B52" s="1"/>
  <c i="12" r="A53"/>
  <c i="12" r="B53" s="1"/>
  <c i="12" r="A54"/>
  <c i="12" r="B54" s="1"/>
  <c i="12" r="A55"/>
  <c i="12" r="B55" s="1"/>
  <c i="12" r="A56"/>
  <c i="12" r="B56" s="1"/>
  <c i="12" r="A57"/>
  <c i="12" r="B57" s="1"/>
  <c i="12" r="A58"/>
  <c i="12" r="B58" s="1"/>
  <c i="12" r="A59"/>
  <c i="12" r="B59" s="1"/>
  <c i="12" r="A60"/>
  <c i="12" r="B60" s="1"/>
  <c i="12" r="A61"/>
  <c i="12" r="B61" s="1"/>
  <c i="12" r="A62"/>
  <c i="12" r="B62" s="1"/>
  <c i="12" r="A63"/>
  <c i="12" r="B63" s="1"/>
  <c i="12" r="A64"/>
  <c i="12" r="B64" s="1"/>
  <c i="12" r="A65"/>
  <c i="12" r="B65" s="1"/>
  <c i="12" r="A66"/>
  <c i="12" r="B66" s="1"/>
  <c i="12" r="A67"/>
  <c i="12" r="B67" s="1"/>
  <c i="12" r="A68"/>
  <c i="12" r="B68" s="1"/>
  <c i="12" r="A69"/>
  <c i="12" r="B69" s="1"/>
  <c i="12" r="A70"/>
  <c i="12" r="B70" s="1"/>
  <c i="12" r="A71"/>
  <c i="12" r="B71" s="1"/>
  <c i="12" r="A72"/>
  <c i="12" r="B72" s="1"/>
  <c i="12" r="A73"/>
  <c i="12" r="B73" s="1"/>
  <c i="12" r="A74"/>
  <c i="12" r="B74" s="1"/>
  <c i="12" r="A75"/>
  <c i="12" r="B75" s="1"/>
  <c i="12" r="A76"/>
  <c i="12" r="B76" s="1"/>
  <c i="12" r="A77"/>
  <c i="12" r="B77" s="1"/>
  <c i="12" r="A78"/>
  <c i="12" r="B78" s="1"/>
  <c i="12" r="A79"/>
  <c i="12" r="B79" s="1"/>
  <c i="12" r="A80"/>
  <c i="12" r="B80" s="1"/>
  <c i="12" r="A81"/>
  <c i="12" r="B81" s="1"/>
  <c i="12" r="A82"/>
  <c i="12" r="B82" s="1"/>
  <c i="12" r="A83"/>
  <c i="12" r="B83" s="1"/>
  <c i="12" r="A84"/>
  <c i="12" r="B84" s="1"/>
  <c i="12" r="A85"/>
  <c i="12" r="B85" s="1"/>
  <c i="12" r="A86"/>
  <c i="12" r="B86" s="1"/>
  <c i="12" r="A87"/>
  <c i="12" r="B87" s="1"/>
  <c i="12" r="A88"/>
  <c i="12" r="B88" s="1"/>
  <c i="12" r="A89"/>
  <c i="12" r="B89" s="1"/>
  <c i="12" r="A90"/>
  <c i="12" r="B90" s="1"/>
  <c i="12" r="A91"/>
  <c i="12" r="B91" s="1"/>
  <c i="12" r="A92"/>
  <c i="12" r="B92" s="1"/>
  <c i="12" r="A93"/>
  <c i="12" r="B93" s="1"/>
  <c i="12" r="A94"/>
  <c i="12" r="B94" s="1"/>
  <c i="12" r="A95"/>
  <c i="12" r="B95" s="1"/>
  <c i="12" r="A96"/>
  <c i="12" r="B96" s="1"/>
  <c i="12" r="A97"/>
  <c i="12" r="B97" s="1"/>
  <c i="12" r="A98"/>
  <c i="12" r="B98" s="1"/>
  <c i="12" r="A99"/>
  <c i="12" r="B99" s="1"/>
  <c i="12" r="A100"/>
  <c i="12" r="B100" s="1"/>
  <c i="12" r="A101"/>
  <c i="12" r="B101" s="1"/>
  <c i="12" r="A102"/>
  <c i="12" r="B102" s="1"/>
  <c i="12" r="A103"/>
  <c i="12" r="B103" s="1"/>
  <c i="12" r="A104"/>
  <c i="12" r="B104" s="1"/>
  <c i="12" r="A105"/>
  <c i="12" r="B105" s="1"/>
  <c i="12" r="A106"/>
  <c i="12" r="B106" s="1"/>
  <c i="12" r="A107"/>
  <c i="12" r="B107" s="1"/>
  <c i="12" r="A108"/>
  <c i="12" r="B108" s="1"/>
  <c i="12" r="A109"/>
  <c i="12" r="B109" s="1"/>
  <c i="12" r="A110"/>
  <c i="12" r="B110" s="1"/>
  <c i="12" r="A111"/>
  <c i="12" r="B111" s="1"/>
  <c i="12" r="A112"/>
  <c i="12" r="B112" s="1"/>
  <c i="12" r="A113"/>
  <c i="12" r="B113" s="1"/>
  <c i="12" r="A114"/>
  <c i="12" r="B114" s="1"/>
  <c i="12" r="A115"/>
  <c i="12" r="B115" s="1"/>
  <c i="12" r="A116"/>
  <c i="12" r="B116" s="1"/>
  <c i="12" r="A117"/>
  <c i="12" r="B117" s="1"/>
  <c i="12" r="A118"/>
  <c i="12" r="B118" s="1"/>
  <c i="12" r="A119"/>
  <c i="12" r="B119" s="1"/>
  <c i="12" r="A120"/>
  <c i="12" r="B120" s="1"/>
  <c i="12" r="A121"/>
  <c i="12" r="B121" s="1"/>
  <c i="12" r="A122"/>
  <c i="12" r="B122" s="1"/>
  <c i="12" r="A123"/>
  <c i="12" r="B123" s="1"/>
  <c i="12" r="A124"/>
  <c i="12" r="B124" s="1"/>
  <c i="12" r="A125"/>
  <c i="12" r="B125" s="1"/>
  <c i="12" r="A126"/>
  <c i="12" r="B126" s="1"/>
  <c i="12" r="T34"/>
  <c i="12" r="T35"/>
  <c i="12" r="T36"/>
  <c i="12" r="T37"/>
  <c i="12" r="T38"/>
  <c i="12" r="T39"/>
  <c i="12" r="T40"/>
  <c i="12" r="T41"/>
  <c i="12" r="T42"/>
  <c i="12" r="T43"/>
  <c i="12" r="T44"/>
  <c i="12" r="T45"/>
  <c i="12" r="T46"/>
  <c i="12" r="T47"/>
  <c i="12" r="T48"/>
  <c i="12" r="T49"/>
  <c i="12" r="T50"/>
  <c i="12" r="T51"/>
  <c i="12" r="T52"/>
  <c i="12" r="T53"/>
  <c i="12" r="T54"/>
  <c i="12" r="T55"/>
  <c i="12" r="T56"/>
  <c i="12" r="T57"/>
  <c i="12" r="T58"/>
  <c i="12" r="T59"/>
  <c i="12" r="T60"/>
  <c i="12" r="T61"/>
  <c i="12" r="T62"/>
  <c i="12" r="T63"/>
  <c i="12" r="T64"/>
  <c i="12" r="T65"/>
  <c i="12" r="T66"/>
  <c i="12" r="T67"/>
  <c i="12" r="T68"/>
  <c i="12" r="T69"/>
  <c i="12" r="T70"/>
  <c i="12" r="T71"/>
  <c i="12" r="T72"/>
  <c i="12" r="T73"/>
  <c i="12" r="T74"/>
  <c i="12" r="T75"/>
  <c i="12" r="T76"/>
  <c i="18" l="1" r="R20"/>
  <c i="18" r="CN30"/>
  <c i="18" r="BE51"/>
  <c i="18" r="AO110"/>
  <c i="18" r="AO136" s="1"/>
  <c i="18" r="CL30"/>
  <c i="18" r="CL51" s="1"/>
  <c i="18" r="BN51"/>
  <c i="18" r="AC110"/>
  <c i="18" r="AC136" s="1"/>
  <c i="1" r="CJ41"/>
  <c i="18" r="P23" s="1"/>
  <c i="1" r="CJ38"/>
  <c i="18" r="P20" s="1"/>
  <c i="18" r="CC30"/>
  <c i="18" r="AZ51"/>
  <c i="18" r="AF110"/>
  <c i="18" r="AF136" s="1"/>
  <c i="18" r="BX30"/>
  <c i="18" r="AA110"/>
  <c i="18" r="AA136" s="1"/>
  <c i="18" r="BD51"/>
  <c i="18" r="BD58" s="1"/>
  <c i="18" r="AS110"/>
  <c i="18" r="AS136" s="1"/>
  <c i="18" r="CB30"/>
  <c i="18" r="CB51" s="1"/>
  <c i="18" r="CP30"/>
  <c i="18" r="AE110"/>
  <c i="18" r="AE136" s="1"/>
  <c i="1" r="CL28"/>
  <c i="1" r="CJ23"/>
  <c i="18" r="P5" s="1"/>
  <c i="18" r="R4"/>
  <c i="1" r="CJ22"/>
  <c i="18" r="P4" s="1"/>
  <c i="18" r="BT51"/>
  <c i="18" r="AU131" s="1"/>
  <c i="18" r="AU157" s="1"/>
  <c i="18" r="AU110"/>
  <c i="18" r="AU136" s="1"/>
  <c i="18" r="AR110"/>
  <c i="18" r="AR136" s="1"/>
  <c i="18" r="CO30"/>
  <c i="18" r="CO51" s="1"/>
  <c i="18" r="M64"/>
  <c i="18" r="C68"/>
  <c i="18" r="AT110"/>
  <c i="18" r="AT136" s="1"/>
  <c i="18" r="CQ30"/>
  <c i="18" r="CQ51" s="1"/>
  <c i="18" r="BL51"/>
  <c i="18" r="BL58" s="1"/>
  <c i="18" r="CE30"/>
  <c i="18" r="CE51" s="1"/>
  <c i="18" r="BG51"/>
  <c i="18" r="AH78" s="1"/>
  <c i="18" r="AH110"/>
  <c i="18" r="AH136" s="1"/>
  <c i="18" r="AK110"/>
  <c i="18" r="AK136" s="1"/>
  <c i="18" r="BJ51"/>
  <c i="18" r="AK78" s="1"/>
  <c i="18" r="CH30"/>
  <c i="18" r="CH51" s="1"/>
  <c i="18" r="BF51"/>
  <c i="18" r="BF58" s="1"/>
  <c i="18" r="CD30"/>
  <c i="18" r="CD51" s="1"/>
  <c i="18" r="AG110"/>
  <c i="18" r="AG136" s="1"/>
  <c i="18" r="AP110"/>
  <c i="18" r="AP136" s="1"/>
  <c i="18" r="BO51"/>
  <c i="18" r="G66"/>
  <c i="18" r="D69"/>
  <c i="18" r="V75"/>
  <c i="18" r="AN110"/>
  <c i="18" r="AN136" s="1"/>
  <c i="18" r="CK30"/>
  <c i="18" r="CK51" s="1"/>
  <c i="18" r="T67"/>
  <c i="18" r="L65"/>
  <c i="18" r="F59"/>
  <c i="18" r="U60"/>
  <c i="18" r="O58"/>
  <c i="18" r="P74"/>
  <c i="18" r="C77"/>
  <c i="18" r="BM51"/>
  <c i="18" r="AN78" s="1"/>
  <c i="18" r="W72"/>
  <c i="18" r="J62"/>
  <c i="18" r="AM110"/>
  <c i="18" r="AM136" s="1"/>
  <c i="18" r="N65"/>
  <c i="18" r="R76"/>
  <c i="18" r="CJ30"/>
  <c i="18" r="CJ51" s="1"/>
  <c i="18" r="S61"/>
  <c i="18" r="I69"/>
  <c i="18" r="T59"/>
  <c i="18" r="BH51"/>
  <c i="18" r="AI78" s="1"/>
  <c i="18" r="CF30"/>
  <c i="18" r="CF51" s="1"/>
  <c i="18" r="AI110"/>
  <c i="18" r="AI136" s="1"/>
  <c i="18" r="BC51"/>
  <c i="18" r="BC58" s="1"/>
  <c i="18" r="CA30"/>
  <c i="18" r="CA51" s="1"/>
  <c i="18" r="AD110"/>
  <c i="18" r="AD136" s="1"/>
  <c i="18" r="CR30"/>
  <c i="18" r="BI51"/>
  <c i="18" r="AJ78" s="1"/>
  <c i="18" r="CG30"/>
  <c i="18" r="CG51" s="1"/>
  <c i="18" r="AJ110"/>
  <c i="18" r="AJ136" s="1"/>
  <c i="18" r="BK51"/>
  <c i="18" r="AL78" s="1"/>
  <c i="18" r="BA51"/>
  <c i="18" r="AB78" s="1"/>
  <c i="18" r="CI30"/>
  <c i="18" r="CI51" s="1"/>
  <c i="18" r="BY30"/>
  <c i="18" r="BY51" s="1"/>
  <c i="18" r="AL110"/>
  <c i="18" r="AL136" s="1"/>
  <c i="18" r="CZ16"/>
  <c i="18" r="DA16" s="1"/>
  <c i="18" r="AB110"/>
  <c i="18" r="AB136" s="1"/>
  <c i="18" r="CV18"/>
  <c i="18" r="CY17"/>
  <c i="18" r="CX17"/>
  <c i="12" r="G72"/>
  <c i="12" r="H91"/>
  <c i="18" r="N12"/>
  <c i="18" r="CN51"/>
  <c i="18" r="M9"/>
  <c i="18" r="R9" s="1"/>
  <c i="18" r="BN58"/>
  <c i="18" r="AO131"/>
  <c i="18" r="AO157" s="1"/>
  <c i="18" r="BP58"/>
  <c i="18" r="AQ131"/>
  <c i="18" r="AQ157" s="1"/>
  <c i="18" r="AJ73"/>
  <c i="18" r="AJ100" s="1"/>
  <c i="18" r="AU67"/>
  <c i="18" r="AU94" s="1"/>
  <c i="18" r="AF71"/>
  <c i="18" r="AF98" s="1"/>
  <c i="18" r="AE76"/>
  <c i="18" r="AE103" s="1"/>
  <c i="18" r="AH73"/>
  <c i="18" r="AH100" s="1"/>
  <c i="18" r="AM70"/>
  <c i="18" r="AM97" s="1"/>
  <c i="18" r="AO65"/>
  <c i="18" r="AO92" s="1"/>
  <c i="18" r="AN64"/>
  <c i="18" r="AN91" s="1"/>
  <c i="18" r="AI63"/>
  <c i="18" r="AI90" s="1"/>
  <c i="18" r="AC77"/>
  <c i="18" r="AC104" s="1"/>
  <c i="18" r="AF78"/>
  <c i="18" r="AP66"/>
  <c i="18" r="AP93" s="1"/>
  <c i="18" r="AA73"/>
  <c i="18" r="AA100" s="1"/>
  <c i="18" r="AB57"/>
  <c i="18" r="AB84" s="1"/>
  <c i="18" r="AH57"/>
  <c i="18" r="AH84" s="1"/>
  <c i="18" r="AS71"/>
  <c i="18" r="AS98" s="1"/>
  <c i="18" r="AB66"/>
  <c i="18" r="AB93" s="1"/>
  <c i="18" r="AH71"/>
  <c i="18" r="AH98" s="1"/>
  <c i="18" r="AR72"/>
  <c i="18" r="AR99" s="1"/>
  <c i="18" r="AB71"/>
  <c i="18" r="AB98" s="1"/>
  <c i="18" r="AV73"/>
  <c i="18" r="AV100" s="1"/>
  <c i="18" r="AH75"/>
  <c i="18" r="AH102" s="1"/>
  <c i="18" r="AQ59"/>
  <c i="18" r="AQ86" s="1"/>
  <c i="18" r="AQ64"/>
  <c i="18" r="AQ91" s="1"/>
  <c i="18" r="AH67"/>
  <c i="18" r="AH94" s="1"/>
  <c i="18" r="AA57"/>
  <c i="18" r="AA84" s="1"/>
  <c i="18" r="AO68"/>
  <c i="18" r="AO95" s="1"/>
  <c i="18" r="AM57"/>
  <c i="18" r="AM84" s="1"/>
  <c i="18" r="AA63"/>
  <c i="18" r="AA90" s="1"/>
  <c i="18" r="AP64"/>
  <c i="18" r="AP91" s="1"/>
  <c i="18" r="AT74"/>
  <c i="18" r="AT101" s="1"/>
  <c i="18" r="AC66"/>
  <c i="18" r="AC93" s="1"/>
  <c i="18" r="AN77"/>
  <c i="18" r="AN104" s="1"/>
  <c i="18" r="AF59"/>
  <c i="18" r="AF86" s="1"/>
  <c i="18" r="AN68"/>
  <c i="18" r="AN95" s="1"/>
  <c i="18" r="AI59"/>
  <c i="18" r="AI86" s="1"/>
  <c i="18" r="AT67"/>
  <c i="18" r="AT94" s="1"/>
  <c i="18" r="AF66"/>
  <c i="18" r="AF93" s="1"/>
  <c i="18" r="AS75"/>
  <c i="18" r="AS102" s="1"/>
  <c i="18" r="AN58"/>
  <c i="18" r="AN85" s="1"/>
  <c i="18" r="AS73"/>
  <c i="18" r="AS100" s="1"/>
  <c i="18" r="AT72"/>
  <c i="18" r="AT99" s="1"/>
  <c i="18" r="AK66"/>
  <c i="18" r="AK93" s="1"/>
  <c i="18" r="AJ59"/>
  <c i="18" r="AJ86" s="1"/>
  <c i="18" r="AD75"/>
  <c i="18" r="AD102" s="1"/>
  <c i="18" r="AB72"/>
  <c i="18" r="AB99" s="1"/>
  <c i="18" r="AH69"/>
  <c i="18" r="AH96" s="1"/>
  <c i="18" r="AD67"/>
  <c i="18" r="AD94" s="1"/>
  <c i="18" r="AQ68"/>
  <c i="18" r="AQ95" s="1"/>
  <c i="18" r="AC61"/>
  <c i="18" r="AC88" s="1"/>
  <c i="18" r="AE70"/>
  <c i="18" r="AE97" s="1"/>
  <c i="18" r="AA66"/>
  <c i="18" r="AA93" s="1"/>
  <c i="18" r="AJ68"/>
  <c i="18" r="AJ95" s="1"/>
  <c i="18" r="AL70"/>
  <c i="18" r="AL97" s="1"/>
  <c i="18" r="AP58"/>
  <c i="18" r="AP85" s="1"/>
  <c i="18" r="AB58"/>
  <c i="18" r="AB85" s="1"/>
  <c i="18" r="AC59"/>
  <c i="18" r="AC86" s="1"/>
  <c i="18" r="AG64"/>
  <c i="18" r="AG91" s="1"/>
  <c i="18" r="AJ69"/>
  <c i="18" r="AJ96" s="1"/>
  <c i="18" r="AM58"/>
  <c i="18" r="AR58"/>
  <c i="18" r="AR85" s="1"/>
  <c i="18" r="AH66"/>
  <c i="18" r="AH93" s="1"/>
  <c i="18" r="AQ77"/>
  <c i="18" r="AQ104" s="1"/>
  <c i="18" r="AK60"/>
  <c i="18" r="AK87" s="1"/>
  <c i="18" r="AR64"/>
  <c i="18" r="AR91" s="1"/>
  <c i="18" r="AD71"/>
  <c i="18" r="AD98" s="1"/>
  <c i="18" r="AC78"/>
  <c i="18" r="AH77"/>
  <c i="18" r="AH104" s="1"/>
  <c i="18" r="AU70"/>
  <c i="18" r="AU97" s="1"/>
  <c i="18" r="AC60"/>
  <c i="18" r="AC87" s="1"/>
  <c i="18" r="AA68"/>
  <c i="18" r="AA74"/>
  <c i="18" r="AA101" s="1"/>
  <c i="18" r="AI67"/>
  <c i="18" r="AI94" s="1"/>
  <c i="18" r="AS68"/>
  <c i="18" r="AS95" s="1"/>
  <c i="18" r="AG74"/>
  <c i="18" r="AG101" s="1"/>
  <c i="18" r="AA70"/>
  <c i="18" r="AA97" s="1"/>
  <c i="18" r="AE58"/>
  <c i="18" r="AE85" s="1"/>
  <c i="18" r="AF68"/>
  <c i="18" r="AF95" s="1"/>
  <c i="18" r="AV71"/>
  <c i="18" r="AV98" s="1"/>
  <c i="18" r="AS66"/>
  <c i="18" r="AS93" s="1"/>
  <c i="18" r="AR61"/>
  <c i="18" r="AR88" s="1"/>
  <c i="18" r="AS59"/>
  <c i="18" r="AS86" s="1"/>
  <c i="18" r="AN71"/>
  <c i="18" r="AN98" s="1"/>
  <c i="18" r="AJ63"/>
  <c i="18" r="AJ90" s="1"/>
  <c i="18" r="AV59"/>
  <c i="18" r="AV86" s="1"/>
  <c i="18" r="AQ60"/>
  <c i="18" r="AQ87" s="1"/>
  <c i="18" r="AQ78"/>
  <c i="18" r="AI71"/>
  <c i="18" r="AI98" s="1"/>
  <c i="18" r="AT78"/>
  <c i="18" r="AO73"/>
  <c i="18" r="AO100" s="1"/>
  <c i="18" r="AK62"/>
  <c i="18" r="AK89" s="1"/>
  <c i="18" r="AR75"/>
  <c i="18" r="AR102" s="1"/>
  <c i="18" r="AI74"/>
  <c i="18" r="AI101" s="1"/>
  <c i="18" r="AO67"/>
  <c i="18" r="AO94" s="1"/>
  <c i="18" r="AM69"/>
  <c i="18" r="AM96" s="1"/>
  <c i="18" r="AJ77"/>
  <c i="18" r="AJ104" s="1"/>
  <c i="18" r="AU63"/>
  <c i="18" r="AU90" s="1"/>
  <c i="18" r="AR77"/>
  <c i="18" r="AR104" s="1"/>
  <c i="18" r="AN74"/>
  <c i="18" r="AA69"/>
  <c i="18" r="AA96" s="1"/>
  <c i="18" r="AJ65"/>
  <c i="18" r="AR73"/>
  <c i="18" r="AR100" s="1"/>
  <c i="18" r="AL76"/>
  <c i="18" r="AL103" s="1"/>
  <c i="18" r="AE66"/>
  <c i="18" r="AT60"/>
  <c i="18" r="AT87" s="1"/>
  <c i="18" r="AG72"/>
  <c i="18" r="AG99" s="1"/>
  <c i="18" r="AM59"/>
  <c i="18" r="AM86" s="1"/>
  <c i="18" r="AL61"/>
  <c i="18" r="AL88" s="1"/>
  <c i="18" r="AI69"/>
  <c i="18" r="AI96" s="1"/>
  <c i="18" r="AO61"/>
  <c i="18" r="AO88" s="1"/>
  <c i="18" r="AB59"/>
  <c i="18" r="AB86" s="1"/>
  <c i="18" r="AR60"/>
  <c i="18" r="AR87" s="1"/>
  <c i="18" r="AT61"/>
  <c i="18" r="AT88" s="1"/>
  <c i="18" r="AU60"/>
  <c i="18" r="AU87" s="1"/>
  <c i="18" r="AI66"/>
  <c i="18" r="AI93" s="1"/>
  <c i="18" r="AU76"/>
  <c i="18" r="AU103" s="1"/>
  <c i="18" r="AO60"/>
  <c i="18" r="AO87" s="1"/>
  <c i="18" r="AN67"/>
  <c i="18" r="AN94" s="1"/>
  <c i="18" r="AN60"/>
  <c i="18" r="AN87" s="1"/>
  <c i="18" r="AT76"/>
  <c i="18" r="AT103" s="1"/>
  <c i="18" r="AM76"/>
  <c i="18" r="AM103" s="1"/>
  <c i="18" r="AV78"/>
  <c i="18" r="AE69"/>
  <c i="18" r="AE96" s="1"/>
  <c i="18" r="AO69"/>
  <c i="18" r="AO96" s="1"/>
  <c i="18" r="AU59"/>
  <c i="18" r="AU86" s="1"/>
  <c i="18" r="AD68"/>
  <c i="18" r="AD95" s="1"/>
  <c i="18" r="AU58"/>
  <c i="18" r="AU85" s="1"/>
  <c i="18" r="AC76"/>
  <c i="18" r="AC103" s="1"/>
  <c i="18" r="AI76"/>
  <c i="18" r="AI103" s="1"/>
  <c i="18" r="AL64"/>
  <c i="18" r="AL91" s="1"/>
  <c i="18" r="AU75"/>
  <c i="18" r="AU102" s="1"/>
  <c i="18" r="AV62"/>
  <c i="18" r="AV89" s="1"/>
  <c i="18" r="AN72"/>
  <c i="18" r="AN99" s="1"/>
  <c i="18" r="AU64"/>
  <c i="18" r="AU91" s="1"/>
  <c i="18" r="AF64"/>
  <c i="18" r="AF91" s="1"/>
  <c i="18" r="AI57"/>
  <c i="18" r="AI84" s="1"/>
  <c i="18" r="AG77"/>
  <c i="18" r="AG104" s="1"/>
  <c i="18" r="AS77"/>
  <c i="18" r="AS104" s="1"/>
  <c i="18" r="AF62"/>
  <c i="18" r="AF89" s="1"/>
  <c i="18" r="AR74"/>
  <c i="18" r="AR101" s="1"/>
  <c i="18" r="AB75"/>
  <c i="18" r="AB102" s="1"/>
  <c i="18" r="AJ74"/>
  <c i="18" r="AJ101" s="1"/>
  <c i="18" r="AD70"/>
  <c i="18" r="AD97" s="1"/>
  <c i="18" r="AI70"/>
  <c i="18" r="AI97" s="1"/>
  <c i="18" r="AP65"/>
  <c i="18" r="AP92" s="1"/>
  <c i="18" r="AJ60"/>
  <c i="18" r="AJ87" s="1"/>
  <c i="18" r="AA77"/>
  <c i="18" r="AV69"/>
  <c i="18" r="AV96" s="1"/>
  <c i="18" r="AN61"/>
  <c i="18" r="AN88" s="1"/>
  <c i="18" r="AS58"/>
  <c i="18" r="AS85" s="1"/>
  <c i="18" r="AD72"/>
  <c i="18" r="AD99" s="1"/>
  <c i="18" r="AV76"/>
  <c i="18" r="AV103" s="1"/>
  <c i="18" r="AR66"/>
  <c i="18" r="AR93" s="1"/>
  <c i="18" r="AF67"/>
  <c i="18" r="AF94" s="1"/>
  <c i="18" r="AQ76"/>
  <c i="18" r="AQ103" s="1"/>
  <c i="18" r="AV57"/>
  <c i="18" r="AV84" s="1"/>
  <c i="18" r="AT65"/>
  <c i="18" r="AT92" s="1"/>
  <c i="18" r="AJ72"/>
  <c i="18" r="AJ99" s="1"/>
  <c i="18" r="AO71"/>
  <c i="18" r="AO98" s="1"/>
  <c i="18" r="AF73"/>
  <c i="18" r="AF100" s="1"/>
  <c i="18" r="AG66"/>
  <c i="18" r="AG93" s="1"/>
  <c i="18" r="AU74"/>
  <c i="18" r="AU101" s="1"/>
  <c i="18" r="AK70"/>
  <c i="18" r="AK97" s="1"/>
  <c i="18" r="AN76"/>
  <c i="18" r="AN103" s="1"/>
  <c i="18" r="AE67"/>
  <c i="18" r="AE94" s="1"/>
  <c i="18" r="AG68"/>
  <c i="18" r="AG95" s="1"/>
  <c i="18" r="AO62"/>
  <c i="18" r="AO89" s="1"/>
  <c i="18" r="AG65"/>
  <c i="18" r="AG92" s="1"/>
  <c i="18" r="AD59"/>
  <c i="18" r="AJ62"/>
  <c i="18" r="AJ89" s="1"/>
  <c i="18" r="AP70"/>
  <c i="18" r="AP97" s="1"/>
  <c i="18" r="AB68"/>
  <c i="18" r="AB95" s="1"/>
  <c i="18" r="AE63"/>
  <c i="18" r="AE90" s="1"/>
  <c i="18" r="AR65"/>
  <c i="18" r="AR92" s="1"/>
  <c i="18" r="AM72"/>
  <c i="18" r="AM99" s="1"/>
  <c i="18" r="AT66"/>
  <c i="18" r="AT93" s="1"/>
  <c i="18" r="AC65"/>
  <c i="18" r="AC92" s="1"/>
  <c i="18" r="AS63"/>
  <c i="18" r="AS90" s="1"/>
  <c i="18" r="AO70"/>
  <c i="18" r="AO97" s="1"/>
  <c i="18" r="AQ66"/>
  <c i="18" r="AQ93" s="1"/>
  <c i="18" r="AS69"/>
  <c i="18" r="AS96" s="1"/>
  <c i="18" r="AB70"/>
  <c i="18" r="AB97" s="1"/>
  <c i="18" r="AQ71"/>
  <c i="18" r="AQ98" s="1"/>
  <c i="18" r="AT64"/>
  <c i="18" r="AT91" s="1"/>
  <c i="18" r="AI65"/>
  <c i="18" r="AI92" s="1"/>
  <c i="18" r="AE71"/>
  <c i="18" r="AE98" s="1"/>
  <c i="18" r="AQ57"/>
  <c i="18" r="AQ84" s="1"/>
  <c i="18" r="AF76"/>
  <c i="18" r="AF103" s="1"/>
  <c i="18" r="AG58"/>
  <c i="18" r="AG85" s="1"/>
  <c i="18" r="AJ75"/>
  <c i="18" r="AJ102" s="1"/>
  <c i="18" r="AK71"/>
  <c i="18" r="AK98" s="1"/>
  <c i="18" r="AK74"/>
  <c i="18" r="AK101" s="1"/>
  <c i="18" r="AA67"/>
  <c i="18" r="AA94" s="1"/>
  <c i="18" r="AK77"/>
  <c i="18" r="AK104" s="1"/>
  <c i="18" r="AF69"/>
  <c i="18" r="AF96" s="1"/>
  <c i="18" r="AA75"/>
  <c i="18" r="AA102" s="1"/>
  <c i="18" r="AT59"/>
  <c i="18" r="AT86" s="1"/>
  <c i="18" r="AB76"/>
  <c i="18" r="AB103" s="1"/>
  <c i="18" r="AH64"/>
  <c i="18" r="AH91" s="1"/>
  <c i="18" r="AO78"/>
  <c i="18" r="AC58"/>
  <c i="18" r="AC85" s="1"/>
  <c i="18" r="AM67"/>
  <c i="18" r="AM94" s="1"/>
  <c i="18" r="AP57"/>
  <c i="18" r="AP84" s="1"/>
  <c i="18" r="AH72"/>
  <c i="18" r="AH99" s="1"/>
  <c i="18" r="AS65"/>
  <c i="18" r="AS92" s="1"/>
  <c i="18" r="AR78"/>
  <c i="18" r="AR67"/>
  <c i="18" r="AL59"/>
  <c i="18" r="AL86" s="1"/>
  <c i="18" r="AM66"/>
  <c i="18" r="AM93" s="1"/>
  <c i="18" r="AA64"/>
  <c i="18" r="AA91" s="1"/>
  <c i="18" r="AM60"/>
  <c i="18" r="AM87" s="1"/>
  <c i="18" r="AU72"/>
  <c i="18" r="AK73"/>
  <c i="18" r="AK100" s="1"/>
  <c i="18" r="AV65"/>
  <c i="18" r="AV92" s="1"/>
  <c i="18" r="AF60"/>
  <c i="18" r="AF87" s="1"/>
  <c i="18" r="AP61"/>
  <c i="18" r="AP88" s="1"/>
  <c i="18" r="AL66"/>
  <c i="18" r="AL93" s="1"/>
  <c i="18" r="AN66"/>
  <c i="18" r="AN93" s="1"/>
  <c i="18" r="AG61"/>
  <c i="18" r="AG88" s="1"/>
  <c i="18" r="AI73"/>
  <c i="18" r="AI100" s="1"/>
  <c i="18" r="AI60"/>
  <c i="18" r="AI87" s="1"/>
  <c i="18" r="AQ65"/>
  <c i="18" r="AQ92" s="1"/>
  <c i="18" r="AV63"/>
  <c i="18" r="AV90" s="1"/>
  <c i="18" r="AJ71"/>
  <c i="18" r="AJ98" s="1"/>
  <c i="18" r="AK65"/>
  <c i="18" r="AK92" s="1"/>
  <c i="18" r="AR59"/>
  <c i="18" r="AO74"/>
  <c i="18" r="AO101" s="1"/>
  <c i="18" r="AL74"/>
  <c i="18" r="AL101" s="1"/>
  <c i="18" r="AH68"/>
  <c i="18" r="AH95" s="1"/>
  <c i="18" r="AU62"/>
  <c i="18" r="AU89" s="1"/>
  <c i="18" r="AE73"/>
  <c i="18" r="AE100" s="1"/>
  <c i="18" r="AP69"/>
  <c i="18" r="AP96" s="1"/>
  <c i="18" r="AD65"/>
  <c i="18" r="AD92" s="1"/>
  <c i="18" r="AB67"/>
  <c i="18" r="AB94" s="1"/>
  <c i="18" r="AI62"/>
  <c i="18" r="AI89" s="1"/>
  <c i="18" r="AT63"/>
  <c i="18" r="AT90" s="1"/>
  <c i="18" r="AD74"/>
  <c i="18" r="AD101" s="1"/>
  <c i="18" r="AQ70"/>
  <c i="18" r="AQ97" s="1"/>
  <c i="18" r="AD63"/>
  <c i="18" r="AD90" s="1"/>
  <c i="18" r="AQ67"/>
  <c i="18" r="AQ94" s="1"/>
  <c i="18" r="AN75"/>
  <c i="18" r="AN102" s="1"/>
  <c i="18" r="AR62"/>
  <c i="18" r="AR89" s="1"/>
  <c i="18" r="AM61"/>
  <c i="18" r="AM88" s="1"/>
  <c i="18" r="AG75"/>
  <c i="18" r="AG102" s="1"/>
  <c i="18" r="AA62"/>
  <c i="18" r="AA89" s="1"/>
  <c i="18" r="AI61"/>
  <c i="18" r="AI88" s="1"/>
  <c i="18" r="AB77"/>
  <c i="18" r="AB104" s="1"/>
  <c i="18" r="AA72"/>
  <c i="18" r="AA99" s="1"/>
  <c i="18" r="AT68"/>
  <c i="18" r="AT95" s="1"/>
  <c i="18" r="AE77"/>
  <c i="18" r="AE104" s="1"/>
  <c i="18" r="AC69"/>
  <c i="18" r="AC96" s="1"/>
  <c i="18" r="AS61"/>
  <c i="18" r="AS88" s="1"/>
  <c i="18" r="AH65"/>
  <c i="18" r="AH92" s="1"/>
  <c i="18" r="AR57"/>
  <c i="18" r="AR84" s="1"/>
  <c i="18" r="AC67"/>
  <c i="18" r="AC94" s="1"/>
  <c i="18" r="AR68"/>
  <c i="18" r="AR95" s="1"/>
  <c i="18" r="AO59"/>
  <c i="18" r="AO86" s="1"/>
  <c i="18" r="AG59"/>
  <c i="18" r="AG86" s="1"/>
  <c i="18" r="AM63"/>
  <c i="18" r="AM90" s="1"/>
  <c i="18" r="AP63"/>
  <c i="18" r="AP90" s="1"/>
  <c i="18" r="AH59"/>
  <c i="18" r="AH86" s="1"/>
  <c i="18" r="AU57"/>
  <c i="18" r="AU84" s="1"/>
  <c i="18" r="AV72"/>
  <c i="18" r="AV99" s="1"/>
  <c i="18" r="AJ76"/>
  <c i="18" r="AJ103" s="1"/>
  <c i="18" r="AD64"/>
  <c i="18" r="AD91" s="1"/>
  <c i="18" r="AK57"/>
  <c i="18" r="AK84" s="1"/>
  <c i="18" r="AB62"/>
  <c i="18" r="AB89" s="1"/>
  <c i="18" r="AD62"/>
  <c i="18" r="AD89" s="1"/>
  <c i="18" r="AF57"/>
  <c i="18" r="AF84" s="1"/>
  <c i="18" r="AC57"/>
  <c i="18" r="AC84" s="1"/>
  <c i="18" r="AQ74"/>
  <c i="18" r="AQ101" s="1"/>
  <c i="18" r="AD77"/>
  <c i="18" r="AD104" s="1"/>
  <c i="18" r="AJ64"/>
  <c i="18" r="AJ91" s="1"/>
  <c i="18" r="AB60"/>
  <c i="18" r="AB87" s="1"/>
  <c i="18" r="AD57"/>
  <c i="18" r="AD84" s="1"/>
  <c i="18" r="AB64"/>
  <c i="18" r="AB91" s="1"/>
  <c i="18" r="AA61"/>
  <c i="18" r="AA88" s="1"/>
  <c i="18" r="AJ61"/>
  <c i="18" r="AJ88" s="1"/>
  <c i="18" r="AN62"/>
  <c i="18" r="AN89" s="1"/>
  <c i="18" r="AN69"/>
  <c i="18" r="AN96" s="1"/>
  <c i="18" r="AD61"/>
  <c i="18" r="AD88" s="1"/>
  <c i="18" r="AU69"/>
  <c i="18" r="AU96" s="1"/>
  <c i="18" r="AO64"/>
  <c i="18" r="AO91" s="1"/>
  <c i="18" r="AH70"/>
  <c i="18" r="AH97" s="1"/>
  <c i="18" r="AL57"/>
  <c i="18" r="AL84" s="1"/>
  <c i="18" r="AL63"/>
  <c i="18" r="AL90" s="1"/>
  <c i="18" r="AI75"/>
  <c i="18" r="AI102" s="1"/>
  <c i="18" r="AE68"/>
  <c i="18" r="AE95" s="1"/>
  <c i="18" r="AE64"/>
  <c i="18" r="AE91" s="1"/>
  <c i="18" r="AP74"/>
  <c i="18" r="AP101" s="1"/>
  <c i="18" r="AO72"/>
  <c i="18" r="AO99" s="1"/>
  <c i="18" r="AO77"/>
  <c i="18" r="AO104" s="1"/>
  <c i="18" r="AF63"/>
  <c i="18" r="AF90" s="1"/>
  <c i="18" r="AE61"/>
  <c i="18" r="AE88" s="1"/>
  <c i="18" r="CS51"/>
  <c i="18" r="AM71"/>
  <c i="18" r="AM98" s="1"/>
  <c i="18" r="AJ67"/>
  <c i="18" r="AJ94" s="1"/>
  <c i="18" r="AJ57"/>
  <c i="18" r="AJ84" s="1"/>
  <c i="18" r="AP76"/>
  <c i="18" r="AC62"/>
  <c i="18" r="AC89" s="1"/>
  <c i="18" r="AS72"/>
  <c i="18" r="AS99" s="1"/>
  <c i="18" r="AM65"/>
  <c i="18" r="AM92" s="1"/>
  <c i="18" r="AL73"/>
  <c i="18" r="AL100" s="1"/>
  <c i="18" r="AK58"/>
  <c i="18" r="AK85" s="1"/>
  <c i="18" r="AI72"/>
  <c i="18" r="AI99" s="1"/>
  <c i="18" r="AV68"/>
  <c i="18" r="AV95" s="1"/>
  <c i="18" r="AV66"/>
  <c i="18" r="AV93" s="1"/>
  <c i="18" r="AT57"/>
  <c i="18" r="AT84" s="1"/>
  <c i="18" r="AN65"/>
  <c i="18" r="AN92" s="1"/>
  <c i="18" r="AH60"/>
  <c i="18" r="AH87" s="1"/>
  <c i="18" r="AU68"/>
  <c i="18" r="AU95" s="1"/>
  <c i="18" r="AO63"/>
  <c i="18" r="AO90" s="1"/>
  <c i="18" r="AG63"/>
  <c i="18" r="AG90" s="1"/>
  <c i="18" r="AE60"/>
  <c i="18" r="AE87" s="1"/>
  <c i="18" r="AL75"/>
  <c i="18" r="AL102" s="1"/>
  <c i="18" r="AE74"/>
  <c i="18" r="AE101" s="1"/>
  <c i="18" r="AC73"/>
  <c i="18" r="AC100" s="1"/>
  <c i="18" r="AQ58"/>
  <c i="18" r="AQ85" s="1"/>
  <c i="18" r="AS76"/>
  <c i="18" r="AS103" s="1"/>
  <c i="18" r="AP77"/>
  <c i="18" r="AP104" s="1"/>
  <c i="18" r="AS64"/>
  <c i="18" r="AS91" s="1"/>
  <c i="18" r="AO66"/>
  <c i="18" r="AO93" s="1"/>
  <c i="18" r="AV74"/>
  <c i="18" r="AV101" s="1"/>
  <c i="18" r="AP59"/>
  <c i="18" r="AP86" s="1"/>
  <c i="18" r="AQ72"/>
  <c i="18" r="AQ99" s="1"/>
  <c i="18" r="AS67"/>
  <c i="18" r="AS94" s="1"/>
  <c i="18" r="AP75"/>
  <c i="18" r="AP102" s="1"/>
  <c i="18" r="AU61"/>
  <c i="18" r="AU88" s="1"/>
  <c i="18" r="AD73"/>
  <c i="18" r="AD100" s="1"/>
  <c i="18" r="AR63"/>
  <c i="18" r="AR90" s="1"/>
  <c i="18" r="AM77"/>
  <c i="18" r="AM104" s="1"/>
  <c i="18" r="AM75"/>
  <c i="18" r="AM102" s="1"/>
  <c i="18" r="AK59"/>
  <c i="18" r="AK86" s="1"/>
  <c i="18" r="AN59"/>
  <c i="18" r="AN86" s="1"/>
  <c i="18" r="AG76"/>
  <c i="18" r="AG103" s="1"/>
  <c i="18" r="AR76"/>
  <c i="18" r="AR103" s="1"/>
  <c i="18" r="AN63"/>
  <c i="18" r="AN90" s="1"/>
  <c i="18" r="AC72"/>
  <c i="18" r="AC99" s="1"/>
  <c i="18" r="AC64"/>
  <c i="18" r="AC91" s="1"/>
  <c i="18" r="AF75"/>
  <c i="18" r="AF102" s="1"/>
  <c i="18" r="AK63"/>
  <c i="18" r="AK90" s="1"/>
  <c i="18" r="AM64"/>
  <c i="18" r="AM91" s="1"/>
  <c i="18" r="AV77"/>
  <c i="18" r="AV104" s="1"/>
  <c i="18" r="AO58"/>
  <c i="18" r="AO85" s="1"/>
  <c i="18" r="AV61"/>
  <c i="18" r="AV88" s="1"/>
  <c i="18" r="AL58"/>
  <c i="18" r="AL85" s="1"/>
  <c i="18" r="AI77"/>
  <c i="18" r="AI104" s="1"/>
  <c i="18" r="AF77"/>
  <c i="18" r="AF104" s="1"/>
  <c i="18" r="AK64"/>
  <c i="18" r="AC74"/>
  <c i="18" r="AC101" s="1"/>
  <c i="18" r="AN70"/>
  <c i="18" r="AN97" s="1"/>
  <c i="18" r="AO76"/>
  <c i="18" r="AO103" s="1"/>
  <c i="18" r="AP62"/>
  <c i="18" r="AP89" s="1"/>
  <c i="18" r="AK61"/>
  <c i="18" r="AK88" s="1"/>
  <c i="18" r="AA71"/>
  <c i="18" r="AA98" s="1"/>
  <c i="18" r="AR70"/>
  <c i="18" r="AR97" s="1"/>
  <c i="18" r="AG71"/>
  <c i="18" r="AG98" s="1"/>
  <c i="18" r="AC63"/>
  <c i="18" r="AC90" s="1"/>
  <c i="18" r="AP73"/>
  <c i="18" r="AP100" s="1"/>
  <c i="18" r="AT77"/>
  <c i="18" r="AT104" s="1"/>
  <c i="18" r="AG67"/>
  <c i="18" r="AG94" s="1"/>
  <c i="18" r="AG62"/>
  <c i="18" r="AG89" s="1"/>
  <c i="18" r="AK72"/>
  <c i="18" r="AK99" s="1"/>
  <c i="18" r="AQ63"/>
  <c i="18" r="AQ90" s="1"/>
  <c i="18" r="AO57"/>
  <c i="18" r="AO84" s="1"/>
  <c i="18" r="AD60"/>
  <c i="18" r="AD87" s="1"/>
  <c i="18" r="AQ75"/>
  <c i="18" r="AQ102" s="1"/>
  <c i="18" r="AQ73"/>
  <c i="18" r="AQ100" s="1"/>
  <c i="18" r="AE62"/>
  <c i="18" r="AE89" s="1"/>
  <c i="18" r="AU65"/>
  <c i="18" r="AU92" s="1"/>
  <c i="18" r="AM74"/>
  <c i="18" r="AM101" s="1"/>
  <c i="18" r="AI64"/>
  <c i="18" r="AI91" s="1"/>
  <c i="18" r="AV70"/>
  <c i="18" r="AV97" s="1"/>
  <c i="18" r="AB63"/>
  <c i="18" r="AB90" s="1"/>
  <c i="18" r="AL60"/>
  <c i="18" r="AL87" s="1"/>
  <c i="18" r="AJ58"/>
  <c i="18" r="AJ85" s="1"/>
  <c i="18" r="AS74"/>
  <c i="18" r="AS101" s="1"/>
  <c i="18" r="AO75"/>
  <c i="18" r="AO102" s="1"/>
  <c i="18" r="AS62"/>
  <c i="18" r="AS89" s="1"/>
  <c i="18" r="AA76"/>
  <c i="18" r="AA103" s="1"/>
  <c i="18" r="AB65"/>
  <c i="18" r="AB92" s="1"/>
  <c i="18" r="AT73"/>
  <c i="18" r="AT100" s="1"/>
  <c i="18" r="AH58"/>
  <c i="18" r="AH85" s="1"/>
  <c i="18" r="AA60"/>
  <c i="18" r="AA87" s="1"/>
  <c i="18" r="AU71"/>
  <c i="18" r="AU98" s="1"/>
  <c i="18" r="AF70"/>
  <c i="18" r="AF97" s="1"/>
  <c i="18" r="AN73"/>
  <c i="18" r="AN100" s="1"/>
  <c i="18" r="AU66"/>
  <c i="18" r="AU93" s="1"/>
  <c i="18" r="AM62"/>
  <c i="18" r="AM89" s="1"/>
  <c i="18" r="AG69"/>
  <c i="18" r="AA65"/>
  <c i="18" r="AA92" s="1"/>
  <c i="18" r="AK75"/>
  <c i="18" r="AK102" s="1"/>
  <c i="18" r="BU58"/>
  <c i="18" r="AQ61"/>
  <c i="18" r="AF74"/>
  <c i="18" r="AF101" s="1"/>
  <c i="18" r="AR69"/>
  <c i="18" r="AR96" s="1"/>
  <c i="18" r="AH61"/>
  <c i="18" r="AH88" s="1"/>
  <c i="18" r="AK76"/>
  <c i="18" r="AK103" s="1"/>
  <c i="18" r="AU73"/>
  <c i="18" r="AU100" s="1"/>
  <c i="18" r="AC70"/>
  <c i="18" r="AC97" s="1"/>
  <c i="18" r="AV60"/>
  <c i="18" r="AV87" s="1"/>
  <c i="18" r="AE72"/>
  <c i="18" r="AE99" s="1"/>
  <c i="18" r="AG60"/>
  <c i="18" r="AG87" s="1"/>
  <c i="18" r="AF65"/>
  <c i="18" r="AF92" s="1"/>
  <c i="18" r="AC71"/>
  <c i="18" r="AC98" s="1"/>
  <c i="18" r="AH76"/>
  <c i="18" r="AH103" s="1"/>
  <c i="18" r="AA58"/>
  <c i="18" r="AA85" s="1"/>
  <c i="18" r="AR71"/>
  <c i="18" r="AR98" s="1"/>
  <c i="18" r="AP78"/>
  <c i="18" r="AI68"/>
  <c i="18" r="AI95" s="1"/>
  <c i="18" r="AP67"/>
  <c i="18" r="AP94" s="1"/>
  <c i="18" r="AB61"/>
  <c i="18" r="AB88" s="1"/>
  <c i="18" r="AI58"/>
  <c i="18" r="AI85" s="1"/>
  <c i="18" r="AP68"/>
  <c i="18" r="AP95" s="1"/>
  <c i="18" r="AH63"/>
  <c i="18" r="AH90" s="1"/>
  <c i="18" r="AH62"/>
  <c i="18" r="AV64"/>
  <c i="18" r="AV91" s="1"/>
  <c i="18" r="AC68"/>
  <c i="18" r="AC95" s="1"/>
  <c i="18" r="AK67"/>
  <c i="18" r="AK94" s="1"/>
  <c i="18" r="AV67"/>
  <c i="18" r="AV94" s="1"/>
  <c i="18" r="AL67"/>
  <c i="18" r="AL94" s="1"/>
  <c i="18" r="AV75"/>
  <c i="18" r="AV102" s="1"/>
  <c i="18" r="AS78"/>
  <c i="18" r="AG70"/>
  <c i="18" r="AG97" s="1"/>
  <c i="18" r="AA59"/>
  <c i="18" r="AA86" s="1"/>
  <c i="18" r="AM68"/>
  <c i="18" r="AM95" s="1"/>
  <c i="18" r="AL69"/>
  <c i="18" r="AL96" s="1"/>
  <c i="18" r="AQ62"/>
  <c i="18" r="AQ89" s="1"/>
  <c i="18" r="AF61"/>
  <c i="18" r="AF88" s="1"/>
  <c i="18" r="AT62"/>
  <c i="18" r="AT89" s="1"/>
  <c i="18" r="AJ70"/>
  <c i="18" r="AJ97" s="1"/>
  <c i="18" r="AK69"/>
  <c i="18" r="AK68"/>
  <c i="18" r="AL68"/>
  <c i="18" r="AL95" s="1"/>
  <c i="18" r="AG73"/>
  <c i="18" r="AG100" s="1"/>
  <c i="18" r="AL65"/>
  <c i="18" r="AD69"/>
  <c i="18" r="AD96" s="1"/>
  <c i="18" r="AT69"/>
  <c i="18" r="AT96" s="1"/>
  <c i="18" r="AN57"/>
  <c i="18" r="AN84" s="1"/>
  <c i="18" r="AT75"/>
  <c i="18" r="AH74"/>
  <c i="18" r="AH101" s="1"/>
  <c i="18" r="AV58"/>
  <c i="18" r="AV85" s="1"/>
  <c i="18" r="AG57"/>
  <c i="18" r="AG84" s="1"/>
  <c i="18" r="AS70"/>
  <c i="18" r="AS97" s="1"/>
  <c i="18" r="AS60"/>
  <c i="18" r="AJ66"/>
  <c i="18" r="AJ93" s="1"/>
  <c i="18" r="AD58"/>
  <c i="18" r="AD85" s="1"/>
  <c i="18" r="AQ69"/>
  <c i="18" r="AQ96" s="1"/>
  <c i="18" r="AL62"/>
  <c i="18" r="AL89" s="1"/>
  <c i="18" r="AC75"/>
  <c i="18" r="AC102" s="1"/>
  <c i="18" r="AP72"/>
  <c i="18" r="AP99" s="1"/>
  <c i="18" r="AF72"/>
  <c i="18" r="AF99" s="1"/>
  <c i="18" r="AL71"/>
  <c i="18" r="AL98" s="1"/>
  <c i="18" r="AB73"/>
  <c i="18" r="AB100" s="1"/>
  <c i="18" r="AD66"/>
  <c i="18" r="AD93" s="1"/>
  <c i="18" r="AS57"/>
  <c i="18" r="AS84" s="1"/>
  <c i="18" r="AP71"/>
  <c i="18" r="AP98" s="1"/>
  <c i="18" r="AL77"/>
  <c i="18" r="AL104" s="1"/>
  <c i="18" r="AE57"/>
  <c i="18" r="AE84" s="1"/>
  <c i="18" r="AE75"/>
  <c i="18" r="AE102" s="1"/>
  <c i="18" r="AT58"/>
  <c i="18" r="AT85" s="1"/>
  <c i="18" r="AB74"/>
  <c i="18" r="AB101" s="1"/>
  <c i="18" r="AU77"/>
  <c i="18" r="AU104" s="1"/>
  <c i="18" r="AP60"/>
  <c i="18" r="AP87" s="1"/>
  <c i="18" r="AD76"/>
  <c i="18" r="AD103" s="1"/>
  <c i="18" r="AT71"/>
  <c i="18" r="AT98" s="1"/>
  <c i="18" r="AA78"/>
  <c i="18" r="AE65"/>
  <c i="18" r="AE92" s="1"/>
  <c i="18" r="AE59"/>
  <c i="18" r="AE86" s="1"/>
  <c i="18" r="AB69"/>
  <c i="18" r="AL72"/>
  <c i="18" r="AL99" s="1"/>
  <c i="18" r="AF58"/>
  <c i="18" r="AF85" s="1"/>
  <c i="18" r="AM73"/>
  <c i="18" r="AM100" s="1"/>
  <c i="18" r="AT70"/>
  <c i="18" r="AT97" s="1"/>
  <c i="18" r="M18"/>
  <c i="18" r="R18" s="1"/>
  <c i="18" r="AZ58"/>
  <c a="1" i="18" r="AK8" s="1"/>
  <c i="18" r="AK8" s="1"/>
  <c i="18" r="AA131"/>
  <c i="18" r="AA157" s="1"/>
  <c i="18" r="BX51"/>
  <c i="18" r="BS58"/>
  <c i="18" r="AT131"/>
  <c i="18" r="AT157" s="1"/>
  <c i="18" r="N4"/>
  <c i="1" r="CJ42"/>
  <c i="18" r="N24"/>
  <c i="18" r="N6"/>
  <c i="18" r="BO58"/>
  <c i="18" r="AP131"/>
  <c i="18" r="AP157" s="1"/>
  <c i="18" r="CM51"/>
  <c i="18" r="AV131"/>
  <c i="18" r="AV157" s="1"/>
  <c i="18" r="M21"/>
  <c i="18" r="R21" s="1"/>
  <c i="18" r="N5"/>
  <c i="18" r="AE5" s="1"/>
  <c i="18" r="BE58"/>
  <c i="18" r="AF131"/>
  <c i="18" r="AF157" s="1"/>
  <c i="18" r="AK131"/>
  <c i="18" r="AK157" s="1"/>
  <c i="18" r="N18"/>
  <c i="18" r="N7"/>
  <c i="18" r="CC51"/>
  <c i="18" r="N14"/>
  <c i="18" r="N15"/>
  <c i="18" r="M16"/>
  <c i="18" r="R16" s="1"/>
  <c i="18" r="N19"/>
  <c i="12" r="H90"/>
  <c i="18" r="N9"/>
  <c i="18" r="N16"/>
  <c i="18" r="N13"/>
  <c i="18" r="N20"/>
  <c i="18" r="AE20" s="1"/>
  <c i="18" r="M8"/>
  <c i="18" r="R8" s="1"/>
  <c i="18" r="M12"/>
  <c i="18" r="R12" s="1"/>
  <c i="18" r="BQ58"/>
  <c i="18" r="AR131"/>
  <c i="18" r="AR157" s="1"/>
  <c i="18" r="N11"/>
  <c i="18" r="M7"/>
  <c i="18" r="R7" s="1"/>
  <c i="18" r="N17"/>
  <c i="18" r="N21"/>
  <c i="18" r="M10"/>
  <c i="18" r="R10" s="1"/>
  <c i="18" r="AE10" s="1"/>
  <c i="18" r="CP51"/>
  <c i="18" r="M15"/>
  <c i="18" r="R15" s="1"/>
  <c i="18" r="M13"/>
  <c i="18" r="R13" s="1"/>
  <c i="18" r="BR58"/>
  <c i="18" r="AS131"/>
  <c i="18" r="AS157" s="1"/>
  <c i="18" r="N22"/>
  <c i="18" r="M14"/>
  <c i="18" r="R14" s="1"/>
  <c i="18" r="M17"/>
  <c i="18" r="R17" s="1"/>
  <c i="18" r="M11"/>
  <c i="18" r="R11" s="1"/>
  <c i="18" r="M6"/>
  <c i="18" r="R6" s="1"/>
  <c i="18" r="M19"/>
  <c i="18" r="R19" s="1"/>
  <c i="18" r="M22"/>
  <c i="18" r="R22" s="1"/>
  <c i="18" r="BB58"/>
  <c i="18" r="AC131"/>
  <c i="18" r="AC157" s="1"/>
  <c i="18" r="N23"/>
  <c i="18" r="AE23" s="1"/>
  <c i="18" r="N8"/>
  <c i="18" r="AE8" s="1"/>
  <c i="18" r="BZ51"/>
  <c i="12" r="G58"/>
  <c i="12" r="H117"/>
  <c i="12" r="G96"/>
  <c i="12" r="G56"/>
  <c i="12" r="G55"/>
  <c i="12" r="H97"/>
  <c i="12" r="H96"/>
  <c i="12" r="H56"/>
  <c i="12" r="H95"/>
  <c i="12" r="G75"/>
  <c i="12" r="G108"/>
  <c i="12" r="H87"/>
  <c i="12" r="H47"/>
  <c i="12" r="H86"/>
  <c i="12" r="H46"/>
  <c i="12" r="G106"/>
  <c i="12" r="H85"/>
  <c i="12" r="H45"/>
  <c i="12" r="G104"/>
  <c i="12" r="H123"/>
  <c i="12" r="H83"/>
  <c i="12" r="H43"/>
  <c i="12" r="G103"/>
  <c i="12" r="H42"/>
  <c i="12" r="G62"/>
  <c i="12" r="H121"/>
  <c i="12" r="G61"/>
  <c i="12" r="H120"/>
  <c i="12" r="H80"/>
  <c i="12" r="H40"/>
  <c i="12" r="G60"/>
  <c i="12" r="H119"/>
  <c i="12" r="H39"/>
  <c i="12" r="G99"/>
  <c i="12" r="G59"/>
  <c i="12" r="H118"/>
  <c i="12" r="G109"/>
  <c i="12" r="H88"/>
  <c i="12" r="H48"/>
  <c i="12" r="G107"/>
  <c i="12" r="G123"/>
  <c i="12" r="G83"/>
  <c i="12" r="H99"/>
  <c i="12" r="H59"/>
  <c i="12" r="G110"/>
  <c i="12" r="H49"/>
  <c i="12" r="G84"/>
  <c i="12" r="H63"/>
  <c i="12" r="H61"/>
  <c i="12" r="H62"/>
  <c i="12" r="G82"/>
  <c i="12" r="G80"/>
  <c i="12" r="G120"/>
  <c i="12" r="G79"/>
  <c i="12" r="G38"/>
  <c i="12" r="H94"/>
  <c i="12" r="H93"/>
  <c i="12" r="H51"/>
  <c i="12" r="H115"/>
  <c i="12" r="H75"/>
  <c i="12" r="H114"/>
  <c i="12" r="H73"/>
  <c i="12" r="H112"/>
  <c i="12" r="H72"/>
  <c i="12" r="H111"/>
  <c i="12" r="H71"/>
  <c i="12" r="G51"/>
  <c i="12" r="H110"/>
  <c i="12" r="H70"/>
  <c i="12" r="H109"/>
  <c i="12" r="H69"/>
  <c i="12" r="G48"/>
  <c i="12" r="H107"/>
  <c i="12" r="H67"/>
  <c i="12" r="H66"/>
  <c i="12" r="G86"/>
  <c i="12" r="G85"/>
  <c i="12" r="H104"/>
  <c i="12" r="H64"/>
  <c i="12" r="G53"/>
  <c i="12" r="G77"/>
  <c i="12" r="G101"/>
  <c i="12" r="G125"/>
  <c i="12" r="G52"/>
  <c i="12" r="H38"/>
  <c i="12" r="G122"/>
  <c i="12" r="G74"/>
  <c i="12" r="G100"/>
  <c i="12" r="G98"/>
  <c i="12" r="G121"/>
  <c i="12" r="G97"/>
  <c i="12" r="G73"/>
  <c i="12" r="G49"/>
  <c i="12" r="H108"/>
  <c i="12" r="H84"/>
  <c i="12" r="H60"/>
  <c i="12" r="G76"/>
  <c i="12" r="G124"/>
  <c i="12" r="H122"/>
  <c i="12" r="H98"/>
  <c i="12" r="H74"/>
  <c i="12" r="H50"/>
  <c i="12" r="G105"/>
  <c i="12" r="G81"/>
  <c i="12" r="G57"/>
  <c i="12" r="H116"/>
  <c i="12" r="H92"/>
  <c i="12" r="H68"/>
  <c i="12" r="H44"/>
  <c i="12" r="G126"/>
  <c i="12" r="G102"/>
  <c i="12" r="G78"/>
  <c i="12" r="G54"/>
  <c i="12" r="H113"/>
  <c i="12" r="H89"/>
  <c i="12" r="H65"/>
  <c i="12" r="H41"/>
  <c i="12" r="G118"/>
  <c i="12" r="G94"/>
  <c i="12" r="G70"/>
  <c i="12" r="G46"/>
  <c i="12" r="H106"/>
  <c i="12" r="H82"/>
  <c i="12" r="H58"/>
  <c i="12" r="H105"/>
  <c i="12" r="H81"/>
  <c i="12" r="H57"/>
  <c i="12" r="G93"/>
  <c i="12" r="G69"/>
  <c i="12" r="G45"/>
  <c i="12" r="G50"/>
  <c i="12" r="H103"/>
  <c i="12" r="H79"/>
  <c i="12" r="H55"/>
  <c i="12" r="H126"/>
  <c i="12" r="H102"/>
  <c i="12" r="H78"/>
  <c i="12" r="H54"/>
  <c i="12" r="H125"/>
  <c i="12" r="H101"/>
  <c i="12" r="H77"/>
  <c i="12" r="H53"/>
  <c i="12" r="H37"/>
  <c i="12" r="G47"/>
  <c i="12" r="H124"/>
  <c i="12" r="H100"/>
  <c i="12" r="H76"/>
  <c i="12" r="H52"/>
  <c i="12" r="G116"/>
  <c i="12" r="G92"/>
  <c i="12" r="G68"/>
  <c i="12" r="G44"/>
  <c i="12" r="G71"/>
  <c i="12" r="G115"/>
  <c i="12" r="G91"/>
  <c i="12" r="G67"/>
  <c i="12" r="G43"/>
  <c i="12" r="G114"/>
  <c i="12" r="G90"/>
  <c i="12" r="G66"/>
  <c i="12" r="G42"/>
  <c i="12" r="G113"/>
  <c i="12" r="G89"/>
  <c i="12" r="G65"/>
  <c i="12" r="G41"/>
  <c i="12" r="G119"/>
  <c i="12" r="G112"/>
  <c i="12" r="G88"/>
  <c i="12" r="G64"/>
  <c i="12" r="G40"/>
  <c i="12" r="G111"/>
  <c i="12" r="G87"/>
  <c i="12" r="G63"/>
  <c i="12" r="G39"/>
  <c i="12" r="G117"/>
  <c i="12" r="G95"/>
  <c i="12" r="G37"/>
  <c i="18" l="1" r="AE93"/>
  <c i="18" r="AE78"/>
  <c i="18" r="AE105" s="1"/>
  <c i="18" r="AE18"/>
  <c i="18" r="AM131"/>
  <c i="18" r="AM157" s="1"/>
  <c i="18" r="BJ58"/>
  <c i="18" r="AM78"/>
  <c i="18" r="AH131"/>
  <c i="18" r="AH157" s="1"/>
  <c i="18" r="BG58"/>
  <c i="18" r="AG78"/>
  <c i="18" r="AE131"/>
  <c i="18" r="AE157" s="1"/>
  <c i="18" r="AE17"/>
  <c i="18" r="AE11"/>
  <c i="18" r="AE13"/>
  <c i="18" r="AE16"/>
  <c i="18" r="AE19"/>
  <c i="18" r="AE7"/>
  <c i="18" r="AF7" s="1"/>
  <c i="18" r="AE21"/>
  <c i="18" r="AA95"/>
  <c i="18" r="AK91"/>
  <c i="18" r="AB131"/>
  <c i="18" r="AB157" s="1"/>
  <c i="18" r="BA58"/>
  <c i="18" r="AE12"/>
  <c i="18" r="AU78"/>
  <c i="18" r="BT60" s="1"/>
  <c i="18" r="AE6"/>
  <c i="18" r="AE22"/>
  <c i="18" r="AE4"/>
  <c i="18" r="AF4" s="1"/>
  <c i="18" r="AE15"/>
  <c i="18" r="AE9"/>
  <c i="18" r="BT58"/>
  <c i="18" r="AE14"/>
  <c i="18" r="CR51"/>
  <c i="18" r="AB161"/>
  <c i="18" r="AB96"/>
  <c i="18" r="AG131"/>
  <c i="18" r="AG157" s="1"/>
  <c i="18" r="AQ88"/>
  <c i="18" r="AG96"/>
  <c i="18" r="AP103"/>
  <c i="18" r="BH58"/>
  <c i="18" r="AL92"/>
  <c i="18" r="AD78"/>
  <c i="18" r="BC60" s="1"/>
  <c i="18" r="AH89"/>
  <c i="18" r="AM85"/>
  <c i="18" r="AU99"/>
  <c i="18" r="AD131"/>
  <c i="18" r="AD157" s="1"/>
  <c i="18" r="AC160"/>
  <c i="18" r="AK7" s="1"/>
  <c i="18" r="AI131"/>
  <c i="18" r="AI157" s="1"/>
  <c i="18" r="AJ131"/>
  <c i="18" r="AJ157" s="1"/>
  <c i="18" r="BI58"/>
  <c i="18" r="AR86"/>
  <c i="18" r="AA104"/>
  <c i="18" r="AN131"/>
  <c i="18" r="AN157" s="1"/>
  <c i="18" r="BM58"/>
  <c i="18" r="AL131"/>
  <c i="18" r="AL157" s="1"/>
  <c i="18" r="AJ92"/>
  <c i="18" r="AA160"/>
  <c i="18" r="AB160"/>
  <c i="18" r="AR94"/>
  <c i="18" r="AN101"/>
  <c i="18" r="AS87"/>
  <c i="18" r="AD86"/>
  <c i="18" r="AA161"/>
  <c i="18" r="AC161"/>
  <c i="18" r="BK58"/>
  <c i="18" r="AT102"/>
  <c i="18" r="CZ17"/>
  <c i="18" r="DA17" s="1"/>
  <c i="18" r="CV19"/>
  <c i="18" r="CX18"/>
  <c i="18" r="CY18"/>
  <c i="18" r="AK96"/>
  <c i="18" r="Y25"/>
  <c i="18" r="AE25" s="1"/>
  <c i="18" r="AK95"/>
  <c i="18" r="Y24"/>
  <c i="18" r="AE24" s="1"/>
  <c i="18" r="AN105"/>
  <c i="18" r="BM60"/>
  <c i="18" r="AK105"/>
  <c i="18" r="BJ60"/>
  <c i="18" r="AP105"/>
  <c i="18" r="BO60"/>
  <c i="18" r="AM105"/>
  <c i="18" r="BL60"/>
  <c i="18" r="BQ60"/>
  <c i="18" r="AR105"/>
  <c i="18" r="BS60"/>
  <c i="18" r="AT105"/>
  <c i="18" r="AK5"/>
  <c i="18" r="BD60"/>
  <c i="18" r="BE60"/>
  <c i="18" r="AF105"/>
  <c i="18" r="AI105"/>
  <c i="18" r="BH60"/>
  <c i="18" r="BP60"/>
  <c i="18" r="AQ105"/>
  <c i="18" r="BN60"/>
  <c i="18" r="AO105"/>
  <c i="18" r="BU60"/>
  <c i="18" r="AV105"/>
  <c i="18" r="AL105"/>
  <c i="18" r="BK60"/>
  <c i="18" r="AZ60"/>
  <c i="18" r="AA105"/>
  <c i="18" r="BR60"/>
  <c i="18" r="AS105"/>
  <c i="18" r="BG60"/>
  <c i="18" r="AH105"/>
  <c i="18" r="BB60"/>
  <c i="18" r="AC105"/>
  <c i="18" r="AJ105"/>
  <c i="18" r="BI60"/>
  <c i="18" r="BF60"/>
  <c i="18" r="AG105"/>
  <c i="18" r="BA60"/>
  <c i="18" r="AB105"/>
  <c i="12" r="B7"/>
  <c i="18" l="1" r="AF9"/>
  <c i="18" r="AF15"/>
  <c i="18" r="AF16"/>
  <c i="18" r="AF14"/>
  <c i="18" r="AF18"/>
  <c i="18" r="AF22"/>
  <c i="18" r="AF20"/>
  <c i="18" r="AF6"/>
  <c i="18" r="AF12"/>
  <c i="18" r="AF8"/>
  <c i="18" r="AF23"/>
  <c i="18" r="AF21"/>
  <c i="18" r="AF11"/>
  <c i="18" r="AU105"/>
  <c i="18" r="AF19"/>
  <c i="18" r="AF5"/>
  <c i="18" r="AF17"/>
  <c i="18" r="AF13"/>
  <c i="18" r="AF10"/>
  <c i="18" r="AD105"/>
  <c i="18" r="AF24"/>
  <c i="18" r="AF25"/>
  <c i="18" r="CZ18"/>
  <c i="18" r="DA18" s="1"/>
  <c i="18" r="CV20"/>
  <c i="18" r="CY19"/>
  <c i="18" r="CX19"/>
  <c i="8" r="P19"/>
  <c i="8" r="Q19"/>
  <c i="8" r="R19"/>
  <c i="8" r="P20"/>
  <c i="8" r="Q20"/>
  <c i="8" r="R20"/>
  <c i="8" r="P21"/>
  <c i="8" r="Q21"/>
  <c i="8" r="R21"/>
  <c i="8" r="P22"/>
  <c i="8" r="Q22"/>
  <c i="8" r="R22"/>
  <c i="8" r="P23"/>
  <c i="8" r="Q23"/>
  <c i="8" r="R23"/>
  <c i="8" r="L19"/>
  <c i="8" r="L20"/>
  <c i="8" r="L21"/>
  <c i="8" r="L22"/>
  <c i="8" r="L23"/>
  <c i="8" r="E25"/>
  <c i="18" l="1" r="CZ19"/>
  <c i="18" r="DA19" s="1"/>
  <c i="18" r="CV21"/>
  <c i="18" r="CY20"/>
  <c i="18" r="CX20"/>
  <c i="8" r="P33"/>
  <c i="8" r="R30"/>
  <c i="8" r="R34"/>
  <c i="8" r="Q34"/>
  <c i="8" r="P34"/>
  <c i="8" r="R33"/>
  <c i="8" r="Q33"/>
  <c i="8" r="R32"/>
  <c i="8" r="Q32"/>
  <c i="8" r="P32"/>
  <c i="8" r="S22"/>
  <c i="8" r="S21"/>
  <c i="8" r="Q30"/>
  <c i="8" r="P30"/>
  <c i="8" r="R29"/>
  <c i="8" r="Q29"/>
  <c i="8" r="R31"/>
  <c i="8" r="Q31"/>
  <c i="8" r="P31"/>
  <c i="8" r="S19"/>
  <c i="8" r="S20"/>
  <c i="8" r="S23"/>
  <c i="18" l="1" r="CZ20"/>
  <c i="18" r="DA20" s="1"/>
  <c i="18" r="CV22"/>
  <c i="18" r="CY21"/>
  <c i="18" r="CX21"/>
  <c i="8" r="A19"/>
  <c i="8" r="A30" s="1"/>
  <c i="8" r="A20"/>
  <c i="8" r="A31" s="1"/>
  <c i="8" r="A21"/>
  <c i="8" r="A32" s="1"/>
  <c i="8" r="A22"/>
  <c i="8" r="A33" s="1"/>
  <c i="8" r="A23"/>
  <c i="8" r="A34" s="1"/>
  <c i="8" r="A18"/>
  <c i="8" r="A29" s="1"/>
  <c i="8" r="H8"/>
  <c i="8" r="H9"/>
  <c i="8" r="H10"/>
  <c i="8" r="H11"/>
  <c i="8" r="H12"/>
  <c i="8" r="H7"/>
  <c i="18" l="1" r="CV23"/>
  <c i="18" r="CY22"/>
  <c i="18" r="CX22"/>
  <c i="18" r="CZ21"/>
  <c i="18" r="DA21" s="1"/>
  <c i="8" r="O7"/>
  <c i="8" r="O18" s="1"/>
  <c i="8" r="O29" s="1"/>
  <c i="8" r="H18"/>
  <c i="8" r="H29" s="1"/>
  <c i="8" r="O12"/>
  <c i="8" r="O23" s="1"/>
  <c i="8" r="O34" s="1"/>
  <c i="8" r="H23"/>
  <c i="8" r="H34" s="1"/>
  <c i="8" r="O9"/>
  <c i="8" r="O20" s="1"/>
  <c i="8" r="O31" s="1"/>
  <c i="8" r="H20"/>
  <c i="8" r="H31" s="1"/>
  <c i="8" r="O10"/>
  <c i="8" r="O21" s="1"/>
  <c i="8" r="O32" s="1"/>
  <c i="8" r="H21"/>
  <c i="8" r="H32" s="1"/>
  <c i="8" r="O11"/>
  <c i="8" r="O22" s="1"/>
  <c i="8" r="O33" s="1"/>
  <c i="8" r="H22"/>
  <c i="8" r="H33" s="1"/>
  <c i="8" r="O8"/>
  <c i="8" r="O19" s="1"/>
  <c i="8" r="O30" s="1"/>
  <c i="8" r="H19"/>
  <c i="8" r="H30" s="1"/>
  <c i="12" r="D9"/>
  <c i="12" r="C9"/>
  <c i="12" r="B9"/>
  <c i="3" r="E101"/>
  <c i="18" l="1" r="CZ22"/>
  <c i="18" r="DA22" s="1"/>
  <c i="18" r="CV24"/>
  <c i="18" r="CY23"/>
  <c i="18" r="CX23"/>
  <c i="12" r="U76"/>
  <c i="12" r="V76"/>
  <c i="12" r="U75"/>
  <c i="12" r="V75"/>
  <c i="12" r="T4"/>
  <c i="12" r="U4"/>
  <c i="12" r="V4"/>
  <c i="12" r="T5"/>
  <c i="12" r="U5"/>
  <c i="12" r="V5"/>
  <c i="12" r="T6"/>
  <c i="12" r="U6"/>
  <c i="12" r="V6"/>
  <c i="12" r="T7"/>
  <c i="12" r="U7"/>
  <c i="12" r="V7"/>
  <c i="12" r="T8"/>
  <c i="12" r="U8"/>
  <c i="12" r="V8"/>
  <c i="12" r="N14" s="1"/>
  <c i="12" r="T9"/>
  <c i="12" r="U9"/>
  <c i="12" r="V9"/>
  <c i="12" r="T10"/>
  <c i="12" r="U10"/>
  <c i="12" r="V10"/>
  <c i="12" r="T11"/>
  <c i="12" r="U11"/>
  <c i="12" r="V11"/>
  <c i="12" r="T12"/>
  <c i="12" r="U12"/>
  <c i="12" r="V12"/>
  <c i="12" r="T13"/>
  <c i="12" r="U13"/>
  <c i="12" r="V13"/>
  <c i="12" r="T14"/>
  <c i="12" r="U14"/>
  <c i="12" r="V14"/>
  <c i="12" r="T15"/>
  <c i="12" r="U15"/>
  <c i="12" r="V15"/>
  <c i="12" r="T16"/>
  <c i="12" r="U16"/>
  <c i="12" r="V16"/>
  <c i="12" r="T17"/>
  <c i="12" r="U17"/>
  <c i="12" r="V17"/>
  <c i="12" r="T18"/>
  <c i="12" r="U18"/>
  <c i="12" r="V18"/>
  <c i="12" r="T19"/>
  <c i="12" r="U19"/>
  <c i="12" r="V19"/>
  <c i="12" r="T20"/>
  <c i="12" r="U20"/>
  <c i="12" r="V20"/>
  <c i="12" r="T21"/>
  <c i="12" r="U21"/>
  <c i="12" r="V21"/>
  <c i="12" r="T22"/>
  <c i="12" r="U22"/>
  <c i="12" r="V22"/>
  <c i="12" r="T23"/>
  <c i="12" r="U23"/>
  <c i="12" r="V23"/>
  <c i="12" r="T24"/>
  <c i="12" r="U24"/>
  <c i="12" r="V24"/>
  <c i="12" r="T25"/>
  <c i="12" r="U25"/>
  <c i="12" r="V25"/>
  <c i="12" r="T26"/>
  <c i="12" r="U26"/>
  <c i="12" r="V26"/>
  <c i="12" r="T27"/>
  <c i="12" r="U27"/>
  <c i="12" r="V27"/>
  <c i="12" r="T28"/>
  <c i="12" r="U28"/>
  <c i="12" r="V28"/>
  <c i="12" r="T29"/>
  <c i="12" r="U29"/>
  <c i="12" r="V29"/>
  <c i="12" r="T30"/>
  <c i="12" r="U30"/>
  <c i="12" r="V30"/>
  <c i="12" r="T31"/>
  <c i="12" r="U31"/>
  <c i="12" r="V31"/>
  <c i="12" r="T32"/>
  <c i="12" r="U32"/>
  <c i="12" r="V32"/>
  <c i="12" r="T33"/>
  <c i="12" r="U33"/>
  <c i="12" r="V33"/>
  <c i="12" r="U34"/>
  <c i="12" r="V34"/>
  <c i="12" r="W34" s="1"/>
  <c i="12" r="U35"/>
  <c i="12" r="V35"/>
  <c i="12" r="W35" s="1"/>
  <c i="12" r="U36"/>
  <c i="12" r="V36"/>
  <c i="12" r="W36" s="1"/>
  <c i="12" r="U37"/>
  <c i="12" r="V37"/>
  <c i="12" r="W37" s="1"/>
  <c i="12" r="U38"/>
  <c i="12" r="V38"/>
  <c i="12" r="W38" s="1"/>
  <c i="12" r="U39"/>
  <c i="12" r="V39"/>
  <c i="12" r="U40"/>
  <c i="12" r="V40"/>
  <c i="12" r="W40" s="1"/>
  <c i="12" r="U41"/>
  <c i="12" r="V41"/>
  <c i="12" r="W41" s="1"/>
  <c i="12" r="U42"/>
  <c i="12" r="V42"/>
  <c i="12" r="W42" s="1"/>
  <c i="12" r="U43"/>
  <c i="12" r="V43"/>
  <c i="12" r="W43" s="1"/>
  <c i="12" r="U44"/>
  <c i="12" r="V44"/>
  <c i="12" r="W44" s="1"/>
  <c i="12" r="U45"/>
  <c i="12" r="V45"/>
  <c i="12" r="W45" s="1"/>
  <c i="12" r="U46"/>
  <c i="12" r="V46"/>
  <c i="12" r="W46" s="1"/>
  <c i="12" r="U47"/>
  <c i="12" r="V47"/>
  <c i="12" r="W47" s="1"/>
  <c i="12" r="U48"/>
  <c i="12" r="V48"/>
  <c i="12" r="W48" s="1"/>
  <c i="12" r="U49"/>
  <c i="12" r="V49"/>
  <c i="12" r="W49" s="1"/>
  <c i="12" r="U50"/>
  <c i="12" r="V50"/>
  <c i="12" r="W50" s="1"/>
  <c i="12" r="U51"/>
  <c i="12" r="V51"/>
  <c i="12" r="W51" s="1"/>
  <c i="12" r="U52"/>
  <c i="12" r="V52"/>
  <c i="12" r="W52" s="1"/>
  <c i="12" r="U53"/>
  <c i="12" r="V53"/>
  <c i="12" r="W53" s="1"/>
  <c i="12" r="U54"/>
  <c i="12" r="V54"/>
  <c i="12" r="W54" s="1"/>
  <c i="12" r="U55"/>
  <c i="12" r="V55"/>
  <c i="12" r="W55" s="1"/>
  <c i="12" r="U56"/>
  <c i="12" r="V56"/>
  <c i="12" r="W56" s="1"/>
  <c i="12" r="U57"/>
  <c i="12" r="V57"/>
  <c i="12" r="W57" s="1"/>
  <c i="12" r="U58"/>
  <c i="12" r="V58"/>
  <c i="12" r="W58" s="1"/>
  <c i="12" r="U59"/>
  <c i="12" r="V59"/>
  <c i="12" r="W59" s="1"/>
  <c i="12" r="U60"/>
  <c i="12" r="V60"/>
  <c i="12" r="W60" s="1"/>
  <c i="12" r="U61"/>
  <c i="12" r="V61"/>
  <c i="12" r="W61" s="1"/>
  <c i="12" r="U62"/>
  <c i="12" r="V62"/>
  <c i="12" r="W62" s="1"/>
  <c i="12" r="U63"/>
  <c i="12" r="V63"/>
  <c i="12" r="W63" s="1"/>
  <c i="12" r="U64"/>
  <c i="12" r="V64"/>
  <c i="12" r="W64" s="1"/>
  <c i="12" r="U65"/>
  <c i="12" r="V65"/>
  <c i="12" r="W65" s="1"/>
  <c i="12" r="U66"/>
  <c i="12" r="V66"/>
  <c i="12" r="W66" s="1"/>
  <c i="12" r="U67"/>
  <c i="12" r="V67"/>
  <c i="12" r="W67" s="1"/>
  <c i="12" r="U68"/>
  <c i="12" r="V68"/>
  <c i="12" r="W68" s="1"/>
  <c i="12" r="U69"/>
  <c i="12" r="V69"/>
  <c i="12" r="W69" s="1"/>
  <c i="12" r="U70"/>
  <c i="12" r="V70"/>
  <c i="12" r="W70" s="1"/>
  <c i="12" r="U71"/>
  <c i="12" r="V71"/>
  <c i="12" r="W71" s="1"/>
  <c i="12" r="U72"/>
  <c i="12" r="V72"/>
  <c i="12" r="W72" s="1"/>
  <c i="12" r="U73"/>
  <c i="12" r="V73"/>
  <c i="12" r="W73" s="1"/>
  <c i="12" r="U74"/>
  <c i="12" r="V74"/>
  <c i="12" r="V3"/>
  <c i="12" r="U3"/>
  <c i="12" r="T3"/>
  <c i="12" l="1" r="W29"/>
  <c i="12" r="W4"/>
  <c i="12" r="W3"/>
  <c i="12" r="W16"/>
  <c i="12" r="W32"/>
  <c i="12" r="X32" s="1"/>
  <c i="12" r="W5"/>
  <c i="12" r="W17"/>
  <c i="12" r="X17" s="1"/>
  <c i="18" r="CZ23"/>
  <c i="18" r="DA23" s="1"/>
  <c i="18" r="CV25"/>
  <c i="18" r="CY24"/>
  <c i="18" r="CX24"/>
  <c i="12" r="W23"/>
  <c i="12" r="X23" s="1"/>
  <c i="12" r="W15"/>
  <c i="12" r="X15" s="1"/>
  <c i="12" r="W26"/>
  <c i="12" r="X26" s="1"/>
  <c i="12" r="W20"/>
  <c i="12" r="X20" s="1"/>
  <c i="12" r="W27"/>
  <c i="12" r="X27" s="1"/>
  <c i="12" r="W14"/>
  <c i="12" r="X14" s="1"/>
  <c i="12" r="W19"/>
  <c i="12" r="X19" s="1"/>
  <c i="12" r="W13"/>
  <c i="12" r="X13" s="1"/>
  <c i="12" r="W25"/>
  <c i="12" r="X25" s="1"/>
  <c i="12" r="W7"/>
  <c i="12" r="X7" s="1"/>
  <c i="12" r="W28"/>
  <c i="12" r="X28" s="1"/>
  <c i="12" r="W24"/>
  <c i="12" r="X24" s="1"/>
  <c i="12" r="W22"/>
  <c i="12" r="X22" s="1"/>
  <c i="12" r="W21"/>
  <c i="12" r="X21" s="1"/>
  <c i="12" r="W33"/>
  <c i="12" r="X33" s="1"/>
  <c i="12" r="W6"/>
  <c i="12" r="X6" s="1"/>
  <c i="12" r="W18"/>
  <c i="12" r="X18" s="1"/>
  <c i="12" r="W31"/>
  <c i="12" r="X31" s="1"/>
  <c i="12" r="W30"/>
  <c i="12" r="X30" s="1"/>
  <c i="18" r="AG25"/>
  <c i="18" r="AH25" s="1"/>
  <c i="18" r="AG24"/>
  <c i="18" r="AH24" s="1"/>
  <c i="12" r="X46"/>
  <c i="12" r="X61"/>
  <c i="12" r="X42"/>
  <c i="12" r="X66"/>
  <c i="12" r="X65"/>
  <c i="12" r="X35"/>
  <c i="12" r="X41"/>
  <c i="12" r="X60"/>
  <c i="12" r="X40"/>
  <c i="12" r="X59"/>
  <c i="12" r="X58"/>
  <c i="12" r="X55"/>
  <c i="12" r="X36"/>
  <c i="12" r="X54"/>
  <c i="12" r="X37"/>
  <c i="12" r="X56"/>
  <c i="12" r="X34"/>
  <c i="12" r="X45"/>
  <c i="12" r="X63"/>
  <c i="12" r="X73"/>
  <c i="12" r="X52"/>
  <c i="12" r="X57"/>
  <c i="12" r="X71"/>
  <c i="12" r="X44"/>
  <c i="12" r="X51"/>
  <c i="12" r="X64"/>
  <c i="12" r="X38"/>
  <c i="12" r="X53"/>
  <c i="12" r="X72"/>
  <c i="12" r="X50"/>
  <c i="12" r="X43"/>
  <c i="12" r="X62"/>
  <c i="12" r="X70"/>
  <c i="12" r="X49"/>
  <c i="12" r="X68"/>
  <c i="12" r="X48"/>
  <c i="12" r="X67"/>
  <c i="12" r="X47"/>
  <c i="18" r="AG10"/>
  <c i="18" r="AH10" s="1"/>
  <c i="18" r="AG23"/>
  <c i="18" r="AH23" s="1"/>
  <c i="18" r="AG7"/>
  <c i="18" r="AH7" s="1"/>
  <c i="18" r="AG17"/>
  <c i="18" r="AH17" s="1"/>
  <c i="18" r="AG5"/>
  <c i="18" r="AH5" s="1"/>
  <c i="18" r="AG9"/>
  <c i="18" r="AH9" s="1"/>
  <c i="18" r="AG11"/>
  <c i="18" r="AH11" s="1"/>
  <c i="18" r="AG4"/>
  <c i="18" r="AH4" s="1"/>
  <c i="18" r="AG6"/>
  <c i="18" r="AH6" s="1"/>
  <c i="18" r="AG14"/>
  <c i="18" r="AH14" s="1"/>
  <c i="18" r="AG13"/>
  <c i="18" r="AH13" s="1"/>
  <c i="18" r="AG8"/>
  <c i="18" r="AH8" s="1"/>
  <c i="18" r="AG18"/>
  <c i="18" r="AH18" s="1"/>
  <c i="18" r="AG15"/>
  <c i="18" r="AH15" s="1"/>
  <c i="18" r="AG19"/>
  <c i="18" r="AH19" s="1"/>
  <c i="18" r="AG12"/>
  <c i="18" r="AH12" s="1"/>
  <c i="18" r="AG22"/>
  <c i="18" r="AH22" s="1"/>
  <c i="12" r="X3"/>
  <c i="18" r="AG21"/>
  <c i="18" r="AH21" s="1"/>
  <c i="18" r="AG16"/>
  <c i="18" r="AH16" s="1"/>
  <c i="18" r="AG20"/>
  <c i="18" r="AH20" s="1"/>
  <c i="12" r="X69"/>
  <c i="12" r="X16"/>
  <c i="12" r="X29"/>
  <c i="12" r="X4"/>
  <c i="12" r="X5"/>
  <c i="12" r="P39"/>
  <c i="12" r="P38"/>
  <c i="12" l="1" r="W94"/>
  <c i="12" r="X94" s="1"/>
  <c i="12" r="W95"/>
  <c i="12" r="X95" s="1"/>
  <c i="18" r="CZ24"/>
  <c i="18" r="DA24" s="1"/>
  <c i="18" r="CV26"/>
  <c i="18" r="CY25"/>
  <c i="18" r="CX25"/>
  <c i="12" r="W91"/>
  <c i="12" r="X91" s="1"/>
  <c i="12" r="W92"/>
  <c i="12" r="X92" s="1"/>
  <c i="12" r="W86"/>
  <c i="12" r="X86" s="1"/>
  <c i="12" r="W76"/>
  <c i="12" r="X76" s="1"/>
  <c i="12" r="W88"/>
  <c i="12" r="X88" s="1"/>
  <c i="12" r="W79"/>
  <c i="12" r="X79" s="1"/>
  <c i="12" r="W81"/>
  <c i="12" r="X81" s="1"/>
  <c i="12" r="W85"/>
  <c i="12" r="X85" s="1"/>
  <c i="12" r="W74"/>
  <c i="12" r="X74" s="1"/>
  <c i="12" r="W84"/>
  <c i="12" r="X84" s="1"/>
  <c i="12" r="W82"/>
  <c i="12" r="X82" s="1"/>
  <c i="12" r="W77"/>
  <c i="12" r="X77" s="1"/>
  <c i="12" r="W93"/>
  <c i="12" r="X93" s="1"/>
  <c i="12" r="W75"/>
  <c i="12" r="X75" s="1"/>
  <c i="12" r="W89"/>
  <c i="12" r="X89" s="1"/>
  <c i="12" r="W80"/>
  <c i="12" r="X80" s="1"/>
  <c i="12" r="W87"/>
  <c i="12" r="X87" s="1"/>
  <c i="12" r="W90"/>
  <c i="12" r="X90" s="1"/>
  <c i="12" r="W78"/>
  <c i="12" r="X78" s="1"/>
  <c i="12" r="W83"/>
  <c i="12" r="X83" s="1"/>
  <c i="12" r="Q39"/>
  <c i="12" r="W12" s="1"/>
  <c i="12" r="Q38"/>
  <c i="12" r="W11" s="1"/>
  <c i="12" r="N15"/>
  <c i="12" r="N16"/>
  <c i="12" r="N31"/>
  <c i="12" r="I7"/>
  <c i="12" r="J7"/>
  <c i="12" r="I8"/>
  <c i="12" r="J8"/>
  <c i="12" r="I9"/>
  <c i="12" r="J9"/>
  <c i="12" r="H9"/>
  <c i="12" r="H8"/>
  <c i="12" r="H7"/>
  <c i="12" r="C8"/>
  <c i="12" r="D8"/>
  <c i="12" r="B8"/>
  <c i="12" r="D7"/>
  <c i="12" r="C7"/>
  <c i="18" l="1" r="CZ25"/>
  <c i="18" r="DA25" s="1"/>
  <c i="18" r="CV27"/>
  <c i="18" r="CY26"/>
  <c i="18" r="CX26"/>
  <c i="12" r="X11"/>
  <c i="12" r="X12"/>
  <c i="12" r="J10"/>
  <c i="12" r="J14" s="1"/>
  <c i="12" r="I10"/>
  <c i="12" r="I14" s="1"/>
  <c i="12" r="C10"/>
  <c i="12" r="C14" s="1"/>
  <c i="12" r="B10"/>
  <c i="12" r="B15" s="1"/>
  <c i="12" r="H10"/>
  <c i="12" r="H16" s="1"/>
  <c i="12" r="D10"/>
  <c i="12" r="D15" s="1"/>
  <c i="12" r="E8"/>
  <c i="12" r="E7"/>
  <c i="12" r="K7"/>
  <c i="12" r="K8"/>
  <c i="12" r="K9"/>
  <c i="12" r="E9"/>
  <c i="18" l="1" r="CV28"/>
  <c i="18" r="CY27"/>
  <c i="18" r="CX27"/>
  <c i="18" r="CZ26"/>
  <c i="18" r="DA26" s="1"/>
  <c i="12" r="J16"/>
  <c i="12" r="J15"/>
  <c i="12" r="D14"/>
  <c i="12" r="E10"/>
  <c i="12" r="E14" s="1"/>
  <c i="12" r="I16"/>
  <c i="12" r="H15"/>
  <c i="12" r="O15" s="1"/>
  <c i="12" r="D16"/>
  <c i="12" r="C15"/>
  <c i="12" r="B16"/>
  <c i="12" r="O16" s="1"/>
  <c i="12" r="H14"/>
  <c i="12" r="K10"/>
  <c i="12" r="K15" s="1"/>
  <c i="12" r="C16"/>
  <c i="12" r="B14"/>
  <c i="12" r="I15"/>
  <c i="12" l="1" r="B17"/>
  <c i="12" r="J17"/>
  <c i="18" r="CZ27"/>
  <c i="18" r="DA27" s="1"/>
  <c i="18" r="CV29"/>
  <c i="18" r="CY28"/>
  <c i="18" r="CX28"/>
  <c i="12" r="K16"/>
  <c i="12" r="I17"/>
  <c i="12" r="H17"/>
  <c i="12" r="O14"/>
  <c i="12" r="P14" s="1"/>
  <c i="12" r="E16"/>
  <c i="12" r="C17"/>
  <c i="12" r="K14"/>
  <c i="12" r="E15"/>
  <c i="12" r="D17"/>
  <c i="18" l="1" r="CV30"/>
  <c i="18" r="CY29"/>
  <c i="18" r="CX29"/>
  <c i="18" r="CZ28"/>
  <c i="18" r="DA28" s="1"/>
  <c i="12" r="E17"/>
  <c i="12" r="K17"/>
  <c i="12" r="P16"/>
  <c i="12" r="Q16" s="1"/>
  <c i="12" r="W10" s="1"/>
  <c i="12" r="P15"/>
  <c i="12" r="Q15" s="1"/>
  <c i="12" r="W9" s="1"/>
  <c i="12" r="Q14"/>
  <c i="12" r="W8" s="1"/>
  <c i="18" l="1" r="CZ29"/>
  <c i="18" r="DA29" s="1"/>
  <c i="18" r="CV31"/>
  <c i="18" r="CY30"/>
  <c i="18" r="CX30"/>
  <c i="12" r="X8"/>
  <c i="12" r="X9"/>
  <c i="12" r="X10"/>
  <c i="8" r="Q36"/>
  <c i="8" r="R25"/>
  <c i="8" r="P25"/>
  <c i="8" r="Q25"/>
  <c i="8" r="P14"/>
  <c i="8" r="R14"/>
  <c i="8" r="Q14"/>
  <c i="18" l="1" r="CZ30"/>
  <c i="18" r="DA30" s="1"/>
  <c i="18" r="CV32"/>
  <c i="18" r="CY31"/>
  <c i="18" r="CX31"/>
  <c i="8" r="P36"/>
  <c i="8" r="R36"/>
  <c i="8" r="L31"/>
  <c i="8" r="L32"/>
  <c i="8" r="L33"/>
  <c i="8" r="E8"/>
  <c i="8" r="E9"/>
  <c i="8" r="E10"/>
  <c i="8" r="E11"/>
  <c i="18" l="1" r="CV33"/>
  <c i="18" r="CY32"/>
  <c i="18" r="CX32"/>
  <c i="18" r="CZ31"/>
  <c i="18" r="DA31" s="1"/>
  <c i="8" r="E32"/>
  <c i="8" r="S10"/>
  <c i="8" r="E31"/>
  <c i="8" r="S31" s="1"/>
  <c i="8" r="S9"/>
  <c i="8" r="E33"/>
  <c i="8" r="S33" s="1"/>
  <c i="8" r="S11"/>
  <c i="8" r="E30"/>
  <c i="8" r="S8"/>
  <c i="8" r="S32"/>
  <c i="18" l="1" r="CZ32"/>
  <c i="18" r="DA32" s="1"/>
  <c i="18" r="CV34"/>
  <c i="18" r="CY33"/>
  <c i="18" r="CX33"/>
  <c i="4" r="E101"/>
  <c i="4" r="E100"/>
  <c i="4" r="E99"/>
  <c i="4" r="E98"/>
  <c i="4" r="E97"/>
  <c i="4" r="E96"/>
  <c i="4" r="E95"/>
  <c i="4" r="E94"/>
  <c i="4" r="E93"/>
  <c i="4" r="E92"/>
  <c i="4" r="E91"/>
  <c i="4" r="E90"/>
  <c i="4" r="E89"/>
  <c i="4" r="E88"/>
  <c i="4" r="E87"/>
  <c i="4" r="E86"/>
  <c i="4" r="E85"/>
  <c i="4" r="E84"/>
  <c i="4" r="E83"/>
  <c i="4" r="E82"/>
  <c i="4" r="E81"/>
  <c i="4" r="E80"/>
  <c i="4" r="E79"/>
  <c i="4" r="E78"/>
  <c i="4" r="E77"/>
  <c i="4" r="E76"/>
  <c i="4" r="E75"/>
  <c i="4" r="E74"/>
  <c i="4" r="E73"/>
  <c i="4" r="E72"/>
  <c i="4" r="E71"/>
  <c i="4" r="E70"/>
  <c i="4" r="E69"/>
  <c i="4" r="E68"/>
  <c i="4" r="E67"/>
  <c i="4" r="E66"/>
  <c i="4" r="E65"/>
  <c i="4" r="E64"/>
  <c i="4" r="E63"/>
  <c i="4" r="E62"/>
  <c i="4" r="E61"/>
  <c i="4" r="E60"/>
  <c i="4" r="E59"/>
  <c i="4" r="E58"/>
  <c i="4" r="E57"/>
  <c i="4" r="E56"/>
  <c i="4" r="E55"/>
  <c i="4" r="E54"/>
  <c i="4" r="E53"/>
  <c i="4" r="E52"/>
  <c i="4" r="E51"/>
  <c i="4" r="E50"/>
  <c i="4" r="E49"/>
  <c i="4" r="E48"/>
  <c i="4" r="E47"/>
  <c i="4" r="E46"/>
  <c i="4" r="E45"/>
  <c i="4" r="E44"/>
  <c i="4" r="E43"/>
  <c i="4" r="E42"/>
  <c i="4" r="E41"/>
  <c i="4" r="E40"/>
  <c i="4" r="E39"/>
  <c i="4" r="E38"/>
  <c i="4" r="E37"/>
  <c i="4" r="E36"/>
  <c i="4" r="E35"/>
  <c i="4" r="E34"/>
  <c i="4" r="E33"/>
  <c i="4" r="E32"/>
  <c i="4" r="E31"/>
  <c i="4" r="E30"/>
  <c i="4" r="E29"/>
  <c i="4" r="E28"/>
  <c i="4" r="E27"/>
  <c i="4" r="E26"/>
  <c i="4" r="E25"/>
  <c i="4" r="E24"/>
  <c i="4" r="E23"/>
  <c i="4" r="E22"/>
  <c i="4" r="E21"/>
  <c i="4" r="E20"/>
  <c i="4" r="E19"/>
  <c i="4" r="E18"/>
  <c i="4" r="E17"/>
  <c i="4" r="E16"/>
  <c i="4" r="E15"/>
  <c i="4" r="E14"/>
  <c i="4" r="E13"/>
  <c i="4" r="E12"/>
  <c i="4" r="E11"/>
  <c i="3" r="E100"/>
  <c i="3" r="E99"/>
  <c i="3" r="E98"/>
  <c i="3" r="E97"/>
  <c i="3" r="E96"/>
  <c i="3" r="E95"/>
  <c i="3" r="E94"/>
  <c i="3" r="E93"/>
  <c i="3" r="E92"/>
  <c i="3" r="E91"/>
  <c i="3" r="E90"/>
  <c i="3" r="E89"/>
  <c i="3" r="E88"/>
  <c i="3" r="E87"/>
  <c i="3" r="E86"/>
  <c i="3" r="E85"/>
  <c i="3" r="E84"/>
  <c i="3" r="E83"/>
  <c i="3" r="E82"/>
  <c i="3" r="E81"/>
  <c i="3" r="E80"/>
  <c i="3" r="E79"/>
  <c i="3" r="E78"/>
  <c i="3" r="E77"/>
  <c i="3" r="E76"/>
  <c i="3" r="E75"/>
  <c i="3" r="E74"/>
  <c i="3" r="E73"/>
  <c i="3" r="E72"/>
  <c i="3" r="E71"/>
  <c i="3" r="E70"/>
  <c i="3" r="E69"/>
  <c i="3" r="E68"/>
  <c i="3" r="E67"/>
  <c i="3" r="E66"/>
  <c i="3" r="E65"/>
  <c i="3" r="E64"/>
  <c i="3" r="E63"/>
  <c i="3" r="E62"/>
  <c i="3" r="E61"/>
  <c i="3" r="E60"/>
  <c i="3" r="E59"/>
  <c i="3" r="E58"/>
  <c i="3" r="E57"/>
  <c i="3" r="E56"/>
  <c i="3" r="E55"/>
  <c i="3" r="E54"/>
  <c i="3" r="E53"/>
  <c i="3" r="E52"/>
  <c i="3" r="E51"/>
  <c i="3" r="E50"/>
  <c i="3" r="E49"/>
  <c i="3" r="E48"/>
  <c i="3" r="E47"/>
  <c i="3" r="E46"/>
  <c i="3" r="E45"/>
  <c i="3" r="E44"/>
  <c i="3" r="E43"/>
  <c i="3" r="E42"/>
  <c i="3" r="E41"/>
  <c i="3" r="E40"/>
  <c i="3" r="E39"/>
  <c i="3" r="E38"/>
  <c i="3" r="E37"/>
  <c i="3" r="E36"/>
  <c i="3" r="E35"/>
  <c i="3" r="E34"/>
  <c i="3" r="E33"/>
  <c i="3" r="E32"/>
  <c i="3" r="E31"/>
  <c i="3" r="E30"/>
  <c i="3" r="E29"/>
  <c i="3" r="E28"/>
  <c i="3" r="E27"/>
  <c i="3" r="E26"/>
  <c i="3" r="E25"/>
  <c i="3" r="E24"/>
  <c i="3" r="E23"/>
  <c i="3" r="E22"/>
  <c i="3" r="E21"/>
  <c i="3" r="E20"/>
  <c i="3" r="E19"/>
  <c i="3" r="E18"/>
  <c i="3" r="E17"/>
  <c i="3" r="E16"/>
  <c i="3" r="E15"/>
  <c i="3" r="E14"/>
  <c i="3" r="E13"/>
  <c i="3" r="E12"/>
  <c i="3" r="E11"/>
  <c i="8" r="E12"/>
  <c i="12" r="B27"/>
  <c i="12" r="B32" s="1"/>
  <c i="8" r="P18"/>
  <c i="8" r="Q18"/>
  <c i="8" r="R18"/>
  <c i="3" l="1" r="F32"/>
  <c i="18" r="CZ33"/>
  <c i="18" r="DA33" s="1"/>
  <c i="18" r="CV35"/>
  <c i="18" r="CY34"/>
  <c i="18" r="CX34"/>
  <c i="3" r="F72"/>
  <c i="4" r="F23"/>
  <c i="4" r="F62"/>
  <c i="3" r="F73"/>
  <c i="3" r="F36"/>
  <c i="3" r="F41"/>
  <c i="3" r="F76"/>
  <c i="4" r="F64"/>
  <c i="3" r="F38"/>
  <c i="3" r="F83"/>
  <c i="3" r="F47"/>
  <c i="3" r="F74"/>
  <c i="3" r="F78"/>
  <c i="3" r="F48"/>
  <c i="3" r="F75"/>
  <c i="3" r="F39"/>
  <c i="3" r="F84"/>
  <c i="3" r="F13"/>
  <c i="3" r="F86"/>
  <c i="3" r="F55"/>
  <c i="3" r="F80"/>
  <c i="3" r="F45"/>
  <c i="3" r="F11"/>
  <c i="3" r="F101"/>
  <c i="3" r="F54"/>
  <c i="3" r="F16"/>
  <c i="3" r="F77"/>
  <c i="3" r="F81"/>
  <c i="3" r="F49"/>
  <c i="3" r="F15"/>
  <c i="3" r="F18"/>
  <c i="3" r="F87"/>
  <c i="3" r="F61"/>
  <c i="3" r="F37"/>
  <c i="3" r="F82"/>
  <c i="3" r="F88"/>
  <c i="3" r="F92"/>
  <c i="3" r="F57"/>
  <c i="3" r="F93"/>
  <c i="3" r="F97"/>
  <c i="3" r="F63"/>
  <c i="3" r="F44"/>
  <c i="3" r="F89"/>
  <c i="3" r="F52"/>
  <c i="3" r="F95"/>
  <c i="3" r="F98"/>
  <c i="3" r="F24"/>
  <c i="3" r="F20"/>
  <c i="3" r="F65"/>
  <c i="3" r="F33"/>
  <c i="3" r="F35"/>
  <c i="3" r="F79"/>
  <c i="3" r="F58"/>
  <c i="3" r="F66"/>
  <c i="4" r="F25"/>
  <c i="3" r="F50"/>
  <c i="3" r="F12"/>
  <c i="3" r="F19"/>
  <c i="3" r="F60"/>
  <c i="3" r="F62"/>
  <c i="3" r="F67"/>
  <c i="3" r="F34"/>
  <c i="3" r="F40"/>
  <c i="3" r="F85"/>
  <c i="3" r="F51"/>
  <c i="3" r="F17"/>
  <c i="3" r="F100"/>
  <c i="3" r="F28"/>
  <c i="3" r="F68"/>
  <c i="3" r="F43"/>
  <c i="3" r="F46"/>
  <c i="3" r="F91"/>
  <c i="3" r="F94"/>
  <c i="3" r="F56"/>
  <c i="3" r="F22"/>
  <c i="3" r="F64"/>
  <c i="3" r="F29"/>
  <c i="3" r="F69"/>
  <c i="3" r="F42"/>
  <c i="3" r="F90"/>
  <c i="3" r="F53"/>
  <c i="3" r="F96"/>
  <c i="3" r="F99"/>
  <c i="3" r="F26"/>
  <c i="3" r="F70"/>
  <c i="3" r="F14"/>
  <c i="3" r="F59"/>
  <c i="3" r="F21"/>
  <c i="3" r="F23"/>
  <c i="3" r="F25"/>
  <c i="3" r="F27"/>
  <c i="3" r="F30"/>
  <c i="3" r="F31"/>
  <c i="3" r="F71"/>
  <c i="4" r="F85"/>
  <c i="4" r="F65"/>
  <c i="4" r="F70"/>
  <c i="4" r="F86"/>
  <c i="4" r="F26"/>
  <c i="4" r="F61"/>
  <c i="4" r="F31"/>
  <c i="4" r="F67"/>
  <c i="4" r="F29"/>
  <c i="4" r="F33"/>
  <c i="4" r="F46"/>
  <c i="4" r="F28"/>
  <c i="4" r="F30"/>
  <c i="4" r="F71"/>
  <c i="8" r="E34"/>
  <c i="8" r="S12"/>
  <c i="8" r="E14"/>
  <c i="8" r="E36" s="1"/>
  <c i="4" r="F72"/>
  <c i="4" r="F41"/>
  <c i="4" r="F63"/>
  <c i="4" r="F73"/>
  <c i="4" r="F38"/>
  <c i="4" r="F24"/>
  <c i="4" r="F27"/>
  <c i="4" r="F40"/>
  <c i="4" r="F66"/>
  <c i="4" r="F74"/>
  <c i="4" r="F39"/>
  <c i="4" r="F21"/>
  <c i="4" r="F32"/>
  <c i="4" r="F91"/>
  <c i="4" r="F53"/>
  <c i="4" r="F93"/>
  <c i="4" r="F36"/>
  <c i="4" r="F98"/>
  <c i="4" r="F69"/>
  <c i="4" r="F77"/>
  <c i="4" r="F75"/>
  <c i="4" r="F45"/>
  <c i="4" r="F54"/>
  <c i="4" r="F59"/>
  <c i="4" r="F90"/>
  <c i="4" r="F37"/>
  <c i="4" r="F35"/>
  <c i="4" r="F55"/>
  <c i="4" r="F43"/>
  <c i="4" r="F49"/>
  <c i="4" r="F11"/>
  <c i="4" r="F16"/>
  <c i="4" r="F100"/>
  <c i="4" r="F57"/>
  <c i="4" r="F83"/>
  <c i="4" r="F99"/>
  <c i="4" r="F51"/>
  <c i="4" r="F48"/>
  <c i="4" r="F87"/>
  <c i="4" r="F76"/>
  <c i="4" r="F52"/>
  <c i="4" r="F13"/>
  <c i="4" r="F79"/>
  <c i="4" r="F56"/>
  <c i="4" r="F42"/>
  <c i="4" r="F95"/>
  <c i="4" r="F15"/>
  <c i="4" r="F20"/>
  <c i="4" r="F88"/>
  <c i="4" r="F58"/>
  <c i="4" r="F92"/>
  <c i="4" r="F78"/>
  <c i="4" r="F47"/>
  <c i="4" r="F68"/>
  <c i="4" r="F18"/>
  <c i="4" r="F89"/>
  <c i="4" r="F82"/>
  <c i="4" r="F97"/>
  <c i="4" r="F19"/>
  <c i="4" r="F44"/>
  <c i="4" r="F17"/>
  <c i="4" r="F94"/>
  <c i="4" r="F14"/>
  <c i="4" r="F84"/>
  <c i="4" r="F101"/>
  <c i="4" r="F12"/>
  <c i="4" r="F50"/>
  <c i="4" r="F96"/>
  <c i="4" r="F81"/>
  <c i="4" r="F34"/>
  <c i="4" r="F60"/>
  <c i="4" r="F80"/>
  <c i="4" r="F22"/>
  <c i="18" l="1" r="CZ34"/>
  <c i="18" r="DA34" s="1"/>
  <c i="18" r="CV36"/>
  <c i="18" r="CX35"/>
  <c i="18" r="CY35"/>
  <c i="12" r="B26"/>
  <c i="12" r="B31" s="1"/>
  <c i="8" r="L18"/>
  <c i="8" r="S18" s="1"/>
  <c i="8" r="L30"/>
  <c i="8" r="S30" s="1"/>
  <c i="8" r="L34"/>
  <c i="8" r="L7"/>
  <c i="8" r="L14" s="1"/>
  <c i="18" l="1" r="CZ35"/>
  <c i="18" r="DA35" s="1"/>
  <c i="18" r="CV37"/>
  <c i="18" r="CY36"/>
  <c i="18" r="CX36"/>
  <c i="8" r="S7"/>
  <c i="8" r="S34"/>
  <c i="8" r="L25"/>
  <c i="12" r="C27" s="1"/>
  <c i="12" r="C32" s="1"/>
  <c i="8" r="L29"/>
  <c i="8" r="S29" s="1"/>
  <c i="12" r="C26"/>
  <c i="12" r="D31" s="1"/>
  <c i="8" r="S14"/>
  <c i="18" l="1" r="CZ36"/>
  <c i="18" r="DA36" s="1"/>
  <c i="18" r="CV38"/>
  <c i="18" r="CX37"/>
  <c i="18" r="CY37"/>
  <c i="8" r="L36"/>
  <c i="8" r="S36" s="1"/>
  <c i="8" r="S25"/>
  <c i="12" r="C31"/>
  <c i="10" r="B11"/>
  <c i="10" r="I22"/>
  <c i="10" r="J22"/>
  <c i="10" r="H22"/>
  <c i="10" r="C22"/>
  <c i="10" r="D22"/>
  <c i="10" r="B22"/>
  <c i="10" r="I21"/>
  <c i="10" r="J21"/>
  <c i="10" r="H21"/>
  <c i="10" r="C21"/>
  <c i="10" r="D21"/>
  <c i="10" r="B21"/>
  <c i="10" r="I20"/>
  <c i="10" r="J20"/>
  <c i="10" r="H20"/>
  <c i="10" r="C20"/>
  <c i="10" r="D20"/>
  <c i="10" r="B20"/>
  <c i="10" r="I19"/>
  <c i="10" r="J19"/>
  <c i="10" r="H19"/>
  <c i="10" r="C19"/>
  <c i="10" r="D19"/>
  <c i="10" r="B19"/>
  <c i="10" r="I18"/>
  <c i="10" r="J18"/>
  <c i="10" r="H18"/>
  <c i="10" r="C18"/>
  <c i="10" r="D18"/>
  <c i="10" r="B18"/>
  <c i="10" r="I17"/>
  <c i="10" r="J17"/>
  <c i="10" r="H17"/>
  <c i="10" r="C17"/>
  <c i="10" r="D17"/>
  <c i="10" r="B17"/>
  <c i="10" r="I16"/>
  <c i="10" r="J16"/>
  <c i="10" r="H16"/>
  <c i="10" r="C16"/>
  <c i="10" r="D16"/>
  <c i="10" r="B16"/>
  <c i="10" r="I15"/>
  <c i="10" r="J15"/>
  <c i="10" r="H15"/>
  <c i="10" r="C15"/>
  <c i="10" r="D15"/>
  <c i="10" r="B15"/>
  <c i="10" r="I14"/>
  <c i="10" r="J14"/>
  <c i="10" r="H14"/>
  <c i="10" r="C14"/>
  <c i="10" r="D14"/>
  <c i="10" r="B14"/>
  <c i="10" r="I13"/>
  <c i="10" r="J13"/>
  <c i="10" r="H13"/>
  <c i="10" r="C13"/>
  <c i="10" r="D13"/>
  <c i="10" r="B13"/>
  <c i="10" r="I12"/>
  <c i="10" r="J12"/>
  <c i="10" r="H12"/>
  <c i="10" r="C12"/>
  <c i="10" r="D12"/>
  <c i="10" r="B12"/>
  <c i="10" r="I11"/>
  <c i="10" r="J11"/>
  <c i="10" r="D11"/>
  <c i="10" r="C11"/>
  <c i="8" r="P29"/>
  <c i="4" r="K101"/>
  <c i="4" r="K95"/>
  <c i="4" r="K96"/>
  <c i="4" r="K97"/>
  <c i="4" r="K98"/>
  <c i="4" r="K99"/>
  <c i="4" r="K100"/>
  <c i="4" r="K12"/>
  <c i="4" r="K13"/>
  <c i="4" r="K14"/>
  <c i="4" r="K15"/>
  <c i="4" r="K16"/>
  <c i="4" r="K17"/>
  <c i="4" r="K18"/>
  <c i="4" r="K19"/>
  <c i="4" r="K20"/>
  <c i="4" r="K21"/>
  <c i="4" r="K22"/>
  <c i="4" r="K23"/>
  <c i="4" r="K24"/>
  <c i="4" r="K25"/>
  <c i="4" r="K26"/>
  <c i="4" r="K27"/>
  <c i="4" r="K28"/>
  <c i="4" r="K29"/>
  <c i="4" r="K30"/>
  <c i="4" r="K31"/>
  <c i="4" r="K32"/>
  <c i="4" r="K33"/>
  <c i="4" r="K34"/>
  <c i="4" r="K35"/>
  <c i="4" r="K36"/>
  <c i="4" r="K37"/>
  <c i="4" r="K38"/>
  <c i="4" r="K39"/>
  <c i="4" r="K40"/>
  <c i="4" r="K41"/>
  <c i="4" r="K42"/>
  <c i="4" r="K43"/>
  <c i="4" r="K44"/>
  <c i="4" r="K45"/>
  <c i="4" r="K46"/>
  <c i="4" r="K47"/>
  <c i="4" r="K48"/>
  <c i="4" r="K49"/>
  <c i="4" r="K50"/>
  <c i="4" r="K51"/>
  <c i="4" r="K52"/>
  <c i="4" r="K53"/>
  <c i="4" r="K54"/>
  <c i="4" r="K55"/>
  <c i="4" r="K56"/>
  <c i="4" r="K57"/>
  <c i="4" r="K58"/>
  <c i="4" r="K59"/>
  <c i="4" r="K60"/>
  <c i="4" r="K61"/>
  <c i="4" r="K62"/>
  <c i="4" r="K63"/>
  <c i="4" r="K64"/>
  <c i="4" r="K65"/>
  <c i="4" r="K66"/>
  <c i="4" r="K67"/>
  <c i="4" r="K68"/>
  <c i="4" r="K69"/>
  <c i="4" r="K70"/>
  <c i="4" r="K71"/>
  <c i="4" r="K72"/>
  <c i="4" r="K73"/>
  <c i="4" r="K74"/>
  <c i="4" r="K75"/>
  <c i="4" r="K76"/>
  <c i="4" r="K77"/>
  <c i="4" r="K78"/>
  <c i="4" r="K79"/>
  <c i="4" r="K80"/>
  <c i="4" r="K81"/>
  <c i="4" r="K82"/>
  <c i="4" r="K83"/>
  <c i="4" r="K84"/>
  <c i="4" r="K85"/>
  <c i="4" r="K86"/>
  <c i="4" r="K87"/>
  <c i="4" r="K88"/>
  <c i="4" r="K89"/>
  <c i="4" r="K90"/>
  <c i="4" r="K91"/>
  <c i="4" r="K92"/>
  <c i="4" r="K93"/>
  <c i="4" r="K94"/>
  <c i="4" r="K11"/>
  <c i="3" r="K12"/>
  <c i="3" r="K13"/>
  <c i="3" r="K14"/>
  <c i="3" r="K15"/>
  <c i="3" r="K16"/>
  <c i="3" r="K17"/>
  <c i="3" r="K18"/>
  <c i="3" r="K19"/>
  <c i="3" r="K20"/>
  <c i="3" r="K21"/>
  <c i="3" r="K22"/>
  <c i="3" r="K23"/>
  <c i="3" r="K24"/>
  <c i="3" r="K25"/>
  <c i="3" r="K26"/>
  <c i="3" r="K27"/>
  <c i="3" r="K28"/>
  <c i="3" r="K29"/>
  <c i="3" r="K30"/>
  <c i="3" r="K31"/>
  <c i="3" r="K32"/>
  <c i="3" r="K33"/>
  <c i="3" r="K34"/>
  <c i="3" r="K35"/>
  <c i="3" r="K36"/>
  <c i="3" r="K37"/>
  <c i="3" r="K38"/>
  <c i="3" r="K39"/>
  <c i="3" r="K40"/>
  <c i="3" r="K41"/>
  <c i="3" r="K42"/>
  <c i="3" r="K43"/>
  <c i="3" r="K44"/>
  <c i="3" r="K45"/>
  <c i="3" r="K46"/>
  <c i="3" r="K47"/>
  <c i="3" r="K48"/>
  <c i="3" r="K49"/>
  <c i="3" r="K50"/>
  <c i="3" r="K51"/>
  <c i="3" r="K52"/>
  <c i="3" r="K53"/>
  <c i="3" r="K54"/>
  <c i="3" r="K55"/>
  <c i="3" r="K56"/>
  <c i="3" r="K57"/>
  <c i="3" r="K58"/>
  <c i="3" r="K59"/>
  <c i="3" r="K60"/>
  <c i="3" r="K61"/>
  <c i="3" r="K62"/>
  <c i="3" r="K63"/>
  <c i="3" r="K64"/>
  <c i="3" r="K65"/>
  <c i="3" r="K66"/>
  <c i="3" r="K67"/>
  <c i="3" r="K68"/>
  <c i="3" r="K69"/>
  <c i="3" r="K70"/>
  <c i="3" r="K71"/>
  <c i="3" r="K72"/>
  <c i="3" r="K73"/>
  <c i="3" r="K74"/>
  <c i="3" r="K75"/>
  <c i="3" r="K76"/>
  <c i="3" r="K77"/>
  <c i="3" r="K78"/>
  <c i="3" r="K79"/>
  <c i="3" r="K80"/>
  <c i="3" r="K81"/>
  <c i="3" r="K82"/>
  <c i="3" r="K83"/>
  <c i="3" r="K84"/>
  <c i="3" r="K85"/>
  <c i="3" r="K86"/>
  <c i="3" r="K87"/>
  <c i="3" r="K88"/>
  <c i="3" r="K89"/>
  <c i="3" r="K90"/>
  <c i="3" r="K91"/>
  <c i="3" r="K92"/>
  <c i="3" r="K93"/>
  <c i="3" r="K94"/>
  <c i="3" r="K95"/>
  <c i="3" r="K96"/>
  <c i="3" r="K97"/>
  <c i="3" r="K98"/>
  <c i="3" r="K99"/>
  <c i="3" r="K100"/>
  <c i="3" r="K101"/>
  <c i="3" r="K11"/>
  <c i="12" l="1" r="O31"/>
  <c i="12" r="J31"/>
  <c i="12" r="O26" s="1"/>
  <c i="12" r="P26" s="1"/>
  <c i="12" r="Q26" s="1"/>
  <c i="18" r="CZ37"/>
  <c i="18" r="DA37" s="1"/>
  <c i="18" r="CV39"/>
  <c i="18" r="CX38"/>
  <c i="18" r="CY38"/>
  <c i="10" r="D23"/>
  <c i="10" r="D39" s="1"/>
  <c i="10" r="H23"/>
  <c i="10" r="H30" s="1"/>
  <c i="10" r="J23"/>
  <c i="10" r="J39" s="1"/>
  <c i="10" r="I23"/>
  <c i="10" r="I39" s="1"/>
  <c i="10" r="B23"/>
  <c i="10" r="B39" s="1"/>
  <c i="10" r="C23"/>
  <c i="10" r="C39" s="1"/>
  <c i="3" r="L84"/>
  <c i="3" r="L42"/>
  <c i="3" r="L44"/>
  <c i="3" r="L80"/>
  <c i="3" r="L81"/>
  <c i="3" r="L40"/>
  <c i="3" r="L82"/>
  <c i="3" r="L67"/>
  <c i="3" r="L11"/>
  <c i="3" r="L65"/>
  <c i="3" r="L43"/>
  <c i="3" r="L77"/>
  <c i="3" r="L26"/>
  <c i="3" r="L99"/>
  <c i="3" r="L32"/>
  <c i="3" r="L30"/>
  <c i="3" r="L24"/>
  <c i="3" r="L62"/>
  <c i="3" r="L18"/>
  <c i="3" r="L73"/>
  <c i="3" r="L31"/>
  <c i="3" r="L69"/>
  <c i="3" r="L59"/>
  <c i="3" r="L23"/>
  <c i="3" r="L41"/>
  <c i="3" r="L22"/>
  <c i="3" r="L95"/>
  <c i="3" r="L36"/>
  <c i="3" r="L66"/>
  <c i="3" r="L64"/>
  <c i="3" r="L100"/>
  <c i="3" r="L54"/>
  <c i="3" r="L76"/>
  <c i="3" r="L56"/>
  <c i="3" r="L13"/>
  <c i="3" r="L78"/>
  <c i="3" r="L20"/>
  <c i="3" r="L58"/>
  <c i="3" r="L16"/>
  <c i="3" r="L12"/>
  <c i="3" r="L72"/>
  <c i="3" r="L28"/>
  <c i="3" r="L101"/>
  <c i="3" r="L60"/>
  <c i="3" r="L98"/>
  <c i="3" r="L97"/>
  <c i="3" r="L14"/>
  <c i="3" r="L51"/>
  <c i="3" r="L38"/>
  <c i="3" r="L37"/>
  <c i="3" r="L50"/>
  <c i="3" r="L83"/>
  <c i="3" r="L39"/>
  <c i="3" r="L75"/>
  <c i="3" r="L34"/>
  <c i="3" r="L71"/>
  <c i="3" r="L96"/>
  <c i="3" r="L55"/>
  <c i="3" r="L53"/>
  <c i="3" r="L89"/>
  <c i="3" r="L49"/>
  <c i="3" r="L70"/>
  <c i="3" r="L27"/>
  <c i="3" r="L61"/>
  <c i="3" r="L19"/>
  <c i="3" r="L57"/>
  <c i="3" r="L15"/>
  <c i="3" r="L92"/>
  <c i="3" r="L48"/>
  <c i="3" r="L79"/>
  <c i="3" r="L63"/>
  <c i="3" r="L94"/>
  <c i="3" r="L93"/>
  <c i="3" r="L90"/>
  <c i="3" r="L87"/>
  <c i="3" r="L47"/>
  <c i="3" r="L35"/>
  <c i="3" r="L74"/>
  <c i="3" r="L33"/>
  <c i="3" r="L29"/>
  <c i="3" r="L21"/>
  <c i="3" r="L91"/>
  <c i="3" r="L86"/>
  <c i="3" r="L46"/>
  <c i="3" r="L68"/>
  <c i="3" r="L25"/>
  <c i="3" r="L17"/>
  <c i="3" r="L52"/>
  <c i="3" r="L88"/>
  <c i="3" r="L85"/>
  <c i="3" r="L45"/>
  <c i="4" r="L42"/>
  <c i="4" r="L66"/>
  <c i="4" r="L90"/>
  <c i="4" r="L18"/>
  <c i="4" r="L40"/>
  <c i="4" r="L61"/>
  <c i="4" r="L37"/>
  <c i="4" r="L13"/>
  <c i="4" r="L16"/>
  <c i="4" r="L60"/>
  <c i="4" r="L36"/>
  <c i="4" r="L12"/>
  <c i="4" r="L89"/>
  <c i="4" r="L88"/>
  <c i="4" r="L38"/>
  <c i="4" r="L59"/>
  <c i="4" r="L35"/>
  <c i="4" r="L100"/>
  <c i="4" r="L82"/>
  <c i="4" r="L58"/>
  <c i="4" r="L34"/>
  <c i="4" r="L99"/>
  <c i="4" r="L81"/>
  <c i="4" r="L57"/>
  <c i="4" r="L33"/>
  <c i="4" r="L98"/>
  <c i="4" r="L80"/>
  <c i="4" r="L56"/>
  <c i="4" r="L32"/>
  <c i="4" r="L97"/>
  <c i="4" r="L65"/>
  <c i="4" r="L15"/>
  <c i="4" r="L83"/>
  <c i="4" r="L79"/>
  <c i="4" r="L55"/>
  <c i="4" r="L31"/>
  <c i="4" r="L96"/>
  <c i="4" r="L62"/>
  <c i="4" r="L78"/>
  <c i="4" r="L54"/>
  <c i="4" r="L30"/>
  <c i="4" r="L95"/>
  <c i="4" r="L17"/>
  <c i="4" r="L14"/>
  <c i="4" r="L77"/>
  <c i="4" r="L53"/>
  <c i="4" r="L29"/>
  <c i="10" r="K22"/>
  <c i="4" r="L101"/>
  <c i="4" r="L76"/>
  <c i="4" r="L52"/>
  <c i="4" r="L28"/>
  <c i="4" r="L39"/>
  <c i="4" r="L75"/>
  <c i="4" r="L51"/>
  <c i="4" r="L27"/>
  <c i="4" r="L74"/>
  <c i="4" r="L50"/>
  <c i="4" r="L26"/>
  <c i="4" r="L73"/>
  <c i="4" r="L49"/>
  <c i="4" r="L25"/>
  <c i="4" r="L85"/>
  <c i="4" r="L72"/>
  <c i="4" r="L48"/>
  <c i="4" r="L24"/>
  <c i="4" r="L87"/>
  <c i="4" r="L84"/>
  <c i="4" r="L11"/>
  <c i="4" r="L71"/>
  <c i="4" r="L47"/>
  <c i="4" r="L23"/>
  <c i="4" r="L63"/>
  <c i="4" r="L94"/>
  <c i="4" r="L70"/>
  <c i="4" r="L46"/>
  <c i="4" r="L22"/>
  <c i="4" r="L64"/>
  <c i="4" r="L86"/>
  <c i="4" r="L93"/>
  <c i="4" r="L69"/>
  <c i="4" r="L45"/>
  <c i="4" r="L21"/>
  <c i="4" r="L92"/>
  <c i="4" r="L68"/>
  <c i="4" r="L44"/>
  <c i="4" r="L20"/>
  <c i="4" r="L41"/>
  <c i="4" r="L91"/>
  <c i="4" r="L67"/>
  <c i="4" r="L43"/>
  <c i="4" r="L19"/>
  <c i="12" r="P31"/>
  <c i="12" r="Q31" s="1"/>
  <c i="12" r="W39" s="1"/>
  <c i="10" r="K11"/>
  <c i="10" r="K15"/>
  <c i="10" r="K21"/>
  <c i="10" r="K19"/>
  <c i="10" r="K20"/>
  <c i="10" r="K17"/>
  <c i="10" r="K16"/>
  <c i="10" r="K13"/>
  <c i="10" r="K12"/>
  <c i="10" r="K18"/>
  <c i="10" r="K14"/>
  <c i="10" r="E22"/>
  <c i="10" l="1" r="J28"/>
  <c i="10" r="J32"/>
  <c i="10" r="J30"/>
  <c i="10" r="I29"/>
  <c i="18" r="CZ38"/>
  <c i="18" r="DA38" s="1"/>
  <c i="10" r="B29"/>
  <c i="10" r="D32"/>
  <c i="10" r="J38"/>
  <c i="10" r="J35"/>
  <c i="10" r="D31"/>
  <c i="10" r="D33"/>
  <c i="10" r="D30"/>
  <c i="18" r="CV40"/>
  <c i="18" r="CX39"/>
  <c i="18" r="CY39"/>
  <c i="10" r="I28"/>
  <c i="10" r="D29"/>
  <c i="10" r="D35"/>
  <c i="10" r="D37"/>
  <c i="10" r="D36"/>
  <c i="10" r="J31"/>
  <c i="10" r="C27"/>
  <c i="10" r="D28"/>
  <c i="10" r="B27"/>
  <c i="10" r="B38"/>
  <c i="10" r="C31"/>
  <c i="10" r="B31"/>
  <c i="10" r="C29"/>
  <c i="10" r="I34"/>
  <c i="10" r="I33"/>
  <c i="10" r="I37"/>
  <c i="10" r="I35"/>
  <c i="10" r="J37"/>
  <c i="10" r="J29"/>
  <c i="10" r="J34"/>
  <c i="10" r="J36"/>
  <c i="10" r="D27"/>
  <c i="10" r="I32"/>
  <c i="10" r="H39"/>
  <c i="10" r="H27"/>
  <c i="10" r="H37"/>
  <c i="10" r="H31"/>
  <c i="10" r="H36"/>
  <c i="10" r="H34"/>
  <c i="10" r="C37"/>
  <c i="10" r="B28"/>
  <c i="10" r="I38"/>
  <c i="10" r="B35"/>
  <c i="10" r="B32"/>
  <c i="10" r="H35"/>
  <c i="10" r="B37"/>
  <c i="10" r="C34"/>
  <c i="10" r="H38"/>
  <c i="10" r="I31"/>
  <c i="10" r="I36"/>
  <c i="10" r="C30"/>
  <c i="10" r="H33"/>
  <c i="10" r="C36"/>
  <c i="10" r="H28"/>
  <c i="10" r="C28"/>
  <c i="10" r="C35"/>
  <c i="10" r="H29"/>
  <c i="10" r="I27"/>
  <c i="10" r="C38"/>
  <c i="10" r="H32"/>
  <c i="10" r="C32"/>
  <c i="10" r="B30"/>
  <c i="10" r="I30"/>
  <c i="10" r="B33"/>
  <c i="10" r="B36"/>
  <c i="10" r="C33"/>
  <c i="10" r="K23"/>
  <c i="10" r="K39" s="1"/>
  <c i="10" r="B34"/>
  <c i="10" r="J27"/>
  <c i="10" r="J33"/>
  <c i="10" r="D38"/>
  <c i="10" r="D34"/>
  <c i="12" r="X39"/>
  <c i="10" r="E21"/>
  <c i="10" r="E19"/>
  <c i="10" r="E15"/>
  <c i="10" r="E20"/>
  <c i="10" r="E16"/>
  <c i="10" r="E12"/>
  <c i="10" r="E11"/>
  <c i="10" r="E17"/>
  <c i="10" r="E13"/>
  <c i="10" r="E18"/>
  <c i="10" r="E14"/>
  <c i="10" l="1" r="K30"/>
  <c i="18" r="CZ39"/>
  <c i="18" r="DA39" s="1"/>
  <c i="10" r="K28"/>
  <c i="10" r="K29"/>
  <c i="18" r="CV41"/>
  <c i="18" r="CX40"/>
  <c i="18" r="CY40"/>
  <c i="10" r="K31"/>
  <c i="10" r="K35"/>
  <c i="10" r="K38"/>
  <c i="10" r="K34"/>
  <c i="10" r="K36"/>
  <c i="10" r="K27"/>
  <c i="10" r="K33"/>
  <c i="10" r="K32"/>
  <c i="10" r="E23"/>
  <c i="10" r="K37"/>
  <c i="18" l="1" r="CZ40"/>
  <c i="18" r="DA40" s="1"/>
  <c i="18" r="CV42"/>
  <c i="18" r="CY41"/>
  <c i="18" r="CX41"/>
  <c i="10" r="E39"/>
  <c i="10" r="E38"/>
  <c i="10" r="E27"/>
  <c i="10" r="E32"/>
  <c i="10" r="E37"/>
  <c i="10" r="E34"/>
  <c i="10" r="E28"/>
  <c i="10" r="E29"/>
  <c i="10" r="E31"/>
  <c i="10" r="E30"/>
  <c i="10" r="E35"/>
  <c i="10" r="E33"/>
  <c i="10" r="E36"/>
  <c i="18" l="1" r="CZ41"/>
  <c i="18" r="DA41" s="1"/>
  <c i="18" r="CV43"/>
  <c i="18" r="CY42"/>
  <c i="18" r="CX42"/>
  <c i="18" l="1" r="CZ42"/>
  <c i="18" r="DA42" s="1"/>
  <c i="18" r="CV44"/>
  <c i="18" r="CY43"/>
  <c i="18" r="CX43"/>
  <c i="18" l="1" r="CZ43"/>
  <c i="18" r="DA43" s="1"/>
  <c i="18" r="CV45"/>
  <c i="18" r="CY44"/>
  <c i="18" r="CX44"/>
  <c i="18" l="1" r="CV46"/>
  <c i="18" r="CY45"/>
  <c i="18" r="CX45"/>
  <c i="18" r="CZ44"/>
  <c i="18" r="DA44" s="1"/>
  <c i="18" l="1" r="CZ45"/>
  <c i="18" r="DA45" s="1"/>
  <c i="18" r="CV47"/>
  <c i="18" r="CY46"/>
  <c i="18" r="CX46"/>
  <c i="18" l="1" r="CV48"/>
  <c i="18" r="CY47"/>
  <c i="18" r="CX47"/>
  <c i="18" r="CZ46"/>
  <c i="18" r="DA46" s="1"/>
  <c i="18" l="1" r="CZ47"/>
  <c i="18" r="DA47" s="1"/>
  <c i="18" r="CV49"/>
  <c i="18" r="CY48"/>
  <c i="18" r="CX48"/>
  <c i="18" l="1" r="CZ48"/>
  <c i="18" r="DA48" s="1"/>
  <c i="18" r="CV50"/>
  <c i="18" r="CY49"/>
  <c i="18" r="CX49"/>
  <c i="18" l="1" r="CZ49"/>
  <c i="18" r="DA49" s="1"/>
  <c i="18" r="CV51"/>
  <c i="18" r="CY50"/>
  <c i="18" r="CX50"/>
  <c i="18" l="1" r="CZ50"/>
  <c i="18" r="DA50" s="1"/>
  <c i="18" r="CV52"/>
  <c i="18" r="CY51"/>
  <c i="18" r="CX51"/>
  <c i="18" l="1" r="CZ51"/>
  <c i="18" r="DA51" s="1"/>
  <c i="18" r="CV53"/>
  <c i="18" r="CY52"/>
  <c i="18" r="CX52"/>
  <c i="18" l="1" r="CZ52"/>
  <c i="18" r="DA52" s="1"/>
  <c i="18" r="CV54"/>
  <c i="18" r="CY53"/>
  <c i="18" r="CX53"/>
  <c i="18" l="1" r="CZ53"/>
  <c i="18" r="DA53" s="1"/>
  <c i="18" r="CV55"/>
  <c i="18" r="CY54"/>
  <c i="18" r="CX54"/>
  <c i="18" l="1" r="CZ54"/>
  <c i="18" r="DA54" s="1"/>
  <c i="18" r="CV56"/>
  <c i="18" r="CX55"/>
  <c i="18" r="CY55"/>
  <c i="18" l="1" r="CZ55"/>
  <c i="18" r="DA55" s="1"/>
  <c i="18" r="CV57"/>
  <c i="18" r="CY56"/>
  <c i="18" r="CX56"/>
  <c i="18" l="1" r="CZ56"/>
  <c i="18" r="DA56" s="1"/>
  <c i="18" r="CV58"/>
  <c i="18" r="CY57"/>
  <c i="18" r="CX57"/>
  <c i="18" l="1" r="CZ57"/>
  <c i="18" r="DA57" s="1"/>
  <c i="18" r="CV59"/>
  <c i="18" r="CX58"/>
  <c i="18" r="CY58"/>
  <c i="18" l="1" r="CZ58"/>
  <c i="18" r="DA58" s="1"/>
  <c i="18" r="CV60"/>
  <c i="18" r="CY59"/>
  <c i="18" r="CX59"/>
  <c i="18" l="1" r="CZ59"/>
  <c i="18" r="DA59" s="1"/>
  <c i="18" r="CV61"/>
  <c i="18" r="CY60"/>
  <c i="18" r="CX60"/>
  <c i="18" l="1" r="CZ60"/>
  <c i="18" r="DA60" s="1"/>
  <c i="18" r="CV62"/>
  <c i="18" r="CY61"/>
  <c i="18" r="CX61"/>
  <c i="18" l="1" r="CZ61"/>
  <c i="18" r="DA61" s="1"/>
  <c i="18" r="CV63"/>
  <c i="18" r="CY62"/>
  <c i="18" r="CX62"/>
  <c i="18" l="1" r="CZ62"/>
  <c i="18" r="DA62" s="1"/>
  <c i="18" r="CV64"/>
  <c i="18" r="CY63"/>
  <c i="18" r="CX63"/>
  <c i="18" l="1" r="CZ63"/>
  <c i="18" r="DA63" s="1"/>
  <c i="18" r="CV65"/>
  <c i="18" r="CY64"/>
  <c i="18" r="CX64"/>
  <c i="18" l="1" r="CZ64"/>
  <c i="18" r="DA64" s="1"/>
  <c i="18" r="CV66"/>
  <c i="18" r="CY65"/>
  <c i="18" r="CX65"/>
  <c i="18" l="1" r="CZ65"/>
  <c i="18" r="DA65" s="1"/>
  <c i="18" r="CV67"/>
  <c i="18" r="CY66"/>
  <c i="18" r="CX66"/>
  <c i="18" l="1" r="CZ66"/>
  <c i="18" r="DA66" s="1"/>
  <c i="18" r="CV68"/>
  <c i="18" r="CY67"/>
  <c i="18" r="CX67"/>
  <c i="18" l="1" r="CV69"/>
  <c i="18" r="CY68"/>
  <c i="18" r="CX68"/>
  <c i="18" r="CZ67"/>
  <c i="18" r="DA67" s="1"/>
  <c i="18" l="1" r="CZ68"/>
  <c i="18" r="DA68" s="1"/>
  <c i="18" r="CV70"/>
  <c i="18" r="CY69"/>
  <c i="18" r="CX69"/>
  <c i="18" l="1" r="CV71"/>
  <c i="18" r="CY70"/>
  <c i="18" r="CX70"/>
  <c i="18" r="CZ69"/>
  <c i="18" r="DA69" s="1"/>
  <c i="18" l="1" r="CZ70"/>
  <c i="18" r="DA70" s="1"/>
  <c i="18" r="CV72"/>
  <c i="18" r="CY71"/>
  <c i="18" r="CX71"/>
  <c i="18" l="1" r="CV73"/>
  <c i="18" r="CY72"/>
  <c i="18" r="CX72"/>
  <c i="18" r="CZ71"/>
  <c i="18" r="DA71" s="1"/>
  <c i="18" l="1" r="CZ72"/>
  <c i="18" r="DA72" s="1"/>
  <c i="18" r="CV74"/>
  <c i="18" r="CY73"/>
  <c i="18" r="CX73"/>
  <c i="18" l="1" r="CZ73"/>
  <c i="18" r="DA73" s="1"/>
  <c i="18" r="CV75"/>
  <c i="18" r="CY74"/>
  <c i="18" r="CX74"/>
  <c i="18" l="1" r="CV76"/>
  <c i="18" r="CX75"/>
  <c i="18" r="CY75"/>
  <c i="18" r="CZ74"/>
  <c i="18" r="DA74" s="1"/>
  <c i="18" l="1" r="CZ75"/>
  <c i="18" r="DA75" s="1"/>
  <c i="18" r="CV77"/>
  <c i="18" r="CY76"/>
  <c i="18" r="CX76"/>
  <c i="18" l="1" r="CZ76"/>
  <c i="18" r="DA76" s="1"/>
  <c i="18" r="CV78"/>
  <c i="18" r="CY77"/>
  <c i="18" r="CX77"/>
  <c i="18" l="1" r="CZ77"/>
  <c i="18" r="DA77" s="1"/>
  <c i="18" r="CV79"/>
  <c i="18" r="CY78"/>
  <c i="18" r="CX78"/>
  <c i="18" l="1" r="CZ78"/>
  <c i="18" r="DA78" s="1"/>
  <c i="18" r="CV80"/>
  <c i="18" r="CX79"/>
  <c i="18" r="CY79"/>
  <c i="18" l="1" r="CZ79"/>
  <c i="18" r="DA79" s="1"/>
  <c i="18" r="CV81"/>
  <c i="18" r="CX80"/>
  <c i="18" r="CY80"/>
  <c i="18" l="1" r="CZ80"/>
  <c i="18" r="DA80" s="1"/>
  <c i="18" r="CV82"/>
  <c i="18" r="CY81"/>
  <c i="18" r="CX81"/>
  <c i="18" l="1" r="CZ81"/>
  <c i="18" r="DA81" s="1"/>
  <c i="18" r="CV83"/>
  <c i="18" r="CY82"/>
  <c i="18" r="CX82"/>
  <c i="18" l="1" r="CZ82"/>
  <c i="18" r="DA82" s="1"/>
  <c i="18" r="CV84"/>
  <c i="18" r="CY83"/>
  <c i="18" r="CX83"/>
  <c i="18" l="1" r="CZ83"/>
  <c i="18" r="DA83" s="1"/>
  <c i="18" r="CV85"/>
  <c i="18" r="CY84"/>
  <c i="18" r="CX84"/>
  <c i="18" l="1" r="CV86"/>
  <c i="18" r="CY85"/>
  <c i="18" r="CX85"/>
  <c i="18" r="CZ84"/>
  <c i="18" r="DA84" s="1"/>
  <c i="18" l="1" r="CZ85"/>
  <c i="18" r="DA85" s="1"/>
  <c i="18" r="CV87"/>
  <c i="18" r="CY86"/>
  <c i="18" r="CX86"/>
  <c i="18" l="1" r="CZ86"/>
  <c i="18" r="DA86" s="1"/>
  <c i="18" r="CV88"/>
  <c i="18" r="CY87"/>
  <c i="18" r="CX87"/>
  <c i="18" l="1" r="CV89"/>
  <c i="18" r="CY88"/>
  <c i="18" r="CX88"/>
  <c i="18" r="CZ87"/>
  <c i="18" r="DA87" s="1"/>
  <c i="18" l="1" r="CZ88"/>
  <c i="18" r="DA88" s="1"/>
  <c i="18" r="CV90"/>
  <c i="18" r="CY89"/>
  <c i="18" r="CX89"/>
  <c i="18" l="1" r="CZ89"/>
  <c i="18" r="DA89" s="1"/>
  <c i="18" r="CV91"/>
  <c i="18" r="CY90"/>
  <c i="18" r="CX90"/>
  <c i="18" l="1" r="CZ90"/>
  <c i="18" r="DA90" s="1"/>
  <c i="18" r="CV92"/>
  <c i="18" r="CY91"/>
  <c i="18" r="CX91"/>
  <c i="18" l="1" r="CZ91"/>
  <c i="18" r="DA91" s="1"/>
  <c i="18" r="CV93"/>
  <c i="18" r="CY92"/>
  <c i="18" r="CX92"/>
  <c i="18" l="1" r="CZ92"/>
  <c i="18" r="DA92" s="1"/>
  <c i="18" r="CV94"/>
  <c i="18" r="CY93"/>
  <c i="18" r="CX93"/>
  <c i="18" l="1" r="CZ93"/>
  <c i="18" r="DA93" s="1"/>
  <c i="18" r="CV95"/>
  <c i="18" r="CY94"/>
  <c i="18" r="CX94"/>
  <c i="18" l="1" r="CZ94"/>
  <c i="18" r="DA94" s="1"/>
  <c i="18" r="CV96"/>
  <c i="18" r="CX95"/>
  <c i="18" r="CY95"/>
  <c i="18" r="CZ95" s="1"/>
  <c i="18" r="DA95" s="1"/>
  <c i="18" l="1" r="CV97"/>
  <c i="18" r="CY96"/>
  <c i="18" r="CX96"/>
  <c i="18" l="1" r="CZ96"/>
  <c i="18" r="DA96" s="1"/>
  <c i="18" r="CV98"/>
  <c i="18" r="CY97"/>
  <c i="18" r="CX97"/>
  <c i="18" l="1" r="CZ97"/>
  <c i="18" r="DA97" s="1"/>
  <c i="18" r="CV99"/>
  <c i="18" r="CX98"/>
  <c i="18" r="CY98"/>
  <c i="18" l="1" r="CZ98"/>
  <c i="18" r="DA98" s="1"/>
  <c i="18" r="CV100"/>
  <c i="18" r="CY99"/>
  <c i="18" r="CX99"/>
  <c i="18" l="1" r="CZ99"/>
  <c i="18" r="DA99" s="1"/>
  <c i="18" r="CV101"/>
  <c i="18" r="CY100"/>
  <c i="18" r="CX100"/>
  <c i="18" l="1" r="CV102"/>
  <c i="18" r="CY101"/>
  <c i="18" r="CX101"/>
  <c i="18" r="CZ100"/>
  <c i="18" r="DA100" s="1"/>
  <c i="18" l="1" r="CZ101"/>
  <c i="18" r="DA101" s="1"/>
  <c i="18" r="CV103"/>
  <c i="18" r="CY102"/>
  <c i="18" r="CX102"/>
  <c i="18" l="1" r="CZ102"/>
  <c i="18" r="DA102" s="1"/>
  <c i="18" r="CV104"/>
  <c i="18" r="CY103"/>
  <c i="18" r="CX103"/>
  <c i="18" l="1" r="CZ103"/>
  <c i="18" r="DA103" s="1"/>
  <c i="18" r="CV105"/>
  <c i="18" r="CY104"/>
  <c i="18" r="CX104"/>
  <c i="18" l="1" r="CZ104"/>
  <c i="18" r="DA104" s="1"/>
  <c i="18" r="CV106"/>
  <c i="18" r="CY105"/>
  <c i="18" r="CX105"/>
  <c i="18" l="1" r="CZ105"/>
  <c i="18" r="DA105" s="1"/>
  <c i="18" r="CV107"/>
  <c i="18" r="CY106"/>
  <c i="18" r="CX106"/>
  <c i="18" l="1" r="CZ106"/>
  <c i="18" r="DA106" s="1"/>
  <c i="18" r="CV108"/>
  <c i="18" r="CY107"/>
  <c i="18" r="CX107"/>
  <c i="18" l="1" r="CZ107"/>
  <c i="18" r="DA107" s="1"/>
  <c i="18" r="CV109"/>
  <c i="18" r="CY108"/>
  <c i="18" r="CX108"/>
  <c i="18" l="1" r="CZ108"/>
  <c i="18" r="DA108" s="1"/>
  <c i="18" r="CV110"/>
  <c i="18" r="CY109"/>
  <c i="18" r="CX109"/>
  <c i="18" l="1" r="CZ109"/>
  <c i="18" r="DA109" s="1"/>
  <c i="18" r="CV111"/>
  <c i="18" r="CY110"/>
  <c i="18" r="CX110"/>
  <c i="18" l="1" r="CZ110"/>
  <c i="18" r="DA110" s="1"/>
  <c i="18" r="CV112"/>
  <c i="18" r="CY111"/>
  <c i="18" r="CX111"/>
  <c i="18" l="1" r="CZ111"/>
  <c i="18" r="DA111" s="1"/>
  <c i="18" r="CV113"/>
  <c i="18" r="CY112"/>
  <c i="18" r="CX112"/>
  <c i="18" l="1" r="CZ112"/>
  <c i="18" r="DA112" s="1"/>
  <c i="18" r="CV114"/>
  <c i="18" r="CX113"/>
  <c i="18" r="CY113"/>
  <c i="18" l="1" r="CZ113"/>
  <c i="18" r="DA113" s="1"/>
  <c i="18" r="CV115"/>
  <c i="18" r="CY114"/>
  <c i="18" r="CX114"/>
  <c i="18" l="1" r="CZ114"/>
  <c i="18" r="DA114" s="1"/>
  <c i="18" r="CV116"/>
  <c i="18" r="CX115"/>
  <c i="18" r="CY115"/>
  <c i="18" l="1" r="CZ115"/>
  <c i="18" r="DA115" s="1"/>
  <c i="18" r="CV117"/>
  <c i="18" r="CX116"/>
  <c i="18" r="CY116"/>
  <c i="18" l="1" r="CZ116"/>
  <c i="18" r="DA116" s="1"/>
  <c i="18" r="CV118"/>
  <c i="18" r="CX117"/>
  <c i="18" r="CY117"/>
  <c i="18" l="1" r="CZ117"/>
  <c i="18" r="DA117" s="1"/>
  <c i="18" r="CV119"/>
  <c i="18" r="CX118"/>
  <c i="18" r="CY118"/>
  <c i="18" l="1" r="CZ118"/>
  <c i="18" r="DA118" s="1"/>
  <c i="18" r="CV120"/>
  <c i="18" r="CY119"/>
  <c i="18" r="CX119"/>
  <c i="18" l="1" r="CZ119"/>
  <c i="18" r="DA119" s="1"/>
  <c i="18" r="CV121"/>
  <c i="18" r="CY120"/>
  <c i="18" r="CX120"/>
  <c i="18" l="1" r="CV122"/>
  <c i="18" r="CY121"/>
  <c i="18" r="CX121"/>
  <c i="18" r="CZ120"/>
  <c i="18" r="DA120" s="1"/>
  <c i="18" l="1" r="CZ121"/>
  <c i="18" r="DA121" s="1"/>
  <c i="18" r="CV123"/>
  <c i="18" r="CY122"/>
  <c i="18" r="CX122"/>
  <c i="18" l="1" r="CZ122"/>
  <c i="18" r="DA122" s="1"/>
  <c i="18" r="CV124"/>
  <c i="18" r="CY123"/>
  <c i="18" r="CX123"/>
  <c i="18" l="1" r="CZ123"/>
  <c i="18" r="DA123" s="1"/>
  <c i="18" r="CV125"/>
  <c i="18" r="CY124"/>
  <c i="18" r="CX124"/>
  <c i="18" l="1" r="CZ124"/>
  <c i="18" r="DA124" s="1"/>
  <c i="18" r="CV126"/>
  <c i="18" r="CY125"/>
  <c i="18" r="CX125"/>
  <c i="18" l="1" r="CZ125"/>
  <c i="18" r="DA125" s="1"/>
  <c i="18" r="CV127"/>
  <c i="18" r="CY126"/>
  <c i="18" r="CX126"/>
  <c i="18" l="1" r="CZ126"/>
  <c i="18" r="DA126" s="1"/>
  <c i="18" r="CV128"/>
  <c i="18" r="CY127"/>
  <c i="18" r="CX127"/>
  <c i="18" l="1" r="CZ127"/>
  <c i="18" r="DA127" s="1"/>
  <c i="18" r="CV129"/>
  <c i="18" r="CY128"/>
  <c i="18" r="CX128"/>
  <c i="18" l="1" r="CV130"/>
  <c i="18" r="CY129"/>
  <c i="18" r="CX129"/>
  <c i="18" r="CZ128"/>
  <c i="18" r="DA128" s="1"/>
  <c i="18" l="1" r="CZ129"/>
  <c i="18" r="DA129" s="1"/>
  <c i="18" r="CV131"/>
  <c i="18" r="CY130"/>
  <c i="18" r="CX130"/>
  <c i="18" l="1" r="CZ130"/>
  <c i="18" r="DA130" s="1"/>
  <c i="18" r="CV132"/>
  <c i="18" r="CY131"/>
  <c i="18" r="CX131"/>
  <c i="18" l="1" r="CZ131"/>
  <c i="18" r="DA131" s="1"/>
  <c i="18" r="CV133"/>
  <c i="18" r="CY132"/>
  <c i="18" r="CX132"/>
  <c i="18" l="1" r="CZ132"/>
  <c i="18" r="DA132" s="1"/>
  <c i="18" r="CV134"/>
  <c i="18" r="CY133"/>
  <c i="18" r="CX133"/>
  <c i="18" l="1" r="CV135"/>
  <c i="18" r="CY134"/>
  <c i="18" r="CX134"/>
  <c i="18" r="CZ133"/>
  <c i="18" r="DA133" s="1"/>
  <c i="18" l="1" r="CZ134"/>
  <c i="18" r="DA134" s="1"/>
  <c i="18" r="CV136"/>
  <c i="18" r="CY135"/>
  <c i="18" r="CX135"/>
  <c i="18" l="1" r="CZ135"/>
  <c i="18" r="DA135" s="1"/>
  <c i="18" r="CV137"/>
  <c i="18" r="CY136"/>
  <c i="18" r="CX136"/>
  <c i="18" l="1" r="CZ136"/>
  <c i="18" r="DA136" s="1"/>
  <c i="18" r="CV138"/>
  <c i="18" r="CY137"/>
  <c i="18" r="CX137"/>
  <c i="18" l="1" r="CZ137"/>
  <c i="18" r="DA137" s="1"/>
  <c i="18" r="CV139"/>
  <c i="18" r="CX138"/>
  <c i="18" r="CY138"/>
  <c i="18" l="1" r="CZ138"/>
  <c i="18" r="DA138" s="1"/>
  <c i="18" r="CV140"/>
  <c i="18" r="CY139"/>
  <c i="18" r="CX139"/>
  <c i="18" l="1" r="CZ139"/>
  <c i="18" r="DA139" s="1"/>
  <c i="18" r="CV141"/>
  <c i="18" r="CY140"/>
  <c i="18" r="CX140"/>
  <c i="18" l="1" r="CZ140"/>
  <c i="18" r="DA140" s="1"/>
  <c i="18" r="CV142"/>
  <c i="18" r="CY141"/>
  <c i="18" r="CX141"/>
  <c i="18" l="1" r="CV143"/>
  <c i="18" r="CY142"/>
  <c i="18" r="CX142"/>
  <c i="18" r="CZ141"/>
  <c i="18" r="DA141" s="1"/>
  <c i="18" l="1" r="CZ142"/>
  <c i="18" r="DA142" s="1"/>
  <c i="18" r="CV144"/>
  <c i="18" r="CY143"/>
  <c i="18" r="CX143"/>
  <c i="18" l="1" r="CZ143"/>
  <c i="18" r="DA143" s="1"/>
  <c i="18" r="CV145"/>
  <c i="18" r="CY144"/>
  <c i="18" r="CX144"/>
  <c i="18" l="1" r="CZ144"/>
  <c i="18" r="DA144" s="1"/>
  <c i="18" r="CV146"/>
  <c i="18" r="CY145"/>
  <c i="18" r="CX145"/>
  <c i="18" l="1" r="CZ145"/>
  <c i="18" r="DA145" s="1"/>
  <c i="18" r="CV147"/>
  <c i="18" r="CY146"/>
  <c i="18" r="CX146"/>
  <c i="18" l="1" r="CV148"/>
  <c i="18" r="CY147"/>
  <c i="18" r="CX147"/>
  <c i="18" r="CZ146"/>
  <c i="18" r="DA146" s="1"/>
  <c i="18" l="1" r="CZ147"/>
  <c i="18" r="DA147" s="1"/>
  <c i="18" r="CV149"/>
  <c i="18" r="CX148"/>
  <c i="18" r="CY148"/>
  <c i="18" l="1" r="CZ148"/>
  <c i="18" r="DA148" s="1"/>
  <c i="18" r="CV150"/>
  <c i="18" r="CY149"/>
  <c i="18" r="CX149"/>
  <c i="18" l="1" r="CZ149"/>
  <c i="18" r="DA149" s="1"/>
  <c i="18" r="CV151"/>
  <c i="18" r="CY150"/>
  <c i="18" r="CX150"/>
  <c i="18" l="1" r="CZ150"/>
  <c i="18" r="DA150" s="1"/>
  <c i="18" r="CV152"/>
  <c i="18" r="CY151"/>
  <c i="18" r="CX151"/>
  <c i="18" l="1" r="CZ151"/>
  <c i="18" r="DA151" s="1"/>
  <c i="18" r="CV153"/>
  <c i="18" r="CY152"/>
  <c i="18" r="CX152"/>
  <c i="18" l="1" r="CZ152"/>
  <c i="18" r="DA152" s="1"/>
  <c i="18" r="CV154"/>
  <c i="18" r="CX153"/>
  <c i="18" r="CY153"/>
  <c i="18" l="1" r="CZ153"/>
  <c i="18" r="DA153" s="1"/>
  <c i="18" r="CV155"/>
  <c i="18" r="CX154"/>
  <c i="18" r="CY154"/>
  <c i="18" l="1" r="CZ154"/>
  <c i="18" r="DA154" s="1"/>
  <c i="18" r="CV156"/>
  <c i="18" r="CY155"/>
  <c i="18" r="CX155"/>
  <c i="18" l="1" r="CZ155"/>
  <c i="18" r="DA155" s="1"/>
  <c i="18" r="CV157"/>
  <c i="18" r="CX156"/>
  <c i="18" r="CY156"/>
  <c i="18" r="CZ156" s="1"/>
  <c i="18" r="DA156" s="1"/>
  <c i="18" l="1" r="CV158"/>
  <c i="18" r="CX157"/>
  <c i="18" r="CY157"/>
  <c i="18" l="1" r="CZ157"/>
  <c i="18" r="DA157" s="1"/>
  <c i="18" r="CV159"/>
  <c i="18" r="CY158"/>
  <c i="18" r="CX158"/>
  <c i="18" l="1" r="CZ158"/>
  <c i="18" r="DA158" s="1"/>
  <c i="18" r="CV160"/>
  <c i="18" r="CY159"/>
  <c i="18" r="CX159"/>
  <c i="18" l="1" r="CZ159"/>
  <c i="18" r="DA159" s="1"/>
  <c i="18" r="CV161"/>
  <c i="18" r="CY160"/>
  <c i="18" r="CX160"/>
  <c i="18" l="1" r="CZ160"/>
  <c i="18" r="DA160" s="1"/>
  <c i="18" r="CV162"/>
  <c i="18" r="CY161"/>
  <c i="18" r="CX161"/>
  <c i="18" l="1" r="CZ161"/>
  <c i="18" r="DA161" s="1"/>
  <c i="18" r="CV163"/>
  <c i="18" r="CY162"/>
  <c i="18" r="CX162"/>
  <c i="18" l="1" r="CZ162"/>
  <c i="18" r="DA162" s="1"/>
  <c i="18" r="CV164"/>
  <c i="18" r="CY163"/>
  <c i="18" r="CX163"/>
  <c i="18" l="1" r="CZ163"/>
  <c i="18" r="DA163" s="1"/>
  <c i="18" r="CV165"/>
  <c i="18" r="CY164"/>
  <c i="18" r="CX164"/>
  <c i="18" l="1" r="CZ164"/>
  <c i="18" r="DA164" s="1"/>
  <c i="18" r="CV166"/>
  <c i="18" r="CY165"/>
  <c i="18" r="CX165"/>
  <c i="18" l="1" r="CZ165"/>
  <c i="18" r="DA165" s="1"/>
  <c i="18" r="CV167"/>
  <c i="18" r="CY166"/>
  <c i="18" r="CX166"/>
  <c i="18" l="1" r="CZ166"/>
  <c i="18" r="DA166" s="1"/>
  <c i="18" r="CV168"/>
  <c i="18" r="CY167"/>
  <c i="18" r="CX167"/>
  <c i="18" l="1" r="CZ167"/>
  <c i="18" r="DA167" s="1"/>
  <c i="18" r="CV169"/>
  <c i="18" r="CY168"/>
  <c i="18" r="CX168"/>
  <c i="18" l="1" r="CZ168"/>
  <c i="18" r="DA168" s="1"/>
  <c i="18" r="CV170"/>
  <c i="18" r="CY169"/>
  <c i="18" r="CX169"/>
  <c i="18" l="1" r="CZ169"/>
  <c i="18" r="DA169" s="1"/>
  <c i="18" r="CV171"/>
  <c i="18" r="CY170"/>
  <c i="18" r="CX170"/>
  <c i="18" l="1" r="CZ170"/>
  <c i="18" r="DA170" s="1"/>
  <c i="18" r="CV172"/>
  <c i="18" r="CY171"/>
  <c i="18" r="CX171"/>
  <c i="18" l="1" r="CZ171"/>
  <c i="18" r="DA171" s="1"/>
  <c i="18" r="CV173"/>
  <c i="18" r="CY172"/>
  <c i="18" r="CX172"/>
  <c i="18" l="1" r="CZ172"/>
  <c i="18" r="DA172" s="1"/>
  <c i="18" r="CV174"/>
  <c i="18" r="CY173"/>
  <c i="18" r="CX173"/>
  <c i="18" l="1" r="CZ173"/>
  <c i="18" r="DA173" s="1"/>
  <c i="18" r="CV175"/>
  <c i="18" r="CY174"/>
  <c i="18" r="CX174"/>
  <c i="18" l="1" r="CZ174"/>
  <c i="18" r="DA174" s="1"/>
  <c i="18" r="CV176"/>
  <c i="18" r="CX175"/>
  <c i="18" r="CY175"/>
  <c i="18" l="1" r="CZ175"/>
  <c i="18" r="DA175" s="1"/>
  <c i="18" r="CV177"/>
  <c i="18" r="CY176"/>
  <c i="18" r="CX176"/>
  <c i="18" l="1" r="CZ176"/>
  <c i="18" r="DA176" s="1"/>
  <c i="18" r="CV178"/>
  <c i="18" r="CY177"/>
  <c i="18" r="CX177"/>
  <c i="18" l="1" r="CZ177"/>
  <c i="18" r="DA177" s="1"/>
  <c i="18" r="CV179"/>
  <c i="18" r="CY178"/>
  <c i="18" r="CX178"/>
  <c i="18" l="1" r="CZ178"/>
  <c i="18" r="DA178" s="1"/>
  <c i="18" r="CV180"/>
  <c i="18" r="CY179"/>
  <c i="18" r="CX179"/>
  <c i="18" l="1" r="CZ179"/>
  <c i="18" r="DA179" s="1"/>
  <c i="18" r="CV181"/>
  <c i="18" r="CY180"/>
  <c i="18" r="CX180"/>
  <c i="18" l="1" r="CZ180"/>
  <c i="18" r="DA180" s="1"/>
  <c i="18" r="CV182"/>
  <c i="18" r="CY181"/>
  <c i="18" r="CX181"/>
  <c i="18" l="1" r="CZ181"/>
  <c i="18" r="DA181" s="1"/>
  <c i="18" r="CV183"/>
  <c i="18" r="CY182"/>
  <c i="18" r="CX182"/>
  <c i="18" l="1" r="CZ182"/>
  <c i="18" r="DA182" s="1"/>
  <c i="18" r="CV184"/>
  <c i="18" r="CY183"/>
  <c i="18" r="CX183"/>
  <c i="18" l="1" r="CZ183"/>
  <c i="18" r="DA183" s="1"/>
  <c i="18" r="CV185"/>
  <c i="18" r="CY184"/>
  <c i="18" r="CX184"/>
  <c i="18" l="1" r="CZ184"/>
  <c i="18" r="DA184" s="1"/>
  <c i="18" r="CV186"/>
  <c i="18" r="CY185"/>
  <c i="18" r="CX185"/>
  <c i="18" l="1" r="CZ185"/>
  <c i="18" r="DA185" s="1"/>
  <c i="18" r="CV187"/>
  <c i="18" r="CY186"/>
  <c i="18" r="CX186"/>
  <c i="18" l="1" r="CZ186"/>
  <c i="18" r="DA186" s="1"/>
  <c i="18" r="CV188"/>
  <c i="18" r="CY187"/>
  <c i="18" r="CX187"/>
  <c i="18" l="1" r="CZ187"/>
  <c i="18" r="DA187" s="1"/>
  <c i="18" r="CV189"/>
  <c i="18" r="CX188"/>
  <c i="18" r="CY188"/>
  <c i="18" l="1" r="CZ188"/>
  <c i="18" r="DA188" s="1"/>
  <c i="18" r="CV190"/>
  <c i="18" r="CY189"/>
  <c i="18" r="CX189"/>
  <c i="18" l="1" r="CZ189"/>
  <c i="18" r="DA189" s="1"/>
  <c i="18" r="CV191"/>
  <c i="18" r="CY190"/>
  <c i="18" r="CX190"/>
  <c i="18" l="1" r="CZ190"/>
  <c i="18" r="DA190" s="1"/>
  <c i="18" r="CV192"/>
  <c i="18" r="CY191"/>
  <c i="18" r="CX191"/>
  <c i="18" l="1" r="CZ191"/>
  <c i="18" r="DA191" s="1"/>
  <c i="18" r="CV193"/>
  <c i="18" r="CY192"/>
  <c i="18" r="CX192"/>
  <c i="18" l="1" r="CZ192"/>
  <c i="18" r="DA192" s="1"/>
  <c i="18" r="CV194"/>
  <c i="18" r="CX193"/>
  <c i="18" r="CY193"/>
  <c i="18" l="1" r="CZ193"/>
  <c i="18" r="DA193" s="1"/>
  <c i="18" r="CV195"/>
  <c i="18" r="CX194"/>
  <c i="18" r="CY194"/>
  <c i="18" l="1" r="CZ194"/>
  <c i="18" r="DA194" s="1"/>
  <c i="18" r="CV196"/>
  <c i="18" r="CX195"/>
  <c i="18" r="CY195"/>
  <c i="18" l="1" r="CZ195"/>
  <c i="18" r="DA195" s="1"/>
  <c i="18" r="CV197"/>
  <c i="18" r="CX196"/>
  <c i="18" r="CY196"/>
  <c i="18" l="1" r="CZ196"/>
  <c i="18" r="DA196" s="1"/>
  <c i="18" r="CV198"/>
  <c i="18" r="CX197"/>
  <c i="18" r="CY197"/>
  <c i="18" l="1" r="CZ197"/>
  <c i="18" r="DA197" s="1"/>
  <c i="18" r="CV199"/>
  <c i="18" r="CX198"/>
  <c i="18" r="CY198"/>
  <c i="18" l="1" r="CZ198"/>
  <c i="18" r="DA198" s="1"/>
  <c i="18" r="CV200"/>
  <c i="18" r="CX199"/>
  <c i="18" r="CY199"/>
  <c i="18" l="1" r="CZ199"/>
  <c i="18" r="DA199" s="1"/>
  <c i="18" r="CV201"/>
  <c i="18" r="CX200"/>
  <c i="18" r="CY200"/>
  <c i="18" l="1" r="CZ200"/>
  <c i="18" r="DA200" s="1"/>
  <c i="18" r="CV202"/>
  <c i="18" r="CY201"/>
  <c i="18" r="CX201"/>
  <c i="18" l="1" r="CZ201"/>
  <c i="18" r="DA201" s="1"/>
  <c i="18" r="CV203"/>
  <c i="18" r="CY202"/>
  <c i="18" r="CX202"/>
  <c i="18" l="1" r="CZ202"/>
  <c i="18" r="DA202" s="1"/>
  <c i="18" r="CV204"/>
  <c i="18" r="CY203"/>
  <c i="18" r="CX203"/>
  <c i="18" l="1" r="CZ203"/>
  <c i="18" r="DA203" s="1"/>
  <c i="18" r="CV205"/>
  <c i="18" r="CY204"/>
  <c i="18" r="CX204"/>
  <c i="18" l="1" r="CZ204"/>
  <c i="18" r="DA204" s="1"/>
  <c i="18" r="CV206"/>
  <c i="18" r="CY205"/>
  <c i="18" r="CX205"/>
  <c i="18" l="1" r="CZ205"/>
  <c i="18" r="DA205" s="1"/>
  <c i="18" r="CV207"/>
  <c i="18" r="CY206"/>
  <c i="18" r="CX206"/>
  <c i="18" l="1" r="CZ206"/>
  <c i="18" r="DA206" s="1"/>
  <c i="18" r="CV208"/>
  <c i="18" r="CY207"/>
  <c i="18" r="CX207"/>
  <c i="18" l="1" r="CZ207"/>
  <c i="18" r="DA207" s="1"/>
  <c i="18" r="CV209"/>
  <c i="18" r="CY208"/>
  <c i="18" r="CX208"/>
  <c i="18" l="1" r="CZ208"/>
  <c i="18" r="DA208" s="1"/>
  <c i="18" r="CV210"/>
  <c i="18" r="CY209"/>
  <c i="18" r="CX209"/>
  <c i="18" l="1" r="CZ209"/>
  <c i="18" r="DA209" s="1"/>
  <c i="18" r="CV211"/>
  <c i="18" r="CY210"/>
  <c i="18" r="CX210"/>
  <c i="18" l="1" r="CZ210"/>
  <c i="18" r="DA210" s="1"/>
  <c i="18" r="CV212"/>
  <c i="18" r="CY211"/>
  <c i="18" r="CX211"/>
  <c i="18" l="1" r="CZ211"/>
  <c i="18" r="DA211" s="1"/>
  <c i="18" r="CV213"/>
  <c i="18" r="CX212"/>
  <c i="18" r="CY212"/>
  <c i="18" l="1" r="CZ212"/>
  <c i="18" r="DA212" s="1"/>
  <c i="18" r="CV214"/>
  <c i="18" r="CX213"/>
  <c i="18" r="CY213"/>
  <c i="18" l="1" r="CZ213"/>
  <c i="18" r="DA213" s="1"/>
  <c i="18" r="CV215"/>
  <c i="18" r="CY214"/>
  <c i="18" r="CX214"/>
  <c i="18" l="1" r="CZ214"/>
  <c i="18" r="DA214" s="1"/>
  <c i="18" r="CV216"/>
  <c i="18" r="CX215"/>
  <c i="18" r="CY215"/>
  <c i="18" l="1" r="CZ215"/>
  <c i="18" r="DA215" s="1"/>
  <c i="18" r="CV217"/>
  <c i="18" r="CY216"/>
  <c i="18" r="CX216"/>
  <c i="18" l="1" r="CZ216"/>
  <c i="18" r="DA216" s="1"/>
  <c i="18" r="CV218"/>
  <c i="18" r="CY217"/>
  <c i="18" r="CX217"/>
  <c i="18" l="1" r="CZ217"/>
  <c i="18" r="DA217" s="1"/>
  <c i="18" r="CV219"/>
  <c i="18" r="CX218"/>
  <c i="18" r="CY218"/>
  <c i="18" l="1" r="CZ218"/>
  <c i="18" r="DA218" s="1"/>
  <c i="18" r="CV220"/>
  <c i="18" r="CY219"/>
  <c i="18" r="CX219"/>
  <c i="18" l="1" r="CZ219"/>
  <c i="18" r="DA219" s="1"/>
  <c i="18" r="CV221"/>
  <c i="18" r="CY220"/>
  <c i="18" r="CX220"/>
  <c i="18" l="1" r="CZ220"/>
  <c i="18" r="DA220" s="1"/>
  <c i="18" r="CV222"/>
  <c i="18" r="CY221"/>
  <c i="18" r="CX221"/>
  <c i="18" l="1" r="CZ221"/>
  <c i="18" r="DA221" s="1"/>
  <c i="18" r="CV223"/>
  <c i="18" r="CY222"/>
  <c i="18" r="CX222"/>
  <c i="18" l="1" r="CZ222"/>
  <c i="18" r="DA222" s="1"/>
  <c i="18" r="CV224"/>
  <c i="18" r="CY223"/>
  <c i="18" r="CX223"/>
  <c i="18" l="1" r="CZ223"/>
  <c i="18" r="DA223" s="1"/>
  <c i="18" r="CV225"/>
  <c i="18" r="CY224"/>
  <c i="18" r="CX224"/>
  <c i="18" l="1" r="CZ224"/>
  <c i="18" r="DA224" s="1"/>
  <c i="18" r="CV226"/>
  <c i="18" r="CY225"/>
  <c i="18" r="CX225"/>
  <c i="18" l="1" r="CZ225"/>
  <c i="18" r="DA225" s="1"/>
  <c i="18" r="CV227"/>
  <c i="18" r="CY226"/>
  <c i="18" r="CX226"/>
  <c i="18" l="1" r="CZ226"/>
  <c i="18" r="DA226" s="1"/>
  <c i="18" r="CV228"/>
  <c i="18" r="CY227"/>
  <c i="18" r="CX227"/>
  <c i="18" l="1" r="CZ227"/>
  <c i="18" r="DA227" s="1"/>
  <c i="18" r="CV229"/>
  <c i="18" r="CX228"/>
  <c i="18" r="CY228"/>
  <c i="18" l="1" r="CZ228"/>
  <c i="18" r="DA228" s="1"/>
  <c i="18" r="CV230"/>
  <c i="18" r="CX229"/>
  <c i="18" r="CY229"/>
  <c i="18" l="1" r="CZ229"/>
  <c i="18" r="DA229" s="1"/>
  <c i="18" r="CV231"/>
  <c i="18" r="CY230"/>
  <c i="18" r="CX230"/>
  <c i="18" l="1" r="CZ230"/>
  <c i="18" r="DA230" s="1"/>
  <c i="18" r="CV232"/>
  <c i="18" r="CY231"/>
  <c i="18" r="CX231"/>
  <c i="18" l="1" r="CV233"/>
  <c i="18" r="CY232"/>
  <c i="18" r="CX232"/>
  <c i="18" r="CZ231"/>
  <c i="18" r="DA231" s="1"/>
  <c i="18" l="1" r="CZ232"/>
  <c i="18" r="DA232" s="1"/>
  <c i="18" r="CV234"/>
  <c i="18" r="CX233"/>
  <c i="18" r="CY233"/>
  <c i="18" l="1" r="CZ233"/>
  <c i="18" r="DA233" s="1"/>
  <c i="18" r="CV235"/>
  <c i="18" r="CX234"/>
  <c i="18" r="CY234"/>
  <c i="18" l="1" r="CZ234"/>
  <c i="18" r="DA234" s="1"/>
  <c i="18" r="CV236"/>
  <c i="18" r="CX235"/>
  <c i="18" r="CY235"/>
  <c i="18" l="1" r="CZ235"/>
  <c i="18" r="DA235" s="1"/>
  <c i="18" r="CV237"/>
  <c i="18" r="CX236"/>
  <c i="18" r="CY236"/>
  <c i="18" l="1" r="CZ236"/>
  <c i="18" r="DA236" s="1"/>
  <c i="18" r="CV238"/>
  <c i="18" r="CX237"/>
  <c i="18" r="CY237"/>
  <c i="18" l="1" r="CZ237"/>
  <c i="18" r="DA237" s="1"/>
  <c i="18" r="CV239"/>
  <c i="18" r="CX238"/>
  <c i="18" r="CY238"/>
  <c i="18" l="1" r="CZ238"/>
  <c i="18" r="DA238" s="1"/>
  <c i="18" r="CV240"/>
  <c i="18" r="CY239"/>
  <c i="18" r="CX239"/>
  <c i="18" l="1" r="CZ239"/>
  <c i="18" r="DA239" s="1"/>
  <c i="18" r="CV241"/>
  <c i="18" r="CY240"/>
  <c i="18" r="CX240"/>
  <c i="18" l="1" r="CV242"/>
  <c i="18" r="CY241"/>
  <c i="18" r="CX241"/>
  <c i="18" r="CZ240"/>
  <c i="18" r="DA240" s="1"/>
  <c i="18" l="1" r="CZ241"/>
  <c i="18" r="DA241" s="1"/>
  <c i="18" r="CV243"/>
  <c i="18" r="CY242"/>
  <c i="18" r="CX242"/>
  <c i="18" l="1" r="CZ242"/>
  <c i="18" r="DA242" s="1"/>
  <c i="18" r="CV244"/>
  <c i="18" r="CY243"/>
  <c i="18" r="CX243"/>
  <c i="18" l="1" r="CZ243"/>
  <c i="18" r="DA243" s="1"/>
  <c i="18" r="CV245"/>
  <c i="18" r="CY244"/>
  <c i="18" r="CX244"/>
  <c i="18" l="1" r="CZ244"/>
  <c i="18" r="DA244" s="1"/>
  <c i="18" r="CV246"/>
  <c i="18" r="CY245"/>
  <c i="18" r="CX245"/>
  <c i="18" l="1" r="CZ245"/>
  <c i="18" r="DA245" s="1"/>
  <c i="18" r="CV247"/>
  <c i="18" r="CY246"/>
  <c i="18" r="CX246"/>
  <c i="18" l="1" r="CZ246"/>
  <c i="18" r="DA246" s="1"/>
  <c i="18" r="CV248"/>
  <c i="18" r="CY247"/>
  <c i="18" r="CX247"/>
  <c i="18" l="1" r="CZ247"/>
  <c i="18" r="DA247" s="1"/>
  <c i="18" r="CV249"/>
  <c i="18" r="CY248"/>
  <c i="18" r="CX248"/>
  <c i="18" l="1" r="CZ248"/>
  <c i="18" r="DA248" s="1"/>
  <c i="18" r="CV250"/>
  <c i="18" r="CY249"/>
  <c i="18" r="CX249"/>
  <c i="18" l="1" r="CZ249"/>
  <c i="18" r="DA249" s="1"/>
  <c i="18" r="CV251"/>
  <c i="18" r="CY250"/>
  <c i="18" r="CX250"/>
  <c i="18" l="1" r="CZ250"/>
  <c i="18" r="DA250" s="1"/>
  <c i="18" r="CV252"/>
  <c i="18" r="CY251"/>
  <c i="18" r="CX251"/>
  <c i="18" l="1" r="CZ251"/>
  <c i="18" r="DA251" s="1"/>
  <c i="18" r="CV253"/>
  <c i="18" r="CX252"/>
  <c i="18" r="CY252"/>
  <c i="18" l="1" r="CZ252"/>
  <c i="18" r="DA252" s="1"/>
  <c i="18" r="CV254"/>
  <c i="18" r="CY253"/>
  <c i="18" r="CX253"/>
  <c i="18" l="1" r="CZ253"/>
  <c i="18" r="DA253" s="1"/>
  <c i="18" r="CV255"/>
  <c i="18" r="CX254"/>
  <c i="18" r="CY254"/>
  <c i="18" l="1" r="CZ254"/>
  <c i="18" r="DA254" s="1"/>
  <c i="18" r="CV256"/>
  <c i="18" r="CX255"/>
  <c i="18" r="CY255"/>
  <c i="18" l="1" r="CZ255"/>
  <c i="18" r="DA255" s="1"/>
  <c i="18" r="CV257"/>
  <c i="18" r="CY256"/>
  <c i="18" r="CX256"/>
  <c i="18" l="1" r="CZ256"/>
  <c i="18" r="DA256" s="1"/>
  <c i="18" r="CV258"/>
  <c i="18" r="CY257"/>
  <c i="18" r="CX257"/>
  <c i="18" l="1" r="CZ257"/>
  <c i="18" r="DA257" s="1"/>
  <c i="18" r="CV259"/>
  <c i="18" r="CX258"/>
  <c i="18" r="CY258"/>
  <c i="18" l="1" r="CZ258"/>
  <c i="18" r="DA258" s="1"/>
  <c i="18" r="CV260"/>
  <c i="18" r="CY259"/>
  <c i="18" r="CX259"/>
  <c i="18" l="1" r="CZ259"/>
  <c i="18" r="DA259" s="1"/>
  <c i="18" r="CV261"/>
  <c i="18" r="CY260"/>
  <c i="18" r="CX260"/>
  <c i="18" l="1" r="CZ260"/>
  <c i="18" r="DA260" s="1"/>
  <c i="18" r="CV262"/>
  <c i="18" r="CY261"/>
  <c i="18" r="CX261"/>
  <c i="18" l="1" r="CZ261"/>
  <c i="18" r="DA261" s="1"/>
  <c i="18" r="CV263"/>
  <c i="18" r="CY262"/>
  <c i="18" r="CX262"/>
  <c i="18" l="1" r="CZ262"/>
  <c i="18" r="DA262" s="1"/>
  <c i="18" r="CV264"/>
  <c i="18" r="CY263"/>
  <c i="18" r="CX263"/>
  <c i="18" l="1" r="CZ263"/>
  <c i="18" r="DA263" s="1"/>
  <c i="18" r="CV265"/>
  <c i="18" r="CY264"/>
  <c i="18" r="CX264"/>
  <c i="18" l="1" r="CZ264"/>
  <c i="18" r="DA264" s="1"/>
  <c i="18" r="CV266"/>
  <c i="18" r="CY265"/>
  <c i="18" r="CX265"/>
  <c i="18" l="1" r="CZ265"/>
  <c i="18" r="DA265" s="1"/>
  <c i="18" r="CV267"/>
  <c i="18" r="CY266"/>
  <c i="18" r="CX266"/>
  <c i="18" l="1" r="CZ266"/>
  <c i="18" r="DA266" s="1"/>
  <c i="18" r="CV268"/>
  <c i="18" r="CY267"/>
  <c i="18" r="CX267"/>
  <c i="18" l="1" r="CZ267"/>
  <c i="18" r="DA267" s="1"/>
  <c i="18" r="CV269"/>
  <c i="18" r="CX268"/>
  <c i="18" r="CY268"/>
  <c i="18" l="1" r="CZ268"/>
  <c i="18" r="DA268" s="1"/>
  <c i="18" r="CV270"/>
  <c i="18" r="CX269"/>
  <c i="18" r="CY269"/>
  <c i="18" l="1" r="CZ269"/>
  <c i="18" r="DA269" s="1"/>
  <c i="18" r="CV271"/>
  <c i="18" r="CY270"/>
  <c i="18" r="CX270"/>
  <c i="18" l="1" r="CZ270"/>
  <c i="18" r="DA270" s="1"/>
  <c i="18" r="CV272"/>
  <c i="18" r="CX271"/>
  <c i="18" r="CY271"/>
  <c i="18" r="CZ271" s="1"/>
  <c i="18" r="DA271" s="1"/>
  <c i="18" l="1" r="CV273"/>
  <c i="18" r="CY272"/>
  <c i="18" r="CX272"/>
  <c i="18" l="1" r="CZ272"/>
  <c i="18" r="DA272" s="1"/>
  <c i="18" r="CV274"/>
  <c i="18" r="CX273"/>
  <c i="18" r="CY273"/>
  <c i="18" l="1" r="CZ273"/>
  <c i="18" r="DA273" s="1"/>
  <c i="18" r="CV275"/>
  <c i="18" r="CX274"/>
  <c i="18" r="CY274"/>
  <c i="18" l="1" r="CZ274"/>
  <c i="18" r="DA274" s="1"/>
  <c i="18" r="CV276"/>
  <c i="18" r="CX275"/>
  <c i="18" r="CY275"/>
  <c i="18" l="1" r="CZ275"/>
  <c i="18" r="DA275" s="1"/>
  <c i="18" r="CV277"/>
  <c i="18" r="CX276"/>
  <c i="18" r="CY276"/>
  <c i="18" l="1" r="CZ276"/>
  <c i="18" r="DA276" s="1"/>
  <c i="18" r="CV278"/>
  <c i="18" r="CX277"/>
  <c i="18" r="CY277"/>
  <c i="18" l="1" r="CZ277"/>
  <c i="18" r="DA277" s="1"/>
  <c i="18" r="CV279"/>
  <c i="18" r="CX278"/>
  <c i="18" r="CY278"/>
  <c i="18" l="1" r="CZ278"/>
  <c i="18" r="DA278" s="1"/>
  <c i="18" r="CV280"/>
  <c i="18" r="CY279"/>
  <c i="18" r="CX279"/>
  <c i="18" l="1" r="CZ279"/>
  <c i="18" r="DA279" s="1"/>
  <c i="18" r="CV281"/>
  <c i="18" r="CX280"/>
  <c i="18" r="CY280"/>
  <c i="18" l="1" r="CZ280"/>
  <c i="18" r="DA280" s="1"/>
  <c i="18" r="CV282"/>
  <c i="18" r="CY281"/>
  <c i="18" r="CX281"/>
  <c i="18" l="1" r="CV283"/>
  <c i="18" r="CY282"/>
  <c i="18" r="CX282"/>
  <c i="18" r="CZ281"/>
  <c i="18" r="DA281" s="1"/>
  <c i="18" l="1" r="CZ282"/>
  <c i="18" r="DA282" s="1"/>
  <c i="18" r="CV284"/>
  <c i="18" r="CY283"/>
  <c i="18" r="CX283"/>
  <c i="18" l="1" r="CZ283"/>
  <c i="18" r="DA283" s="1"/>
  <c i="18" r="CV285"/>
  <c i="18" r="CY284"/>
  <c i="18" r="CX284"/>
  <c i="18" l="1" r="CV286"/>
  <c i="18" r="CY285"/>
  <c i="18" r="CX285"/>
  <c i="18" r="CZ284"/>
  <c i="18" r="DA284" s="1"/>
  <c i="18" l="1" r="CZ285"/>
  <c i="18" r="DA285" s="1"/>
  <c i="18" r="CV287"/>
  <c i="18" r="CY286"/>
  <c i="18" r="CX286"/>
  <c i="18" l="1" r="CZ286"/>
  <c i="18" r="DA286" s="1"/>
  <c i="18" r="CV288"/>
  <c i="18" r="CY287"/>
  <c i="18" r="CX287"/>
  <c i="18" l="1" r="CV289"/>
  <c i="18" r="CY288"/>
  <c i="18" r="CX288"/>
  <c i="18" r="CZ287"/>
  <c i="18" r="DA287" s="1"/>
  <c i="18" l="1" r="CZ288"/>
  <c i="18" r="DA288" s="1"/>
  <c i="18" r="CV290"/>
  <c i="18" r="CY289"/>
  <c i="18" r="CX289"/>
  <c i="18" l="1" r="CZ289"/>
  <c i="18" r="DA289" s="1"/>
  <c i="18" r="CV291"/>
  <c i="18" r="CY290"/>
  <c i="18" r="CX290"/>
  <c i="18" l="1" r="CZ290"/>
  <c i="18" r="DA290" s="1"/>
  <c i="18" r="CV292"/>
  <c i="18" r="CY291"/>
  <c i="18" r="CX291"/>
  <c i="18" l="1" r="CZ291"/>
  <c i="18" r="DA291" s="1"/>
  <c i="18" r="CV293"/>
  <c i="18" r="CX292"/>
  <c i="18" r="CY292"/>
  <c i="18" l="1" r="CZ292"/>
  <c i="18" r="DA292" s="1"/>
  <c i="18" r="CV294"/>
  <c i="18" r="CX293"/>
  <c i="18" r="CY293"/>
  <c i="18" l="1" r="CZ293"/>
  <c i="18" r="DA293" s="1"/>
  <c i="18" r="CV295"/>
  <c i="18" r="CX294"/>
  <c i="18" r="CY294"/>
  <c i="18" l="1" r="CZ294"/>
  <c i="18" r="DA294" s="1"/>
  <c i="18" r="CV296"/>
  <c i="18" r="CX295"/>
  <c i="18" r="CY295"/>
  <c i="18" l="1" r="CZ295"/>
  <c i="18" r="DA295" s="1"/>
  <c i="18" r="CV297"/>
  <c i="18" r="CY296"/>
  <c i="18" r="CX296"/>
  <c i="18" l="1" r="CV298"/>
  <c i="18" r="CY297"/>
  <c i="18" r="CX297"/>
  <c i="18" r="CZ296"/>
  <c i="18" r="DA296" s="1"/>
  <c i="18" l="1" r="CZ297"/>
  <c i="18" r="DA297" s="1"/>
  <c i="18" r="CV299"/>
  <c i="18" r="CX298"/>
  <c i="18" r="CY298"/>
  <c i="18" l="1" r="CZ298"/>
  <c i="18" r="DA298" s="1"/>
  <c i="18" r="CV300"/>
  <c i="18" r="CY299"/>
  <c i="18" r="CX299"/>
  <c i="18" l="1" r="CZ299"/>
  <c i="18" r="DA299" s="1"/>
  <c i="18" r="CV301"/>
  <c i="18" r="CY300"/>
  <c i="18" r="CX300"/>
  <c i="18" l="1" r="CZ300"/>
  <c i="18" r="DA300" s="1"/>
  <c i="18" r="CV302"/>
  <c i="18" r="CY301"/>
  <c i="18" r="CX301"/>
  <c i="18" l="1" r="CZ301"/>
  <c i="18" r="DA301" s="1"/>
  <c i="18" r="CV303"/>
  <c i="18" r="CY302"/>
  <c i="18" r="CX302"/>
  <c i="18" l="1" r="CZ302"/>
  <c i="18" r="DA302" s="1"/>
  <c i="18" r="CV304"/>
  <c i="18" r="CY303"/>
  <c i="18" r="CX303"/>
  <c i="18" l="1" r="CZ303"/>
  <c i="18" r="DA303" s="1"/>
  <c i="18" r="CV305"/>
  <c i="18" r="CY304"/>
  <c i="18" r="CX304"/>
  <c i="18" l="1" r="CZ304"/>
  <c i="18" r="DA304" s="1"/>
  <c i="18" r="CV306"/>
  <c i="18" r="CY305"/>
  <c i="18" r="CX305"/>
  <c i="18" l="1" r="CZ305"/>
  <c i="18" r="DA305" s="1"/>
  <c i="18" r="CV307"/>
  <c i="18" r="CY306"/>
  <c i="18" r="CX306"/>
  <c i="18" l="1" r="CZ306"/>
  <c i="18" r="DA306" s="1"/>
  <c i="18" r="CV308"/>
  <c i="18" r="CY307"/>
  <c i="18" r="CX307"/>
  <c i="18" l="1" r="CZ307"/>
  <c i="18" r="DA307" s="1"/>
  <c i="18" r="CV309"/>
  <c i="18" r="CX308"/>
  <c i="18" r="CY308"/>
  <c i="18" l="1" r="CZ308"/>
  <c i="18" r="DA308" s="1"/>
  <c i="18" r="CV310"/>
  <c i="18" r="CX309"/>
  <c i="18" r="CY309"/>
  <c i="18" l="1" r="CZ309"/>
  <c i="18" r="DA309" s="1"/>
  <c i="18" r="CV311"/>
  <c i="18" r="CX310"/>
  <c i="18" r="CY310"/>
  <c i="18" l="1" r="CZ310"/>
  <c i="18" r="DA310" s="1"/>
  <c i="18" r="CV312"/>
  <c i="18" r="CX311"/>
  <c i="18" r="CY311"/>
  <c i="18" l="1" r="CZ311"/>
  <c i="18" r="DA311" s="1"/>
  <c i="18" r="CV313"/>
  <c i="18" r="CX312"/>
  <c i="18" r="CY312"/>
  <c i="18" l="1" r="CZ312"/>
  <c i="18" r="DA312" s="1"/>
  <c i="18" r="CV314"/>
  <c i="18" r="CX313"/>
  <c i="18" r="CY313"/>
  <c i="18" l="1" r="CZ313"/>
  <c i="18" r="DA313" s="1"/>
  <c i="18" r="CV315"/>
  <c i="18" r="CX314"/>
  <c i="18" r="CY314"/>
  <c i="18" l="1" r="CZ314"/>
  <c i="18" r="DA314" s="1"/>
  <c i="18" r="CV316"/>
  <c i="18" r="CX315"/>
  <c i="18" r="CY315"/>
  <c i="18" l="1" r="CZ315"/>
  <c i="18" r="DA315" s="1"/>
  <c i="18" r="CV317"/>
  <c i="18" r="CX316"/>
  <c i="18" r="CY316"/>
  <c i="18" l="1" r="CZ316"/>
  <c i="18" r="DA316" s="1"/>
  <c i="18" r="CV318"/>
  <c i="18" r="CY317"/>
  <c i="18" r="CX317"/>
  <c i="18" l="1" r="CZ317"/>
  <c i="18" r="DA317" s="1"/>
  <c i="18" r="CV319"/>
  <c i="18" r="CY318"/>
  <c i="18" r="CX318"/>
  <c i="18" l="1" r="CZ318"/>
  <c i="18" r="DA318" s="1"/>
  <c i="18" r="CV320"/>
  <c i="18" r="CY319"/>
  <c i="18" r="CX319"/>
  <c i="18" l="1" r="CZ319"/>
  <c i="18" r="DA319" s="1"/>
  <c i="18" r="CV321"/>
  <c i="18" r="CY320"/>
  <c i="18" r="CX320"/>
  <c i="18" l="1" r="CZ320"/>
  <c i="18" r="DA320" s="1"/>
  <c i="18" r="CV322"/>
  <c i="18" r="CX321"/>
  <c i="18" r="CY321"/>
  <c i="18" l="1" r="CZ321"/>
  <c i="18" r="DA321" s="1"/>
  <c i="18" r="CV323"/>
  <c i="18" r="CY322"/>
  <c i="18" r="CX322"/>
  <c i="18" l="1" r="CV324"/>
  <c i="18" r="CY323"/>
  <c i="18" r="CX323"/>
  <c i="18" r="CZ322"/>
  <c i="18" r="DA322" s="1"/>
  <c i="18" l="1" r="CZ323"/>
  <c i="18" r="DA323" s="1"/>
  <c i="18" r="CV325"/>
  <c i="18" r="CY324"/>
  <c i="18" r="CX324"/>
  <c i="18" l="1" r="CZ324"/>
  <c i="18" r="DA324" s="1"/>
  <c i="18" r="CV326"/>
  <c i="18" r="CY325"/>
  <c i="18" r="CX325"/>
  <c i="18" l="1" r="CZ325"/>
  <c i="18" r="DA325" s="1"/>
  <c i="18" r="CV327"/>
  <c i="18" r="CY326"/>
  <c i="18" r="CX326"/>
  <c i="18" l="1" r="CZ326"/>
  <c i="18" r="DA326" s="1"/>
  <c i="18" r="CV328"/>
  <c i="18" r="CY327"/>
  <c i="18" r="CX327"/>
  <c i="18" l="1" r="CZ327"/>
  <c i="18" r="DA327" s="1"/>
  <c i="18" r="CV329"/>
  <c i="18" r="CY328"/>
  <c i="18" r="CX328"/>
  <c i="18" l="1" r="CZ328"/>
  <c i="18" r="DA328" s="1"/>
  <c i="18" r="CV330"/>
  <c i="18" r="CY329"/>
  <c i="18" r="CX329"/>
  <c i="18" l="1" r="CZ329"/>
  <c i="18" r="DA329" s="1"/>
  <c i="18" r="CV331"/>
  <c i="18" r="CY330"/>
  <c i="18" r="CX330"/>
  <c i="18" l="1" r="CV332"/>
  <c i="18" r="CY331"/>
  <c i="18" r="CX331"/>
  <c i="18" r="CZ330"/>
  <c i="18" r="DA330" s="1"/>
  <c i="18" l="1" r="CZ331"/>
  <c i="18" r="DA331" s="1"/>
  <c i="18" r="CV333"/>
  <c i="18" r="CY332"/>
  <c i="18" r="CX332"/>
  <c i="18" l="1" r="CZ332"/>
  <c i="18" r="DA332" s="1"/>
  <c i="18" r="CV334"/>
  <c i="18" r="CX333"/>
  <c i="18" r="CY333"/>
  <c i="18" l="1" r="CZ333"/>
  <c i="18" r="DA333" s="1"/>
  <c i="18" r="CV335"/>
  <c i="18" r="CY334"/>
  <c i="18" r="CX334"/>
  <c i="18" l="1" r="CZ334"/>
  <c i="18" r="DA334" s="1"/>
  <c i="18" r="CV336"/>
  <c i="18" r="CX335"/>
  <c i="18" r="CY335"/>
  <c i="18" l="1" r="CZ335"/>
  <c i="18" r="DA335" s="1"/>
  <c i="18" r="CV337"/>
  <c i="18" r="CY336"/>
  <c i="18" r="CX336"/>
  <c i="18" l="1" r="CZ336"/>
  <c i="18" r="DA336" s="1"/>
  <c i="18" r="CV338"/>
  <c i="18" r="CY337"/>
  <c i="18" r="CX337"/>
  <c i="18" l="1" r="CZ337"/>
  <c i="18" r="DA337" s="1"/>
  <c i="18" r="CV339"/>
  <c i="18" r="CY338"/>
  <c i="18" r="CX338"/>
  <c i="18" l="1" r="CZ338"/>
  <c i="18" r="DA338" s="1"/>
  <c i="18" r="CV340"/>
  <c i="18" r="CY339"/>
  <c i="18" r="CX339"/>
  <c i="18" l="1" r="CZ339"/>
  <c i="18" r="DA339" s="1"/>
  <c i="18" r="CV341"/>
  <c i="18" r="CY340"/>
  <c i="18" r="CX340"/>
  <c i="18" l="1" r="CZ340"/>
  <c i="18" r="DA340" s="1"/>
  <c i="18" r="CV342"/>
  <c i="18" r="CY341"/>
  <c i="18" r="CX341"/>
  <c i="18" l="1" r="CZ341"/>
  <c i="18" r="DA341" s="1"/>
  <c i="18" r="CV343"/>
  <c i="18" r="CY342"/>
  <c i="18" r="CX342"/>
  <c i="18" l="1" r="CZ342"/>
  <c i="18" r="DA342" s="1"/>
  <c i="18" r="CV344"/>
  <c i="18" r="CY343"/>
  <c i="18" r="CX343"/>
  <c i="18" l="1" r="CZ343"/>
  <c i="18" r="DA343" s="1"/>
  <c i="18" r="CV345"/>
  <c i="18" r="CY344"/>
  <c i="18" r="CX344"/>
  <c i="18" l="1" r="CZ344"/>
  <c i="18" r="DA344" s="1"/>
  <c i="18" r="CV346"/>
  <c i="18" r="CX345"/>
  <c i="18" r="CY345"/>
  <c i="18" l="1" r="CZ345"/>
  <c i="18" r="DA345" s="1"/>
  <c i="18" r="CV347"/>
  <c i="18" r="CY346"/>
  <c i="18" r="CX346"/>
  <c i="18" l="1" r="CZ346"/>
  <c i="18" r="DA346" s="1"/>
  <c i="18" r="CV348"/>
  <c i="18" r="CX347"/>
  <c i="18" r="CY347"/>
  <c i="18" l="1" r="CZ347"/>
  <c i="18" r="DA347" s="1"/>
  <c i="18" r="CV349"/>
  <c i="18" r="CY348"/>
  <c i="18" r="CX348"/>
  <c i="18" l="1" r="CZ348"/>
  <c i="18" r="DA348" s="1"/>
  <c i="18" r="CV350"/>
  <c i="18" r="CX349"/>
  <c i="18" r="CY349"/>
  <c i="18" l="1" r="CZ349"/>
  <c i="18" r="DA349" s="1"/>
  <c i="18" r="CV351"/>
  <c i="18" r="CX350"/>
  <c i="18" r="CY350"/>
  <c i="18" l="1" r="CZ350"/>
  <c i="18" r="DA350" s="1"/>
  <c i="18" r="CV352"/>
  <c i="18" r="CX351"/>
  <c i="18" r="CY351"/>
  <c i="18" l="1" r="CZ351"/>
  <c i="18" r="DA351" s="1"/>
  <c i="18" r="CV353"/>
  <c i="18" r="CX352"/>
  <c i="18" r="CY352"/>
  <c i="18" l="1" r="CZ352"/>
  <c i="18" r="DA352" s="1"/>
  <c i="18" r="CV354"/>
  <c i="18" r="CX353"/>
  <c i="18" r="CY353"/>
  <c i="18" l="1" r="CZ353"/>
  <c i="18" r="DA353" s="1"/>
  <c i="18" r="CV355"/>
  <c i="18" r="CY354"/>
  <c i="18" r="CX354"/>
  <c i="18" l="1" r="CV356"/>
  <c i="18" r="CX355"/>
  <c i="18" r="CY355"/>
  <c i="18" r="CZ354"/>
  <c i="18" r="DA354" s="1"/>
  <c i="18" l="1" r="CZ355"/>
  <c i="18" r="DA355" s="1"/>
  <c i="18" r="CV357"/>
  <c i="18" r="CY356"/>
  <c i="18" r="CX356"/>
  <c i="18" l="1" r="CV358"/>
  <c i="18" r="CY357"/>
  <c i="18" r="CX357"/>
  <c i="18" r="CZ356"/>
  <c i="18" r="DA356" s="1"/>
  <c i="18" l="1" r="CZ357"/>
  <c i="18" r="DA357" s="1"/>
  <c i="18" r="CV359"/>
  <c i="18" r="CX358"/>
  <c i="18" r="CY358"/>
  <c i="18" l="1" r="CZ358"/>
  <c i="18" r="DA358" s="1"/>
  <c i="18" r="CV360"/>
  <c i="18" r="CX359"/>
  <c i="18" r="CY359"/>
  <c i="18" l="1" r="CZ359"/>
  <c i="18" r="DA359" s="1"/>
  <c i="18" r="CV361"/>
  <c i="18" r="CX360"/>
  <c i="18" r="CY360"/>
  <c i="18" l="1" r="CZ360"/>
  <c i="18" r="DA360" s="1"/>
  <c i="18" r="CV362"/>
  <c i="18" r="CY361"/>
  <c i="18" r="CX361"/>
  <c i="18" l="1" r="CV363"/>
  <c i="18" r="CX362"/>
  <c i="18" r="CY362"/>
  <c i="18" r="CZ361"/>
  <c i="18" r="DA361" s="1"/>
  <c i="18" l="1" r="CZ362"/>
  <c i="18" r="DA362" s="1"/>
  <c i="18" r="CV364"/>
  <c i="18" r="CY363"/>
  <c i="18" r="CX363"/>
  <c i="18" l="1" r="CZ363"/>
  <c i="18" r="DA363" s="1"/>
  <c i="18" r="CV365"/>
  <c i="18" r="CY364"/>
  <c i="18" r="CX364"/>
  <c i="18" l="1" r="CZ364"/>
  <c i="18" r="DA364" s="1"/>
  <c i="18" r="CV366"/>
  <c i="18" r="CY365"/>
  <c i="18" r="CX365"/>
  <c i="18" l="1" r="CZ365"/>
  <c i="18" r="DA365" s="1"/>
  <c i="18" r="CV367"/>
  <c i="18" r="CY366"/>
  <c i="18" r="CX366"/>
  <c i="18" l="1" r="CZ366"/>
  <c i="18" r="DA366" s="1"/>
  <c i="18" r="CV368"/>
  <c i="18" r="CY367"/>
  <c i="18" r="CX367"/>
  <c i="18" l="1" r="CZ367"/>
  <c i="18" r="DA367" s="1"/>
  <c i="18" r="CV369"/>
  <c i="18" r="CY368"/>
  <c i="18" r="CX368"/>
  <c i="18" l="1" r="CZ368"/>
  <c i="18" r="DA368" s="1"/>
  <c i="18" r="CV370"/>
  <c i="18" r="CY369"/>
  <c i="18" r="CX369"/>
  <c i="18" l="1" r="CZ369"/>
  <c i="18" r="DA369" s="1"/>
  <c i="18" r="CV371"/>
  <c i="18" r="CX370"/>
  <c i="18" r="CY370"/>
  <c i="18" l="1" r="CZ370"/>
  <c i="18" r="DA370" s="1"/>
  <c i="18" r="CV372"/>
  <c i="18" r="CY371"/>
  <c i="18" r="CX371"/>
  <c i="18" l="1" r="CZ371"/>
  <c i="18" r="DA371" s="1"/>
  <c i="18" r="CV373"/>
  <c i="18" r="CX372"/>
  <c i="18" r="CY372"/>
  <c i="18" l="1" r="CZ372"/>
  <c i="18" r="DA372" s="1"/>
  <c i="18" r="CV374"/>
  <c i="18" r="CX373"/>
  <c i="18" r="CY373"/>
  <c i="18" l="1" r="CZ373"/>
  <c i="18" r="DA373" s="1"/>
  <c i="18" r="CV375"/>
  <c i="18" r="CX374"/>
  <c i="18" r="CY374"/>
  <c i="18" l="1" r="CZ374"/>
  <c i="18" r="DA374" s="1"/>
  <c i="18" r="CV376"/>
  <c i="18" r="CY375"/>
  <c i="18" r="CX375"/>
  <c i="18" l="1" r="CZ375"/>
  <c i="18" r="DA375" s="1"/>
  <c i="18" r="CV377"/>
  <c i="18" r="CY376"/>
  <c i="18" r="CX376"/>
  <c i="18" l="1" r="CZ376"/>
  <c i="18" r="DA376" s="1"/>
  <c i="18" r="CV378"/>
  <c i="18" r="CY377"/>
  <c i="18" r="CX377"/>
  <c i="18" l="1" r="CZ377"/>
  <c i="18" r="DA377" s="1"/>
  <c i="18" r="CV379"/>
  <c i="18" r="CY378"/>
  <c i="18" r="CX378"/>
  <c i="18" l="1" r="CZ378"/>
  <c i="18" r="DA378" s="1"/>
  <c i="18" r="CV380"/>
  <c i="18" r="CY379"/>
  <c i="18" r="CX379"/>
  <c i="18" l="1" r="CZ379"/>
  <c i="18" r="DA379" s="1"/>
  <c i="18" r="CV381"/>
  <c i="18" r="CY380"/>
  <c i="18" r="CX380"/>
  <c i="18" l="1" r="CZ380"/>
  <c i="18" r="DA380" s="1"/>
  <c i="18" r="CV382"/>
  <c i="18" r="CY381"/>
  <c i="18" r="CX381"/>
  <c i="18" l="1" r="CZ381"/>
  <c i="18" r="DA381" s="1"/>
  <c i="18" r="CV383"/>
  <c i="18" r="CY382"/>
  <c i="18" r="CX382"/>
  <c i="18" l="1" r="CZ382"/>
  <c i="18" r="DA382" s="1"/>
  <c i="18" r="CV384"/>
  <c i="18" r="CY383"/>
  <c i="18" r="CX383"/>
  <c i="18" l="1" r="CZ383"/>
  <c i="18" r="DA383" s="1"/>
  <c i="18" r="CV385"/>
  <c i="18" r="CY384"/>
  <c i="18" r="CX384"/>
  <c i="18" l="1" r="CZ384"/>
  <c i="18" r="DA384" s="1"/>
  <c i="18" r="CV386"/>
  <c i="18" r="CX385"/>
  <c i="18" r="CY385"/>
  <c i="18" l="1" r="CZ385"/>
  <c i="18" r="DA385" s="1"/>
  <c i="18" r="CV387"/>
  <c i="18" r="CX386"/>
  <c i="18" r="CY386"/>
  <c i="18" l="1" r="CZ386"/>
  <c i="18" r="DA386" s="1"/>
  <c i="18" r="CV388"/>
  <c i="18" r="CY387"/>
  <c i="18" r="CX387"/>
  <c i="18" l="1" r="CZ387"/>
  <c i="18" r="DA387" s="1"/>
  <c i="18" r="CV389"/>
  <c i="18" r="CX388"/>
  <c i="18" r="CY388"/>
  <c i="18" l="1" r="CZ388"/>
  <c i="18" r="DA388" s="1"/>
  <c i="18" r="CV390"/>
  <c i="18" r="CY389"/>
  <c i="18" r="CX389"/>
  <c i="18" l="1" r="CZ389"/>
  <c i="18" r="DA389" s="1"/>
  <c i="18" r="CV391"/>
  <c i="18" r="CX390"/>
  <c i="18" r="CY390"/>
  <c i="18" l="1" r="CZ390"/>
  <c i="18" r="DA390" s="1"/>
  <c i="18" r="CV392"/>
  <c i="18" r="CY391"/>
  <c i="18" r="CX391"/>
  <c i="18" l="1" r="CZ391"/>
  <c i="18" r="DA391" s="1"/>
  <c i="18" r="CV393"/>
  <c i="18" r="CX392"/>
  <c i="18" r="CY392"/>
  <c i="18" l="1" r="CZ392"/>
  <c i="18" r="DA392" s="1"/>
  <c i="18" r="CV394"/>
  <c i="18" r="CY393"/>
  <c i="18" r="CX393"/>
  <c i="18" l="1" r="CZ393"/>
  <c i="18" r="DA393" s="1"/>
  <c i="18" r="CV395"/>
  <c i="18" r="CX394"/>
  <c i="18" r="CY394"/>
  <c i="18" l="1" r="CZ394"/>
  <c i="18" r="DA394" s="1"/>
  <c i="18" r="CV396"/>
  <c i="18" r="CY395"/>
  <c i="18" r="CX395"/>
  <c i="18" l="1" r="CZ395"/>
  <c i="18" r="DA395" s="1"/>
  <c i="18" r="CV397"/>
  <c i="18" r="CX396"/>
  <c i="18" r="CY396"/>
  <c i="18" l="1" r="CZ396"/>
  <c i="18" r="DA396" s="1"/>
  <c i="18" r="CV398"/>
  <c i="18" r="CY397"/>
  <c i="18" r="CX397"/>
  <c i="18" l="1" r="CZ397"/>
  <c i="18" r="DA397" s="1"/>
  <c i="18" r="CV399"/>
  <c i="18" r="CY398"/>
  <c i="18" r="CX398"/>
  <c i="18" l="1" r="CZ398"/>
  <c i="18" r="DA398" s="1"/>
  <c i="18" r="CV400"/>
  <c i="18" r="CY399"/>
  <c i="18" r="CX399"/>
  <c i="18" l="1" r="CZ399"/>
  <c i="18" r="DA399" s="1"/>
  <c i="18" r="CV401"/>
  <c i="18" r="CY400"/>
  <c i="18" r="CX400"/>
  <c i="18" l="1" r="CZ400"/>
  <c i="18" r="DA400" s="1"/>
  <c i="18" r="CX401"/>
  <c i="18" r="CY401"/>
  <c i="18" l="1" r="CZ401"/>
  <c i="18" r="DA401" s="1"/>
</calcChain>
</file>

<file path=xl/sharedStrings.xml><?xml version="1.0" encoding="utf-8"?>
<sst xmlns="http://schemas.openxmlformats.org/spreadsheetml/2006/main" count="1152" uniqueCount="436">
  <si>
    <t>Trip Duration Frequency Distribution</t>
  </si>
  <si>
    <t>Trip Length Frequency Distribution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</si>
  <si>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</si>
  <si>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</si>
  <si>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</si>
  <si>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</si>
  <si>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</si>
  <si>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</si>
  <si>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FT</t>
  </si>
  <si>
    <t>PT</t>
  </si>
  <si>
    <t>NotFTPT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</si>
  <si>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</si>
  <si>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</si>
  <si>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</si>
  <si>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</si>
  <si>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</si>
  <si>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</si>
  <si>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Steps for generating distributions of commute time and distance</t>
  </si>
  <si>
    <t>PPTYP = 1</t>
  </si>
  <si>
    <t>PPTYP = 2</t>
  </si>
  <si>
    <t>PPTYP != 1 and PPTYP != 2</t>
  </si>
  <si>
    <t>Time (min)</t>
  </si>
  <si>
    <t>County-level Work at Home Shares</t>
  </si>
  <si>
    <t>Aggregate Trip Duration Frequency Distribution</t>
  </si>
  <si>
    <t>Less than 5</t>
  </si>
  <si>
    <t>5 to 9</t>
  </si>
  <si>
    <t>10 to 14</t>
  </si>
  <si>
    <t>15 to 19</t>
  </si>
  <si>
    <t>20 to 24</t>
  </si>
  <si>
    <t>25 to 29</t>
  </si>
  <si>
    <t>30 to 34</t>
  </si>
  <si>
    <t>35 to 39</t>
  </si>
  <si>
    <t>40 to 44</t>
  </si>
  <si>
    <t>45 to 59</t>
  </si>
  <si>
    <t>60 to 89</t>
  </si>
  <si>
    <t>90 or more</t>
  </si>
  <si>
    <t>A person is assumed to work from home if the HH coordinates are exactly the same as the usual workplace coordinates</t>
  </si>
  <si>
    <t>Table X. Estimated Work at Home Counts by County</t>
  </si>
  <si>
    <t>Table X. Estimated Counts by County</t>
  </si>
  <si>
    <t>Table X. Estimated Work at Home Shares by County</t>
  </si>
  <si>
    <t>Table X. Average Trip Duration</t>
  </si>
  <si>
    <t>AM Auto skims (time and distance) were merged into person file using origin (HH) and destination (workplace) TAZ ids</t>
  </si>
  <si>
    <t>In case of DaySim, home and workplace parcel IDs were matched to filter out work at home cases</t>
  </si>
  <si>
    <t>Distributions of HH TAZ -to- Work TAZ distance and time were then derived from the population</t>
  </si>
  <si>
    <t>Steps for generating county worker flows</t>
  </si>
  <si>
    <t>Home and work county codes were merged using a correspondence between TAZs and counties</t>
  </si>
  <si>
    <t>A crosstabulation of home and work counties created the worker flow table</t>
  </si>
  <si>
    <t>Steps for generating work at home shares</t>
  </si>
  <si>
    <t>All persons for whom a non-zero usual workplace location was identified were designated as the pool of workers</t>
  </si>
  <si>
    <t>Full-time</t>
  </si>
  <si>
    <t>Part-time</t>
  </si>
  <si>
    <t>Not FT or PT, student workers</t>
  </si>
  <si>
    <t>The shares were calculated as the ratio of the values in steps 2 and 1 and were segmented by county and the three worker types</t>
  </si>
  <si>
    <t>Table X. Difference Work at Home Counts by County</t>
  </si>
  <si>
    <t>Table X. Difference Counts by County</t>
  </si>
  <si>
    <t>Table X. Difference Work at Home Shares by County</t>
  </si>
  <si>
    <t>Beta00001</t>
  </si>
  <si>
    <t>T</t>
  </si>
  <si>
    <t>Beta00002</t>
  </si>
  <si>
    <t>Beta00003</t>
  </si>
  <si>
    <t>Beta00004</t>
  </si>
  <si>
    <t>Beta00005</t>
  </si>
  <si>
    <t>Beta00006</t>
  </si>
  <si>
    <t>Beta00007</t>
  </si>
  <si>
    <t>Beta00008</t>
  </si>
  <si>
    <t>Beta00009</t>
  </si>
  <si>
    <t>Beta00010</t>
  </si>
  <si>
    <t>Beta00011</t>
  </si>
  <si>
    <t>Beta00012</t>
  </si>
  <si>
    <t>Beta00013</t>
  </si>
  <si>
    <t>Beta00014</t>
  </si>
  <si>
    <t>Beta00015</t>
  </si>
  <si>
    <t>Beta00016</t>
  </si>
  <si>
    <t>Beta00017</t>
  </si>
  <si>
    <t>Beta00018</t>
  </si>
  <si>
    <t>Beta00019</t>
  </si>
  <si>
    <t>Beta00020</t>
  </si>
  <si>
    <t>Beta00021</t>
  </si>
  <si>
    <t>Beta00022</t>
  </si>
  <si>
    <t>Beta00023</t>
  </si>
  <si>
    <t>Beta00024</t>
  </si>
  <si>
    <t>Beta00025</t>
  </si>
  <si>
    <t>Beta00026</t>
  </si>
  <si>
    <t>Beta00027</t>
  </si>
  <si>
    <t>Beta00028</t>
  </si>
  <si>
    <t>Beta00029</t>
  </si>
  <si>
    <t>Beta00030</t>
  </si>
  <si>
    <t>Beta00031</t>
  </si>
  <si>
    <t>Beta00032</t>
  </si>
  <si>
    <t>Beta00033</t>
  </si>
  <si>
    <t>Beta00034</t>
  </si>
  <si>
    <t>Beta00035</t>
  </si>
  <si>
    <t>Beta00036</t>
  </si>
  <si>
    <t>Beta00041</t>
  </si>
  <si>
    <t>F</t>
  </si>
  <si>
    <t>Beta00042</t>
  </si>
  <si>
    <t>Beta00043</t>
  </si>
  <si>
    <t>Beta00044</t>
  </si>
  <si>
    <t>LSM_050</t>
  </si>
  <si>
    <t>Gamma51</t>
  </si>
  <si>
    <t>Gamma52</t>
  </si>
  <si>
    <t>Gamma53</t>
  </si>
  <si>
    <t>Gamma54</t>
  </si>
  <si>
    <t>Gamma55</t>
  </si>
  <si>
    <t>Gamma56</t>
  </si>
  <si>
    <t>Gamma57</t>
  </si>
  <si>
    <t>Gamma58</t>
  </si>
  <si>
    <t>Gamma59</t>
  </si>
  <si>
    <t>Gamma60</t>
  </si>
  <si>
    <t>Gamma61</t>
  </si>
  <si>
    <t>Gamma62</t>
  </si>
  <si>
    <t>Gamma63</t>
  </si>
  <si>
    <t>Gamma64</t>
  </si>
  <si>
    <t>Gamma65</t>
  </si>
  <si>
    <t>Gamma66</t>
  </si>
  <si>
    <t>Gamma67</t>
  </si>
  <si>
    <t>Gamma68</t>
  </si>
  <si>
    <t>Gamma69</t>
  </si>
  <si>
    <t>Gamma70</t>
  </si>
  <si>
    <t>Gamma71</t>
  </si>
  <si>
    <t>Gamma72</t>
  </si>
  <si>
    <t>Gamma73</t>
  </si>
  <si>
    <t>Gamma74</t>
  </si>
  <si>
    <t>Gamma75</t>
  </si>
  <si>
    <t>Gamma76</t>
  </si>
  <si>
    <t>Gamma77</t>
  </si>
  <si>
    <t>Gamma78</t>
  </si>
  <si>
    <t>Gamma79</t>
  </si>
  <si>
    <t>Gamma80</t>
  </si>
  <si>
    <t>Gamma90</t>
  </si>
  <si>
    <t>Nest</t>
  </si>
  <si>
    <t>Index</t>
  </si>
  <si>
    <t>Name</t>
  </si>
  <si>
    <t>Descr</t>
  </si>
  <si>
    <t>IsPartTimeWorker* workTourLogsum</t>
  </si>
  <si>
    <t>IsFullTimeWorker*workTourLogsum</t>
  </si>
  <si>
    <t>distanceLog</t>
  </si>
  <si>
    <t>parcelParkingDensity</t>
  </si>
  <si>
    <t>c34Ratio</t>
  </si>
  <si>
    <t>destinationParcel.ShadowPriceForEmployment</t>
  </si>
  <si>
    <t>IsNotFullOrPartTimeWorker * workTourLogsum</t>
  </si>
  <si>
    <t>IsFulltimeWorker * distance1</t>
  </si>
  <si>
    <t>IsFulltimeWorker * distance2</t>
  </si>
  <si>
    <t>IsFulltimeWorker * distance3</t>
  </si>
  <si>
    <t>IsPartTimeWorker * distanceLog</t>
  </si>
  <si>
    <t>IsNotFullOrPartTimeWorker * distanceLog</t>
  </si>
  <si>
    <t>Household.Has0To15KIncome * distanceLog</t>
  </si>
  <si>
    <t>Household.Has50To75KIncome * distanceLog</t>
  </si>
  <si>
    <t>Household.Has75To100KIncome * distanceLog</t>
  </si>
  <si>
    <t>IsFemale * distanceLog</t>
  </si>
  <si>
    <t>IsStudentAge * distanceFromSchool</t>
  </si>
  <si>
    <t>IsFulltimeWorker * aggregateLogsum</t>
  </si>
  <si>
    <t>IsPartTimeWorker * aggregateLogsum</t>
  </si>
  <si>
    <t>IsNotFullOrPartTimeWorker * aggregateLogsum</t>
  </si>
  <si>
    <t>Household.HasValidIncome * studentsUniversityBuffer</t>
  </si>
  <si>
    <t>Household.HasValidIncome * destinationParcel.EmploymentService</t>
  </si>
  <si>
    <t>Household.HasValidIncome * destinationParcel.EmploymentEducation</t>
  </si>
  <si>
    <t>Household.HasValidIncome * destinationParcel.EmploymentFood</t>
  </si>
  <si>
    <t>Household.HasValidIncome * destinationParcel.EmploymentGovernment</t>
  </si>
  <si>
    <t>Household.HasValidIncome * destinationParcel.EmploymentOffice</t>
  </si>
  <si>
    <t>Household.HasValidIncome * destinationParcel.EmploymentRetail</t>
  </si>
  <si>
    <t>Household.HasValidIncome * destinationParcel.EmploymentMedical</t>
  </si>
  <si>
    <t>Household.HasValidIncome * employmentIndustrialAgricultureConstruction</t>
  </si>
  <si>
    <t>Household.HasValidIncome * destinationParcel.StudentsUniversity</t>
  </si>
  <si>
    <t>Household.HasIncomeUnder50K * destinationParcel.EmploymentRetail</t>
  </si>
  <si>
    <t>Household.HasIncomeUnder50K * destinationParcel.EmploymentService</t>
  </si>
  <si>
    <t>Household.Has50To75KIncome * destinationParcel.EmploymentMedical</t>
  </si>
  <si>
    <t>Household.Has50To75KIncome * destinationParcel.EmploymentOffice</t>
  </si>
  <si>
    <t>Household.Has75KPlusIncome * destinationParcel.EmploymentEducation</t>
  </si>
  <si>
    <t>Household.Has75KPlusIncome * destinationParcel.EmploymentGovernment</t>
  </si>
  <si>
    <t>Household.Has75KPlusIncome * destinationParcel.EmploymentMedical</t>
  </si>
  <si>
    <t>Household.Has75KPlusIncome * destinationParcel.EmploymentOffice</t>
  </si>
  <si>
    <t>Household.HasMissingIncome * destinationParcel.EmploymentTotal</t>
  </si>
  <si>
    <t>Household.HasMissingIncome * destinationParcel.StudentsUniversity</t>
  </si>
  <si>
    <t>Household.HasValidIncome *IsFulltimeWorker * studentsK12Buffer</t>
  </si>
  <si>
    <t>Household.HasValidIncome *IsFulltimeWorker * studentsUniversityBuffer</t>
  </si>
  <si>
    <t>Household.HasValidIncome *IsPartTimeWorker * industrialAgricultureConstructionBuffer</t>
  </si>
  <si>
    <t>Household.HasValidIncome *IsNotFullOrPartTimeWorker * foodBuffer</t>
  </si>
  <si>
    <t>Household.HasValidIncome *IsNotFullOrPartTimeWorker * medicalBuffer</t>
  </si>
  <si>
    <t>IsFulltimeWorker *Household.Has75KPlusIncome * employmentTotalBuffer</t>
  </si>
  <si>
    <t>IsNotFullOrPartTimeWorker *Household.HasIncomeUnder50K * governmentBuffer</t>
  </si>
  <si>
    <t>IsNotFullOrPartTimeWorker *Household.HasIncomeUnder50K * employmentTotalBuffer</t>
  </si>
  <si>
    <t>Household.HasValidIncome *IsFulltimeWorker * destinationParcel.EmploymentGovernment</t>
  </si>
  <si>
    <t>Household.HasValidIncome *IsFulltimeWorker * employmentIndustrialAgricultureConstruction</t>
  </si>
  <si>
    <t>Household.HasValidIncome *IsPartTimeWorker * employmentIndustrialAgricultureConstruction</t>
  </si>
  <si>
    <t>Household.HasValidIncome *IsNotFullOrPartTimeWorker * destinationParcel.EmploymentEducation</t>
  </si>
  <si>
    <t>Household.HasValidIncome *IsNotFullOrPartTimeWorker * destinationParcel.EmploymentFood</t>
  </si>
  <si>
    <t>Household.HasValidIncome *IsNotFullOrPartTimeWorker * destinationParcel.EmploymentRetail</t>
  </si>
  <si>
    <t>IsFulltimeWorker *Household.Has75KPlusIncome * destinationParcel.EmploymentGovernment</t>
  </si>
  <si>
    <t>IsFulltimeWorker) *Household.Has75KPlusIncome * destinationParcel.EmploymentOffice</t>
  </si>
  <si>
    <t>Household.HasValidIncome * serviceBuffer</t>
  </si>
  <si>
    <t>Household.HasValidIncome * educationBuffer</t>
  </si>
  <si>
    <t>Household.HasValidIncome * foodBuffer</t>
  </si>
  <si>
    <t>Household.HasValidIncome * governmentBuffer</t>
  </si>
  <si>
    <t>Household.HasValidIncome * officeBuffer</t>
  </si>
  <si>
    <t>Household.HasValidIncome * medicalBuffer</t>
  </si>
  <si>
    <t>IsFulltimeWorker * (Household.Has75KPlusIncome) * employmentIndustrialAgricultureConstruction</t>
  </si>
  <si>
    <t>IsPartTimeWorker * (Household.HasIncomeUnder50K) * destinationParcel.EmploymentMedical</t>
  </si>
  <si>
    <t>IsNotFullOrPartTimeWorker * (Household.HasIncomeUnder50K) * destinationParcel.EmploymentRetail</t>
  </si>
  <si>
    <t>Household.HasValidIncome * householdsBuffer</t>
  </si>
  <si>
    <t>IsPartTimeWorker</t>
  </si>
  <si>
    <t>IsStudentAge</t>
  </si>
  <si>
    <t>IsFemale</t>
  </si>
  <si>
    <t>Survey</t>
  </si>
  <si>
    <t>Table X. Observed Trip Durations: Survey</t>
  </si>
  <si>
    <t>Table X. Weighted Work at Home Counts by County: Survey</t>
  </si>
  <si>
    <t>Table X. Weighted Counts by County: Survey</t>
  </si>
  <si>
    <t>Table X. Weighted Work at Home Shares by County: Survey</t>
  </si>
  <si>
    <t>Table X. Observed Trip Lengths: Survey</t>
  </si>
  <si>
    <t>Survey Preparation</t>
  </si>
  <si>
    <t>In Survey data, persons whose home coordinates matched their usual workplace coordinates were filtered out since this would mean they usually work at home</t>
  </si>
  <si>
    <t>In Survey, PPTYP was used to determine the class of worker whereas in DaySim, PERSTYPE was used</t>
  </si>
  <si>
    <t>Within those, persons with same home and workplace coordinates/parcels (for Survey and DaySim respectively) were assumed to be working at home</t>
  </si>
  <si>
    <t>1 (work from home)</t>
  </si>
  <si>
    <t>0-3.5</t>
  </si>
  <si>
    <t>3.5-10</t>
  </si>
  <si>
    <t>&gt;= 10</t>
  </si>
  <si>
    <t>WFH</t>
  </si>
  <si>
    <t>TOTAL</t>
  </si>
  <si>
    <t>Model</t>
  </si>
  <si>
    <t>Count</t>
  </si>
  <si>
    <t>Ratio (FT)</t>
  </si>
  <si>
    <t>Adj.</t>
  </si>
  <si>
    <t>Old Coeff.</t>
  </si>
  <si>
    <t>New Coeff.</t>
  </si>
  <si>
    <t>CoeffIndex</t>
  </si>
  <si>
    <t>Tour</t>
  </si>
  <si>
    <t>Destination</t>
  </si>
  <si>
    <t>Created</t>
  </si>
  <si>
    <t>by</t>
  </si>
  <si>
    <t>ALOGIT</t>
  </si>
  <si>
    <t>version</t>
  </si>
  <si>
    <t>on</t>
  </si>
  <si>
    <t>END</t>
  </si>
  <si>
    <t>Instructions:</t>
  </si>
  <si>
    <t>Select all(ctrl+A)</t>
  </si>
  <si>
    <t>Go to "Data" --&gt;Text to Columns - Select "Delimited" ---&gt; "Space" ---&gt; Finish</t>
  </si>
  <si>
    <t>Paste in cell A8</t>
  </si>
  <si>
    <t>Old</t>
  </si>
  <si>
    <t>New</t>
  </si>
  <si>
    <t>By: nagendra.dhakar@rsginc.com</t>
  </si>
  <si>
    <t>Observed distance (in miles) based on joining AM peak SOV skim values to HH survey</t>
  </si>
  <si>
    <t>Work From Home</t>
  </si>
  <si>
    <t>Share</t>
  </si>
  <si>
    <t>Calibration:</t>
  </si>
  <si>
    <t>Calibrate work at home shares first</t>
  </si>
  <si>
    <t>Then distance segmented coefficients</t>
  </si>
  <si>
    <t>Observed Sources: Survey</t>
  </si>
  <si>
    <t>Observed duration (in minutes) based on joining  AM peak SOV skim values to HH survey</t>
  </si>
  <si>
    <t xml:space="preserve">Observed Sources: Survey </t>
  </si>
  <si>
    <t>Observed duration (in minutes) based on joining AM peak SOV skim values to HH survey</t>
  </si>
  <si>
    <t>Table X. Average Trip Length (miles)</t>
  </si>
  <si>
    <t>Open "WorkLocationModel.F12" ini Notepad+</t>
  </si>
  <si>
    <t>DaySim</t>
  </si>
  <si>
    <t>UltraEdit Instructions: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</si>
  <si>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</si>
  <si>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</si>
  <si>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</si>
  <si>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</si>
  <si>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</si>
  <si>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</si>
  <si>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"WorkLocationModel.F12" in UltraEdit</t>
  </si>
  <si>
    <t>Open "WorkLocationModel.F12"</t>
  </si>
  <si>
    <t>Choose column mode and select 4th columns from line 4 to line 81</t>
  </si>
  <si>
    <t>Hold Alt and using mouse select the 4th column from line line 4 to line 81</t>
  </si>
  <si>
    <t>Make sure that you select Col 21 to Col 35</t>
  </si>
  <si>
    <t>Instructions</t>
  </si>
  <si>
    <t>WorkLocationModel.F12</t>
  </si>
  <si>
    <t>damp</t>
  </si>
  <si>
    <t>Adjust</t>
  </si>
  <si>
    <t>Distance</t>
  </si>
  <si>
    <t>LN(Distance)</t>
  </si>
  <si>
    <t>Coeff. Index</t>
  </si>
  <si>
    <t>Ratio</t>
  </si>
  <si>
    <t>Use Regression under Data Analysis</t>
  </si>
  <si>
    <t>SUMMARY OUTPUT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</si>
  <si>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</si>
  <si>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</si>
  <si>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</si>
  <si>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</si>
  <si>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</si>
  <si>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</si>
  <si>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</si>
  <si>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df</t>
  </si>
  <si>
    <t>SS</t>
  </si>
  <si>
    <t>MS</t>
  </si>
  <si>
    <t>Significance F</t>
  </si>
  <si>
    <t>Regression</t>
  </si>
  <si>
    <t>Residual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</si>
  <si>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</si>
  <si>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</si>
  <si>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</si>
  <si>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</si>
  <si>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</si>
  <si>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</si>
  <si>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</si>
  <si>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Intercept</t>
  </si>
  <si>
    <t>X Variable 1</t>
  </si>
  <si>
    <t>NHTS (NFTPO) Survey</t>
  </si>
  <si>
    <t>Note: choose J47 as output cell</t>
  </si>
  <si>
    <t>Note: choose J73 as output cell</t>
  </si>
  <si>
    <t>(SACOG2000</t>
  </si>
  <si>
    <t>MNL</t>
  </si>
  <si>
    <t>v2203</t>
  </si>
  <si>
    <t>and</t>
  </si>
  <si>
    <t>NL</t>
  </si>
  <si>
    <t>v2301)</t>
  </si>
  <si>
    <t>Apr</t>
  </si>
  <si>
    <t>016:16:55</t>
  </si>
  <si>
    <t>Copy (Ctrl-c) cells W3:W76</t>
  </si>
  <si>
    <t>Code</t>
  </si>
  <si>
    <t>County</t>
  </si>
  <si>
    <t>Williamson</t>
  </si>
  <si>
    <t>Rutherford</t>
  </si>
  <si>
    <t>Sumner</t>
  </si>
  <si>
    <t>Roberston</t>
  </si>
  <si>
    <t>Davidson</t>
  </si>
  <si>
    <t>Maury</t>
  </si>
  <si>
    <t>Wilson</t>
  </si>
  <si>
    <t>District-level Commuter Flows</t>
  </si>
  <si>
    <t>Table X. Observed Worker Flows by District: Survey</t>
  </si>
  <si>
    <t>Table X. Estimated Worker Flows by District: DaySim</t>
  </si>
  <si>
    <t>WORKER FLOWS BY District: EST-OBS (DaySim - LEHD)</t>
  </si>
  <si>
    <t>CBD</t>
  </si>
  <si>
    <t>Inner Core I-24 E</t>
  </si>
  <si>
    <t>Inner Core I-24/65 N</t>
  </si>
  <si>
    <t>Inner Core I-24W</t>
  </si>
  <si>
    <t>Inner Core I-40 W</t>
  </si>
  <si>
    <t>Inner Core I-65 S</t>
  </si>
  <si>
    <t>Middle Core I-24 E</t>
  </si>
  <si>
    <t>Middle Core I-24 W</t>
  </si>
  <si>
    <t>Middle Core I-40 E</t>
  </si>
  <si>
    <t>Middle Core I-40 W</t>
  </si>
  <si>
    <t>Middle Core I-65 N</t>
  </si>
  <si>
    <t>Middle Core I-65 S</t>
  </si>
  <si>
    <t>Outer Core I-24 E</t>
  </si>
  <si>
    <t>Outer Core I-24 W</t>
  </si>
  <si>
    <t>Outer Core I-40 E</t>
  </si>
  <si>
    <t>Outer Core I-40 W</t>
  </si>
  <si>
    <t>Outer Core I-65 N</t>
  </si>
  <si>
    <t>Outer Core I-65 S</t>
  </si>
  <si>
    <t>Outer Core SR386</t>
  </si>
  <si>
    <t>Far Outer Core I-65 S</t>
  </si>
  <si>
    <t>SURVEY</t>
  </si>
  <si>
    <t>217 LEHD</t>
  </si>
  <si>
    <t>ABM</t>
  </si>
  <si>
    <t>Raw</t>
  </si>
  <si>
    <t>Scaled</t>
  </si>
  <si>
    <t>RAW</t>
  </si>
  <si>
    <t>SCALED</t>
  </si>
  <si>
    <t>District</t>
  </si>
  <si>
    <t>ID</t>
  </si>
  <si>
    <t>ABM-LEHD</t>
  </si>
  <si>
    <t>DIFF</t>
  </si>
  <si>
    <t>Table X. Observed Worker Flows by District: OD Data</t>
  </si>
  <si>
    <t>Table X. Adjusted Worker Flows by District: OD Data</t>
  </si>
  <si>
    <t>OD Data</t>
  </si>
  <si>
    <t>%</t>
  </si>
  <si>
    <t>ABM-OD Data</t>
  </si>
  <si>
    <t>Data</t>
  </si>
  <si>
    <t>Description</t>
  </si>
  <si>
    <t>RATIO</t>
  </si>
  <si>
    <t>LN(RATIO)</t>
  </si>
  <si>
    <t>CALIBRATION</t>
  </si>
  <si>
    <t>ADJ</t>
  </si>
  <si>
    <t>OBS</t>
  </si>
  <si>
    <t>% Workers by Work Locatioin District</t>
  </si>
  <si>
    <t>District 1-12</t>
  </si>
  <si>
    <t>SUM</t>
  </si>
  <si>
    <t>MIN</t>
  </si>
  <si>
    <t>MAX</t>
  </si>
  <si>
    <t>District 13-20</t>
  </si>
  <si>
    <t>DestD_1</t>
  </si>
  <si>
    <t>DestD_2</t>
  </si>
  <si>
    <t>DestD_3</t>
  </si>
  <si>
    <t>DestD_4</t>
  </si>
  <si>
    <t>DestD_5</t>
  </si>
  <si>
    <t>DestD_6</t>
  </si>
  <si>
    <t>DestD_7</t>
  </si>
  <si>
    <t>DestD_8</t>
  </si>
  <si>
    <t>DestD_9</t>
  </si>
  <si>
    <t>DestD_10</t>
  </si>
  <si>
    <t>DestD_11</t>
  </si>
  <si>
    <t>DestD_12</t>
  </si>
  <si>
    <t>DestD_13</t>
  </si>
  <si>
    <t>DestD_14</t>
  </si>
  <si>
    <t>DestD_15</t>
  </si>
  <si>
    <t>DestD_16</t>
  </si>
  <si>
    <t>DestD_17</t>
  </si>
  <si>
    <t>DestD_18</t>
  </si>
  <si>
    <t>DestD_19</t>
  </si>
  <si>
    <t>DestD_20</t>
  </si>
  <si>
    <t>1. Adjustments (Work from Home)</t>
  </si>
  <si>
    <t>2. Adjustments (Trip Length - FT)</t>
  </si>
  <si>
    <t>3. Adjustments (Trip Length - PT and NotFTPT)</t>
  </si>
  <si>
    <t>Change Flag</t>
  </si>
  <si>
    <t>COEF INDEX</t>
  </si>
  <si>
    <t>OLD COEFF</t>
  </si>
  <si>
    <t>NEW COEFF</t>
  </si>
  <si>
    <t>Solver Load</t>
  </si>
  <si>
    <t>% DIFF</t>
  </si>
  <si>
    <t>Table X. Scaled Estimated Worker Flows by District: DaySim</t>
  </si>
  <si>
    <t>Table X. ABS(DaySim - LEHD)</t>
  </si>
  <si>
    <t>New Ratio</t>
  </si>
  <si>
    <t>usual wsloc</t>
  </si>
  <si>
    <t>Origin</t>
  </si>
  <si>
    <t>Max Dist</t>
  </si>
  <si>
    <t>id</t>
  </si>
  <si>
    <t>Diff</t>
  </si>
  <si>
    <t>% Diff</t>
  </si>
  <si>
    <t>Ref</t>
  </si>
  <si>
    <t>origin_12_dest_12</t>
  </si>
  <si>
    <t>origin_13_dest_13</t>
  </si>
  <si>
    <t>O12_D12</t>
  </si>
  <si>
    <t>O13_D13</t>
  </si>
  <si>
    <t>County-level Work from Home Shares</t>
  </si>
  <si>
    <t>A worker is assumed to telework if not work from home and work hours &gt; 2.5hrs</t>
  </si>
  <si>
    <t>Table X. Weighted Work from Home Counts by County: Survey</t>
  </si>
  <si>
    <t>Table X. Estimated Work from Home Counts by County</t>
  </si>
  <si>
    <t>Table X. Difference Work from Home Counts by County</t>
  </si>
  <si>
    <t>County/District</t>
  </si>
  <si>
    <t>Rest</t>
  </si>
  <si>
    <t>Table X. Weighted Work from Home Shares by County: Survey</t>
  </si>
  <si>
    <t>Table X. Estimated Work from Home Shares by County</t>
  </si>
  <si>
    <t>Table X. Difference Work from Home Shares by County</t>
  </si>
  <si>
    <t>Telecommute</t>
  </si>
  <si>
    <t>Table X. Observed Worker Flows by District: LEHD (2021)</t>
  </si>
  <si>
    <t>Table X. Adjusted Worker Flows by District: LEHD (2021)</t>
  </si>
  <si>
    <t>2021 LEHD</t>
  </si>
  <si>
    <t>ABM-OD Data/OD Data</t>
  </si>
  <si>
    <t>WorkAtHome_AlternativeSpecificConstant</t>
  </si>
  <si>
    <t>4. Adjustments (Telecommute)</t>
  </si>
  <si>
    <t>TeleCommute
Target</t>
  </si>
  <si>
    <t>Overall
Target</t>
  </si>
  <si>
    <t>WORKER FLOWS BY District: EST-OBS (DaySim -OD Data)</t>
  </si>
  <si>
    <t>WORKER FLOWS BY District: (DaySim - OD Data)/OD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</si>
</sst>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_(* #,##0_);_(* \(#,##0\);_(* &quot;-&quot;??_);_(@_)"/>
    <numFmt numFmtId="168" formatCode="0.0"/>
    <numFmt numFmtId="169" formatCode="0.000"/>
    <numFmt numFmtId="170" formatCode="0.00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u/>
      <sz val="11"/>
      <color indexed="8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51">
    <xf borderId="0" fillId="0" fontId="0" numFmtId="0"/>
    <xf borderId="0" fillId="0" fontId="2" numFmtId="0">
      <alignment wrapText="1"/>
    </xf>
    <xf borderId="0" fillId="3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  <xf applyAlignment="0" applyBorder="0" applyFill="0" applyNumberFormat="0" applyProtection="0" borderId="0" fillId="0" fontId="9" numFmtId="0"/>
    <xf applyAlignment="0" applyFill="0" applyNumberFormat="0" applyProtection="0" borderId="8" fillId="0" fontId="10" numFmtId="0"/>
    <xf applyAlignment="0" applyFill="0" applyNumberFormat="0" applyProtection="0" borderId="9" fillId="0" fontId="11" numFmtId="0"/>
    <xf applyAlignment="0" applyFill="0" applyNumberFormat="0" applyProtection="0" borderId="10" fillId="0" fontId="12" numFmtId="0"/>
    <xf applyAlignment="0" applyBorder="0" applyFill="0" applyNumberFormat="0" applyProtection="0" borderId="0" fillId="0" fontId="12" numFmtId="0"/>
    <xf applyAlignment="0" applyBorder="0" applyNumberFormat="0" applyProtection="0" borderId="0" fillId="9" fontId="13" numFmtId="0"/>
    <xf applyAlignment="0" applyBorder="0" applyNumberFormat="0" applyProtection="0" borderId="0" fillId="10" fontId="14" numFmtId="0"/>
    <xf applyAlignment="0" applyNumberFormat="0" applyProtection="0" borderId="11" fillId="12" fontId="15" numFmtId="0"/>
    <xf applyAlignment="0" applyNumberFormat="0" applyProtection="0" borderId="12" fillId="13" fontId="16" numFmtId="0"/>
    <xf applyAlignment="0" applyNumberFormat="0" applyProtection="0" borderId="11" fillId="13" fontId="17" numFmtId="0"/>
    <xf applyAlignment="0" applyFill="0" applyNumberFormat="0" applyProtection="0" borderId="13" fillId="0" fontId="18" numFmtId="0"/>
    <xf applyAlignment="0" applyNumberFormat="0" applyProtection="0" borderId="14" fillId="14" fontId="19" numFmtId="0"/>
    <xf applyAlignment="0" applyBorder="0" applyFill="0" applyNumberFormat="0" applyProtection="0" borderId="0" fillId="0" fontId="20" numFmtId="0"/>
    <xf applyAlignment="0" applyFont="0" applyNumberFormat="0" applyProtection="0" borderId="15" fillId="15" fontId="3" numFmtId="0"/>
    <xf applyAlignment="0" applyBorder="0" applyFill="0" applyNumberFormat="0" applyProtection="0" borderId="0" fillId="0" fontId="21" numFmtId="0"/>
    <xf applyAlignment="0" applyFill="0" applyNumberFormat="0" applyProtection="0" borderId="16" fillId="0" fontId="1" numFmtId="0"/>
    <xf applyAlignment="0" applyBorder="0" applyNumberFormat="0" applyProtection="0" borderId="0" fillId="16" fontId="22" numFmtId="0"/>
    <xf applyAlignment="0" applyBorder="0" applyNumberFormat="0" applyProtection="0" borderId="0" fillId="17" fontId="3" numFmtId="0"/>
    <xf applyAlignment="0" applyBorder="0" applyNumberFormat="0" applyProtection="0" borderId="0" fillId="18" fontId="3" numFmtId="0"/>
    <xf applyAlignment="0" applyBorder="0" applyNumberFormat="0" applyProtection="0" borderId="0" fillId="20" fontId="22" numFmtId="0"/>
    <xf applyAlignment="0" applyBorder="0" applyNumberFormat="0" applyProtection="0" borderId="0" fillId="21" fontId="3" numFmtId="0"/>
    <xf applyAlignment="0" applyBorder="0" applyNumberFormat="0" applyProtection="0" borderId="0" fillId="22" fontId="3" numFmtId="0"/>
    <xf applyAlignment="0" applyBorder="0" applyNumberFormat="0" applyProtection="0" borderId="0" fillId="24" fontId="22" numFmtId="0"/>
    <xf applyAlignment="0" applyBorder="0" applyNumberFormat="0" applyProtection="0" borderId="0" fillId="25" fontId="3" numFmtId="0"/>
    <xf applyAlignment="0" applyBorder="0" applyNumberFormat="0" applyProtection="0" borderId="0" fillId="26" fontId="3" numFmtId="0"/>
    <xf applyAlignment="0" applyBorder="0" applyNumberFormat="0" applyProtection="0" borderId="0" fillId="28" fontId="22" numFmtId="0"/>
    <xf applyAlignment="0" applyBorder="0" applyNumberFormat="0" applyProtection="0" borderId="0" fillId="29" fontId="3" numFmtId="0"/>
    <xf applyAlignment="0" applyBorder="0" applyNumberFormat="0" applyProtection="0" borderId="0" fillId="30" fontId="3" numFmtId="0"/>
    <xf applyAlignment="0" applyBorder="0" applyNumberFormat="0" applyProtection="0" borderId="0" fillId="32" fontId="22" numFmtId="0"/>
    <xf applyAlignment="0" applyBorder="0" applyNumberFormat="0" applyProtection="0" borderId="0" fillId="33" fontId="3" numFmtId="0"/>
    <xf applyAlignment="0" applyBorder="0" applyNumberFormat="0" applyProtection="0" borderId="0" fillId="34" fontId="3" numFmtId="0"/>
    <xf applyAlignment="0" applyBorder="0" applyNumberFormat="0" applyProtection="0" borderId="0" fillId="36" fontId="22" numFmtId="0"/>
    <xf applyAlignment="0" applyBorder="0" applyNumberFormat="0" applyProtection="0" borderId="0" fillId="37" fontId="3" numFmtId="0"/>
    <xf applyAlignment="0" applyBorder="0" applyNumberFormat="0" applyProtection="0" borderId="0" fillId="38" fontId="3" numFmtId="0"/>
    <xf applyAlignment="0" applyBorder="0" applyNumberFormat="0" applyProtection="0" borderId="0" fillId="11" fontId="23" numFmtId="0"/>
    <xf applyAlignment="0" applyBorder="0" applyNumberFormat="0" applyProtection="0" borderId="0" fillId="19" fontId="22" numFmtId="0"/>
    <xf applyAlignment="0" applyBorder="0" applyNumberFormat="0" applyProtection="0" borderId="0" fillId="23" fontId="22" numFmtId="0"/>
    <xf applyAlignment="0" applyBorder="0" applyNumberFormat="0" applyProtection="0" borderId="0" fillId="27" fontId="22" numFmtId="0"/>
    <xf applyAlignment="0" applyBorder="0" applyNumberFormat="0" applyProtection="0" borderId="0" fillId="31" fontId="22" numFmtId="0"/>
    <xf applyAlignment="0" applyBorder="0" applyNumberFormat="0" applyProtection="0" borderId="0" fillId="35" fontId="22" numFmtId="0"/>
    <xf applyAlignment="0" applyBorder="0" applyNumberFormat="0" applyProtection="0" borderId="0" fillId="39" fontId="22" numFmtId="0"/>
  </cellStyleXfs>
  <cellXfs count="208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" xfId="0"/>
    <xf applyBorder="1" applyNumberFormat="1" borderId="1" fillId="0" fontId="0" numFmtId="1" xfId="0"/>
    <xf applyBorder="1" applyNumberFormat="1" borderId="3" fillId="0" fontId="0" numFmtId="2" xfId="0"/>
    <xf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Border="1" applyFont="1" applyNumberFormat="1" borderId="1" fillId="0" fontId="1" numFmtId="3" xfId="0"/>
    <xf applyAlignment="1" applyBorder="1" applyNumberFormat="1" borderId="2" fillId="0" fontId="0" numFmtId="3" xfId="0">
      <alignment horizontal="center"/>
    </xf>
    <xf applyBorder="1" applyNumberFormat="1" borderId="2" fillId="0" fontId="0" numFmtId="3" xfId="0"/>
    <xf applyNumberFormat="1" borderId="0" fillId="0" fontId="0" numFmtId="164" xfId="0"/>
    <xf applyBorder="1" applyNumberFormat="1" borderId="1" fillId="0" fontId="0" numFmtId="164" xfId="0"/>
    <xf applyBorder="1" applyFill="1" applyFont="1" borderId="1" fillId="2" fontId="1" numFmtId="0" xfId="0"/>
    <xf applyBorder="1" applyFill="1" borderId="1" fillId="2" fontId="0" numFmtId="0" xfId="0"/>
    <xf applyBorder="1" applyFill="1" borderId="2" fillId="2" fontId="0" numFmtId="0" xfId="0"/>
    <xf applyFill="1" borderId="0" fillId="2" fontId="0" numFmtId="0" xfId="0"/>
    <xf applyBorder="1" applyFill="1" borderId="3" fillId="2" fontId="0" numFmtId="0" xfId="0"/>
    <xf applyFill="1" applyFont="1" borderId="0" fillId="2" fontId="1" numFmtId="0" xfId="0"/>
    <xf applyAlignment="1" applyBorder="1" applyFill="1" borderId="2" fillId="2" fontId="0" numFmtId="0" xfId="0">
      <alignment horizontal="center" vertical="top"/>
    </xf>
    <xf applyFont="1" borderId="0" fillId="0" fontId="4" numFmtId="0" xfId="0"/>
    <xf applyNumberFormat="1" borderId="0" fillId="0" fontId="0" numFmtId="11" xfId="0"/>
    <xf applyAlignment="1" borderId="0" fillId="0" fontId="0" numFmtId="0" xfId="0">
      <alignment horizontal="left"/>
    </xf>
    <xf applyFont="1" borderId="0" fillId="0" fontId="5" numFmtId="0" xfId="0"/>
    <xf applyAlignment="1" applyFont="1" borderId="0" fillId="0" fontId="1" numFmtId="0" xfId="0">
      <alignment horizontal="center" vertical="center"/>
    </xf>
    <xf applyAlignment="1" applyFont="1" borderId="0" fillId="0" fontId="1" numFmtId="0" xfId="0">
      <alignment horizontal="center"/>
    </xf>
    <xf applyNumberFormat="1" borderId="0" fillId="0" fontId="0" numFmtId="21" xfId="0"/>
    <xf applyNumberFormat="1" borderId="0" fillId="0" fontId="0" numFmtId="166" xfId="0"/>
    <xf applyAlignment="1" applyFont="1" borderId="0" fillId="0" fontId="1" numFmtId="0" xfId="0">
      <alignment horizontal="right"/>
    </xf>
    <xf applyFont="1" applyNumberFormat="1" borderId="0" fillId="0" fontId="5" numFmtId="3" xfId="0"/>
    <xf applyNumberFormat="1" borderId="0" fillId="0" fontId="0" numFmtId="9" xfId="0"/>
    <xf applyBorder="1" applyNumberFormat="1" borderId="5" fillId="0" fontId="0" numFmtId="3" xfId="0"/>
    <xf applyBorder="1" applyNumberFormat="1" borderId="4" fillId="0" fontId="0" numFmtId="3" xfId="0"/>
    <xf applyBorder="1" applyNumberFormat="1" borderId="4" fillId="0" fontId="0" numFmtId="9" xfId="0"/>
    <xf applyAlignment="1" borderId="0" fillId="0" fontId="0" numFmtId="0" xfId="0">
      <alignment horizontal="center" vertical="top"/>
    </xf>
    <xf applyBorder="1" applyNumberFormat="1" borderId="5" fillId="0" fontId="0" numFmtId="10" xfId="0"/>
    <xf applyFont="1" applyNumberFormat="1" borderId="0" fillId="0" fontId="0" numFmtId="167" xfId="8"/>
    <xf applyBorder="1" applyFont="1" applyNumberFormat="1" borderId="1" fillId="0" fontId="0" numFmtId="167" xfId="8"/>
    <xf applyBorder="1" applyFont="1" applyNumberFormat="1" borderId="3" fillId="0" fontId="0" numFmtId="167" xfId="8"/>
    <xf applyBorder="1" applyFill="1" applyFont="1" applyNumberFormat="1" borderId="4" fillId="0" fontId="0" numFmtId="167" xfId="8"/>
    <xf applyNumberFormat="1" borderId="0" fillId="0" fontId="0" numFmtId="168" xfId="0"/>
    <xf applyBorder="1" applyNumberFormat="1" borderId="3" fillId="0" fontId="0" numFmtId="168" xfId="0"/>
    <xf applyBorder="1" applyNumberFormat="1" borderId="4" fillId="0" fontId="0" numFmtId="168" xfId="0"/>
    <xf applyFill="1" applyNumberFormat="1" borderId="0" fillId="2" fontId="0" numFmtId="168" xfId="0"/>
    <xf applyBorder="1" applyFill="1" applyNumberFormat="1" borderId="3" fillId="2" fontId="0" numFmtId="168" xfId="0"/>
    <xf applyBorder="1" applyFill="1" applyNumberFormat="1" borderId="1" fillId="2" fontId="0" numFmtId="168" xfId="0"/>
    <xf applyAlignment="1" applyFont="1" applyNumberFormat="1" borderId="0" fillId="0" fontId="2" numFmtId="167" xfId="8"/>
    <xf applyAlignment="1" applyBorder="1" applyFont="1" applyNumberFormat="1" borderId="1" fillId="0" fontId="2" numFmtId="167" xfId="8"/>
    <xf applyBorder="1" applyFont="1" applyNumberFormat="1" borderId="5" fillId="0" fontId="0" numFmtId="167" xfId="8"/>
    <xf applyFill="1" applyFont="1" borderId="0" fillId="7" fontId="5" numFmtId="0" xfId="0"/>
    <xf applyFill="1" borderId="0" fillId="7" fontId="0" numFmtId="0" xfId="0"/>
    <xf applyFill="1" applyNumberFormat="1" borderId="0" fillId="7" fontId="0" numFmtId="166" xfId="0"/>
    <xf applyFont="1" borderId="0" fillId="0" fontId="6" numFmtId="0" xfId="0"/>
    <xf applyFont="1" borderId="0" fillId="0" fontId="7" numFmtId="0" xfId="0"/>
    <xf applyBorder="1" applyFont="1" applyNumberFormat="1" borderId="0" fillId="0" fontId="0" numFmtId="167" xfId="8"/>
    <xf applyFont="1" borderId="0" fillId="0" fontId="0" numFmtId="9" xfId="9"/>
    <xf applyAlignment="1" borderId="0" fillId="0" fontId="0" numFmtId="0" xfId="0">
      <alignment horizontal="center"/>
    </xf>
    <xf applyAlignment="1" applyBorder="1" borderId="3" fillId="0" fontId="0" numFmtId="0" xfId="0">
      <alignment horizontal="center" vertical="top"/>
    </xf>
    <xf applyNumberFormat="1" borderId="0" fillId="0" fontId="0" numFmtId="169" xfId="0"/>
    <xf applyAlignment="1" applyBorder="1" borderId="7" fillId="0" fontId="0" numFmtId="0" xfId="0">
      <alignment horizontal="center" vertical="top"/>
    </xf>
    <xf applyBorder="1" applyNumberFormat="1" borderId="6" fillId="0" fontId="0" numFmtId="2" xfId="0"/>
    <xf applyAlignment="1" applyBorder="1" applyFont="1" borderId="2" fillId="0" fontId="8" numFmtId="0" xfId="0">
      <alignment horizontal="centerContinuous"/>
    </xf>
    <xf applyAlignment="1" applyFont="1" borderId="0" fillId="0" fontId="8" numFmtId="0" xfId="0">
      <alignment horizontal="center"/>
    </xf>
    <xf applyAlignment="1" applyBorder="1" applyFont="1" borderId="2" fillId="0" fontId="8" numFmtId="0" xfId="0">
      <alignment horizontal="center"/>
    </xf>
    <xf applyAlignment="1" applyFont="1" borderId="0" fillId="0" fontId="5" numFmtId="0" xfId="0">
      <alignment horizontal="left"/>
    </xf>
    <xf applyFill="1" borderId="0" fillId="8" fontId="0" numFmtId="0" xfId="0"/>
    <xf applyBorder="1" applyFill="1" borderId="6" fillId="8" fontId="0" numFmtId="0" xfId="0"/>
    <xf applyBorder="1" applyFill="1" borderId="3" fillId="8" fontId="0" numFmtId="0" xfId="0"/>
    <xf applyBorder="1" applyNumberFormat="1" borderId="3" fillId="0" fontId="0" numFmtId="164" xfId="0"/>
    <xf applyBorder="1" applyNumberFormat="1" borderId="6" fillId="0" fontId="0" numFmtId="3" xfId="0"/>
    <xf applyFont="1" borderId="0" fillId="0" fontId="24" numFmtId="0" xfId="0"/>
    <xf applyBorder="1" applyFont="1" borderId="0" fillId="0" fontId="0" numFmtId="9" xfId="9"/>
    <xf applyAlignment="1" applyBorder="1" borderId="3" fillId="0" fontId="0" numFmtId="0" xfId="0">
      <alignment horizontal="right"/>
    </xf>
    <xf applyFont="1" applyNumberFormat="1" borderId="0" fillId="0" fontId="0" numFmtId="164" xfId="9"/>
    <xf applyBorder="1" applyFont="1" applyNumberFormat="1" borderId="6" fillId="0" fontId="0" numFmtId="164" xfId="9"/>
    <xf applyBorder="1" applyFont="1" applyNumberFormat="1" borderId="0" fillId="0" fontId="0" numFmtId="164" xfId="9"/>
    <xf applyBorder="1" applyFont="1" applyNumberFormat="1" borderId="3" fillId="0" fontId="0" numFmtId="164" xfId="9"/>
    <xf applyBorder="1" applyFont="1" applyNumberFormat="1" borderId="1" fillId="0" fontId="0" numFmtId="164" xfId="9"/>
    <xf applyBorder="1" applyFont="1" applyNumberFormat="1" borderId="4" fillId="0" fontId="0" numFmtId="167" xfId="8"/>
    <xf applyNumberFormat="1" borderId="0" fillId="0" fontId="0" numFmtId="167" xfId="0"/>
    <xf applyBorder="1" applyFont="1" borderId="4" fillId="0" fontId="1" numFmtId="0" xfId="0"/>
    <xf applyAlignment="1" applyBorder="1" applyFont="1" borderId="4" fillId="0" fontId="1" numFmtId="0" xfId="0">
      <alignment horizontal="left"/>
    </xf>
    <xf applyBorder="1" applyFont="1" applyNumberFormat="1" borderId="4" fillId="0" fontId="1" numFmtId="167" xfId="0"/>
    <xf applyBorder="1" borderId="5" fillId="0" fontId="0" numFmtId="0" xfId="0"/>
    <xf applyAlignment="1" applyBorder="1" borderId="5" fillId="0" fontId="0" numFmtId="0" xfId="0">
      <alignment horizontal="right"/>
    </xf>
    <xf applyAlignment="1" applyBorder="1" borderId="17" fillId="0" fontId="0" numFmtId="0" xfId="0">
      <alignment horizontal="right"/>
    </xf>
    <xf applyBorder="1" applyNumberFormat="1" borderId="18" fillId="0" fontId="0" numFmtId="167" xfId="0"/>
    <xf applyBorder="1" applyFont="1" applyNumberFormat="1" borderId="19" fillId="0" fontId="1" numFmtId="167" xfId="0"/>
    <xf applyBorder="1" applyNumberFormat="1" borderId="20" fillId="0" fontId="0" numFmtId="9" xfId="0"/>
    <xf applyAlignment="1" applyBorder="1" borderId="23" fillId="0" fontId="0" numFmtId="0" xfId="0">
      <alignment horizontal="right"/>
    </xf>
    <xf applyBorder="1" applyFont="1" borderId="22" fillId="0" fontId="0" numFmtId="9" xfId="9"/>
    <xf applyBorder="1" applyFont="1" borderId="26" fillId="0" fontId="0" numFmtId="9" xfId="9"/>
    <xf applyBorder="1" applyNumberFormat="1" borderId="22" fillId="0" fontId="0" numFmtId="167" xfId="0"/>
    <xf applyBorder="1" applyFont="1" applyNumberFormat="1" borderId="28" fillId="0" fontId="1" numFmtId="167" xfId="0"/>
    <xf applyBorder="1" applyNumberFormat="1" borderId="18" fillId="0" fontId="0" numFmtId="164" xfId="0"/>
    <xf applyBorder="1" applyNumberFormat="1" borderId="21" fillId="0" fontId="0" numFmtId="164" xfId="0"/>
    <xf applyAlignment="1" borderId="0" fillId="0" fontId="0" numFmtId="0" xfId="0">
      <alignment horizontal="right"/>
    </xf>
    <xf applyAlignment="1" applyBorder="1" borderId="24" fillId="0" fontId="0" numFmtId="0" xfId="0">
      <alignment horizontal="right"/>
    </xf>
    <xf applyAlignment="1" applyBorder="1" borderId="6" fillId="0" fontId="0" numFmtId="0" xfId="0">
      <alignment horizontal="right"/>
    </xf>
    <xf applyBorder="1" applyFont="1" borderId="4" fillId="0" fontId="1" numFmtId="9" xfId="9"/>
    <xf applyBorder="1" applyFont="1" borderId="28" fillId="0" fontId="1" numFmtId="9" xfId="9"/>
    <xf applyBorder="1" applyNumberFormat="1" borderId="24" fillId="0" fontId="0" numFmtId="167" xfId="0"/>
    <xf applyBorder="1" applyNumberFormat="1" borderId="6" fillId="0" fontId="0" numFmtId="167" xfId="0"/>
    <xf applyBorder="1" applyNumberFormat="1" borderId="25" fillId="0" fontId="0" numFmtId="167" xfId="0"/>
    <xf applyBorder="1" applyNumberFormat="1" borderId="3" fillId="0" fontId="0" numFmtId="167" xfId="0"/>
    <xf applyAlignment="1" applyBorder="1" borderId="26" fillId="0" fontId="0" numFmtId="0" xfId="0">
      <alignment horizontal="right"/>
    </xf>
    <xf applyBorder="1" applyNumberFormat="1" borderId="27" fillId="0" fontId="0" numFmtId="9" xfId="0"/>
    <xf applyFont="1" applyNumberFormat="1" borderId="0" fillId="0" fontId="0" numFmtId="169" xfId="8"/>
    <xf applyFont="1" applyNumberFormat="1" borderId="0" fillId="0" fontId="0" numFmtId="170" xfId="8"/>
    <xf applyNumberFormat="1" borderId="0" fillId="0" fontId="0" numFmtId="170" xfId="0"/>
    <xf applyFont="1" applyNumberFormat="1" borderId="0" fillId="0" fontId="1" numFmtId="167" xfId="8"/>
    <xf applyBorder="1" borderId="31" fillId="0" fontId="0" numFmtId="0" xfId="0"/>
    <xf applyBorder="1" applyFont="1" applyNumberFormat="1" borderId="32" fillId="0" fontId="0" numFmtId="164" xfId="9"/>
    <xf applyBorder="1" borderId="33" fillId="0" fontId="0" numFmtId="0" xfId="0"/>
    <xf applyBorder="1" applyFont="1" applyNumberFormat="1" borderId="34" fillId="0" fontId="0" numFmtId="164" xfId="9"/>
    <xf applyBorder="1" borderId="35" fillId="0" fontId="0" numFmtId="0" xfId="0"/>
    <xf applyAlignment="1" applyBorder="1" borderId="36" fillId="0" fontId="0" numFmtId="0" xfId="0">
      <alignment horizontal="center"/>
    </xf>
    <xf applyBorder="1" borderId="37" fillId="0" fontId="0" numFmtId="0" xfId="0"/>
    <xf applyBorder="1" applyNumberFormat="1" borderId="32" fillId="0" fontId="0" numFmtId="167" xfId="0"/>
    <xf applyBorder="1" applyFont="1" applyNumberFormat="1" borderId="38" fillId="0" fontId="0" numFmtId="167" xfId="8"/>
    <xf applyFill="1" applyNumberFormat="1" borderId="0" fillId="5" fontId="0" numFmtId="170" xfId="0"/>
    <xf applyBorder="1" applyFill="1" applyNumberFormat="1" borderId="3" fillId="5" fontId="0" numFmtId="170" xfId="0"/>
    <xf applyFill="1" applyNumberFormat="1" borderId="0" fillId="4" fontId="0" numFmtId="170" xfId="0"/>
    <xf applyBorder="1" applyFill="1" applyNumberFormat="1" borderId="3" fillId="4" fontId="0" numFmtId="170" xfId="0"/>
    <xf applyBorder="1" applyNumberFormat="1" borderId="3" fillId="0" fontId="0" numFmtId="170" xfId="0"/>
    <xf applyBorder="1" applyFill="1" applyNumberFormat="1" borderId="3" fillId="5" fontId="0" numFmtId="169" xfId="0"/>
    <xf applyBorder="1" applyNumberFormat="1" borderId="6" fillId="0" fontId="0" numFmtId="170" xfId="0"/>
    <xf applyFill="1" applyFont="1" applyNumberFormat="1" borderId="0" fillId="6" fontId="22" numFmtId="166" xfId="0"/>
    <xf applyBorder="1" applyFont="1" applyNumberFormat="1" borderId="0" fillId="0" fontId="0" numFmtId="170" xfId="8"/>
    <xf applyBorder="1" borderId="39" fillId="0" fontId="0" numFmtId="0" xfId="0"/>
    <xf applyBorder="1" applyFont="1" borderId="31" fillId="0" fontId="4" numFmtId="0" xfId="0"/>
    <xf applyBorder="1" applyFont="1" borderId="41" fillId="0" fontId="0" numFmtId="43" xfId="8"/>
    <xf applyBorder="1" applyFont="1" borderId="42" fillId="0" fontId="0" numFmtId="43" xfId="8"/>
    <xf applyBorder="1" applyFont="1" borderId="43" fillId="0" fontId="1" numFmtId="0" xfId="0"/>
    <xf applyBorder="1" applyFill="1" borderId="32" fillId="8" fontId="0" numFmtId="0" xfId="0"/>
    <xf applyBorder="1" applyFont="1" applyNumberFormat="1" borderId="1" fillId="0" fontId="0" numFmtId="170" xfId="8"/>
    <xf applyBorder="1" applyNumberFormat="1" borderId="1" fillId="0" fontId="0" numFmtId="170" xfId="0"/>
    <xf applyBorder="1" applyFill="1" applyNumberFormat="1" borderId="1" fillId="5" fontId="0" numFmtId="170" xfId="0"/>
    <xf applyBorder="1" applyFill="1" borderId="34" fillId="8" fontId="0" numFmtId="0" xfId="0"/>
    <xf applyAlignment="1" applyBorder="1" applyFont="1" borderId="40" fillId="0" fontId="8" numFmtId="0" xfId="0">
      <alignment horizontal="right"/>
    </xf>
    <xf applyBorder="1" applyFont="1" borderId="5" fillId="0" fontId="8" numFmtId="0" xfId="0"/>
    <xf applyAlignment="1" applyBorder="1" applyFont="1" borderId="24" fillId="0" fontId="8" numFmtId="0" xfId="0">
      <alignment horizontal="right"/>
    </xf>
    <xf applyAlignment="1" applyBorder="1" applyFont="1" borderId="6" fillId="0" fontId="8" numFmtId="0" xfId="0">
      <alignment horizontal="right"/>
    </xf>
    <xf applyAlignment="1" applyBorder="1" applyFont="1" borderId="17" fillId="0" fontId="8" numFmtId="0" xfId="0">
      <alignment horizontal="right"/>
    </xf>
    <xf applyAlignment="1" applyBorder="1" applyFont="1" borderId="5" fillId="0" fontId="8" numFmtId="0" xfId="0">
      <alignment horizontal="right"/>
    </xf>
    <xf applyAlignment="1" applyBorder="1" applyFont="1" borderId="23" fillId="0" fontId="8" numFmtId="0" xfId="0">
      <alignment horizontal="right"/>
    </xf>
    <xf applyAlignment="1" applyBorder="1" applyFont="1" borderId="26" fillId="0" fontId="8" numFmtId="0" xfId="0">
      <alignment horizontal="right"/>
    </xf>
    <xf applyBorder="1" applyFont="1" borderId="45" fillId="0" fontId="8" numFmtId="0" xfId="0"/>
    <xf applyAlignment="1" applyBorder="1" applyFont="1" borderId="44" fillId="0" fontId="8" numFmtId="0" xfId="0">
      <alignment horizontal="right"/>
    </xf>
    <xf applyBorder="1" applyFill="1" applyNumberFormat="1" borderId="1" fillId="4" fontId="0" numFmtId="43" xfId="0"/>
    <xf applyBorder="1" applyFont="1" applyNumberFormat="1" borderId="6" fillId="0" fontId="0" numFmtId="170" xfId="8"/>
    <xf applyBorder="1" applyFill="1" borderId="31" fillId="4" fontId="0" numFmtId="0" xfId="0"/>
    <xf applyBorder="1" applyFill="1" borderId="33" fillId="4" fontId="0" numFmtId="0" xfId="0"/>
    <xf applyBorder="1" applyFont="1" borderId="3" fillId="0" fontId="0" numFmtId="9" xfId="9"/>
    <xf applyFont="1" borderId="0" fillId="0" fontId="1" numFmtId="9" xfId="9"/>
    <xf applyAlignment="1" applyFont="1" borderId="0" fillId="0" fontId="8" numFmtId="0" xfId="0">
      <alignment horizontal="right"/>
    </xf>
    <xf applyNumberFormat="1" borderId="0" fillId="0" fontId="0" numFmtId="43" xfId="0"/>
    <xf applyBorder="1" applyFill="1" applyFont="1" applyNumberFormat="1" borderId="0" fillId="0" fontId="0" numFmtId="167" xfId="8"/>
    <xf applyBorder="1" applyFont="1" borderId="46" fillId="0" fontId="25" numFmtId="0" xfId="0"/>
    <xf applyBorder="1" applyFont="1" borderId="46" fillId="0" fontId="24" numFmtId="0" xfId="0"/>
    <xf applyBorder="1" applyFont="1" borderId="47" fillId="0" fontId="24" numFmtId="0" xfId="0"/>
    <xf applyAlignment="1" applyBorder="1" applyFont="1" borderId="47" fillId="0" fontId="24" numFmtId="0" xfId="0">
      <alignment horizontal="center"/>
    </xf>
    <xf applyFont="1" applyNumberFormat="1" borderId="0" fillId="0" fontId="24" numFmtId="3" xfId="0"/>
    <xf applyBorder="1" applyFont="1" borderId="48" fillId="0" fontId="24" numFmtId="0" xfId="0"/>
    <xf applyBorder="1" applyFont="1" applyNumberFormat="1" borderId="48" fillId="0" fontId="24" numFmtId="3" xfId="0"/>
    <xf applyBorder="1" applyFont="1" applyNumberFormat="1" borderId="46" fillId="0" fontId="24" numFmtId="3" xfId="0"/>
    <xf applyBorder="1" applyFont="1" applyNumberFormat="1" borderId="46" fillId="0" fontId="25" numFmtId="3" xfId="0"/>
    <xf applyBorder="1" applyFont="1" applyNumberFormat="1" borderId="47" fillId="0" fontId="24" numFmtId="3" xfId="0"/>
    <xf applyAlignment="1" applyBorder="1" applyFont="1" applyNumberFormat="1" borderId="47" fillId="0" fontId="24" numFmtId="3" xfId="0">
      <alignment horizontal="center"/>
    </xf>
    <xf applyBorder="1" applyFont="1" applyNumberFormat="1" borderId="49" fillId="0" fontId="24" numFmtId="164" xfId="0"/>
    <xf applyFont="1" applyNumberFormat="1" borderId="0" fillId="0" fontId="24" numFmtId="164" xfId="0"/>
    <xf applyBorder="1" applyFont="1" applyNumberFormat="1" borderId="48" fillId="0" fontId="24" numFmtId="164" xfId="0"/>
    <xf applyBorder="1" applyFont="1" applyNumberFormat="1" borderId="46" fillId="0" fontId="24" numFmtId="164" xfId="0"/>
    <xf applyFont="1" borderId="0" fillId="0" fontId="26" numFmtId="0" xfId="0"/>
    <xf applyAlignment="1" applyBorder="1" applyFont="1" borderId="47" fillId="0" fontId="24" numFmtId="0" xfId="0">
      <alignment horizontal="center" vertical="top"/>
    </xf>
    <xf applyBorder="1" applyFont="1" applyNumberFormat="1" borderId="50" fillId="0" fontId="24" numFmtId="3" xfId="0"/>
    <xf applyBorder="1" applyFont="1" applyNumberFormat="1" borderId="50" fillId="0" fontId="24" numFmtId="167" xfId="0"/>
    <xf applyBorder="1" applyFont="1" applyNumberFormat="1" borderId="51" fillId="0" fontId="24" numFmtId="3" xfId="0"/>
    <xf applyBorder="1" applyFont="1" applyNumberFormat="1" borderId="51" fillId="0" fontId="24" numFmtId="167" xfId="0"/>
    <xf applyBorder="1" applyFont="1" applyNumberFormat="1" borderId="50" fillId="0" fontId="24" numFmtId="10" xfId="0"/>
    <xf applyBorder="1" applyFont="1" applyNumberFormat="1" borderId="51" fillId="0" fontId="24" numFmtId="9" xfId="0"/>
    <xf applyAlignment="1" applyBorder="1" borderId="47" fillId="0" fontId="0" numFmtId="0" xfId="0">
      <alignment horizontal="center" vertical="top"/>
    </xf>
    <xf applyAlignment="1" applyBorder="1" borderId="50" fillId="0" fontId="0" numFmtId="0" xfId="0">
      <alignment horizontal="left" vertical="top"/>
    </xf>
    <xf applyBorder="1" applyFill="1" applyNumberFormat="1" borderId="48" fillId="4" fontId="0" numFmtId="166" xfId="0"/>
    <xf applyBorder="1" applyNumberFormat="1" borderId="48" fillId="0" fontId="0" numFmtId="2" xfId="0"/>
    <xf applyBorder="1" applyFill="1" applyNumberFormat="1" borderId="48" fillId="5" fontId="0" numFmtId="166" xfId="0"/>
    <xf applyAlignment="1" borderId="0" fillId="0" fontId="0" numFmtId="0" xfId="0">
      <alignment horizontal="center" vertical="top" wrapText="1"/>
    </xf>
    <xf applyBorder="1" applyFont="1" applyNumberFormat="1" borderId="50" fillId="0" fontId="24" numFmtId="164" xfId="0"/>
    <xf applyAlignment="1" applyBorder="1" borderId="2" fillId="0" fontId="0" numFmtId="0" xfId="0">
      <alignment horizontal="center"/>
    </xf>
    <xf applyAlignment="1" applyBorder="1" borderId="30" fillId="0" fontId="0" numFmtId="0" xfId="0">
      <alignment horizontal="center"/>
    </xf>
    <xf applyAlignment="1" applyBorder="1" borderId="29" fillId="0" fontId="0" numFmtId="0" xfId="0">
      <alignment horizontal="center"/>
    </xf>
    <xf applyAlignment="1" applyBorder="1" borderId="21" fillId="0" fontId="0" numFmtId="0" xfId="0">
      <alignment horizontal="center"/>
    </xf>
    <xf applyAlignment="1" applyBorder="1" borderId="3" fillId="0" fontId="0" numFmtId="0" xfId="0">
      <alignment horizontal="center"/>
    </xf>
    <xf applyAlignment="1" applyBorder="1" borderId="26" fillId="0" fontId="0" numFmtId="0" xfId="0">
      <alignment horizontal="center"/>
    </xf>
    <xf applyAlignment="1" applyBorder="1" applyFont="1" borderId="35" fillId="0" fontId="1" numFmtId="0" xfId="0">
      <alignment horizontal="center"/>
    </xf>
    <xf applyAlignment="1" applyBorder="1" applyFont="1" borderId="2" fillId="0" fontId="1" numFmtId="0" xfId="0">
      <alignment horizontal="center"/>
    </xf>
    <xf applyAlignment="1" applyBorder="1" applyFont="1" borderId="36" fillId="0" fontId="1" numFmtId="0" xfId="0">
      <alignment horizontal="center"/>
    </xf>
    <xf applyAlignment="1" applyFont="1" borderId="0" fillId="0" fontId="1" numFmtId="0" xfId="0">
      <alignment horizontal="center"/>
    </xf>
    <xf applyAlignment="1" applyBorder="1" applyFont="1" borderId="30" fillId="0" fontId="1" numFmtId="0" xfId="0">
      <alignment horizontal="center"/>
    </xf>
    <xf applyAlignment="1" applyBorder="1" applyFont="1" borderId="29" fillId="0" fontId="1" numFmtId="0" xfId="0">
      <alignment horizontal="center"/>
    </xf>
  </cellXfs>
  <cellStyles count="51">
    <cellStyle builtinId="30" customBuiltin="1" name="20% - Accent1" xfId="27"/>
    <cellStyle builtinId="34" customBuiltin="1" name="20% - Accent2" xfId="30"/>
    <cellStyle builtinId="38" customBuiltin="1" name="20% - Accent3" xfId="33"/>
    <cellStyle builtinId="42" customBuiltin="1" name="20% - Accent4" xfId="36"/>
    <cellStyle builtinId="46" customBuiltin="1" name="20% - Accent5" xfId="39"/>
    <cellStyle builtinId="50" customBuiltin="1" name="20% - Accent6" xfId="42"/>
    <cellStyle builtinId="31" customBuiltin="1" name="40% - Accent1" xfId="28"/>
    <cellStyle builtinId="35" customBuiltin="1" name="40% - Accent2" xfId="31"/>
    <cellStyle builtinId="39" customBuiltin="1" name="40% - Accent3" xfId="34"/>
    <cellStyle builtinId="43" customBuiltin="1" name="40% - Accent4" xfId="37"/>
    <cellStyle builtinId="47" customBuiltin="1" name="40% - Accent5" xfId="40"/>
    <cellStyle builtinId="51" customBuiltin="1" name="40% - Accent6" xfId="43"/>
    <cellStyle name="60% - Accent1 2" xfId="45" xr:uid="{00000000-0005-0000-0000-00000C000000}"/>
    <cellStyle name="60% - Accent2 2" xfId="46" xr:uid="{00000000-0005-0000-0000-00000D000000}"/>
    <cellStyle name="60% - Accent3 2" xfId="47" xr:uid="{00000000-0005-0000-0000-00000E000000}"/>
    <cellStyle name="60% - Accent4 2" xfId="48" xr:uid="{00000000-0005-0000-0000-00000F000000}"/>
    <cellStyle name="60% - Accent5 2" xfId="49" xr:uid="{00000000-0005-0000-0000-000010000000}"/>
    <cellStyle name="60% - Accent6 2" xfId="50" xr:uid="{00000000-0005-0000-0000-000011000000}"/>
    <cellStyle builtinId="29" customBuiltin="1" name="Accent1" xfId="26"/>
    <cellStyle builtinId="33" customBuiltin="1" name="Accent2" xfId="29"/>
    <cellStyle builtinId="37" customBuiltin="1" name="Accent3" xfId="32"/>
    <cellStyle builtinId="41" customBuiltin="1" name="Accent4" xfId="35"/>
    <cellStyle builtinId="45" customBuiltin="1" name="Accent5" xfId="38"/>
    <cellStyle builtinId="49" customBuiltin="1" name="Accent6" xfId="41"/>
    <cellStyle builtinId="27" customBuiltin="1" name="Bad" xfId="16"/>
    <cellStyle builtinId="22" customBuiltin="1" name="Calculation" xfId="19"/>
    <cellStyle builtinId="23" customBuiltin="1" name="Check Cell" xfId="21"/>
    <cellStyle builtinId="3" name="Comma" xfId="8"/>
    <cellStyle builtinId="53" customBuiltin="1" name="Explanatory Text" xfId="24"/>
    <cellStyle builtinId="26" customBuiltin="1" name="Good" xfId="15"/>
    <cellStyle builtinId="16" customBuiltin="1" name="Heading 1" xfId="11"/>
    <cellStyle builtinId="17" customBuiltin="1" name="Heading 2" xfId="12"/>
    <cellStyle builtinId="18" customBuiltin="1" name="Heading 3" xfId="13"/>
    <cellStyle builtinId="19" customBuiltin="1" name="Heading 4" xfId="14"/>
    <cellStyle builtinId="20" customBuiltin="1" name="Input" xfId="17"/>
    <cellStyle builtinId="24" customBuiltin="1" name="Linked Cell" xfId="20"/>
    <cellStyle name="Neutral 2" xfId="44" xr:uid="{00000000-0005-0000-0000-000024000000}"/>
    <cellStyle builtinId="0" name="Normal" xfId="0"/>
    <cellStyle builtinId="10" customBuiltin="1" name="Note" xfId="23"/>
    <cellStyle builtinId="21" customBuiltin="1" name="Output" xfId="18"/>
    <cellStyle builtinId="5" name="Percent" xfId="9"/>
    <cellStyle builtinId="15" customBuiltin="1" name="Title" xfId="10"/>
    <cellStyle builtinId="25" customBuiltin="1" name="Total" xfId="25"/>
    <cellStyle builtinId="11" customBuiltin="1" name="Warning Text" xfId="22"/>
    <cellStyle name="XLConnect.Boolean" xfId="6" xr:uid="{00000000-0005-0000-0000-00002C000000}"/>
    <cellStyle name="XLConnect.Date" xfId="3" xr:uid="{00000000-0005-0000-0000-00002D000000}"/>
    <cellStyle name="XLConnect.DateTime" xfId="7" xr:uid="{00000000-0005-0000-0000-00002E000000}"/>
    <cellStyle name="XLConnect.General" xfId="1" xr:uid="{00000000-0005-0000-0000-00002F000000}"/>
    <cellStyle name="XLConnect.Header" xfId="2" xr:uid="{00000000-0005-0000-0000-000030000000}"/>
    <cellStyle name="XLConnect.Numeric" xfId="5" xr:uid="{00000000-0005-0000-0000-000031000000}"/>
    <cellStyle name="XLConnect.String" xfId="4" xr:uid="{00000000-0005-0000-0000-000032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PivotStyle="PivotStyleLight16" defaultTableStyle="TableStyleMedium9">
    <tableStyle count="2" name="MySqlDefault" pivot="0" table="0" xr9:uid="{00000000-0011-0000-FFFF-FFFF00000000}">
      <tableStyleElement dxfId="1" type="wholeTable"/>
      <tableStyleElement dxfId="0" type="headerRow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theme/theme1.xml" Type="http://schemas.openxmlformats.org/officeDocument/2006/relationships/theme"/>
    <Relationship Id="rId15" Target="styles.xml" Type="http://schemas.openxmlformats.org/officeDocument/2006/relationships/styles"/>
    <Relationship Id="rId16" Target="sharedStrings.xml" Type="http://schemas.openxmlformats.org/officeDocument/2006/relationships/sharedStrings"/>
    <Relationship Id="rId17" Target="calcChain.xml" Type="http://schemas.openxmlformats.org/officeDocument/2006/relationships/calcChain"/>
    <Relationship Id="rId18" Target="../customXml/item1.xml" Type="http://schemas.openxmlformats.org/officeDocument/2006/relationships/customXml"/>
    <Relationship Id="rId19" Target="../customXml/item2.xml" Type="http://schemas.openxmlformats.org/officeDocument/2006/relationships/customXml"/>
    <Relationship Id="rId2" Target="worksheets/sheet2.xml" Type="http://schemas.openxmlformats.org/officeDocument/2006/relationships/worksheet"/>
    <Relationship Id="rId20" Target="../customXml/item3.xml" Type="http://schemas.openxmlformats.org/officeDocument/2006/relationships/customXml"/>
    <Relationship Id="rId21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3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_rels/chart4.xml.rels><?xml version="1.0" encoding="UTF-8" standalone="no"?>
<Relationships xmlns="http://schemas.openxmlformats.org/package/2006/relationships">
    <Relationship Id="rId1" Target="style2.xml" Type="http://schemas.microsoft.com/office/2011/relationships/chartStyle"/>
    <Relationship Id="rId2" Target="colors2.xml" Type="http://schemas.microsoft.com/office/2011/relationships/chartColorStyle"/>
</Relationships>

</file>

<file path=xl/charts/_rels/chart5.xml.rels><?xml version="1.0" encoding="UTF-8" standalone="no"?>
<Relationships xmlns="http://schemas.openxmlformats.org/package/2006/relationships">
    <Relationship Id="rId1" Target="style3.xml" Type="http://schemas.microsoft.com/office/2011/relationships/chartStyle"/>
    <Relationship Id="rId2" Target="colors3.xml" Type="http://schemas.microsoft.com/office/2011/relationships/chartColorStyle"/>
</Relationships>

</file>

<file path=xl/charts/_rels/chart6.xml.rels><?xml version="1.0" encoding="UTF-8" standalone="no"?>
<Relationships xmlns="http://schemas.openxmlformats.org/package/2006/relationships">
    <Relationship Id="rId1" Target="style4.xml" Type="http://schemas.microsoft.com/office/2011/relationships/chartStyle"/>
    <Relationship Id="rId2" Target="colors4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 to Work Distance (Workers)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TLFD!$F$11:$F$100</c:f>
              <c:numCache>
                <c:formatCode>0%</c:formatCode>
                <c:ptCount val="90"/>
                <c:pt idx="0">
                  <c:v>1.9977860523408449E-2</c:v>
                </c:pt>
                <c:pt idx="1">
                  <c:v>4.647892041313325E-2</c:v>
                </c:pt>
                <c:pt idx="2">
                  <c:v>5.3883262055653365E-2</c:v>
                </c:pt>
                <c:pt idx="3">
                  <c:v>6.1715207187639565E-2</c:v>
                </c:pt>
                <c:pt idx="4">
                  <c:v>5.614030356507687E-2</c:v>
                </c:pt>
                <c:pt idx="5">
                  <c:v>4.269422226959671E-2</c:v>
                </c:pt>
                <c:pt idx="6">
                  <c:v>5.2415902052596899E-2</c:v>
                </c:pt>
                <c:pt idx="7">
                  <c:v>4.970511826104565E-2</c:v>
                </c:pt>
                <c:pt idx="8">
                  <c:v>4.8214551499884711E-2</c:v>
                </c:pt>
                <c:pt idx="9">
                  <c:v>4.2638881985844E-2</c:v>
                </c:pt>
                <c:pt idx="10">
                  <c:v>4.4521775263031679E-2</c:v>
                </c:pt>
                <c:pt idx="11">
                  <c:v>5.3106002505919223E-2</c:v>
                </c:pt>
                <c:pt idx="12">
                  <c:v>3.6403990678936786E-2</c:v>
                </c:pt>
                <c:pt idx="13">
                  <c:v>3.2811918453533831E-2</c:v>
                </c:pt>
                <c:pt idx="14">
                  <c:v>3.5854979724962766E-2</c:v>
                </c:pt>
                <c:pt idx="15">
                  <c:v>3.4151935402510603E-2</c:v>
                </c:pt>
                <c:pt idx="16">
                  <c:v>2.4053174250995554E-2</c:v>
                </c:pt>
                <c:pt idx="17">
                  <c:v>2.1252312436543842E-2</c:v>
                </c:pt>
                <c:pt idx="18">
                  <c:v>3.1228521420253681E-2</c:v>
                </c:pt>
                <c:pt idx="19">
                  <c:v>1.9334239901250893E-2</c:v>
                </c:pt>
                <c:pt idx="20">
                  <c:v>1.7427986993545381E-2</c:v>
                </c:pt>
                <c:pt idx="21">
                  <c:v>1.7408551211854157E-2</c:v>
                </c:pt>
                <c:pt idx="22">
                  <c:v>1.2759031003830811E-2</c:v>
                </c:pt>
                <c:pt idx="23">
                  <c:v>1.5414863664755222E-2</c:v>
                </c:pt>
                <c:pt idx="24">
                  <c:v>1.4567063997588132E-2</c:v>
                </c:pt>
                <c:pt idx="25">
                  <c:v>1.0603935511260829E-2</c:v>
                </c:pt>
                <c:pt idx="26">
                  <c:v>1.1667324176111989E-2</c:v>
                </c:pt>
                <c:pt idx="27">
                  <c:v>8.7253918299086547E-3</c:v>
                </c:pt>
                <c:pt idx="28">
                  <c:v>1.0658688449343205E-2</c:v>
                </c:pt>
                <c:pt idx="29">
                  <c:v>9.5316932195952195E-3</c:v>
                </c:pt>
                <c:pt idx="30">
                  <c:v>8.0717554521922454E-3</c:v>
                </c:pt>
                <c:pt idx="31">
                  <c:v>9.4862735922782299E-3</c:v>
                </c:pt>
                <c:pt idx="32">
                  <c:v>4.5572441061816861E-3</c:v>
                </c:pt>
                <c:pt idx="33">
                  <c:v>5.0108551075369922E-3</c:v>
                </c:pt>
                <c:pt idx="34">
                  <c:v>4.2010541172084158E-3</c:v>
                </c:pt>
                <c:pt idx="35">
                  <c:v>2.8236294415561508E-3</c:v>
                </c:pt>
                <c:pt idx="36">
                  <c:v>5.4402319831887945E-3</c:v>
                </c:pt>
                <c:pt idx="37">
                  <c:v>1.597312023872802E-3</c:v>
                </c:pt>
                <c:pt idx="38">
                  <c:v>1.9985761577946941E-3</c:v>
                </c:pt>
                <c:pt idx="39">
                  <c:v>1.9963264674396223E-3</c:v>
                </c:pt>
                <c:pt idx="40">
                  <c:v>2.6743908668522567E-3</c:v>
                </c:pt>
                <c:pt idx="41">
                  <c:v>1.88531092873697E-3</c:v>
                </c:pt>
                <c:pt idx="42">
                  <c:v>5.9723549175360615E-4</c:v>
                </c:pt>
                <c:pt idx="43">
                  <c:v>3.0414466690405597E-3</c:v>
                </c:pt>
                <c:pt idx="44">
                  <c:v>1.0265801679121798E-3</c:v>
                </c:pt>
                <c:pt idx="45">
                  <c:v>1.4979386820956472E-3</c:v>
                </c:pt>
                <c:pt idx="46">
                  <c:v>1.8210042128546215E-3</c:v>
                </c:pt>
                <c:pt idx="47">
                  <c:v>3.8167859808401307E-4</c:v>
                </c:pt>
                <c:pt idx="48">
                  <c:v>8.5410560434891051E-4</c:v>
                </c:pt>
                <c:pt idx="49">
                  <c:v>4.3931245534318273E-4</c:v>
                </c:pt>
                <c:pt idx="50">
                  <c:v>6.449709806497472E-4</c:v>
                </c:pt>
                <c:pt idx="51">
                  <c:v>1.4212559564569895E-3</c:v>
                </c:pt>
                <c:pt idx="52">
                  <c:v>1.541125021949102E-3</c:v>
                </c:pt>
                <c:pt idx="53">
                  <c:v>2.5304238560515244E-4</c:v>
                </c:pt>
                <c:pt idx="54">
                  <c:v>0</c:v>
                </c:pt>
                <c:pt idx="55">
                  <c:v>6.560209157851246E-4</c:v>
                </c:pt>
                <c:pt idx="56">
                  <c:v>3.7665698938228753E-4</c:v>
                </c:pt>
                <c:pt idx="57">
                  <c:v>0</c:v>
                </c:pt>
                <c:pt idx="58">
                  <c:v>0</c:v>
                </c:pt>
                <c:pt idx="59">
                  <c:v>5.1448154433229449E-5</c:v>
                </c:pt>
                <c:pt idx="60">
                  <c:v>1.5956445130441003E-4</c:v>
                </c:pt>
                <c:pt idx="61">
                  <c:v>0</c:v>
                </c:pt>
                <c:pt idx="62">
                  <c:v>0</c:v>
                </c:pt>
                <c:pt idx="63">
                  <c:v>1.4604310855067805E-4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8-4FCD-AB4D-9E8925E7D495}"/>
            </c:ext>
          </c:extLst>
        </c:ser>
        <c:ser>
          <c:idx val="1"/>
          <c:order val="1"/>
          <c:tx>
            <c:strRef>
              <c:f>TLFD!$K$10</c:f>
              <c:strCache>
                <c:ptCount val="1"/>
                <c:pt idx="0">
                  <c:v>ABM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TLFD!$L$11:$L$100</c:f>
              <c:numCache>
                <c:formatCode>0%</c:formatCode>
                <c:ptCount val="90"/>
                <c:pt idx="0">
                  <c:v>2.5906581249694357E-2</c:v>
                </c:pt>
                <c:pt idx="1">
                  <c:v>5.385038352952122E-2</c:v>
                </c:pt>
                <c:pt idx="2">
                  <c:v>5.5571525184369697E-2</c:v>
                </c:pt>
                <c:pt idx="3">
                  <c:v>4.9747315412626718E-2</c:v>
                </c:pt>
                <c:pt idx="4">
                  <c:v>5.1537636704329808E-2</c:v>
                </c:pt>
                <c:pt idx="5">
                  <c:v>5.351641286884376E-2</c:v>
                </c:pt>
                <c:pt idx="6">
                  <c:v>5.0860153364098395E-2</c:v>
                </c:pt>
                <c:pt idx="7">
                  <c:v>5.0358004620722638E-2</c:v>
                </c:pt>
                <c:pt idx="8">
                  <c:v>5.2176951969055231E-2</c:v>
                </c:pt>
                <c:pt idx="9">
                  <c:v>5.6368283760557351E-2</c:v>
                </c:pt>
                <c:pt idx="10">
                  <c:v>5.7009984530001896E-2</c:v>
                </c:pt>
                <c:pt idx="11">
                  <c:v>5.1586539551071869E-2</c:v>
                </c:pt>
                <c:pt idx="12">
                  <c:v>4.8436480569467685E-2</c:v>
                </c:pt>
                <c:pt idx="13">
                  <c:v>4.1175004204452068E-2</c:v>
                </c:pt>
                <c:pt idx="14">
                  <c:v>3.7232957656098485E-2</c:v>
                </c:pt>
                <c:pt idx="15">
                  <c:v>3.2707655203918905E-2</c:v>
                </c:pt>
                <c:pt idx="16">
                  <c:v>2.8843137558936877E-2</c:v>
                </c:pt>
                <c:pt idx="17">
                  <c:v>2.4868886696875109E-2</c:v>
                </c:pt>
                <c:pt idx="18">
                  <c:v>2.2323553161569042E-2</c:v>
                </c:pt>
                <c:pt idx="19">
                  <c:v>1.9330937491427093E-2</c:v>
                </c:pt>
                <c:pt idx="20">
                  <c:v>1.6737893861738531E-2</c:v>
                </c:pt>
                <c:pt idx="21">
                  <c:v>1.4652962737223534E-2</c:v>
                </c:pt>
                <c:pt idx="22">
                  <c:v>1.3051096318331292E-2</c:v>
                </c:pt>
                <c:pt idx="23">
                  <c:v>1.1359773472471872E-2</c:v>
                </c:pt>
                <c:pt idx="24">
                  <c:v>1.0188490655381639E-2</c:v>
                </c:pt>
                <c:pt idx="25">
                  <c:v>9.3320944612158684E-3</c:v>
                </c:pt>
                <c:pt idx="26">
                  <c:v>8.5436851515451502E-3</c:v>
                </c:pt>
                <c:pt idx="27">
                  <c:v>7.5453514265914597E-3</c:v>
                </c:pt>
                <c:pt idx="28">
                  <c:v>6.7974956971458625E-3</c:v>
                </c:pt>
                <c:pt idx="29">
                  <c:v>6.1498311659035042E-3</c:v>
                </c:pt>
                <c:pt idx="30">
                  <c:v>5.8409083047768536E-3</c:v>
                </c:pt>
                <c:pt idx="31">
                  <c:v>4.8127557708341033E-3</c:v>
                </c:pt>
                <c:pt idx="32">
                  <c:v>4.1114173834114389E-3</c:v>
                </c:pt>
                <c:pt idx="33">
                  <c:v>3.3086950454259737E-3</c:v>
                </c:pt>
                <c:pt idx="34">
                  <c:v>2.6836928090152993E-3</c:v>
                </c:pt>
                <c:pt idx="35">
                  <c:v>2.1445687424931146E-3</c:v>
                </c:pt>
                <c:pt idx="36">
                  <c:v>1.7473822067588505E-3</c:v>
                </c:pt>
                <c:pt idx="37">
                  <c:v>1.3979057654070804E-3</c:v>
                </c:pt>
                <c:pt idx="38">
                  <c:v>1.0973321707973668E-3</c:v>
                </c:pt>
                <c:pt idx="39">
                  <c:v>9.0410628854826537E-4</c:v>
                </c:pt>
                <c:pt idx="40">
                  <c:v>7.7528903371553099E-4</c:v>
                </c:pt>
                <c:pt idx="41">
                  <c:v>6.3454425528717304E-4</c:v>
                </c:pt>
                <c:pt idx="42">
                  <c:v>4.7590819146537978E-4</c:v>
                </c:pt>
                <c:pt idx="43">
                  <c:v>3.9837928809382666E-4</c:v>
                </c:pt>
                <c:pt idx="44">
                  <c:v>3.1846488000314887E-4</c:v>
                </c:pt>
                <c:pt idx="45">
                  <c:v>3.0773010876708766E-4</c:v>
                </c:pt>
                <c:pt idx="46">
                  <c:v>2.1708092944034866E-4</c:v>
                </c:pt>
                <c:pt idx="47">
                  <c:v>1.9918964404691333E-4</c:v>
                </c:pt>
                <c:pt idx="48">
                  <c:v>1.3120275955185909E-4</c:v>
                </c:pt>
                <c:pt idx="49">
                  <c:v>1.2762450247317202E-4</c:v>
                </c:pt>
                <c:pt idx="50">
                  <c:v>1.1808248359667318E-4</c:v>
                </c:pt>
                <c:pt idx="51">
                  <c:v>9.8998445843675485E-5</c:v>
                </c:pt>
                <c:pt idx="52">
                  <c:v>7.0372389214178963E-5</c:v>
                </c:pt>
                <c:pt idx="53">
                  <c:v>5.7252113258993052E-5</c:v>
                </c:pt>
                <c:pt idx="54">
                  <c:v>4.5324589663369499E-5</c:v>
                </c:pt>
                <c:pt idx="55">
                  <c:v>4.1746332584682433E-5</c:v>
                </c:pt>
                <c:pt idx="56">
                  <c:v>4.2939084944244791E-5</c:v>
                </c:pt>
                <c:pt idx="57">
                  <c:v>2.5047799550809461E-5</c:v>
                </c:pt>
                <c:pt idx="58">
                  <c:v>2.6240551910371818E-5</c:v>
                </c:pt>
                <c:pt idx="59">
                  <c:v>1.0734771236061198E-5</c:v>
                </c:pt>
                <c:pt idx="60">
                  <c:v>1.3120275955185909E-5</c:v>
                </c:pt>
                <c:pt idx="61">
                  <c:v>8.3492665169364863E-6</c:v>
                </c:pt>
                <c:pt idx="62">
                  <c:v>5.9637617978117767E-6</c:v>
                </c:pt>
                <c:pt idx="63">
                  <c:v>5.9637617978117767E-6</c:v>
                </c:pt>
                <c:pt idx="64">
                  <c:v>5.9637617978117767E-6</c:v>
                </c:pt>
                <c:pt idx="65">
                  <c:v>2.3855047191247105E-6</c:v>
                </c:pt>
                <c:pt idx="66">
                  <c:v>3.5782570786870657E-6</c:v>
                </c:pt>
                <c:pt idx="67">
                  <c:v>2.3855047191247105E-6</c:v>
                </c:pt>
                <c:pt idx="68">
                  <c:v>0</c:v>
                </c:pt>
                <c:pt idx="69">
                  <c:v>4.771009438249421E-6</c:v>
                </c:pt>
                <c:pt idx="70">
                  <c:v>2.3855047191247105E-6</c:v>
                </c:pt>
                <c:pt idx="71">
                  <c:v>1.1927523595623552E-6</c:v>
                </c:pt>
                <c:pt idx="72">
                  <c:v>0</c:v>
                </c:pt>
                <c:pt idx="73">
                  <c:v>0</c:v>
                </c:pt>
                <c:pt idx="74">
                  <c:v>1.1927523595623552E-6</c:v>
                </c:pt>
                <c:pt idx="75">
                  <c:v>0</c:v>
                </c:pt>
                <c:pt idx="76">
                  <c:v>0</c:v>
                </c:pt>
                <c:pt idx="77">
                  <c:v>1.1927523595623552E-6</c:v>
                </c:pt>
                <c:pt idx="78">
                  <c:v>2.3855047191247105E-6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1.1927523595623552E-6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8-4FCD-AB4D-9E8925E7D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679872"/>
        <c:axId val="143800512"/>
      </c:lineChart>
      <c:catAx>
        <c:axId val="1776798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</a:t>
                </a:r>
                <a:r>
                  <a:rPr baseline="0" lang="en-US"/>
                  <a:t>(miles)</a:t>
                </a:r>
                <a:endParaRPr lang="en-US"/>
              </a:p>
            </c:rich>
          </c:tx>
          <c:overlay val="0"/>
        </c:title>
        <c:majorTickMark val="out"/>
        <c:minorTickMark val="none"/>
        <c:tickLblPos val="nextTo"/>
        <c:crossAx val="143800512"/>
        <c:crosses val="autoZero"/>
        <c:auto val="1"/>
        <c:lblAlgn val="ctr"/>
        <c:lblOffset val="100"/>
        <c:tickLblSkip val="10"/>
        <c:noMultiLvlLbl val="0"/>
      </c:catAx>
      <c:valAx>
        <c:axId val="14380051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 of Workers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7767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488" footer="0.30000000000000032" header="0.30000000000000032" l="0.70000000000000062" r="0.70000000000000062" t="0.75000000000000488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Location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TDFD!$E$10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TDFD!$F$11:$F$100</c:f>
              <c:numCache>
                <c:formatCode>0%</c:formatCode>
                <c:ptCount val="90"/>
                <c:pt idx="0">
                  <c:v>0</c:v>
                </c:pt>
                <c:pt idx="1">
                  <c:v>0</c:v>
                </c:pt>
                <c:pt idx="2">
                  <c:v>5.7350324014607496E-4</c:v>
                </c:pt>
                <c:pt idx="3">
                  <c:v>7.2667710484545182E-3</c:v>
                </c:pt>
                <c:pt idx="4">
                  <c:v>1.4440639350750406E-2</c:v>
                </c:pt>
                <c:pt idx="5">
                  <c:v>1.9759045957904047E-2</c:v>
                </c:pt>
                <c:pt idx="6">
                  <c:v>2.4254657348750517E-2</c:v>
                </c:pt>
                <c:pt idx="7">
                  <c:v>2.5863823063936815E-2</c:v>
                </c:pt>
                <c:pt idx="8">
                  <c:v>3.0469480437082093E-2</c:v>
                </c:pt>
                <c:pt idx="9">
                  <c:v>2.4952060885186009E-2</c:v>
                </c:pt>
                <c:pt idx="10">
                  <c:v>3.0214009439116413E-2</c:v>
                </c:pt>
                <c:pt idx="11">
                  <c:v>3.1620552506830775E-2</c:v>
                </c:pt>
                <c:pt idx="12">
                  <c:v>3.0019272644212194E-2</c:v>
                </c:pt>
                <c:pt idx="13">
                  <c:v>2.7533012254889088E-2</c:v>
                </c:pt>
                <c:pt idx="14">
                  <c:v>2.2761234550755079E-2</c:v>
                </c:pt>
                <c:pt idx="15">
                  <c:v>2.6388942899590553E-2</c:v>
                </c:pt>
                <c:pt idx="16">
                  <c:v>3.3090666226390557E-2</c:v>
                </c:pt>
                <c:pt idx="17">
                  <c:v>3.1600543633002139E-2</c:v>
                </c:pt>
                <c:pt idx="18">
                  <c:v>2.8175144655939247E-2</c:v>
                </c:pt>
                <c:pt idx="19">
                  <c:v>2.6683592788208733E-2</c:v>
                </c:pt>
                <c:pt idx="20">
                  <c:v>2.8986907999561384E-2</c:v>
                </c:pt>
                <c:pt idx="21">
                  <c:v>2.1495743168491361E-2</c:v>
                </c:pt>
                <c:pt idx="22">
                  <c:v>2.4153728567688455E-2</c:v>
                </c:pt>
                <c:pt idx="23">
                  <c:v>1.8804393413255224E-2</c:v>
                </c:pt>
                <c:pt idx="24">
                  <c:v>2.1842618884195107E-2</c:v>
                </c:pt>
                <c:pt idx="25">
                  <c:v>2.458838922326886E-2</c:v>
                </c:pt>
                <c:pt idx="26">
                  <c:v>2.2052236539693962E-2</c:v>
                </c:pt>
                <c:pt idx="27">
                  <c:v>1.9044261381142367E-2</c:v>
                </c:pt>
                <c:pt idx="28">
                  <c:v>1.5448958192305136E-2</c:v>
                </c:pt>
                <c:pt idx="29">
                  <c:v>1.9625034079065538E-2</c:v>
                </c:pt>
                <c:pt idx="30">
                  <c:v>2.0714664066077589E-2</c:v>
                </c:pt>
                <c:pt idx="31">
                  <c:v>1.9793400091240681E-2</c:v>
                </c:pt>
                <c:pt idx="32">
                  <c:v>1.0120197357156788E-2</c:v>
                </c:pt>
                <c:pt idx="33">
                  <c:v>2.069426848283195E-2</c:v>
                </c:pt>
                <c:pt idx="34">
                  <c:v>1.4040305169590983E-2</c:v>
                </c:pt>
                <c:pt idx="35">
                  <c:v>9.1656558432056771E-3</c:v>
                </c:pt>
                <c:pt idx="36">
                  <c:v>1.1938083170661329E-2</c:v>
                </c:pt>
                <c:pt idx="37">
                  <c:v>1.2742689110894068E-2</c:v>
                </c:pt>
                <c:pt idx="38">
                  <c:v>1.188045939274303E-2</c:v>
                </c:pt>
                <c:pt idx="39">
                  <c:v>1.6646854591285169E-2</c:v>
                </c:pt>
                <c:pt idx="40">
                  <c:v>1.1569655623609568E-2</c:v>
                </c:pt>
                <c:pt idx="41">
                  <c:v>1.4469911474389268E-2</c:v>
                </c:pt>
                <c:pt idx="42">
                  <c:v>1.2329872748764559E-2</c:v>
                </c:pt>
                <c:pt idx="43">
                  <c:v>1.230643619735091E-2</c:v>
                </c:pt>
                <c:pt idx="44">
                  <c:v>1.0062511232511553E-2</c:v>
                </c:pt>
                <c:pt idx="45">
                  <c:v>1.0564856777518297E-2</c:v>
                </c:pt>
                <c:pt idx="46">
                  <c:v>9.6960519182035382E-3</c:v>
                </c:pt>
                <c:pt idx="47">
                  <c:v>8.4114957776387275E-3</c:v>
                </c:pt>
                <c:pt idx="48">
                  <c:v>5.847995638615191E-3</c:v>
                </c:pt>
                <c:pt idx="49">
                  <c:v>6.5022882664993635E-3</c:v>
                </c:pt>
                <c:pt idx="50">
                  <c:v>8.8841430143879845E-3</c:v>
                </c:pt>
                <c:pt idx="51">
                  <c:v>5.3671664059374664E-3</c:v>
                </c:pt>
                <c:pt idx="52">
                  <c:v>4.3678989772297895E-3</c:v>
                </c:pt>
                <c:pt idx="53">
                  <c:v>3.5163798221683903E-3</c:v>
                </c:pt>
                <c:pt idx="54">
                  <c:v>3.8923366391804119E-3</c:v>
                </c:pt>
                <c:pt idx="55">
                  <c:v>4.4795496094566E-3</c:v>
                </c:pt>
                <c:pt idx="56">
                  <c:v>4.3849196741716319E-3</c:v>
                </c:pt>
                <c:pt idx="57">
                  <c:v>4.1169936853290212E-3</c:v>
                </c:pt>
                <c:pt idx="58">
                  <c:v>3.1994708074732821E-3</c:v>
                </c:pt>
                <c:pt idx="59">
                  <c:v>3.6848706896161305E-3</c:v>
                </c:pt>
                <c:pt idx="60">
                  <c:v>1.869083910025119E-3</c:v>
                </c:pt>
                <c:pt idx="61">
                  <c:v>3.6046874750983223E-3</c:v>
                </c:pt>
                <c:pt idx="62">
                  <c:v>5.2436733795321738E-3</c:v>
                </c:pt>
                <c:pt idx="63">
                  <c:v>2.6592045681432669E-3</c:v>
                </c:pt>
                <c:pt idx="64">
                  <c:v>2.281455980728625E-3</c:v>
                </c:pt>
                <c:pt idx="65">
                  <c:v>2.4301615962116006E-3</c:v>
                </c:pt>
                <c:pt idx="66">
                  <c:v>1.8422155326532979E-3</c:v>
                </c:pt>
                <c:pt idx="67">
                  <c:v>1.4724577681295189E-3</c:v>
                </c:pt>
                <c:pt idx="68">
                  <c:v>2.0361810250872836E-3</c:v>
                </c:pt>
                <c:pt idx="69">
                  <c:v>1.6267039560945709E-3</c:v>
                </c:pt>
                <c:pt idx="70">
                  <c:v>2.3852895533331125E-3</c:v>
                </c:pt>
                <c:pt idx="71">
                  <c:v>1.6901058426320862E-3</c:v>
                </c:pt>
                <c:pt idx="72">
                  <c:v>2.1735863013543589E-3</c:v>
                </c:pt>
                <c:pt idx="73">
                  <c:v>1.3032214498325406E-3</c:v>
                </c:pt>
                <c:pt idx="74">
                  <c:v>6.3178478362060453E-4</c:v>
                </c:pt>
                <c:pt idx="75">
                  <c:v>2.3270288750185785E-3</c:v>
                </c:pt>
                <c:pt idx="76">
                  <c:v>2.8499113140219661E-3</c:v>
                </c:pt>
                <c:pt idx="77">
                  <c:v>1.4690376141702096E-3</c:v>
                </c:pt>
                <c:pt idx="78">
                  <c:v>1.9291597745404669E-3</c:v>
                </c:pt>
                <c:pt idx="79">
                  <c:v>1.3006642332961317E-3</c:v>
                </c:pt>
                <c:pt idx="80">
                  <c:v>8.0432950311376745E-4</c:v>
                </c:pt>
                <c:pt idx="81">
                  <c:v>8.0222219307861701E-4</c:v>
                </c:pt>
                <c:pt idx="82">
                  <c:v>8.3580130301018222E-4</c:v>
                </c:pt>
                <c:pt idx="83">
                  <c:v>1.6410296259819774E-3</c:v>
                </c:pt>
                <c:pt idx="84">
                  <c:v>1.5418473884795485E-4</c:v>
                </c:pt>
                <c:pt idx="85">
                  <c:v>3.1519637298596488E-4</c:v>
                </c:pt>
                <c:pt idx="86">
                  <c:v>1.6299927498719345E-3</c:v>
                </c:pt>
                <c:pt idx="87">
                  <c:v>9.1770617817950664E-4</c:v>
                </c:pt>
                <c:pt idx="88">
                  <c:v>5.519140300825335E-4</c:v>
                </c:pt>
                <c:pt idx="89">
                  <c:v>2.1214017357725039E-3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4F-4399-8968-4B25EFE6F2E1}"/>
            </c:ext>
          </c:extLst>
        </c:ser>
        <c:ser>
          <c:idx val="1"/>
          <c:order val="1"/>
          <c:tx>
            <c:strRef>
              <c:f>TDFD!$K$10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TDFD!$L$11:$L$100</c:f>
              <c:numCache>
                <c:formatCode>0%</c:formatCode>
                <c:ptCount val="90"/>
                <c:pt idx="0">
                  <c:v>1.1190980403853611E-3</c:v>
                </c:pt>
                <c:pt idx="1">
                  <c:v>2.1845080084707848E-3</c:v>
                </c:pt>
                <c:pt idx="2">
                  <c:v>2.7321263459301457E-3</c:v>
                </c:pt>
                <c:pt idx="3">
                  <c:v>5.4511289408536402E-3</c:v>
                </c:pt>
                <c:pt idx="4">
                  <c:v>9.8965013272884535E-3</c:v>
                </c:pt>
                <c:pt idx="5">
                  <c:v>1.4763026814209443E-2</c:v>
                </c:pt>
                <c:pt idx="6">
                  <c:v>1.7851880573865841E-2</c:v>
                </c:pt>
                <c:pt idx="7">
                  <c:v>1.9639096847317086E-2</c:v>
                </c:pt>
                <c:pt idx="8">
                  <c:v>1.875503325677812E-2</c:v>
                </c:pt>
                <c:pt idx="9">
                  <c:v>1.8646464043904912E-2</c:v>
                </c:pt>
                <c:pt idx="10">
                  <c:v>1.8759805529871446E-2</c:v>
                </c:pt>
                <c:pt idx="11">
                  <c:v>1.9192889313090943E-2</c:v>
                </c:pt>
                <c:pt idx="12">
                  <c:v>1.9441047513943984E-2</c:v>
                </c:pt>
                <c:pt idx="13">
                  <c:v>1.8994839979717841E-2</c:v>
                </c:pt>
                <c:pt idx="14">
                  <c:v>1.9578250365377158E-2</c:v>
                </c:pt>
                <c:pt idx="15">
                  <c:v>1.9793002654576907E-2</c:v>
                </c:pt>
                <c:pt idx="16">
                  <c:v>2.0847675008202345E-2</c:v>
                </c:pt>
                <c:pt idx="17">
                  <c:v>2.1138783666895339E-2</c:v>
                </c:pt>
                <c:pt idx="18">
                  <c:v>2.0834551257195692E-2</c:v>
                </c:pt>
                <c:pt idx="19">
                  <c:v>2.1165031168908641E-2</c:v>
                </c:pt>
                <c:pt idx="20">
                  <c:v>2.1831956333701195E-2</c:v>
                </c:pt>
                <c:pt idx="21">
                  <c:v>2.1810481104781222E-2</c:v>
                </c:pt>
                <c:pt idx="22">
                  <c:v>2.148954573925493E-2</c:v>
                </c:pt>
                <c:pt idx="23">
                  <c:v>2.1954842365854387E-2</c:v>
                </c:pt>
                <c:pt idx="24">
                  <c:v>2.2611029916186954E-2</c:v>
                </c:pt>
                <c:pt idx="25">
                  <c:v>2.19142780445611E-2</c:v>
                </c:pt>
                <c:pt idx="26">
                  <c:v>2.1376204253288393E-2</c:v>
                </c:pt>
                <c:pt idx="27">
                  <c:v>2.1820025650967877E-2</c:v>
                </c:pt>
                <c:pt idx="28">
                  <c:v>2.0716437498135832E-2</c:v>
                </c:pt>
                <c:pt idx="29">
                  <c:v>2.0309601216929637E-2</c:v>
                </c:pt>
                <c:pt idx="30">
                  <c:v>2.0434873385629493E-2</c:v>
                </c:pt>
                <c:pt idx="31">
                  <c:v>2.0155695409669817E-2</c:v>
                </c:pt>
                <c:pt idx="32">
                  <c:v>1.928952784323083E-2</c:v>
                </c:pt>
                <c:pt idx="33">
                  <c:v>1.9204819995824261E-2</c:v>
                </c:pt>
                <c:pt idx="34">
                  <c:v>1.9056879529931101E-2</c:v>
                </c:pt>
                <c:pt idx="35">
                  <c:v>1.8148954573925492E-2</c:v>
                </c:pt>
                <c:pt idx="36">
                  <c:v>1.8874340084111315E-2</c:v>
                </c:pt>
                <c:pt idx="37">
                  <c:v>1.6935604139946908E-2</c:v>
                </c:pt>
                <c:pt idx="38">
                  <c:v>1.6016941569481313E-2</c:v>
                </c:pt>
                <c:pt idx="39">
                  <c:v>1.5952515882721389E-2</c:v>
                </c:pt>
                <c:pt idx="40">
                  <c:v>1.5673337906761713E-2</c:v>
                </c:pt>
                <c:pt idx="41">
                  <c:v>1.5352402541235422E-2</c:v>
                </c:pt>
                <c:pt idx="42">
                  <c:v>1.5035046380529125E-2</c:v>
                </c:pt>
                <c:pt idx="43">
                  <c:v>1.4394368717749873E-2</c:v>
                </c:pt>
                <c:pt idx="44">
                  <c:v>1.3241864765711217E-2</c:v>
                </c:pt>
                <c:pt idx="45">
                  <c:v>1.2490231753512094E-2</c:v>
                </c:pt>
                <c:pt idx="46">
                  <c:v>1.1567989978226504E-2</c:v>
                </c:pt>
                <c:pt idx="47">
                  <c:v>1.1256599158886868E-2</c:v>
                </c:pt>
                <c:pt idx="48">
                  <c:v>1.1226772452053569E-2</c:v>
                </c:pt>
                <c:pt idx="49">
                  <c:v>1.088316878933397E-2</c:v>
                </c:pt>
                <c:pt idx="50">
                  <c:v>1.0510931488054404E-2</c:v>
                </c:pt>
                <c:pt idx="51">
                  <c:v>9.6447639216154148E-3</c:v>
                </c:pt>
                <c:pt idx="52">
                  <c:v>9.2940018492558233E-3</c:v>
                </c:pt>
                <c:pt idx="53">
                  <c:v>8.7368389656098076E-3</c:v>
                </c:pt>
                <c:pt idx="54">
                  <c:v>7.9327109493840791E-3</c:v>
                </c:pt>
                <c:pt idx="55">
                  <c:v>7.3314045396247803E-3</c:v>
                </c:pt>
                <c:pt idx="56">
                  <c:v>6.8100337041787215E-3</c:v>
                </c:pt>
                <c:pt idx="57">
                  <c:v>6.5236973185790557E-3</c:v>
                </c:pt>
                <c:pt idx="58">
                  <c:v>6.0190294389596442E-3</c:v>
                </c:pt>
                <c:pt idx="59">
                  <c:v>5.9605690935663792E-3</c:v>
                </c:pt>
                <c:pt idx="60">
                  <c:v>5.4427774629403165E-3</c:v>
                </c:pt>
                <c:pt idx="61">
                  <c:v>5.2077430130939243E-3</c:v>
                </c:pt>
                <c:pt idx="62">
                  <c:v>4.7937483222477402E-3</c:v>
                </c:pt>
                <c:pt idx="63">
                  <c:v>4.4107734065081871E-3</c:v>
                </c:pt>
                <c:pt idx="64">
                  <c:v>4.3260655591016196E-3</c:v>
                </c:pt>
                <c:pt idx="65">
                  <c:v>3.8548035911355029E-3</c:v>
                </c:pt>
                <c:pt idx="66">
                  <c:v>3.8023085871088974E-3</c:v>
                </c:pt>
                <c:pt idx="67">
                  <c:v>3.4837593581292688E-3</c:v>
                </c:pt>
                <c:pt idx="68">
                  <c:v>3.4026307155426969E-3</c:v>
                </c:pt>
                <c:pt idx="69">
                  <c:v>3.1365764905896738E-3</c:v>
                </c:pt>
                <c:pt idx="70">
                  <c:v>3.1544725146896531E-3</c:v>
                </c:pt>
                <c:pt idx="71">
                  <c:v>2.9540370447698871E-3</c:v>
                </c:pt>
                <c:pt idx="72">
                  <c:v>2.72854714111015E-3</c:v>
                </c:pt>
                <c:pt idx="73">
                  <c:v>2.5686759924836698E-3</c:v>
                </c:pt>
                <c:pt idx="74">
                  <c:v>2.2835326751573359E-3</c:v>
                </c:pt>
                <c:pt idx="75">
                  <c:v>2.240582217317386E-3</c:v>
                </c:pt>
                <c:pt idx="76">
                  <c:v>2.2859188117039997E-3</c:v>
                </c:pt>
                <c:pt idx="77">
                  <c:v>1.9470874220777284E-3</c:v>
                </c:pt>
                <c:pt idx="78">
                  <c:v>1.9435082172577327E-3</c:v>
                </c:pt>
                <c:pt idx="79">
                  <c:v>1.7359143376979747E-3</c:v>
                </c:pt>
                <c:pt idx="80">
                  <c:v>1.5295135264115488E-3</c:v>
                </c:pt>
                <c:pt idx="81">
                  <c:v>1.4281027231783339E-3</c:v>
                </c:pt>
                <c:pt idx="82">
                  <c:v>1.2026128195185969E-3</c:v>
                </c:pt>
                <c:pt idx="83">
                  <c:v>1.1310287231186805E-3</c:v>
                </c:pt>
                <c:pt idx="84">
                  <c:v>1.0773406508187431E-3</c:v>
                </c:pt>
                <c:pt idx="85">
                  <c:v>8.7332597607898109E-4</c:v>
                </c:pt>
                <c:pt idx="86">
                  <c:v>7.3015778327914819E-4</c:v>
                </c:pt>
                <c:pt idx="87">
                  <c:v>6.4306379932591647E-4</c:v>
                </c:pt>
                <c:pt idx="88">
                  <c:v>5.2495004026605421E-4</c:v>
                </c:pt>
                <c:pt idx="89">
                  <c:v>4.5813821695946553E-3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4F-4399-8968-4B25EFE6F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6627968"/>
        <c:axId val="192520192"/>
      </c:lineChart>
      <c:catAx>
        <c:axId val="15662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(mins)</a:t>
                </a:r>
              </a:p>
            </c:rich>
          </c:tx>
          <c:overlay val="0"/>
        </c:title>
        <c:majorTickMark val="out"/>
        <c:minorTickMark val="none"/>
        <c:tickLblPos val="nextTo"/>
        <c:crossAx val="192520192"/>
        <c:crosses val="autoZero"/>
        <c:auto val="1"/>
        <c:lblAlgn val="ctr"/>
        <c:lblOffset val="100"/>
        <c:tickLblSkip val="10"/>
        <c:noMultiLvlLbl val="0"/>
      </c:catAx>
      <c:valAx>
        <c:axId val="192520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Number</a:t>
                </a:r>
                <a:r>
                  <a:rPr baseline="0" lang="en-US"/>
                  <a:t> of Persons</a:t>
                </a:r>
                <a:endParaRPr lang="en-US"/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66279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511" footer="0.30000000000000032" header="0.30000000000000032" l="0.70000000000000062" r="0.70000000000000062" t="0.750000000000005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Workers</a:t>
            </a:r>
            <a:r>
              <a:rPr baseline="0" lang="en-US"/>
              <a:t> by District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County_Flow!$CG$21</c:f>
              <c:strCache>
                <c:ptCount val="1"/>
                <c:pt idx="0">
                  <c:v>OD Data</c:v>
                </c:pt>
              </c:strCache>
              <c:extLst xmlns:c15="http://schemas.microsoft.com/office/drawing/2012/chart"/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County_Flow!$CG$22:$CG$41</c:f>
              <c:numCache>
                <c:formatCode>0%</c:formatCode>
                <c:ptCount val="20"/>
                <c:pt idx="0">
                  <c:v>5.5829488014886387E-2</c:v>
                </c:pt>
                <c:pt idx="1">
                  <c:v>4.6297597224511648E-2</c:v>
                </c:pt>
                <c:pt idx="2">
                  <c:v>2.9571429993815776E-2</c:v>
                </c:pt>
                <c:pt idx="3">
                  <c:v>2.0644685937695331E-2</c:v>
                </c:pt>
                <c:pt idx="4">
                  <c:v>2.6714960399949996E-2</c:v>
                </c:pt>
                <c:pt idx="5">
                  <c:v>0.11777128993608899</c:v>
                </c:pt>
                <c:pt idx="6">
                  <c:v>9.5560081556521473E-2</c:v>
                </c:pt>
                <c:pt idx="7">
                  <c:v>5.6399233112036226E-3</c:v>
                </c:pt>
                <c:pt idx="8">
                  <c:v>5.7969074457386936E-2</c:v>
                </c:pt>
                <c:pt idx="9">
                  <c:v>2.2579606665685748E-2</c:v>
                </c:pt>
                <c:pt idx="10">
                  <c:v>6.4121215205445656E-2</c:v>
                </c:pt>
                <c:pt idx="11">
                  <c:v>0.16397927676667998</c:v>
                </c:pt>
                <c:pt idx="12">
                  <c:v>0.11157268453933067</c:v>
                </c:pt>
                <c:pt idx="13">
                  <c:v>1.6968447184629493E-2</c:v>
                </c:pt>
                <c:pt idx="14">
                  <c:v>4.2025062146467639E-2</c:v>
                </c:pt>
                <c:pt idx="15">
                  <c:v>5.6012027706206242E-3</c:v>
                </c:pt>
                <c:pt idx="16">
                  <c:v>1.6910919524334753E-2</c:v>
                </c:pt>
                <c:pt idx="17">
                  <c:v>2.6178404337585587E-2</c:v>
                </c:pt>
                <c:pt idx="18">
                  <c:v>4.0673162129541231E-2</c:v>
                </c:pt>
                <c:pt idx="19">
                  <c:v>3.3391487897618463E-2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022B-4BAE-807C-AE39524602D7}"/>
            </c:ext>
          </c:extLst>
        </c:ser>
        <c:ser>
          <c:idx val="3"/>
          <c:order val="3"/>
          <c:tx>
            <c:strRef>
              <c:f>County_Flow!$CI$21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County_Flow!$CI$22:$CI$41</c:f>
              <c:numCache>
                <c:formatCode>0%</c:formatCode>
                <c:ptCount val="20"/>
                <c:pt idx="0">
                  <c:v>6.5094998061264051E-2</c:v>
                </c:pt>
                <c:pt idx="1">
                  <c:v>4.267485906881021E-2</c:v>
                </c:pt>
                <c:pt idx="2">
                  <c:v>2.6682971933068868E-2</c:v>
                </c:pt>
                <c:pt idx="3">
                  <c:v>1.7337668148059773E-2</c:v>
                </c:pt>
                <c:pt idx="4">
                  <c:v>2.0953858084528886E-2</c:v>
                </c:pt>
                <c:pt idx="5">
                  <c:v>0.11633608733259761</c:v>
                </c:pt>
                <c:pt idx="6">
                  <c:v>0.1048015032660244</c:v>
                </c:pt>
                <c:pt idx="7">
                  <c:v>2.8872252214632984E-3</c:v>
                </c:pt>
                <c:pt idx="8">
                  <c:v>6.6883407402988634E-2</c:v>
                </c:pt>
                <c:pt idx="9">
                  <c:v>2.0729561249142481E-2</c:v>
                </c:pt>
                <c:pt idx="10">
                  <c:v>5.7189727682166611E-2</c:v>
                </c:pt>
                <c:pt idx="11">
                  <c:v>0.19378053509112059</c:v>
                </c:pt>
                <c:pt idx="12">
                  <c:v>9.5750887344528288E-2</c:v>
                </c:pt>
                <c:pt idx="13">
                  <c:v>1.7882900348972469E-2</c:v>
                </c:pt>
                <c:pt idx="14">
                  <c:v>3.9181555164494286E-2</c:v>
                </c:pt>
                <c:pt idx="15">
                  <c:v>4.8760700331076448E-3</c:v>
                </c:pt>
                <c:pt idx="16">
                  <c:v>1.795090524055239E-2</c:v>
                </c:pt>
                <c:pt idx="17">
                  <c:v>2.8300772511706984E-2</c:v>
                </c:pt>
                <c:pt idx="18">
                  <c:v>3.3840188504787184E-2</c:v>
                </c:pt>
                <c:pt idx="19">
                  <c:v>2.6864318310615323E-2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2B-4BAE-807C-AE3952460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9070480"/>
        <c:axId val="80905966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County_Flow!$CF$21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County_Flow!$CF$22:$CF$41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0.10607114543036796</c:v>
                      </c:pt>
                      <c:pt idx="1">
                        <c:v>4.2565039292987057E-2</c:v>
                      </c:pt>
                      <c:pt idx="2">
                        <c:v>2.5834030338304965E-2</c:v>
                      </c:pt>
                      <c:pt idx="3">
                        <c:v>3.1568367384815187E-2</c:v>
                      </c:pt>
                      <c:pt idx="4">
                        <c:v>2.9254671879266968E-2</c:v>
                      </c:pt>
                      <c:pt idx="5">
                        <c:v>0.14759129186688874</c:v>
                      </c:pt>
                      <c:pt idx="6">
                        <c:v>9.4358250853980002E-2</c:v>
                      </c:pt>
                      <c:pt idx="7">
                        <c:v>4.6765153020838883E-3</c:v>
                      </c:pt>
                      <c:pt idx="8">
                        <c:v>6.9693050279634086E-2</c:v>
                      </c:pt>
                      <c:pt idx="9">
                        <c:v>1.7806081092571969E-2</c:v>
                      </c:pt>
                      <c:pt idx="10">
                        <c:v>5.0840020067547488E-2</c:v>
                      </c:pt>
                      <c:pt idx="11">
                        <c:v>0.19055587108624389</c:v>
                      </c:pt>
                      <c:pt idx="12">
                        <c:v>7.4544139326292169E-2</c:v>
                      </c:pt>
                      <c:pt idx="13">
                        <c:v>1.6894512037031604E-2</c:v>
                      </c:pt>
                      <c:pt idx="14">
                        <c:v>2.3533105305197487E-2</c:v>
                      </c:pt>
                      <c:pt idx="15">
                        <c:v>2.6158031032037891E-3</c:v>
                      </c:pt>
                      <c:pt idx="16">
                        <c:v>1.160123417380181E-2</c:v>
                      </c:pt>
                      <c:pt idx="17">
                        <c:v>1.6603372039868333E-2</c:v>
                      </c:pt>
                      <c:pt idx="18">
                        <c:v>2.147798778163611E-2</c:v>
                      </c:pt>
                      <c:pt idx="19">
                        <c:v>2.1915511358276431E-2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022B-4BAE-807C-AE39524602D7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County_Flow!$CH$21</c15:sqref>
                        </c15:formulaRef>
                      </c:ext>
                    </c:extLst>
                    <c:strCache>
                      <c:ptCount val="1"/>
                      <c:pt idx="0">
                        <c:v>2021 LEHD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County_Flow!$CH$22:$CH$41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7.3963544549212362E-2</c:v>
                      </c:pt>
                      <c:pt idx="1">
                        <c:v>7.7300822093163413E-2</c:v>
                      </c:pt>
                      <c:pt idx="2">
                        <c:v>2.5092890400371333E-2</c:v>
                      </c:pt>
                      <c:pt idx="3">
                        <c:v>2.3891953203563264E-2</c:v>
                      </c:pt>
                      <c:pt idx="4">
                        <c:v>2.8275207483761219E-2</c:v>
                      </c:pt>
                      <c:pt idx="5">
                        <c:v>0.16000928484681243</c:v>
                      </c:pt>
                      <c:pt idx="6">
                        <c:v>8.9527472612999343E-2</c:v>
                      </c:pt>
                      <c:pt idx="7">
                        <c:v>7.2539484740483332E-3</c:v>
                      </c:pt>
                      <c:pt idx="8">
                        <c:v>5.9420204424955686E-2</c:v>
                      </c:pt>
                      <c:pt idx="9">
                        <c:v>2.2220635775029852E-2</c:v>
                      </c:pt>
                      <c:pt idx="10">
                        <c:v>5.1755542950457589E-2</c:v>
                      </c:pt>
                      <c:pt idx="11">
                        <c:v>0.17138448433282161</c:v>
                      </c:pt>
                      <c:pt idx="12">
                        <c:v>7.1778787227460256E-2</c:v>
                      </c:pt>
                      <c:pt idx="13">
                        <c:v>1.1266356788421937E-2</c:v>
                      </c:pt>
                      <c:pt idx="14">
                        <c:v>3.2537658412205683E-2</c:v>
                      </c:pt>
                      <c:pt idx="15">
                        <c:v>5.5293169329569351E-3</c:v>
                      </c:pt>
                      <c:pt idx="16">
                        <c:v>1.1890933902467505E-2</c:v>
                      </c:pt>
                      <c:pt idx="17">
                        <c:v>2.4411508609644278E-2</c:v>
                      </c:pt>
                      <c:pt idx="18">
                        <c:v>3.0274739499473392E-2</c:v>
                      </c:pt>
                      <c:pt idx="19">
                        <c:v>2.2214707480173703E-2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022B-4BAE-807C-AE39524602D7}"/>
                  </c:ext>
                </c:extLst>
              </c15:ser>
            </c15:filteredBarSeries>
          </c:ext>
        </c:extLst>
      </c:barChart>
      <c:catAx>
        <c:axId val="8090704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59664"/>
        <c:crosses val="autoZero"/>
        <c:auto val="1"/>
        <c:lblAlgn val="ctr"/>
        <c:lblOffset val="100"/>
        <c:noMultiLvlLbl val="0"/>
      </c:catAx>
      <c:valAx>
        <c:axId val="8090596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9070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 Location by Destination 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calibration_flow!$M$3</c:f>
              <c:strCache>
                <c:ptCount val="1"/>
                <c:pt idx="0">
                  <c:v>OD Data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/>
              </a:solidFill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calibration_flow!$M$4:$M$23</c:f>
              <c:numCache>
                <c:formatCode>0%</c:formatCode>
                <c:ptCount val="20"/>
                <c:pt idx="0">
                  <c:v>5.5829488014886373E-2</c:v>
                </c:pt>
                <c:pt idx="1">
                  <c:v>4.6297597224511634E-2</c:v>
                </c:pt>
                <c:pt idx="2">
                  <c:v>2.9571429993815769E-2</c:v>
                </c:pt>
                <c:pt idx="3">
                  <c:v>2.0644685937695327E-2</c:v>
                </c:pt>
                <c:pt idx="4">
                  <c:v>2.6714960399949986E-2</c:v>
                </c:pt>
                <c:pt idx="5">
                  <c:v>0.11777128993608896</c:v>
                </c:pt>
                <c:pt idx="6">
                  <c:v>9.5560081556521459E-2</c:v>
                </c:pt>
                <c:pt idx="7">
                  <c:v>5.6399233112036208E-3</c:v>
                </c:pt>
                <c:pt idx="8">
                  <c:v>5.7969074457386915E-2</c:v>
                </c:pt>
                <c:pt idx="9">
                  <c:v>2.2579606665685741E-2</c:v>
                </c:pt>
                <c:pt idx="10">
                  <c:v>6.4121215205445642E-2</c:v>
                </c:pt>
                <c:pt idx="11">
                  <c:v>0.16397927676667995</c:v>
                </c:pt>
                <c:pt idx="12">
                  <c:v>0.11157268453933064</c:v>
                </c:pt>
                <c:pt idx="13">
                  <c:v>1.696844718462949E-2</c:v>
                </c:pt>
                <c:pt idx="14">
                  <c:v>4.2025062146467625E-2</c:v>
                </c:pt>
                <c:pt idx="15">
                  <c:v>5.6012027706206233E-3</c:v>
                </c:pt>
                <c:pt idx="16">
                  <c:v>1.6910919524334749E-2</c:v>
                </c:pt>
                <c:pt idx="17">
                  <c:v>2.617840433758558E-2</c:v>
                </c:pt>
                <c:pt idx="18">
                  <c:v>4.0673162129541224E-2</c:v>
                </c:pt>
                <c:pt idx="19">
                  <c:v>3.3391487897618456E-2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BE-4DDD-A9D1-E7124230E860}"/>
            </c:ext>
          </c:extLst>
        </c:ser>
        <c:ser>
          <c:idx val="3"/>
          <c:order val="3"/>
          <c:tx>
            <c:strRef>
              <c:f>calibration_flow!$O$3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>
                  <a:lumMod val="75000"/>
                </a:schemeClr>
              </a:solidFill>
            </a:ln>
            <a:effectLst/>
          </c:spPr>
          <c:invertIfNegative val="0"/>
          <c:cat>
            <c:strRef>
              <c:f>calibration_flow!$C$4:$C$23</c:f>
              <c:strCache>
                <c:ptCount val="20"/>
                <c:pt idx="0">
                  <c:v>CBD</c:v>
                </c:pt>
                <c:pt idx="1">
                  <c:v>Inner Core I-24 E</c:v>
                </c:pt>
                <c:pt idx="2">
                  <c:v>Inner Core I-24/65 N</c:v>
                </c:pt>
                <c:pt idx="3">
                  <c:v>Inner Core I-24W</c:v>
                </c:pt>
                <c:pt idx="4">
                  <c:v>Inner Core I-40 W</c:v>
                </c:pt>
                <c:pt idx="5">
                  <c:v>Inner Core I-65 S</c:v>
                </c:pt>
                <c:pt idx="6">
                  <c:v>Middle Core I-24 E</c:v>
                </c:pt>
                <c:pt idx="7">
                  <c:v>Middle Core I-24 W</c:v>
                </c:pt>
                <c:pt idx="8">
                  <c:v>Middle Core I-40 E</c:v>
                </c:pt>
                <c:pt idx="9">
                  <c:v>Middle Core I-40 W</c:v>
                </c:pt>
                <c:pt idx="10">
                  <c:v>Middle Core I-65 N</c:v>
                </c:pt>
                <c:pt idx="11">
                  <c:v>Middle Core I-65 S</c:v>
                </c:pt>
                <c:pt idx="12">
                  <c:v>Outer Core I-24 E</c:v>
                </c:pt>
                <c:pt idx="13">
                  <c:v>Outer Core I-24 W</c:v>
                </c:pt>
                <c:pt idx="14">
                  <c:v>Outer Core I-40 E</c:v>
                </c:pt>
                <c:pt idx="15">
                  <c:v>Outer Core I-40 W</c:v>
                </c:pt>
                <c:pt idx="16">
                  <c:v>Outer Core I-65 N</c:v>
                </c:pt>
                <c:pt idx="17">
                  <c:v>Outer Core I-65 S</c:v>
                </c:pt>
                <c:pt idx="18">
                  <c:v>Outer Core SR386</c:v>
                </c:pt>
                <c:pt idx="19">
                  <c:v>Far Outer Core I-65 S</c:v>
                </c:pt>
              </c:strCache>
            </c:strRef>
          </c:cat>
          <c:val>
            <c:numRef>
              <c:f>calibration_flow!$O$4:$O$23</c:f>
              <c:numCache>
                <c:formatCode>0%</c:formatCode>
                <c:ptCount val="20"/>
                <c:pt idx="0">
                  <c:v>5.4773573855822481E-2</c:v>
                </c:pt>
                <c:pt idx="1">
                  <c:v>4.6202455400007392E-2</c:v>
                </c:pt>
                <c:pt idx="2">
                  <c:v>2.8946907014218801E-2</c:v>
                </c:pt>
                <c:pt idx="3">
                  <c:v>1.9450212727383329E-2</c:v>
                </c:pt>
                <c:pt idx="4">
                  <c:v>2.6438548802059168E-2</c:v>
                </c:pt>
                <c:pt idx="5">
                  <c:v>0.11720461786003528</c:v>
                </c:pt>
                <c:pt idx="6">
                  <c:v>9.5934265031959801E-2</c:v>
                </c:pt>
                <c:pt idx="7">
                  <c:v>5.5427202148862651E-3</c:v>
                </c:pt>
                <c:pt idx="8">
                  <c:v>5.9127119968225075E-2</c:v>
                </c:pt>
                <c:pt idx="9">
                  <c:v>2.2131520031679501E-2</c:v>
                </c:pt>
                <c:pt idx="10">
                  <c:v>6.3382860387143566E-2</c:v>
                </c:pt>
                <c:pt idx="11">
                  <c:v>0.16795265250233482</c:v>
                </c:pt>
                <c:pt idx="12">
                  <c:v>0.11061823933053196</c:v>
                </c:pt>
                <c:pt idx="13">
                  <c:v>1.758713354174693E-2</c:v>
                </c:pt>
                <c:pt idx="14">
                  <c:v>4.249776657120672E-2</c:v>
                </c:pt>
                <c:pt idx="15">
                  <c:v>5.6548389366851267E-3</c:v>
                </c:pt>
                <c:pt idx="16">
                  <c:v>1.6857169097694767E-2</c:v>
                </c:pt>
                <c:pt idx="17">
                  <c:v>2.7723143093307825E-2</c:v>
                </c:pt>
                <c:pt idx="18">
                  <c:v>3.9593414575672385E-2</c:v>
                </c:pt>
                <c:pt idx="19">
                  <c:v>3.2380841057398822E-2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CD-4009-9A9A-38BB454F9C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240928"/>
        <c:axId val="146238016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calibration_flow!$L$3</c15:sqref>
                        </c15:formulaRef>
                      </c:ext>
                    </c:extLst>
                    <c:strCache>
                      <c:ptCount val="1"/>
                      <c:pt idx="0">
                        <c:v>SURVEY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calibration_flow!$C$4:$C$23</c15:sqref>
                        </c15:formulaRef>
                      </c:ext>
                    </c:extLst>
                    <c:strCache>
                      <c:ptCount val="20"/>
                      <c:pt idx="0">
                        <c:v>CBD</c:v>
                      </c:pt>
                      <c:pt idx="1">
                        <c:v>Inner Core I-24 E</c:v>
                      </c:pt>
                      <c:pt idx="2">
                        <c:v>Inner Core I-24/65 N</c:v>
                      </c:pt>
                      <c:pt idx="3">
                        <c:v>Inner Core I-24W</c:v>
                      </c:pt>
                      <c:pt idx="4">
                        <c:v>Inner Core I-40 W</c:v>
                      </c:pt>
                      <c:pt idx="5">
                        <c:v>Inner Core I-65 S</c:v>
                      </c:pt>
                      <c:pt idx="6">
                        <c:v>Middle Core I-24 E</c:v>
                      </c:pt>
                      <c:pt idx="7">
                        <c:v>Middle Core I-24 W</c:v>
                      </c:pt>
                      <c:pt idx="8">
                        <c:v>Middle Core I-40 E</c:v>
                      </c:pt>
                      <c:pt idx="9">
                        <c:v>Middle Core I-40 W</c:v>
                      </c:pt>
                      <c:pt idx="10">
                        <c:v>Middle Core I-65 N</c:v>
                      </c:pt>
                      <c:pt idx="11">
                        <c:v>Middle Core I-65 S</c:v>
                      </c:pt>
                      <c:pt idx="12">
                        <c:v>Outer Core I-24 E</c:v>
                      </c:pt>
                      <c:pt idx="13">
                        <c:v>Outer Core I-24 W</c:v>
                      </c:pt>
                      <c:pt idx="14">
                        <c:v>Outer Core I-40 E</c:v>
                      </c:pt>
                      <c:pt idx="15">
                        <c:v>Outer Core I-40 W</c:v>
                      </c:pt>
                      <c:pt idx="16">
                        <c:v>Outer Core I-65 N</c:v>
                      </c:pt>
                      <c:pt idx="17">
                        <c:v>Outer Core I-65 S</c:v>
                      </c:pt>
                      <c:pt idx="18">
                        <c:v>Outer Core SR386</c:v>
                      </c:pt>
                      <c:pt idx="19">
                        <c:v>Far Outer Core I-65 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calibration_flow!$L$4:$L$23</c15:sqref>
                        </c15:formulaRef>
                      </c:ext>
                    </c:extLst>
                    <c:numCache>
                      <c:formatCode>0%</c:formatCode>
                      <c:ptCount val="20"/>
                      <c:pt idx="0">
                        <c:v>0.10607114543036798</c:v>
                      </c:pt>
                      <c:pt idx="1">
                        <c:v>4.2565039292987064E-2</c:v>
                      </c:pt>
                      <c:pt idx="2">
                        <c:v>2.5834030338304965E-2</c:v>
                      </c:pt>
                      <c:pt idx="3">
                        <c:v>3.1568367384815187E-2</c:v>
                      </c:pt>
                      <c:pt idx="4">
                        <c:v>2.9254671879266971E-2</c:v>
                      </c:pt>
                      <c:pt idx="5">
                        <c:v>0.14759129186688874</c:v>
                      </c:pt>
                      <c:pt idx="6">
                        <c:v>9.4358250853980016E-2</c:v>
                      </c:pt>
                      <c:pt idx="7">
                        <c:v>4.6765153020838883E-3</c:v>
                      </c:pt>
                      <c:pt idx="8">
                        <c:v>6.96930502796341E-2</c:v>
                      </c:pt>
                      <c:pt idx="9">
                        <c:v>1.7806081092571969E-2</c:v>
                      </c:pt>
                      <c:pt idx="10">
                        <c:v>5.0840020067547495E-2</c:v>
                      </c:pt>
                      <c:pt idx="11">
                        <c:v>0.19055587108624392</c:v>
                      </c:pt>
                      <c:pt idx="12">
                        <c:v>7.4544139326292169E-2</c:v>
                      </c:pt>
                      <c:pt idx="13">
                        <c:v>1.6894512037031604E-2</c:v>
                      </c:pt>
                      <c:pt idx="14">
                        <c:v>2.3533105305197487E-2</c:v>
                      </c:pt>
                      <c:pt idx="15">
                        <c:v>2.6158031032037896E-3</c:v>
                      </c:pt>
                      <c:pt idx="16">
                        <c:v>1.1601234173801812E-2</c:v>
                      </c:pt>
                      <c:pt idx="17">
                        <c:v>1.6603372039868333E-2</c:v>
                      </c:pt>
                      <c:pt idx="18">
                        <c:v>2.147798778163611E-2</c:v>
                      </c:pt>
                      <c:pt idx="19">
                        <c:v>2.1915511358276435E-2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9EBE-4DDD-A9D1-E7124230E860}"/>
                  </c:ext>
                </c:extLst>
              </c15:ser>
            </c15:filteredBarSeries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calibration_flow!$N$3</c15:sqref>
                        </c15:formulaRef>
                      </c:ext>
                    </c:extLst>
                    <c:strCache>
                      <c:ptCount val="1"/>
                      <c:pt idx="0">
                        <c:v>2021 LEHD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calibration_flow!$C$4:$C$23</c15:sqref>
                        </c15:formulaRef>
                      </c:ext>
                    </c:extLst>
                    <c:strCache>
                      <c:ptCount val="20"/>
                      <c:pt idx="0">
                        <c:v>CBD</c:v>
                      </c:pt>
                      <c:pt idx="1">
                        <c:v>Inner Core I-24 E</c:v>
                      </c:pt>
                      <c:pt idx="2">
                        <c:v>Inner Core I-24/65 N</c:v>
                      </c:pt>
                      <c:pt idx="3">
                        <c:v>Inner Core I-24W</c:v>
                      </c:pt>
                      <c:pt idx="4">
                        <c:v>Inner Core I-40 W</c:v>
                      </c:pt>
                      <c:pt idx="5">
                        <c:v>Inner Core I-65 S</c:v>
                      </c:pt>
                      <c:pt idx="6">
                        <c:v>Middle Core I-24 E</c:v>
                      </c:pt>
                      <c:pt idx="7">
                        <c:v>Middle Core I-24 W</c:v>
                      </c:pt>
                      <c:pt idx="8">
                        <c:v>Middle Core I-40 E</c:v>
                      </c:pt>
                      <c:pt idx="9">
                        <c:v>Middle Core I-40 W</c:v>
                      </c:pt>
                      <c:pt idx="10">
                        <c:v>Middle Core I-65 N</c:v>
                      </c:pt>
                      <c:pt idx="11">
                        <c:v>Middle Core I-65 S</c:v>
                      </c:pt>
                      <c:pt idx="12">
                        <c:v>Outer Core I-24 E</c:v>
                      </c:pt>
                      <c:pt idx="13">
                        <c:v>Outer Core I-24 W</c:v>
                      </c:pt>
                      <c:pt idx="14">
                        <c:v>Outer Core I-40 E</c:v>
                      </c:pt>
                      <c:pt idx="15">
                        <c:v>Outer Core I-40 W</c:v>
                      </c:pt>
                      <c:pt idx="16">
                        <c:v>Outer Core I-65 N</c:v>
                      </c:pt>
                      <c:pt idx="17">
                        <c:v>Outer Core I-65 S</c:v>
                      </c:pt>
                      <c:pt idx="18">
                        <c:v>Outer Core SR386</c:v>
                      </c:pt>
                      <c:pt idx="19">
                        <c:v>Far Outer Core I-65 S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calibration_flow!$N$4:$N$23</c15:sqref>
                        </c15:formulaRef>
                      </c:ext>
                    </c:extLst>
                    <c:numCache>
                      <c:formatCode>0.0%</c:formatCode>
                      <c:ptCount val="20"/>
                      <c:pt idx="0">
                        <c:v>7.3959267540470303E-2</c:v>
                      </c:pt>
                      <c:pt idx="1">
                        <c:v>7.7299783574405423E-2</c:v>
                      </c:pt>
                      <c:pt idx="2">
                        <c:v>2.5085081711084877E-2</c:v>
                      </c:pt>
                      <c:pt idx="3">
                        <c:v>2.3884313181637747E-2</c:v>
                      </c:pt>
                      <c:pt idx="4">
                        <c:v>2.8269409033066611E-2</c:v>
                      </c:pt>
                      <c:pt idx="5">
                        <c:v>0.16000359428439934</c:v>
                      </c:pt>
                      <c:pt idx="6">
                        <c:v>8.9543677811325995E-2</c:v>
                      </c:pt>
                      <c:pt idx="7">
                        <c:v>7.2507887391840414E-3</c:v>
                      </c:pt>
                      <c:pt idx="8">
                        <c:v>5.9439761142909601E-2</c:v>
                      </c:pt>
                      <c:pt idx="9">
                        <c:v>2.2214360728481024E-2</c:v>
                      </c:pt>
                      <c:pt idx="10">
                        <c:v>5.174497742689084E-2</c:v>
                      </c:pt>
                      <c:pt idx="11">
                        <c:v>0.17141250628879429</c:v>
                      </c:pt>
                      <c:pt idx="12">
                        <c:v>7.1791676439887125E-2</c:v>
                      </c:pt>
                      <c:pt idx="13">
                        <c:v>1.1269829210944908E-2</c:v>
                      </c:pt>
                      <c:pt idx="14">
                        <c:v>3.2549044707389362E-2</c:v>
                      </c:pt>
                      <c:pt idx="15">
                        <c:v>5.5249079289388442E-3</c:v>
                      </c:pt>
                      <c:pt idx="16">
                        <c:v>1.1884152392751196E-2</c:v>
                      </c:pt>
                      <c:pt idx="17">
                        <c:v>2.4405907934091232E-2</c:v>
                      </c:pt>
                      <c:pt idx="18">
                        <c:v>3.026813626669193E-2</c:v>
                      </c:pt>
                      <c:pt idx="19">
                        <c:v>2.2198823656655344E-2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19CD-4009-9A9A-38BB454F9CCA}"/>
                  </c:ext>
                </c:extLst>
              </c15:ser>
            </c15:filteredBarSeries>
          </c:ext>
        </c:extLst>
      </c:barChart>
      <c:catAx>
        <c:axId val="146240928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District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38016"/>
        <c:crosses val="autoZero"/>
        <c:auto val="1"/>
        <c:lblAlgn val="ctr"/>
        <c:lblOffset val="100"/>
        <c:noMultiLvlLbl val="0"/>
      </c:catAx>
      <c:valAx>
        <c:axId val="146238016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240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</a:t>
            </a:r>
            <a:r>
              <a:rPr baseline="0" lang="en-US"/>
              <a:t> Locations </a:t>
            </a:r>
            <a:r>
              <a:rPr lang="en-US"/>
              <a:t>by District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cap="rnd" w="19050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1"/>
            <c:dispEq val="0"/>
            <c:trendlineLbl>
              <c:layout>
                <c:manualLayout>
                  <c:x val="-4.8343200955488635E-2"/>
                  <c:y val="-2.5423723158565071E-4"/>
                </c:manualLayout>
              </c:layout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rot="0" spcFirstLastPara="1" vert="horz" vertOverflow="ellipsis" wrap="square"/>
                <a:lstStyle/>
                <a:p>
                  <a:pPr>
                    <a:defRPr b="0" baseline="0" i="0" kern="1200" strike="noStrike" sz="900" u="none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4452.7449012008383</c:v>
                </c:pt>
                <c:pt idx="1">
                  <c:v>563.04466611601754</c:v>
                </c:pt>
                <c:pt idx="2">
                  <c:v>311.23857932524305</c:v>
                </c:pt>
                <c:pt idx="3">
                  <c:v>416.02744774127967</c:v>
                </c:pt>
                <c:pt idx="4">
                  <c:v>528.63638096448312</c:v>
                </c:pt>
                <c:pt idx="5">
                  <c:v>2906.7180888239404</c:v>
                </c:pt>
                <c:pt idx="6">
                  <c:v>471.54990787216468</c:v>
                </c:pt>
                <c:pt idx="7">
                  <c:v>46.138382362284766</c:v>
                </c:pt>
                <c:pt idx="8">
                  <c:v>373.01709130186163</c:v>
                </c:pt>
                <c:pt idx="9">
                  <c:v>163.43935446978844</c:v>
                </c:pt>
                <c:pt idx="10">
                  <c:v>366.76103945612812</c:v>
                </c:pt>
                <c:pt idx="11">
                  <c:v>1286.4006607789568</c:v>
                </c:pt>
                <c:pt idx="12">
                  <c:v>162.65734798907172</c:v>
                </c:pt>
                <c:pt idx="13">
                  <c:v>35.972298112967785</c:v>
                </c:pt>
                <c:pt idx="14">
                  <c:v>36.754304593684473</c:v>
                </c:pt>
                <c:pt idx="15">
                  <c:v>10.166084249316983</c:v>
                </c:pt>
                <c:pt idx="16">
                  <c:v>16.422136095050512</c:v>
                </c:pt>
                <c:pt idx="17">
                  <c:v>31.280259228667639</c:v>
                </c:pt>
                <c:pt idx="18">
                  <c:v>117.30097210750365</c:v>
                </c:pt>
                <c:pt idx="19">
                  <c:v>11.730097210750365</c:v>
                </c:pt>
                <c:pt idx="20">
                  <c:v>1347.9674879349757</c:v>
                </c:pt>
                <c:pt idx="21">
                  <c:v>4891.6415544831088</c:v>
                </c:pt>
                <c:pt idx="22">
                  <c:v>443.34884429768857</c:v>
                </c:pt>
                <c:pt idx="23">
                  <c:v>343.61483362966726</c:v>
                </c:pt>
                <c:pt idx="24">
                  <c:v>405.9485902971806</c:v>
                </c:pt>
                <c:pt idx="25">
                  <c:v>2453.6124968249937</c:v>
                </c:pt>
                <c:pt idx="26">
                  <c:v>1400.1720091440181</c:v>
                </c:pt>
                <c:pt idx="27">
                  <c:v>84.150571501143006</c:v>
                </c:pt>
                <c:pt idx="28">
                  <c:v>1072.1406146812294</c:v>
                </c:pt>
                <c:pt idx="29">
                  <c:v>279.72273304546604</c:v>
                </c:pt>
                <c:pt idx="30">
                  <c:v>536.84947929895861</c:v>
                </c:pt>
                <c:pt idx="31">
                  <c:v>1561.460604521209</c:v>
                </c:pt>
                <c:pt idx="32">
                  <c:v>214.27228854457709</c:v>
                </c:pt>
                <c:pt idx="33">
                  <c:v>31.94605029210058</c:v>
                </c:pt>
                <c:pt idx="34">
                  <c:v>133.23840487680977</c:v>
                </c:pt>
                <c:pt idx="35">
                  <c:v>17.141783083566168</c:v>
                </c:pt>
                <c:pt idx="36">
                  <c:v>18.700127000254</c:v>
                </c:pt>
                <c:pt idx="37">
                  <c:v>32.725222250444496</c:v>
                </c:pt>
                <c:pt idx="38">
                  <c:v>60.77541275082551</c:v>
                </c:pt>
                <c:pt idx="39">
                  <c:v>8.5708915417830838</c:v>
                </c:pt>
                <c:pt idx="40">
                  <c:v>4218.3194982475561</c:v>
                </c:pt>
                <c:pt idx="41">
                  <c:v>2552.1313410809817</c:v>
                </c:pt>
                <c:pt idx="42">
                  <c:v>7713.0866998708725</c:v>
                </c:pt>
                <c:pt idx="43">
                  <c:v>1663.3054786939679</c:v>
                </c:pt>
                <c:pt idx="44">
                  <c:v>1722.8808337945029</c:v>
                </c:pt>
                <c:pt idx="45">
                  <c:v>6167.9710385537719</c:v>
                </c:pt>
                <c:pt idx="46">
                  <c:v>1371.1940601365061</c:v>
                </c:pt>
                <c:pt idx="47">
                  <c:v>622.6585500830106</c:v>
                </c:pt>
                <c:pt idx="48">
                  <c:v>2317.67349197565</c:v>
                </c:pt>
                <c:pt idx="49">
                  <c:v>1291.4399557277254</c:v>
                </c:pt>
                <c:pt idx="50">
                  <c:v>2658.7904445674226</c:v>
                </c:pt>
                <c:pt idx="51">
                  <c:v>3046.0302527209005</c:v>
                </c:pt>
                <c:pt idx="52">
                  <c:v>328.62534587714441</c:v>
                </c:pt>
                <c:pt idx="53">
                  <c:v>100.89374654122855</c:v>
                </c:pt>
                <c:pt idx="54">
                  <c:v>183.53052942261576</c:v>
                </c:pt>
                <c:pt idx="55">
                  <c:v>113.38535325585686</c:v>
                </c:pt>
                <c:pt idx="56">
                  <c:v>138.36856668511345</c:v>
                </c:pt>
                <c:pt idx="57">
                  <c:v>35.553034495480539</c:v>
                </c:pt>
                <c:pt idx="58">
                  <c:v>193.13945766463752</c:v>
                </c:pt>
                <c:pt idx="59">
                  <c:v>24.022320605054421</c:v>
                </c:pt>
                <c:pt idx="60">
                  <c:v>1275.3508642141369</c:v>
                </c:pt>
                <c:pt idx="61">
                  <c:v>761.37749680543413</c:v>
                </c:pt>
                <c:pt idx="62">
                  <c:v>976.549398076535</c:v>
                </c:pt>
                <c:pt idx="63">
                  <c:v>2836.4360750554847</c:v>
                </c:pt>
                <c:pt idx="64">
                  <c:v>1164.7159190261618</c:v>
                </c:pt>
                <c:pt idx="65">
                  <c:v>2149.1055888089313</c:v>
                </c:pt>
                <c:pt idx="66">
                  <c:v>524.42706301701526</c:v>
                </c:pt>
                <c:pt idx="67">
                  <c:v>449.50891115744167</c:v>
                </c:pt>
                <c:pt idx="68">
                  <c:v>316.22429215145604</c:v>
                </c:pt>
                <c:pt idx="69">
                  <c:v>621.99488869459947</c:v>
                </c:pt>
                <c:pt idx="70">
                  <c:v>545.33445423364049</c:v>
                </c:pt>
                <c:pt idx="71">
                  <c:v>1050.5964086354159</c:v>
                </c:pt>
                <c:pt idx="72">
                  <c:v>102.79467348174052</c:v>
                </c:pt>
                <c:pt idx="73">
                  <c:v>24.391956419396056</c:v>
                </c:pt>
                <c:pt idx="74">
                  <c:v>54.010760642948419</c:v>
                </c:pt>
                <c:pt idx="75">
                  <c:v>20.907391216625193</c:v>
                </c:pt>
                <c:pt idx="76">
                  <c:v>20.036249915932476</c:v>
                </c:pt>
                <c:pt idx="77">
                  <c:v>25.263097720088776</c:v>
                </c:pt>
                <c:pt idx="78">
                  <c:v>30.489945524245073</c:v>
                </c:pt>
                <c:pt idx="79">
                  <c:v>3.4845652027708658</c:v>
                </c:pt>
                <c:pt idx="80">
                  <c:v>1612.9535201196127</c:v>
                </c:pt>
                <c:pt idx="81">
                  <c:v>523.7844373659234</c:v>
                </c:pt>
                <c:pt idx="82">
                  <c:v>564.43918611454205</c:v>
                </c:pt>
                <c:pt idx="83">
                  <c:v>739.34915166092435</c:v>
                </c:pt>
                <c:pt idx="84">
                  <c:v>3196.5978027692909</c:v>
                </c:pt>
                <c:pt idx="85">
                  <c:v>3807.3644932717939</c:v>
                </c:pt>
                <c:pt idx="86">
                  <c:v>448.14769550802833</c:v>
                </c:pt>
                <c:pt idx="87">
                  <c:v>129.5279204316453</c:v>
                </c:pt>
                <c:pt idx="88">
                  <c:v>340.36533836052786</c:v>
                </c:pt>
                <c:pt idx="89">
                  <c:v>913.31365793408315</c:v>
                </c:pt>
                <c:pt idx="90">
                  <c:v>378.18370928947542</c:v>
                </c:pt>
                <c:pt idx="91">
                  <c:v>1573.2442306442179</c:v>
                </c:pt>
                <c:pt idx="92">
                  <c:v>81.309497497237203</c:v>
                </c:pt>
                <c:pt idx="93">
                  <c:v>12.290970551907952</c:v>
                </c:pt>
                <c:pt idx="94">
                  <c:v>20.800104010921146</c:v>
                </c:pt>
                <c:pt idx="95">
                  <c:v>115.34603133329</c:v>
                </c:pt>
                <c:pt idx="96">
                  <c:v>17.018266918026391</c:v>
                </c:pt>
                <c:pt idx="97">
                  <c:v>15.127348371579014</c:v>
                </c:pt>
                <c:pt idx="98">
                  <c:v>47.272963661184427</c:v>
                </c:pt>
                <c:pt idx="99">
                  <c:v>7.5636741857895071</c:v>
                </c:pt>
                <c:pt idx="100">
                  <c:v>3399.435274961143</c:v>
                </c:pt>
                <c:pt idx="101">
                  <c:v>1645.9136259344236</c:v>
                </c:pt>
                <c:pt idx="102">
                  <c:v>856.78812325759259</c:v>
                </c:pt>
                <c:pt idx="103">
                  <c:v>886.95097821528134</c:v>
                </c:pt>
                <c:pt idx="104">
                  <c:v>1444.5561887844474</c:v>
                </c:pt>
                <c:pt idx="105">
                  <c:v>16234.952877901957</c:v>
                </c:pt>
                <c:pt idx="106">
                  <c:v>947.27668813065895</c:v>
                </c:pt>
                <c:pt idx="107">
                  <c:v>79.075592726913882</c:v>
                </c:pt>
                <c:pt idx="108">
                  <c:v>798.90805023067628</c:v>
                </c:pt>
                <c:pt idx="109">
                  <c:v>839.66866503836377</c:v>
                </c:pt>
                <c:pt idx="110">
                  <c:v>517.65980805763206</c:v>
                </c:pt>
                <c:pt idx="111">
                  <c:v>4610.0255347494631</c:v>
                </c:pt>
                <c:pt idx="112">
                  <c:v>239.67241506920288</c:v>
                </c:pt>
                <c:pt idx="113">
                  <c:v>44.836676288456324</c:v>
                </c:pt>
                <c:pt idx="114">
                  <c:v>122.28184442306269</c:v>
                </c:pt>
                <c:pt idx="115">
                  <c:v>88.858140280758889</c:v>
                </c:pt>
                <c:pt idx="116">
                  <c:v>63.586559099992598</c:v>
                </c:pt>
                <c:pt idx="117">
                  <c:v>78.260380430760122</c:v>
                </c:pt>
                <c:pt idx="118">
                  <c:v>117.39057064614018</c:v>
                </c:pt>
                <c:pt idx="119">
                  <c:v>26.902005773073789</c:v>
                </c:pt>
                <c:pt idx="120">
                  <c:v>4222.0484637026429</c:v>
                </c:pt>
                <c:pt idx="121">
                  <c:v>5772.3028225115213</c:v>
                </c:pt>
                <c:pt idx="122">
                  <c:v>2237.4996924380084</c:v>
                </c:pt>
                <c:pt idx="123">
                  <c:v>1363.3310677947302</c:v>
                </c:pt>
                <c:pt idx="124">
                  <c:v>2283.9980235360554</c:v>
                </c:pt>
                <c:pt idx="125">
                  <c:v>7908.4361531557879</c:v>
                </c:pt>
                <c:pt idx="126">
                  <c:v>36002.727802595618</c:v>
                </c:pt>
                <c:pt idx="127">
                  <c:v>254.81085441729607</c:v>
                </c:pt>
                <c:pt idx="128">
                  <c:v>4621.9341111458443</c:v>
                </c:pt>
                <c:pt idx="129">
                  <c:v>1453.5378301249407</c:v>
                </c:pt>
                <c:pt idx="130">
                  <c:v>1927.8208073250175</c:v>
                </c:pt>
                <c:pt idx="131">
                  <c:v>11643.182106950901</c:v>
                </c:pt>
                <c:pt idx="132">
                  <c:v>10070.608549214961</c:v>
                </c:pt>
                <c:pt idx="133">
                  <c:v>68.817530025109164</c:v>
                </c:pt>
                <c:pt idx="134">
                  <c:v>1022.0333175350671</c:v>
                </c:pt>
                <c:pt idx="135">
                  <c:v>91.13672895217158</c:v>
                </c:pt>
                <c:pt idx="136">
                  <c:v>105.0862282815856</c:v>
                </c:pt>
                <c:pt idx="137">
                  <c:v>732.81369810521642</c:v>
                </c:pt>
                <c:pt idx="138">
                  <c:v>197.15292385571814</c:v>
                </c:pt>
                <c:pt idx="139">
                  <c:v>242.72128833180392</c:v>
                </c:pt>
                <c:pt idx="140">
                  <c:v>501.99841017488075</c:v>
                </c:pt>
                <c:pt idx="141">
                  <c:v>387.00317965023845</c:v>
                </c:pt>
                <c:pt idx="142">
                  <c:v>578.29332273449916</c:v>
                </c:pt>
                <c:pt idx="143">
                  <c:v>283.06518282988873</c:v>
                </c:pt>
                <c:pt idx="144">
                  <c:v>314.02543720190778</c:v>
                </c:pt>
                <c:pt idx="145">
                  <c:v>913.32750397456289</c:v>
                </c:pt>
                <c:pt idx="146">
                  <c:v>187.972972972973</c:v>
                </c:pt>
                <c:pt idx="147">
                  <c:v>561.70747217806047</c:v>
                </c:pt>
                <c:pt idx="148">
                  <c:v>189.07869634340224</c:v>
                </c:pt>
                <c:pt idx="149">
                  <c:v>247.68203497615261</c:v>
                </c:pt>
                <c:pt idx="150">
                  <c:v>713.19157392686805</c:v>
                </c:pt>
                <c:pt idx="151">
                  <c:v>315.13116057233702</c:v>
                </c:pt>
                <c:pt idx="152">
                  <c:v>32.065977742448332</c:v>
                </c:pt>
                <c:pt idx="153">
                  <c:v>145.95548489666137</c:v>
                </c:pt>
                <c:pt idx="154">
                  <c:v>15.480127186009538</c:v>
                </c:pt>
                <c:pt idx="155">
                  <c:v>25.431637519872815</c:v>
                </c:pt>
                <c:pt idx="156">
                  <c:v>86.246422893481721</c:v>
                </c:pt>
                <c:pt idx="157">
                  <c:v>8.8457869634340227</c:v>
                </c:pt>
                <c:pt idx="158">
                  <c:v>34.277424483306838</c:v>
                </c:pt>
                <c:pt idx="159">
                  <c:v>23.22019077901431</c:v>
                </c:pt>
                <c:pt idx="160">
                  <c:v>4042.5293025204219</c:v>
                </c:pt>
                <c:pt idx="161">
                  <c:v>5623.2058646931509</c:v>
                </c:pt>
                <c:pt idx="162">
                  <c:v>2159.7074355931018</c:v>
                </c:pt>
                <c:pt idx="163">
                  <c:v>1311.5632199958109</c:v>
                </c:pt>
                <c:pt idx="164">
                  <c:v>1512.6695803951686</c:v>
                </c:pt>
                <c:pt idx="165">
                  <c:v>6707.4314598896881</c:v>
                </c:pt>
                <c:pt idx="166">
                  <c:v>6834.7016686448369</c:v>
                </c:pt>
                <c:pt idx="167">
                  <c:v>165.15981288836139</c:v>
                </c:pt>
                <c:pt idx="168">
                  <c:v>22321.834476017593</c:v>
                </c:pt>
                <c:pt idx="169">
                  <c:v>1001.6456887523564</c:v>
                </c:pt>
                <c:pt idx="170">
                  <c:v>3638.3735250994905</c:v>
                </c:pt>
                <c:pt idx="171">
                  <c:v>5483.3057878935979</c:v>
                </c:pt>
                <c:pt idx="172">
                  <c:v>2323.8957201703552</c:v>
                </c:pt>
                <c:pt idx="173">
                  <c:v>163.21675626614535</c:v>
                </c:pt>
                <c:pt idx="174">
                  <c:v>5026.6874816728341</c:v>
                </c:pt>
                <c:pt idx="175">
                  <c:v>76.750736577532649</c:v>
                </c:pt>
                <c:pt idx="176">
                  <c:v>106.86811422188089</c:v>
                </c:pt>
                <c:pt idx="177">
                  <c:v>206.93553026600571</c:v>
                </c:pt>
                <c:pt idx="178">
                  <c:v>839.40046079731894</c:v>
                </c:pt>
                <c:pt idx="179">
                  <c:v>30.117377644348249</c:v>
                </c:pt>
                <c:pt idx="180">
                  <c:v>2388.1438010835186</c:v>
                </c:pt>
                <c:pt idx="181">
                  <c:v>974.45125732001372</c:v>
                </c:pt>
                <c:pt idx="182">
                  <c:v>691.15908308019914</c:v>
                </c:pt>
                <c:pt idx="183">
                  <c:v>986.44734287414269</c:v>
                </c:pt>
                <c:pt idx="184">
                  <c:v>1730.2046472301381</c:v>
                </c:pt>
                <c:pt idx="185">
                  <c:v>7683.9541853255259</c:v>
                </c:pt>
                <c:pt idx="186">
                  <c:v>791.74164657251129</c:v>
                </c:pt>
                <c:pt idx="187">
                  <c:v>77.513168195910197</c:v>
                </c:pt>
                <c:pt idx="188">
                  <c:v>794.50997400807944</c:v>
                </c:pt>
                <c:pt idx="189">
                  <c:v>6022.0349481727362</c:v>
                </c:pt>
                <c:pt idx="190">
                  <c:v>859.10428083800457</c:v>
                </c:pt>
                <c:pt idx="191">
                  <c:v>5036.51038111045</c:v>
                </c:pt>
                <c:pt idx="192">
                  <c:v>208.54733347947266</c:v>
                </c:pt>
                <c:pt idx="193">
                  <c:v>47.984342216515827</c:v>
                </c:pt>
                <c:pt idx="194">
                  <c:v>89.509253750039136</c:v>
                </c:pt>
                <c:pt idx="195">
                  <c:v>833.26655810603449</c:v>
                </c:pt>
                <c:pt idx="196">
                  <c:v>77.513168195910197</c:v>
                </c:pt>
                <c:pt idx="197">
                  <c:v>57.21210033507657</c:v>
                </c:pt>
                <c:pt idx="198">
                  <c:v>72.899289136629818</c:v>
                </c:pt>
                <c:pt idx="199">
                  <c:v>44.293238969091533</c:v>
                </c:pt>
                <c:pt idx="200">
                  <c:v>3388.132321991045</c:v>
                </c:pt>
                <c:pt idx="201">
                  <c:v>2421.5230023871068</c:v>
                </c:pt>
                <c:pt idx="202">
                  <c:v>3658.1163043631791</c:v>
                </c:pt>
                <c:pt idx="203">
                  <c:v>1883.2216054352584</c:v>
                </c:pt>
                <c:pt idx="204">
                  <c:v>1781.5609700976031</c:v>
                </c:pt>
                <c:pt idx="205">
                  <c:v>5794.6562142463672</c:v>
                </c:pt>
                <c:pt idx="206">
                  <c:v>1759.062304899925</c:v>
                </c:pt>
                <c:pt idx="207">
                  <c:v>1078.2693616961171</c:v>
                </c:pt>
                <c:pt idx="208">
                  <c:v>3706.4467703433761</c:v>
                </c:pt>
                <c:pt idx="209">
                  <c:v>731.6232608726358</c:v>
                </c:pt>
                <c:pt idx="210">
                  <c:v>22530.329985733857</c:v>
                </c:pt>
                <c:pt idx="211">
                  <c:v>2543.1824512338094</c:v>
                </c:pt>
                <c:pt idx="212">
                  <c:v>575.79917228131137</c:v>
                </c:pt>
                <c:pt idx="213">
                  <c:v>480.80480811333814</c:v>
                </c:pt>
                <c:pt idx="214">
                  <c:v>688.29249826970067</c:v>
                </c:pt>
                <c:pt idx="215">
                  <c:v>69.162563385454192</c:v>
                </c:pt>
                <c:pt idx="216">
                  <c:v>1296.5897425032135</c:v>
                </c:pt>
                <c:pt idx="217">
                  <c:v>69.162563385454192</c:v>
                </c:pt>
                <c:pt idx="218">
                  <c:v>4497.2331878469431</c:v>
                </c:pt>
                <c:pt idx="219">
                  <c:v>40.830910914304283</c:v>
                </c:pt>
                <c:pt idx="220">
                  <c:v>7112.7439465273465</c:v>
                </c:pt>
                <c:pt idx="221">
                  <c:v>4154.0699845061044</c:v>
                </c:pt>
                <c:pt idx="222">
                  <c:v>1921.0738841775135</c:v>
                </c:pt>
                <c:pt idx="223">
                  <c:v>1644.930981055531</c:v>
                </c:pt>
                <c:pt idx="224">
                  <c:v>2899.9591919222162</c:v>
                </c:pt>
                <c:pt idx="225">
                  <c:v>17403.424824664486</c:v>
                </c:pt>
                <c:pt idx="226">
                  <c:v>8173.2794814410063</c:v>
                </c:pt>
                <c:pt idx="227">
                  <c:v>245.86809978967224</c:v>
                </c:pt>
                <c:pt idx="228">
                  <c:v>2943.0778512136885</c:v>
                </c:pt>
                <c:pt idx="229">
                  <c:v>2139.4194354832671</c:v>
                </c:pt>
                <c:pt idx="230">
                  <c:v>1629.3348702479771</c:v>
                </c:pt>
                <c:pt idx="231">
                  <c:v>64223.8668872239</c:v>
                </c:pt>
                <c:pt idx="232">
                  <c:v>2377.9481890105612</c:v>
                </c:pt>
                <c:pt idx="233">
                  <c:v>80.732808886161038</c:v>
                </c:pt>
                <c:pt idx="234">
                  <c:v>444.03044887388563</c:v>
                </c:pt>
                <c:pt idx="235">
                  <c:v>539.44195028480317</c:v>
                </c:pt>
                <c:pt idx="236">
                  <c:v>129.35597787441711</c:v>
                </c:pt>
                <c:pt idx="237">
                  <c:v>3380.6863721079931</c:v>
                </c:pt>
                <c:pt idx="238">
                  <c:v>180.73140171106505</c:v>
                </c:pt>
                <c:pt idx="239">
                  <c:v>944.02341299840577</c:v>
                </c:pt>
                <c:pt idx="240">
                  <c:v>1404.9742003952281</c:v>
                </c:pt>
                <c:pt idx="241">
                  <c:v>1562.0974529751884</c:v>
                </c:pt>
                <c:pt idx="242">
                  <c:v>398.28917514455094</c:v>
                </c:pt>
                <c:pt idx="243">
                  <c:v>335.25717265607847</c:v>
                </c:pt>
                <c:pt idx="244">
                  <c:v>403.77021883920077</c:v>
                </c:pt>
                <c:pt idx="245">
                  <c:v>2928.7043475078681</c:v>
                </c:pt>
                <c:pt idx="246">
                  <c:v>13488.848532533118</c:v>
                </c:pt>
                <c:pt idx="247">
                  <c:v>21.010667496157506</c:v>
                </c:pt>
                <c:pt idx="248">
                  <c:v>1678.1128778452758</c:v>
                </c:pt>
                <c:pt idx="249">
                  <c:v>396.46216057966768</c:v>
                </c:pt>
                <c:pt idx="250">
                  <c:v>411.99178438117548</c:v>
                </c:pt>
                <c:pt idx="251">
                  <c:v>5973.4241198858226</c:v>
                </c:pt>
                <c:pt idx="252">
                  <c:v>65890.366775232382</c:v>
                </c:pt>
                <c:pt idx="253">
                  <c:v>26.49171119080729</c:v>
                </c:pt>
                <c:pt idx="254">
                  <c:v>2215.2551599209542</c:v>
                </c:pt>
                <c:pt idx="255">
                  <c:v>83.129162702188395</c:v>
                </c:pt>
                <c:pt idx="256">
                  <c:v>35.626784015223599</c:v>
                </c:pt>
                <c:pt idx="257">
                  <c:v>2222.5632181804872</c:v>
                </c:pt>
                <c:pt idx="258">
                  <c:v>94.091250091487964</c:v>
                </c:pt>
                <c:pt idx="259">
                  <c:v>279.53322842713897</c:v>
                </c:pt>
                <c:pt idx="260">
                  <c:v>696.50971705604547</c:v>
                </c:pt>
                <c:pt idx="261">
                  <c:v>919.79713294604426</c:v>
                </c:pt>
                <c:pt idx="262">
                  <c:v>374.90232791407198</c:v>
                </c:pt>
                <c:pt idx="263">
                  <c:v>386.8477452250595</c:v>
                </c:pt>
                <c:pt idx="264">
                  <c:v>347.33598027333142</c:v>
                </c:pt>
                <c:pt idx="265">
                  <c:v>1926.8877000877669</c:v>
                </c:pt>
                <c:pt idx="266">
                  <c:v>501.70752706147869</c:v>
                </c:pt>
                <c:pt idx="267">
                  <c:v>253.61039829481336</c:v>
                </c:pt>
                <c:pt idx="268">
                  <c:v>407.06306682826926</c:v>
                </c:pt>
                <c:pt idx="269">
                  <c:v>234.31395494629498</c:v>
                </c:pt>
                <c:pt idx="270">
                  <c:v>2048.1796297070255</c:v>
                </c:pt>
                <c:pt idx="271">
                  <c:v>625.75609144481132</c:v>
                </c:pt>
                <c:pt idx="272">
                  <c:v>56.051573536172526</c:v>
                </c:pt>
                <c:pt idx="273">
                  <c:v>10946.596648138086</c:v>
                </c:pt>
                <c:pt idx="274">
                  <c:v>81.7801646675304</c:v>
                </c:pt>
                <c:pt idx="275">
                  <c:v>11.945417310987587</c:v>
                </c:pt>
                <c:pt idx="276">
                  <c:v>1733.9232666025828</c:v>
                </c:pt>
                <c:pt idx="277">
                  <c:v>10.107660801604881</c:v>
                </c:pt>
                <c:pt idx="278">
                  <c:v>419.00848413925689</c:v>
                </c:pt>
                <c:pt idx="279">
                  <c:v>3.675513018765411</c:v>
                </c:pt>
                <c:pt idx="280">
                  <c:v>879.0009627166113</c:v>
                </c:pt>
                <c:pt idx="281">
                  <c:v>1486.3793103448277</c:v>
                </c:pt>
                <c:pt idx="282">
                  <c:v>207.48949763696831</c:v>
                </c:pt>
                <c:pt idx="283">
                  <c:v>312.1773805356205</c:v>
                </c:pt>
                <c:pt idx="284">
                  <c:v>329.15379397864518</c:v>
                </c:pt>
                <c:pt idx="285">
                  <c:v>1575.977047960791</c:v>
                </c:pt>
                <c:pt idx="286">
                  <c:v>2616.2539383861367</c:v>
                </c:pt>
                <c:pt idx="287">
                  <c:v>33.952826886049358</c:v>
                </c:pt>
                <c:pt idx="288">
                  <c:v>4750.5663618064063</c:v>
                </c:pt>
                <c:pt idx="289">
                  <c:v>151.84458690705409</c:v>
                </c:pt>
                <c:pt idx="290">
                  <c:v>735.64458253106955</c:v>
                </c:pt>
                <c:pt idx="291">
                  <c:v>1677.8355286189392</c:v>
                </c:pt>
                <c:pt idx="292">
                  <c:v>3792.3421363556804</c:v>
                </c:pt>
                <c:pt idx="293">
                  <c:v>15.090145282688605</c:v>
                </c:pt>
                <c:pt idx="294">
                  <c:v>23427.450551374059</c:v>
                </c:pt>
                <c:pt idx="295">
                  <c:v>21.692083843864872</c:v>
                </c:pt>
                <c:pt idx="296">
                  <c:v>139.58384386486961</c:v>
                </c:pt>
                <c:pt idx="297">
                  <c:v>104.68788289865219</c:v>
                </c:pt>
                <c:pt idx="298">
                  <c:v>830.90112462804132</c:v>
                </c:pt>
                <c:pt idx="299">
                  <c:v>16.976413443024679</c:v>
                </c:pt>
                <c:pt idx="300">
                  <c:v>1213.9904352291694</c:v>
                </c:pt>
                <c:pt idx="301">
                  <c:v>582.46488637822574</c:v>
                </c:pt>
                <c:pt idx="302">
                  <c:v>318.37238413146747</c:v>
                </c:pt>
                <c:pt idx="303">
                  <c:v>362.21382719219412</c:v>
                </c:pt>
                <c:pt idx="304">
                  <c:v>508.35197072794966</c:v>
                </c:pt>
                <c:pt idx="305">
                  <c:v>3124.224740017974</c:v>
                </c:pt>
                <c:pt idx="306">
                  <c:v>400.83605084092949</c:v>
                </c:pt>
                <c:pt idx="307">
                  <c:v>61.58678906149698</c:v>
                </c:pt>
                <c:pt idx="308">
                  <c:v>410.23064578251382</c:v>
                </c:pt>
                <c:pt idx="309">
                  <c:v>1747.3946591346771</c:v>
                </c:pt>
                <c:pt idx="310">
                  <c:v>288.10091154191809</c:v>
                </c:pt>
                <c:pt idx="311">
                  <c:v>4227.5677237129285</c:v>
                </c:pt>
                <c:pt idx="312">
                  <c:v>62.630632943895236</c:v>
                </c:pt>
                <c:pt idx="313">
                  <c:v>32.359160354345867</c:v>
                </c:pt>
                <c:pt idx="314">
                  <c:v>11.482282706380794</c:v>
                </c:pt>
                <c:pt idx="315">
                  <c:v>2513.5760688149953</c:v>
                </c:pt>
                <c:pt idx="316">
                  <c:v>10.438438823982539</c:v>
                </c:pt>
                <c:pt idx="317">
                  <c:v>246.34715624598792</c:v>
                </c:pt>
                <c:pt idx="318">
                  <c:v>66.806008473488248</c:v>
                </c:pt>
                <c:pt idx="319">
                  <c:v>72.025227885479524</c:v>
                </c:pt>
                <c:pt idx="320">
                  <c:v>867.35756853396902</c:v>
                </c:pt>
                <c:pt idx="321">
                  <c:v>931.95929219767118</c:v>
                </c:pt>
                <c:pt idx="322">
                  <c:v>387.6103419822133</c:v>
                </c:pt>
                <c:pt idx="323">
                  <c:v>417.2635921885028</c:v>
                </c:pt>
                <c:pt idx="324">
                  <c:v>371.72467222884387</c:v>
                </c:pt>
                <c:pt idx="325">
                  <c:v>1565.2679930319978</c:v>
                </c:pt>
                <c:pt idx="326">
                  <c:v>503.04620885669755</c:v>
                </c:pt>
                <c:pt idx="327">
                  <c:v>284.8830109104245</c:v>
                </c:pt>
                <c:pt idx="328">
                  <c:v>586.71073622444305</c:v>
                </c:pt>
                <c:pt idx="329">
                  <c:v>121.79013477583203</c:v>
                </c:pt>
                <c:pt idx="330">
                  <c:v>3819.9740533602276</c:v>
                </c:pt>
                <c:pt idx="331">
                  <c:v>632.24965618410204</c:v>
                </c:pt>
                <c:pt idx="332">
                  <c:v>165.21096543504171</c:v>
                </c:pt>
                <c:pt idx="333">
                  <c:v>1613.9840469423307</c:v>
                </c:pt>
                <c:pt idx="334">
                  <c:v>158.85669753369396</c:v>
                </c:pt>
                <c:pt idx="335">
                  <c:v>10.590446502246264</c:v>
                </c:pt>
                <c:pt idx="336">
                  <c:v>7476.855230585862</c:v>
                </c:pt>
                <c:pt idx="337">
                  <c:v>0</c:v>
                </c:pt>
                <c:pt idx="338">
                  <c:v>3181.3701292747778</c:v>
                </c:pt>
                <c:pt idx="339">
                  <c:v>5.2952232511231321</c:v>
                </c:pt>
                <c:pt idx="340">
                  <c:v>1107.765027804749</c:v>
                </c:pt>
                <c:pt idx="341">
                  <c:v>913.84808897519633</c:v>
                </c:pt>
                <c:pt idx="342">
                  <c:v>356.48203724953657</c:v>
                </c:pt>
                <c:pt idx="343">
                  <c:v>428.47515226410098</c:v>
                </c:pt>
                <c:pt idx="344">
                  <c:v>829.08200194191897</c:v>
                </c:pt>
                <c:pt idx="345">
                  <c:v>3035.322623355989</c:v>
                </c:pt>
                <c:pt idx="346">
                  <c:v>2856.5010150940066</c:v>
                </c:pt>
                <c:pt idx="347">
                  <c:v>91.733162679848178</c:v>
                </c:pt>
                <c:pt idx="348">
                  <c:v>514.40241857180683</c:v>
                </c:pt>
                <c:pt idx="349">
                  <c:v>312.35722482125522</c:v>
                </c:pt>
                <c:pt idx="350">
                  <c:v>149.79212640127108</c:v>
                </c:pt>
                <c:pt idx="351">
                  <c:v>17465.297466678436</c:v>
                </c:pt>
                <c:pt idx="352">
                  <c:v>6396.9366228263752</c:v>
                </c:pt>
                <c:pt idx="353">
                  <c:v>10.450613469856121</c:v>
                </c:pt>
                <c:pt idx="354">
                  <c:v>186.94986318298174</c:v>
                </c:pt>
                <c:pt idx="355">
                  <c:v>240.36410980669078</c:v>
                </c:pt>
                <c:pt idx="356">
                  <c:v>18.578868390855327</c:v>
                </c:pt>
                <c:pt idx="357">
                  <c:v>13339.627504634125</c:v>
                </c:pt>
                <c:pt idx="358">
                  <c:v>69.67075646570747</c:v>
                </c:pt>
                <c:pt idx="359">
                  <c:v>4296.3633153852943</c:v>
                </c:pt>
                <c:pt idx="360">
                  <c:v>1199.8150463106215</c:v>
                </c:pt>
                <c:pt idx="361">
                  <c:v>1012.4359180642366</c:v>
                </c:pt>
                <c:pt idx="362">
                  <c:v>480.71085256925966</c:v>
                </c:pt>
                <c:pt idx="363">
                  <c:v>351.21323514243869</c:v>
                </c:pt>
                <c:pt idx="364">
                  <c:v>349.25115002991112</c:v>
                </c:pt>
                <c:pt idx="365">
                  <c:v>1663.8481754233967</c:v>
                </c:pt>
                <c:pt idx="366">
                  <c:v>711.25585329125147</c:v>
                </c:pt>
                <c:pt idx="367">
                  <c:v>185.41704313385731</c:v>
                </c:pt>
                <c:pt idx="368">
                  <c:v>929.0473007818141</c:v>
                </c:pt>
                <c:pt idx="369">
                  <c:v>151.08055366462446</c:v>
                </c:pt>
                <c:pt idx="370">
                  <c:v>8462.4730903314976</c:v>
                </c:pt>
                <c:pt idx="371">
                  <c:v>1450.9619407141531</c:v>
                </c:pt>
                <c:pt idx="372">
                  <c:v>271.74878808507128</c:v>
                </c:pt>
                <c:pt idx="373">
                  <c:v>418.90517152464054</c:v>
                </c:pt>
                <c:pt idx="374">
                  <c:v>1931.6727932834126</c:v>
                </c:pt>
                <c:pt idx="375">
                  <c:v>41.2037873630794</c:v>
                </c:pt>
                <c:pt idx="376">
                  <c:v>3645.5541390762628</c:v>
                </c:pt>
                <c:pt idx="377">
                  <c:v>11.772510675165542</c:v>
                </c:pt>
                <c:pt idx="378">
                  <c:v>24278.841182416403</c:v>
                </c:pt>
                <c:pt idx="379">
                  <c:v>10.791468118901747</c:v>
                </c:pt>
                <c:pt idx="380">
                  <c:v>298.11026352288485</c:v>
                </c:pt>
                <c:pt idx="381">
                  <c:v>303.87482662968102</c:v>
                </c:pt>
                <c:pt idx="382">
                  <c:v>41.175450762829406</c:v>
                </c:pt>
                <c:pt idx="383">
                  <c:v>41.175450762829406</c:v>
                </c:pt>
                <c:pt idx="384">
                  <c:v>98.821081830790561</c:v>
                </c:pt>
                <c:pt idx="385">
                  <c:v>429.0481969486824</c:v>
                </c:pt>
                <c:pt idx="386">
                  <c:v>317.87447988904296</c:v>
                </c:pt>
                <c:pt idx="387">
                  <c:v>3.2940360610263522</c:v>
                </c:pt>
                <c:pt idx="388">
                  <c:v>117.76178918169209</c:v>
                </c:pt>
                <c:pt idx="389">
                  <c:v>141.64355062413316</c:v>
                </c:pt>
                <c:pt idx="390">
                  <c:v>55.998613037447988</c:v>
                </c:pt>
                <c:pt idx="391">
                  <c:v>4734.3533287101254</c:v>
                </c:pt>
                <c:pt idx="392">
                  <c:v>458.6945214979196</c:v>
                </c:pt>
                <c:pt idx="393">
                  <c:v>8.2350901525658813</c:v>
                </c:pt>
                <c:pt idx="394">
                  <c:v>4.1175450762829406</c:v>
                </c:pt>
                <c:pt idx="395">
                  <c:v>71.645284327323154</c:v>
                </c:pt>
                <c:pt idx="396">
                  <c:v>16.470180305131763</c:v>
                </c:pt>
                <c:pt idx="397">
                  <c:v>3518.8540221914009</c:v>
                </c:pt>
                <c:pt idx="398">
                  <c:v>9.058599167822468</c:v>
                </c:pt>
                <c:pt idx="399">
                  <c:v>20204.793689320388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2841.9999999999995</c:v>
                </c:pt>
                <c:pt idx="1">
                  <c:v>746.99999999999989</c:v>
                </c:pt>
                <c:pt idx="2">
                  <c:v>527.99999999999989</c:v>
                </c:pt>
                <c:pt idx="3">
                  <c:v>622.99999999999989</c:v>
                </c:pt>
                <c:pt idx="4">
                  <c:v>699.99999999999989</c:v>
                </c:pt>
                <c:pt idx="5">
                  <c:v>3039.9999999999995</c:v>
                </c:pt>
                <c:pt idx="6">
                  <c:v>514.99999999999989</c:v>
                </c:pt>
                <c:pt idx="7">
                  <c:v>95.999999999999957</c:v>
                </c:pt>
                <c:pt idx="8">
                  <c:v>518.99999999999989</c:v>
                </c:pt>
                <c:pt idx="9">
                  <c:v>420.99999999999983</c:v>
                </c:pt>
                <c:pt idx="10">
                  <c:v>488.99999999999983</c:v>
                </c:pt>
                <c:pt idx="11">
                  <c:v>1517.9999999999998</c:v>
                </c:pt>
                <c:pt idx="12">
                  <c:v>57.999999999999979</c:v>
                </c:pt>
                <c:pt idx="13">
                  <c:v>24.999999999999989</c:v>
                </c:pt>
                <c:pt idx="14">
                  <c:v>64.999999999999986</c:v>
                </c:pt>
                <c:pt idx="15">
                  <c:v>44.999999999999993</c:v>
                </c:pt>
                <c:pt idx="16">
                  <c:v>18.999999999999996</c:v>
                </c:pt>
                <c:pt idx="17">
                  <c:v>15.999999999999995</c:v>
                </c:pt>
                <c:pt idx="18">
                  <c:v>38.999999999999993</c:v>
                </c:pt>
                <c:pt idx="19">
                  <c:v>2.9999999999999987</c:v>
                </c:pt>
                <c:pt idx="20">
                  <c:v>1487</c:v>
                </c:pt>
                <c:pt idx="21">
                  <c:v>2335</c:v>
                </c:pt>
                <c:pt idx="22">
                  <c:v>746</c:v>
                </c:pt>
                <c:pt idx="23">
                  <c:v>460</c:v>
                </c:pt>
                <c:pt idx="24">
                  <c:v>627</c:v>
                </c:pt>
                <c:pt idx="25">
                  <c:v>2876</c:v>
                </c:pt>
                <c:pt idx="26">
                  <c:v>1349</c:v>
                </c:pt>
                <c:pt idx="27">
                  <c:v>117</c:v>
                </c:pt>
                <c:pt idx="28">
                  <c:v>1415</c:v>
                </c:pt>
                <c:pt idx="29">
                  <c:v>473</c:v>
                </c:pt>
                <c:pt idx="30">
                  <c:v>559</c:v>
                </c:pt>
                <c:pt idx="31">
                  <c:v>2380</c:v>
                </c:pt>
                <c:pt idx="32">
                  <c:v>184</c:v>
                </c:pt>
                <c:pt idx="33">
                  <c:v>25</c:v>
                </c:pt>
                <c:pt idx="34">
                  <c:v>148</c:v>
                </c:pt>
                <c:pt idx="35">
                  <c:v>46</c:v>
                </c:pt>
                <c:pt idx="36">
                  <c:v>33</c:v>
                </c:pt>
                <c:pt idx="37">
                  <c:v>34</c:v>
                </c:pt>
                <c:pt idx="38">
                  <c:v>38</c:v>
                </c:pt>
                <c:pt idx="39">
                  <c:v>6</c:v>
                </c:pt>
                <c:pt idx="40">
                  <c:v>4525</c:v>
                </c:pt>
                <c:pt idx="41">
                  <c:v>2790</c:v>
                </c:pt>
                <c:pt idx="42">
                  <c:v>3943</c:v>
                </c:pt>
                <c:pt idx="43">
                  <c:v>1672</c:v>
                </c:pt>
                <c:pt idx="44">
                  <c:v>1829</c:v>
                </c:pt>
                <c:pt idx="45">
                  <c:v>7193</c:v>
                </c:pt>
                <c:pt idx="46">
                  <c:v>1665</c:v>
                </c:pt>
                <c:pt idx="47">
                  <c:v>522</c:v>
                </c:pt>
                <c:pt idx="48">
                  <c:v>2245</c:v>
                </c:pt>
                <c:pt idx="49">
                  <c:v>1403</c:v>
                </c:pt>
                <c:pt idx="50">
                  <c:v>3322</c:v>
                </c:pt>
                <c:pt idx="51">
                  <c:v>4218</c:v>
                </c:pt>
                <c:pt idx="52">
                  <c:v>177</c:v>
                </c:pt>
                <c:pt idx="53">
                  <c:v>175</c:v>
                </c:pt>
                <c:pt idx="54">
                  <c:v>169</c:v>
                </c:pt>
                <c:pt idx="55">
                  <c:v>139</c:v>
                </c:pt>
                <c:pt idx="56">
                  <c:v>164</c:v>
                </c:pt>
                <c:pt idx="57">
                  <c:v>44</c:v>
                </c:pt>
                <c:pt idx="58">
                  <c:v>265</c:v>
                </c:pt>
                <c:pt idx="59">
                  <c:v>3</c:v>
                </c:pt>
                <c:pt idx="60">
                  <c:v>1499.9999999999998</c:v>
                </c:pt>
                <c:pt idx="61">
                  <c:v>924.99999999999989</c:v>
                </c:pt>
                <c:pt idx="62">
                  <c:v>879.99999999999989</c:v>
                </c:pt>
                <c:pt idx="63">
                  <c:v>1179.9999999999998</c:v>
                </c:pt>
                <c:pt idx="64">
                  <c:v>937.99999999999989</c:v>
                </c:pt>
                <c:pt idx="65">
                  <c:v>2833.9999999999995</c:v>
                </c:pt>
                <c:pt idx="66">
                  <c:v>482.99999999999994</c:v>
                </c:pt>
                <c:pt idx="67">
                  <c:v>225.99999999999997</c:v>
                </c:pt>
                <c:pt idx="68">
                  <c:v>606.99999999999989</c:v>
                </c:pt>
                <c:pt idx="69">
                  <c:v>712.99999999999989</c:v>
                </c:pt>
                <c:pt idx="70">
                  <c:v>851.99999999999989</c:v>
                </c:pt>
                <c:pt idx="71">
                  <c:v>1476.9999999999998</c:v>
                </c:pt>
                <c:pt idx="72">
                  <c:v>50.999999999999993</c:v>
                </c:pt>
                <c:pt idx="73">
                  <c:v>58.999999999999993</c:v>
                </c:pt>
                <c:pt idx="74">
                  <c:v>43.999999999999993</c:v>
                </c:pt>
                <c:pt idx="75">
                  <c:v>66.999999999999986</c:v>
                </c:pt>
                <c:pt idx="76">
                  <c:v>40.999999999999993</c:v>
                </c:pt>
                <c:pt idx="77">
                  <c:v>15.999999999999998</c:v>
                </c:pt>
                <c:pt idx="78">
                  <c:v>56.999999999999993</c:v>
                </c:pt>
                <c:pt idx="79">
                  <c:v>2.9999999999999996</c:v>
                </c:pt>
                <c:pt idx="80">
                  <c:v>1517.0000000000002</c:v>
                </c:pt>
                <c:pt idx="81">
                  <c:v>902.00000000000011</c:v>
                </c:pt>
                <c:pt idx="82">
                  <c:v>583.00000000000011</c:v>
                </c:pt>
                <c:pt idx="83">
                  <c:v>615.00000000000011</c:v>
                </c:pt>
                <c:pt idx="84">
                  <c:v>1745.0000000000002</c:v>
                </c:pt>
                <c:pt idx="85">
                  <c:v>4304.0000000000009</c:v>
                </c:pt>
                <c:pt idx="86">
                  <c:v>480.00000000000006</c:v>
                </c:pt>
                <c:pt idx="87">
                  <c:v>167.00000000000003</c:v>
                </c:pt>
                <c:pt idx="88">
                  <c:v>527.00000000000011</c:v>
                </c:pt>
                <c:pt idx="89">
                  <c:v>971.00000000000011</c:v>
                </c:pt>
                <c:pt idx="90">
                  <c:v>421.00000000000006</c:v>
                </c:pt>
                <c:pt idx="91">
                  <c:v>1972.0000000000002</c:v>
                </c:pt>
                <c:pt idx="92">
                  <c:v>53.000000000000007</c:v>
                </c:pt>
                <c:pt idx="93">
                  <c:v>31.000000000000004</c:v>
                </c:pt>
                <c:pt idx="94">
                  <c:v>39.000000000000007</c:v>
                </c:pt>
                <c:pt idx="95">
                  <c:v>131.00000000000003</c:v>
                </c:pt>
                <c:pt idx="96">
                  <c:v>26.000000000000004</c:v>
                </c:pt>
                <c:pt idx="97">
                  <c:v>26.000000000000004</c:v>
                </c:pt>
                <c:pt idx="98">
                  <c:v>33.000000000000007</c:v>
                </c:pt>
                <c:pt idx="99">
                  <c:v>1.0000000000000002</c:v>
                </c:pt>
                <c:pt idx="100">
                  <c:v>3275.9999999999991</c:v>
                </c:pt>
                <c:pt idx="101">
                  <c:v>1973.9999999999995</c:v>
                </c:pt>
                <c:pt idx="102">
                  <c:v>969.99999999999977</c:v>
                </c:pt>
                <c:pt idx="103">
                  <c:v>922.99999999999977</c:v>
                </c:pt>
                <c:pt idx="104">
                  <c:v>2049.9999999999995</c:v>
                </c:pt>
                <c:pt idx="105">
                  <c:v>12995.999999999996</c:v>
                </c:pt>
                <c:pt idx="106">
                  <c:v>1350.9999999999998</c:v>
                </c:pt>
                <c:pt idx="107">
                  <c:v>182.99999999999997</c:v>
                </c:pt>
                <c:pt idx="108">
                  <c:v>1208.9999999999998</c:v>
                </c:pt>
                <c:pt idx="109">
                  <c:v>1374.9999999999998</c:v>
                </c:pt>
                <c:pt idx="110">
                  <c:v>754.99999999999989</c:v>
                </c:pt>
                <c:pt idx="111">
                  <c:v>5327.9999999999991</c:v>
                </c:pt>
                <c:pt idx="112">
                  <c:v>164.99999999999997</c:v>
                </c:pt>
                <c:pt idx="113">
                  <c:v>37.999999999999993</c:v>
                </c:pt>
                <c:pt idx="114">
                  <c:v>85.999999999999986</c:v>
                </c:pt>
                <c:pt idx="115">
                  <c:v>197.99999999999994</c:v>
                </c:pt>
                <c:pt idx="116">
                  <c:v>33.999999999999993</c:v>
                </c:pt>
                <c:pt idx="117">
                  <c:v>60.999999999999986</c:v>
                </c:pt>
                <c:pt idx="118">
                  <c:v>57.999999999999986</c:v>
                </c:pt>
                <c:pt idx="119">
                  <c:v>12.999999999999996</c:v>
                </c:pt>
                <c:pt idx="120">
                  <c:v>4283.9999999999991</c:v>
                </c:pt>
                <c:pt idx="121">
                  <c:v>5940.9999999999991</c:v>
                </c:pt>
                <c:pt idx="122">
                  <c:v>2093.9999999999995</c:v>
                </c:pt>
                <c:pt idx="123">
                  <c:v>1214.9999999999998</c:v>
                </c:pt>
                <c:pt idx="124">
                  <c:v>1762.9999999999993</c:v>
                </c:pt>
                <c:pt idx="125">
                  <c:v>9207.9999999999982</c:v>
                </c:pt>
                <c:pt idx="126">
                  <c:v>27106.999999999989</c:v>
                </c:pt>
                <c:pt idx="127">
                  <c:v>194.99999999999991</c:v>
                </c:pt>
                <c:pt idx="128">
                  <c:v>6551.9999999999973</c:v>
                </c:pt>
                <c:pt idx="129">
                  <c:v>1109.9999999999998</c:v>
                </c:pt>
                <c:pt idx="130">
                  <c:v>1078.9999999999998</c:v>
                </c:pt>
                <c:pt idx="131">
                  <c:v>16301.999999999995</c:v>
                </c:pt>
                <c:pt idx="132">
                  <c:v>12875.999999999995</c:v>
                </c:pt>
                <c:pt idx="133">
                  <c:v>38.999999999999993</c:v>
                </c:pt>
                <c:pt idx="134">
                  <c:v>1677.9999999999993</c:v>
                </c:pt>
                <c:pt idx="135">
                  <c:v>136.99999999999997</c:v>
                </c:pt>
                <c:pt idx="136">
                  <c:v>40.999999999999986</c:v>
                </c:pt>
                <c:pt idx="137">
                  <c:v>468.99999999999983</c:v>
                </c:pt>
                <c:pt idx="138">
                  <c:v>96.999999999999957</c:v>
                </c:pt>
                <c:pt idx="139">
                  <c:v>34.999999999999993</c:v>
                </c:pt>
                <c:pt idx="140">
                  <c:v>595</c:v>
                </c:pt>
                <c:pt idx="141">
                  <c:v>398</c:v>
                </c:pt>
                <c:pt idx="142">
                  <c:v>443</c:v>
                </c:pt>
                <c:pt idx="143">
                  <c:v>335</c:v>
                </c:pt>
                <c:pt idx="144">
                  <c:v>331</c:v>
                </c:pt>
                <c:pt idx="145">
                  <c:v>1122</c:v>
                </c:pt>
                <c:pt idx="146">
                  <c:v>145</c:v>
                </c:pt>
                <c:pt idx="147">
                  <c:v>178</c:v>
                </c:pt>
                <c:pt idx="148">
                  <c:v>292</c:v>
                </c:pt>
                <c:pt idx="149">
                  <c:v>302</c:v>
                </c:pt>
                <c:pt idx="150">
                  <c:v>741</c:v>
                </c:pt>
                <c:pt idx="151">
                  <c:v>426</c:v>
                </c:pt>
                <c:pt idx="152">
                  <c:v>13</c:v>
                </c:pt>
                <c:pt idx="153">
                  <c:v>97</c:v>
                </c:pt>
                <c:pt idx="154">
                  <c:v>23</c:v>
                </c:pt>
                <c:pt idx="155">
                  <c:v>19</c:v>
                </c:pt>
                <c:pt idx="156">
                  <c:v>41</c:v>
                </c:pt>
                <c:pt idx="157">
                  <c:v>6</c:v>
                </c:pt>
                <c:pt idx="158">
                  <c:v>57</c:v>
                </c:pt>
                <c:pt idx="159">
                  <c:v>0</c:v>
                </c:pt>
                <c:pt idx="160">
                  <c:v>4789</c:v>
                </c:pt>
                <c:pt idx="161">
                  <c:v>6365</c:v>
                </c:pt>
                <c:pt idx="162">
                  <c:v>3137</c:v>
                </c:pt>
                <c:pt idx="163">
                  <c:v>1368</c:v>
                </c:pt>
                <c:pt idx="164">
                  <c:v>1687</c:v>
                </c:pt>
                <c:pt idx="165">
                  <c:v>8673</c:v>
                </c:pt>
                <c:pt idx="166">
                  <c:v>7168</c:v>
                </c:pt>
                <c:pt idx="167">
                  <c:v>334</c:v>
                </c:pt>
                <c:pt idx="168">
                  <c:v>16365</c:v>
                </c:pt>
                <c:pt idx="169">
                  <c:v>893</c:v>
                </c:pt>
                <c:pt idx="170">
                  <c:v>4008</c:v>
                </c:pt>
                <c:pt idx="171">
                  <c:v>5798</c:v>
                </c:pt>
                <c:pt idx="172">
                  <c:v>1901</c:v>
                </c:pt>
                <c:pt idx="173">
                  <c:v>142</c:v>
                </c:pt>
                <c:pt idx="174">
                  <c:v>5860</c:v>
                </c:pt>
                <c:pt idx="175">
                  <c:v>67</c:v>
                </c:pt>
                <c:pt idx="176">
                  <c:v>172</c:v>
                </c:pt>
                <c:pt idx="177">
                  <c:v>107</c:v>
                </c:pt>
                <c:pt idx="178">
                  <c:v>736</c:v>
                </c:pt>
                <c:pt idx="179">
                  <c:v>6</c:v>
                </c:pt>
                <c:pt idx="180">
                  <c:v>2750.9999999999995</c:v>
                </c:pt>
                <c:pt idx="181">
                  <c:v>1598.9999999999998</c:v>
                </c:pt>
                <c:pt idx="182">
                  <c:v>969.99999999999989</c:v>
                </c:pt>
                <c:pt idx="183">
                  <c:v>1110.9999999999998</c:v>
                </c:pt>
                <c:pt idx="184">
                  <c:v>2120.9999999999995</c:v>
                </c:pt>
                <c:pt idx="185">
                  <c:v>7273.9999999999991</c:v>
                </c:pt>
                <c:pt idx="186">
                  <c:v>937.99999999999989</c:v>
                </c:pt>
                <c:pt idx="187">
                  <c:v>179.99999999999997</c:v>
                </c:pt>
                <c:pt idx="188">
                  <c:v>633.99999999999989</c:v>
                </c:pt>
                <c:pt idx="189">
                  <c:v>3434.9999999999995</c:v>
                </c:pt>
                <c:pt idx="190">
                  <c:v>571.99999999999989</c:v>
                </c:pt>
                <c:pt idx="191">
                  <c:v>6726.9999999999991</c:v>
                </c:pt>
                <c:pt idx="192">
                  <c:v>108.99999999999999</c:v>
                </c:pt>
                <c:pt idx="193">
                  <c:v>42.999999999999993</c:v>
                </c:pt>
                <c:pt idx="194">
                  <c:v>47.999999999999993</c:v>
                </c:pt>
                <c:pt idx="195">
                  <c:v>747.99999999999989</c:v>
                </c:pt>
                <c:pt idx="196">
                  <c:v>28.999999999999996</c:v>
                </c:pt>
                <c:pt idx="197">
                  <c:v>124.99999999999999</c:v>
                </c:pt>
                <c:pt idx="198">
                  <c:v>38.999999999999993</c:v>
                </c:pt>
                <c:pt idx="199">
                  <c:v>13.999999999999998</c:v>
                </c:pt>
                <c:pt idx="200">
                  <c:v>4502</c:v>
                </c:pt>
                <c:pt idx="201">
                  <c:v>3071</c:v>
                </c:pt>
                <c:pt idx="202">
                  <c:v>3924</c:v>
                </c:pt>
                <c:pt idx="203">
                  <c:v>2083</c:v>
                </c:pt>
                <c:pt idx="204">
                  <c:v>1837</c:v>
                </c:pt>
                <c:pt idx="205">
                  <c:v>6880</c:v>
                </c:pt>
                <c:pt idx="206">
                  <c:v>1329</c:v>
                </c:pt>
                <c:pt idx="207">
                  <c:v>1025</c:v>
                </c:pt>
                <c:pt idx="208">
                  <c:v>4712</c:v>
                </c:pt>
                <c:pt idx="209">
                  <c:v>1036</c:v>
                </c:pt>
                <c:pt idx="210">
                  <c:v>18761</c:v>
                </c:pt>
                <c:pt idx="211">
                  <c:v>2629</c:v>
                </c:pt>
                <c:pt idx="212">
                  <c:v>170</c:v>
                </c:pt>
                <c:pt idx="213">
                  <c:v>704</c:v>
                </c:pt>
                <c:pt idx="214">
                  <c:v>818</c:v>
                </c:pt>
                <c:pt idx="215">
                  <c:v>84</c:v>
                </c:pt>
                <c:pt idx="216">
                  <c:v>1116</c:v>
                </c:pt>
                <c:pt idx="217">
                  <c:v>30</c:v>
                </c:pt>
                <c:pt idx="218">
                  <c:v>4279</c:v>
                </c:pt>
                <c:pt idx="219">
                  <c:v>4</c:v>
                </c:pt>
                <c:pt idx="220">
                  <c:v>7216</c:v>
                </c:pt>
                <c:pt idx="221">
                  <c:v>6186</c:v>
                </c:pt>
                <c:pt idx="222">
                  <c:v>2281</c:v>
                </c:pt>
                <c:pt idx="223">
                  <c:v>2164</c:v>
                </c:pt>
                <c:pt idx="224">
                  <c:v>3359</c:v>
                </c:pt>
                <c:pt idx="225">
                  <c:v>18124</c:v>
                </c:pt>
                <c:pt idx="226">
                  <c:v>10860</c:v>
                </c:pt>
                <c:pt idx="227">
                  <c:v>245</c:v>
                </c:pt>
                <c:pt idx="228">
                  <c:v>3739</c:v>
                </c:pt>
                <c:pt idx="229">
                  <c:v>3168</c:v>
                </c:pt>
                <c:pt idx="230">
                  <c:v>1144</c:v>
                </c:pt>
                <c:pt idx="231">
                  <c:v>56531</c:v>
                </c:pt>
                <c:pt idx="232">
                  <c:v>3254</c:v>
                </c:pt>
                <c:pt idx="233">
                  <c:v>79</c:v>
                </c:pt>
                <c:pt idx="234">
                  <c:v>432</c:v>
                </c:pt>
                <c:pt idx="235">
                  <c:v>758</c:v>
                </c:pt>
                <c:pt idx="236">
                  <c:v>43</c:v>
                </c:pt>
                <c:pt idx="237">
                  <c:v>2616</c:v>
                </c:pt>
                <c:pt idx="238">
                  <c:v>88</c:v>
                </c:pt>
                <c:pt idx="239">
                  <c:v>281</c:v>
                </c:pt>
                <c:pt idx="240">
                  <c:v>1066.0000000000002</c:v>
                </c:pt>
                <c:pt idx="241">
                  <c:v>1449.0000000000002</c:v>
                </c:pt>
                <c:pt idx="242">
                  <c:v>429.00000000000006</c:v>
                </c:pt>
                <c:pt idx="243">
                  <c:v>265.00000000000006</c:v>
                </c:pt>
                <c:pt idx="244">
                  <c:v>403.00000000000006</c:v>
                </c:pt>
                <c:pt idx="245">
                  <c:v>2243.0000000000005</c:v>
                </c:pt>
                <c:pt idx="246">
                  <c:v>21006.000000000004</c:v>
                </c:pt>
                <c:pt idx="247">
                  <c:v>45.000000000000007</c:v>
                </c:pt>
                <c:pt idx="248">
                  <c:v>1914.0000000000002</c:v>
                </c:pt>
                <c:pt idx="249">
                  <c:v>224.00000000000003</c:v>
                </c:pt>
                <c:pt idx="250">
                  <c:v>229.00000000000003</c:v>
                </c:pt>
                <c:pt idx="251">
                  <c:v>6654.0000000000009</c:v>
                </c:pt>
                <c:pt idx="252">
                  <c:v>58214.000000000007</c:v>
                </c:pt>
                <c:pt idx="253">
                  <c:v>8.0000000000000018</c:v>
                </c:pt>
                <c:pt idx="254">
                  <c:v>3340.0000000000005</c:v>
                </c:pt>
                <c:pt idx="255">
                  <c:v>45.000000000000007</c:v>
                </c:pt>
                <c:pt idx="256">
                  <c:v>8.0000000000000018</c:v>
                </c:pt>
                <c:pt idx="257">
                  <c:v>2155.0000000000005</c:v>
                </c:pt>
                <c:pt idx="258">
                  <c:v>78.000000000000014</c:v>
                </c:pt>
                <c:pt idx="259">
                  <c:v>75.000000000000014</c:v>
                </c:pt>
                <c:pt idx="260">
                  <c:v>981.99999999999989</c:v>
                </c:pt>
                <c:pt idx="261">
                  <c:v>472.99999999999994</c:v>
                </c:pt>
                <c:pt idx="262">
                  <c:v>736.99999999999989</c:v>
                </c:pt>
                <c:pt idx="263">
                  <c:v>614.99999999999989</c:v>
                </c:pt>
                <c:pt idx="264">
                  <c:v>434.99999999999994</c:v>
                </c:pt>
                <c:pt idx="265">
                  <c:v>1584.9999999999998</c:v>
                </c:pt>
                <c:pt idx="266">
                  <c:v>198.99999999999997</c:v>
                </c:pt>
                <c:pt idx="267">
                  <c:v>532.99999999999989</c:v>
                </c:pt>
                <c:pt idx="268">
                  <c:v>459.99999999999994</c:v>
                </c:pt>
                <c:pt idx="269">
                  <c:v>333.99999999999994</c:v>
                </c:pt>
                <c:pt idx="270">
                  <c:v>2794.9999999999995</c:v>
                </c:pt>
                <c:pt idx="271">
                  <c:v>548.99999999999989</c:v>
                </c:pt>
                <c:pt idx="272">
                  <c:v>30.999999999999996</c:v>
                </c:pt>
                <c:pt idx="273">
                  <c:v>10033.999999999998</c:v>
                </c:pt>
                <c:pt idx="274">
                  <c:v>66.999999999999986</c:v>
                </c:pt>
                <c:pt idx="275">
                  <c:v>19.999999999999996</c:v>
                </c:pt>
                <c:pt idx="276">
                  <c:v>1568.9999999999998</c:v>
                </c:pt>
                <c:pt idx="277">
                  <c:v>4.9999999999999991</c:v>
                </c:pt>
                <c:pt idx="278">
                  <c:v>562.99999999999989</c:v>
                </c:pt>
                <c:pt idx="279">
                  <c:v>0</c:v>
                </c:pt>
                <c:pt idx="280">
                  <c:v>816</c:v>
                </c:pt>
                <c:pt idx="281">
                  <c:v>1201</c:v>
                </c:pt>
                <c:pt idx="282">
                  <c:v>466</c:v>
                </c:pt>
                <c:pt idx="283">
                  <c:v>209</c:v>
                </c:pt>
                <c:pt idx="284">
                  <c:v>284</c:v>
                </c:pt>
                <c:pt idx="285">
                  <c:v>1410</c:v>
                </c:pt>
                <c:pt idx="286">
                  <c:v>2458</c:v>
                </c:pt>
                <c:pt idx="287">
                  <c:v>82</c:v>
                </c:pt>
                <c:pt idx="288">
                  <c:v>5676</c:v>
                </c:pt>
                <c:pt idx="289">
                  <c:v>149</c:v>
                </c:pt>
                <c:pt idx="290">
                  <c:v>1038</c:v>
                </c:pt>
                <c:pt idx="291">
                  <c:v>1042</c:v>
                </c:pt>
                <c:pt idx="292">
                  <c:v>6374</c:v>
                </c:pt>
                <c:pt idx="293">
                  <c:v>28</c:v>
                </c:pt>
                <c:pt idx="294">
                  <c:v>20009</c:v>
                </c:pt>
                <c:pt idx="295">
                  <c:v>13</c:v>
                </c:pt>
                <c:pt idx="296">
                  <c:v>92</c:v>
                </c:pt>
                <c:pt idx="297">
                  <c:v>62</c:v>
                </c:pt>
                <c:pt idx="298">
                  <c:v>1694</c:v>
                </c:pt>
                <c:pt idx="299">
                  <c:v>2</c:v>
                </c:pt>
                <c:pt idx="300">
                  <c:v>1076.9999999999998</c:v>
                </c:pt>
                <c:pt idx="301">
                  <c:v>521.99999999999989</c:v>
                </c:pt>
                <c:pt idx="302">
                  <c:v>282.99999999999994</c:v>
                </c:pt>
                <c:pt idx="303">
                  <c:v>358.99999999999994</c:v>
                </c:pt>
                <c:pt idx="304">
                  <c:v>912.99999999999977</c:v>
                </c:pt>
                <c:pt idx="305">
                  <c:v>3157.9999999999991</c:v>
                </c:pt>
                <c:pt idx="306">
                  <c:v>359.99999999999994</c:v>
                </c:pt>
                <c:pt idx="307">
                  <c:v>51.999999999999986</c:v>
                </c:pt>
                <c:pt idx="308">
                  <c:v>224.99999999999994</c:v>
                </c:pt>
                <c:pt idx="309">
                  <c:v>1621.9999999999995</c:v>
                </c:pt>
                <c:pt idx="310">
                  <c:v>169.99999999999997</c:v>
                </c:pt>
                <c:pt idx="311">
                  <c:v>5057.9999999999991</c:v>
                </c:pt>
                <c:pt idx="312">
                  <c:v>89.999999999999986</c:v>
                </c:pt>
                <c:pt idx="313">
                  <c:v>12.999999999999996</c:v>
                </c:pt>
                <c:pt idx="314">
                  <c:v>20.999999999999996</c:v>
                </c:pt>
                <c:pt idx="315">
                  <c:v>1799.9999999999995</c:v>
                </c:pt>
                <c:pt idx="316">
                  <c:v>8.9999999999999982</c:v>
                </c:pt>
                <c:pt idx="317">
                  <c:v>383.99999999999989</c:v>
                </c:pt>
                <c:pt idx="318">
                  <c:v>15.999999999999996</c:v>
                </c:pt>
                <c:pt idx="319">
                  <c:v>128.99999999999997</c:v>
                </c:pt>
                <c:pt idx="320">
                  <c:v>835.00000000000011</c:v>
                </c:pt>
                <c:pt idx="321">
                  <c:v>431.00000000000006</c:v>
                </c:pt>
                <c:pt idx="322">
                  <c:v>751.00000000000011</c:v>
                </c:pt>
                <c:pt idx="323">
                  <c:v>401.00000000000006</c:v>
                </c:pt>
                <c:pt idx="324">
                  <c:v>292.00000000000006</c:v>
                </c:pt>
                <c:pt idx="325">
                  <c:v>1212.0000000000002</c:v>
                </c:pt>
                <c:pt idx="326">
                  <c:v>178.00000000000003</c:v>
                </c:pt>
                <c:pt idx="327">
                  <c:v>233.00000000000003</c:v>
                </c:pt>
                <c:pt idx="328">
                  <c:v>599.00000000000011</c:v>
                </c:pt>
                <c:pt idx="329">
                  <c:v>182.00000000000003</c:v>
                </c:pt>
                <c:pt idx="330">
                  <c:v>4977.0000000000009</c:v>
                </c:pt>
                <c:pt idx="331">
                  <c:v>465.00000000000006</c:v>
                </c:pt>
                <c:pt idx="332">
                  <c:v>37.000000000000007</c:v>
                </c:pt>
                <c:pt idx="333">
                  <c:v>2500.0000000000005</c:v>
                </c:pt>
                <c:pt idx="334">
                  <c:v>174.00000000000003</c:v>
                </c:pt>
                <c:pt idx="335">
                  <c:v>14.000000000000002</c:v>
                </c:pt>
                <c:pt idx="336">
                  <c:v>6023.0000000000009</c:v>
                </c:pt>
                <c:pt idx="337">
                  <c:v>9.0000000000000018</c:v>
                </c:pt>
                <c:pt idx="338">
                  <c:v>3788.0000000000005</c:v>
                </c:pt>
                <c:pt idx="339">
                  <c:v>1.0000000000000002</c:v>
                </c:pt>
                <c:pt idx="340">
                  <c:v>841.99999999999989</c:v>
                </c:pt>
                <c:pt idx="341">
                  <c:v>754.99999999999989</c:v>
                </c:pt>
                <c:pt idx="342">
                  <c:v>250.99999999999997</c:v>
                </c:pt>
                <c:pt idx="343">
                  <c:v>231.99999999999997</c:v>
                </c:pt>
                <c:pt idx="344">
                  <c:v>442.99999999999994</c:v>
                </c:pt>
                <c:pt idx="345">
                  <c:v>2399.9999999999995</c:v>
                </c:pt>
                <c:pt idx="346">
                  <c:v>2426.9999999999995</c:v>
                </c:pt>
                <c:pt idx="347">
                  <c:v>25.999999999999996</c:v>
                </c:pt>
                <c:pt idx="348">
                  <c:v>414.99999999999994</c:v>
                </c:pt>
                <c:pt idx="349">
                  <c:v>456.99999999999994</c:v>
                </c:pt>
                <c:pt idx="350">
                  <c:v>138.99999999999997</c:v>
                </c:pt>
                <c:pt idx="351">
                  <c:v>18680.999999999996</c:v>
                </c:pt>
                <c:pt idx="352">
                  <c:v>8643.9999999999982</c:v>
                </c:pt>
                <c:pt idx="353">
                  <c:v>10.999999999999998</c:v>
                </c:pt>
                <c:pt idx="354">
                  <c:v>132.99999999999997</c:v>
                </c:pt>
                <c:pt idx="355">
                  <c:v>277.99999999999994</c:v>
                </c:pt>
                <c:pt idx="356">
                  <c:v>2.9999999999999996</c:v>
                </c:pt>
                <c:pt idx="357">
                  <c:v>11843.999999999998</c:v>
                </c:pt>
                <c:pt idx="358">
                  <c:v>9.9999999999999982</c:v>
                </c:pt>
                <c:pt idx="359">
                  <c:v>4628.9999999999991</c:v>
                </c:pt>
                <c:pt idx="360">
                  <c:v>922</c:v>
                </c:pt>
                <c:pt idx="361">
                  <c:v>585</c:v>
                </c:pt>
                <c:pt idx="362">
                  <c:v>831</c:v>
                </c:pt>
                <c:pt idx="363">
                  <c:v>442</c:v>
                </c:pt>
                <c:pt idx="364">
                  <c:v>355</c:v>
                </c:pt>
                <c:pt idx="365">
                  <c:v>1409</c:v>
                </c:pt>
                <c:pt idx="366">
                  <c:v>297</c:v>
                </c:pt>
                <c:pt idx="367">
                  <c:v>205</c:v>
                </c:pt>
                <c:pt idx="368">
                  <c:v>1430</c:v>
                </c:pt>
                <c:pt idx="369">
                  <c:v>223</c:v>
                </c:pt>
                <c:pt idx="370">
                  <c:v>11067</c:v>
                </c:pt>
                <c:pt idx="371">
                  <c:v>526</c:v>
                </c:pt>
                <c:pt idx="372">
                  <c:v>147</c:v>
                </c:pt>
                <c:pt idx="373">
                  <c:v>691</c:v>
                </c:pt>
                <c:pt idx="374">
                  <c:v>2472</c:v>
                </c:pt>
                <c:pt idx="375">
                  <c:v>15</c:v>
                </c:pt>
                <c:pt idx="376">
                  <c:v>4670</c:v>
                </c:pt>
                <c:pt idx="377">
                  <c:v>11</c:v>
                </c:pt>
                <c:pt idx="378">
                  <c:v>21258</c:v>
                </c:pt>
                <c:pt idx="379">
                  <c:v>2</c:v>
                </c:pt>
                <c:pt idx="380">
                  <c:v>98</c:v>
                </c:pt>
                <c:pt idx="381">
                  <c:v>87</c:v>
                </c:pt>
                <c:pt idx="382">
                  <c:v>22</c:v>
                </c:pt>
                <c:pt idx="383">
                  <c:v>35</c:v>
                </c:pt>
                <c:pt idx="384">
                  <c:v>54</c:v>
                </c:pt>
                <c:pt idx="385">
                  <c:v>323</c:v>
                </c:pt>
                <c:pt idx="386">
                  <c:v>116</c:v>
                </c:pt>
                <c:pt idx="387">
                  <c:v>3</c:v>
                </c:pt>
                <c:pt idx="388">
                  <c:v>37</c:v>
                </c:pt>
                <c:pt idx="389">
                  <c:v>64</c:v>
                </c:pt>
                <c:pt idx="390">
                  <c:v>22</c:v>
                </c:pt>
                <c:pt idx="391">
                  <c:v>2530</c:v>
                </c:pt>
                <c:pt idx="392">
                  <c:v>194</c:v>
                </c:pt>
                <c:pt idx="393">
                  <c:v>3</c:v>
                </c:pt>
                <c:pt idx="394">
                  <c:v>4</c:v>
                </c:pt>
                <c:pt idx="395">
                  <c:v>117</c:v>
                </c:pt>
                <c:pt idx="396">
                  <c:v>0</c:v>
                </c:pt>
                <c:pt idx="397">
                  <c:v>5223</c:v>
                </c:pt>
                <c:pt idx="398">
                  <c:v>2</c:v>
                </c:pt>
                <c:pt idx="399">
                  <c:v>21941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52-4175-847D-2995C0970A1A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xVal>
          <c:yVal>
            <c:numRef>
              <c:f>calibration_flow!$DB$2:$DB$61</c:f>
              <c:numCache>
                <c:formatCode>General</c:formatCode>
                <c:ptCount val="6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52-4175-847D-2995C0970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logBase val="10"/>
          <c:orientation val="minMax"/>
          <c:max val="6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</c:valAx>
      <c:valAx>
        <c:axId val="540863839"/>
        <c:scaling>
          <c:logBase val="10"/>
          <c:orientation val="minMax"/>
          <c:max val="6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Worker's</a:t>
            </a:r>
            <a:r>
              <a:rPr baseline="0" lang="en-US"/>
              <a:t> Location </a:t>
            </a:r>
            <a:r>
              <a:rPr lang="en-US"/>
              <a:t>by District (Linear Scale)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Work Location by District</c:v>
          </c:tx>
          <c:spPr>
            <a:ln cap="rnd" w="25400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calibration_flow!$CX$2:$CX$401</c:f>
              <c:numCache>
                <c:formatCode>_(* #,##0_);_(* \(#,##0\);_(* "-"??_);_(@_)</c:formatCode>
                <c:ptCount val="400"/>
                <c:pt idx="0">
                  <c:v>4452.7449012008383</c:v>
                </c:pt>
                <c:pt idx="1">
                  <c:v>563.04466611601754</c:v>
                </c:pt>
                <c:pt idx="2">
                  <c:v>311.23857932524305</c:v>
                </c:pt>
                <c:pt idx="3">
                  <c:v>416.02744774127967</c:v>
                </c:pt>
                <c:pt idx="4">
                  <c:v>528.63638096448312</c:v>
                </c:pt>
                <c:pt idx="5">
                  <c:v>2906.7180888239404</c:v>
                </c:pt>
                <c:pt idx="6">
                  <c:v>471.54990787216468</c:v>
                </c:pt>
                <c:pt idx="7">
                  <c:v>46.138382362284766</c:v>
                </c:pt>
                <c:pt idx="8">
                  <c:v>373.01709130186163</c:v>
                </c:pt>
                <c:pt idx="9">
                  <c:v>163.43935446978844</c:v>
                </c:pt>
                <c:pt idx="10">
                  <c:v>366.76103945612812</c:v>
                </c:pt>
                <c:pt idx="11">
                  <c:v>1286.4006607789568</c:v>
                </c:pt>
                <c:pt idx="12">
                  <c:v>162.65734798907172</c:v>
                </c:pt>
                <c:pt idx="13">
                  <c:v>35.972298112967785</c:v>
                </c:pt>
                <c:pt idx="14">
                  <c:v>36.754304593684473</c:v>
                </c:pt>
                <c:pt idx="15">
                  <c:v>10.166084249316983</c:v>
                </c:pt>
                <c:pt idx="16">
                  <c:v>16.422136095050512</c:v>
                </c:pt>
                <c:pt idx="17">
                  <c:v>31.280259228667639</c:v>
                </c:pt>
                <c:pt idx="18">
                  <c:v>117.30097210750365</c:v>
                </c:pt>
                <c:pt idx="19">
                  <c:v>11.730097210750365</c:v>
                </c:pt>
                <c:pt idx="20">
                  <c:v>1347.9674879349757</c:v>
                </c:pt>
                <c:pt idx="21">
                  <c:v>4891.6415544831088</c:v>
                </c:pt>
                <c:pt idx="22">
                  <c:v>443.34884429768857</c:v>
                </c:pt>
                <c:pt idx="23">
                  <c:v>343.61483362966726</c:v>
                </c:pt>
                <c:pt idx="24">
                  <c:v>405.9485902971806</c:v>
                </c:pt>
                <c:pt idx="25">
                  <c:v>2453.6124968249937</c:v>
                </c:pt>
                <c:pt idx="26">
                  <c:v>1400.1720091440181</c:v>
                </c:pt>
                <c:pt idx="27">
                  <c:v>84.150571501143006</c:v>
                </c:pt>
                <c:pt idx="28">
                  <c:v>1072.1406146812294</c:v>
                </c:pt>
                <c:pt idx="29">
                  <c:v>279.72273304546604</c:v>
                </c:pt>
                <c:pt idx="30">
                  <c:v>536.84947929895861</c:v>
                </c:pt>
                <c:pt idx="31">
                  <c:v>1561.460604521209</c:v>
                </c:pt>
                <c:pt idx="32">
                  <c:v>214.27228854457709</c:v>
                </c:pt>
                <c:pt idx="33">
                  <c:v>31.94605029210058</c:v>
                </c:pt>
                <c:pt idx="34">
                  <c:v>133.23840487680977</c:v>
                </c:pt>
                <c:pt idx="35">
                  <c:v>17.141783083566168</c:v>
                </c:pt>
                <c:pt idx="36">
                  <c:v>18.700127000254</c:v>
                </c:pt>
                <c:pt idx="37">
                  <c:v>32.725222250444496</c:v>
                </c:pt>
                <c:pt idx="38">
                  <c:v>60.77541275082551</c:v>
                </c:pt>
                <c:pt idx="39">
                  <c:v>8.5708915417830838</c:v>
                </c:pt>
                <c:pt idx="40">
                  <c:v>4218.3194982475561</c:v>
                </c:pt>
                <c:pt idx="41">
                  <c:v>2552.1313410809817</c:v>
                </c:pt>
                <c:pt idx="42">
                  <c:v>7713.0866998708725</c:v>
                </c:pt>
                <c:pt idx="43">
                  <c:v>1663.3054786939679</c:v>
                </c:pt>
                <c:pt idx="44">
                  <c:v>1722.8808337945029</c:v>
                </c:pt>
                <c:pt idx="45">
                  <c:v>6167.9710385537719</c:v>
                </c:pt>
                <c:pt idx="46">
                  <c:v>1371.1940601365061</c:v>
                </c:pt>
                <c:pt idx="47">
                  <c:v>622.6585500830106</c:v>
                </c:pt>
                <c:pt idx="48">
                  <c:v>2317.67349197565</c:v>
                </c:pt>
                <c:pt idx="49">
                  <c:v>1291.4399557277254</c:v>
                </c:pt>
                <c:pt idx="50">
                  <c:v>2658.7904445674226</c:v>
                </c:pt>
                <c:pt idx="51">
                  <c:v>3046.0302527209005</c:v>
                </c:pt>
                <c:pt idx="52">
                  <c:v>328.62534587714441</c:v>
                </c:pt>
                <c:pt idx="53">
                  <c:v>100.89374654122855</c:v>
                </c:pt>
                <c:pt idx="54">
                  <c:v>183.53052942261576</c:v>
                </c:pt>
                <c:pt idx="55">
                  <c:v>113.38535325585686</c:v>
                </c:pt>
                <c:pt idx="56">
                  <c:v>138.36856668511345</c:v>
                </c:pt>
                <c:pt idx="57">
                  <c:v>35.553034495480539</c:v>
                </c:pt>
                <c:pt idx="58">
                  <c:v>193.13945766463752</c:v>
                </c:pt>
                <c:pt idx="59">
                  <c:v>24.022320605054421</c:v>
                </c:pt>
                <c:pt idx="60">
                  <c:v>1275.3508642141369</c:v>
                </c:pt>
                <c:pt idx="61">
                  <c:v>761.37749680543413</c:v>
                </c:pt>
                <c:pt idx="62">
                  <c:v>976.549398076535</c:v>
                </c:pt>
                <c:pt idx="63">
                  <c:v>2836.4360750554847</c:v>
                </c:pt>
                <c:pt idx="64">
                  <c:v>1164.7159190261618</c:v>
                </c:pt>
                <c:pt idx="65">
                  <c:v>2149.1055888089313</c:v>
                </c:pt>
                <c:pt idx="66">
                  <c:v>524.42706301701526</c:v>
                </c:pt>
                <c:pt idx="67">
                  <c:v>449.50891115744167</c:v>
                </c:pt>
                <c:pt idx="68">
                  <c:v>316.22429215145604</c:v>
                </c:pt>
                <c:pt idx="69">
                  <c:v>621.99488869459947</c:v>
                </c:pt>
                <c:pt idx="70">
                  <c:v>545.33445423364049</c:v>
                </c:pt>
                <c:pt idx="71">
                  <c:v>1050.5964086354159</c:v>
                </c:pt>
                <c:pt idx="72">
                  <c:v>102.79467348174052</c:v>
                </c:pt>
                <c:pt idx="73">
                  <c:v>24.391956419396056</c:v>
                </c:pt>
                <c:pt idx="74">
                  <c:v>54.010760642948419</c:v>
                </c:pt>
                <c:pt idx="75">
                  <c:v>20.907391216625193</c:v>
                </c:pt>
                <c:pt idx="76">
                  <c:v>20.036249915932476</c:v>
                </c:pt>
                <c:pt idx="77">
                  <c:v>25.263097720088776</c:v>
                </c:pt>
                <c:pt idx="78">
                  <c:v>30.489945524245073</c:v>
                </c:pt>
                <c:pt idx="79">
                  <c:v>3.4845652027708658</c:v>
                </c:pt>
                <c:pt idx="80">
                  <c:v>1612.9535201196127</c:v>
                </c:pt>
                <c:pt idx="81">
                  <c:v>523.7844373659234</c:v>
                </c:pt>
                <c:pt idx="82">
                  <c:v>564.43918611454205</c:v>
                </c:pt>
                <c:pt idx="83">
                  <c:v>739.34915166092435</c:v>
                </c:pt>
                <c:pt idx="84">
                  <c:v>3196.5978027692909</c:v>
                </c:pt>
                <c:pt idx="85">
                  <c:v>3807.3644932717939</c:v>
                </c:pt>
                <c:pt idx="86">
                  <c:v>448.14769550802833</c:v>
                </c:pt>
                <c:pt idx="87">
                  <c:v>129.5279204316453</c:v>
                </c:pt>
                <c:pt idx="88">
                  <c:v>340.36533836052786</c:v>
                </c:pt>
                <c:pt idx="89">
                  <c:v>913.31365793408315</c:v>
                </c:pt>
                <c:pt idx="90">
                  <c:v>378.18370928947542</c:v>
                </c:pt>
                <c:pt idx="91">
                  <c:v>1573.2442306442179</c:v>
                </c:pt>
                <c:pt idx="92">
                  <c:v>81.309497497237203</c:v>
                </c:pt>
                <c:pt idx="93">
                  <c:v>12.290970551907952</c:v>
                </c:pt>
                <c:pt idx="94">
                  <c:v>20.800104010921146</c:v>
                </c:pt>
                <c:pt idx="95">
                  <c:v>115.34603133329</c:v>
                </c:pt>
                <c:pt idx="96">
                  <c:v>17.018266918026391</c:v>
                </c:pt>
                <c:pt idx="97">
                  <c:v>15.127348371579014</c:v>
                </c:pt>
                <c:pt idx="98">
                  <c:v>47.272963661184427</c:v>
                </c:pt>
                <c:pt idx="99">
                  <c:v>7.5636741857895071</c:v>
                </c:pt>
                <c:pt idx="100">
                  <c:v>3399.435274961143</c:v>
                </c:pt>
                <c:pt idx="101">
                  <c:v>1645.9136259344236</c:v>
                </c:pt>
                <c:pt idx="102">
                  <c:v>856.78812325759259</c:v>
                </c:pt>
                <c:pt idx="103">
                  <c:v>886.95097821528134</c:v>
                </c:pt>
                <c:pt idx="104">
                  <c:v>1444.5561887844474</c:v>
                </c:pt>
                <c:pt idx="105">
                  <c:v>16234.952877901957</c:v>
                </c:pt>
                <c:pt idx="106">
                  <c:v>947.27668813065895</c:v>
                </c:pt>
                <c:pt idx="107">
                  <c:v>79.075592726913882</c:v>
                </c:pt>
                <c:pt idx="108">
                  <c:v>798.90805023067628</c:v>
                </c:pt>
                <c:pt idx="109">
                  <c:v>839.66866503836377</c:v>
                </c:pt>
                <c:pt idx="110">
                  <c:v>517.65980805763206</c:v>
                </c:pt>
                <c:pt idx="111">
                  <c:v>4610.0255347494631</c:v>
                </c:pt>
                <c:pt idx="112">
                  <c:v>239.67241506920288</c:v>
                </c:pt>
                <c:pt idx="113">
                  <c:v>44.836676288456324</c:v>
                </c:pt>
                <c:pt idx="114">
                  <c:v>122.28184442306269</c:v>
                </c:pt>
                <c:pt idx="115">
                  <c:v>88.858140280758889</c:v>
                </c:pt>
                <c:pt idx="116">
                  <c:v>63.586559099992598</c:v>
                </c:pt>
                <c:pt idx="117">
                  <c:v>78.260380430760122</c:v>
                </c:pt>
                <c:pt idx="118">
                  <c:v>117.39057064614018</c:v>
                </c:pt>
                <c:pt idx="119">
                  <c:v>26.902005773073789</c:v>
                </c:pt>
                <c:pt idx="120">
                  <c:v>4222.0484637026429</c:v>
                </c:pt>
                <c:pt idx="121">
                  <c:v>5772.3028225115213</c:v>
                </c:pt>
                <c:pt idx="122">
                  <c:v>2237.4996924380084</c:v>
                </c:pt>
                <c:pt idx="123">
                  <c:v>1363.3310677947302</c:v>
                </c:pt>
                <c:pt idx="124">
                  <c:v>2283.9980235360554</c:v>
                </c:pt>
                <c:pt idx="125">
                  <c:v>7908.4361531557879</c:v>
                </c:pt>
                <c:pt idx="126">
                  <c:v>36002.727802595618</c:v>
                </c:pt>
                <c:pt idx="127">
                  <c:v>254.81085441729607</c:v>
                </c:pt>
                <c:pt idx="128">
                  <c:v>4621.9341111458443</c:v>
                </c:pt>
                <c:pt idx="129">
                  <c:v>1453.5378301249407</c:v>
                </c:pt>
                <c:pt idx="130">
                  <c:v>1927.8208073250175</c:v>
                </c:pt>
                <c:pt idx="131">
                  <c:v>11643.182106950901</c:v>
                </c:pt>
                <c:pt idx="132">
                  <c:v>10070.608549214961</c:v>
                </c:pt>
                <c:pt idx="133">
                  <c:v>68.817530025109164</c:v>
                </c:pt>
                <c:pt idx="134">
                  <c:v>1022.0333175350671</c:v>
                </c:pt>
                <c:pt idx="135">
                  <c:v>91.13672895217158</c:v>
                </c:pt>
                <c:pt idx="136">
                  <c:v>105.0862282815856</c:v>
                </c:pt>
                <c:pt idx="137">
                  <c:v>732.81369810521642</c:v>
                </c:pt>
                <c:pt idx="138">
                  <c:v>197.15292385571814</c:v>
                </c:pt>
                <c:pt idx="139">
                  <c:v>242.72128833180392</c:v>
                </c:pt>
                <c:pt idx="140">
                  <c:v>501.99841017488075</c:v>
                </c:pt>
                <c:pt idx="141">
                  <c:v>387.00317965023845</c:v>
                </c:pt>
                <c:pt idx="142">
                  <c:v>578.29332273449916</c:v>
                </c:pt>
                <c:pt idx="143">
                  <c:v>283.06518282988873</c:v>
                </c:pt>
                <c:pt idx="144">
                  <c:v>314.02543720190778</c:v>
                </c:pt>
                <c:pt idx="145">
                  <c:v>913.32750397456289</c:v>
                </c:pt>
                <c:pt idx="146">
                  <c:v>187.972972972973</c:v>
                </c:pt>
                <c:pt idx="147">
                  <c:v>561.70747217806047</c:v>
                </c:pt>
                <c:pt idx="148">
                  <c:v>189.07869634340224</c:v>
                </c:pt>
                <c:pt idx="149">
                  <c:v>247.68203497615261</c:v>
                </c:pt>
                <c:pt idx="150">
                  <c:v>713.19157392686805</c:v>
                </c:pt>
                <c:pt idx="151">
                  <c:v>315.13116057233702</c:v>
                </c:pt>
                <c:pt idx="152">
                  <c:v>32.065977742448332</c:v>
                </c:pt>
                <c:pt idx="153">
                  <c:v>145.95548489666137</c:v>
                </c:pt>
                <c:pt idx="154">
                  <c:v>15.480127186009538</c:v>
                </c:pt>
                <c:pt idx="155">
                  <c:v>25.431637519872815</c:v>
                </c:pt>
                <c:pt idx="156">
                  <c:v>86.246422893481721</c:v>
                </c:pt>
                <c:pt idx="157">
                  <c:v>8.8457869634340227</c:v>
                </c:pt>
                <c:pt idx="158">
                  <c:v>34.277424483306838</c:v>
                </c:pt>
                <c:pt idx="159">
                  <c:v>23.22019077901431</c:v>
                </c:pt>
                <c:pt idx="160">
                  <c:v>4042.5293025204219</c:v>
                </c:pt>
                <c:pt idx="161">
                  <c:v>5623.2058646931509</c:v>
                </c:pt>
                <c:pt idx="162">
                  <c:v>2159.7074355931018</c:v>
                </c:pt>
                <c:pt idx="163">
                  <c:v>1311.5632199958109</c:v>
                </c:pt>
                <c:pt idx="164">
                  <c:v>1512.6695803951686</c:v>
                </c:pt>
                <c:pt idx="165">
                  <c:v>6707.4314598896881</c:v>
                </c:pt>
                <c:pt idx="166">
                  <c:v>6834.7016686448369</c:v>
                </c:pt>
                <c:pt idx="167">
                  <c:v>165.15981288836139</c:v>
                </c:pt>
                <c:pt idx="168">
                  <c:v>22321.834476017593</c:v>
                </c:pt>
                <c:pt idx="169">
                  <c:v>1001.6456887523564</c:v>
                </c:pt>
                <c:pt idx="170">
                  <c:v>3638.3735250994905</c:v>
                </c:pt>
                <c:pt idx="171">
                  <c:v>5483.3057878935979</c:v>
                </c:pt>
                <c:pt idx="172">
                  <c:v>2323.8957201703552</c:v>
                </c:pt>
                <c:pt idx="173">
                  <c:v>163.21675626614535</c:v>
                </c:pt>
                <c:pt idx="174">
                  <c:v>5026.6874816728341</c:v>
                </c:pt>
                <c:pt idx="175">
                  <c:v>76.750736577532649</c:v>
                </c:pt>
                <c:pt idx="176">
                  <c:v>106.86811422188089</c:v>
                </c:pt>
                <c:pt idx="177">
                  <c:v>206.93553026600571</c:v>
                </c:pt>
                <c:pt idx="178">
                  <c:v>839.40046079731894</c:v>
                </c:pt>
                <c:pt idx="179">
                  <c:v>30.117377644348249</c:v>
                </c:pt>
                <c:pt idx="180">
                  <c:v>2388.1438010835186</c:v>
                </c:pt>
                <c:pt idx="181">
                  <c:v>974.45125732001372</c:v>
                </c:pt>
                <c:pt idx="182">
                  <c:v>691.15908308019914</c:v>
                </c:pt>
                <c:pt idx="183">
                  <c:v>986.44734287414269</c:v>
                </c:pt>
                <c:pt idx="184">
                  <c:v>1730.2046472301381</c:v>
                </c:pt>
                <c:pt idx="185">
                  <c:v>7683.9541853255259</c:v>
                </c:pt>
                <c:pt idx="186">
                  <c:v>791.74164657251129</c:v>
                </c:pt>
                <c:pt idx="187">
                  <c:v>77.513168195910197</c:v>
                </c:pt>
                <c:pt idx="188">
                  <c:v>794.50997400807944</c:v>
                </c:pt>
                <c:pt idx="189">
                  <c:v>6022.0349481727362</c:v>
                </c:pt>
                <c:pt idx="190">
                  <c:v>859.10428083800457</c:v>
                </c:pt>
                <c:pt idx="191">
                  <c:v>5036.51038111045</c:v>
                </c:pt>
                <c:pt idx="192">
                  <c:v>208.54733347947266</c:v>
                </c:pt>
                <c:pt idx="193">
                  <c:v>47.984342216515827</c:v>
                </c:pt>
                <c:pt idx="194">
                  <c:v>89.509253750039136</c:v>
                </c:pt>
                <c:pt idx="195">
                  <c:v>833.26655810603449</c:v>
                </c:pt>
                <c:pt idx="196">
                  <c:v>77.513168195910197</c:v>
                </c:pt>
                <c:pt idx="197">
                  <c:v>57.21210033507657</c:v>
                </c:pt>
                <c:pt idx="198">
                  <c:v>72.899289136629818</c:v>
                </c:pt>
                <c:pt idx="199">
                  <c:v>44.293238969091533</c:v>
                </c:pt>
                <c:pt idx="200">
                  <c:v>3388.132321991045</c:v>
                </c:pt>
                <c:pt idx="201">
                  <c:v>2421.5230023871068</c:v>
                </c:pt>
                <c:pt idx="202">
                  <c:v>3658.1163043631791</c:v>
                </c:pt>
                <c:pt idx="203">
                  <c:v>1883.2216054352584</c:v>
                </c:pt>
                <c:pt idx="204">
                  <c:v>1781.5609700976031</c:v>
                </c:pt>
                <c:pt idx="205">
                  <c:v>5794.6562142463672</c:v>
                </c:pt>
                <c:pt idx="206">
                  <c:v>1759.062304899925</c:v>
                </c:pt>
                <c:pt idx="207">
                  <c:v>1078.2693616961171</c:v>
                </c:pt>
                <c:pt idx="208">
                  <c:v>3706.4467703433761</c:v>
                </c:pt>
                <c:pt idx="209">
                  <c:v>731.6232608726358</c:v>
                </c:pt>
                <c:pt idx="210">
                  <c:v>22530.329985733857</c:v>
                </c:pt>
                <c:pt idx="211">
                  <c:v>2543.1824512338094</c:v>
                </c:pt>
                <c:pt idx="212">
                  <c:v>575.79917228131137</c:v>
                </c:pt>
                <c:pt idx="213">
                  <c:v>480.80480811333814</c:v>
                </c:pt>
                <c:pt idx="214">
                  <c:v>688.29249826970067</c:v>
                </c:pt>
                <c:pt idx="215">
                  <c:v>69.162563385454192</c:v>
                </c:pt>
                <c:pt idx="216">
                  <c:v>1296.5897425032135</c:v>
                </c:pt>
                <c:pt idx="217">
                  <c:v>69.162563385454192</c:v>
                </c:pt>
                <c:pt idx="218">
                  <c:v>4497.2331878469431</c:v>
                </c:pt>
                <c:pt idx="219">
                  <c:v>40.830910914304283</c:v>
                </c:pt>
                <c:pt idx="220">
                  <c:v>7112.7439465273465</c:v>
                </c:pt>
                <c:pt idx="221">
                  <c:v>4154.0699845061044</c:v>
                </c:pt>
                <c:pt idx="222">
                  <c:v>1921.0738841775135</c:v>
                </c:pt>
                <c:pt idx="223">
                  <c:v>1644.930981055531</c:v>
                </c:pt>
                <c:pt idx="224">
                  <c:v>2899.9591919222162</c:v>
                </c:pt>
                <c:pt idx="225">
                  <c:v>17403.424824664486</c:v>
                </c:pt>
                <c:pt idx="226">
                  <c:v>8173.2794814410063</c:v>
                </c:pt>
                <c:pt idx="227">
                  <c:v>245.86809978967224</c:v>
                </c:pt>
                <c:pt idx="228">
                  <c:v>2943.0778512136885</c:v>
                </c:pt>
                <c:pt idx="229">
                  <c:v>2139.4194354832671</c:v>
                </c:pt>
                <c:pt idx="230">
                  <c:v>1629.3348702479771</c:v>
                </c:pt>
                <c:pt idx="231">
                  <c:v>64223.8668872239</c:v>
                </c:pt>
                <c:pt idx="232">
                  <c:v>2377.9481890105612</c:v>
                </c:pt>
                <c:pt idx="233">
                  <c:v>80.732808886161038</c:v>
                </c:pt>
                <c:pt idx="234">
                  <c:v>444.03044887388563</c:v>
                </c:pt>
                <c:pt idx="235">
                  <c:v>539.44195028480317</c:v>
                </c:pt>
                <c:pt idx="236">
                  <c:v>129.35597787441711</c:v>
                </c:pt>
                <c:pt idx="237">
                  <c:v>3380.6863721079931</c:v>
                </c:pt>
                <c:pt idx="238">
                  <c:v>180.73140171106505</c:v>
                </c:pt>
                <c:pt idx="239">
                  <c:v>944.02341299840577</c:v>
                </c:pt>
                <c:pt idx="240">
                  <c:v>1404.9742003952281</c:v>
                </c:pt>
                <c:pt idx="241">
                  <c:v>1562.0974529751884</c:v>
                </c:pt>
                <c:pt idx="242">
                  <c:v>398.28917514455094</c:v>
                </c:pt>
                <c:pt idx="243">
                  <c:v>335.25717265607847</c:v>
                </c:pt>
                <c:pt idx="244">
                  <c:v>403.77021883920077</c:v>
                </c:pt>
                <c:pt idx="245">
                  <c:v>2928.7043475078681</c:v>
                </c:pt>
                <c:pt idx="246">
                  <c:v>13488.848532533118</c:v>
                </c:pt>
                <c:pt idx="247">
                  <c:v>21.010667496157506</c:v>
                </c:pt>
                <c:pt idx="248">
                  <c:v>1678.1128778452758</c:v>
                </c:pt>
                <c:pt idx="249">
                  <c:v>396.46216057966768</c:v>
                </c:pt>
                <c:pt idx="250">
                  <c:v>411.99178438117548</c:v>
                </c:pt>
                <c:pt idx="251">
                  <c:v>5973.4241198858226</c:v>
                </c:pt>
                <c:pt idx="252">
                  <c:v>65890.366775232382</c:v>
                </c:pt>
                <c:pt idx="253">
                  <c:v>26.49171119080729</c:v>
                </c:pt>
                <c:pt idx="254">
                  <c:v>2215.2551599209542</c:v>
                </c:pt>
                <c:pt idx="255">
                  <c:v>83.129162702188395</c:v>
                </c:pt>
                <c:pt idx="256">
                  <c:v>35.626784015223599</c:v>
                </c:pt>
                <c:pt idx="257">
                  <c:v>2222.5632181804872</c:v>
                </c:pt>
                <c:pt idx="258">
                  <c:v>94.091250091487964</c:v>
                </c:pt>
                <c:pt idx="259">
                  <c:v>279.53322842713897</c:v>
                </c:pt>
                <c:pt idx="260">
                  <c:v>696.50971705604547</c:v>
                </c:pt>
                <c:pt idx="261">
                  <c:v>919.79713294604426</c:v>
                </c:pt>
                <c:pt idx="262">
                  <c:v>374.90232791407198</c:v>
                </c:pt>
                <c:pt idx="263">
                  <c:v>386.8477452250595</c:v>
                </c:pt>
                <c:pt idx="264">
                  <c:v>347.33598027333142</c:v>
                </c:pt>
                <c:pt idx="265">
                  <c:v>1926.8877000877669</c:v>
                </c:pt>
                <c:pt idx="266">
                  <c:v>501.70752706147869</c:v>
                </c:pt>
                <c:pt idx="267">
                  <c:v>253.61039829481336</c:v>
                </c:pt>
                <c:pt idx="268">
                  <c:v>407.06306682826926</c:v>
                </c:pt>
                <c:pt idx="269">
                  <c:v>234.31395494629498</c:v>
                </c:pt>
                <c:pt idx="270">
                  <c:v>2048.1796297070255</c:v>
                </c:pt>
                <c:pt idx="271">
                  <c:v>625.75609144481132</c:v>
                </c:pt>
                <c:pt idx="272">
                  <c:v>56.051573536172526</c:v>
                </c:pt>
                <c:pt idx="273">
                  <c:v>10946.596648138086</c:v>
                </c:pt>
                <c:pt idx="274">
                  <c:v>81.7801646675304</c:v>
                </c:pt>
                <c:pt idx="275">
                  <c:v>11.945417310987587</c:v>
                </c:pt>
                <c:pt idx="276">
                  <c:v>1733.9232666025828</c:v>
                </c:pt>
                <c:pt idx="277">
                  <c:v>10.107660801604881</c:v>
                </c:pt>
                <c:pt idx="278">
                  <c:v>419.00848413925689</c:v>
                </c:pt>
                <c:pt idx="279">
                  <c:v>3.675513018765411</c:v>
                </c:pt>
                <c:pt idx="280">
                  <c:v>879.0009627166113</c:v>
                </c:pt>
                <c:pt idx="281">
                  <c:v>1486.3793103448277</c:v>
                </c:pt>
                <c:pt idx="282">
                  <c:v>207.48949763696831</c:v>
                </c:pt>
                <c:pt idx="283">
                  <c:v>312.1773805356205</c:v>
                </c:pt>
                <c:pt idx="284">
                  <c:v>329.15379397864518</c:v>
                </c:pt>
                <c:pt idx="285">
                  <c:v>1575.977047960791</c:v>
                </c:pt>
                <c:pt idx="286">
                  <c:v>2616.2539383861367</c:v>
                </c:pt>
                <c:pt idx="287">
                  <c:v>33.952826886049358</c:v>
                </c:pt>
                <c:pt idx="288">
                  <c:v>4750.5663618064063</c:v>
                </c:pt>
                <c:pt idx="289">
                  <c:v>151.84458690705409</c:v>
                </c:pt>
                <c:pt idx="290">
                  <c:v>735.64458253106955</c:v>
                </c:pt>
                <c:pt idx="291">
                  <c:v>1677.8355286189392</c:v>
                </c:pt>
                <c:pt idx="292">
                  <c:v>3792.3421363556804</c:v>
                </c:pt>
                <c:pt idx="293">
                  <c:v>15.090145282688605</c:v>
                </c:pt>
                <c:pt idx="294">
                  <c:v>23427.450551374059</c:v>
                </c:pt>
                <c:pt idx="295">
                  <c:v>21.692083843864872</c:v>
                </c:pt>
                <c:pt idx="296">
                  <c:v>139.58384386486961</c:v>
                </c:pt>
                <c:pt idx="297">
                  <c:v>104.68788289865219</c:v>
                </c:pt>
                <c:pt idx="298">
                  <c:v>830.90112462804132</c:v>
                </c:pt>
                <c:pt idx="299">
                  <c:v>16.976413443024679</c:v>
                </c:pt>
                <c:pt idx="300">
                  <c:v>1213.9904352291694</c:v>
                </c:pt>
                <c:pt idx="301">
                  <c:v>582.46488637822574</c:v>
                </c:pt>
                <c:pt idx="302">
                  <c:v>318.37238413146747</c:v>
                </c:pt>
                <c:pt idx="303">
                  <c:v>362.21382719219412</c:v>
                </c:pt>
                <c:pt idx="304">
                  <c:v>508.35197072794966</c:v>
                </c:pt>
                <c:pt idx="305">
                  <c:v>3124.224740017974</c:v>
                </c:pt>
                <c:pt idx="306">
                  <c:v>400.83605084092949</c:v>
                </c:pt>
                <c:pt idx="307">
                  <c:v>61.58678906149698</c:v>
                </c:pt>
                <c:pt idx="308">
                  <c:v>410.23064578251382</c:v>
                </c:pt>
                <c:pt idx="309">
                  <c:v>1747.3946591346771</c:v>
                </c:pt>
                <c:pt idx="310">
                  <c:v>288.10091154191809</c:v>
                </c:pt>
                <c:pt idx="311">
                  <c:v>4227.5677237129285</c:v>
                </c:pt>
                <c:pt idx="312">
                  <c:v>62.630632943895236</c:v>
                </c:pt>
                <c:pt idx="313">
                  <c:v>32.359160354345867</c:v>
                </c:pt>
                <c:pt idx="314">
                  <c:v>11.482282706380794</c:v>
                </c:pt>
                <c:pt idx="315">
                  <c:v>2513.5760688149953</c:v>
                </c:pt>
                <c:pt idx="316">
                  <c:v>10.438438823982539</c:v>
                </c:pt>
                <c:pt idx="317">
                  <c:v>246.34715624598792</c:v>
                </c:pt>
                <c:pt idx="318">
                  <c:v>66.806008473488248</c:v>
                </c:pt>
                <c:pt idx="319">
                  <c:v>72.025227885479524</c:v>
                </c:pt>
                <c:pt idx="320">
                  <c:v>867.35756853396902</c:v>
                </c:pt>
                <c:pt idx="321">
                  <c:v>931.95929219767118</c:v>
                </c:pt>
                <c:pt idx="322">
                  <c:v>387.6103419822133</c:v>
                </c:pt>
                <c:pt idx="323">
                  <c:v>417.2635921885028</c:v>
                </c:pt>
                <c:pt idx="324">
                  <c:v>371.72467222884387</c:v>
                </c:pt>
                <c:pt idx="325">
                  <c:v>1565.2679930319978</c:v>
                </c:pt>
                <c:pt idx="326">
                  <c:v>503.04620885669755</c:v>
                </c:pt>
                <c:pt idx="327">
                  <c:v>284.8830109104245</c:v>
                </c:pt>
                <c:pt idx="328">
                  <c:v>586.71073622444305</c:v>
                </c:pt>
                <c:pt idx="329">
                  <c:v>121.79013477583203</c:v>
                </c:pt>
                <c:pt idx="330">
                  <c:v>3819.9740533602276</c:v>
                </c:pt>
                <c:pt idx="331">
                  <c:v>632.24965618410204</c:v>
                </c:pt>
                <c:pt idx="332">
                  <c:v>165.21096543504171</c:v>
                </c:pt>
                <c:pt idx="333">
                  <c:v>1613.9840469423307</c:v>
                </c:pt>
                <c:pt idx="334">
                  <c:v>158.85669753369396</c:v>
                </c:pt>
                <c:pt idx="335">
                  <c:v>10.590446502246264</c:v>
                </c:pt>
                <c:pt idx="336">
                  <c:v>7476.855230585862</c:v>
                </c:pt>
                <c:pt idx="337">
                  <c:v>0</c:v>
                </c:pt>
                <c:pt idx="338">
                  <c:v>3181.3701292747778</c:v>
                </c:pt>
                <c:pt idx="339">
                  <c:v>5.2952232511231321</c:v>
                </c:pt>
                <c:pt idx="340">
                  <c:v>1107.765027804749</c:v>
                </c:pt>
                <c:pt idx="341">
                  <c:v>913.84808897519633</c:v>
                </c:pt>
                <c:pt idx="342">
                  <c:v>356.48203724953657</c:v>
                </c:pt>
                <c:pt idx="343">
                  <c:v>428.47515226410098</c:v>
                </c:pt>
                <c:pt idx="344">
                  <c:v>829.08200194191897</c:v>
                </c:pt>
                <c:pt idx="345">
                  <c:v>3035.322623355989</c:v>
                </c:pt>
                <c:pt idx="346">
                  <c:v>2856.5010150940066</c:v>
                </c:pt>
                <c:pt idx="347">
                  <c:v>91.733162679848178</c:v>
                </c:pt>
                <c:pt idx="348">
                  <c:v>514.40241857180683</c:v>
                </c:pt>
                <c:pt idx="349">
                  <c:v>312.35722482125522</c:v>
                </c:pt>
                <c:pt idx="350">
                  <c:v>149.79212640127108</c:v>
                </c:pt>
                <c:pt idx="351">
                  <c:v>17465.297466678436</c:v>
                </c:pt>
                <c:pt idx="352">
                  <c:v>6396.9366228263752</c:v>
                </c:pt>
                <c:pt idx="353">
                  <c:v>10.450613469856121</c:v>
                </c:pt>
                <c:pt idx="354">
                  <c:v>186.94986318298174</c:v>
                </c:pt>
                <c:pt idx="355">
                  <c:v>240.36410980669078</c:v>
                </c:pt>
                <c:pt idx="356">
                  <c:v>18.578868390855327</c:v>
                </c:pt>
                <c:pt idx="357">
                  <c:v>13339.627504634125</c:v>
                </c:pt>
                <c:pt idx="358">
                  <c:v>69.67075646570747</c:v>
                </c:pt>
                <c:pt idx="359">
                  <c:v>4296.3633153852943</c:v>
                </c:pt>
                <c:pt idx="360">
                  <c:v>1199.8150463106215</c:v>
                </c:pt>
                <c:pt idx="361">
                  <c:v>1012.4359180642366</c:v>
                </c:pt>
                <c:pt idx="362">
                  <c:v>480.71085256925966</c:v>
                </c:pt>
                <c:pt idx="363">
                  <c:v>351.21323514243869</c:v>
                </c:pt>
                <c:pt idx="364">
                  <c:v>349.25115002991112</c:v>
                </c:pt>
                <c:pt idx="365">
                  <c:v>1663.8481754233967</c:v>
                </c:pt>
                <c:pt idx="366">
                  <c:v>711.25585329125147</c:v>
                </c:pt>
                <c:pt idx="367">
                  <c:v>185.41704313385731</c:v>
                </c:pt>
                <c:pt idx="368">
                  <c:v>929.0473007818141</c:v>
                </c:pt>
                <c:pt idx="369">
                  <c:v>151.08055366462446</c:v>
                </c:pt>
                <c:pt idx="370">
                  <c:v>8462.4730903314976</c:v>
                </c:pt>
                <c:pt idx="371">
                  <c:v>1450.9619407141531</c:v>
                </c:pt>
                <c:pt idx="372">
                  <c:v>271.74878808507128</c:v>
                </c:pt>
                <c:pt idx="373">
                  <c:v>418.90517152464054</c:v>
                </c:pt>
                <c:pt idx="374">
                  <c:v>1931.6727932834126</c:v>
                </c:pt>
                <c:pt idx="375">
                  <c:v>41.2037873630794</c:v>
                </c:pt>
                <c:pt idx="376">
                  <c:v>3645.5541390762628</c:v>
                </c:pt>
                <c:pt idx="377">
                  <c:v>11.772510675165542</c:v>
                </c:pt>
                <c:pt idx="378">
                  <c:v>24278.841182416403</c:v>
                </c:pt>
                <c:pt idx="379">
                  <c:v>10.791468118901747</c:v>
                </c:pt>
                <c:pt idx="380">
                  <c:v>298.11026352288485</c:v>
                </c:pt>
                <c:pt idx="381">
                  <c:v>303.87482662968102</c:v>
                </c:pt>
                <c:pt idx="382">
                  <c:v>41.175450762829406</c:v>
                </c:pt>
                <c:pt idx="383">
                  <c:v>41.175450762829406</c:v>
                </c:pt>
                <c:pt idx="384">
                  <c:v>98.821081830790561</c:v>
                </c:pt>
                <c:pt idx="385">
                  <c:v>429.0481969486824</c:v>
                </c:pt>
                <c:pt idx="386">
                  <c:v>317.87447988904296</c:v>
                </c:pt>
                <c:pt idx="387">
                  <c:v>3.2940360610263522</c:v>
                </c:pt>
                <c:pt idx="388">
                  <c:v>117.76178918169209</c:v>
                </c:pt>
                <c:pt idx="389">
                  <c:v>141.64355062413316</c:v>
                </c:pt>
                <c:pt idx="390">
                  <c:v>55.998613037447988</c:v>
                </c:pt>
                <c:pt idx="391">
                  <c:v>4734.3533287101254</c:v>
                </c:pt>
                <c:pt idx="392">
                  <c:v>458.6945214979196</c:v>
                </c:pt>
                <c:pt idx="393">
                  <c:v>8.2350901525658813</c:v>
                </c:pt>
                <c:pt idx="394">
                  <c:v>4.1175450762829406</c:v>
                </c:pt>
                <c:pt idx="395">
                  <c:v>71.645284327323154</c:v>
                </c:pt>
                <c:pt idx="396">
                  <c:v>16.470180305131763</c:v>
                </c:pt>
                <c:pt idx="397">
                  <c:v>3518.8540221914009</c:v>
                </c:pt>
                <c:pt idx="398">
                  <c:v>9.058599167822468</c:v>
                </c:pt>
                <c:pt idx="399">
                  <c:v>20204.793689320388</c:v>
                </c:pt>
              </c:numCache>
            </c:numRef>
          </c:xVal>
          <c:yVal>
            <c:numRef>
              <c:f>calibration_flow!$CY$2:$CY$401</c:f>
              <c:numCache>
                <c:formatCode>_(* #,##0_);_(* \(#,##0\);_(* "-"??_);_(@_)</c:formatCode>
                <c:ptCount val="400"/>
                <c:pt idx="0">
                  <c:v>2841.9999999999995</c:v>
                </c:pt>
                <c:pt idx="1">
                  <c:v>746.99999999999989</c:v>
                </c:pt>
                <c:pt idx="2">
                  <c:v>527.99999999999989</c:v>
                </c:pt>
                <c:pt idx="3">
                  <c:v>622.99999999999989</c:v>
                </c:pt>
                <c:pt idx="4">
                  <c:v>699.99999999999989</c:v>
                </c:pt>
                <c:pt idx="5">
                  <c:v>3039.9999999999995</c:v>
                </c:pt>
                <c:pt idx="6">
                  <c:v>514.99999999999989</c:v>
                </c:pt>
                <c:pt idx="7">
                  <c:v>95.999999999999957</c:v>
                </c:pt>
                <c:pt idx="8">
                  <c:v>518.99999999999989</c:v>
                </c:pt>
                <c:pt idx="9">
                  <c:v>420.99999999999983</c:v>
                </c:pt>
                <c:pt idx="10">
                  <c:v>488.99999999999983</c:v>
                </c:pt>
                <c:pt idx="11">
                  <c:v>1517.9999999999998</c:v>
                </c:pt>
                <c:pt idx="12">
                  <c:v>57.999999999999979</c:v>
                </c:pt>
                <c:pt idx="13">
                  <c:v>24.999999999999989</c:v>
                </c:pt>
                <c:pt idx="14">
                  <c:v>64.999999999999986</c:v>
                </c:pt>
                <c:pt idx="15">
                  <c:v>44.999999999999993</c:v>
                </c:pt>
                <c:pt idx="16">
                  <c:v>18.999999999999996</c:v>
                </c:pt>
                <c:pt idx="17">
                  <c:v>15.999999999999995</c:v>
                </c:pt>
                <c:pt idx="18">
                  <c:v>38.999999999999993</c:v>
                </c:pt>
                <c:pt idx="19">
                  <c:v>2.9999999999999987</c:v>
                </c:pt>
                <c:pt idx="20">
                  <c:v>1487</c:v>
                </c:pt>
                <c:pt idx="21">
                  <c:v>2335</c:v>
                </c:pt>
                <c:pt idx="22">
                  <c:v>746</c:v>
                </c:pt>
                <c:pt idx="23">
                  <c:v>460</c:v>
                </c:pt>
                <c:pt idx="24">
                  <c:v>627</c:v>
                </c:pt>
                <c:pt idx="25">
                  <c:v>2876</c:v>
                </c:pt>
                <c:pt idx="26">
                  <c:v>1349</c:v>
                </c:pt>
                <c:pt idx="27">
                  <c:v>117</c:v>
                </c:pt>
                <c:pt idx="28">
                  <c:v>1415</c:v>
                </c:pt>
                <c:pt idx="29">
                  <c:v>473</c:v>
                </c:pt>
                <c:pt idx="30">
                  <c:v>559</c:v>
                </c:pt>
                <c:pt idx="31">
                  <c:v>2380</c:v>
                </c:pt>
                <c:pt idx="32">
                  <c:v>184</c:v>
                </c:pt>
                <c:pt idx="33">
                  <c:v>25</c:v>
                </c:pt>
                <c:pt idx="34">
                  <c:v>148</c:v>
                </c:pt>
                <c:pt idx="35">
                  <c:v>46</c:v>
                </c:pt>
                <c:pt idx="36">
                  <c:v>33</c:v>
                </c:pt>
                <c:pt idx="37">
                  <c:v>34</c:v>
                </c:pt>
                <c:pt idx="38">
                  <c:v>38</c:v>
                </c:pt>
                <c:pt idx="39">
                  <c:v>6</c:v>
                </c:pt>
                <c:pt idx="40">
                  <c:v>4525</c:v>
                </c:pt>
                <c:pt idx="41">
                  <c:v>2790</c:v>
                </c:pt>
                <c:pt idx="42">
                  <c:v>3943</c:v>
                </c:pt>
                <c:pt idx="43">
                  <c:v>1672</c:v>
                </c:pt>
                <c:pt idx="44">
                  <c:v>1829</c:v>
                </c:pt>
                <c:pt idx="45">
                  <c:v>7193</c:v>
                </c:pt>
                <c:pt idx="46">
                  <c:v>1665</c:v>
                </c:pt>
                <c:pt idx="47">
                  <c:v>522</c:v>
                </c:pt>
                <c:pt idx="48">
                  <c:v>2245</c:v>
                </c:pt>
                <c:pt idx="49">
                  <c:v>1403</c:v>
                </c:pt>
                <c:pt idx="50">
                  <c:v>3322</c:v>
                </c:pt>
                <c:pt idx="51">
                  <c:v>4218</c:v>
                </c:pt>
                <c:pt idx="52">
                  <c:v>177</c:v>
                </c:pt>
                <c:pt idx="53">
                  <c:v>175</c:v>
                </c:pt>
                <c:pt idx="54">
                  <c:v>169</c:v>
                </c:pt>
                <c:pt idx="55">
                  <c:v>139</c:v>
                </c:pt>
                <c:pt idx="56">
                  <c:v>164</c:v>
                </c:pt>
                <c:pt idx="57">
                  <c:v>44</c:v>
                </c:pt>
                <c:pt idx="58">
                  <c:v>265</c:v>
                </c:pt>
                <c:pt idx="59">
                  <c:v>3</c:v>
                </c:pt>
                <c:pt idx="60">
                  <c:v>1499.9999999999998</c:v>
                </c:pt>
                <c:pt idx="61">
                  <c:v>924.99999999999989</c:v>
                </c:pt>
                <c:pt idx="62">
                  <c:v>879.99999999999989</c:v>
                </c:pt>
                <c:pt idx="63">
                  <c:v>1179.9999999999998</c:v>
                </c:pt>
                <c:pt idx="64">
                  <c:v>937.99999999999989</c:v>
                </c:pt>
                <c:pt idx="65">
                  <c:v>2833.9999999999995</c:v>
                </c:pt>
                <c:pt idx="66">
                  <c:v>482.99999999999994</c:v>
                </c:pt>
                <c:pt idx="67">
                  <c:v>225.99999999999997</c:v>
                </c:pt>
                <c:pt idx="68">
                  <c:v>606.99999999999989</c:v>
                </c:pt>
                <c:pt idx="69">
                  <c:v>712.99999999999989</c:v>
                </c:pt>
                <c:pt idx="70">
                  <c:v>851.99999999999989</c:v>
                </c:pt>
                <c:pt idx="71">
                  <c:v>1476.9999999999998</c:v>
                </c:pt>
                <c:pt idx="72">
                  <c:v>50.999999999999993</c:v>
                </c:pt>
                <c:pt idx="73">
                  <c:v>58.999999999999993</c:v>
                </c:pt>
                <c:pt idx="74">
                  <c:v>43.999999999999993</c:v>
                </c:pt>
                <c:pt idx="75">
                  <c:v>66.999999999999986</c:v>
                </c:pt>
                <c:pt idx="76">
                  <c:v>40.999999999999993</c:v>
                </c:pt>
                <c:pt idx="77">
                  <c:v>15.999999999999998</c:v>
                </c:pt>
                <c:pt idx="78">
                  <c:v>56.999999999999993</c:v>
                </c:pt>
                <c:pt idx="79">
                  <c:v>2.9999999999999996</c:v>
                </c:pt>
                <c:pt idx="80">
                  <c:v>1517.0000000000002</c:v>
                </c:pt>
                <c:pt idx="81">
                  <c:v>902.00000000000011</c:v>
                </c:pt>
                <c:pt idx="82">
                  <c:v>583.00000000000011</c:v>
                </c:pt>
                <c:pt idx="83">
                  <c:v>615.00000000000011</c:v>
                </c:pt>
                <c:pt idx="84">
                  <c:v>1745.0000000000002</c:v>
                </c:pt>
                <c:pt idx="85">
                  <c:v>4304.0000000000009</c:v>
                </c:pt>
                <c:pt idx="86">
                  <c:v>480.00000000000006</c:v>
                </c:pt>
                <c:pt idx="87">
                  <c:v>167.00000000000003</c:v>
                </c:pt>
                <c:pt idx="88">
                  <c:v>527.00000000000011</c:v>
                </c:pt>
                <c:pt idx="89">
                  <c:v>971.00000000000011</c:v>
                </c:pt>
                <c:pt idx="90">
                  <c:v>421.00000000000006</c:v>
                </c:pt>
                <c:pt idx="91">
                  <c:v>1972.0000000000002</c:v>
                </c:pt>
                <c:pt idx="92">
                  <c:v>53.000000000000007</c:v>
                </c:pt>
                <c:pt idx="93">
                  <c:v>31.000000000000004</c:v>
                </c:pt>
                <c:pt idx="94">
                  <c:v>39.000000000000007</c:v>
                </c:pt>
                <c:pt idx="95">
                  <c:v>131.00000000000003</c:v>
                </c:pt>
                <c:pt idx="96">
                  <c:v>26.000000000000004</c:v>
                </c:pt>
                <c:pt idx="97">
                  <c:v>26.000000000000004</c:v>
                </c:pt>
                <c:pt idx="98">
                  <c:v>33.000000000000007</c:v>
                </c:pt>
                <c:pt idx="99">
                  <c:v>1.0000000000000002</c:v>
                </c:pt>
                <c:pt idx="100">
                  <c:v>3275.9999999999991</c:v>
                </c:pt>
                <c:pt idx="101">
                  <c:v>1973.9999999999995</c:v>
                </c:pt>
                <c:pt idx="102">
                  <c:v>969.99999999999977</c:v>
                </c:pt>
                <c:pt idx="103">
                  <c:v>922.99999999999977</c:v>
                </c:pt>
                <c:pt idx="104">
                  <c:v>2049.9999999999995</c:v>
                </c:pt>
                <c:pt idx="105">
                  <c:v>12995.999999999996</c:v>
                </c:pt>
                <c:pt idx="106">
                  <c:v>1350.9999999999998</c:v>
                </c:pt>
                <c:pt idx="107">
                  <c:v>182.99999999999997</c:v>
                </c:pt>
                <c:pt idx="108">
                  <c:v>1208.9999999999998</c:v>
                </c:pt>
                <c:pt idx="109">
                  <c:v>1374.9999999999998</c:v>
                </c:pt>
                <c:pt idx="110">
                  <c:v>754.99999999999989</c:v>
                </c:pt>
                <c:pt idx="111">
                  <c:v>5327.9999999999991</c:v>
                </c:pt>
                <c:pt idx="112">
                  <c:v>164.99999999999997</c:v>
                </c:pt>
                <c:pt idx="113">
                  <c:v>37.999999999999993</c:v>
                </c:pt>
                <c:pt idx="114">
                  <c:v>85.999999999999986</c:v>
                </c:pt>
                <c:pt idx="115">
                  <c:v>197.99999999999994</c:v>
                </c:pt>
                <c:pt idx="116">
                  <c:v>33.999999999999993</c:v>
                </c:pt>
                <c:pt idx="117">
                  <c:v>60.999999999999986</c:v>
                </c:pt>
                <c:pt idx="118">
                  <c:v>57.999999999999986</c:v>
                </c:pt>
                <c:pt idx="119">
                  <c:v>12.999999999999996</c:v>
                </c:pt>
                <c:pt idx="120">
                  <c:v>4283.9999999999991</c:v>
                </c:pt>
                <c:pt idx="121">
                  <c:v>5940.9999999999991</c:v>
                </c:pt>
                <c:pt idx="122">
                  <c:v>2093.9999999999995</c:v>
                </c:pt>
                <c:pt idx="123">
                  <c:v>1214.9999999999998</c:v>
                </c:pt>
                <c:pt idx="124">
                  <c:v>1762.9999999999993</c:v>
                </c:pt>
                <c:pt idx="125">
                  <c:v>9207.9999999999982</c:v>
                </c:pt>
                <c:pt idx="126">
                  <c:v>27106.999999999989</c:v>
                </c:pt>
                <c:pt idx="127">
                  <c:v>194.99999999999991</c:v>
                </c:pt>
                <c:pt idx="128">
                  <c:v>6551.9999999999973</c:v>
                </c:pt>
                <c:pt idx="129">
                  <c:v>1109.9999999999998</c:v>
                </c:pt>
                <c:pt idx="130">
                  <c:v>1078.9999999999998</c:v>
                </c:pt>
                <c:pt idx="131">
                  <c:v>16301.999999999995</c:v>
                </c:pt>
                <c:pt idx="132">
                  <c:v>12875.999999999995</c:v>
                </c:pt>
                <c:pt idx="133">
                  <c:v>38.999999999999993</c:v>
                </c:pt>
                <c:pt idx="134">
                  <c:v>1677.9999999999993</c:v>
                </c:pt>
                <c:pt idx="135">
                  <c:v>136.99999999999997</c:v>
                </c:pt>
                <c:pt idx="136">
                  <c:v>40.999999999999986</c:v>
                </c:pt>
                <c:pt idx="137">
                  <c:v>468.99999999999983</c:v>
                </c:pt>
                <c:pt idx="138">
                  <c:v>96.999999999999957</c:v>
                </c:pt>
                <c:pt idx="139">
                  <c:v>34.999999999999993</c:v>
                </c:pt>
                <c:pt idx="140">
                  <c:v>595</c:v>
                </c:pt>
                <c:pt idx="141">
                  <c:v>398</c:v>
                </c:pt>
                <c:pt idx="142">
                  <c:v>443</c:v>
                </c:pt>
                <c:pt idx="143">
                  <c:v>335</c:v>
                </c:pt>
                <c:pt idx="144">
                  <c:v>331</c:v>
                </c:pt>
                <c:pt idx="145">
                  <c:v>1122</c:v>
                </c:pt>
                <c:pt idx="146">
                  <c:v>145</c:v>
                </c:pt>
                <c:pt idx="147">
                  <c:v>178</c:v>
                </c:pt>
                <c:pt idx="148">
                  <c:v>292</c:v>
                </c:pt>
                <c:pt idx="149">
                  <c:v>302</c:v>
                </c:pt>
                <c:pt idx="150">
                  <c:v>741</c:v>
                </c:pt>
                <c:pt idx="151">
                  <c:v>426</c:v>
                </c:pt>
                <c:pt idx="152">
                  <c:v>13</c:v>
                </c:pt>
                <c:pt idx="153">
                  <c:v>97</c:v>
                </c:pt>
                <c:pt idx="154">
                  <c:v>23</c:v>
                </c:pt>
                <c:pt idx="155">
                  <c:v>19</c:v>
                </c:pt>
                <c:pt idx="156">
                  <c:v>41</c:v>
                </c:pt>
                <c:pt idx="157">
                  <c:v>6</c:v>
                </c:pt>
                <c:pt idx="158">
                  <c:v>57</c:v>
                </c:pt>
                <c:pt idx="159">
                  <c:v>0</c:v>
                </c:pt>
                <c:pt idx="160">
                  <c:v>4789</c:v>
                </c:pt>
                <c:pt idx="161">
                  <c:v>6365</c:v>
                </c:pt>
                <c:pt idx="162">
                  <c:v>3137</c:v>
                </c:pt>
                <c:pt idx="163">
                  <c:v>1368</c:v>
                </c:pt>
                <c:pt idx="164">
                  <c:v>1687</c:v>
                </c:pt>
                <c:pt idx="165">
                  <c:v>8673</c:v>
                </c:pt>
                <c:pt idx="166">
                  <c:v>7168</c:v>
                </c:pt>
                <c:pt idx="167">
                  <c:v>334</c:v>
                </c:pt>
                <c:pt idx="168">
                  <c:v>16365</c:v>
                </c:pt>
                <c:pt idx="169">
                  <c:v>893</c:v>
                </c:pt>
                <c:pt idx="170">
                  <c:v>4008</c:v>
                </c:pt>
                <c:pt idx="171">
                  <c:v>5798</c:v>
                </c:pt>
                <c:pt idx="172">
                  <c:v>1901</c:v>
                </c:pt>
                <c:pt idx="173">
                  <c:v>142</c:v>
                </c:pt>
                <c:pt idx="174">
                  <c:v>5860</c:v>
                </c:pt>
                <c:pt idx="175">
                  <c:v>67</c:v>
                </c:pt>
                <c:pt idx="176">
                  <c:v>172</c:v>
                </c:pt>
                <c:pt idx="177">
                  <c:v>107</c:v>
                </c:pt>
                <c:pt idx="178">
                  <c:v>736</c:v>
                </c:pt>
                <c:pt idx="179">
                  <c:v>6</c:v>
                </c:pt>
                <c:pt idx="180">
                  <c:v>2750.9999999999995</c:v>
                </c:pt>
                <c:pt idx="181">
                  <c:v>1598.9999999999998</c:v>
                </c:pt>
                <c:pt idx="182">
                  <c:v>969.99999999999989</c:v>
                </c:pt>
                <c:pt idx="183">
                  <c:v>1110.9999999999998</c:v>
                </c:pt>
                <c:pt idx="184">
                  <c:v>2120.9999999999995</c:v>
                </c:pt>
                <c:pt idx="185">
                  <c:v>7273.9999999999991</c:v>
                </c:pt>
                <c:pt idx="186">
                  <c:v>937.99999999999989</c:v>
                </c:pt>
                <c:pt idx="187">
                  <c:v>179.99999999999997</c:v>
                </c:pt>
                <c:pt idx="188">
                  <c:v>633.99999999999989</c:v>
                </c:pt>
                <c:pt idx="189">
                  <c:v>3434.9999999999995</c:v>
                </c:pt>
                <c:pt idx="190">
                  <c:v>571.99999999999989</c:v>
                </c:pt>
                <c:pt idx="191">
                  <c:v>6726.9999999999991</c:v>
                </c:pt>
                <c:pt idx="192">
                  <c:v>108.99999999999999</c:v>
                </c:pt>
                <c:pt idx="193">
                  <c:v>42.999999999999993</c:v>
                </c:pt>
                <c:pt idx="194">
                  <c:v>47.999999999999993</c:v>
                </c:pt>
                <c:pt idx="195">
                  <c:v>747.99999999999989</c:v>
                </c:pt>
                <c:pt idx="196">
                  <c:v>28.999999999999996</c:v>
                </c:pt>
                <c:pt idx="197">
                  <c:v>124.99999999999999</c:v>
                </c:pt>
                <c:pt idx="198">
                  <c:v>38.999999999999993</c:v>
                </c:pt>
                <c:pt idx="199">
                  <c:v>13.999999999999998</c:v>
                </c:pt>
                <c:pt idx="200">
                  <c:v>4502</c:v>
                </c:pt>
                <c:pt idx="201">
                  <c:v>3071</c:v>
                </c:pt>
                <c:pt idx="202">
                  <c:v>3924</c:v>
                </c:pt>
                <c:pt idx="203">
                  <c:v>2083</c:v>
                </c:pt>
                <c:pt idx="204">
                  <c:v>1837</c:v>
                </c:pt>
                <c:pt idx="205">
                  <c:v>6880</c:v>
                </c:pt>
                <c:pt idx="206">
                  <c:v>1329</c:v>
                </c:pt>
                <c:pt idx="207">
                  <c:v>1025</c:v>
                </c:pt>
                <c:pt idx="208">
                  <c:v>4712</c:v>
                </c:pt>
                <c:pt idx="209">
                  <c:v>1036</c:v>
                </c:pt>
                <c:pt idx="210">
                  <c:v>18761</c:v>
                </c:pt>
                <c:pt idx="211">
                  <c:v>2629</c:v>
                </c:pt>
                <c:pt idx="212">
                  <c:v>170</c:v>
                </c:pt>
                <c:pt idx="213">
                  <c:v>704</c:v>
                </c:pt>
                <c:pt idx="214">
                  <c:v>818</c:v>
                </c:pt>
                <c:pt idx="215">
                  <c:v>84</c:v>
                </c:pt>
                <c:pt idx="216">
                  <c:v>1116</c:v>
                </c:pt>
                <c:pt idx="217">
                  <c:v>30</c:v>
                </c:pt>
                <c:pt idx="218">
                  <c:v>4279</c:v>
                </c:pt>
                <c:pt idx="219">
                  <c:v>4</c:v>
                </c:pt>
                <c:pt idx="220">
                  <c:v>7216</c:v>
                </c:pt>
                <c:pt idx="221">
                  <c:v>6186</c:v>
                </c:pt>
                <c:pt idx="222">
                  <c:v>2281</c:v>
                </c:pt>
                <c:pt idx="223">
                  <c:v>2164</c:v>
                </c:pt>
                <c:pt idx="224">
                  <c:v>3359</c:v>
                </c:pt>
                <c:pt idx="225">
                  <c:v>18124</c:v>
                </c:pt>
                <c:pt idx="226">
                  <c:v>10860</c:v>
                </c:pt>
                <c:pt idx="227">
                  <c:v>245</c:v>
                </c:pt>
                <c:pt idx="228">
                  <c:v>3739</c:v>
                </c:pt>
                <c:pt idx="229">
                  <c:v>3168</c:v>
                </c:pt>
                <c:pt idx="230">
                  <c:v>1144</c:v>
                </c:pt>
                <c:pt idx="231">
                  <c:v>56531</c:v>
                </c:pt>
                <c:pt idx="232">
                  <c:v>3254</c:v>
                </c:pt>
                <c:pt idx="233">
                  <c:v>79</c:v>
                </c:pt>
                <c:pt idx="234">
                  <c:v>432</c:v>
                </c:pt>
                <c:pt idx="235">
                  <c:v>758</c:v>
                </c:pt>
                <c:pt idx="236">
                  <c:v>43</c:v>
                </c:pt>
                <c:pt idx="237">
                  <c:v>2616</c:v>
                </c:pt>
                <c:pt idx="238">
                  <c:v>88</c:v>
                </c:pt>
                <c:pt idx="239">
                  <c:v>281</c:v>
                </c:pt>
                <c:pt idx="240">
                  <c:v>1066.0000000000002</c:v>
                </c:pt>
                <c:pt idx="241">
                  <c:v>1449.0000000000002</c:v>
                </c:pt>
                <c:pt idx="242">
                  <c:v>429.00000000000006</c:v>
                </c:pt>
                <c:pt idx="243">
                  <c:v>265.00000000000006</c:v>
                </c:pt>
                <c:pt idx="244">
                  <c:v>403.00000000000006</c:v>
                </c:pt>
                <c:pt idx="245">
                  <c:v>2243.0000000000005</c:v>
                </c:pt>
                <c:pt idx="246">
                  <c:v>21006.000000000004</c:v>
                </c:pt>
                <c:pt idx="247">
                  <c:v>45.000000000000007</c:v>
                </c:pt>
                <c:pt idx="248">
                  <c:v>1914.0000000000002</c:v>
                </c:pt>
                <c:pt idx="249">
                  <c:v>224.00000000000003</c:v>
                </c:pt>
                <c:pt idx="250">
                  <c:v>229.00000000000003</c:v>
                </c:pt>
                <c:pt idx="251">
                  <c:v>6654.0000000000009</c:v>
                </c:pt>
                <c:pt idx="252">
                  <c:v>58214.000000000007</c:v>
                </c:pt>
                <c:pt idx="253">
                  <c:v>8.0000000000000018</c:v>
                </c:pt>
                <c:pt idx="254">
                  <c:v>3340.0000000000005</c:v>
                </c:pt>
                <c:pt idx="255">
                  <c:v>45.000000000000007</c:v>
                </c:pt>
                <c:pt idx="256">
                  <c:v>8.0000000000000018</c:v>
                </c:pt>
                <c:pt idx="257">
                  <c:v>2155.0000000000005</c:v>
                </c:pt>
                <c:pt idx="258">
                  <c:v>78.000000000000014</c:v>
                </c:pt>
                <c:pt idx="259">
                  <c:v>75.000000000000014</c:v>
                </c:pt>
                <c:pt idx="260">
                  <c:v>981.99999999999989</c:v>
                </c:pt>
                <c:pt idx="261">
                  <c:v>472.99999999999994</c:v>
                </c:pt>
                <c:pt idx="262">
                  <c:v>736.99999999999989</c:v>
                </c:pt>
                <c:pt idx="263">
                  <c:v>614.99999999999989</c:v>
                </c:pt>
                <c:pt idx="264">
                  <c:v>434.99999999999994</c:v>
                </c:pt>
                <c:pt idx="265">
                  <c:v>1584.9999999999998</c:v>
                </c:pt>
                <c:pt idx="266">
                  <c:v>198.99999999999997</c:v>
                </c:pt>
                <c:pt idx="267">
                  <c:v>532.99999999999989</c:v>
                </c:pt>
                <c:pt idx="268">
                  <c:v>459.99999999999994</c:v>
                </c:pt>
                <c:pt idx="269">
                  <c:v>333.99999999999994</c:v>
                </c:pt>
                <c:pt idx="270">
                  <c:v>2794.9999999999995</c:v>
                </c:pt>
                <c:pt idx="271">
                  <c:v>548.99999999999989</c:v>
                </c:pt>
                <c:pt idx="272">
                  <c:v>30.999999999999996</c:v>
                </c:pt>
                <c:pt idx="273">
                  <c:v>10033.999999999998</c:v>
                </c:pt>
                <c:pt idx="274">
                  <c:v>66.999999999999986</c:v>
                </c:pt>
                <c:pt idx="275">
                  <c:v>19.999999999999996</c:v>
                </c:pt>
                <c:pt idx="276">
                  <c:v>1568.9999999999998</c:v>
                </c:pt>
                <c:pt idx="277">
                  <c:v>4.9999999999999991</c:v>
                </c:pt>
                <c:pt idx="278">
                  <c:v>562.99999999999989</c:v>
                </c:pt>
                <c:pt idx="279">
                  <c:v>0</c:v>
                </c:pt>
                <c:pt idx="280">
                  <c:v>816</c:v>
                </c:pt>
                <c:pt idx="281">
                  <c:v>1201</c:v>
                </c:pt>
                <c:pt idx="282">
                  <c:v>466</c:v>
                </c:pt>
                <c:pt idx="283">
                  <c:v>209</c:v>
                </c:pt>
                <c:pt idx="284">
                  <c:v>284</c:v>
                </c:pt>
                <c:pt idx="285">
                  <c:v>1410</c:v>
                </c:pt>
                <c:pt idx="286">
                  <c:v>2458</c:v>
                </c:pt>
                <c:pt idx="287">
                  <c:v>82</c:v>
                </c:pt>
                <c:pt idx="288">
                  <c:v>5676</c:v>
                </c:pt>
                <c:pt idx="289">
                  <c:v>149</c:v>
                </c:pt>
                <c:pt idx="290">
                  <c:v>1038</c:v>
                </c:pt>
                <c:pt idx="291">
                  <c:v>1042</c:v>
                </c:pt>
                <c:pt idx="292">
                  <c:v>6374</c:v>
                </c:pt>
                <c:pt idx="293">
                  <c:v>28</c:v>
                </c:pt>
                <c:pt idx="294">
                  <c:v>20009</c:v>
                </c:pt>
                <c:pt idx="295">
                  <c:v>13</c:v>
                </c:pt>
                <c:pt idx="296">
                  <c:v>92</c:v>
                </c:pt>
                <c:pt idx="297">
                  <c:v>62</c:v>
                </c:pt>
                <c:pt idx="298">
                  <c:v>1694</c:v>
                </c:pt>
                <c:pt idx="299">
                  <c:v>2</c:v>
                </c:pt>
                <c:pt idx="300">
                  <c:v>1076.9999999999998</c:v>
                </c:pt>
                <c:pt idx="301">
                  <c:v>521.99999999999989</c:v>
                </c:pt>
                <c:pt idx="302">
                  <c:v>282.99999999999994</c:v>
                </c:pt>
                <c:pt idx="303">
                  <c:v>358.99999999999994</c:v>
                </c:pt>
                <c:pt idx="304">
                  <c:v>912.99999999999977</c:v>
                </c:pt>
                <c:pt idx="305">
                  <c:v>3157.9999999999991</c:v>
                </c:pt>
                <c:pt idx="306">
                  <c:v>359.99999999999994</c:v>
                </c:pt>
                <c:pt idx="307">
                  <c:v>51.999999999999986</c:v>
                </c:pt>
                <c:pt idx="308">
                  <c:v>224.99999999999994</c:v>
                </c:pt>
                <c:pt idx="309">
                  <c:v>1621.9999999999995</c:v>
                </c:pt>
                <c:pt idx="310">
                  <c:v>169.99999999999997</c:v>
                </c:pt>
                <c:pt idx="311">
                  <c:v>5057.9999999999991</c:v>
                </c:pt>
                <c:pt idx="312">
                  <c:v>89.999999999999986</c:v>
                </c:pt>
                <c:pt idx="313">
                  <c:v>12.999999999999996</c:v>
                </c:pt>
                <c:pt idx="314">
                  <c:v>20.999999999999996</c:v>
                </c:pt>
                <c:pt idx="315">
                  <c:v>1799.9999999999995</c:v>
                </c:pt>
                <c:pt idx="316">
                  <c:v>8.9999999999999982</c:v>
                </c:pt>
                <c:pt idx="317">
                  <c:v>383.99999999999989</c:v>
                </c:pt>
                <c:pt idx="318">
                  <c:v>15.999999999999996</c:v>
                </c:pt>
                <c:pt idx="319">
                  <c:v>128.99999999999997</c:v>
                </c:pt>
                <c:pt idx="320">
                  <c:v>835.00000000000011</c:v>
                </c:pt>
                <c:pt idx="321">
                  <c:v>431.00000000000006</c:v>
                </c:pt>
                <c:pt idx="322">
                  <c:v>751.00000000000011</c:v>
                </c:pt>
                <c:pt idx="323">
                  <c:v>401.00000000000006</c:v>
                </c:pt>
                <c:pt idx="324">
                  <c:v>292.00000000000006</c:v>
                </c:pt>
                <c:pt idx="325">
                  <c:v>1212.0000000000002</c:v>
                </c:pt>
                <c:pt idx="326">
                  <c:v>178.00000000000003</c:v>
                </c:pt>
                <c:pt idx="327">
                  <c:v>233.00000000000003</c:v>
                </c:pt>
                <c:pt idx="328">
                  <c:v>599.00000000000011</c:v>
                </c:pt>
                <c:pt idx="329">
                  <c:v>182.00000000000003</c:v>
                </c:pt>
                <c:pt idx="330">
                  <c:v>4977.0000000000009</c:v>
                </c:pt>
                <c:pt idx="331">
                  <c:v>465.00000000000006</c:v>
                </c:pt>
                <c:pt idx="332">
                  <c:v>37.000000000000007</c:v>
                </c:pt>
                <c:pt idx="333">
                  <c:v>2500.0000000000005</c:v>
                </c:pt>
                <c:pt idx="334">
                  <c:v>174.00000000000003</c:v>
                </c:pt>
                <c:pt idx="335">
                  <c:v>14.000000000000002</c:v>
                </c:pt>
                <c:pt idx="336">
                  <c:v>6023.0000000000009</c:v>
                </c:pt>
                <c:pt idx="337">
                  <c:v>9.0000000000000018</c:v>
                </c:pt>
                <c:pt idx="338">
                  <c:v>3788.0000000000005</c:v>
                </c:pt>
                <c:pt idx="339">
                  <c:v>1.0000000000000002</c:v>
                </c:pt>
                <c:pt idx="340">
                  <c:v>841.99999999999989</c:v>
                </c:pt>
                <c:pt idx="341">
                  <c:v>754.99999999999989</c:v>
                </c:pt>
                <c:pt idx="342">
                  <c:v>250.99999999999997</c:v>
                </c:pt>
                <c:pt idx="343">
                  <c:v>231.99999999999997</c:v>
                </c:pt>
                <c:pt idx="344">
                  <c:v>442.99999999999994</c:v>
                </c:pt>
                <c:pt idx="345">
                  <c:v>2399.9999999999995</c:v>
                </c:pt>
                <c:pt idx="346">
                  <c:v>2426.9999999999995</c:v>
                </c:pt>
                <c:pt idx="347">
                  <c:v>25.999999999999996</c:v>
                </c:pt>
                <c:pt idx="348">
                  <c:v>414.99999999999994</c:v>
                </c:pt>
                <c:pt idx="349">
                  <c:v>456.99999999999994</c:v>
                </c:pt>
                <c:pt idx="350">
                  <c:v>138.99999999999997</c:v>
                </c:pt>
                <c:pt idx="351">
                  <c:v>18680.999999999996</c:v>
                </c:pt>
                <c:pt idx="352">
                  <c:v>8643.9999999999982</c:v>
                </c:pt>
                <c:pt idx="353">
                  <c:v>10.999999999999998</c:v>
                </c:pt>
                <c:pt idx="354">
                  <c:v>132.99999999999997</c:v>
                </c:pt>
                <c:pt idx="355">
                  <c:v>277.99999999999994</c:v>
                </c:pt>
                <c:pt idx="356">
                  <c:v>2.9999999999999996</c:v>
                </c:pt>
                <c:pt idx="357">
                  <c:v>11843.999999999998</c:v>
                </c:pt>
                <c:pt idx="358">
                  <c:v>9.9999999999999982</c:v>
                </c:pt>
                <c:pt idx="359">
                  <c:v>4628.9999999999991</c:v>
                </c:pt>
                <c:pt idx="360">
                  <c:v>922</c:v>
                </c:pt>
                <c:pt idx="361">
                  <c:v>585</c:v>
                </c:pt>
                <c:pt idx="362">
                  <c:v>831</c:v>
                </c:pt>
                <c:pt idx="363">
                  <c:v>442</c:v>
                </c:pt>
                <c:pt idx="364">
                  <c:v>355</c:v>
                </c:pt>
                <c:pt idx="365">
                  <c:v>1409</c:v>
                </c:pt>
                <c:pt idx="366">
                  <c:v>297</c:v>
                </c:pt>
                <c:pt idx="367">
                  <c:v>205</c:v>
                </c:pt>
                <c:pt idx="368">
                  <c:v>1430</c:v>
                </c:pt>
                <c:pt idx="369">
                  <c:v>223</c:v>
                </c:pt>
                <c:pt idx="370">
                  <c:v>11067</c:v>
                </c:pt>
                <c:pt idx="371">
                  <c:v>526</c:v>
                </c:pt>
                <c:pt idx="372">
                  <c:v>147</c:v>
                </c:pt>
                <c:pt idx="373">
                  <c:v>691</c:v>
                </c:pt>
                <c:pt idx="374">
                  <c:v>2472</c:v>
                </c:pt>
                <c:pt idx="375">
                  <c:v>15</c:v>
                </c:pt>
                <c:pt idx="376">
                  <c:v>4670</c:v>
                </c:pt>
                <c:pt idx="377">
                  <c:v>11</c:v>
                </c:pt>
                <c:pt idx="378">
                  <c:v>21258</c:v>
                </c:pt>
                <c:pt idx="379">
                  <c:v>2</c:v>
                </c:pt>
                <c:pt idx="380">
                  <c:v>98</c:v>
                </c:pt>
                <c:pt idx="381">
                  <c:v>87</c:v>
                </c:pt>
                <c:pt idx="382">
                  <c:v>22</c:v>
                </c:pt>
                <c:pt idx="383">
                  <c:v>35</c:v>
                </c:pt>
                <c:pt idx="384">
                  <c:v>54</c:v>
                </c:pt>
                <c:pt idx="385">
                  <c:v>323</c:v>
                </c:pt>
                <c:pt idx="386">
                  <c:v>116</c:v>
                </c:pt>
                <c:pt idx="387">
                  <c:v>3</c:v>
                </c:pt>
                <c:pt idx="388">
                  <c:v>37</c:v>
                </c:pt>
                <c:pt idx="389">
                  <c:v>64</c:v>
                </c:pt>
                <c:pt idx="390">
                  <c:v>22</c:v>
                </c:pt>
                <c:pt idx="391">
                  <c:v>2530</c:v>
                </c:pt>
                <c:pt idx="392">
                  <c:v>194</c:v>
                </c:pt>
                <c:pt idx="393">
                  <c:v>3</c:v>
                </c:pt>
                <c:pt idx="394">
                  <c:v>4</c:v>
                </c:pt>
                <c:pt idx="395">
                  <c:v>117</c:v>
                </c:pt>
                <c:pt idx="396">
                  <c:v>0</c:v>
                </c:pt>
                <c:pt idx="397">
                  <c:v>5223</c:v>
                </c:pt>
                <c:pt idx="398">
                  <c:v>2</c:v>
                </c:pt>
                <c:pt idx="399">
                  <c:v>21941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B-4359-91B0-C706C339E30E}"/>
            </c:ext>
          </c:extLst>
        </c:ser>
        <c:ser>
          <c:idx val="1"/>
          <c:order val="1"/>
          <c:tx>
            <c:strRef>
              <c:f>calibration_flow!$DB$1</c:f>
              <c:strCache>
                <c:ptCount val="1"/>
                <c:pt idx="0">
                  <c:v>Ref</c:v>
                </c:pt>
              </c:strCache>
            </c:strRef>
          </c:tx>
          <c:spPr>
            <a:ln cap="rnd" w="25400">
              <a:solidFill>
                <a:schemeClr val="bg1">
                  <a:lumMod val="6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calibration_flow!$DB$2:$DB$72</c:f>
              <c:numCache>
                <c:formatCode>General</c:formatCode>
                <c:ptCount val="71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  <c:pt idx="60">
                  <c:v>61000</c:v>
                </c:pt>
                <c:pt idx="61">
                  <c:v>62000</c:v>
                </c:pt>
                <c:pt idx="62">
                  <c:v>63000</c:v>
                </c:pt>
                <c:pt idx="63">
                  <c:v>64000</c:v>
                </c:pt>
                <c:pt idx="64">
                  <c:v>65000</c:v>
                </c:pt>
                <c:pt idx="65">
                  <c:v>66000</c:v>
                </c:pt>
                <c:pt idx="66">
                  <c:v>67000</c:v>
                </c:pt>
                <c:pt idx="67">
                  <c:v>68000</c:v>
                </c:pt>
                <c:pt idx="68">
                  <c:v>69000</c:v>
                </c:pt>
                <c:pt idx="69">
                  <c:v>70000</c:v>
                </c:pt>
              </c:numCache>
            </c:numRef>
          </c:xVal>
          <c:yVal>
            <c:numRef>
              <c:f>calibration_flow!$DB$2:$DB$72</c:f>
              <c:numCache>
                <c:formatCode>General</c:formatCode>
                <c:ptCount val="71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  <c:pt idx="20">
                  <c:v>21000</c:v>
                </c:pt>
                <c:pt idx="21">
                  <c:v>22000</c:v>
                </c:pt>
                <c:pt idx="22">
                  <c:v>23000</c:v>
                </c:pt>
                <c:pt idx="23">
                  <c:v>24000</c:v>
                </c:pt>
                <c:pt idx="24">
                  <c:v>25000</c:v>
                </c:pt>
                <c:pt idx="25">
                  <c:v>26000</c:v>
                </c:pt>
                <c:pt idx="26">
                  <c:v>27000</c:v>
                </c:pt>
                <c:pt idx="27">
                  <c:v>28000</c:v>
                </c:pt>
                <c:pt idx="28">
                  <c:v>29000</c:v>
                </c:pt>
                <c:pt idx="29">
                  <c:v>30000</c:v>
                </c:pt>
                <c:pt idx="30">
                  <c:v>31000</c:v>
                </c:pt>
                <c:pt idx="31">
                  <c:v>32000</c:v>
                </c:pt>
                <c:pt idx="32">
                  <c:v>33000</c:v>
                </c:pt>
                <c:pt idx="33">
                  <c:v>34000</c:v>
                </c:pt>
                <c:pt idx="34">
                  <c:v>35000</c:v>
                </c:pt>
                <c:pt idx="35">
                  <c:v>36000</c:v>
                </c:pt>
                <c:pt idx="36">
                  <c:v>37000</c:v>
                </c:pt>
                <c:pt idx="37">
                  <c:v>38000</c:v>
                </c:pt>
                <c:pt idx="38">
                  <c:v>39000</c:v>
                </c:pt>
                <c:pt idx="39">
                  <c:v>40000</c:v>
                </c:pt>
                <c:pt idx="40">
                  <c:v>41000</c:v>
                </c:pt>
                <c:pt idx="41">
                  <c:v>42000</c:v>
                </c:pt>
                <c:pt idx="42">
                  <c:v>43000</c:v>
                </c:pt>
                <c:pt idx="43">
                  <c:v>44000</c:v>
                </c:pt>
                <c:pt idx="44">
                  <c:v>45000</c:v>
                </c:pt>
                <c:pt idx="45">
                  <c:v>46000</c:v>
                </c:pt>
                <c:pt idx="46">
                  <c:v>47000</c:v>
                </c:pt>
                <c:pt idx="47">
                  <c:v>48000</c:v>
                </c:pt>
                <c:pt idx="48">
                  <c:v>49000</c:v>
                </c:pt>
                <c:pt idx="49">
                  <c:v>50000</c:v>
                </c:pt>
                <c:pt idx="50">
                  <c:v>51000</c:v>
                </c:pt>
                <c:pt idx="51">
                  <c:v>52000</c:v>
                </c:pt>
                <c:pt idx="52">
                  <c:v>53000</c:v>
                </c:pt>
                <c:pt idx="53">
                  <c:v>54000</c:v>
                </c:pt>
                <c:pt idx="54">
                  <c:v>55000</c:v>
                </c:pt>
                <c:pt idx="55">
                  <c:v>56000</c:v>
                </c:pt>
                <c:pt idx="56">
                  <c:v>57000</c:v>
                </c:pt>
                <c:pt idx="57">
                  <c:v>58000</c:v>
                </c:pt>
                <c:pt idx="58">
                  <c:v>59000</c:v>
                </c:pt>
                <c:pt idx="59">
                  <c:v>60000</c:v>
                </c:pt>
                <c:pt idx="60">
                  <c:v>61000</c:v>
                </c:pt>
                <c:pt idx="61">
                  <c:v>62000</c:v>
                </c:pt>
                <c:pt idx="62">
                  <c:v>63000</c:v>
                </c:pt>
                <c:pt idx="63">
                  <c:v>64000</c:v>
                </c:pt>
                <c:pt idx="64">
                  <c:v>65000</c:v>
                </c:pt>
                <c:pt idx="65">
                  <c:v>66000</c:v>
                </c:pt>
                <c:pt idx="66">
                  <c:v>67000</c:v>
                </c:pt>
                <c:pt idx="67">
                  <c:v>68000</c:v>
                </c:pt>
                <c:pt idx="68">
                  <c:v>69000</c:v>
                </c:pt>
                <c:pt idx="69">
                  <c:v>70000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B-4359-91B0-C706C339E3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0863423"/>
        <c:axId val="540863839"/>
      </c:scatterChart>
      <c:valAx>
        <c:axId val="540863423"/>
        <c:scaling>
          <c:orientation val="minMax"/>
          <c:max val="70000"/>
        </c:scaling>
        <c:delete val="0"/>
        <c:axPos val="b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OBS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839"/>
        <c:crosses val="autoZero"/>
        <c:crossBetween val="midCat"/>
        <c:majorUnit val="10000"/>
      </c:valAx>
      <c:valAx>
        <c:axId val="540863839"/>
        <c:scaling>
          <c:orientation val="minMax"/>
          <c:max val="70000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EST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0863423"/>
        <c:crosses val="autoZero"/>
        <c:crossBetween val="midCat"/>
        <c:majorUnit val="1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4.xml" Type="http://schemas.openxmlformats.org/officeDocument/2006/relationships/chart"/>
    <Relationship Id="rId2" Target="../charts/chart5.xml" Type="http://schemas.openxmlformats.org/officeDocument/2006/relationships/chart"/>
    <Relationship Id="rId3" Target="../charts/chart6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media/image1.png" Type="http://schemas.openxmlformats.org/officeDocument/2006/relationships/image"/>
    <Relationship Id="rId2" Target="../media/image2.png" Type="http://schemas.openxmlformats.org/officeDocument/2006/relationships/image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9524</xdr:colOff>
      <xdr:row>16</xdr:row>
      <xdr:rowOff>123825</xdr:rowOff>
    </xdr:from>
    <xdr:to>
      <xdr:col>22</xdr:col>
      <xdr:colOff>114299</xdr:colOff>
      <xdr:row>33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12</xdr:col>
      <xdr:colOff>266700</xdr:colOff>
      <xdr:row>15</xdr:row>
      <xdr:rowOff>19050</xdr:rowOff>
    </xdr:from>
    <xdr:to>
      <xdr:col>21</xdr:col>
      <xdr:colOff>571500</xdr:colOff>
      <xdr:row>31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90</xdr:col>
      <xdr:colOff>523874</xdr:colOff>
      <xdr:row>17</xdr:row>
      <xdr:rowOff>9524</xdr:rowOff>
    </xdr:from>
    <xdr:to>
      <xdr:col>101</xdr:col>
      <xdr:colOff>457200</xdr:colOff>
      <xdr:row>38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19</xdr:col>
      <xdr:colOff>380999</xdr:colOff>
      <xdr:row>2</xdr:row>
      <xdr:rowOff>9525</xdr:rowOff>
    </xdr:from>
    <xdr:to>
      <xdr:col>27</xdr:col>
      <xdr:colOff>942974</xdr:colOff>
      <xdr:row>21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276224</xdr:colOff>
      <xdr:row>0</xdr:row>
      <xdr:rowOff>161924</xdr:rowOff>
    </xdr:from>
    <xdr:to>
      <xdr:col>49</xdr:col>
      <xdr:colOff>333375</xdr:colOff>
      <xdr:row>24</xdr:row>
      <xdr:rowOff>66675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51</xdr:col>
      <xdr:colOff>0</xdr:colOff>
      <xdr:row>1</xdr:row>
      <xdr:rowOff>0</xdr:rowOff>
    </xdr:from>
    <xdr:to>
      <xdr:col>57</xdr:col>
      <xdr:colOff>652462</xdr:colOff>
      <xdr:row>24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 editAs="oneCell">
    <xdr:from>
      <xdr:col>13</xdr:col>
      <xdr:colOff>190501</xdr:colOff>
      <xdr:row>68</xdr:row>
      <xdr:rowOff>19050</xdr:rowOff>
    </xdr:from>
    <xdr:to>
      <xdr:col>16</xdr:col>
      <xdr:colOff>504826</xdr:colOff>
      <xdr:row>81</xdr:row>
      <xdr:rowOff>82275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B5916FA-C09F-4467-9B5C-00FA9F24F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53601" y="10420350"/>
          <a:ext cx="2933700" cy="25397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419100</xdr:colOff>
      <xdr:row>42</xdr:row>
      <xdr:rowOff>171451</xdr:rowOff>
    </xdr:from>
    <xdr:to>
      <xdr:col>16</xdr:col>
      <xdr:colOff>542925</xdr:colOff>
      <xdr:row>55</xdr:row>
      <xdr:rowOff>97753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C2477873-7CA4-4069-8097-68C3A67E9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82200" y="5562601"/>
          <a:ext cx="2743200" cy="24028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101"/>
  <sheetViews>
    <sheetView tabSelected="1" topLeftCell="G8" workbookViewId="0">
      <selection activeCell="R11" sqref="R11"/>
    </sheetView>
  </sheetViews>
  <sheetFormatPr defaultRowHeight="14.25" x14ac:dyDescent="0.45"/>
  <cols>
    <col min="1" max="1" customWidth="true" width="13.59765625" collapsed="true"/>
    <col min="2" max="3" bestFit="true" customWidth="true" width="10.59765625" collapsed="true"/>
    <col min="4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1.59765625" collapsed="true"/>
    <col min="12" max="12" bestFit="true" customWidth="true" width="10.59765625" collapsed="true"/>
    <col min="15" max="15" bestFit="true" customWidth="true" width="15.73046875" collapsed="true"/>
  </cols>
  <sheetData>
    <row r="1" spans="1:23" x14ac:dyDescent="0.45">
      <c r="A1" t="s">
        <v>1</v>
      </c>
    </row>
    <row r="2" spans="1:23" x14ac:dyDescent="0.45">
      <c r="A2" t="s">
        <v>247</v>
      </c>
    </row>
    <row r="3" spans="1:23" x14ac:dyDescent="0.45">
      <c r="A3" t="s">
        <v>241</v>
      </c>
    </row>
    <row r="4" spans="1:23" x14ac:dyDescent="0.45">
      <c r="A4" t="s">
        <v>4</v>
      </c>
    </row>
    <row r="5" spans="1:23" x14ac:dyDescent="0.45">
      <c r="A5" t="s">
        <v>5</v>
      </c>
    </row>
    <row r="7" spans="1:23" x14ac:dyDescent="0.45">
      <c r="A7" t="s">
        <v>11</v>
      </c>
    </row>
    <row ht="14.65" r="9" spans="1:23" thickBot="1" x14ac:dyDescent="0.5">
      <c r="A9" s="4" t="s">
        <v>208</v>
      </c>
      <c r="B9" s="1"/>
      <c r="C9" s="1"/>
      <c r="D9" s="1"/>
      <c r="E9" s="1"/>
      <c r="G9" s="4" t="s">
        <v>12</v>
      </c>
      <c r="H9" s="1"/>
      <c r="I9" s="1"/>
      <c r="J9" s="1"/>
      <c r="K9" s="1"/>
      <c r="M9" s="26" t="s">
        <v>251</v>
      </c>
      <c r="N9" s="24"/>
      <c r="O9" s="24"/>
    </row>
    <row r="10" spans="1:23" x14ac:dyDescent="0.45">
      <c r="A10" s="2" t="s">
        <v>2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</v>
      </c>
      <c r="H10" s="5" t="s">
        <v>8</v>
      </c>
      <c r="I10" s="5" t="s">
        <v>9</v>
      </c>
      <c r="J10" s="5" t="s">
        <v>10</v>
      </c>
      <c r="K10" s="27" t="s">
        <v>345</v>
      </c>
      <c r="M10" s="23"/>
      <c r="N10" s="27" t="s">
        <v>203</v>
      </c>
      <c r="O10" s="27" t="s">
        <v>253</v>
      </c>
    </row>
    <row r="11" spans="1:23" x14ac:dyDescent="0.45">
      <c r="A11">
        <v>0</v>
      </c>
      <c r="B11" s="44" t="n">
        <v>12209.134356361044</v>
      </c>
      <c r="C11" s="44" t="n">
        <v>2859.115887359029</v>
      </c>
      <c r="D11" s="44" t="n">
        <v>663.1264013306247</v>
      </c>
      <c r="E11" s="44">
        <f>SUM(B11:D11)</f>
        <v>15731.376645050697</v>
      </c>
      <c r="F11" s="63">
        <f>IFERROR(E11/SUM($E$11:$E$100),0)</f>
        <v>1.9977860523408449E-2</v>
      </c>
      <c r="G11">
        <v>0</v>
      </c>
      <c r="H11" s="54" t="n">
        <v>16854.0</v>
      </c>
      <c r="I11" s="54" t="n">
        <v>2734.0</v>
      </c>
      <c r="J11" s="54" t="n">
        <v>2294.0</v>
      </c>
      <c r="K11" s="44">
        <f>SUM(H11:J11)</f>
        <v>21551</v>
      </c>
      <c r="L11" s="63">
        <f>IFERROR(K11/SUM($K$11:$K$100),0)</f>
        <v>2.5711814358576668E-2</v>
      </c>
      <c r="M11" s="24" t="s">
        <v>8</v>
      </c>
      <c r="N11" s="51" t="n">
        <v>13.260577290698972</v>
      </c>
      <c r="O11" s="51" t="n">
        <v>11.810616794916474</v>
      </c>
    </row>
    <row r="12" spans="1:23" x14ac:dyDescent="0.45">
      <c r="A12">
        <v>1</v>
      </c>
      <c r="B12" s="44" t="n">
        <v>25626.02815928745</v>
      </c>
      <c r="C12" s="44" t="n">
        <v>7025.634034964959</v>
      </c>
      <c r="D12" s="44" t="n">
        <v>3947.722520522216</v>
      </c>
      <c r="E12" s="44">
        <f ref="E12:E75" si="0" t="shared">SUM(B12:D12)</f>
        <v>36599.38471477462</v>
      </c>
      <c r="F12" s="63">
        <f ref="F12:F75" si="1" t="shared">IFERROR(E12/SUM($E$11:$E$100),0)</f>
        <v>4.647892041313325E-2</v>
      </c>
      <c r="G12">
        <v>1</v>
      </c>
      <c r="H12" s="54" t="n">
        <v>36022.0</v>
      </c>
      <c r="I12" s="54" t="n">
        <v>6522.0</v>
      </c>
      <c r="J12" s="54" t="n">
        <v>4167.0</v>
      </c>
      <c r="K12" s="44">
        <f ref="K12:K75" si="2" t="shared">SUM(H12:J12)</f>
        <v>45214</v>
      </c>
      <c r="L12" s="63">
        <f ref="L12:L75" si="3" t="shared">IFERROR(K12/SUM($K$11:$K$100),0)</f>
        <v>5.39433889104304E-2</v>
      </c>
      <c r="M12" s="24" t="s">
        <v>9</v>
      </c>
      <c r="N12" s="51" t="n">
        <v>9.540199850982214</v>
      </c>
      <c r="O12" s="51" t="n">
        <v>8.933093879785465</v>
      </c>
    </row>
    <row r="13" spans="1:23" x14ac:dyDescent="0.45">
      <c r="A13">
        <v>2</v>
      </c>
      <c r="B13" s="44" t="n">
        <v>36309.20212129782</v>
      </c>
      <c r="C13" s="44" t="n">
        <v>5275.022129577734</v>
      </c>
      <c r="D13" s="44" t="n">
        <v>845.6390104198362</v>
      </c>
      <c r="E13" s="44">
        <f si="0" t="shared"/>
        <v>42429.863261295395</v>
      </c>
      <c r="F13" s="63">
        <f si="1" t="shared"/>
        <v>5.3883262055653365E-2</v>
      </c>
      <c r="G13">
        <v>2</v>
      </c>
      <c r="H13" s="54" t="n">
        <v>35125.0</v>
      </c>
      <c r="I13" s="54" t="n">
        <v>8020.0</v>
      </c>
      <c r="J13" s="54" t="n">
        <v>4332.0</v>
      </c>
      <c r="K13" s="44">
        <f si="2" t="shared"/>
        <v>46181</v>
      </c>
      <c r="L13" s="63">
        <f si="3" t="shared"/>
        <v>5.509708593074239E-2</v>
      </c>
      <c r="M13" s="25" t="s">
        <v>10</v>
      </c>
      <c r="N13" s="52" t="n">
        <v>8.6583958106079</v>
      </c>
      <c r="O13" s="52" t="n">
        <v>7.18675234793035</v>
      </c>
    </row>
    <row ht="14.65" r="14" spans="1:23" thickBot="1" x14ac:dyDescent="0.5">
      <c r="A14">
        <v>3</v>
      </c>
      <c r="B14" s="44" t="n">
        <v>39382.922543996865</v>
      </c>
      <c r="C14" s="44" t="n">
        <v>5953.681580586038</v>
      </c>
      <c r="D14" s="44" t="n">
        <v>3260.4499923239764</v>
      </c>
      <c r="E14" s="44">
        <f si="0" t="shared"/>
        <v>48597.054116906882</v>
      </c>
      <c r="F14" s="63">
        <f si="1" t="shared"/>
        <v>6.1715207187639565E-2</v>
      </c>
      <c r="G14">
        <v>3</v>
      </c>
      <c r="H14" s="54" t="n">
        <v>30592.0</v>
      </c>
      <c r="I14" s="54" t="n">
        <v>7728.0</v>
      </c>
      <c r="J14" s="54" t="n">
        <v>4237.0</v>
      </c>
      <c r="K14" s="44">
        <f si="2" t="shared"/>
        <v>40876</v>
      </c>
      <c r="L14" s="63">
        <f si="3" t="shared"/>
        <v>4.8767858740716437E-2</v>
      </c>
      <c r="M14" s="22" t="s">
        <v>3</v>
      </c>
      <c r="N14" s="53" t="n">
        <v>12.755700521813194</v>
      </c>
      <c r="O14" s="53" t="n">
        <v>11.323471768287597</v>
      </c>
      <c r="S14" s="7"/>
    </row>
    <row r="15" spans="1:23" x14ac:dyDescent="0.45">
      <c r="A15">
        <v>4</v>
      </c>
      <c r="B15" s="44" t="n">
        <v>37572.210307755886</v>
      </c>
      <c r="C15" s="44" t="n">
        <v>4236.048509458959</v>
      </c>
      <c r="D15" s="44" t="n">
        <v>2398.8903574871124</v>
      </c>
      <c r="E15" s="44">
        <f si="0" t="shared"/>
        <v>44207.149174701961</v>
      </c>
      <c r="F15" s="63">
        <f si="1" t="shared"/>
        <v>5.614030356507687E-2</v>
      </c>
      <c r="G15">
        <v>4</v>
      </c>
      <c r="H15" s="54" t="n">
        <v>33160.0</v>
      </c>
      <c r="I15" s="54" t="n">
        <v>7035.0</v>
      </c>
      <c r="J15" s="54" t="n">
        <v>3482.0</v>
      </c>
      <c r="K15" s="44">
        <f si="2" t="shared"/>
        <v>42271</v>
      </c>
      <c r="L15" s="63">
        <f si="3" t="shared"/>
        <v>5.0432188982014493E-2</v>
      </c>
      <c r="W15" s="7"/>
    </row>
    <row r="16" spans="1:23" x14ac:dyDescent="0.45">
      <c r="A16">
        <v>5</v>
      </c>
      <c r="B16" s="44" t="n">
        <v>26355.548410393305</v>
      </c>
      <c r="C16" s="44" t="n">
        <v>3759.0997049636076</v>
      </c>
      <c r="D16" s="44" t="n">
        <v>3504.511969556317</v>
      </c>
      <c r="E16" s="44">
        <f si="0" t="shared"/>
        <v>33619.16008491323</v>
      </c>
      <c r="F16" s="63">
        <f si="1" t="shared"/>
        <v>4.269422226959671E-2</v>
      </c>
      <c r="G16">
        <v>5</v>
      </c>
      <c r="H16" s="54" t="n">
        <v>35869.0</v>
      </c>
      <c r="I16" s="54" t="n">
        <v>6190.0</v>
      </c>
      <c r="J16" s="54" t="n">
        <v>2836.0</v>
      </c>
      <c r="K16" s="44">
        <f si="2" t="shared"/>
        <v>43611</v>
      </c>
      <c r="L16" s="63">
        <f si="3" t="shared"/>
        <v>5.2030900468279295E-2</v>
      </c>
      <c r="W16" s="7"/>
    </row>
    <row r="17" spans="1:23" x14ac:dyDescent="0.45">
      <c r="A17">
        <v>6</v>
      </c>
      <c r="B17" s="44" t="n">
        <v>35550.10217585644</v>
      </c>
      <c r="C17" s="44" t="n">
        <v>4703.457395192097</v>
      </c>
      <c r="D17" s="44" t="n">
        <v>1020.8449835992441</v>
      </c>
      <c r="E17" s="44">
        <f si="0" t="shared"/>
        <v>41274.404554647779</v>
      </c>
      <c r="F17" s="63">
        <f si="1" t="shared"/>
        <v>5.2415902052596899E-2</v>
      </c>
      <c r="G17">
        <v>6</v>
      </c>
      <c r="H17" s="54" t="n">
        <v>35027.0</v>
      </c>
      <c r="I17" s="54" t="n">
        <v>4970.0</v>
      </c>
      <c r="J17" s="54" t="n">
        <v>2296.0</v>
      </c>
      <c r="K17" s="44">
        <f si="2" t="shared"/>
        <v>42351</v>
      </c>
      <c r="L17" s="63">
        <f si="3" t="shared"/>
        <v>5.0527634443881052E-2</v>
      </c>
      <c r="W17" s="7"/>
    </row>
    <row r="18" spans="1:23" x14ac:dyDescent="0.45">
      <c r="A18">
        <v>7</v>
      </c>
      <c r="B18" s="44" t="n">
        <v>32180.851438038215</v>
      </c>
      <c r="C18" s="44" t="n">
        <v>6011.579019933358</v>
      </c>
      <c r="D18" s="44" t="n">
        <v>947.3931299994143</v>
      </c>
      <c r="E18" s="44">
        <f si="0" t="shared"/>
        <v>39139.82358797099</v>
      </c>
      <c r="F18" s="63">
        <f si="1" t="shared"/>
        <v>4.970511826104565E-2</v>
      </c>
      <c r="G18">
        <v>7</v>
      </c>
      <c r="H18" s="54" t="n">
        <v>35584.0</v>
      </c>
      <c r="I18" s="54" t="n">
        <v>4274.0</v>
      </c>
      <c r="J18" s="54" t="n">
        <v>1939.0</v>
      </c>
      <c r="K18" s="44">
        <f si="2" t="shared"/>
        <v>41735</v>
      </c>
      <c r="L18" s="63">
        <f si="3" t="shared"/>
        <v>4.9792704387508574E-2</v>
      </c>
      <c r="W18" s="7"/>
    </row>
    <row r="19" spans="1:23" x14ac:dyDescent="0.45">
      <c r="A19">
        <v>8</v>
      </c>
      <c r="B19" s="44" t="n">
        <v>32632.80388434409</v>
      </c>
      <c r="C19" s="44" t="n">
        <v>3807.0004542282636</v>
      </c>
      <c r="D19" s="44" t="n">
        <v>1526.2866013535208</v>
      </c>
      <c r="E19" s="44">
        <f si="0" t="shared"/>
        <v>37966.090939925882</v>
      </c>
      <c r="F19" s="63">
        <f si="1" t="shared"/>
        <v>4.8214551499884711E-2</v>
      </c>
      <c r="G19">
        <v>8</v>
      </c>
      <c r="H19" s="54" t="n">
        <v>37914.0</v>
      </c>
      <c r="I19" s="54" t="n">
        <v>3687.0</v>
      </c>
      <c r="J19" s="54" t="n">
        <v>1602.0</v>
      </c>
      <c r="K19" s="44">
        <f si="2" t="shared"/>
        <v>42721</v>
      </c>
      <c r="L19" s="63">
        <f si="3" t="shared"/>
        <v>5.0969069705013872E-2</v>
      </c>
      <c r="W19" s="7"/>
    </row>
    <row r="20" spans="1:23" x14ac:dyDescent="0.45">
      <c r="A20">
        <v>9</v>
      </c>
      <c r="B20" s="44" t="n">
        <v>30280.16994367068</v>
      </c>
      <c r="C20" s="44" t="n">
        <v>2367.9441999579835</v>
      </c>
      <c r="D20" s="44" t="n">
        <v>927.4687601175536</v>
      </c>
      <c r="E20" s="44">
        <f si="0" t="shared"/>
        <v>33575.582903746217</v>
      </c>
      <c r="F20" s="63">
        <f si="1" t="shared"/>
        <v>4.2638881985844E-2</v>
      </c>
      <c r="G20">
        <v>9</v>
      </c>
      <c r="H20" s="54" t="n">
        <v>42257.0</v>
      </c>
      <c r="I20" s="54" t="n">
        <v>3538.0</v>
      </c>
      <c r="J20" s="54" t="n">
        <v>1453.0</v>
      </c>
      <c r="K20" s="44">
        <f si="2" t="shared"/>
        <v>47015</v>
      </c>
      <c r="L20" s="63">
        <f si="3" t="shared"/>
        <v>5.6092104870701223E-2</v>
      </c>
      <c r="W20" s="7"/>
    </row>
    <row r="21" spans="1:23" x14ac:dyDescent="0.45">
      <c r="A21">
        <v>10</v>
      </c>
      <c r="B21" s="44" t="n">
        <v>31328.022859998175</v>
      </c>
      <c r="C21" s="44" t="n">
        <v>2430.337881409552</v>
      </c>
      <c r="D21" s="44" t="n">
        <v>1299.8886015783864</v>
      </c>
      <c r="E21" s="44">
        <f si="0" t="shared"/>
        <v>35058.249342986113</v>
      </c>
      <c r="F21" s="63">
        <f si="1" t="shared"/>
        <v>4.4521775263031679E-2</v>
      </c>
      <c r="G21">
        <v>10</v>
      </c>
      <c r="H21" s="54" t="n">
        <v>43180.0</v>
      </c>
      <c r="I21" s="54" t="n">
        <v>3099.0</v>
      </c>
      <c r="J21" s="54" t="n">
        <v>1301.0</v>
      </c>
      <c r="K21" s="44">
        <f si="2" t="shared"/>
        <v>47267</v>
      </c>
      <c r="L21" s="63">
        <f si="3" t="shared"/>
        <v>5.6392758075580876E-2</v>
      </c>
      <c r="W21" s="7"/>
    </row>
    <row r="22" spans="1:23" x14ac:dyDescent="0.45">
      <c r="A22">
        <v>11</v>
      </c>
      <c r="B22" s="44" t="n">
        <v>36057.97755758511</v>
      </c>
      <c r="C22" s="44" t="n">
        <v>4897.562058892718</v>
      </c>
      <c r="D22" s="44" t="n">
        <v>862.2779899035605</v>
      </c>
      <c r="E22" s="44">
        <f si="0" t="shared"/>
        <v>41817.817606381388</v>
      </c>
      <c r="F22" s="63">
        <f si="1" t="shared"/>
        <v>5.3106002505919223E-2</v>
      </c>
      <c r="G22">
        <v>11</v>
      </c>
      <c r="H22" s="54" t="n">
        <v>39135.0</v>
      </c>
      <c r="I22" s="54" t="n">
        <v>2890.0</v>
      </c>
      <c r="J22" s="54" t="n">
        <v>1120.0</v>
      </c>
      <c r="K22" s="44">
        <f si="2" t="shared"/>
        <v>43122</v>
      </c>
      <c r="L22" s="63">
        <f si="3" t="shared"/>
        <v>5.1447490082619979E-2</v>
      </c>
      <c r="W22" s="7"/>
    </row>
    <row r="23" spans="1:23" x14ac:dyDescent="0.45">
      <c r="A23">
        <v>12</v>
      </c>
      <c r="B23" s="44" t="n">
        <v>24938.304092026927</v>
      </c>
      <c r="C23" s="44" t="n">
        <v>2475.7951422357905</v>
      </c>
      <c r="D23" s="44" t="n">
        <v>1251.877689654803</v>
      </c>
      <c r="E23" s="44">
        <f si="0" t="shared"/>
        <v>28665.976923917522</v>
      </c>
      <c r="F23" s="63">
        <f si="1" t="shared"/>
        <v>3.6403990678936786E-2</v>
      </c>
      <c r="G23">
        <v>12</v>
      </c>
      <c r="H23" s="54" t="n">
        <v>36700.0</v>
      </c>
      <c r="I23" s="54" t="n">
        <v>2593.0</v>
      </c>
      <c r="J23" s="54" t="n">
        <v>980.0</v>
      </c>
      <c r="K23" s="44">
        <f si="2" t="shared"/>
        <v>40416</v>
      </c>
      <c r="L23" s="63">
        <f si="3" t="shared"/>
        <v>4.8219047334983743E-2</v>
      </c>
      <c r="W23" s="7"/>
    </row>
    <row r="24" spans="1:23" x14ac:dyDescent="0.45">
      <c r="A24">
        <v>13</v>
      </c>
      <c r="B24" s="44" t="n">
        <v>23592.5810717666</v>
      </c>
      <c r="C24" s="44" t="n">
        <v>2082.8853987160815</v>
      </c>
      <c r="D24" s="44" t="n">
        <v>161.9672744579227</v>
      </c>
      <c r="E24" s="44">
        <f si="0" t="shared"/>
        <v>25837.433744940601</v>
      </c>
      <c r="F24" s="63">
        <f si="1" t="shared"/>
        <v>3.2811918453533831E-2</v>
      </c>
      <c r="G24">
        <v>13</v>
      </c>
      <c r="H24" s="54" t="n">
        <v>31233.0</v>
      </c>
      <c r="I24" s="54" t="n">
        <v>2286.0</v>
      </c>
      <c r="J24" s="54" t="n">
        <v>754.0</v>
      </c>
      <c r="K24" s="44">
        <f si="2" t="shared"/>
        <v>34165</v>
      </c>
      <c r="L24" s="63">
        <f si="3" t="shared"/>
        <v>4.0761177558385778E-2</v>
      </c>
      <c r="W24" s="7"/>
    </row>
    <row r="25" spans="1:23" x14ac:dyDescent="0.45">
      <c r="A25">
        <v>14</v>
      </c>
      <c r="B25" s="44" t="n">
        <v>26860.54550751932</v>
      </c>
      <c r="C25" s="44" t="n">
        <v>1061.3863764690057</v>
      </c>
      <c r="D25" s="44" t="n">
        <v>311.731575276455</v>
      </c>
      <c r="E25" s="44">
        <f si="0" t="shared"/>
        <v>28233.663459264782</v>
      </c>
      <c r="F25" s="63">
        <f si="1" t="shared"/>
        <v>3.5854979724962766E-2</v>
      </c>
      <c r="G25">
        <v>14</v>
      </c>
      <c r="H25" s="54" t="n">
        <v>27979.0</v>
      </c>
      <c r="I25" s="54" t="n">
        <v>2014.0</v>
      </c>
      <c r="J25" s="54" t="n">
        <v>670.0</v>
      </c>
      <c r="K25" s="44">
        <f si="2" t="shared"/>
        <v>31106</v>
      </c>
      <c r="L25" s="63">
        <f si="3" t="shared"/>
        <v>3.7111581710263367E-2</v>
      </c>
      <c r="W25" s="7"/>
    </row>
    <row r="26" spans="1:23" x14ac:dyDescent="0.45">
      <c r="A26">
        <v>15</v>
      </c>
      <c r="B26" s="44" t="n">
        <v>25107.83032400558</v>
      </c>
      <c r="C26" s="44" t="n">
        <v>1410.435346637717</v>
      </c>
      <c r="D26" s="44" t="n">
        <v>374.3517017135178</v>
      </c>
      <c r="E26" s="44">
        <f si="0" t="shared"/>
        <v>26892.617372356814</v>
      </c>
      <c r="F26" s="63">
        <f si="1" t="shared"/>
        <v>3.4151935402510603E-2</v>
      </c>
      <c r="G26">
        <v>15</v>
      </c>
      <c r="H26" s="54" t="n">
        <v>24819.0</v>
      </c>
      <c r="I26" s="54" t="n">
        <v>1718.0</v>
      </c>
      <c r="J26" s="54" t="n">
        <v>577.0</v>
      </c>
      <c r="K26" s="44">
        <f si="2" t="shared"/>
        <v>27346</v>
      </c>
      <c r="L26" s="63">
        <f si="3" t="shared"/>
        <v>3.2625645002535272E-2</v>
      </c>
      <c r="W26" s="7"/>
    </row>
    <row r="27" spans="1:23" x14ac:dyDescent="0.45">
      <c r="A27">
        <v>16</v>
      </c>
      <c r="B27" s="44" t="n">
        <v>17378.50086462053</v>
      </c>
      <c r="C27" s="44" t="n">
        <v>1373.7704671060735</v>
      </c>
      <c r="D27" s="44" t="n">
        <v>188.1724264065445</v>
      </c>
      <c r="E27" s="44">
        <f si="0" t="shared"/>
        <v>18940.443758133151</v>
      </c>
      <c r="F27" s="63">
        <f si="1" t="shared"/>
        <v>2.4053174250995554E-2</v>
      </c>
      <c r="G27">
        <v>16</v>
      </c>
      <c r="H27" s="54" t="n">
        <v>22144.0</v>
      </c>
      <c r="I27" s="54" t="n">
        <v>1503.0</v>
      </c>
      <c r="J27" s="54" t="n">
        <v>515.0</v>
      </c>
      <c r="K27" s="44">
        <f si="2" t="shared"/>
        <v>24686</v>
      </c>
      <c r="L27" s="63">
        <f si="3" t="shared"/>
        <v>2.9452083395472305E-2</v>
      </c>
      <c r="W27" s="7"/>
    </row>
    <row r="28" spans="1:23" x14ac:dyDescent="0.45">
      <c r="A28">
        <v>17</v>
      </c>
      <c r="B28" s="44" t="n">
        <v>15668.308635612799</v>
      </c>
      <c r="C28" s="44" t="n">
        <v>1019.9837189944731</v>
      </c>
      <c r="D28" s="44" t="n">
        <v>46.6393527108106</v>
      </c>
      <c r="E28" s="44">
        <f si="0" t="shared"/>
        <v>16734.931707318083</v>
      </c>
      <c r="F28" s="63">
        <f si="1" t="shared"/>
        <v>2.1252312436543842E-2</v>
      </c>
      <c r="G28">
        <v>17</v>
      </c>
      <c r="H28" s="54" t="n">
        <v>19415.0</v>
      </c>
      <c r="I28" s="54" t="n">
        <v>1295.0</v>
      </c>
      <c r="J28" s="54" t="n">
        <v>415.0</v>
      </c>
      <c r="K28" s="44">
        <f si="2" t="shared"/>
        <v>21362</v>
      </c>
      <c r="L28" s="63">
        <f si="3" t="shared"/>
        <v>2.5486324454916932E-2</v>
      </c>
      <c r="W28" s="7"/>
    </row>
    <row r="29" spans="1:23" x14ac:dyDescent="0.45">
      <c r="A29">
        <v>18</v>
      </c>
      <c r="B29" s="44" t="n">
        <v>23217.722842448635</v>
      </c>
      <c r="C29" s="44" t="n">
        <v>932.2744748780602</v>
      </c>
      <c r="D29" s="44" t="n">
        <v>440.605462906771</v>
      </c>
      <c r="E29" s="44">
        <f si="0" t="shared"/>
        <v>24590.602780233465</v>
      </c>
      <c r="F29" s="63">
        <f si="1" t="shared"/>
        <v>3.1228521420253681E-2</v>
      </c>
      <c r="G29">
        <v>18</v>
      </c>
      <c r="H29" s="54" t="n">
        <v>17407.0</v>
      </c>
      <c r="I29" s="54" t="n">
        <v>1143.0</v>
      </c>
      <c r="J29" s="54" t="n">
        <v>359.0</v>
      </c>
      <c r="K29" s="44">
        <f si="2" t="shared"/>
        <v>19588</v>
      </c>
      <c r="L29" s="63">
        <f si="3" t="shared"/>
        <v>2.3369821338026068E-2</v>
      </c>
      <c r="W29" s="7"/>
    </row>
    <row r="30" spans="1:23" x14ac:dyDescent="0.45">
      <c r="A30">
        <v>19</v>
      </c>
      <c r="B30" s="44" t="n">
        <v>13311.589661984359</v>
      </c>
      <c r="C30" s="44" t="n">
        <v>1206.797128527842</v>
      </c>
      <c r="D30" s="44" t="n">
        <v>706.1769046823963</v>
      </c>
      <c r="E30" s="44">
        <f si="0" t="shared"/>
        <v>15224.563695194596</v>
      </c>
      <c r="F30" s="63">
        <f si="1" t="shared"/>
        <v>1.9334239901250893E-2</v>
      </c>
      <c r="G30">
        <v>19</v>
      </c>
      <c r="H30" s="54" t="n">
        <v>14941.0</v>
      </c>
      <c r="I30" s="54" t="n">
        <v>956.0</v>
      </c>
      <c r="J30" s="54" t="n">
        <v>333.0</v>
      </c>
      <c r="K30" s="44">
        <f si="2" t="shared"/>
        <v>16557</v>
      </c>
      <c r="L30" s="63">
        <f si="3" t="shared"/>
        <v>1.9753631401556955E-2</v>
      </c>
      <c r="W30" s="7"/>
    </row>
    <row r="31" spans="1:23" x14ac:dyDescent="0.45">
      <c r="A31">
        <v>20</v>
      </c>
      <c r="B31" s="44" t="n">
        <v>12062.262955156011</v>
      </c>
      <c r="C31" s="44" t="n">
        <v>1661.239981470323</v>
      </c>
      <c r="D31" s="44" t="n">
        <v>0.0</v>
      </c>
      <c r="E31" s="44">
        <f si="0" t="shared"/>
        <v>13723.502936626333</v>
      </c>
      <c r="F31" s="63">
        <f si="1" t="shared"/>
        <v>1.7427986993545381E-2</v>
      </c>
      <c r="G31">
        <v>20</v>
      </c>
      <c r="H31" s="54" t="n">
        <v>12697.0</v>
      </c>
      <c r="I31" s="54" t="n">
        <v>859.0</v>
      </c>
      <c r="J31" s="54" t="n">
        <v>250.0</v>
      </c>
      <c r="K31" s="44">
        <f si="2" t="shared"/>
        <v>14039</v>
      </c>
      <c r="L31" s="63">
        <f si="3" t="shared"/>
        <v>1.6749485489307124E-2</v>
      </c>
      <c r="W31" s="7"/>
    </row>
    <row r="32" spans="1:23" x14ac:dyDescent="0.45">
      <c r="A32">
        <v>21</v>
      </c>
      <c r="B32" s="44" t="n">
        <v>12526.740781254992</v>
      </c>
      <c r="C32" s="44" t="n">
        <v>874.0743181178672</v>
      </c>
      <c r="D32" s="44" t="n">
        <v>307.383315439571</v>
      </c>
      <c r="E32" s="44">
        <f si="0" t="shared"/>
        <v>13708.19841481243</v>
      </c>
      <c r="F32" s="63">
        <f si="1" t="shared"/>
        <v>1.7408551211854157E-2</v>
      </c>
      <c r="G32">
        <v>21</v>
      </c>
      <c r="H32" s="54" t="n">
        <v>11678.0</v>
      </c>
      <c r="I32" s="54" t="n">
        <v>751.0</v>
      </c>
      <c r="J32" s="54" t="n">
        <v>218.0</v>
      </c>
      <c r="K32" s="44">
        <f si="2" t="shared"/>
        <v>12787</v>
      </c>
      <c r="L32" s="63">
        <f si="3" t="shared"/>
        <v>1.5255764011095536E-2</v>
      </c>
      <c r="W32" s="7"/>
    </row>
    <row r="33" spans="1:23" x14ac:dyDescent="0.45">
      <c r="A33">
        <v>22</v>
      </c>
      <c r="B33" s="44" t="n">
        <v>9313.739553870255</v>
      </c>
      <c r="C33" s="44" t="n">
        <v>733.238305042996</v>
      </c>
      <c r="D33" s="44" t="n">
        <v>0.0</v>
      </c>
      <c r="E33" s="44">
        <f si="0" t="shared"/>
        <v>10046.977858913251</v>
      </c>
      <c r="F33" s="63">
        <f si="1" t="shared"/>
        <v>1.2759031003830811E-2</v>
      </c>
      <c r="G33">
        <v>22</v>
      </c>
      <c r="H33" s="54" t="n">
        <v>9612.0</v>
      </c>
      <c r="I33" s="54" t="n">
        <v>738.0</v>
      </c>
      <c r="J33" s="54" t="n">
        <v>168.0</v>
      </c>
      <c r="K33" s="44">
        <f si="2" t="shared"/>
        <v>11154</v>
      </c>
      <c r="L33" s="63">
        <f si="3" t="shared"/>
        <v>1.3307483520744474E-2</v>
      </c>
      <c r="W33" s="7"/>
    </row>
    <row r="34" spans="1:23" x14ac:dyDescent="0.45">
      <c r="A34">
        <v>23</v>
      </c>
      <c r="B34" s="44" t="n">
        <v>11341.359890547852</v>
      </c>
      <c r="C34" s="44" t="n">
        <v>744.295149906177</v>
      </c>
      <c r="D34" s="44" t="n">
        <v>52.6330389042402</v>
      </c>
      <c r="E34" s="44">
        <f si="0" t="shared"/>
        <v>12138.288079358268</v>
      </c>
      <c r="F34" s="63">
        <f si="1" t="shared"/>
        <v>1.5414863664755222E-2</v>
      </c>
      <c r="G34">
        <v>23</v>
      </c>
      <c r="H34" s="54" t="n">
        <v>8585.0</v>
      </c>
      <c r="I34" s="54" t="n">
        <v>591.0</v>
      </c>
      <c r="J34" s="54" t="n">
        <v>163.0</v>
      </c>
      <c r="K34" s="44">
        <f si="2" t="shared"/>
        <v>9665</v>
      </c>
      <c r="L34" s="63">
        <f si="3" t="shared"/>
        <v>1.1531004861753213E-2</v>
      </c>
      <c r="W34" s="7"/>
    </row>
    <row r="35" spans="1:23" x14ac:dyDescent="0.45">
      <c r="A35">
        <v>24</v>
      </c>
      <c r="B35" s="44" t="n">
        <v>10763.132705664155</v>
      </c>
      <c r="C35" s="44" t="n">
        <v>420.8103934036205</v>
      </c>
      <c r="D35" s="44" t="n">
        <v>286.753179450416</v>
      </c>
      <c r="E35" s="44">
        <f si="0" t="shared"/>
        <v>11470.696278518191</v>
      </c>
      <c r="F35" s="63">
        <f si="1" t="shared"/>
        <v>1.4567063997588132E-2</v>
      </c>
      <c r="G35">
        <v>24</v>
      </c>
      <c r="H35" s="54" t="n">
        <v>7856.0</v>
      </c>
      <c r="I35" s="54" t="n">
        <v>505.0</v>
      </c>
      <c r="J35" s="54" t="n">
        <v>156.0</v>
      </c>
      <c r="K35" s="44">
        <f si="2" t="shared"/>
        <v>8738</v>
      </c>
      <c r="L35" s="63">
        <f si="3" t="shared"/>
        <v>1.0425030572374504E-2</v>
      </c>
      <c r="W35" s="7"/>
    </row>
    <row r="36" spans="1:23" x14ac:dyDescent="0.45">
      <c r="A36">
        <v>25</v>
      </c>
      <c r="B36" s="44" t="n">
        <v>8227.25674382115</v>
      </c>
      <c r="C36" s="44" t="n">
        <v>122.7116250145682</v>
      </c>
      <c r="D36" s="44" t="n">
        <v>0.0</v>
      </c>
      <c r="E36" s="44">
        <f si="0" t="shared"/>
        <v>8349.9683688357181</v>
      </c>
      <c r="F36" s="63">
        <f si="1" t="shared"/>
        <v>1.0603935511260829E-2</v>
      </c>
      <c r="G36">
        <v>25</v>
      </c>
      <c r="H36" s="54" t="n">
        <v>7303.0</v>
      </c>
      <c r="I36" s="54" t="n">
        <v>491.0</v>
      </c>
      <c r="J36" s="54" t="n">
        <v>134.0</v>
      </c>
      <c r="K36" s="44">
        <f si="2" t="shared"/>
        <v>8096</v>
      </c>
      <c r="L36" s="63">
        <f si="3" t="shared"/>
        <v>9.6590807408953976E-3</v>
      </c>
      <c r="W36" s="7"/>
    </row>
    <row r="37" spans="1:23" x14ac:dyDescent="0.45">
      <c r="A37">
        <v>26</v>
      </c>
      <c r="B37" s="44" t="n">
        <v>8152.608885046311</v>
      </c>
      <c r="C37" s="44" t="n">
        <v>1034.714794547033</v>
      </c>
      <c r="D37" s="44" t="n">
        <v>0.0</v>
      </c>
      <c r="E37" s="44">
        <f si="0" t="shared"/>
        <v>9187.3236795933444</v>
      </c>
      <c r="F37" s="63">
        <f si="1" t="shared"/>
        <v>1.1667324176111989E-2</v>
      </c>
      <c r="G37">
        <v>26</v>
      </c>
      <c r="H37" s="54" t="n">
        <v>6505.0</v>
      </c>
      <c r="I37" s="54" t="n">
        <v>465.0</v>
      </c>
      <c r="J37" s="54" t="n">
        <v>101.0</v>
      </c>
      <c r="K37" s="44">
        <f si="2" t="shared"/>
        <v>7219</v>
      </c>
      <c r="L37" s="63">
        <f si="3" t="shared"/>
        <v>8.6127598651832855E-3</v>
      </c>
      <c r="W37" s="7"/>
    </row>
    <row r="38" spans="1:23" x14ac:dyDescent="0.45">
      <c r="A38">
        <v>27</v>
      </c>
      <c r="B38" s="44" t="n">
        <v>6329.936218012032</v>
      </c>
      <c r="C38" s="44" t="n">
        <v>540.7907595393492</v>
      </c>
      <c r="D38" s="44" t="n">
        <v>0.0</v>
      </c>
      <c r="E38" s="44">
        <f si="0" t="shared"/>
        <v>6870.7269775513814</v>
      </c>
      <c r="F38" s="63">
        <f si="1" t="shared"/>
        <v>8.7253918299086547E-3</v>
      </c>
      <c r="G38">
        <v>27</v>
      </c>
      <c r="H38" s="54" t="n">
        <v>6075.0</v>
      </c>
      <c r="I38" s="54" t="n">
        <v>383.0</v>
      </c>
      <c r="J38" s="54" t="n">
        <v>94.0</v>
      </c>
      <c r="K38" s="44">
        <f si="2" t="shared"/>
        <v>6756</v>
      </c>
      <c r="L38" s="63">
        <f si="3" t="shared"/>
        <v>8.0603692546305956E-3</v>
      </c>
      <c r="W38" s="7"/>
    </row>
    <row r="39" spans="1:23" x14ac:dyDescent="0.45">
      <c r="A39">
        <v>28</v>
      </c>
      <c r="B39" s="44" t="n">
        <v>8035.588461278822</v>
      </c>
      <c r="C39" s="44" t="n">
        <v>87.6105459196404</v>
      </c>
      <c r="D39" s="44" t="n">
        <v>269.8840430310788</v>
      </c>
      <c r="E39" s="44">
        <f si="0" t="shared"/>
        <v>8393.0830502295412</v>
      </c>
      <c r="F39" s="63">
        <f si="1" t="shared"/>
        <v>1.0658688449343205E-2</v>
      </c>
      <c r="G39">
        <v>28</v>
      </c>
      <c r="H39" s="54" t="n">
        <v>5225.0</v>
      </c>
      <c r="I39" s="54" t="n">
        <v>352.0</v>
      </c>
      <c r="J39" s="54" t="n">
        <v>102.0</v>
      </c>
      <c r="K39" s="44">
        <f si="2" t="shared"/>
        <v>6061</v>
      </c>
      <c r="L39" s="63">
        <f si="3" t="shared"/>
        <v>7.2311868046648969E-3</v>
      </c>
      <c r="W39" s="7"/>
    </row>
    <row r="40" spans="1:23" x14ac:dyDescent="0.45">
      <c r="A40">
        <v>29</v>
      </c>
      <c r="B40" s="44" t="n">
        <v>7306.564789290453</v>
      </c>
      <c r="C40" s="44" t="n">
        <v>199.0765643886818</v>
      </c>
      <c r="D40" s="44" t="n">
        <v>0.0</v>
      </c>
      <c r="E40" s="44">
        <f si="0" t="shared"/>
        <v>7505.6413536791342</v>
      </c>
      <c r="F40" s="63">
        <f si="1" t="shared"/>
        <v>9.5316932195952195E-3</v>
      </c>
      <c r="G40">
        <v>29</v>
      </c>
      <c r="H40" s="54" t="n">
        <v>4729.0</v>
      </c>
      <c r="I40" s="54" t="n">
        <v>343.0</v>
      </c>
      <c r="J40" s="54" t="n">
        <v>80.0</v>
      </c>
      <c r="K40" s="44">
        <f si="2" t="shared"/>
        <v>5527</v>
      </c>
      <c r="L40" s="63">
        <f si="3" t="shared"/>
        <v>6.5940883467056404E-3</v>
      </c>
      <c r="W40" s="7"/>
    </row>
    <row r="41" spans="1:23" x14ac:dyDescent="0.45">
      <c r="A41">
        <v>30</v>
      </c>
      <c r="B41" s="44" t="n">
        <v>5889.277535111618</v>
      </c>
      <c r="C41" s="44" t="n">
        <v>416.742645210201</v>
      </c>
      <c r="D41" s="44" t="n">
        <v>50.0070357253145</v>
      </c>
      <c r="E41" s="44">
        <f si="0" t="shared"/>
        <v>6356.0272160471332</v>
      </c>
      <c r="F41" s="63">
        <f si="1" t="shared"/>
        <v>8.0717554521922454E-3</v>
      </c>
      <c r="G41">
        <v>30</v>
      </c>
      <c r="H41" s="54" t="n">
        <v>4327.0</v>
      </c>
      <c r="I41" s="54" t="n">
        <v>294.0</v>
      </c>
      <c r="J41" s="54" t="n">
        <v>73.0</v>
      </c>
      <c r="K41" s="44">
        <f si="2" t="shared"/>
        <v>4993</v>
      </c>
      <c r="L41" s="63">
        <f si="3" t="shared"/>
        <v>5.9569898887463831E-3</v>
      </c>
      <c r="W41" s="7"/>
    </row>
    <row r="42" spans="1:23" x14ac:dyDescent="0.45">
      <c r="A42">
        <v>31</v>
      </c>
      <c r="B42" s="44" t="n">
        <v>7302.911493567996</v>
      </c>
      <c r="C42" s="44" t="n">
        <v>166.9646056904154</v>
      </c>
      <c r="D42" s="44" t="n">
        <v>0.0</v>
      </c>
      <c r="E42" s="44">
        <f si="0" t="shared"/>
        <v>7469.8760992584121</v>
      </c>
      <c r="F42" s="63">
        <f si="1" t="shared"/>
        <v>9.4862735922782299E-3</v>
      </c>
      <c r="G42">
        <v>31</v>
      </c>
      <c r="H42" s="54" t="n">
        <v>3776.0</v>
      </c>
      <c r="I42" s="54" t="n">
        <v>257.0</v>
      </c>
      <c r="J42" s="54" t="n">
        <v>70.0</v>
      </c>
      <c r="K42" s="44">
        <f si="2" t="shared"/>
        <v>4323</v>
      </c>
      <c r="L42" s="63">
        <f si="3" t="shared"/>
        <v>5.157634145613983E-3</v>
      </c>
      <c r="W42" s="7"/>
    </row>
    <row r="43" spans="1:23" x14ac:dyDescent="0.45">
      <c r="A43">
        <v>32</v>
      </c>
      <c r="B43" s="44" t="n">
        <v>3371.9065778424815</v>
      </c>
      <c r="C43" s="44" t="n">
        <v>216.6520375197057</v>
      </c>
      <c r="D43" s="44" t="n">
        <v>0.0</v>
      </c>
      <c r="E43" s="44">
        <f si="0" t="shared"/>
        <v>3588.5586153621871</v>
      </c>
      <c r="F43" s="63">
        <f si="1" t="shared"/>
        <v>4.5572441061816861E-3</v>
      </c>
      <c r="G43">
        <v>32</v>
      </c>
      <c r="H43" s="54" t="n">
        <v>3127.0</v>
      </c>
      <c r="I43" s="54" t="n">
        <v>223.0</v>
      </c>
      <c r="J43" s="54" t="n">
        <v>72.0</v>
      </c>
      <c r="K43" s="44">
        <f si="2" t="shared"/>
        <v>3708</v>
      </c>
      <c r="L43" s="63">
        <f si="3" t="shared"/>
        <v>4.4238971575148384E-3</v>
      </c>
      <c r="W43" s="7"/>
    </row>
    <row r="44" spans="1:23" x14ac:dyDescent="0.45">
      <c r="A44">
        <v>33</v>
      </c>
      <c r="B44" s="44" t="n">
        <v>2518.769069555765</v>
      </c>
      <c r="C44" s="44" t="n">
        <v>60.902715570932905</v>
      </c>
      <c r="D44" s="44" t="n">
        <v>1366.07850770754</v>
      </c>
      <c r="E44" s="44">
        <f si="0" t="shared"/>
        <v>3945.7502928342374</v>
      </c>
      <c r="F44" s="63">
        <f si="1" t="shared"/>
        <v>5.0108551075369922E-3</v>
      </c>
      <c r="G44">
        <v>33</v>
      </c>
      <c r="H44" s="54" t="n">
        <v>2562.0</v>
      </c>
      <c r="I44" s="54" t="n">
        <v>182.0</v>
      </c>
      <c r="J44" s="54" t="n">
        <v>41.0</v>
      </c>
      <c r="K44" s="44">
        <f si="2" t="shared"/>
        <v>3041</v>
      </c>
      <c r="L44" s="63">
        <f si="3" t="shared"/>
        <v>3.628120619202434E-3</v>
      </c>
      <c r="W44" s="7"/>
    </row>
    <row r="45" spans="1:23" x14ac:dyDescent="0.45">
      <c r="A45">
        <v>34</v>
      </c>
      <c r="B45" s="44" t="n">
        <v>3010.688622992409</v>
      </c>
      <c r="C45" s="44" t="n">
        <v>269.9323130335393</v>
      </c>
      <c r="D45" s="44" t="n">
        <v>27.4592533721871</v>
      </c>
      <c r="E45" s="44">
        <f si="0" t="shared"/>
        <v>3308.0801893981352</v>
      </c>
      <c r="F45" s="63">
        <f si="1" t="shared"/>
        <v>4.2010541172084158E-3</v>
      </c>
      <c r="G45">
        <v>34</v>
      </c>
      <c r="H45" s="54" t="n">
        <v>2095.0</v>
      </c>
      <c r="I45" s="54" t="n">
        <v>159.0</v>
      </c>
      <c r="J45" s="54" t="n">
        <v>42.0</v>
      </c>
      <c r="K45" s="44">
        <f si="2" t="shared"/>
        <v>2411</v>
      </c>
      <c r="L45" s="63">
        <f si="3" t="shared"/>
        <v>2.876487607003311E-3</v>
      </c>
      <c r="W45" s="7"/>
    </row>
    <row r="46" spans="1:23" x14ac:dyDescent="0.45">
      <c r="A46">
        <v>35</v>
      </c>
      <c r="B46" s="44" t="n">
        <v>2071.7451665677313</v>
      </c>
      <c r="C46" s="44" t="n">
        <v>151.695036106959</v>
      </c>
      <c r="D46" s="44" t="n">
        <v>0.0</v>
      </c>
      <c r="E46" s="44">
        <f si="0" t="shared"/>
        <v>2223.4402026746902</v>
      </c>
      <c r="F46" s="63">
        <f si="1" t="shared"/>
        <v>2.8236294415561508E-3</v>
      </c>
      <c r="G46">
        <v>35</v>
      </c>
      <c r="H46" s="54" t="n">
        <v>1698.0</v>
      </c>
      <c r="I46" s="54" t="n">
        <v>145.0</v>
      </c>
      <c r="J46" s="54" t="n">
        <v>37.0</v>
      </c>
      <c r="K46" s="44">
        <f si="2" t="shared"/>
        <v>1953</v>
      </c>
      <c r="L46" s="63">
        <f si="3" t="shared"/>
        <v>2.3300623378172815E-3</v>
      </c>
      <c r="W46" s="7"/>
    </row>
    <row r="47" spans="1:23" x14ac:dyDescent="0.45">
      <c r="A47">
        <v>36</v>
      </c>
      <c r="B47" s="44" t="n">
        <v>3886.908209027414</v>
      </c>
      <c r="C47" s="44" t="n">
        <v>396.9508290170023</v>
      </c>
      <c r="D47" s="44" t="n">
        <v>0.0</v>
      </c>
      <c r="E47" s="44">
        <f si="0" t="shared"/>
        <v>4283.8590380444166</v>
      </c>
      <c r="F47" s="63">
        <f si="1" t="shared"/>
        <v>5.4402319831887945E-3</v>
      </c>
      <c r="G47">
        <v>36</v>
      </c>
      <c r="H47" s="54" t="n">
        <v>1294.0</v>
      </c>
      <c r="I47" s="54" t="n">
        <v>118.0</v>
      </c>
      <c r="J47" s="54" t="n">
        <v>24.0</v>
      </c>
      <c r="K47" s="44">
        <f si="2" t="shared"/>
        <v>1561</v>
      </c>
      <c r="L47" s="63">
        <f si="3" t="shared"/>
        <v>1.8623795746711606E-3</v>
      </c>
      <c r="W47" s="7"/>
    </row>
    <row r="48" spans="1:23" x14ac:dyDescent="0.45">
      <c r="A48">
        <v>37</v>
      </c>
      <c r="B48" s="44" t="n">
        <v>1100.0521372696498</v>
      </c>
      <c r="C48" s="44" t="n">
        <v>157.736054702578</v>
      </c>
      <c r="D48" s="44" t="n">
        <v>0.0</v>
      </c>
      <c r="E48" s="44">
        <f si="0" t="shared"/>
        <v>1257.7881919722279</v>
      </c>
      <c r="F48" s="63">
        <f si="1" t="shared"/>
        <v>1.597312023872802E-3</v>
      </c>
      <c r="G48">
        <v>37</v>
      </c>
      <c r="H48" s="54" t="n">
        <v>1117.0</v>
      </c>
      <c r="I48" s="54" t="n">
        <v>92.0</v>
      </c>
      <c r="J48" s="54" t="n">
        <v>24.0</v>
      </c>
      <c r="K48" s="44">
        <f si="2" t="shared"/>
        <v>1192</v>
      </c>
      <c r="L48" s="63">
        <f si="3" t="shared"/>
        <v>1.4221373818116743E-3</v>
      </c>
      <c r="W48" s="7"/>
    </row>
    <row r="49" spans="1:23" x14ac:dyDescent="0.45">
      <c r="A49">
        <v>38</v>
      </c>
      <c r="B49" s="44" t="n">
        <v>1537.3823445405865</v>
      </c>
      <c r="C49" s="44" t="n">
        <v>0.0</v>
      </c>
      <c r="D49" s="44" t="n">
        <v>36.3774810046632</v>
      </c>
      <c r="E49" s="44">
        <f si="0" t="shared"/>
        <v>1573.7598255452497</v>
      </c>
      <c r="F49" s="63">
        <f si="1" t="shared"/>
        <v>1.9985761577946941E-3</v>
      </c>
      <c r="G49">
        <v>38</v>
      </c>
      <c r="H49" s="54" t="n">
        <v>815.0</v>
      </c>
      <c r="I49" s="54" t="n">
        <v>96.0</v>
      </c>
      <c r="J49" s="54" t="n">
        <v>13.0</v>
      </c>
      <c r="K49" s="44">
        <f si="2" t="shared"/>
        <v>1031</v>
      </c>
      <c r="L49" s="63">
        <f si="3" t="shared"/>
        <v>1.2300533898052315E-3</v>
      </c>
      <c r="W49" s="7"/>
    </row>
    <row r="50" spans="1:23" x14ac:dyDescent="0.45">
      <c r="A50">
        <v>39</v>
      </c>
      <c r="B50" s="44" t="n">
        <v>1571.988328228562</v>
      </c>
      <c r="C50" s="44" t="n">
        <v>0.0</v>
      </c>
      <c r="D50" s="44" t="n">
        <v>0.0</v>
      </c>
      <c r="E50" s="44">
        <f si="0" t="shared"/>
        <v>1571.9883282285621</v>
      </c>
      <c r="F50" s="63">
        <f si="1" t="shared"/>
        <v>1.9963264674396223E-3</v>
      </c>
      <c r="G50">
        <v>39</v>
      </c>
      <c r="H50" s="54" t="n">
        <v>726.0</v>
      </c>
      <c r="I50" s="54" t="n">
        <v>64.0</v>
      </c>
      <c r="J50" s="54" t="n">
        <v>13.0</v>
      </c>
      <c r="K50" s="44">
        <f si="2" t="shared"/>
        <v>854</v>
      </c>
      <c r="L50" s="63">
        <f si="3" t="shared"/>
        <v>1.0188803054254779E-3</v>
      </c>
      <c r="W50" s="7"/>
    </row>
    <row r="51" spans="1:23" x14ac:dyDescent="0.45">
      <c r="A51">
        <v>40</v>
      </c>
      <c r="B51" s="44" t="n">
        <v>2105.923703553745</v>
      </c>
      <c r="C51" s="44" t="n">
        <v>0.0</v>
      </c>
      <c r="D51" s="44" t="n">
        <v>0.0</v>
      </c>
      <c r="E51" s="44">
        <f si="0" t="shared"/>
        <v>2105.9237035537449</v>
      </c>
      <c r="F51" s="63">
        <f si="1" t="shared"/>
        <v>2.6743908668522567E-3</v>
      </c>
      <c r="G51">
        <v>40</v>
      </c>
      <c r="H51" s="54" t="n">
        <v>532.0</v>
      </c>
      <c r="I51" s="54" t="n">
        <v>70.0</v>
      </c>
      <c r="J51" s="54" t="n">
        <v>17.0</v>
      </c>
      <c r="K51" s="44">
        <f si="2" t="shared"/>
        <v>748</v>
      </c>
      <c r="L51" s="63">
        <f si="3" t="shared"/>
        <v>8.9241506845229215E-4</v>
      </c>
      <c r="W51" s="7"/>
    </row>
    <row r="52" spans="1:23" x14ac:dyDescent="0.45">
      <c r="A52">
        <v>41</v>
      </c>
      <c r="B52" s="44" t="n">
        <v>1484.5701960047286</v>
      </c>
      <c r="C52" s="44" t="n">
        <v>0.0</v>
      </c>
      <c r="D52" s="44" t="n">
        <v>0.0</v>
      </c>
      <c r="E52" s="44">
        <f si="0" t="shared"/>
        <v>1484.5701960047286</v>
      </c>
      <c r="F52" s="63">
        <f si="1" t="shared"/>
        <v>1.88531092873697E-3</v>
      </c>
      <c r="G52">
        <v>41</v>
      </c>
      <c r="H52" s="54" t="n">
        <v>490.0</v>
      </c>
      <c r="I52" s="54" t="n">
        <v>49.0</v>
      </c>
      <c r="J52" s="54" t="n">
        <v>8.0</v>
      </c>
      <c r="K52" s="44">
        <f si="2" t="shared"/>
        <v>570</v>
      </c>
      <c r="L52" s="63">
        <f si="3" t="shared"/>
        <v>6.8004891579920659E-4</v>
      </c>
      <c r="W52" s="7"/>
    </row>
    <row r="53" spans="1:23" x14ac:dyDescent="0.45">
      <c r="A53">
        <v>42</v>
      </c>
      <c r="B53" s="44" t="n">
        <v>438.1155560385315</v>
      </c>
      <c r="C53" s="44" t="n">
        <v>32.1718631552981</v>
      </c>
      <c r="D53" s="44" t="n">
        <v>0.0</v>
      </c>
      <c r="E53" s="44">
        <f si="0" t="shared"/>
        <v>470.28741919382958</v>
      </c>
      <c r="F53" s="63">
        <f si="1" t="shared"/>
        <v>5.9723549175360615E-4</v>
      </c>
      <c r="G53">
        <v>42</v>
      </c>
      <c r="H53" s="54" t="n">
        <v>375.0</v>
      </c>
      <c r="I53" s="54" t="n">
        <v>39.0</v>
      </c>
      <c r="J53" s="54" t="n">
        <v>6.0</v>
      </c>
      <c r="K53" s="44">
        <f si="2" t="shared"/>
        <v>461</v>
      </c>
      <c r="L53" s="63">
        <f si="3" t="shared"/>
        <v>5.5000447400602496E-4</v>
      </c>
      <c r="W53" s="7"/>
    </row>
    <row r="54" spans="1:23" x14ac:dyDescent="0.45">
      <c r="A54">
        <v>43</v>
      </c>
      <c r="B54" s="44" t="n">
        <v>2304.4306989977304</v>
      </c>
      <c r="C54" s="44" t="n">
        <v>90.5276120010696</v>
      </c>
      <c r="D54" s="44" t="n">
        <v>0.0</v>
      </c>
      <c r="E54" s="44">
        <f si="0" t="shared"/>
        <v>2394.9583109987998</v>
      </c>
      <c r="F54" s="63">
        <f si="1" t="shared"/>
        <v>3.0414466690405597E-3</v>
      </c>
      <c r="G54">
        <v>43</v>
      </c>
      <c r="H54" s="54" t="n">
        <v>325.0</v>
      </c>
      <c r="I54" s="54" t="n">
        <v>35.0</v>
      </c>
      <c r="J54" s="54" t="n">
        <v>11.0</v>
      </c>
      <c r="K54" s="44">
        <f si="2" t="shared"/>
        <v>391</v>
      </c>
      <c r="L54" s="63">
        <f si="3" t="shared"/>
        <v>4.6648969487278908E-4</v>
      </c>
      <c r="W54" s="7"/>
    </row>
    <row r="55" spans="1:23" x14ac:dyDescent="0.45">
      <c r="A55">
        <v>44</v>
      </c>
      <c r="B55" s="44" t="n">
        <v>808.370809218694</v>
      </c>
      <c r="C55" s="44" t="n">
        <v>0.0</v>
      </c>
      <c r="D55" s="44" t="n">
        <v>0.0</v>
      </c>
      <c r="E55" s="44">
        <f si="0" t="shared"/>
        <v>808.37080921869403</v>
      </c>
      <c r="F55" s="63">
        <f si="1" t="shared"/>
        <v>1.0265801679121798E-3</v>
      </c>
      <c r="G55">
        <v>44</v>
      </c>
      <c r="H55" s="54" t="n">
        <v>269.0</v>
      </c>
      <c r="I55" s="54" t="n">
        <v>34.0</v>
      </c>
      <c r="J55" s="54" t="n">
        <v>8.0</v>
      </c>
      <c r="K55" s="44">
        <f si="2" t="shared"/>
        <v>320</v>
      </c>
      <c r="L55" s="63">
        <f si="3" t="shared"/>
        <v>3.8178184746622126E-4</v>
      </c>
      <c r="W55" s="7"/>
    </row>
    <row r="56" spans="1:23" x14ac:dyDescent="0.45">
      <c r="A56">
        <v>45</v>
      </c>
      <c r="B56" s="44" t="n">
        <v>1179.5375972129918</v>
      </c>
      <c r="C56" s="44" t="n">
        <v>0.0</v>
      </c>
      <c r="D56" s="44" t="n">
        <v>0.0</v>
      </c>
      <c r="E56" s="44">
        <f si="0" t="shared"/>
        <v>1179.5375972129918</v>
      </c>
      <c r="F56" s="63">
        <f si="1" t="shared"/>
        <v>1.4979386820956472E-3</v>
      </c>
      <c r="G56">
        <v>45</v>
      </c>
      <c r="H56" s="54" t="n">
        <v>205.0</v>
      </c>
      <c r="I56" s="54" t="n">
        <v>25.0</v>
      </c>
      <c r="J56" s="54" t="n">
        <v>4.0</v>
      </c>
      <c r="K56" s="44">
        <f si="2" t="shared"/>
        <v>276</v>
      </c>
      <c r="L56" s="63">
        <f si="3" t="shared"/>
        <v>3.2928684343961582E-4</v>
      </c>
      <c r="W56" s="7"/>
    </row>
    <row r="57" spans="1:23" x14ac:dyDescent="0.45">
      <c r="A57">
        <v>46</v>
      </c>
      <c r="B57" s="44" t="n">
        <v>1433.9324829640284</v>
      </c>
      <c r="C57" s="44" t="n">
        <v>0.0</v>
      </c>
      <c r="D57" s="44" t="n">
        <v>0.0</v>
      </c>
      <c r="E57" s="44">
        <f si="0" t="shared"/>
        <v>1433.9324829640284</v>
      </c>
      <c r="F57" s="63">
        <f si="1" t="shared"/>
        <v>1.8210042128546215E-3</v>
      </c>
      <c r="G57">
        <v>46</v>
      </c>
      <c r="H57" s="54" t="n">
        <v>173.0</v>
      </c>
      <c r="I57" s="54" t="n">
        <v>23.0</v>
      </c>
      <c r="J57" s="54" t="n">
        <v>6.0</v>
      </c>
      <c r="K57" s="44">
        <f si="2" t="shared"/>
        <v>212</v>
      </c>
      <c r="L57" s="63">
        <f si="3" t="shared"/>
        <v>2.5293047394637158E-4</v>
      </c>
      <c r="W57" s="7"/>
    </row>
    <row r="58" spans="1:23" x14ac:dyDescent="0.45">
      <c r="A58">
        <v>47</v>
      </c>
      <c r="B58" s="44" t="n">
        <v>300.549189277758</v>
      </c>
      <c r="C58" s="44" t="n">
        <v>0.0</v>
      </c>
      <c r="D58" s="44" t="n">
        <v>0.0</v>
      </c>
      <c r="E58" s="44">
        <f si="0" t="shared"/>
        <v>300.54918927775799</v>
      </c>
      <c r="F58" s="63">
        <f si="1" t="shared"/>
        <v>3.8167859808401307E-4</v>
      </c>
      <c r="G58">
        <v>47</v>
      </c>
      <c r="H58" s="54" t="n">
        <v>150.0</v>
      </c>
      <c r="I58" s="54" t="n">
        <v>17.0</v>
      </c>
      <c r="J58" s="54" t="n">
        <v>1.0</v>
      </c>
      <c r="K58" s="44">
        <f si="2" t="shared"/>
        <v>172</v>
      </c>
      <c r="L58" s="63">
        <f si="3" t="shared"/>
        <v>2.0520774301309392E-4</v>
      </c>
      <c r="W58" s="7"/>
    </row>
    <row r="59" spans="1:23" x14ac:dyDescent="0.45">
      <c r="A59">
        <v>48</v>
      </c>
      <c r="B59" s="44" t="n">
        <v>672.5573512197584</v>
      </c>
      <c r="C59" s="44" t="n">
        <v>0.0</v>
      </c>
      <c r="D59" s="44" t="n">
        <v>0.0</v>
      </c>
      <c r="E59" s="44">
        <f si="0" t="shared"/>
        <v>672.5573512197584</v>
      </c>
      <c r="F59" s="63">
        <f si="1" t="shared"/>
        <v>8.5410560434891051E-4</v>
      </c>
      <c r="G59">
        <v>48</v>
      </c>
      <c r="H59" s="54" t="n">
        <v>97.0</v>
      </c>
      <c r="I59" s="54" t="n">
        <v>16.0</v>
      </c>
      <c r="J59" s="54" t="n">
        <v>1.0</v>
      </c>
      <c r="K59" s="44">
        <f si="2" t="shared"/>
        <v>160</v>
      </c>
      <c r="L59" s="63">
        <f si="3" t="shared"/>
        <v>1.9089092373311063E-4</v>
      </c>
      <c r="W59" s="7"/>
    </row>
    <row r="60" spans="1:23" x14ac:dyDescent="0.45">
      <c r="A60">
        <v>49</v>
      </c>
      <c r="B60" s="44" t="n">
        <v>345.9324231324911</v>
      </c>
      <c r="C60" s="44" t="n">
        <v>0.0</v>
      </c>
      <c r="D60" s="44" t="n">
        <v>0.0</v>
      </c>
      <c r="E60" s="44">
        <f si="0" t="shared"/>
        <v>345.93242313249112</v>
      </c>
      <c r="F60" s="63">
        <f si="1" t="shared"/>
        <v>4.3931245534318273E-4</v>
      </c>
      <c r="G60">
        <v>49</v>
      </c>
      <c r="H60" s="54" t="n">
        <v>96.0</v>
      </c>
      <c r="I60" s="54" t="n">
        <v>9.0</v>
      </c>
      <c r="J60" s="54" t="n">
        <v>3.0</v>
      </c>
      <c r="K60" s="44">
        <f si="2" t="shared"/>
        <v>117</v>
      </c>
      <c r="L60" s="63">
        <f si="3" t="shared"/>
        <v>1.3958898797983713E-4</v>
      </c>
      <c r="W60" s="7"/>
    </row>
    <row r="61" spans="1:23" x14ac:dyDescent="0.45">
      <c r="A61">
        <v>50</v>
      </c>
      <c r="B61" s="44" t="n">
        <v>507.876276833562</v>
      </c>
      <c r="C61" s="44" t="n">
        <v>0.0</v>
      </c>
      <c r="D61" s="44" t="n">
        <v>0.0</v>
      </c>
      <c r="E61" s="44">
        <f si="0" t="shared"/>
        <v>507.87627683356197</v>
      </c>
      <c r="F61" s="63">
        <f si="1" t="shared"/>
        <v>6.449709806497472E-4</v>
      </c>
      <c r="G61">
        <v>50</v>
      </c>
      <c r="H61" s="54" t="n">
        <v>87.0</v>
      </c>
      <c r="I61" s="54" t="n">
        <v>11.0</v>
      </c>
      <c r="J61" s="54" t="n">
        <v>3.0</v>
      </c>
      <c r="K61" s="44">
        <f si="2" t="shared"/>
        <v>103</v>
      </c>
      <c r="L61" s="63">
        <f si="3" t="shared"/>
        <v>1.2288603215318997E-4</v>
      </c>
      <c r="W61" s="7"/>
    </row>
    <row r="62" spans="1:23" x14ac:dyDescent="0.45">
      <c r="A62">
        <v>51</v>
      </c>
      <c r="B62" s="44" t="n">
        <v>1069.795081964544</v>
      </c>
      <c r="C62" s="44" t="n">
        <v>49.3594307946681</v>
      </c>
      <c r="D62" s="44" t="n">
        <v>0.0</v>
      </c>
      <c r="E62" s="44">
        <f si="0" t="shared"/>
        <v>1119.1545127592119</v>
      </c>
      <c r="F62" s="63">
        <f si="1" t="shared"/>
        <v>1.4212559564569895E-3</v>
      </c>
      <c r="G62">
        <v>51</v>
      </c>
      <c r="H62" s="54" t="n">
        <v>59.0</v>
      </c>
      <c r="I62" s="54" t="n">
        <v>13.0</v>
      </c>
      <c r="J62" s="54" t="n">
        <v>1.0</v>
      </c>
      <c r="K62" s="44">
        <f si="2" t="shared"/>
        <v>82</v>
      </c>
      <c r="L62" s="63">
        <f si="3" t="shared"/>
        <v>9.7831598413219197E-5</v>
      </c>
      <c r="W62" s="7"/>
    </row>
    <row r="63" spans="1:23" x14ac:dyDescent="0.45">
      <c r="A63">
        <v>52</v>
      </c>
      <c r="B63" s="44" t="n">
        <v>1213.5442706182755</v>
      </c>
      <c r="C63" s="44" t="n">
        <v>0.0</v>
      </c>
      <c r="D63" s="44" t="n">
        <v>0.0</v>
      </c>
      <c r="E63" s="44">
        <f si="0" t="shared"/>
        <v>1213.5442706182755</v>
      </c>
      <c r="F63" s="63">
        <f si="1" t="shared"/>
        <v>1.541125021949102E-3</v>
      </c>
      <c r="G63">
        <v>52</v>
      </c>
      <c r="H63" s="54" t="n">
        <v>49.0</v>
      </c>
      <c r="I63" s="54" t="n">
        <v>6.0</v>
      </c>
      <c r="J63" s="54" t="n">
        <v>1.0</v>
      </c>
      <c r="K63" s="44">
        <f si="2" t="shared"/>
        <v>56</v>
      </c>
      <c r="L63" s="63">
        <f si="3" t="shared"/>
        <v>6.6811823306588724E-5</v>
      </c>
      <c r="W63" s="7"/>
    </row>
    <row r="64" spans="1:23" x14ac:dyDescent="0.45">
      <c r="A64">
        <v>53</v>
      </c>
      <c r="B64" s="44" t="n">
        <v>199.2558247392176</v>
      </c>
      <c r="C64" s="44" t="n">
        <v>0.0</v>
      </c>
      <c r="D64" s="44" t="n">
        <v>0.0</v>
      </c>
      <c r="E64" s="44">
        <f si="0" t="shared"/>
        <v>199.25582473921759</v>
      </c>
      <c r="F64" s="63">
        <f si="1" t="shared"/>
        <v>2.5304238560515244E-4</v>
      </c>
      <c r="G64">
        <v>53</v>
      </c>
      <c r="H64" s="54" t="n">
        <v>20.0</v>
      </c>
      <c r="I64" s="54" t="n">
        <v>4.0</v>
      </c>
      <c r="J64" s="54" t="n">
        <v>2.0</v>
      </c>
      <c r="K64" s="44">
        <f si="2" t="shared"/>
        <v>56</v>
      </c>
      <c r="L64" s="63">
        <f si="3" t="shared"/>
        <v>6.6811823306588724E-5</v>
      </c>
      <c r="W64" s="7"/>
    </row>
    <row r="65" spans="1:23" x14ac:dyDescent="0.45">
      <c r="A65">
        <v>54</v>
      </c>
      <c r="B65" s="44" t="n">
        <v>0.0</v>
      </c>
      <c r="C65" s="44" t="n">
        <v>0.0</v>
      </c>
      <c r="D65" s="44" t="n">
        <v>0.0</v>
      </c>
      <c r="E65" s="44">
        <f si="0" t="shared"/>
        <v>0</v>
      </c>
      <c r="F65" s="63">
        <f si="1" t="shared"/>
        <v>0</v>
      </c>
      <c r="G65">
        <v>54</v>
      </c>
      <c r="H65" s="54" t="n">
        <v>33.0</v>
      </c>
      <c r="I65" s="54" t="n">
        <v>6.0</v>
      </c>
      <c r="J65" s="54" t="n">
        <v>1.0</v>
      </c>
      <c r="K65" s="44">
        <f si="2" t="shared"/>
        <v>52</v>
      </c>
      <c r="L65" s="63">
        <f si="3" t="shared"/>
        <v>6.2039550213260959E-5</v>
      </c>
      <c r="W65" s="7"/>
    </row>
    <row r="66" spans="1:23" x14ac:dyDescent="0.45">
      <c r="A66">
        <v>55</v>
      </c>
      <c r="B66" s="44" t="n">
        <v>516.577443373108</v>
      </c>
      <c r="C66" s="44" t="n">
        <v>0.0</v>
      </c>
      <c r="D66" s="44" t="n">
        <v>0.0</v>
      </c>
      <c r="E66" s="44">
        <f si="0" t="shared"/>
        <v>516.57744337310805</v>
      </c>
      <c r="F66" s="63">
        <f si="1" t="shared"/>
        <v>6.560209157851246E-4</v>
      </c>
      <c r="G66">
        <v>55</v>
      </c>
      <c r="H66" s="54" t="n">
        <v>33.0</v>
      </c>
      <c r="I66" s="54" t="n">
        <v>5.0</v>
      </c>
      <c r="J66" s="54" t="n">
        <v>0.0</v>
      </c>
      <c r="K66" s="44">
        <f si="2" t="shared"/>
        <v>31</v>
      </c>
      <c r="L66" s="63">
        <f si="3" t="shared"/>
        <v>3.6985116473290186E-5</v>
      </c>
      <c r="W66" s="7"/>
    </row>
    <row r="67" spans="1:23" x14ac:dyDescent="0.45">
      <c r="A67">
        <v>56</v>
      </c>
      <c r="B67" s="44" t="n">
        <v>296.59497116925</v>
      </c>
      <c r="C67" s="44" t="n">
        <v>0.0</v>
      </c>
      <c r="D67" s="44" t="n">
        <v>0.0</v>
      </c>
      <c r="E67" s="44">
        <f si="0" t="shared"/>
        <v>296.59497116925002</v>
      </c>
      <c r="F67" s="63">
        <f si="1" t="shared"/>
        <v>3.7665698938228753E-4</v>
      </c>
      <c r="G67">
        <v>56</v>
      </c>
      <c r="H67" s="54" t="n">
        <v>20.0</v>
      </c>
      <c r="I67" s="54" t="n">
        <v>2.0</v>
      </c>
      <c r="J67" s="54" t="n">
        <v>0.0</v>
      </c>
      <c r="K67" s="44">
        <f si="2" t="shared"/>
        <v>24</v>
      </c>
      <c r="L67" s="63">
        <f si="3" t="shared"/>
        <v>2.8633638559966594E-5</v>
      </c>
      <c r="W67" s="7"/>
    </row>
    <row r="68" spans="1:23" x14ac:dyDescent="0.45">
      <c r="A68">
        <v>57</v>
      </c>
      <c r="B68" s="44" t="n">
        <v>0.0</v>
      </c>
      <c r="C68" s="44" t="n">
        <v>0.0</v>
      </c>
      <c r="D68" s="44" t="n">
        <v>0.0</v>
      </c>
      <c r="E68" s="44">
        <f si="0" t="shared"/>
        <v>0</v>
      </c>
      <c r="F68" s="63">
        <f si="1" t="shared"/>
        <v>0</v>
      </c>
      <c r="G68">
        <v>57</v>
      </c>
      <c r="H68" s="54" t="n">
        <v>13.0</v>
      </c>
      <c r="I68" s="54" t="n">
        <v>3.0</v>
      </c>
      <c r="J68" s="54" t="n">
        <v>1.0</v>
      </c>
      <c r="K68" s="44">
        <f si="2" t="shared"/>
        <v>18</v>
      </c>
      <c r="L68" s="63">
        <f si="3" t="shared"/>
        <v>2.1475228919974946E-5</v>
      </c>
      <c r="W68" s="7"/>
    </row>
    <row r="69" spans="1:23" x14ac:dyDescent="0.45">
      <c r="A69">
        <v>58</v>
      </c>
      <c r="B69" s="44" t="n">
        <v>0.0</v>
      </c>
      <c r="C69" s="44" t="n">
        <v>0.0</v>
      </c>
      <c r="D69" s="44" t="n">
        <v>0.0</v>
      </c>
      <c r="E69" s="44">
        <f si="0" t="shared"/>
        <v>0</v>
      </c>
      <c r="F69" s="63">
        <f si="1" t="shared"/>
        <v>0</v>
      </c>
      <c r="G69">
        <v>58</v>
      </c>
      <c r="H69" s="54" t="n">
        <v>19.0</v>
      </c>
      <c r="I69" s="54" t="n">
        <v>1.0</v>
      </c>
      <c r="J69" s="54" t="n">
        <v>3.0</v>
      </c>
      <c r="K69" s="44">
        <f si="2" t="shared"/>
        <v>29</v>
      </c>
      <c r="L69" s="63">
        <f si="3" t="shared"/>
        <v>3.4598979926626303E-5</v>
      </c>
      <c r="W69" s="7"/>
    </row>
    <row r="70" spans="1:23" x14ac:dyDescent="0.45">
      <c r="A70">
        <v>59</v>
      </c>
      <c r="B70" s="44" t="n">
        <v>0.0</v>
      </c>
      <c r="C70" s="44" t="n">
        <v>40.512360877359</v>
      </c>
      <c r="D70" s="44" t="n">
        <v>0.0</v>
      </c>
      <c r="E70" s="44">
        <f si="0" t="shared"/>
        <v>40.512360877359001</v>
      </c>
      <c r="F70" s="63">
        <f si="1" t="shared"/>
        <v>5.1448154433229449E-5</v>
      </c>
      <c r="G70">
        <v>59</v>
      </c>
      <c r="H70" s="54" t="n">
        <v>11.0</v>
      </c>
      <c r="I70" s="54" t="n">
        <v>2.0</v>
      </c>
      <c r="J70" s="54" t="n">
        <v>1.0</v>
      </c>
      <c r="K70" s="44">
        <f si="2" t="shared"/>
        <v>12</v>
      </c>
      <c r="L70" s="63">
        <f si="3" t="shared"/>
        <v>1.4316819279983297E-5</v>
      </c>
      <c r="W70" s="7"/>
    </row>
    <row r="71" spans="1:23" x14ac:dyDescent="0.45">
      <c r="A71">
        <v>60</v>
      </c>
      <c r="B71" s="44" t="n">
        <v>125.64751263977</v>
      </c>
      <c r="C71" s="44" t="n">
        <v>0.0</v>
      </c>
      <c r="D71" s="44" t="n">
        <v>0.0</v>
      </c>
      <c r="E71" s="44">
        <f si="0" t="shared"/>
        <v>125.64751263977</v>
      </c>
      <c r="F71" s="63">
        <f si="1" t="shared"/>
        <v>1.5956445130441003E-4</v>
      </c>
      <c r="G71">
        <v>60</v>
      </c>
      <c r="H71" s="54" t="n">
        <v>7.0</v>
      </c>
      <c r="I71" s="54" t="n">
        <v>2.0</v>
      </c>
      <c r="J71" s="54" t="n">
        <v>0.0</v>
      </c>
      <c r="K71" s="44">
        <f si="2" t="shared"/>
        <v>9</v>
      </c>
      <c r="L71" s="63">
        <f si="3" t="shared"/>
        <v>1.0737614459987473E-5</v>
      </c>
      <c r="W71" s="7"/>
    </row>
    <row r="72" spans="1:23" x14ac:dyDescent="0.45">
      <c r="A72">
        <v>61</v>
      </c>
      <c r="B72" s="44" t="n">
        <v>0.0</v>
      </c>
      <c r="C72" s="44" t="n">
        <v>0.0</v>
      </c>
      <c r="D72" s="44" t="n">
        <v>0.0</v>
      </c>
      <c r="E72" s="44">
        <f si="0" t="shared"/>
        <v>0</v>
      </c>
      <c r="F72" s="63">
        <f si="1" t="shared"/>
        <v>0</v>
      </c>
      <c r="G72">
        <v>61</v>
      </c>
      <c r="H72" s="54" t="n">
        <v>5.0</v>
      </c>
      <c r="I72" s="54" t="n">
        <v>2.0</v>
      </c>
      <c r="J72" s="54" t="n">
        <v>1.0</v>
      </c>
      <c r="K72" s="44">
        <f si="2" t="shared"/>
        <v>7</v>
      </c>
      <c r="L72" s="63">
        <f si="3" t="shared"/>
        <v>8.3514779133235905E-6</v>
      </c>
      <c r="W72" s="7"/>
    </row>
    <row r="73" spans="1:23" x14ac:dyDescent="0.45">
      <c r="A73">
        <v>62</v>
      </c>
      <c r="B73" s="44" t="n">
        <v>0.0</v>
      </c>
      <c r="C73" s="44" t="n">
        <v>0.0</v>
      </c>
      <c r="D73" s="44" t="n">
        <v>0.0</v>
      </c>
      <c r="E73" s="44">
        <f si="0" t="shared"/>
        <v>0</v>
      </c>
      <c r="F73" s="63">
        <f si="1" t="shared"/>
        <v>0</v>
      </c>
      <c r="G73">
        <v>62</v>
      </c>
      <c r="H73" s="54" t="n">
        <v>4.0</v>
      </c>
      <c r="I73" s="54" t="n">
        <v>1.0</v>
      </c>
      <c r="J73" s="54" t="n">
        <v>0.0</v>
      </c>
      <c r="K73" s="44">
        <f si="2" t="shared"/>
        <v>3</v>
      </c>
      <c r="L73" s="63">
        <f si="3" t="shared"/>
        <v>3.5792048199958242E-6</v>
      </c>
      <c r="W73" s="7"/>
    </row>
    <row r="74" spans="1:23" x14ac:dyDescent="0.45">
      <c r="A74">
        <v>63</v>
      </c>
      <c r="B74" s="44" t="n">
        <v>115.000259629041</v>
      </c>
      <c r="C74" s="44" t="n">
        <v>0.0</v>
      </c>
      <c r="D74" s="44" t="n">
        <v>0.0</v>
      </c>
      <c r="E74" s="44">
        <f si="0" t="shared"/>
        <v>115.000259629041</v>
      </c>
      <c r="F74" s="63">
        <f si="1" t="shared"/>
        <v>1.4604310855067805E-4</v>
      </c>
      <c r="G74">
        <v>63</v>
      </c>
      <c r="H74" s="54" t="n">
        <v>3.0</v>
      </c>
      <c r="I74" s="54" t="n">
        <v>0.0</v>
      </c>
      <c r="J74" s="54" t="n">
        <v>0.0</v>
      </c>
      <c r="K74" s="44">
        <f si="2" t="shared"/>
        <v>5</v>
      </c>
      <c r="L74" s="63">
        <f si="3" t="shared"/>
        <v>5.9653413666597072E-6</v>
      </c>
      <c r="W74" s="7"/>
    </row>
    <row r="75" spans="1:23" x14ac:dyDescent="0.45">
      <c r="A75">
        <v>64</v>
      </c>
      <c r="B75" s="44" t="n">
        <v>0.0</v>
      </c>
      <c r="C75" s="44" t="n">
        <v>0.0</v>
      </c>
      <c r="D75" s="44" t="n">
        <v>0.0</v>
      </c>
      <c r="E75" s="44">
        <f si="0" t="shared"/>
        <v>0</v>
      </c>
      <c r="F75" s="63">
        <f si="1" t="shared"/>
        <v>0</v>
      </c>
      <c r="G75">
        <v>64</v>
      </c>
      <c r="H75" s="54" t="n">
        <v>0.0</v>
      </c>
      <c r="I75" s="54" t="n">
        <v>2.0</v>
      </c>
      <c r="J75" s="54" t="n">
        <v>1.0</v>
      </c>
      <c r="K75" s="44">
        <f si="2" t="shared"/>
        <v>5</v>
      </c>
      <c r="L75" s="63">
        <f si="3" t="shared"/>
        <v>5.9653413666597072E-6</v>
      </c>
      <c r="W75" s="7"/>
    </row>
    <row r="76" spans="1:23" x14ac:dyDescent="0.45">
      <c r="A76">
        <v>65</v>
      </c>
      <c r="B76" s="44" t="n">
        <v>0.0</v>
      </c>
      <c r="C76" s="44" t="n">
        <v>0.0</v>
      </c>
      <c r="D76" s="44" t="n">
        <v>0.0</v>
      </c>
      <c r="E76" s="44">
        <f ref="E76:E101" si="4" t="shared">SUM(B76:D76)</f>
        <v>0</v>
      </c>
      <c r="F76" s="63">
        <f ref="F76:F101" si="5" t="shared">IFERROR(E76/SUM($E$11:$E$100),0)</f>
        <v>0</v>
      </c>
      <c r="G76">
        <v>65</v>
      </c>
      <c r="H76" s="54" t="n">
        <v>1.0</v>
      </c>
      <c r="I76" s="54" t="n">
        <v>0.0</v>
      </c>
      <c r="J76" s="54" t="n">
        <v>0.0</v>
      </c>
      <c r="K76" s="44">
        <f ref="K76:K101" si="6" t="shared">SUM(H76:J76)</f>
        <v>1</v>
      </c>
      <c r="L76" s="63">
        <f ref="L76:L101" si="7" t="shared">IFERROR(K76/SUM($K$11:$K$100),0)</f>
        <v>1.1930682733319415E-6</v>
      </c>
      <c r="W76" s="7"/>
    </row>
    <row r="77" spans="1:23" x14ac:dyDescent="0.45">
      <c r="A77">
        <v>66</v>
      </c>
      <c r="B77" s="44" t="n">
        <v>0.0</v>
      </c>
      <c r="C77" s="44" t="n">
        <v>0.0</v>
      </c>
      <c r="D77" s="44" t="n">
        <v>0.0</v>
      </c>
      <c r="E77" s="44">
        <f si="4" t="shared"/>
        <v>0</v>
      </c>
      <c r="F77" s="63">
        <f si="5" t="shared"/>
        <v>0</v>
      </c>
      <c r="G77">
        <v>66</v>
      </c>
      <c r="H77" s="54" t="n">
        <v>1.0</v>
      </c>
      <c r="I77" s="54" t="n">
        <v>0.0</v>
      </c>
      <c r="J77" s="54" t="n">
        <v>0.0</v>
      </c>
      <c r="K77" s="44">
        <f si="6" t="shared"/>
        <v>1</v>
      </c>
      <c r="L77" s="63">
        <f si="7" t="shared"/>
        <v>1.1930682733319415E-6</v>
      </c>
      <c r="W77" s="7"/>
    </row>
    <row r="78" spans="1:23" x14ac:dyDescent="0.45">
      <c r="A78">
        <v>67</v>
      </c>
      <c r="B78" s="44" t="n">
        <v>0.0</v>
      </c>
      <c r="C78" s="44" t="n">
        <v>0.0</v>
      </c>
      <c r="D78" s="44" t="n">
        <v>0.0</v>
      </c>
      <c r="E78" s="44">
        <f si="4" t="shared"/>
        <v>0</v>
      </c>
      <c r="F78" s="63">
        <f si="5" t="shared"/>
        <v>0</v>
      </c>
      <c r="G78">
        <v>67</v>
      </c>
      <c r="H78" s="54" t="n">
        <v>2.0</v>
      </c>
      <c r="I78" s="54" t="n">
        <v>0.0</v>
      </c>
      <c r="J78" s="54" t="n">
        <v>0.0</v>
      </c>
      <c r="K78" s="44">
        <f si="6" t="shared"/>
        <v>0</v>
      </c>
      <c r="L78" s="63">
        <f si="7" t="shared"/>
        <v>0</v>
      </c>
      <c r="W78" s="7"/>
    </row>
    <row r="79" spans="1:23" x14ac:dyDescent="0.45">
      <c r="A79">
        <v>68</v>
      </c>
      <c r="B79" s="44" t="n">
        <v>0.0</v>
      </c>
      <c r="C79" s="44" t="n">
        <v>0.0</v>
      </c>
      <c r="D79" s="44" t="n">
        <v>0.0</v>
      </c>
      <c r="E79" s="44">
        <f si="4" t="shared"/>
        <v>0</v>
      </c>
      <c r="F79" s="63">
        <f si="5" t="shared"/>
        <v>0</v>
      </c>
      <c r="G79">
        <v>68</v>
      </c>
      <c r="H79" s="54" t="n">
        <v>1.0</v>
      </c>
      <c r="I79" s="54" t="n">
        <v>0.0</v>
      </c>
      <c r="J79" s="54" t="n">
        <v>0.0</v>
      </c>
      <c r="K79" s="44">
        <f si="6" t="shared"/>
        <v>2</v>
      </c>
      <c r="L79" s="63">
        <f si="7" t="shared"/>
        <v>2.386136546663883E-6</v>
      </c>
      <c r="W79" s="7"/>
    </row>
    <row r="80" spans="1:23" x14ac:dyDescent="0.45">
      <c r="A80">
        <v>69</v>
      </c>
      <c r="B80" s="44" t="n">
        <v>0.0</v>
      </c>
      <c r="C80" s="44" t="n">
        <v>0.0</v>
      </c>
      <c r="D80" s="44" t="n">
        <v>0.0</v>
      </c>
      <c r="E80" s="44">
        <f si="4" t="shared"/>
        <v>0</v>
      </c>
      <c r="F80" s="63">
        <f si="5" t="shared"/>
        <v>0</v>
      </c>
      <c r="G80">
        <v>69</v>
      </c>
      <c r="H80" s="54" t="n">
        <v>1.0</v>
      </c>
      <c r="I80" s="54" t="n">
        <v>0.0</v>
      </c>
      <c r="J80" s="54" t="n">
        <v>0.0</v>
      </c>
      <c r="K80" s="44">
        <f si="6" t="shared"/>
        <v>0</v>
      </c>
      <c r="L80" s="63">
        <f si="7" t="shared"/>
        <v>0</v>
      </c>
      <c r="W80" s="7"/>
    </row>
    <row r="81" spans="1:23" x14ac:dyDescent="0.45">
      <c r="A81">
        <v>70</v>
      </c>
      <c r="B81" s="44" t="n">
        <v>0.0</v>
      </c>
      <c r="C81" s="44" t="n">
        <v>0.0</v>
      </c>
      <c r="D81" s="44" t="n">
        <v>0.0</v>
      </c>
      <c r="E81" s="44">
        <f si="4" t="shared"/>
        <v>0</v>
      </c>
      <c r="F81" s="63">
        <f si="5" t="shared"/>
        <v>0</v>
      </c>
      <c r="G81">
        <v>70</v>
      </c>
      <c r="H81" s="54" t="n">
        <v>0.0</v>
      </c>
      <c r="I81" s="54" t="n">
        <v>0.0</v>
      </c>
      <c r="J81" s="54" t="n">
        <v>0.0</v>
      </c>
      <c r="K81" s="44">
        <f si="6" t="shared"/>
        <v>0</v>
      </c>
      <c r="L81" s="63">
        <f si="7" t="shared"/>
        <v>0</v>
      </c>
      <c r="W81" s="7"/>
    </row>
    <row r="82" spans="1:23" x14ac:dyDescent="0.45">
      <c r="A82">
        <v>71</v>
      </c>
      <c r="B82" s="44" t="n">
        <v>0.0</v>
      </c>
      <c r="C82" s="44" t="n">
        <v>0.0</v>
      </c>
      <c r="D82" s="44" t="n">
        <v>0.0</v>
      </c>
      <c r="E82" s="44">
        <f si="4" t="shared"/>
        <v>0</v>
      </c>
      <c r="F82" s="63">
        <f si="5" t="shared"/>
        <v>0</v>
      </c>
      <c r="G82">
        <v>71</v>
      </c>
      <c r="H82" s="54" t="n">
        <v>0.0</v>
      </c>
      <c r="I82" s="54" t="n">
        <v>0.0</v>
      </c>
      <c r="J82" s="54" t="n">
        <v>0.0</v>
      </c>
      <c r="K82" s="44">
        <f si="6" t="shared"/>
        <v>0</v>
      </c>
      <c r="L82" s="63">
        <f si="7" t="shared"/>
        <v>0</v>
      </c>
      <c r="W82" s="7"/>
    </row>
    <row r="83" spans="1:23" x14ac:dyDescent="0.45">
      <c r="A83">
        <v>72</v>
      </c>
      <c r="B83" s="44" t="n">
        <v>0.0</v>
      </c>
      <c r="C83" s="44" t="n">
        <v>0.0</v>
      </c>
      <c r="D83" s="44" t="n">
        <v>0.0</v>
      </c>
      <c r="E83" s="44">
        <f si="4" t="shared"/>
        <v>0</v>
      </c>
      <c r="F83" s="63">
        <f si="5" t="shared"/>
        <v>0</v>
      </c>
      <c r="G83">
        <v>72</v>
      </c>
      <c r="H83" s="54" t="n">
        <v>0.0</v>
      </c>
      <c r="I83" s="54" t="n">
        <v>0.0</v>
      </c>
      <c r="J83" s="54" t="n">
        <v>0.0</v>
      </c>
      <c r="K83" s="44">
        <f si="6" t="shared"/>
        <v>0</v>
      </c>
      <c r="L83" s="63">
        <f si="7" t="shared"/>
        <v>0</v>
      </c>
      <c r="W83" s="7"/>
    </row>
    <row r="84" spans="1:23" x14ac:dyDescent="0.45">
      <c r="A84">
        <v>73</v>
      </c>
      <c r="B84" s="44" t="n">
        <v>0.0</v>
      </c>
      <c r="C84" s="44" t="n">
        <v>0.0</v>
      </c>
      <c r="D84" s="44" t="n">
        <v>0.0</v>
      </c>
      <c r="E84" s="44">
        <f si="4" t="shared"/>
        <v>0</v>
      </c>
      <c r="F84" s="63">
        <f si="5" t="shared"/>
        <v>0</v>
      </c>
      <c r="G84">
        <v>73</v>
      </c>
      <c r="H84" s="54" t="n">
        <v>0.0</v>
      </c>
      <c r="I84" s="44" t="n">
        <v>0.0</v>
      </c>
      <c r="J84" s="54" t="n">
        <v>0.0</v>
      </c>
      <c r="K84" s="44">
        <f si="6" t="shared"/>
        <v>0</v>
      </c>
      <c r="L84" s="63">
        <f si="7" t="shared"/>
        <v>0</v>
      </c>
      <c r="W84" s="7"/>
    </row>
    <row r="85" spans="1:23" x14ac:dyDescent="0.45">
      <c r="A85">
        <v>74</v>
      </c>
      <c r="B85" s="44" t="n">
        <v>0.0</v>
      </c>
      <c r="C85" s="44" t="n">
        <v>0.0</v>
      </c>
      <c r="D85" s="44" t="n">
        <v>0.0</v>
      </c>
      <c r="E85" s="44">
        <f si="4" t="shared"/>
        <v>0</v>
      </c>
      <c r="F85" s="63">
        <f si="5" t="shared"/>
        <v>0</v>
      </c>
      <c r="G85">
        <v>74</v>
      </c>
      <c r="H85" s="54" t="n">
        <v>0.0</v>
      </c>
      <c r="I85" s="54" t="n">
        <v>0.0</v>
      </c>
      <c r="J85" s="54" t="n">
        <v>0.0</v>
      </c>
      <c r="K85" s="44">
        <f si="6" t="shared"/>
        <v>0</v>
      </c>
      <c r="L85" s="63">
        <f si="7" t="shared"/>
        <v>0</v>
      </c>
      <c r="W85" s="7"/>
    </row>
    <row r="86" spans="1:23" x14ac:dyDescent="0.45">
      <c r="A86">
        <v>75</v>
      </c>
      <c r="B86" s="44" t="n">
        <v>0.0</v>
      </c>
      <c r="C86" s="44" t="n">
        <v>0.0</v>
      </c>
      <c r="D86" s="44" t="n">
        <v>0.0</v>
      </c>
      <c r="E86" s="44">
        <f si="4" t="shared"/>
        <v>0</v>
      </c>
      <c r="F86" s="63">
        <f si="5" t="shared"/>
        <v>0</v>
      </c>
      <c r="G86">
        <v>75</v>
      </c>
      <c r="H86" s="54" t="n">
        <v>0.0</v>
      </c>
      <c r="I86" s="44" t="n">
        <v>0.0</v>
      </c>
      <c r="J86" s="54" t="n">
        <v>0.0</v>
      </c>
      <c r="K86" s="44">
        <f si="6" t="shared"/>
        <v>0</v>
      </c>
      <c r="L86" s="63">
        <f si="7" t="shared"/>
        <v>0</v>
      </c>
      <c r="W86" s="7"/>
    </row>
    <row r="87" spans="1:23" x14ac:dyDescent="0.45">
      <c r="A87">
        <v>76</v>
      </c>
      <c r="B87" s="44" t="n">
        <v>0.0</v>
      </c>
      <c r="C87" s="44" t="n">
        <v>0.0</v>
      </c>
      <c r="D87" s="44" t="n">
        <v>0.0</v>
      </c>
      <c r="E87" s="44">
        <f si="4" t="shared"/>
        <v>0</v>
      </c>
      <c r="F87" s="63">
        <f si="5" t="shared"/>
        <v>0</v>
      </c>
      <c r="G87">
        <v>76</v>
      </c>
      <c r="H87" s="54" t="n">
        <v>1.0</v>
      </c>
      <c r="I87" s="44" t="n">
        <v>0.0</v>
      </c>
      <c r="J87" s="54" t="n">
        <v>0.0</v>
      </c>
      <c r="K87" s="44">
        <f si="6" t="shared"/>
        <v>0</v>
      </c>
      <c r="L87" s="63">
        <f si="7" t="shared"/>
        <v>0</v>
      </c>
      <c r="W87" s="7"/>
    </row>
    <row r="88" spans="1:23" x14ac:dyDescent="0.45">
      <c r="A88">
        <v>77</v>
      </c>
      <c r="B88" s="44" t="n">
        <v>0.0</v>
      </c>
      <c r="C88" s="44" t="n">
        <v>0.0</v>
      </c>
      <c r="D88" s="44" t="n">
        <v>0.0</v>
      </c>
      <c r="E88" s="44">
        <f si="4" t="shared"/>
        <v>0</v>
      </c>
      <c r="F88" s="63">
        <f si="5" t="shared"/>
        <v>0</v>
      </c>
      <c r="G88">
        <v>77</v>
      </c>
      <c r="H88" s="54" t="n">
        <v>0.0</v>
      </c>
      <c r="I88" s="44" t="n">
        <v>0.0</v>
      </c>
      <c r="J88" s="44" t="n">
        <v>0.0</v>
      </c>
      <c r="K88" s="44">
        <f si="6" t="shared"/>
        <v>0</v>
      </c>
      <c r="L88" s="63">
        <f si="7" t="shared"/>
        <v>0</v>
      </c>
      <c r="W88" s="7"/>
    </row>
    <row r="89" spans="1:23" x14ac:dyDescent="0.45">
      <c r="A89">
        <v>78</v>
      </c>
      <c r="B89" s="44" t="n">
        <v>0.0</v>
      </c>
      <c r="C89" s="44" t="n">
        <v>0.0</v>
      </c>
      <c r="D89" s="44" t="n">
        <v>0.0</v>
      </c>
      <c r="E89" s="44">
        <f si="4" t="shared"/>
        <v>0</v>
      </c>
      <c r="F89" s="63">
        <f si="5" t="shared"/>
        <v>0</v>
      </c>
      <c r="G89">
        <v>78</v>
      </c>
      <c r="H89" s="54" t="n">
        <v>0.0</v>
      </c>
      <c r="I89" s="44" t="n">
        <v>0.0</v>
      </c>
      <c r="J89" s="44" t="n">
        <v>0.0</v>
      </c>
      <c r="K89" s="44">
        <f si="6" t="shared"/>
        <v>0</v>
      </c>
      <c r="L89" s="63">
        <f si="7" t="shared"/>
        <v>0</v>
      </c>
      <c r="W89" s="7"/>
    </row>
    <row r="90" spans="1:23" x14ac:dyDescent="0.45">
      <c r="A90">
        <v>79</v>
      </c>
      <c r="B90" s="44" t="n">
        <v>0.0</v>
      </c>
      <c r="C90" s="44" t="n">
        <v>0.0</v>
      </c>
      <c r="D90" s="44" t="n">
        <v>0.0</v>
      </c>
      <c r="E90" s="44">
        <f si="4" t="shared"/>
        <v>0</v>
      </c>
      <c r="F90" s="63">
        <f si="5" t="shared"/>
        <v>0</v>
      </c>
      <c r="G90">
        <v>79</v>
      </c>
      <c r="H90" s="54" t="n">
        <v>0.0</v>
      </c>
      <c r="I90" s="44" t="n">
        <v>0.0</v>
      </c>
      <c r="J90" s="44" t="n">
        <v>0.0</v>
      </c>
      <c r="K90" s="44">
        <f si="6" t="shared"/>
        <v>0</v>
      </c>
      <c r="L90" s="63">
        <f si="7" t="shared"/>
        <v>0</v>
      </c>
      <c r="W90" s="7"/>
    </row>
    <row r="91" spans="1:23" x14ac:dyDescent="0.45">
      <c r="A91">
        <v>80</v>
      </c>
      <c r="B91" s="44" t="n">
        <v>0.0</v>
      </c>
      <c r="C91" s="44" t="n">
        <v>0.0</v>
      </c>
      <c r="D91" s="44" t="n">
        <v>0.0</v>
      </c>
      <c r="E91" s="44">
        <f si="4" t="shared"/>
        <v>0</v>
      </c>
      <c r="F91" s="63">
        <f si="5" t="shared"/>
        <v>0</v>
      </c>
      <c r="G91">
        <v>80</v>
      </c>
      <c r="H91" s="54" t="n">
        <v>0.0</v>
      </c>
      <c r="I91" s="44" t="n">
        <v>0.0</v>
      </c>
      <c r="J91" s="44" t="n">
        <v>0.0</v>
      </c>
      <c r="K91" s="44">
        <f si="6" t="shared"/>
        <v>2</v>
      </c>
      <c r="L91" s="63">
        <f si="7" t="shared"/>
        <v>2.386136546663883E-6</v>
      </c>
      <c r="W91" s="7"/>
    </row>
    <row r="92" spans="1:23" x14ac:dyDescent="0.45">
      <c r="A92">
        <v>81</v>
      </c>
      <c r="B92" s="44" t="n">
        <v>0.0</v>
      </c>
      <c r="C92" s="44" t="n">
        <v>0.0</v>
      </c>
      <c r="D92" s="44" t="n">
        <v>0.0</v>
      </c>
      <c r="E92" s="44">
        <f si="4" t="shared"/>
        <v>0</v>
      </c>
      <c r="F92" s="63">
        <f si="5" t="shared"/>
        <v>0</v>
      </c>
      <c r="G92">
        <v>81</v>
      </c>
      <c r="H92" s="54" t="n">
        <v>0.0</v>
      </c>
      <c r="I92" s="44" t="n">
        <v>0.0</v>
      </c>
      <c r="J92" s="44" t="n">
        <v>0.0</v>
      </c>
      <c r="K92" s="44">
        <f si="6" t="shared"/>
        <v>0</v>
      </c>
      <c r="L92" s="63">
        <f si="7" t="shared"/>
        <v>0</v>
      </c>
      <c r="W92" s="7"/>
    </row>
    <row r="93" spans="1:23" x14ac:dyDescent="0.45">
      <c r="A93">
        <v>82</v>
      </c>
      <c r="B93" s="44" t="n">
        <v>0.0</v>
      </c>
      <c r="C93" s="44" t="n">
        <v>0.0</v>
      </c>
      <c r="D93" s="44" t="n">
        <v>0.0</v>
      </c>
      <c r="E93" s="44">
        <f si="4" t="shared"/>
        <v>0</v>
      </c>
      <c r="F93" s="63">
        <f si="5" t="shared"/>
        <v>0</v>
      </c>
      <c r="G93">
        <v>82</v>
      </c>
      <c r="H93" s="54" t="n">
        <v>0.0</v>
      </c>
      <c r="I93" s="44" t="n">
        <v>0.0</v>
      </c>
      <c r="J93" s="44" t="n">
        <v>0.0</v>
      </c>
      <c r="K93" s="44">
        <f si="6" t="shared"/>
        <v>0</v>
      </c>
      <c r="L93" s="63">
        <f si="7" t="shared"/>
        <v>0</v>
      </c>
      <c r="W93" s="7"/>
    </row>
    <row r="94" spans="1:23" x14ac:dyDescent="0.45">
      <c r="A94">
        <v>83</v>
      </c>
      <c r="B94" s="44" t="n">
        <v>0.0</v>
      </c>
      <c r="C94" s="44" t="n">
        <v>0.0</v>
      </c>
      <c r="D94" s="44" t="n">
        <v>0.0</v>
      </c>
      <c r="E94" s="44">
        <f si="4" t="shared"/>
        <v>0</v>
      </c>
      <c r="F94" s="63">
        <f si="5" t="shared"/>
        <v>0</v>
      </c>
      <c r="G94">
        <v>83</v>
      </c>
      <c r="H94" s="54" t="n">
        <v>0.0</v>
      </c>
      <c r="I94" s="44" t="n">
        <v>0.0</v>
      </c>
      <c r="J94" s="44" t="n">
        <v>0.0</v>
      </c>
      <c r="K94" s="44">
        <f si="6" t="shared"/>
        <v>0</v>
      </c>
      <c r="L94" s="63">
        <f si="7" t="shared"/>
        <v>0</v>
      </c>
      <c r="W94" s="7"/>
    </row>
    <row r="95" spans="1:23" x14ac:dyDescent="0.45">
      <c r="A95">
        <v>84</v>
      </c>
      <c r="B95" s="44" t="n">
        <v>0.0</v>
      </c>
      <c r="C95" s="44" t="n">
        <v>0.0</v>
      </c>
      <c r="D95" s="44" t="n">
        <v>0.0</v>
      </c>
      <c r="E95" s="44">
        <f si="4" t="shared"/>
        <v>0</v>
      </c>
      <c r="F95" s="63">
        <f si="5" t="shared"/>
        <v>0</v>
      </c>
      <c r="G95">
        <v>84</v>
      </c>
      <c r="H95" s="54" t="n">
        <v>0.0</v>
      </c>
      <c r="I95" s="44" t="n">
        <v>1.0</v>
      </c>
      <c r="J95" s="44" t="n">
        <v>0.0</v>
      </c>
      <c r="K95" s="44">
        <f si="6" t="shared"/>
        <v>0</v>
      </c>
      <c r="L95" s="63">
        <f si="7" t="shared"/>
        <v>0</v>
      </c>
      <c r="W95" s="7"/>
    </row>
    <row r="96" spans="1:23" x14ac:dyDescent="0.45">
      <c r="A96">
        <v>85</v>
      </c>
      <c r="B96" s="44" t="n">
        <v>0.0</v>
      </c>
      <c r="C96" s="44" t="n">
        <v>0.0</v>
      </c>
      <c r="D96" s="44" t="n">
        <v>0.0</v>
      </c>
      <c r="E96" s="44">
        <f si="4" t="shared"/>
        <v>0</v>
      </c>
      <c r="F96" s="63">
        <f si="5" t="shared"/>
        <v>0</v>
      </c>
      <c r="G96">
        <v>85</v>
      </c>
      <c r="H96" s="54" t="n">
        <v>0.0</v>
      </c>
      <c r="I96" s="44" t="n">
        <v>0.0</v>
      </c>
      <c r="J96" s="44" t="n">
        <v>0.0</v>
      </c>
      <c r="K96" s="44">
        <f si="6" t="shared"/>
        <v>0</v>
      </c>
      <c r="L96" s="63">
        <f si="7" t="shared"/>
        <v>0</v>
      </c>
      <c r="W96" s="7"/>
    </row>
    <row r="97" spans="1:23" x14ac:dyDescent="0.45">
      <c r="A97">
        <v>86</v>
      </c>
      <c r="B97" s="44" t="n">
        <v>0.0</v>
      </c>
      <c r="C97" s="44" t="n">
        <v>0.0</v>
      </c>
      <c r="D97" s="44" t="n">
        <v>0.0</v>
      </c>
      <c r="E97" s="44">
        <f si="4" t="shared"/>
        <v>0</v>
      </c>
      <c r="F97" s="63">
        <f si="5" t="shared"/>
        <v>0</v>
      </c>
      <c r="G97">
        <v>86</v>
      </c>
      <c r="H97" s="54" t="n">
        <v>0.0</v>
      </c>
      <c r="I97" s="44" t="n">
        <v>0.0</v>
      </c>
      <c r="J97" s="44" t="n">
        <v>0.0</v>
      </c>
      <c r="K97" s="44">
        <f si="6" t="shared"/>
        <v>0</v>
      </c>
      <c r="L97" s="63">
        <f si="7" t="shared"/>
        <v>0</v>
      </c>
      <c r="W97" s="7"/>
    </row>
    <row r="98" spans="1:23" x14ac:dyDescent="0.45">
      <c r="A98">
        <v>87</v>
      </c>
      <c r="B98" s="44" t="n">
        <v>0.0</v>
      </c>
      <c r="C98" s="44" t="n">
        <v>0.0</v>
      </c>
      <c r="D98" s="44" t="n">
        <v>0.0</v>
      </c>
      <c r="E98" s="44">
        <f si="4" t="shared"/>
        <v>0</v>
      </c>
      <c r="F98" s="63">
        <f si="5" t="shared"/>
        <v>0</v>
      </c>
      <c r="G98">
        <v>87</v>
      </c>
      <c r="H98" s="54" t="n">
        <v>0.0</v>
      </c>
      <c r="I98" s="44" t="n">
        <v>0.0</v>
      </c>
      <c r="J98" s="44" t="n">
        <v>0.0</v>
      </c>
      <c r="K98" s="44">
        <f si="6" t="shared"/>
        <v>0</v>
      </c>
      <c r="L98" s="63">
        <f si="7" t="shared"/>
        <v>0</v>
      </c>
      <c r="W98" s="7"/>
    </row>
    <row r="99" spans="1:23" x14ac:dyDescent="0.45">
      <c r="A99">
        <v>88</v>
      </c>
      <c r="B99" s="44" t="n">
        <v>0.0</v>
      </c>
      <c r="C99" s="44" t="n">
        <v>0.0</v>
      </c>
      <c r="D99" s="44" t="n">
        <v>0.0</v>
      </c>
      <c r="E99" s="44">
        <f si="4" t="shared"/>
        <v>0</v>
      </c>
      <c r="F99" s="63">
        <f si="5" t="shared"/>
        <v>0</v>
      </c>
      <c r="G99">
        <v>88</v>
      </c>
      <c r="H99" s="54" t="n">
        <v>0.0</v>
      </c>
      <c r="I99" s="44" t="n">
        <v>0.0</v>
      </c>
      <c r="J99" s="44" t="n">
        <v>0.0</v>
      </c>
      <c r="K99" s="44">
        <f si="6" t="shared"/>
        <v>0</v>
      </c>
      <c r="L99" s="63">
        <f si="7" t="shared"/>
        <v>0</v>
      </c>
      <c r="W99" s="7"/>
    </row>
    <row r="100" spans="1:23" x14ac:dyDescent="0.45">
      <c r="A100">
        <v>89</v>
      </c>
      <c r="B100" s="44" t="n">
        <v>0.0</v>
      </c>
      <c r="C100" s="44" t="n">
        <v>0.0</v>
      </c>
      <c r="D100" s="44" t="n">
        <v>0.0</v>
      </c>
      <c r="E100" s="44">
        <f si="4" t="shared"/>
        <v>0</v>
      </c>
      <c r="F100" s="63">
        <f si="5" t="shared"/>
        <v>0</v>
      </c>
      <c r="G100">
        <v>89</v>
      </c>
      <c r="H100" s="54" t="n">
        <v>0.0</v>
      </c>
      <c r="I100" s="44" t="n">
        <v>1.0</v>
      </c>
      <c r="J100" s="44" t="n">
        <v>0.0</v>
      </c>
      <c r="K100" s="44">
        <f si="6" t="shared"/>
        <v>0</v>
      </c>
      <c r="L100" s="63">
        <f si="7" t="shared"/>
        <v>0</v>
      </c>
      <c r="W100" s="7"/>
    </row>
    <row ht="14.65" r="101" spans="1:23" thickBot="1" x14ac:dyDescent="0.5">
      <c r="A101" s="1">
        <v>90</v>
      </c>
      <c r="B101" s="45">
        <v>0</v>
      </c>
      <c r="C101" s="45">
        <v>0</v>
      </c>
      <c r="D101" s="45">
        <v>0</v>
      </c>
      <c r="E101" s="44">
        <f si="4" t="shared"/>
        <v>0</v>
      </c>
      <c r="F101" s="63">
        <f si="5" t="shared"/>
        <v>0</v>
      </c>
      <c r="G101" s="1">
        <v>90</v>
      </c>
      <c r="H101" s="55">
        <v>0</v>
      </c>
      <c r="I101" s="45">
        <v>0</v>
      </c>
      <c r="J101" s="45">
        <v>0</v>
      </c>
      <c r="K101" s="45">
        <f si="6" t="shared"/>
        <v>0</v>
      </c>
      <c r="L101" s="63">
        <f si="7" t="shared"/>
        <v>0</v>
      </c>
      <c r="W101" s="8"/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X101"/>
  <sheetViews>
    <sheetView workbookViewId="0">
      <selection activeCell="I100" sqref="I100"/>
    </sheetView>
  </sheetViews>
  <sheetFormatPr defaultRowHeight="14.25" x14ac:dyDescent="0.45"/>
  <cols>
    <col min="2" max="3" bestFit="true" customWidth="true" width="10.59765625" collapsed="true"/>
    <col min="4" max="4" bestFit="true" customWidth="true" width="9.59765625" collapsed="true"/>
    <col min="5" max="5" bestFit="true" customWidth="true" width="10.59765625" collapsed="true"/>
    <col min="8" max="8" bestFit="true" customWidth="true" width="10.59765625" collapsed="true"/>
    <col min="9" max="10" bestFit="true" customWidth="true" width="9.59765625" collapsed="true"/>
    <col min="11" max="11" bestFit="true" customWidth="true" width="10.59765625" collapsed="true"/>
    <col min="15" max="15" bestFit="true" customWidth="true" width="15.73046875" collapsed="true"/>
  </cols>
  <sheetData>
    <row r="1" spans="1:23" x14ac:dyDescent="0.45">
      <c r="A1" t="s">
        <v>0</v>
      </c>
    </row>
    <row r="2" spans="1:23" x14ac:dyDescent="0.45">
      <c r="A2" t="s">
        <v>247</v>
      </c>
    </row>
    <row r="3" spans="1:23" x14ac:dyDescent="0.45">
      <c r="A3" t="s">
        <v>248</v>
      </c>
    </row>
    <row r="4" spans="1:23" x14ac:dyDescent="0.45">
      <c r="A4" t="s">
        <v>6</v>
      </c>
    </row>
    <row r="5" spans="1:23" x14ac:dyDescent="0.45">
      <c r="A5" t="s">
        <v>7</v>
      </c>
    </row>
    <row r="7" spans="1:23" x14ac:dyDescent="0.45">
      <c r="A7" t="s">
        <v>11</v>
      </c>
    </row>
    <row ht="14.65" r="9" spans="1:23" thickBot="1" x14ac:dyDescent="0.5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  <c r="M9" s="9" t="s">
        <v>40</v>
      </c>
      <c r="W9" s="7"/>
    </row>
    <row r="10" spans="1:23" x14ac:dyDescent="0.45">
      <c r="A10" s="2" t="s">
        <v>21</v>
      </c>
      <c r="B10" s="5" t="s">
        <v>8</v>
      </c>
      <c r="C10" s="5" t="s">
        <v>9</v>
      </c>
      <c r="D10" s="5" t="s">
        <v>10</v>
      </c>
      <c r="E10" s="5" t="s">
        <v>203</v>
      </c>
      <c r="G10" s="2" t="s">
        <v>21</v>
      </c>
      <c r="H10" s="5" t="s">
        <v>8</v>
      </c>
      <c r="I10" s="5" t="s">
        <v>9</v>
      </c>
      <c r="J10" s="5" t="s">
        <v>10</v>
      </c>
      <c r="K10" s="27" t="s">
        <v>253</v>
      </c>
      <c r="M10" s="2"/>
      <c r="N10" s="5" t="s">
        <v>203</v>
      </c>
      <c r="O10" s="27" t="s">
        <v>253</v>
      </c>
      <c r="W10" s="7"/>
    </row>
    <row r="11" spans="1:23" x14ac:dyDescent="0.45">
      <c r="A11">
        <v>0</v>
      </c>
      <c r="B11" s="44" t="n">
        <v>0.0</v>
      </c>
      <c r="C11" s="44" t="n">
        <v>0.0</v>
      </c>
      <c r="D11" s="44" t="n">
        <v>0.0</v>
      </c>
      <c r="E11" s="44">
        <f>SUM(B11:D11)</f>
        <v>0</v>
      </c>
      <c r="F11" s="63">
        <f>E11/SUM($E$11:$E$101)</f>
        <v>0</v>
      </c>
      <c r="G11">
        <v>0</v>
      </c>
      <c r="H11" s="54" t="n">
        <v>700.0</v>
      </c>
      <c r="I11" s="54" t="n">
        <v>133.0</v>
      </c>
      <c r="J11" s="54" t="n">
        <v>50.0</v>
      </c>
      <c r="K11" s="44">
        <f>SUM(H11:J11)</f>
        <v>938</v>
      </c>
      <c r="L11" s="63">
        <f>K11/SUM($K$11:$K$101)</f>
        <v>1.1190980403853611E-3</v>
      </c>
      <c r="M11" t="s">
        <v>8</v>
      </c>
      <c r="N11" s="48" t="n">
        <v>27.55908551899072</v>
      </c>
      <c r="O11" s="48" t="n">
        <v>33.781289393688546</v>
      </c>
      <c r="W11" s="7"/>
    </row>
    <row r="12" spans="1:23" x14ac:dyDescent="0.45">
      <c r="A12">
        <v>1</v>
      </c>
      <c r="B12" s="44" t="n">
        <v>0.0</v>
      </c>
      <c r="C12" s="44" t="n">
        <v>0.0</v>
      </c>
      <c r="D12" s="44" t="n">
        <v>0.0</v>
      </c>
      <c r="E12" s="44">
        <f ref="E12:E75" si="0" t="shared">SUM(B12:D12)</f>
        <v>0</v>
      </c>
      <c r="F12" s="63">
        <f ref="F12:F75" si="1" t="shared">E12/SUM($E$11:$E$101)</f>
        <v>0</v>
      </c>
      <c r="G12">
        <v>1</v>
      </c>
      <c r="H12" s="54" t="n">
        <v>1441.0</v>
      </c>
      <c r="I12" s="54" t="n">
        <v>297.0</v>
      </c>
      <c r="J12" s="54" t="n">
        <v>160.0</v>
      </c>
      <c r="K12" s="44">
        <f ref="K12:K75" si="2" t="shared">SUM(H12:J12)</f>
        <v>1831</v>
      </c>
      <c r="L12" s="63">
        <f ref="L12:L75" si="3" t="shared">K12/SUM($K$11:$K$101)</f>
        <v>2.1845080084707848E-3</v>
      </c>
      <c r="M12" t="s">
        <v>9</v>
      </c>
      <c r="N12" s="48" t="n">
        <v>20.805206736471437</v>
      </c>
      <c r="O12" s="48" t="n">
        <v>26.501249528742587</v>
      </c>
      <c r="W12" s="7"/>
    </row>
    <row r="13" spans="1:23" x14ac:dyDescent="0.45">
      <c r="A13">
        <v>2</v>
      </c>
      <c r="B13" s="44" t="n">
        <v>259.076069704765</v>
      </c>
      <c r="C13" s="44" t="n">
        <v>192.5236132204219</v>
      </c>
      <c r="D13" s="44" t="n">
        <v>0.0</v>
      </c>
      <c r="E13" s="44">
        <f si="0" t="shared"/>
        <v>451.59968292518693</v>
      </c>
      <c r="F13" s="63">
        <f si="1" t="shared"/>
        <v>5.7350324014607496E-4</v>
      </c>
      <c r="G13">
        <v>2</v>
      </c>
      <c r="H13" s="54" t="n">
        <v>1867.0</v>
      </c>
      <c r="I13" s="54" t="n">
        <v>366.0</v>
      </c>
      <c r="J13" s="54" t="n">
        <v>174.0</v>
      </c>
      <c r="K13" s="44">
        <f si="2" t="shared"/>
        <v>2290</v>
      </c>
      <c r="L13" s="63">
        <f si="3" t="shared"/>
        <v>2.7321263459301457E-3</v>
      </c>
      <c r="M13" s="6" t="s">
        <v>10</v>
      </c>
      <c r="N13" s="49" t="n">
        <v>18.446090494309765</v>
      </c>
      <c r="O13" s="49" t="n">
        <v>23.72827037510084</v>
      </c>
      <c r="W13" s="7"/>
    </row>
    <row ht="14.65" r="14" spans="1:23" thickBot="1" x14ac:dyDescent="0.5">
      <c r="A14">
        <v>3</v>
      </c>
      <c r="B14" s="44" t="n">
        <v>3587.5231774710173</v>
      </c>
      <c r="C14" s="44" t="n">
        <v>1875.5708597900214</v>
      </c>
      <c r="D14" s="44" t="n">
        <v>259.0558507433005</v>
      </c>
      <c r="E14" s="44">
        <f si="0" t="shared"/>
        <v>5722.1498880043391</v>
      </c>
      <c r="F14" s="63">
        <f si="1" t="shared"/>
        <v>7.2667710484545182E-3</v>
      </c>
      <c r="G14">
        <v>3</v>
      </c>
      <c r="H14" s="54" t="n">
        <v>3571.0</v>
      </c>
      <c r="I14" s="54" t="n">
        <v>662.0</v>
      </c>
      <c r="J14" s="54" t="n">
        <v>399.0</v>
      </c>
      <c r="K14" s="44">
        <f si="2" t="shared"/>
        <v>4569</v>
      </c>
      <c r="L14" s="63">
        <f si="3" t="shared"/>
        <v>5.4511289408536402E-3</v>
      </c>
      <c r="M14" s="1" t="s">
        <v>3</v>
      </c>
      <c r="N14" s="50" t="n">
        <v>26.616464285234194</v>
      </c>
      <c r="O14" s="50" t="n">
        <v>32.622544565960595</v>
      </c>
      <c r="W14" s="7"/>
    </row>
    <row r="15" spans="1:23" x14ac:dyDescent="0.45">
      <c r="A15">
        <v>4</v>
      </c>
      <c r="B15" s="44" t="n">
        <v>9556.620286830555</v>
      </c>
      <c r="C15" s="44" t="n">
        <v>1548.4915814761648</v>
      </c>
      <c r="D15" s="44" t="n">
        <v>266.0325220454964</v>
      </c>
      <c r="E15" s="44">
        <f si="0" t="shared"/>
        <v>11371.144390352216</v>
      </c>
      <c r="F15" s="63">
        <f si="1" t="shared"/>
        <v>1.4440639350750406E-2</v>
      </c>
      <c r="G15">
        <v>4</v>
      </c>
      <c r="H15" s="54" t="n">
        <v>6850.0</v>
      </c>
      <c r="I15" s="54" t="n">
        <v>1226.0</v>
      </c>
      <c r="J15" s="54" t="n">
        <v>735.0</v>
      </c>
      <c r="K15" s="44">
        <f si="2" t="shared"/>
        <v>8295</v>
      </c>
      <c r="L15" s="63">
        <f si="3" t="shared"/>
        <v>9.8965013272884535E-3</v>
      </c>
      <c r="W15" s="7"/>
    </row>
    <row r="16" spans="1:23" x14ac:dyDescent="0.45">
      <c r="A16">
        <v>5</v>
      </c>
      <c r="B16" s="44" t="n">
        <v>8828.29758655972</v>
      </c>
      <c r="C16" s="44" t="n">
        <v>3462.731994533099</v>
      </c>
      <c r="D16" s="44" t="n">
        <v>3268.0436112763696</v>
      </c>
      <c r="E16" s="44">
        <f si="0" t="shared"/>
        <v>15559.073192369187</v>
      </c>
      <c r="F16" s="63">
        <f si="1" t="shared"/>
        <v>1.9759045957904047E-2</v>
      </c>
      <c r="G16">
        <v>5</v>
      </c>
      <c r="H16" s="54" t="n">
        <v>9630.0</v>
      </c>
      <c r="I16" s="54" t="n">
        <v>1780.0</v>
      </c>
      <c r="J16" s="54" t="n">
        <v>1060.0</v>
      </c>
      <c r="K16" s="44">
        <f si="2" t="shared"/>
        <v>12374</v>
      </c>
      <c r="L16" s="63">
        <f si="3" t="shared"/>
        <v>1.4763026814209443E-2</v>
      </c>
      <c r="W16" s="7"/>
    </row>
    <row r="17" spans="1:23" x14ac:dyDescent="0.45">
      <c r="A17">
        <v>6</v>
      </c>
      <c r="B17" s="44" t="n">
        <v>14829.719573916098</v>
      </c>
      <c r="C17" s="44" t="n">
        <v>3510.7291513319897</v>
      </c>
      <c r="D17" s="44" t="n">
        <v>758.6509857925794</v>
      </c>
      <c r="E17" s="44">
        <f si="0" t="shared"/>
        <v>19099.099711040668</v>
      </c>
      <c r="F17" s="63">
        <f si="1" t="shared"/>
        <v>2.4254657348750517E-2</v>
      </c>
      <c r="G17">
        <v>6</v>
      </c>
      <c r="H17" s="54" t="n">
        <v>11660.0</v>
      </c>
      <c r="I17" s="54" t="n">
        <v>2339.0</v>
      </c>
      <c r="J17" s="54" t="n">
        <v>1417.0</v>
      </c>
      <c r="K17" s="44">
        <f si="2" t="shared"/>
        <v>14963</v>
      </c>
      <c r="L17" s="63">
        <f si="3" t="shared"/>
        <v>1.7851880573865841E-2</v>
      </c>
      <c r="W17" s="7"/>
    </row>
    <row r="18" spans="1:23" x14ac:dyDescent="0.45">
      <c r="A18">
        <v>7</v>
      </c>
      <c r="B18" s="44" t="n">
        <v>16892.508429322632</v>
      </c>
      <c r="C18" s="44" t="n">
        <v>2808.058208532224</v>
      </c>
      <c r="D18" s="44" t="n">
        <v>665.6553418710263</v>
      </c>
      <c r="E18" s="44">
        <f si="0" t="shared"/>
        <v>20366.22197972588</v>
      </c>
      <c r="F18" s="63">
        <f si="1" t="shared"/>
        <v>2.5863823063936815E-2</v>
      </c>
      <c r="G18">
        <v>7</v>
      </c>
      <c r="H18" s="54" t="n">
        <v>11881.0</v>
      </c>
      <c r="I18" s="54" t="n">
        <v>2487.0</v>
      </c>
      <c r="J18" s="54" t="n">
        <v>1499.0</v>
      </c>
      <c r="K18" s="44">
        <f si="2" t="shared"/>
        <v>16461</v>
      </c>
      <c r="L18" s="63">
        <f si="3" t="shared"/>
        <v>1.9639096847317086E-2</v>
      </c>
      <c r="W18" s="7"/>
    </row>
    <row r="19" spans="1:23" x14ac:dyDescent="0.45">
      <c r="A19">
        <v>8</v>
      </c>
      <c r="B19" s="44" t="n">
        <v>20004.25923567614</v>
      </c>
      <c r="C19" s="44" t="n">
        <v>3070.946232151347</v>
      </c>
      <c r="D19" s="44" t="n">
        <v>917.6976948062509</v>
      </c>
      <c r="E19" s="44">
        <f si="0" t="shared"/>
        <v>23992.903162633738</v>
      </c>
      <c r="F19" s="63">
        <f si="1" t="shared"/>
        <v>3.0469480437082093E-2</v>
      </c>
      <c r="G19">
        <v>8</v>
      </c>
      <c r="H19" s="54" t="n">
        <v>11670.0</v>
      </c>
      <c r="I19" s="54" t="n">
        <v>2559.0</v>
      </c>
      <c r="J19" s="54" t="n">
        <v>1353.0</v>
      </c>
      <c r="K19" s="44">
        <f si="2" t="shared"/>
        <v>15720</v>
      </c>
      <c r="L19" s="63">
        <f si="3" t="shared"/>
        <v>1.875503325677812E-2</v>
      </c>
      <c r="W19" s="7"/>
    </row>
    <row r="20" spans="1:23" x14ac:dyDescent="0.45">
      <c r="A20">
        <v>9</v>
      </c>
      <c r="B20" s="44" t="n">
        <v>17092.31221687833</v>
      </c>
      <c r="C20" s="44" t="n">
        <v>2052.3068567763244</v>
      </c>
      <c r="D20" s="44" t="n">
        <v>503.6444325983163</v>
      </c>
      <c r="E20" s="44">
        <f si="0" t="shared"/>
        <v>19648.263506252973</v>
      </c>
      <c r="F20" s="63">
        <f si="1" t="shared"/>
        <v>2.4952060885186009E-2</v>
      </c>
      <c r="G20">
        <v>9</v>
      </c>
      <c r="H20" s="54" t="n">
        <v>11251.0</v>
      </c>
      <c r="I20" s="54" t="n">
        <v>2565.0</v>
      </c>
      <c r="J20" s="54" t="n">
        <v>1531.0</v>
      </c>
      <c r="K20" s="44">
        <f si="2" t="shared"/>
        <v>15629</v>
      </c>
      <c r="L20" s="63">
        <f si="3" t="shared"/>
        <v>1.8646464043904912E-2</v>
      </c>
      <c r="W20" s="7"/>
    </row>
    <row r="21" spans="1:23" x14ac:dyDescent="0.45">
      <c r="A21">
        <v>10</v>
      </c>
      <c r="B21" s="44" t="n">
        <v>18509.225062427464</v>
      </c>
      <c r="C21" s="44" t="n">
        <v>3714.251809048418</v>
      </c>
      <c r="D21" s="44" t="n">
        <v>1568.2580786670278</v>
      </c>
      <c r="E21" s="44">
        <f si="0" t="shared"/>
        <v>23791.734950142913</v>
      </c>
      <c r="F21" s="63">
        <f si="1" t="shared"/>
        <v>3.0214009439116413E-2</v>
      </c>
      <c r="G21">
        <v>10</v>
      </c>
      <c r="H21" s="54" t="n">
        <v>11162.0</v>
      </c>
      <c r="I21" s="54" t="n">
        <v>2548.0</v>
      </c>
      <c r="J21" s="54" t="n">
        <v>1481.0</v>
      </c>
      <c r="K21" s="44">
        <f si="2" t="shared"/>
        <v>15724</v>
      </c>
      <c r="L21" s="63">
        <f si="3" t="shared"/>
        <v>1.8759805529871446E-2</v>
      </c>
      <c r="W21" s="7"/>
    </row>
    <row r="22" spans="1:23" x14ac:dyDescent="0.45">
      <c r="A22">
        <v>11</v>
      </c>
      <c r="B22" s="44" t="n">
        <v>21099.418060992306</v>
      </c>
      <c r="C22" s="44" t="n">
        <v>1643.195173462551</v>
      </c>
      <c r="D22" s="44" t="n">
        <v>2156.690703857396</v>
      </c>
      <c r="E22" s="44">
        <f si="0" t="shared"/>
        <v>24899.303938312252</v>
      </c>
      <c r="F22" s="63">
        <f si="1" t="shared"/>
        <v>3.1620552506830775E-2</v>
      </c>
      <c r="G22">
        <v>11</v>
      </c>
      <c r="H22" s="54" t="n">
        <v>11720.0</v>
      </c>
      <c r="I22" s="54" t="n">
        <v>2647.0</v>
      </c>
      <c r="J22" s="54" t="n">
        <v>1472.0</v>
      </c>
      <c r="K22" s="44">
        <f si="2" t="shared"/>
        <v>16087</v>
      </c>
      <c r="L22" s="63">
        <f si="3" t="shared"/>
        <v>1.9192889313090943E-2</v>
      </c>
      <c r="W22" s="7"/>
    </row>
    <row r="23" spans="1:23" x14ac:dyDescent="0.45">
      <c r="A23">
        <v>12</v>
      </c>
      <c r="B23" s="44" t="n">
        <v>18660.733079742466</v>
      </c>
      <c r="C23" s="44" t="n">
        <v>2260.171106088967</v>
      </c>
      <c r="D23" s="44" t="n">
        <v>2717.4871235498085</v>
      </c>
      <c r="E23" s="44">
        <f si="0" t="shared"/>
        <v>23638.391309381244</v>
      </c>
      <c r="F23" s="63">
        <f si="1" t="shared"/>
        <v>3.0019272644212194E-2</v>
      </c>
      <c r="G23">
        <v>12</v>
      </c>
      <c r="H23" s="54" t="n">
        <v>11880.0</v>
      </c>
      <c r="I23" s="54" t="n">
        <v>2641.0</v>
      </c>
      <c r="J23" s="54" t="n">
        <v>1496.0</v>
      </c>
      <c r="K23" s="44">
        <f si="2" t="shared"/>
        <v>16295</v>
      </c>
      <c r="L23" s="63">
        <f si="3" t="shared"/>
        <v>1.9441047513943984E-2</v>
      </c>
      <c r="W23" s="7"/>
    </row>
    <row r="24" spans="1:23" x14ac:dyDescent="0.45">
      <c r="A24">
        <v>13</v>
      </c>
      <c r="B24" s="44" t="n">
        <v>17605.173392634202</v>
      </c>
      <c r="C24" s="44" t="n">
        <v>2780.67488653694</v>
      </c>
      <c r="D24" s="44" t="n">
        <v>1294.7608855062929</v>
      </c>
      <c r="E24" s="44">
        <f si="0" t="shared"/>
        <v>21680.609164677437</v>
      </c>
      <c r="F24" s="63">
        <f si="1" t="shared"/>
        <v>2.7533012254889088E-2</v>
      </c>
      <c r="G24">
        <v>13</v>
      </c>
      <c r="H24" s="54" t="n">
        <v>12067.0</v>
      </c>
      <c r="I24" s="54" t="n">
        <v>2521.0</v>
      </c>
      <c r="J24" s="54" t="n">
        <v>1283.0</v>
      </c>
      <c r="K24" s="44">
        <f si="2" t="shared"/>
        <v>15921</v>
      </c>
      <c r="L24" s="63">
        <f si="3" t="shared"/>
        <v>1.8994839979717841E-2</v>
      </c>
      <c r="W24" s="7"/>
    </row>
    <row r="25" spans="1:23" x14ac:dyDescent="0.45">
      <c r="A25">
        <v>14</v>
      </c>
      <c r="B25" s="44" t="n">
        <v>14483.06078782486</v>
      </c>
      <c r="C25" s="44" t="n">
        <v>2610.8603777093967</v>
      </c>
      <c r="D25" s="44" t="n">
        <v>829.1969383646575</v>
      </c>
      <c r="E25" s="44">
        <f si="0" t="shared"/>
        <v>17923.118103898913</v>
      </c>
      <c r="F25" s="63">
        <f si="1" t="shared"/>
        <v>2.2761234550755079E-2</v>
      </c>
      <c r="G25">
        <v>14</v>
      </c>
      <c r="H25" s="54" t="n">
        <v>11891.0</v>
      </c>
      <c r="I25" s="54" t="n">
        <v>2324.0</v>
      </c>
      <c r="J25" s="54" t="n">
        <v>1117.0</v>
      </c>
      <c r="K25" s="44">
        <f si="2" t="shared"/>
        <v>16410</v>
      </c>
      <c r="L25" s="63">
        <f si="3" t="shared"/>
        <v>1.9578250365377158E-2</v>
      </c>
      <c r="W25" s="7"/>
    </row>
    <row r="26" spans="1:23" x14ac:dyDescent="0.45">
      <c r="A26">
        <v>15</v>
      </c>
      <c r="B26" s="44" t="n">
        <v>18060.12274364419</v>
      </c>
      <c r="C26" s="44" t="n">
        <v>1668.0301605259192</v>
      </c>
      <c r="D26" s="44" t="n">
        <v>1051.5697058548271</v>
      </c>
      <c r="E26" s="44">
        <f si="0" t="shared"/>
        <v>20779.722610024939</v>
      </c>
      <c r="F26" s="63">
        <f si="1" t="shared"/>
        <v>2.6388942899590553E-2</v>
      </c>
      <c r="G26">
        <v>15</v>
      </c>
      <c r="H26" s="54" t="n">
        <v>12589.0</v>
      </c>
      <c r="I26" s="54" t="n">
        <v>2267.0</v>
      </c>
      <c r="J26" s="54" t="n">
        <v>1110.0</v>
      </c>
      <c r="K26" s="44">
        <f si="2" t="shared"/>
        <v>16590</v>
      </c>
      <c r="L26" s="63">
        <f si="3" t="shared"/>
        <v>1.9793002654576907E-2</v>
      </c>
      <c r="W26" s="7"/>
    </row>
    <row r="27" spans="1:23" x14ac:dyDescent="0.45">
      <c r="A27">
        <v>16</v>
      </c>
      <c r="B27" s="44" t="n">
        <v>22125.617884251827</v>
      </c>
      <c r="C27" s="44" t="n">
        <v>3576.011599370277</v>
      </c>
      <c r="D27" s="44" t="n">
        <v>355.30154926081474</v>
      </c>
      <c r="E27" s="44">
        <f si="0" t="shared"/>
        <v>26056.93103288292</v>
      </c>
      <c r="F27" s="63">
        <f si="1" t="shared"/>
        <v>3.3090666226390557E-2</v>
      </c>
      <c r="G27">
        <v>16</v>
      </c>
      <c r="H27" s="54" t="n">
        <v>12969.0</v>
      </c>
      <c r="I27" s="54" t="n">
        <v>2191.0</v>
      </c>
      <c r="J27" s="54" t="n">
        <v>1032.0</v>
      </c>
      <c r="K27" s="44">
        <f si="2" t="shared"/>
        <v>17474</v>
      </c>
      <c r="L27" s="63">
        <f si="3" t="shared"/>
        <v>2.0847675008202345E-2</v>
      </c>
      <c r="W27" s="7"/>
    </row>
    <row r="28" spans="1:23" x14ac:dyDescent="0.45">
      <c r="A28">
        <v>17</v>
      </c>
      <c r="B28" s="44" t="n">
        <v>22733.062097481023</v>
      </c>
      <c r="C28" s="44" t="n">
        <v>1673.7712056008568</v>
      </c>
      <c r="D28" s="44" t="n">
        <v>476.71483745248696</v>
      </c>
      <c r="E28" s="44">
        <f si="0" t="shared"/>
        <v>24883.548140534367</v>
      </c>
      <c r="F28" s="63">
        <f si="1" t="shared"/>
        <v>3.1600543633002139E-2</v>
      </c>
      <c r="G28">
        <v>17</v>
      </c>
      <c r="H28" s="54" t="n">
        <v>13215.0</v>
      </c>
      <c r="I28" s="54" t="n">
        <v>2145.0</v>
      </c>
      <c r="J28" s="54" t="n">
        <v>918.0</v>
      </c>
      <c r="K28" s="44">
        <f si="2" t="shared"/>
        <v>17718</v>
      </c>
      <c r="L28" s="63">
        <f si="3" t="shared"/>
        <v>2.1138783666895339E-2</v>
      </c>
      <c r="W28" s="7"/>
    </row>
    <row r="29" spans="1:23" x14ac:dyDescent="0.45">
      <c r="A29">
        <v>18</v>
      </c>
      <c r="B29" s="44" t="n">
        <v>17650.653948051287</v>
      </c>
      <c r="C29" s="44" t="n">
        <v>2860.6181925424535</v>
      </c>
      <c r="D29" s="44" t="n">
        <v>1674.978088354543</v>
      </c>
      <c r="E29" s="44">
        <f si="0" t="shared"/>
        <v>22186.250228948284</v>
      </c>
      <c r="F29" s="63">
        <f si="1" t="shared"/>
        <v>2.8175144655939247E-2</v>
      </c>
      <c r="G29">
        <v>18</v>
      </c>
      <c r="H29" s="54" t="n">
        <v>13238.0</v>
      </c>
      <c r="I29" s="54" t="n">
        <v>1924.0</v>
      </c>
      <c r="J29" s="54" t="n">
        <v>838.0</v>
      </c>
      <c r="K29" s="44">
        <f si="2" t="shared"/>
        <v>17463</v>
      </c>
      <c r="L29" s="63">
        <f si="3" t="shared"/>
        <v>2.0834551257195692E-2</v>
      </c>
      <c r="W29" s="7"/>
    </row>
    <row r="30" spans="1:23" x14ac:dyDescent="0.45">
      <c r="A30">
        <v>19</v>
      </c>
      <c r="B30" s="44" t="n">
        <v>18820.08411904054</v>
      </c>
      <c r="C30" s="44" t="n">
        <v>2115.677801170846</v>
      </c>
      <c r="D30" s="44" t="n">
        <v>75.9799478739255</v>
      </c>
      <c r="E30" s="44">
        <f si="0" t="shared"/>
        <v>21011.741868085312</v>
      </c>
      <c r="F30" s="63">
        <f si="1" t="shared"/>
        <v>2.6683592788208733E-2</v>
      </c>
      <c r="G30">
        <v>19</v>
      </c>
      <c r="H30" s="54" t="n">
        <v>13851.0</v>
      </c>
      <c r="I30" s="54" t="n">
        <v>1924.0</v>
      </c>
      <c r="J30" s="54" t="n">
        <v>819.0</v>
      </c>
      <c r="K30" s="44">
        <f si="2" t="shared"/>
        <v>17740</v>
      </c>
      <c r="L30" s="63">
        <f si="3" t="shared"/>
        <v>2.1165031168908641E-2</v>
      </c>
      <c r="W30" s="7"/>
    </row>
    <row r="31" spans="1:23" x14ac:dyDescent="0.45">
      <c r="A31">
        <v>20</v>
      </c>
      <c r="B31" s="44" t="n">
        <v>21203.094632096512</v>
      </c>
      <c r="C31" s="44" t="n">
        <v>746.2984749875735</v>
      </c>
      <c r="D31" s="44" t="n">
        <v>876.0724617752252</v>
      </c>
      <c r="E31" s="44">
        <f si="0" t="shared"/>
        <v>22825.465568859308</v>
      </c>
      <c r="F31" s="63">
        <f si="1" t="shared"/>
        <v>2.8986907999561384E-2</v>
      </c>
      <c r="G31">
        <v>20</v>
      </c>
      <c r="H31" s="54" t="n">
        <v>13612.0</v>
      </c>
      <c r="I31" s="54" t="n">
        <v>1787.0</v>
      </c>
      <c r="J31" s="54" t="n">
        <v>832.0</v>
      </c>
      <c r="K31" s="44">
        <f si="2" t="shared"/>
        <v>18299</v>
      </c>
      <c r="L31" s="63">
        <f si="3" t="shared"/>
        <v>2.1831956333701195E-2</v>
      </c>
      <c r="W31" s="7"/>
    </row>
    <row r="32" spans="1:23" x14ac:dyDescent="0.45">
      <c r="A32">
        <v>21</v>
      </c>
      <c r="B32" s="44" t="n">
        <v>15022.472932419669</v>
      </c>
      <c r="C32" s="44" t="n">
        <v>1662.4267674758353</v>
      </c>
      <c r="D32" s="44" t="n">
        <v>241.7192267201432</v>
      </c>
      <c r="E32" s="44">
        <f si="0" t="shared"/>
        <v>16926.618926615647</v>
      </c>
      <c r="F32" s="63">
        <f si="1" t="shared"/>
        <v>2.1495743168491361E-2</v>
      </c>
      <c r="G32">
        <v>21</v>
      </c>
      <c r="H32" s="54" t="n">
        <v>14130.0</v>
      </c>
      <c r="I32" s="54" t="n">
        <v>1764.0</v>
      </c>
      <c r="J32" s="54" t="n">
        <v>815.0</v>
      </c>
      <c r="K32" s="44">
        <f si="2" t="shared"/>
        <v>18281</v>
      </c>
      <c r="L32" s="63">
        <f si="3" t="shared"/>
        <v>2.1810481104781222E-2</v>
      </c>
      <c r="W32" s="7"/>
    </row>
    <row r="33" spans="1:23" x14ac:dyDescent="0.45">
      <c r="A33">
        <v>22</v>
      </c>
      <c r="B33" s="44" t="n">
        <v>14854.13394729692</v>
      </c>
      <c r="C33" s="44" t="n">
        <v>3525.0329145211876</v>
      </c>
      <c r="D33" s="44" t="n">
        <v>640.4574385622058</v>
      </c>
      <c r="E33" s="44">
        <f si="0" t="shared"/>
        <v>19019.624300380314</v>
      </c>
      <c r="F33" s="63">
        <f si="1" t="shared"/>
        <v>2.4153728567688455E-2</v>
      </c>
      <c r="G33">
        <v>22</v>
      </c>
      <c r="H33" s="54" t="n">
        <v>14457.0</v>
      </c>
      <c r="I33" s="54" t="n">
        <v>1699.0</v>
      </c>
      <c r="J33" s="54" t="n">
        <v>782.0</v>
      </c>
      <c r="K33" s="44">
        <f si="2" t="shared"/>
        <v>18012</v>
      </c>
      <c r="L33" s="63">
        <f si="3" t="shared"/>
        <v>2.148954573925493E-2</v>
      </c>
      <c r="W33" s="7"/>
    </row>
    <row r="34" spans="1:23" x14ac:dyDescent="0.45">
      <c r="A34">
        <v>23</v>
      </c>
      <c r="B34" s="44" t="n">
        <v>13824.51262907837</v>
      </c>
      <c r="C34" s="44" t="n">
        <v>930.1954393902977</v>
      </c>
      <c r="D34" s="44" t="n">
        <v>52.6330389042402</v>
      </c>
      <c r="E34" s="44">
        <f si="0" t="shared"/>
        <v>14807.341107372908</v>
      </c>
      <c r="F34" s="63">
        <f si="1" t="shared"/>
        <v>1.8804393413255224E-2</v>
      </c>
      <c r="G34">
        <v>23</v>
      </c>
      <c r="H34" s="54" t="n">
        <v>14434.0</v>
      </c>
      <c r="I34" s="54" t="n">
        <v>1699.0</v>
      </c>
      <c r="J34" s="54" t="n">
        <v>685.0</v>
      </c>
      <c r="K34" s="44">
        <f si="2" t="shared"/>
        <v>18402</v>
      </c>
      <c r="L34" s="63">
        <f si="3" t="shared"/>
        <v>2.1954842365854387E-2</v>
      </c>
      <c r="W34" s="7"/>
    </row>
    <row r="35" spans="1:23" x14ac:dyDescent="0.45">
      <c r="A35">
        <v>24</v>
      </c>
      <c r="B35" s="44" t="n">
        <v>15908.040994905423</v>
      </c>
      <c r="C35" s="44" t="n">
        <v>701.766530253086</v>
      </c>
      <c r="D35" s="44" t="n">
        <v>589.9553913435043</v>
      </c>
      <c r="E35" s="44">
        <f si="0" t="shared"/>
        <v>17199.762916502015</v>
      </c>
      <c r="F35" s="63">
        <f si="1" t="shared"/>
        <v>2.1842618884195107E-2</v>
      </c>
      <c r="G35">
        <v>24</v>
      </c>
      <c r="H35" s="54" t="n">
        <v>14999.0</v>
      </c>
      <c r="I35" s="54" t="n">
        <v>1658.0</v>
      </c>
      <c r="J35" s="54" t="n">
        <v>666.0</v>
      </c>
      <c r="K35" s="44">
        <f si="2" t="shared"/>
        <v>18952</v>
      </c>
      <c r="L35" s="63">
        <f si="3" t="shared"/>
        <v>2.2611029916186954E-2</v>
      </c>
      <c r="W35" s="7"/>
    </row>
    <row r="36" spans="1:23" x14ac:dyDescent="0.45">
      <c r="A36">
        <v>25</v>
      </c>
      <c r="B36" s="44" t="n">
        <v>17295.94058970407</v>
      </c>
      <c r="C36" s="44" t="n">
        <v>2065.953118239083</v>
      </c>
      <c r="D36" s="44" t="n">
        <v>0.0</v>
      </c>
      <c r="E36" s="44">
        <f si="0" t="shared"/>
        <v>19361.893707943153</v>
      </c>
      <c r="F36" s="63">
        <f si="1" t="shared"/>
        <v>2.458838922326886E-2</v>
      </c>
      <c r="G36">
        <v>25</v>
      </c>
      <c r="H36" s="54" t="n">
        <v>15017.0</v>
      </c>
      <c r="I36" s="54" t="n">
        <v>1540.0</v>
      </c>
      <c r="J36" s="54" t="n">
        <v>644.0</v>
      </c>
      <c r="K36" s="44">
        <f si="2" t="shared"/>
        <v>18368</v>
      </c>
      <c r="L36" s="63">
        <f si="3" t="shared"/>
        <v>2.19142780445611E-2</v>
      </c>
      <c r="W36" s="7"/>
    </row>
    <row r="37" spans="1:23" x14ac:dyDescent="0.45">
      <c r="A37">
        <v>26</v>
      </c>
      <c r="B37" s="44" t="n">
        <v>16705.65895425733</v>
      </c>
      <c r="C37" s="44" t="n">
        <v>659.165395436749</v>
      </c>
      <c r="D37" s="44" t="n">
        <v>0.0</v>
      </c>
      <c r="E37" s="44">
        <f si="0" t="shared"/>
        <v>17364.824349694081</v>
      </c>
      <c r="F37" s="63">
        <f si="1" t="shared"/>
        <v>2.2052236539693962E-2</v>
      </c>
      <c r="G37">
        <v>26</v>
      </c>
      <c r="H37" s="54" t="n">
        <v>14876.0</v>
      </c>
      <c r="I37" s="54" t="n">
        <v>1481.0</v>
      </c>
      <c r="J37" s="54" t="n">
        <v>689.0</v>
      </c>
      <c r="K37" s="44">
        <f si="2" t="shared"/>
        <v>17917</v>
      </c>
      <c r="L37" s="63">
        <f si="3" t="shared"/>
        <v>2.1376204253288393E-2</v>
      </c>
      <c r="W37" s="7"/>
    </row>
    <row r="38" spans="1:23" x14ac:dyDescent="0.45">
      <c r="A38">
        <v>27</v>
      </c>
      <c r="B38" s="44" t="n">
        <v>13399.20650872181</v>
      </c>
      <c r="C38" s="44" t="n">
        <v>1501.1909476973806</v>
      </c>
      <c r="D38" s="44" t="n">
        <v>95.82540550867</v>
      </c>
      <c r="E38" s="44">
        <f si="0" t="shared"/>
        <v>14996.222861927863</v>
      </c>
      <c r="F38" s="63">
        <f si="1" t="shared"/>
        <v>1.9044261381142367E-2</v>
      </c>
      <c r="G38">
        <v>27</v>
      </c>
      <c r="H38" s="54" t="n">
        <v>14891.0</v>
      </c>
      <c r="I38" s="54" t="n">
        <v>1498.0</v>
      </c>
      <c r="J38" s="54" t="n">
        <v>604.0</v>
      </c>
      <c r="K38" s="44">
        <f si="2" t="shared"/>
        <v>18289</v>
      </c>
      <c r="L38" s="63">
        <f si="3" t="shared"/>
        <v>2.1820025650967877E-2</v>
      </c>
      <c r="W38" s="7"/>
    </row>
    <row r="39" spans="1:23" x14ac:dyDescent="0.45">
      <c r="A39">
        <v>28</v>
      </c>
      <c r="B39" s="44" t="n">
        <v>11476.850538128316</v>
      </c>
      <c r="C39" s="44" t="n">
        <v>388.5011820572371</v>
      </c>
      <c r="D39" s="44" t="n">
        <v>299.78377127644376</v>
      </c>
      <c r="E39" s="44">
        <f si="0" t="shared"/>
        <v>12165.135491461995</v>
      </c>
      <c r="F39" s="63">
        <f si="1" t="shared"/>
        <v>1.5448958192305136E-2</v>
      </c>
      <c r="G39">
        <v>28</v>
      </c>
      <c r="H39" s="54" t="n">
        <v>14797.0</v>
      </c>
      <c r="I39" s="54" t="n">
        <v>1437.0</v>
      </c>
      <c r="J39" s="54" t="n">
        <v>634.0</v>
      </c>
      <c r="K39" s="44">
        <f si="2" t="shared"/>
        <v>17364</v>
      </c>
      <c r="L39" s="63">
        <f si="3" t="shared"/>
        <v>2.0716437498135832E-2</v>
      </c>
      <c r="W39" s="7"/>
    </row>
    <row r="40" spans="1:23" x14ac:dyDescent="0.45">
      <c r="A40">
        <v>29</v>
      </c>
      <c r="B40" s="44" t="n">
        <v>13544.561026734946</v>
      </c>
      <c r="C40" s="44" t="n">
        <v>132.969287301055</v>
      </c>
      <c r="D40" s="44" t="n">
        <v>1776.0164963440207</v>
      </c>
      <c r="E40" s="44">
        <f si="0" t="shared"/>
        <v>15453.546810380021</v>
      </c>
      <c r="F40" s="63">
        <f si="1" t="shared"/>
        <v>1.9625034079065538E-2</v>
      </c>
      <c r="G40">
        <v>29</v>
      </c>
      <c r="H40" s="54" t="n">
        <v>14315.0</v>
      </c>
      <c r="I40" s="54" t="n">
        <v>1403.0</v>
      </c>
      <c r="J40" s="54" t="n">
        <v>606.0</v>
      </c>
      <c r="K40" s="44">
        <f si="2" t="shared"/>
        <v>17023</v>
      </c>
      <c r="L40" s="63">
        <f si="3" t="shared"/>
        <v>2.0309601216929637E-2</v>
      </c>
      <c r="W40" s="7"/>
    </row>
    <row r="41" spans="1:23" x14ac:dyDescent="0.45">
      <c r="A41">
        <v>30</v>
      </c>
      <c r="B41" s="44" t="n">
        <v>13267.370552634924</v>
      </c>
      <c r="C41" s="44" t="n">
        <v>2982.7712543526254</v>
      </c>
      <c r="D41" s="44" t="n">
        <v>61.4237942106076</v>
      </c>
      <c r="E41" s="44">
        <f si="0" t="shared"/>
        <v>16311.565601198157</v>
      </c>
      <c r="F41" s="63">
        <f si="1" t="shared"/>
        <v>2.0714664066077589E-2</v>
      </c>
      <c r="G41">
        <v>30</v>
      </c>
      <c r="H41" s="54" t="n">
        <v>13993.0</v>
      </c>
      <c r="I41" s="54" t="n">
        <v>1325.0</v>
      </c>
      <c r="J41" s="54" t="n">
        <v>502.0</v>
      </c>
      <c r="K41" s="44">
        <f si="2" t="shared"/>
        <v>17128</v>
      </c>
      <c r="L41" s="63">
        <f si="3" t="shared"/>
        <v>2.0434873385629493E-2</v>
      </c>
      <c r="W41" s="7"/>
    </row>
    <row r="42" spans="1:23" x14ac:dyDescent="0.45">
      <c r="A42">
        <v>31</v>
      </c>
      <c r="B42" s="44" t="n">
        <v>14520.840913537728</v>
      </c>
      <c r="C42" s="44" t="n">
        <v>1018.644762337027</v>
      </c>
      <c r="D42" s="44" t="n">
        <v>46.6393527108106</v>
      </c>
      <c r="E42" s="44">
        <f si="0" t="shared"/>
        <v>15586.125028585566</v>
      </c>
      <c r="F42" s="63">
        <f si="1" t="shared"/>
        <v>1.9793400091240681E-2</v>
      </c>
      <c r="G42">
        <v>31</v>
      </c>
      <c r="H42" s="54" t="n">
        <v>13932.0</v>
      </c>
      <c r="I42" s="54" t="n">
        <v>1269.0</v>
      </c>
      <c r="J42" s="54" t="n">
        <v>534.0</v>
      </c>
      <c r="K42" s="44">
        <f si="2" t="shared"/>
        <v>16894</v>
      </c>
      <c r="L42" s="63">
        <f si="3" t="shared"/>
        <v>2.0155695409669817E-2</v>
      </c>
      <c r="W42" s="7"/>
    </row>
    <row r="43" spans="1:23" x14ac:dyDescent="0.45">
      <c r="A43">
        <v>32</v>
      </c>
      <c r="B43" s="44" t="n">
        <v>7045.201981102786</v>
      </c>
      <c r="C43" s="44" t="n">
        <v>636.5051240771431</v>
      </c>
      <c r="D43" s="44" t="n">
        <v>287.346245710017</v>
      </c>
      <c r="E43" s="44">
        <f si="0" t="shared"/>
        <v>7969.0533508899452</v>
      </c>
      <c r="F43" s="63">
        <f si="1" t="shared"/>
        <v>1.0120197357156788E-2</v>
      </c>
      <c r="G43">
        <v>32</v>
      </c>
      <c r="H43" s="54" t="n">
        <v>14445.0</v>
      </c>
      <c r="I43" s="54" t="n">
        <v>1279.0</v>
      </c>
      <c r="J43" s="54" t="n">
        <v>486.0</v>
      </c>
      <c r="K43" s="44">
        <f si="2" t="shared"/>
        <v>16168</v>
      </c>
      <c r="L43" s="63">
        <f si="3" t="shared"/>
        <v>1.928952784323083E-2</v>
      </c>
      <c r="W43" s="7"/>
    </row>
    <row r="44" spans="1:23" x14ac:dyDescent="0.45">
      <c r="A44">
        <v>33</v>
      </c>
      <c r="B44" s="44" t="n">
        <v>15596.410783750633</v>
      </c>
      <c r="C44" s="44" t="n">
        <v>437.4736007357447</v>
      </c>
      <c r="D44" s="44" t="n">
        <v>261.6209082740114</v>
      </c>
      <c r="E44" s="44">
        <f si="0" t="shared"/>
        <v>16295.505292760388</v>
      </c>
      <c r="F44" s="63">
        <f si="1" t="shared"/>
        <v>2.069426848283195E-2</v>
      </c>
      <c r="G44">
        <v>33</v>
      </c>
      <c r="H44" s="54" t="n">
        <v>14390.0</v>
      </c>
      <c r="I44" s="54" t="n">
        <v>1204.0</v>
      </c>
      <c r="J44" s="54" t="n">
        <v>524.0</v>
      </c>
      <c r="K44" s="44">
        <f si="2" t="shared"/>
        <v>16097</v>
      </c>
      <c r="L44" s="63">
        <f si="3" t="shared"/>
        <v>1.9204819995824261E-2</v>
      </c>
      <c r="W44" s="7"/>
    </row>
    <row r="45" spans="1:23" x14ac:dyDescent="0.45">
      <c r="A45">
        <v>34</v>
      </c>
      <c r="B45" s="44" t="n">
        <v>10131.657931478685</v>
      </c>
      <c r="C45" s="44" t="n">
        <v>924.2471077764717</v>
      </c>
      <c r="D45" s="44" t="n">
        <v>0.0</v>
      </c>
      <c r="E45" s="44">
        <f si="0" t="shared"/>
        <v>11055.905039255156</v>
      </c>
      <c r="F45" s="63">
        <f si="1" t="shared"/>
        <v>1.4040305169590983E-2</v>
      </c>
      <c r="G45">
        <v>34</v>
      </c>
      <c r="H45" s="54" t="n">
        <v>14054.0</v>
      </c>
      <c r="I45" s="54" t="n">
        <v>1151.0</v>
      </c>
      <c r="J45" s="54" t="n">
        <v>495.0</v>
      </c>
      <c r="K45" s="44">
        <f si="2" t="shared"/>
        <v>15973</v>
      </c>
      <c r="L45" s="63">
        <f si="3" t="shared"/>
        <v>1.9056879529931101E-2</v>
      </c>
      <c r="W45" s="7"/>
    </row>
    <row r="46" spans="1:23" x14ac:dyDescent="0.45">
      <c r="A46">
        <v>35</v>
      </c>
      <c r="B46" s="44" t="n">
        <v>7104.531500300886</v>
      </c>
      <c r="C46" s="44" t="n">
        <v>112.87719566182119</v>
      </c>
      <c r="D46" s="44" t="n">
        <v>0.0</v>
      </c>
      <c r="E46" s="44">
        <f si="0" t="shared"/>
        <v>7217.4086959627075</v>
      </c>
      <c r="F46" s="63">
        <f si="1" t="shared"/>
        <v>9.1656558432056771E-3</v>
      </c>
      <c r="G46">
        <v>35</v>
      </c>
      <c r="H46" s="54" t="n">
        <v>13954.0</v>
      </c>
      <c r="I46" s="54" t="n">
        <v>1082.0</v>
      </c>
      <c r="J46" s="54" t="n">
        <v>443.0</v>
      </c>
      <c r="K46" s="44">
        <f si="2" t="shared"/>
        <v>15212</v>
      </c>
      <c r="L46" s="63">
        <f si="3" t="shared"/>
        <v>1.8148954573925492E-2</v>
      </c>
      <c r="W46" s="7"/>
    </row>
    <row r="47" spans="1:23" x14ac:dyDescent="0.45">
      <c r="A47">
        <v>36</v>
      </c>
      <c r="B47" s="44" t="n">
        <v>8814.422710448653</v>
      </c>
      <c r="C47" s="44" t="n">
        <v>586.1075694360492</v>
      </c>
      <c r="D47" s="44" t="n">
        <v>0.0</v>
      </c>
      <c r="E47" s="44">
        <f si="0" t="shared"/>
        <v>9400.5302798847024</v>
      </c>
      <c r="F47" s="63">
        <f si="1" t="shared"/>
        <v>1.1938083170661329E-2</v>
      </c>
      <c r="G47">
        <v>36</v>
      </c>
      <c r="H47" s="54" t="n">
        <v>13469.0</v>
      </c>
      <c r="I47" s="54" t="n">
        <v>993.0</v>
      </c>
      <c r="J47" s="54" t="n">
        <v>415.0</v>
      </c>
      <c r="K47" s="44">
        <f si="2" t="shared"/>
        <v>15820</v>
      </c>
      <c r="L47" s="63">
        <f si="3" t="shared"/>
        <v>1.8874340084111315E-2</v>
      </c>
      <c r="W47" s="7"/>
    </row>
    <row r="48" spans="1:23" x14ac:dyDescent="0.45">
      <c r="A48">
        <v>37</v>
      </c>
      <c r="B48" s="44" t="n">
        <v>8999.810846731649</v>
      </c>
      <c r="C48" s="44" t="n">
        <v>965.9101098535216</v>
      </c>
      <c r="D48" s="44" t="n">
        <v>68.3886338475901</v>
      </c>
      <c r="E48" s="44">
        <f si="0" t="shared"/>
        <v>10034.109590432759</v>
      </c>
      <c r="F48" s="63">
        <f si="1" t="shared"/>
        <v>1.2742689110894068E-2</v>
      </c>
      <c r="G48">
        <v>37</v>
      </c>
      <c r="H48" s="54" t="n">
        <v>13204.0</v>
      </c>
      <c r="I48" s="54" t="n">
        <v>1027.0</v>
      </c>
      <c r="J48" s="54" t="n">
        <v>346.0</v>
      </c>
      <c r="K48" s="44">
        <f si="2" t="shared"/>
        <v>14195</v>
      </c>
      <c r="L48" s="63">
        <f si="3" t="shared"/>
        <v>1.6935604139946908E-2</v>
      </c>
      <c r="W48" s="7"/>
    </row>
    <row r="49" spans="1:23" x14ac:dyDescent="0.45">
      <c r="A49">
        <v>38</v>
      </c>
      <c r="B49" s="44" t="n">
        <v>8061.692376019037</v>
      </c>
      <c r="C49" s="44" t="n">
        <v>912.2792277342289</v>
      </c>
      <c r="D49" s="44" t="n">
        <v>381.1833791580029</v>
      </c>
      <c r="E49" s="44">
        <f si="0" t="shared"/>
        <v>9355.1549829112682</v>
      </c>
      <c r="F49" s="63">
        <f si="1" t="shared"/>
        <v>1.188045939274303E-2</v>
      </c>
      <c r="G49">
        <v>38</v>
      </c>
      <c r="H49" s="54" t="n">
        <v>12903.0</v>
      </c>
      <c r="I49" s="54" t="n">
        <v>950.0</v>
      </c>
      <c r="J49" s="54" t="n">
        <v>336.0</v>
      </c>
      <c r="K49" s="44">
        <f si="2" t="shared"/>
        <v>13425</v>
      </c>
      <c r="L49" s="63">
        <f si="3" t="shared"/>
        <v>1.6016941569481313E-2</v>
      </c>
      <c r="W49" s="7"/>
    </row>
    <row r="50" spans="1:23" x14ac:dyDescent="0.45">
      <c r="A50">
        <v>39</v>
      </c>
      <c r="B50" s="44" t="n">
        <v>12120.367165529711</v>
      </c>
      <c r="C50" s="44" t="n">
        <v>988.0404752209577</v>
      </c>
      <c r="D50" s="44" t="n">
        <v>0.0</v>
      </c>
      <c r="E50" s="44">
        <f si="0" t="shared"/>
        <v>13108.407640750669</v>
      </c>
      <c r="F50" s="63">
        <f si="1" t="shared"/>
        <v>1.6646854591285169E-2</v>
      </c>
      <c r="G50">
        <v>39</v>
      </c>
      <c r="H50" s="54" t="n">
        <v>12245.0</v>
      </c>
      <c r="I50" s="54" t="n">
        <v>901.0</v>
      </c>
      <c r="J50" s="54" t="n">
        <v>338.0</v>
      </c>
      <c r="K50" s="44">
        <f si="2" t="shared"/>
        <v>13371</v>
      </c>
      <c r="L50" s="63">
        <f si="3" t="shared"/>
        <v>1.5952515882721389E-2</v>
      </c>
      <c r="W50" s="7"/>
    </row>
    <row r="51" spans="1:23" x14ac:dyDescent="0.45">
      <c r="A51">
        <v>40</v>
      </c>
      <c r="B51" s="44" t="n">
        <v>8407.021396037535</v>
      </c>
      <c r="C51" s="44" t="n">
        <v>472.8546791128959</v>
      </c>
      <c r="D51" s="44" t="n">
        <v>230.539429816696</v>
      </c>
      <c r="E51" s="44">
        <f si="0" t="shared"/>
        <v>9110.4155049671263</v>
      </c>
      <c r="F51" s="63">
        <f si="1" t="shared"/>
        <v>1.1569655623609568E-2</v>
      </c>
      <c r="G51">
        <v>40</v>
      </c>
      <c r="H51" s="54" t="n">
        <v>11907.0</v>
      </c>
      <c r="I51" s="54" t="n">
        <v>903.0</v>
      </c>
      <c r="J51" s="54" t="n">
        <v>340.0</v>
      </c>
      <c r="K51" s="44">
        <f si="2" t="shared"/>
        <v>13137</v>
      </c>
      <c r="L51" s="63">
        <f si="3" t="shared"/>
        <v>1.5673337906761713E-2</v>
      </c>
      <c r="W51" s="7"/>
    </row>
    <row r="52" spans="1:23" x14ac:dyDescent="0.45">
      <c r="A52">
        <v>41</v>
      </c>
      <c r="B52" s="44" t="n">
        <v>11049.95503437174</v>
      </c>
      <c r="C52" s="44" t="n">
        <v>281.7221754898321</v>
      </c>
      <c r="D52" s="44" t="n">
        <v>62.5172364074843</v>
      </c>
      <c r="E52" s="44">
        <f si="0" t="shared"/>
        <v>11394.194446269057</v>
      </c>
      <c r="F52" s="63">
        <f si="1" t="shared"/>
        <v>1.4469911474389268E-2</v>
      </c>
      <c r="G52">
        <v>41</v>
      </c>
      <c r="H52" s="54" t="n">
        <v>11147.0</v>
      </c>
      <c r="I52" s="54" t="n">
        <v>794.0</v>
      </c>
      <c r="J52" s="54" t="n">
        <v>296.0</v>
      </c>
      <c r="K52" s="44">
        <f si="2" t="shared"/>
        <v>12868</v>
      </c>
      <c r="L52" s="63">
        <f si="3" t="shared"/>
        <v>1.5352402541235422E-2</v>
      </c>
      <c r="W52" s="7"/>
    </row>
    <row r="53" spans="1:23" x14ac:dyDescent="0.45">
      <c r="A53">
        <v>42</v>
      </c>
      <c r="B53" s="44" t="n">
        <v>8730.139034830228</v>
      </c>
      <c r="C53" s="44" t="n">
        <v>621.5118063867347</v>
      </c>
      <c r="D53" s="44" t="n">
        <v>357.390423191117</v>
      </c>
      <c r="E53" s="44">
        <f si="0" t="shared"/>
        <v>9709.0412644080789</v>
      </c>
      <c r="F53" s="63">
        <f si="1" t="shared"/>
        <v>1.2329872748764559E-2</v>
      </c>
      <c r="G53">
        <v>42</v>
      </c>
      <c r="H53" s="54" t="n">
        <v>10802.0</v>
      </c>
      <c r="I53" s="54" t="n">
        <v>780.0</v>
      </c>
      <c r="J53" s="54" t="n">
        <v>281.0</v>
      </c>
      <c r="K53" s="44">
        <f si="2" t="shared"/>
        <v>12602</v>
      </c>
      <c r="L53" s="63">
        <f si="3" t="shared"/>
        <v>1.5035046380529125E-2</v>
      </c>
      <c r="W53" s="7"/>
    </row>
    <row r="54" spans="1:23" x14ac:dyDescent="0.45">
      <c r="A54">
        <v>43</v>
      </c>
      <c r="B54" s="44" t="n">
        <v>8693.841289304719</v>
      </c>
      <c r="C54" s="44" t="n">
        <v>996.745085145689</v>
      </c>
      <c r="D54" s="44" t="n">
        <v>0.0</v>
      </c>
      <c r="E54" s="44">
        <f si="0" t="shared"/>
        <v>9690.5863744504077</v>
      </c>
      <c r="F54" s="63">
        <f si="1" t="shared"/>
        <v>1.230643619735091E-2</v>
      </c>
      <c r="G54">
        <v>43</v>
      </c>
      <c r="H54" s="54" t="n">
        <v>10711.0</v>
      </c>
      <c r="I54" s="54" t="n">
        <v>759.0</v>
      </c>
      <c r="J54" s="54" t="n">
        <v>274.0</v>
      </c>
      <c r="K54" s="44">
        <f si="2" t="shared"/>
        <v>12065</v>
      </c>
      <c r="L54" s="63">
        <f si="3" t="shared"/>
        <v>1.4394368717749873E-2</v>
      </c>
      <c r="W54" s="7"/>
    </row>
    <row r="55" spans="1:23" x14ac:dyDescent="0.45">
      <c r="A55">
        <v>44</v>
      </c>
      <c r="B55" s="44" t="n">
        <v>7195.654346537338</v>
      </c>
      <c r="C55" s="44" t="n">
        <v>542.0069651047214</v>
      </c>
      <c r="D55" s="44" t="n">
        <v>185.9676479361023</v>
      </c>
      <c r="E55" s="44">
        <f si="0" t="shared"/>
        <v>7923.6289595781618</v>
      </c>
      <c r="F55" s="63">
        <f si="1" t="shared"/>
        <v>1.0062511232511553E-2</v>
      </c>
      <c r="G55">
        <v>44</v>
      </c>
      <c r="H55" s="54" t="n">
        <v>9883.0</v>
      </c>
      <c r="I55" s="54" t="n">
        <v>749.0</v>
      </c>
      <c r="J55" s="54" t="n">
        <v>282.0</v>
      </c>
      <c r="K55" s="44">
        <f si="2" t="shared"/>
        <v>11099</v>
      </c>
      <c r="L55" s="63">
        <f si="3" t="shared"/>
        <v>1.3241864765711217E-2</v>
      </c>
      <c r="W55" s="7"/>
    </row>
    <row r="56" spans="1:23" x14ac:dyDescent="0.45">
      <c r="A56">
        <v>45</v>
      </c>
      <c r="B56" s="44" t="n">
        <v>7894.7457216454195</v>
      </c>
      <c r="C56" s="44" t="n">
        <v>268.9504180931881</v>
      </c>
      <c r="D56" s="44" t="n">
        <v>155.500051135655</v>
      </c>
      <c r="E56" s="44">
        <f si="0" t="shared"/>
        <v>8319.1961908742633</v>
      </c>
      <c r="F56" s="63">
        <f si="1" t="shared"/>
        <v>1.0564856777518297E-2</v>
      </c>
      <c r="G56">
        <v>45</v>
      </c>
      <c r="H56" s="54" t="n">
        <v>9404.0</v>
      </c>
      <c r="I56" s="54" t="n">
        <v>695.0</v>
      </c>
      <c r="J56" s="54" t="n">
        <v>314.0</v>
      </c>
      <c r="K56" s="44">
        <f si="2" t="shared"/>
        <v>10469</v>
      </c>
      <c r="L56" s="63">
        <f si="3" t="shared"/>
        <v>1.2490231753512094E-2</v>
      </c>
      <c r="W56" s="7"/>
    </row>
    <row r="57" spans="1:23" x14ac:dyDescent="0.45">
      <c r="A57">
        <v>46</v>
      </c>
      <c r="B57" s="44" t="n">
        <v>7425.670113351135</v>
      </c>
      <c r="C57" s="44" t="n">
        <v>209.3939375016139</v>
      </c>
      <c r="D57" s="44" t="n">
        <v>0.0</v>
      </c>
      <c r="E57" s="44">
        <f si="0" t="shared"/>
        <v>7635.0640508527486</v>
      </c>
      <c r="F57" s="63">
        <f si="1" t="shared"/>
        <v>9.6960519182035382E-3</v>
      </c>
      <c r="G57">
        <v>46</v>
      </c>
      <c r="H57" s="54" t="n">
        <v>9386.0</v>
      </c>
      <c r="I57" s="54" t="n">
        <v>701.0</v>
      </c>
      <c r="J57" s="54" t="n">
        <v>249.0</v>
      </c>
      <c r="K57" s="44">
        <f si="2" t="shared"/>
        <v>9696</v>
      </c>
      <c r="L57" s="63">
        <f si="3" t="shared"/>
        <v>1.1567989978226504E-2</v>
      </c>
      <c r="W57" s="7"/>
    </row>
    <row r="58" spans="1:23" x14ac:dyDescent="0.45">
      <c r="A58">
        <v>47</v>
      </c>
      <c r="B58" s="44" t="n">
        <v>6437.18519922554</v>
      </c>
      <c r="C58" s="44" t="n">
        <v>186.3673113769502</v>
      </c>
      <c r="D58" s="44" t="n">
        <v>0.0</v>
      </c>
      <c r="E58" s="44">
        <f si="0" t="shared"/>
        <v>6623.5525106024897</v>
      </c>
      <c r="F58" s="63">
        <f si="1" t="shared"/>
        <v>8.4114957776387275E-3</v>
      </c>
      <c r="G58">
        <v>47</v>
      </c>
      <c r="H58" s="54" t="n">
        <v>8934.0</v>
      </c>
      <c r="I58" s="54" t="n">
        <v>633.0</v>
      </c>
      <c r="J58" s="54" t="n">
        <v>237.0</v>
      </c>
      <c r="K58" s="44">
        <f si="2" t="shared"/>
        <v>9435</v>
      </c>
      <c r="L58" s="63">
        <f si="3" t="shared"/>
        <v>1.1256599158886868E-2</v>
      </c>
      <c r="W58" s="7"/>
    </row>
    <row r="59" spans="1:23" x14ac:dyDescent="0.45">
      <c r="A59">
        <v>48</v>
      </c>
      <c r="B59" s="44" t="n">
        <v>3140.070556230924</v>
      </c>
      <c r="C59" s="44" t="n">
        <v>541.8470807930908</v>
      </c>
      <c r="D59" s="44" t="n">
        <v>923.031021110555</v>
      </c>
      <c r="E59" s="44">
        <f si="0" t="shared"/>
        <v>4604.94865813457</v>
      </c>
      <c r="F59" s="63">
        <f si="1" t="shared"/>
        <v>5.847995638615191E-3</v>
      </c>
      <c r="G59">
        <v>48</v>
      </c>
      <c r="H59" s="54" t="n">
        <v>8910.0</v>
      </c>
      <c r="I59" s="54" t="n">
        <v>654.0</v>
      </c>
      <c r="J59" s="54" t="n">
        <v>266.0</v>
      </c>
      <c r="K59" s="44">
        <f si="2" t="shared"/>
        <v>9410</v>
      </c>
      <c r="L59" s="63">
        <f si="3" t="shared"/>
        <v>1.1226772452053569E-2</v>
      </c>
      <c r="W59" s="7"/>
    </row>
    <row r="60" spans="1:23" x14ac:dyDescent="0.45">
      <c r="A60">
        <v>49</v>
      </c>
      <c r="B60" s="44" t="n">
        <v>4723.578432215217</v>
      </c>
      <c r="C60" s="44" t="n">
        <v>396.5867453892689</v>
      </c>
      <c r="D60" s="44" t="n">
        <v>0.0</v>
      </c>
      <c r="E60" s="44">
        <f si="0" t="shared"/>
        <v>5120.1651776044855</v>
      </c>
      <c r="F60" s="63">
        <f si="1" t="shared"/>
        <v>6.5022882664993635E-3</v>
      </c>
      <c r="G60">
        <v>49</v>
      </c>
      <c r="H60" s="54" t="n">
        <v>8276.0</v>
      </c>
      <c r="I60" s="54" t="n">
        <v>539.0</v>
      </c>
      <c r="J60" s="54" t="n">
        <v>233.0</v>
      </c>
      <c r="K60" s="44">
        <f si="2" t="shared"/>
        <v>9122</v>
      </c>
      <c r="L60" s="63">
        <f si="3" t="shared"/>
        <v>1.088316878933397E-2</v>
      </c>
      <c r="W60" s="7"/>
    </row>
    <row r="61" spans="1:23" x14ac:dyDescent="0.45">
      <c r="A61">
        <v>50</v>
      </c>
      <c r="B61" s="44" t="n">
        <v>6471.593706606879</v>
      </c>
      <c r="C61" s="44" t="n">
        <v>474.1333486168425</v>
      </c>
      <c r="D61" s="44" t="n">
        <v>50.0070357253145</v>
      </c>
      <c r="E61" s="44">
        <f si="0" t="shared"/>
        <v>6995.7340909490358</v>
      </c>
      <c r="F61" s="63">
        <f si="1" t="shared"/>
        <v>8.8841430143879845E-3</v>
      </c>
      <c r="G61">
        <v>50</v>
      </c>
      <c r="H61" s="54" t="n">
        <v>8336.0</v>
      </c>
      <c r="I61" s="54" t="n">
        <v>583.0</v>
      </c>
      <c r="J61" s="54" t="n">
        <v>248.0</v>
      </c>
      <c r="K61" s="44">
        <f si="2" t="shared"/>
        <v>8810</v>
      </c>
      <c r="L61" s="63">
        <f si="3" t="shared"/>
        <v>1.0510931488054404E-2</v>
      </c>
      <c r="W61" s="7"/>
    </row>
    <row r="62" spans="1:23" x14ac:dyDescent="0.45">
      <c r="A62">
        <v>51</v>
      </c>
      <c r="B62" s="44" t="n">
        <v>3914.6211140640858</v>
      </c>
      <c r="C62" s="44" t="n">
        <v>311.7031286912199</v>
      </c>
      <c r="D62" s="44" t="n">
        <v>0.0</v>
      </c>
      <c r="E62" s="44">
        <f si="0" t="shared"/>
        <v>4226.3242427553059</v>
      </c>
      <c r="F62" s="63">
        <f si="1" t="shared"/>
        <v>5.3671664059374664E-3</v>
      </c>
      <c r="G62">
        <v>51</v>
      </c>
      <c r="H62" s="54" t="n">
        <v>7964.0</v>
      </c>
      <c r="I62" s="54" t="n">
        <v>549.0</v>
      </c>
      <c r="J62" s="54" t="n">
        <v>205.0</v>
      </c>
      <c r="K62" s="44">
        <f si="2" t="shared"/>
        <v>8084</v>
      </c>
      <c r="L62" s="63">
        <f si="3" t="shared"/>
        <v>9.6447639216154148E-3</v>
      </c>
      <c r="W62" s="7"/>
    </row>
    <row r="63" spans="1:23" x14ac:dyDescent="0.45">
      <c r="A63">
        <v>52</v>
      </c>
      <c r="B63" s="44" t="n">
        <v>2853.786275241482</v>
      </c>
      <c r="C63" s="44" t="n">
        <v>585.6743155370493</v>
      </c>
      <c r="D63" s="44" t="n">
        <v>0.0</v>
      </c>
      <c r="E63" s="44">
        <f si="0" t="shared"/>
        <v>3439.4605907785317</v>
      </c>
      <c r="F63" s="63">
        <f si="1" t="shared"/>
        <v>4.3678989772297895E-3</v>
      </c>
      <c r="G63">
        <v>52</v>
      </c>
      <c r="H63" s="54" t="n">
        <v>7941.0</v>
      </c>
      <c r="I63" s="54" t="n">
        <v>541.0</v>
      </c>
      <c r="J63" s="54" t="n">
        <v>227.0</v>
      </c>
      <c r="K63" s="44">
        <f si="2" t="shared"/>
        <v>7790</v>
      </c>
      <c r="L63" s="63">
        <f si="3" t="shared"/>
        <v>9.2940018492558233E-3</v>
      </c>
      <c r="W63" s="7"/>
    </row>
    <row r="64" spans="1:23" x14ac:dyDescent="0.45">
      <c r="A64">
        <v>53</v>
      </c>
      <c r="B64" s="44" t="n">
        <v>2716.3068755961513</v>
      </c>
      <c r="C64" s="44" t="n">
        <v>0.0</v>
      </c>
      <c r="D64" s="44" t="n">
        <v>52.6330389042402</v>
      </c>
      <c r="E64" s="44">
        <f si="0" t="shared"/>
        <v>2768.9399145003913</v>
      </c>
      <c r="F64" s="63">
        <f si="1" t="shared"/>
        <v>3.5163798221683903E-3</v>
      </c>
      <c r="G64">
        <v>53</v>
      </c>
      <c r="H64" s="54" t="n">
        <v>7692.0</v>
      </c>
      <c r="I64" s="54" t="n">
        <v>501.0</v>
      </c>
      <c r="J64" s="54" t="n">
        <v>192.0</v>
      </c>
      <c r="K64" s="44">
        <f si="2" t="shared"/>
        <v>7323</v>
      </c>
      <c r="L64" s="63">
        <f si="3" t="shared"/>
        <v>8.7368389656098076E-3</v>
      </c>
      <c r="W64" s="7"/>
    </row>
    <row r="65" spans="1:23" x14ac:dyDescent="0.45">
      <c r="A65">
        <v>54</v>
      </c>
      <c r="B65" s="44" t="n">
        <v>3031.536266964372</v>
      </c>
      <c r="C65" s="44" t="n">
        <v>33.4472746181384</v>
      </c>
      <c r="D65" s="44" t="n">
        <v>0.0</v>
      </c>
      <c r="E65" s="44">
        <f si="0" t="shared"/>
        <v>3064.98354158251</v>
      </c>
      <c r="F65" s="63">
        <f si="1" t="shared"/>
        <v>3.8923366391804119E-3</v>
      </c>
      <c r="G65">
        <v>54</v>
      </c>
      <c r="H65" s="54" t="n">
        <v>6847.0</v>
      </c>
      <c r="I65" s="54" t="n">
        <v>481.0</v>
      </c>
      <c r="J65" s="54" t="n">
        <v>174.0</v>
      </c>
      <c r="K65" s="44">
        <f si="2" t="shared"/>
        <v>6649</v>
      </c>
      <c r="L65" s="63">
        <f si="3" t="shared"/>
        <v>7.9327109493840791E-3</v>
      </c>
      <c r="W65" s="7"/>
    </row>
    <row r="66" spans="1:23" x14ac:dyDescent="0.45">
      <c r="A66">
        <v>55</v>
      </c>
      <c r="B66" s="44" t="n">
        <v>3409.896135397336</v>
      </c>
      <c r="C66" s="44" t="n">
        <v>90.0234326003156</v>
      </c>
      <c r="D66" s="44" t="n">
        <v>27.4592533721871</v>
      </c>
      <c r="E66" s="44">
        <f si="0" t="shared"/>
        <v>3527.3788213698385</v>
      </c>
      <c r="F66" s="63">
        <f si="1" t="shared"/>
        <v>4.4795496094566E-3</v>
      </c>
      <c r="G66">
        <v>55</v>
      </c>
      <c r="H66" s="54" t="n">
        <v>6675.0</v>
      </c>
      <c r="I66" s="54" t="n">
        <v>463.0</v>
      </c>
      <c r="J66" s="54" t="n">
        <v>196.0</v>
      </c>
      <c r="K66" s="44">
        <f si="2" t="shared"/>
        <v>6145</v>
      </c>
      <c r="L66" s="63">
        <f si="3" t="shared"/>
        <v>7.3314045396247803E-3</v>
      </c>
      <c r="W66" s="7"/>
    </row>
    <row r="67" spans="1:23" x14ac:dyDescent="0.45">
      <c r="A67">
        <v>56</v>
      </c>
      <c r="B67" s="44" t="n">
        <v>3339.010159680914</v>
      </c>
      <c r="C67" s="44" t="n">
        <v>113.85321734891039</v>
      </c>
      <c r="D67" s="44" t="n">
        <v>0.0</v>
      </c>
      <c r="E67" s="44">
        <f si="0" t="shared"/>
        <v>3452.8633770298243</v>
      </c>
      <c r="F67" s="63">
        <f si="1" t="shared"/>
        <v>4.3849196741716319E-3</v>
      </c>
      <c r="G67">
        <v>56</v>
      </c>
      <c r="H67" s="54" t="n">
        <v>6401.0</v>
      </c>
      <c r="I67" s="54" t="n">
        <v>456.0</v>
      </c>
      <c r="J67" s="54" t="n">
        <v>155.0</v>
      </c>
      <c r="K67" s="44">
        <f si="2" t="shared"/>
        <v>5708</v>
      </c>
      <c r="L67" s="63">
        <f si="3" t="shared"/>
        <v>6.8100337041787215E-3</v>
      </c>
      <c r="W67" s="7"/>
    </row>
    <row r="68" spans="1:23" x14ac:dyDescent="0.45">
      <c r="A68">
        <v>57</v>
      </c>
      <c r="B68" s="44" t="n">
        <v>2968.4403032900427</v>
      </c>
      <c r="C68" s="44" t="n">
        <v>273.44729690211</v>
      </c>
      <c r="D68" s="44" t="n">
        <v>0.0</v>
      </c>
      <c r="E68" s="44">
        <f si="0" t="shared"/>
        <v>3241.8876001921526</v>
      </c>
      <c r="F68" s="63">
        <f si="1" t="shared"/>
        <v>4.1169936853290212E-3</v>
      </c>
      <c r="G68">
        <v>57</v>
      </c>
      <c r="H68" s="54" t="n">
        <v>5592.0</v>
      </c>
      <c r="I68" s="54" t="n">
        <v>378.0</v>
      </c>
      <c r="J68" s="54" t="n">
        <v>133.0</v>
      </c>
      <c r="K68" s="44">
        <f si="2" t="shared"/>
        <v>5468</v>
      </c>
      <c r="L68" s="63">
        <f si="3" t="shared"/>
        <v>6.5236973185790557E-3</v>
      </c>
      <c r="W68" s="7"/>
    </row>
    <row r="69" spans="1:23" x14ac:dyDescent="0.45">
      <c r="A69">
        <v>58</v>
      </c>
      <c r="B69" s="44" t="n">
        <v>2365.775590353022</v>
      </c>
      <c r="C69" s="44" t="n">
        <v>153.617328534944</v>
      </c>
      <c r="D69" s="44" t="n">
        <v>0.0</v>
      </c>
      <c r="E69" s="44">
        <f si="0" t="shared"/>
        <v>2519.3929188879661</v>
      </c>
      <c r="F69" s="63">
        <f si="1" t="shared"/>
        <v>3.1994708074732821E-3</v>
      </c>
      <c r="G69">
        <v>58</v>
      </c>
      <c r="H69" s="54" t="n">
        <v>5138.0</v>
      </c>
      <c r="I69" s="54" t="n">
        <v>392.0</v>
      </c>
      <c r="J69" s="54" t="n">
        <v>139.0</v>
      </c>
      <c r="K69" s="44">
        <f si="2" t="shared"/>
        <v>5045</v>
      </c>
      <c r="L69" s="63">
        <f si="3" t="shared"/>
        <v>6.0190294389596442E-3</v>
      </c>
      <c r="W69" s="7"/>
    </row>
    <row r="70" spans="1:23" x14ac:dyDescent="0.45">
      <c r="A70">
        <v>59</v>
      </c>
      <c r="B70" s="44" t="n">
        <v>2777.489129177605</v>
      </c>
      <c r="C70" s="44" t="n">
        <v>124.1273196276465</v>
      </c>
      <c r="D70" s="44" t="n">
        <v>0.0</v>
      </c>
      <c r="E70" s="44">
        <f si="0" t="shared"/>
        <v>2901.6164488052514</v>
      </c>
      <c r="F70" s="63">
        <f si="1" t="shared"/>
        <v>3.6848706896161305E-3</v>
      </c>
      <c r="G70">
        <v>59</v>
      </c>
      <c r="H70" s="54" t="n">
        <v>5077.0</v>
      </c>
      <c r="I70" s="54" t="n">
        <v>378.0</v>
      </c>
      <c r="J70" s="54" t="n">
        <v>144.0</v>
      </c>
      <c r="K70" s="44">
        <f si="2" t="shared"/>
        <v>4996</v>
      </c>
      <c r="L70" s="63">
        <f si="3" t="shared"/>
        <v>5.9605690935663792E-3</v>
      </c>
      <c r="W70" s="7"/>
    </row>
    <row r="71" spans="1:23" x14ac:dyDescent="0.45">
      <c r="A71">
        <v>60</v>
      </c>
      <c r="B71" s="44" t="n">
        <v>1471.7923841422767</v>
      </c>
      <c r="C71" s="44" t="n">
        <v>0.0</v>
      </c>
      <c r="D71" s="44" t="n">
        <v>0.0</v>
      </c>
      <c r="E71" s="44">
        <f si="0" t="shared"/>
        <v>1471.7923841422767</v>
      </c>
      <c r="F71" s="63">
        <f si="1" t="shared"/>
        <v>1.869083910025119E-3</v>
      </c>
      <c r="G71">
        <v>60</v>
      </c>
      <c r="H71" s="54" t="n">
        <v>5248.0</v>
      </c>
      <c r="I71" s="54" t="n">
        <v>359.0</v>
      </c>
      <c r="J71" s="54" t="n">
        <v>130.0</v>
      </c>
      <c r="K71" s="44">
        <f si="2" t="shared"/>
        <v>4562</v>
      </c>
      <c r="L71" s="63">
        <f si="3" t="shared"/>
        <v>5.4427774629403165E-3</v>
      </c>
      <c r="W71" s="7"/>
    </row>
    <row r="72" spans="1:23" x14ac:dyDescent="0.45">
      <c r="A72">
        <v>61</v>
      </c>
      <c r="B72" s="44" t="n">
        <v>2799.1323243948355</v>
      </c>
      <c r="C72" s="44" t="n">
        <v>0.0</v>
      </c>
      <c r="D72" s="44" t="n">
        <v>39.3446132143828</v>
      </c>
      <c r="E72" s="44">
        <f si="0" t="shared"/>
        <v>2838.4769376092181</v>
      </c>
      <c r="F72" s="63">
        <f si="1" t="shared"/>
        <v>3.6046874750983223E-3</v>
      </c>
      <c r="G72">
        <v>61</v>
      </c>
      <c r="H72" s="54" t="n">
        <v>4767.0</v>
      </c>
      <c r="I72" s="54" t="n">
        <v>305.0</v>
      </c>
      <c r="J72" s="54" t="n">
        <v>124.0</v>
      </c>
      <c r="K72" s="44">
        <f si="2" t="shared"/>
        <v>4365</v>
      </c>
      <c r="L72" s="63">
        <f si="3" t="shared"/>
        <v>5.2077430130939243E-3</v>
      </c>
      <c r="W72" s="7"/>
    </row>
    <row r="73" spans="1:23" x14ac:dyDescent="0.45">
      <c r="A73">
        <v>62</v>
      </c>
      <c r="B73" s="44" t="n">
        <v>3976.7381213352896</v>
      </c>
      <c r="C73" s="44" t="n">
        <v>152.3427099374647</v>
      </c>
      <c r="D73" s="44" t="n">
        <v>0.0</v>
      </c>
      <c r="E73" s="44">
        <f si="0" t="shared"/>
        <v>4129.080831272754</v>
      </c>
      <c r="F73" s="63">
        <f si="1" t="shared"/>
        <v>5.2436733795321738E-3</v>
      </c>
      <c r="G73">
        <v>62</v>
      </c>
      <c r="H73" s="54" t="n">
        <v>4582.0</v>
      </c>
      <c r="I73" s="54" t="n">
        <v>333.0</v>
      </c>
      <c r="J73" s="54" t="n">
        <v>128.0</v>
      </c>
      <c r="K73" s="44">
        <f si="2" t="shared"/>
        <v>4018</v>
      </c>
      <c r="L73" s="63">
        <f si="3" t="shared"/>
        <v>4.7937483222477402E-3</v>
      </c>
      <c r="W73" s="7"/>
    </row>
    <row r="74" spans="1:23" x14ac:dyDescent="0.45">
      <c r="A74">
        <v>63</v>
      </c>
      <c r="B74" s="44" t="n">
        <v>2093.965396779331</v>
      </c>
      <c r="C74" s="44" t="n">
        <v>0.0</v>
      </c>
      <c r="D74" s="44" t="n">
        <v>0.0</v>
      </c>
      <c r="E74" s="44">
        <f si="0" t="shared"/>
        <v>2093.9653967793311</v>
      </c>
      <c r="F74" s="63">
        <f si="1" t="shared"/>
        <v>2.6592045681432669E-3</v>
      </c>
      <c r="G74">
        <v>63</v>
      </c>
      <c r="H74" s="54" t="n">
        <v>4382.0</v>
      </c>
      <c r="I74" s="54" t="n">
        <v>309.0</v>
      </c>
      <c r="J74" s="54" t="n">
        <v>107.0</v>
      </c>
      <c r="K74" s="44">
        <f si="2" t="shared"/>
        <v>3697</v>
      </c>
      <c r="L74" s="63">
        <f si="3" t="shared"/>
        <v>4.4107734065081871E-3</v>
      </c>
      <c r="W74" s="7"/>
    </row>
    <row r="75" spans="1:23" x14ac:dyDescent="0.45">
      <c r="A75">
        <v>64</v>
      </c>
      <c r="B75" s="44" t="n">
        <v>1260.1609928699772</v>
      </c>
      <c r="C75" s="44" t="n">
        <v>536.3498642306611</v>
      </c>
      <c r="D75" s="44" t="n">
        <v>0.0</v>
      </c>
      <c r="E75" s="44">
        <f si="0" t="shared"/>
        <v>1796.5108571006383</v>
      </c>
      <c r="F75" s="63">
        <f si="1" t="shared"/>
        <v>2.281455980728625E-3</v>
      </c>
      <c r="G75">
        <v>64</v>
      </c>
      <c r="H75" s="54" t="n">
        <v>3976.0</v>
      </c>
      <c r="I75" s="54" t="n">
        <v>282.0</v>
      </c>
      <c r="J75" s="54" t="n">
        <v>81.0</v>
      </c>
      <c r="K75" s="44">
        <f si="2" t="shared"/>
        <v>3626</v>
      </c>
      <c r="L75" s="63">
        <f si="3" t="shared"/>
        <v>4.3260655591016196E-3</v>
      </c>
      <c r="W75" s="7"/>
    </row>
    <row r="76" spans="1:23" x14ac:dyDescent="0.45">
      <c r="A76">
        <v>65</v>
      </c>
      <c r="B76" s="44" t="n">
        <v>1913.6076825417667</v>
      </c>
      <c r="C76" s="44" t="n">
        <v>0.0</v>
      </c>
      <c r="D76" s="44" t="n">
        <v>0.0</v>
      </c>
      <c r="E76" s="44">
        <f ref="E76:E101" si="4" t="shared">SUM(B76:D76)</f>
        <v>1913.6076825417667</v>
      </c>
      <c r="F76" s="63">
        <f ref="F76:F101" si="5" t="shared">E76/SUM($E$11:$E$101)</f>
        <v>2.4301615962116006E-3</v>
      </c>
      <c r="G76">
        <v>65</v>
      </c>
      <c r="H76" s="54" t="n">
        <v>3942.0</v>
      </c>
      <c r="I76" s="54" t="n">
        <v>240.0</v>
      </c>
      <c r="J76" s="54" t="n">
        <v>94.0</v>
      </c>
      <c r="K76" s="44">
        <f ref="K76:K101" si="6" t="shared">SUM(H76:J76)</f>
        <v>3231</v>
      </c>
      <c r="L76" s="63">
        <f ref="L76:L101" si="7" t="shared">K76/SUM($K$11:$K$101)</f>
        <v>3.8548035911355029E-3</v>
      </c>
      <c r="W76" s="7"/>
    </row>
    <row r="77" spans="1:23" x14ac:dyDescent="0.45">
      <c r="A77">
        <v>66</v>
      </c>
      <c r="B77" s="44" t="n">
        <v>1450.6351354077478</v>
      </c>
      <c r="C77" s="44" t="n">
        <v>0.0</v>
      </c>
      <c r="D77" s="44" t="n">
        <v>0.0</v>
      </c>
      <c r="E77" s="44">
        <f si="4" t="shared"/>
        <v>1450.6351354077478</v>
      </c>
      <c r="F77" s="63">
        <f si="5" t="shared"/>
        <v>1.8422155326532979E-3</v>
      </c>
      <c r="G77">
        <v>66</v>
      </c>
      <c r="H77" s="54" t="n">
        <v>3699.0</v>
      </c>
      <c r="I77" s="54" t="n">
        <v>233.0</v>
      </c>
      <c r="J77" s="54" t="n">
        <v>80.0</v>
      </c>
      <c r="K77" s="44">
        <f si="6" t="shared"/>
        <v>3187</v>
      </c>
      <c r="L77" s="63">
        <f si="7" t="shared"/>
        <v>3.8023085871088974E-3</v>
      </c>
      <c r="W77" s="7"/>
    </row>
    <row r="78" spans="1:23" x14ac:dyDescent="0.45">
      <c r="A78">
        <v>67</v>
      </c>
      <c r="B78" s="44" t="n">
        <v>1159.472893367872</v>
      </c>
      <c r="C78" s="44" t="n">
        <v>0.0</v>
      </c>
      <c r="D78" s="44" t="n">
        <v>0.0</v>
      </c>
      <c r="E78" s="44">
        <f si="4" t="shared"/>
        <v>1159.4728933678721</v>
      </c>
      <c r="F78" s="63">
        <f si="5" t="shared"/>
        <v>1.4724577681295189E-3</v>
      </c>
      <c r="G78">
        <v>67</v>
      </c>
      <c r="H78" s="54" t="n">
        <v>3617.0</v>
      </c>
      <c r="I78" s="54" t="n">
        <v>230.0</v>
      </c>
      <c r="J78" s="54" t="n">
        <v>89.0</v>
      </c>
      <c r="K78" s="44">
        <f si="6" t="shared"/>
        <v>2920</v>
      </c>
      <c r="L78" s="63">
        <f si="7" t="shared"/>
        <v>3.4837593581292688E-3</v>
      </c>
      <c r="W78" s="7"/>
    </row>
    <row r="79" spans="1:23" x14ac:dyDescent="0.45">
      <c r="A79">
        <v>68</v>
      </c>
      <c r="B79" s="44" t="n">
        <v>1603.3714213602123</v>
      </c>
      <c r="C79" s="44" t="n">
        <v>0.0</v>
      </c>
      <c r="D79" s="44" t="n">
        <v>0.0</v>
      </c>
      <c r="E79" s="44">
        <f si="4" t="shared"/>
        <v>1603.3714213602123</v>
      </c>
      <c r="F79" s="63">
        <f si="5" t="shared"/>
        <v>2.0361810250872836E-3</v>
      </c>
      <c r="G79">
        <v>68</v>
      </c>
      <c r="H79" s="54" t="n">
        <v>3293.0</v>
      </c>
      <c r="I79" s="54" t="n">
        <v>206.0</v>
      </c>
      <c r="J79" s="54" t="n">
        <v>69.0</v>
      </c>
      <c r="K79" s="44">
        <f si="6" t="shared"/>
        <v>2852</v>
      </c>
      <c r="L79" s="63">
        <f si="7" t="shared"/>
        <v>3.4026307155426969E-3</v>
      </c>
      <c r="W79" s="7"/>
    </row>
    <row r="80" spans="1:23" x14ac:dyDescent="0.45">
      <c r="A80">
        <v>69</v>
      </c>
      <c r="B80" s="44" t="n">
        <v>1280.9325900204908</v>
      </c>
      <c r="C80" s="44" t="n">
        <v>0.0</v>
      </c>
      <c r="D80" s="44" t="n">
        <v>0.0</v>
      </c>
      <c r="E80" s="44">
        <f si="4" t="shared"/>
        <v>1280.9325900204908</v>
      </c>
      <c r="F80" s="63">
        <f si="5" t="shared"/>
        <v>1.6267039560945709E-3</v>
      </c>
      <c r="G80">
        <v>69</v>
      </c>
      <c r="H80" s="54" t="n">
        <v>3029.0</v>
      </c>
      <c r="I80" s="54" t="n">
        <v>184.0</v>
      </c>
      <c r="J80" s="54" t="n">
        <v>74.0</v>
      </c>
      <c r="K80" s="44">
        <f si="6" t="shared"/>
        <v>2629</v>
      </c>
      <c r="L80" s="63">
        <f si="7" t="shared"/>
        <v>3.1365764905896738E-3</v>
      </c>
      <c r="W80" s="7"/>
    </row>
    <row r="81" spans="1:23" x14ac:dyDescent="0.45">
      <c r="A81">
        <v>70</v>
      </c>
      <c r="B81" s="44" t="n">
        <v>1787.7460062885596</v>
      </c>
      <c r="C81" s="44" t="n">
        <v>90.5276120010696</v>
      </c>
      <c r="D81" s="44" t="n">
        <v>0.0</v>
      </c>
      <c r="E81" s="44">
        <f si="4" t="shared"/>
        <v>1878.2736182896292</v>
      </c>
      <c r="F81" s="63">
        <f si="5" t="shared"/>
        <v>2.3852895533331125E-3</v>
      </c>
      <c r="G81">
        <v>70</v>
      </c>
      <c r="H81" s="54" t="n">
        <v>2883.0</v>
      </c>
      <c r="I81" s="54" t="n">
        <v>176.0</v>
      </c>
      <c r="J81" s="54" t="n">
        <v>70.0</v>
      </c>
      <c r="K81" s="44">
        <f si="6" t="shared"/>
        <v>2644</v>
      </c>
      <c r="L81" s="63">
        <f si="7" t="shared"/>
        <v>3.1544725146896531E-3</v>
      </c>
      <c r="W81" s="7"/>
    </row>
    <row r="82" spans="1:23" x14ac:dyDescent="0.45">
      <c r="A82">
        <v>71</v>
      </c>
      <c r="B82" s="44" t="n">
        <v>1330.857803781982</v>
      </c>
      <c r="C82" s="44" t="n">
        <v>0.0</v>
      </c>
      <c r="D82" s="44" t="n">
        <v>0.0</v>
      </c>
      <c r="E82" s="44">
        <f si="4" t="shared"/>
        <v>1330.8578037819821</v>
      </c>
      <c r="F82" s="63">
        <f si="5" t="shared"/>
        <v>1.6901058426320862E-3</v>
      </c>
      <c r="G82">
        <v>71</v>
      </c>
      <c r="H82" s="54" t="n">
        <v>2793.0</v>
      </c>
      <c r="I82" s="54" t="n">
        <v>165.0</v>
      </c>
      <c r="J82" s="54" t="n">
        <v>62.0</v>
      </c>
      <c r="K82" s="44">
        <f si="6" t="shared"/>
        <v>2476</v>
      </c>
      <c r="L82" s="63">
        <f si="7" t="shared"/>
        <v>2.9540370447698871E-3</v>
      </c>
      <c r="W82" s="7"/>
    </row>
    <row r="83" spans="1:23" x14ac:dyDescent="0.45">
      <c r="A83">
        <v>72</v>
      </c>
      <c r="B83" s="44" t="n">
        <v>1559.8748658383913</v>
      </c>
      <c r="C83" s="44" t="n">
        <v>151.695036106959</v>
      </c>
      <c r="D83" s="44" t="n">
        <v>0.0</v>
      </c>
      <c r="E83" s="44">
        <f si="4" t="shared"/>
        <v>1711.5699019453502</v>
      </c>
      <c r="F83" s="63">
        <f si="5" t="shared"/>
        <v>2.1735863013543589E-3</v>
      </c>
      <c r="G83">
        <v>72</v>
      </c>
      <c r="H83" s="54" t="n">
        <v>2641.0</v>
      </c>
      <c r="I83" s="54" t="n">
        <v>171.0</v>
      </c>
      <c r="J83" s="54" t="n">
        <v>48.0</v>
      </c>
      <c r="K83" s="44">
        <f si="6" t="shared"/>
        <v>2287</v>
      </c>
      <c r="L83" s="63">
        <f si="7" t="shared"/>
        <v>2.72854714111015E-3</v>
      </c>
      <c r="W83" s="7"/>
    </row>
    <row r="84" spans="1:23" x14ac:dyDescent="0.45">
      <c r="A84">
        <v>73</v>
      </c>
      <c r="B84" s="44" t="n">
        <v>771.1746882374912</v>
      </c>
      <c r="C84" s="44" t="n">
        <v>255.0346726298934</v>
      </c>
      <c r="D84" s="44" t="n">
        <v>0.0</v>
      </c>
      <c r="E84" s="44">
        <f si="4" t="shared"/>
        <v>1026.2093608673845</v>
      </c>
      <c r="F84" s="63">
        <f si="5" t="shared"/>
        <v>1.3032214498325406E-3</v>
      </c>
      <c r="G84">
        <v>73</v>
      </c>
      <c r="H84" s="54" t="n">
        <v>2401.0</v>
      </c>
      <c r="I84" s="54" t="n">
        <v>138.0</v>
      </c>
      <c r="J84" s="54" t="n">
        <v>58.0</v>
      </c>
      <c r="K84" s="44">
        <f si="6" t="shared"/>
        <v>2153</v>
      </c>
      <c r="L84" s="63">
        <f si="7" t="shared"/>
        <v>2.5686759924836698E-3</v>
      </c>
      <c r="W84" s="7"/>
    </row>
    <row r="85" spans="1:23" x14ac:dyDescent="0.45">
      <c r="A85">
        <v>74</v>
      </c>
      <c r="B85" s="44" t="n">
        <v>497.4929311425539</v>
      </c>
      <c r="C85" s="44" t="n">
        <v>0.0</v>
      </c>
      <c r="D85" s="44" t="n">
        <v>0.0</v>
      </c>
      <c r="E85" s="44">
        <f si="4" t="shared"/>
        <v>497.49293114255391</v>
      </c>
      <c r="F85" s="63">
        <f si="5" t="shared"/>
        <v>6.3178478362060453E-4</v>
      </c>
      <c r="G85">
        <v>74</v>
      </c>
      <c r="H85" s="54" t="n">
        <v>2295.0</v>
      </c>
      <c r="I85" s="54" t="n">
        <v>140.0</v>
      </c>
      <c r="J85" s="54" t="n">
        <v>45.0</v>
      </c>
      <c r="K85" s="44">
        <f si="6" t="shared"/>
        <v>1914</v>
      </c>
      <c r="L85" s="63">
        <f si="7" t="shared"/>
        <v>2.2835326751573359E-3</v>
      </c>
      <c r="W85" s="7"/>
    </row>
    <row r="86" spans="1:23" x14ac:dyDescent="0.45">
      <c r="A86">
        <v>75</v>
      </c>
      <c r="B86" s="44" t="n">
        <v>1346.697800892893</v>
      </c>
      <c r="C86" s="44" t="n">
        <v>42.6515126545767</v>
      </c>
      <c r="D86" s="44" t="n">
        <v>443.047486596985</v>
      </c>
      <c r="E86" s="44">
        <f si="4" t="shared"/>
        <v>1832.3968001444546</v>
      </c>
      <c r="F86" s="63">
        <f si="5" t="shared"/>
        <v>2.3270288750185785E-3</v>
      </c>
      <c r="G86">
        <v>75</v>
      </c>
      <c r="H86" s="54" t="n">
        <v>2311.0</v>
      </c>
      <c r="I86" s="54" t="n">
        <v>138.0</v>
      </c>
      <c r="J86" s="54" t="n">
        <v>40.0</v>
      </c>
      <c r="K86" s="44">
        <f si="6" t="shared"/>
        <v>1878</v>
      </c>
      <c r="L86" s="63">
        <f si="7" t="shared"/>
        <v>2.240582217317386E-3</v>
      </c>
      <c r="W86" s="7"/>
    </row>
    <row r="87" spans="1:23" x14ac:dyDescent="0.45">
      <c r="A87">
        <v>76</v>
      </c>
      <c r="B87" s="44" t="n">
        <v>2211.9637505326223</v>
      </c>
      <c r="C87" s="44" t="n">
        <v>32.1718631552981</v>
      </c>
      <c r="D87" s="44" t="n">
        <v>0.0</v>
      </c>
      <c r="E87" s="44">
        <f si="4" t="shared"/>
        <v>2244.1356136879203</v>
      </c>
      <c r="F87" s="63">
        <f si="5" t="shared"/>
        <v>2.8499113140219661E-3</v>
      </c>
      <c r="G87">
        <v>76</v>
      </c>
      <c r="H87" s="54" t="n">
        <v>2079.0</v>
      </c>
      <c r="I87" s="54" t="n">
        <v>130.0</v>
      </c>
      <c r="J87" s="54" t="n">
        <v>39.0</v>
      </c>
      <c r="K87" s="44">
        <f si="6" t="shared"/>
        <v>1916</v>
      </c>
      <c r="L87" s="63">
        <f si="7" t="shared"/>
        <v>2.2859188117039997E-3</v>
      </c>
      <c r="W87" s="7"/>
    </row>
    <row r="88" spans="1:23" x14ac:dyDescent="0.45">
      <c r="A88">
        <v>77</v>
      </c>
      <c r="B88" s="44" t="n">
        <v>1116.2673647183728</v>
      </c>
      <c r="C88" s="44" t="n">
        <v>40.512360877359</v>
      </c>
      <c r="D88" s="44" t="n">
        <v>0.0</v>
      </c>
      <c r="E88" s="44">
        <f si="4" t="shared"/>
        <v>1156.7797255957319</v>
      </c>
      <c r="F88" s="63">
        <f si="5" t="shared"/>
        <v>1.4690376141702096E-3</v>
      </c>
      <c r="G88">
        <v>77</v>
      </c>
      <c r="H88" s="54" t="n">
        <v>1892.0</v>
      </c>
      <c r="I88" s="54" t="n">
        <v>143.0</v>
      </c>
      <c r="J88" s="54" t="n">
        <v>50.0</v>
      </c>
      <c r="K88" s="44">
        <f si="6" t="shared"/>
        <v>1632</v>
      </c>
      <c r="L88" s="63">
        <f si="7" t="shared"/>
        <v>1.9470874220777284E-3</v>
      </c>
      <c r="W88" s="7"/>
    </row>
    <row r="89" spans="1:23" x14ac:dyDescent="0.45">
      <c r="A89">
        <v>78</v>
      </c>
      <c r="B89" s="44" t="n">
        <v>1519.0985534320566</v>
      </c>
      <c r="C89" s="44" t="n">
        <v>0.0</v>
      </c>
      <c r="D89" s="44" t="n">
        <v>0.0</v>
      </c>
      <c r="E89" s="44">
        <f si="4" t="shared"/>
        <v>1519.0985534320566</v>
      </c>
      <c r="F89" s="63">
        <f si="5" t="shared"/>
        <v>1.9291597745404669E-3</v>
      </c>
      <c r="G89">
        <v>78</v>
      </c>
      <c r="H89" s="54" t="n">
        <v>1886.0</v>
      </c>
      <c r="I89" s="54" t="n">
        <v>130.0</v>
      </c>
      <c r="J89" s="54" t="n">
        <v>37.0</v>
      </c>
      <c r="K89" s="44">
        <f si="6" t="shared"/>
        <v>1629</v>
      </c>
      <c r="L89" s="63">
        <f si="7" t="shared"/>
        <v>1.9435082172577327E-3</v>
      </c>
      <c r="W89" s="7"/>
    </row>
    <row r="90" spans="1:23" x14ac:dyDescent="0.45">
      <c r="A90">
        <v>79</v>
      </c>
      <c r="B90" s="44" t="n">
        <v>997.3100775312311</v>
      </c>
      <c r="C90" s="44" t="n">
        <v>26.8856274469222</v>
      </c>
      <c r="D90" s="44" t="n">
        <v>0.0</v>
      </c>
      <c r="E90" s="44">
        <f si="4" t="shared"/>
        <v>1024.1957049781533</v>
      </c>
      <c r="F90" s="63">
        <f si="5" t="shared"/>
        <v>1.3006642332961317E-3</v>
      </c>
      <c r="G90">
        <v>79</v>
      </c>
      <c r="H90" s="54" t="n">
        <v>1642.0</v>
      </c>
      <c r="I90" s="54" t="n">
        <v>111.0</v>
      </c>
      <c r="J90" s="54" t="n">
        <v>22.0</v>
      </c>
      <c r="K90" s="44">
        <f si="6" t="shared"/>
        <v>1455</v>
      </c>
      <c r="L90" s="63">
        <f si="7" t="shared"/>
        <v>1.7359143376979747E-3</v>
      </c>
      <c r="W90" s="7"/>
    </row>
    <row r="91" spans="1:23" x14ac:dyDescent="0.45">
      <c r="A91">
        <v>80</v>
      </c>
      <c r="B91" s="44" t="n">
        <v>596.984151757921</v>
      </c>
      <c r="C91" s="44" t="n">
        <v>0.0</v>
      </c>
      <c r="D91" s="44" t="n">
        <v>36.3774810046632</v>
      </c>
      <c r="E91" s="44">
        <f si="4" t="shared"/>
        <v>633.36163276258424</v>
      </c>
      <c r="F91" s="63">
        <f si="5" t="shared"/>
        <v>8.0432950311376745E-4</v>
      </c>
      <c r="G91">
        <v>80</v>
      </c>
      <c r="H91" s="54" t="n">
        <v>1474.0</v>
      </c>
      <c r="I91" s="54" t="n">
        <v>105.0</v>
      </c>
      <c r="J91" s="54" t="n">
        <v>42.0</v>
      </c>
      <c r="K91" s="44">
        <f si="6" t="shared"/>
        <v>1282</v>
      </c>
      <c r="L91" s="63">
        <f si="7" t="shared"/>
        <v>1.5295135264115488E-3</v>
      </c>
      <c r="W91" s="7"/>
    </row>
    <row r="92" spans="1:23" x14ac:dyDescent="0.45">
      <c r="A92">
        <v>81</v>
      </c>
      <c r="B92" s="44" t="n">
        <v>631.702251477386</v>
      </c>
      <c r="C92" s="44" t="n">
        <v>0.0</v>
      </c>
      <c r="D92" s="44" t="n">
        <v>0.0</v>
      </c>
      <c r="E92" s="44">
        <f si="4" t="shared"/>
        <v>631.70225147738597</v>
      </c>
      <c r="F92" s="63">
        <f si="5" t="shared"/>
        <v>8.0222219307861701E-4</v>
      </c>
      <c r="G92">
        <v>81</v>
      </c>
      <c r="H92" s="54" t="n">
        <v>1343.0</v>
      </c>
      <c r="I92" s="54" t="n">
        <v>74.0</v>
      </c>
      <c r="J92" s="54" t="n">
        <v>29.0</v>
      </c>
      <c r="K92" s="44">
        <f si="6" t="shared"/>
        <v>1197</v>
      </c>
      <c r="L92" s="63">
        <f si="7" t="shared"/>
        <v>1.4281027231783339E-3</v>
      </c>
      <c r="W92" s="7"/>
    </row>
    <row r="93" spans="1:23" x14ac:dyDescent="0.45">
      <c r="A93">
        <v>82</v>
      </c>
      <c r="B93" s="44" t="n">
        <v>658.1438028697414</v>
      </c>
      <c r="C93" s="44" t="n">
        <v>0.0</v>
      </c>
      <c r="D93" s="44" t="n">
        <v>0.0</v>
      </c>
      <c r="E93" s="44">
        <f si="4" t="shared"/>
        <v>658.14380286974142</v>
      </c>
      <c r="F93" s="63">
        <f si="5" t="shared"/>
        <v>8.3580130301018222E-4</v>
      </c>
      <c r="G93">
        <v>82</v>
      </c>
      <c r="H93" s="54" t="n">
        <v>1187.0</v>
      </c>
      <c r="I93" s="54" t="n">
        <v>70.0</v>
      </c>
      <c r="J93" s="54" t="n">
        <v>22.0</v>
      </c>
      <c r="K93" s="44">
        <f si="6" t="shared"/>
        <v>1008</v>
      </c>
      <c r="L93" s="63">
        <f si="7" t="shared"/>
        <v>1.2026128195185969E-3</v>
      </c>
      <c r="W93" s="7"/>
    </row>
    <row r="94" spans="1:23" x14ac:dyDescent="0.45">
      <c r="A94">
        <v>83</v>
      </c>
      <c r="B94" s="44" t="n">
        <v>1292.21320279819</v>
      </c>
      <c r="C94" s="44" t="n">
        <v>0.0</v>
      </c>
      <c r="D94" s="44" t="n">
        <v>0.0</v>
      </c>
      <c r="E94" s="44">
        <f si="4" t="shared"/>
        <v>1292.21320279819</v>
      </c>
      <c r="F94" s="63">
        <f si="5" t="shared"/>
        <v>1.6410296259819774E-3</v>
      </c>
      <c r="G94">
        <v>83</v>
      </c>
      <c r="H94" s="54" t="n">
        <v>1065.0</v>
      </c>
      <c r="I94" s="54" t="n">
        <v>82.0</v>
      </c>
      <c r="J94" s="44" t="n">
        <v>21.0</v>
      </c>
      <c r="K94" s="44">
        <f si="6" t="shared"/>
        <v>948</v>
      </c>
      <c r="L94" s="63">
        <f si="7" t="shared"/>
        <v>1.1310287231186805E-3</v>
      </c>
      <c r="W94" s="7"/>
    </row>
    <row ht="14.65" r="95" spans="1:23" thickBot="1" x14ac:dyDescent="0.5">
      <c r="A95">
        <v>84</v>
      </c>
      <c r="B95" s="44" t="n">
        <v>121.411309128618</v>
      </c>
      <c r="C95" s="44" t="n">
        <v>0.0</v>
      </c>
      <c r="D95" s="44" t="n">
        <v>0.0</v>
      </c>
      <c r="E95" s="44">
        <f si="4" t="shared"/>
        <v>121.411309128618</v>
      </c>
      <c r="F95" s="63">
        <f si="5" t="shared"/>
        <v>1.5418473884795485E-4</v>
      </c>
      <c r="G95">
        <v>84</v>
      </c>
      <c r="H95" s="54" t="n">
        <v>951.0</v>
      </c>
      <c r="I95" s="54" t="n">
        <v>64.0</v>
      </c>
      <c r="J95" s="54" t="n">
        <v>19.0</v>
      </c>
      <c r="K95" s="44">
        <f si="6" t="shared"/>
        <v>903</v>
      </c>
      <c r="L95" s="63">
        <f si="7" t="shared"/>
        <v>1.0773406508187431E-3</v>
      </c>
      <c r="W95" s="8"/>
    </row>
    <row r="96" spans="1:23" x14ac:dyDescent="0.45">
      <c r="A96">
        <v>85</v>
      </c>
      <c r="B96" s="44" t="n">
        <v>248.198392154463</v>
      </c>
      <c r="C96" s="44" t="n">
        <v>0.0</v>
      </c>
      <c r="D96" s="44" t="n">
        <v>0.0</v>
      </c>
      <c r="E96" s="44">
        <f si="4" t="shared"/>
        <v>248.19839215446299</v>
      </c>
      <c r="F96" s="63">
        <f si="5" t="shared"/>
        <v>3.1519637298596488E-4</v>
      </c>
      <c r="G96">
        <v>85</v>
      </c>
      <c r="H96" s="54" t="n">
        <v>853.0</v>
      </c>
      <c r="I96" s="54" t="n">
        <v>59.0</v>
      </c>
      <c r="J96" s="44" t="n">
        <v>14.0</v>
      </c>
      <c r="K96" s="44">
        <f si="6" t="shared"/>
        <v>732</v>
      </c>
      <c r="L96" s="63">
        <f si="7" t="shared"/>
        <v>8.7332597607898109E-4</v>
      </c>
    </row>
    <row r="97" spans="1:12" x14ac:dyDescent="0.45">
      <c r="A97">
        <v>86</v>
      </c>
      <c r="B97" s="44" t="n">
        <v>1234.162888669523</v>
      </c>
      <c r="C97" s="44" t="n">
        <v>49.3594307946681</v>
      </c>
      <c r="D97" s="44" t="n">
        <v>0.0</v>
      </c>
      <c r="E97" s="44">
        <f si="4" t="shared"/>
        <v>1283.522319464191</v>
      </c>
      <c r="F97" s="63">
        <f si="5" t="shared"/>
        <v>1.6299927498719345E-3</v>
      </c>
      <c r="G97">
        <v>86</v>
      </c>
      <c r="H97" s="54" t="n">
        <v>742.0</v>
      </c>
      <c r="I97" s="54" t="n">
        <v>50.0</v>
      </c>
      <c r="J97" s="54" t="n">
        <v>12.0</v>
      </c>
      <c r="K97" s="44">
        <f si="6" t="shared"/>
        <v>612</v>
      </c>
      <c r="L97" s="63">
        <f si="7" t="shared"/>
        <v>7.3015778327914819E-4</v>
      </c>
    </row>
    <row r="98" spans="1:12" x14ac:dyDescent="0.45">
      <c r="A98">
        <v>87</v>
      </c>
      <c r="B98" s="44" t="n">
        <v>722.6390194043033</v>
      </c>
      <c r="C98" s="44" t="n">
        <v>0.0</v>
      </c>
      <c r="D98" s="44" t="n">
        <v>0.0</v>
      </c>
      <c r="E98" s="44">
        <f si="4" t="shared"/>
        <v>722.63901940430333</v>
      </c>
      <c r="F98" s="63">
        <f si="5" t="shared"/>
        <v>9.1770617817950664E-4</v>
      </c>
      <c r="G98">
        <v>87</v>
      </c>
      <c r="H98" s="54" t="n">
        <v>574.0</v>
      </c>
      <c r="I98" s="54" t="n">
        <v>47.0</v>
      </c>
      <c r="J98" s="54" t="n">
        <v>6.0</v>
      </c>
      <c r="K98" s="44">
        <f si="6" t="shared"/>
        <v>539</v>
      </c>
      <c r="L98" s="63">
        <f si="7" t="shared"/>
        <v>6.4306379932591647E-4</v>
      </c>
    </row>
    <row r="99" spans="1:12" x14ac:dyDescent="0.45">
      <c r="A99">
        <v>88</v>
      </c>
      <c r="B99" s="44" t="n">
        <v>434.59946437922497</v>
      </c>
      <c r="C99" s="44" t="n">
        <v>0.0</v>
      </c>
      <c r="D99" s="44" t="n">
        <v>0.0</v>
      </c>
      <c r="E99" s="44">
        <f si="4" t="shared"/>
        <v>434.59946437922497</v>
      </c>
      <c r="F99" s="63">
        <f si="5" t="shared"/>
        <v>5.519140300825335E-4</v>
      </c>
      <c r="G99">
        <v>88</v>
      </c>
      <c r="H99" s="54" t="n">
        <v>574.0</v>
      </c>
      <c r="I99" s="54" t="n">
        <v>44.0</v>
      </c>
      <c r="J99" s="54" t="n">
        <v>12.0</v>
      </c>
      <c r="K99" s="44">
        <f si="6" t="shared"/>
        <v>440</v>
      </c>
      <c r="L99" s="63">
        <f si="7" t="shared"/>
        <v>5.2495004026605421E-4</v>
      </c>
    </row>
    <row r="100" spans="1:12" x14ac:dyDescent="0.45">
      <c r="A100">
        <v>89</v>
      </c>
      <c r="B100" s="44" t="n">
        <v>1670.477661098809</v>
      </c>
      <c r="C100" s="44" t="n">
        <v>0.0</v>
      </c>
      <c r="D100" s="44" t="n">
        <v>0.0</v>
      </c>
      <c r="E100" s="44">
        <f si="4" t="shared"/>
        <v>1670.477661098809</v>
      </c>
      <c r="F100" s="63">
        <f si="5" t="shared"/>
        <v>2.1214017357725039E-3</v>
      </c>
      <c r="G100">
        <v>89</v>
      </c>
      <c r="H100" s="54" t="n">
        <v>3877.0</v>
      </c>
      <c r="I100" s="54" t="n">
        <v>342.0</v>
      </c>
      <c r="J100" s="44" t="n">
        <v>88.0</v>
      </c>
      <c r="K100" s="44">
        <f si="6" t="shared"/>
        <v>3840</v>
      </c>
      <c r="L100" s="63">
        <f si="7" t="shared"/>
        <v>4.5813821695946553E-3</v>
      </c>
    </row>
    <row ht="14.65" r="101" spans="1:12" thickBot="1" x14ac:dyDescent="0.5">
      <c r="A101" s="1">
        <v>90</v>
      </c>
      <c r="B101" s="45">
        <v>0</v>
      </c>
      <c r="C101" s="45">
        <v>0</v>
      </c>
      <c r="D101" s="45">
        <v>0</v>
      </c>
      <c r="E101" s="45">
        <f si="4" t="shared"/>
        <v>0</v>
      </c>
      <c r="F101" s="63">
        <f si="5" t="shared"/>
        <v>0</v>
      </c>
      <c r="G101" s="1">
        <v>90</v>
      </c>
      <c r="H101" s="45">
        <v>0</v>
      </c>
      <c r="I101" s="45">
        <v>0</v>
      </c>
      <c r="J101" s="45">
        <v>0</v>
      </c>
      <c r="K101" s="45">
        <f si="6" t="shared"/>
        <v>0</v>
      </c>
      <c r="L101" s="63">
        <f si="7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L39"/>
  <sheetViews>
    <sheetView topLeftCell="A8" workbookViewId="0">
      <selection activeCell="H21" sqref="H21"/>
    </sheetView>
  </sheetViews>
  <sheetFormatPr defaultRowHeight="14.25" x14ac:dyDescent="0.45"/>
  <cols>
    <col min="1" max="1" customWidth="true" width="12.1328125" collapsed="true"/>
    <col min="2" max="2" bestFit="true" customWidth="true" width="11.59765625" collapsed="true"/>
    <col min="3" max="4" bestFit="true" customWidth="true" width="10.59765625" collapsed="true"/>
    <col min="5" max="5" bestFit="true" customWidth="true" width="11.59765625" collapsed="true"/>
    <col min="7" max="7" customWidth="true" width="10.86328125" collapsed="true"/>
    <col min="13" max="13" customWidth="true" width="10.86328125" collapsed="true"/>
    <col min="17" max="17" bestFit="true" customWidth="true" width="9.59765625" collapsed="true"/>
  </cols>
  <sheetData>
    <row r="1" spans="1:11" x14ac:dyDescent="0.45">
      <c r="A1" t="s">
        <v>23</v>
      </c>
    </row>
    <row r="2" spans="1:11" x14ac:dyDescent="0.45">
      <c r="A2" t="s">
        <v>249</v>
      </c>
    </row>
    <row r="3" spans="1:11" x14ac:dyDescent="0.45">
      <c r="A3" t="s">
        <v>250</v>
      </c>
    </row>
    <row r="4" spans="1:11" x14ac:dyDescent="0.45">
      <c r="A4" t="s">
        <v>6</v>
      </c>
    </row>
    <row r="5" spans="1:11" x14ac:dyDescent="0.45">
      <c r="A5" t="s">
        <v>7</v>
      </c>
    </row>
    <row r="7" spans="1:11" x14ac:dyDescent="0.45">
      <c r="A7" t="s">
        <v>11</v>
      </c>
    </row>
    <row ht="14.65" r="9" spans="1:11" thickBot="1" x14ac:dyDescent="0.5">
      <c r="A9" s="4" t="s">
        <v>204</v>
      </c>
      <c r="B9" s="1"/>
      <c r="C9" s="1"/>
      <c r="D9" s="1"/>
      <c r="E9" s="1"/>
      <c r="G9" s="4" t="s">
        <v>13</v>
      </c>
      <c r="H9" s="1"/>
      <c r="I9" s="1"/>
      <c r="J9" s="1"/>
      <c r="K9" s="1"/>
    </row>
    <row r="10" spans="1:11" x14ac:dyDescent="0.45">
      <c r="A10" s="2" t="s">
        <v>21</v>
      </c>
      <c r="B10" s="5" t="s">
        <v>8</v>
      </c>
      <c r="C10" s="5" t="s">
        <v>9</v>
      </c>
      <c r="D10" s="5" t="s">
        <v>10</v>
      </c>
      <c r="E10" s="5" t="s">
        <v>3</v>
      </c>
      <c r="G10" s="2" t="s">
        <v>21</v>
      </c>
      <c r="H10" s="5" t="s">
        <v>8</v>
      </c>
      <c r="I10" s="5" t="s">
        <v>9</v>
      </c>
      <c r="J10" s="5" t="s">
        <v>10</v>
      </c>
      <c r="K10" s="5" t="s">
        <v>3</v>
      </c>
    </row>
    <row r="11" spans="1:11" x14ac:dyDescent="0.45">
      <c r="A11" t="s">
        <v>24</v>
      </c>
      <c r="B11" s="44">
        <f>SUM(TDFD!B11:B15)</f>
        <v>13403.219534006337</v>
      </c>
      <c r="C11" s="44">
        <f>SUM(TDFD!C11:C15)</f>
        <v>3616.5860544866082</v>
      </c>
      <c r="D11" s="44">
        <f>SUM(TDFD!D11:D15)</f>
        <v>525.08837278879696</v>
      </c>
      <c r="E11" s="44">
        <f>SUM(TDFD!E11:E15)</f>
        <v>17544.893961281741</v>
      </c>
      <c r="G11" t="s">
        <v>24</v>
      </c>
      <c r="H11" s="10">
        <f>SUM(TDFD!H11:H15)</f>
        <v>13796</v>
      </c>
      <c r="I11" s="10">
        <f>SUM(TDFD!I11:I15)</f>
        <v>2670</v>
      </c>
      <c r="J11" s="10">
        <f>SUM(TDFD!J11:J15)</f>
        <v>1457</v>
      </c>
      <c r="K11" s="10">
        <f>SUM(TDFD!K11:K15)</f>
        <v>17923</v>
      </c>
    </row>
    <row r="12" spans="1:11" x14ac:dyDescent="0.45">
      <c r="A12" t="s">
        <v>25</v>
      </c>
      <c r="B12" s="44">
        <f>SUM(TDFD!B16:B20)</f>
        <v>77647.097042352922</v>
      </c>
      <c r="C12" s="44">
        <f>SUM(TDFD!C16:C20)</f>
        <v>14904.772443324984</v>
      </c>
      <c r="D12" s="44">
        <f>SUM(TDFD!D16:D20)</f>
        <v>6113.6920663445426</v>
      </c>
      <c r="E12" s="44">
        <f>SUM(TDFD!E16:E20)</f>
        <v>98665.561552022453</v>
      </c>
      <c r="G12" t="s">
        <v>25</v>
      </c>
      <c r="H12" s="10">
        <f>SUM(TDFD!H16:H20)</f>
        <v>55864</v>
      </c>
      <c r="I12" s="10">
        <f>SUM(TDFD!I16:I20)</f>
        <v>12156</v>
      </c>
      <c r="J12" s="10">
        <f>SUM(TDFD!J16:J20)</f>
        <v>7127</v>
      </c>
      <c r="K12" s="10">
        <f>SUM(TDFD!K16:K20)</f>
        <v>75147</v>
      </c>
    </row>
    <row r="13" spans="1:11" x14ac:dyDescent="0.45">
      <c r="A13" t="s">
        <v>26</v>
      </c>
      <c r="B13" s="44">
        <f>SUM(TDFD!B21:B25)</f>
        <v>90357.610383621286</v>
      </c>
      <c r="C13" s="44">
        <f>SUM(TDFD!C21:C25)</f>
        <v>13009.153352846271</v>
      </c>
      <c r="D13" s="44">
        <f>SUM(TDFD!D21:D25)</f>
        <v>8566.3937299451827</v>
      </c>
      <c r="E13" s="44">
        <f>SUM(TDFD!E21:E25)</f>
        <v>111933.15746641275</v>
      </c>
      <c r="G13" t="s">
        <v>26</v>
      </c>
      <c r="H13" s="10">
        <f>SUM(TDFD!H21:H25)</f>
        <v>59973</v>
      </c>
      <c r="I13" s="10">
        <f>SUM(TDFD!I21:I25)</f>
        <v>13075</v>
      </c>
      <c r="J13" s="10">
        <f>SUM(TDFD!J21:J25)</f>
        <v>7389</v>
      </c>
      <c r="K13" s="10">
        <f>SUM(TDFD!K21:K25)</f>
        <v>80437</v>
      </c>
    </row>
    <row r="14" spans="1:11" x14ac:dyDescent="0.45">
      <c r="A14" t="s">
        <v>27</v>
      </c>
      <c r="B14" s="44">
        <f>SUM(TDFD!B26:B30)</f>
        <v>99389.540792468877</v>
      </c>
      <c r="C14" s="44">
        <f>SUM(TDFD!C26:C30)</f>
        <v>11894.108959210353</v>
      </c>
      <c r="D14" s="44">
        <f>SUM(TDFD!D26:D30)</f>
        <v>3634.5441287965973</v>
      </c>
      <c r="E14" s="44">
        <f>SUM(TDFD!E26:E30)</f>
        <v>114918.19388047582</v>
      </c>
      <c r="G14" t="s">
        <v>27</v>
      </c>
      <c r="H14" s="10">
        <f>SUM(TDFD!H26:H30)</f>
        <v>70332</v>
      </c>
      <c r="I14" s="10">
        <f>SUM(TDFD!I26:I30)</f>
        <v>11262</v>
      </c>
      <c r="J14" s="10">
        <f>SUM(TDFD!J26:J30)</f>
        <v>5391</v>
      </c>
      <c r="K14" s="10">
        <f>SUM(TDFD!K26:K30)</f>
        <v>86985</v>
      </c>
    </row>
    <row r="15" spans="1:11" x14ac:dyDescent="0.45">
      <c r="A15" t="s">
        <v>28</v>
      </c>
      <c r="B15" s="44">
        <f>SUM(TDFD!B31:B35)</f>
        <v>80812.255135796906</v>
      </c>
      <c r="C15" s="44">
        <f>SUM(TDFD!C31:C35)</f>
        <v>7565.7201266279808</v>
      </c>
      <c r="D15" s="44">
        <f>SUM(TDFD!D31:D35)</f>
        <v>2400.837557305319</v>
      </c>
      <c r="E15" s="44">
        <f>SUM(TDFD!E31:E35)</f>
        <v>90778.812819730199</v>
      </c>
      <c r="G15" t="s">
        <v>28</v>
      </c>
      <c r="H15" s="10">
        <f>SUM(TDFD!H31:H35)</f>
        <v>78951</v>
      </c>
      <c r="I15" s="10">
        <f>SUM(TDFD!I31:I35)</f>
        <v>9041</v>
      </c>
      <c r="J15" s="10">
        <f>SUM(TDFD!J31:J35)</f>
        <v>3954</v>
      </c>
      <c r="K15" s="10">
        <f>SUM(TDFD!K31:K35)</f>
        <v>91946</v>
      </c>
    </row>
    <row r="16" spans="1:11" x14ac:dyDescent="0.45">
      <c r="A16" t="s">
        <v>29</v>
      </c>
      <c r="B16" s="44">
        <f>SUM(TDFD!B36:B40)</f>
        <v>72422.21761754647</v>
      </c>
      <c r="C16" s="44">
        <f>SUM(TDFD!C36:C40)</f>
        <v>4747.7799307315045</v>
      </c>
      <c r="D16" s="44">
        <f>SUM(TDFD!D36:D40)</f>
        <v>2171.6256731291342</v>
      </c>
      <c r="E16" s="44">
        <f>SUM(TDFD!E36:E40)</f>
        <v>79341.623221407106</v>
      </c>
      <c r="G16" t="s">
        <v>29</v>
      </c>
      <c r="H16" s="10">
        <f>SUM(TDFD!H36:H40)</f>
        <v>78852</v>
      </c>
      <c r="I16" s="10">
        <f>SUM(TDFD!I36:I40)</f>
        <v>7267</v>
      </c>
      <c r="J16" s="10">
        <f>SUM(TDFD!J36:J40)</f>
        <v>2842</v>
      </c>
      <c r="K16" s="10">
        <f>SUM(TDFD!K36:K40)</f>
        <v>88961</v>
      </c>
    </row>
    <row r="17" spans="1:11" x14ac:dyDescent="0.45">
      <c r="A17" t="s">
        <v>30</v>
      </c>
      <c r="B17" s="44">
        <f>SUM(TDFD!B41:B45)</f>
        <v>60561.482162504755</v>
      </c>
      <c r="C17" s="44">
        <f>SUM(TDFD!C41:C45)</f>
        <v>5999.6418492790126</v>
      </c>
      <c r="D17" s="44">
        <f>SUM(TDFD!D41:D45)</f>
        <v>657.03030090544667</v>
      </c>
      <c r="E17" s="44">
        <f>SUM(TDFD!E41:E45)</f>
        <v>67218.154312689207</v>
      </c>
      <c r="G17" t="s">
        <v>30</v>
      </c>
      <c r="H17" s="10">
        <f>SUM(TDFD!H41:H45)</f>
        <v>74257</v>
      </c>
      <c r="I17" s="10">
        <f>SUM(TDFD!I41:I45)</f>
        <v>5823</v>
      </c>
      <c r="J17" s="10">
        <f>SUM(TDFD!J41:J45)</f>
        <v>2180</v>
      </c>
      <c r="K17" s="10">
        <f>SUM(TDFD!K41:K45)</f>
        <v>82260</v>
      </c>
    </row>
    <row r="18" spans="1:11" x14ac:dyDescent="0.45">
      <c r="A18" t="s">
        <v>31</v>
      </c>
      <c r="B18" s="44">
        <f>SUM(TDFD!B46:B50)</f>
        <v>45100.824599029933</v>
      </c>
      <c r="C18" s="44">
        <f>SUM(TDFD!C46:C50)</f>
        <v>3565.2145779065786</v>
      </c>
      <c r="D18" s="44">
        <f>SUM(TDFD!D46:D50)</f>
        <v>449.57201300559296</v>
      </c>
      <c r="E18" s="44">
        <f>SUM(TDFD!E46:E50)</f>
        <v>49115.611189942108</v>
      </c>
      <c r="G18" t="s">
        <v>31</v>
      </c>
      <c r="H18" s="10">
        <f>SUM(TDFD!H46:H50)</f>
        <v>65430</v>
      </c>
      <c r="I18" s="10">
        <f>SUM(TDFD!I46:I50)</f>
        <v>4732</v>
      </c>
      <c r="J18" s="10">
        <f>SUM(TDFD!J46:J50)</f>
        <v>1861</v>
      </c>
      <c r="K18" s="10">
        <f>SUM(TDFD!K46:K50)</f>
        <v>72023</v>
      </c>
    </row>
    <row r="19" spans="1:11" x14ac:dyDescent="0.45">
      <c r="A19" t="s">
        <v>32</v>
      </c>
      <c r="B19" s="44">
        <f>SUM(TDFD!B51:B55)</f>
        <v>44076.611101081566</v>
      </c>
      <c r="C19" s="44">
        <f>SUM(TDFD!C51:C55)</f>
        <v>2914.8407112398736</v>
      </c>
      <c r="D19" s="44">
        <f>SUM(TDFD!D51:D55)</f>
        <v>836.41473735139971</v>
      </c>
      <c r="E19" s="44">
        <f>SUM(TDFD!E51:E55)</f>
        <v>47827.866549672835</v>
      </c>
      <c r="G19" t="s">
        <v>32</v>
      </c>
      <c r="H19" s="10">
        <f>SUM(TDFD!H51:H55)</f>
        <v>56280</v>
      </c>
      <c r="I19" s="10">
        <f>SUM(TDFD!I51:I55)</f>
        <v>3984</v>
      </c>
      <c r="J19" s="10">
        <f>SUM(TDFD!J51:J55)</f>
        <v>1507</v>
      </c>
      <c r="K19" s="10">
        <f>SUM(TDFD!K51:K55)</f>
        <v>61771</v>
      </c>
    </row>
    <row r="20" spans="1:11" x14ac:dyDescent="0.45">
      <c r="A20" t="s">
        <v>33</v>
      </c>
      <c r="B20" s="44">
        <f>SUM(TDFD!B56:B70)</f>
        <v>63469.705579040121</v>
      </c>
      <c r="C20" s="44">
        <f>SUM(TDFD!C56:C70)</f>
        <v>3763.1721556312873</v>
      </c>
      <c r="D20" s="44">
        <f>SUM(TDFD!D56:D70)</f>
        <v>1208.6304002479519</v>
      </c>
      <c r="E20" s="44">
        <f>SUM(TDFD!E56:E70)</f>
        <v>68441.50813491935</v>
      </c>
      <c r="G20" t="s">
        <v>33</v>
      </c>
      <c r="H20" s="10">
        <f>SUM(TDFD!H56:H70)</f>
        <v>104296</v>
      </c>
      <c r="I20" s="10">
        <f>SUM(TDFD!I56:I70)</f>
        <v>7262</v>
      </c>
      <c r="J20" s="10">
        <f>SUM(TDFD!J56:J70)</f>
        <v>2592</v>
      </c>
      <c r="K20" s="10">
        <f>SUM(TDFD!K56:K70)</f>
        <v>114150</v>
      </c>
    </row>
    <row r="21" spans="1:11" x14ac:dyDescent="0.45">
      <c r="A21" t="s">
        <v>34</v>
      </c>
      <c r="B21" s="44">
        <f>SUM(TDFD!B71:B100)</f>
        <v>39758.824928354145</v>
      </c>
      <c r="C21" s="44">
        <f>SUM(TDFD!C71:C100)</f>
        <v>1377.5306898348717</v>
      </c>
      <c r="D21" s="44">
        <f>SUM(TDFD!D71:D100)</f>
        <v>518.76958081603095</v>
      </c>
      <c r="E21" s="44">
        <f>SUM(TDFD!E71:E100)</f>
        <v>41655.125199005037</v>
      </c>
      <c r="G21" t="s">
        <v>34</v>
      </c>
      <c r="H21" s="10">
        <f>SUM(TDFD!H71:H100)</f>
        <v>61262</v>
      </c>
      <c r="I21" s="10">
        <f>SUM(TDFD!I71:I100)</f>
        <v>4110</v>
      </c>
      <c r="J21" s="10">
        <f>SUM(TDFD!J71:J100)</f>
        <v>1200</v>
      </c>
      <c r="K21" s="10">
        <f>SUM(TDFD!K71:K100)</f>
        <v>66572</v>
      </c>
    </row>
    <row ht="14.65" r="22" spans="1:11" thickBot="1" x14ac:dyDescent="0.5">
      <c r="A22" s="6" t="s">
        <v>35</v>
      </c>
      <c r="B22" s="46">
        <f>TDFD!B101</f>
        <v>0</v>
      </c>
      <c r="C22" s="46">
        <f>TDFD!C101</f>
        <v>0</v>
      </c>
      <c r="D22" s="46">
        <f>TDFD!D101</f>
        <v>0</v>
      </c>
      <c r="E22" s="46">
        <f>TDFD!E101</f>
        <v>0</v>
      </c>
      <c r="G22" s="1" t="s">
        <v>35</v>
      </c>
      <c r="H22" s="11">
        <f>TDFD!H101</f>
        <v>0</v>
      </c>
      <c r="I22" s="11">
        <f>TDFD!I101</f>
        <v>0</v>
      </c>
      <c r="J22" s="11">
        <f>TDFD!J101</f>
        <v>0</v>
      </c>
      <c r="K22" s="11">
        <f>TDFD!K101</f>
        <v>0</v>
      </c>
    </row>
    <row r="23" spans="1:11" x14ac:dyDescent="0.45">
      <c r="A23" s="9" t="s">
        <v>218</v>
      </c>
      <c r="B23" s="118">
        <f>SUM(B11:B22)</f>
        <v>686999.38887580333</v>
      </c>
      <c r="C23" s="118">
        <f>SUM(C11:C22)</f>
        <v>73358.520851119305</v>
      </c>
      <c r="D23" s="118">
        <f>SUM(D11:D22)</f>
        <v>27082.598560635994</v>
      </c>
      <c r="E23" s="118">
        <f>SUM(E11:E22)</f>
        <v>787440.50828755856</v>
      </c>
      <c r="G23" s="9" t="s">
        <v>218</v>
      </c>
      <c r="H23" s="118">
        <f>SUM(H11:H22)</f>
        <v>719293</v>
      </c>
      <c r="I23" s="118">
        <f>SUM(I11:I22)</f>
        <v>81382</v>
      </c>
      <c r="J23" s="118">
        <f>SUM(J11:J22)</f>
        <v>37500</v>
      </c>
      <c r="K23" s="118">
        <f>SUM(K11:K22)</f>
        <v>838175</v>
      </c>
    </row>
    <row ht="14.65" r="25" spans="1:11" thickBot="1" x14ac:dyDescent="0.5">
      <c r="A25" s="4" t="s">
        <v>204</v>
      </c>
      <c r="B25" s="1"/>
      <c r="C25" s="1"/>
      <c r="D25" s="1"/>
      <c r="E25" s="1"/>
      <c r="G25" s="4" t="s">
        <v>13</v>
      </c>
      <c r="H25" s="1"/>
      <c r="I25" s="1"/>
      <c r="J25" s="1"/>
      <c r="K25" s="1"/>
    </row>
    <row r="26" spans="1:11" x14ac:dyDescent="0.45">
      <c r="A26" s="2" t="s">
        <v>21</v>
      </c>
      <c r="B26" s="5" t="s">
        <v>8</v>
      </c>
      <c r="C26" s="5" t="s">
        <v>9</v>
      </c>
      <c r="D26" s="5" t="s">
        <v>10</v>
      </c>
      <c r="E26" s="5" t="s">
        <v>3</v>
      </c>
      <c r="G26" s="2" t="s">
        <v>21</v>
      </c>
      <c r="H26" s="5" t="s">
        <v>8</v>
      </c>
      <c r="I26" s="5" t="s">
        <v>9</v>
      </c>
      <c r="J26" s="5" t="s">
        <v>10</v>
      </c>
      <c r="K26" s="5" t="s">
        <v>3</v>
      </c>
    </row>
    <row r="27" spans="1:11" x14ac:dyDescent="0.45">
      <c r="A27" t="s">
        <v>24</v>
      </c>
      <c r="B27" s="63">
        <f>B11/B$23</f>
        <v>1.9509798336122521E-2</v>
      </c>
      <c r="C27" s="63">
        <f>C11/C$23</f>
        <v>4.9300149628513486E-2</v>
      </c>
      <c r="D27" s="63">
        <f>D11/D$23</f>
        <v>1.9388404388639511E-2</v>
      </c>
      <c r="E27" s="63">
        <f>E11/E$23</f>
        <v>2.2280913639350992E-2</v>
      </c>
      <c r="G27" t="s">
        <v>24</v>
      </c>
      <c r="H27" s="63">
        <f ref="H27:K39" si="0" t="shared">H11/H$23</f>
        <v>1.9179944751304405E-2</v>
      </c>
      <c r="I27" s="63">
        <f si="0" t="shared"/>
        <v>3.2808237693838935E-2</v>
      </c>
      <c r="J27" s="63">
        <f si="0" t="shared"/>
        <v>3.885333333333333E-2</v>
      </c>
      <c r="K27" s="63">
        <f si="0" t="shared"/>
        <v>2.1383362662928385E-2</v>
      </c>
    </row>
    <row r="28" spans="1:11" x14ac:dyDescent="0.45">
      <c r="A28" t="s">
        <v>25</v>
      </c>
      <c r="B28" s="63">
        <f ref="B28:E38" si="1" t="shared">B12/B$23</f>
        <v>0.11302353146108848</v>
      </c>
      <c r="C28" s="63">
        <f si="1" t="shared"/>
        <v>0.20317711249350479</v>
      </c>
      <c r="D28" s="63">
        <f si="1" t="shared"/>
        <v>0.22574244685776459</v>
      </c>
      <c r="E28" s="63">
        <f si="1" t="shared"/>
        <v>0.12529906769285945</v>
      </c>
      <c r="G28" t="s">
        <v>25</v>
      </c>
      <c r="H28" s="63">
        <f si="0" t="shared"/>
        <v>7.7665151753179854E-2</v>
      </c>
      <c r="I28" s="63">
        <f si="0" t="shared"/>
        <v>0.14936963947801726</v>
      </c>
      <c r="J28" s="63">
        <f si="0" t="shared"/>
        <v>0.19005333333333332</v>
      </c>
      <c r="K28" s="63">
        <f si="0" t="shared"/>
        <v>8.9655501536075405E-2</v>
      </c>
    </row>
    <row r="29" spans="1:11" x14ac:dyDescent="0.45">
      <c r="A29" t="s">
        <v>26</v>
      </c>
      <c r="B29" s="63">
        <f si="1" t="shared"/>
        <v>0.13152502294286067</v>
      </c>
      <c r="C29" s="63">
        <f si="1" t="shared"/>
        <v>0.17733663658851945</v>
      </c>
      <c r="D29" s="63">
        <f si="1" t="shared"/>
        <v>0.31630619605299848</v>
      </c>
      <c r="E29" s="63">
        <f si="1" t="shared"/>
        <v>0.14214808139580351</v>
      </c>
      <c r="G29" t="s">
        <v>26</v>
      </c>
      <c r="H29" s="63">
        <f si="0" t="shared"/>
        <v>8.337770560814578E-2</v>
      </c>
      <c r="I29" s="63">
        <f si="0" t="shared"/>
        <v>0.16066206286402399</v>
      </c>
      <c r="J29" s="63">
        <f si="0" t="shared"/>
        <v>0.19703999999999999</v>
      </c>
      <c r="K29" s="63">
        <f si="0" t="shared"/>
        <v>9.5966832702001376E-2</v>
      </c>
    </row>
    <row r="30" spans="1:11" x14ac:dyDescent="0.45">
      <c r="A30" t="s">
        <v>27</v>
      </c>
      <c r="B30" s="63">
        <f si="1" t="shared"/>
        <v>0.14467194935225286</v>
      </c>
      <c r="C30" s="63">
        <f si="1" t="shared"/>
        <v>0.16213670642772879</v>
      </c>
      <c r="D30" s="63">
        <f si="1" t="shared"/>
        <v>0.13420219336261674</v>
      </c>
      <c r="E30" s="63">
        <f si="1" t="shared"/>
        <v>0.14593889020313119</v>
      </c>
      <c r="G30" t="s">
        <v>27</v>
      </c>
      <c r="H30" s="63">
        <f si="0" t="shared"/>
        <v>9.7779347220117538E-2</v>
      </c>
      <c r="I30" s="63">
        <f si="0" t="shared"/>
        <v>0.13838440932884422</v>
      </c>
      <c r="J30" s="63">
        <f si="0" t="shared"/>
        <v>0.14376</v>
      </c>
      <c r="K30" s="63">
        <f si="0" t="shared"/>
        <v>0.10377904375577893</v>
      </c>
    </row>
    <row r="31" spans="1:11" x14ac:dyDescent="0.45">
      <c r="A31" t="s">
        <v>28</v>
      </c>
      <c r="B31" s="63">
        <f si="1" t="shared"/>
        <v>0.1176307525804892</v>
      </c>
      <c r="C31" s="63">
        <f si="1" t="shared"/>
        <v>0.10313348795544237</v>
      </c>
      <c r="D31" s="63">
        <f si="1" t="shared"/>
        <v>8.8648714853931623E-2</v>
      </c>
      <c r="E31" s="63">
        <f si="1" t="shared"/>
        <v>0.1152833920331915</v>
      </c>
      <c r="G31" t="s">
        <v>28</v>
      </c>
      <c r="H31" s="63">
        <f si="0" t="shared"/>
        <v>0.10976194680053886</v>
      </c>
      <c r="I31" s="63">
        <f si="0" t="shared"/>
        <v>0.1110933621685385</v>
      </c>
      <c r="J31" s="63">
        <f si="0" t="shared"/>
        <v>0.10544000000000001</v>
      </c>
      <c r="K31" s="63">
        <f si="0" t="shared"/>
        <v>0.10969785545977868</v>
      </c>
    </row>
    <row r="32" spans="1:11" x14ac:dyDescent="0.45">
      <c r="A32" t="s">
        <v>29</v>
      </c>
      <c r="B32" s="63">
        <f si="1" t="shared"/>
        <v>0.10541816890995671</v>
      </c>
      <c r="C32" s="63">
        <f si="1" t="shared"/>
        <v>6.4720224394478956E-2</v>
      </c>
      <c r="D32" s="63">
        <f si="1" t="shared"/>
        <v>8.0185277209165143E-2</v>
      </c>
      <c r="E32" s="63">
        <f si="1" t="shared"/>
        <v>0.10075887941547583</v>
      </c>
      <c r="G32" t="s">
        <v>29</v>
      </c>
      <c r="H32" s="63">
        <f si="0" t="shared"/>
        <v>0.10962431165046789</v>
      </c>
      <c r="I32" s="63">
        <f si="0" t="shared"/>
        <v>8.9294930082819302E-2</v>
      </c>
      <c r="J32" s="63">
        <f si="0" t="shared"/>
        <v>7.5786666666666669E-2</v>
      </c>
      <c r="K32" s="63">
        <f si="0" t="shared"/>
        <v>0.10613654666388284</v>
      </c>
    </row>
    <row r="33" spans="1:11" x14ac:dyDescent="0.45">
      <c r="A33" t="s">
        <v>30</v>
      </c>
      <c r="B33" s="63">
        <f si="1" t="shared"/>
        <v>8.8153618683135593E-2</v>
      </c>
      <c r="C33" s="63">
        <f si="1" t="shared"/>
        <v>8.1785207494235762E-2</v>
      </c>
      <c r="D33" s="63">
        <f si="1" t="shared"/>
        <v>2.4260238523065022E-2</v>
      </c>
      <c r="E33" s="63">
        <f si="1" t="shared"/>
        <v>8.5362835166897952E-2</v>
      </c>
      <c r="G33" t="s">
        <v>30</v>
      </c>
      <c r="H33" s="63">
        <f si="0" t="shared"/>
        <v>0.1032360943315172</v>
      </c>
      <c r="I33" s="63">
        <f si="0" t="shared"/>
        <v>7.1551448723304906E-2</v>
      </c>
      <c r="J33" s="63">
        <f si="0" t="shared"/>
        <v>5.8133333333333335E-2</v>
      </c>
      <c r="K33" s="63">
        <f si="0" t="shared"/>
        <v>9.8141796164285505E-2</v>
      </c>
    </row>
    <row r="34" spans="1:11" x14ac:dyDescent="0.45">
      <c r="A34" t="s">
        <v>31</v>
      </c>
      <c r="B34" s="63">
        <f si="1" t="shared"/>
        <v>6.5649002501781434E-2</v>
      </c>
      <c r="C34" s="63">
        <f si="1" t="shared"/>
        <v>4.8599870015674951E-2</v>
      </c>
      <c r="D34" s="63">
        <f si="1" t="shared"/>
        <v>1.6600032378688977E-2</v>
      </c>
      <c r="E34" s="63">
        <f si="1" t="shared"/>
        <v>6.2373742108789258E-2</v>
      </c>
      <c r="G34" t="s">
        <v>31</v>
      </c>
      <c r="H34" s="63">
        <f si="0" t="shared"/>
        <v>9.0964321910542711E-2</v>
      </c>
      <c r="I34" s="63">
        <f si="0" t="shared"/>
        <v>5.8145535867882334E-2</v>
      </c>
      <c r="J34" s="63">
        <f si="0" t="shared"/>
        <v>4.9626666666666666E-2</v>
      </c>
      <c r="K34" s="63">
        <f si="0" t="shared"/>
        <v>8.5928356250186411E-2</v>
      </c>
    </row>
    <row r="35" spans="1:11" x14ac:dyDescent="0.45">
      <c r="A35" t="s">
        <v>32</v>
      </c>
      <c r="B35" s="63">
        <f si="1" t="shared"/>
        <v>6.4158151833596161E-2</v>
      </c>
      <c r="C35" s="63">
        <f si="1" t="shared"/>
        <v>3.9734180534467513E-2</v>
      </c>
      <c r="D35" s="63">
        <f si="1" t="shared"/>
        <v>3.0883843567622478E-2</v>
      </c>
      <c r="E35" s="63">
        <f si="1" t="shared"/>
        <v>6.0738387276625845E-2</v>
      </c>
      <c r="G35" t="s">
        <v>32</v>
      </c>
      <c r="H35" s="63">
        <f si="0" t="shared"/>
        <v>7.8243497434286172E-2</v>
      </c>
      <c r="I35" s="63">
        <f si="0" t="shared"/>
        <v>4.895431422181809E-2</v>
      </c>
      <c r="J35" s="63">
        <f si="0" t="shared"/>
        <v>4.0186666666666669E-2</v>
      </c>
      <c r="K35" s="63">
        <f si="0" t="shared"/>
        <v>7.3697020311987355E-2</v>
      </c>
    </row>
    <row r="36" spans="1:11" x14ac:dyDescent="0.45">
      <c r="A36" t="s">
        <v>33</v>
      </c>
      <c r="B36" s="63">
        <f si="1" t="shared"/>
        <v>9.2386844306952154E-2</v>
      </c>
      <c r="C36" s="63">
        <f si="1" t="shared"/>
        <v>5.1298364688522329E-2</v>
      </c>
      <c r="D36" s="63">
        <f si="1" t="shared"/>
        <v>4.4627563988806879E-2</v>
      </c>
      <c r="E36" s="63">
        <f si="1" t="shared"/>
        <v>8.6916417703425786E-2</v>
      </c>
      <c r="G36" t="s">
        <v>33</v>
      </c>
      <c r="H36" s="63">
        <f si="0" t="shared"/>
        <v>0.14499793547274895</v>
      </c>
      <c r="I36" s="63">
        <f si="0" t="shared"/>
        <v>8.9233491435452561E-2</v>
      </c>
      <c r="J36" s="63">
        <f si="0" t="shared"/>
        <v>6.9120000000000001E-2</v>
      </c>
      <c r="K36" s="63">
        <f si="0" t="shared"/>
        <v>0.13618874340084111</v>
      </c>
    </row>
    <row r="37" spans="1:11" x14ac:dyDescent="0.45">
      <c r="A37" t="s">
        <v>34</v>
      </c>
      <c r="B37" s="63">
        <f si="1" t="shared"/>
        <v>5.7873159091764194E-2</v>
      </c>
      <c r="C37" s="63">
        <f si="1" t="shared"/>
        <v>1.8778059778911879E-2</v>
      </c>
      <c r="D37" s="63">
        <f si="1" t="shared"/>
        <v>1.9155088816700624E-2</v>
      </c>
      <c r="E37" s="63">
        <f si="1" t="shared"/>
        <v>5.2899393364448766E-2</v>
      </c>
      <c r="G37" t="s">
        <v>34</v>
      </c>
      <c r="H37" s="63">
        <f si="0" t="shared"/>
        <v>8.5169743067150666E-2</v>
      </c>
      <c r="I37" s="63">
        <f si="0" t="shared"/>
        <v>5.0502568135459933E-2</v>
      </c>
      <c r="J37" s="63">
        <f si="0" t="shared"/>
        <v>3.2000000000000001E-2</v>
      </c>
      <c r="K37" s="63">
        <f si="0" t="shared"/>
        <v>7.9424941092254009E-2</v>
      </c>
    </row>
    <row r="38" spans="1:11" x14ac:dyDescent="0.45">
      <c r="A38" s="6" t="s">
        <v>35</v>
      </c>
      <c r="B38" s="161">
        <f si="1" t="shared"/>
        <v>0</v>
      </c>
      <c r="C38" s="161">
        <f si="1" t="shared"/>
        <v>0</v>
      </c>
      <c r="D38" s="161">
        <f si="1" t="shared"/>
        <v>0</v>
      </c>
      <c r="E38" s="161">
        <f si="1" t="shared"/>
        <v>0</v>
      </c>
      <c r="G38" s="6" t="s">
        <v>35</v>
      </c>
      <c r="H38" s="161">
        <f si="0" t="shared"/>
        <v>0</v>
      </c>
      <c r="I38" s="161">
        <f si="0" t="shared"/>
        <v>0</v>
      </c>
      <c r="J38" s="161">
        <f si="0" t="shared"/>
        <v>0</v>
      </c>
      <c r="K38" s="161">
        <f si="0" t="shared"/>
        <v>0</v>
      </c>
    </row>
    <row r="39" spans="1:11" x14ac:dyDescent="0.45">
      <c r="A39" s="9" t="s">
        <v>218</v>
      </c>
      <c r="B39" s="162">
        <f>B23/B$23</f>
        <v>1</v>
      </c>
      <c r="C39" s="162">
        <f>C23/C$23</f>
        <v>1</v>
      </c>
      <c r="D39" s="162">
        <f>D23/D$23</f>
        <v>1</v>
      </c>
      <c r="E39" s="162">
        <f>E23/E$23</f>
        <v>1</v>
      </c>
      <c r="G39" s="9" t="s">
        <v>218</v>
      </c>
      <c r="H39" s="162">
        <f si="0" t="shared"/>
        <v>1</v>
      </c>
      <c r="I39" s="162">
        <f si="0" t="shared"/>
        <v>1</v>
      </c>
      <c r="J39" s="162">
        <f si="0" t="shared"/>
        <v>1</v>
      </c>
      <c r="K39" s="162">
        <f si="0" t="shared"/>
        <v>1</v>
      </c>
    </row>
  </sheetData>
  <pageMargins bottom="0.75" footer="0.3" header="0.3" left="0.7" right="0.7" top="0.75"/>
  <pageSetup orientation="portrait" r:id="rId1"/>
  <ignoredErrors>
    <ignoredError formulaRange="1" sqref="B11:D22 H12:K22 I11:K11"/>
  </ignoredErrors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S109"/>
  <sheetViews>
    <sheetView topLeftCell="CK16" workbookViewId="0" zoomScaleNormal="100">
      <selection activeCell="Z34" sqref="Z34"/>
    </sheetView>
  </sheetViews>
  <sheetFormatPr defaultRowHeight="14.25" x14ac:dyDescent="0.45"/>
  <cols>
    <col min="1" max="1" customWidth="true" width="10.86328125" collapsed="true"/>
    <col min="2" max="2" bestFit="true" customWidth="true" width="10.73046875" collapsed="true"/>
    <col min="3" max="3" customWidth="true" width="8.0" collapsed="true"/>
    <col min="4" max="6" bestFit="true" customWidth="true" width="10.73046875" collapsed="true"/>
    <col min="7" max="7" bestFit="true" customWidth="true" width="11.59765625" collapsed="true"/>
    <col min="8" max="8" customWidth="true" width="8.0" collapsed="true"/>
    <col min="9" max="9" bestFit="true" customWidth="true" width="9.73046875" collapsed="true"/>
    <col min="10" max="10" bestFit="true" customWidth="true" width="10.73046875" collapsed="true"/>
    <col min="11" max="11" customWidth="true" width="9.73046875" collapsed="true"/>
    <col min="12" max="12" customWidth="true" width="9.0" collapsed="true"/>
    <col min="13" max="13" customWidth="true" width="8.73046875" collapsed="true"/>
    <col min="14" max="14" customWidth="true" width="8.1328125" collapsed="true"/>
    <col min="15" max="15" customWidth="true" width="9.73046875" collapsed="true"/>
    <col min="16" max="16" customWidth="true" width="9.1328125" collapsed="true"/>
    <col min="17" max="18" customWidth="true" width="7.59765625" collapsed="true"/>
    <col min="19" max="19" customWidth="true" width="10.86328125" collapsed="true"/>
    <col min="20" max="20" customWidth="true" width="8.86328125" collapsed="true"/>
    <col min="21" max="21" customWidth="true" width="8.59765625" collapsed="true"/>
    <col min="22" max="22" customWidth="true" width="7.59765625" collapsed="true"/>
    <col min="23" max="23" customWidth="true" width="9.3984375" collapsed="true"/>
    <col min="24" max="26" customWidth="true" width="9.1328125" collapsed="true"/>
    <col min="27" max="27" customWidth="true" width="8.0" collapsed="true"/>
    <col min="28" max="28" customWidth="true" width="9.0" collapsed="true"/>
    <col min="29" max="29" customWidth="true" width="8.86328125" collapsed="true"/>
    <col min="30" max="30" customWidth="true" width="9.0" collapsed="true"/>
    <col min="31" max="31" customWidth="true" width="9.73046875" collapsed="true"/>
    <col min="32" max="36" customWidth="true" width="8.0" collapsed="true"/>
    <col min="37" max="37" customWidth="true" width="8.73046875" collapsed="true"/>
    <col min="38" max="38" customWidth="true" width="9.265625" collapsed="true"/>
    <col min="39" max="39" customWidth="true" width="9.1328125" collapsed="true"/>
    <col min="40" max="40" customWidth="true" width="8.265625" collapsed="true"/>
    <col min="41" max="41" customWidth="true" width="7.59765625" collapsed="true"/>
    <col min="42" max="42" bestFit="true" customWidth="true" width="8.0" collapsed="true"/>
    <col min="43" max="43" customWidth="true" width="8.3984375" collapsed="true"/>
    <col min="44" max="45" customWidth="true" width="8.86328125" collapsed="true"/>
    <col min="46" max="47" bestFit="true" customWidth="true" width="10.59765625" collapsed="true"/>
    <col min="48" max="48" customWidth="true" width="9.1328125" collapsed="true"/>
    <col min="49" max="49" customWidth="true" width="11.59765625" collapsed="true"/>
    <col min="50" max="51" bestFit="true" customWidth="true" width="10.59765625" collapsed="true"/>
    <col min="52" max="52" customWidth="true" width="9.1328125" collapsed="true"/>
    <col min="53" max="55" bestFit="true" customWidth="true" width="10.59765625" collapsed="true"/>
    <col min="56" max="56" customWidth="true" width="9.59765625" collapsed="true"/>
    <col min="57" max="57" bestFit="true" customWidth="true" width="9.59765625" collapsed="true"/>
    <col min="58" max="59" bestFit="true" customWidth="true" width="10.59765625" collapsed="true"/>
    <col min="60" max="61" bestFit="true" customWidth="true" width="11.59765625" collapsed="true"/>
    <col min="62" max="64" bestFit="true" customWidth="true" width="10.59765625" collapsed="true"/>
    <col min="65" max="65" bestFit="true" customWidth="true" width="9.59765625" collapsed="true"/>
    <col min="66" max="69" bestFit="true" customWidth="true" width="10.59765625" collapsed="true"/>
    <col min="70" max="70" bestFit="true" customWidth="true" width="9.265625" collapsed="true"/>
    <col min="71" max="71" bestFit="true" customWidth="true" width="11.59765625" collapsed="true"/>
    <col min="75" max="75" bestFit="true" customWidth="true" width="19.265625" collapsed="true"/>
    <col min="76" max="76" bestFit="true" customWidth="true" width="10.59765625" collapsed="true"/>
    <col min="77" max="77" customWidth="true" width="11.3984375" collapsed="true"/>
    <col min="82" max="82" bestFit="true" customWidth="true" width="11.59765625" collapsed="true"/>
    <col min="84" max="84" bestFit="true" customWidth="true" width="8.0" collapsed="true"/>
    <col min="88" max="88" customWidth="true" width="11.86328125" collapsed="true"/>
    <col min="89" max="89" bestFit="true" customWidth="true" width="15.73046875" collapsed="true"/>
    <col min="90" max="90" customWidth="true" width="13.59765625" collapsed="true"/>
    <col min="92" max="92" customWidth="true" width="11.1328125" collapsed="true"/>
    <col min="93" max="93" customWidth="true" width="14.1328125" collapsed="true"/>
    <col min="94" max="94" bestFit="true" customWidth="true" width="10.265625" collapsed="true"/>
    <col min="96" max="96" bestFit="true" customWidth="true" width="10.59765625" collapsed="true"/>
  </cols>
  <sheetData>
    <row r="1" spans="1:96" x14ac:dyDescent="0.45">
      <c r="A1" t="s">
        <v>319</v>
      </c>
    </row>
    <row r="2" spans="1:96" x14ac:dyDescent="0.45">
      <c r="A2" t="s">
        <v>247</v>
      </c>
    </row>
    <row r="3" spans="1:96" x14ac:dyDescent="0.45">
      <c r="A3" t="s">
        <v>16</v>
      </c>
    </row>
    <row ht="14.65" r="5" spans="1:96" thickBot="1" x14ac:dyDescent="0.5">
      <c r="A5" s="4" t="s">
        <v>320</v>
      </c>
      <c r="B5" s="1"/>
      <c r="C5" s="1"/>
      <c r="D5" s="1"/>
      <c r="E5" s="1"/>
      <c r="F5" s="1"/>
      <c r="G5" s="1"/>
      <c r="H5" s="1"/>
      <c r="I5" s="1"/>
      <c r="J5" s="1"/>
      <c r="V5" s="1"/>
      <c r="W5" s="1"/>
      <c r="Y5" s="4" t="s">
        <v>426</v>
      </c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W5" s="4" t="s">
        <v>321</v>
      </c>
      <c r="AX5" s="1"/>
      <c r="AY5" s="1"/>
      <c r="AZ5" s="1"/>
      <c r="BA5" s="1"/>
      <c r="BB5" s="1"/>
      <c r="BC5" s="1"/>
      <c r="BD5" s="1"/>
      <c r="BE5" s="1"/>
      <c r="BF5" s="1"/>
    </row>
    <row r="6" spans="1:96" x14ac:dyDescent="0.45">
      <c r="A6" s="2" t="s">
        <v>14</v>
      </c>
      <c r="B6" s="2">
        <v>1</v>
      </c>
      <c r="C6" s="2">
        <v>2</v>
      </c>
      <c r="D6" s="2">
        <v>3</v>
      </c>
      <c r="E6" s="2">
        <v>4</v>
      </c>
      <c r="F6" s="2">
        <v>5</v>
      </c>
      <c r="G6" s="2">
        <v>6</v>
      </c>
      <c r="H6" s="2">
        <v>7</v>
      </c>
      <c r="I6" s="2">
        <v>8</v>
      </c>
      <c r="J6" s="2">
        <v>9</v>
      </c>
      <c r="K6" s="2">
        <v>10</v>
      </c>
      <c r="L6" s="2">
        <v>11</v>
      </c>
      <c r="M6" s="2">
        <v>12</v>
      </c>
      <c r="N6" s="2">
        <v>13</v>
      </c>
      <c r="O6" s="2">
        <v>14</v>
      </c>
      <c r="P6" s="2">
        <v>15</v>
      </c>
      <c r="Q6" s="2">
        <v>16</v>
      </c>
      <c r="R6" s="2">
        <v>17</v>
      </c>
      <c r="S6" s="2">
        <v>18</v>
      </c>
      <c r="T6" s="2">
        <v>19</v>
      </c>
      <c r="U6" s="2">
        <v>20</v>
      </c>
      <c r="V6" s="3" t="s">
        <v>15</v>
      </c>
      <c r="W6" s="3" t="s">
        <v>3</v>
      </c>
      <c r="X6" s="64"/>
      <c r="Y6" s="2" t="s">
        <v>14</v>
      </c>
      <c r="Z6" s="2">
        <v>1</v>
      </c>
      <c r="AA6" s="2">
        <v>2</v>
      </c>
      <c r="AB6" s="2">
        <v>3</v>
      </c>
      <c r="AC6" s="2">
        <v>4</v>
      </c>
      <c r="AD6" s="2">
        <v>5</v>
      </c>
      <c r="AE6" s="2">
        <v>6</v>
      </c>
      <c r="AF6" s="2">
        <v>7</v>
      </c>
      <c r="AG6" s="2">
        <v>8</v>
      </c>
      <c r="AH6" s="2">
        <v>9</v>
      </c>
      <c r="AI6" s="2">
        <v>10</v>
      </c>
      <c r="AJ6" s="2">
        <v>11</v>
      </c>
      <c r="AK6" s="2">
        <v>12</v>
      </c>
      <c r="AL6" s="2">
        <v>13</v>
      </c>
      <c r="AM6" s="2">
        <v>14</v>
      </c>
      <c r="AN6" s="2">
        <v>15</v>
      </c>
      <c r="AO6" s="2">
        <v>16</v>
      </c>
      <c r="AP6" s="2">
        <v>17</v>
      </c>
      <c r="AQ6" s="2">
        <v>18</v>
      </c>
      <c r="AR6" s="2">
        <v>19</v>
      </c>
      <c r="AS6" s="2">
        <v>20</v>
      </c>
      <c r="AT6" s="3" t="s">
        <v>15</v>
      </c>
      <c r="AU6" s="3" t="s">
        <v>3</v>
      </c>
      <c r="AW6" s="2" t="s">
        <v>14</v>
      </c>
      <c r="AX6" s="2">
        <v>1</v>
      </c>
      <c r="AY6" s="2">
        <v>2</v>
      </c>
      <c r="AZ6" s="2">
        <v>3</v>
      </c>
      <c r="BA6" s="2">
        <v>4</v>
      </c>
      <c r="BB6" s="2">
        <v>5</v>
      </c>
      <c r="BC6" s="2">
        <v>6</v>
      </c>
      <c r="BD6" s="2">
        <v>7</v>
      </c>
      <c r="BE6" s="2">
        <v>8</v>
      </c>
      <c r="BF6" s="2">
        <v>9</v>
      </c>
      <c r="BG6" s="2">
        <v>10</v>
      </c>
      <c r="BH6" s="2">
        <v>11</v>
      </c>
      <c r="BI6" s="2">
        <v>12</v>
      </c>
      <c r="BJ6" s="2">
        <v>13</v>
      </c>
      <c r="BK6" s="2">
        <v>14</v>
      </c>
      <c r="BL6" s="2">
        <v>15</v>
      </c>
      <c r="BM6" s="2">
        <v>16</v>
      </c>
      <c r="BN6" s="2">
        <v>17</v>
      </c>
      <c r="BO6" s="2">
        <v>18</v>
      </c>
      <c r="BP6" s="2">
        <v>19</v>
      </c>
      <c r="BQ6" s="2">
        <v>20</v>
      </c>
      <c r="BR6" s="3" t="s">
        <v>15</v>
      </c>
      <c r="BS6" s="3" t="s">
        <v>3</v>
      </c>
      <c r="BV6" s="2" t="s">
        <v>359</v>
      </c>
      <c r="BW6" s="2">
        <v>1</v>
      </c>
      <c r="BX6" s="2">
        <v>2</v>
      </c>
      <c r="BY6" s="2">
        <v>3</v>
      </c>
      <c r="BZ6" s="2">
        <v>4</v>
      </c>
      <c r="CA6" s="2">
        <v>5</v>
      </c>
      <c r="CB6" s="2">
        <v>6</v>
      </c>
      <c r="CC6" s="2">
        <v>7</v>
      </c>
      <c r="CD6" s="2">
        <v>8</v>
      </c>
      <c r="CE6" s="2">
        <v>9</v>
      </c>
      <c r="CF6" s="2">
        <v>10</v>
      </c>
      <c r="CG6" s="2">
        <v>11</v>
      </c>
      <c r="CH6" s="2">
        <v>12</v>
      </c>
      <c r="CI6" s="2">
        <v>13</v>
      </c>
      <c r="CJ6" s="2">
        <v>14</v>
      </c>
      <c r="CK6" s="2">
        <v>15</v>
      </c>
      <c r="CL6" s="2">
        <v>16</v>
      </c>
      <c r="CM6" s="2">
        <v>17</v>
      </c>
      <c r="CN6" s="2">
        <v>18</v>
      </c>
      <c r="CO6" s="2">
        <v>19</v>
      </c>
      <c r="CP6" s="2">
        <v>20</v>
      </c>
      <c r="CQ6" s="3" t="s">
        <v>15</v>
      </c>
      <c r="CR6" s="3" t="s">
        <v>3</v>
      </c>
    </row>
    <row r="7" spans="1:96" x14ac:dyDescent="0.45">
      <c r="A7" s="28">
        <v>1</v>
      </c>
      <c r="B7" s="62" t="n">
        <v>1396.0573136369053</v>
      </c>
      <c r="C7" s="62" t="n">
        <v>189.8969855560208</v>
      </c>
      <c r="D7" s="62" t="n">
        <v>190.6959987023466</v>
      </c>
      <c r="E7" s="62" t="n">
        <v>0.0</v>
      </c>
      <c r="F7" s="62" t="n">
        <v>181.48353574128612</v>
      </c>
      <c r="G7" s="62" t="n">
        <v>2250.351444592396</v>
      </c>
      <c r="H7" s="62" t="n">
        <v>0.0</v>
      </c>
      <c r="I7" s="62" t="n">
        <v>0.0</v>
      </c>
      <c r="J7" s="62" t="n">
        <v>719.964094285213</v>
      </c>
      <c r="K7" s="62" t="n">
        <v>99.385536928001</v>
      </c>
      <c r="L7" s="62" t="n">
        <v>472.053217390526</v>
      </c>
      <c r="M7" s="62" t="n">
        <v>427.1102060186485</v>
      </c>
      <c r="N7" s="62" t="n">
        <v>26.8856274469222</v>
      </c>
      <c r="O7" s="62" t="n">
        <v>0.0</v>
      </c>
      <c r="P7" s="62" t="n">
        <v>0.0</v>
      </c>
      <c r="Q7" s="62" t="n">
        <v>0.0</v>
      </c>
      <c r="R7" s="62" t="n">
        <v>0.0</v>
      </c>
      <c r="S7" s="62" t="n">
        <v>0.0</v>
      </c>
      <c r="T7" s="62" t="n">
        <v>0.0</v>
      </c>
      <c r="U7" s="62" t="n">
        <v>0.0</v>
      </c>
      <c r="V7" s="62"/>
      <c r="W7" s="62">
        <f>SUM(B7:V7)</f>
        <v>5953.8839602982653</v>
      </c>
      <c r="X7" s="13"/>
      <c r="Y7" s="28">
        <v>1</v>
      </c>
      <c r="Z7" s="62">
        <v>2558</v>
      </c>
      <c r="AA7" s="62">
        <v>900</v>
      </c>
      <c r="AB7" s="62">
        <v>462</v>
      </c>
      <c r="AC7" s="62">
        <v>412</v>
      </c>
      <c r="AD7" s="62">
        <v>454</v>
      </c>
      <c r="AE7" s="62">
        <v>2741</v>
      </c>
      <c r="AF7" s="62">
        <v>552</v>
      </c>
      <c r="AG7" s="62">
        <v>74</v>
      </c>
      <c r="AH7" s="62">
        <v>607</v>
      </c>
      <c r="AI7" s="62">
        <v>273</v>
      </c>
      <c r="AJ7" s="62">
        <v>353</v>
      </c>
      <c r="AK7" s="62">
        <v>1732</v>
      </c>
      <c r="AL7" s="62">
        <v>126</v>
      </c>
      <c r="AM7" s="62">
        <v>34</v>
      </c>
      <c r="AN7" s="62">
        <v>112</v>
      </c>
      <c r="AO7" s="62">
        <v>48</v>
      </c>
      <c r="AP7" s="62">
        <v>22</v>
      </c>
      <c r="AQ7" s="62">
        <v>71</v>
      </c>
      <c r="AR7" s="62">
        <v>66</v>
      </c>
      <c r="AS7" s="62">
        <v>26</v>
      </c>
      <c r="AT7" s="62">
        <v>0</v>
      </c>
      <c r="AU7" s="62">
        <f>SUM(Z7:AT7)</f>
        <v>11623</v>
      </c>
      <c r="AV7" s="13"/>
      <c r="AW7" s="28">
        <v>1</v>
      </c>
      <c r="AX7" s="62" t="n">
        <v>2856.0</v>
      </c>
      <c r="AY7" s="62" t="n">
        <v>797.0</v>
      </c>
      <c r="AZ7" s="62" t="n">
        <v>502.0</v>
      </c>
      <c r="BA7" s="62" t="n">
        <v>701.0</v>
      </c>
      <c r="BB7" s="62" t="n">
        <v>708.0</v>
      </c>
      <c r="BC7" s="62" t="n">
        <v>3085.0</v>
      </c>
      <c r="BD7" s="62" t="n">
        <v>472.0</v>
      </c>
      <c r="BE7" s="62" t="n">
        <v>93.0</v>
      </c>
      <c r="BF7" s="62" t="n">
        <v>468.0</v>
      </c>
      <c r="BG7" s="62" t="n">
        <v>466.0</v>
      </c>
      <c r="BH7" s="62" t="n">
        <v>402.0</v>
      </c>
      <c r="BI7" s="62" t="n">
        <v>1549.0</v>
      </c>
      <c r="BJ7" s="62" t="n">
        <v>42.0</v>
      </c>
      <c r="BK7" s="62" t="n">
        <v>23.0</v>
      </c>
      <c r="BL7" s="62" t="n">
        <v>45.0</v>
      </c>
      <c r="BM7" s="62" t="n">
        <v>57.0</v>
      </c>
      <c r="BN7" s="62" t="n">
        <v>19.0</v>
      </c>
      <c r="BO7" s="62" t="n">
        <v>18.0</v>
      </c>
      <c r="BP7" s="62" t="n">
        <v>24.0</v>
      </c>
      <c r="BQ7" s="62" t="n">
        <v>2.0</v>
      </c>
      <c r="BR7" s="62"/>
      <c r="BS7" s="62">
        <f>SUM(AX7:BR7)</f>
        <v>12292</v>
      </c>
      <c r="BT7" s="81"/>
      <c r="BU7" t="s">
        <v>346</v>
      </c>
      <c r="BV7" t="s">
        <v>343</v>
      </c>
      <c r="BW7" s="87">
        <f>B28</f>
        <v>83524.716672332506</v>
      </c>
      <c r="BX7" s="87">
        <f ref="BX7:CR7" si="0" t="shared">C28</f>
        <v>33517.436176149633</v>
      </c>
      <c r="BY7" s="87">
        <f si="0" t="shared"/>
        <v>20342.761980711071</v>
      </c>
      <c r="BZ7" s="87">
        <f si="0" t="shared"/>
        <v>24858.21125930726</v>
      </c>
      <c r="CA7" s="87">
        <f si="0" t="shared"/>
        <v>23036.313694395729</v>
      </c>
      <c r="CB7" s="87">
        <f si="0" t="shared"/>
        <v>116219.36188648028</v>
      </c>
      <c r="CC7" s="87">
        <f si="0" t="shared"/>
        <v>74301.509013582981</v>
      </c>
      <c r="CD7" s="87">
        <f si="0" t="shared"/>
        <v>3682.4775864874828</v>
      </c>
      <c r="CE7" s="87">
        <f si="0" t="shared"/>
        <v>54879.130936305446</v>
      </c>
      <c r="CF7" s="87">
        <f si="0" t="shared"/>
        <v>14021.229546144357</v>
      </c>
      <c r="CG7" s="87">
        <f si="0" t="shared"/>
        <v>40033.491243339275</v>
      </c>
      <c r="CH7" s="87">
        <f si="0" t="shared"/>
        <v>150051.4119853304</v>
      </c>
      <c r="CI7" s="87">
        <f si="0" t="shared"/>
        <v>58699.074960954094</v>
      </c>
      <c r="CJ7" s="87">
        <f si="0" t="shared"/>
        <v>13303.423145710443</v>
      </c>
      <c r="CK7" s="87">
        <f si="0" t="shared"/>
        <v>18530.92040310935</v>
      </c>
      <c r="CL7" s="87">
        <f si="0" t="shared"/>
        <v>2059.7893251669652</v>
      </c>
      <c r="CM7" s="87">
        <f si="0" t="shared"/>
        <v>9135.2817345814929</v>
      </c>
      <c r="CN7" s="87">
        <f si="0" t="shared"/>
        <v>13074.167718361357</v>
      </c>
      <c r="CO7" s="87">
        <f si="0" t="shared"/>
        <v>16912.63761576551</v>
      </c>
      <c r="CP7" s="87">
        <f si="0" t="shared"/>
        <v>17257.161403342958</v>
      </c>
      <c r="CQ7" s="87">
        <f si="0" t="shared"/>
        <v>0</v>
      </c>
      <c r="CR7" s="87">
        <f si="0" t="shared"/>
        <v>787440.50828755845</v>
      </c>
    </row>
    <row r="8" spans="1:96" x14ac:dyDescent="0.45">
      <c r="A8">
        <v>2</v>
      </c>
      <c r="B8" s="62" t="n">
        <v>839.4778910856769</v>
      </c>
      <c r="C8" s="62" t="n">
        <v>673.4443244966642</v>
      </c>
      <c r="D8" s="62" t="n">
        <v>295.8443516427647</v>
      </c>
      <c r="E8" s="62" t="n">
        <v>2165.5701144084114</v>
      </c>
      <c r="F8" s="62" t="n">
        <v>49.6927684640005</v>
      </c>
      <c r="G8" s="62" t="n">
        <v>1832.0893814518508</v>
      </c>
      <c r="H8" s="62" t="n">
        <v>793.5735119464265</v>
      </c>
      <c r="I8" s="62" t="n">
        <v>0.0</v>
      </c>
      <c r="J8" s="62" t="n">
        <v>824.8936108141735</v>
      </c>
      <c r="K8" s="62" t="n">
        <v>91.492492737117</v>
      </c>
      <c r="L8" s="62" t="n">
        <v>132.8746246847385</v>
      </c>
      <c r="M8" s="62" t="n">
        <v>930.6901363213349</v>
      </c>
      <c r="N8" s="62" t="n">
        <v>0.0</v>
      </c>
      <c r="O8" s="62" t="n">
        <v>0.0</v>
      </c>
      <c r="P8" s="62" t="n">
        <v>0.0</v>
      </c>
      <c r="Q8" s="62" t="n">
        <v>0.0</v>
      </c>
      <c r="R8" s="62" t="n">
        <v>0.0</v>
      </c>
      <c r="S8" s="62" t="n">
        <v>0.0</v>
      </c>
      <c r="T8" s="62" t="n">
        <v>193.3917398399318</v>
      </c>
      <c r="U8" s="62" t="n">
        <v>0.0</v>
      </c>
      <c r="V8" s="62"/>
      <c r="W8" s="62">
        <f ref="W8:W27" si="1" t="shared">SUM(B8:V8)</f>
        <v>8823.0349478930912</v>
      </c>
      <c r="X8" s="13"/>
      <c r="Y8">
        <v>2</v>
      </c>
      <c r="Z8" s="62">
        <v>1874</v>
      </c>
      <c r="AA8" s="62">
        <v>2639</v>
      </c>
      <c r="AB8" s="62">
        <v>772</v>
      </c>
      <c r="AC8" s="62">
        <v>480</v>
      </c>
      <c r="AD8" s="62">
        <v>594</v>
      </c>
      <c r="AE8" s="62">
        <v>3513</v>
      </c>
      <c r="AF8" s="62">
        <v>1458</v>
      </c>
      <c r="AG8" s="62">
        <v>127</v>
      </c>
      <c r="AH8" s="62">
        <v>1490</v>
      </c>
      <c r="AI8" s="62">
        <v>455</v>
      </c>
      <c r="AJ8" s="62">
        <v>915</v>
      </c>
      <c r="AK8" s="62">
        <v>2760</v>
      </c>
      <c r="AL8" s="62">
        <v>283</v>
      </c>
      <c r="AM8" s="62">
        <v>67</v>
      </c>
      <c r="AN8" s="62">
        <v>277</v>
      </c>
      <c r="AO8" s="62">
        <v>83</v>
      </c>
      <c r="AP8" s="62">
        <v>56</v>
      </c>
      <c r="AQ8" s="62">
        <v>176</v>
      </c>
      <c r="AR8" s="62">
        <v>144</v>
      </c>
      <c r="AS8" s="62">
        <v>57</v>
      </c>
      <c r="AT8" s="62">
        <v>0</v>
      </c>
      <c r="AU8" s="62">
        <f ref="AU8:AU27" si="2" t="shared">SUM(Z8:AT8)</f>
        <v>18220</v>
      </c>
      <c r="AV8" s="13"/>
      <c r="AW8">
        <v>2</v>
      </c>
      <c r="AX8" s="62" t="n">
        <v>1542.0</v>
      </c>
      <c r="AY8" s="62" t="n">
        <v>2234.0</v>
      </c>
      <c r="AZ8" s="62" t="n">
        <v>769.0</v>
      </c>
      <c r="BA8" s="62" t="n">
        <v>534.0</v>
      </c>
      <c r="BB8" s="62" t="n">
        <v>647.0</v>
      </c>
      <c r="BC8" s="62" t="n">
        <v>2953.0</v>
      </c>
      <c r="BD8" s="62" t="n">
        <v>1285.0</v>
      </c>
      <c r="BE8" s="62" t="n">
        <v>108.0</v>
      </c>
      <c r="BF8" s="62" t="n">
        <v>1443.0</v>
      </c>
      <c r="BG8" s="62" t="n">
        <v>495.0</v>
      </c>
      <c r="BH8" s="62" t="n">
        <v>495.0</v>
      </c>
      <c r="BI8" s="62" t="n">
        <v>2482.0</v>
      </c>
      <c r="BJ8" s="62" t="n">
        <v>158.0</v>
      </c>
      <c r="BK8" s="62" t="n">
        <v>18.0</v>
      </c>
      <c r="BL8" s="62" t="n">
        <v>143.0</v>
      </c>
      <c r="BM8" s="62" t="n">
        <v>31.0</v>
      </c>
      <c r="BN8" s="62" t="n">
        <v>17.0</v>
      </c>
      <c r="BO8" s="62" t="n">
        <v>42.0</v>
      </c>
      <c r="BP8" s="62" t="n">
        <v>33.0</v>
      </c>
      <c r="BQ8" s="62" t="n">
        <v>2.0</v>
      </c>
      <c r="BR8" s="62"/>
      <c r="BS8" s="62">
        <f ref="BS8:BS27" si="3" t="shared">SUM(AX8:BR8)</f>
        <v>15345</v>
      </c>
      <c r="BT8" s="81"/>
      <c r="BV8" t="s">
        <v>356</v>
      </c>
      <c r="BW8" s="44">
        <f>Flow_ODData!C25</f>
        <v>50465</v>
      </c>
      <c r="BX8" s="44">
        <f>Flow_ODData!D25</f>
        <v>41849</v>
      </c>
      <c r="BY8" s="44">
        <f>Flow_ODData!E25</f>
        <v>26730</v>
      </c>
      <c r="BZ8" s="44">
        <f>Flow_ODData!F25</f>
        <v>18661</v>
      </c>
      <c r="CA8" s="44">
        <f>Flow_ODData!G25</f>
        <v>24148</v>
      </c>
      <c r="CB8" s="44">
        <f>Flow_ODData!H25</f>
        <v>106455</v>
      </c>
      <c r="CC8" s="44">
        <f>Flow_ODData!I25</f>
        <v>86378</v>
      </c>
      <c r="CD8" s="44">
        <f>Flow_ODData!J25</f>
        <v>5098</v>
      </c>
      <c r="CE8" s="44">
        <f>Flow_ODData!K25</f>
        <v>52399</v>
      </c>
      <c r="CF8" s="44">
        <f>Flow_ODData!L25</f>
        <v>20410</v>
      </c>
      <c r="CG8" s="44">
        <f>Flow_ODData!M25</f>
        <v>57960</v>
      </c>
      <c r="CH8" s="44">
        <f>Flow_ODData!N25</f>
        <v>148223</v>
      </c>
      <c r="CI8" s="44">
        <f>Flow_ODData!O25</f>
        <v>100852</v>
      </c>
      <c r="CJ8" s="44">
        <f>Flow_ODData!P25</f>
        <v>15338</v>
      </c>
      <c r="CK8" s="44">
        <f>Flow_ODData!Q25</f>
        <v>37987</v>
      </c>
      <c r="CL8" s="44">
        <f>Flow_ODData!R25</f>
        <v>5063</v>
      </c>
      <c r="CM8" s="44">
        <f>Flow_ODData!S25</f>
        <v>15286</v>
      </c>
      <c r="CN8" s="44">
        <f>Flow_ODData!T25</f>
        <v>23663</v>
      </c>
      <c r="CO8" s="44">
        <f>Flow_ODData!U25</f>
        <v>36765</v>
      </c>
      <c r="CP8" s="44">
        <f>Flow_ODData!V25</f>
        <v>30183</v>
      </c>
      <c r="CQ8" s="44">
        <f>Flow_ODData!W25</f>
        <v>0</v>
      </c>
      <c r="CR8" s="44">
        <f>Flow_ODData!X25</f>
        <v>903913</v>
      </c>
    </row>
    <row r="9" spans="1:96" x14ac:dyDescent="0.45">
      <c r="A9">
        <v>3</v>
      </c>
      <c r="B9" s="62" t="n">
        <v>5835.356505635256</v>
      </c>
      <c r="C9" s="62" t="n">
        <v>3540.045085804079</v>
      </c>
      <c r="D9" s="62" t="n">
        <v>3383.825979287434</v>
      </c>
      <c r="E9" s="62" t="n">
        <v>762.7256948076135</v>
      </c>
      <c r="F9" s="62" t="n">
        <v>1637.7761231659904</v>
      </c>
      <c r="G9" s="62" t="n">
        <v>6229.5635477391515</v>
      </c>
      <c r="H9" s="62" t="n">
        <v>855.6179601478602</v>
      </c>
      <c r="I9" s="62" t="n">
        <v>750.8248671854076</v>
      </c>
      <c r="J9" s="62" t="n">
        <v>1663.2706464228795</v>
      </c>
      <c r="K9" s="62" t="n">
        <v>815.296225237118</v>
      </c>
      <c r="L9" s="62" t="n">
        <v>1470.479614144679</v>
      </c>
      <c r="M9" s="62" t="n">
        <v>4620.856702117153</v>
      </c>
      <c r="N9" s="62" t="n">
        <v>69.8419057340848</v>
      </c>
      <c r="O9" s="62" t="n">
        <v>0.0</v>
      </c>
      <c r="P9" s="62" t="n">
        <v>0.0</v>
      </c>
      <c r="Q9" s="62" t="n">
        <v>0.0</v>
      </c>
      <c r="R9" s="62" t="n">
        <v>0.0</v>
      </c>
      <c r="S9" s="62" t="n">
        <v>0.0</v>
      </c>
      <c r="T9" s="62" t="n">
        <v>199.7928513740479</v>
      </c>
      <c r="U9" s="62" t="n">
        <v>0.0</v>
      </c>
      <c r="V9" s="62"/>
      <c r="W9" s="62">
        <f si="1" t="shared"/>
        <v>31835.273708802753</v>
      </c>
      <c r="X9" s="13"/>
      <c r="Y9">
        <v>3</v>
      </c>
      <c r="Z9" s="62">
        <v>5450</v>
      </c>
      <c r="AA9" s="62">
        <v>3923</v>
      </c>
      <c r="AB9" s="62">
        <v>3138</v>
      </c>
      <c r="AC9" s="62">
        <v>1501</v>
      </c>
      <c r="AD9" s="62">
        <v>1572</v>
      </c>
      <c r="AE9" s="62">
        <v>8512</v>
      </c>
      <c r="AF9" s="62">
        <v>2035</v>
      </c>
      <c r="AG9" s="62">
        <v>382</v>
      </c>
      <c r="AH9" s="62">
        <v>2019</v>
      </c>
      <c r="AI9" s="62">
        <v>1049</v>
      </c>
      <c r="AJ9" s="62">
        <v>2011</v>
      </c>
      <c r="AK9" s="62">
        <v>4809</v>
      </c>
      <c r="AL9" s="62">
        <v>439</v>
      </c>
      <c r="AM9" s="62">
        <v>142</v>
      </c>
      <c r="AN9" s="62">
        <v>407</v>
      </c>
      <c r="AO9" s="62">
        <v>168</v>
      </c>
      <c r="AP9" s="62">
        <v>150</v>
      </c>
      <c r="AQ9" s="62">
        <v>209</v>
      </c>
      <c r="AR9" s="62">
        <v>421</v>
      </c>
      <c r="AS9" s="62">
        <v>96</v>
      </c>
      <c r="AT9" s="62">
        <v>0</v>
      </c>
      <c r="AU9" s="62">
        <f si="2" t="shared"/>
        <v>38433</v>
      </c>
      <c r="AV9" s="13"/>
      <c r="AW9">
        <v>3</v>
      </c>
      <c r="AX9" s="62" t="n">
        <v>4783.0</v>
      </c>
      <c r="AY9" s="62" t="n">
        <v>2909.0</v>
      </c>
      <c r="AZ9" s="62" t="n">
        <v>3854.0</v>
      </c>
      <c r="BA9" s="62" t="n">
        <v>1732.0</v>
      </c>
      <c r="BB9" s="62" t="n">
        <v>1919.0</v>
      </c>
      <c r="BC9" s="62" t="n">
        <v>7109.0</v>
      </c>
      <c r="BD9" s="62" t="n">
        <v>1613.0</v>
      </c>
      <c r="BE9" s="62" t="n">
        <v>570.0</v>
      </c>
      <c r="BF9" s="62" t="n">
        <v>2214.0</v>
      </c>
      <c r="BG9" s="62" t="n">
        <v>1492.0</v>
      </c>
      <c r="BH9" s="62" t="n">
        <v>3111.0</v>
      </c>
      <c r="BI9" s="62" t="n">
        <v>4180.0</v>
      </c>
      <c r="BJ9" s="62" t="n">
        <v>146.0</v>
      </c>
      <c r="BK9" s="62" t="n">
        <v>167.0</v>
      </c>
      <c r="BL9" s="62" t="n">
        <v>192.0</v>
      </c>
      <c r="BM9" s="62" t="n">
        <v>101.0</v>
      </c>
      <c r="BN9" s="62" t="n">
        <v>140.0</v>
      </c>
      <c r="BO9" s="62" t="n">
        <v>66.0</v>
      </c>
      <c r="BP9" s="62" t="n">
        <v>225.0</v>
      </c>
      <c r="BQ9" s="62" t="n">
        <v>4.0</v>
      </c>
      <c r="BR9" s="62"/>
      <c r="BS9" s="62">
        <f si="3" t="shared"/>
        <v>36541</v>
      </c>
      <c r="BT9" s="81"/>
      <c r="BV9" t="s">
        <v>344</v>
      </c>
      <c r="BW9" s="87">
        <f ref="BW9:CR9" si="4" t="shared">Z28</f>
        <v>70858</v>
      </c>
      <c r="BX9" s="87">
        <f si="4" t="shared"/>
        <v>75074</v>
      </c>
      <c r="BY9" s="87">
        <f si="4" t="shared"/>
        <v>24294</v>
      </c>
      <c r="BZ9" s="87">
        <f si="4" t="shared"/>
        <v>23571</v>
      </c>
      <c r="CA9" s="87">
        <f si="4" t="shared"/>
        <v>27651</v>
      </c>
      <c r="CB9" s="87">
        <f si="4" t="shared"/>
        <v>153058</v>
      </c>
      <c r="CC9" s="87">
        <f si="4" t="shared"/>
        <v>84080</v>
      </c>
      <c r="CD9" s="87">
        <f si="4" t="shared"/>
        <v>7355</v>
      </c>
      <c r="CE9" s="87">
        <f si="4" t="shared"/>
        <v>57234</v>
      </c>
      <c r="CF9" s="87">
        <f si="4" t="shared"/>
        <v>21817</v>
      </c>
      <c r="CG9" s="87">
        <f si="4" t="shared"/>
        <v>50898</v>
      </c>
      <c r="CH9" s="87">
        <f si="4" t="shared"/>
        <v>162784</v>
      </c>
      <c r="CI9" s="87">
        <f si="4" t="shared"/>
        <v>65336</v>
      </c>
      <c r="CJ9" s="87">
        <f si="4" t="shared"/>
        <v>11928</v>
      </c>
      <c r="CK9" s="87">
        <f si="4" t="shared"/>
        <v>31047</v>
      </c>
      <c r="CL9" s="87">
        <f si="4" t="shared"/>
        <v>5518</v>
      </c>
      <c r="CM9" s="87">
        <f si="4" t="shared"/>
        <v>11837</v>
      </c>
      <c r="CN9" s="87">
        <f si="4" t="shared"/>
        <v>23748</v>
      </c>
      <c r="CO9" s="87">
        <f si="4" t="shared"/>
        <v>29164</v>
      </c>
      <c r="CP9" s="87">
        <f si="4" t="shared"/>
        <v>22156</v>
      </c>
      <c r="CQ9" s="87">
        <f si="4" t="shared"/>
        <v>0</v>
      </c>
      <c r="CR9" s="87">
        <f si="4" t="shared"/>
        <v>959408</v>
      </c>
    </row>
    <row r="10" spans="1:96" x14ac:dyDescent="0.45">
      <c r="A10">
        <v>4</v>
      </c>
      <c r="B10" s="62" t="n">
        <v>1616.0624833341371</v>
      </c>
      <c r="C10" s="62" t="n">
        <v>60.4782528951078</v>
      </c>
      <c r="D10" s="62" t="n">
        <v>743.617680963302</v>
      </c>
      <c r="E10" s="62" t="n">
        <v>582.2743672770808</v>
      </c>
      <c r="F10" s="62" t="n">
        <v>469.2556787750797</v>
      </c>
      <c r="G10" s="62" t="n">
        <v>1099.0053891106788</v>
      </c>
      <c r="H10" s="62" t="n">
        <v>921.438594372371</v>
      </c>
      <c r="I10" s="62" t="n">
        <v>130.7424747897607</v>
      </c>
      <c r="J10" s="62" t="n">
        <v>268.77106871752153</v>
      </c>
      <c r="K10" s="62" t="n">
        <v>214.3812000724433</v>
      </c>
      <c r="L10" s="62" t="n">
        <v>502.8628460621882</v>
      </c>
      <c r="M10" s="62" t="n">
        <v>676.2675764306304</v>
      </c>
      <c r="N10" s="62" t="n">
        <v>0.0</v>
      </c>
      <c r="O10" s="62" t="n">
        <v>0.0</v>
      </c>
      <c r="P10" s="62" t="n">
        <v>0.0</v>
      </c>
      <c r="Q10" s="62" t="n">
        <v>0.0</v>
      </c>
      <c r="R10" s="62" t="n">
        <v>0.0</v>
      </c>
      <c r="S10" s="62" t="n">
        <v>0.0</v>
      </c>
      <c r="T10" s="62" t="n">
        <v>49.6927684640005</v>
      </c>
      <c r="U10" s="62" t="n">
        <v>0.0</v>
      </c>
      <c r="V10" s="62"/>
      <c r="W10" s="62">
        <f si="1" t="shared"/>
        <v>7334.8503812643012</v>
      </c>
      <c r="X10" s="13"/>
      <c r="Y10">
        <v>4</v>
      </c>
      <c r="Z10" s="62">
        <v>2108</v>
      </c>
      <c r="AA10" s="62">
        <v>2221</v>
      </c>
      <c r="AB10" s="62">
        <v>938</v>
      </c>
      <c r="AC10" s="62">
        <v>1370</v>
      </c>
      <c r="AD10" s="62">
        <v>1182</v>
      </c>
      <c r="AE10" s="62">
        <v>3967</v>
      </c>
      <c r="AF10" s="62">
        <v>1124</v>
      </c>
      <c r="AG10" s="62">
        <v>404</v>
      </c>
      <c r="AH10" s="62">
        <v>998</v>
      </c>
      <c r="AI10" s="62">
        <v>644</v>
      </c>
      <c r="AJ10" s="62">
        <v>992</v>
      </c>
      <c r="AK10" s="62">
        <v>2078</v>
      </c>
      <c r="AL10" s="62">
        <v>247</v>
      </c>
      <c r="AM10" s="62">
        <v>109</v>
      </c>
      <c r="AN10" s="62">
        <v>165</v>
      </c>
      <c r="AO10" s="62">
        <v>99</v>
      </c>
      <c r="AP10" s="62">
        <v>65</v>
      </c>
      <c r="AQ10" s="62">
        <v>125</v>
      </c>
      <c r="AR10" s="62">
        <v>128</v>
      </c>
      <c r="AS10" s="62">
        <v>65</v>
      </c>
      <c r="AT10" s="62">
        <v>0</v>
      </c>
      <c r="AU10" s="62">
        <f si="2" t="shared"/>
        <v>19029</v>
      </c>
      <c r="AV10" s="13"/>
      <c r="AW10">
        <v>4</v>
      </c>
      <c r="AX10" s="62" t="n">
        <v>1528.0</v>
      </c>
      <c r="AY10" s="62" t="n">
        <v>965.0</v>
      </c>
      <c r="AZ10" s="62" t="n">
        <v>855.0</v>
      </c>
      <c r="BA10" s="62" t="n">
        <v>1250.0</v>
      </c>
      <c r="BB10" s="62" t="n">
        <v>934.0</v>
      </c>
      <c r="BC10" s="62" t="n">
        <v>2968.0</v>
      </c>
      <c r="BD10" s="62" t="n">
        <v>414.0</v>
      </c>
      <c r="BE10" s="62" t="n">
        <v>260.0</v>
      </c>
      <c r="BF10" s="62" t="n">
        <v>561.0</v>
      </c>
      <c r="BG10" s="62" t="n">
        <v>734.0</v>
      </c>
      <c r="BH10" s="62" t="n">
        <v>800.0</v>
      </c>
      <c r="BI10" s="62" t="n">
        <v>1446.0</v>
      </c>
      <c r="BJ10" s="62" t="n">
        <v>33.0</v>
      </c>
      <c r="BK10" s="62" t="n">
        <v>59.0</v>
      </c>
      <c r="BL10" s="62" t="n">
        <v>29.0</v>
      </c>
      <c r="BM10" s="62" t="n">
        <v>64.0</v>
      </c>
      <c r="BN10" s="62" t="n">
        <v>35.0</v>
      </c>
      <c r="BO10" s="62" t="n">
        <v>16.0</v>
      </c>
      <c r="BP10" s="62" t="n">
        <v>44.0</v>
      </c>
      <c r="BQ10" s="62" t="n">
        <v>3.0</v>
      </c>
      <c r="BR10" s="62"/>
      <c r="BS10" s="62">
        <f si="3" t="shared"/>
        <v>13018</v>
      </c>
      <c r="BT10" s="81"/>
      <c r="BV10" s="6" t="s">
        <v>345</v>
      </c>
      <c r="BW10" s="112">
        <f ref="BW10:CR10" si="5" t="shared">AX28</f>
        <v>54561</v>
      </c>
      <c r="BX10" s="112">
        <f si="5" t="shared"/>
        <v>35769</v>
      </c>
      <c r="BY10" s="112">
        <f si="5" t="shared"/>
        <v>22365</v>
      </c>
      <c r="BZ10" s="112">
        <f si="5" t="shared"/>
        <v>14532</v>
      </c>
      <c r="CA10" s="112">
        <f si="5" t="shared"/>
        <v>17563</v>
      </c>
      <c r="CB10" s="112">
        <f si="5" t="shared"/>
        <v>97510</v>
      </c>
      <c r="CC10" s="112">
        <f si="5" t="shared"/>
        <v>87842</v>
      </c>
      <c r="CD10" s="112">
        <f si="5" t="shared"/>
        <v>2420</v>
      </c>
      <c r="CE10" s="112">
        <f si="5" t="shared"/>
        <v>56060</v>
      </c>
      <c r="CF10" s="112">
        <f si="5" t="shared"/>
        <v>17375</v>
      </c>
      <c r="CG10" s="112">
        <f si="5" t="shared"/>
        <v>47935</v>
      </c>
      <c r="CH10" s="112">
        <f si="5" t="shared"/>
        <v>162422</v>
      </c>
      <c r="CI10" s="112">
        <f si="5" t="shared"/>
        <v>80256</v>
      </c>
      <c r="CJ10" s="112">
        <f si="5" t="shared"/>
        <v>14989</v>
      </c>
      <c r="CK10" s="112">
        <f si="5" t="shared"/>
        <v>32841</v>
      </c>
      <c r="CL10" s="112">
        <f si="5" t="shared"/>
        <v>4087</v>
      </c>
      <c r="CM10" s="112">
        <f si="5" t="shared"/>
        <v>15046</v>
      </c>
      <c r="CN10" s="112">
        <f si="5" t="shared"/>
        <v>23721</v>
      </c>
      <c r="CO10" s="112">
        <f si="5" t="shared"/>
        <v>28364</v>
      </c>
      <c r="CP10" s="112">
        <f si="5" t="shared"/>
        <v>22517</v>
      </c>
      <c r="CQ10" s="112">
        <f si="5" t="shared"/>
        <v>0</v>
      </c>
      <c r="CR10" s="112">
        <f si="5" t="shared"/>
        <v>838175</v>
      </c>
    </row>
    <row r="11" spans="1:96" x14ac:dyDescent="0.45">
      <c r="A11">
        <v>5</v>
      </c>
      <c r="B11" s="62" t="n">
        <v>786.9462345377635</v>
      </c>
      <c r="C11" s="62" t="n">
        <v>498.12504946812203</v>
      </c>
      <c r="D11" s="62" t="n">
        <v>49.5107375012291</v>
      </c>
      <c r="E11" s="62" t="n">
        <v>247.7504780247959</v>
      </c>
      <c r="F11" s="62" t="n">
        <v>1067.3531000124278</v>
      </c>
      <c r="G11" s="62" t="n">
        <v>2387.501948668865</v>
      </c>
      <c r="H11" s="62" t="n">
        <v>510.2782474160339</v>
      </c>
      <c r="I11" s="62" t="n">
        <v>0.0</v>
      </c>
      <c r="J11" s="62" t="n">
        <v>486.93718103783937</v>
      </c>
      <c r="K11" s="62" t="n">
        <v>747.2413023085934</v>
      </c>
      <c r="L11" s="62" t="n">
        <v>126.5347867626661</v>
      </c>
      <c r="M11" s="62" t="n">
        <v>3395.8683891521086</v>
      </c>
      <c r="N11" s="62" t="n">
        <v>0.0</v>
      </c>
      <c r="O11" s="62" t="n">
        <v>0.0</v>
      </c>
      <c r="P11" s="62" t="n">
        <v>0.0</v>
      </c>
      <c r="Q11" s="62" t="n">
        <v>0.0</v>
      </c>
      <c r="R11" s="62" t="n">
        <v>71.6349923389629</v>
      </c>
      <c r="S11" s="62" t="n">
        <v>0.0</v>
      </c>
      <c r="T11" s="62" t="n">
        <v>0.0</v>
      </c>
      <c r="U11" s="62" t="n">
        <v>41.7997242731165</v>
      </c>
      <c r="V11" s="62"/>
      <c r="W11" s="62">
        <f si="1" t="shared"/>
        <v>10417.482171502525</v>
      </c>
      <c r="X11" s="13"/>
      <c r="Y11">
        <v>5</v>
      </c>
      <c r="Z11" s="62">
        <v>2165</v>
      </c>
      <c r="AA11" s="62">
        <v>1480</v>
      </c>
      <c r="AB11" s="62">
        <v>578</v>
      </c>
      <c r="AC11" s="62">
        <v>661</v>
      </c>
      <c r="AD11" s="62">
        <v>1341</v>
      </c>
      <c r="AE11" s="62">
        <v>5419</v>
      </c>
      <c r="AF11" s="62">
        <v>836</v>
      </c>
      <c r="AG11" s="62">
        <v>153</v>
      </c>
      <c r="AH11" s="62">
        <v>743</v>
      </c>
      <c r="AI11" s="62">
        <v>748</v>
      </c>
      <c r="AJ11" s="62">
        <v>567</v>
      </c>
      <c r="AK11" s="62">
        <v>2587</v>
      </c>
      <c r="AL11" s="62">
        <v>234</v>
      </c>
      <c r="AM11" s="62">
        <v>106</v>
      </c>
      <c r="AN11" s="62">
        <v>165</v>
      </c>
      <c r="AO11" s="62">
        <v>82</v>
      </c>
      <c r="AP11" s="62">
        <v>48</v>
      </c>
      <c r="AQ11" s="62">
        <v>151</v>
      </c>
      <c r="AR11" s="62">
        <v>101</v>
      </c>
      <c r="AS11" s="62">
        <v>68</v>
      </c>
      <c r="AT11" s="62">
        <v>0</v>
      </c>
      <c r="AU11" s="62">
        <f si="2" t="shared"/>
        <v>18233</v>
      </c>
      <c r="AV11" s="13"/>
      <c r="AW11">
        <v>5</v>
      </c>
      <c r="AX11" s="62" t="n">
        <v>1563.0</v>
      </c>
      <c r="AY11" s="62" t="n">
        <v>898.0</v>
      </c>
      <c r="AZ11" s="62" t="n">
        <v>560.0</v>
      </c>
      <c r="BA11" s="62" t="n">
        <v>658.0</v>
      </c>
      <c r="BB11" s="62" t="n">
        <v>1756.0</v>
      </c>
      <c r="BC11" s="62" t="n">
        <v>4301.0</v>
      </c>
      <c r="BD11" s="62" t="n">
        <v>492.0</v>
      </c>
      <c r="BE11" s="62" t="n">
        <v>148.0</v>
      </c>
      <c r="BF11" s="62" t="n">
        <v>503.0</v>
      </c>
      <c r="BG11" s="62" t="n">
        <v>1018.0</v>
      </c>
      <c r="BH11" s="62" t="n">
        <v>427.0</v>
      </c>
      <c r="BI11" s="62" t="n">
        <v>1975.0</v>
      </c>
      <c r="BJ11" s="62" t="n">
        <v>61.0</v>
      </c>
      <c r="BK11" s="62" t="n">
        <v>20.0</v>
      </c>
      <c r="BL11" s="62" t="n">
        <v>32.0</v>
      </c>
      <c r="BM11" s="62" t="n">
        <v>111.0</v>
      </c>
      <c r="BN11" s="62" t="n">
        <v>21.0</v>
      </c>
      <c r="BO11" s="62" t="n">
        <v>24.0</v>
      </c>
      <c r="BP11" s="62" t="n">
        <v>30.0</v>
      </c>
      <c r="BQ11" s="62" t="n">
        <v>1.0</v>
      </c>
      <c r="BR11" s="62"/>
      <c r="BS11" s="62">
        <f si="3" t="shared"/>
        <v>14541</v>
      </c>
      <c r="BT11" s="81"/>
      <c r="BU11" t="s">
        <v>347</v>
      </c>
      <c r="BV11" t="s">
        <v>343</v>
      </c>
      <c r="BW11" s="87">
        <f ref="BW11:CR11" si="6" t="shared">B55</f>
        <v>88906.182321098691</v>
      </c>
      <c r="BX11" s="87">
        <f si="6" t="shared"/>
        <v>35676.951809399434</v>
      </c>
      <c r="BY11" s="87">
        <f si="6" t="shared"/>
        <v>21653.438378808769</v>
      </c>
      <c r="BZ11" s="87">
        <f si="6" t="shared"/>
        <v>26459.816332767474</v>
      </c>
      <c r="CA11" s="87">
        <f si="6" t="shared"/>
        <v>24520.534602404598</v>
      </c>
      <c r="CB11" s="87">
        <f si="6" t="shared"/>
        <v>123707.3310605295</v>
      </c>
      <c r="CC11" s="87">
        <f si="6" t="shared"/>
        <v>79088.726909534715</v>
      </c>
      <c r="CD11" s="87">
        <f si="6" t="shared"/>
        <v>3919.738213324164</v>
      </c>
      <c r="CE11" s="87">
        <f si="6" t="shared"/>
        <v>58414.972418132311</v>
      </c>
      <c r="CF11" s="87">
        <f si="6" t="shared"/>
        <v>14924.612019766513</v>
      </c>
      <c r="CG11" s="87">
        <f si="6" t="shared"/>
        <v>42612.833820116626</v>
      </c>
      <c r="CH11" s="87">
        <f si="6" t="shared"/>
        <v>159719.16724771252</v>
      </c>
      <c r="CI11" s="87">
        <f si="6" t="shared"/>
        <v>62481.033979814951</v>
      </c>
      <c r="CJ11" s="87">
        <f si="6" t="shared"/>
        <v>14160.557626638967</v>
      </c>
      <c r="CK11" s="87">
        <f si="6" t="shared"/>
        <v>19724.860539183908</v>
      </c>
      <c r="CL11" s="87">
        <f si="6" t="shared"/>
        <v>2192.5007660278366</v>
      </c>
      <c r="CM11" s="87">
        <f si="6" t="shared"/>
        <v>9723.8644536263346</v>
      </c>
      <c r="CN11" s="87">
        <f si="6" t="shared"/>
        <v>13916.531359516643</v>
      </c>
      <c r="CO11" s="87">
        <f si="6" t="shared"/>
        <v>18002.312408872851</v>
      </c>
      <c r="CP11" s="87">
        <f si="6" t="shared"/>
        <v>18369.033732723354</v>
      </c>
      <c r="CQ11" s="87">
        <f si="6" t="shared"/>
        <v>0</v>
      </c>
      <c r="CR11" s="87">
        <f si="6" t="shared"/>
        <v>838175</v>
      </c>
    </row>
    <row r="12" spans="1:96" x14ac:dyDescent="0.45">
      <c r="A12">
        <v>6</v>
      </c>
      <c r="B12" s="62" t="n">
        <v>7358.525030299986</v>
      </c>
      <c r="C12" s="62" t="n">
        <v>2575.7485027220073</v>
      </c>
      <c r="D12" s="62" t="n">
        <v>599.8660011635093</v>
      </c>
      <c r="E12" s="62" t="n">
        <v>271.940931802597</v>
      </c>
      <c r="F12" s="62" t="n">
        <v>824.5134233742831</v>
      </c>
      <c r="G12" s="62" t="n">
        <v>24359.79020407026</v>
      </c>
      <c r="H12" s="62" t="n">
        <v>1518.1606131188198</v>
      </c>
      <c r="I12" s="62" t="n">
        <v>0.0</v>
      </c>
      <c r="J12" s="62" t="n">
        <v>1335.3563200134513</v>
      </c>
      <c r="K12" s="62" t="n">
        <v>757.8518195330541</v>
      </c>
      <c r="L12" s="62" t="n">
        <v>891.677924669352</v>
      </c>
      <c r="M12" s="62" t="n">
        <v>9308.696776024815</v>
      </c>
      <c r="N12" s="62" t="n">
        <v>194.622820316533</v>
      </c>
      <c r="O12" s="62" t="n">
        <v>0.0</v>
      </c>
      <c r="P12" s="62" t="n">
        <v>626.8849432870925</v>
      </c>
      <c r="Q12" s="62" t="n">
        <v>0.0</v>
      </c>
      <c r="R12" s="62" t="n">
        <v>0.0</v>
      </c>
      <c r="S12" s="62" t="n">
        <v>49.6927684640005</v>
      </c>
      <c r="T12" s="62" t="n">
        <v>0.0</v>
      </c>
      <c r="U12" s="62" t="n">
        <v>0.0</v>
      </c>
      <c r="V12" s="62"/>
      <c r="W12" s="62">
        <f si="1" t="shared"/>
        <v>50673.328078859762</v>
      </c>
      <c r="X12" s="13"/>
      <c r="Y12">
        <v>6</v>
      </c>
      <c r="Z12" s="62">
        <v>3501</v>
      </c>
      <c r="AA12" s="62">
        <v>2100</v>
      </c>
      <c r="AB12" s="62">
        <v>798</v>
      </c>
      <c r="AC12" s="62">
        <v>668</v>
      </c>
      <c r="AD12" s="62">
        <v>1197</v>
      </c>
      <c r="AE12" s="62">
        <v>11630</v>
      </c>
      <c r="AF12" s="62">
        <v>1285</v>
      </c>
      <c r="AG12" s="62">
        <v>134</v>
      </c>
      <c r="AH12" s="62">
        <v>1060</v>
      </c>
      <c r="AI12" s="62">
        <v>835</v>
      </c>
      <c r="AJ12" s="62">
        <v>702</v>
      </c>
      <c r="AK12" s="62">
        <v>5055</v>
      </c>
      <c r="AL12" s="62">
        <v>449</v>
      </c>
      <c r="AM12" s="62">
        <v>96</v>
      </c>
      <c r="AN12" s="62">
        <v>236</v>
      </c>
      <c r="AO12" s="62">
        <v>151</v>
      </c>
      <c r="AP12" s="62">
        <v>63</v>
      </c>
      <c r="AQ12" s="62">
        <v>274</v>
      </c>
      <c r="AR12" s="62">
        <v>160</v>
      </c>
      <c r="AS12" s="62">
        <v>84</v>
      </c>
      <c r="AT12" s="62">
        <v>0</v>
      </c>
      <c r="AU12" s="62">
        <f si="2" t="shared"/>
        <v>30478</v>
      </c>
      <c r="AV12" s="13"/>
      <c r="AW12">
        <v>6</v>
      </c>
      <c r="AX12" s="62" t="n">
        <v>3360.0</v>
      </c>
      <c r="AY12" s="62" t="n">
        <v>1967.0</v>
      </c>
      <c r="AZ12" s="62" t="n">
        <v>1035.0</v>
      </c>
      <c r="BA12" s="62" t="n">
        <v>970.0</v>
      </c>
      <c r="BB12" s="62" t="n">
        <v>2150.0</v>
      </c>
      <c r="BC12" s="62" t="n">
        <v>13072.0</v>
      </c>
      <c r="BD12" s="62" t="n">
        <v>1304.0</v>
      </c>
      <c r="BE12" s="62" t="n">
        <v>202.0</v>
      </c>
      <c r="BF12" s="62" t="n">
        <v>1189.0</v>
      </c>
      <c r="BG12" s="62" t="n">
        <v>1375.0</v>
      </c>
      <c r="BH12" s="62" t="n">
        <v>696.0</v>
      </c>
      <c r="BI12" s="62" t="n">
        <v>5143.0</v>
      </c>
      <c r="BJ12" s="62" t="n">
        <v>123.0</v>
      </c>
      <c r="BK12" s="62" t="n">
        <v>43.0</v>
      </c>
      <c r="BL12" s="62" t="n">
        <v>89.0</v>
      </c>
      <c r="BM12" s="62" t="n">
        <v>145.0</v>
      </c>
      <c r="BN12" s="62" t="n">
        <v>53.0</v>
      </c>
      <c r="BO12" s="62" t="n">
        <v>67.0</v>
      </c>
      <c r="BP12" s="62" t="n">
        <v>45.0</v>
      </c>
      <c r="BQ12" s="62" t="n">
        <v>8.0</v>
      </c>
      <c r="BR12" s="62"/>
      <c r="BS12" s="62">
        <f si="3" t="shared"/>
        <v>33030</v>
      </c>
      <c r="BT12" s="81"/>
      <c r="BV12" t="s">
        <v>356</v>
      </c>
      <c r="BW12" s="44">
        <f>Flow_ODData!C52</f>
        <v>46794.881116877397</v>
      </c>
      <c r="BX12" s="44">
        <f>Flow_ODData!D52</f>
        <v>38805.48855365505</v>
      </c>
      <c r="BY12" s="44">
        <f>Flow_ODData!E52</f>
        <v>24786.033335066539</v>
      </c>
      <c r="BZ12" s="44">
        <f>Flow_ODData!F52</f>
        <v>17303.859635827783</v>
      </c>
      <c r="CA12" s="44">
        <f>Flow_ODData!G52</f>
        <v>22391.811933228088</v>
      </c>
      <c r="CB12" s="44">
        <f>Flow_ODData!H52</f>
        <v>98712.950942181385</v>
      </c>
      <c r="CC12" s="44">
        <f>Flow_ODData!I52</f>
        <v>80096.071358637389</v>
      </c>
      <c r="CD12" s="44">
        <f>Flow_ODData!J52</f>
        <v>4727.2427213680967</v>
      </c>
      <c r="CE12" s="44">
        <f>Flow_ODData!K52</f>
        <v>48588.228983320296</v>
      </c>
      <c r="CF12" s="44">
        <f>Flow_ODData!L52</f>
        <v>18925.661817011151</v>
      </c>
      <c r="CG12" s="44">
        <f>Flow_ODData!M52</f>
        <v>53744.799554824414</v>
      </c>
      <c r="CH12" s="44">
        <f>Flow_ODData!N52</f>
        <v>137443.33030391199</v>
      </c>
      <c r="CI12" s="44">
        <f>Flow_ODData!O52</f>
        <v>93517.434863753486</v>
      </c>
      <c r="CJ12" s="44">
        <f>Flow_ODData!P52</f>
        <v>14222.528218976826</v>
      </c>
      <c r="CK12" s="44">
        <f>Flow_ODData!Q52</f>
        <v>35224.356464615514</v>
      </c>
      <c r="CL12" s="44">
        <f>Flow_ODData!R52</f>
        <v>4694.7881322649419</v>
      </c>
      <c r="CM12" s="44">
        <f>Flow_ODData!S52</f>
        <v>14174.309972309282</v>
      </c>
      <c r="CN12" s="44">
        <f>Flow_ODData!T52</f>
        <v>21942.0840556558</v>
      </c>
      <c r="CO12" s="44">
        <f>Flow_ODData!U52</f>
        <v>34091.227667928222</v>
      </c>
      <c r="CP12" s="44">
        <f>Flow_ODData!V52</f>
        <v>27987.910368586356</v>
      </c>
      <c r="CQ12" s="44">
        <f>Flow_ODData!W52</f>
        <v>0</v>
      </c>
      <c r="CR12" s="44">
        <f>Flow_ODData!X52</f>
        <v>838175</v>
      </c>
    </row>
    <row r="13" spans="1:96" x14ac:dyDescent="0.45">
      <c r="A13">
        <v>7</v>
      </c>
      <c r="B13" s="62" t="n">
        <v>4224.615360927747</v>
      </c>
      <c r="C13" s="62" t="n">
        <v>5621.67801498585</v>
      </c>
      <c r="D13" s="62" t="n">
        <v>432.1153836684273</v>
      </c>
      <c r="E13" s="62" t="n">
        <v>1796.0206667044095</v>
      </c>
      <c r="F13" s="62" t="n">
        <v>2189.5184250035186</v>
      </c>
      <c r="G13" s="62" t="n">
        <v>8743.424797808335</v>
      </c>
      <c r="H13" s="62" t="n">
        <v>17699.13236533946</v>
      </c>
      <c r="I13" s="62" t="n">
        <v>69.3241415826164</v>
      </c>
      <c r="J13" s="62" t="n">
        <v>5558.808122567203</v>
      </c>
      <c r="K13" s="62" t="n">
        <v>160.5817462256364</v>
      </c>
      <c r="L13" s="62" t="n">
        <v>0.0</v>
      </c>
      <c r="M13" s="62" t="n">
        <v>10487.429754323392</v>
      </c>
      <c r="N13" s="62" t="n">
        <v>3924.328881012246</v>
      </c>
      <c r="O13" s="62" t="n">
        <v>0.0</v>
      </c>
      <c r="P13" s="62" t="n">
        <v>365.4584199538425</v>
      </c>
      <c r="Q13" s="62" t="n">
        <v>54.7080864437694</v>
      </c>
      <c r="R13" s="62" t="n">
        <v>0.0</v>
      </c>
      <c r="S13" s="62" t="n">
        <v>323.2044469556934</v>
      </c>
      <c r="T13" s="62" t="n">
        <v>87.7149133952481</v>
      </c>
      <c r="U13" s="62" t="n">
        <v>0.0</v>
      </c>
      <c r="V13" s="62"/>
      <c r="W13" s="62">
        <f si="1" t="shared"/>
        <v>61738.0635268974</v>
      </c>
      <c r="X13" s="13"/>
      <c r="Y13">
        <v>7</v>
      </c>
      <c r="Z13" s="62">
        <v>6342</v>
      </c>
      <c r="AA13" s="62">
        <v>10081</v>
      </c>
      <c r="AB13" s="62">
        <v>2491</v>
      </c>
      <c r="AC13" s="62">
        <v>2268</v>
      </c>
      <c r="AD13" s="62">
        <v>2577</v>
      </c>
      <c r="AE13" s="62">
        <v>13704</v>
      </c>
      <c r="AF13" s="62">
        <v>21748</v>
      </c>
      <c r="AG13" s="62">
        <v>609</v>
      </c>
      <c r="AH13" s="62">
        <v>7643</v>
      </c>
      <c r="AI13" s="62">
        <v>1831</v>
      </c>
      <c r="AJ13" s="62">
        <v>3755</v>
      </c>
      <c r="AK13" s="62">
        <v>16162</v>
      </c>
      <c r="AL13" s="62">
        <v>6663</v>
      </c>
      <c r="AM13" s="62">
        <v>269</v>
      </c>
      <c r="AN13" s="62">
        <v>2840</v>
      </c>
      <c r="AO13" s="62">
        <v>330</v>
      </c>
      <c r="AP13" s="62">
        <v>280</v>
      </c>
      <c r="AQ13" s="62">
        <v>1238</v>
      </c>
      <c r="AR13" s="62">
        <v>674</v>
      </c>
      <c r="AS13" s="62">
        <v>511</v>
      </c>
      <c r="AT13" s="62">
        <v>0</v>
      </c>
      <c r="AU13" s="62">
        <f si="2" t="shared"/>
        <v>102016</v>
      </c>
      <c r="AV13" s="13"/>
      <c r="AW13">
        <v>7</v>
      </c>
      <c r="AX13" s="62" t="n">
        <v>4373.0</v>
      </c>
      <c r="AY13" s="62" t="n">
        <v>5820.0</v>
      </c>
      <c r="AZ13" s="62" t="n">
        <v>2042.0</v>
      </c>
      <c r="BA13" s="62" t="n">
        <v>1410.0</v>
      </c>
      <c r="BB13" s="62" t="n">
        <v>1808.0</v>
      </c>
      <c r="BC13" s="62" t="n">
        <v>9162.0</v>
      </c>
      <c r="BD13" s="62" t="n">
        <v>28313.0</v>
      </c>
      <c r="BE13" s="62" t="n">
        <v>188.0</v>
      </c>
      <c r="BF13" s="62" t="n">
        <v>6269.0</v>
      </c>
      <c r="BG13" s="62" t="n">
        <v>1194.0</v>
      </c>
      <c r="BH13" s="62" t="n">
        <v>961.0</v>
      </c>
      <c r="BI13" s="62" t="n">
        <v>16082.0</v>
      </c>
      <c r="BJ13" s="62" t="n">
        <v>12196.0</v>
      </c>
      <c r="BK13" s="62" t="n">
        <v>44.0</v>
      </c>
      <c r="BL13" s="62" t="n">
        <v>1530.0</v>
      </c>
      <c r="BM13" s="62" t="n">
        <v>127.0</v>
      </c>
      <c r="BN13" s="62" t="n">
        <v>38.0</v>
      </c>
      <c r="BO13" s="62" t="n">
        <v>462.0</v>
      </c>
      <c r="BP13" s="62" t="n">
        <v>82.0</v>
      </c>
      <c r="BQ13" s="62" t="n">
        <v>19.0</v>
      </c>
      <c r="BR13" s="62"/>
      <c r="BS13" s="62">
        <f si="3" t="shared"/>
        <v>92198</v>
      </c>
      <c r="BT13" s="81"/>
      <c r="BV13" t="s">
        <v>344</v>
      </c>
      <c r="BW13" s="87">
        <f ref="BW13:CR13" si="7" t="shared">Z55</f>
        <v>61994.393952536062</v>
      </c>
      <c r="BX13" s="87">
        <f si="7" t="shared"/>
        <v>64791.616557937239</v>
      </c>
      <c r="BY13" s="87">
        <f si="7" t="shared"/>
        <v>21032.233411331239</v>
      </c>
      <c r="BZ13" s="87">
        <f si="7" t="shared"/>
        <v>20025.637876396635</v>
      </c>
      <c r="CA13" s="87">
        <f si="7" t="shared"/>
        <v>23699.572032701555</v>
      </c>
      <c r="CB13" s="87">
        <f si="7" t="shared"/>
        <v>134115.782326477</v>
      </c>
      <c r="CC13" s="87">
        <f si="7" t="shared"/>
        <v>75039.689357400712</v>
      </c>
      <c r="CD13" s="87">
        <f si="7" t="shared"/>
        <v>6080.0782622354609</v>
      </c>
      <c r="CE13" s="87">
        <f si="7" t="shared"/>
        <v>49804.529843887227</v>
      </c>
      <c r="CF13" s="87">
        <f si="7" t="shared"/>
        <v>18624.781390735643</v>
      </c>
      <c r="CG13" s="87">
        <f si="7" t="shared"/>
        <v>43380.202212499782</v>
      </c>
      <c r="CH13" s="87">
        <f si="7" t="shared"/>
        <v>143650.19015566274</v>
      </c>
      <c r="CI13" s="87">
        <f si="7" t="shared"/>
        <v>60163.184984376487</v>
      </c>
      <c r="CJ13" s="87">
        <f si="7" t="shared"/>
        <v>9443.1786011355562</v>
      </c>
      <c r="CK13" s="87">
        <f si="7" t="shared"/>
        <v>27272.251839650497</v>
      </c>
      <c r="CL13" s="87">
        <f si="7" t="shared"/>
        <v>4634.5352202811782</v>
      </c>
      <c r="CM13" s="87">
        <f si="7" t="shared"/>
        <v>9966.6835237006999</v>
      </c>
      <c r="CN13" s="87">
        <f si="7" t="shared"/>
        <v>20461.11622888859</v>
      </c>
      <c r="CO13" s="87">
        <f si="7" t="shared"/>
        <v>25375.529779971108</v>
      </c>
      <c r="CP13" s="87">
        <f si="7" t="shared"/>
        <v>18619.81244219459</v>
      </c>
      <c r="CQ13" s="87">
        <f si="7" t="shared"/>
        <v>0</v>
      </c>
      <c r="CR13" s="87">
        <f si="7" t="shared"/>
        <v>838174.99999999988</v>
      </c>
    </row>
    <row r="14" spans="1:96" x14ac:dyDescent="0.45">
      <c r="A14">
        <v>8</v>
      </c>
      <c r="B14" s="62" t="n">
        <v>934.6922731518654</v>
      </c>
      <c r="C14" s="62" t="n">
        <v>338.5180975274913</v>
      </c>
      <c r="D14" s="62" t="n">
        <v>91.492492737117</v>
      </c>
      <c r="E14" s="62" t="n">
        <v>323.275842503182</v>
      </c>
      <c r="F14" s="62" t="n">
        <v>199.1086366217182</v>
      </c>
      <c r="G14" s="62" t="n">
        <v>757.3477226375735</v>
      </c>
      <c r="H14" s="62" t="n">
        <v>96.3321211748111</v>
      </c>
      <c r="I14" s="62" t="n">
        <v>462.8977856531677</v>
      </c>
      <c r="J14" s="62" t="n">
        <v>442.9224934434363</v>
      </c>
      <c r="K14" s="62" t="n">
        <v>83.0281761426298</v>
      </c>
      <c r="L14" s="62" t="n">
        <v>2197.300169212442</v>
      </c>
      <c r="M14" s="62" t="n">
        <v>1188.6501031358218</v>
      </c>
      <c r="N14" s="62" t="n">
        <v>0.0</v>
      </c>
      <c r="O14" s="62" t="n">
        <v>79.8597985703032</v>
      </c>
      <c r="P14" s="62" t="n">
        <v>71.6349923389629</v>
      </c>
      <c r="Q14" s="62" t="n">
        <v>0.0</v>
      </c>
      <c r="R14" s="62" t="n">
        <v>127.338029629259</v>
      </c>
      <c r="S14" s="62" t="n">
        <v>79.8597985703032</v>
      </c>
      <c r="T14" s="62" t="n">
        <v>434.913325489256</v>
      </c>
      <c r="U14" s="62" t="n">
        <v>0.0</v>
      </c>
      <c r="V14" s="62"/>
      <c r="W14" s="62">
        <f si="1" t="shared"/>
        <v>7909.171858539341</v>
      </c>
      <c r="X14" s="13"/>
      <c r="Y14">
        <v>8</v>
      </c>
      <c r="Z14" s="62">
        <v>1327</v>
      </c>
      <c r="AA14" s="62">
        <v>1577</v>
      </c>
      <c r="AB14" s="62">
        <v>600</v>
      </c>
      <c r="AC14" s="62">
        <v>848</v>
      </c>
      <c r="AD14" s="62">
        <v>717</v>
      </c>
      <c r="AE14" s="62">
        <v>2590</v>
      </c>
      <c r="AF14" s="62">
        <v>723</v>
      </c>
      <c r="AG14" s="62">
        <v>443</v>
      </c>
      <c r="AH14" s="62">
        <v>680</v>
      </c>
      <c r="AI14" s="62">
        <v>423</v>
      </c>
      <c r="AJ14" s="62">
        <v>1052</v>
      </c>
      <c r="AK14" s="62">
        <v>1213</v>
      </c>
      <c r="AL14" s="62">
        <v>180</v>
      </c>
      <c r="AM14" s="62">
        <v>219</v>
      </c>
      <c r="AN14" s="62">
        <v>133</v>
      </c>
      <c r="AO14" s="62">
        <v>62</v>
      </c>
      <c r="AP14" s="62">
        <v>111</v>
      </c>
      <c r="AQ14" s="62">
        <v>64</v>
      </c>
      <c r="AR14" s="62">
        <v>129</v>
      </c>
      <c r="AS14" s="62">
        <v>41</v>
      </c>
      <c r="AT14" s="62">
        <v>0</v>
      </c>
      <c r="AU14" s="62">
        <f si="2" t="shared"/>
        <v>13132</v>
      </c>
      <c r="AV14" s="13"/>
      <c r="AW14">
        <v>8</v>
      </c>
      <c r="AX14" s="62" t="n">
        <v>639.0</v>
      </c>
      <c r="AY14" s="62" t="n">
        <v>345.0</v>
      </c>
      <c r="AZ14" s="62" t="n">
        <v>447.0</v>
      </c>
      <c r="BA14" s="62" t="n">
        <v>364.0</v>
      </c>
      <c r="BB14" s="62" t="n">
        <v>366.0</v>
      </c>
      <c r="BC14" s="62" t="n">
        <v>1151.0</v>
      </c>
      <c r="BD14" s="62" t="n">
        <v>157.0</v>
      </c>
      <c r="BE14" s="62" t="n">
        <v>217.0</v>
      </c>
      <c r="BF14" s="62" t="n">
        <v>289.0</v>
      </c>
      <c r="BG14" s="62" t="n">
        <v>271.0</v>
      </c>
      <c r="BH14" s="62" t="n">
        <v>705.0</v>
      </c>
      <c r="BI14" s="62" t="n">
        <v>390.0</v>
      </c>
      <c r="BJ14" s="62" t="n">
        <v>11.0</v>
      </c>
      <c r="BK14" s="62" t="n">
        <v>97.0</v>
      </c>
      <c r="BL14" s="62" t="n">
        <v>21.0</v>
      </c>
      <c r="BM14" s="62" t="n">
        <v>20.0</v>
      </c>
      <c r="BN14" s="62" t="n">
        <v>49.0</v>
      </c>
      <c r="BO14" s="62" t="n">
        <v>3.0</v>
      </c>
      <c r="BP14" s="62" t="n">
        <v>51.0</v>
      </c>
      <c r="BQ14" s="62" t="n">
        <v>0.0</v>
      </c>
      <c r="BR14" s="62"/>
      <c r="BS14" s="62">
        <f si="3" t="shared"/>
        <v>5605</v>
      </c>
      <c r="BT14" s="81"/>
      <c r="BV14" s="6" t="s">
        <v>345</v>
      </c>
      <c r="BW14" s="112">
        <f ref="BW14:CR14" si="8" t="shared">AX55</f>
        <v>54561</v>
      </c>
      <c r="BX14" s="112">
        <f si="8" t="shared"/>
        <v>35769</v>
      </c>
      <c r="BY14" s="112">
        <f si="8" t="shared"/>
        <v>22365</v>
      </c>
      <c r="BZ14" s="112">
        <f si="8" t="shared"/>
        <v>14532</v>
      </c>
      <c r="CA14" s="112">
        <f si="8" t="shared"/>
        <v>17563</v>
      </c>
      <c r="CB14" s="112">
        <f si="8" t="shared"/>
        <v>97510</v>
      </c>
      <c r="CC14" s="112">
        <f si="8" t="shared"/>
        <v>87842</v>
      </c>
      <c r="CD14" s="112">
        <f si="8" t="shared"/>
        <v>2420</v>
      </c>
      <c r="CE14" s="112">
        <f si="8" t="shared"/>
        <v>56060</v>
      </c>
      <c r="CF14" s="112">
        <f si="8" t="shared"/>
        <v>17375</v>
      </c>
      <c r="CG14" s="112">
        <f si="8" t="shared"/>
        <v>47935</v>
      </c>
      <c r="CH14" s="112">
        <f si="8" t="shared"/>
        <v>162422</v>
      </c>
      <c r="CI14" s="112">
        <f si="8" t="shared"/>
        <v>80256</v>
      </c>
      <c r="CJ14" s="112">
        <f si="8" t="shared"/>
        <v>14989</v>
      </c>
      <c r="CK14" s="112">
        <f si="8" t="shared"/>
        <v>32841</v>
      </c>
      <c r="CL14" s="112">
        <f si="8" t="shared"/>
        <v>4087</v>
      </c>
      <c r="CM14" s="112">
        <f si="8" t="shared"/>
        <v>15046</v>
      </c>
      <c r="CN14" s="112">
        <f si="8" t="shared"/>
        <v>23721</v>
      </c>
      <c r="CO14" s="112">
        <f si="8" t="shared"/>
        <v>28364</v>
      </c>
      <c r="CP14" s="112">
        <f si="8" t="shared"/>
        <v>22517</v>
      </c>
      <c r="CQ14" s="112">
        <f si="8" t="shared"/>
        <v>0</v>
      </c>
      <c r="CR14" s="112">
        <f si="8" t="shared"/>
        <v>838175</v>
      </c>
    </row>
    <row r="15" spans="1:96" x14ac:dyDescent="0.45">
      <c r="A15">
        <v>9</v>
      </c>
      <c r="B15" s="62" t="n">
        <v>11097.493587574325</v>
      </c>
      <c r="C15" s="62" t="n">
        <v>6439.550012338539</v>
      </c>
      <c r="D15" s="62" t="n">
        <v>1694.9378780167779</v>
      </c>
      <c r="E15" s="62" t="n">
        <v>2720.796397453557</v>
      </c>
      <c r="F15" s="62" t="n">
        <v>1488.3185760729825</v>
      </c>
      <c r="G15" s="62" t="n">
        <v>5927.044395568877</v>
      </c>
      <c r="H15" s="62" t="n">
        <v>7195.845608326109</v>
      </c>
      <c r="I15" s="62" t="n">
        <v>0.0</v>
      </c>
      <c r="J15" s="62" t="n">
        <v>24406.662121002246</v>
      </c>
      <c r="K15" s="62" t="n">
        <v>156.5426352384899</v>
      </c>
      <c r="L15" s="62" t="n">
        <v>1263.8827720005231</v>
      </c>
      <c r="M15" s="62" t="n">
        <v>9214.15482283294</v>
      </c>
      <c r="N15" s="62" t="n">
        <v>71.2995498965454</v>
      </c>
      <c r="O15" s="62" t="n">
        <v>144.05775164326</v>
      </c>
      <c r="P15" s="62" t="n">
        <v>2953.715630301976</v>
      </c>
      <c r="Q15" s="62" t="n">
        <v>0.0</v>
      </c>
      <c r="R15" s="62" t="n">
        <v>225.620425680622</v>
      </c>
      <c r="S15" s="62" t="n">
        <v>434.1542607049065</v>
      </c>
      <c r="T15" s="62" t="n">
        <v>187.100794041193</v>
      </c>
      <c r="U15" s="62" t="n">
        <v>0.0</v>
      </c>
      <c r="V15" s="62"/>
      <c r="W15" s="62">
        <f si="1" t="shared"/>
        <v>75621.177218693862</v>
      </c>
      <c r="X15" s="13"/>
      <c r="Y15">
        <v>9</v>
      </c>
      <c r="Z15" s="62">
        <v>7479</v>
      </c>
      <c r="AA15" s="62">
        <v>9577</v>
      </c>
      <c r="AB15" s="62">
        <v>2756</v>
      </c>
      <c r="AC15" s="62">
        <v>2341</v>
      </c>
      <c r="AD15" s="62">
        <v>2551</v>
      </c>
      <c r="AE15" s="62">
        <v>13719</v>
      </c>
      <c r="AF15" s="62">
        <v>7558</v>
      </c>
      <c r="AG15" s="62">
        <v>678</v>
      </c>
      <c r="AH15" s="62">
        <v>11385</v>
      </c>
      <c r="AI15" s="62">
        <v>1465</v>
      </c>
      <c r="AJ15" s="62">
        <v>4780</v>
      </c>
      <c r="AK15" s="62">
        <v>9352</v>
      </c>
      <c r="AL15" s="62">
        <v>2459</v>
      </c>
      <c r="AM15" s="62">
        <v>281</v>
      </c>
      <c r="AN15" s="62">
        <v>4593</v>
      </c>
      <c r="AO15" s="62">
        <v>227</v>
      </c>
      <c r="AP15" s="62">
        <v>329</v>
      </c>
      <c r="AQ15" s="62">
        <v>575</v>
      </c>
      <c r="AR15" s="62">
        <v>1097</v>
      </c>
      <c r="AS15" s="62">
        <v>293</v>
      </c>
      <c r="AT15" s="62">
        <v>0</v>
      </c>
      <c r="AU15" s="62">
        <f si="2" t="shared"/>
        <v>83495</v>
      </c>
      <c r="AV15" s="13"/>
      <c r="AW15">
        <v>9</v>
      </c>
      <c r="AX15" s="62" t="n">
        <v>4990.0</v>
      </c>
      <c r="AY15" s="62" t="n">
        <v>6518.0</v>
      </c>
      <c r="AZ15" s="62" t="n">
        <v>3226.0</v>
      </c>
      <c r="BA15" s="62" t="n">
        <v>1495.0</v>
      </c>
      <c r="BB15" s="62" t="n">
        <v>1882.0</v>
      </c>
      <c r="BC15" s="62" t="n">
        <v>8799.0</v>
      </c>
      <c r="BD15" s="62" t="n">
        <v>7032.0</v>
      </c>
      <c r="BE15" s="62" t="n">
        <v>406.0</v>
      </c>
      <c r="BF15" s="62" t="n">
        <v>16350.0</v>
      </c>
      <c r="BG15" s="62" t="n">
        <v>943.0</v>
      </c>
      <c r="BH15" s="62" t="n">
        <v>3610.0</v>
      </c>
      <c r="BI15" s="62" t="n">
        <v>5858.0</v>
      </c>
      <c r="BJ15" s="62" t="n">
        <v>1672.0</v>
      </c>
      <c r="BK15" s="62" t="n">
        <v>141.0</v>
      </c>
      <c r="BL15" s="62" t="n">
        <v>5561.0</v>
      </c>
      <c r="BM15" s="62" t="n">
        <v>81.0</v>
      </c>
      <c r="BN15" s="62" t="n">
        <v>178.0</v>
      </c>
      <c r="BO15" s="62" t="n">
        <v>102.0</v>
      </c>
      <c r="BP15" s="62" t="n">
        <v>521.0</v>
      </c>
      <c r="BQ15" s="62" t="n">
        <v>9.0</v>
      </c>
      <c r="BR15" s="62"/>
      <c r="BS15" s="62">
        <f si="3" t="shared"/>
        <v>69371</v>
      </c>
      <c r="BT15" s="81"/>
    </row>
    <row r="16" spans="1:96" x14ac:dyDescent="0.45">
      <c r="A16">
        <v>10</v>
      </c>
      <c r="B16" s="62" t="n">
        <v>6274.6491959496225</v>
      </c>
      <c r="C16" s="62" t="n">
        <v>519.3084523068788</v>
      </c>
      <c r="D16" s="62" t="n">
        <v>705.9239756790233</v>
      </c>
      <c r="E16" s="62" t="n">
        <v>1292.567836474323</v>
      </c>
      <c r="F16" s="62" t="n">
        <v>3761.1513594426206</v>
      </c>
      <c r="G16" s="62" t="n">
        <v>11228.39264121051</v>
      </c>
      <c r="H16" s="62" t="n">
        <v>1541.130530942259</v>
      </c>
      <c r="I16" s="62" t="n">
        <v>472.053217390526</v>
      </c>
      <c r="J16" s="62" t="n">
        <v>446.99327326358707</v>
      </c>
      <c r="K16" s="62" t="n">
        <v>4624.840890808893</v>
      </c>
      <c r="L16" s="62" t="n">
        <v>660.4176889216214</v>
      </c>
      <c r="M16" s="62" t="n">
        <v>6562.349178208839</v>
      </c>
      <c r="N16" s="62" t="n">
        <v>248.96020684396632</v>
      </c>
      <c r="O16" s="62" t="n">
        <v>141.089832218319</v>
      </c>
      <c r="P16" s="62" t="n">
        <v>0.0</v>
      </c>
      <c r="Q16" s="62" t="n">
        <v>368.995663619725</v>
      </c>
      <c r="R16" s="62" t="n">
        <v>0.0</v>
      </c>
      <c r="S16" s="62" t="n">
        <v>41.7997242731165</v>
      </c>
      <c r="T16" s="62" t="n">
        <v>0.0</v>
      </c>
      <c r="U16" s="62" t="n">
        <v>0.0</v>
      </c>
      <c r="V16" s="62"/>
      <c r="W16" s="62">
        <f si="1" t="shared"/>
        <v>38890.623667553831</v>
      </c>
      <c r="Y16">
        <v>10</v>
      </c>
      <c r="Z16" s="62">
        <v>3680</v>
      </c>
      <c r="AA16" s="62">
        <v>2903</v>
      </c>
      <c r="AB16" s="62">
        <v>850</v>
      </c>
      <c r="AC16" s="62">
        <v>1105</v>
      </c>
      <c r="AD16" s="62">
        <v>2025</v>
      </c>
      <c r="AE16" s="62">
        <v>10758</v>
      </c>
      <c r="AF16" s="62">
        <v>1354</v>
      </c>
      <c r="AG16" s="62">
        <v>269</v>
      </c>
      <c r="AH16" s="62">
        <v>1182</v>
      </c>
      <c r="AI16" s="62">
        <v>2897</v>
      </c>
      <c r="AJ16" s="62">
        <v>962</v>
      </c>
      <c r="AK16" s="62">
        <v>7173</v>
      </c>
      <c r="AL16" s="62">
        <v>521</v>
      </c>
      <c r="AM16" s="62">
        <v>156</v>
      </c>
      <c r="AN16" s="62">
        <v>247</v>
      </c>
      <c r="AO16" s="62">
        <v>717</v>
      </c>
      <c r="AP16" s="62">
        <v>91</v>
      </c>
      <c r="AQ16" s="62">
        <v>424</v>
      </c>
      <c r="AR16" s="62">
        <v>225</v>
      </c>
      <c r="AS16" s="62">
        <v>155</v>
      </c>
      <c r="AT16" s="62">
        <v>0</v>
      </c>
      <c r="AU16" s="62">
        <f si="2" t="shared"/>
        <v>37694</v>
      </c>
      <c r="AW16">
        <v>10</v>
      </c>
      <c r="AX16" s="62" t="n">
        <v>2716.0</v>
      </c>
      <c r="AY16" s="62" t="n">
        <v>1643.0</v>
      </c>
      <c r="AZ16" s="62" t="n">
        <v>947.0</v>
      </c>
      <c r="BA16" s="62" t="n">
        <v>1201.0</v>
      </c>
      <c r="BB16" s="62" t="n">
        <v>2149.0</v>
      </c>
      <c r="BC16" s="62" t="n">
        <v>7342.0</v>
      </c>
      <c r="BD16" s="62" t="n">
        <v>900.0</v>
      </c>
      <c r="BE16" s="62" t="n">
        <v>186.0</v>
      </c>
      <c r="BF16" s="62" t="n">
        <v>680.0</v>
      </c>
      <c r="BG16" s="62" t="n">
        <v>3756.0</v>
      </c>
      <c r="BH16" s="62" t="n">
        <v>499.0</v>
      </c>
      <c r="BI16" s="62" t="n">
        <v>6364.0</v>
      </c>
      <c r="BJ16" s="62" t="n">
        <v>86.0</v>
      </c>
      <c r="BK16" s="62" t="n">
        <v>39.0</v>
      </c>
      <c r="BL16" s="62" t="n">
        <v>55.0</v>
      </c>
      <c r="BM16" s="62" t="n">
        <v>825.0</v>
      </c>
      <c r="BN16" s="62" t="n">
        <v>27.0</v>
      </c>
      <c r="BO16" s="62" t="n">
        <v>110.0</v>
      </c>
      <c r="BP16" s="62" t="n">
        <v>38.0</v>
      </c>
      <c r="BQ16" s="62" t="n">
        <v>8.0</v>
      </c>
      <c r="BR16" s="62"/>
      <c r="BS16" s="62">
        <f si="3" t="shared"/>
        <v>29455</v>
      </c>
      <c r="BT16" s="81"/>
    </row>
    <row r="17" spans="1:90" x14ac:dyDescent="0.45">
      <c r="A17">
        <v>11</v>
      </c>
      <c r="B17" s="62" t="n">
        <v>7117.818168188169</v>
      </c>
      <c r="C17" s="62" t="n">
        <v>1978.2449334697935</v>
      </c>
      <c r="D17" s="62" t="n">
        <v>5573.445637708516</v>
      </c>
      <c r="E17" s="62" t="n">
        <v>2561.646076809926</v>
      </c>
      <c r="F17" s="62" t="n">
        <v>2959.8315029356672</v>
      </c>
      <c r="G17" s="62" t="n">
        <v>5641.031091254951</v>
      </c>
      <c r="H17" s="62" t="n">
        <v>3007.9760041478526</v>
      </c>
      <c r="I17" s="62" t="n">
        <v>0.0</v>
      </c>
      <c r="J17" s="62" t="n">
        <v>3321.7583236687406</v>
      </c>
      <c r="K17" s="62" t="n">
        <v>814.4722239835547</v>
      </c>
      <c r="L17" s="62" t="n">
        <v>13903.206970189061</v>
      </c>
      <c r="M17" s="62" t="n">
        <v>3629.4518608730596</v>
      </c>
      <c r="N17" s="62" t="n">
        <v>53.5188485394014</v>
      </c>
      <c r="O17" s="62" t="n">
        <v>92.24391437765</v>
      </c>
      <c r="P17" s="62" t="n">
        <v>0.0</v>
      </c>
      <c r="Q17" s="62" t="n">
        <v>874.056667080298</v>
      </c>
      <c r="R17" s="62" t="n">
        <v>1175.7355522518692</v>
      </c>
      <c r="S17" s="62" t="n">
        <v>1355.509046141767</v>
      </c>
      <c r="T17" s="62" t="n">
        <v>2222.528169816197</v>
      </c>
      <c r="U17" s="62" t="n">
        <v>0.0</v>
      </c>
      <c r="V17" s="62"/>
      <c r="W17" s="62">
        <f si="1" t="shared"/>
        <v>56282.474991436473</v>
      </c>
      <c r="Y17">
        <v>11</v>
      </c>
      <c r="Z17" s="62">
        <v>5872</v>
      </c>
      <c r="AA17" s="62">
        <v>7235</v>
      </c>
      <c r="AB17" s="62">
        <v>2892</v>
      </c>
      <c r="AC17" s="62">
        <v>2567</v>
      </c>
      <c r="AD17" s="62">
        <v>2318</v>
      </c>
      <c r="AE17" s="62">
        <v>11532</v>
      </c>
      <c r="AF17" s="62">
        <v>3447</v>
      </c>
      <c r="AG17" s="62">
        <v>1064</v>
      </c>
      <c r="AH17" s="62">
        <v>4773</v>
      </c>
      <c r="AI17" s="62">
        <v>1442</v>
      </c>
      <c r="AJ17" s="62">
        <v>11703</v>
      </c>
      <c r="AK17" s="62">
        <v>5943</v>
      </c>
      <c r="AL17" s="62">
        <v>1149</v>
      </c>
      <c r="AM17" s="62">
        <v>720</v>
      </c>
      <c r="AN17" s="62">
        <v>1402</v>
      </c>
      <c r="AO17" s="62">
        <v>267</v>
      </c>
      <c r="AP17" s="62">
        <v>979</v>
      </c>
      <c r="AQ17" s="62">
        <v>381</v>
      </c>
      <c r="AR17" s="62">
        <v>4324</v>
      </c>
      <c r="AS17" s="62">
        <v>229</v>
      </c>
      <c r="AT17" s="62">
        <v>0</v>
      </c>
      <c r="AU17" s="62">
        <f si="2" t="shared"/>
        <v>70239</v>
      </c>
      <c r="AW17">
        <v>11</v>
      </c>
      <c r="AX17" s="62" t="n">
        <v>4630.0</v>
      </c>
      <c r="AY17" s="62" t="n">
        <v>3382.0</v>
      </c>
      <c r="AZ17" s="62" t="n">
        <v>4033.0</v>
      </c>
      <c r="BA17" s="62" t="n">
        <v>2158.0</v>
      </c>
      <c r="BB17" s="62" t="n">
        <v>1837.0</v>
      </c>
      <c r="BC17" s="62" t="n">
        <v>6965.0</v>
      </c>
      <c r="BD17" s="62" t="n">
        <v>1379.0</v>
      </c>
      <c r="BE17" s="62" t="n">
        <v>1012.0</v>
      </c>
      <c r="BF17" s="62" t="n">
        <v>4672.0</v>
      </c>
      <c r="BG17" s="62" t="n">
        <v>1093.0</v>
      </c>
      <c r="BH17" s="62" t="n">
        <v>18415.0</v>
      </c>
      <c r="BI17" s="62" t="n">
        <v>2762.0</v>
      </c>
      <c r="BJ17" s="62" t="n">
        <v>135.0</v>
      </c>
      <c r="BK17" s="62" t="n">
        <v>672.0</v>
      </c>
      <c r="BL17" s="62" t="n">
        <v>829.0</v>
      </c>
      <c r="BM17" s="62" t="n">
        <v>84.0</v>
      </c>
      <c r="BN17" s="62" t="n">
        <v>994.0</v>
      </c>
      <c r="BO17" s="62" t="n">
        <v>33.0</v>
      </c>
      <c r="BP17" s="62" t="n">
        <v>4146.0</v>
      </c>
      <c r="BQ17" s="62" t="n">
        <v>3.0</v>
      </c>
      <c r="BR17" s="62"/>
      <c r="BS17" s="62">
        <f si="3" t="shared"/>
        <v>59011</v>
      </c>
      <c r="BT17" s="81"/>
      <c r="CJ17" s="104"/>
    </row>
    <row r="18" spans="1:90" x14ac:dyDescent="0.45">
      <c r="A18">
        <v>12</v>
      </c>
      <c r="B18" s="62" t="n">
        <v>16990.47666053192</v>
      </c>
      <c r="C18" s="62" t="n">
        <v>2494.8472785922186</v>
      </c>
      <c r="D18" s="62" t="n">
        <v>2058.2607899195023</v>
      </c>
      <c r="E18" s="62" t="n">
        <v>5642.411115653669</v>
      </c>
      <c r="F18" s="62" t="n">
        <v>2969.888737016009</v>
      </c>
      <c r="G18" s="62" t="n">
        <v>26754.305624896428</v>
      </c>
      <c r="H18" s="62" t="n">
        <v>8713.45194811028</v>
      </c>
      <c r="I18" s="62" t="n">
        <v>0.0</v>
      </c>
      <c r="J18" s="62" t="n">
        <v>5399.156515875858</v>
      </c>
      <c r="K18" s="62" t="n">
        <v>2308.206632358347</v>
      </c>
      <c r="L18" s="62" t="n">
        <v>787.417138705081</v>
      </c>
      <c r="M18" s="62" t="n">
        <v>59409.75808124797</v>
      </c>
      <c r="N18" s="62" t="n">
        <v>966.9552948721758</v>
      </c>
      <c r="O18" s="62" t="n">
        <v>47.6917545951904</v>
      </c>
      <c r="P18" s="62" t="n">
        <v>0.0</v>
      </c>
      <c r="Q18" s="62" t="n">
        <v>451.880658784982</v>
      </c>
      <c r="R18" s="62" t="n">
        <v>0.0</v>
      </c>
      <c r="S18" s="62" t="n">
        <v>1396.5468319382728</v>
      </c>
      <c r="T18" s="62" t="n">
        <v>0.0</v>
      </c>
      <c r="U18" s="62" t="n">
        <v>868.8774286385077</v>
      </c>
      <c r="V18" s="62"/>
      <c r="W18" s="62">
        <f si="1" t="shared"/>
        <v>137260.13249173641</v>
      </c>
      <c r="Y18">
        <v>12</v>
      </c>
      <c r="Z18" s="62">
        <v>9989</v>
      </c>
      <c r="AA18" s="62">
        <v>9051</v>
      </c>
      <c r="AB18" s="62">
        <v>2219</v>
      </c>
      <c r="AC18" s="62">
        <v>2510</v>
      </c>
      <c r="AD18" s="62">
        <v>3410</v>
      </c>
      <c r="AE18" s="62">
        <v>25700</v>
      </c>
      <c r="AF18" s="62">
        <v>9191</v>
      </c>
      <c r="AG18" s="62">
        <v>470</v>
      </c>
      <c r="AH18" s="62">
        <v>5331</v>
      </c>
      <c r="AI18" s="62">
        <v>2943</v>
      </c>
      <c r="AJ18" s="62">
        <v>2955</v>
      </c>
      <c r="AK18" s="62">
        <v>45861</v>
      </c>
      <c r="AL18" s="62">
        <v>3225</v>
      </c>
      <c r="AM18" s="62">
        <v>290</v>
      </c>
      <c r="AN18" s="62">
        <v>1215</v>
      </c>
      <c r="AO18" s="62">
        <v>765</v>
      </c>
      <c r="AP18" s="62">
        <v>268</v>
      </c>
      <c r="AQ18" s="62">
        <v>3559</v>
      </c>
      <c r="AR18" s="62">
        <v>573</v>
      </c>
      <c r="AS18" s="62">
        <v>1209</v>
      </c>
      <c r="AT18" s="62">
        <v>0</v>
      </c>
      <c r="AU18" s="62">
        <f si="2" t="shared"/>
        <v>130734</v>
      </c>
      <c r="AW18">
        <v>12</v>
      </c>
      <c r="AX18" s="62" t="n">
        <v>7189.0</v>
      </c>
      <c r="AY18" s="62" t="n">
        <v>6304.0</v>
      </c>
      <c r="AZ18" s="62" t="n">
        <v>2393.0</v>
      </c>
      <c r="BA18" s="62" t="n">
        <v>2292.0</v>
      </c>
      <c r="BB18" s="62" t="n">
        <v>3464.0</v>
      </c>
      <c r="BC18" s="62" t="n">
        <v>18000.0</v>
      </c>
      <c r="BD18" s="62" t="n">
        <v>11055.0</v>
      </c>
      <c r="BE18" s="62" t="n">
        <v>288.0</v>
      </c>
      <c r="BF18" s="62" t="n">
        <v>3585.0</v>
      </c>
      <c r="BG18" s="62" t="n">
        <v>3014.0</v>
      </c>
      <c r="BH18" s="62" t="n">
        <v>1167.0</v>
      </c>
      <c r="BI18" s="62" t="n">
        <v>56788.0</v>
      </c>
      <c r="BJ18" s="62" t="n">
        <v>2874.0</v>
      </c>
      <c r="BK18" s="62" t="n">
        <v>53.0</v>
      </c>
      <c r="BL18" s="62" t="n">
        <v>398.0</v>
      </c>
      <c r="BM18" s="62" t="n">
        <v>671.0</v>
      </c>
      <c r="BN18" s="62" t="n">
        <v>45.0</v>
      </c>
      <c r="BO18" s="62" t="n">
        <v>2473.0</v>
      </c>
      <c r="BP18" s="62" t="n">
        <v>83.0</v>
      </c>
      <c r="BQ18" s="62" t="n">
        <v>236.0</v>
      </c>
      <c r="BR18" s="62"/>
      <c r="BS18" s="62">
        <f si="3" t="shared"/>
        <v>122375</v>
      </c>
      <c r="BT18" s="81"/>
    </row>
    <row ht="14.65" r="19" spans="1:90" thickBot="1" x14ac:dyDescent="0.5">
      <c r="A19">
        <v>13</v>
      </c>
      <c r="B19" s="62" t="n">
        <v>4781.519556587138</v>
      </c>
      <c r="C19" s="62" t="n">
        <v>733.316149308733</v>
      </c>
      <c r="D19" s="62" t="n">
        <v>322.1708713460743</v>
      </c>
      <c r="E19" s="62" t="n">
        <v>1202.0645251611809</v>
      </c>
      <c r="F19" s="62" t="n">
        <v>999.5850754846225</v>
      </c>
      <c r="G19" s="62" t="n">
        <v>2674.7318548064322</v>
      </c>
      <c r="H19" s="62" t="n">
        <v>19379.88268962101</v>
      </c>
      <c r="I19" s="62" t="n">
        <v>631.702251477386</v>
      </c>
      <c r="J19" s="62" t="n">
        <v>1137.6515813020176</v>
      </c>
      <c r="K19" s="62" t="n">
        <v>512.979091152899</v>
      </c>
      <c r="L19" s="62" t="n">
        <v>1100.9906073269085</v>
      </c>
      <c r="M19" s="62" t="n">
        <v>5356.969151267072</v>
      </c>
      <c r="N19" s="62" t="n">
        <v>41016.04660678815</v>
      </c>
      <c r="O19" s="62" t="n">
        <v>125.64751263977</v>
      </c>
      <c r="P19" s="62" t="n">
        <v>1783.4448683216349</v>
      </c>
      <c r="Q19" s="62" t="n">
        <v>0.0</v>
      </c>
      <c r="R19" s="62" t="n">
        <v>0.0</v>
      </c>
      <c r="S19" s="62" t="n">
        <v>2009.864922868584</v>
      </c>
      <c r="T19" s="62" t="n">
        <v>0.0</v>
      </c>
      <c r="U19" s="62" t="n">
        <v>0.0</v>
      </c>
      <c r="V19" s="62"/>
      <c r="W19" s="62">
        <f si="1" t="shared"/>
        <v>83768.567315459601</v>
      </c>
      <c r="Y19">
        <v>13</v>
      </c>
      <c r="Z19" s="62">
        <v>4094</v>
      </c>
      <c r="AA19" s="62">
        <v>4556</v>
      </c>
      <c r="AB19" s="62">
        <v>1208</v>
      </c>
      <c r="AC19" s="62">
        <v>1389</v>
      </c>
      <c r="AD19" s="62">
        <v>1528</v>
      </c>
      <c r="AE19" s="62">
        <v>8107</v>
      </c>
      <c r="AF19" s="62">
        <v>16638</v>
      </c>
      <c r="AG19" s="62">
        <v>397</v>
      </c>
      <c r="AH19" s="62">
        <v>5098</v>
      </c>
      <c r="AI19" s="62">
        <v>1295</v>
      </c>
      <c r="AJ19" s="62">
        <v>2248</v>
      </c>
      <c r="AK19" s="62">
        <v>12972</v>
      </c>
      <c r="AL19" s="62">
        <v>34775</v>
      </c>
      <c r="AM19" s="62">
        <v>220</v>
      </c>
      <c r="AN19" s="62">
        <v>3432</v>
      </c>
      <c r="AO19" s="62">
        <v>265</v>
      </c>
      <c r="AP19" s="62">
        <v>302</v>
      </c>
      <c r="AQ19" s="62">
        <v>2562</v>
      </c>
      <c r="AR19" s="62">
        <v>687</v>
      </c>
      <c r="AS19" s="62">
        <v>903</v>
      </c>
      <c r="AT19" s="62">
        <v>0</v>
      </c>
      <c r="AU19" s="62">
        <f si="2" t="shared"/>
        <v>102676</v>
      </c>
      <c r="AW19">
        <v>13</v>
      </c>
      <c r="AX19" s="62" t="n">
        <v>1098.0</v>
      </c>
      <c r="AY19" s="62" t="n">
        <v>1488.0</v>
      </c>
      <c r="AZ19" s="62" t="n">
        <v>474.0</v>
      </c>
      <c r="BA19" s="62" t="n">
        <v>273.0</v>
      </c>
      <c r="BB19" s="62" t="n">
        <v>432.0</v>
      </c>
      <c r="BC19" s="62" t="n">
        <v>2259.0</v>
      </c>
      <c r="BD19" s="62" t="n">
        <v>21291.0</v>
      </c>
      <c r="BE19" s="62" t="n">
        <v>58.0</v>
      </c>
      <c r="BF19" s="62" t="n">
        <v>2070.0</v>
      </c>
      <c r="BG19" s="62" t="n">
        <v>271.0</v>
      </c>
      <c r="BH19" s="62" t="n">
        <v>278.0</v>
      </c>
      <c r="BI19" s="62" t="n">
        <v>6363.0</v>
      </c>
      <c r="BJ19" s="62" t="n">
        <v>58331.0</v>
      </c>
      <c r="BK19" s="62" t="n">
        <v>18.0</v>
      </c>
      <c r="BL19" s="62" t="n">
        <v>3256.0</v>
      </c>
      <c r="BM19" s="62" t="n">
        <v>37.0</v>
      </c>
      <c r="BN19" s="62" t="n">
        <v>10.0</v>
      </c>
      <c r="BO19" s="62" t="n">
        <v>2030.0</v>
      </c>
      <c r="BP19" s="62" t="n">
        <v>66.0</v>
      </c>
      <c r="BQ19" s="62" t="n">
        <v>58.0</v>
      </c>
      <c r="BR19" s="62"/>
      <c r="BS19" s="62">
        <f si="3" t="shared"/>
        <v>99796</v>
      </c>
      <c r="BT19" s="8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</row>
    <row r="20" spans="1:90" x14ac:dyDescent="0.45">
      <c r="A20">
        <v>14</v>
      </c>
      <c r="B20" s="62" t="n">
        <v>3920.3648218865087</v>
      </c>
      <c r="C20" s="62" t="n">
        <v>1147.269251019433</v>
      </c>
      <c r="D20" s="62" t="n">
        <v>92.43740317584411</v>
      </c>
      <c r="E20" s="62" t="n">
        <v>113.6823641517958</v>
      </c>
      <c r="F20" s="62" t="n">
        <v>441.9359332664799</v>
      </c>
      <c r="G20" s="62" t="n">
        <v>1808.4331195287684</v>
      </c>
      <c r="H20" s="62" t="n">
        <v>656.392149157475</v>
      </c>
      <c r="I20" s="62" t="n">
        <v>62.1198990807381</v>
      </c>
      <c r="J20" s="62" t="n">
        <v>763.9247625720019</v>
      </c>
      <c r="K20" s="62" t="n">
        <v>342.5291151322336</v>
      </c>
      <c r="L20" s="62" t="n">
        <v>2003.37013520748</v>
      </c>
      <c r="M20" s="62" t="n">
        <v>1243.7800838012226</v>
      </c>
      <c r="N20" s="62" t="n">
        <v>0.0</v>
      </c>
      <c r="O20" s="62" t="n">
        <v>10778.021907262593</v>
      </c>
      <c r="P20" s="62" t="n">
        <v>0.0</v>
      </c>
      <c r="Q20" s="62" t="n">
        <v>0.0</v>
      </c>
      <c r="R20" s="62" t="n">
        <v>963.6043868755589</v>
      </c>
      <c r="S20" s="62" t="n">
        <v>0.0</v>
      </c>
      <c r="T20" s="62" t="n">
        <v>43.1210158480155</v>
      </c>
      <c r="U20" s="62" t="n">
        <v>0.0</v>
      </c>
      <c r="V20" s="62"/>
      <c r="W20" s="62">
        <f si="1" t="shared"/>
        <v>24380.986347966151</v>
      </c>
      <c r="Y20">
        <v>14</v>
      </c>
      <c r="Z20" s="62">
        <v>1825</v>
      </c>
      <c r="AA20" s="62">
        <v>2547</v>
      </c>
      <c r="AB20" s="62">
        <v>827</v>
      </c>
      <c r="AC20" s="62">
        <v>922</v>
      </c>
      <c r="AD20" s="62">
        <v>869</v>
      </c>
      <c r="AE20" s="62">
        <v>3460</v>
      </c>
      <c r="AF20" s="62">
        <v>1137</v>
      </c>
      <c r="AG20" s="62">
        <v>638</v>
      </c>
      <c r="AH20" s="62">
        <v>1258</v>
      </c>
      <c r="AI20" s="62">
        <v>642</v>
      </c>
      <c r="AJ20" s="62">
        <v>2903</v>
      </c>
      <c r="AK20" s="62">
        <v>2181</v>
      </c>
      <c r="AL20" s="62">
        <v>494</v>
      </c>
      <c r="AM20" s="62">
        <v>6248</v>
      </c>
      <c r="AN20" s="62">
        <v>344</v>
      </c>
      <c r="AO20" s="62">
        <v>138</v>
      </c>
      <c r="AP20" s="62">
        <v>1572</v>
      </c>
      <c r="AQ20" s="62">
        <v>185</v>
      </c>
      <c r="AR20" s="62">
        <v>964</v>
      </c>
      <c r="AS20" s="62">
        <v>202</v>
      </c>
      <c r="AT20" s="62">
        <v>0</v>
      </c>
      <c r="AU20" s="62">
        <f si="2" t="shared"/>
        <v>29356</v>
      </c>
      <c r="AW20">
        <v>14</v>
      </c>
      <c r="AX20" s="62" t="n">
        <v>1004.0</v>
      </c>
      <c r="AY20" s="62" t="n">
        <v>522.0</v>
      </c>
      <c r="AZ20" s="62" t="n">
        <v>745.0</v>
      </c>
      <c r="BA20" s="62" t="n">
        <v>646.0</v>
      </c>
      <c r="BB20" s="62" t="n">
        <v>544.0</v>
      </c>
      <c r="BC20" s="62" t="n">
        <v>1659.0</v>
      </c>
      <c r="BD20" s="62" t="n">
        <v>200.0</v>
      </c>
      <c r="BE20" s="62" t="n">
        <v>518.0</v>
      </c>
      <c r="BF20" s="62" t="n">
        <v>463.0</v>
      </c>
      <c r="BG20" s="62" t="n">
        <v>319.0</v>
      </c>
      <c r="BH20" s="62" t="n">
        <v>2779.0</v>
      </c>
      <c r="BI20" s="62" t="n">
        <v>588.0</v>
      </c>
      <c r="BJ20" s="62" t="n">
        <v>25.0</v>
      </c>
      <c r="BK20" s="62" t="n">
        <v>9706.0</v>
      </c>
      <c r="BL20" s="62" t="n">
        <v>60.0</v>
      </c>
      <c r="BM20" s="62" t="n">
        <v>17.0</v>
      </c>
      <c r="BN20" s="62" t="n">
        <v>1647.0</v>
      </c>
      <c r="BO20" s="62" t="n">
        <v>6.0</v>
      </c>
      <c r="BP20" s="62" t="n">
        <v>574.0</v>
      </c>
      <c r="BQ20" s="62" t="n">
        <v>0.0</v>
      </c>
      <c r="BR20" s="62"/>
      <c r="BS20" s="62">
        <f si="3" t="shared"/>
        <v>21946</v>
      </c>
      <c r="BT20" s="81"/>
      <c r="BV20" s="196" t="s">
        <v>350</v>
      </c>
      <c r="BW20" s="197"/>
      <c r="BX20" s="198" t="s">
        <v>348</v>
      </c>
      <c r="BY20" s="196"/>
      <c r="BZ20" s="196"/>
      <c r="CA20" s="197"/>
      <c r="CB20" s="198" t="s">
        <v>349</v>
      </c>
      <c r="CC20" s="196"/>
      <c r="CD20" s="196"/>
      <c r="CE20" s="197"/>
      <c r="CF20" s="199" t="s">
        <v>357</v>
      </c>
      <c r="CG20" s="200"/>
      <c r="CH20" s="200"/>
      <c r="CI20" s="201"/>
      <c r="CJ20" s="198" t="s">
        <v>353</v>
      </c>
      <c r="CK20" s="197"/>
    </row>
    <row r="21" spans="1:90" x14ac:dyDescent="0.45">
      <c r="A21">
        <v>15</v>
      </c>
      <c r="B21" s="62" t="n">
        <v>1737.83421476781</v>
      </c>
      <c r="C21" s="62" t="n">
        <v>2303.1711951913703</v>
      </c>
      <c r="D21" s="62" t="n">
        <v>845.684362751178</v>
      </c>
      <c r="E21" s="62" t="n">
        <v>515.510351855112</v>
      </c>
      <c r="F21" s="62" t="n">
        <v>309.96354281453307</v>
      </c>
      <c r="G21" s="62" t="n">
        <v>1239.6776358322682</v>
      </c>
      <c r="H21" s="62" t="n">
        <v>2176.415493820177</v>
      </c>
      <c r="I21" s="62" t="n">
        <v>0.0</v>
      </c>
      <c r="J21" s="62" t="n">
        <v>4183.694389524354</v>
      </c>
      <c r="K21" s="62" t="n">
        <v>367.955899914433</v>
      </c>
      <c r="L21" s="62" t="n">
        <v>632.535750656259</v>
      </c>
      <c r="M21" s="62" t="n">
        <v>931.3982517463579</v>
      </c>
      <c r="N21" s="62" t="n">
        <v>3630.22821127044</v>
      </c>
      <c r="O21" s="62" t="n">
        <v>0.0</v>
      </c>
      <c r="P21" s="62" t="n">
        <v>11661.0921790428</v>
      </c>
      <c r="Q21" s="62" t="n">
        <v>0.0</v>
      </c>
      <c r="R21" s="62" t="n">
        <v>0.0</v>
      </c>
      <c r="S21" s="62" t="n">
        <v>0.0</v>
      </c>
      <c r="T21" s="62" t="n">
        <v>79.0752395786249</v>
      </c>
      <c r="U21" s="62" t="n">
        <v>0.0</v>
      </c>
      <c r="V21" s="62"/>
      <c r="W21" s="62">
        <f si="1" t="shared"/>
        <v>30614.236718765718</v>
      </c>
      <c r="Y21">
        <v>15</v>
      </c>
      <c r="Z21" s="62">
        <v>2438</v>
      </c>
      <c r="AA21" s="62">
        <v>3413</v>
      </c>
      <c r="AB21" s="62">
        <v>722</v>
      </c>
      <c r="AC21" s="62">
        <v>781</v>
      </c>
      <c r="AD21" s="62">
        <v>997</v>
      </c>
      <c r="AE21" s="62">
        <v>4822</v>
      </c>
      <c r="AF21" s="62">
        <v>4643</v>
      </c>
      <c r="AG21" s="62">
        <v>258</v>
      </c>
      <c r="AH21" s="62">
        <v>5392</v>
      </c>
      <c r="AI21" s="62">
        <v>660</v>
      </c>
      <c r="AJ21" s="62">
        <v>1838</v>
      </c>
      <c r="AK21" s="62">
        <v>4162</v>
      </c>
      <c r="AL21" s="62">
        <v>4674</v>
      </c>
      <c r="AM21" s="62">
        <v>164</v>
      </c>
      <c r="AN21" s="62">
        <v>11959</v>
      </c>
      <c r="AO21" s="62">
        <v>125</v>
      </c>
      <c r="AP21" s="62">
        <v>243</v>
      </c>
      <c r="AQ21" s="62">
        <v>454</v>
      </c>
      <c r="AR21" s="62">
        <v>1250</v>
      </c>
      <c r="AS21" s="62">
        <v>214</v>
      </c>
      <c r="AT21" s="62">
        <v>0</v>
      </c>
      <c r="AU21" s="62">
        <f si="2" t="shared"/>
        <v>49209</v>
      </c>
      <c r="AW21">
        <v>15</v>
      </c>
      <c r="AX21" s="62" t="n">
        <v>810.0</v>
      </c>
      <c r="AY21" s="62" t="n">
        <v>1345.0</v>
      </c>
      <c r="AZ21" s="62" t="n">
        <v>556.0</v>
      </c>
      <c r="BA21" s="62" t="n">
        <v>250.0</v>
      </c>
      <c r="BB21" s="62" t="n">
        <v>337.0</v>
      </c>
      <c r="BC21" s="62" t="n">
        <v>1631.0</v>
      </c>
      <c r="BD21" s="62" t="n">
        <v>2322.0</v>
      </c>
      <c r="BE21" s="62" t="n">
        <v>104.0</v>
      </c>
      <c r="BF21" s="62" t="n">
        <v>6041.0</v>
      </c>
      <c r="BG21" s="62" t="n">
        <v>147.0</v>
      </c>
      <c r="BH21" s="62" t="n">
        <v>978.0</v>
      </c>
      <c r="BI21" s="62" t="n">
        <v>1079.0</v>
      </c>
      <c r="BJ21" s="62" t="n">
        <v>5722.0</v>
      </c>
      <c r="BK21" s="62" t="n">
        <v>31.0</v>
      </c>
      <c r="BL21" s="62" t="n">
        <v>20403.0</v>
      </c>
      <c r="BM21" s="62" t="n">
        <v>21.0</v>
      </c>
      <c r="BN21" s="62" t="n">
        <v>81.0</v>
      </c>
      <c r="BO21" s="62" t="n">
        <v>40.0</v>
      </c>
      <c r="BP21" s="62" t="n">
        <v>1337.0</v>
      </c>
      <c r="BQ21" s="62" t="n">
        <v>4.0</v>
      </c>
      <c r="BR21" s="62"/>
      <c r="BS21" s="62">
        <f si="3" t="shared"/>
        <v>43090</v>
      </c>
      <c r="BT21" s="81"/>
      <c r="BV21" s="92" t="s">
        <v>351</v>
      </c>
      <c r="BW21" s="91" t="s">
        <v>360</v>
      </c>
      <c r="BX21" s="105" t="s">
        <v>343</v>
      </c>
      <c r="BY21" s="106" t="s">
        <v>356</v>
      </c>
      <c r="BZ21" s="106" t="s">
        <v>344</v>
      </c>
      <c r="CA21" s="106" t="s">
        <v>345</v>
      </c>
      <c r="CB21" s="105" t="s">
        <v>343</v>
      </c>
      <c r="CC21" s="106" t="s">
        <v>356</v>
      </c>
      <c r="CD21" s="106" t="s">
        <v>344</v>
      </c>
      <c r="CE21" s="106" t="s">
        <v>345</v>
      </c>
      <c r="CF21" s="93" t="s">
        <v>343</v>
      </c>
      <c r="CG21" s="92" t="s">
        <v>356</v>
      </c>
      <c r="CH21" s="92" t="s">
        <v>428</v>
      </c>
      <c r="CI21" s="97" t="s">
        <v>345</v>
      </c>
      <c r="CJ21" s="93" t="s">
        <v>358</v>
      </c>
      <c r="CK21" s="113" t="s">
        <v>429</v>
      </c>
      <c r="CL21" s="104" t="s">
        <v>352</v>
      </c>
    </row>
    <row r="22" spans="1:90" x14ac:dyDescent="0.45">
      <c r="A22">
        <v>16</v>
      </c>
      <c r="B22" s="62" t="n">
        <v>664.125198617704</v>
      </c>
      <c r="C22" s="62" t="n">
        <v>602.999636139476</v>
      </c>
      <c r="D22" s="62" t="n">
        <v>1224.589697083906</v>
      </c>
      <c r="E22" s="62" t="n">
        <v>726.348822338412</v>
      </c>
      <c r="F22" s="62" t="n">
        <v>1324.814207757316</v>
      </c>
      <c r="G22" s="62" t="n">
        <v>6927.092890936033</v>
      </c>
      <c r="H22" s="62" t="n">
        <v>872.454672917555</v>
      </c>
      <c r="I22" s="62" t="n">
        <v>1102.81294932788</v>
      </c>
      <c r="J22" s="62" t="n">
        <v>1135.89489649532</v>
      </c>
      <c r="K22" s="62" t="n">
        <v>1291.279496136549</v>
      </c>
      <c r="L22" s="62" t="n">
        <v>0.0</v>
      </c>
      <c r="M22" s="62" t="n">
        <v>6536.079095598268</v>
      </c>
      <c r="N22" s="62" t="n">
        <v>0.0</v>
      </c>
      <c r="O22" s="62" t="n">
        <v>0.0</v>
      </c>
      <c r="P22" s="62" t="n">
        <v>0.0</v>
      </c>
      <c r="Q22" s="62" t="n">
        <v>263.070231740616</v>
      </c>
      <c r="R22" s="62" t="n">
        <v>0.0</v>
      </c>
      <c r="S22" s="62" t="n">
        <v>0.0</v>
      </c>
      <c r="T22" s="62" t="n">
        <v>0.0</v>
      </c>
      <c r="U22" s="62" t="n">
        <v>0.0</v>
      </c>
      <c r="V22" s="62"/>
      <c r="W22" s="62">
        <f si="1" t="shared"/>
        <v>22671.561795089037</v>
      </c>
      <c r="Y22">
        <v>16</v>
      </c>
      <c r="Z22" s="62">
        <v>1752</v>
      </c>
      <c r="AA22" s="62">
        <v>1711</v>
      </c>
      <c r="AB22" s="62">
        <v>359</v>
      </c>
      <c r="AC22" s="62">
        <v>613</v>
      </c>
      <c r="AD22" s="62">
        <v>915</v>
      </c>
      <c r="AE22" s="62">
        <v>5243</v>
      </c>
      <c r="AF22" s="62">
        <v>714</v>
      </c>
      <c r="AG22" s="62">
        <v>118</v>
      </c>
      <c r="AH22" s="62">
        <v>612</v>
      </c>
      <c r="AI22" s="62">
        <v>1486</v>
      </c>
      <c r="AJ22" s="62">
        <v>435</v>
      </c>
      <c r="AK22" s="62">
        <v>5082</v>
      </c>
      <c r="AL22" s="62">
        <v>394</v>
      </c>
      <c r="AM22" s="62">
        <v>62</v>
      </c>
      <c r="AN22" s="62">
        <v>133</v>
      </c>
      <c r="AO22" s="62">
        <v>1102</v>
      </c>
      <c r="AP22" s="62">
        <v>32</v>
      </c>
      <c r="AQ22" s="62">
        <v>534</v>
      </c>
      <c r="AR22" s="62">
        <v>99</v>
      </c>
      <c r="AS22" s="62">
        <v>208</v>
      </c>
      <c r="AT22" s="62">
        <v>0</v>
      </c>
      <c r="AU22" s="62">
        <f si="2" t="shared"/>
        <v>21604</v>
      </c>
      <c r="AW22">
        <v>16</v>
      </c>
      <c r="AX22" s="62" t="n">
        <v>1053.0</v>
      </c>
      <c r="AY22" s="62" t="n">
        <v>520.0</v>
      </c>
      <c r="AZ22" s="62" t="n">
        <v>309.0</v>
      </c>
      <c r="BA22" s="62" t="n">
        <v>421.0</v>
      </c>
      <c r="BB22" s="62" t="n">
        <v>807.0</v>
      </c>
      <c r="BC22" s="62" t="n">
        <v>3074.0</v>
      </c>
      <c r="BD22" s="62" t="n">
        <v>365.0</v>
      </c>
      <c r="BE22" s="62" t="n">
        <v>51.0</v>
      </c>
      <c r="BF22" s="62" t="n">
        <v>203.0</v>
      </c>
      <c r="BG22" s="62" t="n">
        <v>1537.0</v>
      </c>
      <c r="BH22" s="62" t="n">
        <v>157.0</v>
      </c>
      <c r="BI22" s="62" t="n">
        <v>5177.0</v>
      </c>
      <c r="BJ22" s="62" t="n">
        <v>77.0</v>
      </c>
      <c r="BK22" s="62" t="n">
        <v>9.0</v>
      </c>
      <c r="BL22" s="62" t="n">
        <v>17.0</v>
      </c>
      <c r="BM22" s="62" t="n">
        <v>2012.0</v>
      </c>
      <c r="BN22" s="62" t="n">
        <v>7.0</v>
      </c>
      <c r="BO22" s="62" t="n">
        <v>361.0</v>
      </c>
      <c r="BP22" s="62" t="n">
        <v>8.0</v>
      </c>
      <c r="BQ22" s="62" t="n">
        <v>138.0</v>
      </c>
      <c r="BR22" s="62"/>
      <c r="BS22" s="62">
        <f si="3" t="shared"/>
        <v>16332</v>
      </c>
      <c r="BT22" s="81"/>
      <c r="BV22" s="28">
        <v>1</v>
      </c>
      <c r="BW22" s="30" t="s">
        <v>323</v>
      </c>
      <c r="BX22" s="109">
        <f>$BW$7</f>
        <v>83524.716672332506</v>
      </c>
      <c r="BY22" s="110">
        <f>$BW$8</f>
        <v>50465</v>
      </c>
      <c r="BZ22" s="110">
        <f>$BW$9</f>
        <v>70858</v>
      </c>
      <c r="CA22" s="111">
        <f>$BW$10</f>
        <v>54561</v>
      </c>
      <c r="CB22" s="109">
        <f>$BW$11</f>
        <v>88906.182321098691</v>
      </c>
      <c r="CC22" s="110">
        <f>$BW$12</f>
        <v>46794.881116877397</v>
      </c>
      <c r="CD22" s="110">
        <f>$BW$13</f>
        <v>61994.393952536062</v>
      </c>
      <c r="CE22" s="111">
        <f>$BW$14</f>
        <v>54561</v>
      </c>
      <c r="CF22" s="79">
        <f ref="CF22:CF42" si="9" t="shared">CB22/CB$42</f>
        <v>0.10607114543036796</v>
      </c>
      <c r="CG22" s="79">
        <f ref="CG22:CG42" si="10" t="shared">CC22/CC$42</f>
        <v>5.5829488014886387E-2</v>
      </c>
      <c r="CH22" s="79">
        <f ref="CH22:CH42" si="11" t="shared">CD22/CD$42</f>
        <v>7.3963544549212362E-2</v>
      </c>
      <c r="CI22" s="98">
        <f ref="CI22:CI42" si="12" t="shared">CE22/CE$42</f>
        <v>6.5094998061264051E-2</v>
      </c>
      <c r="CJ22" s="102">
        <f>CI22-CG22</f>
        <v>9.2655100463776632E-3</v>
      </c>
      <c r="CK22" s="98">
        <f>(CE22-CC22)/CC22</f>
        <v>0.16596086361936743</v>
      </c>
      <c r="CL22" s="19">
        <f>CI22-CH22</f>
        <v>-8.8685464879483117E-3</v>
      </c>
    </row>
    <row r="23" spans="1:90" x14ac:dyDescent="0.45">
      <c r="A23">
        <v>17</v>
      </c>
      <c r="B23" s="62" t="n">
        <v>1345.5876694735223</v>
      </c>
      <c r="C23" s="62" t="n">
        <v>1422.5970460147398</v>
      </c>
      <c r="D23" s="62" t="n">
        <v>483.1112564106037</v>
      </c>
      <c r="E23" s="62" t="n">
        <v>1045.5674662061008</v>
      </c>
      <c r="F23" s="62" t="n">
        <v>432.8683349833367</v>
      </c>
      <c r="G23" s="62" t="n">
        <v>608.0494658977564</v>
      </c>
      <c r="H23" s="62" t="n">
        <v>1178.4611099152958</v>
      </c>
      <c r="I23" s="62" t="n">
        <v>0.0</v>
      </c>
      <c r="J23" s="62" t="n">
        <v>360.113914179818</v>
      </c>
      <c r="K23" s="62" t="n">
        <v>0.0</v>
      </c>
      <c r="L23" s="62" t="n">
        <v>5250.94345063575</v>
      </c>
      <c r="M23" s="62" t="n">
        <v>1457.3361502957187</v>
      </c>
      <c r="N23" s="62" t="n">
        <v>0.0</v>
      </c>
      <c r="O23" s="62" t="n">
        <v>782.1420469615366</v>
      </c>
      <c r="P23" s="62" t="n">
        <v>85.6632519695921</v>
      </c>
      <c r="Q23" s="62" t="n">
        <v>0.0</v>
      </c>
      <c r="R23" s="62" t="n">
        <v>3933.4299015706024</v>
      </c>
      <c r="S23" s="62" t="n">
        <v>0.0</v>
      </c>
      <c r="T23" s="62" t="n">
        <v>854.2935015980089</v>
      </c>
      <c r="U23" s="62" t="n">
        <v>0.0</v>
      </c>
      <c r="V23" s="62"/>
      <c r="W23" s="62">
        <f si="1" t="shared"/>
        <v>19240.16456611238</v>
      </c>
      <c r="Y23">
        <v>17</v>
      </c>
      <c r="Z23" s="62">
        <v>1626</v>
      </c>
      <c r="AA23" s="62">
        <v>2183</v>
      </c>
      <c r="AB23" s="62">
        <v>714</v>
      </c>
      <c r="AC23" s="62">
        <v>745</v>
      </c>
      <c r="AD23" s="62">
        <v>728</v>
      </c>
      <c r="AE23" s="62">
        <v>3324</v>
      </c>
      <c r="AF23" s="62">
        <v>1069</v>
      </c>
      <c r="AG23" s="62">
        <v>402</v>
      </c>
      <c r="AH23" s="62">
        <v>1191</v>
      </c>
      <c r="AI23" s="62">
        <v>478</v>
      </c>
      <c r="AJ23" s="62">
        <v>4208</v>
      </c>
      <c r="AK23" s="62">
        <v>1885</v>
      </c>
      <c r="AL23" s="62">
        <v>448</v>
      </c>
      <c r="AM23" s="62">
        <v>1659</v>
      </c>
      <c r="AN23" s="62">
        <v>429</v>
      </c>
      <c r="AO23" s="62">
        <v>112</v>
      </c>
      <c r="AP23" s="62">
        <v>3628</v>
      </c>
      <c r="AQ23" s="62">
        <v>173</v>
      </c>
      <c r="AR23" s="62">
        <v>3252</v>
      </c>
      <c r="AS23" s="62">
        <v>105</v>
      </c>
      <c r="AT23" s="62">
        <v>0</v>
      </c>
      <c r="AU23" s="62">
        <f si="2" t="shared"/>
        <v>28359</v>
      </c>
      <c r="AW23">
        <v>17</v>
      </c>
      <c r="AX23" s="62" t="n">
        <v>823.0</v>
      </c>
      <c r="AY23" s="62" t="n">
        <v>475.0</v>
      </c>
      <c r="AZ23" s="62" t="n">
        <v>807.0</v>
      </c>
      <c r="BA23" s="62" t="n">
        <v>467.0</v>
      </c>
      <c r="BB23" s="62" t="n">
        <v>349.0</v>
      </c>
      <c r="BC23" s="62" t="n">
        <v>1332.0</v>
      </c>
      <c r="BD23" s="62" t="n">
        <v>168.0</v>
      </c>
      <c r="BE23" s="62" t="n">
        <v>264.0</v>
      </c>
      <c r="BF23" s="62" t="n">
        <v>588.0</v>
      </c>
      <c r="BG23" s="62" t="n">
        <v>178.0</v>
      </c>
      <c r="BH23" s="62" t="n">
        <v>4991.0</v>
      </c>
      <c r="BI23" s="62" t="n">
        <v>470.0</v>
      </c>
      <c r="BJ23" s="62" t="n">
        <v>28.0</v>
      </c>
      <c r="BK23" s="62" t="n">
        <v>2372.0</v>
      </c>
      <c r="BL23" s="62" t="n">
        <v>165.0</v>
      </c>
      <c r="BM23" s="62" t="n">
        <v>14.0</v>
      </c>
      <c r="BN23" s="62" t="n">
        <v>5980.0</v>
      </c>
      <c r="BO23" s="62" t="n">
        <v>10.0</v>
      </c>
      <c r="BP23" s="62" t="n">
        <v>3753.0</v>
      </c>
      <c r="BQ23" s="62" t="n">
        <v>3.0</v>
      </c>
      <c r="BR23" s="62"/>
      <c r="BS23" s="62">
        <f si="3" t="shared"/>
        <v>23153</v>
      </c>
      <c r="BT23" s="81"/>
      <c r="BV23">
        <v>2</v>
      </c>
      <c r="BW23" s="30" t="s">
        <v>324</v>
      </c>
      <c r="BX23" s="94">
        <f>$BX$7</f>
        <v>33517.436176149633</v>
      </c>
      <c r="BY23" s="87">
        <f>$BX$8</f>
        <v>41849</v>
      </c>
      <c r="BZ23" s="87">
        <f>$BX$9</f>
        <v>75074</v>
      </c>
      <c r="CA23" s="100">
        <f>$BX$10</f>
        <v>35769</v>
      </c>
      <c r="CB23" s="94">
        <f>$BX$11</f>
        <v>35676.951809399434</v>
      </c>
      <c r="CC23" s="87">
        <f>$BX$12</f>
        <v>38805.48855365505</v>
      </c>
      <c r="CD23" s="87">
        <f>$BX$13</f>
        <v>64791.616557937239</v>
      </c>
      <c r="CE23" s="100">
        <f>$BX$14</f>
        <v>35769</v>
      </c>
      <c r="CF23" s="79">
        <f si="9" t="shared"/>
        <v>4.2565039292987057E-2</v>
      </c>
      <c r="CG23" s="79">
        <f si="10" t="shared"/>
        <v>4.6297597224511648E-2</v>
      </c>
      <c r="CH23" s="79">
        <f si="11" t="shared"/>
        <v>7.7300822093163413E-2</v>
      </c>
      <c r="CI23" s="98">
        <f si="12" t="shared"/>
        <v>4.267485906881021E-2</v>
      </c>
      <c r="CJ23" s="102">
        <f ref="CJ23:CJ41" si="13" t="shared">CI23-CG23</f>
        <v>-3.6227381557014382E-3</v>
      </c>
      <c r="CK23" s="98">
        <f ref="CK23:CK41" si="14" t="shared">(CE23-CC23)/CC23</f>
        <v>-7.824894536391673E-2</v>
      </c>
      <c r="CL23" s="19">
        <f ref="CL23:CL41" si="15" t="shared">CI23-CH23</f>
        <v>-3.4625963024353203E-2</v>
      </c>
    </row>
    <row r="24" spans="1:90" x14ac:dyDescent="0.45">
      <c r="A24">
        <v>18</v>
      </c>
      <c r="B24" s="62" t="n">
        <v>3207.917681966579</v>
      </c>
      <c r="C24" s="62" t="n">
        <v>1125.9132405966259</v>
      </c>
      <c r="D24" s="62" t="n">
        <v>300.549189277758</v>
      </c>
      <c r="E24" s="62" t="n">
        <v>1197.466975377208</v>
      </c>
      <c r="F24" s="62" t="n">
        <v>671.13362994386</v>
      </c>
      <c r="G24" s="62" t="n">
        <v>2574.7729084650778</v>
      </c>
      <c r="H24" s="62" t="n">
        <v>3254.448568455629</v>
      </c>
      <c r="I24" s="62" t="n">
        <v>0.0</v>
      </c>
      <c r="J24" s="62" t="n">
        <v>0.0</v>
      </c>
      <c r="K24" s="62" t="n">
        <v>179.603451520598</v>
      </c>
      <c r="L24" s="62" t="n">
        <v>0.0</v>
      </c>
      <c r="M24" s="62" t="n">
        <v>18343.73997888021</v>
      </c>
      <c r="N24" s="62" t="n">
        <v>8455.87464735627</v>
      </c>
      <c r="O24" s="62" t="n">
        <v>0.0</v>
      </c>
      <c r="P24" s="62" t="n">
        <v>0.0</v>
      </c>
      <c r="Q24" s="62" t="n">
        <v>47.0780174975748</v>
      </c>
      <c r="R24" s="62" t="n">
        <v>0.0</v>
      </c>
      <c r="S24" s="62" t="n">
        <v>3709.877875079478</v>
      </c>
      <c r="T24" s="62" t="n">
        <v>0.0</v>
      </c>
      <c r="U24" s="62" t="n">
        <v>419.7034848188868</v>
      </c>
      <c r="V24" s="62"/>
      <c r="W24" s="62">
        <f si="1" t="shared"/>
        <v>43488.079649235755</v>
      </c>
      <c r="Y24">
        <v>18</v>
      </c>
      <c r="Z24" s="62">
        <v>2963</v>
      </c>
      <c r="AA24" s="62">
        <v>2770</v>
      </c>
      <c r="AB24" s="62">
        <v>622</v>
      </c>
      <c r="AC24" s="62">
        <v>822</v>
      </c>
      <c r="AD24" s="62">
        <v>1080</v>
      </c>
      <c r="AE24" s="62">
        <v>6922</v>
      </c>
      <c r="AF24" s="62">
        <v>4968</v>
      </c>
      <c r="AG24" s="62">
        <v>180</v>
      </c>
      <c r="AH24" s="62">
        <v>2157</v>
      </c>
      <c r="AI24" s="62">
        <v>1044</v>
      </c>
      <c r="AJ24" s="62">
        <v>954</v>
      </c>
      <c r="AK24" s="62">
        <v>21028</v>
      </c>
      <c r="AL24" s="62">
        <v>6451</v>
      </c>
      <c r="AM24" s="62">
        <v>135</v>
      </c>
      <c r="AN24" s="62">
        <v>773</v>
      </c>
      <c r="AO24" s="62">
        <v>416</v>
      </c>
      <c r="AP24" s="62">
        <v>107</v>
      </c>
      <c r="AQ24" s="62">
        <v>6991</v>
      </c>
      <c r="AR24" s="62">
        <v>295</v>
      </c>
      <c r="AS24" s="62">
        <v>4024</v>
      </c>
      <c r="AT24" s="62">
        <v>0</v>
      </c>
      <c r="AU24" s="62">
        <f si="2" t="shared"/>
        <v>64702</v>
      </c>
      <c r="AW24">
        <v>18</v>
      </c>
      <c r="AX24" s="62" t="n">
        <v>947.0</v>
      </c>
      <c r="AY24" s="62" t="n">
        <v>781.0</v>
      </c>
      <c r="AZ24" s="62" t="n">
        <v>290.0</v>
      </c>
      <c r="BA24" s="62" t="n">
        <v>232.0</v>
      </c>
      <c r="BB24" s="62" t="n">
        <v>485.0</v>
      </c>
      <c r="BC24" s="62" t="n">
        <v>2513.0</v>
      </c>
      <c r="BD24" s="62" t="n">
        <v>2532.0</v>
      </c>
      <c r="BE24" s="62" t="n">
        <v>25.0</v>
      </c>
      <c r="BF24" s="62" t="n">
        <v>389.0</v>
      </c>
      <c r="BG24" s="62" t="n">
        <v>426.0</v>
      </c>
      <c r="BH24" s="62" t="n">
        <v>116.0</v>
      </c>
      <c r="BI24" s="62" t="n">
        <v>19694.0</v>
      </c>
      <c r="BJ24" s="62" t="n">
        <v>8378.0</v>
      </c>
      <c r="BK24" s="62" t="n">
        <v>6.0</v>
      </c>
      <c r="BL24" s="62" t="n">
        <v>125.0</v>
      </c>
      <c r="BM24" s="62" t="n">
        <v>306.0</v>
      </c>
      <c r="BN24" s="62" t="n">
        <v>5.0</v>
      </c>
      <c r="BO24" s="62" t="n">
        <v>11454.0</v>
      </c>
      <c r="BP24" s="62" t="n">
        <v>8.0</v>
      </c>
      <c r="BQ24" s="62" t="n">
        <v>3963.0</v>
      </c>
      <c r="BR24" s="62"/>
      <c r="BS24" s="62">
        <f si="3" t="shared"/>
        <v>52632</v>
      </c>
      <c r="BT24" s="81"/>
      <c r="BV24">
        <v>3</v>
      </c>
      <c r="BW24" s="30" t="s">
        <v>325</v>
      </c>
      <c r="BX24" s="94">
        <f>$BY$7</f>
        <v>20342.761980711071</v>
      </c>
      <c r="BY24" s="87">
        <f>$BY$8</f>
        <v>26730</v>
      </c>
      <c r="BZ24" s="87">
        <f>$BY$9</f>
        <v>24294</v>
      </c>
      <c r="CA24" s="100">
        <f>$BY$10</f>
        <v>22365</v>
      </c>
      <c r="CB24" s="94">
        <f>$BY$11</f>
        <v>21653.438378808769</v>
      </c>
      <c r="CC24" s="87">
        <f>$BY$12</f>
        <v>24786.033335066539</v>
      </c>
      <c r="CD24" s="87">
        <f>$BY$13</f>
        <v>21032.233411331239</v>
      </c>
      <c r="CE24" s="100">
        <f>$BY$14</f>
        <v>22365</v>
      </c>
      <c r="CF24" s="79">
        <f si="9" t="shared"/>
        <v>2.5834030338304965E-2</v>
      </c>
      <c r="CG24" s="79">
        <f si="10" t="shared"/>
        <v>2.9571429993815776E-2</v>
      </c>
      <c r="CH24" s="79">
        <f si="11" t="shared"/>
        <v>2.5092890400371333E-2</v>
      </c>
      <c r="CI24" s="98">
        <f si="12" t="shared"/>
        <v>2.6682971933068868E-2</v>
      </c>
      <c r="CJ24" s="102">
        <f si="13" t="shared"/>
        <v>-2.8884580607469075E-3</v>
      </c>
      <c r="CK24" s="98">
        <f si="14" t="shared"/>
        <v>-9.7677321027456743E-2</v>
      </c>
      <c r="CL24" s="19">
        <f si="15" t="shared"/>
        <v>1.5900815326975355E-3</v>
      </c>
    </row>
    <row r="25" spans="1:90" x14ac:dyDescent="0.45">
      <c r="A25">
        <v>19</v>
      </c>
      <c r="B25" s="62" t="n">
        <v>2655.674270292774</v>
      </c>
      <c r="C25" s="62" t="n">
        <v>855.9688359510701</v>
      </c>
      <c r="D25" s="62" t="n">
        <v>858.3664619103424</v>
      </c>
      <c r="E25" s="62" t="n">
        <v>1159.688418060828</v>
      </c>
      <c r="F25" s="62" t="n">
        <v>982.743505774876</v>
      </c>
      <c r="G25" s="62" t="n">
        <v>2398.760014014524</v>
      </c>
      <c r="H25" s="62" t="n">
        <v>2113.139333522131</v>
      </c>
      <c r="I25" s="62" t="n">
        <v>0.0</v>
      </c>
      <c r="J25" s="62" t="n">
        <v>2422.357621119778</v>
      </c>
      <c r="K25" s="62" t="n">
        <v>296.59497116925</v>
      </c>
      <c r="L25" s="62" t="n">
        <v>8521.943287140959</v>
      </c>
      <c r="M25" s="62" t="n">
        <v>0.0</v>
      </c>
      <c r="N25" s="62" t="n">
        <v>0.0</v>
      </c>
      <c r="O25" s="62" t="n">
        <v>1112.6686274418205</v>
      </c>
      <c r="P25" s="62" t="n">
        <v>983.026117893448</v>
      </c>
      <c r="Q25" s="62" t="n">
        <v>0.0</v>
      </c>
      <c r="R25" s="62" t="n">
        <v>2637.918446234619</v>
      </c>
      <c r="S25" s="62" t="n">
        <v>0.0</v>
      </c>
      <c r="T25" s="62" t="n">
        <v>12561.013296320987</v>
      </c>
      <c r="U25" s="62" t="n">
        <v>0.0</v>
      </c>
      <c r="V25" s="62"/>
      <c r="W25" s="62">
        <f si="1" t="shared"/>
        <v>39559.863206847411</v>
      </c>
      <c r="Y25">
        <v>19</v>
      </c>
      <c r="Z25" s="62">
        <v>2776</v>
      </c>
      <c r="AA25" s="62">
        <v>3100</v>
      </c>
      <c r="AB25" s="62">
        <v>1042</v>
      </c>
      <c r="AC25" s="62">
        <v>1166</v>
      </c>
      <c r="AD25" s="62">
        <v>1119</v>
      </c>
      <c r="AE25" s="62">
        <v>5173</v>
      </c>
      <c r="AF25" s="62">
        <v>1997</v>
      </c>
      <c r="AG25" s="62">
        <v>413</v>
      </c>
      <c r="AH25" s="62">
        <v>2603</v>
      </c>
      <c r="AI25" s="62">
        <v>731</v>
      </c>
      <c r="AJ25" s="62">
        <v>7170</v>
      </c>
      <c r="AK25" s="62">
        <v>3597</v>
      </c>
      <c r="AL25" s="62">
        <v>916</v>
      </c>
      <c r="AM25" s="62">
        <v>821</v>
      </c>
      <c r="AN25" s="62">
        <v>1887</v>
      </c>
      <c r="AO25" s="62">
        <v>156</v>
      </c>
      <c r="AP25" s="62">
        <v>3435</v>
      </c>
      <c r="AQ25" s="62">
        <v>285</v>
      </c>
      <c r="AR25" s="62">
        <v>14386</v>
      </c>
      <c r="AS25" s="62">
        <v>195</v>
      </c>
      <c r="AT25" s="62">
        <v>0</v>
      </c>
      <c r="AU25" s="62">
        <f si="2" t="shared"/>
        <v>52968</v>
      </c>
      <c r="AW25">
        <v>19</v>
      </c>
      <c r="AX25" s="62" t="n">
        <v>907.0</v>
      </c>
      <c r="AY25" s="62" t="n">
        <v>675.0</v>
      </c>
      <c r="AZ25" s="62" t="n">
        <v>844.0</v>
      </c>
      <c r="BA25" s="62" t="n">
        <v>457.0</v>
      </c>
      <c r="BB25" s="62" t="n">
        <v>366.0</v>
      </c>
      <c r="BC25" s="62" t="n">
        <v>1524.0</v>
      </c>
      <c r="BD25" s="62" t="n">
        <v>327.0</v>
      </c>
      <c r="BE25" s="62" t="n">
        <v>195.0</v>
      </c>
      <c r="BF25" s="62" t="n">
        <v>1582.0</v>
      </c>
      <c r="BG25" s="62" t="n">
        <v>208.0</v>
      </c>
      <c r="BH25" s="62" t="n">
        <v>11300.0</v>
      </c>
      <c r="BI25" s="62" t="n">
        <v>525.0</v>
      </c>
      <c r="BJ25" s="62" t="n">
        <v>124.0</v>
      </c>
      <c r="BK25" s="62" t="n">
        <v>643.0</v>
      </c>
      <c r="BL25" s="62" t="n">
        <v>2378.0</v>
      </c>
      <c r="BM25" s="62" t="n">
        <v>8.0</v>
      </c>
      <c r="BN25" s="62" t="n">
        <v>4439.0</v>
      </c>
      <c r="BO25" s="62" t="n">
        <v>4.0</v>
      </c>
      <c r="BP25" s="62" t="n">
        <v>21234.0</v>
      </c>
      <c r="BQ25" s="62" t="n">
        <v>0.0</v>
      </c>
      <c r="BR25" s="62"/>
      <c r="BS25" s="62">
        <f si="3" t="shared"/>
        <v>47542</v>
      </c>
      <c r="BT25" s="81"/>
      <c r="BV25">
        <v>4</v>
      </c>
      <c r="BW25" s="30" t="s">
        <v>326</v>
      </c>
      <c r="BX25" s="94">
        <f>$BZ$7</f>
        <v>24858.21125930726</v>
      </c>
      <c r="BY25" s="87">
        <f>$BZ$8</f>
        <v>18661</v>
      </c>
      <c r="BZ25" s="87">
        <f>$BZ$9</f>
        <v>23571</v>
      </c>
      <c r="CA25" s="100">
        <f>$BZ$10</f>
        <v>14532</v>
      </c>
      <c r="CB25" s="94">
        <f>$BZ$11</f>
        <v>26459.816332767474</v>
      </c>
      <c r="CC25" s="87">
        <f>$BZ$12</f>
        <v>17303.859635827783</v>
      </c>
      <c r="CD25" s="87">
        <f>$BZ$13</f>
        <v>20025.637876396635</v>
      </c>
      <c r="CE25" s="100">
        <f>$BZ$14</f>
        <v>14532</v>
      </c>
      <c r="CF25" s="79">
        <f si="9" t="shared"/>
        <v>3.1568367384815187E-2</v>
      </c>
      <c r="CG25" s="79">
        <f si="10" t="shared"/>
        <v>2.0644685937695331E-2</v>
      </c>
      <c r="CH25" s="79">
        <f si="11" t="shared"/>
        <v>2.3891953203563264E-2</v>
      </c>
      <c r="CI25" s="98">
        <f si="12" t="shared"/>
        <v>1.7337668148059773E-2</v>
      </c>
      <c r="CJ25" s="102">
        <f si="13" t="shared"/>
        <v>-3.3070177896355572E-3</v>
      </c>
      <c r="CK25" s="98">
        <f si="14" t="shared"/>
        <v>-0.16018736248233456</v>
      </c>
      <c r="CL25" s="19">
        <f si="15" t="shared"/>
        <v>-6.5542850555034907E-3</v>
      </c>
    </row>
    <row r="26" spans="1:90" x14ac:dyDescent="0.45">
      <c r="A26">
        <v>20</v>
      </c>
      <c r="B26" s="44" t="n">
        <v>739.5225538870951</v>
      </c>
      <c r="C26" s="44" t="n">
        <v>396.315831765415</v>
      </c>
      <c r="D26" s="44" t="n">
        <v>396.315831765415</v>
      </c>
      <c r="E26" s="44" t="n">
        <v>530.902814237059</v>
      </c>
      <c r="F26" s="44" t="n">
        <v>75.377597745124</v>
      </c>
      <c r="G26" s="44" t="n">
        <v>777.9958079895451</v>
      </c>
      <c r="H26" s="44" t="n">
        <v>1817.377491131429</v>
      </c>
      <c r="I26" s="44" t="n">
        <v>0.0</v>
      </c>
      <c r="J26" s="44" t="n">
        <v>0.0</v>
      </c>
      <c r="K26" s="44" t="n">
        <v>156.966639544515</v>
      </c>
      <c r="L26" s="44" t="n">
        <v>115.000259629041</v>
      </c>
      <c r="M26" s="44" t="n">
        <v>6330.8256870548585</v>
      </c>
      <c r="N26" s="44" t="n">
        <v>40.512360877359</v>
      </c>
      <c r="O26" s="44" t="n">
        <v>0.0</v>
      </c>
      <c r="P26" s="44" t="n">
        <v>0.0</v>
      </c>
      <c r="Q26" s="44" t="n">
        <v>0.0</v>
      </c>
      <c r="R26" s="44" t="n">
        <v>0.0</v>
      </c>
      <c r="S26" s="44" t="n">
        <v>3673.6580433652352</v>
      </c>
      <c r="T26" s="44" t="n">
        <v>0.0</v>
      </c>
      <c r="U26" s="44" t="n">
        <v>15926.780765612446</v>
      </c>
      <c r="V26" s="44"/>
      <c r="W26" s="62">
        <f si="1" t="shared"/>
        <v>30977.551684604536</v>
      </c>
      <c r="Y26">
        <v>20</v>
      </c>
      <c r="Z26" s="44">
        <v>1039</v>
      </c>
      <c r="AA26" s="44">
        <v>1107</v>
      </c>
      <c r="AB26" s="44">
        <v>306</v>
      </c>
      <c r="AC26" s="44">
        <v>402</v>
      </c>
      <c r="AD26" s="44">
        <v>477</v>
      </c>
      <c r="AE26" s="44">
        <v>2222</v>
      </c>
      <c r="AF26" s="44">
        <v>1603</v>
      </c>
      <c r="AG26" s="44">
        <v>142</v>
      </c>
      <c r="AH26" s="44">
        <v>1012</v>
      </c>
      <c r="AI26" s="44">
        <v>476</v>
      </c>
      <c r="AJ26" s="44">
        <v>395</v>
      </c>
      <c r="AK26" s="44">
        <v>7152</v>
      </c>
      <c r="AL26" s="44">
        <v>1209</v>
      </c>
      <c r="AM26" s="44">
        <v>130</v>
      </c>
      <c r="AN26" s="44">
        <v>298</v>
      </c>
      <c r="AO26" s="44">
        <v>205</v>
      </c>
      <c r="AP26" s="44">
        <v>56</v>
      </c>
      <c r="AQ26" s="44">
        <v>5317</v>
      </c>
      <c r="AR26" s="44">
        <v>189</v>
      </c>
      <c r="AS26" s="44">
        <v>13471</v>
      </c>
      <c r="AT26" s="44">
        <v>0</v>
      </c>
      <c r="AU26" s="62">
        <f si="2" t="shared"/>
        <v>37208</v>
      </c>
      <c r="AW26">
        <v>20</v>
      </c>
      <c r="AX26" s="44" t="n">
        <v>119.0</v>
      </c>
      <c r="AY26" s="44" t="n">
        <v>74.0</v>
      </c>
      <c r="AZ26" s="44" t="n">
        <v>38.0</v>
      </c>
      <c r="BA26" s="44" t="n">
        <v>40.0</v>
      </c>
      <c r="BB26" s="44" t="n">
        <v>66.0</v>
      </c>
      <c r="BC26" s="44" t="n">
        <v>335.0</v>
      </c>
      <c r="BD26" s="44" t="n">
        <v>160.0</v>
      </c>
      <c r="BE26" s="44" t="n">
        <v>10.0</v>
      </c>
      <c r="BF26" s="44" t="n">
        <v>40.0</v>
      </c>
      <c r="BG26" s="44" t="n">
        <v>69.0</v>
      </c>
      <c r="BH26" s="44" t="n">
        <v>28.0</v>
      </c>
      <c r="BI26" s="44" t="n">
        <v>3061.0</v>
      </c>
      <c r="BJ26" s="44" t="n">
        <v>171.0</v>
      </c>
      <c r="BK26" s="44" t="n">
        <v>1.0</v>
      </c>
      <c r="BL26" s="44" t="n">
        <v>1.0</v>
      </c>
      <c r="BM26" s="44" t="n">
        <v>103.0</v>
      </c>
      <c r="BN26" s="44" t="n">
        <v>1.0</v>
      </c>
      <c r="BO26" s="44" t="n">
        <v>5127.0</v>
      </c>
      <c r="BP26" s="44" t="n">
        <v>1.0</v>
      </c>
      <c r="BQ26" s="44" t="n">
        <v>21534.0</v>
      </c>
      <c r="BR26" s="44"/>
      <c r="BS26" s="62">
        <f si="3" t="shared"/>
        <v>30902</v>
      </c>
      <c r="BT26" s="81"/>
      <c r="BV26">
        <v>5</v>
      </c>
      <c r="BW26" s="30" t="s">
        <v>327</v>
      </c>
      <c r="BX26" s="94">
        <f>$CA$7</f>
        <v>23036.313694395729</v>
      </c>
      <c r="BY26" s="87">
        <f>$CA$8</f>
        <v>24148</v>
      </c>
      <c r="BZ26" s="87">
        <f>$CA$9</f>
        <v>27651</v>
      </c>
      <c r="CA26" s="100">
        <f>$CA$10</f>
        <v>17563</v>
      </c>
      <c r="CB26" s="94">
        <f>$CA$11</f>
        <v>24520.534602404598</v>
      </c>
      <c r="CC26" s="87">
        <f>$CA$12</f>
        <v>22391.811933228088</v>
      </c>
      <c r="CD26" s="87">
        <f>$CA$13</f>
        <v>23699.572032701555</v>
      </c>
      <c r="CE26" s="100">
        <f>$CA$14</f>
        <v>17563</v>
      </c>
      <c r="CF26" s="79">
        <f si="9" t="shared"/>
        <v>2.9254671879266968E-2</v>
      </c>
      <c r="CG26" s="79">
        <f si="10" t="shared"/>
        <v>2.6714960399949996E-2</v>
      </c>
      <c r="CH26" s="79">
        <f si="11" t="shared"/>
        <v>2.8275207483761219E-2</v>
      </c>
      <c r="CI26" s="98">
        <f si="12" t="shared"/>
        <v>2.0953858084528886E-2</v>
      </c>
      <c r="CJ26" s="102">
        <f si="13" t="shared"/>
        <v>-5.76110231542111E-3</v>
      </c>
      <c r="CK26" s="98">
        <f si="14" t="shared"/>
        <v>-0.21565079001322016</v>
      </c>
      <c r="CL26" s="19">
        <f si="15" t="shared"/>
        <v>-7.3213493992323325E-3</v>
      </c>
    </row>
    <row r="27" spans="1:90" x14ac:dyDescent="0.45">
      <c r="A27" s="80" t="s">
        <v>15</v>
      </c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62">
        <f si="1" t="shared"/>
        <v>0</v>
      </c>
      <c r="Y27" s="80" t="s">
        <v>15</v>
      </c>
      <c r="Z27" s="46">
        <v>0</v>
      </c>
      <c r="AA27" s="46">
        <v>0</v>
      </c>
      <c r="AB27" s="46">
        <v>0</v>
      </c>
      <c r="AC27" s="46">
        <v>0</v>
      </c>
      <c r="AD27" s="46">
        <v>0</v>
      </c>
      <c r="AE27" s="46">
        <v>0</v>
      </c>
      <c r="AF27" s="46">
        <v>0</v>
      </c>
      <c r="AG27" s="46">
        <v>0</v>
      </c>
      <c r="AH27" s="46">
        <v>0</v>
      </c>
      <c r="AI27" s="46">
        <v>0</v>
      </c>
      <c r="AJ27" s="46">
        <v>0</v>
      </c>
      <c r="AK27" s="46">
        <v>0</v>
      </c>
      <c r="AL27" s="46">
        <v>0</v>
      </c>
      <c r="AM27" s="46">
        <v>0</v>
      </c>
      <c r="AN27" s="46">
        <v>0</v>
      </c>
      <c r="AO27" s="46">
        <v>0</v>
      </c>
      <c r="AP27" s="46">
        <v>0</v>
      </c>
      <c r="AQ27" s="46">
        <v>0</v>
      </c>
      <c r="AR27" s="46">
        <v>0</v>
      </c>
      <c r="AS27" s="46">
        <v>0</v>
      </c>
      <c r="AT27" s="46">
        <v>0</v>
      </c>
      <c r="AU27" s="62">
        <f si="2" t="shared"/>
        <v>0</v>
      </c>
      <c r="AW27" s="80" t="s">
        <v>15</v>
      </c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62">
        <f si="3" t="shared"/>
        <v>0</v>
      </c>
      <c r="BT27" s="81"/>
      <c r="BV27">
        <v>6</v>
      </c>
      <c r="BW27" s="30" t="s">
        <v>328</v>
      </c>
      <c r="BX27" s="94">
        <f>$CB$7</f>
        <v>116219.36188648028</v>
      </c>
      <c r="BY27" s="87">
        <f>$CB$8</f>
        <v>106455</v>
      </c>
      <c r="BZ27" s="87">
        <f>$CB$9</f>
        <v>153058</v>
      </c>
      <c r="CA27" s="100">
        <f>$CB$10</f>
        <v>97510</v>
      </c>
      <c r="CB27" s="94">
        <f>$CB$11</f>
        <v>123707.3310605295</v>
      </c>
      <c r="CC27" s="87">
        <f>$CB$12</f>
        <v>98712.950942181385</v>
      </c>
      <c r="CD27" s="87">
        <f>$CB$13</f>
        <v>134115.782326477</v>
      </c>
      <c r="CE27" s="100">
        <f>$CB$14</f>
        <v>97510</v>
      </c>
      <c r="CF27" s="79">
        <f si="9" t="shared"/>
        <v>0.14759129186688874</v>
      </c>
      <c r="CG27" s="79">
        <f si="10" t="shared"/>
        <v>0.11777128993608899</v>
      </c>
      <c r="CH27" s="79">
        <f si="11" t="shared"/>
        <v>0.16000928484681243</v>
      </c>
      <c r="CI27" s="98">
        <f si="12" t="shared"/>
        <v>0.11633608733259761</v>
      </c>
      <c r="CJ27" s="102">
        <f si="13" t="shared"/>
        <v>-1.4352026034913784E-3</v>
      </c>
      <c r="CK27" s="98">
        <f si="14" t="shared"/>
        <v>-1.2186353773234715E-2</v>
      </c>
      <c r="CL27" s="19">
        <f si="15" t="shared"/>
        <v>-4.367319751421482E-2</v>
      </c>
    </row>
    <row ht="14.65" r="28" spans="1:90" thickBot="1" x14ac:dyDescent="0.5">
      <c r="A28" s="1" t="s">
        <v>3</v>
      </c>
      <c r="B28" s="86">
        <f>SUM(B7:B27)</f>
        <v>83524.716672332506</v>
      </c>
      <c r="C28" s="86">
        <f ref="C28:W28" si="16" t="shared">SUM(C7:C27)</f>
        <v>33517.436176149633</v>
      </c>
      <c r="D28" s="86">
        <f si="16" t="shared"/>
        <v>20342.761980711071</v>
      </c>
      <c r="E28" s="86">
        <f si="16" t="shared"/>
        <v>24858.21125930726</v>
      </c>
      <c r="F28" s="86">
        <f si="16" t="shared"/>
        <v>23036.313694395729</v>
      </c>
      <c r="G28" s="86">
        <f si="16" t="shared"/>
        <v>116219.36188648028</v>
      </c>
      <c r="H28" s="86">
        <f si="16" t="shared"/>
        <v>74301.509013582981</v>
      </c>
      <c r="I28" s="86">
        <f si="16" t="shared"/>
        <v>3682.4775864874828</v>
      </c>
      <c r="J28" s="86">
        <f si="16" t="shared"/>
        <v>54879.130936305446</v>
      </c>
      <c r="K28" s="86">
        <f si="16" t="shared"/>
        <v>14021.229546144357</v>
      </c>
      <c r="L28" s="86">
        <f si="16" t="shared"/>
        <v>40033.491243339275</v>
      </c>
      <c r="M28" s="86">
        <f si="16" t="shared"/>
        <v>150051.4119853304</v>
      </c>
      <c r="N28" s="86">
        <f si="16" t="shared"/>
        <v>58699.074960954094</v>
      </c>
      <c r="O28" s="86">
        <f si="16" t="shared"/>
        <v>13303.423145710443</v>
      </c>
      <c r="P28" s="86">
        <f si="16" t="shared"/>
        <v>18530.92040310935</v>
      </c>
      <c r="Q28" s="86">
        <f si="16" t="shared"/>
        <v>2059.7893251669652</v>
      </c>
      <c r="R28" s="86">
        <f si="16" t="shared"/>
        <v>9135.2817345814929</v>
      </c>
      <c r="S28" s="86">
        <f si="16" t="shared"/>
        <v>13074.167718361357</v>
      </c>
      <c r="T28" s="86">
        <f si="16" t="shared"/>
        <v>16912.63761576551</v>
      </c>
      <c r="U28" s="86">
        <f si="16" t="shared"/>
        <v>17257.161403342958</v>
      </c>
      <c r="V28" s="86">
        <f si="16" t="shared"/>
        <v>0</v>
      </c>
      <c r="W28" s="86">
        <f si="16" t="shared"/>
        <v>787440.50828755845</v>
      </c>
      <c r="Y28" s="1" t="s">
        <v>3</v>
      </c>
      <c r="Z28" s="86">
        <f>SUM(Z7:Z27)</f>
        <v>70858</v>
      </c>
      <c r="AA28" s="86">
        <f ref="AA28:AU28" si="17" t="shared">SUM(AA7:AA27)</f>
        <v>75074</v>
      </c>
      <c r="AB28" s="86">
        <f si="17" t="shared"/>
        <v>24294</v>
      </c>
      <c r="AC28" s="86">
        <f si="17" t="shared"/>
        <v>23571</v>
      </c>
      <c r="AD28" s="86">
        <f si="17" t="shared"/>
        <v>27651</v>
      </c>
      <c r="AE28" s="86">
        <f si="17" t="shared"/>
        <v>153058</v>
      </c>
      <c r="AF28" s="86">
        <f si="17" t="shared"/>
        <v>84080</v>
      </c>
      <c r="AG28" s="86">
        <f si="17" t="shared"/>
        <v>7355</v>
      </c>
      <c r="AH28" s="86">
        <f si="17" t="shared"/>
        <v>57234</v>
      </c>
      <c r="AI28" s="86">
        <f si="17" t="shared"/>
        <v>21817</v>
      </c>
      <c r="AJ28" s="86">
        <f si="17" t="shared"/>
        <v>50898</v>
      </c>
      <c r="AK28" s="86">
        <f si="17" t="shared"/>
        <v>162784</v>
      </c>
      <c r="AL28" s="86">
        <f si="17" t="shared"/>
        <v>65336</v>
      </c>
      <c r="AM28" s="86">
        <f si="17" t="shared"/>
        <v>11928</v>
      </c>
      <c r="AN28" s="86">
        <f si="17" t="shared"/>
        <v>31047</v>
      </c>
      <c r="AO28" s="86">
        <f si="17" t="shared"/>
        <v>5518</v>
      </c>
      <c r="AP28" s="86">
        <f si="17" t="shared"/>
        <v>11837</v>
      </c>
      <c r="AQ28" s="86">
        <f si="17" t="shared"/>
        <v>23748</v>
      </c>
      <c r="AR28" s="86">
        <f si="17" t="shared"/>
        <v>29164</v>
      </c>
      <c r="AS28" s="86">
        <f si="17" t="shared"/>
        <v>22156</v>
      </c>
      <c r="AT28" s="86">
        <f si="17" t="shared"/>
        <v>0</v>
      </c>
      <c r="AU28" s="86">
        <f si="17" t="shared"/>
        <v>959408</v>
      </c>
      <c r="AW28" s="1" t="s">
        <v>3</v>
      </c>
      <c r="AX28" s="86">
        <f ref="AX28:BS28" si="18" t="shared">SUM(AX7:AX27)</f>
        <v>54561</v>
      </c>
      <c r="AY28" s="86">
        <f si="18" t="shared"/>
        <v>35769</v>
      </c>
      <c r="AZ28" s="86">
        <f si="18" t="shared"/>
        <v>22365</v>
      </c>
      <c r="BA28" s="86">
        <f si="18" t="shared"/>
        <v>14532</v>
      </c>
      <c r="BB28" s="86">
        <f si="18" t="shared"/>
        <v>17563</v>
      </c>
      <c r="BC28" s="86">
        <f si="18" t="shared"/>
        <v>97510</v>
      </c>
      <c r="BD28" s="86">
        <f si="18" t="shared"/>
        <v>87842</v>
      </c>
      <c r="BE28" s="86">
        <f si="18" t="shared"/>
        <v>2420</v>
      </c>
      <c r="BF28" s="86">
        <f si="18" t="shared"/>
        <v>56060</v>
      </c>
      <c r="BG28" s="86">
        <f si="18" t="shared"/>
        <v>17375</v>
      </c>
      <c r="BH28" s="86">
        <f si="18" t="shared"/>
        <v>47935</v>
      </c>
      <c r="BI28" s="86">
        <f si="18" t="shared"/>
        <v>162422</v>
      </c>
      <c r="BJ28" s="86">
        <f si="18" t="shared"/>
        <v>80256</v>
      </c>
      <c r="BK28" s="86">
        <f si="18" t="shared"/>
        <v>14989</v>
      </c>
      <c r="BL28" s="86">
        <f si="18" t="shared"/>
        <v>32841</v>
      </c>
      <c r="BM28" s="86">
        <f si="18" t="shared"/>
        <v>4087</v>
      </c>
      <c r="BN28" s="86">
        <f si="18" t="shared"/>
        <v>15046</v>
      </c>
      <c r="BO28" s="86">
        <f si="18" t="shared"/>
        <v>23721</v>
      </c>
      <c r="BP28" s="86">
        <f si="18" t="shared"/>
        <v>28364</v>
      </c>
      <c r="BQ28" s="86">
        <f si="18" t="shared"/>
        <v>22517</v>
      </c>
      <c r="BR28" s="86">
        <f si="18" t="shared"/>
        <v>0</v>
      </c>
      <c r="BS28" s="86">
        <f si="18" t="shared"/>
        <v>838175</v>
      </c>
      <c r="BT28" s="81"/>
      <c r="BV28">
        <v>7</v>
      </c>
      <c r="BW28" s="30" t="s">
        <v>329</v>
      </c>
      <c r="BX28" s="94">
        <f>$CC$7</f>
        <v>74301.509013582981</v>
      </c>
      <c r="BY28" s="87">
        <f>$CC$8</f>
        <v>86378</v>
      </c>
      <c r="BZ28" s="87">
        <f>$CC$9</f>
        <v>84080</v>
      </c>
      <c r="CA28" s="100">
        <f>$CC$10</f>
        <v>87842</v>
      </c>
      <c r="CB28" s="94">
        <f>$CC$11</f>
        <v>79088.726909534715</v>
      </c>
      <c r="CC28" s="87">
        <f>$CC$12</f>
        <v>80096.071358637389</v>
      </c>
      <c r="CD28" s="87">
        <f>$CC$13</f>
        <v>75039.689357400712</v>
      </c>
      <c r="CE28" s="100">
        <f>$CC$14</f>
        <v>87842</v>
      </c>
      <c r="CF28" s="79">
        <f si="9" t="shared"/>
        <v>9.4358250853980002E-2</v>
      </c>
      <c r="CG28" s="79">
        <f si="10" t="shared"/>
        <v>9.5560081556521473E-2</v>
      </c>
      <c r="CH28" s="79">
        <f si="11" t="shared"/>
        <v>8.9527472612999343E-2</v>
      </c>
      <c r="CI28" s="98">
        <f si="12" t="shared"/>
        <v>0.1048015032660244</v>
      </c>
      <c r="CJ28" s="102">
        <f si="13" t="shared"/>
        <v>9.2414217095029283E-3</v>
      </c>
      <c r="CK28" s="98">
        <f si="14" t="shared"/>
        <v>9.6707972188542379E-2</v>
      </c>
      <c r="CL28" s="19">
        <f si="15" t="shared"/>
        <v>1.5274030653025059E-2</v>
      </c>
    </row>
    <row r="29" spans="1:90" x14ac:dyDescent="0.45">
      <c r="AX29" s="62"/>
      <c r="AY29" s="62"/>
      <c r="AZ29" s="62"/>
      <c r="BA29" s="62"/>
      <c r="BB29" s="62"/>
      <c r="BC29" s="62"/>
      <c r="BD29" s="62"/>
      <c r="BE29" s="62"/>
      <c r="BF29" s="62"/>
      <c r="BV29">
        <v>8</v>
      </c>
      <c r="BW29" s="30" t="s">
        <v>330</v>
      </c>
      <c r="BX29" s="94">
        <f>$CD$7</f>
        <v>3682.4775864874828</v>
      </c>
      <c r="BY29" s="87">
        <f>$CD$8</f>
        <v>5098</v>
      </c>
      <c r="BZ29" s="87">
        <f>$CD$9</f>
        <v>7355</v>
      </c>
      <c r="CA29" s="100">
        <f>$CD$10</f>
        <v>2420</v>
      </c>
      <c r="CB29" s="94">
        <f>$CD$11</f>
        <v>3919.738213324164</v>
      </c>
      <c r="CC29" s="87">
        <f>$CD$12</f>
        <v>4727.2427213680967</v>
      </c>
      <c r="CD29" s="87">
        <f>$CD$13</f>
        <v>6080.0782622354609</v>
      </c>
      <c r="CE29" s="100">
        <f>$CD$14</f>
        <v>2420</v>
      </c>
      <c r="CF29" s="79">
        <f si="9" t="shared"/>
        <v>4.6765153020838883E-3</v>
      </c>
      <c r="CG29" s="79">
        <f si="10" t="shared"/>
        <v>5.6399233112036226E-3</v>
      </c>
      <c r="CH29" s="79">
        <f si="11" t="shared"/>
        <v>7.2539484740483332E-3</v>
      </c>
      <c r="CI29" s="98">
        <f si="12" t="shared"/>
        <v>2.8872252214632984E-3</v>
      </c>
      <c r="CJ29" s="102">
        <f si="13" t="shared"/>
        <v>-2.7526980897403241E-3</v>
      </c>
      <c r="CK29" s="98">
        <f si="14" t="shared"/>
        <v>-0.4880736736742734</v>
      </c>
      <c r="CL29" s="19">
        <f si="15" t="shared"/>
        <v>-4.3667232525850348E-3</v>
      </c>
    </row>
    <row r="30" spans="1:90" x14ac:dyDescent="0.45">
      <c r="AX30" s="62"/>
      <c r="AY30" s="62"/>
      <c r="AZ30" s="62"/>
      <c r="BA30" s="62"/>
      <c r="BB30" s="62"/>
      <c r="BC30" s="62"/>
      <c r="BD30" s="62"/>
      <c r="BE30" s="62"/>
      <c r="BF30" s="62"/>
      <c r="BV30">
        <v>9</v>
      </c>
      <c r="BW30" s="30" t="s">
        <v>331</v>
      </c>
      <c r="BX30" s="94">
        <f>$CE$7</f>
        <v>54879.130936305446</v>
      </c>
      <c r="BY30" s="87">
        <f>$CE$8</f>
        <v>52399</v>
      </c>
      <c r="BZ30" s="87">
        <f>$CE$9</f>
        <v>57234</v>
      </c>
      <c r="CA30" s="100">
        <f>$CE$10</f>
        <v>56060</v>
      </c>
      <c r="CB30" s="94">
        <f>$CE$11</f>
        <v>58414.972418132311</v>
      </c>
      <c r="CC30" s="87">
        <f>$CE$12</f>
        <v>48588.228983320296</v>
      </c>
      <c r="CD30" s="87">
        <f>$CE$13</f>
        <v>49804.529843887227</v>
      </c>
      <c r="CE30" s="100">
        <f>$CE$14</f>
        <v>56060</v>
      </c>
      <c r="CF30" s="79">
        <f si="9" t="shared"/>
        <v>6.9693050279634086E-2</v>
      </c>
      <c r="CG30" s="79">
        <f si="10" t="shared"/>
        <v>5.7969074457386936E-2</v>
      </c>
      <c r="CH30" s="79">
        <f si="11" t="shared"/>
        <v>5.9420204424955686E-2</v>
      </c>
      <c r="CI30" s="98">
        <f si="12" t="shared"/>
        <v>6.6883407402988634E-2</v>
      </c>
      <c r="CJ30" s="102">
        <f si="13" t="shared"/>
        <v>8.9143329456016981E-3</v>
      </c>
      <c r="CK30" s="98">
        <f si="14" t="shared"/>
        <v>0.15377738956578693</v>
      </c>
      <c r="CL30" s="19">
        <f si="15" t="shared"/>
        <v>7.4632029780329484E-3</v>
      </c>
    </row>
    <row r="31" spans="1:90" x14ac:dyDescent="0.45">
      <c r="AX31" s="62"/>
      <c r="AY31" s="62"/>
      <c r="AZ31" s="62"/>
      <c r="BA31" s="62"/>
      <c r="BB31" s="62"/>
      <c r="BC31" s="62"/>
      <c r="BD31" s="62"/>
      <c r="BE31" s="62"/>
      <c r="BF31" s="62"/>
      <c r="BV31">
        <v>10</v>
      </c>
      <c r="BW31" s="30" t="s">
        <v>332</v>
      </c>
      <c r="BX31" s="94">
        <f>$CF$7</f>
        <v>14021.229546144357</v>
      </c>
      <c r="BY31" s="87">
        <f>$CF$8</f>
        <v>20410</v>
      </c>
      <c r="BZ31" s="87">
        <f>$CF$9</f>
        <v>21817</v>
      </c>
      <c r="CA31" s="100">
        <f>$CF$10</f>
        <v>17375</v>
      </c>
      <c r="CB31" s="94">
        <f>$CF$11</f>
        <v>14924.612019766513</v>
      </c>
      <c r="CC31" s="87">
        <f>$CF$12</f>
        <v>18925.661817011151</v>
      </c>
      <c r="CD31" s="87">
        <f>$CF$13</f>
        <v>18624.781390735643</v>
      </c>
      <c r="CE31" s="100">
        <f>$CF$14</f>
        <v>17375</v>
      </c>
      <c r="CF31" s="79">
        <f si="9" t="shared"/>
        <v>1.7806081092571969E-2</v>
      </c>
      <c r="CG31" s="79">
        <f si="10" t="shared"/>
        <v>2.2579606665685748E-2</v>
      </c>
      <c r="CH31" s="79">
        <f si="11" t="shared"/>
        <v>2.2220635775029852E-2</v>
      </c>
      <c r="CI31" s="98">
        <f si="12" t="shared"/>
        <v>2.0729561249142481E-2</v>
      </c>
      <c r="CJ31" s="102">
        <f si="13" t="shared"/>
        <v>-1.8500454165432667E-3</v>
      </c>
      <c r="CK31" s="98">
        <f si="14" t="shared"/>
        <v>-8.1934350936005471E-2</v>
      </c>
      <c r="CL31" s="19">
        <f si="15" t="shared"/>
        <v>-1.4910745258873703E-3</v>
      </c>
    </row>
    <row ht="14.65" r="32" spans="1:90" thickBot="1" x14ac:dyDescent="0.5">
      <c r="A32" s="4" t="s">
        <v>320</v>
      </c>
      <c r="B32" s="1"/>
      <c r="C32" s="1"/>
      <c r="D32" s="1"/>
      <c r="E32" s="1"/>
      <c r="F32" s="1"/>
      <c r="G32" s="1"/>
      <c r="H32" s="1"/>
      <c r="I32" s="1"/>
      <c r="J32" s="1"/>
      <c r="Y32" s="4" t="s">
        <v>427</v>
      </c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W32" s="4" t="s">
        <v>321</v>
      </c>
      <c r="AX32" s="1"/>
      <c r="AY32" s="1"/>
      <c r="AZ32" s="1"/>
      <c r="BA32" s="1"/>
      <c r="BB32" s="1"/>
      <c r="BC32" s="1"/>
      <c r="BD32" s="1"/>
      <c r="BE32" s="1"/>
      <c r="BF32" s="1"/>
      <c r="BV32">
        <v>11</v>
      </c>
      <c r="BW32" s="30" t="s">
        <v>333</v>
      </c>
      <c r="BX32" s="94">
        <f>$CG$7</f>
        <v>40033.491243339275</v>
      </c>
      <c r="BY32" s="87">
        <f>$CG$8</f>
        <v>57960</v>
      </c>
      <c r="BZ32" s="87">
        <f>$CG$9</f>
        <v>50898</v>
      </c>
      <c r="CA32" s="100">
        <f>$CG$10</f>
        <v>47935</v>
      </c>
      <c r="CB32" s="94">
        <f>$CG$11</f>
        <v>42612.833820116626</v>
      </c>
      <c r="CC32" s="87">
        <f>$CG$12</f>
        <v>53744.799554824414</v>
      </c>
      <c r="CD32" s="87">
        <f>$CG$13</f>
        <v>43380.202212499782</v>
      </c>
      <c r="CE32" s="100">
        <f>$CG$14</f>
        <v>47935</v>
      </c>
      <c r="CF32" s="79">
        <f si="9" t="shared"/>
        <v>5.0840020067547488E-2</v>
      </c>
      <c r="CG32" s="79">
        <f si="10" t="shared"/>
        <v>6.4121215205445656E-2</v>
      </c>
      <c r="CH32" s="79">
        <f si="11" t="shared"/>
        <v>5.1755542950457589E-2</v>
      </c>
      <c r="CI32" s="98">
        <f si="12" t="shared"/>
        <v>5.7189727682166611E-2</v>
      </c>
      <c r="CJ32" s="102">
        <f si="13" t="shared"/>
        <v>-6.9314875232790452E-3</v>
      </c>
      <c r="CK32" s="98">
        <f si="14" t="shared"/>
        <v>-0.10809975296117551</v>
      </c>
      <c r="CL32" s="19">
        <f si="15" t="shared"/>
        <v>5.4341847317090214E-3</v>
      </c>
    </row>
    <row r="33" spans="1:90" x14ac:dyDescent="0.45">
      <c r="A33" s="2" t="s">
        <v>14</v>
      </c>
      <c r="B33" s="2">
        <v>1</v>
      </c>
      <c r="C33" s="2">
        <v>2</v>
      </c>
      <c r="D33" s="2">
        <v>3</v>
      </c>
      <c r="E33" s="2">
        <v>4</v>
      </c>
      <c r="F33" s="2">
        <v>5</v>
      </c>
      <c r="G33" s="2">
        <v>6</v>
      </c>
      <c r="H33" s="2">
        <v>7</v>
      </c>
      <c r="I33" s="2">
        <v>8</v>
      </c>
      <c r="J33" s="2">
        <v>9</v>
      </c>
      <c r="K33" s="2">
        <v>10</v>
      </c>
      <c r="L33" s="2">
        <v>11</v>
      </c>
      <c r="M33" s="2">
        <v>12</v>
      </c>
      <c r="N33" s="2">
        <v>13</v>
      </c>
      <c r="O33" s="2">
        <v>14</v>
      </c>
      <c r="P33" s="2">
        <v>15</v>
      </c>
      <c r="Q33" s="2">
        <v>16</v>
      </c>
      <c r="R33" s="2">
        <v>17</v>
      </c>
      <c r="S33" s="2">
        <v>18</v>
      </c>
      <c r="T33" s="2">
        <v>19</v>
      </c>
      <c r="U33" s="2">
        <v>20</v>
      </c>
      <c r="V33" s="3" t="s">
        <v>15</v>
      </c>
      <c r="W33" s="3" t="s">
        <v>3</v>
      </c>
      <c r="X33" s="64"/>
      <c r="Y33" s="2" t="s">
        <v>14</v>
      </c>
      <c r="Z33" s="2">
        <v>1</v>
      </c>
      <c r="AA33" s="2">
        <v>2</v>
      </c>
      <c r="AB33" s="2">
        <v>3</v>
      </c>
      <c r="AC33" s="2">
        <v>4</v>
      </c>
      <c r="AD33" s="2">
        <v>5</v>
      </c>
      <c r="AE33" s="2">
        <v>6</v>
      </c>
      <c r="AF33" s="2">
        <v>7</v>
      </c>
      <c r="AG33" s="2">
        <v>8</v>
      </c>
      <c r="AH33" s="2">
        <v>9</v>
      </c>
      <c r="AI33" s="2">
        <v>10</v>
      </c>
      <c r="AJ33" s="2">
        <v>11</v>
      </c>
      <c r="AK33" s="2">
        <v>12</v>
      </c>
      <c r="AL33" s="2">
        <v>13</v>
      </c>
      <c r="AM33" s="2">
        <v>14</v>
      </c>
      <c r="AN33" s="2">
        <v>15</v>
      </c>
      <c r="AO33" s="2">
        <v>16</v>
      </c>
      <c r="AP33" s="2">
        <v>17</v>
      </c>
      <c r="AQ33" s="2">
        <v>18</v>
      </c>
      <c r="AR33" s="2">
        <v>19</v>
      </c>
      <c r="AS33" s="2">
        <v>20</v>
      </c>
      <c r="AT33" s="3" t="s">
        <v>15</v>
      </c>
      <c r="AU33" s="3" t="s">
        <v>3</v>
      </c>
      <c r="AW33" s="2" t="s">
        <v>14</v>
      </c>
      <c r="AX33" s="2">
        <v>1</v>
      </c>
      <c r="AY33" s="2">
        <v>2</v>
      </c>
      <c r="AZ33" s="2">
        <v>3</v>
      </c>
      <c r="BA33" s="2">
        <v>4</v>
      </c>
      <c r="BB33" s="2">
        <v>5</v>
      </c>
      <c r="BC33" s="2">
        <v>6</v>
      </c>
      <c r="BD33" s="2">
        <v>7</v>
      </c>
      <c r="BE33" s="2">
        <v>8</v>
      </c>
      <c r="BF33" s="2">
        <v>9</v>
      </c>
      <c r="BG33" s="2">
        <v>10</v>
      </c>
      <c r="BH33" s="2">
        <v>11</v>
      </c>
      <c r="BI33" s="2">
        <v>12</v>
      </c>
      <c r="BJ33" s="2">
        <v>13</v>
      </c>
      <c r="BK33" s="2">
        <v>14</v>
      </c>
      <c r="BL33" s="2">
        <v>15</v>
      </c>
      <c r="BM33" s="2">
        <v>16</v>
      </c>
      <c r="BN33" s="2">
        <v>17</v>
      </c>
      <c r="BO33" s="2">
        <v>18</v>
      </c>
      <c r="BP33" s="2">
        <v>19</v>
      </c>
      <c r="BQ33" s="2">
        <v>20</v>
      </c>
      <c r="BR33" s="3" t="s">
        <v>15</v>
      </c>
      <c r="BS33" s="3" t="s">
        <v>3</v>
      </c>
      <c r="BV33">
        <v>12</v>
      </c>
      <c r="BW33" s="30" t="s">
        <v>334</v>
      </c>
      <c r="BX33" s="94">
        <f>$CH$7</f>
        <v>150051.4119853304</v>
      </c>
      <c r="BY33" s="87">
        <f>$CH$8</f>
        <v>148223</v>
      </c>
      <c r="BZ33" s="87">
        <f>$CH$9</f>
        <v>162784</v>
      </c>
      <c r="CA33" s="100">
        <f>$CH$10</f>
        <v>162422</v>
      </c>
      <c r="CB33" s="94">
        <f>$CH$11</f>
        <v>159719.16724771252</v>
      </c>
      <c r="CC33" s="87">
        <f>$CH$12</f>
        <v>137443.33030391199</v>
      </c>
      <c r="CD33" s="87">
        <f>$CH$13</f>
        <v>143650.19015566274</v>
      </c>
      <c r="CE33" s="100">
        <f>$CH$14</f>
        <v>162422</v>
      </c>
      <c r="CF33" s="79">
        <f si="9" t="shared"/>
        <v>0.19055587108624389</v>
      </c>
      <c r="CG33" s="79">
        <f si="10" t="shared"/>
        <v>0.16397927676667998</v>
      </c>
      <c r="CH33" s="79">
        <f si="11" t="shared"/>
        <v>0.17138448433282161</v>
      </c>
      <c r="CI33" s="98">
        <f si="12" t="shared"/>
        <v>0.19378053509112059</v>
      </c>
      <c r="CJ33" s="102">
        <f si="13" t="shared"/>
        <v>2.980125832444061E-2</v>
      </c>
      <c r="CK33" s="98">
        <f si="14" t="shared"/>
        <v>0.18173795440532228</v>
      </c>
      <c r="CL33" s="19">
        <f si="15" t="shared"/>
        <v>2.239605075829898E-2</v>
      </c>
    </row>
    <row r="34" spans="1:90" x14ac:dyDescent="0.45">
      <c r="A34" s="28">
        <v>1</v>
      </c>
      <c r="B34" s="62">
        <f ref="B34:W34" si="19" t="shared">IF($W7&gt;0,(B7/$W7)*$BS7,0)</f>
        <v>2882.2087587956917</v>
      </c>
      <c r="C34" s="62">
        <f si="19" t="shared"/>
        <v>392.04891496368248</v>
      </c>
      <c r="D34" s="62">
        <f si="19" t="shared"/>
        <v>393.69850532522264</v>
      </c>
      <c r="E34" s="62">
        <f si="19" t="shared"/>
        <v>0</v>
      </c>
      <c r="F34" s="62">
        <f si="19" t="shared"/>
        <v>374.67905592505622</v>
      </c>
      <c r="G34" s="62">
        <f si="19" t="shared"/>
        <v>4645.9286310215584</v>
      </c>
      <c r="H34" s="62">
        <f si="19" t="shared"/>
        <v>0</v>
      </c>
      <c r="I34" s="62">
        <f si="19" t="shared"/>
        <v>0</v>
      </c>
      <c r="J34" s="62">
        <f si="19" t="shared"/>
        <v>1486.3908510757237</v>
      </c>
      <c r="K34" s="62">
        <f si="19" t="shared"/>
        <v>205.1848890682426</v>
      </c>
      <c r="L34" s="62">
        <f si="19" t="shared"/>
        <v>974.57024471025545</v>
      </c>
      <c r="M34" s="62">
        <f si="19" t="shared"/>
        <v>881.78383848082615</v>
      </c>
      <c r="N34" s="62">
        <f si="19" t="shared"/>
        <v>55.506310633741691</v>
      </c>
      <c r="O34" s="62">
        <f si="19" t="shared"/>
        <v>0</v>
      </c>
      <c r="P34" s="62">
        <f si="19" t="shared"/>
        <v>0</v>
      </c>
      <c r="Q34" s="62">
        <f si="19" t="shared"/>
        <v>0</v>
      </c>
      <c r="R34" s="62">
        <f si="19" t="shared"/>
        <v>0</v>
      </c>
      <c r="S34" s="62">
        <f si="19" t="shared"/>
        <v>0</v>
      </c>
      <c r="T34" s="62">
        <f si="19" t="shared"/>
        <v>0</v>
      </c>
      <c r="U34" s="62">
        <f si="19" t="shared"/>
        <v>0</v>
      </c>
      <c r="V34" s="62">
        <f si="19" t="shared"/>
        <v>0</v>
      </c>
      <c r="W34" s="62">
        <f si="19" t="shared"/>
        <v>12292</v>
      </c>
      <c r="X34" s="13"/>
      <c r="Y34" s="28">
        <v>1</v>
      </c>
      <c r="Z34" s="62">
        <f>IF($AU7&gt;0,(Z7/$AU7)*$BS7,0)</f>
        <v>2705.2341047922223</v>
      </c>
      <c r="AA34" s="62">
        <f ref="AA34:AT34" si="20" t="shared">IF($AU7&gt;0,(AA7/$AU7)*$BS7,0)</f>
        <v>951.80246063838933</v>
      </c>
      <c r="AB34" s="62">
        <f si="20" t="shared"/>
        <v>488.59192979437324</v>
      </c>
      <c r="AC34" s="62">
        <f si="20" t="shared"/>
        <v>435.7140153144627</v>
      </c>
      <c r="AD34" s="62">
        <f si="20" t="shared"/>
        <v>480.13146347758754</v>
      </c>
      <c r="AE34" s="62">
        <f si="20" t="shared"/>
        <v>2898.7672717886949</v>
      </c>
      <c r="AF34" s="62">
        <f si="20" t="shared"/>
        <v>583.77217585821222</v>
      </c>
      <c r="AG34" s="62">
        <f si="20" t="shared"/>
        <v>78.259313430267568</v>
      </c>
      <c r="AH34" s="62">
        <f si="20" t="shared"/>
        <v>641.93788178611373</v>
      </c>
      <c r="AI34" s="62">
        <f si="20" t="shared"/>
        <v>288.71341306031144</v>
      </c>
      <c r="AJ34" s="62">
        <f si="20" t="shared"/>
        <v>373.31807622816831</v>
      </c>
      <c r="AK34" s="62">
        <f si="20" t="shared"/>
        <v>1831.6909575841005</v>
      </c>
      <c r="AL34" s="62">
        <f si="20" t="shared"/>
        <v>133.25234448937451</v>
      </c>
      <c r="AM34" s="62">
        <f si="20" t="shared"/>
        <v>35.956981846339154</v>
      </c>
      <c r="AN34" s="62">
        <f si="20" t="shared"/>
        <v>118.44652843499958</v>
      </c>
      <c r="AO34" s="62">
        <f si="20" t="shared"/>
        <v>50.762797900714098</v>
      </c>
      <c r="AP34" s="62">
        <f si="20" t="shared"/>
        <v>23.266282371160631</v>
      </c>
      <c r="AQ34" s="62">
        <f si="20" t="shared"/>
        <v>75.086638561472938</v>
      </c>
      <c r="AR34" s="62">
        <f si="20" t="shared"/>
        <v>69.798847113481884</v>
      </c>
      <c r="AS34" s="62">
        <f si="20" t="shared"/>
        <v>27.49651552955347</v>
      </c>
      <c r="AT34" s="62">
        <f si="20" t="shared"/>
        <v>0</v>
      </c>
      <c r="AU34" s="62">
        <f>SUM(Z34:AT34)</f>
        <v>12291.999999999998</v>
      </c>
      <c r="AW34" s="28">
        <v>1</v>
      </c>
      <c r="AX34" s="13">
        <f>AX7</f>
        <v>3357</v>
      </c>
      <c r="AY34" s="13">
        <f ref="AY34:BR34" si="21" t="shared">AY7</f>
        <v>670</v>
      </c>
      <c r="AZ34" s="13">
        <f si="21" t="shared"/>
        <v>443</v>
      </c>
      <c r="BA34" s="13">
        <f si="21" t="shared"/>
        <v>514</v>
      </c>
      <c r="BB34" s="13">
        <f si="21" t="shared"/>
        <v>532</v>
      </c>
      <c r="BC34" s="13">
        <f si="21" t="shared"/>
        <v>3030</v>
      </c>
      <c r="BD34" s="13">
        <f si="21" t="shared"/>
        <v>510</v>
      </c>
      <c r="BE34" s="13">
        <f si="21" t="shared"/>
        <v>58</v>
      </c>
      <c r="BF34" s="13">
        <f si="21" t="shared"/>
        <v>568</v>
      </c>
      <c r="BG34" s="13">
        <f si="21" t="shared"/>
        <v>383</v>
      </c>
      <c r="BH34" s="13">
        <f si="21" t="shared"/>
        <v>336</v>
      </c>
      <c r="BI34" s="13">
        <f si="21" t="shared"/>
        <v>1683</v>
      </c>
      <c r="BJ34" s="13">
        <f si="21" t="shared"/>
        <v>47</v>
      </c>
      <c r="BK34" s="13">
        <f si="21" t="shared"/>
        <v>17</v>
      </c>
      <c r="BL34" s="13">
        <f si="21" t="shared"/>
        <v>34</v>
      </c>
      <c r="BM34" s="13">
        <f si="21" t="shared"/>
        <v>41</v>
      </c>
      <c r="BN34" s="13">
        <f si="21" t="shared"/>
        <v>20</v>
      </c>
      <c r="BO34" s="13">
        <f si="21" t="shared"/>
        <v>25</v>
      </c>
      <c r="BP34" s="13">
        <f si="21" t="shared"/>
        <v>23</v>
      </c>
      <c r="BQ34" s="13">
        <f si="21" t="shared"/>
        <v>1</v>
      </c>
      <c r="BR34" s="13">
        <f si="21" t="shared"/>
        <v>0</v>
      </c>
      <c r="BS34" s="77">
        <f>SUM(AX34:BR34)</f>
        <v>12292</v>
      </c>
      <c r="BV34">
        <v>13</v>
      </c>
      <c r="BW34" s="30" t="s">
        <v>335</v>
      </c>
      <c r="BX34" s="94">
        <f>$CI$7</f>
        <v>58699.074960954094</v>
      </c>
      <c r="BY34" s="87">
        <f>$CI$8</f>
        <v>100852</v>
      </c>
      <c r="BZ34" s="87">
        <f>$CI$9</f>
        <v>65336</v>
      </c>
      <c r="CA34" s="100">
        <f>$CI$10</f>
        <v>80256</v>
      </c>
      <c r="CB34" s="94">
        <f>$CI$11</f>
        <v>62481.033979814951</v>
      </c>
      <c r="CC34" s="87">
        <f>$CI$12</f>
        <v>93517.434863753486</v>
      </c>
      <c r="CD34" s="87">
        <f>$CI$13</f>
        <v>60163.184984376487</v>
      </c>
      <c r="CE34" s="100">
        <f>$CI$14</f>
        <v>80256</v>
      </c>
      <c r="CF34" s="79">
        <f si="9" t="shared"/>
        <v>7.4544139326292169E-2</v>
      </c>
      <c r="CG34" s="79">
        <f si="10" t="shared"/>
        <v>0.11157268453933067</v>
      </c>
      <c r="CH34" s="79">
        <f si="11" t="shared"/>
        <v>7.1778787227460256E-2</v>
      </c>
      <c r="CI34" s="98">
        <f si="12" t="shared"/>
        <v>9.5750887344528288E-2</v>
      </c>
      <c r="CJ34" s="102">
        <f si="13" t="shared"/>
        <v>-1.5821797194802381E-2</v>
      </c>
      <c r="CK34" s="98">
        <f si="14" t="shared"/>
        <v>-0.14180708531060765</v>
      </c>
      <c r="CL34" s="19">
        <f si="15" t="shared"/>
        <v>2.3972100117068032E-2</v>
      </c>
    </row>
    <row r="35" spans="1:90" x14ac:dyDescent="0.45">
      <c r="A35">
        <v>2</v>
      </c>
      <c r="B35" s="62">
        <f ref="B35:W35" si="22" t="shared">IF($W8&gt;0,(B8/$W8)*$BS8,0)</f>
        <v>1460.0178186742687</v>
      </c>
      <c r="C35" s="62">
        <f si="22" t="shared"/>
        <v>1171.2526608396847</v>
      </c>
      <c r="D35" s="62">
        <f si="22" t="shared"/>
        <v>514.53174590930246</v>
      </c>
      <c r="E35" s="62">
        <f si="22" t="shared"/>
        <v>3766.3540495815942</v>
      </c>
      <c r="F35" s="62">
        <f si="22" t="shared"/>
        <v>86.425536857040157</v>
      </c>
      <c r="G35" s="62">
        <f si="22" t="shared"/>
        <v>3186.3652047634737</v>
      </c>
      <c r="H35" s="62">
        <f si="22" t="shared"/>
        <v>1380.1810389208342</v>
      </c>
      <c r="I35" s="62">
        <f si="22" t="shared"/>
        <v>0</v>
      </c>
      <c r="J35" s="62">
        <f si="22" t="shared"/>
        <v>1434.6528754219858</v>
      </c>
      <c r="K35" s="62">
        <f si="22" t="shared"/>
        <v>159.12351127956478</v>
      </c>
      <c r="L35" s="62">
        <f si="22" t="shared"/>
        <v>231.09521018889413</v>
      </c>
      <c r="M35" s="62">
        <f si="22" t="shared"/>
        <v>1618.6539242101992</v>
      </c>
      <c r="N35" s="62">
        <f si="22" t="shared"/>
        <v>0</v>
      </c>
      <c r="O35" s="62">
        <f si="22" t="shared"/>
        <v>0</v>
      </c>
      <c r="P35" s="62">
        <f si="22" t="shared"/>
        <v>0</v>
      </c>
      <c r="Q35" s="62">
        <f si="22" t="shared"/>
        <v>0</v>
      </c>
      <c r="R35" s="62">
        <f si="22" t="shared"/>
        <v>0</v>
      </c>
      <c r="S35" s="62">
        <f si="22" t="shared"/>
        <v>0</v>
      </c>
      <c r="T35" s="62">
        <f si="22" t="shared"/>
        <v>336.34642335315749</v>
      </c>
      <c r="U35" s="62">
        <f si="22" t="shared"/>
        <v>0</v>
      </c>
      <c r="V35" s="62">
        <f si="22" t="shared"/>
        <v>0</v>
      </c>
      <c r="W35" s="62">
        <f si="22" t="shared"/>
        <v>15345</v>
      </c>
      <c r="X35" s="13"/>
      <c r="Y35">
        <v>2</v>
      </c>
      <c r="Z35" s="62">
        <f ref="Z35:AT35" si="23" t="shared">IF($AU8&gt;0,(Z8/$AU8)*$BS8,0)</f>
        <v>1578.2947310647639</v>
      </c>
      <c r="AA35" s="62">
        <f si="23" t="shared"/>
        <v>2222.5826015367729</v>
      </c>
      <c r="AB35" s="62">
        <f si="23" t="shared"/>
        <v>650.18331503841932</v>
      </c>
      <c r="AC35" s="62">
        <f si="23" t="shared"/>
        <v>404.25905598243685</v>
      </c>
      <c r="AD35" s="62">
        <f si="23" t="shared"/>
        <v>500.27058177826564</v>
      </c>
      <c r="AE35" s="62">
        <f si="23" t="shared"/>
        <v>2958.6709659714597</v>
      </c>
      <c r="AF35" s="62">
        <f si="23" t="shared"/>
        <v>1227.936882546652</v>
      </c>
      <c r="AG35" s="62">
        <f si="23" t="shared"/>
        <v>106.96020856201976</v>
      </c>
      <c r="AH35" s="62">
        <f si="23" t="shared"/>
        <v>1254.8874862788145</v>
      </c>
      <c r="AI35" s="62">
        <f si="23" t="shared"/>
        <v>383.20389681668496</v>
      </c>
      <c r="AJ35" s="62">
        <f si="23" t="shared"/>
        <v>770.61882546652021</v>
      </c>
      <c r="AK35" s="62">
        <f si="23" t="shared"/>
        <v>2324.4895718990124</v>
      </c>
      <c r="AL35" s="62">
        <f si="23" t="shared"/>
        <v>238.34440175631175</v>
      </c>
      <c r="AM35" s="62">
        <f si="23" t="shared"/>
        <v>56.427826564215152</v>
      </c>
      <c r="AN35" s="62">
        <f si="23" t="shared"/>
        <v>233.29116355653127</v>
      </c>
      <c r="AO35" s="62">
        <f si="23" t="shared"/>
        <v>69.903128430296377</v>
      </c>
      <c r="AP35" s="62">
        <f si="23" t="shared"/>
        <v>47.1635565312843</v>
      </c>
      <c r="AQ35" s="62">
        <f si="23" t="shared"/>
        <v>148.22832052689353</v>
      </c>
      <c r="AR35" s="62">
        <f si="23" t="shared"/>
        <v>121.27771679473106</v>
      </c>
      <c r="AS35" s="62">
        <f si="23" t="shared"/>
        <v>48.00576289791438</v>
      </c>
      <c r="AT35" s="62">
        <f si="23" t="shared"/>
        <v>0</v>
      </c>
      <c r="AU35" s="62">
        <f ref="AU35:AU55" si="24" t="shared">SUM(Z35:AT35)</f>
        <v>15344.999999999998</v>
      </c>
      <c r="AW35">
        <v>2</v>
      </c>
      <c r="AX35" s="13">
        <f ref="AX35:BR35" si="25" t="shared">AX8</f>
        <v>1780</v>
      </c>
      <c r="AY35" s="13">
        <f si="25" t="shared"/>
        <v>2032</v>
      </c>
      <c r="AZ35" s="13">
        <f si="25" t="shared"/>
        <v>691</v>
      </c>
      <c r="BA35" s="13">
        <f si="25" t="shared"/>
        <v>413</v>
      </c>
      <c r="BB35" s="13">
        <f si="25" t="shared"/>
        <v>454</v>
      </c>
      <c r="BC35" s="13">
        <f si="25" t="shared"/>
        <v>2885</v>
      </c>
      <c r="BD35" s="13">
        <f si="25" t="shared"/>
        <v>1365</v>
      </c>
      <c r="BE35" s="13">
        <f si="25" t="shared"/>
        <v>50</v>
      </c>
      <c r="BF35" s="13">
        <f si="25" t="shared"/>
        <v>1517</v>
      </c>
      <c r="BG35" s="13">
        <f si="25" t="shared"/>
        <v>465</v>
      </c>
      <c r="BH35" s="13">
        <f si="25" t="shared"/>
        <v>412</v>
      </c>
      <c r="BI35" s="13">
        <f si="25" t="shared"/>
        <v>2909</v>
      </c>
      <c r="BJ35" s="13">
        <f si="25" t="shared"/>
        <v>112</v>
      </c>
      <c r="BK35" s="13">
        <f si="25" t="shared"/>
        <v>21</v>
      </c>
      <c r="BL35" s="13">
        <f si="25" t="shared"/>
        <v>126</v>
      </c>
      <c r="BM35" s="13">
        <f si="25" t="shared"/>
        <v>31</v>
      </c>
      <c r="BN35" s="13">
        <f si="25" t="shared"/>
        <v>13</v>
      </c>
      <c r="BO35" s="13">
        <f si="25" t="shared"/>
        <v>41</v>
      </c>
      <c r="BP35" s="13">
        <f si="25" t="shared"/>
        <v>26</v>
      </c>
      <c r="BQ35" s="13">
        <f si="25" t="shared"/>
        <v>2</v>
      </c>
      <c r="BR35" s="13">
        <f si="25" t="shared"/>
        <v>0</v>
      </c>
      <c r="BS35" s="13">
        <f ref="BS35:BS53" si="26" t="shared">SUM(AX35:BR35)</f>
        <v>15345</v>
      </c>
      <c r="BV35">
        <v>14</v>
      </c>
      <c r="BW35" s="30" t="s">
        <v>336</v>
      </c>
      <c r="BX35" s="94">
        <f>$CJ$7</f>
        <v>13303.423145710443</v>
      </c>
      <c r="BY35" s="87">
        <f>$CJ$8</f>
        <v>15338</v>
      </c>
      <c r="BZ35" s="87">
        <f>$CJ$9</f>
        <v>11928</v>
      </c>
      <c r="CA35" s="100">
        <f>$CJ$10</f>
        <v>14989</v>
      </c>
      <c r="CB35" s="94">
        <f>$CJ$11</f>
        <v>14160.557626638967</v>
      </c>
      <c r="CC35" s="87">
        <f>$CJ$12</f>
        <v>14222.528218976826</v>
      </c>
      <c r="CD35" s="87">
        <f>$CJ$13</f>
        <v>9443.1786011355562</v>
      </c>
      <c r="CE35" s="100">
        <f>$CJ$14</f>
        <v>14989</v>
      </c>
      <c r="CF35" s="79">
        <f si="9" t="shared"/>
        <v>1.6894512037031604E-2</v>
      </c>
      <c r="CG35" s="79">
        <f si="10" t="shared"/>
        <v>1.6968447184629493E-2</v>
      </c>
      <c r="CH35" s="79">
        <f si="11" t="shared"/>
        <v>1.1266356788421937E-2</v>
      </c>
      <c r="CI35" s="98">
        <f si="12" t="shared"/>
        <v>1.7882900348972469E-2</v>
      </c>
      <c r="CJ35" s="102">
        <f si="13" t="shared"/>
        <v>9.1445316434297583E-4</v>
      </c>
      <c r="CK35" s="98">
        <f si="14" t="shared"/>
        <v>5.3891387608602993E-2</v>
      </c>
      <c r="CL35" s="19">
        <f si="15" t="shared"/>
        <v>6.6165435605505321E-3</v>
      </c>
    </row>
    <row r="36" spans="1:90" x14ac:dyDescent="0.45">
      <c r="A36">
        <v>3</v>
      </c>
      <c r="B36" s="62">
        <f ref="B36:W36" si="27" t="shared">IF($W9&gt;0,(B9/$W9)*$BS9,0)</f>
        <v>6697.9088674666509</v>
      </c>
      <c r="C36" s="62">
        <f si="27" t="shared"/>
        <v>4063.3163284095931</v>
      </c>
      <c r="D36" s="62">
        <f si="27" t="shared"/>
        <v>3884.0057176876785</v>
      </c>
      <c r="E36" s="62">
        <f si="27" t="shared"/>
        <v>875.46788097061278</v>
      </c>
      <c r="F36" s="62">
        <f si="27" t="shared"/>
        <v>1879.8637594267166</v>
      </c>
      <c r="G36" s="62">
        <f si="27" t="shared"/>
        <v>7150.3855653985866</v>
      </c>
      <c r="H36" s="62">
        <f si="27" t="shared"/>
        <v>982.09100282112092</v>
      </c>
      <c r="I36" s="62">
        <f si="27" t="shared"/>
        <v>861.80793426744424</v>
      </c>
      <c r="J36" s="62">
        <f si="27" t="shared"/>
        <v>1909.1267518812904</v>
      </c>
      <c r="K36" s="62">
        <f si="27" t="shared"/>
        <v>935.80911660740117</v>
      </c>
      <c r="L36" s="62">
        <f si="27" t="shared"/>
        <v>1687.8383415815613</v>
      </c>
      <c r="M36" s="62">
        <f si="27" t="shared"/>
        <v>5303.8879544916263</v>
      </c>
      <c r="N36" s="62">
        <f si="27" t="shared"/>
        <v>80.165576736458689</v>
      </c>
      <c r="O36" s="62">
        <f si="27" t="shared"/>
        <v>0</v>
      </c>
      <c r="P36" s="62">
        <f si="27" t="shared"/>
        <v>0</v>
      </c>
      <c r="Q36" s="62">
        <f si="27" t="shared"/>
        <v>0</v>
      </c>
      <c r="R36" s="62">
        <f si="27" t="shared"/>
        <v>0</v>
      </c>
      <c r="S36" s="62">
        <f si="27" t="shared"/>
        <v>0</v>
      </c>
      <c r="T36" s="62">
        <f si="27" t="shared"/>
        <v>229.32520225326007</v>
      </c>
      <c r="U36" s="62">
        <f si="27" t="shared"/>
        <v>0</v>
      </c>
      <c r="V36" s="62">
        <f si="27" t="shared"/>
        <v>0</v>
      </c>
      <c r="W36" s="62">
        <f si="27" t="shared"/>
        <v>36541</v>
      </c>
      <c r="X36" s="13"/>
      <c r="Y36">
        <v>3</v>
      </c>
      <c r="Z36" s="62">
        <f ref="Z36:AT36" si="28" t="shared">IF($AU9&gt;0,(Z9/$AU9)*$BS9,0)</f>
        <v>5181.7045247573697</v>
      </c>
      <c r="AA36" s="62">
        <f si="28" t="shared"/>
        <v>3729.8764863528736</v>
      </c>
      <c r="AB36" s="62">
        <f si="28" t="shared"/>
        <v>2983.5208804933259</v>
      </c>
      <c r="AC36" s="62">
        <f si="28" t="shared"/>
        <v>1427.10798012125</v>
      </c>
      <c r="AD36" s="62">
        <f si="28" t="shared"/>
        <v>1494.6127546639607</v>
      </c>
      <c r="AE36" s="62">
        <f si="28" t="shared"/>
        <v>8092.9667733458227</v>
      </c>
      <c r="AF36" s="62">
        <f si="28" t="shared"/>
        <v>1934.8199464002291</v>
      </c>
      <c r="AG36" s="62">
        <f si="28" t="shared"/>
        <v>363.1947024692322</v>
      </c>
      <c r="AH36" s="62">
        <f si="28" t="shared"/>
        <v>1919.6076028413081</v>
      </c>
      <c r="AI36" s="62">
        <f si="28" t="shared"/>
        <v>997.35927458173967</v>
      </c>
      <c r="AJ36" s="62">
        <f si="28" t="shared"/>
        <v>1912.0014310618481</v>
      </c>
      <c r="AK36" s="62">
        <f si="28" t="shared"/>
        <v>4572.2600109281084</v>
      </c>
      <c r="AL36" s="62">
        <f si="28" t="shared"/>
        <v>417.38867639788725</v>
      </c>
      <c r="AM36" s="62">
        <f si="28" t="shared"/>
        <v>135.00954908542138</v>
      </c>
      <c r="AN36" s="62">
        <f si="28" t="shared"/>
        <v>386.96398928004578</v>
      </c>
      <c r="AO36" s="62">
        <f si="28" t="shared"/>
        <v>159.72960736866753</v>
      </c>
      <c r="AP36" s="62">
        <f si="28" t="shared"/>
        <v>142.61572086488175</v>
      </c>
      <c r="AQ36" s="62">
        <f si="28" t="shared"/>
        <v>198.71123773840188</v>
      </c>
      <c r="AR36" s="62">
        <f si="28" t="shared"/>
        <v>400.27478989410145</v>
      </c>
      <c r="AS36" s="62">
        <f si="28" t="shared"/>
        <v>91.274061353524317</v>
      </c>
      <c r="AT36" s="62">
        <f si="28" t="shared"/>
        <v>0</v>
      </c>
      <c r="AU36" s="62">
        <f si="24" t="shared"/>
        <v>36541.000000000007</v>
      </c>
      <c r="AW36">
        <v>3</v>
      </c>
      <c r="AX36" s="13">
        <f ref="AX36:BR36" si="29" t="shared">AX9</f>
        <v>5578</v>
      </c>
      <c r="AY36" s="13">
        <f si="29" t="shared"/>
        <v>2669</v>
      </c>
      <c r="AZ36" s="13">
        <f si="29" t="shared"/>
        <v>3668</v>
      </c>
      <c r="BA36" s="13">
        <f si="29" t="shared"/>
        <v>1442</v>
      </c>
      <c r="BB36" s="13">
        <f si="29" t="shared"/>
        <v>1494</v>
      </c>
      <c r="BC36" s="13">
        <f si="29" t="shared"/>
        <v>7266</v>
      </c>
      <c r="BD36" s="13">
        <f si="29" t="shared"/>
        <v>1833</v>
      </c>
      <c r="BE36" s="13">
        <f si="29" t="shared"/>
        <v>269</v>
      </c>
      <c r="BF36" s="13">
        <f si="29" t="shared"/>
        <v>2469</v>
      </c>
      <c r="BG36" s="13">
        <f si="29" t="shared"/>
        <v>1329</v>
      </c>
      <c r="BH36" s="13">
        <f si="29" t="shared"/>
        <v>2630</v>
      </c>
      <c r="BI36" s="13">
        <f si="29" t="shared"/>
        <v>4992</v>
      </c>
      <c r="BJ36" s="13">
        <f si="29" t="shared"/>
        <v>132</v>
      </c>
      <c r="BK36" s="13">
        <f si="29" t="shared"/>
        <v>142</v>
      </c>
      <c r="BL36" s="13">
        <f si="29" t="shared"/>
        <v>143</v>
      </c>
      <c r="BM36" s="13">
        <f si="29" t="shared"/>
        <v>114</v>
      </c>
      <c r="BN36" s="13">
        <f si="29" t="shared"/>
        <v>144</v>
      </c>
      <c r="BO36" s="13">
        <f si="29" t="shared"/>
        <v>40</v>
      </c>
      <c r="BP36" s="13">
        <f si="29" t="shared"/>
        <v>185</v>
      </c>
      <c r="BQ36" s="13">
        <f si="29" t="shared"/>
        <v>2</v>
      </c>
      <c r="BR36" s="13">
        <f si="29" t="shared"/>
        <v>0</v>
      </c>
      <c r="BS36" s="13">
        <f si="26" t="shared"/>
        <v>36541</v>
      </c>
      <c r="BV36">
        <v>15</v>
      </c>
      <c r="BW36" s="30" t="s">
        <v>337</v>
      </c>
      <c r="BX36" s="94">
        <f>$CK$7</f>
        <v>18530.92040310935</v>
      </c>
      <c r="BY36" s="87">
        <f>$CK$8</f>
        <v>37987</v>
      </c>
      <c r="BZ36" s="87">
        <f>$CK$9</f>
        <v>31047</v>
      </c>
      <c r="CA36" s="100">
        <f>$CK$10</f>
        <v>32841</v>
      </c>
      <c r="CB36" s="94">
        <f>$CK$11</f>
        <v>19724.860539183908</v>
      </c>
      <c r="CC36" s="87">
        <f>$CK$12</f>
        <v>35224.356464615514</v>
      </c>
      <c r="CD36" s="87">
        <f>$CK$13</f>
        <v>27272.251839650497</v>
      </c>
      <c r="CE36" s="100">
        <f>$CK$14</f>
        <v>32841</v>
      </c>
      <c r="CF36" s="79">
        <f si="9" t="shared"/>
        <v>2.3533105305197487E-2</v>
      </c>
      <c r="CG36" s="79">
        <f si="10" t="shared"/>
        <v>4.2025062146467639E-2</v>
      </c>
      <c r="CH36" s="79">
        <f si="11" t="shared"/>
        <v>3.2537658412205683E-2</v>
      </c>
      <c r="CI36" s="98">
        <f si="12" t="shared"/>
        <v>3.9181555164494286E-2</v>
      </c>
      <c r="CJ36" s="102">
        <f si="13" t="shared"/>
        <v>-2.8435069819733524E-3</v>
      </c>
      <c r="CK36" s="98">
        <f si="14" t="shared"/>
        <v>-6.7662171969265217E-2</v>
      </c>
      <c r="CL36" s="19">
        <f si="15" t="shared"/>
        <v>6.6438967522886028E-3</v>
      </c>
    </row>
    <row r="37" spans="1:90" x14ac:dyDescent="0.45">
      <c r="A37">
        <v>4</v>
      </c>
      <c r="B37" s="62">
        <f ref="B37:W37" si="30" t="shared">IF($W10&gt;0,(B10/$W10)*$BS10,0)</f>
        <v>2868.2113900757595</v>
      </c>
      <c r="C37" s="62">
        <f si="30" t="shared"/>
        <v>107.33768996836798</v>
      </c>
      <c r="D37" s="62">
        <f si="30" t="shared"/>
        <v>1319.7835630713521</v>
      </c>
      <c r="E37" s="62">
        <f si="30" t="shared"/>
        <v>1033.4290843307526</v>
      </c>
      <c r="F37" s="62">
        <f si="30" t="shared"/>
        <v>832.84185890115236</v>
      </c>
      <c r="G37" s="62">
        <f si="30" t="shared"/>
        <v>1950.5308781740628</v>
      </c>
      <c r="H37" s="62">
        <f si="30" t="shared"/>
        <v>1635.3827273940808</v>
      </c>
      <c r="I37" s="62">
        <f si="30" t="shared"/>
        <v>232.04366119868035</v>
      </c>
      <c r="J37" s="62">
        <f si="30" t="shared"/>
        <v>477.0188334723195</v>
      </c>
      <c r="K37" s="62">
        <f si="30" t="shared"/>
        <v>380.48689713859125</v>
      </c>
      <c r="L37" s="62">
        <f si="30" t="shared"/>
        <v>892.48835214948076</v>
      </c>
      <c r="M37" s="62">
        <f si="30" t="shared"/>
        <v>1200.2496100617759</v>
      </c>
      <c r="N37" s="62">
        <f si="30" t="shared"/>
        <v>0</v>
      </c>
      <c r="O37" s="62">
        <f si="30" t="shared"/>
        <v>0</v>
      </c>
      <c r="P37" s="62">
        <f si="30" t="shared"/>
        <v>0</v>
      </c>
      <c r="Q37" s="62">
        <f si="30" t="shared"/>
        <v>0</v>
      </c>
      <c r="R37" s="62">
        <f si="30" t="shared"/>
        <v>0</v>
      </c>
      <c r="S37" s="62">
        <f si="30" t="shared"/>
        <v>0</v>
      </c>
      <c r="T37" s="62">
        <f si="30" t="shared"/>
        <v>88.195454063625078</v>
      </c>
      <c r="U37" s="62">
        <f si="30" t="shared"/>
        <v>0</v>
      </c>
      <c r="V37" s="62">
        <f si="30" t="shared"/>
        <v>0</v>
      </c>
      <c r="W37" s="62">
        <f si="30" t="shared"/>
        <v>13018</v>
      </c>
      <c r="X37" s="13"/>
      <c r="Y37">
        <v>4</v>
      </c>
      <c r="Z37" s="62">
        <f ref="Z37:AT37" si="31" t="shared">IF($AU10&gt;0,(Z10/$AU10)*$BS10,0)</f>
        <v>1442.1117242104158</v>
      </c>
      <c r="AA37" s="62">
        <f si="31" t="shared"/>
        <v>1519.416574701771</v>
      </c>
      <c r="AB37" s="62">
        <f si="31" t="shared"/>
        <v>641.69867045036528</v>
      </c>
      <c r="AC37" s="62">
        <f si="31" t="shared"/>
        <v>937.23579799253775</v>
      </c>
      <c r="AD37" s="62">
        <f si="31" t="shared"/>
        <v>808.62241841399964</v>
      </c>
      <c r="AE37" s="62">
        <f si="31" t="shared"/>
        <v>2713.8791318513845</v>
      </c>
      <c r="AF37" s="62">
        <f si="31" t="shared"/>
        <v>768.94382258657845</v>
      </c>
      <c r="AG37" s="62">
        <f si="31" t="shared"/>
        <v>276.38194334962424</v>
      </c>
      <c r="AH37" s="62">
        <f si="31" t="shared"/>
        <v>682.74549372011143</v>
      </c>
      <c r="AI37" s="62">
        <f si="31" t="shared"/>
        <v>440.56923642860892</v>
      </c>
      <c r="AJ37" s="62">
        <f si="31" t="shared"/>
        <v>678.6408113931368</v>
      </c>
      <c r="AK37" s="62">
        <f si="31" t="shared"/>
        <v>1421.5883125755427</v>
      </c>
      <c r="AL37" s="62">
        <f si="31" t="shared"/>
        <v>168.97608912712178</v>
      </c>
      <c r="AM37" s="62">
        <f si="31" t="shared"/>
        <v>74.56839560670555</v>
      </c>
      <c r="AN37" s="62">
        <f si="31" t="shared"/>
        <v>112.87876399180199</v>
      </c>
      <c r="AO37" s="62">
        <f si="31" t="shared"/>
        <v>67.727258395081193</v>
      </c>
      <c r="AP37" s="62">
        <f si="31" t="shared"/>
        <v>44.467391875558363</v>
      </c>
      <c r="AQ37" s="62">
        <f si="31" t="shared"/>
        <v>85.514215145304533</v>
      </c>
      <c r="AR37" s="62">
        <f si="31" t="shared"/>
        <v>87.566556308791846</v>
      </c>
      <c r="AS37" s="62">
        <f si="31" t="shared"/>
        <v>44.467391875558363</v>
      </c>
      <c r="AT37" s="62">
        <f si="31" t="shared"/>
        <v>0</v>
      </c>
      <c r="AU37" s="62">
        <f si="24" t="shared"/>
        <v>13018</v>
      </c>
      <c r="AW37">
        <v>4</v>
      </c>
      <c r="AX37" s="13">
        <f ref="AX37:BR37" si="32" t="shared">AX10</f>
        <v>1944</v>
      </c>
      <c r="AY37" s="13">
        <f si="32" t="shared"/>
        <v>848</v>
      </c>
      <c r="AZ37" s="13">
        <f si="32" t="shared"/>
        <v>739</v>
      </c>
      <c r="BA37" s="13">
        <f si="32" t="shared"/>
        <v>1075</v>
      </c>
      <c r="BB37" s="13">
        <f si="32" t="shared"/>
        <v>766</v>
      </c>
      <c r="BC37" s="13">
        <f si="32" t="shared"/>
        <v>2931</v>
      </c>
      <c r="BD37" s="13">
        <f si="32" t="shared"/>
        <v>512</v>
      </c>
      <c r="BE37" s="13">
        <f si="32" t="shared"/>
        <v>124</v>
      </c>
      <c r="BF37" s="13">
        <f si="32" t="shared"/>
        <v>684</v>
      </c>
      <c r="BG37" s="13">
        <f si="32" t="shared"/>
        <v>728</v>
      </c>
      <c r="BH37" s="13">
        <f si="32" t="shared"/>
        <v>672</v>
      </c>
      <c r="BI37" s="13">
        <f si="32" t="shared"/>
        <v>1733</v>
      </c>
      <c r="BJ37" s="13">
        <f si="32" t="shared"/>
        <v>32</v>
      </c>
      <c r="BK37" s="13">
        <f si="32" t="shared"/>
        <v>60</v>
      </c>
      <c r="BL37" s="13">
        <f si="32" t="shared"/>
        <v>41</v>
      </c>
      <c r="BM37" s="13">
        <f si="32" t="shared"/>
        <v>35</v>
      </c>
      <c r="BN37" s="13">
        <f si="32" t="shared"/>
        <v>39</v>
      </c>
      <c r="BO37" s="13">
        <f si="32" t="shared"/>
        <v>15</v>
      </c>
      <c r="BP37" s="13">
        <f si="32" t="shared"/>
        <v>39</v>
      </c>
      <c r="BQ37" s="13">
        <f si="32" t="shared"/>
        <v>1</v>
      </c>
      <c r="BR37" s="13">
        <f si="32" t="shared"/>
        <v>0</v>
      </c>
      <c r="BS37" s="13">
        <f si="26" t="shared"/>
        <v>13018</v>
      </c>
      <c r="BV37">
        <v>16</v>
      </c>
      <c r="BW37" s="30" t="s">
        <v>338</v>
      </c>
      <c r="BX37" s="94">
        <f>$CL$7</f>
        <v>2059.7893251669652</v>
      </c>
      <c r="BY37" s="87">
        <f>$CL$8</f>
        <v>5063</v>
      </c>
      <c r="BZ37" s="87">
        <f>$CL$9</f>
        <v>5518</v>
      </c>
      <c r="CA37" s="100">
        <f>$CL$10</f>
        <v>4087</v>
      </c>
      <c r="CB37" s="94">
        <f>$CL$11</f>
        <v>2192.5007660278366</v>
      </c>
      <c r="CC37" s="87">
        <f>$CL$12</f>
        <v>4694.7881322649419</v>
      </c>
      <c r="CD37" s="87">
        <f>$CL$13</f>
        <v>4634.5352202811782</v>
      </c>
      <c r="CE37" s="100">
        <f>$CL$14</f>
        <v>4087</v>
      </c>
      <c r="CF37" s="79">
        <f si="9" t="shared"/>
        <v>2.6158031032037891E-3</v>
      </c>
      <c r="CG37" s="79">
        <f si="10" t="shared"/>
        <v>5.6012027706206242E-3</v>
      </c>
      <c r="CH37" s="79">
        <f si="11" t="shared"/>
        <v>5.5293169329569351E-3</v>
      </c>
      <c r="CI37" s="98">
        <f si="12" t="shared"/>
        <v>4.8760700331076448E-3</v>
      </c>
      <c r="CJ37" s="102">
        <f si="13" t="shared"/>
        <v>-7.2513273751297937E-4</v>
      </c>
      <c r="CK37" s="98">
        <f si="14" t="shared"/>
        <v>-0.12946018332284615</v>
      </c>
      <c r="CL37" s="19">
        <f si="15" t="shared"/>
        <v>-6.5324689984929026E-4</v>
      </c>
    </row>
    <row r="38" spans="1:90" x14ac:dyDescent="0.45">
      <c r="A38">
        <v>5</v>
      </c>
      <c r="B38" s="62">
        <f ref="B38:W38" si="33" t="shared">IF($W11&gt;0,(B11/$W11)*$BS11,0)</f>
        <v>1098.4405836293538</v>
      </c>
      <c r="C38" s="62">
        <f si="33" t="shared"/>
        <v>695.29625537830532</v>
      </c>
      <c r="D38" s="62">
        <f si="33" t="shared"/>
        <v>69.108410473193572</v>
      </c>
      <c r="E38" s="62">
        <f si="33" t="shared"/>
        <v>345.81673783070744</v>
      </c>
      <c r="F38" s="62">
        <f si="33" t="shared"/>
        <v>1489.8399797349682</v>
      </c>
      <c r="G38" s="62">
        <f si="33" t="shared"/>
        <v>3332.5390208550507</v>
      </c>
      <c r="H38" s="62">
        <f si="33" t="shared"/>
        <v>712.2600138423237</v>
      </c>
      <c r="I38" s="62">
        <f si="33" t="shared"/>
        <v>0</v>
      </c>
      <c r="J38" s="62">
        <f si="33" t="shared"/>
        <v>679.67992965136852</v>
      </c>
      <c r="K38" s="62">
        <f si="33" t="shared"/>
        <v>1043.0193781941548</v>
      </c>
      <c r="L38" s="62">
        <f si="33" t="shared"/>
        <v>176.6206367359255</v>
      </c>
      <c r="M38" s="62">
        <f si="33" t="shared"/>
        <v>4740.0438449263766</v>
      </c>
      <c r="N38" s="62">
        <f si="33" t="shared"/>
        <v>0</v>
      </c>
      <c r="O38" s="62">
        <f si="33" t="shared"/>
        <v>0</v>
      </c>
      <c r="P38" s="62">
        <f si="33" t="shared"/>
        <v>0</v>
      </c>
      <c r="Q38" s="62">
        <f si="33" t="shared"/>
        <v>0</v>
      </c>
      <c r="R38" s="62">
        <f si="33" t="shared"/>
        <v>99.990036599277616</v>
      </c>
      <c r="S38" s="62">
        <f si="33" t="shared"/>
        <v>0</v>
      </c>
      <c r="T38" s="62">
        <f si="33" t="shared"/>
        <v>0</v>
      </c>
      <c r="U38" s="62">
        <f si="33" t="shared"/>
        <v>58.345172148993655</v>
      </c>
      <c r="V38" s="62">
        <f si="33" t="shared"/>
        <v>0</v>
      </c>
      <c r="W38" s="62">
        <f si="33" t="shared"/>
        <v>14541</v>
      </c>
      <c r="X38" s="13"/>
      <c r="Y38">
        <v>5</v>
      </c>
      <c r="Z38" s="62">
        <f ref="Z38:AT38" si="34" t="shared">IF($AU11&gt;0,(Z11/$AU11)*$BS11,0)</f>
        <v>1726.6091701859266</v>
      </c>
      <c r="AA38" s="62">
        <f si="34" t="shared"/>
        <v>1180.3148137991554</v>
      </c>
      <c r="AB38" s="62">
        <f si="34" t="shared"/>
        <v>460.96078538912963</v>
      </c>
      <c r="AC38" s="62">
        <f si="34" t="shared"/>
        <v>527.15411616300116</v>
      </c>
      <c r="AD38" s="62">
        <f si="34" t="shared"/>
        <v>1069.4609225031536</v>
      </c>
      <c r="AE38" s="62">
        <f si="34" t="shared"/>
        <v>4321.7067405254202</v>
      </c>
      <c r="AF38" s="62">
        <f si="34" t="shared"/>
        <v>666.71836779465798</v>
      </c>
      <c r="AG38" s="62">
        <f si="34" t="shared"/>
        <v>122.01903142653431</v>
      </c>
      <c r="AH38" s="62">
        <f si="34" t="shared"/>
        <v>592.54993692754886</v>
      </c>
      <c r="AI38" s="62">
        <f si="34" t="shared"/>
        <v>596.53748697416768</v>
      </c>
      <c r="AJ38" s="62">
        <f si="34" t="shared"/>
        <v>452.18817528656831</v>
      </c>
      <c r="AK38" s="62">
        <f si="34" t="shared"/>
        <v>2063.1583941205508</v>
      </c>
      <c r="AL38" s="62">
        <f si="34" t="shared"/>
        <v>186.61734218175835</v>
      </c>
      <c r="AM38" s="62">
        <f si="34" t="shared"/>
        <v>84.536060988317885</v>
      </c>
      <c r="AN38" s="62">
        <f si="34" t="shared"/>
        <v>131.58915153841937</v>
      </c>
      <c r="AO38" s="62">
        <f si="34" t="shared"/>
        <v>65.395820764547793</v>
      </c>
      <c r="AP38" s="62">
        <f si="34" t="shared"/>
        <v>38.280480447540171</v>
      </c>
      <c r="AQ38" s="62">
        <f si="34" t="shared"/>
        <v>120.42401140788678</v>
      </c>
      <c r="AR38" s="62">
        <f si="34" t="shared"/>
        <v>80.548510941699121</v>
      </c>
      <c r="AS38" s="62">
        <f si="34" t="shared"/>
        <v>54.230680634015243</v>
      </c>
      <c r="AT38" s="62">
        <f si="34" t="shared"/>
        <v>0</v>
      </c>
      <c r="AU38" s="62">
        <f si="24" t="shared"/>
        <v>14541</v>
      </c>
      <c r="AW38">
        <v>5</v>
      </c>
      <c r="AX38" s="13">
        <f ref="AX38:BR38" si="35" t="shared">AX11</f>
        <v>1843</v>
      </c>
      <c r="AY38" s="13">
        <f si="35" t="shared"/>
        <v>790</v>
      </c>
      <c r="AZ38" s="13">
        <f si="35" t="shared"/>
        <v>543</v>
      </c>
      <c r="BA38" s="13">
        <f si="35" t="shared"/>
        <v>580</v>
      </c>
      <c r="BB38" s="13">
        <f si="35" t="shared"/>
        <v>1369</v>
      </c>
      <c r="BC38" s="13">
        <f si="35" t="shared"/>
        <v>4409</v>
      </c>
      <c r="BD38" s="13">
        <f si="35" t="shared"/>
        <v>539</v>
      </c>
      <c r="BE38" s="13">
        <f si="35" t="shared"/>
        <v>83</v>
      </c>
      <c r="BF38" s="13">
        <f si="35" t="shared"/>
        <v>537</v>
      </c>
      <c r="BG38" s="13">
        <f si="35" t="shared"/>
        <v>972</v>
      </c>
      <c r="BH38" s="13">
        <f si="35" t="shared"/>
        <v>333</v>
      </c>
      <c r="BI38" s="13">
        <f si="35" t="shared"/>
        <v>2289</v>
      </c>
      <c r="BJ38" s="13">
        <f si="35" t="shared"/>
        <v>41</v>
      </c>
      <c r="BK38" s="13">
        <f si="35" t="shared"/>
        <v>32</v>
      </c>
      <c r="BL38" s="13">
        <f si="35" t="shared"/>
        <v>31</v>
      </c>
      <c r="BM38" s="13">
        <f si="35" t="shared"/>
        <v>97</v>
      </c>
      <c r="BN38" s="13">
        <f si="35" t="shared"/>
        <v>14</v>
      </c>
      <c r="BO38" s="13">
        <f si="35" t="shared"/>
        <v>23</v>
      </c>
      <c r="BP38" s="13">
        <f si="35" t="shared"/>
        <v>16</v>
      </c>
      <c r="BQ38" s="13">
        <f si="35" t="shared"/>
        <v>0</v>
      </c>
      <c r="BR38" s="13">
        <f si="35" t="shared"/>
        <v>0</v>
      </c>
      <c r="BS38" s="13">
        <f si="26" t="shared"/>
        <v>14541</v>
      </c>
      <c r="BV38">
        <v>17</v>
      </c>
      <c r="BW38" s="30" t="s">
        <v>339</v>
      </c>
      <c r="BX38" s="94">
        <f>$CM$7</f>
        <v>9135.2817345814929</v>
      </c>
      <c r="BY38" s="87">
        <f>$CM$8</f>
        <v>15286</v>
      </c>
      <c r="BZ38" s="87">
        <f>$CM$9</f>
        <v>11837</v>
      </c>
      <c r="CA38" s="100">
        <f>$CM$10</f>
        <v>15046</v>
      </c>
      <c r="CB38" s="94">
        <f>$CM$11</f>
        <v>9723.8644536263346</v>
      </c>
      <c r="CC38" s="87">
        <f>$CM$12</f>
        <v>14174.309972309282</v>
      </c>
      <c r="CD38" s="87">
        <f>$CM$13</f>
        <v>9966.6835237006999</v>
      </c>
      <c r="CE38" s="100">
        <f>$CM$14</f>
        <v>15046</v>
      </c>
      <c r="CF38" s="79">
        <f si="9" t="shared"/>
        <v>1.160123417380181E-2</v>
      </c>
      <c r="CG38" s="79">
        <f si="10" t="shared"/>
        <v>1.6910919524334753E-2</v>
      </c>
      <c r="CH38" s="79">
        <f si="11" t="shared"/>
        <v>1.1890933902467505E-2</v>
      </c>
      <c r="CI38" s="98">
        <f si="12" t="shared"/>
        <v>1.795090524055239E-2</v>
      </c>
      <c r="CJ38" s="102">
        <f si="13" t="shared"/>
        <v>1.0399857162176375E-3</v>
      </c>
      <c r="CK38" s="98">
        <f si="14" t="shared"/>
        <v>6.149788098282305E-2</v>
      </c>
      <c r="CL38" s="19">
        <f si="15" t="shared"/>
        <v>6.0599713380848855E-3</v>
      </c>
    </row>
    <row r="39" spans="1:90" x14ac:dyDescent="0.45">
      <c r="A39">
        <v>6</v>
      </c>
      <c r="B39" s="62">
        <f ref="B39:W39" si="36" t="shared">IF($W12&gt;0,(B12/$W12)*$BS12,0)</f>
        <v>4796.4499464602295</v>
      </c>
      <c r="C39" s="62">
        <f si="36" t="shared"/>
        <v>1678.9300460492327</v>
      </c>
      <c r="D39" s="62">
        <f si="36" t="shared"/>
        <v>391.00597433813851</v>
      </c>
      <c r="E39" s="62">
        <f si="36" t="shared"/>
        <v>177.25713541966937</v>
      </c>
      <c r="F39" s="62">
        <f si="36" t="shared"/>
        <v>537.4361504669771</v>
      </c>
      <c r="G39" s="62">
        <f si="36" t="shared"/>
        <v>15878.251951170161</v>
      </c>
      <c r="H39" s="62">
        <f si="36" t="shared"/>
        <v>989.57078511356713</v>
      </c>
      <c r="I39" s="62">
        <f si="36" t="shared"/>
        <v>0</v>
      </c>
      <c r="J39" s="62">
        <f si="36" t="shared"/>
        <v>870.41488929646744</v>
      </c>
      <c r="K39" s="62">
        <f si="36" t="shared"/>
        <v>493.98463744519142</v>
      </c>
      <c r="L39" s="62">
        <f si="36" t="shared"/>
        <v>581.21546321161668</v>
      </c>
      <c r="M39" s="62">
        <f si="36" t="shared"/>
        <v>6067.6151768364016</v>
      </c>
      <c r="N39" s="62">
        <f si="36" t="shared"/>
        <v>126.85947418040072</v>
      </c>
      <c r="O39" s="62">
        <f si="36" t="shared"/>
        <v>0</v>
      </c>
      <c r="P39" s="62">
        <f si="36" t="shared"/>
        <v>408.61752053366587</v>
      </c>
      <c r="Q39" s="62">
        <f si="36" t="shared"/>
        <v>0</v>
      </c>
      <c r="R39" s="62">
        <f si="36" t="shared"/>
        <v>0</v>
      </c>
      <c r="S39" s="62">
        <f si="36" t="shared"/>
        <v>32.390849478281787</v>
      </c>
      <c r="T39" s="62">
        <f si="36" t="shared"/>
        <v>0</v>
      </c>
      <c r="U39" s="62">
        <f si="36" t="shared"/>
        <v>0</v>
      </c>
      <c r="V39" s="62">
        <f si="36" t="shared"/>
        <v>0</v>
      </c>
      <c r="W39" s="62">
        <f si="36" t="shared"/>
        <v>33030</v>
      </c>
      <c r="X39" s="13"/>
      <c r="Y39">
        <v>6</v>
      </c>
      <c r="Z39" s="62">
        <f ref="Z39:AT39" si="37" t="shared">IF($AU12&gt;0,(Z12/$AU12)*$BS12,0)</f>
        <v>3794.1475818623267</v>
      </c>
      <c r="AA39" s="62">
        <f si="37" t="shared"/>
        <v>2275.8383096003672</v>
      </c>
      <c r="AB39" s="62">
        <f si="37" t="shared"/>
        <v>864.81855764813963</v>
      </c>
      <c r="AC39" s="62">
        <f si="37" t="shared"/>
        <v>723.93332895859317</v>
      </c>
      <c r="AD39" s="62">
        <f si="37" t="shared"/>
        <v>1297.2278364722094</v>
      </c>
      <c r="AE39" s="62">
        <f si="37" t="shared"/>
        <v>12603.809305072513</v>
      </c>
      <c r="AF39" s="62">
        <f si="37" t="shared"/>
        <v>1392.5962989697487</v>
      </c>
      <c r="AG39" s="62">
        <f si="37" t="shared"/>
        <v>145.22015880307109</v>
      </c>
      <c r="AH39" s="62">
        <f si="37" t="shared"/>
        <v>1148.756480083995</v>
      </c>
      <c r="AI39" s="62">
        <f si="37" t="shared"/>
        <v>904.9166611982414</v>
      </c>
      <c r="AJ39" s="62">
        <f si="37" t="shared"/>
        <v>760.78023492355146</v>
      </c>
      <c r="AK39" s="62">
        <f si="37" t="shared"/>
        <v>5478.2679309665991</v>
      </c>
      <c r="AL39" s="62">
        <f si="37" t="shared"/>
        <v>486.5959052431262</v>
      </c>
      <c r="AM39" s="62">
        <f si="37" t="shared"/>
        <v>104.03832272458823</v>
      </c>
      <c r="AN39" s="62">
        <f si="37" t="shared"/>
        <v>255.76087669794606</v>
      </c>
      <c r="AO39" s="62">
        <f si="37" t="shared"/>
        <v>163.64361178555023</v>
      </c>
      <c r="AP39" s="62">
        <f si="37" t="shared"/>
        <v>68.275149288011022</v>
      </c>
      <c r="AQ39" s="62">
        <f si="37" t="shared"/>
        <v>296.94271277642889</v>
      </c>
      <c r="AR39" s="62">
        <f si="37" t="shared"/>
        <v>173.3972045409804</v>
      </c>
      <c r="AS39" s="62">
        <f si="37" t="shared"/>
        <v>91.033532384014691</v>
      </c>
      <c r="AT39" s="62">
        <f si="37" t="shared"/>
        <v>0</v>
      </c>
      <c r="AU39" s="62">
        <f si="24" t="shared"/>
        <v>33029.999999999993</v>
      </c>
      <c r="AW39">
        <v>6</v>
      </c>
      <c r="AX39" s="13">
        <f ref="AX39:BR39" si="38" t="shared">AX12</f>
        <v>3801</v>
      </c>
      <c r="AY39" s="13">
        <f si="38" t="shared"/>
        <v>1787</v>
      </c>
      <c r="AZ39" s="13">
        <f si="38" t="shared"/>
        <v>935</v>
      </c>
      <c r="BA39" s="13">
        <f si="38" t="shared"/>
        <v>837</v>
      </c>
      <c r="BB39" s="13">
        <f si="38" t="shared"/>
        <v>1638</v>
      </c>
      <c r="BC39" s="13">
        <f si="38" t="shared"/>
        <v>12658</v>
      </c>
      <c r="BD39" s="13">
        <f si="38" t="shared"/>
        <v>1422</v>
      </c>
      <c r="BE39" s="13">
        <f si="38" t="shared"/>
        <v>89</v>
      </c>
      <c r="BF39" s="13">
        <f si="38" t="shared"/>
        <v>1293</v>
      </c>
      <c r="BG39" s="13">
        <f si="38" t="shared"/>
        <v>1305</v>
      </c>
      <c r="BH39" s="13">
        <f si="38" t="shared"/>
        <v>592</v>
      </c>
      <c r="BI39" s="13">
        <f si="38" t="shared"/>
        <v>6153</v>
      </c>
      <c r="BJ39" s="13">
        <f si="38" t="shared"/>
        <v>120</v>
      </c>
      <c r="BK39" s="13">
        <f si="38" t="shared"/>
        <v>42</v>
      </c>
      <c r="BL39" s="13">
        <f si="38" t="shared"/>
        <v>78</v>
      </c>
      <c r="BM39" s="13">
        <f si="38" t="shared"/>
        <v>134</v>
      </c>
      <c r="BN39" s="13">
        <f si="38" t="shared"/>
        <v>32</v>
      </c>
      <c r="BO39" s="13">
        <f si="38" t="shared"/>
        <v>79</v>
      </c>
      <c r="BP39" s="13">
        <f si="38" t="shared"/>
        <v>29</v>
      </c>
      <c r="BQ39" s="13">
        <f si="38" t="shared"/>
        <v>6</v>
      </c>
      <c r="BR39" s="13">
        <f si="38" t="shared"/>
        <v>0</v>
      </c>
      <c r="BS39" s="13">
        <f si="26" t="shared"/>
        <v>33030</v>
      </c>
      <c r="BV39">
        <v>18</v>
      </c>
      <c r="BW39" s="30" t="s">
        <v>340</v>
      </c>
      <c r="BX39" s="94">
        <f>$CN$7</f>
        <v>13074.167718361357</v>
      </c>
      <c r="BY39" s="87">
        <f>$CN$8</f>
        <v>23663</v>
      </c>
      <c r="BZ39" s="87">
        <f>$CN$9</f>
        <v>23748</v>
      </c>
      <c r="CA39" s="100">
        <f>$CN$10</f>
        <v>23721</v>
      </c>
      <c r="CB39" s="94">
        <f>$CN$11</f>
        <v>13916.531359516643</v>
      </c>
      <c r="CC39" s="87">
        <f>$CN$12</f>
        <v>21942.0840556558</v>
      </c>
      <c r="CD39" s="87">
        <f>$CN$13</f>
        <v>20461.11622888859</v>
      </c>
      <c r="CE39" s="100">
        <f>$CN$14</f>
        <v>23721</v>
      </c>
      <c r="CF39" s="79">
        <f si="9" t="shared"/>
        <v>1.6603372039868333E-2</v>
      </c>
      <c r="CG39" s="79">
        <f si="10" t="shared"/>
        <v>2.6178404337585587E-2</v>
      </c>
      <c r="CH39" s="79">
        <f si="11" t="shared"/>
        <v>2.4411508609644278E-2</v>
      </c>
      <c r="CI39" s="98">
        <f si="12" t="shared"/>
        <v>2.8300772511706984E-2</v>
      </c>
      <c r="CJ39" s="102">
        <f si="13" t="shared"/>
        <v>2.1223681741213973E-3</v>
      </c>
      <c r="CK39" s="98">
        <f si="14" t="shared"/>
        <v>8.1073244448066295E-2</v>
      </c>
      <c r="CL39" s="19">
        <f si="15" t="shared"/>
        <v>3.8892639020627062E-3</v>
      </c>
    </row>
    <row r="40" spans="1:90" x14ac:dyDescent="0.45">
      <c r="A40">
        <v>7</v>
      </c>
      <c r="B40" s="62">
        <f ref="B40:W40" si="39" t="shared">IF($W13&gt;0,(B13/$W13)*$BS13,0)</f>
        <v>6308.9294479915552</v>
      </c>
      <c r="C40" s="62">
        <f si="39" t="shared"/>
        <v>8395.2660646677796</v>
      </c>
      <c r="D40" s="62">
        <f si="39" t="shared"/>
        <v>645.3097468161518</v>
      </c>
      <c r="E40" s="62">
        <f si="39" t="shared"/>
        <v>2682.130017840142</v>
      </c>
      <c r="F40" s="62">
        <f si="39" t="shared"/>
        <v>3269.7692187984831</v>
      </c>
      <c r="G40" s="62">
        <f si="39" t="shared"/>
        <v>13057.200589991427</v>
      </c>
      <c r="H40" s="62">
        <f si="39" t="shared"/>
        <v>26431.418684012191</v>
      </c>
      <c r="I40" s="62">
        <f si="39" t="shared"/>
        <v>103.52684941032308</v>
      </c>
      <c r="J40" s="62">
        <f si="39" t="shared"/>
        <v>8301.3778211745412</v>
      </c>
      <c r="K40" s="62">
        <f si="39" t="shared"/>
        <v>239.80855557707926</v>
      </c>
      <c r="L40" s="62">
        <f si="39" t="shared"/>
        <v>0</v>
      </c>
      <c r="M40" s="62">
        <f si="39" t="shared"/>
        <v>15661.651714551272</v>
      </c>
      <c r="N40" s="62">
        <f si="39" t="shared"/>
        <v>5860.4895181711545</v>
      </c>
      <c r="O40" s="62">
        <f si="39" t="shared"/>
        <v>0</v>
      </c>
      <c r="P40" s="62">
        <f si="39" t="shared"/>
        <v>545.76599067161681</v>
      </c>
      <c r="Q40" s="62">
        <f si="39" t="shared"/>
        <v>81.699617153446084</v>
      </c>
      <c r="R40" s="62">
        <f si="39" t="shared"/>
        <v>0</v>
      </c>
      <c r="S40" s="62">
        <f si="39" t="shared"/>
        <v>482.66501892205588</v>
      </c>
      <c r="T40" s="62">
        <f si="39" t="shared"/>
        <v>130.99114425077104</v>
      </c>
      <c r="U40" s="62">
        <f si="39" t="shared"/>
        <v>0</v>
      </c>
      <c r="V40" s="62">
        <f si="39" t="shared"/>
        <v>0</v>
      </c>
      <c r="W40" s="62">
        <f si="39" t="shared"/>
        <v>92198</v>
      </c>
      <c r="X40" s="13"/>
      <c r="Y40">
        <v>7</v>
      </c>
      <c r="Z40" s="62">
        <f ref="Z40:AT40" si="40" t="shared">IF($AU13&gt;0,(Z13/$AU13)*$BS13,0)</f>
        <v>5731.6471533877038</v>
      </c>
      <c r="AA40" s="62">
        <f si="40" t="shared"/>
        <v>9110.806520545797</v>
      </c>
      <c r="AB40" s="62">
        <f si="40" t="shared"/>
        <v>2251.2666444479296</v>
      </c>
      <c r="AC40" s="62">
        <f si="40" t="shared"/>
        <v>2049.7281210790466</v>
      </c>
      <c r="AD40" s="62">
        <f si="40" t="shared"/>
        <v>2328.9900211731492</v>
      </c>
      <c r="AE40" s="62">
        <f si="40" t="shared"/>
        <v>12385.129705144293</v>
      </c>
      <c r="AF40" s="62">
        <f si="40" t="shared"/>
        <v>19654.97670953576</v>
      </c>
      <c r="AG40" s="62">
        <f si="40" t="shared"/>
        <v>550.38995843789212</v>
      </c>
      <c r="AH40" s="62">
        <f si="40" t="shared"/>
        <v>6907.43916640527</v>
      </c>
      <c r="AI40" s="62">
        <f si="40" t="shared"/>
        <v>1654.7849160915935</v>
      </c>
      <c r="AJ40" s="62">
        <f si="40" t="shared"/>
        <v>3393.619530269762</v>
      </c>
      <c r="AK40" s="62">
        <f si="40" t="shared"/>
        <v>14606.572263174405</v>
      </c>
      <c r="AL40" s="62">
        <f si="40" t="shared"/>
        <v>6021.7541758155585</v>
      </c>
      <c r="AM40" s="62">
        <f si="40" t="shared"/>
        <v>243.11149231493098</v>
      </c>
      <c r="AN40" s="62">
        <f si="40" t="shared"/>
        <v>2566.6789523212042</v>
      </c>
      <c r="AO40" s="62">
        <f si="40" t="shared"/>
        <v>298.24086417816812</v>
      </c>
      <c r="AP40" s="62">
        <f si="40" t="shared"/>
        <v>253.05285445420327</v>
      </c>
      <c r="AQ40" s="62">
        <f si="40" t="shared"/>
        <v>1118.8551207653702</v>
      </c>
      <c r="AR40" s="62">
        <f si="40" t="shared"/>
        <v>609.13437107904645</v>
      </c>
      <c r="AS40" s="62">
        <f si="40" t="shared"/>
        <v>461.82145937892096</v>
      </c>
      <c r="AT40" s="62">
        <f si="40" t="shared"/>
        <v>0</v>
      </c>
      <c r="AU40" s="62">
        <f si="24" t="shared"/>
        <v>92197.999999999985</v>
      </c>
      <c r="AW40">
        <v>7</v>
      </c>
      <c r="AX40" s="13">
        <f ref="AX40:BR40" si="41" t="shared">AX13</f>
        <v>4930</v>
      </c>
      <c r="AY40" s="13">
        <f si="41" t="shared"/>
        <v>5403</v>
      </c>
      <c r="AZ40" s="13">
        <f si="41" t="shared"/>
        <v>1823</v>
      </c>
      <c r="BA40" s="13">
        <f si="41" t="shared"/>
        <v>1053</v>
      </c>
      <c r="BB40" s="13">
        <f si="41" t="shared"/>
        <v>1346</v>
      </c>
      <c r="BC40" s="13">
        <f si="41" t="shared"/>
        <v>8957</v>
      </c>
      <c r="BD40" s="13">
        <f si="41" t="shared"/>
        <v>28705</v>
      </c>
      <c r="BE40" s="13">
        <f si="41" t="shared"/>
        <v>89</v>
      </c>
      <c r="BF40" s="13">
        <f si="41" t="shared"/>
        <v>7185</v>
      </c>
      <c r="BG40" s="13">
        <f si="41" t="shared"/>
        <v>1088</v>
      </c>
      <c r="BH40" s="13">
        <f si="41" t="shared"/>
        <v>843</v>
      </c>
      <c r="BI40" s="13">
        <f si="41" t="shared"/>
        <v>18852</v>
      </c>
      <c r="BJ40" s="13">
        <f si="41" t="shared"/>
        <v>9957</v>
      </c>
      <c r="BK40" s="13">
        <f si="41" t="shared"/>
        <v>55</v>
      </c>
      <c r="BL40" s="13">
        <f si="41" t="shared"/>
        <v>1222</v>
      </c>
      <c r="BM40" s="13">
        <f si="41" t="shared"/>
        <v>105</v>
      </c>
      <c r="BN40" s="13">
        <f si="41" t="shared"/>
        <v>31</v>
      </c>
      <c r="BO40" s="13">
        <f si="41" t="shared"/>
        <v>461</v>
      </c>
      <c r="BP40" s="13">
        <f si="41" t="shared"/>
        <v>69</v>
      </c>
      <c r="BQ40" s="13">
        <f si="41" t="shared"/>
        <v>24</v>
      </c>
      <c r="BR40" s="13">
        <f si="41" t="shared"/>
        <v>0</v>
      </c>
      <c r="BS40" s="13">
        <f si="26" t="shared"/>
        <v>92198</v>
      </c>
      <c r="BV40">
        <v>19</v>
      </c>
      <c r="BW40" s="30" t="s">
        <v>341</v>
      </c>
      <c r="BX40" s="94">
        <f>$CO$7</f>
        <v>16912.63761576551</v>
      </c>
      <c r="BY40" s="87">
        <f>$CO$8</f>
        <v>36765</v>
      </c>
      <c r="BZ40" s="87">
        <f>$CO$9</f>
        <v>29164</v>
      </c>
      <c r="CA40" s="100">
        <f>$CO$10</f>
        <v>28364</v>
      </c>
      <c r="CB40" s="94">
        <f>$CO$11</f>
        <v>18002.312408872851</v>
      </c>
      <c r="CC40" s="87">
        <f>$CO$12</f>
        <v>34091.227667928222</v>
      </c>
      <c r="CD40" s="87">
        <f>$CO$13</f>
        <v>25375.529779971108</v>
      </c>
      <c r="CE40" s="100">
        <f>$CO$14</f>
        <v>28364</v>
      </c>
      <c r="CF40" s="79">
        <f si="9" t="shared"/>
        <v>2.147798778163611E-2</v>
      </c>
      <c r="CG40" s="79">
        <f si="10" t="shared"/>
        <v>4.0673162129541231E-2</v>
      </c>
      <c r="CH40" s="79">
        <f si="11" t="shared"/>
        <v>3.0274739499473392E-2</v>
      </c>
      <c r="CI40" s="98">
        <f si="12" t="shared"/>
        <v>3.3840188504787184E-2</v>
      </c>
      <c r="CJ40" s="102">
        <f si="13" t="shared"/>
        <v>-6.8329736247540462E-3</v>
      </c>
      <c r="CK40" s="98">
        <f si="14" t="shared"/>
        <v>-0.16799710833869994</v>
      </c>
      <c r="CL40" s="19">
        <f si="15" t="shared"/>
        <v>3.5654490053137929E-3</v>
      </c>
    </row>
    <row r="41" spans="1:90" x14ac:dyDescent="0.45">
      <c r="A41">
        <v>8</v>
      </c>
      <c r="B41" s="62">
        <f ref="B41:W41" si="42" t="shared">IF($W14&gt;0,(B14/$W14)*$BS14,0)</f>
        <v>662.38922161741095</v>
      </c>
      <c r="C41" s="62">
        <f si="42" t="shared"/>
        <v>239.8979274414196</v>
      </c>
      <c r="D41" s="62">
        <f si="42" t="shared"/>
        <v>64.838067874055156</v>
      </c>
      <c r="E41" s="62">
        <f si="42" t="shared"/>
        <v>229.09618473822954</v>
      </c>
      <c r="F41" s="62">
        <f si="42" t="shared"/>
        <v>141.1024982419377</v>
      </c>
      <c r="G41" s="62">
        <f si="42" t="shared"/>
        <v>536.71029803208125</v>
      </c>
      <c r="H41" s="62">
        <f si="42" t="shared"/>
        <v>68.267771751837017</v>
      </c>
      <c r="I41" s="62">
        <f si="42" t="shared"/>
        <v>328.04219392258381</v>
      </c>
      <c r="J41" s="62">
        <f si="42" t="shared"/>
        <v>313.88628546111033</v>
      </c>
      <c r="K41" s="62">
        <f si="42" t="shared"/>
        <v>58.83965295013639</v>
      </c>
      <c r="L41" s="62">
        <f si="42" t="shared"/>
        <v>1557.1627053644806</v>
      </c>
      <c r="M41" s="62">
        <f si="42" t="shared"/>
        <v>842.36174750496366</v>
      </c>
      <c r="N41" s="62">
        <f si="42" t="shared"/>
        <v>0</v>
      </c>
      <c r="O41" s="62">
        <f si="42" t="shared"/>
        <v>56.594315940078012</v>
      </c>
      <c r="P41" s="62">
        <f si="42" t="shared"/>
        <v>50.765635042609674</v>
      </c>
      <c r="Q41" s="62">
        <f si="42" t="shared"/>
        <v>0</v>
      </c>
      <c r="R41" s="62">
        <f si="42" t="shared"/>
        <v>90.240757039739904</v>
      </c>
      <c r="S41" s="62">
        <f si="42" t="shared"/>
        <v>56.594315940078012</v>
      </c>
      <c r="T41" s="62">
        <f si="42" t="shared"/>
        <v>308.21042113724786</v>
      </c>
      <c r="U41" s="62">
        <f si="42" t="shared"/>
        <v>0</v>
      </c>
      <c r="V41" s="62">
        <f si="42" t="shared"/>
        <v>0</v>
      </c>
      <c r="W41" s="62">
        <f si="42" t="shared"/>
        <v>5605</v>
      </c>
      <c r="X41" s="13"/>
      <c r="Y41">
        <v>8</v>
      </c>
      <c r="Z41" s="62">
        <f ref="Z41:AT41" si="43" t="shared">IF($AU14&gt;0,(Z14/$AU14)*$BS14,0)</f>
        <v>566.39011574779158</v>
      </c>
      <c r="AA41" s="62">
        <f si="43" t="shared"/>
        <v>673.09511117879981</v>
      </c>
      <c r="AB41" s="62">
        <f si="43" t="shared"/>
        <v>256.09198903441973</v>
      </c>
      <c r="AC41" s="62">
        <f si="43" t="shared"/>
        <v>361.94334450197988</v>
      </c>
      <c r="AD41" s="62">
        <f si="43" t="shared"/>
        <v>306.0299268961316</v>
      </c>
      <c r="AE41" s="62">
        <f si="43" t="shared"/>
        <v>1105.4637526652452</v>
      </c>
      <c r="AF41" s="62">
        <f si="43" t="shared"/>
        <v>308.59084678647577</v>
      </c>
      <c r="AG41" s="62">
        <f si="43" t="shared"/>
        <v>189.08125190374656</v>
      </c>
      <c r="AH41" s="62">
        <f si="43" t="shared"/>
        <v>290.23758757234236</v>
      </c>
      <c r="AI41" s="62">
        <f si="43" t="shared"/>
        <v>180.5448522692659</v>
      </c>
      <c r="AJ41" s="62">
        <f si="43" t="shared"/>
        <v>449.01462077368262</v>
      </c>
      <c r="AK41" s="62">
        <f si="43" t="shared"/>
        <v>517.73263783125196</v>
      </c>
      <c r="AL41" s="62">
        <f si="43" t="shared"/>
        <v>76.827596710325921</v>
      </c>
      <c r="AM41" s="62">
        <f si="43" t="shared"/>
        <v>93.473575997563216</v>
      </c>
      <c r="AN41" s="62">
        <f si="43" t="shared"/>
        <v>56.767057569296377</v>
      </c>
      <c r="AO41" s="62">
        <f si="43" t="shared"/>
        <v>26.462838866890039</v>
      </c>
      <c r="AP41" s="62">
        <f si="43" t="shared"/>
        <v>47.37701797136765</v>
      </c>
      <c r="AQ41" s="62">
        <f si="43" t="shared"/>
        <v>27.316478830338106</v>
      </c>
      <c r="AR41" s="62">
        <f si="43" t="shared"/>
        <v>55.059777642400242</v>
      </c>
      <c r="AS41" s="62">
        <f si="43" t="shared"/>
        <v>17.499619250685349</v>
      </c>
      <c r="AT41" s="62">
        <f si="43" t="shared"/>
        <v>0</v>
      </c>
      <c r="AU41" s="62">
        <f si="24" t="shared"/>
        <v>5604.9999999999991</v>
      </c>
      <c r="AW41">
        <v>8</v>
      </c>
      <c r="AX41" s="13">
        <f ref="AX41:BR41" si="44" t="shared">AX14</f>
        <v>797</v>
      </c>
      <c r="AY41" s="13">
        <f si="44" t="shared"/>
        <v>336</v>
      </c>
      <c r="AZ41" s="13">
        <f si="44" t="shared"/>
        <v>442</v>
      </c>
      <c r="BA41" s="13">
        <f si="44" t="shared"/>
        <v>301</v>
      </c>
      <c r="BB41" s="13">
        <f si="44" t="shared"/>
        <v>303</v>
      </c>
      <c r="BC41" s="13">
        <f si="44" t="shared"/>
        <v>1185</v>
      </c>
      <c r="BD41" s="13">
        <f si="44" t="shared"/>
        <v>145</v>
      </c>
      <c r="BE41" s="13">
        <f si="44" t="shared"/>
        <v>106</v>
      </c>
      <c r="BF41" s="13">
        <f si="44" t="shared"/>
        <v>331</v>
      </c>
      <c r="BG41" s="13">
        <f si="44" t="shared"/>
        <v>237</v>
      </c>
      <c r="BH41" s="13">
        <f si="44" t="shared"/>
        <v>666</v>
      </c>
      <c r="BI41" s="13">
        <f si="44" t="shared"/>
        <v>512</v>
      </c>
      <c r="BJ41" s="13">
        <f si="44" t="shared"/>
        <v>10</v>
      </c>
      <c r="BK41" s="13">
        <f si="44" t="shared"/>
        <v>81</v>
      </c>
      <c r="BL41" s="13">
        <f si="44" t="shared"/>
        <v>21</v>
      </c>
      <c r="BM41" s="13">
        <f si="44" t="shared"/>
        <v>16</v>
      </c>
      <c r="BN41" s="13">
        <f si="44" t="shared"/>
        <v>58</v>
      </c>
      <c r="BO41" s="13">
        <f si="44" t="shared"/>
        <v>3</v>
      </c>
      <c r="BP41" s="13">
        <f si="44" t="shared"/>
        <v>54</v>
      </c>
      <c r="BQ41" s="13">
        <f si="44" t="shared"/>
        <v>1</v>
      </c>
      <c r="BR41" s="13">
        <f si="44" t="shared"/>
        <v>0</v>
      </c>
      <c r="BS41" s="13">
        <f si="26" t="shared"/>
        <v>5605</v>
      </c>
      <c r="BV41">
        <v>20</v>
      </c>
      <c r="BW41" s="30" t="s">
        <v>342</v>
      </c>
      <c r="BX41" s="94">
        <f>$CP$7</f>
        <v>17257.161403342958</v>
      </c>
      <c r="BY41" s="87">
        <f>$CP$8</f>
        <v>30183</v>
      </c>
      <c r="BZ41" s="87">
        <f>$CP$9</f>
        <v>22156</v>
      </c>
      <c r="CA41" s="100">
        <f>$CP$10</f>
        <v>22517</v>
      </c>
      <c r="CB41" s="94">
        <f>$CP$11</f>
        <v>18369.033732723354</v>
      </c>
      <c r="CC41" s="87">
        <f>$CP$12</f>
        <v>27987.910368586356</v>
      </c>
      <c r="CD41" s="87">
        <f>$CP$13</f>
        <v>18619.81244219459</v>
      </c>
      <c r="CE41" s="100">
        <f>$CP$14</f>
        <v>22517</v>
      </c>
      <c r="CF41" s="79">
        <f si="9" t="shared"/>
        <v>2.1915511358276431E-2</v>
      </c>
      <c r="CG41" s="79">
        <f si="10" t="shared"/>
        <v>3.3391487897618463E-2</v>
      </c>
      <c r="CH41" s="79">
        <f si="11" t="shared"/>
        <v>2.2214707480173703E-2</v>
      </c>
      <c r="CI41" s="98">
        <f si="12" t="shared"/>
        <v>2.6864318310615323E-2</v>
      </c>
      <c r="CJ41" s="103">
        <f si="13" t="shared"/>
        <v>-6.5271695870031399E-3</v>
      </c>
      <c r="CK41" s="99">
        <f si="14" t="shared"/>
        <v>-0.19547405635280682</v>
      </c>
      <c r="CL41" s="19">
        <f si="15" t="shared"/>
        <v>4.6496108304416202E-3</v>
      </c>
    </row>
    <row ht="14.65" r="42" spans="1:90" thickBot="1" x14ac:dyDescent="0.5">
      <c r="A42">
        <v>9</v>
      </c>
      <c r="B42" s="62">
        <f ref="B42:W42" si="45" t="shared">IF($W15&gt;0,(B15/$W15)*$BS15,0)</f>
        <v>10180.272986722426</v>
      </c>
      <c r="C42" s="62">
        <f si="45" t="shared"/>
        <v>5907.3138019796161</v>
      </c>
      <c r="D42" s="62">
        <f si="45" t="shared"/>
        <v>1554.8493141790943</v>
      </c>
      <c r="E42" s="62">
        <f si="45" t="shared"/>
        <v>2495.9194478275372</v>
      </c>
      <c r="F42" s="62">
        <f si="45" t="shared"/>
        <v>1365.3073350362497</v>
      </c>
      <c r="G42" s="62">
        <f si="45" t="shared"/>
        <v>5437.1673635274601</v>
      </c>
      <c r="H42" s="62">
        <f si="45" t="shared"/>
        <v>6601.1006976467761</v>
      </c>
      <c r="I42" s="62">
        <f si="45" t="shared"/>
        <v>0</v>
      </c>
      <c r="J42" s="62">
        <f si="45" t="shared"/>
        <v>22389.423442848783</v>
      </c>
      <c r="K42" s="62">
        <f si="45" t="shared"/>
        <v>143.60420650056696</v>
      </c>
      <c r="L42" s="62">
        <f si="45" t="shared"/>
        <v>1159.4214081445723</v>
      </c>
      <c r="M42" s="62">
        <f si="45" t="shared"/>
        <v>8452.5943356609405</v>
      </c>
      <c r="N42" s="62">
        <f si="45" t="shared"/>
        <v>65.406560143453433</v>
      </c>
      <c r="O42" s="62">
        <f si="45" t="shared"/>
        <v>132.15121288503522</v>
      </c>
      <c r="P42" s="62">
        <f si="45" t="shared"/>
        <v>2709.5876383556974</v>
      </c>
      <c r="Q42" s="62">
        <f si="45" t="shared"/>
        <v>0</v>
      </c>
      <c r="R42" s="62">
        <f si="45" t="shared"/>
        <v>206.9726381622807</v>
      </c>
      <c r="S42" s="62">
        <f si="45" t="shared"/>
        <v>398.27091202588218</v>
      </c>
      <c r="T42" s="62">
        <f si="45" t="shared"/>
        <v>171.63669835363325</v>
      </c>
      <c r="U42" s="62">
        <f si="45" t="shared"/>
        <v>0</v>
      </c>
      <c r="V42" s="62">
        <f si="45" t="shared"/>
        <v>0</v>
      </c>
      <c r="W42" s="62">
        <f si="45" t="shared"/>
        <v>69371</v>
      </c>
      <c r="X42" s="13"/>
      <c r="Y42">
        <v>9</v>
      </c>
      <c r="Z42" s="62">
        <f ref="Z42:AT42" si="46" t="shared">IF($AU15&gt;0,(Z15/$AU15)*$BS15,0)</f>
        <v>6213.8536319540099</v>
      </c>
      <c r="AA42" s="62">
        <f si="46" t="shared"/>
        <v>7956.9563087610031</v>
      </c>
      <c r="AB42" s="62">
        <f si="46" t="shared"/>
        <v>2289.7955087130963</v>
      </c>
      <c r="AC42" s="62">
        <f si="46" t="shared"/>
        <v>1944.99683813402</v>
      </c>
      <c r="AD42" s="62">
        <f si="46" t="shared"/>
        <v>2119.4732738487332</v>
      </c>
      <c r="AE42" s="62">
        <f si="46" t="shared"/>
        <v>11398.296293191208</v>
      </c>
      <c r="AF42" s="62">
        <f si="46" t="shared"/>
        <v>6279.4900053895444</v>
      </c>
      <c r="AG42" s="62">
        <f si="46" t="shared"/>
        <v>563.30963530750353</v>
      </c>
      <c r="AH42" s="62">
        <f si="46" t="shared"/>
        <v>9459.1153362476798</v>
      </c>
      <c r="AI42" s="62">
        <f si="46" t="shared"/>
        <v>1217.180849152644</v>
      </c>
      <c r="AJ42" s="62">
        <f si="46" t="shared"/>
        <v>3971.4160129349061</v>
      </c>
      <c r="AK42" s="62">
        <f si="46" t="shared"/>
        <v>7770.0172704952392</v>
      </c>
      <c r="AL42" s="62">
        <f si="46" t="shared"/>
        <v>2043.0359782022877</v>
      </c>
      <c r="AM42" s="62">
        <f si="46" t="shared"/>
        <v>233.466087789688</v>
      </c>
      <c r="AN42" s="62">
        <f si="46" t="shared"/>
        <v>3816.0489011318041</v>
      </c>
      <c r="AO42" s="62">
        <f si="46" t="shared"/>
        <v>188.60071860590455</v>
      </c>
      <c r="AP42" s="62">
        <f si="46" t="shared"/>
        <v>273.34641595305106</v>
      </c>
      <c r="AQ42" s="62">
        <f si="46" t="shared"/>
        <v>477.73309779028688</v>
      </c>
      <c r="AR42" s="62">
        <f si="46" t="shared"/>
        <v>911.43166656686026</v>
      </c>
      <c r="AS42" s="62">
        <f si="46" t="shared"/>
        <v>243.43616983052877</v>
      </c>
      <c r="AT42" s="62">
        <f si="46" t="shared"/>
        <v>0</v>
      </c>
      <c r="AU42" s="62">
        <f si="24" t="shared"/>
        <v>69371</v>
      </c>
      <c r="AW42">
        <v>9</v>
      </c>
      <c r="AX42" s="13">
        <f ref="AX42:BR42" si="47" t="shared">AX15</f>
        <v>5705</v>
      </c>
      <c r="AY42" s="13">
        <f si="47" t="shared"/>
        <v>5978</v>
      </c>
      <c r="AZ42" s="13">
        <f si="47" t="shared"/>
        <v>2745</v>
      </c>
      <c r="BA42" s="13">
        <f si="47" t="shared"/>
        <v>1201</v>
      </c>
      <c r="BB42" s="13">
        <f si="47" t="shared"/>
        <v>1404</v>
      </c>
      <c r="BC42" s="13">
        <f si="47" t="shared"/>
        <v>8741</v>
      </c>
      <c r="BD42" s="13">
        <f si="47" t="shared"/>
        <v>7687</v>
      </c>
      <c r="BE42" s="13">
        <f si="47" t="shared"/>
        <v>180</v>
      </c>
      <c r="BF42" s="13">
        <f si="47" t="shared"/>
        <v>18026</v>
      </c>
      <c r="BG42" s="13">
        <f si="47" t="shared"/>
        <v>844</v>
      </c>
      <c r="BH42" s="13">
        <f si="47" t="shared"/>
        <v>3065</v>
      </c>
      <c r="BI42" s="13">
        <f si="47" t="shared"/>
        <v>6927</v>
      </c>
      <c r="BJ42" s="13">
        <f si="47" t="shared"/>
        <v>1377</v>
      </c>
      <c r="BK42" s="13">
        <f si="47" t="shared"/>
        <v>135</v>
      </c>
      <c r="BL42" s="13">
        <f si="47" t="shared"/>
        <v>4566</v>
      </c>
      <c r="BM42" s="13">
        <f si="47" t="shared"/>
        <v>59</v>
      </c>
      <c r="BN42" s="13">
        <f si="47" t="shared"/>
        <v>156</v>
      </c>
      <c r="BO42" s="13">
        <f si="47" t="shared"/>
        <v>93</v>
      </c>
      <c r="BP42" s="13">
        <f si="47" t="shared"/>
        <v>473</v>
      </c>
      <c r="BQ42" s="13">
        <f si="47" t="shared"/>
        <v>9</v>
      </c>
      <c r="BR42" s="13">
        <f si="47" t="shared"/>
        <v>0</v>
      </c>
      <c r="BS42" s="13">
        <f si="26" t="shared"/>
        <v>69371</v>
      </c>
      <c r="BV42" s="88"/>
      <c r="BW42" s="89" t="s">
        <v>218</v>
      </c>
      <c r="BX42" s="95">
        <f ref="BX42:CE42" si="48" t="shared">SUM(BX22:BX41)</f>
        <v>787440.5082875588</v>
      </c>
      <c r="BY42" s="90">
        <f si="48" t="shared"/>
        <v>903913</v>
      </c>
      <c r="BZ42" s="90">
        <f si="48" t="shared"/>
        <v>959408</v>
      </c>
      <c r="CA42" s="101">
        <f si="48" t="shared"/>
        <v>838175</v>
      </c>
      <c r="CB42" s="95">
        <f si="48" t="shared"/>
        <v>838175.00000000023</v>
      </c>
      <c r="CC42" s="90">
        <f si="48" t="shared"/>
        <v>838175</v>
      </c>
      <c r="CD42" s="90">
        <f si="48" t="shared"/>
        <v>838174.99999999988</v>
      </c>
      <c r="CE42" s="101">
        <f si="48" t="shared"/>
        <v>838175</v>
      </c>
      <c r="CF42" s="107">
        <f si="9" t="shared"/>
        <v>1</v>
      </c>
      <c r="CG42" s="107">
        <f si="10" t="shared"/>
        <v>1</v>
      </c>
      <c r="CH42" s="107">
        <f si="11" t="shared"/>
        <v>1</v>
      </c>
      <c r="CI42" s="108">
        <f si="12" t="shared"/>
        <v>1</v>
      </c>
      <c r="CJ42" s="96">
        <f ref="CJ42" si="49" t="shared">CI42-CH42</f>
        <v>0</v>
      </c>
      <c r="CK42" s="114">
        <f ref="CK42" si="50" t="shared">(CE42-CD42)/CD42</f>
        <v>1.3889142700144342E-16</v>
      </c>
    </row>
    <row r="43" spans="1:90" x14ac:dyDescent="0.45">
      <c r="A43">
        <v>10</v>
      </c>
      <c r="B43" s="62">
        <f ref="B43:W43" si="51" t="shared">IF($W16&gt;0,(B16/$W16)*$BS16,0)</f>
        <v>4752.2969455717403</v>
      </c>
      <c r="C43" s="62">
        <f si="51" t="shared"/>
        <v>393.31409528052006</v>
      </c>
      <c r="D43" s="62">
        <f si="51" t="shared"/>
        <v>534.6530536863844</v>
      </c>
      <c r="E43" s="62">
        <f si="51" t="shared"/>
        <v>978.96567431791721</v>
      </c>
      <c r="F43" s="62">
        <f si="51" t="shared"/>
        <v>2848.6226973214957</v>
      </c>
      <c r="G43" s="62">
        <f si="51" t="shared"/>
        <v>8504.1656331879076</v>
      </c>
      <c r="H43" s="62">
        <f si="51" t="shared"/>
        <v>1167.2222121440579</v>
      </c>
      <c r="I43" s="62">
        <f si="51" t="shared"/>
        <v>357.52390183030735</v>
      </c>
      <c r="J43" s="62">
        <f si="51" t="shared"/>
        <v>338.54398881660035</v>
      </c>
      <c r="K43" s="62">
        <f si="51" t="shared"/>
        <v>3502.7643064625686</v>
      </c>
      <c r="L43" s="62">
        <f si="51" t="shared"/>
        <v>500.18747946733305</v>
      </c>
      <c r="M43" s="62">
        <f si="51" t="shared"/>
        <v>4970.1953019952507</v>
      </c>
      <c r="N43" s="62">
        <f si="51" t="shared"/>
        <v>188.5576059482687</v>
      </c>
      <c r="O43" s="62">
        <f si="51" t="shared"/>
        <v>106.85868767534683</v>
      </c>
      <c r="P43" s="62">
        <f si="51" t="shared"/>
        <v>0</v>
      </c>
      <c r="Q43" s="62">
        <f si="51" t="shared"/>
        <v>279.47012022300726</v>
      </c>
      <c r="R43" s="62">
        <f si="51" t="shared"/>
        <v>0</v>
      </c>
      <c r="S43" s="62">
        <f si="51" t="shared"/>
        <v>31.65829607129281</v>
      </c>
      <c r="T43" s="62">
        <f si="51" t="shared"/>
        <v>0</v>
      </c>
      <c r="U43" s="62">
        <f si="51" t="shared"/>
        <v>0</v>
      </c>
      <c r="V43" s="62">
        <f si="51" t="shared"/>
        <v>0</v>
      </c>
      <c r="W43" s="62">
        <f si="51" t="shared"/>
        <v>29455</v>
      </c>
      <c r="Y43">
        <v>10</v>
      </c>
      <c r="Z43" s="62">
        <f ref="Z43:AT43" si="52" t="shared">IF($AU16&gt;0,(Z16/$AU16)*$BS16,0)</f>
        <v>2875.6406855202422</v>
      </c>
      <c r="AA43" s="62">
        <f si="52" t="shared"/>
        <v>2268.474160343821</v>
      </c>
      <c r="AB43" s="62">
        <f si="52" t="shared"/>
        <v>664.21048442722974</v>
      </c>
      <c r="AC43" s="62">
        <f si="52" t="shared"/>
        <v>863.47362975539875</v>
      </c>
      <c r="AD43" s="62">
        <f si="52" t="shared"/>
        <v>1582.3838011354592</v>
      </c>
      <c r="AE43" s="62">
        <f si="52" t="shared"/>
        <v>8406.5604605507506</v>
      </c>
      <c r="AF43" s="62">
        <f si="52" t="shared"/>
        <v>1058.0482304876109</v>
      </c>
      <c r="AG43" s="62">
        <f si="52" t="shared"/>
        <v>210.20308271873506</v>
      </c>
      <c r="AH43" s="62">
        <f si="52" t="shared"/>
        <v>923.64328540351244</v>
      </c>
      <c r="AI43" s="62">
        <f si="52" t="shared"/>
        <v>2263.7856157478645</v>
      </c>
      <c r="AJ43" s="62">
        <f si="52" t="shared"/>
        <v>751.72998355175889</v>
      </c>
      <c r="AK43" s="62">
        <f si="52" t="shared"/>
        <v>5605.1550644664931</v>
      </c>
      <c r="AL43" s="62">
        <f si="52" t="shared"/>
        <v>407.12195574892559</v>
      </c>
      <c r="AM43" s="62">
        <f si="52" t="shared"/>
        <v>121.90215949487983</v>
      </c>
      <c r="AN43" s="62">
        <f si="52" t="shared"/>
        <v>193.01175253355973</v>
      </c>
      <c r="AO43" s="62">
        <f si="52" t="shared"/>
        <v>560.28107921685148</v>
      </c>
      <c r="AP43" s="62">
        <f si="52" t="shared"/>
        <v>71.10959303867989</v>
      </c>
      <c r="AQ43" s="62">
        <f si="52" t="shared"/>
        <v>331.32381811428877</v>
      </c>
      <c r="AR43" s="62">
        <f si="52" t="shared"/>
        <v>175.82042234838437</v>
      </c>
      <c r="AS43" s="62">
        <f si="52" t="shared"/>
        <v>121.12073539555367</v>
      </c>
      <c r="AT43" s="62">
        <f si="52" t="shared"/>
        <v>0</v>
      </c>
      <c r="AU43" s="62">
        <f si="24" t="shared"/>
        <v>29454.999999999996</v>
      </c>
      <c r="AW43">
        <v>10</v>
      </c>
      <c r="AX43" s="13">
        <f ref="AX43:BR43" si="53" t="shared">AX16</f>
        <v>3145</v>
      </c>
      <c r="AY43" s="13">
        <f si="53" t="shared"/>
        <v>1374</v>
      </c>
      <c r="AZ43" s="13">
        <f si="53" t="shared"/>
        <v>713</v>
      </c>
      <c r="BA43" s="13">
        <f si="53" t="shared"/>
        <v>1007</v>
      </c>
      <c r="BB43" s="13">
        <f si="53" t="shared"/>
        <v>1700</v>
      </c>
      <c r="BC43" s="13">
        <f si="53" t="shared"/>
        <v>7210</v>
      </c>
      <c r="BD43" s="13">
        <f si="53" t="shared"/>
        <v>954</v>
      </c>
      <c r="BE43" s="13">
        <f si="53" t="shared"/>
        <v>71</v>
      </c>
      <c r="BF43" s="13">
        <f si="53" t="shared"/>
        <v>733</v>
      </c>
      <c r="BG43" s="13">
        <f si="53" t="shared"/>
        <v>3386</v>
      </c>
      <c r="BH43" s="13">
        <f si="53" t="shared"/>
        <v>424</v>
      </c>
      <c r="BI43" s="13">
        <f si="53" t="shared"/>
        <v>7762</v>
      </c>
      <c r="BJ43" s="13">
        <f si="53" t="shared"/>
        <v>79</v>
      </c>
      <c r="BK43" s="13">
        <f si="53" t="shared"/>
        <v>40</v>
      </c>
      <c r="BL43" s="13">
        <f si="53" t="shared"/>
        <v>35</v>
      </c>
      <c r="BM43" s="13">
        <f si="53" t="shared"/>
        <v>659</v>
      </c>
      <c r="BN43" s="13">
        <f si="53" t="shared"/>
        <v>18</v>
      </c>
      <c r="BO43" s="13">
        <f si="53" t="shared"/>
        <v>108</v>
      </c>
      <c r="BP43" s="13">
        <f si="53" t="shared"/>
        <v>24</v>
      </c>
      <c r="BQ43" s="13">
        <f si="53" t="shared"/>
        <v>13</v>
      </c>
      <c r="BR43" s="13">
        <f si="53" t="shared"/>
        <v>0</v>
      </c>
      <c r="BS43" s="13">
        <f si="26" t="shared"/>
        <v>29455</v>
      </c>
    </row>
    <row r="44" spans="1:90" x14ac:dyDescent="0.45">
      <c r="A44">
        <v>11</v>
      </c>
      <c r="B44" s="62">
        <f ref="B44:W44" si="54" t="shared">IF($W17&gt;0,(B17/$W17)*$BS17,0)</f>
        <v>7462.8837482157751</v>
      </c>
      <c r="C44" s="62">
        <f si="54" t="shared"/>
        <v>2074.1485122455615</v>
      </c>
      <c r="D44" s="62">
        <f si="54" t="shared"/>
        <v>5843.6413924025101</v>
      </c>
      <c r="E44" s="62">
        <f si="54" t="shared"/>
        <v>2685.8324311720608</v>
      </c>
      <c r="F44" s="62">
        <f si="54" t="shared"/>
        <v>3103.321537411282</v>
      </c>
      <c r="G44" s="62">
        <f si="54" t="shared"/>
        <v>5914.5033294412679</v>
      </c>
      <c r="H44" s="62">
        <f si="54" t="shared"/>
        <v>3153.8000418030047</v>
      </c>
      <c r="I44" s="62">
        <f si="54" t="shared"/>
        <v>0</v>
      </c>
      <c r="J44" s="62">
        <f si="54" t="shared"/>
        <v>3482.7942528796229</v>
      </c>
      <c r="K44" s="62">
        <f si="54" t="shared"/>
        <v>853.95712283097771</v>
      </c>
      <c r="L44" s="62">
        <f si="54" t="shared"/>
        <v>14577.222246226007</v>
      </c>
      <c r="M44" s="62">
        <f si="54" t="shared"/>
        <v>3805.404502814913</v>
      </c>
      <c r="N44" s="62">
        <f si="54" t="shared"/>
        <v>56.113395362217886</v>
      </c>
      <c r="O44" s="62">
        <f si="54" t="shared"/>
        <v>96.71581841714908</v>
      </c>
      <c r="P44" s="62">
        <f si="54" t="shared"/>
        <v>0</v>
      </c>
      <c r="Q44" s="62">
        <f si="54" t="shared"/>
        <v>916.43016745307204</v>
      </c>
      <c r="R44" s="62">
        <f si="54" t="shared"/>
        <v>1232.7341803019785</v>
      </c>
      <c r="S44" s="62">
        <f si="54" t="shared"/>
        <v>1421.2229354526874</v>
      </c>
      <c r="T44" s="62">
        <f si="54" t="shared"/>
        <v>2330.2743855699127</v>
      </c>
      <c r="U44" s="62">
        <f si="54" t="shared"/>
        <v>0</v>
      </c>
      <c r="V44" s="62">
        <f si="54" t="shared"/>
        <v>0</v>
      </c>
      <c r="W44" s="62">
        <f si="54" t="shared"/>
        <v>59011</v>
      </c>
      <c r="Y44">
        <v>11</v>
      </c>
      <c r="Z44" s="62">
        <f ref="Z44:AT44" si="55" t="shared">IF($AU17&gt;0,(Z17/$AU17)*$BS17,0)</f>
        <v>4933.3360668574442</v>
      </c>
      <c r="AA44" s="62">
        <f si="55" t="shared"/>
        <v>6078.4547758367862</v>
      </c>
      <c r="AB44" s="62">
        <f si="55" t="shared"/>
        <v>2429.7016187588092</v>
      </c>
      <c r="AC44" s="62">
        <f si="55" t="shared"/>
        <v>2156.6542376742268</v>
      </c>
      <c r="AD44" s="62">
        <f si="55" t="shared"/>
        <v>1947.4579364740387</v>
      </c>
      <c r="AE44" s="62">
        <f si="55" t="shared"/>
        <v>9688.5612266689441</v>
      </c>
      <c r="AF44" s="62">
        <f si="55" t="shared"/>
        <v>2895.9825310724814</v>
      </c>
      <c r="AG44" s="62">
        <f si="55" t="shared"/>
        <v>893.91511838152587</v>
      </c>
      <c r="AH44" s="62">
        <f si="55" t="shared"/>
        <v>4010.0158458975784</v>
      </c>
      <c r="AI44" s="62">
        <f si="55" t="shared"/>
        <v>1211.4902262275943</v>
      </c>
      <c r="AJ44" s="62">
        <f si="55" t="shared"/>
        <v>9832.226156408833</v>
      </c>
      <c r="AK44" s="62">
        <f si="55" t="shared"/>
        <v>4992.9864178020753</v>
      </c>
      <c r="AL44" s="62">
        <f si="55" t="shared"/>
        <v>965.32751035749368</v>
      </c>
      <c r="AM44" s="62">
        <f si="55" t="shared"/>
        <v>604.90496732584461</v>
      </c>
      <c r="AN44" s="62">
        <f si="55" t="shared"/>
        <v>1177.8843947094917</v>
      </c>
      <c r="AO44" s="62">
        <f si="55" t="shared"/>
        <v>224.31892538333403</v>
      </c>
      <c r="AP44" s="62">
        <f si="55" t="shared"/>
        <v>822.50272640555818</v>
      </c>
      <c r="AQ44" s="62">
        <f si="55" t="shared"/>
        <v>320.09554520992612</v>
      </c>
      <c r="AR44" s="62">
        <f si="55" t="shared"/>
        <v>3632.7903871068779</v>
      </c>
      <c r="AS44" s="62">
        <f si="55" t="shared"/>
        <v>192.39338544113667</v>
      </c>
      <c r="AT44" s="62">
        <f si="55" t="shared"/>
        <v>0</v>
      </c>
      <c r="AU44" s="62">
        <f si="24" t="shared"/>
        <v>59011.000000000007</v>
      </c>
      <c r="AW44">
        <v>11</v>
      </c>
      <c r="AX44" s="13">
        <f ref="AX44:BR44" si="56" t="shared">AX17</f>
        <v>5632</v>
      </c>
      <c r="AY44" s="13">
        <f si="56" t="shared"/>
        <v>2990</v>
      </c>
      <c r="AZ44" s="13">
        <f si="56" t="shared"/>
        <v>3790</v>
      </c>
      <c r="BA44" s="13">
        <f si="56" t="shared"/>
        <v>1931</v>
      </c>
      <c r="BB44" s="13">
        <f si="56" t="shared"/>
        <v>1453</v>
      </c>
      <c r="BC44" s="13">
        <f si="56" t="shared"/>
        <v>7286</v>
      </c>
      <c r="BD44" s="13">
        <f si="56" t="shared"/>
        <v>1548</v>
      </c>
      <c r="BE44" s="13">
        <f si="56" t="shared"/>
        <v>529</v>
      </c>
      <c r="BF44" s="13">
        <f si="56" t="shared"/>
        <v>5646</v>
      </c>
      <c r="BG44" s="13">
        <f si="56" t="shared"/>
        <v>952</v>
      </c>
      <c r="BH44" s="13">
        <f si="56" t="shared"/>
        <v>17367</v>
      </c>
      <c r="BI44" s="13">
        <f si="56" t="shared"/>
        <v>3419</v>
      </c>
      <c r="BJ44" s="13">
        <f si="56" t="shared"/>
        <v>146</v>
      </c>
      <c r="BK44" s="13">
        <f si="56" t="shared"/>
        <v>762</v>
      </c>
      <c r="BL44" s="13">
        <f si="56" t="shared"/>
        <v>755</v>
      </c>
      <c r="BM44" s="13">
        <f si="56" t="shared"/>
        <v>64</v>
      </c>
      <c r="BN44" s="13">
        <f si="56" t="shared"/>
        <v>1135</v>
      </c>
      <c r="BO44" s="13">
        <f si="56" t="shared"/>
        <v>38</v>
      </c>
      <c r="BP44" s="13">
        <f si="56" t="shared"/>
        <v>3565</v>
      </c>
      <c r="BQ44" s="13">
        <f si="56" t="shared"/>
        <v>3</v>
      </c>
      <c r="BR44" s="13">
        <f si="56" t="shared"/>
        <v>0</v>
      </c>
      <c r="BS44" s="13">
        <f si="26" t="shared"/>
        <v>59011</v>
      </c>
    </row>
    <row r="45" spans="1:90" x14ac:dyDescent="0.45">
      <c r="A45">
        <v>12</v>
      </c>
      <c r="B45" s="62">
        <f ref="B45:W45" si="57" t="shared">IF($W18&gt;0,(B18/$W18)*$BS18,0)</f>
        <v>15147.949689308147</v>
      </c>
      <c r="C45" s="62">
        <f si="57" t="shared"/>
        <v>2224.2943393348637</v>
      </c>
      <c r="D45" s="62">
        <f si="57" t="shared"/>
        <v>1835.0533370027397</v>
      </c>
      <c r="E45" s="62">
        <f si="57" t="shared"/>
        <v>5030.5215924200565</v>
      </c>
      <c r="F45" s="62">
        <f si="57" t="shared"/>
        <v>2647.8200741516453</v>
      </c>
      <c r="G45" s="62">
        <f si="57" t="shared"/>
        <v>23852.943250246473</v>
      </c>
      <c r="H45" s="62">
        <f si="57" t="shared"/>
        <v>7768.524354398327</v>
      </c>
      <c r="I45" s="62">
        <f si="57" t="shared"/>
        <v>0</v>
      </c>
      <c r="J45" s="62">
        <f si="57" t="shared"/>
        <v>4813.6466622606968</v>
      </c>
      <c r="K45" s="62">
        <f si="57" t="shared"/>
        <v>2057.8938800882938</v>
      </c>
      <c r="L45" s="62">
        <f si="57" t="shared"/>
        <v>702.0259313448903</v>
      </c>
      <c r="M45" s="62">
        <f si="57" t="shared"/>
        <v>52967.085294270859</v>
      </c>
      <c r="N45" s="62">
        <f si="57" t="shared"/>
        <v>862.09412785687437</v>
      </c>
      <c r="O45" s="62">
        <f si="57" t="shared"/>
        <v>42.519837061484637</v>
      </c>
      <c r="P45" s="62">
        <f si="57" t="shared"/>
        <v>0</v>
      </c>
      <c r="Q45" s="62">
        <f si="57" t="shared"/>
        <v>402.87660091062043</v>
      </c>
      <c r="R45" s="62">
        <f si="57" t="shared"/>
        <v>0</v>
      </c>
      <c r="S45" s="62">
        <f si="57" t="shared"/>
        <v>1245.0987439396149</v>
      </c>
      <c r="T45" s="62">
        <f si="57" t="shared"/>
        <v>0</v>
      </c>
      <c r="U45" s="62">
        <f si="57" t="shared"/>
        <v>774.65228540442206</v>
      </c>
      <c r="V45" s="62">
        <f si="57" t="shared"/>
        <v>0</v>
      </c>
      <c r="W45" s="62">
        <f si="57" t="shared"/>
        <v>122375</v>
      </c>
      <c r="Y45">
        <v>12</v>
      </c>
      <c r="Z45" s="62">
        <f ref="Z45:AT45" si="58" t="shared">IF($AU18&gt;0,(Z18/$AU18)*$BS18,0)</f>
        <v>9350.3134226750499</v>
      </c>
      <c r="AA45" s="62">
        <f si="58" t="shared"/>
        <v>8472.2881958786547</v>
      </c>
      <c r="AB45" s="62">
        <f si="58" t="shared"/>
        <v>2077.1193798093841</v>
      </c>
      <c r="AC45" s="62">
        <f si="58" t="shared"/>
        <v>2349.5131335383298</v>
      </c>
      <c r="AD45" s="62">
        <f si="58" t="shared"/>
        <v>3191.9680419783681</v>
      </c>
      <c r="AE45" s="62">
        <f si="58" t="shared"/>
        <v>24056.767941009992</v>
      </c>
      <c r="AF45" s="62">
        <f si="58" t="shared"/>
        <v>8603.3367371915501</v>
      </c>
      <c r="AG45" s="62">
        <f si="58" t="shared"/>
        <v>439.94867440757565</v>
      </c>
      <c r="AH45" s="62">
        <f si="58" t="shared"/>
        <v>4990.1412409931618</v>
      </c>
      <c r="AI45" s="62">
        <f si="58" t="shared"/>
        <v>2754.8275505989263</v>
      </c>
      <c r="AJ45" s="62">
        <f si="58" t="shared"/>
        <v>2766.0602827114599</v>
      </c>
      <c r="AK45" s="62">
        <f si="58" t="shared"/>
        <v>42928.693951076231</v>
      </c>
      <c r="AL45" s="62">
        <f si="58" t="shared"/>
        <v>3018.7967552434716</v>
      </c>
      <c r="AM45" s="62">
        <f si="58" t="shared"/>
        <v>271.45769271956794</v>
      </c>
      <c r="AN45" s="62">
        <f si="58" t="shared"/>
        <v>1137.3141263940522</v>
      </c>
      <c r="AO45" s="62">
        <f si="58" t="shared"/>
        <v>716.08667217403286</v>
      </c>
      <c r="AP45" s="62">
        <f si="58" t="shared"/>
        <v>250.86435051325591</v>
      </c>
      <c r="AQ45" s="62">
        <f si="58" t="shared"/>
        <v>3331.4411323756635</v>
      </c>
      <c r="AR45" s="62">
        <f si="58" t="shared"/>
        <v>536.36295837349121</v>
      </c>
      <c r="AS45" s="62">
        <f si="58" t="shared"/>
        <v>1131.697760337785</v>
      </c>
      <c r="AT45" s="62">
        <f si="58" t="shared"/>
        <v>0</v>
      </c>
      <c r="AU45" s="62">
        <f si="24" t="shared"/>
        <v>122375.00000000001</v>
      </c>
      <c r="AW45">
        <v>12</v>
      </c>
      <c r="AX45" s="13">
        <f ref="AX45:BR45" si="59" t="shared">AX18</f>
        <v>7735</v>
      </c>
      <c r="AY45" s="13">
        <f si="59" t="shared"/>
        <v>5403</v>
      </c>
      <c r="AZ45" s="13">
        <f si="59" t="shared"/>
        <v>1946</v>
      </c>
      <c r="BA45" s="13">
        <f si="59" t="shared"/>
        <v>1813</v>
      </c>
      <c r="BB45" s="13">
        <f si="59" t="shared"/>
        <v>2454</v>
      </c>
      <c r="BC45" s="13">
        <f si="59" t="shared"/>
        <v>16587</v>
      </c>
      <c r="BD45" s="13">
        <f si="59" t="shared"/>
        <v>11323</v>
      </c>
      <c r="BE45" s="13">
        <f si="59" t="shared"/>
        <v>136</v>
      </c>
      <c r="BF45" s="13">
        <f si="59" t="shared"/>
        <v>3924</v>
      </c>
      <c r="BG45" s="13">
        <f si="59" t="shared"/>
        <v>2552</v>
      </c>
      <c r="BH45" s="13">
        <f si="59" t="shared"/>
        <v>888</v>
      </c>
      <c r="BI45" s="13">
        <f si="59" t="shared"/>
        <v>61645</v>
      </c>
      <c r="BJ45" s="13">
        <f si="59" t="shared"/>
        <v>2342</v>
      </c>
      <c r="BK45" s="13">
        <f si="59" t="shared"/>
        <v>55</v>
      </c>
      <c r="BL45" s="13">
        <f si="59" t="shared"/>
        <v>320</v>
      </c>
      <c r="BM45" s="13">
        <f si="59" t="shared"/>
        <v>531</v>
      </c>
      <c r="BN45" s="13">
        <f si="59" t="shared"/>
        <v>36</v>
      </c>
      <c r="BO45" s="13">
        <f si="59" t="shared"/>
        <v>2452</v>
      </c>
      <c r="BP45" s="13">
        <f si="59" t="shared"/>
        <v>65</v>
      </c>
      <c r="BQ45" s="13">
        <f si="59" t="shared"/>
        <v>168</v>
      </c>
      <c r="BR45" s="13">
        <f si="59" t="shared"/>
        <v>0</v>
      </c>
      <c r="BS45" s="13">
        <f si="26" t="shared"/>
        <v>122375</v>
      </c>
    </row>
    <row r="46" spans="1:90" x14ac:dyDescent="0.45">
      <c r="A46">
        <v>13</v>
      </c>
      <c r="B46" s="62">
        <f ref="B46:W46" si="60" t="shared">IF($W19&gt;0,(B19/$W19)*$BS19,0)</f>
        <v>5696.367276668303</v>
      </c>
      <c r="C46" s="62">
        <f si="60" t="shared"/>
        <v>873.62146425188382</v>
      </c>
      <c r="D46" s="62">
        <f si="60" t="shared"/>
        <v>383.8117960854662</v>
      </c>
      <c r="E46" s="62">
        <f si="60" t="shared"/>
        <v>1432.0554260075808</v>
      </c>
      <c r="F46" s="62">
        <f si="60" t="shared"/>
        <v>1190.835600869272</v>
      </c>
      <c r="G46" s="62">
        <f si="60" t="shared"/>
        <v>3186.4880674997635</v>
      </c>
      <c r="H46" s="62">
        <f si="60" t="shared"/>
        <v>23087.833955786056</v>
      </c>
      <c r="I46" s="62">
        <f si="60" t="shared"/>
        <v>752.56578820350489</v>
      </c>
      <c r="J46" s="62">
        <f si="60" t="shared"/>
        <v>1355.3183592130442</v>
      </c>
      <c r="K46" s="62">
        <f si="60" t="shared"/>
        <v>611.12733596014255</v>
      </c>
      <c r="L46" s="62">
        <f si="60" t="shared"/>
        <v>1311.6430442820608</v>
      </c>
      <c r="M46" s="62">
        <f si="60" t="shared"/>
        <v>6381.9175921513806</v>
      </c>
      <c r="N46" s="62">
        <f si="60" t="shared"/>
        <v>48863.643229763315</v>
      </c>
      <c r="O46" s="62">
        <f si="60" t="shared"/>
        <v>149.68764028371265</v>
      </c>
      <c r="P46" s="62">
        <f si="60" t="shared"/>
        <v>2124.6712195611267</v>
      </c>
      <c r="Q46" s="62">
        <f si="60" t="shared"/>
        <v>0</v>
      </c>
      <c r="R46" s="62">
        <f si="60" t="shared"/>
        <v>0</v>
      </c>
      <c r="S46" s="62">
        <f si="60" t="shared"/>
        <v>2394.4122034133984</v>
      </c>
      <c r="T46" s="62">
        <f si="60" t="shared"/>
        <v>0</v>
      </c>
      <c r="U46" s="62">
        <f si="60" t="shared"/>
        <v>0</v>
      </c>
      <c r="V46" s="62">
        <f si="60" t="shared"/>
        <v>0</v>
      </c>
      <c r="W46" s="62">
        <f si="60" t="shared"/>
        <v>99796</v>
      </c>
      <c r="Y46">
        <v>13</v>
      </c>
      <c r="Z46" s="62">
        <f ref="Z46:AT46" si="61" t="shared">IF($AU19&gt;0,(Z19/$AU19)*$BS19,0)</f>
        <v>3979.1657641513111</v>
      </c>
      <c r="AA46" s="62">
        <f si="61" t="shared"/>
        <v>4428.2069422260311</v>
      </c>
      <c r="AB46" s="62">
        <f si="61" t="shared"/>
        <v>1174.116327087148</v>
      </c>
      <c r="AC46" s="62">
        <f si="61" t="shared"/>
        <v>1350.0393860298416</v>
      </c>
      <c r="AD46" s="62">
        <f si="61" t="shared"/>
        <v>1485.1405196930148</v>
      </c>
      <c r="AE46" s="62">
        <f si="61" t="shared"/>
        <v>7879.6035295492611</v>
      </c>
      <c r="AF46" s="62">
        <f si="61" t="shared"/>
        <v>16171.314114301298</v>
      </c>
      <c r="AG46" s="62">
        <f si="61" t="shared"/>
        <v>385.86438895165372</v>
      </c>
      <c r="AH46" s="62">
        <f si="61" t="shared"/>
        <v>4955.0041684522184</v>
      </c>
      <c r="AI46" s="62">
        <f si="61" t="shared"/>
        <v>1258.6760294518679</v>
      </c>
      <c r="AJ46" s="62">
        <f si="61" t="shared"/>
        <v>2184.9449530562156</v>
      </c>
      <c r="AK46" s="62">
        <f si="61" t="shared"/>
        <v>12608.143207760333</v>
      </c>
      <c r="AL46" s="62">
        <f si="61" t="shared"/>
        <v>33799.582180840705</v>
      </c>
      <c r="AM46" s="62">
        <f si="61" t="shared"/>
        <v>213.82913241653355</v>
      </c>
      <c r="AN46" s="62">
        <f si="61" t="shared"/>
        <v>3335.7344656979235</v>
      </c>
      <c r="AO46" s="62">
        <f si="61" t="shared"/>
        <v>257.56690950173362</v>
      </c>
      <c r="AP46" s="62">
        <f si="61" t="shared"/>
        <v>293.52908177178699</v>
      </c>
      <c r="AQ46" s="62">
        <f si="61" t="shared"/>
        <v>2490.1374420507227</v>
      </c>
      <c r="AR46" s="62">
        <f si="61" t="shared"/>
        <v>667.73006350072069</v>
      </c>
      <c r="AS46" s="62">
        <f si="61" t="shared"/>
        <v>877.67139350968091</v>
      </c>
      <c r="AT46" s="62">
        <f si="61" t="shared"/>
        <v>0</v>
      </c>
      <c r="AU46" s="62">
        <f si="24" t="shared"/>
        <v>99796</v>
      </c>
      <c r="AW46">
        <v>13</v>
      </c>
      <c r="AX46" s="13">
        <f ref="AX46:BR46" si="62" t="shared">AX19</f>
        <v>1383</v>
      </c>
      <c r="AY46" s="13">
        <f si="62" t="shared"/>
        <v>1537</v>
      </c>
      <c r="AZ46" s="13">
        <f si="62" t="shared"/>
        <v>492</v>
      </c>
      <c r="BA46" s="13">
        <f si="62" t="shared"/>
        <v>298</v>
      </c>
      <c r="BB46" s="13">
        <f si="62" t="shared"/>
        <v>378</v>
      </c>
      <c r="BC46" s="13">
        <f si="62" t="shared"/>
        <v>2477</v>
      </c>
      <c r="BD46" s="13">
        <f si="62" t="shared"/>
        <v>24519</v>
      </c>
      <c r="BE46" s="13">
        <f si="62" t="shared"/>
        <v>18</v>
      </c>
      <c r="BF46" s="13">
        <f si="62" t="shared"/>
        <v>2356</v>
      </c>
      <c r="BG46" s="13">
        <f si="62" t="shared"/>
        <v>250</v>
      </c>
      <c r="BH46" s="13">
        <f si="62" t="shared"/>
        <v>217</v>
      </c>
      <c r="BI46" s="13">
        <f si="62" t="shared"/>
        <v>8473</v>
      </c>
      <c r="BJ46" s="13">
        <f si="62" t="shared"/>
        <v>52267</v>
      </c>
      <c r="BK46" s="13">
        <f si="62" t="shared"/>
        <v>14</v>
      </c>
      <c r="BL46" s="13">
        <f si="62" t="shared"/>
        <v>2868</v>
      </c>
      <c r="BM46" s="13">
        <f si="62" t="shared"/>
        <v>39</v>
      </c>
      <c r="BN46" s="13">
        <f si="62" t="shared"/>
        <v>9</v>
      </c>
      <c r="BO46" s="13">
        <f si="62" t="shared"/>
        <v>2072</v>
      </c>
      <c r="BP46" s="13">
        <f si="62" t="shared"/>
        <v>79</v>
      </c>
      <c r="BQ46" s="13">
        <f si="62" t="shared"/>
        <v>50</v>
      </c>
      <c r="BR46" s="13">
        <f si="62" t="shared"/>
        <v>0</v>
      </c>
      <c r="BS46" s="13">
        <f si="26" t="shared"/>
        <v>99796</v>
      </c>
    </row>
    <row r="47" spans="1:90" x14ac:dyDescent="0.45">
      <c r="A47">
        <v>14</v>
      </c>
      <c r="B47" s="62">
        <f ref="B47:W47" si="63" t="shared">IF($W20&gt;0,(B20/$W20)*$BS20,0)</f>
        <v>3528.8287829379974</v>
      </c>
      <c r="C47" s="62">
        <f si="63" t="shared"/>
        <v>1032.6887773747846</v>
      </c>
      <c r="D47" s="62">
        <f si="63" t="shared"/>
        <v>83.20546269721784</v>
      </c>
      <c r="E47" s="62">
        <f si="63" t="shared"/>
        <v>102.32863954183016</v>
      </c>
      <c r="F47" s="62">
        <f si="63" t="shared"/>
        <v>397.79875403913792</v>
      </c>
      <c r="G47" s="62">
        <f si="63" t="shared"/>
        <v>1627.82065806329</v>
      </c>
      <c r="H47" s="62">
        <f si="63" t="shared"/>
        <v>590.83672415130241</v>
      </c>
      <c r="I47" s="62">
        <f si="63" t="shared"/>
        <v>55.915838915171811</v>
      </c>
      <c r="J47" s="62">
        <f si="63" t="shared"/>
        <v>687.62980300030767</v>
      </c>
      <c r="K47" s="62">
        <f si="63" t="shared"/>
        <v>308.31992821812452</v>
      </c>
      <c r="L47" s="62">
        <f si="63" t="shared"/>
        <v>1803.2888563153219</v>
      </c>
      <c r="M47" s="62">
        <f si="63" t="shared"/>
        <v>1119.5608466996516</v>
      </c>
      <c r="N47" s="62">
        <f si="63" t="shared"/>
        <v>0</v>
      </c>
      <c r="O47" s="62">
        <f si="63" t="shared"/>
        <v>9701.5955548704223</v>
      </c>
      <c r="P47" s="62">
        <f si="63" t="shared"/>
        <v>0</v>
      </c>
      <c r="Q47" s="62">
        <f si="63" t="shared"/>
        <v>0</v>
      </c>
      <c r="R47" s="62">
        <f si="63" t="shared"/>
        <v>867.36695441918039</v>
      </c>
      <c r="S47" s="62">
        <f si="63" t="shared"/>
        <v>0</v>
      </c>
      <c r="T47" s="62">
        <f si="63" t="shared"/>
        <v>38.814418756257204</v>
      </c>
      <c r="U47" s="62">
        <f si="63" t="shared"/>
        <v>0</v>
      </c>
      <c r="V47" s="62">
        <f si="63" t="shared"/>
        <v>0</v>
      </c>
      <c r="W47" s="62">
        <f si="63" t="shared"/>
        <v>21946</v>
      </c>
      <c r="Y47">
        <v>14</v>
      </c>
      <c r="Z47" s="62">
        <f ref="Z47:AT47" si="64" t="shared">IF($AU20&gt;0,(Z20/$AU20)*$BS20,0)</f>
        <v>1364.3360812099741</v>
      </c>
      <c r="AA47" s="62">
        <f si="64" t="shared"/>
        <v>1904.0898623790708</v>
      </c>
      <c r="AB47" s="62">
        <f si="64" t="shared"/>
        <v>618.24982967706774</v>
      </c>
      <c r="AC47" s="62">
        <f si="64" t="shared"/>
        <v>689.27006404142253</v>
      </c>
      <c r="AD47" s="62">
        <f si="64" t="shared"/>
        <v>649.64824908025616</v>
      </c>
      <c r="AE47" s="62">
        <f si="64" t="shared"/>
        <v>2586.6316936912385</v>
      </c>
      <c r="AF47" s="62">
        <f si="64" t="shared"/>
        <v>850.00006812917286</v>
      </c>
      <c r="AG47" s="62">
        <f si="64" t="shared"/>
        <v>476.95694236271976</v>
      </c>
      <c r="AH47" s="62">
        <f si="64" t="shared"/>
        <v>940.45741926693017</v>
      </c>
      <c r="AI47" s="62">
        <f si="64" t="shared"/>
        <v>479.94726802016629</v>
      </c>
      <c r="AJ47" s="62">
        <f si="64" t="shared"/>
        <v>2170.228845891811</v>
      </c>
      <c r="AK47" s="62">
        <f si="64" t="shared"/>
        <v>1630.4750647227145</v>
      </c>
      <c r="AL47" s="62">
        <f si="64" t="shared"/>
        <v>369.30521869464502</v>
      </c>
      <c r="AM47" s="62">
        <f si="64" t="shared"/>
        <v>4670.8886769314622</v>
      </c>
      <c r="AN47" s="62">
        <f si="64" t="shared"/>
        <v>257.1680065404006</v>
      </c>
      <c r="AO47" s="62">
        <f si="64" t="shared"/>
        <v>103.1662351819049</v>
      </c>
      <c r="AP47" s="62">
        <f si="64" t="shared"/>
        <v>1175.1979833764817</v>
      </c>
      <c r="AQ47" s="62">
        <f si="64" t="shared"/>
        <v>138.3025616569015</v>
      </c>
      <c r="AR47" s="62">
        <f si="64" t="shared"/>
        <v>720.66848344461107</v>
      </c>
      <c r="AS47" s="62">
        <f si="64" t="shared"/>
        <v>151.01144570104918</v>
      </c>
      <c r="AT47" s="62">
        <f si="64" t="shared"/>
        <v>0</v>
      </c>
      <c r="AU47" s="62">
        <f si="24" t="shared"/>
        <v>21945.999999999996</v>
      </c>
      <c r="AW47">
        <v>14</v>
      </c>
      <c r="AX47" s="13">
        <f ref="AX47:BR47" si="65" t="shared">AX20</f>
        <v>1284</v>
      </c>
      <c r="AY47" s="13">
        <f si="65" t="shared"/>
        <v>503</v>
      </c>
      <c r="AZ47" s="13">
        <f si="65" t="shared"/>
        <v>721</v>
      </c>
      <c r="BA47" s="13">
        <f si="65" t="shared"/>
        <v>528</v>
      </c>
      <c r="BB47" s="13">
        <f si="65" t="shared"/>
        <v>399</v>
      </c>
      <c r="BC47" s="13">
        <f si="65" t="shared"/>
        <v>1702</v>
      </c>
      <c r="BD47" s="13">
        <f si="65" t="shared"/>
        <v>231</v>
      </c>
      <c r="BE47" s="13">
        <f si="65" t="shared"/>
        <v>277</v>
      </c>
      <c r="BF47" s="13">
        <f si="65" t="shared"/>
        <v>536</v>
      </c>
      <c r="BG47" s="13">
        <f si="65" t="shared"/>
        <v>329</v>
      </c>
      <c r="BH47" s="13">
        <f si="65" t="shared"/>
        <v>2585</v>
      </c>
      <c r="BI47" s="13">
        <f si="65" t="shared"/>
        <v>679</v>
      </c>
      <c r="BJ47" s="13">
        <f si="65" t="shared"/>
        <v>20</v>
      </c>
      <c r="BK47" s="13">
        <f si="65" t="shared"/>
        <v>10078</v>
      </c>
      <c r="BL47" s="13">
        <f si="65" t="shared"/>
        <v>50</v>
      </c>
      <c r="BM47" s="13">
        <f si="65" t="shared"/>
        <v>23</v>
      </c>
      <c r="BN47" s="13">
        <f si="65" t="shared"/>
        <v>1598</v>
      </c>
      <c r="BO47" s="13">
        <f si="65" t="shared"/>
        <v>10</v>
      </c>
      <c r="BP47" s="13">
        <f si="65" t="shared"/>
        <v>393</v>
      </c>
      <c r="BQ47" s="13">
        <f si="65" t="shared"/>
        <v>0</v>
      </c>
      <c r="BR47" s="13">
        <f si="65" t="shared"/>
        <v>0</v>
      </c>
      <c r="BS47" s="13">
        <f si="26" t="shared"/>
        <v>21946</v>
      </c>
    </row>
    <row r="48" spans="1:90" x14ac:dyDescent="0.45">
      <c r="A48">
        <v>15</v>
      </c>
      <c r="B48" s="62">
        <f ref="B48:W48" si="66" t="shared">IF($W21&gt;0,(B21/$W21)*$BS21,0)</f>
        <v>2446.02787266107</v>
      </c>
      <c r="C48" s="62">
        <f si="66" t="shared"/>
        <v>3241.7482007631575</v>
      </c>
      <c r="D48" s="62">
        <f si="66" t="shared"/>
        <v>1190.3134977920638</v>
      </c>
      <c r="E48" s="62">
        <f si="66" t="shared"/>
        <v>725.58859675311089</v>
      </c>
      <c r="F48" s="62">
        <f si="66" t="shared"/>
        <v>436.2783623375837</v>
      </c>
      <c r="G48" s="62">
        <f si="66" t="shared"/>
        <v>1744.8649730753796</v>
      </c>
      <c r="H48" s="62">
        <f si="66" t="shared"/>
        <v>3063.3376389627797</v>
      </c>
      <c r="I48" s="62">
        <f si="66" t="shared"/>
        <v>0</v>
      </c>
      <c r="J48" s="62">
        <f si="66" t="shared"/>
        <v>5888.6129646374739</v>
      </c>
      <c r="K48" s="62">
        <f si="66" t="shared"/>
        <v>517.90347977528006</v>
      </c>
      <c r="L48" s="62">
        <f si="66" t="shared"/>
        <v>890.30361090371434</v>
      </c>
      <c r="M48" s="62">
        <f si="66" t="shared"/>
        <v>1310.9570895540085</v>
      </c>
      <c r="N48" s="62">
        <f si="66" t="shared"/>
        <v>5109.6009696612145</v>
      </c>
      <c r="O48" s="62">
        <f si="66" t="shared"/>
        <v>0</v>
      </c>
      <c r="P48" s="62">
        <f si="66" t="shared"/>
        <v>16413.163150559605</v>
      </c>
      <c r="Q48" s="62">
        <f si="66" t="shared"/>
        <v>0</v>
      </c>
      <c r="R48" s="62">
        <f si="66" t="shared"/>
        <v>0</v>
      </c>
      <c r="S48" s="62">
        <f si="66" t="shared"/>
        <v>0</v>
      </c>
      <c r="T48" s="62">
        <f si="66" t="shared"/>
        <v>111.29959256355819</v>
      </c>
      <c r="U48" s="62">
        <f si="66" t="shared"/>
        <v>0</v>
      </c>
      <c r="V48" s="62">
        <f si="66" t="shared"/>
        <v>0</v>
      </c>
      <c r="W48" s="62">
        <f si="66" t="shared"/>
        <v>43090</v>
      </c>
      <c r="Y48">
        <v>15</v>
      </c>
      <c r="Z48" s="62">
        <f ref="Z48:AT48" si="67" t="shared">IF($AU21&gt;0,(Z21/$AU21)*$BS21,0)</f>
        <v>2134.8415940173545</v>
      </c>
      <c r="AA48" s="62">
        <f si="67" t="shared"/>
        <v>2988.6031010587494</v>
      </c>
      <c r="AB48" s="62">
        <f si="67" t="shared"/>
        <v>632.22134162449959</v>
      </c>
      <c r="AC48" s="62">
        <f si="67" t="shared"/>
        <v>683.88485846085064</v>
      </c>
      <c r="AD48" s="62">
        <f si="67" t="shared"/>
        <v>873.02586925155958</v>
      </c>
      <c r="AE48" s="62">
        <f si="67" t="shared"/>
        <v>4222.3979353370314</v>
      </c>
      <c r="AF48" s="62">
        <f si="67" t="shared"/>
        <v>4065.6560791725092</v>
      </c>
      <c r="AG48" s="62">
        <f si="67" t="shared"/>
        <v>225.91842955556911</v>
      </c>
      <c r="AH48" s="62">
        <f si="67" t="shared"/>
        <v>4721.5200471458475</v>
      </c>
      <c r="AI48" s="62">
        <f si="67" t="shared"/>
        <v>577.93086630494417</v>
      </c>
      <c r="AJ48" s="62">
        <f si="67" t="shared"/>
        <v>1609.4498973764962</v>
      </c>
      <c r="AK48" s="62">
        <f si="67" t="shared"/>
        <v>3644.4670690320872</v>
      </c>
      <c r="AL48" s="62">
        <f si="67" t="shared"/>
        <v>4092.8013168322868</v>
      </c>
      <c r="AM48" s="62">
        <f si="67" t="shared"/>
        <v>143.60706374850128</v>
      </c>
      <c r="AN48" s="62">
        <f si="67" t="shared"/>
        <v>10471.932166880042</v>
      </c>
      <c r="AO48" s="62">
        <f si="67" t="shared"/>
        <v>109.45660346684549</v>
      </c>
      <c r="AP48" s="62">
        <f si="67" t="shared"/>
        <v>212.78363713954766</v>
      </c>
      <c r="AQ48" s="62">
        <f si="67" t="shared"/>
        <v>397.54638379158285</v>
      </c>
      <c r="AR48" s="62">
        <f si="67" t="shared"/>
        <v>1094.5660346684551</v>
      </c>
      <c r="AS48" s="62">
        <f si="67" t="shared"/>
        <v>187.3897051352395</v>
      </c>
      <c r="AT48" s="62">
        <f si="67" t="shared"/>
        <v>0</v>
      </c>
      <c r="AU48" s="62">
        <f si="24" t="shared"/>
        <v>43089.999999999993</v>
      </c>
      <c r="AW48">
        <v>15</v>
      </c>
      <c r="AX48" s="13">
        <f ref="AX48:BR48" si="68" t="shared">AX21</f>
        <v>1050</v>
      </c>
      <c r="AY48" s="13">
        <f si="68" t="shared"/>
        <v>1121</v>
      </c>
      <c r="AZ48" s="13">
        <f si="68" t="shared"/>
        <v>487</v>
      </c>
      <c r="BA48" s="13">
        <f si="68" t="shared"/>
        <v>197</v>
      </c>
      <c r="BB48" s="13">
        <f si="68" t="shared"/>
        <v>219</v>
      </c>
      <c r="BC48" s="13">
        <f si="68" t="shared"/>
        <v>1598</v>
      </c>
      <c r="BD48" s="13">
        <f si="68" t="shared"/>
        <v>2675</v>
      </c>
      <c r="BE48" s="13">
        <f si="68" t="shared"/>
        <v>33</v>
      </c>
      <c r="BF48" s="13">
        <f si="68" t="shared"/>
        <v>6598</v>
      </c>
      <c r="BG48" s="13">
        <f si="68" t="shared"/>
        <v>126</v>
      </c>
      <c r="BH48" s="13">
        <f si="68" t="shared"/>
        <v>905</v>
      </c>
      <c r="BI48" s="13">
        <f si="68" t="shared"/>
        <v>1395</v>
      </c>
      <c r="BJ48" s="13">
        <f si="68" t="shared"/>
        <v>5513</v>
      </c>
      <c r="BK48" s="13">
        <f si="68" t="shared"/>
        <v>27</v>
      </c>
      <c r="BL48" s="13">
        <f si="68" t="shared"/>
        <v>19415</v>
      </c>
      <c r="BM48" s="13">
        <f si="68" t="shared"/>
        <v>14</v>
      </c>
      <c r="BN48" s="13">
        <f si="68" t="shared"/>
        <v>95</v>
      </c>
      <c r="BO48" s="13">
        <f si="68" t="shared"/>
        <v>50</v>
      </c>
      <c r="BP48" s="13">
        <f si="68" t="shared"/>
        <v>1571</v>
      </c>
      <c r="BQ48" s="13">
        <f si="68" t="shared"/>
        <v>1</v>
      </c>
      <c r="BR48" s="13">
        <f si="68" t="shared"/>
        <v>0</v>
      </c>
      <c r="BS48" s="13">
        <f si="26" t="shared"/>
        <v>43090</v>
      </c>
    </row>
    <row r="49" spans="1:71" x14ac:dyDescent="0.45">
      <c r="A49">
        <v>16</v>
      </c>
      <c r="B49" s="62">
        <f ref="B49:W49" si="69" t="shared">IF($W22&gt;0,(B22/$W22)*$BS22,0)</f>
        <v>478.41841871581323</v>
      </c>
      <c r="C49" s="62">
        <f si="69" t="shared"/>
        <v>434.38516262973872</v>
      </c>
      <c r="D49" s="62">
        <f si="69" t="shared"/>
        <v>882.16238093957065</v>
      </c>
      <c r="E49" s="62">
        <f si="69" t="shared"/>
        <v>523.24268939427759</v>
      </c>
      <c r="F49" s="62">
        <f si="69" t="shared"/>
        <v>954.36149642674013</v>
      </c>
      <c r="G49" s="62">
        <f si="69" t="shared"/>
        <v>4990.0964969812303</v>
      </c>
      <c r="H49" s="62">
        <f si="69" t="shared"/>
        <v>628.49352183474264</v>
      </c>
      <c r="I49" s="62">
        <f si="69" t="shared"/>
        <v>794.43759769229439</v>
      </c>
      <c r="J49" s="62">
        <f si="69" t="shared"/>
        <v>818.26896696548067</v>
      </c>
      <c r="K49" s="62">
        <f si="69" t="shared"/>
        <v>930.20396748627672</v>
      </c>
      <c r="L49" s="62">
        <f si="69" t="shared"/>
        <v>0</v>
      </c>
      <c r="M49" s="62">
        <f si="69" t="shared"/>
        <v>4708.4203882431166</v>
      </c>
      <c r="N49" s="62">
        <f si="69" t="shared"/>
        <v>0</v>
      </c>
      <c r="O49" s="62">
        <f si="69" t="shared"/>
        <v>0</v>
      </c>
      <c r="P49" s="62">
        <f si="69" t="shared"/>
        <v>0</v>
      </c>
      <c r="Q49" s="62">
        <f si="69" t="shared"/>
        <v>189.50891269071775</v>
      </c>
      <c r="R49" s="62">
        <f si="69" t="shared"/>
        <v>0</v>
      </c>
      <c r="S49" s="62">
        <f si="69" t="shared"/>
        <v>0</v>
      </c>
      <c r="T49" s="62">
        <f si="69" t="shared"/>
        <v>0</v>
      </c>
      <c r="U49" s="62">
        <f si="69" t="shared"/>
        <v>0</v>
      </c>
      <c r="V49" s="62">
        <f si="69" t="shared"/>
        <v>0</v>
      </c>
      <c r="W49" s="62">
        <f si="69" t="shared"/>
        <v>16332</v>
      </c>
      <c r="Y49">
        <v>16</v>
      </c>
      <c r="Z49" s="62">
        <f ref="Z49:AT49" si="70" t="shared">IF($AU22&gt;0,(Z22/$AU22)*$BS22,0)</f>
        <v>1324.4613960377708</v>
      </c>
      <c r="AA49" s="62">
        <f si="70" t="shared"/>
        <v>1293.4665802629142</v>
      </c>
      <c r="AB49" s="62">
        <f si="70" t="shared"/>
        <v>271.39363080910942</v>
      </c>
      <c r="AC49" s="62">
        <f si="70" t="shared"/>
        <v>463.4102943899278</v>
      </c>
      <c r="AD49" s="62">
        <f si="70" t="shared"/>
        <v>691.71357156082206</v>
      </c>
      <c r="AE49" s="62">
        <f si="70" t="shared"/>
        <v>3963.5565635993335</v>
      </c>
      <c r="AF49" s="62">
        <f si="70" t="shared"/>
        <v>539.76337715237912</v>
      </c>
      <c r="AG49" s="62">
        <f si="70" t="shared"/>
        <v>89.20459174226994</v>
      </c>
      <c r="AH49" s="62">
        <f si="70" t="shared"/>
        <v>462.65432327346787</v>
      </c>
      <c r="AI49" s="62">
        <f si="70" t="shared"/>
        <v>1123.3730790594334</v>
      </c>
      <c r="AJ49" s="62">
        <f si="70" t="shared"/>
        <v>328.84743566006296</v>
      </c>
      <c r="AK49" s="62">
        <f si="70" t="shared"/>
        <v>3841.8452138492871</v>
      </c>
      <c r="AL49" s="62">
        <f si="70" t="shared"/>
        <v>297.85261988520642</v>
      </c>
      <c r="AM49" s="62">
        <f si="70" t="shared"/>
        <v>46.870209220514717</v>
      </c>
      <c r="AN49" s="62">
        <f si="70" t="shared"/>
        <v>100.54415848916867</v>
      </c>
      <c r="AO49" s="62">
        <f si="70" t="shared"/>
        <v>833.08017033882618</v>
      </c>
      <c r="AP49" s="62">
        <f si="70" t="shared"/>
        <v>24.191075726717276</v>
      </c>
      <c r="AQ49" s="62">
        <f si="70" t="shared"/>
        <v>403.68857618959453</v>
      </c>
      <c r="AR49" s="62">
        <f si="70" t="shared"/>
        <v>74.841140529531572</v>
      </c>
      <c r="AS49" s="62">
        <f si="70" t="shared"/>
        <v>157.24199222366229</v>
      </c>
      <c r="AT49" s="62">
        <f si="70" t="shared"/>
        <v>0</v>
      </c>
      <c r="AU49" s="62">
        <f si="24" t="shared"/>
        <v>16332</v>
      </c>
      <c r="AW49">
        <v>16</v>
      </c>
      <c r="AX49" s="13">
        <f ref="AX49:BR49" si="71" t="shared">AX22</f>
        <v>1118</v>
      </c>
      <c r="AY49" s="13">
        <f si="71" t="shared"/>
        <v>446</v>
      </c>
      <c r="AZ49" s="13">
        <f si="71" t="shared"/>
        <v>249</v>
      </c>
      <c r="BA49" s="13">
        <f si="71" t="shared"/>
        <v>304</v>
      </c>
      <c r="BB49" s="13">
        <f si="71" t="shared"/>
        <v>677</v>
      </c>
      <c r="BC49" s="13">
        <f si="71" t="shared"/>
        <v>3086</v>
      </c>
      <c r="BD49" s="13">
        <f si="71" t="shared"/>
        <v>381</v>
      </c>
      <c r="BE49" s="13">
        <f si="71" t="shared"/>
        <v>28</v>
      </c>
      <c r="BF49" s="13">
        <f si="71" t="shared"/>
        <v>218</v>
      </c>
      <c r="BG49" s="13">
        <f si="71" t="shared"/>
        <v>1523</v>
      </c>
      <c r="BH49" s="13">
        <f si="71" t="shared"/>
        <v>140</v>
      </c>
      <c r="BI49" s="13">
        <f si="71" t="shared"/>
        <v>5878</v>
      </c>
      <c r="BJ49" s="13">
        <f si="71" t="shared"/>
        <v>63</v>
      </c>
      <c r="BK49" s="13">
        <f si="71" t="shared"/>
        <v>5</v>
      </c>
      <c r="BL49" s="13">
        <f si="71" t="shared"/>
        <v>15</v>
      </c>
      <c r="BM49" s="13">
        <f si="71" t="shared"/>
        <v>1736</v>
      </c>
      <c r="BN49" s="13">
        <f si="71" t="shared"/>
        <v>5</v>
      </c>
      <c r="BO49" s="13">
        <f si="71" t="shared"/>
        <v>353</v>
      </c>
      <c r="BP49" s="13">
        <f si="71" t="shared"/>
        <v>4</v>
      </c>
      <c r="BQ49" s="13">
        <f si="71" t="shared"/>
        <v>103</v>
      </c>
      <c r="BR49" s="13">
        <f si="71" t="shared"/>
        <v>0</v>
      </c>
      <c r="BS49" s="13">
        <f si="26" t="shared"/>
        <v>16332</v>
      </c>
    </row>
    <row r="50" spans="1:71" x14ac:dyDescent="0.45">
      <c r="A50">
        <v>17</v>
      </c>
      <c r="B50" s="62">
        <f ref="B50:W50" si="72" t="shared">IF($W23&gt;0,(B23/$W23)*$BS23,0)</f>
        <v>1619.2372577827407</v>
      </c>
      <c r="C50" s="62">
        <f si="72" t="shared"/>
        <v>1711.9078838021871</v>
      </c>
      <c r="D50" s="62">
        <f si="72" t="shared"/>
        <v>581.36066774478832</v>
      </c>
      <c r="E50" s="62">
        <f si="72" t="shared"/>
        <v>1258.2025201441022</v>
      </c>
      <c r="F50" s="62">
        <f si="72" t="shared"/>
        <v>520.89993957334718</v>
      </c>
      <c r="G50" s="62">
        <f si="72" t="shared"/>
        <v>731.70732171005295</v>
      </c>
      <c r="H50" s="62">
        <f si="72" t="shared"/>
        <v>1418.1224897590346</v>
      </c>
      <c r="I50" s="62">
        <f si="72" t="shared"/>
        <v>0</v>
      </c>
      <c r="J50" s="62">
        <f si="72" t="shared"/>
        <v>433.34959149416591</v>
      </c>
      <c r="K50" s="62">
        <f si="72" t="shared"/>
        <v>0</v>
      </c>
      <c r="L50" s="62">
        <f si="72" t="shared"/>
        <v>6318.8177676348578</v>
      </c>
      <c r="M50" s="62">
        <f si="72" t="shared"/>
        <v>1753.7118132152514</v>
      </c>
      <c r="N50" s="62">
        <f si="72" t="shared"/>
        <v>0</v>
      </c>
      <c r="O50" s="62">
        <f si="72" t="shared"/>
        <v>941.20477769694583</v>
      </c>
      <c r="P50" s="62">
        <f si="72" t="shared"/>
        <v>103.08442352646254</v>
      </c>
      <c r="Q50" s="62">
        <f si="72" t="shared"/>
        <v>0</v>
      </c>
      <c r="R50" s="62">
        <f si="72" t="shared"/>
        <v>4733.3640103820426</v>
      </c>
      <c r="S50" s="62">
        <f si="72" t="shared"/>
        <v>0</v>
      </c>
      <c r="T50" s="62">
        <f si="72" t="shared"/>
        <v>1028.0295355340243</v>
      </c>
      <c r="U50" s="62">
        <f si="72" t="shared"/>
        <v>0</v>
      </c>
      <c r="V50" s="62">
        <f si="72" t="shared"/>
        <v>0</v>
      </c>
      <c r="W50" s="62">
        <f si="72" t="shared"/>
        <v>23153</v>
      </c>
      <c r="Y50">
        <v>17</v>
      </c>
      <c r="Z50" s="62">
        <f ref="Z50:AT50" si="73" t="shared">IF($AU23&gt;0,(Z23/$AU23)*$BS23,0)</f>
        <v>1327.5072463768115</v>
      </c>
      <c r="AA50" s="62">
        <f si="73" t="shared"/>
        <v>1782.2560386473428</v>
      </c>
      <c r="AB50" s="62">
        <f si="73" t="shared"/>
        <v>582.92753623188401</v>
      </c>
      <c r="AC50" s="62">
        <f si="73" t="shared"/>
        <v>608.23671497584542</v>
      </c>
      <c r="AD50" s="62">
        <f si="73" t="shared"/>
        <v>594.35748792270533</v>
      </c>
      <c r="AE50" s="62">
        <f si="73" t="shared"/>
        <v>2713.7971014492755</v>
      </c>
      <c r="AF50" s="62">
        <f si="73" t="shared"/>
        <v>872.75845410628028</v>
      </c>
      <c r="AG50" s="62">
        <f si="73" t="shared"/>
        <v>328.20289855072463</v>
      </c>
      <c r="AH50" s="62">
        <f si="73" t="shared"/>
        <v>972.36231884057963</v>
      </c>
      <c r="AI50" s="62">
        <f si="73" t="shared"/>
        <v>390.25120772946866</v>
      </c>
      <c r="AJ50" s="62">
        <f si="73" t="shared"/>
        <v>3435.5169082125608</v>
      </c>
      <c r="AK50" s="62">
        <f si="73" t="shared"/>
        <v>1538.9613526570047</v>
      </c>
      <c r="AL50" s="62">
        <f si="73" t="shared"/>
        <v>365.75845410628023</v>
      </c>
      <c r="AM50" s="62">
        <f si="73" t="shared"/>
        <v>1354.4492753623188</v>
      </c>
      <c r="AN50" s="62">
        <f si="73" t="shared"/>
        <v>350.24637681159419</v>
      </c>
      <c r="AO50" s="62">
        <f si="73" t="shared"/>
        <v>91.439613526570056</v>
      </c>
      <c r="AP50" s="62">
        <f si="73" t="shared"/>
        <v>2961.9903381642512</v>
      </c>
      <c r="AQ50" s="62">
        <f si="73" t="shared"/>
        <v>141.2415458937198</v>
      </c>
      <c r="AR50" s="62">
        <f si="73" t="shared"/>
        <v>2655.014492753623</v>
      </c>
      <c r="AS50" s="62">
        <f si="73" t="shared"/>
        <v>85.724637681159422</v>
      </c>
      <c r="AT50" s="62">
        <f si="73" t="shared"/>
        <v>0</v>
      </c>
      <c r="AU50" s="62">
        <f si="24" t="shared"/>
        <v>23153.000000000007</v>
      </c>
      <c r="AW50">
        <v>17</v>
      </c>
      <c r="AX50" s="13">
        <f ref="AX50:BR50" si="74" t="shared">AX23</f>
        <v>1068</v>
      </c>
      <c r="AY50" s="13">
        <f si="74" t="shared"/>
        <v>437</v>
      </c>
      <c r="AZ50" s="13">
        <f si="74" t="shared"/>
        <v>770</v>
      </c>
      <c r="BA50" s="13">
        <f si="74" t="shared"/>
        <v>390</v>
      </c>
      <c r="BB50" s="13">
        <f si="74" t="shared"/>
        <v>271</v>
      </c>
      <c r="BC50" s="13">
        <f si="74" t="shared"/>
        <v>1310</v>
      </c>
      <c r="BD50" s="13">
        <f si="74" t="shared"/>
        <v>208</v>
      </c>
      <c r="BE50" s="13">
        <f si="74" t="shared"/>
        <v>129</v>
      </c>
      <c r="BF50" s="13">
        <f si="74" t="shared"/>
        <v>699</v>
      </c>
      <c r="BG50" s="13">
        <f si="74" t="shared"/>
        <v>199</v>
      </c>
      <c r="BH50" s="13">
        <f si="74" t="shared"/>
        <v>4689</v>
      </c>
      <c r="BI50" s="13">
        <f si="74" t="shared"/>
        <v>551</v>
      </c>
      <c r="BJ50" s="13">
        <f si="74" t="shared"/>
        <v>23</v>
      </c>
      <c r="BK50" s="13">
        <f si="74" t="shared"/>
        <v>2674</v>
      </c>
      <c r="BL50" s="13">
        <f si="74" t="shared"/>
        <v>161</v>
      </c>
      <c r="BM50" s="13">
        <f si="74" t="shared"/>
        <v>16</v>
      </c>
      <c r="BN50" s="13">
        <f si="74" t="shared"/>
        <v>6503</v>
      </c>
      <c r="BO50" s="13">
        <f si="74" t="shared"/>
        <v>3</v>
      </c>
      <c r="BP50" s="13">
        <f si="74" t="shared"/>
        <v>3052</v>
      </c>
      <c r="BQ50" s="13">
        <f si="74" t="shared"/>
        <v>0</v>
      </c>
      <c r="BR50" s="13">
        <f si="74" t="shared"/>
        <v>0</v>
      </c>
      <c r="BS50" s="13">
        <f si="26" t="shared"/>
        <v>23153</v>
      </c>
    </row>
    <row r="51" spans="1:71" x14ac:dyDescent="0.45">
      <c r="A51">
        <v>18</v>
      </c>
      <c r="B51" s="62">
        <f ref="B51:W51" si="75" t="shared">IF($W24&gt;0,(B24/$W24)*$BS24,0)</f>
        <v>3882.4230639540806</v>
      </c>
      <c r="C51" s="62">
        <f si="75" t="shared"/>
        <v>1362.6507805598865</v>
      </c>
      <c r="D51" s="62">
        <f si="75" t="shared"/>
        <v>363.74346850114244</v>
      </c>
      <c r="E51" s="62">
        <f si="75" t="shared"/>
        <v>1449.2495956684716</v>
      </c>
      <c r="F51" s="62">
        <f si="75" t="shared"/>
        <v>812.24798832491092</v>
      </c>
      <c r="G51" s="62">
        <f si="75" t="shared"/>
        <v>3116.1515709906835</v>
      </c>
      <c r="H51" s="62">
        <f si="75" t="shared"/>
        <v>3938.7376595270475</v>
      </c>
      <c r="I51" s="62">
        <f si="75" t="shared"/>
        <v>0</v>
      </c>
      <c r="J51" s="62">
        <f si="75" t="shared"/>
        <v>0</v>
      </c>
      <c r="K51" s="62">
        <f si="75" t="shared"/>
        <v>217.36735530004566</v>
      </c>
      <c r="L51" s="62">
        <f si="75" t="shared"/>
        <v>0</v>
      </c>
      <c r="M51" s="62">
        <f si="75" t="shared"/>
        <v>22200.743982159031</v>
      </c>
      <c r="N51" s="62">
        <f si="75" t="shared"/>
        <v>10233.829546609477</v>
      </c>
      <c r="O51" s="62">
        <f si="75" t="shared"/>
        <v>0</v>
      </c>
      <c r="P51" s="62">
        <f si="75" t="shared"/>
        <v>0</v>
      </c>
      <c r="Q51" s="62">
        <f si="75" t="shared"/>
        <v>56.976767815865166</v>
      </c>
      <c r="R51" s="62">
        <f si="75" t="shared"/>
        <v>0</v>
      </c>
      <c r="S51" s="62">
        <f si="75" t="shared"/>
        <v>4489.926754551796</v>
      </c>
      <c r="T51" s="62">
        <f si="75" t="shared"/>
        <v>0</v>
      </c>
      <c r="U51" s="62">
        <f si="75" t="shared"/>
        <v>507.95146603756393</v>
      </c>
      <c r="V51" s="62">
        <f si="75" t="shared"/>
        <v>0</v>
      </c>
      <c r="W51" s="62">
        <f si="75" t="shared"/>
        <v>52632</v>
      </c>
      <c r="Y51">
        <v>18</v>
      </c>
      <c r="Z51" s="62">
        <f ref="Z51:AT51" si="76" t="shared">IF($AU24&gt;0,(Z24/$AU24)*$BS24,0)</f>
        <v>2410.259590120862</v>
      </c>
      <c r="AA51" s="62">
        <f si="76" t="shared"/>
        <v>2253.2632685233843</v>
      </c>
      <c r="AB51" s="62">
        <f si="76" t="shared"/>
        <v>505.96741986337361</v>
      </c>
      <c r="AC51" s="62">
        <f si="76" t="shared"/>
        <v>668.65790856542299</v>
      </c>
      <c r="AD51" s="62">
        <f si="76" t="shared"/>
        <v>878.52863899106671</v>
      </c>
      <c r="AE51" s="62">
        <f si="76" t="shared"/>
        <v>5630.7178139779298</v>
      </c>
      <c r="AF51" s="62">
        <f si="76" t="shared"/>
        <v>4041.2317393589074</v>
      </c>
      <c r="AG51" s="62">
        <f si="76" t="shared"/>
        <v>146.42143983184445</v>
      </c>
      <c r="AH51" s="62">
        <f si="76" t="shared"/>
        <v>1754.6169206516029</v>
      </c>
      <c r="AI51" s="62">
        <f si="76" t="shared"/>
        <v>849.24435102469783</v>
      </c>
      <c r="AJ51" s="62">
        <f si="76" t="shared"/>
        <v>776.03363110877558</v>
      </c>
      <c r="AK51" s="62">
        <f si="76" t="shared"/>
        <v>17105.277982133473</v>
      </c>
      <c r="AL51" s="62">
        <f si="76" t="shared"/>
        <v>5247.5817130846035</v>
      </c>
      <c r="AM51" s="62">
        <f si="76" t="shared"/>
        <v>109.81607987388334</v>
      </c>
      <c r="AN51" s="62">
        <f si="76" t="shared"/>
        <v>628.79873883342088</v>
      </c>
      <c r="AO51" s="62">
        <f si="76" t="shared"/>
        <v>338.39621650026271</v>
      </c>
      <c r="AP51" s="62">
        <f si="76" t="shared"/>
        <v>87.039411455596422</v>
      </c>
      <c r="AQ51" s="62">
        <f si="76" t="shared"/>
        <v>5686.846032580137</v>
      </c>
      <c r="AR51" s="62">
        <f si="76" t="shared"/>
        <v>239.96847083552285</v>
      </c>
      <c r="AS51" s="62">
        <f si="76" t="shared"/>
        <v>3273.3326326852339</v>
      </c>
      <c r="AT51" s="62">
        <f si="76" t="shared"/>
        <v>0</v>
      </c>
      <c r="AU51" s="62">
        <f si="24" t="shared"/>
        <v>52631.999999999993</v>
      </c>
      <c r="AW51">
        <v>18</v>
      </c>
      <c r="AX51" s="13">
        <f ref="AX51:BR51" si="77" t="shared">AX24</f>
        <v>994</v>
      </c>
      <c r="AY51" s="13">
        <f si="77" t="shared"/>
        <v>685</v>
      </c>
      <c r="AZ51" s="13">
        <f si="77" t="shared"/>
        <v>237</v>
      </c>
      <c r="BA51" s="13">
        <f si="77" t="shared"/>
        <v>197</v>
      </c>
      <c r="BB51" s="13">
        <f si="77" t="shared"/>
        <v>337</v>
      </c>
      <c r="BC51" s="13">
        <f si="77" t="shared"/>
        <v>2219</v>
      </c>
      <c r="BD51" s="13">
        <f si="77" t="shared"/>
        <v>2674</v>
      </c>
      <c r="BE51" s="13">
        <f si="77" t="shared"/>
        <v>17</v>
      </c>
      <c r="BF51" s="13">
        <f si="77" t="shared"/>
        <v>470</v>
      </c>
      <c r="BG51" s="13">
        <f si="77" t="shared"/>
        <v>407</v>
      </c>
      <c r="BH51" s="13">
        <f si="77" t="shared"/>
        <v>100</v>
      </c>
      <c r="BI51" s="13">
        <f si="77" t="shared"/>
        <v>21786</v>
      </c>
      <c r="BJ51" s="13">
        <f si="77" t="shared"/>
        <v>7651</v>
      </c>
      <c r="BK51" s="13">
        <f si="77" t="shared"/>
        <v>9</v>
      </c>
      <c r="BL51" s="13">
        <f si="77" t="shared"/>
        <v>118</v>
      </c>
      <c r="BM51" s="13">
        <f si="77" t="shared"/>
        <v>241</v>
      </c>
      <c r="BN51" s="13">
        <f si="77" t="shared"/>
        <v>13</v>
      </c>
      <c r="BO51" s="13">
        <f si="77" t="shared"/>
        <v>11557</v>
      </c>
      <c r="BP51" s="13">
        <f si="77" t="shared"/>
        <v>8</v>
      </c>
      <c r="BQ51" s="13">
        <f si="77" t="shared"/>
        <v>2912</v>
      </c>
      <c r="BR51" s="13">
        <f si="77" t="shared"/>
        <v>0</v>
      </c>
      <c r="BS51" s="13">
        <f si="26" t="shared"/>
        <v>52632</v>
      </c>
    </row>
    <row r="52" spans="1:71" x14ac:dyDescent="0.45">
      <c r="A52">
        <v>19</v>
      </c>
      <c r="B52" s="62">
        <f ref="B52:W52" si="78" t="shared">IF($W25&gt;0,(B25/$W25)*$BS25,0)</f>
        <v>3191.5192804914809</v>
      </c>
      <c r="C52" s="62">
        <f si="78" t="shared"/>
        <v>1028.6807663111933</v>
      </c>
      <c r="D52" s="62">
        <f si="78" t="shared"/>
        <v>1031.5621699388983</v>
      </c>
      <c r="E52" s="62">
        <f si="78" t="shared"/>
        <v>1393.6829478698696</v>
      </c>
      <c r="F52" s="62">
        <f si="78" t="shared"/>
        <v>1181.035220148641</v>
      </c>
      <c r="G52" s="62">
        <f si="78" t="shared"/>
        <v>2882.766504777474</v>
      </c>
      <c r="H52" s="62">
        <f si="78" t="shared"/>
        <v>2539.5151057276671</v>
      </c>
      <c r="I52" s="62">
        <f si="78" t="shared"/>
        <v>0</v>
      </c>
      <c r="J52" s="62">
        <f si="78" t="shared"/>
        <v>2911.1254864840585</v>
      </c>
      <c r="K52" s="62">
        <f si="78" t="shared"/>
        <v>356.44001207991516</v>
      </c>
      <c r="L52" s="62">
        <f si="78" t="shared"/>
        <v>10241.446630865197</v>
      </c>
      <c r="M52" s="62">
        <f si="78" t="shared"/>
        <v>0</v>
      </c>
      <c r="N52" s="62">
        <f si="78" t="shared"/>
        <v>0</v>
      </c>
      <c r="O52" s="62">
        <f si="78" t="shared"/>
        <v>1337.1758039012338</v>
      </c>
      <c r="P52" s="62">
        <f si="78" t="shared"/>
        <v>1181.3748559373419</v>
      </c>
      <c r="Q52" s="62">
        <f si="78" t="shared"/>
        <v>0</v>
      </c>
      <c r="R52" s="62">
        <f si="78" t="shared"/>
        <v>3170.180799542773</v>
      </c>
      <c r="S52" s="62">
        <f si="78" t="shared"/>
        <v>0</v>
      </c>
      <c r="T52" s="62">
        <f si="78" t="shared"/>
        <v>15095.494415924251</v>
      </c>
      <c r="U52" s="62">
        <f si="78" t="shared"/>
        <v>0</v>
      </c>
      <c r="V52" s="62">
        <f si="78" t="shared"/>
        <v>0</v>
      </c>
      <c r="W52" s="62">
        <f si="78" t="shared"/>
        <v>47542</v>
      </c>
      <c r="Y52">
        <v>19</v>
      </c>
      <c r="Z52" s="62">
        <f ref="Z52:AT52" si="79" t="shared">IF($AU25&gt;0,(Z25/$AU25)*$BS25,0)</f>
        <v>2491.6287569853494</v>
      </c>
      <c r="AA52" s="62">
        <f si="79" t="shared"/>
        <v>2782.4384534058299</v>
      </c>
      <c r="AB52" s="62">
        <f si="79" t="shared"/>
        <v>935.25834466092738</v>
      </c>
      <c r="AC52" s="62">
        <f si="79" t="shared"/>
        <v>1046.5558827971606</v>
      </c>
      <c r="AD52" s="62">
        <f si="79" t="shared"/>
        <v>1004.3705256003626</v>
      </c>
      <c r="AE52" s="62">
        <f si="79" t="shared"/>
        <v>4643.0819740220513</v>
      </c>
      <c r="AF52" s="62">
        <f si="79" t="shared"/>
        <v>1792.4289004682071</v>
      </c>
      <c r="AG52" s="62">
        <f si="79" t="shared"/>
        <v>370.6926068569702</v>
      </c>
      <c r="AH52" s="62">
        <f si="79" t="shared"/>
        <v>2336.3507400694757</v>
      </c>
      <c r="AI52" s="62">
        <f si="79" t="shared"/>
        <v>656.11693852892313</v>
      </c>
      <c r="AJ52" s="62">
        <f si="79" t="shared"/>
        <v>6435.5108744902591</v>
      </c>
      <c r="AK52" s="62">
        <f si="79" t="shared"/>
        <v>3228.5261667421842</v>
      </c>
      <c r="AL52" s="62">
        <f si="79" t="shared"/>
        <v>822.16568494185174</v>
      </c>
      <c r="AM52" s="62">
        <f si="79" t="shared"/>
        <v>736.89740975683435</v>
      </c>
      <c r="AN52" s="62">
        <f si="79" t="shared"/>
        <v>1693.6972134118714</v>
      </c>
      <c r="AO52" s="62">
        <f si="79" t="shared"/>
        <v>140.01948346171275</v>
      </c>
      <c r="AP52" s="62">
        <f si="79" t="shared"/>
        <v>3083.1213185319439</v>
      </c>
      <c r="AQ52" s="62">
        <f si="79" t="shared"/>
        <v>255.80482555505213</v>
      </c>
      <c r="AR52" s="62">
        <f si="79" t="shared"/>
        <v>12912.309545385893</v>
      </c>
      <c r="AS52" s="62">
        <f si="79" t="shared"/>
        <v>175.02435432714091</v>
      </c>
      <c r="AT52" s="62">
        <f si="79" t="shared"/>
        <v>0</v>
      </c>
      <c r="AU52" s="62">
        <f si="24" t="shared"/>
        <v>47542.000000000007</v>
      </c>
      <c r="AW52">
        <v>19</v>
      </c>
      <c r="AX52" s="13">
        <f ref="AX52:BR52" si="80" t="shared">AX25</f>
        <v>1259</v>
      </c>
      <c r="AY52" s="13">
        <f si="80" t="shared"/>
        <v>659</v>
      </c>
      <c r="AZ52" s="13">
        <f si="80" t="shared"/>
        <v>886</v>
      </c>
      <c r="BA52" s="13">
        <f si="80" t="shared"/>
        <v>417</v>
      </c>
      <c r="BB52" s="13">
        <f si="80" t="shared"/>
        <v>314</v>
      </c>
      <c r="BC52" s="13">
        <f si="80" t="shared"/>
        <v>1618</v>
      </c>
      <c r="BD52" s="13">
        <f si="80" t="shared"/>
        <v>427</v>
      </c>
      <c r="BE52" s="13">
        <f si="80" t="shared"/>
        <v>132</v>
      </c>
      <c r="BF52" s="13">
        <f si="80" t="shared"/>
        <v>2207</v>
      </c>
      <c r="BG52" s="13">
        <f si="80" t="shared"/>
        <v>219</v>
      </c>
      <c r="BH52" s="13">
        <f si="80" t="shared"/>
        <v>11055</v>
      </c>
      <c r="BI52" s="13">
        <f si="80" t="shared"/>
        <v>783</v>
      </c>
      <c r="BJ52" s="13">
        <f si="80" t="shared"/>
        <v>152</v>
      </c>
      <c r="BK52" s="13">
        <f si="80" t="shared"/>
        <v>737</v>
      </c>
      <c r="BL52" s="13">
        <f si="80" t="shared"/>
        <v>2837</v>
      </c>
      <c r="BM52" s="13">
        <f si="80" t="shared"/>
        <v>19</v>
      </c>
      <c r="BN52" s="13">
        <f si="80" t="shared"/>
        <v>5126</v>
      </c>
      <c r="BO52" s="13">
        <f si="80" t="shared"/>
        <v>6</v>
      </c>
      <c r="BP52" s="13">
        <f si="80" t="shared"/>
        <v>18688</v>
      </c>
      <c r="BQ52" s="13">
        <f si="80" t="shared"/>
        <v>1</v>
      </c>
      <c r="BR52" s="13">
        <f si="80" t="shared"/>
        <v>0</v>
      </c>
      <c r="BS52" s="13">
        <f si="26" t="shared"/>
        <v>47542</v>
      </c>
    </row>
    <row r="53" spans="1:71" x14ac:dyDescent="0.45">
      <c r="A53">
        <v>20</v>
      </c>
      <c r="B53" s="44">
        <f ref="B53:W53" si="81" t="shared">IF($W26&gt;0,(B26/$W26)*$BS26,0)</f>
        <v>737.71891958706794</v>
      </c>
      <c r="C53" s="44">
        <f si="81" t="shared"/>
        <v>395.34925025406187</v>
      </c>
      <c r="D53" s="44">
        <f si="81" t="shared"/>
        <v>395.34925025406187</v>
      </c>
      <c r="E53" s="44">
        <f si="81" t="shared"/>
        <v>529.60798621497122</v>
      </c>
      <c r="F53" s="44">
        <f si="81" t="shared"/>
        <v>75.193758023086914</v>
      </c>
      <c r="G53" s="44">
        <f si="81" t="shared"/>
        <v>776.0983406071216</v>
      </c>
      <c r="H53" s="44">
        <f si="81" t="shared"/>
        <v>1812.945057851507</v>
      </c>
      <c r="I53" s="44">
        <f si="81" t="shared"/>
        <v>0</v>
      </c>
      <c r="J53" s="44">
        <f si="81" t="shared"/>
        <v>0</v>
      </c>
      <c r="K53" s="44">
        <f si="81" t="shared"/>
        <v>156.58381090250211</v>
      </c>
      <c r="L53" s="44">
        <f si="81" t="shared"/>
        <v>114.71978351416291</v>
      </c>
      <c r="M53" s="44">
        <f si="81" t="shared"/>
        <v>6315.3853271947737</v>
      </c>
      <c r="N53" s="44">
        <f si="81" t="shared"/>
        <v>40.413554582311725</v>
      </c>
      <c r="O53" s="44">
        <f si="81" t="shared"/>
        <v>0</v>
      </c>
      <c r="P53" s="44">
        <f si="81" t="shared"/>
        <v>0</v>
      </c>
      <c r="Q53" s="44">
        <f si="81" t="shared"/>
        <v>0</v>
      </c>
      <c r="R53" s="44">
        <f si="81" t="shared"/>
        <v>0</v>
      </c>
      <c r="S53" s="44">
        <f si="81" t="shared"/>
        <v>3664.6982954592963</v>
      </c>
      <c r="T53" s="44">
        <f si="81" t="shared"/>
        <v>0</v>
      </c>
      <c r="U53" s="44">
        <f si="81" t="shared"/>
        <v>15887.936665555075</v>
      </c>
      <c r="V53" s="44">
        <f si="81" t="shared"/>
        <v>0</v>
      </c>
      <c r="W53" s="62">
        <f si="81" t="shared"/>
        <v>30902</v>
      </c>
      <c r="Y53">
        <v>20</v>
      </c>
      <c r="Z53" s="44">
        <f ref="Z53:AT53" si="82" t="shared">IF($AU26&gt;0,(Z26/$AU26)*$BS26,0)</f>
        <v>862.9106106213718</v>
      </c>
      <c r="AA53" s="44">
        <f si="82" t="shared"/>
        <v>919.38599225972916</v>
      </c>
      <c r="AB53" s="44">
        <f si="82" t="shared"/>
        <v>254.13921737260802</v>
      </c>
      <c r="AC53" s="44">
        <f si="82" t="shared"/>
        <v>333.86916792087726</v>
      </c>
      <c r="AD53" s="44">
        <f si="82" t="shared"/>
        <v>396.15819178671251</v>
      </c>
      <c r="AE53" s="44">
        <f si="82" t="shared"/>
        <v>1845.4161470651472</v>
      </c>
      <c r="AF53" s="44">
        <f si="82" t="shared"/>
        <v>1331.3240700924532</v>
      </c>
      <c r="AG53" s="44">
        <f si="82" t="shared"/>
        <v>117.93388518598151</v>
      </c>
      <c r="AH53" s="44">
        <f si="82" t="shared"/>
        <v>840.48656202967106</v>
      </c>
      <c r="AI53" s="44">
        <f si="82" t="shared"/>
        <v>395.32767146850142</v>
      </c>
      <c r="AJ53" s="44">
        <f si="82" t="shared"/>
        <v>328.05552569339932</v>
      </c>
      <c r="AK53" s="44">
        <f si="82" t="shared"/>
        <v>5939.8813158460543</v>
      </c>
      <c r="AL53" s="44">
        <f si="82" t="shared"/>
        <v>1004.099064717265</v>
      </c>
      <c r="AM53" s="44">
        <f si="82" t="shared"/>
        <v>107.96764136744787</v>
      </c>
      <c r="AN53" s="44">
        <f si="82" t="shared"/>
        <v>247.4950548269189</v>
      </c>
      <c r="AO53" s="44">
        <f si="82" t="shared"/>
        <v>170.25666523328317</v>
      </c>
      <c r="AP53" s="44">
        <f si="82" t="shared"/>
        <v>46.509137819823692</v>
      </c>
      <c r="AQ53" s="44">
        <f si="82" t="shared"/>
        <v>4415.8765319286176</v>
      </c>
      <c r="AR53" s="44">
        <f si="82" t="shared"/>
        <v>156.96834014190495</v>
      </c>
      <c r="AS53" s="44">
        <f si="82" t="shared"/>
        <v>11187.939206622232</v>
      </c>
      <c r="AT53" s="44">
        <f si="82" t="shared"/>
        <v>0</v>
      </c>
      <c r="AU53" s="62">
        <f si="24" t="shared"/>
        <v>30902</v>
      </c>
      <c r="AW53">
        <v>20</v>
      </c>
      <c r="AX53" s="13">
        <f ref="AX53:BR53" si="83" t="shared">AX26</f>
        <v>158</v>
      </c>
      <c r="AY53" s="13">
        <f si="83" t="shared"/>
        <v>101</v>
      </c>
      <c r="AZ53" s="13">
        <f si="83" t="shared"/>
        <v>45</v>
      </c>
      <c r="BA53" s="13">
        <f si="83" t="shared"/>
        <v>34</v>
      </c>
      <c r="BB53" s="13">
        <f si="83" t="shared"/>
        <v>55</v>
      </c>
      <c r="BC53" s="13">
        <f si="83" t="shared"/>
        <v>355</v>
      </c>
      <c r="BD53" s="13">
        <f si="83" t="shared"/>
        <v>184</v>
      </c>
      <c r="BE53" s="13">
        <f si="83" t="shared"/>
        <v>2</v>
      </c>
      <c r="BF53" s="13">
        <f si="83" t="shared"/>
        <v>63</v>
      </c>
      <c r="BG53" s="13">
        <f si="83" t="shared"/>
        <v>81</v>
      </c>
      <c r="BH53" s="13">
        <f si="83" t="shared"/>
        <v>16</v>
      </c>
      <c r="BI53" s="13">
        <f si="83" t="shared"/>
        <v>4001</v>
      </c>
      <c r="BJ53" s="13">
        <f si="83" t="shared"/>
        <v>172</v>
      </c>
      <c r="BK53" s="13">
        <f si="83" t="shared"/>
        <v>3</v>
      </c>
      <c r="BL53" s="13">
        <f si="83" t="shared"/>
        <v>5</v>
      </c>
      <c r="BM53" s="13">
        <f si="83" t="shared"/>
        <v>113</v>
      </c>
      <c r="BN53" s="13">
        <f si="83" t="shared"/>
        <v>1</v>
      </c>
      <c r="BO53" s="13">
        <f si="83" t="shared"/>
        <v>6292</v>
      </c>
      <c r="BP53" s="13">
        <f si="83" t="shared"/>
        <v>1</v>
      </c>
      <c r="BQ53" s="13">
        <f si="83" t="shared"/>
        <v>19220</v>
      </c>
      <c r="BR53" s="13">
        <f si="83" t="shared"/>
        <v>0</v>
      </c>
      <c r="BS53" s="13">
        <f si="26" t="shared"/>
        <v>30902</v>
      </c>
    </row>
    <row r="54" spans="1:71" x14ac:dyDescent="0.45">
      <c r="A54" s="80" t="s">
        <v>15</v>
      </c>
      <c r="B54" s="46">
        <f ref="B54:W54" si="84" t="shared">IF($W27&gt;0,(B27/$W27)*$BS27,0)</f>
        <v>0</v>
      </c>
      <c r="C54" s="46">
        <f si="84" t="shared"/>
        <v>0</v>
      </c>
      <c r="D54" s="46">
        <f si="84" t="shared"/>
        <v>0</v>
      </c>
      <c r="E54" s="46">
        <f si="84" t="shared"/>
        <v>0</v>
      </c>
      <c r="F54" s="46">
        <f si="84" t="shared"/>
        <v>0</v>
      </c>
      <c r="G54" s="46">
        <f si="84" t="shared"/>
        <v>0</v>
      </c>
      <c r="H54" s="46">
        <f si="84" t="shared"/>
        <v>0</v>
      </c>
      <c r="I54" s="46">
        <f si="84" t="shared"/>
        <v>0</v>
      </c>
      <c r="J54" s="46">
        <f si="84" t="shared"/>
        <v>0</v>
      </c>
      <c r="K54" s="46">
        <f si="84" t="shared"/>
        <v>0</v>
      </c>
      <c r="L54" s="46">
        <f si="84" t="shared"/>
        <v>0</v>
      </c>
      <c r="M54" s="46">
        <f si="84" t="shared"/>
        <v>0</v>
      </c>
      <c r="N54" s="46">
        <f si="84" t="shared"/>
        <v>0</v>
      </c>
      <c r="O54" s="46">
        <f si="84" t="shared"/>
        <v>0</v>
      </c>
      <c r="P54" s="46">
        <f si="84" t="shared"/>
        <v>0</v>
      </c>
      <c r="Q54" s="46">
        <f si="84" t="shared"/>
        <v>0</v>
      </c>
      <c r="R54" s="46">
        <f si="84" t="shared"/>
        <v>0</v>
      </c>
      <c r="S54" s="46">
        <f si="84" t="shared"/>
        <v>0</v>
      </c>
      <c r="T54" s="46">
        <f si="84" t="shared"/>
        <v>0</v>
      </c>
      <c r="U54" s="46">
        <f si="84" t="shared"/>
        <v>0</v>
      </c>
      <c r="V54" s="46">
        <f si="84" t="shared"/>
        <v>0</v>
      </c>
      <c r="W54" s="62">
        <f si="84" t="shared"/>
        <v>0</v>
      </c>
      <c r="Y54" s="80" t="s">
        <v>15</v>
      </c>
      <c r="Z54" s="46">
        <f ref="Z54:AT54" si="85" t="shared">IF($AU27&gt;0,(Z27/$AU27)*$BS27,0)</f>
        <v>0</v>
      </c>
      <c r="AA54" s="46">
        <f si="85" t="shared"/>
        <v>0</v>
      </c>
      <c r="AB54" s="46">
        <f si="85" t="shared"/>
        <v>0</v>
      </c>
      <c r="AC54" s="46">
        <f si="85" t="shared"/>
        <v>0</v>
      </c>
      <c r="AD54" s="46">
        <f si="85" t="shared"/>
        <v>0</v>
      </c>
      <c r="AE54" s="46">
        <f si="85" t="shared"/>
        <v>0</v>
      </c>
      <c r="AF54" s="46">
        <f si="85" t="shared"/>
        <v>0</v>
      </c>
      <c r="AG54" s="46">
        <f si="85" t="shared"/>
        <v>0</v>
      </c>
      <c r="AH54" s="46">
        <f si="85" t="shared"/>
        <v>0</v>
      </c>
      <c r="AI54" s="46">
        <f si="85" t="shared"/>
        <v>0</v>
      </c>
      <c r="AJ54" s="46">
        <f si="85" t="shared"/>
        <v>0</v>
      </c>
      <c r="AK54" s="46">
        <f si="85" t="shared"/>
        <v>0</v>
      </c>
      <c r="AL54" s="46">
        <f si="85" t="shared"/>
        <v>0</v>
      </c>
      <c r="AM54" s="46">
        <f si="85" t="shared"/>
        <v>0</v>
      </c>
      <c r="AN54" s="46">
        <f si="85" t="shared"/>
        <v>0</v>
      </c>
      <c r="AO54" s="46">
        <f si="85" t="shared"/>
        <v>0</v>
      </c>
      <c r="AP54" s="46">
        <f si="85" t="shared"/>
        <v>0</v>
      </c>
      <c r="AQ54" s="46">
        <f si="85" t="shared"/>
        <v>0</v>
      </c>
      <c r="AR54" s="46">
        <f si="85" t="shared"/>
        <v>0</v>
      </c>
      <c r="AS54" s="46">
        <f si="85" t="shared"/>
        <v>0</v>
      </c>
      <c r="AT54" s="46">
        <f si="85" t="shared"/>
        <v>0</v>
      </c>
      <c r="AU54" s="62">
        <f si="24" t="shared"/>
        <v>0</v>
      </c>
      <c r="AW54" s="80" t="s">
        <v>15</v>
      </c>
      <c r="AX54" s="13">
        <f ref="AX54:BR54" si="86" t="shared">AX27</f>
        <v>0</v>
      </c>
      <c r="AY54" s="13">
        <f si="86" t="shared"/>
        <v>0</v>
      </c>
      <c r="AZ54" s="13">
        <f si="86" t="shared"/>
        <v>0</v>
      </c>
      <c r="BA54" s="13">
        <f si="86" t="shared"/>
        <v>0</v>
      </c>
      <c r="BB54" s="13">
        <f si="86" t="shared"/>
        <v>0</v>
      </c>
      <c r="BC54" s="13">
        <f si="86" t="shared"/>
        <v>0</v>
      </c>
      <c r="BD54" s="13">
        <f si="86" t="shared"/>
        <v>0</v>
      </c>
      <c r="BE54" s="13">
        <f si="86" t="shared"/>
        <v>0</v>
      </c>
      <c r="BF54" s="13">
        <f si="86" t="shared"/>
        <v>0</v>
      </c>
      <c r="BG54" s="13">
        <f si="86" t="shared"/>
        <v>0</v>
      </c>
      <c r="BH54" s="13">
        <f si="86" t="shared"/>
        <v>0</v>
      </c>
      <c r="BI54" s="13">
        <f si="86" t="shared"/>
        <v>0</v>
      </c>
      <c r="BJ54" s="13">
        <f si="86" t="shared"/>
        <v>0</v>
      </c>
      <c r="BK54" s="13">
        <f si="86" t="shared"/>
        <v>0</v>
      </c>
      <c r="BL54" s="13">
        <f si="86" t="shared"/>
        <v>0</v>
      </c>
      <c r="BM54" s="13">
        <f si="86" t="shared"/>
        <v>0</v>
      </c>
      <c r="BN54" s="13">
        <f si="86" t="shared"/>
        <v>0</v>
      </c>
      <c r="BO54" s="13">
        <f si="86" t="shared"/>
        <v>0</v>
      </c>
      <c r="BP54" s="13">
        <f si="86" t="shared"/>
        <v>0</v>
      </c>
      <c r="BQ54" s="13">
        <f si="86" t="shared"/>
        <v>0</v>
      </c>
      <c r="BR54" s="13">
        <f si="86" t="shared"/>
        <v>0</v>
      </c>
      <c r="BS54" s="14">
        <f>SUM(AX54:BR54)</f>
        <v>0</v>
      </c>
    </row>
    <row ht="14.65" r="55" spans="1:71" thickBot="1" x14ac:dyDescent="0.5">
      <c r="A55" s="1" t="s">
        <v>3</v>
      </c>
      <c r="B55" s="86">
        <f ref="B55:W55" si="87" t="shared">IF($W28&gt;0,(B28/$W28)*$BS28,0)</f>
        <v>88906.182321098691</v>
      </c>
      <c r="C55" s="86">
        <f si="87" t="shared"/>
        <v>35676.951809399434</v>
      </c>
      <c r="D55" s="86">
        <f si="87" t="shared"/>
        <v>21653.438378808769</v>
      </c>
      <c r="E55" s="86">
        <f si="87" t="shared"/>
        <v>26459.816332767474</v>
      </c>
      <c r="F55" s="86">
        <f si="87" t="shared"/>
        <v>24520.534602404598</v>
      </c>
      <c r="G55" s="86">
        <f si="87" t="shared"/>
        <v>123707.3310605295</v>
      </c>
      <c r="H55" s="86">
        <f si="87" t="shared"/>
        <v>79088.726909534715</v>
      </c>
      <c r="I55" s="86">
        <f si="87" t="shared"/>
        <v>3919.738213324164</v>
      </c>
      <c r="J55" s="86">
        <f si="87" t="shared"/>
        <v>58414.972418132311</v>
      </c>
      <c r="K55" s="86">
        <f si="87" t="shared"/>
        <v>14924.612019766513</v>
      </c>
      <c r="L55" s="86">
        <f si="87" t="shared"/>
        <v>42612.833820116626</v>
      </c>
      <c r="M55" s="86">
        <f si="87" t="shared"/>
        <v>159719.16724771252</v>
      </c>
      <c r="N55" s="86">
        <f si="87" t="shared"/>
        <v>62481.033979814951</v>
      </c>
      <c r="O55" s="86">
        <f si="87" t="shared"/>
        <v>14160.557626638967</v>
      </c>
      <c r="P55" s="86">
        <f si="87" t="shared"/>
        <v>19724.860539183908</v>
      </c>
      <c r="Q55" s="86">
        <f si="87" t="shared"/>
        <v>2192.5007660278366</v>
      </c>
      <c r="R55" s="86">
        <f si="87" t="shared"/>
        <v>9723.8644536263346</v>
      </c>
      <c r="S55" s="86">
        <f si="87" t="shared"/>
        <v>13916.531359516643</v>
      </c>
      <c r="T55" s="86">
        <f si="87" t="shared"/>
        <v>18002.312408872851</v>
      </c>
      <c r="U55" s="86">
        <f si="87" t="shared"/>
        <v>18369.033732723354</v>
      </c>
      <c r="V55" s="86">
        <f si="87" t="shared"/>
        <v>0</v>
      </c>
      <c r="W55" s="86">
        <f si="87" t="shared"/>
        <v>838175</v>
      </c>
      <c r="Y55" s="1" t="s">
        <v>3</v>
      </c>
      <c r="Z55" s="86">
        <f>SUM(Z34:Z53)</f>
        <v>61994.393952536062</v>
      </c>
      <c r="AA55" s="86">
        <f ref="AA55:AS55" si="88" t="shared">SUM(AA34:AA53)</f>
        <v>64791.616557937239</v>
      </c>
      <c r="AB55" s="86">
        <f si="88" t="shared"/>
        <v>21032.233411331239</v>
      </c>
      <c r="AC55" s="86">
        <f si="88" t="shared"/>
        <v>20025.637876396635</v>
      </c>
      <c r="AD55" s="86">
        <f si="88" t="shared"/>
        <v>23699.572032701555</v>
      </c>
      <c r="AE55" s="86">
        <f si="88" t="shared"/>
        <v>134115.782326477</v>
      </c>
      <c r="AF55" s="86">
        <f si="88" t="shared"/>
        <v>75039.689357400712</v>
      </c>
      <c r="AG55" s="86">
        <f si="88" t="shared"/>
        <v>6080.0782622354609</v>
      </c>
      <c r="AH55" s="86">
        <f si="88" t="shared"/>
        <v>49804.529843887227</v>
      </c>
      <c r="AI55" s="86">
        <f si="88" t="shared"/>
        <v>18624.781390735643</v>
      </c>
      <c r="AJ55" s="86">
        <f si="88" t="shared"/>
        <v>43380.202212499782</v>
      </c>
      <c r="AK55" s="86">
        <f si="88" t="shared"/>
        <v>143650.19015566274</v>
      </c>
      <c r="AL55" s="86">
        <f si="88" t="shared"/>
        <v>60163.184984376487</v>
      </c>
      <c r="AM55" s="86">
        <f si="88" t="shared"/>
        <v>9443.1786011355562</v>
      </c>
      <c r="AN55" s="86">
        <f si="88" t="shared"/>
        <v>27272.251839650497</v>
      </c>
      <c r="AO55" s="86">
        <f si="88" t="shared"/>
        <v>4634.5352202811782</v>
      </c>
      <c r="AP55" s="86">
        <f si="88" t="shared"/>
        <v>9966.6835237006999</v>
      </c>
      <c r="AQ55" s="86">
        <f si="88" t="shared"/>
        <v>20461.11622888859</v>
      </c>
      <c r="AR55" s="86">
        <f si="88" t="shared"/>
        <v>25375.529779971108</v>
      </c>
      <c r="AS55" s="86">
        <f si="88" t="shared"/>
        <v>18619.81244219459</v>
      </c>
      <c r="AT55" s="86">
        <f>IF($AU28&gt;0,(AT28/$AU28)*$BS28,0)</f>
        <v>0</v>
      </c>
      <c r="AU55" s="86">
        <f si="24" t="shared"/>
        <v>838174.99999999988</v>
      </c>
      <c r="AW55" s="1" t="s">
        <v>3</v>
      </c>
      <c r="AX55" s="40">
        <f>SUM(AX34:AX54)</f>
        <v>54561</v>
      </c>
      <c r="AY55" s="40">
        <f ref="AY55:BS55" si="89" t="shared">SUM(AY34:AY54)</f>
        <v>35769</v>
      </c>
      <c r="AZ55" s="40">
        <f si="89" t="shared"/>
        <v>22365</v>
      </c>
      <c r="BA55" s="40">
        <f si="89" t="shared"/>
        <v>14532</v>
      </c>
      <c r="BB55" s="40">
        <f si="89" t="shared"/>
        <v>17563</v>
      </c>
      <c r="BC55" s="40">
        <f si="89" t="shared"/>
        <v>97510</v>
      </c>
      <c r="BD55" s="40">
        <f si="89" t="shared"/>
        <v>87842</v>
      </c>
      <c r="BE55" s="40">
        <f si="89" t="shared"/>
        <v>2420</v>
      </c>
      <c r="BF55" s="40">
        <f si="89" t="shared"/>
        <v>56060</v>
      </c>
      <c r="BG55" s="40">
        <f si="89" t="shared"/>
        <v>17375</v>
      </c>
      <c r="BH55" s="40">
        <f si="89" t="shared"/>
        <v>47935</v>
      </c>
      <c r="BI55" s="40">
        <f si="89" t="shared"/>
        <v>162422</v>
      </c>
      <c r="BJ55" s="40">
        <f si="89" t="shared"/>
        <v>80256</v>
      </c>
      <c r="BK55" s="40">
        <f si="89" t="shared"/>
        <v>14989</v>
      </c>
      <c r="BL55" s="40">
        <f si="89" t="shared"/>
        <v>32841</v>
      </c>
      <c r="BM55" s="40">
        <f si="89" t="shared"/>
        <v>4087</v>
      </c>
      <c r="BN55" s="40">
        <f si="89" t="shared"/>
        <v>15046</v>
      </c>
      <c r="BO55" s="40">
        <f si="89" t="shared"/>
        <v>23721</v>
      </c>
      <c r="BP55" s="40">
        <f si="89" t="shared"/>
        <v>28364</v>
      </c>
      <c r="BQ55" s="40">
        <f si="89" t="shared"/>
        <v>22517</v>
      </c>
      <c r="BR55" s="40">
        <f si="89" t="shared"/>
        <v>0</v>
      </c>
      <c r="BS55" s="40">
        <f si="89" t="shared"/>
        <v>838175</v>
      </c>
    </row>
    <row ht="14.65" r="59" spans="1:71" thickBot="1" x14ac:dyDescent="0.5">
      <c r="A59" s="4" t="s">
        <v>320</v>
      </c>
      <c r="B59" s="1"/>
      <c r="C59" s="1"/>
      <c r="D59" s="1"/>
      <c r="E59" s="1"/>
      <c r="F59" s="1"/>
      <c r="G59" s="1"/>
      <c r="H59" s="1"/>
      <c r="I59" s="1"/>
      <c r="J59" s="1"/>
      <c r="Y59" s="4" t="s">
        <v>427</v>
      </c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W59" s="4" t="s">
        <v>321</v>
      </c>
      <c r="AX59" s="1"/>
      <c r="AY59" s="1"/>
      <c r="AZ59" s="1"/>
      <c r="BA59" s="1"/>
      <c r="BB59" s="1"/>
      <c r="BC59" s="1"/>
      <c r="BD59" s="1"/>
      <c r="BE59" s="1"/>
      <c r="BF59" s="1"/>
    </row>
    <row r="60" spans="1:71" x14ac:dyDescent="0.45">
      <c r="A60" s="2" t="s">
        <v>14</v>
      </c>
      <c r="B60" s="2">
        <v>1</v>
      </c>
      <c r="C60" s="2">
        <v>2</v>
      </c>
      <c r="D60" s="2">
        <v>3</v>
      </c>
      <c r="E60" s="2">
        <v>4</v>
      </c>
      <c r="F60" s="2">
        <v>5</v>
      </c>
      <c r="G60" s="2">
        <v>6</v>
      </c>
      <c r="H60" s="2">
        <v>7</v>
      </c>
      <c r="I60" s="2">
        <v>8</v>
      </c>
      <c r="J60" s="2">
        <v>9</v>
      </c>
      <c r="K60" s="2">
        <v>10</v>
      </c>
      <c r="L60" s="2">
        <v>11</v>
      </c>
      <c r="M60" s="2">
        <v>12</v>
      </c>
      <c r="N60" s="2">
        <v>13</v>
      </c>
      <c r="O60" s="2">
        <v>14</v>
      </c>
      <c r="P60" s="2">
        <v>15</v>
      </c>
      <c r="Q60" s="2">
        <v>16</v>
      </c>
      <c r="R60" s="2">
        <v>17</v>
      </c>
      <c r="S60" s="2">
        <v>18</v>
      </c>
      <c r="T60" s="2">
        <v>19</v>
      </c>
      <c r="U60" s="2">
        <v>20</v>
      </c>
      <c r="V60" s="3" t="s">
        <v>15</v>
      </c>
      <c r="W60" s="3" t="s">
        <v>3</v>
      </c>
      <c r="X60" s="64"/>
      <c r="Y60" s="2" t="s">
        <v>14</v>
      </c>
      <c r="Z60" s="2">
        <v>1</v>
      </c>
      <c r="AA60" s="2">
        <v>2</v>
      </c>
      <c r="AB60" s="2">
        <v>3</v>
      </c>
      <c r="AC60" s="2">
        <v>4</v>
      </c>
      <c r="AD60" s="2">
        <v>5</v>
      </c>
      <c r="AE60" s="2">
        <v>6</v>
      </c>
      <c r="AF60" s="2">
        <v>7</v>
      </c>
      <c r="AG60" s="2">
        <v>8</v>
      </c>
      <c r="AH60" s="2">
        <v>9</v>
      </c>
      <c r="AI60" s="2">
        <v>10</v>
      </c>
      <c r="AJ60" s="2">
        <v>11</v>
      </c>
      <c r="AK60" s="2">
        <v>12</v>
      </c>
      <c r="AL60" s="2">
        <v>13</v>
      </c>
      <c r="AM60" s="2">
        <v>14</v>
      </c>
      <c r="AN60" s="2">
        <v>15</v>
      </c>
      <c r="AO60" s="2">
        <v>16</v>
      </c>
      <c r="AP60" s="2">
        <v>17</v>
      </c>
      <c r="AQ60" s="2">
        <v>18</v>
      </c>
      <c r="AR60" s="2">
        <v>19</v>
      </c>
      <c r="AS60" s="2">
        <v>20</v>
      </c>
      <c r="AT60" s="3" t="s">
        <v>15</v>
      </c>
      <c r="AU60" s="3" t="s">
        <v>3</v>
      </c>
      <c r="AW60" s="2" t="s">
        <v>14</v>
      </c>
      <c r="AX60" s="2">
        <v>1</v>
      </c>
      <c r="AY60" s="2">
        <v>2</v>
      </c>
      <c r="AZ60" s="2">
        <v>3</v>
      </c>
      <c r="BA60" s="2">
        <v>4</v>
      </c>
      <c r="BB60" s="2">
        <v>5</v>
      </c>
      <c r="BC60" s="2">
        <v>6</v>
      </c>
      <c r="BD60" s="2">
        <v>7</v>
      </c>
      <c r="BE60" s="2">
        <v>8</v>
      </c>
      <c r="BF60" s="2">
        <v>9</v>
      </c>
      <c r="BG60" s="2">
        <v>10</v>
      </c>
      <c r="BH60" s="2">
        <v>11</v>
      </c>
      <c r="BI60" s="2">
        <v>12</v>
      </c>
      <c r="BJ60" s="2">
        <v>13</v>
      </c>
      <c r="BK60" s="2">
        <v>14</v>
      </c>
      <c r="BL60" s="2">
        <v>15</v>
      </c>
      <c r="BM60" s="2">
        <v>16</v>
      </c>
      <c r="BN60" s="2">
        <v>17</v>
      </c>
      <c r="BO60" s="2">
        <v>18</v>
      </c>
      <c r="BP60" s="2">
        <v>19</v>
      </c>
      <c r="BQ60" s="2">
        <v>20</v>
      </c>
      <c r="BR60" s="3" t="s">
        <v>15</v>
      </c>
      <c r="BS60" s="3" t="s">
        <v>3</v>
      </c>
    </row>
    <row r="61" spans="1:71" x14ac:dyDescent="0.45">
      <c r="A61" s="28">
        <v>1</v>
      </c>
      <c r="B61" s="82">
        <f>IF($W$55&gt;0,B34/$W$55,0)</f>
        <v>3.438671827238574E-3</v>
      </c>
      <c r="C61" s="82">
        <f ref="C61:W61" si="90" t="shared">IF($W$55&gt;0,C34/$W$55,0)</f>
        <v>4.6774112203738181E-4</v>
      </c>
      <c r="D61" s="82">
        <f si="90" t="shared"/>
        <v>4.6970919596172949E-4</v>
      </c>
      <c r="E61" s="82">
        <f si="90" t="shared"/>
        <v>0</v>
      </c>
      <c r="F61" s="82">
        <f si="90" t="shared"/>
        <v>4.4701769430614873E-4</v>
      </c>
      <c r="G61" s="82">
        <f si="90" t="shared"/>
        <v>5.5429100498363207E-3</v>
      </c>
      <c r="H61" s="82">
        <f si="90" t="shared"/>
        <v>0</v>
      </c>
      <c r="I61" s="82">
        <f si="90" t="shared"/>
        <v>0</v>
      </c>
      <c r="J61" s="82">
        <f si="90" t="shared"/>
        <v>1.7733657661893087E-3</v>
      </c>
      <c r="K61" s="82">
        <f si="90" t="shared"/>
        <v>2.4479958131445412E-4</v>
      </c>
      <c r="L61" s="82">
        <f si="90" t="shared"/>
        <v>1.162728839097152E-3</v>
      </c>
      <c r="M61" s="82">
        <f si="90" t="shared"/>
        <v>1.0520283216283307E-3</v>
      </c>
      <c r="N61" s="82">
        <f si="90" t="shared"/>
        <v>6.6222818186824583E-5</v>
      </c>
      <c r="O61" s="82">
        <f si="90" t="shared"/>
        <v>0</v>
      </c>
      <c r="P61" s="82">
        <f si="90" t="shared"/>
        <v>0</v>
      </c>
      <c r="Q61" s="82">
        <f si="90" t="shared"/>
        <v>0</v>
      </c>
      <c r="R61" s="82">
        <f si="90" t="shared"/>
        <v>0</v>
      </c>
      <c r="S61" s="82">
        <f si="90" t="shared"/>
        <v>0</v>
      </c>
      <c r="T61" s="82">
        <f si="90" t="shared"/>
        <v>0</v>
      </c>
      <c r="U61" s="82">
        <f si="90" t="shared"/>
        <v>0</v>
      </c>
      <c r="V61" s="82">
        <f si="90" t="shared"/>
        <v>0</v>
      </c>
      <c r="W61" s="82">
        <f si="90" t="shared"/>
        <v>1.4665195215796224E-2</v>
      </c>
      <c r="X61" s="63"/>
      <c r="Y61" s="28">
        <v>1</v>
      </c>
      <c r="Z61" s="82">
        <f>IF($W$55&gt;0,Z34/$W$55,0)</f>
        <v>3.2275289823631369E-3</v>
      </c>
      <c r="AA61" s="82">
        <f ref="AA61:AU61" si="91" t="shared">IF($W$55&gt;0,AA34/$W$55,0)</f>
        <v>1.1355653182669363E-3</v>
      </c>
      <c r="AB61" s="82">
        <f si="91" t="shared"/>
        <v>5.82923530043694E-4</v>
      </c>
      <c r="AC61" s="82">
        <f si="91" t="shared"/>
        <v>5.1983656791775306E-4</v>
      </c>
      <c r="AD61" s="82">
        <f si="91" t="shared"/>
        <v>5.7282961610354347E-4</v>
      </c>
      <c r="AE61" s="82">
        <f si="91" t="shared"/>
        <v>3.4584272637440809E-3</v>
      </c>
      <c r="AF61" s="82">
        <f si="91" t="shared"/>
        <v>6.9648006187038769E-4</v>
      </c>
      <c r="AG61" s="82">
        <f si="91" t="shared"/>
        <v>9.3368703946392542E-5</v>
      </c>
      <c r="AH61" s="82">
        <f si="91" t="shared"/>
        <v>7.6587572020892262E-4</v>
      </c>
      <c r="AI61" s="82">
        <f si="91" t="shared"/>
        <v>3.4445481320763736E-4</v>
      </c>
      <c r="AJ61" s="82">
        <f si="91" t="shared"/>
        <v>4.4539395260914286E-4</v>
      </c>
      <c r="AK61" s="82">
        <f si="91" t="shared"/>
        <v>2.1853323680425933E-3</v>
      </c>
      <c r="AL61" s="82">
        <f si="91" t="shared"/>
        <v>1.5897914455737108E-4</v>
      </c>
      <c r="AM61" s="82">
        <f si="91" t="shared"/>
        <v>4.2899134245639816E-5</v>
      </c>
      <c r="AN61" s="82">
        <f si="91" t="shared"/>
        <v>1.4131479516210765E-4</v>
      </c>
      <c r="AO61" s="82">
        <f si="91" t="shared"/>
        <v>6.0563483640903269E-5</v>
      </c>
      <c r="AP61" s="82">
        <f si="91" t="shared"/>
        <v>2.7758263335414002E-5</v>
      </c>
      <c r="AQ61" s="82">
        <f si="91" t="shared"/>
        <v>8.9583486218836094E-5</v>
      </c>
      <c r="AR61" s="82">
        <f si="91" t="shared"/>
        <v>8.3274790006242E-5</v>
      </c>
      <c r="AS61" s="82">
        <f si="91" t="shared"/>
        <v>3.2805220305489273E-5</v>
      </c>
      <c r="AT61" s="82">
        <f si="91" t="shared"/>
        <v>0</v>
      </c>
      <c r="AU61" s="82">
        <f si="91" t="shared"/>
        <v>1.4665195215796222E-2</v>
      </c>
      <c r="AW61" s="28">
        <v>1</v>
      </c>
      <c r="AX61" s="82">
        <f>IF($BS$55&gt;0,AX34/$BS$55,0)</f>
        <v>4.0051301935753276E-3</v>
      </c>
      <c r="AY61" s="82">
        <f ref="AY61:BS61" si="92" t="shared">IF($BS$55&gt;0,AY34/$BS$55,0)</f>
        <v>7.9935574313240074E-4</v>
      </c>
      <c r="AZ61" s="82">
        <f si="92" t="shared"/>
        <v>5.2852924508605E-4</v>
      </c>
      <c r="BA61" s="82">
        <f si="92" t="shared"/>
        <v>6.1323709249261793E-4</v>
      </c>
      <c r="BB61" s="82">
        <f si="92" t="shared"/>
        <v>6.3471232141259289E-4</v>
      </c>
      <c r="BC61" s="82">
        <f si="92" t="shared"/>
        <v>3.6149968681957823E-3</v>
      </c>
      <c r="BD61" s="82">
        <f si="92" t="shared"/>
        <v>6.0846481939929014E-4</v>
      </c>
      <c r="BE61" s="82">
        <f si="92" t="shared"/>
        <v>6.9197959853252607E-5</v>
      </c>
      <c r="BF61" s="82">
        <f si="92" t="shared"/>
        <v>6.7766277925254269E-4</v>
      </c>
      <c r="BG61" s="82">
        <f si="92" t="shared"/>
        <v>4.5694514868613355E-4</v>
      </c>
      <c r="BH61" s="82">
        <f si="92" t="shared"/>
        <v>4.0087093983953232E-4</v>
      </c>
      <c r="BI61" s="82">
        <f si="92" t="shared"/>
        <v>2.0079339040176575E-3</v>
      </c>
      <c r="BJ61" s="82">
        <f si="92" t="shared"/>
        <v>5.6074208846601246E-5</v>
      </c>
      <c r="BK61" s="82">
        <f si="92" t="shared"/>
        <v>2.0282160646643005E-5</v>
      </c>
      <c r="BL61" s="82">
        <f si="92" t="shared"/>
        <v>4.056432129328601E-5</v>
      </c>
      <c r="BM61" s="82">
        <f si="92" t="shared"/>
        <v>4.8915799206609599E-5</v>
      </c>
      <c r="BN61" s="82">
        <f si="92" t="shared"/>
        <v>2.3861365466638829E-5</v>
      </c>
      <c r="BO61" s="82">
        <f si="92" t="shared"/>
        <v>2.9826706833298535E-5</v>
      </c>
      <c r="BP61" s="82">
        <f si="92" t="shared"/>
        <v>2.7440570286634652E-5</v>
      </c>
      <c r="BQ61" s="82">
        <f si="92" t="shared"/>
        <v>1.1930682733319415E-6</v>
      </c>
      <c r="BR61" s="82">
        <f si="92" t="shared"/>
        <v>0</v>
      </c>
      <c r="BS61" s="82">
        <f si="92" t="shared"/>
        <v>1.4665195215796224E-2</v>
      </c>
    </row>
    <row r="62" spans="1:71" x14ac:dyDescent="0.45">
      <c r="A62">
        <v>2</v>
      </c>
      <c r="B62" s="83">
        <f ref="B62:W62" si="93" t="shared">IF($W$55&gt;0,B35/$W$55,0)</f>
        <v>1.7419009379595774E-3</v>
      </c>
      <c r="C62" s="83">
        <f si="93" t="shared"/>
        <v>1.3973843897034446E-3</v>
      </c>
      <c r="D62" s="83">
        <f si="93" t="shared"/>
        <v>6.138715016664807E-4</v>
      </c>
      <c r="E62" s="83">
        <f si="93" t="shared"/>
        <v>4.4935175226910777E-3</v>
      </c>
      <c r="F62" s="83">
        <f si="93" t="shared"/>
        <v>1.0311156602981496E-4</v>
      </c>
      <c r="G62" s="83">
        <f si="93" t="shared"/>
        <v>3.8015512330521356E-3</v>
      </c>
      <c r="H62" s="83">
        <f si="93" t="shared"/>
        <v>1.6466502089907647E-3</v>
      </c>
      <c r="I62" s="83">
        <f si="93" t="shared"/>
        <v>0</v>
      </c>
      <c r="J62" s="83">
        <f si="93" t="shared"/>
        <v>1.7116388289104133E-3</v>
      </c>
      <c r="K62" s="83">
        <f si="93" t="shared"/>
        <v>1.8984521284882606E-4</v>
      </c>
      <c r="L62" s="83">
        <f si="93" t="shared"/>
        <v>2.7571236339534599E-4</v>
      </c>
      <c r="M62" s="83">
        <f si="93" t="shared"/>
        <v>1.9311646424794336E-3</v>
      </c>
      <c r="N62" s="83">
        <f si="93" t="shared"/>
        <v>0</v>
      </c>
      <c r="O62" s="83">
        <f si="93" t="shared"/>
        <v>0</v>
      </c>
      <c r="P62" s="83">
        <f si="93" t="shared"/>
        <v>0</v>
      </c>
      <c r="Q62" s="83">
        <f si="93" t="shared"/>
        <v>0</v>
      </c>
      <c r="R62" s="83">
        <f si="93" t="shared"/>
        <v>0</v>
      </c>
      <c r="S62" s="83">
        <f si="93" t="shared"/>
        <v>0</v>
      </c>
      <c r="T62" s="83">
        <f si="93" t="shared"/>
        <v>4.0128424655132581E-4</v>
      </c>
      <c r="U62" s="83">
        <f si="93" t="shared"/>
        <v>0</v>
      </c>
      <c r="V62" s="83">
        <f si="93" t="shared"/>
        <v>0</v>
      </c>
      <c r="W62" s="83">
        <f si="93" t="shared"/>
        <v>1.8307632654278642E-2</v>
      </c>
      <c r="X62" s="19"/>
      <c r="Y62">
        <v>2</v>
      </c>
      <c r="Z62" s="83">
        <f ref="Z62:AU62" si="94" t="shared">IF($W$55&gt;0,Z35/$W$55,0)</f>
        <v>1.8830133696003388E-3</v>
      </c>
      <c r="AA62" s="83">
        <f si="94" t="shared"/>
        <v>2.6516927867530921E-3</v>
      </c>
      <c r="AB62" s="83">
        <f si="94" t="shared"/>
        <v>7.7571308502212468E-4</v>
      </c>
      <c r="AC62" s="83">
        <f si="94" t="shared"/>
        <v>4.8230865389976656E-4</v>
      </c>
      <c r="AD62" s="83">
        <f si="94" t="shared"/>
        <v>5.9685695920096116E-4</v>
      </c>
      <c r="AE62" s="83">
        <f si="94" t="shared"/>
        <v>3.5298964607289166E-3</v>
      </c>
      <c r="AF62" s="83">
        <f si="94" t="shared"/>
        <v>1.465012536220541E-3</v>
      </c>
      <c r="AG62" s="83">
        <f si="94" t="shared"/>
        <v>1.2761083134431325E-4</v>
      </c>
      <c r="AH62" s="83">
        <f si="94" t="shared"/>
        <v>1.4971664464805256E-3</v>
      </c>
      <c r="AI62" s="83">
        <f si="94" t="shared"/>
        <v>4.5718841150915377E-4</v>
      </c>
      <c r="AJ62" s="83">
        <f si="94" t="shared"/>
        <v>9.1940087149642994E-4</v>
      </c>
      <c r="AK62" s="83">
        <f si="94" t="shared"/>
        <v>2.7732747599236583E-3</v>
      </c>
      <c r="AL62" s="83">
        <f si="94" t="shared"/>
        <v>2.8436114386173742E-4</v>
      </c>
      <c r="AM62" s="83">
        <f si="94" t="shared"/>
        <v>6.7322249606842428E-5</v>
      </c>
      <c r="AN62" s="83">
        <f si="94" t="shared"/>
        <v>2.783322856879903E-4</v>
      </c>
      <c r="AO62" s="83">
        <f si="94" t="shared"/>
        <v>8.3399204736834642E-5</v>
      </c>
      <c r="AP62" s="83">
        <f si="94" t="shared"/>
        <v>5.626934295497277E-5</v>
      </c>
      <c r="AQ62" s="83">
        <f si="94" t="shared"/>
        <v>1.7684650642991442E-4</v>
      </c>
      <c r="AR62" s="83">
        <f si="94" t="shared"/>
        <v>1.4469259616992999E-4</v>
      </c>
      <c r="AS62" s="83">
        <f si="94" t="shared"/>
        <v>5.7274152650597289E-5</v>
      </c>
      <c r="AT62" s="83">
        <f si="94" t="shared"/>
        <v>0</v>
      </c>
      <c r="AU62" s="83">
        <f si="94" t="shared"/>
        <v>1.8307632654278639E-2</v>
      </c>
      <c r="AW62">
        <v>2</v>
      </c>
      <c r="AX62" s="83">
        <f ref="AX62:BS62" si="95" t="shared">IF($BS$55&gt;0,AX35/$BS$55,0)</f>
        <v>2.1236615265308556E-3</v>
      </c>
      <c r="AY62" s="83">
        <f si="95" t="shared"/>
        <v>2.424314731410505E-3</v>
      </c>
      <c r="AZ62" s="83">
        <f si="95" t="shared"/>
        <v>8.2441017687237149E-4</v>
      </c>
      <c r="BA62" s="83">
        <f si="95" t="shared"/>
        <v>4.9273719688609178E-4</v>
      </c>
      <c r="BB62" s="83">
        <f si="95" t="shared"/>
        <v>5.4165299609270137E-4</v>
      </c>
      <c r="BC62" s="83">
        <f si="95" t="shared"/>
        <v>3.4420019685626512E-3</v>
      </c>
      <c r="BD62" s="83">
        <f si="95" t="shared"/>
        <v>1.6285381930981001E-3</v>
      </c>
      <c r="BE62" s="83">
        <f si="95" t="shared"/>
        <v>5.965341366659707E-5</v>
      </c>
      <c r="BF62" s="83">
        <f si="95" t="shared"/>
        <v>1.8098845706445551E-3</v>
      </c>
      <c r="BG62" s="83">
        <f si="95" t="shared"/>
        <v>5.5477674709935275E-4</v>
      </c>
      <c r="BH62" s="83">
        <f si="95" t="shared"/>
        <v>4.9154412861275988E-4</v>
      </c>
      <c r="BI62" s="83">
        <f si="95" t="shared"/>
        <v>3.4706356071226175E-3</v>
      </c>
      <c r="BJ62" s="83">
        <f si="95" t="shared"/>
        <v>1.3362364661317745E-4</v>
      </c>
      <c r="BK62" s="83">
        <f si="95" t="shared"/>
        <v>2.505443373997077E-5</v>
      </c>
      <c r="BL62" s="83">
        <f si="95" t="shared"/>
        <v>1.5032660243982461E-4</v>
      </c>
      <c r="BM62" s="83">
        <f si="95" t="shared"/>
        <v>3.6985116473290186E-5</v>
      </c>
      <c r="BN62" s="83">
        <f si="95" t="shared"/>
        <v>1.550988755331524E-5</v>
      </c>
      <c r="BO62" s="83">
        <f si="95" t="shared"/>
        <v>4.8915799206609599E-5</v>
      </c>
      <c r="BP62" s="83">
        <f si="95" t="shared"/>
        <v>3.101977510663048E-5</v>
      </c>
      <c r="BQ62" s="83">
        <f si="95" t="shared"/>
        <v>2.386136546663883E-6</v>
      </c>
      <c r="BR62" s="83">
        <f si="95" t="shared"/>
        <v>0</v>
      </c>
      <c r="BS62" s="83">
        <f si="95" t="shared"/>
        <v>1.8307632654278642E-2</v>
      </c>
    </row>
    <row r="63" spans="1:71" x14ac:dyDescent="0.45">
      <c r="A63">
        <v>3</v>
      </c>
      <c r="B63" s="83">
        <f ref="B63:W63" si="96" t="shared">IF($W$55&gt;0,B36/$W$55,0)</f>
        <v>7.991062567443136E-3</v>
      </c>
      <c r="C63" s="83">
        <f si="96" t="shared"/>
        <v>4.8478137959371169E-3</v>
      </c>
      <c r="D63" s="83">
        <f si="96" t="shared"/>
        <v>4.6338839952130267E-3</v>
      </c>
      <c r="E63" s="83">
        <f si="96" t="shared"/>
        <v>1.0444929531071825E-3</v>
      </c>
      <c r="F63" s="83">
        <f si="96" t="shared"/>
        <v>2.2428058095585249E-3</v>
      </c>
      <c r="G63" s="83">
        <f si="96" t="shared"/>
        <v>8.5308981601677301E-3</v>
      </c>
      <c r="H63" s="83">
        <f si="96" t="shared"/>
        <v>1.1717016169906296E-3</v>
      </c>
      <c r="I63" s="83">
        <f si="96" t="shared"/>
        <v>1.028195704080227E-3</v>
      </c>
      <c r="J63" s="83">
        <f si="96" t="shared"/>
        <v>2.2777185574388288E-3</v>
      </c>
      <c r="K63" s="83">
        <f si="96" t="shared"/>
        <v>1.1164841669190815E-3</v>
      </c>
      <c r="L63" s="83">
        <f si="96" t="shared"/>
        <v>2.0137063758541608E-3</v>
      </c>
      <c r="M63" s="83">
        <f si="96" t="shared"/>
        <v>6.3279004438114069E-3</v>
      </c>
      <c r="N63" s="83">
        <f si="96" t="shared"/>
        <v>9.5643006217626016E-5</v>
      </c>
      <c r="O63" s="83">
        <f si="96" t="shared"/>
        <v>0</v>
      </c>
      <c r="P63" s="83">
        <f si="96" t="shared"/>
        <v>0</v>
      </c>
      <c r="Q63" s="83">
        <f si="96" t="shared"/>
        <v>0</v>
      </c>
      <c r="R63" s="83">
        <f si="96" t="shared"/>
        <v>0</v>
      </c>
      <c r="S63" s="83">
        <f si="96" t="shared"/>
        <v>0</v>
      </c>
      <c r="T63" s="83">
        <f si="96" t="shared"/>
        <v>2.7360062308379526E-4</v>
      </c>
      <c r="U63" s="83">
        <f si="96" t="shared"/>
        <v>0</v>
      </c>
      <c r="V63" s="83">
        <f si="96" t="shared"/>
        <v>0</v>
      </c>
      <c r="W63" s="83">
        <f si="96" t="shared"/>
        <v>4.3595907775822472E-2</v>
      </c>
      <c r="X63" s="19"/>
      <c r="Y63">
        <v>3</v>
      </c>
      <c r="Z63" s="83">
        <f ref="Z63:AU63" si="97" t="shared">IF($W$55&gt;0,Z36/$W$55,0)</f>
        <v>6.1821272702685835E-3</v>
      </c>
      <c r="AA63" s="83">
        <f si="97" t="shared"/>
        <v>4.4499972993144316E-3</v>
      </c>
      <c r="AB63" s="83">
        <f si="97" t="shared"/>
        <v>3.5595441053399659E-3</v>
      </c>
      <c r="AC63" s="83">
        <f si="97" t="shared"/>
        <v>1.7026372537014942E-3</v>
      </c>
      <c r="AD63" s="83">
        <f si="97" t="shared"/>
        <v>1.7831750585068282E-3</v>
      </c>
      <c r="AE63" s="83">
        <f si="97" t="shared"/>
        <v>9.6554618944084732E-3</v>
      </c>
      <c r="AF63" s="83">
        <f si="97" t="shared"/>
        <v>2.308372292659921E-3</v>
      </c>
      <c r="AG63" s="83">
        <f si="97" t="shared"/>
        <v>4.3331607655827507E-4</v>
      </c>
      <c r="AH63" s="83">
        <f si="97" t="shared"/>
        <v>2.2902229281967466E-3</v>
      </c>
      <c r="AI63" s="83">
        <f si="97" t="shared"/>
        <v>1.1899177076168338E-3</v>
      </c>
      <c r="AJ63" s="83">
        <f si="97" t="shared"/>
        <v>2.2811482459651599E-3</v>
      </c>
      <c r="AK63" s="83">
        <f si="97" t="shared"/>
        <v>5.4550183564626821E-3</v>
      </c>
      <c r="AL63" s="83">
        <f si="97" t="shared"/>
        <v>4.9797318745833181E-4</v>
      </c>
      <c r="AM63" s="83">
        <f si="97" t="shared"/>
        <v>1.6107560961066769E-4</v>
      </c>
      <c r="AN63" s="83">
        <f si="97" t="shared"/>
        <v>4.6167445853198411E-4</v>
      </c>
      <c r="AO63" s="83">
        <f si="97" t="shared"/>
        <v>1.9056832686332513E-4</v>
      </c>
      <c r="AP63" s="83">
        <f si="97" t="shared"/>
        <v>1.7015029184225462E-4</v>
      </c>
      <c r="AQ63" s="83">
        <f si="97" t="shared"/>
        <v>2.3707607330020804E-4</v>
      </c>
      <c r="AR63" s="83">
        <f si="97" t="shared"/>
        <v>4.7755515243726122E-4</v>
      </c>
      <c r="AS63" s="83">
        <f si="97" t="shared"/>
        <v>1.0889618677904294E-4</v>
      </c>
      <c r="AT63" s="83">
        <f si="97" t="shared"/>
        <v>0</v>
      </c>
      <c r="AU63" s="83">
        <f si="97" t="shared"/>
        <v>4.3595907775822479E-2</v>
      </c>
      <c r="AW63">
        <v>3</v>
      </c>
      <c r="AX63" s="83">
        <f ref="AX63:BS63" si="98" t="shared">IF($BS$55&gt;0,AX36/$BS$55,0)</f>
        <v>6.6549348286455692E-3</v>
      </c>
      <c r="AY63" s="83">
        <f si="98" t="shared"/>
        <v>3.1842992215229517E-3</v>
      </c>
      <c r="AZ63" s="83">
        <f si="98" t="shared"/>
        <v>4.3761744265815609E-3</v>
      </c>
      <c r="BA63" s="83">
        <f si="98" t="shared"/>
        <v>1.7204044501446594E-3</v>
      </c>
      <c r="BB63" s="83">
        <f si="98" t="shared"/>
        <v>1.7824440003579205E-3</v>
      </c>
      <c r="BC63" s="83">
        <f si="98" t="shared"/>
        <v>8.6688340740298866E-3</v>
      </c>
      <c r="BD63" s="83">
        <f si="98" t="shared"/>
        <v>2.1868941450174486E-3</v>
      </c>
      <c r="BE63" s="83">
        <f si="98" t="shared"/>
        <v>3.2093536552629223E-4</v>
      </c>
      <c r="BF63" s="83">
        <f si="98" t="shared"/>
        <v>2.9456855668565634E-3</v>
      </c>
      <c r="BG63" s="83">
        <f si="98" t="shared"/>
        <v>1.5855877352581502E-3</v>
      </c>
      <c r="BH63" s="83">
        <f si="98" t="shared"/>
        <v>3.1377695588630061E-3</v>
      </c>
      <c r="BI63" s="83">
        <f si="98" t="shared"/>
        <v>5.9557968204730517E-3</v>
      </c>
      <c r="BJ63" s="83">
        <f si="98" t="shared"/>
        <v>1.5748501207981627E-4</v>
      </c>
      <c r="BK63" s="83">
        <f si="98" t="shared"/>
        <v>1.6941569481313567E-4</v>
      </c>
      <c r="BL63" s="83">
        <f si="98" t="shared"/>
        <v>1.7060876308646762E-4</v>
      </c>
      <c r="BM63" s="83">
        <f si="98" t="shared"/>
        <v>1.3600978315984132E-4</v>
      </c>
      <c r="BN63" s="83">
        <f si="98" t="shared"/>
        <v>1.7180183135979957E-4</v>
      </c>
      <c r="BO63" s="83">
        <f si="98" t="shared"/>
        <v>4.7722730933277657E-5</v>
      </c>
      <c r="BP63" s="83">
        <f si="98" t="shared"/>
        <v>2.2071763056640917E-4</v>
      </c>
      <c r="BQ63" s="83">
        <f si="98" t="shared"/>
        <v>2.386136546663883E-6</v>
      </c>
      <c r="BR63" s="83">
        <f si="98" t="shared"/>
        <v>0</v>
      </c>
      <c r="BS63" s="83">
        <f si="98" t="shared"/>
        <v>4.3595907775822472E-2</v>
      </c>
    </row>
    <row r="64" spans="1:71" x14ac:dyDescent="0.45">
      <c r="A64">
        <v>4</v>
      </c>
      <c r="B64" s="83">
        <f ref="B64:W64" si="99" t="shared">IF($W$55&gt;0,B37/$W$55,0)</f>
        <v>3.421972010708694E-3</v>
      </c>
      <c r="C64" s="83">
        <f si="99" t="shared"/>
        <v>1.2806119243400003E-4</v>
      </c>
      <c r="D64" s="83">
        <f si="99" t="shared"/>
        <v>1.5745918967654154E-3</v>
      </c>
      <c r="E64" s="83">
        <f si="99" t="shared"/>
        <v>1.2329514532535004E-3</v>
      </c>
      <c r="F64" s="83">
        <f si="99" t="shared"/>
        <v>9.9363719855776215E-4</v>
      </c>
      <c r="G64" s="83">
        <f si="99" t="shared"/>
        <v>2.3271165069037644E-3</v>
      </c>
      <c r="H64" s="83">
        <f si="99" t="shared"/>
        <v>1.9511232468089371E-3</v>
      </c>
      <c r="I64" s="83">
        <f si="99" t="shared"/>
        <v>2.768439302039316E-4</v>
      </c>
      <c r="J64" s="83">
        <f si="99" t="shared"/>
        <v>5.691160359976371E-4</v>
      </c>
      <c r="K64" s="83">
        <f si="99" t="shared"/>
        <v>4.5394684539456706E-4</v>
      </c>
      <c r="L64" s="83">
        <f si="99" t="shared"/>
        <v>1.0647995372678506E-3</v>
      </c>
      <c r="M64" s="83">
        <f si="99" t="shared"/>
        <v>1.4319797298437389E-3</v>
      </c>
      <c r="N64" s="83">
        <f si="99" t="shared"/>
        <v>0</v>
      </c>
      <c r="O64" s="83">
        <f si="99" t="shared"/>
        <v>0</v>
      </c>
      <c r="P64" s="83">
        <f si="99" t="shared"/>
        <v>0</v>
      </c>
      <c r="Q64" s="83">
        <f si="99" t="shared"/>
        <v>0</v>
      </c>
      <c r="R64" s="83">
        <f si="99" t="shared"/>
        <v>0</v>
      </c>
      <c r="S64" s="83">
        <f si="99" t="shared"/>
        <v>0</v>
      </c>
      <c r="T64" s="83">
        <f si="99" t="shared"/>
        <v>1.0522319809541573E-4</v>
      </c>
      <c r="U64" s="83">
        <f si="99" t="shared"/>
        <v>0</v>
      </c>
      <c r="V64" s="83">
        <f si="99" t="shared"/>
        <v>0</v>
      </c>
      <c r="W64" s="83">
        <f si="99" t="shared"/>
        <v>1.5531362782235214E-2</v>
      </c>
      <c r="X64" s="19"/>
      <c r="Y64">
        <v>4</v>
      </c>
      <c r="Z64" s="83">
        <f ref="Z64:AU64" si="100" t="shared">IF($W$55&gt;0,Z37/$W$55,0)</f>
        <v>1.7205377447554696E-3</v>
      </c>
      <c r="AA64" s="83">
        <f si="100" t="shared"/>
        <v>1.8127677092513747E-3</v>
      </c>
      <c r="AB64" s="83">
        <f si="100" t="shared"/>
        <v>7.6559032475361985E-4</v>
      </c>
      <c r="AC64" s="83">
        <f si="100" t="shared"/>
        <v>1.1181862952158413E-3</v>
      </c>
      <c r="AD64" s="83">
        <f si="100" t="shared"/>
        <v>9.647417525146892E-4</v>
      </c>
      <c r="AE64" s="83">
        <f si="100" t="shared"/>
        <v>3.2378430898695196E-3</v>
      </c>
      <c r="AF64" s="83">
        <f si="100" t="shared"/>
        <v>9.1740247870263189E-4</v>
      </c>
      <c r="AG64" s="83">
        <f si="100" t="shared"/>
        <v>3.2974252793226263E-4</v>
      </c>
      <c r="AH64" s="83">
        <f si="100" t="shared"/>
        <v>8.1456198731781723E-4</v>
      </c>
      <c r="AI64" s="83">
        <f si="100" t="shared"/>
        <v>5.2562917818905228E-4</v>
      </c>
      <c r="AJ64" s="83">
        <f si="100" t="shared"/>
        <v>8.0966482106139745E-4</v>
      </c>
      <c r="AK64" s="83">
        <f si="100" t="shared"/>
        <v>1.6960519134733708E-3</v>
      </c>
      <c r="AL64" s="83">
        <f si="100" t="shared"/>
        <v>2.0160001088927944E-4</v>
      </c>
      <c r="AM64" s="83">
        <f si="100" t="shared"/>
        <v>8.8965186991625322E-5</v>
      </c>
      <c r="AN64" s="83">
        <f si="100" t="shared"/>
        <v>1.3467207205154291E-4</v>
      </c>
      <c r="AO64" s="83">
        <f si="100" t="shared"/>
        <v>8.0803243230925749E-5</v>
      </c>
      <c r="AP64" s="83">
        <f si="100" t="shared"/>
        <v>5.3052634444547218E-5</v>
      </c>
      <c r="AQ64" s="83">
        <f si="100" t="shared"/>
        <v>1.0202429700874464E-4</v>
      </c>
      <c r="AR64" s="83">
        <f si="100" t="shared"/>
        <v>1.0447288013695451E-4</v>
      </c>
      <c r="AS64" s="83">
        <f si="100" t="shared"/>
        <v>5.3052634444547218E-5</v>
      </c>
      <c r="AT64" s="83">
        <f si="100" t="shared"/>
        <v>0</v>
      </c>
      <c r="AU64" s="83">
        <f si="100" t="shared"/>
        <v>1.5531362782235214E-2</v>
      </c>
      <c r="AW64">
        <v>4</v>
      </c>
      <c r="AX64" s="83">
        <f ref="AX64:BS64" si="101" t="shared">IF($BS$55&gt;0,AX37/$BS$55,0)</f>
        <v>2.319324723357294E-3</v>
      </c>
      <c r="AY64" s="83">
        <f si="101" t="shared"/>
        <v>1.0117218957854863E-3</v>
      </c>
      <c r="AZ64" s="83">
        <f si="101" t="shared"/>
        <v>8.8167745399230467E-4</v>
      </c>
      <c r="BA64" s="83">
        <f si="101" t="shared"/>
        <v>1.282548393831837E-3</v>
      </c>
      <c r="BB64" s="83">
        <f si="101" t="shared"/>
        <v>9.138902973722671E-4</v>
      </c>
      <c r="BC64" s="83">
        <f si="101" t="shared"/>
        <v>3.4968831091359205E-3</v>
      </c>
      <c r="BD64" s="83">
        <f si="101" t="shared"/>
        <v>6.1085095594595404E-4</v>
      </c>
      <c r="BE64" s="83">
        <f si="101" t="shared"/>
        <v>1.4794046589316074E-4</v>
      </c>
      <c r="BF64" s="83">
        <f si="101" t="shared"/>
        <v>8.1605869895904791E-4</v>
      </c>
      <c r="BG64" s="83">
        <f si="101" t="shared"/>
        <v>8.685537029856534E-4</v>
      </c>
      <c r="BH64" s="83">
        <f si="101" t="shared"/>
        <v>8.0174187967906464E-4</v>
      </c>
      <c r="BI64" s="83">
        <f si="101" t="shared"/>
        <v>2.0675873176842544E-3</v>
      </c>
      <c r="BJ64" s="83">
        <f si="101" t="shared"/>
        <v>3.8178184746622127E-5</v>
      </c>
      <c r="BK64" s="83">
        <f si="101" t="shared"/>
        <v>7.1584096399916489E-5</v>
      </c>
      <c r="BL64" s="83">
        <f si="101" t="shared"/>
        <v>4.8915799206609599E-5</v>
      </c>
      <c r="BM64" s="83">
        <f si="101" t="shared"/>
        <v>4.1757389566617951E-5</v>
      </c>
      <c r="BN64" s="83">
        <f si="101" t="shared"/>
        <v>4.6529662659945716E-5</v>
      </c>
      <c r="BO64" s="83">
        <f si="101" t="shared"/>
        <v>1.7896024099979122E-5</v>
      </c>
      <c r="BP64" s="83">
        <f si="101" t="shared"/>
        <v>4.6529662659945716E-5</v>
      </c>
      <c r="BQ64" s="83">
        <f si="101" t="shared"/>
        <v>1.1930682733319415E-6</v>
      </c>
      <c r="BR64" s="83">
        <f si="101" t="shared"/>
        <v>0</v>
      </c>
      <c r="BS64" s="83">
        <f si="101" t="shared"/>
        <v>1.5531362782235214E-2</v>
      </c>
    </row>
    <row r="65" spans="1:71" x14ac:dyDescent="0.45">
      <c r="A65">
        <v>5</v>
      </c>
      <c r="B65" s="83">
        <f ref="B65:W65" si="102" t="shared">IF($W$55&gt;0,B38/$W$55,0)</f>
        <v>1.3105146104684031E-3</v>
      </c>
      <c r="C65" s="83">
        <f si="102" t="shared"/>
        <v>8.2953590285835932E-4</v>
      </c>
      <c r="D65" s="83">
        <f si="102" t="shared"/>
        <v>8.2451051955968106E-5</v>
      </c>
      <c r="E65" s="83">
        <f si="102" t="shared"/>
        <v>4.1258297829296681E-4</v>
      </c>
      <c r="F65" s="83">
        <f si="102" t="shared"/>
        <v>1.7774808121632931E-3</v>
      </c>
      <c r="G65" s="83">
        <f si="102" t="shared"/>
        <v>3.9759465754228536E-3</v>
      </c>
      <c r="H65" s="83">
        <f si="102" t="shared"/>
        <v>8.4977482487824587E-4</v>
      </c>
      <c r="I65" s="83">
        <f si="102" t="shared"/>
        <v>0</v>
      </c>
      <c r="J65" s="83">
        <f si="102" t="shared"/>
        <v>8.1090456008753363E-4</v>
      </c>
      <c r="K65" s="83">
        <f si="102" t="shared"/>
        <v>1.2443933285938554E-3</v>
      </c>
      <c r="L65" s="83">
        <f si="102" t="shared"/>
        <v>2.107204781053187E-4</v>
      </c>
      <c r="M65" s="83">
        <f si="102" t="shared"/>
        <v>5.6551959255840088E-3</v>
      </c>
      <c r="N65" s="83">
        <f si="102" t="shared"/>
        <v>0</v>
      </c>
      <c r="O65" s="83">
        <f si="102" t="shared"/>
        <v>0</v>
      </c>
      <c r="P65" s="83">
        <f si="102" t="shared"/>
        <v>0</v>
      </c>
      <c r="Q65" s="83">
        <f si="102" t="shared"/>
        <v>0</v>
      </c>
      <c r="R65" s="83">
        <f si="102" t="shared"/>
        <v>1.1929494031589778E-4</v>
      </c>
      <c r="S65" s="83">
        <f si="102" t="shared"/>
        <v>0</v>
      </c>
      <c r="T65" s="83">
        <f si="102" t="shared"/>
        <v>0</v>
      </c>
      <c r="U65" s="83">
        <f si="102" t="shared"/>
        <v>6.9609773793054741E-5</v>
      </c>
      <c r="V65" s="83">
        <f si="102" t="shared"/>
        <v>0</v>
      </c>
      <c r="W65" s="83">
        <f si="102" t="shared"/>
        <v>1.734840576251976E-2</v>
      </c>
      <c r="X65" s="19"/>
      <c r="Y65">
        <v>5</v>
      </c>
      <c r="Z65" s="83">
        <f ref="Z65:AU65" si="103" t="shared">IF($W$55&gt;0,Z38/$W$55,0)</f>
        <v>2.0599626213928198E-3</v>
      </c>
      <c r="AA65" s="83">
        <f si="103" t="shared"/>
        <v>1.4081961568874703E-3</v>
      </c>
      <c r="AB65" s="83">
        <f si="103" t="shared"/>
        <v>5.4995768829794447E-4</v>
      </c>
      <c r="AC65" s="83">
        <f si="103" t="shared"/>
        <v>6.2893085115041749E-4</v>
      </c>
      <c r="AD65" s="83">
        <f si="103" t="shared"/>
        <v>1.2759398962068228E-3</v>
      </c>
      <c r="AE65" s="83">
        <f si="103" t="shared"/>
        <v>5.1560911987656756E-3</v>
      </c>
      <c r="AF65" s="83">
        <f si="103" t="shared"/>
        <v>7.954405318634629E-4</v>
      </c>
      <c r="AG65" s="83">
        <f si="103" t="shared"/>
        <v>1.4557703513769118E-4</v>
      </c>
      <c r="AH65" s="83">
        <f si="103" t="shared"/>
        <v>7.0695253011310148E-4</v>
      </c>
      <c r="AI65" s="83">
        <f si="103" t="shared"/>
        <v>7.1170994956204568E-4</v>
      </c>
      <c r="AJ65" s="83">
        <f si="103" t="shared"/>
        <v>5.3949136551026736E-4</v>
      </c>
      <c r="AK65" s="83">
        <f si="103" t="shared"/>
        <v>2.4614888228837069E-3</v>
      </c>
      <c r="AL65" s="83">
        <f si="103" t="shared"/>
        <v>2.2264723021058651E-4</v>
      </c>
      <c r="AM65" s="83">
        <f si="103" t="shared"/>
        <v>1.0085729231761612E-4</v>
      </c>
      <c r="AN65" s="83">
        <f si="103" t="shared"/>
        <v>1.569948418151572E-4</v>
      </c>
      <c r="AO65" s="83">
        <f si="103" t="shared"/>
        <v>7.8021678962684161E-5</v>
      </c>
      <c r="AP65" s="83">
        <f si="103" t="shared"/>
        <v>4.5671226709863898E-5</v>
      </c>
      <c r="AQ65" s="83">
        <f si="103" t="shared"/>
        <v>1.4367406735811349E-4</v>
      </c>
      <c r="AR65" s="83">
        <f si="103" t="shared"/>
        <v>9.6099872868671957E-5</v>
      </c>
      <c r="AS65" s="83">
        <f si="103" t="shared"/>
        <v>6.4700904505640526E-5</v>
      </c>
      <c r="AT65" s="83">
        <f si="103" t="shared"/>
        <v>0</v>
      </c>
      <c r="AU65" s="83">
        <f si="103" t="shared"/>
        <v>1.734840576251976E-2</v>
      </c>
      <c r="AW65">
        <v>5</v>
      </c>
      <c r="AX65" s="83">
        <f ref="AX65:BS65" si="104" t="shared">IF($BS$55&gt;0,AX38/$BS$55,0)</f>
        <v>2.1988248277507679E-3</v>
      </c>
      <c r="AY65" s="83">
        <f si="104" t="shared"/>
        <v>9.4252393593223375E-4</v>
      </c>
      <c r="AZ65" s="83">
        <f si="104" t="shared"/>
        <v>6.4783607241924415E-4</v>
      </c>
      <c r="BA65" s="83">
        <f si="104" t="shared"/>
        <v>6.9197959853252607E-4</v>
      </c>
      <c r="BB65" s="83">
        <f si="104" t="shared"/>
        <v>1.6333104661914277E-3</v>
      </c>
      <c r="BC65" s="83">
        <f si="104" t="shared"/>
        <v>5.2602380171205294E-3</v>
      </c>
      <c r="BD65" s="83">
        <f si="104" t="shared"/>
        <v>6.4306379932591647E-4</v>
      </c>
      <c r="BE65" s="83">
        <f si="104" t="shared"/>
        <v>9.9024666686551132E-5</v>
      </c>
      <c r="BF65" s="83">
        <f si="104" t="shared"/>
        <v>6.4067766277925257E-4</v>
      </c>
      <c r="BG65" s="83">
        <f si="104" t="shared"/>
        <v>1.159662361678647E-3</v>
      </c>
      <c r="BH65" s="83">
        <f si="104" t="shared"/>
        <v>3.9729173501953647E-4</v>
      </c>
      <c r="BI65" s="83">
        <f si="104" t="shared"/>
        <v>2.7309332776568138E-3</v>
      </c>
      <c r="BJ65" s="83">
        <f si="104" t="shared"/>
        <v>4.8915799206609599E-5</v>
      </c>
      <c r="BK65" s="83">
        <f si="104" t="shared"/>
        <v>3.8178184746622127E-5</v>
      </c>
      <c r="BL65" s="83">
        <f si="104" t="shared"/>
        <v>3.6985116473290186E-5</v>
      </c>
      <c r="BM65" s="83">
        <f si="104" t="shared"/>
        <v>1.1572762251319832E-4</v>
      </c>
      <c r="BN65" s="83">
        <f si="104" t="shared"/>
        <v>1.6702955826647181E-5</v>
      </c>
      <c r="BO65" s="83">
        <f si="104" t="shared"/>
        <v>2.7440570286634652E-5</v>
      </c>
      <c r="BP65" s="83">
        <f si="104" t="shared"/>
        <v>1.9089092373311064E-5</v>
      </c>
      <c r="BQ65" s="83">
        <f si="104" t="shared"/>
        <v>0</v>
      </c>
      <c r="BR65" s="83">
        <f si="104" t="shared"/>
        <v>0</v>
      </c>
      <c r="BS65" s="83">
        <f si="104" t="shared"/>
        <v>1.734840576251976E-2</v>
      </c>
    </row>
    <row r="66" spans="1:71" x14ac:dyDescent="0.45">
      <c r="A66">
        <v>6</v>
      </c>
      <c r="B66" s="83">
        <f ref="B66:W66" si="105" t="shared">IF($W$55&gt;0,B39/$W$55,0)</f>
        <v>5.7224922557463885E-3</v>
      </c>
      <c r="C66" s="83">
        <f si="105" t="shared"/>
        <v>2.0030781710850751E-3</v>
      </c>
      <c r="D66" s="83">
        <f si="105" t="shared"/>
        <v>4.6649682266607632E-4</v>
      </c>
      <c r="E66" s="83">
        <f si="105" t="shared"/>
        <v>2.1147986449091105E-4</v>
      </c>
      <c r="F66" s="83">
        <f si="105" t="shared"/>
        <v>6.411980200638018E-4</v>
      </c>
      <c r="G66" s="83">
        <f si="105" t="shared"/>
        <v>1.8943838638912115E-2</v>
      </c>
      <c r="H66" s="83">
        <f si="105" t="shared"/>
        <v>1.1806255079351772E-3</v>
      </c>
      <c r="I66" s="83">
        <f si="105" t="shared"/>
        <v>0</v>
      </c>
      <c r="J66" s="83">
        <f si="105" t="shared"/>
        <v>1.0384643890553494E-3</v>
      </c>
      <c r="K66" s="83">
        <f si="105" t="shared"/>
        <v>5.8935739844923963E-4</v>
      </c>
      <c r="L66" s="83">
        <f si="105" t="shared"/>
        <v>6.9342972912770804E-4</v>
      </c>
      <c r="M66" s="83">
        <f si="105" t="shared"/>
        <v>7.2390791622708884E-3</v>
      </c>
      <c r="N66" s="83">
        <f si="105" t="shared"/>
        <v>1.513520138162087E-4</v>
      </c>
      <c r="O66" s="83">
        <f si="105" t="shared"/>
        <v>0</v>
      </c>
      <c r="P66" s="83">
        <f si="105" t="shared"/>
        <v>4.8750859967627987E-4</v>
      </c>
      <c r="Q66" s="83">
        <f si="105" t="shared"/>
        <v>0</v>
      </c>
      <c r="R66" s="83">
        <f si="105" t="shared"/>
        <v>0</v>
      </c>
      <c r="S66" s="83">
        <f si="105" t="shared"/>
        <v>3.864449485880847E-5</v>
      </c>
      <c r="T66" s="83">
        <f si="105" t="shared"/>
        <v>0</v>
      </c>
      <c r="U66" s="83">
        <f si="105" t="shared"/>
        <v>0</v>
      </c>
      <c r="V66" s="83">
        <f si="105" t="shared"/>
        <v>0</v>
      </c>
      <c r="W66" s="83">
        <f si="105" t="shared"/>
        <v>3.9407045068154026E-2</v>
      </c>
      <c r="X66" s="19"/>
      <c r="Y66">
        <v>6</v>
      </c>
      <c r="Z66" s="83">
        <f ref="Z66:AU66" si="106" t="shared">IF($W$55&gt;0,Z39/$W$55,0)</f>
        <v>4.5266771042590474E-3</v>
      </c>
      <c r="AA66" s="83">
        <f si="106" t="shared"/>
        <v>2.7152304824175945E-3</v>
      </c>
      <c r="AB66" s="83">
        <f si="106" t="shared"/>
        <v>1.031787583318686E-3</v>
      </c>
      <c r="AC66" s="83">
        <f si="106" t="shared"/>
        <v>8.6370188678807313E-4</v>
      </c>
      <c r="AD66" s="83">
        <f si="106" t="shared"/>
        <v>1.5476813749780291E-3</v>
      </c>
      <c r="AE66" s="83">
        <f si="106" t="shared"/>
        <v>1.5037205005007919E-2</v>
      </c>
      <c r="AF66" s="83">
        <f si="106" t="shared"/>
        <v>1.6614624618602901E-3</v>
      </c>
      <c r="AG66" s="83">
        <f si="106" t="shared"/>
        <v>1.7325756411617035E-4</v>
      </c>
      <c r="AH66" s="83">
        <f si="106" t="shared"/>
        <v>1.3705449101726907E-3</v>
      </c>
      <c r="AI66" s="83">
        <f si="106" t="shared"/>
        <v>1.0796273584850913E-3</v>
      </c>
      <c r="AJ66" s="83">
        <f si="106" t="shared"/>
        <v>9.0766276126531028E-4</v>
      </c>
      <c r="AK66" s="83">
        <f si="106" t="shared"/>
        <v>6.5359476612480679E-3</v>
      </c>
      <c r="AL66" s="83">
        <f si="106" t="shared"/>
        <v>5.8054213647880956E-4</v>
      </c>
      <c r="AM66" s="83">
        <f si="106" t="shared"/>
        <v>1.2412482205337576E-4</v>
      </c>
      <c r="AN66" s="83">
        <f si="106" t="shared"/>
        <v>3.0514018754788209E-4</v>
      </c>
      <c r="AO66" s="83">
        <f si="106" t="shared"/>
        <v>1.9523800135478895E-4</v>
      </c>
      <c r="AP66" s="83">
        <f si="106" t="shared"/>
        <v>8.1456914472527841E-5</v>
      </c>
      <c r="AQ66" s="83">
        <f si="106" t="shared"/>
        <v>3.5427292961067662E-4</v>
      </c>
      <c r="AR66" s="83">
        <f si="106" t="shared"/>
        <v>2.0687470342229295E-4</v>
      </c>
      <c r="AS66" s="83">
        <f si="106" t="shared"/>
        <v>1.0860921929670378E-4</v>
      </c>
      <c r="AT66" s="83">
        <f si="106" t="shared"/>
        <v>0</v>
      </c>
      <c r="AU66" s="83">
        <f si="106" t="shared"/>
        <v>3.9407045068154019E-2</v>
      </c>
      <c r="AW66">
        <v>6</v>
      </c>
      <c r="AX66" s="83">
        <f ref="AX66:BS66" si="107" t="shared">IF($BS$55&gt;0,AX39/$BS$55,0)</f>
        <v>4.5348525069347093E-3</v>
      </c>
      <c r="AY66" s="83">
        <f si="107" t="shared"/>
        <v>2.1320130044441793E-3</v>
      </c>
      <c r="AZ66" s="83">
        <f si="107" t="shared"/>
        <v>1.1155188355653652E-3</v>
      </c>
      <c r="BA66" s="83">
        <f si="107" t="shared"/>
        <v>9.9859814477883503E-4</v>
      </c>
      <c r="BB66" s="83">
        <f si="107" t="shared"/>
        <v>1.9542458317177202E-3</v>
      </c>
      <c r="BC66" s="83">
        <f si="107" t="shared"/>
        <v>1.5101858203835715E-2</v>
      </c>
      <c r="BD66" s="83">
        <f si="107" t="shared"/>
        <v>1.6965430846780207E-3</v>
      </c>
      <c r="BE66" s="83">
        <f si="107" t="shared"/>
        <v>1.0618307632654279E-4</v>
      </c>
      <c r="BF66" s="83">
        <f si="107" t="shared"/>
        <v>1.5426372774182003E-3</v>
      </c>
      <c r="BG66" s="83">
        <f si="107" t="shared"/>
        <v>1.5569540966981835E-3</v>
      </c>
      <c r="BH66" s="83">
        <f si="107" t="shared"/>
        <v>7.0629641781250934E-4</v>
      </c>
      <c r="BI66" s="83">
        <f si="107" t="shared"/>
        <v>7.3409490858114355E-3</v>
      </c>
      <c r="BJ66" s="83">
        <f si="107" t="shared"/>
        <v>1.4316819279983298E-4</v>
      </c>
      <c r="BK66" s="83">
        <f si="107" t="shared"/>
        <v>5.010886747994154E-5</v>
      </c>
      <c r="BL66" s="83">
        <f si="107" t="shared"/>
        <v>9.3059325319891432E-5</v>
      </c>
      <c r="BM66" s="83">
        <f si="107" t="shared"/>
        <v>1.5987114862648014E-4</v>
      </c>
      <c r="BN66" s="83">
        <f si="107" t="shared"/>
        <v>3.8178184746622127E-5</v>
      </c>
      <c r="BO66" s="83">
        <f si="107" t="shared"/>
        <v>9.4252393593223367E-5</v>
      </c>
      <c r="BP66" s="83">
        <f si="107" t="shared"/>
        <v>3.4598979926626303E-5</v>
      </c>
      <c r="BQ66" s="83">
        <f si="107" t="shared"/>
        <v>7.1584096399916484E-6</v>
      </c>
      <c r="BR66" s="83">
        <f si="107" t="shared"/>
        <v>0</v>
      </c>
      <c r="BS66" s="83">
        <f si="107" t="shared"/>
        <v>3.9407045068154026E-2</v>
      </c>
    </row>
    <row r="67" spans="1:71" x14ac:dyDescent="0.45">
      <c r="A67">
        <v>7</v>
      </c>
      <c r="B67" s="83">
        <f ref="B67:W67" si="108" t="shared">IF($W$55&gt;0,B40/$W$55,0)</f>
        <v>7.5269835630883235E-3</v>
      </c>
      <c r="C67" s="83">
        <f si="108" t="shared"/>
        <v>1.001612558793543E-2</v>
      </c>
      <c r="D67" s="83">
        <f si="108" t="shared"/>
        <v>7.6989858539821849E-4</v>
      </c>
      <c r="E67" s="83">
        <f si="108" t="shared"/>
        <v>3.1999642292363075E-3</v>
      </c>
      <c r="F67" s="83">
        <f si="108" t="shared"/>
        <v>3.9010579160658372E-3</v>
      </c>
      <c r="G67" s="83">
        <f si="108" t="shared"/>
        <v>1.557813176244988E-2</v>
      </c>
      <c r="H67" s="83">
        <f si="108" t="shared"/>
        <v>3.1534487051048041E-2</v>
      </c>
      <c r="I67" s="83">
        <f si="108" t="shared"/>
        <v>1.2351459946947007E-4</v>
      </c>
      <c r="J67" s="83">
        <f si="108" t="shared"/>
        <v>9.9041105033847842E-3</v>
      </c>
      <c r="K67" s="83">
        <f si="108" t="shared"/>
        <v>2.8610797933257284E-4</v>
      </c>
      <c r="L67" s="83">
        <f si="108" t="shared"/>
        <v>0</v>
      </c>
      <c r="M67" s="83">
        <f si="108" t="shared"/>
        <v>1.8685419768605927E-2</v>
      </c>
      <c r="N67" s="83">
        <f si="108" t="shared"/>
        <v>6.9919641103244005E-3</v>
      </c>
      <c r="O67" s="83">
        <f si="108" t="shared"/>
        <v>0</v>
      </c>
      <c r="P67" s="83">
        <f si="108" t="shared"/>
        <v>6.5113608813388232E-4</v>
      </c>
      <c r="Q67" s="83">
        <f si="108" t="shared"/>
        <v>9.7473221169142577E-5</v>
      </c>
      <c r="R67" s="83">
        <f si="108" t="shared"/>
        <v>0</v>
      </c>
      <c r="S67" s="83">
        <f si="108" t="shared"/>
        <v>5.7585232072306601E-4</v>
      </c>
      <c r="T67" s="83">
        <f si="108" t="shared"/>
        <v>1.5628137829304267E-4</v>
      </c>
      <c r="U67" s="83">
        <f si="108" t="shared"/>
        <v>0</v>
      </c>
      <c r="V67" s="83">
        <f si="108" t="shared"/>
        <v>0</v>
      </c>
      <c r="W67" s="83">
        <f si="108" t="shared"/>
        <v>0.10999850866465834</v>
      </c>
      <c r="X67" s="19"/>
      <c r="Y67">
        <v>7</v>
      </c>
      <c r="Z67" s="83">
        <f ref="Z67:AU67" si="109" t="shared">IF($W$55&gt;0,Z40/$W$55,0)</f>
        <v>6.8382463726402052E-3</v>
      </c>
      <c r="AA67" s="83">
        <f si="109" t="shared"/>
        <v>1.0869814204128967E-2</v>
      </c>
      <c r="AB67" s="83">
        <f si="109" t="shared"/>
        <v>2.685914808301285E-3</v>
      </c>
      <c r="AC67" s="83">
        <f si="109" t="shared"/>
        <v>2.4454655902157027E-3</v>
      </c>
      <c r="AD67" s="83">
        <f si="109" t="shared"/>
        <v>2.7786441031683708E-3</v>
      </c>
      <c r="AE67" s="83">
        <f si="109" t="shared"/>
        <v>1.4776305312308637E-2</v>
      </c>
      <c r="AF67" s="83">
        <f si="109" t="shared"/>
        <v>2.3449729125225353E-2</v>
      </c>
      <c r="AG67" s="83">
        <f si="109" t="shared"/>
        <v>6.5665279737273498E-4</v>
      </c>
      <c r="AH67" s="83">
        <f si="109" t="shared"/>
        <v>8.2410465194085597E-3</v>
      </c>
      <c r="AI67" s="83">
        <f si="109" t="shared"/>
        <v>1.9742713825771389E-3</v>
      </c>
      <c r="AJ67" s="83">
        <f si="109" t="shared"/>
        <v>4.0488197933244994E-3</v>
      </c>
      <c r="AK67" s="83">
        <f si="109" t="shared"/>
        <v>1.7426637949323715E-2</v>
      </c>
      <c r="AL67" s="83">
        <f si="109" t="shared"/>
        <v>7.1843638569696767E-3</v>
      </c>
      <c r="AM67" s="83">
        <f si="109" t="shared"/>
        <v>2.9004860836332624E-4</v>
      </c>
      <c r="AN67" s="83">
        <f si="109" t="shared"/>
        <v>3.0622232258432957E-3</v>
      </c>
      <c r="AO67" s="83">
        <f si="109" t="shared"/>
        <v>3.5582171286207312E-4</v>
      </c>
      <c r="AP67" s="83">
        <f si="109" t="shared"/>
        <v>3.0190933212539538E-4</v>
      </c>
      <c r="AQ67" s="83">
        <f si="109" t="shared"/>
        <v>1.334870547040141E-3</v>
      </c>
      <c r="AR67" s="83">
        <f si="109" t="shared"/>
        <v>7.2673889233041604E-4</v>
      </c>
      <c r="AS67" s="83">
        <f si="109" t="shared"/>
        <v>5.5098453112884655E-4</v>
      </c>
      <c r="AT67" s="83">
        <f si="109" t="shared"/>
        <v>0</v>
      </c>
      <c r="AU67" s="83">
        <f si="109" t="shared"/>
        <v>0.10999850866465832</v>
      </c>
      <c r="AW67">
        <v>7</v>
      </c>
      <c r="AX67" s="83">
        <f ref="AX67:BS67" si="110" t="shared">IF($BS$55&gt;0,AX40/$BS$55,0)</f>
        <v>5.8818265875264708E-3</v>
      </c>
      <c r="AY67" s="83">
        <f si="110" t="shared"/>
        <v>6.4461478808124795E-3</v>
      </c>
      <c r="AZ67" s="83">
        <f si="110" t="shared"/>
        <v>2.1749634622841292E-3</v>
      </c>
      <c r="BA67" s="83">
        <f si="110" t="shared"/>
        <v>1.2563008918185343E-3</v>
      </c>
      <c r="BB67" s="83">
        <f si="110" t="shared"/>
        <v>1.6058698959047931E-3</v>
      </c>
      <c r="BC67" s="83">
        <f si="110" t="shared"/>
        <v>1.0686312524234199E-2</v>
      </c>
      <c r="BD67" s="83">
        <f si="110" t="shared"/>
        <v>3.4247024785993375E-2</v>
      </c>
      <c r="BE67" s="83">
        <f si="110" t="shared"/>
        <v>1.0618307632654279E-4</v>
      </c>
      <c r="BF67" s="83">
        <f si="110" t="shared"/>
        <v>8.5721955438899985E-3</v>
      </c>
      <c r="BG67" s="83">
        <f si="110" t="shared"/>
        <v>1.2980582813851523E-3</v>
      </c>
      <c r="BH67" s="83">
        <f si="110" t="shared"/>
        <v>1.0057565544188266E-3</v>
      </c>
      <c r="BI67" s="83">
        <f si="110" t="shared"/>
        <v>2.2491723088853759E-2</v>
      </c>
      <c r="BJ67" s="83">
        <f si="110" t="shared"/>
        <v>1.187938079756614E-2</v>
      </c>
      <c r="BK67" s="83">
        <f si="110" t="shared"/>
        <v>6.5618755033256776E-5</v>
      </c>
      <c r="BL67" s="83">
        <f si="110" t="shared"/>
        <v>1.4579294300116324E-3</v>
      </c>
      <c r="BM67" s="83">
        <f si="110" t="shared"/>
        <v>1.2527216869985384E-4</v>
      </c>
      <c r="BN67" s="83">
        <f si="110" t="shared"/>
        <v>3.6985116473290186E-5</v>
      </c>
      <c r="BO67" s="83">
        <f si="110" t="shared"/>
        <v>5.5000447400602496E-4</v>
      </c>
      <c r="BP67" s="83">
        <f si="110" t="shared"/>
        <v>8.2321710859903954E-5</v>
      </c>
      <c r="BQ67" s="83">
        <f si="110" t="shared"/>
        <v>2.8633638559966594E-5</v>
      </c>
      <c r="BR67" s="83">
        <f si="110" t="shared"/>
        <v>0</v>
      </c>
      <c r="BS67" s="83">
        <f si="110" t="shared"/>
        <v>0.10999850866465834</v>
      </c>
    </row>
    <row r="68" spans="1:71" x14ac:dyDescent="0.45">
      <c r="A68">
        <v>8</v>
      </c>
      <c r="B68" s="83">
        <f ref="B68:W68" si="111" t="shared">IF($W$55&gt;0,B41/$W$55,0)</f>
        <v>7.9027556490877319E-4</v>
      </c>
      <c r="C68" s="83">
        <f si="111" t="shared"/>
        <v>2.8621460606844583E-4</v>
      </c>
      <c r="D68" s="83">
        <f si="111" t="shared"/>
        <v>7.7356241684678207E-5</v>
      </c>
      <c r="E68" s="83">
        <f si="111" t="shared"/>
        <v>2.7332738955257501E-4</v>
      </c>
      <c r="F68" s="83">
        <f si="111" t="shared"/>
        <v>1.683449139403319E-4</v>
      </c>
      <c r="G68" s="83">
        <f si="111" t="shared"/>
        <v>6.4033202855260686E-4</v>
      </c>
      <c r="H68" s="83">
        <f si="111" t="shared"/>
        <v>8.1448112568183274E-5</v>
      </c>
      <c r="I68" s="83">
        <f si="111" t="shared"/>
        <v>3.9137673388323893E-4</v>
      </c>
      <c r="J68" s="83">
        <f si="111" t="shared"/>
        <v>3.7448776861766377E-4</v>
      </c>
      <c r="K68" s="83">
        <f si="111" t="shared"/>
        <v>7.0199723148669903E-5</v>
      </c>
      <c r="L68" s="83">
        <f si="111" t="shared"/>
        <v>1.8578014201860956E-3</v>
      </c>
      <c r="M68" s="83">
        <f si="111" t="shared"/>
        <v>1.0049950756166237E-3</v>
      </c>
      <c r="N68" s="83">
        <f si="111" t="shared"/>
        <v>0</v>
      </c>
      <c r="O68" s="83">
        <f si="111" t="shared"/>
        <v>6.7520882799031241E-5</v>
      </c>
      <c r="P68" s="83">
        <f si="111" t="shared"/>
        <v>6.0566868544885822E-5</v>
      </c>
      <c r="Q68" s="83">
        <f si="111" t="shared"/>
        <v>0</v>
      </c>
      <c r="R68" s="83">
        <f si="111" t="shared"/>
        <v>1.0766338418556973E-4</v>
      </c>
      <c r="S68" s="83">
        <f si="111" t="shared"/>
        <v>6.7520882799031241E-5</v>
      </c>
      <c r="T68" s="83">
        <f si="111" t="shared"/>
        <v>3.677160749691268E-4</v>
      </c>
      <c r="U68" s="83">
        <f si="111" t="shared"/>
        <v>0</v>
      </c>
      <c r="V68" s="83">
        <f si="111" t="shared"/>
        <v>0</v>
      </c>
      <c r="W68" s="83">
        <f si="111" t="shared"/>
        <v>6.6871476720255316E-3</v>
      </c>
      <c r="X68" s="19"/>
      <c r="Y68">
        <v>8</v>
      </c>
      <c r="Z68" s="83">
        <f ref="Z68:AU68" si="112" t="shared">IF($W$55&gt;0,Z41/$W$55,0)</f>
        <v>6.7574207742749617E-4</v>
      </c>
      <c r="AA68" s="83">
        <f si="112" t="shared"/>
        <v>8.0304842208226183E-4</v>
      </c>
      <c r="AB68" s="83">
        <f si="112" t="shared"/>
        <v>3.0553522717143759E-4</v>
      </c>
      <c r="AC68" s="83">
        <f si="112" t="shared"/>
        <v>4.3182312106896514E-4</v>
      </c>
      <c r="AD68" s="83">
        <f si="112" t="shared"/>
        <v>3.6511459646986801E-4</v>
      </c>
      <c r="AE68" s="83">
        <f si="112" t="shared"/>
        <v>1.3188937306233726E-3</v>
      </c>
      <c r="AF68" s="83">
        <f si="112" t="shared"/>
        <v>3.6816994874158232E-4</v>
      </c>
      <c r="AG68" s="83">
        <f si="112" t="shared"/>
        <v>2.2558684272824478E-4</v>
      </c>
      <c r="AH68" s="83">
        <f si="112" t="shared"/>
        <v>3.4627325746096262E-4</v>
      </c>
      <c r="AI68" s="83">
        <f si="112" t="shared"/>
        <v>2.1540233515586352E-4</v>
      </c>
      <c r="AJ68" s="83">
        <f si="112" t="shared"/>
        <v>5.3570509830725397E-4</v>
      </c>
      <c r="AK68" s="83">
        <f si="112" t="shared"/>
        <v>6.1769038426492311E-4</v>
      </c>
      <c r="AL68" s="83">
        <f si="112" t="shared"/>
        <v>9.1660568151431284E-5</v>
      </c>
      <c r="AM68" s="83">
        <f si="112" t="shared"/>
        <v>1.1152035791757474E-4</v>
      </c>
      <c r="AN68" s="83">
        <f si="112" t="shared"/>
        <v>6.7726975356335338E-5</v>
      </c>
      <c r="AO68" s="83">
        <f si="112" t="shared"/>
        <v>3.1571973474381888E-5</v>
      </c>
      <c r="AP68" s="83">
        <f si="112" t="shared"/>
        <v>5.6524017026715957E-5</v>
      </c>
      <c r="AQ68" s="83">
        <f si="112" t="shared"/>
        <v>3.2590424231620012E-5</v>
      </c>
      <c r="AR68" s="83">
        <f si="112" t="shared"/>
        <v>6.569007384185909E-5</v>
      </c>
      <c r="AS68" s="83">
        <f si="112" t="shared"/>
        <v>2.0878240523381572E-5</v>
      </c>
      <c r="AT68" s="83">
        <f si="112" t="shared"/>
        <v>0</v>
      </c>
      <c r="AU68" s="83">
        <f si="112" t="shared"/>
        <v>6.6871476720255308E-3</v>
      </c>
      <c r="AW68">
        <v>8</v>
      </c>
      <c r="AX68" s="83">
        <f ref="AX68:BS68" si="113" t="shared">IF($BS$55&gt;0,AX41/$BS$55,0)</f>
        <v>9.5087541384555733E-4</v>
      </c>
      <c r="AY68" s="83">
        <f si="113" t="shared"/>
        <v>4.0087093983953232E-4</v>
      </c>
      <c r="AZ68" s="83">
        <f si="113" t="shared"/>
        <v>5.2733617681271811E-4</v>
      </c>
      <c r="BA68" s="83">
        <f si="113" t="shared"/>
        <v>3.5911355027291435E-4</v>
      </c>
      <c r="BB68" s="83">
        <f si="113" t="shared"/>
        <v>3.6149968681957825E-4</v>
      </c>
      <c r="BC68" s="83">
        <f si="113" t="shared"/>
        <v>1.4137859038983506E-3</v>
      </c>
      <c r="BD68" s="83">
        <f si="113" t="shared"/>
        <v>1.7299489963313152E-4</v>
      </c>
      <c r="BE68" s="83">
        <f si="113" t="shared"/>
        <v>1.2646523697318579E-4</v>
      </c>
      <c r="BF68" s="83">
        <f si="113" t="shared"/>
        <v>3.9490559847287263E-4</v>
      </c>
      <c r="BG68" s="83">
        <f si="113" t="shared"/>
        <v>2.8275718077967011E-4</v>
      </c>
      <c r="BH68" s="83">
        <f si="113" t="shared"/>
        <v>7.9458347003907295E-4</v>
      </c>
      <c r="BI68" s="83">
        <f si="113" t="shared"/>
        <v>6.1085095594595404E-4</v>
      </c>
      <c r="BJ68" s="83">
        <f si="113" t="shared"/>
        <v>1.1930682733319414E-5</v>
      </c>
      <c r="BK68" s="83">
        <f si="113" t="shared"/>
        <v>9.6638530139887249E-5</v>
      </c>
      <c r="BL68" s="83">
        <f si="113" t="shared"/>
        <v>2.505443373997077E-5</v>
      </c>
      <c r="BM68" s="83">
        <f si="113" t="shared"/>
        <v>1.9089092373311064E-5</v>
      </c>
      <c r="BN68" s="83">
        <f si="113" t="shared"/>
        <v>6.9197959853252607E-5</v>
      </c>
      <c r="BO68" s="83">
        <f si="113" t="shared"/>
        <v>3.5792048199958242E-6</v>
      </c>
      <c r="BP68" s="83">
        <f si="113" t="shared"/>
        <v>6.4425686759924842E-5</v>
      </c>
      <c r="BQ68" s="83">
        <f si="113" t="shared"/>
        <v>1.1930682733319415E-6</v>
      </c>
      <c r="BR68" s="83">
        <f si="113" t="shared"/>
        <v>0</v>
      </c>
      <c r="BS68" s="83">
        <f si="113" t="shared"/>
        <v>6.6871476720255316E-3</v>
      </c>
    </row>
    <row r="69" spans="1:71" x14ac:dyDescent="0.45">
      <c r="A69">
        <v>9</v>
      </c>
      <c r="B69" s="83">
        <f ref="B69:W69" si="114" t="shared">IF($W$55&gt;0,B42/$W$55,0)</f>
        <v>1.2145760714316731E-2</v>
      </c>
      <c r="C69" s="83">
        <f si="114" t="shared"/>
        <v>7.0478286777577665E-3</v>
      </c>
      <c r="D69" s="83">
        <f si="114" t="shared"/>
        <v>1.8550413865590053E-3</v>
      </c>
      <c r="E69" s="83">
        <f si="114" t="shared"/>
        <v>2.9778023059952126E-3</v>
      </c>
      <c r="F69" s="83">
        <f si="114" t="shared"/>
        <v>1.6289048647791329E-3</v>
      </c>
      <c r="G69" s="83">
        <f si="114" t="shared"/>
        <v>6.4869118782204908E-3</v>
      </c>
      <c r="H69" s="83">
        <f si="114" t="shared"/>
        <v>7.8755638114317138E-3</v>
      </c>
      <c r="I69" s="83">
        <f si="114" t="shared"/>
        <v>0</v>
      </c>
      <c r="J69" s="83">
        <f si="114" t="shared"/>
        <v>2.6712110767857289E-2</v>
      </c>
      <c r="K69" s="83">
        <f si="114" t="shared"/>
        <v>1.7132962269283497E-4</v>
      </c>
      <c r="L69" s="83">
        <f si="114" t="shared"/>
        <v>1.3832688974791329E-3</v>
      </c>
      <c r="M69" s="83">
        <f si="114" t="shared"/>
        <v>1.0084522129222347E-2</v>
      </c>
      <c r="N69" s="83">
        <f si="114" t="shared"/>
        <v>7.8034491774931763E-5</v>
      </c>
      <c r="O69" s="83">
        <f si="114" t="shared"/>
        <v>1.5766541937547077E-4</v>
      </c>
      <c r="P69" s="83">
        <f si="114" t="shared"/>
        <v>3.2327230451346047E-3</v>
      </c>
      <c r="Q69" s="83">
        <f si="114" t="shared"/>
        <v>0</v>
      </c>
      <c r="R69" s="83">
        <f si="114" t="shared"/>
        <v>2.4693248803922893E-4</v>
      </c>
      <c r="S69" s="83">
        <f si="114" t="shared"/>
        <v>4.7516438932905682E-4</v>
      </c>
      <c r="T69" s="83">
        <f si="114" t="shared"/>
        <v>2.047742993451645E-4</v>
      </c>
      <c r="U69" s="83">
        <f si="114" t="shared"/>
        <v>0</v>
      </c>
      <c r="V69" s="83">
        <f si="114" t="shared"/>
        <v>0</v>
      </c>
      <c r="W69" s="83">
        <f si="114" t="shared"/>
        <v>8.2764339189310102E-2</v>
      </c>
      <c r="X69" s="19"/>
      <c r="Y69">
        <v>9</v>
      </c>
      <c r="Z69" s="83">
        <f ref="Z69:AU69" si="115" t="shared">IF($W$55&gt;0,Z42/$W$55,0)</f>
        <v>7.4135516234127832E-3</v>
      </c>
      <c r="AA69" s="83">
        <f si="115" t="shared"/>
        <v>9.4931921242711881E-3</v>
      </c>
      <c r="AB69" s="83">
        <f si="115" t="shared"/>
        <v>2.7318823738635683E-3</v>
      </c>
      <c r="AC69" s="83">
        <f si="115" t="shared"/>
        <v>2.3205140193086407E-3</v>
      </c>
      <c r="AD69" s="83">
        <f si="115" t="shared"/>
        <v>2.5286763192039052E-3</v>
      </c>
      <c r="AE69" s="83">
        <f si="115" t="shared"/>
        <v>1.3598945677443504E-2</v>
      </c>
      <c r="AF69" s="83">
        <f si="115" t="shared"/>
        <v>7.4918602981352877E-3</v>
      </c>
      <c r="AG69" s="83">
        <f si="115" t="shared"/>
        <v>6.7206685394756883E-4</v>
      </c>
      <c r="AH69" s="83">
        <f si="115" t="shared"/>
        <v>1.1285370401464706E-2</v>
      </c>
      <c r="AI69" s="83">
        <f si="115" t="shared"/>
        <v>1.4521798540312512E-3</v>
      </c>
      <c r="AJ69" s="83">
        <f si="115" t="shared"/>
        <v>4.7381704452350718E-3</v>
      </c>
      <c r="AK69" s="83">
        <f si="115" t="shared"/>
        <v>9.2701610886691196E-3</v>
      </c>
      <c r="AL69" s="83">
        <f si="115" t="shared"/>
        <v>2.4374814068688373E-3</v>
      </c>
      <c r="AM69" s="83">
        <f si="115" t="shared"/>
        <v>2.7854098224080651E-4</v>
      </c>
      <c r="AN69" s="83">
        <f si="115" t="shared"/>
        <v>4.5528068734235743E-3</v>
      </c>
      <c r="AO69" s="83">
        <f si="115" t="shared"/>
        <v>2.2501353369630989E-4</v>
      </c>
      <c r="AP69" s="83">
        <f si="115" t="shared"/>
        <v>3.2612093650258127E-4</v>
      </c>
      <c r="AQ69" s="83">
        <f si="115" t="shared"/>
        <v>5.6996820209417713E-4</v>
      </c>
      <c r="AR69" s="83">
        <f si="115" t="shared"/>
        <v>1.0874002046909778E-3</v>
      </c>
      <c r="AS69" s="83">
        <f si="115" t="shared"/>
        <v>2.9043597080625019E-4</v>
      </c>
      <c r="AT69" s="83">
        <f si="115" t="shared"/>
        <v>0</v>
      </c>
      <c r="AU69" s="83">
        <f si="115" t="shared"/>
        <v>8.2764339189310102E-2</v>
      </c>
      <c r="AW69">
        <v>9</v>
      </c>
      <c r="AX69" s="83">
        <f ref="AX69:BS69" si="116" t="shared">IF($BS$55&gt;0,AX42/$BS$55,0)</f>
        <v>6.8064544993587262E-3</v>
      </c>
      <c r="AY69" s="83">
        <f si="116" t="shared"/>
        <v>7.1321621379783458E-3</v>
      </c>
      <c r="AZ69" s="83">
        <f si="116" t="shared"/>
        <v>3.2749724102961791E-3</v>
      </c>
      <c r="BA69" s="83">
        <f si="116" t="shared"/>
        <v>1.4328749962716617E-3</v>
      </c>
      <c r="BB69" s="83">
        <f si="116" t="shared"/>
        <v>1.6750678557580457E-3</v>
      </c>
      <c r="BC69" s="83">
        <f si="116" t="shared"/>
        <v>1.04286097771945E-2</v>
      </c>
      <c r="BD69" s="83">
        <f si="116" t="shared"/>
        <v>9.1711158171026343E-3</v>
      </c>
      <c r="BE69" s="83">
        <f si="116" t="shared"/>
        <v>2.1475228919974945E-4</v>
      </c>
      <c r="BF69" s="83">
        <f si="116" t="shared"/>
        <v>2.1506248695081578E-2</v>
      </c>
      <c r="BG69" s="83">
        <f si="116" t="shared"/>
        <v>1.0069496226921585E-3</v>
      </c>
      <c r="BH69" s="83">
        <f si="116" t="shared"/>
        <v>3.6567542577624003E-3</v>
      </c>
      <c r="BI69" s="83">
        <f si="116" t="shared"/>
        <v>8.2643839293703586E-3</v>
      </c>
      <c r="BJ69" s="83">
        <f si="116" t="shared"/>
        <v>1.6428550123780833E-3</v>
      </c>
      <c r="BK69" s="83">
        <f si="116" t="shared"/>
        <v>1.6106421689981209E-4</v>
      </c>
      <c r="BL69" s="83">
        <f si="116" t="shared"/>
        <v>5.4475497360336449E-3</v>
      </c>
      <c r="BM69" s="83">
        <f si="116" t="shared"/>
        <v>7.0391028126584541E-5</v>
      </c>
      <c r="BN69" s="83">
        <f si="116" t="shared"/>
        <v>1.8611865063978286E-4</v>
      </c>
      <c r="BO69" s="83">
        <f si="116" t="shared"/>
        <v>1.1095534941987056E-4</v>
      </c>
      <c r="BP69" s="83">
        <f si="116" t="shared"/>
        <v>5.6432129328600833E-4</v>
      </c>
      <c r="BQ69" s="83">
        <f si="116" t="shared"/>
        <v>1.0737614459987473E-5</v>
      </c>
      <c r="BR69" s="83">
        <f si="116" t="shared"/>
        <v>0</v>
      </c>
      <c r="BS69" s="83">
        <f si="116" t="shared"/>
        <v>8.2764339189310102E-2</v>
      </c>
    </row>
    <row r="70" spans="1:71" x14ac:dyDescent="0.45">
      <c r="A70">
        <v>10</v>
      </c>
      <c r="B70" s="83">
        <f ref="B70:W70" si="117" t="shared">IF($W$55&gt;0,B43/$W$55,0)</f>
        <v>5.6698147112139354E-3</v>
      </c>
      <c r="C70" s="83">
        <f si="117" t="shared"/>
        <v>4.6925056853344476E-4</v>
      </c>
      <c r="D70" s="83">
        <f si="117" t="shared"/>
        <v>6.378775955932644E-4</v>
      </c>
      <c r="E70" s="83">
        <f si="117" t="shared"/>
        <v>1.1679728867097171E-3</v>
      </c>
      <c r="F70" s="83">
        <f si="117" t="shared"/>
        <v>3.3986013628675344E-3</v>
      </c>
      <c r="G70" s="83">
        <f si="117" t="shared"/>
        <v>1.0146050208116333E-2</v>
      </c>
      <c r="H70" s="83">
        <f si="117" t="shared"/>
        <v>1.3925757892374003E-3</v>
      </c>
      <c r="I70" s="83">
        <f si="117" t="shared"/>
        <v>4.2655042423158333E-4</v>
      </c>
      <c r="J70" s="83">
        <f si="117" t="shared"/>
        <v>4.0390609218432944E-4</v>
      </c>
      <c r="K70" s="83">
        <f si="117" t="shared"/>
        <v>4.1790369630000518E-3</v>
      </c>
      <c r="L70" s="83">
        <f si="117" t="shared"/>
        <v>5.9675781247034692E-4</v>
      </c>
      <c r="M70" s="83">
        <f si="117" t="shared"/>
        <v>5.9297823270740013E-3</v>
      </c>
      <c r="N70" s="83">
        <f si="117" t="shared"/>
        <v>2.2496209735230554E-4</v>
      </c>
      <c r="O70" s="83">
        <f si="117" t="shared"/>
        <v>1.2748970999534325E-4</v>
      </c>
      <c r="P70" s="83">
        <f si="117" t="shared"/>
        <v>0</v>
      </c>
      <c r="Q70" s="83">
        <f si="117" t="shared"/>
        <v>3.3342693378233336E-4</v>
      </c>
      <c r="R70" s="83">
        <f si="117" t="shared"/>
        <v>0</v>
      </c>
      <c r="S70" s="83">
        <f si="117" t="shared"/>
        <v>3.7770508630408698E-5</v>
      </c>
      <c r="T70" s="83">
        <f si="117" t="shared"/>
        <v>0</v>
      </c>
      <c r="U70" s="83">
        <f si="117" t="shared"/>
        <v>0</v>
      </c>
      <c r="V70" s="83">
        <f si="117" t="shared"/>
        <v>0</v>
      </c>
      <c r="W70" s="83">
        <f si="117" t="shared"/>
        <v>3.5141825990992331E-2</v>
      </c>
      <c r="Y70">
        <v>10</v>
      </c>
      <c r="Z70" s="83">
        <f ref="Z70:AU70" si="118" t="shared">IF($W$55&gt;0,Z43/$W$55,0)</f>
        <v>3.4308356673967157E-3</v>
      </c>
      <c r="AA70" s="83">
        <f si="118" t="shared"/>
        <v>2.7064445495795283E-3</v>
      </c>
      <c r="AB70" s="83">
        <f si="118" t="shared"/>
        <v>7.9244845578456738E-4</v>
      </c>
      <c r="AC70" s="83">
        <f si="118" t="shared"/>
        <v>1.0301829925199377E-3</v>
      </c>
      <c r="AD70" s="83">
        <f si="118" t="shared"/>
        <v>1.8878919093691165E-3</v>
      </c>
      <c r="AE70" s="83">
        <f si="118" t="shared"/>
        <v>1.0029600573329854E-2</v>
      </c>
      <c r="AF70" s="83">
        <f si="118" t="shared"/>
        <v>1.26232377544977E-3</v>
      </c>
      <c r="AG70" s="83">
        <f si="118" t="shared"/>
        <v>2.507866289482925E-4</v>
      </c>
      <c r="AH70" s="83">
        <f si="118" t="shared"/>
        <v>1.1019694996910101E-3</v>
      </c>
      <c r="AI70" s="83">
        <f si="118" t="shared"/>
        <v>2.7008507957739904E-3</v>
      </c>
      <c r="AJ70" s="83">
        <f si="118" t="shared"/>
        <v>8.9686519348794566E-4</v>
      </c>
      <c r="AK70" s="83">
        <f si="118" t="shared"/>
        <v>6.6873326745208253E-3</v>
      </c>
      <c r="AL70" s="83">
        <f si="118" t="shared"/>
        <v>4.8572428878089372E-4</v>
      </c>
      <c r="AM70" s="83">
        <f si="118" t="shared"/>
        <v>1.4543759894399119E-4</v>
      </c>
      <c r="AN70" s="83">
        <f si="118" t="shared"/>
        <v>2.3027619832798608E-4</v>
      </c>
      <c r="AO70" s="83">
        <f si="118" t="shared"/>
        <v>6.6845357976180568E-4</v>
      </c>
      <c r="AP70" s="83">
        <f si="118" t="shared"/>
        <v>8.483859938399486E-5</v>
      </c>
      <c r="AQ70" s="83">
        <f si="118" t="shared"/>
        <v>3.9529193559136071E-4</v>
      </c>
      <c r="AR70" s="83">
        <f si="118" t="shared"/>
        <v>2.0976576770767962E-4</v>
      </c>
      <c r="AS70" s="83">
        <f si="118" t="shared"/>
        <v>1.4450530664306818E-4</v>
      </c>
      <c r="AT70" s="83">
        <f si="118" t="shared"/>
        <v>0</v>
      </c>
      <c r="AU70" s="83">
        <f si="118" t="shared"/>
        <v>3.5141825990992331E-2</v>
      </c>
      <c r="AW70">
        <v>10</v>
      </c>
      <c r="AX70" s="83">
        <f ref="AX70:BS70" si="119" t="shared">IF($BS$55&gt;0,AX43/$BS$55,0)</f>
        <v>3.7521997196289557E-3</v>
      </c>
      <c r="AY70" s="83">
        <f si="119" t="shared"/>
        <v>1.6392758075580876E-3</v>
      </c>
      <c r="AZ70" s="83">
        <f si="119" t="shared"/>
        <v>8.5065767888567424E-4</v>
      </c>
      <c r="BA70" s="83">
        <f si="119" t="shared"/>
        <v>1.201419751245265E-3</v>
      </c>
      <c r="BB70" s="83">
        <f si="119" t="shared"/>
        <v>2.0282160646643006E-3</v>
      </c>
      <c r="BC70" s="83">
        <f si="119" t="shared"/>
        <v>8.6020222507232971E-3</v>
      </c>
      <c r="BD70" s="83">
        <f si="119" t="shared"/>
        <v>1.138187132758672E-3</v>
      </c>
      <c r="BE70" s="83">
        <f si="119" t="shared"/>
        <v>8.4707847406567837E-5</v>
      </c>
      <c r="BF70" s="83">
        <f si="119" t="shared"/>
        <v>8.7451904435231309E-4</v>
      </c>
      <c r="BG70" s="83">
        <f si="119" t="shared"/>
        <v>4.0397291735019538E-3</v>
      </c>
      <c r="BH70" s="83">
        <f si="119" t="shared"/>
        <v>5.0586094789274315E-4</v>
      </c>
      <c r="BI70" s="83">
        <f si="119" t="shared"/>
        <v>9.2605959376025285E-3</v>
      </c>
      <c r="BJ70" s="83">
        <f si="119" t="shared"/>
        <v>9.4252393593223367E-5</v>
      </c>
      <c r="BK70" s="83">
        <f si="119" t="shared"/>
        <v>4.7722730933277657E-5</v>
      </c>
      <c r="BL70" s="83">
        <f si="119" t="shared"/>
        <v>4.1757389566617951E-5</v>
      </c>
      <c r="BM70" s="83">
        <f si="119" t="shared"/>
        <v>7.8623199212574937E-4</v>
      </c>
      <c r="BN70" s="83">
        <f si="119" t="shared"/>
        <v>2.1475228919974946E-5</v>
      </c>
      <c r="BO70" s="83">
        <f si="119" t="shared"/>
        <v>1.2885137351984968E-4</v>
      </c>
      <c r="BP70" s="83">
        <f si="119" t="shared"/>
        <v>2.8633638559966594E-5</v>
      </c>
      <c r="BQ70" s="83">
        <f si="119" t="shared"/>
        <v>1.550988755331524E-5</v>
      </c>
      <c r="BR70" s="83">
        <f si="119" t="shared"/>
        <v>0</v>
      </c>
      <c r="BS70" s="83">
        <f si="119" t="shared"/>
        <v>3.5141825990992331E-2</v>
      </c>
    </row>
    <row r="71" spans="1:71" x14ac:dyDescent="0.45">
      <c r="A71">
        <v>11</v>
      </c>
      <c r="B71" s="83">
        <f ref="B71:W71" si="120" t="shared">IF($W$55&gt;0,B44/$W$55,0)</f>
        <v>8.903729827560802E-3</v>
      </c>
      <c r="C71" s="83">
        <f si="120" t="shared"/>
        <v>2.4746007841388272E-3</v>
      </c>
      <c r="D71" s="83">
        <f si="120" t="shared"/>
        <v>6.9718631460047248E-3</v>
      </c>
      <c r="E71" s="83">
        <f si="120" t="shared"/>
        <v>3.2043814611173809E-3</v>
      </c>
      <c r="F71" s="83">
        <f si="120" t="shared"/>
        <v>3.7024744682331041E-3</v>
      </c>
      <c r="G71" s="83">
        <f si="120" t="shared"/>
        <v>7.0564062748725122E-3</v>
      </c>
      <c r="H71" s="83">
        <f si="120" t="shared"/>
        <v>3.7626987703081156E-3</v>
      </c>
      <c r="I71" s="83">
        <f si="120" t="shared"/>
        <v>0</v>
      </c>
      <c r="J71" s="83">
        <f si="120" t="shared"/>
        <v>4.1552113256535005E-3</v>
      </c>
      <c r="K71" s="83">
        <f si="120" t="shared"/>
        <v>1.0188291500354671E-3</v>
      </c>
      <c r="L71" s="83">
        <f si="120" t="shared"/>
        <v>1.7391621375280827E-2</v>
      </c>
      <c r="M71" s="83">
        <f si="120" t="shared"/>
        <v>4.5401073795029835E-3</v>
      </c>
      <c r="N71" s="83">
        <f si="120" t="shared"/>
        <v>6.6947111715593869E-5</v>
      </c>
      <c r="O71" s="83">
        <f si="120" t="shared"/>
        <v>1.1538857448283363E-4</v>
      </c>
      <c r="P71" s="83">
        <f si="120" t="shared"/>
        <v>0</v>
      </c>
      <c r="Q71" s="83">
        <f si="120" t="shared"/>
        <v>1.0933637575125386E-3</v>
      </c>
      <c r="R71" s="83">
        <f si="120" t="shared"/>
        <v>1.4707360399701477E-3</v>
      </c>
      <c r="S71" s="83">
        <f si="120" t="shared"/>
        <v>1.695615993620291E-3</v>
      </c>
      <c r="T71" s="83">
        <f si="120" t="shared"/>
        <v>2.7801764375815466E-3</v>
      </c>
      <c r="U71" s="83">
        <f si="120" t="shared"/>
        <v>0</v>
      </c>
      <c r="V71" s="83">
        <f si="120" t="shared"/>
        <v>0</v>
      </c>
      <c r="W71" s="83">
        <f si="120" t="shared"/>
        <v>7.0404151877591192E-2</v>
      </c>
      <c r="Y71">
        <v>11</v>
      </c>
      <c r="Z71" s="83">
        <f ref="Z71:AU71" si="121" t="shared">IF($W$55&gt;0,Z44/$W$55,0)</f>
        <v>5.8858067430518019E-3</v>
      </c>
      <c r="AA71" s="83">
        <f si="121" t="shared"/>
        <v>7.2520115439338876E-3</v>
      </c>
      <c r="AB71" s="83">
        <f si="121" t="shared"/>
        <v>2.8987999150043957E-3</v>
      </c>
      <c r="AC71" s="83">
        <f si="121" t="shared"/>
        <v>2.5730357475160044E-3</v>
      </c>
      <c r="AD71" s="83">
        <f si="121" t="shared"/>
        <v>2.323450277655667E-3</v>
      </c>
      <c r="AE71" s="83">
        <f si="121" t="shared"/>
        <v>1.1559115013772714E-2</v>
      </c>
      <c r="AF71" s="83">
        <f si="121" t="shared"/>
        <v>3.4551048779461109E-3</v>
      </c>
      <c r="AG71" s="83">
        <f si="121" t="shared"/>
        <v>1.066501766792765E-3</v>
      </c>
      <c r="AH71" s="83">
        <f si="121" t="shared"/>
        <v>4.7842226812987486E-3</v>
      </c>
      <c r="AI71" s="83">
        <f si="121" t="shared"/>
        <v>1.445390552363879E-3</v>
      </c>
      <c r="AJ71" s="83">
        <f si="121" t="shared"/>
        <v>1.1730517083435837E-2</v>
      </c>
      <c r="AK71" s="83">
        <f si="121" t="shared"/>
        <v>5.9569736842569575E-3</v>
      </c>
      <c r="AL71" s="83">
        <f si="121" t="shared"/>
        <v>1.1517016259820368E-3</v>
      </c>
      <c r="AM71" s="83">
        <f si="121" t="shared"/>
        <v>7.2169292489735989E-4</v>
      </c>
      <c r="AN71" s="83">
        <f si="121" t="shared"/>
        <v>1.4052965009806924E-3</v>
      </c>
      <c r="AO71" s="83">
        <f si="121" t="shared"/>
        <v>2.6762779298277096E-4</v>
      </c>
      <c r="AP71" s="83">
        <f si="121" t="shared"/>
        <v>9.8130190760349362E-4</v>
      </c>
      <c r="AQ71" s="83">
        <f si="121" t="shared"/>
        <v>3.8189583942485297E-4</v>
      </c>
      <c r="AR71" s="83">
        <f si="121" t="shared"/>
        <v>4.334166954522478E-3</v>
      </c>
      <c r="AS71" s="83">
        <f si="121" t="shared"/>
        <v>2.2953844416874361E-4</v>
      </c>
      <c r="AT71" s="83">
        <f si="121" t="shared"/>
        <v>0</v>
      </c>
      <c r="AU71" s="83">
        <f si="121" t="shared"/>
        <v>7.0404151877591206E-2</v>
      </c>
      <c r="AW71">
        <v>11</v>
      </c>
      <c r="AX71" s="83">
        <f ref="AX71:BS71" si="122" t="shared">IF($BS$55&gt;0,AX44/$BS$55,0)</f>
        <v>6.7193605154054941E-3</v>
      </c>
      <c r="AY71" s="83">
        <f si="122" t="shared"/>
        <v>3.5672741372625048E-3</v>
      </c>
      <c r="AZ71" s="83">
        <f si="122" t="shared"/>
        <v>4.521728755928058E-3</v>
      </c>
      <c r="BA71" s="83">
        <f si="122" t="shared"/>
        <v>2.3038148358039789E-3</v>
      </c>
      <c r="BB71" s="83">
        <f si="122" t="shared"/>
        <v>1.7335282011513109E-3</v>
      </c>
      <c r="BC71" s="83">
        <f si="122" t="shared"/>
        <v>8.6926954394965245E-3</v>
      </c>
      <c r="BD71" s="83">
        <f si="122" t="shared"/>
        <v>1.8468696871178454E-3</v>
      </c>
      <c r="BE71" s="83">
        <f si="122" t="shared"/>
        <v>6.3113311659259699E-4</v>
      </c>
      <c r="BF71" s="83">
        <f si="122" t="shared"/>
        <v>6.7360634712321414E-3</v>
      </c>
      <c r="BG71" s="83">
        <f si="122" t="shared"/>
        <v>1.1358009962120082E-3</v>
      </c>
      <c r="BH71" s="83">
        <f si="122" t="shared"/>
        <v>2.0720016702955826E-2</v>
      </c>
      <c r="BI71" s="83">
        <f si="122" t="shared"/>
        <v>4.0791004265219076E-3</v>
      </c>
      <c r="BJ71" s="83">
        <f si="122" t="shared"/>
        <v>1.7418796790646344E-4</v>
      </c>
      <c r="BK71" s="83">
        <f si="122" t="shared"/>
        <v>9.0911802427893931E-4</v>
      </c>
      <c r="BL71" s="83">
        <f si="122" t="shared"/>
        <v>9.0076654636561573E-4</v>
      </c>
      <c r="BM71" s="83">
        <f si="122" t="shared"/>
        <v>7.6356369493244254E-5</v>
      </c>
      <c r="BN71" s="83">
        <f si="122" t="shared"/>
        <v>1.3541324902317535E-3</v>
      </c>
      <c r="BO71" s="83">
        <f si="122" t="shared"/>
        <v>4.5336594386613775E-5</v>
      </c>
      <c r="BP71" s="83">
        <f si="122" t="shared"/>
        <v>4.2532883944283711E-3</v>
      </c>
      <c r="BQ71" s="83">
        <f si="122" t="shared"/>
        <v>3.5792048199958242E-6</v>
      </c>
      <c r="BR71" s="83">
        <f si="122" t="shared"/>
        <v>0</v>
      </c>
      <c r="BS71" s="83">
        <f si="122" t="shared"/>
        <v>7.0404151877591192E-2</v>
      </c>
    </row>
    <row r="72" spans="1:71" x14ac:dyDescent="0.45">
      <c r="A72">
        <v>12</v>
      </c>
      <c r="B72" s="83">
        <f ref="B72:W72" si="123" t="shared">IF($W$55&gt;0,B45/$W$55,0)</f>
        <v>1.807253818034199E-2</v>
      </c>
      <c r="C72" s="83">
        <f si="123" t="shared"/>
        <v>2.6537350068122573E-3</v>
      </c>
      <c r="D72" s="83">
        <f si="123" t="shared"/>
        <v>2.1893439162498757E-3</v>
      </c>
      <c r="E72" s="83">
        <f si="123" t="shared"/>
        <v>6.001755710227645E-3</v>
      </c>
      <c r="F72" s="83">
        <f si="123" t="shared"/>
        <v>3.1590301239617564E-3</v>
      </c>
      <c r="G72" s="83">
        <f si="123" t="shared"/>
        <v>2.8458189817456347E-2</v>
      </c>
      <c r="H72" s="83">
        <f si="123" t="shared"/>
        <v>9.2683799378391468E-3</v>
      </c>
      <c r="I72" s="83">
        <f si="123" t="shared"/>
        <v>0</v>
      </c>
      <c r="J72" s="83">
        <f si="123" t="shared"/>
        <v>5.7430091117734328E-3</v>
      </c>
      <c r="K72" s="83">
        <f si="123" t="shared"/>
        <v>2.45520789821731E-3</v>
      </c>
      <c r="L72" s="83">
        <f si="123" t="shared"/>
        <v>8.3756486574389634E-4</v>
      </c>
      <c r="M72" s="83">
        <f si="123" t="shared"/>
        <v>6.3193348995461404E-2</v>
      </c>
      <c r="N72" s="83">
        <f si="123" t="shared"/>
        <v>1.0285371525718071E-3</v>
      </c>
      <c r="O72" s="83">
        <f si="123" t="shared"/>
        <v>5.0729068585300967E-5</v>
      </c>
      <c r="P72" s="83">
        <f si="123" t="shared"/>
        <v>0</v>
      </c>
      <c r="Q72" s="83">
        <f si="123" t="shared"/>
        <v>4.8065929061427557E-4</v>
      </c>
      <c r="R72" s="83">
        <f si="123" t="shared"/>
        <v>0</v>
      </c>
      <c r="S72" s="83">
        <f si="123" t="shared"/>
        <v>1.4854878085598054E-3</v>
      </c>
      <c r="T72" s="83">
        <f si="123" t="shared"/>
        <v>0</v>
      </c>
      <c r="U72" s="83">
        <f si="123" t="shared"/>
        <v>9.2421306458009616E-4</v>
      </c>
      <c r="V72" s="83">
        <f si="123" t="shared"/>
        <v>0</v>
      </c>
      <c r="W72" s="83">
        <f si="123" t="shared"/>
        <v>0.14600172994899632</v>
      </c>
      <c r="Y72">
        <v>12</v>
      </c>
      <c r="Z72" s="83">
        <f ref="Z72:AU72" si="124" t="shared">IF($W$55&gt;0,Z45/$W$55,0)</f>
        <v>1.1155562290303397E-2</v>
      </c>
      <c r="AA72" s="83">
        <f si="124" t="shared"/>
        <v>1.0108018249027536E-2</v>
      </c>
      <c r="AB72" s="83">
        <f si="124" t="shared"/>
        <v>2.4781452319734948E-3</v>
      </c>
      <c r="AC72" s="83">
        <f si="124" t="shared"/>
        <v>2.8031295774012944E-3</v>
      </c>
      <c r="AD72" s="83">
        <f si="124" t="shared"/>
        <v>3.8082358003738697E-3</v>
      </c>
      <c r="AE72" s="83">
        <f si="124" t="shared"/>
        <v>2.8701366589327995E-2</v>
      </c>
      <c r="AF72" s="83">
        <f si="124" t="shared"/>
        <v>1.0264368105934382E-2</v>
      </c>
      <c r="AG72" s="83">
        <f si="124" t="shared"/>
        <v>5.2488880533012273E-4</v>
      </c>
      <c r="AH72" s="83">
        <f si="124" t="shared"/>
        <v>5.9535791940742225E-3</v>
      </c>
      <c r="AI72" s="83">
        <f si="124" t="shared"/>
        <v>3.2866973491203224E-3</v>
      </c>
      <c r="AJ72" s="83">
        <f si="124" t="shared"/>
        <v>3.3000987654266231E-3</v>
      </c>
      <c r="AK72" s="83">
        <f si="124" t="shared"/>
        <v>5.1216862768605875E-2</v>
      </c>
      <c r="AL72" s="83">
        <f si="124" t="shared"/>
        <v>3.6016306323183962E-3</v>
      </c>
      <c r="AM72" s="83">
        <f si="124" t="shared"/>
        <v>3.2386756073560767E-4</v>
      </c>
      <c r="AN72" s="83">
        <f si="124" t="shared"/>
        <v>1.3568934010129772E-3</v>
      </c>
      <c r="AO72" s="83">
        <f si="124" t="shared"/>
        <v>8.5434028952668939E-4</v>
      </c>
      <c r="AP72" s="83">
        <f si="124" t="shared"/>
        <v>2.9929829750738915E-4</v>
      </c>
      <c r="AQ72" s="83">
        <f si="124" t="shared"/>
        <v>3.974636719510441E-3</v>
      </c>
      <c r="AR72" s="83">
        <f si="124" t="shared"/>
        <v>6.3991762862587308E-4</v>
      </c>
      <c r="AS72" s="83">
        <f si="124" t="shared"/>
        <v>1.3501926928598264E-3</v>
      </c>
      <c r="AT72" s="83">
        <f si="124" t="shared"/>
        <v>0</v>
      </c>
      <c r="AU72" s="83">
        <f si="124" t="shared"/>
        <v>0.14600172994899635</v>
      </c>
      <c r="AW72">
        <v>12</v>
      </c>
      <c r="AX72" s="83">
        <f ref="AX72:BS72" si="125" t="shared">IF($BS$55&gt;0,AX45/$BS$55,0)</f>
        <v>9.228383094222567E-3</v>
      </c>
      <c r="AY72" s="83">
        <f si="125" t="shared"/>
        <v>6.4461478808124795E-3</v>
      </c>
      <c r="AZ72" s="83">
        <f si="125" t="shared"/>
        <v>2.3217108599039582E-3</v>
      </c>
      <c r="BA72" s="83">
        <f si="125" t="shared"/>
        <v>2.1630327795508098E-3</v>
      </c>
      <c r="BB72" s="83">
        <f si="125" t="shared"/>
        <v>2.9277895427565841E-3</v>
      </c>
      <c r="BC72" s="83">
        <f si="125" t="shared"/>
        <v>1.9789423449756913E-2</v>
      </c>
      <c r="BD72" s="83">
        <f si="125" t="shared"/>
        <v>1.3509112058937572E-2</v>
      </c>
      <c r="BE72" s="83">
        <f si="125" t="shared"/>
        <v>1.6225728517314404E-4</v>
      </c>
      <c r="BF72" s="83">
        <f si="125" t="shared"/>
        <v>4.6815999045545379E-3</v>
      </c>
      <c r="BG72" s="83">
        <f si="125" t="shared"/>
        <v>3.0447102335431145E-3</v>
      </c>
      <c r="BH72" s="83">
        <f si="125" t="shared"/>
        <v>1.059444626718764E-3</v>
      </c>
      <c r="BI72" s="83">
        <f si="125" t="shared"/>
        <v>7.3546693709547528E-2</v>
      </c>
      <c r="BJ72" s="83">
        <f si="125" t="shared"/>
        <v>2.7941658961434068E-3</v>
      </c>
      <c r="BK72" s="83">
        <f si="125" t="shared"/>
        <v>6.5618755033256776E-5</v>
      </c>
      <c r="BL72" s="83">
        <f si="125" t="shared"/>
        <v>3.8178184746622126E-4</v>
      </c>
      <c r="BM72" s="83">
        <f si="125" t="shared"/>
        <v>6.3351925313926089E-4</v>
      </c>
      <c r="BN72" s="83">
        <f si="125" t="shared"/>
        <v>4.2950457839949892E-5</v>
      </c>
      <c r="BO72" s="83">
        <f si="125" t="shared"/>
        <v>2.9254034062099203E-3</v>
      </c>
      <c r="BP72" s="83">
        <f si="125" t="shared"/>
        <v>7.7549437766576189E-5</v>
      </c>
      <c r="BQ72" s="83">
        <f si="125" t="shared"/>
        <v>2.0043546991976616E-4</v>
      </c>
      <c r="BR72" s="83">
        <f si="125" t="shared"/>
        <v>0</v>
      </c>
      <c r="BS72" s="83">
        <f si="125" t="shared"/>
        <v>0.14600172994899632</v>
      </c>
    </row>
    <row r="73" spans="1:71" x14ac:dyDescent="0.45">
      <c r="A73">
        <v>13</v>
      </c>
      <c r="B73" s="83">
        <f ref="B73:W73" si="126" t="shared">IF($W$55&gt;0,B46/$W$55,0)</f>
        <v>6.7961550710392256E-3</v>
      </c>
      <c r="C73" s="83">
        <f si="126" t="shared"/>
        <v>1.0422900519007174E-3</v>
      </c>
      <c r="D73" s="83">
        <f si="126" t="shared"/>
        <v>4.5791367684011835E-4</v>
      </c>
      <c r="E73" s="83">
        <f si="126" t="shared"/>
        <v>1.7085398944225022E-3</v>
      </c>
      <c r="F73" s="83">
        <f si="126" t="shared"/>
        <v>1.4207481741513072E-3</v>
      </c>
      <c r="G73" s="83">
        <f si="126" t="shared"/>
        <v>3.8016978166847777E-3</v>
      </c>
      <c r="H73" s="83">
        <f si="126" t="shared"/>
        <v>2.7545362192604238E-2</v>
      </c>
      <c r="I73" s="83">
        <f si="126" t="shared"/>
        <v>8.9786236550064714E-4</v>
      </c>
      <c r="J73" s="83">
        <f si="126" t="shared"/>
        <v>1.6169873346413867E-3</v>
      </c>
      <c r="K73" s="83">
        <f si="126" t="shared"/>
        <v>7.291166354999165E-4</v>
      </c>
      <c r="L73" s="83">
        <f si="126" t="shared"/>
        <v>1.5648797020694496E-3</v>
      </c>
      <c r="M73" s="83">
        <f si="126" t="shared"/>
        <v>7.6140634022147892E-3</v>
      </c>
      <c r="N73" s="83">
        <f si="126" t="shared"/>
        <v>5.8297662456841724E-2</v>
      </c>
      <c r="O73" s="83">
        <f si="126" t="shared"/>
        <v>1.7858757453242182E-4</v>
      </c>
      <c r="P73" s="83">
        <f si="126" t="shared"/>
        <v>2.5348778233198637E-3</v>
      </c>
      <c r="Q73" s="83">
        <f si="126" t="shared"/>
        <v>0</v>
      </c>
      <c r="R73" s="83">
        <f si="126" t="shared"/>
        <v>0</v>
      </c>
      <c r="S73" s="83">
        <f si="126" t="shared"/>
        <v>2.8566972331713525E-3</v>
      </c>
      <c r="T73" s="83">
        <f si="126" t="shared"/>
        <v>0</v>
      </c>
      <c r="U73" s="83">
        <f si="126" t="shared"/>
        <v>0</v>
      </c>
      <c r="V73" s="83">
        <f si="126" t="shared"/>
        <v>0</v>
      </c>
      <c r="W73" s="83">
        <f si="126" t="shared"/>
        <v>0.11906344140543443</v>
      </c>
      <c r="Y73">
        <v>13</v>
      </c>
      <c r="Z73" s="83">
        <f ref="Z73:AU73" si="127" t="shared">IF($W$55&gt;0,Z46/$W$55,0)</f>
        <v>4.74741642753758E-3</v>
      </c>
      <c r="AA73" s="83">
        <f si="127" t="shared"/>
        <v>5.2831532105181269E-3</v>
      </c>
      <c r="AB73" s="83">
        <f si="127" t="shared"/>
        <v>1.4008009390487047E-3</v>
      </c>
      <c r="AC73" s="83">
        <f si="127" t="shared"/>
        <v>1.6106891592207375E-3</v>
      </c>
      <c r="AD73" s="83">
        <f si="127" t="shared"/>
        <v>1.7718740354854474E-3</v>
      </c>
      <c r="AE73" s="83">
        <f si="127" t="shared"/>
        <v>9.4009049775396081E-3</v>
      </c>
      <c r="AF73" s="83">
        <f si="127" t="shared"/>
        <v>1.9293481807857903E-2</v>
      </c>
      <c r="AG73" s="83">
        <f si="127" t="shared"/>
        <v>4.6036256026683414E-4</v>
      </c>
      <c r="AH73" s="83">
        <f si="127" t="shared"/>
        <v>5.9116582676078605E-3</v>
      </c>
      <c r="AI73" s="83">
        <f si="127" t="shared"/>
        <v>1.5016864371424439E-3</v>
      </c>
      <c r="AJ73" s="83">
        <f si="127" t="shared"/>
        <v>2.6067885024681188E-3</v>
      </c>
      <c r="AK73" s="83">
        <f si="127" t="shared"/>
        <v>1.5042375646804466E-2</v>
      </c>
      <c r="AL73" s="83">
        <f si="127" t="shared"/>
        <v>4.0325209151836676E-2</v>
      </c>
      <c r="AM73" s="83">
        <f si="127" t="shared"/>
        <v>2.5511275380026076E-4</v>
      </c>
      <c r="AN73" s="83">
        <f si="127" t="shared"/>
        <v>3.9797589592840679E-3</v>
      </c>
      <c r="AO73" s="83">
        <f si="127" t="shared"/>
        <v>3.0729490798667776E-4</v>
      </c>
      <c r="AP73" s="83">
        <f si="127" t="shared"/>
        <v>3.5020023476217617E-4</v>
      </c>
      <c r="AQ73" s="83">
        <f si="127" t="shared"/>
        <v>2.9709039783466732E-3</v>
      </c>
      <c r="AR73" s="83">
        <f si="127" t="shared"/>
        <v>7.9664755391263239E-4</v>
      </c>
      <c r="AS73" s="83">
        <f si="127" t="shared"/>
        <v>1.0471218940074339E-3</v>
      </c>
      <c r="AT73" s="83">
        <f si="127" t="shared"/>
        <v>0</v>
      </c>
      <c r="AU73" s="83">
        <f si="127" t="shared"/>
        <v>0.11906344140543443</v>
      </c>
      <c r="AW73">
        <v>13</v>
      </c>
      <c r="AX73" s="83">
        <f ref="AX73:BS73" si="128" t="shared">IF($BS$55&gt;0,AX46/$BS$55,0)</f>
        <v>1.6500134220180751E-3</v>
      </c>
      <c r="AY73" s="83">
        <f si="128" t="shared"/>
        <v>1.8337459361111939E-3</v>
      </c>
      <c r="AZ73" s="83">
        <f si="128" t="shared"/>
        <v>5.8698959047931518E-4</v>
      </c>
      <c r="BA73" s="83">
        <f si="128" t="shared"/>
        <v>3.5553434545291856E-4</v>
      </c>
      <c r="BB73" s="83">
        <f si="128" t="shared"/>
        <v>4.5097980731947387E-4</v>
      </c>
      <c r="BC73" s="83">
        <f si="128" t="shared"/>
        <v>2.955230113043219E-3</v>
      </c>
      <c r="BD73" s="83">
        <f si="128" t="shared"/>
        <v>2.9252840993825871E-2</v>
      </c>
      <c r="BE73" s="83">
        <f si="128" t="shared"/>
        <v>2.1475228919974946E-5</v>
      </c>
      <c r="BF73" s="83">
        <f si="128" t="shared"/>
        <v>2.8108688519700542E-3</v>
      </c>
      <c r="BG73" s="83">
        <f si="128" t="shared"/>
        <v>2.9826706833298533E-4</v>
      </c>
      <c r="BH73" s="83">
        <f si="128" t="shared"/>
        <v>2.5889581531303126E-4</v>
      </c>
      <c r="BI73" s="83">
        <f si="128" t="shared"/>
        <v>1.010886747994154E-2</v>
      </c>
      <c r="BJ73" s="83">
        <f si="128" t="shared"/>
        <v>6.2358099442240585E-2</v>
      </c>
      <c r="BK73" s="83">
        <f si="128" t="shared"/>
        <v>1.6702955826647181E-5</v>
      </c>
      <c r="BL73" s="83">
        <f si="128" t="shared"/>
        <v>3.4217198079160081E-3</v>
      </c>
      <c r="BM73" s="83">
        <f si="128" t="shared"/>
        <v>4.6529662659945716E-5</v>
      </c>
      <c r="BN73" s="83">
        <f si="128" t="shared"/>
        <v>1.0737614459987473E-5</v>
      </c>
      <c r="BO73" s="83">
        <f si="128" t="shared"/>
        <v>2.4720374623437825E-3</v>
      </c>
      <c r="BP73" s="83">
        <f si="128" t="shared"/>
        <v>9.4252393593223367E-5</v>
      </c>
      <c r="BQ73" s="83">
        <f si="128" t="shared"/>
        <v>5.965341366659707E-5</v>
      </c>
      <c r="BR73" s="83">
        <f si="128" t="shared"/>
        <v>0</v>
      </c>
      <c r="BS73" s="83">
        <f si="128" t="shared"/>
        <v>0.11906344140543443</v>
      </c>
    </row>
    <row r="74" spans="1:71" x14ac:dyDescent="0.45">
      <c r="A74">
        <v>14</v>
      </c>
      <c r="B74" s="83">
        <f ref="B74:W74" si="129" t="shared">IF($W$55&gt;0,B47/$W$55,0)</f>
        <v>4.2101336629438929E-3</v>
      </c>
      <c r="C74" s="83">
        <f si="129" t="shared"/>
        <v>1.2320682165118081E-3</v>
      </c>
      <c r="D74" s="83">
        <f si="129" t="shared"/>
        <v>9.9269797711954951E-5</v>
      </c>
      <c r="E74" s="83">
        <f si="129" t="shared"/>
        <v>1.2208505329057792E-4</v>
      </c>
      <c r="F74" s="83">
        <f si="129" t="shared"/>
        <v>4.7460107261507195E-4</v>
      </c>
      <c r="G74" s="83">
        <f si="129" t="shared"/>
        <v>1.9421011818096341E-3</v>
      </c>
      <c r="H74" s="83">
        <f si="129" t="shared"/>
        <v>7.0490855030429494E-4</v>
      </c>
      <c r="I74" s="83">
        <f si="129" t="shared"/>
        <v>6.6711413386431008E-5</v>
      </c>
      <c r="J74" s="83">
        <f si="129" t="shared"/>
        <v>8.2038930175716009E-4</v>
      </c>
      <c r="K74" s="83">
        <f si="129" t="shared"/>
        <v>3.6784672439302594E-4</v>
      </c>
      <c r="L74" s="83">
        <f si="129" t="shared"/>
        <v>2.1514467221228524E-3</v>
      </c>
      <c r="M74" s="83">
        <f si="129" t="shared"/>
        <v>1.3357125262619997E-3</v>
      </c>
      <c r="N74" s="83">
        <f si="129" t="shared"/>
        <v>0</v>
      </c>
      <c r="O74" s="83">
        <f si="129" t="shared"/>
        <v>1.1574665857214093E-2</v>
      </c>
      <c r="P74" s="83">
        <f si="129" t="shared"/>
        <v>0</v>
      </c>
      <c r="Q74" s="83">
        <f si="129" t="shared"/>
        <v>0</v>
      </c>
      <c r="R74" s="83">
        <f si="129" t="shared"/>
        <v>1.0348279946540762E-3</v>
      </c>
      <c r="S74" s="83">
        <f si="129" t="shared"/>
        <v>0</v>
      </c>
      <c r="T74" s="83">
        <f si="129" t="shared"/>
        <v>4.6308251565910706E-5</v>
      </c>
      <c r="U74" s="83">
        <f si="129" t="shared"/>
        <v>0</v>
      </c>
      <c r="V74" s="83">
        <f si="129" t="shared"/>
        <v>0</v>
      </c>
      <c r="W74" s="83">
        <f si="129" t="shared"/>
        <v>2.6183076326542785E-2</v>
      </c>
      <c r="Y74">
        <v>14</v>
      </c>
      <c r="Z74" s="83">
        <f ref="Z74:AU74" si="130" t="shared">IF($W$55&gt;0,Z47/$W$55,0)</f>
        <v>1.6277460926536513E-3</v>
      </c>
      <c r="AA74" s="83">
        <f si="130" t="shared"/>
        <v>2.2717092043774518E-3</v>
      </c>
      <c r="AB74" s="83">
        <f si="130" t="shared"/>
        <v>7.376142567805861E-4</v>
      </c>
      <c r="AC74" s="83">
        <f si="130" t="shared"/>
        <v>8.2234624516529665E-4</v>
      </c>
      <c r="AD74" s="83">
        <f si="130" t="shared"/>
        <v>7.7507471480330026E-4</v>
      </c>
      <c r="AE74" s="83">
        <f si="130" t="shared"/>
        <v>3.0860282085378812E-3</v>
      </c>
      <c r="AF74" s="83">
        <f si="130" t="shared"/>
        <v>1.0141081136149049E-3</v>
      </c>
      <c r="AG74" s="83">
        <f si="130" t="shared"/>
        <v>5.6904219567837234E-4</v>
      </c>
      <c r="AH74" s="83">
        <f si="130" t="shared"/>
        <v>1.1220299093470101E-3</v>
      </c>
      <c r="AI74" s="83">
        <f si="130" t="shared"/>
        <v>5.7260985834720231E-4</v>
      </c>
      <c r="AJ74" s="83">
        <f si="130" t="shared"/>
        <v>2.5892311819033149E-3</v>
      </c>
      <c r="AK74" s="83">
        <f si="130" t="shared"/>
        <v>1.9452680701795143E-3</v>
      </c>
      <c r="AL74" s="83">
        <f si="130" t="shared"/>
        <v>4.4060633960049515E-4</v>
      </c>
      <c r="AM74" s="83">
        <f si="130" t="shared"/>
        <v>5.5726890887123357E-3</v>
      </c>
      <c r="AN74" s="83">
        <f si="130" t="shared"/>
        <v>3.0681898951937317E-4</v>
      </c>
      <c r="AO74" s="83">
        <f si="130" t="shared"/>
        <v>1.2308436207463227E-4</v>
      </c>
      <c r="AP74" s="83">
        <f si="130" t="shared"/>
        <v>1.4020914288501586E-3</v>
      </c>
      <c r="AQ74" s="83">
        <f si="130" t="shared"/>
        <v>1.6500439843338384E-4</v>
      </c>
      <c r="AR74" s="83">
        <f si="130" t="shared"/>
        <v>8.5980670318801093E-4</v>
      </c>
      <c r="AS74" s="83">
        <f si="130" t="shared"/>
        <v>1.8016696477591099E-4</v>
      </c>
      <c r="AT74" s="83">
        <f si="130" t="shared"/>
        <v>0</v>
      </c>
      <c r="AU74" s="83">
        <f si="130" t="shared"/>
        <v>2.6183076326542782E-2</v>
      </c>
      <c r="AW74">
        <v>14</v>
      </c>
      <c r="AX74" s="83">
        <f ref="AX74:BS74" si="131" t="shared">IF($BS$55&gt;0,AX47/$BS$55,0)</f>
        <v>1.5318996629582128E-3</v>
      </c>
      <c r="AY74" s="83">
        <f si="131" t="shared"/>
        <v>6.0011334148596656E-4</v>
      </c>
      <c r="AZ74" s="83">
        <f si="131" t="shared"/>
        <v>8.6020222507232971E-4</v>
      </c>
      <c r="BA74" s="83">
        <f si="131" t="shared"/>
        <v>6.299400483192651E-4</v>
      </c>
      <c r="BB74" s="83">
        <f si="131" t="shared"/>
        <v>4.7603424105944461E-4</v>
      </c>
      <c r="BC74" s="83">
        <f si="131" t="shared"/>
        <v>2.0306022012109644E-3</v>
      </c>
      <c r="BD74" s="83">
        <f si="131" t="shared"/>
        <v>2.7559877113967848E-4</v>
      </c>
      <c r="BE74" s="83">
        <f si="131" t="shared"/>
        <v>3.3047991171294776E-4</v>
      </c>
      <c r="BF74" s="83">
        <f si="131" t="shared"/>
        <v>6.3948459450592057E-4</v>
      </c>
      <c r="BG74" s="83">
        <f si="131" t="shared"/>
        <v>3.9251946192620874E-4</v>
      </c>
      <c r="BH74" s="83">
        <f si="131" t="shared"/>
        <v>3.0840814865630687E-3</v>
      </c>
      <c r="BI74" s="83">
        <f si="131" t="shared"/>
        <v>8.1009335759238822E-4</v>
      </c>
      <c r="BJ74" s="83">
        <f si="131" t="shared"/>
        <v>2.3861365466638829E-5</v>
      </c>
      <c r="BK74" s="83">
        <f si="131" t="shared"/>
        <v>1.2023742058639306E-2</v>
      </c>
      <c r="BL74" s="83">
        <f si="131" t="shared"/>
        <v>5.965341366659707E-5</v>
      </c>
      <c r="BM74" s="83">
        <f si="131" t="shared"/>
        <v>2.7440570286634652E-5</v>
      </c>
      <c r="BN74" s="83">
        <f si="131" t="shared"/>
        <v>1.9065231007844425E-3</v>
      </c>
      <c r="BO74" s="83">
        <f si="131" t="shared"/>
        <v>1.1930682733319414E-5</v>
      </c>
      <c r="BP74" s="83">
        <f si="131" t="shared"/>
        <v>4.6887583141945298E-4</v>
      </c>
      <c r="BQ74" s="83">
        <f si="131" t="shared"/>
        <v>0</v>
      </c>
      <c r="BR74" s="83">
        <f si="131" t="shared"/>
        <v>0</v>
      </c>
      <c r="BS74" s="83">
        <f si="131" t="shared"/>
        <v>2.6183076326542785E-2</v>
      </c>
    </row>
    <row r="75" spans="1:71" x14ac:dyDescent="0.45">
      <c r="A75">
        <v>15</v>
      </c>
      <c r="B75" s="83">
        <f ref="B75:W75" si="132" t="shared">IF($W$55&gt;0,B48/$W$55,0)</f>
        <v>2.9182782505575446E-3</v>
      </c>
      <c r="C75" s="83">
        <f si="132" t="shared"/>
        <v>3.8676269284614278E-3</v>
      </c>
      <c r="D75" s="83">
        <f si="132" t="shared"/>
        <v>1.4201252695344813E-3</v>
      </c>
      <c r="E75" s="83">
        <f si="132" t="shared"/>
        <v>8.6567673427758037E-4</v>
      </c>
      <c r="F75" s="83">
        <f si="132" t="shared"/>
        <v>5.2050987244618805E-4</v>
      </c>
      <c r="G75" s="83">
        <f si="132" t="shared"/>
        <v>2.0817430406244275E-3</v>
      </c>
      <c r="H75" s="83">
        <f si="132" t="shared"/>
        <v>3.6547709475500696E-3</v>
      </c>
      <c r="I75" s="83">
        <f si="132" t="shared"/>
        <v>0</v>
      </c>
      <c r="J75" s="83">
        <f si="132" t="shared"/>
        <v>7.0255173020401154E-3</v>
      </c>
      <c r="K75" s="83">
        <f si="132" t="shared"/>
        <v>6.1789421036809742E-4</v>
      </c>
      <c r="L75" s="83">
        <f si="132" t="shared"/>
        <v>1.0621929918020871E-3</v>
      </c>
      <c r="M75" s="83">
        <f si="132" t="shared"/>
        <v>1.5640613112464681E-3</v>
      </c>
      <c r="N75" s="83">
        <f si="132" t="shared"/>
        <v>6.0961028062889193E-3</v>
      </c>
      <c r="O75" s="83">
        <f si="132" t="shared"/>
        <v>0</v>
      </c>
      <c r="P75" s="83">
        <f si="132" t="shared"/>
        <v>1.9582024219953597E-2</v>
      </c>
      <c r="Q75" s="83">
        <f si="132" t="shared"/>
        <v>0</v>
      </c>
      <c r="R75" s="83">
        <f si="132" t="shared"/>
        <v>0</v>
      </c>
      <c r="S75" s="83">
        <f si="132" t="shared"/>
        <v>0</v>
      </c>
      <c r="T75" s="83">
        <f si="132" t="shared"/>
        <v>1.3278801272235296E-4</v>
      </c>
      <c r="U75" s="83">
        <f si="132" t="shared"/>
        <v>0</v>
      </c>
      <c r="V75" s="83">
        <f si="132" t="shared"/>
        <v>0</v>
      </c>
      <c r="W75" s="83">
        <f si="132" t="shared"/>
        <v>5.1409311897873358E-2</v>
      </c>
      <c r="Y75">
        <v>15</v>
      </c>
      <c r="Z75" s="83">
        <f ref="Z75:AU75" si="133" t="shared">IF($W$55&gt;0,Z48/$W$55,0)</f>
        <v>2.5470117744114946E-3</v>
      </c>
      <c r="AA75" s="83">
        <f si="133" t="shared"/>
        <v>3.5656075414546478E-3</v>
      </c>
      <c r="AB75" s="83">
        <f si="133" t="shared"/>
        <v>7.5428322441554519E-4</v>
      </c>
      <c r="AC75" s="83">
        <f si="133" t="shared"/>
        <v>8.1592132724174623E-4</v>
      </c>
      <c r="AD75" s="83">
        <f si="133" t="shared"/>
        <v>1.0415794664020755E-3</v>
      </c>
      <c r="AE75" s="83">
        <f si="133" t="shared"/>
        <v>5.0376090140329061E-3</v>
      </c>
      <c r="AF75" s="83">
        <f si="133" t="shared"/>
        <v>4.8506052783398564E-3</v>
      </c>
      <c r="AG75" s="83">
        <f si="133" t="shared"/>
        <v>2.6953611066372668E-4</v>
      </c>
      <c r="AH75" s="83">
        <f si="133" t="shared"/>
        <v>5.6330957701504428E-3</v>
      </c>
      <c r="AI75" s="83">
        <f si="133" t="shared"/>
        <v>6.8951098076767286E-4</v>
      </c>
      <c r="AJ75" s="83">
        <f si="133" t="shared"/>
        <v>1.9201836100772468E-3</v>
      </c>
      <c r="AK75" s="83">
        <f si="133" t="shared"/>
        <v>4.3480980332652333E-3</v>
      </c>
      <c r="AL75" s="83">
        <f si="133" t="shared"/>
        <v>4.8829914001637924E-3</v>
      </c>
      <c r="AM75" s="83">
        <f si="133" t="shared"/>
        <v>1.7133303158469446E-4</v>
      </c>
      <c r="AN75" s="83">
        <f si="133" t="shared"/>
        <v>1.2493730028788787E-2</v>
      </c>
      <c r="AO75" s="83">
        <f si="133" t="shared"/>
        <v>1.3058920090296835E-4</v>
      </c>
      <c r="AP75" s="83">
        <f si="133" t="shared"/>
        <v>2.5386540655537051E-4</v>
      </c>
      <c r="AQ75" s="83">
        <f si="133" t="shared"/>
        <v>4.7429997767958109E-4</v>
      </c>
      <c r="AR75" s="83">
        <f si="133" t="shared"/>
        <v>1.3058920090296836E-3</v>
      </c>
      <c r="AS75" s="83">
        <f si="133" t="shared"/>
        <v>2.2356871194588183E-4</v>
      </c>
      <c r="AT75" s="83">
        <f si="133" t="shared"/>
        <v>0</v>
      </c>
      <c r="AU75" s="83">
        <f si="133" t="shared"/>
        <v>5.1409311897873344E-2</v>
      </c>
      <c r="AW75">
        <v>15</v>
      </c>
      <c r="AX75" s="83">
        <f ref="AX75:BS75" si="134" t="shared">IF($BS$55&gt;0,AX48/$BS$55,0)</f>
        <v>1.2527216869985384E-3</v>
      </c>
      <c r="AY75" s="83">
        <f si="134" t="shared"/>
        <v>1.3374295344051063E-3</v>
      </c>
      <c r="AZ75" s="83">
        <f si="134" t="shared"/>
        <v>5.810242491126555E-4</v>
      </c>
      <c r="BA75" s="83">
        <f si="134" t="shared"/>
        <v>2.3503444984639246E-4</v>
      </c>
      <c r="BB75" s="83">
        <f si="134" t="shared"/>
        <v>2.6128195185969516E-4</v>
      </c>
      <c r="BC75" s="83">
        <f si="134" t="shared"/>
        <v>1.9065231007844425E-3</v>
      </c>
      <c r="BD75" s="83">
        <f si="134" t="shared"/>
        <v>3.1914576311629435E-3</v>
      </c>
      <c r="BE75" s="83">
        <f si="134" t="shared"/>
        <v>3.9371253019954068E-5</v>
      </c>
      <c r="BF75" s="83">
        <f si="134" t="shared"/>
        <v>7.8718644674441503E-3</v>
      </c>
      <c r="BG75" s="83">
        <f si="134" t="shared"/>
        <v>1.5032660243982461E-4</v>
      </c>
      <c r="BH75" s="83">
        <f si="134" t="shared"/>
        <v>1.0797267873654071E-3</v>
      </c>
      <c r="BI75" s="83">
        <f si="134" t="shared"/>
        <v>1.6643302412980582E-3</v>
      </c>
      <c r="BJ75" s="83">
        <f si="134" t="shared"/>
        <v>6.5773853908789931E-3</v>
      </c>
      <c r="BK75" s="83">
        <f si="134" t="shared"/>
        <v>3.2212843379962421E-5</v>
      </c>
      <c r="BL75" s="83">
        <f si="134" t="shared"/>
        <v>2.3163420526739642E-2</v>
      </c>
      <c r="BM75" s="83">
        <f si="134" t="shared"/>
        <v>1.6702955826647181E-5</v>
      </c>
      <c r="BN75" s="83">
        <f si="134" t="shared"/>
        <v>1.1334148596653444E-4</v>
      </c>
      <c r="BO75" s="83">
        <f si="134" t="shared"/>
        <v>5.965341366659707E-5</v>
      </c>
      <c r="BP75" s="83">
        <f si="134" t="shared"/>
        <v>1.87431025740448E-3</v>
      </c>
      <c r="BQ75" s="83">
        <f si="134" t="shared"/>
        <v>1.1930682733319415E-6</v>
      </c>
      <c r="BR75" s="83">
        <f si="134" t="shared"/>
        <v>0</v>
      </c>
      <c r="BS75" s="83">
        <f si="134" t="shared"/>
        <v>5.1409311897873358E-2</v>
      </c>
    </row>
    <row r="76" spans="1:71" x14ac:dyDescent="0.45">
      <c r="A76">
        <v>16</v>
      </c>
      <c r="B76" s="83">
        <f ref="B76:W76" si="135" t="shared">IF($W$55&gt;0,B49/$W$55,0)</f>
        <v>5.7078583674747304E-4</v>
      </c>
      <c r="C76" s="83">
        <f si="135" t="shared"/>
        <v>5.1825115593967692E-4</v>
      </c>
      <c r="D76" s="83">
        <f si="135" t="shared"/>
        <v>1.052479948625968E-3</v>
      </c>
      <c r="E76" s="83">
        <f si="135" t="shared"/>
        <v>6.2426425196919206E-4</v>
      </c>
      <c r="F76" s="83">
        <f si="135" t="shared"/>
        <v>1.1386184226763387E-3</v>
      </c>
      <c r="G76" s="83">
        <f si="135" t="shared"/>
        <v>5.9535258114131661E-3</v>
      </c>
      <c r="H76" s="83">
        <f si="135" t="shared"/>
        <v>7.4983568089568718E-4</v>
      </c>
      <c r="I76" s="83">
        <f si="135" t="shared"/>
        <v>9.4781829294872117E-4</v>
      </c>
      <c r="J76" s="83">
        <f si="135" t="shared"/>
        <v>9.7625074353861741E-4</v>
      </c>
      <c r="K76" s="83">
        <f si="135" t="shared"/>
        <v>1.1097968413353735E-3</v>
      </c>
      <c r="L76" s="83">
        <f si="135" t="shared"/>
        <v>0</v>
      </c>
      <c r="M76" s="83">
        <f si="135" t="shared"/>
        <v>5.6174669827221239E-3</v>
      </c>
      <c r="N76" s="83">
        <f si="135" t="shared"/>
        <v>0</v>
      </c>
      <c r="O76" s="83">
        <f si="135" t="shared"/>
        <v>0</v>
      </c>
      <c r="P76" s="83">
        <f si="135" t="shared"/>
        <v>0</v>
      </c>
      <c r="Q76" s="83">
        <f si="135" t="shared"/>
        <v>2.2609707124492828E-4</v>
      </c>
      <c r="R76" s="83">
        <f si="135" t="shared"/>
        <v>0</v>
      </c>
      <c r="S76" s="83">
        <f si="135" t="shared"/>
        <v>0</v>
      </c>
      <c r="T76" s="83">
        <f si="135" t="shared"/>
        <v>0</v>
      </c>
      <c r="U76" s="83">
        <f si="135" t="shared"/>
        <v>0</v>
      </c>
      <c r="V76" s="83">
        <f si="135" t="shared"/>
        <v>0</v>
      </c>
      <c r="W76" s="83">
        <f si="135" t="shared"/>
        <v>1.9485191040057269E-2</v>
      </c>
      <c r="Y76">
        <v>16</v>
      </c>
      <c r="Z76" s="83">
        <f ref="Z76:AU76" si="136" t="shared">IF($W$55&gt;0,Z49/$W$55,0)</f>
        <v>1.5801728708655959E-3</v>
      </c>
      <c r="AA76" s="83">
        <f si="136" t="shared"/>
        <v>1.5431939395268461E-3</v>
      </c>
      <c r="AB76" s="83">
        <f si="136" t="shared"/>
        <v>3.2379113050271056E-4</v>
      </c>
      <c r="AC76" s="83">
        <f si="136" t="shared"/>
        <v>5.5288011977203783E-4</v>
      </c>
      <c r="AD76" s="83">
        <f si="136" t="shared"/>
        <v>8.2526151646234033E-4</v>
      </c>
      <c r="AE76" s="83">
        <f si="136" t="shared"/>
        <v>4.7287935855869403E-3</v>
      </c>
      <c r="AF76" s="83">
        <f si="136" t="shared"/>
        <v>6.439745603870064E-4</v>
      </c>
      <c r="AG76" s="83">
        <f si="136" t="shared"/>
        <v>1.0642716824323075E-4</v>
      </c>
      <c r="AH76" s="83">
        <f si="136" t="shared"/>
        <v>5.519781946174341E-4</v>
      </c>
      <c r="AI76" s="83">
        <f si="136" t="shared"/>
        <v>1.3402607797410248E-3</v>
      </c>
      <c r="AJ76" s="83">
        <f si="136" t="shared"/>
        <v>3.9233744225258799E-4</v>
      </c>
      <c r="AK76" s="83">
        <f si="136" t="shared"/>
        <v>4.5835836356957526E-3</v>
      </c>
      <c r="AL76" s="83">
        <f si="136" t="shared"/>
        <v>3.5535851091383832E-4</v>
      </c>
      <c r="AM76" s="83">
        <f si="136" t="shared"/>
        <v>5.5919359585426333E-5</v>
      </c>
      <c r="AN76" s="83">
        <f si="136" t="shared"/>
        <v>1.1995604556228553E-4</v>
      </c>
      <c r="AO76" s="83">
        <f si="136" t="shared"/>
        <v>9.9392152037322307E-4</v>
      </c>
      <c r="AP76" s="83">
        <f si="136" t="shared"/>
        <v>2.8861604947316819E-5</v>
      </c>
      <c r="AQ76" s="83">
        <f si="136" t="shared"/>
        <v>4.8162803255834941E-4</v>
      </c>
      <c r="AR76" s="83">
        <f si="136" t="shared"/>
        <v>8.9290590305761406E-5</v>
      </c>
      <c r="AS76" s="83">
        <f si="136" t="shared"/>
        <v>1.8760043215755934E-4</v>
      </c>
      <c r="AT76" s="83">
        <f si="136" t="shared"/>
        <v>0</v>
      </c>
      <c r="AU76" s="83">
        <f si="136" t="shared"/>
        <v>1.9485191040057269E-2</v>
      </c>
      <c r="AW76">
        <v>16</v>
      </c>
      <c r="AX76" s="83">
        <f ref="AX76:BS76" si="137" t="shared">IF($BS$55&gt;0,AX49/$BS$55,0)</f>
        <v>1.3338503295851104E-3</v>
      </c>
      <c r="AY76" s="83">
        <f si="137" t="shared"/>
        <v>5.321084499060459E-4</v>
      </c>
      <c r="AZ76" s="83">
        <f si="137" t="shared"/>
        <v>2.9707400005965344E-4</v>
      </c>
      <c r="BA76" s="83">
        <f si="137" t="shared"/>
        <v>3.626927550929102E-4</v>
      </c>
      <c r="BB76" s="83">
        <f si="137" t="shared"/>
        <v>8.0770722104572432E-4</v>
      </c>
      <c r="BC76" s="83">
        <f si="137" t="shared"/>
        <v>3.6818086915023714E-3</v>
      </c>
      <c r="BD76" s="83">
        <f si="137" t="shared"/>
        <v>4.5455901213946966E-4</v>
      </c>
      <c r="BE76" s="83">
        <f si="137" t="shared"/>
        <v>3.3405911653294362E-5</v>
      </c>
      <c r="BF76" s="83">
        <f si="137" t="shared"/>
        <v>2.6008888358636321E-4</v>
      </c>
      <c r="BG76" s="83">
        <f si="137" t="shared"/>
        <v>1.8170429802845467E-3</v>
      </c>
      <c r="BH76" s="83">
        <f si="137" t="shared"/>
        <v>1.670295582664718E-4</v>
      </c>
      <c r="BI76" s="83">
        <f si="137" t="shared"/>
        <v>7.0128553106451521E-3</v>
      </c>
      <c r="BJ76" s="83">
        <f si="137" t="shared"/>
        <v>7.5163301219912306E-5</v>
      </c>
      <c r="BK76" s="83">
        <f si="137" t="shared"/>
        <v>5.9653413666597072E-6</v>
      </c>
      <c r="BL76" s="83">
        <f si="137" t="shared"/>
        <v>1.7896024099979122E-5</v>
      </c>
      <c r="BM76" s="83">
        <f si="137" t="shared"/>
        <v>2.0711665225042501E-3</v>
      </c>
      <c r="BN76" s="83">
        <f si="137" t="shared"/>
        <v>5.9653413666597072E-6</v>
      </c>
      <c r="BO76" s="83">
        <f si="137" t="shared"/>
        <v>4.2115310048617533E-4</v>
      </c>
      <c r="BP76" s="83">
        <f si="137" t="shared"/>
        <v>4.7722730933277659E-6</v>
      </c>
      <c r="BQ76" s="83">
        <f si="137" t="shared"/>
        <v>1.2288603215318997E-4</v>
      </c>
      <c r="BR76" s="83">
        <f si="137" t="shared"/>
        <v>0</v>
      </c>
      <c r="BS76" s="83">
        <f si="137" t="shared"/>
        <v>1.9485191040057269E-2</v>
      </c>
    </row>
    <row r="77" spans="1:71" x14ac:dyDescent="0.45">
      <c r="A77">
        <v>17</v>
      </c>
      <c r="B77" s="83">
        <f ref="B77:W77" si="138" t="shared">IF($W$55&gt;0,B50/$W$55,0)</f>
        <v>1.9318605992576022E-3</v>
      </c>
      <c r="C77" s="83">
        <f si="138" t="shared"/>
        <v>2.0424229830312132E-3</v>
      </c>
      <c r="D77" s="83">
        <f si="138" t="shared"/>
        <v>6.9360296804937913E-4</v>
      </c>
      <c r="E77" s="83">
        <f si="138" t="shared"/>
        <v>1.5011215082102213E-3</v>
      </c>
      <c r="F77" s="83">
        <f si="138" t="shared"/>
        <v>6.2146919148548592E-4</v>
      </c>
      <c r="G77" s="83">
        <f si="138" t="shared"/>
        <v>8.7297679089695223E-4</v>
      </c>
      <c r="H77" s="83">
        <f si="138" t="shared"/>
        <v>1.6919169502300053E-3</v>
      </c>
      <c r="I77" s="83">
        <f si="138" t="shared"/>
        <v>0</v>
      </c>
      <c r="J77" s="83">
        <f si="138" t="shared"/>
        <v>5.1701564887304667E-4</v>
      </c>
      <c r="K77" s="83">
        <f si="138" t="shared"/>
        <v>0</v>
      </c>
      <c r="L77" s="83">
        <f si="138" t="shared"/>
        <v>7.538781003531312E-3</v>
      </c>
      <c r="M77" s="83">
        <f si="138" t="shared"/>
        <v>2.0922979249145481E-3</v>
      </c>
      <c r="N77" s="83">
        <f si="138" t="shared"/>
        <v>0</v>
      </c>
      <c r="O77" s="83">
        <f si="138" t="shared"/>
        <v>1.1229215589786689E-3</v>
      </c>
      <c r="P77" s="83">
        <f si="138" t="shared"/>
        <v>1.2298675518413523E-4</v>
      </c>
      <c r="Q77" s="83">
        <f si="138" t="shared"/>
        <v>0</v>
      </c>
      <c r="R77" s="83">
        <f si="138" t="shared"/>
        <v>5.6472264269180573E-3</v>
      </c>
      <c r="S77" s="83">
        <f si="138" t="shared"/>
        <v>0</v>
      </c>
      <c r="T77" s="83">
        <f si="138" t="shared"/>
        <v>1.2265094228938161E-3</v>
      </c>
      <c r="U77" s="83">
        <f si="138" t="shared"/>
        <v>0</v>
      </c>
      <c r="V77" s="83">
        <f si="138" t="shared"/>
        <v>0</v>
      </c>
      <c r="W77" s="83">
        <f si="138" t="shared"/>
        <v>2.7623109732454441E-2</v>
      </c>
      <c r="Y77">
        <v>17</v>
      </c>
      <c r="Z77" s="83">
        <f ref="Z77:AU77" si="139" t="shared">IF($W$55&gt;0,Z50/$W$55,0)</f>
        <v>1.5838067782704226E-3</v>
      </c>
      <c r="AA77" s="83">
        <f si="139" t="shared"/>
        <v>2.1263531346644112E-3</v>
      </c>
      <c r="AB77" s="83">
        <f si="139" t="shared"/>
        <v>6.9547234912981657E-4</v>
      </c>
      <c r="AC77" s="83">
        <f si="139" t="shared"/>
        <v>7.2566792731332405E-4</v>
      </c>
      <c r="AD77" s="83">
        <f si="139" t="shared"/>
        <v>7.0910906185785226E-4</v>
      </c>
      <c r="AE77" s="83">
        <f si="139" t="shared"/>
        <v>3.2377452219993145E-3</v>
      </c>
      <c r="AF77" s="83">
        <f si="139" t="shared"/>
        <v>1.0412604218764342E-3</v>
      </c>
      <c r="AG77" s="83">
        <f si="139" t="shared"/>
        <v>3.9156846547645134E-4</v>
      </c>
      <c r="AH77" s="83">
        <f si="139" t="shared"/>
        <v>1.160094632792173E-3</v>
      </c>
      <c r="AI77" s="83">
        <f si="139" t="shared"/>
        <v>4.6559633457150199E-4</v>
      </c>
      <c r="AJ77" s="83">
        <f si="139" t="shared"/>
        <v>4.0988062256838501E-3</v>
      </c>
      <c r="AK77" s="83">
        <f si="139" t="shared"/>
        <v>1.8360859637390815E-3</v>
      </c>
      <c r="AL77" s="83">
        <f si="139" t="shared"/>
        <v>4.363748072971399E-4</v>
      </c>
      <c r="AM77" s="83">
        <f si="139" t="shared"/>
        <v>1.6159504582722208E-3</v>
      </c>
      <c r="AN77" s="83">
        <f si="139" t="shared"/>
        <v>4.1786784002337718E-4</v>
      </c>
      <c r="AO77" s="83">
        <f si="139" t="shared"/>
        <v>1.0909370182428497E-4</v>
      </c>
      <c r="AP77" s="83">
        <f si="139" t="shared"/>
        <v>3.5338566983795163E-3</v>
      </c>
      <c r="AQ77" s="83">
        <f si="139" t="shared"/>
        <v>1.6851080728215445E-4</v>
      </c>
      <c r="AR77" s="83">
        <f si="139" t="shared"/>
        <v>3.1676135565408452E-3</v>
      </c>
      <c r="AS77" s="83">
        <f si="139" t="shared"/>
        <v>1.0227534546026716E-4</v>
      </c>
      <c r="AT77" s="83">
        <f si="139" t="shared"/>
        <v>0</v>
      </c>
      <c r="AU77" s="83">
        <f si="139" t="shared"/>
        <v>2.7623109732454448E-2</v>
      </c>
      <c r="AW77">
        <v>17</v>
      </c>
      <c r="AX77" s="83">
        <f ref="AX77:BS77" si="140" t="shared">IF($BS$55&gt;0,AX50/$BS$55,0)</f>
        <v>1.2741969159185134E-3</v>
      </c>
      <c r="AY77" s="83">
        <f si="140" t="shared"/>
        <v>5.2137083544605842E-4</v>
      </c>
      <c r="AZ77" s="83">
        <f si="140" t="shared"/>
        <v>9.186625704655949E-4</v>
      </c>
      <c r="BA77" s="83">
        <f si="140" t="shared"/>
        <v>4.6529662659945713E-4</v>
      </c>
      <c r="BB77" s="83">
        <f si="140" t="shared"/>
        <v>3.2332150207295613E-4</v>
      </c>
      <c r="BC77" s="83">
        <f si="140" t="shared"/>
        <v>1.5629194380648434E-3</v>
      </c>
      <c r="BD77" s="83">
        <f si="140" t="shared"/>
        <v>2.4815820085304384E-4</v>
      </c>
      <c r="BE77" s="83">
        <f si="140" t="shared"/>
        <v>1.5390580725982043E-4</v>
      </c>
      <c r="BF77" s="83">
        <f si="140" t="shared"/>
        <v>8.3395472305902707E-4</v>
      </c>
      <c r="BG77" s="83">
        <f si="140" t="shared"/>
        <v>2.3742058639305633E-4</v>
      </c>
      <c r="BH77" s="83">
        <f si="140" t="shared"/>
        <v>5.5942971336534735E-3</v>
      </c>
      <c r="BI77" s="83">
        <f si="140" t="shared"/>
        <v>6.5738061860589974E-4</v>
      </c>
      <c r="BJ77" s="83">
        <f si="140" t="shared"/>
        <v>2.7440570286634652E-5</v>
      </c>
      <c r="BK77" s="83">
        <f si="140" t="shared"/>
        <v>3.1902645628896112E-3</v>
      </c>
      <c r="BL77" s="83">
        <f si="140" t="shared"/>
        <v>1.9208399200644258E-4</v>
      </c>
      <c r="BM77" s="83">
        <f si="140" t="shared"/>
        <v>1.9089092373311064E-5</v>
      </c>
      <c r="BN77" s="83">
        <f si="140" t="shared"/>
        <v>7.7585229814776148E-3</v>
      </c>
      <c r="BO77" s="83">
        <f si="140" t="shared"/>
        <v>3.5792048199958242E-6</v>
      </c>
      <c r="BP77" s="83">
        <f si="140" t="shared"/>
        <v>3.6412443702090853E-3</v>
      </c>
      <c r="BQ77" s="83">
        <f si="140" t="shared"/>
        <v>0</v>
      </c>
      <c r="BR77" s="83">
        <f si="140" t="shared"/>
        <v>0</v>
      </c>
      <c r="BS77" s="83">
        <f si="140" t="shared"/>
        <v>2.7623109732454441E-2</v>
      </c>
    </row>
    <row r="78" spans="1:71" x14ac:dyDescent="0.45">
      <c r="A78">
        <v>18</v>
      </c>
      <c r="B78" s="83">
        <f ref="B78:W78" si="141" t="shared">IF($W$55&gt;0,B51/$W$55,0)</f>
        <v>4.6319957812558004E-3</v>
      </c>
      <c r="C78" s="83">
        <f si="141" t="shared"/>
        <v>1.625735413917006E-3</v>
      </c>
      <c r="D78" s="83">
        <f si="141" t="shared"/>
        <v>4.3397079190042945E-4</v>
      </c>
      <c r="E78" s="83">
        <f si="141" t="shared"/>
        <v>1.7290537127311976E-3</v>
      </c>
      <c r="F78" s="83">
        <f si="141" t="shared"/>
        <v>9.6906730494814442E-4</v>
      </c>
      <c r="G78" s="83">
        <f si="141" t="shared"/>
        <v>3.7177815742424716E-3</v>
      </c>
      <c r="H78" s="83">
        <f si="141" t="shared"/>
        <v>4.6991829385594269E-3</v>
      </c>
      <c r="I78" s="83">
        <f si="141" t="shared"/>
        <v>0</v>
      </c>
      <c r="J78" s="83">
        <f si="141" t="shared"/>
        <v>0</v>
      </c>
      <c r="K78" s="83">
        <f si="141" t="shared"/>
        <v>2.593340952665561E-4</v>
      </c>
      <c r="L78" s="83">
        <f si="141" t="shared"/>
        <v>0</v>
      </c>
      <c r="M78" s="83">
        <f si="141" t="shared"/>
        <v>2.6487003289478964E-2</v>
      </c>
      <c r="N78" s="83">
        <f si="141" t="shared"/>
        <v>1.2209657346746774E-2</v>
      </c>
      <c r="O78" s="83">
        <f si="141" t="shared"/>
        <v>0</v>
      </c>
      <c r="P78" s="83">
        <f si="141" t="shared"/>
        <v>0</v>
      </c>
      <c r="Q78" s="83">
        <f si="141" t="shared"/>
        <v>6.7977173998109191E-5</v>
      </c>
      <c r="R78" s="83">
        <f si="141" t="shared"/>
        <v>0</v>
      </c>
      <c r="S78" s="83">
        <f si="141" t="shared"/>
        <v>5.3567891604399988E-3</v>
      </c>
      <c r="T78" s="83">
        <f si="141" t="shared"/>
        <v>0</v>
      </c>
      <c r="U78" s="83">
        <f si="141" t="shared"/>
        <v>6.0602077852186468E-4</v>
      </c>
      <c r="V78" s="83">
        <f si="141" t="shared"/>
        <v>0</v>
      </c>
      <c r="W78" s="83">
        <f si="141" t="shared"/>
        <v>6.2793569362006738E-2</v>
      </c>
      <c r="Y78">
        <v>18</v>
      </c>
      <c r="Z78" s="83">
        <f ref="Z78:AU78" si="142" t="shared">IF($W$55&gt;0,Z51/$W$55,0)</f>
        <v>2.8756042474672497E-3</v>
      </c>
      <c r="AA78" s="83">
        <f si="142" t="shared"/>
        <v>2.6882969171394809E-3</v>
      </c>
      <c r="AB78" s="83">
        <f si="142" t="shared"/>
        <v>6.0365367597861261E-4</v>
      </c>
      <c r="AC78" s="83">
        <f si="142" t="shared"/>
        <v>7.977545364218964E-4</v>
      </c>
      <c r="AD78" s="83">
        <f si="142" t="shared"/>
        <v>1.0481446463937326E-3</v>
      </c>
      <c r="AE78" s="83">
        <f si="142" t="shared"/>
        <v>6.7178307799420521E-3</v>
      </c>
      <c r="AF78" s="83">
        <f si="142" t="shared"/>
        <v>4.8214653734111696E-3</v>
      </c>
      <c r="AG78" s="83">
        <f si="142" t="shared"/>
        <v>1.7469077439895541E-4</v>
      </c>
      <c r="AH78" s="83">
        <f si="142" t="shared"/>
        <v>2.0933777798808157E-3</v>
      </c>
      <c r="AI78" s="83">
        <f si="142" t="shared"/>
        <v>1.0132064915139413E-3</v>
      </c>
      <c r="AJ78" s="83">
        <f si="142" t="shared"/>
        <v>9.2586110431446369E-4</v>
      </c>
      <c r="AK78" s="83">
        <f si="142" t="shared"/>
        <v>2.0407764467006859E-2</v>
      </c>
      <c r="AL78" s="83">
        <f si="142" t="shared"/>
        <v>6.2607232535981192E-3</v>
      </c>
      <c r="AM78" s="83">
        <f si="142" t="shared"/>
        <v>1.3101808079921657E-4</v>
      </c>
      <c r="AN78" s="83">
        <f si="142" t="shared"/>
        <v>7.5019982561329182E-4</v>
      </c>
      <c r="AO78" s="83">
        <f si="142" t="shared"/>
        <v>4.0372978972203025E-4</v>
      </c>
      <c r="AP78" s="83">
        <f si="142" t="shared"/>
        <v>1.0384396033715683E-4</v>
      </c>
      <c r="AQ78" s="83">
        <f si="142" t="shared"/>
        <v>6.7847955767949856E-3</v>
      </c>
      <c r="AR78" s="83">
        <f si="142" t="shared"/>
        <v>2.8629876915384358E-4</v>
      </c>
      <c r="AS78" s="83">
        <f si="142" t="shared"/>
        <v>3.9053093121188698E-3</v>
      </c>
      <c r="AT78" s="83">
        <f si="142" t="shared"/>
        <v>0</v>
      </c>
      <c r="AU78" s="83">
        <f si="142" t="shared"/>
        <v>6.2793569362006738E-2</v>
      </c>
      <c r="AW78">
        <v>18</v>
      </c>
      <c r="AX78" s="83">
        <f ref="AX78:BS78" si="143" t="shared">IF($BS$55&gt;0,AX51/$BS$55,0)</f>
        <v>1.1859098636919497E-3</v>
      </c>
      <c r="AY78" s="83">
        <f si="143" t="shared"/>
        <v>8.1725176723237991E-4</v>
      </c>
      <c r="AZ78" s="83">
        <f si="143" t="shared"/>
        <v>2.8275718077967011E-4</v>
      </c>
      <c r="BA78" s="83">
        <f si="143" t="shared"/>
        <v>2.3503444984639246E-4</v>
      </c>
      <c r="BB78" s="83">
        <f si="143" t="shared"/>
        <v>4.0206400811286427E-4</v>
      </c>
      <c r="BC78" s="83">
        <f si="143" t="shared"/>
        <v>2.6474184985235782E-3</v>
      </c>
      <c r="BD78" s="83">
        <f si="143" t="shared"/>
        <v>3.1902645628896112E-3</v>
      </c>
      <c r="BE78" s="83">
        <f si="143" t="shared"/>
        <v>2.0282160646643005E-5</v>
      </c>
      <c r="BF78" s="83">
        <f si="143" t="shared"/>
        <v>5.6074208846601243E-4</v>
      </c>
      <c r="BG78" s="83">
        <f si="143" t="shared"/>
        <v>4.8557878724610014E-4</v>
      </c>
      <c r="BH78" s="83">
        <f si="143" t="shared"/>
        <v>1.1930682733319414E-4</v>
      </c>
      <c r="BI78" s="83">
        <f si="143" t="shared"/>
        <v>2.5992185402809675E-2</v>
      </c>
      <c r="BJ78" s="83">
        <f si="143" t="shared"/>
        <v>9.1281653592626844E-3</v>
      </c>
      <c r="BK78" s="83">
        <f si="143" t="shared"/>
        <v>1.0737614459987473E-5</v>
      </c>
      <c r="BL78" s="83">
        <f si="143" t="shared"/>
        <v>1.4078205625316908E-4</v>
      </c>
      <c r="BM78" s="83">
        <f si="143" t="shared"/>
        <v>2.8752945387299791E-4</v>
      </c>
      <c r="BN78" s="83">
        <f si="143" t="shared"/>
        <v>1.550988755331524E-5</v>
      </c>
      <c r="BO78" s="83">
        <f si="143" t="shared"/>
        <v>1.3788290034897246E-2</v>
      </c>
      <c r="BP78" s="83">
        <f si="143" t="shared"/>
        <v>9.5445461866555318E-6</v>
      </c>
      <c r="BQ78" s="83">
        <f si="143" t="shared"/>
        <v>3.4742148119426136E-3</v>
      </c>
      <c r="BR78" s="83">
        <f si="143" t="shared"/>
        <v>0</v>
      </c>
      <c r="BS78" s="83">
        <f si="143" t="shared"/>
        <v>6.2793569362006738E-2</v>
      </c>
    </row>
    <row r="79" spans="1:71" x14ac:dyDescent="0.45">
      <c r="A79">
        <v>19</v>
      </c>
      <c r="B79" s="83">
        <f ref="B79:W79" si="144" t="shared">IF($W$55&gt;0,B52/$W$55,0)</f>
        <v>3.8077003972815712E-3</v>
      </c>
      <c r="C79" s="83">
        <f si="144" t="shared"/>
        <v>1.2272863856726739E-3</v>
      </c>
      <c r="D79" s="83">
        <f si="144" t="shared"/>
        <v>1.230724096923552E-3</v>
      </c>
      <c r="E79" s="83">
        <f si="144" t="shared"/>
        <v>1.6627589081872755E-3</v>
      </c>
      <c r="F79" s="83">
        <f si="144" t="shared"/>
        <v>1.4090556508469484E-3</v>
      </c>
      <c r="G79" s="83">
        <f si="144" t="shared"/>
        <v>3.4393372562740165E-3</v>
      </c>
      <c r="H79" s="83">
        <f si="144" t="shared"/>
        <v>3.0298149022908905E-3</v>
      </c>
      <c r="I79" s="83">
        <f si="144" t="shared"/>
        <v>0</v>
      </c>
      <c r="J79" s="83">
        <f si="144" t="shared"/>
        <v>3.4731714576121436E-3</v>
      </c>
      <c r="K79" s="83">
        <f si="144" t="shared"/>
        <v>4.2525726975860072E-4</v>
      </c>
      <c r="L79" s="83">
        <f si="144" t="shared"/>
        <v>1.2218745048307569E-2</v>
      </c>
      <c r="M79" s="83">
        <f si="144" t="shared"/>
        <v>0</v>
      </c>
      <c r="N79" s="83">
        <f si="144" t="shared"/>
        <v>0</v>
      </c>
      <c r="O79" s="83">
        <f si="144" t="shared"/>
        <v>1.5953420275016958E-3</v>
      </c>
      <c r="P79" s="83">
        <f si="144" t="shared"/>
        <v>1.4094608595309355E-3</v>
      </c>
      <c r="Q79" s="83">
        <f si="144" t="shared"/>
        <v>0</v>
      </c>
      <c r="R79" s="83">
        <f si="144" t="shared"/>
        <v>3.7822421326605695E-3</v>
      </c>
      <c r="S79" s="83">
        <f si="144" t="shared"/>
        <v>0</v>
      </c>
      <c r="T79" s="83">
        <f si="144" t="shared"/>
        <v>1.800995545789871E-2</v>
      </c>
      <c r="U79" s="83">
        <f si="144" t="shared"/>
        <v>0</v>
      </c>
      <c r="V79" s="83">
        <f si="144" t="shared"/>
        <v>0</v>
      </c>
      <c r="W79" s="83">
        <f si="144" t="shared"/>
        <v>5.6720851850747156E-2</v>
      </c>
      <c r="Y79">
        <v>19</v>
      </c>
      <c r="Z79" s="83">
        <f ref="Z79:AU79" si="145" t="shared">IF($W$55&gt;0,Z52/$W$55,0)</f>
        <v>2.9726832188807224E-3</v>
      </c>
      <c r="AA79" s="83">
        <f si="145" t="shared"/>
        <v>3.3196390412572911E-3</v>
      </c>
      <c r="AB79" s="83">
        <f si="145" t="shared"/>
        <v>1.1158270583839023E-3</v>
      </c>
      <c r="AC79" s="83">
        <f si="145" t="shared"/>
        <v>1.248612620034194E-3</v>
      </c>
      <c r="AD79" s="83">
        <f si="145" t="shared"/>
        <v>1.1982826087635191E-3</v>
      </c>
      <c r="AE79" s="83">
        <f si="145" t="shared"/>
        <v>5.5395137936851508E-3</v>
      </c>
      <c r="AF79" s="83">
        <f si="145" t="shared"/>
        <v>2.138490053351874E-3</v>
      </c>
      <c r="AG79" s="83">
        <f si="145" t="shared"/>
        <v>4.4226158839976164E-4</v>
      </c>
      <c r="AH79" s="83">
        <f si="145" t="shared"/>
        <v>2.787425943352493E-3</v>
      </c>
      <c r="AI79" s="83">
        <f si="145" t="shared"/>
        <v>7.8279230295454191E-4</v>
      </c>
      <c r="AJ79" s="83">
        <f si="145" t="shared"/>
        <v>7.6780038470370257E-3</v>
      </c>
      <c r="AK79" s="83">
        <f si="145" t="shared"/>
        <v>3.8518521391620892E-3</v>
      </c>
      <c r="AL79" s="83">
        <f si="145" t="shared"/>
        <v>9.8089979412634793E-4</v>
      </c>
      <c r="AM79" s="83">
        <f si="145" t="shared"/>
        <v>8.7916892028136646E-4</v>
      </c>
      <c r="AN79" s="83">
        <f si="145" t="shared"/>
        <v>2.020696409952422E-3</v>
      </c>
      <c r="AO79" s="83">
        <f si="145" t="shared"/>
        <v>1.6705280336649597E-4</v>
      </c>
      <c r="AP79" s="83">
        <f si="145" t="shared"/>
        <v>3.6783742279738046E-3</v>
      </c>
      <c r="AQ79" s="83">
        <f si="145" t="shared"/>
        <v>3.0519262153494453E-4</v>
      </c>
      <c r="AR79" s="83">
        <f si="145" t="shared"/>
        <v>1.5405266854041094E-2</v>
      </c>
      <c r="AS79" s="83">
        <f si="145" t="shared"/>
        <v>2.0881600420811992E-4</v>
      </c>
      <c r="AT79" s="83">
        <f si="145" t="shared"/>
        <v>0</v>
      </c>
      <c r="AU79" s="83">
        <f si="145" t="shared"/>
        <v>5.672085185074717E-2</v>
      </c>
      <c r="AW79">
        <v>19</v>
      </c>
      <c r="AX79" s="83">
        <f ref="AX79:BS79" si="146" t="shared">IF($BS$55&gt;0,AX52/$BS$55,0)</f>
        <v>1.5020729561249142E-3</v>
      </c>
      <c r="AY79" s="83">
        <f si="146" t="shared"/>
        <v>7.8623199212574937E-4</v>
      </c>
      <c r="AZ79" s="83">
        <f si="146" t="shared"/>
        <v>1.0570584901721E-3</v>
      </c>
      <c r="BA79" s="83">
        <f si="146" t="shared"/>
        <v>4.9750946997941957E-4</v>
      </c>
      <c r="BB79" s="83">
        <f si="146" t="shared"/>
        <v>3.7462343782622962E-4</v>
      </c>
      <c r="BC79" s="83">
        <f si="146" t="shared"/>
        <v>1.9303844662510812E-3</v>
      </c>
      <c r="BD79" s="83">
        <f si="146" t="shared"/>
        <v>5.0944015271273894E-4</v>
      </c>
      <c r="BE79" s="83">
        <f si="146" t="shared"/>
        <v>1.5748501207981627E-4</v>
      </c>
      <c r="BF79" s="83">
        <f si="146" t="shared"/>
        <v>2.6331016792435946E-3</v>
      </c>
      <c r="BG79" s="83">
        <f si="146" t="shared"/>
        <v>2.6128195185969516E-4</v>
      </c>
      <c r="BH79" s="83">
        <f si="146" t="shared"/>
        <v>1.3189369761684612E-2</v>
      </c>
      <c r="BI79" s="83">
        <f si="146" t="shared"/>
        <v>9.3417245801891017E-4</v>
      </c>
      <c r="BJ79" s="83">
        <f si="146" t="shared"/>
        <v>1.813463775464551E-4</v>
      </c>
      <c r="BK79" s="83">
        <f si="146" t="shared"/>
        <v>8.7929131744564077E-4</v>
      </c>
      <c r="BL79" s="83">
        <f si="146" t="shared"/>
        <v>3.3847346914427177E-3</v>
      </c>
      <c r="BM79" s="83">
        <f si="146" t="shared"/>
        <v>2.2668297193306887E-5</v>
      </c>
      <c r="BN79" s="83">
        <f si="146" t="shared"/>
        <v>6.1156679690995315E-3</v>
      </c>
      <c r="BO79" s="83">
        <f si="146" t="shared"/>
        <v>7.1584096399916484E-6</v>
      </c>
      <c r="BP79" s="83">
        <f si="146" t="shared"/>
        <v>2.229605989202732E-2</v>
      </c>
      <c r="BQ79" s="83">
        <f si="146" t="shared"/>
        <v>1.1930682733319415E-6</v>
      </c>
      <c r="BR79" s="83">
        <f si="146" t="shared"/>
        <v>0</v>
      </c>
      <c r="BS79" s="83">
        <f si="146" t="shared"/>
        <v>5.6720851850747156E-2</v>
      </c>
    </row>
    <row r="80" spans="1:71" x14ac:dyDescent="0.45">
      <c r="A80">
        <v>20</v>
      </c>
      <c r="B80" s="83">
        <f ref="B80:W80" si="147" t="shared">IF($W$55&gt;0,B53/$W$55,0)</f>
        <v>8.8014903759604845E-4</v>
      </c>
      <c r="C80" s="83">
        <f si="147" t="shared"/>
        <v>4.716786473636912E-4</v>
      </c>
      <c r="D80" s="83">
        <f si="147" t="shared"/>
        <v>4.716786473636912E-4</v>
      </c>
      <c r="E80" s="83">
        <f si="147" t="shared"/>
        <v>6.318584856563024E-4</v>
      </c>
      <c r="F80" s="83">
        <f si="147" t="shared"/>
        <v>8.9711287049944126E-5</v>
      </c>
      <c r="G80" s="83">
        <f si="147" t="shared"/>
        <v>9.2593830716392348E-4</v>
      </c>
      <c r="H80" s="83">
        <f si="147" t="shared"/>
        <v>2.1629672298165742E-3</v>
      </c>
      <c r="I80" s="83">
        <f si="147" t="shared"/>
        <v>0</v>
      </c>
      <c r="J80" s="83">
        <f si="147" t="shared"/>
        <v>0</v>
      </c>
      <c r="K80" s="83">
        <f si="147" t="shared"/>
        <v>1.8681517690518341E-4</v>
      </c>
      <c r="L80" s="83">
        <f si="147" t="shared"/>
        <v>1.3686853403425646E-4</v>
      </c>
      <c r="M80" s="83">
        <f si="147" t="shared"/>
        <v>7.5346858677421465E-3</v>
      </c>
      <c r="N80" s="83">
        <f si="147" t="shared"/>
        <v>4.8216129784724817E-5</v>
      </c>
      <c r="O80" s="83">
        <f si="147" t="shared"/>
        <v>0</v>
      </c>
      <c r="P80" s="83">
        <f si="147" t="shared"/>
        <v>0</v>
      </c>
      <c r="Q80" s="83">
        <f si="147" t="shared"/>
        <v>0</v>
      </c>
      <c r="R80" s="83">
        <f si="147" t="shared"/>
        <v>0</v>
      </c>
      <c r="S80" s="83">
        <f si="147" t="shared"/>
        <v>4.3722352676461313E-3</v>
      </c>
      <c r="T80" s="83">
        <f si="147" t="shared"/>
        <v>0</v>
      </c>
      <c r="U80" s="83">
        <f si="147" t="shared"/>
        <v>1.8955393164381037E-2</v>
      </c>
      <c r="V80" s="83">
        <f si="147" t="shared"/>
        <v>0</v>
      </c>
      <c r="W80" s="83">
        <f si="147" t="shared"/>
        <v>3.6868195782503652E-2</v>
      </c>
      <c r="Y80">
        <v>20</v>
      </c>
      <c r="Z80" s="83">
        <f ref="Z80:AU80" si="148" t="shared">IF($W$55&gt;0,Z53/$W$55,0)</f>
        <v>1.0295112722538513E-3</v>
      </c>
      <c r="AA80" s="83">
        <f si="148" t="shared"/>
        <v>1.0968902583108886E-3</v>
      </c>
      <c r="AB80" s="83">
        <f si="148" t="shared"/>
        <v>3.0320543725666839E-4</v>
      </c>
      <c r="AC80" s="83">
        <f si="148" t="shared"/>
        <v>3.9832871169013303E-4</v>
      </c>
      <c r="AD80" s="83">
        <f si="148" t="shared"/>
        <v>4.7264376984127717E-4</v>
      </c>
      <c r="AE80" s="83">
        <f si="148" t="shared"/>
        <v>2.2017074561578994E-3</v>
      </c>
      <c r="AF80" s="83">
        <f si="148" t="shared"/>
        <v>1.5883605095504557E-3</v>
      </c>
      <c r="AG80" s="83">
        <f si="148" t="shared"/>
        <v>1.4070317676616637E-4</v>
      </c>
      <c r="AH80" s="83">
        <f si="148" t="shared"/>
        <v>1.0027578513194394E-3</v>
      </c>
      <c r="AI80" s="83">
        <f si="148" t="shared"/>
        <v>4.7165290239926201E-4</v>
      </c>
      <c r="AJ80" s="83">
        <f si="148" t="shared"/>
        <v>3.9139263959602627E-4</v>
      </c>
      <c r="AK80" s="83">
        <f si="148" t="shared"/>
        <v>7.0866839452931119E-3</v>
      </c>
      <c r="AL80" s="83">
        <f si="148" t="shared"/>
        <v>1.1979587373964447E-3</v>
      </c>
      <c r="AM80" s="83">
        <f si="148" t="shared"/>
        <v>1.2881276746198333E-4</v>
      </c>
      <c r="AN80" s="83">
        <f si="148" t="shared"/>
        <v>2.9527849772054631E-4</v>
      </c>
      <c r="AO80" s="83">
        <f si="148" t="shared"/>
        <v>2.0312782561312753E-4</v>
      </c>
      <c r="AP80" s="83">
        <f si="148" t="shared"/>
        <v>5.5488576752854346E-5</v>
      </c>
      <c r="AQ80" s="83">
        <f si="148" t="shared"/>
        <v>5.2684421891951178E-3</v>
      </c>
      <c r="AR80" s="83">
        <f si="148" t="shared"/>
        <v>1.8727394654088341E-4</v>
      </c>
      <c r="AS80" s="83">
        <f si="148" t="shared"/>
        <v>1.3347975311387516E-2</v>
      </c>
      <c r="AT80" s="83">
        <f si="148" t="shared"/>
        <v>0</v>
      </c>
      <c r="AU80" s="83">
        <f si="148" t="shared"/>
        <v>3.6868195782503652E-2</v>
      </c>
      <c r="AW80">
        <v>20</v>
      </c>
      <c r="AX80" s="83">
        <f ref="AX80:BS80" si="149" t="shared">IF($BS$55&gt;0,AX53/$BS$55,0)</f>
        <v>1.8850478718644673E-4</v>
      </c>
      <c r="AY80" s="83">
        <f si="149" t="shared"/>
        <v>1.2049989560652609E-4</v>
      </c>
      <c r="AZ80" s="83">
        <f si="149" t="shared"/>
        <v>5.3688072299937364E-5</v>
      </c>
      <c r="BA80" s="83">
        <f si="149" t="shared"/>
        <v>4.056432129328601E-5</v>
      </c>
      <c r="BB80" s="83">
        <f si="149" t="shared"/>
        <v>6.5618755033256776E-5</v>
      </c>
      <c r="BC80" s="83">
        <f si="149" t="shared"/>
        <v>4.2353923703283922E-4</v>
      </c>
      <c r="BD80" s="83">
        <f si="149" t="shared"/>
        <v>2.1952456229307722E-4</v>
      </c>
      <c r="BE80" s="83">
        <f si="149" t="shared"/>
        <v>2.386136546663883E-6</v>
      </c>
      <c r="BF80" s="83">
        <f si="149" t="shared"/>
        <v>7.5163301219912306E-5</v>
      </c>
      <c r="BG80" s="83">
        <f si="149" t="shared"/>
        <v>9.6638530139887249E-5</v>
      </c>
      <c r="BH80" s="83">
        <f si="149" t="shared"/>
        <v>1.9089092373311064E-5</v>
      </c>
      <c r="BI80" s="83">
        <f si="149" t="shared"/>
        <v>4.7734661616010976E-3</v>
      </c>
      <c r="BJ80" s="83">
        <f si="149" t="shared"/>
        <v>2.0520774301309392E-4</v>
      </c>
      <c r="BK80" s="83">
        <f si="149" t="shared"/>
        <v>3.5792048199958242E-6</v>
      </c>
      <c r="BL80" s="83">
        <f si="149" t="shared"/>
        <v>5.9653413666597072E-6</v>
      </c>
      <c r="BM80" s="83">
        <f si="149" t="shared"/>
        <v>1.3481671488650937E-4</v>
      </c>
      <c r="BN80" s="83">
        <f si="149" t="shared"/>
        <v>1.1930682733319415E-6</v>
      </c>
      <c r="BO80" s="83">
        <f si="149" t="shared"/>
        <v>7.5067855758045752E-3</v>
      </c>
      <c r="BP80" s="83">
        <f si="149" t="shared"/>
        <v>1.1930682733319415E-6</v>
      </c>
      <c r="BQ80" s="83">
        <f si="149" t="shared"/>
        <v>2.2930772213439914E-2</v>
      </c>
      <c r="BR80" s="83">
        <f si="149" t="shared"/>
        <v>0</v>
      </c>
      <c r="BS80" s="83">
        <f si="149" t="shared"/>
        <v>3.6868195782503652E-2</v>
      </c>
    </row>
    <row r="81" spans="1:71" x14ac:dyDescent="0.45">
      <c r="A81" s="80" t="s">
        <v>15</v>
      </c>
      <c r="B81" s="84">
        <f ref="B81:W81" si="150" t="shared">IF($W$55&gt;0,B54/$W$55,0)</f>
        <v>0</v>
      </c>
      <c r="C81" s="84">
        <f si="150" t="shared"/>
        <v>0</v>
      </c>
      <c r="D81" s="84">
        <f si="150" t="shared"/>
        <v>0</v>
      </c>
      <c r="E81" s="84">
        <f si="150" t="shared"/>
        <v>0</v>
      </c>
      <c r="F81" s="84">
        <f si="150" t="shared"/>
        <v>0</v>
      </c>
      <c r="G81" s="84">
        <f si="150" t="shared"/>
        <v>0</v>
      </c>
      <c r="H81" s="84">
        <f si="150" t="shared"/>
        <v>0</v>
      </c>
      <c r="I81" s="84">
        <f si="150" t="shared"/>
        <v>0</v>
      </c>
      <c r="J81" s="84">
        <f si="150" t="shared"/>
        <v>0</v>
      </c>
      <c r="K81" s="84">
        <f si="150" t="shared"/>
        <v>0</v>
      </c>
      <c r="L81" s="84">
        <f si="150" t="shared"/>
        <v>0</v>
      </c>
      <c r="M81" s="84">
        <f si="150" t="shared"/>
        <v>0</v>
      </c>
      <c r="N81" s="84">
        <f si="150" t="shared"/>
        <v>0</v>
      </c>
      <c r="O81" s="84">
        <f si="150" t="shared"/>
        <v>0</v>
      </c>
      <c r="P81" s="84">
        <f si="150" t="shared"/>
        <v>0</v>
      </c>
      <c r="Q81" s="84">
        <f si="150" t="shared"/>
        <v>0</v>
      </c>
      <c r="R81" s="84">
        <f si="150" t="shared"/>
        <v>0</v>
      </c>
      <c r="S81" s="84">
        <f si="150" t="shared"/>
        <v>0</v>
      </c>
      <c r="T81" s="84">
        <f si="150" t="shared"/>
        <v>0</v>
      </c>
      <c r="U81" s="84">
        <f si="150" t="shared"/>
        <v>0</v>
      </c>
      <c r="V81" s="84">
        <f si="150" t="shared"/>
        <v>0</v>
      </c>
      <c r="W81" s="84">
        <f si="150" t="shared"/>
        <v>0</v>
      </c>
      <c r="Y81" s="80" t="s">
        <v>15</v>
      </c>
      <c r="Z81" s="84">
        <f ref="Z81:AU81" si="151" t="shared">IF($W$55&gt;0,Z54/$W$55,0)</f>
        <v>0</v>
      </c>
      <c r="AA81" s="84">
        <f si="151" t="shared"/>
        <v>0</v>
      </c>
      <c r="AB81" s="84">
        <f si="151" t="shared"/>
        <v>0</v>
      </c>
      <c r="AC81" s="84">
        <f si="151" t="shared"/>
        <v>0</v>
      </c>
      <c r="AD81" s="84">
        <f si="151" t="shared"/>
        <v>0</v>
      </c>
      <c r="AE81" s="84">
        <f si="151" t="shared"/>
        <v>0</v>
      </c>
      <c r="AF81" s="84">
        <f si="151" t="shared"/>
        <v>0</v>
      </c>
      <c r="AG81" s="84">
        <f si="151" t="shared"/>
        <v>0</v>
      </c>
      <c r="AH81" s="84">
        <f si="151" t="shared"/>
        <v>0</v>
      </c>
      <c r="AI81" s="84">
        <f si="151" t="shared"/>
        <v>0</v>
      </c>
      <c r="AJ81" s="84">
        <f si="151" t="shared"/>
        <v>0</v>
      </c>
      <c r="AK81" s="84">
        <f si="151" t="shared"/>
        <v>0</v>
      </c>
      <c r="AL81" s="84">
        <f si="151" t="shared"/>
        <v>0</v>
      </c>
      <c r="AM81" s="84">
        <f si="151" t="shared"/>
        <v>0</v>
      </c>
      <c r="AN81" s="84">
        <f si="151" t="shared"/>
        <v>0</v>
      </c>
      <c r="AO81" s="84">
        <f si="151" t="shared"/>
        <v>0</v>
      </c>
      <c r="AP81" s="84">
        <f si="151" t="shared"/>
        <v>0</v>
      </c>
      <c r="AQ81" s="84">
        <f si="151" t="shared"/>
        <v>0</v>
      </c>
      <c r="AR81" s="84">
        <f si="151" t="shared"/>
        <v>0</v>
      </c>
      <c r="AS81" s="84">
        <f si="151" t="shared"/>
        <v>0</v>
      </c>
      <c r="AT81" s="84">
        <f si="151" t="shared"/>
        <v>0</v>
      </c>
      <c r="AU81" s="84">
        <f si="151" t="shared"/>
        <v>0</v>
      </c>
      <c r="AW81" s="80" t="s">
        <v>15</v>
      </c>
      <c r="AX81" s="84">
        <f ref="AX81:BS81" si="152" t="shared">IF($BS$55&gt;0,AX54/$BS$55,0)</f>
        <v>0</v>
      </c>
      <c r="AY81" s="84">
        <f si="152" t="shared"/>
        <v>0</v>
      </c>
      <c r="AZ81" s="84">
        <f si="152" t="shared"/>
        <v>0</v>
      </c>
      <c r="BA81" s="84">
        <f si="152" t="shared"/>
        <v>0</v>
      </c>
      <c r="BB81" s="84">
        <f si="152" t="shared"/>
        <v>0</v>
      </c>
      <c r="BC81" s="84">
        <f si="152" t="shared"/>
        <v>0</v>
      </c>
      <c r="BD81" s="84">
        <f si="152" t="shared"/>
        <v>0</v>
      </c>
      <c r="BE81" s="84">
        <f si="152" t="shared"/>
        <v>0</v>
      </c>
      <c r="BF81" s="84">
        <f si="152" t="shared"/>
        <v>0</v>
      </c>
      <c r="BG81" s="84">
        <f si="152" t="shared"/>
        <v>0</v>
      </c>
      <c r="BH81" s="84">
        <f si="152" t="shared"/>
        <v>0</v>
      </c>
      <c r="BI81" s="84">
        <f si="152" t="shared"/>
        <v>0</v>
      </c>
      <c r="BJ81" s="84">
        <f si="152" t="shared"/>
        <v>0</v>
      </c>
      <c r="BK81" s="84">
        <f si="152" t="shared"/>
        <v>0</v>
      </c>
      <c r="BL81" s="84">
        <f si="152" t="shared"/>
        <v>0</v>
      </c>
      <c r="BM81" s="84">
        <f si="152" t="shared"/>
        <v>0</v>
      </c>
      <c r="BN81" s="84">
        <f si="152" t="shared"/>
        <v>0</v>
      </c>
      <c r="BO81" s="84">
        <f si="152" t="shared"/>
        <v>0</v>
      </c>
      <c r="BP81" s="84">
        <f si="152" t="shared"/>
        <v>0</v>
      </c>
      <c r="BQ81" s="84">
        <f si="152" t="shared"/>
        <v>0</v>
      </c>
      <c r="BR81" s="84">
        <f si="152" t="shared"/>
        <v>0</v>
      </c>
      <c r="BS81" s="84">
        <f si="152" t="shared"/>
        <v>0</v>
      </c>
    </row>
    <row ht="14.65" r="82" spans="1:71" thickBot="1" x14ac:dyDescent="0.5">
      <c r="A82" s="1" t="s">
        <v>3</v>
      </c>
      <c r="B82" s="85">
        <f ref="B82:W82" si="153" t="shared">IF($W$55&gt;0,B55/$W$55,0)</f>
        <v>0.106071145430368</v>
      </c>
      <c r="C82" s="85">
        <f si="153" t="shared"/>
        <v>4.2565039292987064E-2</v>
      </c>
      <c r="D82" s="85">
        <f si="153" t="shared"/>
        <v>2.5834030338304972E-2</v>
      </c>
      <c r="E82" s="85">
        <f si="153" t="shared"/>
        <v>3.1568367384815194E-2</v>
      </c>
      <c r="F82" s="85">
        <f si="153" t="shared"/>
        <v>2.9254671879266975E-2</v>
      </c>
      <c r="G82" s="85">
        <f si="153" t="shared"/>
        <v>0.14759129186688877</v>
      </c>
      <c r="H82" s="85">
        <f si="153" t="shared"/>
        <v>9.435825085398003E-2</v>
      </c>
      <c r="I82" s="85">
        <f si="153" t="shared"/>
        <v>4.6765153020838892E-3</v>
      </c>
      <c r="J82" s="85">
        <f si="153" t="shared"/>
        <v>6.96930502796341E-2</v>
      </c>
      <c r="K82" s="85">
        <f si="153" t="shared"/>
        <v>1.7806081092571972E-2</v>
      </c>
      <c r="L82" s="85">
        <f si="153" t="shared"/>
        <v>5.0840020067547502E-2</v>
      </c>
      <c r="M82" s="85">
        <f si="153" t="shared"/>
        <v>0.19055587108624394</v>
      </c>
      <c r="N82" s="85">
        <f si="153" t="shared"/>
        <v>7.4544139326292183E-2</v>
      </c>
      <c r="O82" s="85">
        <f si="153" t="shared"/>
        <v>1.6894512037031607E-2</v>
      </c>
      <c r="P82" s="85">
        <f si="153" t="shared"/>
        <v>2.3533105305197491E-2</v>
      </c>
      <c r="Q82" s="85">
        <f si="153" t="shared"/>
        <v>2.61580310320379E-3</v>
      </c>
      <c r="R82" s="85">
        <f si="153" t="shared"/>
        <v>1.1601234173801813E-2</v>
      </c>
      <c r="S82" s="85">
        <f si="153" t="shared"/>
        <v>1.6603372039868336E-2</v>
      </c>
      <c r="T82" s="85">
        <f si="153" t="shared"/>
        <v>2.1477987781636114E-2</v>
      </c>
      <c r="U82" s="85">
        <f si="153" t="shared"/>
        <v>2.1915511358276438E-2</v>
      </c>
      <c r="V82" s="85">
        <f si="153" t="shared"/>
        <v>0</v>
      </c>
      <c r="W82" s="85">
        <f si="153" t="shared"/>
        <v>1</v>
      </c>
      <c r="Y82" s="1" t="s">
        <v>3</v>
      </c>
      <c r="Z82" s="85">
        <f ref="Z82:AU82" si="154" t="shared">IF($W$55&gt;0,Z55/$W$55,0)</f>
        <v>7.3963544549212348E-2</v>
      </c>
      <c r="AA82" s="85">
        <f si="154" t="shared"/>
        <v>7.7300822093163413E-2</v>
      </c>
      <c r="AB82" s="85">
        <f si="154" t="shared"/>
        <v>2.5092890400371329E-2</v>
      </c>
      <c r="AC82" s="85">
        <f si="154" t="shared"/>
        <v>2.389195320356326E-2</v>
      </c>
      <c r="AD82" s="85">
        <f si="154" t="shared"/>
        <v>2.8275207483761215E-2</v>
      </c>
      <c r="AE82" s="85">
        <f si="154" t="shared"/>
        <v>0.16000928484681243</v>
      </c>
      <c r="AF82" s="85">
        <f si="154" t="shared"/>
        <v>8.9527472612999329E-2</v>
      </c>
      <c r="AG82" s="85">
        <f si="154" t="shared"/>
        <v>7.2539484740483324E-3</v>
      </c>
      <c r="AH82" s="85">
        <f si="154" t="shared"/>
        <v>5.9420204424955679E-2</v>
      </c>
      <c r="AI82" s="85">
        <f si="154" t="shared"/>
        <v>2.2220635775029848E-2</v>
      </c>
      <c r="AJ82" s="85">
        <f si="154" t="shared"/>
        <v>5.1755542950457582E-2</v>
      </c>
      <c r="AK82" s="85">
        <f si="154" t="shared"/>
        <v>0.17138448433282161</v>
      </c>
      <c r="AL82" s="85">
        <f si="154" t="shared"/>
        <v>7.1778787227460242E-2</v>
      </c>
      <c r="AM82" s="85">
        <f si="154" t="shared"/>
        <v>1.1266356788421935E-2</v>
      </c>
      <c r="AN82" s="85">
        <f si="154" t="shared"/>
        <v>3.2537658412205683E-2</v>
      </c>
      <c r="AO82" s="85">
        <f si="154" t="shared"/>
        <v>5.5293169329569342E-3</v>
      </c>
      <c r="AP82" s="85">
        <f si="154" t="shared"/>
        <v>1.1890933902467503E-2</v>
      </c>
      <c r="AQ82" s="85">
        <f si="154" t="shared"/>
        <v>2.4411508609644274E-2</v>
      </c>
      <c r="AR82" s="85">
        <f si="154" t="shared"/>
        <v>3.0274739499473388E-2</v>
      </c>
      <c r="AS82" s="85">
        <f si="154" t="shared"/>
        <v>2.22147074801737E-2</v>
      </c>
      <c r="AT82" s="85">
        <f si="154" t="shared"/>
        <v>0</v>
      </c>
      <c r="AU82" s="85">
        <f si="154" t="shared"/>
        <v>0.99999999999999989</v>
      </c>
      <c r="AW82" s="1" t="s">
        <v>3</v>
      </c>
      <c r="AX82" s="85">
        <f ref="AX82:BS82" si="155" t="shared">IF($BS$55&gt;0,AX55/$BS$55,0)</f>
        <v>6.5094998061264051E-2</v>
      </c>
      <c r="AY82" s="85">
        <f si="155" t="shared"/>
        <v>4.267485906881021E-2</v>
      </c>
      <c r="AZ82" s="85">
        <f si="155" t="shared"/>
        <v>2.6682971933068868E-2</v>
      </c>
      <c r="BA82" s="85">
        <f si="155" t="shared"/>
        <v>1.7337668148059773E-2</v>
      </c>
      <c r="BB82" s="85">
        <f si="155" t="shared"/>
        <v>2.0953858084528886E-2</v>
      </c>
      <c r="BC82" s="85">
        <f si="155" t="shared"/>
        <v>0.11633608733259761</v>
      </c>
      <c r="BD82" s="85">
        <f si="155" t="shared"/>
        <v>0.1048015032660244</v>
      </c>
      <c r="BE82" s="85">
        <f si="155" t="shared"/>
        <v>2.8872252214632984E-3</v>
      </c>
      <c r="BF82" s="85">
        <f si="155" t="shared"/>
        <v>6.6883407402988634E-2</v>
      </c>
      <c r="BG82" s="85">
        <f si="155" t="shared"/>
        <v>2.0729561249142481E-2</v>
      </c>
      <c r="BH82" s="85">
        <f si="155" t="shared"/>
        <v>5.7189727682166611E-2</v>
      </c>
      <c r="BI82" s="85">
        <f si="155" t="shared"/>
        <v>0.19378053509112059</v>
      </c>
      <c r="BJ82" s="85">
        <f si="155" t="shared"/>
        <v>9.5750887344528288E-2</v>
      </c>
      <c r="BK82" s="85">
        <f si="155" t="shared"/>
        <v>1.7882900348972469E-2</v>
      </c>
      <c r="BL82" s="85">
        <f si="155" t="shared"/>
        <v>3.9181555164494286E-2</v>
      </c>
      <c r="BM82" s="85">
        <f si="155" t="shared"/>
        <v>4.8760700331076448E-3</v>
      </c>
      <c r="BN82" s="85">
        <f si="155" t="shared"/>
        <v>1.795090524055239E-2</v>
      </c>
      <c r="BO82" s="85">
        <f si="155" t="shared"/>
        <v>2.8300772511706984E-2</v>
      </c>
      <c r="BP82" s="85">
        <f si="155" t="shared"/>
        <v>3.3840188504787184E-2</v>
      </c>
      <c r="BQ82" s="85">
        <f si="155" t="shared"/>
        <v>2.6864318310615323E-2</v>
      </c>
      <c r="BR82" s="85">
        <f si="155" t="shared"/>
        <v>0</v>
      </c>
      <c r="BS82" s="85">
        <f si="155" t="shared"/>
        <v>1</v>
      </c>
    </row>
    <row ht="14.65" r="86" spans="1:71" thickBot="1" x14ac:dyDescent="0.5">
      <c r="AW86" s="21" t="s">
        <v>322</v>
      </c>
      <c r="AX86" s="22"/>
      <c r="AY86" s="22"/>
      <c r="AZ86" s="22"/>
      <c r="BA86" s="22"/>
      <c r="BB86" s="22"/>
      <c r="BC86" s="22"/>
      <c r="BD86" s="22"/>
      <c r="BE86" s="22"/>
      <c r="BF86" s="22"/>
    </row>
    <row r="87" spans="1:71" x14ac:dyDescent="0.45">
      <c r="AW87" s="2" t="s">
        <v>14</v>
      </c>
      <c r="AX87" s="2">
        <v>1</v>
      </c>
      <c r="AY87" s="2">
        <v>2</v>
      </c>
      <c r="AZ87" s="2">
        <v>3</v>
      </c>
      <c r="BA87" s="2">
        <v>4</v>
      </c>
      <c r="BB87" s="2">
        <v>5</v>
      </c>
      <c r="BC87" s="2">
        <v>6</v>
      </c>
      <c r="BD87" s="2">
        <v>7</v>
      </c>
      <c r="BE87" s="2">
        <v>8</v>
      </c>
      <c r="BF87" s="2">
        <v>9</v>
      </c>
      <c r="BG87" s="2">
        <v>10</v>
      </c>
      <c r="BH87" s="2">
        <v>11</v>
      </c>
      <c r="BI87" s="2">
        <v>12</v>
      </c>
      <c r="BJ87" s="2">
        <v>13</v>
      </c>
      <c r="BK87" s="2">
        <v>14</v>
      </c>
      <c r="BL87" s="2">
        <v>15</v>
      </c>
      <c r="BM87" s="2">
        <v>16</v>
      </c>
      <c r="BN87" s="2">
        <v>17</v>
      </c>
      <c r="BO87" s="2">
        <v>18</v>
      </c>
      <c r="BP87" s="2">
        <v>19</v>
      </c>
      <c r="BQ87" s="2">
        <v>20</v>
      </c>
      <c r="BR87" s="3" t="s">
        <v>15</v>
      </c>
      <c r="BS87" s="3" t="s">
        <v>3</v>
      </c>
    </row>
    <row r="88" spans="1:71" x14ac:dyDescent="0.45">
      <c r="AW88" s="28">
        <v>1</v>
      </c>
      <c r="AX88" s="82">
        <f>AX61-Z61</f>
        <v>7.7760121121219069E-4</v>
      </c>
      <c r="AY88" s="82">
        <f ref="AY88:BS88" si="156" t="shared">AY61-AA61</f>
        <v>-3.3620957513453556E-4</v>
      </c>
      <c r="AZ88" s="82">
        <f si="156" t="shared"/>
        <v>-5.4394284957643996E-5</v>
      </c>
      <c r="BA88" s="82">
        <f si="156" t="shared"/>
        <v>9.3400524574864877E-5</v>
      </c>
      <c r="BB88" s="82">
        <f si="156" t="shared"/>
        <v>6.188270530904942E-5</v>
      </c>
      <c r="BC88" s="82">
        <f si="156" t="shared"/>
        <v>1.5656960445170143E-4</v>
      </c>
      <c r="BD88" s="82">
        <f si="156" t="shared"/>
        <v>-8.8015242471097552E-5</v>
      </c>
      <c r="BE88" s="82">
        <f si="156" t="shared"/>
        <v>-2.4170744093139935E-5</v>
      </c>
      <c r="BF88" s="82">
        <f si="156" t="shared"/>
        <v>-8.8212940956379927E-5</v>
      </c>
      <c r="BG88" s="82">
        <f si="156" t="shared"/>
        <v>1.1249033547849619E-4</v>
      </c>
      <c r="BH88" s="82">
        <f si="156" t="shared"/>
        <v>-4.4523012769610544E-5</v>
      </c>
      <c r="BI88" s="82">
        <f si="156" t="shared"/>
        <v>-1.7739846402493572E-4</v>
      </c>
      <c r="BJ88" s="82">
        <f si="156" t="shared"/>
        <v>-1.0290493571076983E-4</v>
      </c>
      <c r="BK88" s="82">
        <f si="156" t="shared"/>
        <v>-2.2616973598996811E-5</v>
      </c>
      <c r="BL88" s="82">
        <f si="156" t="shared"/>
        <v>-1.0075047386882163E-4</v>
      </c>
      <c r="BM88" s="82">
        <f si="156" t="shared"/>
        <v>-1.164768443429367E-5</v>
      </c>
      <c r="BN88" s="82">
        <f si="156" t="shared"/>
        <v>-3.8968978687751734E-6</v>
      </c>
      <c r="BO88" s="82">
        <f si="156" t="shared"/>
        <v>-5.9756779385537555E-5</v>
      </c>
      <c r="BP88" s="82">
        <f si="156" t="shared"/>
        <v>-5.5834219719607344E-5</v>
      </c>
      <c r="BQ88" s="82">
        <f si="156" t="shared"/>
        <v>-3.1612152032157332E-5</v>
      </c>
      <c r="BR88" s="82">
        <f si="156" t="shared"/>
        <v>0</v>
      </c>
      <c r="BS88" s="82">
        <f si="156" t="shared"/>
        <v>0</v>
      </c>
    </row>
    <row r="89" spans="1:71" x14ac:dyDescent="0.45">
      <c r="AW89">
        <v>2</v>
      </c>
      <c r="AX89" s="83">
        <f ref="AX89:AX109" si="157" t="shared">AX62-Z62</f>
        <v>2.4064815693051675E-4</v>
      </c>
      <c r="AY89" s="83">
        <f ref="AY89:AY109" si="158" t="shared">AY62-AA62</f>
        <v>-2.2737805534258715E-4</v>
      </c>
      <c r="AZ89" s="83">
        <f ref="AZ89:AZ109" si="159" t="shared">AZ62-AB62</f>
        <v>4.8697091850246807E-5</v>
      </c>
      <c r="BA89" s="83">
        <f ref="BA89:BA109" si="160" t="shared">BA62-AC62</f>
        <v>1.0428542986325217E-5</v>
      </c>
      <c r="BB89" s="83">
        <f ref="BB89:BB109" si="161" t="shared">BB62-AD62</f>
        <v>-5.520396310825979E-5</v>
      </c>
      <c r="BC89" s="83">
        <f ref="BC89:BC109" si="162" t="shared">BC62-AE62</f>
        <v>-8.7894492166265461E-5</v>
      </c>
      <c r="BD89" s="83">
        <f ref="BD89:BD109" si="163" t="shared">BD62-AF62</f>
        <v>1.6352565687755916E-4</v>
      </c>
      <c r="BE89" s="83">
        <f ref="BE89:BE109" si="164" t="shared">BE62-AG62</f>
        <v>-6.7957417677716171E-5</v>
      </c>
      <c r="BF89" s="83">
        <f ref="BF89:BF109" si="165" t="shared">BF62-AH62</f>
        <v>3.1271812416402956E-4</v>
      </c>
      <c r="BG89" s="83">
        <f ref="BG89:BG109" si="166" t="shared">BG62-AI62</f>
        <v>9.7588335590198983E-5</v>
      </c>
      <c r="BH89" s="83">
        <f ref="BH89:BH109" si="167" t="shared">BH62-AJ62</f>
        <v>-4.2785674288367006E-4</v>
      </c>
      <c r="BI89" s="83">
        <f ref="BI89:BI109" si="168" t="shared">BI62-AK62</f>
        <v>6.9736084719895916E-4</v>
      </c>
      <c r="BJ89" s="83">
        <f ref="BJ89:BJ109" si="169" t="shared">BJ62-AL62</f>
        <v>-1.5073749724855997E-4</v>
      </c>
      <c r="BK89" s="83">
        <f ref="BK89:BK109" si="170" t="shared">BK62-AM62</f>
        <v>-4.2267815866871655E-5</v>
      </c>
      <c r="BL89" s="83">
        <f ref="BL89:BL109" si="171" t="shared">BL62-AN62</f>
        <v>-1.2800568324816569E-4</v>
      </c>
      <c r="BM89" s="83">
        <f ref="BM89:BM109" si="172" t="shared">BM62-AO62</f>
        <v>-4.6414088263544456E-5</v>
      </c>
      <c r="BN89" s="83">
        <f ref="BN89:BN109" si="173" t="shared">BN62-AP62</f>
        <v>-4.0759455401657527E-5</v>
      </c>
      <c r="BO89" s="83">
        <f ref="BO89:BO109" si="174" t="shared">BO62-AQ62</f>
        <v>-1.2793070722330482E-4</v>
      </c>
      <c r="BP89" s="83">
        <f ref="BP89:BP109" si="175" t="shared">BP62-AR62</f>
        <v>-1.1367282106329951E-4</v>
      </c>
      <c r="BQ89" s="83">
        <f ref="BQ89:BQ109" si="176" t="shared">BQ62-AS62</f>
        <v>-5.4888016103933407E-5</v>
      </c>
      <c r="BR89" s="83">
        <f ref="BR89:BR109" si="177" t="shared">BR62-AT62</f>
        <v>0</v>
      </c>
      <c r="BS89" s="83">
        <f ref="BS89:BS109" si="178" t="shared">BS62-AU62</f>
        <v>0</v>
      </c>
    </row>
    <row r="90" spans="1:71" x14ac:dyDescent="0.45">
      <c r="AW90">
        <v>3</v>
      </c>
      <c r="AX90" s="83">
        <f si="157" t="shared"/>
        <v>4.7280755837698571E-4</v>
      </c>
      <c r="AY90" s="83">
        <f si="158" t="shared"/>
        <v>-1.2656980777914799E-3</v>
      </c>
      <c r="AZ90" s="83">
        <f si="159" t="shared"/>
        <v>8.16630321241595E-4</v>
      </c>
      <c r="BA90" s="83">
        <f si="160" t="shared"/>
        <v>1.776719644316525E-5</v>
      </c>
      <c r="BB90" s="83">
        <f si="161" t="shared"/>
        <v>-7.3105814890768971E-7</v>
      </c>
      <c r="BC90" s="83">
        <f si="162" t="shared"/>
        <v>-9.8662782037858658E-4</v>
      </c>
      <c r="BD90" s="83">
        <f si="163" t="shared"/>
        <v>-1.2147814764247242E-4</v>
      </c>
      <c r="BE90" s="83">
        <f si="164" t="shared"/>
        <v>-1.1238071103198284E-4</v>
      </c>
      <c r="BF90" s="83">
        <f si="165" t="shared"/>
        <v>6.5546263865981676E-4</v>
      </c>
      <c r="BG90" s="83">
        <f si="166" t="shared"/>
        <v>3.9567002764131641E-4</v>
      </c>
      <c r="BH90" s="83">
        <f si="167" t="shared"/>
        <v>8.5662131289784621E-4</v>
      </c>
      <c r="BI90" s="83">
        <f si="168" t="shared"/>
        <v>5.0077846401036952E-4</v>
      </c>
      <c r="BJ90" s="83">
        <f si="169" t="shared"/>
        <v>-3.4048817537851554E-4</v>
      </c>
      <c r="BK90" s="83">
        <f si="170" t="shared"/>
        <v>8.3400852024679835E-6</v>
      </c>
      <c r="BL90" s="83">
        <f si="171" t="shared"/>
        <v>-2.9106569544551646E-4</v>
      </c>
      <c r="BM90" s="83">
        <f si="172" t="shared"/>
        <v>-5.4558543703483808E-5</v>
      </c>
      <c r="BN90" s="83">
        <f si="173" t="shared"/>
        <v>1.6515395175449533E-6</v>
      </c>
      <c r="BO90" s="83">
        <f si="174" t="shared"/>
        <v>-1.8935334236693039E-4</v>
      </c>
      <c r="BP90" s="83">
        <f si="175" t="shared"/>
        <v>-2.5683752187085208E-4</v>
      </c>
      <c r="BQ90" s="83">
        <f si="176" t="shared"/>
        <v>-1.0651005023237906E-4</v>
      </c>
      <c r="BR90" s="83">
        <f si="177" t="shared"/>
        <v>0</v>
      </c>
      <c r="BS90" s="83">
        <f si="178" t="shared"/>
        <v>0</v>
      </c>
    </row>
    <row r="91" spans="1:71" x14ac:dyDescent="0.45">
      <c r="AW91">
        <v>4</v>
      </c>
      <c r="AX91" s="83">
        <f si="157" t="shared"/>
        <v>5.9878697860182438E-4</v>
      </c>
      <c r="AY91" s="83">
        <f si="158" t="shared"/>
        <v>-8.0104581346588841E-4</v>
      </c>
      <c r="AZ91" s="83">
        <f si="159" t="shared"/>
        <v>1.1608712923868482E-4</v>
      </c>
      <c r="BA91" s="83">
        <f si="160" t="shared"/>
        <v>1.6436209861599572E-4</v>
      </c>
      <c r="BB91" s="83">
        <f si="161" t="shared"/>
        <v>-5.0851455142422101E-5</v>
      </c>
      <c r="BC91" s="83">
        <f si="162" t="shared"/>
        <v>2.5904001926640085E-4</v>
      </c>
      <c r="BD91" s="83">
        <f si="163" t="shared"/>
        <v>-3.0655152275667786E-4</v>
      </c>
      <c r="BE91" s="83">
        <f si="164" t="shared"/>
        <v>-1.8180206203910189E-4</v>
      </c>
      <c r="BF91" s="83">
        <f si="165" t="shared"/>
        <v>1.4967116412306723E-6</v>
      </c>
      <c r="BG91" s="83">
        <f si="166" t="shared"/>
        <v>3.4292452479660113E-4</v>
      </c>
      <c r="BH91" s="83">
        <f si="167" t="shared"/>
        <v>-7.922941382332814E-6</v>
      </c>
      <c r="BI91" s="83">
        <f si="168" t="shared"/>
        <v>3.7153540421088361E-4</v>
      </c>
      <c r="BJ91" s="83">
        <f si="169" t="shared"/>
        <v>-1.6342182614265732E-4</v>
      </c>
      <c r="BK91" s="83">
        <f si="170" t="shared"/>
        <v>-1.7381090591708833E-5</v>
      </c>
      <c r="BL91" s="83">
        <f si="171" t="shared"/>
        <v>-8.5756272844933316E-5</v>
      </c>
      <c r="BM91" s="83">
        <f si="172" t="shared"/>
        <v>-3.9045853664307798E-5</v>
      </c>
      <c r="BN91" s="83">
        <f si="173" t="shared"/>
        <v>-6.522971784601502E-6</v>
      </c>
      <c r="BO91" s="83">
        <f si="174" t="shared"/>
        <v>-8.412827290876551E-5</v>
      </c>
      <c r="BP91" s="83">
        <f si="175" t="shared"/>
        <v>-5.7943217477008797E-5</v>
      </c>
      <c r="BQ91" s="83">
        <f si="176" t="shared"/>
        <v>-5.1859566171215277E-5</v>
      </c>
      <c r="BR91" s="83">
        <f si="177" t="shared"/>
        <v>0</v>
      </c>
      <c r="BS91" s="83">
        <f si="178" t="shared"/>
        <v>0</v>
      </c>
    </row>
    <row r="92" spans="1:71" x14ac:dyDescent="0.45">
      <c r="AW92">
        <v>5</v>
      </c>
      <c r="AX92" s="83">
        <f si="157" t="shared"/>
        <v>1.388622063579481E-4</v>
      </c>
      <c r="AY92" s="83">
        <f si="158" t="shared"/>
        <v>-4.6567222095523651E-4</v>
      </c>
      <c r="AZ92" s="83">
        <f si="159" t="shared"/>
        <v>9.7878384121299683E-5</v>
      </c>
      <c r="BA92" s="83">
        <f si="160" t="shared"/>
        <v>6.3048747382108577E-5</v>
      </c>
      <c r="BB92" s="83">
        <f si="161" t="shared"/>
        <v>3.5737056998460495E-4</v>
      </c>
      <c r="BC92" s="83">
        <f si="162" t="shared"/>
        <v>1.0414681835485377E-4</v>
      </c>
      <c r="BD92" s="83">
        <f si="163" t="shared"/>
        <v>-1.5237673253754643E-4</v>
      </c>
      <c r="BE92" s="83">
        <f si="164" t="shared"/>
        <v>-4.6552368451140052E-5</v>
      </c>
      <c r="BF92" s="83">
        <f si="165" t="shared"/>
        <v>-6.6274867333848903E-5</v>
      </c>
      <c r="BG92" s="83">
        <f si="166" t="shared"/>
        <v>4.4795241211660131E-4</v>
      </c>
      <c r="BH92" s="83">
        <f si="167" t="shared"/>
        <v>-1.4219963049073088E-4</v>
      </c>
      <c r="BI92" s="83">
        <f si="168" t="shared"/>
        <v>2.6944445477310695E-4</v>
      </c>
      <c r="BJ92" s="83">
        <f si="169" t="shared"/>
        <v>-1.7373143100397691E-4</v>
      </c>
      <c r="BK92" s="83">
        <f si="170" t="shared"/>
        <v>-6.2679107570993997E-5</v>
      </c>
      <c r="BL92" s="83">
        <f si="171" t="shared"/>
        <v>-1.2000972534186701E-4</v>
      </c>
      <c r="BM92" s="83">
        <f si="172" t="shared"/>
        <v>3.7705943550514162E-5</v>
      </c>
      <c r="BN92" s="83">
        <f si="173" t="shared"/>
        <v>-2.8968270883216717E-5</v>
      </c>
      <c r="BO92" s="83">
        <f si="174" t="shared"/>
        <v>-1.1623349707147884E-4</v>
      </c>
      <c r="BP92" s="83">
        <f si="175" t="shared"/>
        <v>-7.7010780495360897E-5</v>
      </c>
      <c r="BQ92" s="83">
        <f si="176" t="shared"/>
        <v>-6.4700904505640526E-5</v>
      </c>
      <c r="BR92" s="83">
        <f si="177" t="shared"/>
        <v>0</v>
      </c>
      <c r="BS92" s="83">
        <f si="178" t="shared"/>
        <v>0</v>
      </c>
    </row>
    <row r="93" spans="1:71" x14ac:dyDescent="0.45">
      <c r="AW93">
        <v>6</v>
      </c>
      <c r="AX93" s="83">
        <f si="157" t="shared"/>
        <v>8.1754026756619344E-6</v>
      </c>
      <c r="AY93" s="83">
        <f si="158" t="shared"/>
        <v>-5.8321747797341521E-4</v>
      </c>
      <c r="AZ93" s="83">
        <f si="159" t="shared"/>
        <v>8.373125224667914E-5</v>
      </c>
      <c r="BA93" s="83">
        <f si="160" t="shared"/>
        <v>1.3489625799076191E-4</v>
      </c>
      <c r="BB93" s="83">
        <f si="161" t="shared"/>
        <v>4.0656445673969109E-4</v>
      </c>
      <c r="BC93" s="83">
        <f si="162" t="shared"/>
        <v>6.4653198827795827E-5</v>
      </c>
      <c r="BD93" s="83">
        <f si="163" t="shared"/>
        <v>3.5080622817730599E-5</v>
      </c>
      <c r="BE93" s="83">
        <f si="164" t="shared"/>
        <v>-6.7074487789627553E-5</v>
      </c>
      <c r="BF93" s="83">
        <f si="165" t="shared"/>
        <v>1.720923672455096E-4</v>
      </c>
      <c r="BG93" s="83">
        <f si="166" t="shared"/>
        <v>4.7732673821309214E-4</v>
      </c>
      <c r="BH93" s="83">
        <f si="167" t="shared"/>
        <v>-2.0136634345280094E-4</v>
      </c>
      <c r="BI93" s="83">
        <f si="168" t="shared"/>
        <v>8.050014245633676E-4</v>
      </c>
      <c r="BJ93" s="83">
        <f si="169" t="shared"/>
        <v>-4.3737394367897656E-4</v>
      </c>
      <c r="BK93" s="83">
        <f si="170" t="shared"/>
        <v>-7.4015954573434216E-5</v>
      </c>
      <c r="BL93" s="83">
        <f si="171" t="shared"/>
        <v>-2.1208086222799065E-4</v>
      </c>
      <c r="BM93" s="83">
        <f si="172" t="shared"/>
        <v>-3.5366852728308808E-5</v>
      </c>
      <c r="BN93" s="83">
        <f si="173" t="shared"/>
        <v>-4.3278729725905713E-5</v>
      </c>
      <c r="BO93" s="83">
        <f si="174" t="shared"/>
        <v>-2.6002053601745326E-4</v>
      </c>
      <c r="BP93" s="83">
        <f si="175" t="shared"/>
        <v>-1.7227572349566664E-4</v>
      </c>
      <c r="BQ93" s="83">
        <f si="176" t="shared"/>
        <v>-1.0145080965671213E-4</v>
      </c>
      <c r="BR93" s="83">
        <f si="177" t="shared"/>
        <v>0</v>
      </c>
      <c r="BS93" s="83">
        <f si="178" t="shared"/>
        <v>0</v>
      </c>
    </row>
    <row r="94" spans="1:71" x14ac:dyDescent="0.45">
      <c r="AW94">
        <v>7</v>
      </c>
      <c r="AX94" s="83">
        <f si="157" t="shared"/>
        <v>-9.5641978511373446E-4</v>
      </c>
      <c r="AY94" s="83">
        <f si="158" t="shared"/>
        <v>-4.4236663233164879E-3</v>
      </c>
      <c r="AZ94" s="83">
        <f si="159" t="shared"/>
        <v>-5.1095134601715584E-4</v>
      </c>
      <c r="BA94" s="83">
        <f si="160" t="shared"/>
        <v>-1.1891646983971684E-3</v>
      </c>
      <c r="BB94" s="83">
        <f si="161" t="shared"/>
        <v>-1.1727742072635777E-3</v>
      </c>
      <c r="BC94" s="83">
        <f si="162" t="shared"/>
        <v>-4.0899927880744379E-3</v>
      </c>
      <c r="BD94" s="83">
        <f si="163" t="shared"/>
        <v>1.0797295660768022E-2</v>
      </c>
      <c r="BE94" s="83">
        <f si="164" t="shared"/>
        <v>-5.504697210461922E-4</v>
      </c>
      <c r="BF94" s="83">
        <f si="165" t="shared"/>
        <v>3.3114902448143878E-4</v>
      </c>
      <c r="BG94" s="83">
        <f si="166" t="shared"/>
        <v>-6.7621310119198659E-4</v>
      </c>
      <c r="BH94" s="83">
        <f si="167" t="shared"/>
        <v>-3.0430632389056725E-3</v>
      </c>
      <c r="BI94" s="83">
        <f si="168" t="shared"/>
        <v>5.0650851395300442E-3</v>
      </c>
      <c r="BJ94" s="83">
        <f si="169" t="shared"/>
        <v>4.6950169405964633E-3</v>
      </c>
      <c r="BK94" s="83">
        <f si="170" t="shared"/>
        <v>-2.2442985333006948E-4</v>
      </c>
      <c r="BL94" s="83">
        <f si="171" t="shared"/>
        <v>-1.6042937958316633E-3</v>
      </c>
      <c r="BM94" s="83">
        <f si="172" t="shared"/>
        <v>-2.3054954416221928E-4</v>
      </c>
      <c r="BN94" s="83">
        <f si="173" t="shared"/>
        <v>-2.6492421565210521E-4</v>
      </c>
      <c r="BO94" s="83">
        <f si="174" t="shared"/>
        <v>-7.8486607303411603E-4</v>
      </c>
      <c r="BP94" s="83">
        <f si="175" t="shared"/>
        <v>-6.4441718147051211E-4</v>
      </c>
      <c r="BQ94" s="83">
        <f si="176" t="shared"/>
        <v>-5.223508925688799E-4</v>
      </c>
      <c r="BR94" s="83">
        <f si="177" t="shared"/>
        <v>0</v>
      </c>
      <c r="BS94" s="83">
        <f si="178" t="shared"/>
        <v>0</v>
      </c>
    </row>
    <row r="95" spans="1:71" x14ac:dyDescent="0.45">
      <c r="AW95">
        <v>8</v>
      </c>
      <c r="AX95" s="83">
        <f si="157" t="shared"/>
        <v>2.7513333641806116E-4</v>
      </c>
      <c r="AY95" s="83">
        <f si="158" t="shared"/>
        <v>-4.0217748224272951E-4</v>
      </c>
      <c r="AZ95" s="83">
        <f si="159" t="shared"/>
        <v>2.2180094964128051E-4</v>
      </c>
      <c r="BA95" s="83">
        <f si="160" t="shared"/>
        <v>-7.270957079605079E-5</v>
      </c>
      <c r="BB95" s="83">
        <f si="161" t="shared"/>
        <v>-3.6149096502897547E-6</v>
      </c>
      <c r="BC95" s="83">
        <f si="162" t="shared"/>
        <v>9.4892173274977983E-5</v>
      </c>
      <c r="BD95" s="83">
        <f si="163" t="shared"/>
        <v>-1.951750491084508E-4</v>
      </c>
      <c r="BE95" s="83">
        <f si="164" t="shared"/>
        <v>-9.912160575505899E-5</v>
      </c>
      <c r="BF95" s="83">
        <f si="165" t="shared"/>
        <v>4.8632341011910012E-5</v>
      </c>
      <c r="BG95" s="83">
        <f si="166" t="shared"/>
        <v>6.7354845623806593E-5</v>
      </c>
      <c r="BH95" s="83">
        <f si="167" t="shared"/>
        <v>2.5887837173181898E-4</v>
      </c>
      <c r="BI95" s="83">
        <f si="168" t="shared"/>
        <v>-6.8394283189690715E-6</v>
      </c>
      <c r="BJ95" s="83">
        <f si="169" t="shared"/>
        <v>-7.9729885418111871E-5</v>
      </c>
      <c r="BK95" s="83">
        <f si="170" t="shared"/>
        <v>-1.4881827777687496E-5</v>
      </c>
      <c r="BL95" s="83">
        <f si="171" t="shared"/>
        <v>-4.2672541616364565E-5</v>
      </c>
      <c r="BM95" s="83">
        <f si="172" t="shared"/>
        <v>-1.2482881101070824E-5</v>
      </c>
      <c r="BN95" s="83">
        <f si="173" t="shared"/>
        <v>1.267394282653665E-5</v>
      </c>
      <c r="BO95" s="83">
        <f si="174" t="shared"/>
        <v>-2.9011219411624188E-5</v>
      </c>
      <c r="BP95" s="83">
        <f si="175" t="shared"/>
        <v>-1.2643870819342479E-6</v>
      </c>
      <c r="BQ95" s="83">
        <f si="176" t="shared"/>
        <v>-1.9685172250049631E-5</v>
      </c>
      <c r="BR95" s="83">
        <f si="177" t="shared"/>
        <v>0</v>
      </c>
      <c r="BS95" s="83">
        <f si="178" t="shared"/>
        <v>0</v>
      </c>
    </row>
    <row r="96" spans="1:71" x14ac:dyDescent="0.45">
      <c r="AW96">
        <v>9</v>
      </c>
      <c r="AX96" s="83">
        <f si="157" t="shared"/>
        <v>-6.0709712405405698E-4</v>
      </c>
      <c r="AY96" s="83">
        <f si="158" t="shared"/>
        <v>-2.3610299862928423E-3</v>
      </c>
      <c r="AZ96" s="83">
        <f si="159" t="shared"/>
        <v>5.4309003643261081E-4</v>
      </c>
      <c r="BA96" s="83">
        <f si="160" t="shared"/>
        <v>-8.8763902303697897E-4</v>
      </c>
      <c r="BB96" s="83">
        <f si="161" t="shared"/>
        <v>-8.5360846344585944E-4</v>
      </c>
      <c r="BC96" s="83">
        <f si="162" t="shared"/>
        <v>-3.1703359002490036E-3</v>
      </c>
      <c r="BD96" s="83">
        <f si="163" t="shared"/>
        <v>1.6792555189673467E-3</v>
      </c>
      <c r="BE96" s="83">
        <f si="164" t="shared"/>
        <v>-4.5731456474781937E-4</v>
      </c>
      <c r="BF96" s="83">
        <f si="165" t="shared"/>
        <v>1.0220878293616871E-2</v>
      </c>
      <c r="BG96" s="83">
        <f si="166" t="shared"/>
        <v>-4.4523023133909265E-4</v>
      </c>
      <c r="BH96" s="83">
        <f si="167" t="shared"/>
        <v>-1.0814161874726715E-3</v>
      </c>
      <c r="BI96" s="83">
        <f si="168" t="shared"/>
        <v>-1.005777159298761E-3</v>
      </c>
      <c r="BJ96" s="83">
        <f si="169" t="shared"/>
        <v>-7.9462639449075397E-4</v>
      </c>
      <c r="BK96" s="83">
        <f si="170" t="shared"/>
        <v>-1.1747676534099442E-4</v>
      </c>
      <c r="BL96" s="83">
        <f si="171" t="shared"/>
        <v>8.9474286261007063E-4</v>
      </c>
      <c r="BM96" s="83">
        <f si="172" t="shared"/>
        <v>-1.5462250556972534E-4</v>
      </c>
      <c r="BN96" s="83">
        <f si="173" t="shared"/>
        <v>-1.400022858627984E-4</v>
      </c>
      <c r="BO96" s="83">
        <f si="174" t="shared"/>
        <v>-4.5901285267430656E-4</v>
      </c>
      <c r="BP96" s="83">
        <f si="175" t="shared"/>
        <v>-5.2307891140496946E-4</v>
      </c>
      <c r="BQ96" s="83">
        <f si="176" t="shared"/>
        <v>-2.7969835634626271E-4</v>
      </c>
      <c r="BR96" s="83">
        <f si="177" t="shared"/>
        <v>0</v>
      </c>
      <c r="BS96" s="83">
        <f si="178" t="shared"/>
        <v>0</v>
      </c>
    </row>
    <row r="97" spans="49:71" x14ac:dyDescent="0.45">
      <c r="AW97">
        <v>10</v>
      </c>
      <c r="AX97" s="83">
        <f si="157" t="shared"/>
        <v>3.2136405223224E-4</v>
      </c>
      <c r="AY97" s="83">
        <f si="158" t="shared"/>
        <v>-1.0671687420214407E-3</v>
      </c>
      <c r="AZ97" s="83">
        <f si="159" t="shared"/>
        <v>5.8209223101106855E-5</v>
      </c>
      <c r="BA97" s="83">
        <f si="160" t="shared"/>
        <v>1.7123675872532731E-4</v>
      </c>
      <c r="BB97" s="83">
        <f si="161" t="shared"/>
        <v>1.4032415529518409E-4</v>
      </c>
      <c r="BC97" s="83">
        <f si="162" t="shared"/>
        <v>-1.4275783226065566E-3</v>
      </c>
      <c r="BD97" s="83">
        <f si="163" t="shared"/>
        <v>-1.2413664269109799E-4</v>
      </c>
      <c r="BE97" s="83">
        <f si="164" t="shared"/>
        <v>-1.6607878154172468E-4</v>
      </c>
      <c r="BF97" s="83">
        <f si="165" t="shared"/>
        <v>-2.27450455338697E-4</v>
      </c>
      <c r="BG97" s="83">
        <f si="166" t="shared"/>
        <v>1.3388783777279634E-3</v>
      </c>
      <c r="BH97" s="83">
        <f si="167" t="shared"/>
        <v>-3.9100424559520251E-4</v>
      </c>
      <c r="BI97" s="83">
        <f si="168" t="shared"/>
        <v>2.5732632630817032E-3</v>
      </c>
      <c r="BJ97" s="83">
        <f si="169" t="shared"/>
        <v>-3.9147189518767036E-4</v>
      </c>
      <c r="BK97" s="83">
        <f si="170" t="shared"/>
        <v>-9.7714868010713538E-5</v>
      </c>
      <c r="BL97" s="83">
        <f si="171" t="shared"/>
        <v>-1.8851880876136814E-4</v>
      </c>
      <c r="BM97" s="83">
        <f si="172" t="shared"/>
        <v>1.1777841236394369E-4</v>
      </c>
      <c r="BN97" s="83">
        <f si="173" t="shared"/>
        <v>-6.3363370464019917E-5</v>
      </c>
      <c r="BO97" s="83">
        <f si="174" t="shared"/>
        <v>-2.6644056207151103E-4</v>
      </c>
      <c r="BP97" s="83">
        <f si="175" t="shared"/>
        <v>-1.8113212914771303E-4</v>
      </c>
      <c r="BQ97" s="83">
        <f si="176" t="shared"/>
        <v>-1.2899541908975294E-4</v>
      </c>
      <c r="BR97" s="83">
        <f si="177" t="shared"/>
        <v>0</v>
      </c>
      <c r="BS97" s="83">
        <f si="178" t="shared"/>
        <v>0</v>
      </c>
    </row>
    <row r="98" spans="49:71" x14ac:dyDescent="0.45">
      <c r="AW98">
        <v>11</v>
      </c>
      <c r="AX98" s="83">
        <f si="157" t="shared"/>
        <v>8.3355377235369219E-4</v>
      </c>
      <c r="AY98" s="83">
        <f si="158" t="shared"/>
        <v>-3.6847374066713828E-3</v>
      </c>
      <c r="AZ98" s="83">
        <f si="159" t="shared"/>
        <v>1.6229288409236623E-3</v>
      </c>
      <c r="BA98" s="83">
        <f si="160" t="shared"/>
        <v>-2.6922091171202546E-4</v>
      </c>
      <c r="BB98" s="83">
        <f si="161" t="shared"/>
        <v>-5.8992207650435612E-4</v>
      </c>
      <c r="BC98" s="83">
        <f si="162" t="shared"/>
        <v>-2.8664195742761894E-3</v>
      </c>
      <c r="BD98" s="83">
        <f si="163" t="shared"/>
        <v>-1.6082351908282655E-3</v>
      </c>
      <c r="BE98" s="83">
        <f si="164" t="shared"/>
        <v>-4.3536865020016801E-4</v>
      </c>
      <c r="BF98" s="83">
        <f si="165" t="shared"/>
        <v>1.9518407899333928E-3</v>
      </c>
      <c r="BG98" s="83">
        <f si="166" t="shared"/>
        <v>-3.0958955615187074E-4</v>
      </c>
      <c r="BH98" s="83">
        <f si="167" t="shared"/>
        <v>8.9894996195199889E-3</v>
      </c>
      <c r="BI98" s="83">
        <f si="168" t="shared"/>
        <v>-1.8778732577350498E-3</v>
      </c>
      <c r="BJ98" s="83">
        <f si="169" t="shared"/>
        <v>-9.7751365807557337E-4</v>
      </c>
      <c r="BK98" s="83">
        <f si="170" t="shared"/>
        <v>1.8742509938157942E-4</v>
      </c>
      <c r="BL98" s="83">
        <f si="171" t="shared"/>
        <v>-5.0452995461507664E-4</v>
      </c>
      <c r="BM98" s="83">
        <f si="172" t="shared"/>
        <v>-1.9127142348952672E-4</v>
      </c>
      <c r="BN98" s="83">
        <f si="173" t="shared"/>
        <v>3.7283058262825987E-4</v>
      </c>
      <c r="BO98" s="83">
        <f si="174" t="shared"/>
        <v>-3.3655924503823921E-4</v>
      </c>
      <c r="BP98" s="83">
        <f si="175" t="shared"/>
        <v>-8.0878560094106884E-5</v>
      </c>
      <c r="BQ98" s="83">
        <f si="176" t="shared"/>
        <v>-2.2595923934874779E-4</v>
      </c>
      <c r="BR98" s="83">
        <f si="177" t="shared"/>
        <v>0</v>
      </c>
      <c r="BS98" s="83">
        <f si="178" t="shared"/>
        <v>0</v>
      </c>
    </row>
    <row r="99" spans="49:71" x14ac:dyDescent="0.45">
      <c r="AW99">
        <v>12</v>
      </c>
      <c r="AX99" s="83">
        <f si="157" t="shared"/>
        <v>-1.9271791960808297E-3</v>
      </c>
      <c r="AY99" s="83">
        <f si="158" t="shared"/>
        <v>-3.6618703682150568E-3</v>
      </c>
      <c r="AZ99" s="83">
        <f si="159" t="shared"/>
        <v>-1.5643437206953664E-4</v>
      </c>
      <c r="BA99" s="83">
        <f si="160" t="shared"/>
        <v>-6.4009679785048462E-4</v>
      </c>
      <c r="BB99" s="83">
        <f si="161" t="shared"/>
        <v>-8.8044625761728558E-4</v>
      </c>
      <c r="BC99" s="83">
        <f si="162" t="shared"/>
        <v>-8.9119431395710824E-3</v>
      </c>
      <c r="BD99" s="83">
        <f si="163" t="shared"/>
        <v>3.2447439530031898E-3</v>
      </c>
      <c r="BE99" s="83">
        <f si="164" t="shared"/>
        <v>-3.6263152015697867E-4</v>
      </c>
      <c r="BF99" s="83">
        <f si="165" t="shared"/>
        <v>-1.2719792895196846E-3</v>
      </c>
      <c r="BG99" s="83">
        <f si="166" t="shared"/>
        <v>-2.4198711557720789E-4</v>
      </c>
      <c r="BH99" s="83">
        <f si="167" t="shared"/>
        <v>-2.2406541387078593E-3</v>
      </c>
      <c r="BI99" s="83">
        <f si="168" t="shared"/>
        <v>2.2329830940941653E-2</v>
      </c>
      <c r="BJ99" s="83">
        <f si="169" t="shared"/>
        <v>-8.0746473617498938E-4</v>
      </c>
      <c r="BK99" s="83">
        <f si="170" t="shared"/>
        <v>-2.582488057023509E-4</v>
      </c>
      <c r="BL99" s="83">
        <f si="171" t="shared"/>
        <v>-9.7511155354675604E-4</v>
      </c>
      <c r="BM99" s="83">
        <f si="172" t="shared"/>
        <v>-2.208210363874285E-4</v>
      </c>
      <c r="BN99" s="83">
        <f si="173" t="shared"/>
        <v>-2.5634783966743923E-4</v>
      </c>
      <c r="BO99" s="83">
        <f si="174" t="shared"/>
        <v>-1.0492333133005206E-3</v>
      </c>
      <c r="BP99" s="83">
        <f si="175" t="shared"/>
        <v>-5.6236819085929684E-4</v>
      </c>
      <c r="BQ99" s="83">
        <f si="176" t="shared"/>
        <v>-1.1497572229400602E-3</v>
      </c>
      <c r="BR99" s="83">
        <f si="177" t="shared"/>
        <v>0</v>
      </c>
      <c r="BS99" s="83">
        <f si="178" t="shared"/>
        <v>0</v>
      </c>
    </row>
    <row r="100" spans="49:71" x14ac:dyDescent="0.45">
      <c r="AW100">
        <v>13</v>
      </c>
      <c r="AX100" s="83">
        <f si="157" t="shared"/>
        <v>-3.0974030055195049E-3</v>
      </c>
      <c r="AY100" s="83">
        <f si="158" t="shared"/>
        <v>-3.4494072744069328E-3</v>
      </c>
      <c r="AZ100" s="83">
        <f si="159" t="shared"/>
        <v>-8.138113485693895E-4</v>
      </c>
      <c r="BA100" s="83">
        <f si="160" t="shared"/>
        <v>-1.2551548137678188E-3</v>
      </c>
      <c r="BB100" s="83">
        <f si="161" t="shared"/>
        <v>-1.3208942281659735E-3</v>
      </c>
      <c r="BC100" s="83">
        <f si="162" t="shared"/>
        <v>-6.4456748644963896E-3</v>
      </c>
      <c r="BD100" s="83">
        <f si="163" t="shared"/>
        <v>9.9593591859679677E-3</v>
      </c>
      <c r="BE100" s="83">
        <f si="164" t="shared"/>
        <v>-4.3888733134685919E-4</v>
      </c>
      <c r="BF100" s="83">
        <f si="165" t="shared"/>
        <v>-3.1007894156378064E-3</v>
      </c>
      <c r="BG100" s="83">
        <f si="166" t="shared"/>
        <v>-1.2034193688094585E-3</v>
      </c>
      <c r="BH100" s="83">
        <f si="167" t="shared"/>
        <v>-2.3478926871550875E-3</v>
      </c>
      <c r="BI100" s="83">
        <f si="168" t="shared"/>
        <v>-4.9335081668629259E-3</v>
      </c>
      <c r="BJ100" s="83">
        <f si="169" t="shared"/>
        <v>2.2032890290403909E-2</v>
      </c>
      <c r="BK100" s="83">
        <f si="170" t="shared"/>
        <v>-2.3840979797361357E-4</v>
      </c>
      <c r="BL100" s="83">
        <f si="171" t="shared"/>
        <v>-5.5803915136805977E-4</v>
      </c>
      <c r="BM100" s="83">
        <f si="172" t="shared"/>
        <v>-2.6076524532673206E-4</v>
      </c>
      <c r="BN100" s="83">
        <f si="173" t="shared"/>
        <v>-3.3946262030218869E-4</v>
      </c>
      <c r="BO100" s="83">
        <f si="174" t="shared"/>
        <v>-4.9886651600289074E-4</v>
      </c>
      <c r="BP100" s="83">
        <f si="175" t="shared"/>
        <v>-7.0239516031940898E-4</v>
      </c>
      <c r="BQ100" s="83">
        <f si="176" t="shared"/>
        <v>-9.8746848034083679E-4</v>
      </c>
      <c r="BR100" s="83">
        <f si="177" t="shared"/>
        <v>0</v>
      </c>
      <c r="BS100" s="83">
        <f si="178" t="shared"/>
        <v>0</v>
      </c>
    </row>
    <row r="101" spans="49:71" x14ac:dyDescent="0.45">
      <c r="AW101">
        <v>14</v>
      </c>
      <c r="AX101" s="83">
        <f si="157" t="shared"/>
        <v>-9.5846429695438428E-5</v>
      </c>
      <c r="AY101" s="83">
        <f si="158" t="shared"/>
        <v>-1.6715958628914854E-3</v>
      </c>
      <c r="AZ101" s="83">
        <f si="159" t="shared"/>
        <v>1.2258796829174362E-4</v>
      </c>
      <c r="BA101" s="83">
        <f si="160" t="shared"/>
        <v>-1.9240619684603155E-4</v>
      </c>
      <c r="BB101" s="83">
        <f si="161" t="shared"/>
        <v>-2.9904047374385565E-4</v>
      </c>
      <c r="BC101" s="83">
        <f si="162" t="shared"/>
        <v>-1.0554260073269168E-3</v>
      </c>
      <c r="BD101" s="83">
        <f si="163" t="shared"/>
        <v>-7.3850934247522639E-4</v>
      </c>
      <c r="BE101" s="83">
        <f si="164" t="shared"/>
        <v>-2.3856228396542458E-4</v>
      </c>
      <c r="BF101" s="83">
        <f si="165" t="shared"/>
        <v>-4.8254531484108953E-4</v>
      </c>
      <c r="BG101" s="83">
        <f si="166" t="shared"/>
        <v>-1.8009039642099357E-4</v>
      </c>
      <c r="BH101" s="83">
        <f si="167" t="shared"/>
        <v>4.9485030465975383E-4</v>
      </c>
      <c r="BI101" s="83">
        <f si="168" t="shared"/>
        <v>-1.1351747125871261E-3</v>
      </c>
      <c r="BJ101" s="83">
        <f si="169" t="shared"/>
        <v>-4.167449741338563E-4</v>
      </c>
      <c r="BK101" s="83">
        <f si="170" t="shared"/>
        <v>6.45105296992697E-3</v>
      </c>
      <c r="BL101" s="83">
        <f si="171" t="shared"/>
        <v>-2.4716557585277609E-4</v>
      </c>
      <c r="BM101" s="83">
        <f si="172" t="shared"/>
        <v>-9.5643791787997613E-5</v>
      </c>
      <c r="BN101" s="83">
        <f si="173" t="shared"/>
        <v>5.0443167193428388E-4</v>
      </c>
      <c r="BO101" s="83">
        <f si="174" t="shared"/>
        <v>-1.5307371570006442E-4</v>
      </c>
      <c r="BP101" s="83">
        <f si="175" t="shared"/>
        <v>-3.9093087176855795E-4</v>
      </c>
      <c r="BQ101" s="83">
        <f si="176" t="shared"/>
        <v>-1.8016696477591099E-4</v>
      </c>
      <c r="BR101" s="83">
        <f si="177" t="shared"/>
        <v>0</v>
      </c>
      <c r="BS101" s="83">
        <f si="178" t="shared"/>
        <v>0</v>
      </c>
    </row>
    <row r="102" spans="49:71" x14ac:dyDescent="0.45">
      <c r="AW102">
        <v>15</v>
      </c>
      <c r="AX102" s="83">
        <f si="157" t="shared"/>
        <v>-1.2942900874129562E-3</v>
      </c>
      <c r="AY102" s="83">
        <f si="158" t="shared"/>
        <v>-2.2281780070495414E-3</v>
      </c>
      <c r="AZ102" s="83">
        <f si="159" t="shared"/>
        <v>-1.7325897530288969E-4</v>
      </c>
      <c r="BA102" s="83">
        <f si="160" t="shared"/>
        <v>-5.8088687739535371E-4</v>
      </c>
      <c r="BB102" s="83">
        <f si="161" t="shared"/>
        <v>-7.8029751454238038E-4</v>
      </c>
      <c r="BC102" s="83">
        <f si="162" t="shared"/>
        <v>-3.1310859132484634E-3</v>
      </c>
      <c r="BD102" s="83">
        <f si="163" t="shared"/>
        <v>-1.6591476471769129E-3</v>
      </c>
      <c r="BE102" s="83">
        <f si="164" t="shared"/>
        <v>-2.3016485764377261E-4</v>
      </c>
      <c r="BF102" s="83">
        <f si="165" t="shared"/>
        <v>2.2387686972937075E-3</v>
      </c>
      <c r="BG102" s="83">
        <f si="166" t="shared"/>
        <v>-5.3918437832784828E-4</v>
      </c>
      <c r="BH102" s="83">
        <f si="167" t="shared"/>
        <v>-8.4045682271183969E-4</v>
      </c>
      <c r="BI102" s="83">
        <f si="168" t="shared"/>
        <v>-2.6837677919671751E-3</v>
      </c>
      <c r="BJ102" s="83">
        <f si="169" t="shared"/>
        <v>1.6943939907152006E-3</v>
      </c>
      <c r="BK102" s="83">
        <f si="170" t="shared"/>
        <v>-1.3912018820473203E-4</v>
      </c>
      <c r="BL102" s="83">
        <f si="171" t="shared"/>
        <v>1.0669690497950855E-2</v>
      </c>
      <c r="BM102" s="83">
        <f si="172" t="shared"/>
        <v>-1.1388624507632118E-4</v>
      </c>
      <c r="BN102" s="83">
        <f si="173" t="shared"/>
        <v>-1.4052392058883607E-4</v>
      </c>
      <c r="BO102" s="83">
        <f si="174" t="shared"/>
        <v>-4.1464656401298401E-4</v>
      </c>
      <c r="BP102" s="83">
        <f si="175" t="shared"/>
        <v>5.6841824837479643E-4</v>
      </c>
      <c r="BQ102" s="83">
        <f si="176" t="shared"/>
        <v>-2.2237564367254988E-4</v>
      </c>
      <c r="BR102" s="83">
        <f si="177" t="shared"/>
        <v>0</v>
      </c>
      <c r="BS102" s="83">
        <f si="178" t="shared"/>
        <v>0</v>
      </c>
    </row>
    <row r="103" spans="49:71" x14ac:dyDescent="0.45">
      <c r="AW103">
        <v>16</v>
      </c>
      <c r="AX103" s="83">
        <f si="157" t="shared"/>
        <v>-2.4632254128048548E-4</v>
      </c>
      <c r="AY103" s="83">
        <f si="158" t="shared"/>
        <v>-1.0110854896208002E-3</v>
      </c>
      <c r="AZ103" s="83">
        <f si="159" t="shared"/>
        <v>-2.6717130443057121E-5</v>
      </c>
      <c r="BA103" s="83">
        <f si="160" t="shared"/>
        <v>-1.9018736467912764E-4</v>
      </c>
      <c r="BB103" s="83">
        <f si="161" t="shared"/>
        <v>-1.7554295416616003E-5</v>
      </c>
      <c r="BC103" s="83">
        <f si="162" t="shared"/>
        <v>-1.0469848940845689E-3</v>
      </c>
      <c r="BD103" s="83">
        <f si="163" t="shared"/>
        <v>-1.8941554824753674E-4</v>
      </c>
      <c r="BE103" s="83">
        <f si="164" t="shared"/>
        <v>-7.3021256589936382E-5</v>
      </c>
      <c r="BF103" s="83">
        <f si="165" t="shared"/>
        <v>-2.9188931103107089E-4</v>
      </c>
      <c r="BG103" s="83">
        <f si="166" t="shared"/>
        <v>4.7678220054352192E-4</v>
      </c>
      <c r="BH103" s="83">
        <f si="167" t="shared"/>
        <v>-2.2530788398611619E-4</v>
      </c>
      <c r="BI103" s="83">
        <f si="168" t="shared"/>
        <v>2.4292716749493995E-3</v>
      </c>
      <c r="BJ103" s="83">
        <f si="169" t="shared"/>
        <v>-2.8019520969392602E-4</v>
      </c>
      <c r="BK103" s="83">
        <f si="170" t="shared"/>
        <v>-4.9954018218766627E-5</v>
      </c>
      <c r="BL103" s="83">
        <f si="171" t="shared"/>
        <v>-1.020600214623064E-4</v>
      </c>
      <c r="BM103" s="83">
        <f si="172" t="shared"/>
        <v>1.077245002131027E-3</v>
      </c>
      <c r="BN103" s="83">
        <f si="173" t="shared"/>
        <v>-2.2896263580657113E-5</v>
      </c>
      <c r="BO103" s="83">
        <f si="174" t="shared"/>
        <v>-6.0474932072174085E-5</v>
      </c>
      <c r="BP103" s="83">
        <f si="175" t="shared"/>
        <v>-8.4518317212433641E-5</v>
      </c>
      <c r="BQ103" s="83">
        <f si="176" t="shared"/>
        <v>-6.4714400004369367E-5</v>
      </c>
      <c r="BR103" s="83">
        <f si="177" t="shared"/>
        <v>0</v>
      </c>
      <c r="BS103" s="83">
        <f si="178" t="shared"/>
        <v>0</v>
      </c>
    </row>
    <row r="104" spans="49:71" x14ac:dyDescent="0.45">
      <c r="AW104">
        <v>17</v>
      </c>
      <c r="AX104" s="83">
        <f si="157" t="shared"/>
        <v>-3.0960986235190925E-4</v>
      </c>
      <c r="AY104" s="83">
        <f si="158" t="shared"/>
        <v>-1.6049822992183528E-3</v>
      </c>
      <c r="AZ104" s="83">
        <f si="159" t="shared"/>
        <v>2.2319022133577833E-4</v>
      </c>
      <c r="BA104" s="83">
        <f si="160" t="shared"/>
        <v>-2.6037130071386691E-4</v>
      </c>
      <c r="BB104" s="83">
        <f si="161" t="shared"/>
        <v>-3.8578755978489613E-4</v>
      </c>
      <c r="BC104" s="83">
        <f si="162" t="shared"/>
        <v>-1.6748257839344712E-3</v>
      </c>
      <c r="BD104" s="83">
        <f si="163" t="shared"/>
        <v>-7.931022210233903E-4</v>
      </c>
      <c r="BE104" s="83">
        <f si="164" t="shared"/>
        <v>-2.3766265821663091E-4</v>
      </c>
      <c r="BF104" s="83">
        <f si="165" t="shared"/>
        <v>-3.2613990973314594E-4</v>
      </c>
      <c r="BG104" s="83">
        <f si="166" t="shared"/>
        <v>-2.2817574817844566E-4</v>
      </c>
      <c r="BH104" s="83">
        <f si="167" t="shared"/>
        <v>1.4954909079696235E-3</v>
      </c>
      <c r="BI104" s="83">
        <f si="168" t="shared"/>
        <v>-1.1787053451331817E-3</v>
      </c>
      <c r="BJ104" s="83">
        <f si="169" t="shared"/>
        <v>-4.0893423701050525E-4</v>
      </c>
      <c r="BK104" s="83">
        <f si="170" t="shared"/>
        <v>1.5743141046173903E-3</v>
      </c>
      <c r="BL104" s="83">
        <f si="171" t="shared"/>
        <v>-2.257838480169346E-4</v>
      </c>
      <c r="BM104" s="83">
        <f si="172" t="shared"/>
        <v>-9.0004609450973914E-5</v>
      </c>
      <c r="BN104" s="83">
        <f si="173" t="shared"/>
        <v>4.224666283098099E-3</v>
      </c>
      <c r="BO104" s="83">
        <f si="174" t="shared"/>
        <v>-1.6493160246215864E-4</v>
      </c>
      <c r="BP104" s="83">
        <f si="175" t="shared"/>
        <v>4.7363081366824005E-4</v>
      </c>
      <c r="BQ104" s="83">
        <f si="176" t="shared"/>
        <v>-1.0227534546026716E-4</v>
      </c>
      <c r="BR104" s="83">
        <f si="177" t="shared"/>
        <v>0</v>
      </c>
      <c r="BS104" s="83">
        <f si="178" t="shared"/>
        <v>0</v>
      </c>
    </row>
    <row r="105" spans="49:71" x14ac:dyDescent="0.45">
      <c r="AW105">
        <v>18</v>
      </c>
      <c r="AX105" s="83">
        <f si="157" t="shared"/>
        <v>-1.6896943837753E-3</v>
      </c>
      <c r="AY105" s="83">
        <f si="158" t="shared"/>
        <v>-1.8710451499071011E-3</v>
      </c>
      <c r="AZ105" s="83">
        <f si="159" t="shared"/>
        <v>-3.2089649519894249E-4</v>
      </c>
      <c r="BA105" s="83">
        <f si="160" t="shared"/>
        <v>-5.6272008657550399E-4</v>
      </c>
      <c r="BB105" s="83">
        <f si="161" t="shared"/>
        <v>-6.4608063828086831E-4</v>
      </c>
      <c r="BC105" s="83">
        <f si="162" t="shared"/>
        <v>-4.0704122814184743E-3</v>
      </c>
      <c r="BD105" s="83">
        <f si="163" t="shared"/>
        <v>-1.6312008105215585E-3</v>
      </c>
      <c r="BE105" s="83">
        <f si="164" t="shared"/>
        <v>-1.544086137523124E-4</v>
      </c>
      <c r="BF105" s="83">
        <f si="165" t="shared"/>
        <v>-1.5326356914148033E-3</v>
      </c>
      <c r="BG105" s="83">
        <f si="166" t="shared"/>
        <v>-5.2762770426784122E-4</v>
      </c>
      <c r="BH105" s="83">
        <f si="167" t="shared"/>
        <v>-8.0655427698126953E-4</v>
      </c>
      <c r="BI105" s="83">
        <f si="168" t="shared"/>
        <v>5.5844209358028168E-3</v>
      </c>
      <c r="BJ105" s="83">
        <f si="169" t="shared"/>
        <v>2.8674421056645652E-3</v>
      </c>
      <c r="BK105" s="83">
        <f si="170" t="shared"/>
        <v>-1.2028046633922909E-4</v>
      </c>
      <c r="BL105" s="83">
        <f si="171" t="shared"/>
        <v>-6.0941776936012271E-4</v>
      </c>
      <c r="BM105" s="83">
        <f si="172" t="shared"/>
        <v>-1.1620033584903235E-4</v>
      </c>
      <c r="BN105" s="83">
        <f si="173" t="shared"/>
        <v>-8.8334072783841588E-5</v>
      </c>
      <c r="BO105" s="83">
        <f si="174" t="shared"/>
        <v>7.0034944581022609E-3</v>
      </c>
      <c r="BP105" s="83">
        <f si="175" t="shared"/>
        <v>-2.7675422296718805E-4</v>
      </c>
      <c r="BQ105" s="83">
        <f si="176" t="shared"/>
        <v>-4.3109450017625624E-4</v>
      </c>
      <c r="BR105" s="83">
        <f si="177" t="shared"/>
        <v>0</v>
      </c>
      <c r="BS105" s="83">
        <f si="178" t="shared"/>
        <v>0</v>
      </c>
    </row>
    <row r="106" spans="49:71" x14ac:dyDescent="0.45">
      <c r="AW106">
        <v>19</v>
      </c>
      <c r="AX106" s="83">
        <f si="157" t="shared"/>
        <v>-1.4706102627558082E-3</v>
      </c>
      <c r="AY106" s="83">
        <f si="158" t="shared"/>
        <v>-2.5334070491315418E-3</v>
      </c>
      <c r="AZ106" s="83">
        <f si="159" t="shared"/>
        <v>-5.8768568211802321E-5</v>
      </c>
      <c r="BA106" s="83">
        <f si="160" t="shared"/>
        <v>-7.5110315005477441E-4</v>
      </c>
      <c r="BB106" s="83">
        <f si="161" t="shared"/>
        <v>-8.2365917093728952E-4</v>
      </c>
      <c r="BC106" s="83">
        <f si="162" t="shared"/>
        <v>-3.6091293274340694E-3</v>
      </c>
      <c r="BD106" s="83">
        <f si="163" t="shared"/>
        <v>-1.6290499006391349E-3</v>
      </c>
      <c r="BE106" s="83">
        <f si="164" t="shared"/>
        <v>-2.8477657631994537E-4</v>
      </c>
      <c r="BF106" s="83">
        <f si="165" t="shared"/>
        <v>-1.5432426410889833E-4</v>
      </c>
      <c r="BG106" s="83">
        <f si="166" t="shared"/>
        <v>-5.2151035109484676E-4</v>
      </c>
      <c r="BH106" s="83">
        <f si="167" t="shared"/>
        <v>5.5113659146475867E-3</v>
      </c>
      <c r="BI106" s="83">
        <f si="168" t="shared"/>
        <v>-2.917679681143179E-3</v>
      </c>
      <c r="BJ106" s="83">
        <f si="169" t="shared"/>
        <v>-7.9955341657989281E-4</v>
      </c>
      <c r="BK106" s="83">
        <f si="170" t="shared"/>
        <v>1.2239716427431095E-7</v>
      </c>
      <c r="BL106" s="83">
        <f si="171" t="shared"/>
        <v>1.3640382814902956E-3</v>
      </c>
      <c r="BM106" s="83">
        <f si="172" t="shared"/>
        <v>-1.4438450617318909E-4</v>
      </c>
      <c r="BN106" s="83">
        <f si="173" t="shared"/>
        <v>2.4372937411257269E-3</v>
      </c>
      <c r="BO106" s="83">
        <f si="174" t="shared"/>
        <v>-2.9803421189495289E-4</v>
      </c>
      <c r="BP106" s="83">
        <f si="175" t="shared"/>
        <v>6.8907930379862262E-3</v>
      </c>
      <c r="BQ106" s="83">
        <f si="176" t="shared"/>
        <v>-2.0762293593478798E-4</v>
      </c>
      <c r="BR106" s="83">
        <f si="177" t="shared"/>
        <v>0</v>
      </c>
      <c r="BS106" s="83">
        <f si="178" t="shared"/>
        <v>0</v>
      </c>
    </row>
    <row r="107" spans="49:71" x14ac:dyDescent="0.45">
      <c r="AW107">
        <v>20</v>
      </c>
      <c r="AX107" s="83">
        <f si="157" t="shared"/>
        <v>-8.4100648506740458E-4</v>
      </c>
      <c r="AY107" s="83">
        <f si="158" t="shared"/>
        <v>-9.7639036270436258E-4</v>
      </c>
      <c r="AZ107" s="83">
        <f si="159" t="shared"/>
        <v>-2.4951736495673106E-4</v>
      </c>
      <c r="BA107" s="83">
        <f si="160" t="shared"/>
        <v>-3.5776439039684701E-4</v>
      </c>
      <c r="BB107" s="83">
        <f si="161" t="shared"/>
        <v>-4.0702501480802041E-4</v>
      </c>
      <c r="BC107" s="83">
        <f si="162" t="shared"/>
        <v>-1.7781682191250602E-3</v>
      </c>
      <c r="BD107" s="83">
        <f si="163" t="shared"/>
        <v>-1.3688359472573785E-3</v>
      </c>
      <c r="BE107" s="83">
        <f si="164" t="shared"/>
        <v>-1.3831704021950248E-4</v>
      </c>
      <c r="BF107" s="83">
        <f si="165" t="shared"/>
        <v>-9.2759455009952703E-4</v>
      </c>
      <c r="BG107" s="83">
        <f si="166" t="shared"/>
        <v>-3.7501437225937476E-4</v>
      </c>
      <c r="BH107" s="83">
        <f si="167" t="shared"/>
        <v>-3.7230354722271521E-4</v>
      </c>
      <c r="BI107" s="83">
        <f si="168" t="shared"/>
        <v>-2.3132177836920143E-3</v>
      </c>
      <c r="BJ107" s="83">
        <f si="169" t="shared"/>
        <v>-9.9275099438335076E-4</v>
      </c>
      <c r="BK107" s="83">
        <f si="170" t="shared"/>
        <v>-1.2523356264198751E-4</v>
      </c>
      <c r="BL107" s="83">
        <f si="171" t="shared"/>
        <v>-2.8931315635388662E-4</v>
      </c>
      <c r="BM107" s="83">
        <f si="172" t="shared"/>
        <v>-6.8311110726618159E-5</v>
      </c>
      <c r="BN107" s="83">
        <f si="173" t="shared"/>
        <v>-5.4295508479522405E-5</v>
      </c>
      <c r="BO107" s="83">
        <f si="174" t="shared"/>
        <v>2.2383433866094574E-3</v>
      </c>
      <c r="BP107" s="83">
        <f si="175" t="shared"/>
        <v>-1.8608087826755147E-4</v>
      </c>
      <c r="BQ107" s="83">
        <f si="176" t="shared"/>
        <v>9.5827969020523974E-3</v>
      </c>
      <c r="BR107" s="83">
        <f si="177" t="shared"/>
        <v>0</v>
      </c>
      <c r="BS107" s="83">
        <f si="178" t="shared"/>
        <v>0</v>
      </c>
    </row>
    <row r="108" spans="49:71" x14ac:dyDescent="0.45">
      <c r="AW108" s="80" t="s">
        <v>15</v>
      </c>
      <c r="AX108" s="84">
        <f si="157" t="shared"/>
        <v>0</v>
      </c>
      <c r="AY108" s="84">
        <f si="158" t="shared"/>
        <v>0</v>
      </c>
      <c r="AZ108" s="84">
        <f si="159" t="shared"/>
        <v>0</v>
      </c>
      <c r="BA108" s="84">
        <f si="160" t="shared"/>
        <v>0</v>
      </c>
      <c r="BB108" s="84">
        <f si="161" t="shared"/>
        <v>0</v>
      </c>
      <c r="BC108" s="84">
        <f si="162" t="shared"/>
        <v>0</v>
      </c>
      <c r="BD108" s="84">
        <f si="163" t="shared"/>
        <v>0</v>
      </c>
      <c r="BE108" s="84">
        <f si="164" t="shared"/>
        <v>0</v>
      </c>
      <c r="BF108" s="84">
        <f si="165" t="shared"/>
        <v>0</v>
      </c>
      <c r="BG108" s="84">
        <f si="166" t="shared"/>
        <v>0</v>
      </c>
      <c r="BH108" s="84">
        <f si="167" t="shared"/>
        <v>0</v>
      </c>
      <c r="BI108" s="84">
        <f si="168" t="shared"/>
        <v>0</v>
      </c>
      <c r="BJ108" s="84">
        <f si="169" t="shared"/>
        <v>0</v>
      </c>
      <c r="BK108" s="84">
        <f si="170" t="shared"/>
        <v>0</v>
      </c>
      <c r="BL108" s="84">
        <f si="171" t="shared"/>
        <v>0</v>
      </c>
      <c r="BM108" s="84">
        <f si="172" t="shared"/>
        <v>0</v>
      </c>
      <c r="BN108" s="84">
        <f si="173" t="shared"/>
        <v>0</v>
      </c>
      <c r="BO108" s="84">
        <f si="174" t="shared"/>
        <v>0</v>
      </c>
      <c r="BP108" s="84">
        <f si="175" t="shared"/>
        <v>0</v>
      </c>
      <c r="BQ108" s="84">
        <f si="176" t="shared"/>
        <v>0</v>
      </c>
      <c r="BR108" s="84">
        <f si="177" t="shared"/>
        <v>0</v>
      </c>
      <c r="BS108" s="84">
        <f si="178" t="shared"/>
        <v>0</v>
      </c>
    </row>
    <row ht="14.65" r="109" spans="49:71" thickBot="1" x14ac:dyDescent="0.5">
      <c r="AW109" s="1" t="s">
        <v>3</v>
      </c>
      <c r="AX109" s="85">
        <f si="157" t="shared"/>
        <v>-8.8685464879482978E-3</v>
      </c>
      <c r="AY109" s="85">
        <f si="158" t="shared"/>
        <v>-3.4625963024353203E-2</v>
      </c>
      <c r="AZ109" s="85">
        <f si="159" t="shared"/>
        <v>1.590081532697539E-3</v>
      </c>
      <c r="BA109" s="85">
        <f si="160" t="shared"/>
        <v>-6.5542850555034872E-3</v>
      </c>
      <c r="BB109" s="85">
        <f si="161" t="shared"/>
        <v>-7.3213493992323291E-3</v>
      </c>
      <c r="BC109" s="85">
        <f si="162" t="shared"/>
        <v>-4.367319751421482E-2</v>
      </c>
      <c r="BD109" s="85">
        <f si="163" t="shared"/>
        <v>1.5274030653025072E-2</v>
      </c>
      <c r="BE109" s="85">
        <f si="164" t="shared"/>
        <v>-4.3667232525850339E-3</v>
      </c>
      <c r="BF109" s="85">
        <f si="165" t="shared"/>
        <v>7.4632029780329553E-3</v>
      </c>
      <c r="BG109" s="85">
        <f si="166" t="shared"/>
        <v>-1.4910745258873669E-3</v>
      </c>
      <c r="BH109" s="85">
        <f si="167" t="shared"/>
        <v>5.4341847317090283E-3</v>
      </c>
      <c r="BI109" s="85">
        <f si="168" t="shared"/>
        <v>2.239605075829898E-2</v>
      </c>
      <c r="BJ109" s="85">
        <f si="169" t="shared"/>
        <v>2.3972100117068046E-2</v>
      </c>
      <c r="BK109" s="85">
        <f si="170" t="shared"/>
        <v>6.6165435605505338E-3</v>
      </c>
      <c r="BL109" s="85">
        <f si="171" t="shared"/>
        <v>6.6438967522886028E-3</v>
      </c>
      <c r="BM109" s="85">
        <f si="172" t="shared"/>
        <v>-6.5324689984928939E-4</v>
      </c>
      <c r="BN109" s="85">
        <f si="173" t="shared"/>
        <v>6.0599713380848873E-3</v>
      </c>
      <c r="BO109" s="85">
        <f si="174" t="shared"/>
        <v>3.8892639020627097E-3</v>
      </c>
      <c r="BP109" s="85">
        <f si="175" t="shared"/>
        <v>3.5654490053137963E-3</v>
      </c>
      <c r="BQ109" s="85">
        <f si="176" t="shared"/>
        <v>4.6496108304416237E-3</v>
      </c>
      <c r="BR109" s="85">
        <f si="177" t="shared"/>
        <v>0</v>
      </c>
      <c r="BS109" s="85">
        <f si="178" t="shared"/>
        <v>0</v>
      </c>
    </row>
  </sheetData>
  <mergeCells count="5">
    <mergeCell ref="BV20:BW20"/>
    <mergeCell ref="CB20:CE20"/>
    <mergeCell ref="CF20:CI20"/>
    <mergeCell ref="CJ20:CK20"/>
    <mergeCell ref="BX20:CA20"/>
  </mergeCells>
  <conditionalFormatting sqref="AX88:BS109">
    <cfRule priority="4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J22:CJ41">
    <cfRule priority="3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K22:CK41">
    <cfRule priority="2" type="colorScale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L22:CL41">
    <cfRule priority="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FF00"/>
  </sheetPr>
  <dimension ref="B2:Y79"/>
  <sheetViews>
    <sheetView workbookViewId="0">
      <selection activeCell="AB28" sqref="AB28"/>
    </sheetView>
  </sheetViews>
  <sheetFormatPr defaultRowHeight="14.25" x14ac:dyDescent="0.45"/>
  <cols>
    <col min="24" max="24" bestFit="true" customWidth="true" width="10.59765625" collapsed="true"/>
  </cols>
  <sheetData>
    <row ht="14.65" r="2" spans="2:24" thickBot="1" x14ac:dyDescent="0.5">
      <c r="B2" s="4" t="s">
        <v>354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24" x14ac:dyDescent="0.45">
      <c r="B3" s="2" t="s">
        <v>14</v>
      </c>
      <c r="C3" s="2">
        <v>1</v>
      </c>
      <c r="D3" s="2">
        <v>2</v>
      </c>
      <c r="E3" s="2">
        <v>3</v>
      </c>
      <c r="F3" s="2">
        <v>4</v>
      </c>
      <c r="G3" s="2">
        <v>5</v>
      </c>
      <c r="H3" s="2">
        <v>6</v>
      </c>
      <c r="I3" s="2">
        <v>7</v>
      </c>
      <c r="J3" s="2">
        <v>8</v>
      </c>
      <c r="K3" s="2">
        <v>9</v>
      </c>
      <c r="L3" s="2">
        <v>10</v>
      </c>
      <c r="M3" s="2">
        <v>11</v>
      </c>
      <c r="N3" s="2">
        <v>12</v>
      </c>
      <c r="O3" s="2">
        <v>13</v>
      </c>
      <c r="P3" s="2">
        <v>14</v>
      </c>
      <c r="Q3" s="2">
        <v>15</v>
      </c>
      <c r="R3" s="2">
        <v>16</v>
      </c>
      <c r="S3" s="2">
        <v>17</v>
      </c>
      <c r="T3" s="2">
        <v>18</v>
      </c>
      <c r="U3" s="2">
        <v>19</v>
      </c>
      <c r="V3" s="2">
        <v>20</v>
      </c>
      <c r="W3" s="3" t="s">
        <v>15</v>
      </c>
      <c r="X3" s="3" t="s">
        <v>3</v>
      </c>
    </row>
    <row r="4" spans="2:24" x14ac:dyDescent="0.45">
      <c r="B4" s="28">
        <v>1</v>
      </c>
      <c r="C4">
        <v>5694</v>
      </c>
      <c r="D4">
        <v>720</v>
      </c>
      <c r="E4">
        <v>398</v>
      </c>
      <c r="F4">
        <v>532</v>
      </c>
      <c r="G4">
        <v>676</v>
      </c>
      <c r="H4">
        <v>3717</v>
      </c>
      <c r="I4">
        <v>603</v>
      </c>
      <c r="J4">
        <v>59</v>
      </c>
      <c r="K4">
        <v>477</v>
      </c>
      <c r="L4">
        <v>209</v>
      </c>
      <c r="M4">
        <v>469</v>
      </c>
      <c r="N4">
        <v>1645</v>
      </c>
      <c r="O4">
        <v>208</v>
      </c>
      <c r="P4">
        <v>46</v>
      </c>
      <c r="Q4">
        <v>47</v>
      </c>
      <c r="R4">
        <v>13</v>
      </c>
      <c r="S4">
        <v>21</v>
      </c>
      <c r="T4">
        <v>40</v>
      </c>
      <c r="U4">
        <v>150</v>
      </c>
      <c r="V4">
        <v>15</v>
      </c>
      <c r="W4" s="62"/>
      <c r="X4" s="62">
        <f>SUM(C4:W4)</f>
        <v>15739</v>
      </c>
    </row>
    <row r="5" spans="2:24" x14ac:dyDescent="0.45">
      <c r="B5">
        <v>2</v>
      </c>
      <c r="C5">
        <v>1730</v>
      </c>
      <c r="D5">
        <v>6278</v>
      </c>
      <c r="E5">
        <v>569</v>
      </c>
      <c r="F5">
        <v>441</v>
      </c>
      <c r="G5">
        <v>521</v>
      </c>
      <c r="H5">
        <v>3149</v>
      </c>
      <c r="I5">
        <v>1797</v>
      </c>
      <c r="J5">
        <v>108</v>
      </c>
      <c r="K5">
        <v>1376</v>
      </c>
      <c r="L5">
        <v>359</v>
      </c>
      <c r="M5">
        <v>689</v>
      </c>
      <c r="N5">
        <v>2004</v>
      </c>
      <c r="O5">
        <v>275</v>
      </c>
      <c r="P5">
        <v>41</v>
      </c>
      <c r="Q5">
        <v>171</v>
      </c>
      <c r="R5">
        <v>22</v>
      </c>
      <c r="S5">
        <v>24</v>
      </c>
      <c r="T5">
        <v>42</v>
      </c>
      <c r="U5">
        <v>78</v>
      </c>
      <c r="V5">
        <v>11</v>
      </c>
      <c r="W5" s="62"/>
      <c r="X5" s="62">
        <f ref="X5:X24" si="0" t="shared">SUM(C5:W5)</f>
        <v>19685</v>
      </c>
    </row>
    <row r="6" spans="2:24" x14ac:dyDescent="0.45">
      <c r="B6">
        <v>3</v>
      </c>
      <c r="C6">
        <v>4390</v>
      </c>
      <c r="D6">
        <v>2656</v>
      </c>
      <c r="E6">
        <v>8027</v>
      </c>
      <c r="F6">
        <v>1731</v>
      </c>
      <c r="G6">
        <v>1793</v>
      </c>
      <c r="H6">
        <v>6419</v>
      </c>
      <c r="I6">
        <v>1427</v>
      </c>
      <c r="J6">
        <v>648</v>
      </c>
      <c r="K6">
        <v>2412</v>
      </c>
      <c r="L6">
        <v>1344</v>
      </c>
      <c r="M6">
        <v>2767</v>
      </c>
      <c r="N6">
        <v>3170</v>
      </c>
      <c r="O6">
        <v>342</v>
      </c>
      <c r="P6">
        <v>105</v>
      </c>
      <c r="Q6">
        <v>191</v>
      </c>
      <c r="R6">
        <v>118</v>
      </c>
      <c r="S6">
        <v>144</v>
      </c>
      <c r="T6">
        <v>37</v>
      </c>
      <c r="U6">
        <v>201</v>
      </c>
      <c r="V6">
        <v>25</v>
      </c>
      <c r="W6" s="62"/>
      <c r="X6" s="62">
        <f si="0" t="shared"/>
        <v>37947</v>
      </c>
    </row>
    <row r="7" spans="2:24" x14ac:dyDescent="0.45">
      <c r="B7">
        <v>4</v>
      </c>
      <c r="C7">
        <v>1464</v>
      </c>
      <c r="D7">
        <v>874</v>
      </c>
      <c r="E7">
        <v>1121</v>
      </c>
      <c r="F7">
        <v>3256</v>
      </c>
      <c r="G7">
        <v>1337</v>
      </c>
      <c r="H7">
        <v>2467</v>
      </c>
      <c r="I7">
        <v>602</v>
      </c>
      <c r="J7">
        <v>516</v>
      </c>
      <c r="K7">
        <v>363</v>
      </c>
      <c r="L7">
        <v>714</v>
      </c>
      <c r="M7">
        <v>626</v>
      </c>
      <c r="N7">
        <v>1206</v>
      </c>
      <c r="O7">
        <v>118</v>
      </c>
      <c r="P7">
        <v>28</v>
      </c>
      <c r="Q7">
        <v>62</v>
      </c>
      <c r="R7">
        <v>24</v>
      </c>
      <c r="S7">
        <v>23</v>
      </c>
      <c r="T7">
        <v>29</v>
      </c>
      <c r="U7">
        <v>35</v>
      </c>
      <c r="V7">
        <v>4</v>
      </c>
      <c r="W7" s="62"/>
      <c r="X7" s="62">
        <f si="0" t="shared"/>
        <v>14869</v>
      </c>
    </row>
    <row r="8" spans="2:24" x14ac:dyDescent="0.45">
      <c r="B8">
        <v>5</v>
      </c>
      <c r="C8">
        <v>1706</v>
      </c>
      <c r="D8">
        <v>554</v>
      </c>
      <c r="E8">
        <v>597</v>
      </c>
      <c r="F8">
        <v>782</v>
      </c>
      <c r="G8">
        <v>3381</v>
      </c>
      <c r="H8">
        <v>4027</v>
      </c>
      <c r="I8">
        <v>474</v>
      </c>
      <c r="J8">
        <v>137</v>
      </c>
      <c r="K8">
        <v>360</v>
      </c>
      <c r="L8">
        <v>966</v>
      </c>
      <c r="M8">
        <v>400</v>
      </c>
      <c r="N8">
        <v>1664</v>
      </c>
      <c r="O8">
        <v>86</v>
      </c>
      <c r="P8">
        <v>13</v>
      </c>
      <c r="Q8">
        <v>22</v>
      </c>
      <c r="R8">
        <v>122</v>
      </c>
      <c r="S8">
        <v>18</v>
      </c>
      <c r="T8">
        <v>16</v>
      </c>
      <c r="U8">
        <v>50</v>
      </c>
      <c r="V8">
        <v>8</v>
      </c>
      <c r="W8" s="62"/>
      <c r="X8" s="62">
        <f si="0" t="shared"/>
        <v>15383</v>
      </c>
    </row>
    <row r="9" spans="2:24" x14ac:dyDescent="0.45">
      <c r="B9">
        <v>6</v>
      </c>
      <c r="C9">
        <v>4170</v>
      </c>
      <c r="D9">
        <v>2019</v>
      </c>
      <c r="E9">
        <v>1051</v>
      </c>
      <c r="F9">
        <v>1088</v>
      </c>
      <c r="G9">
        <v>1772</v>
      </c>
      <c r="H9">
        <v>19915</v>
      </c>
      <c r="I9">
        <v>1162</v>
      </c>
      <c r="J9">
        <v>97</v>
      </c>
      <c r="K9">
        <v>980</v>
      </c>
      <c r="L9">
        <v>1030</v>
      </c>
      <c r="M9">
        <v>635</v>
      </c>
      <c r="N9">
        <v>5655</v>
      </c>
      <c r="O9">
        <v>294</v>
      </c>
      <c r="P9">
        <v>55</v>
      </c>
      <c r="Q9">
        <v>150</v>
      </c>
      <c r="R9">
        <v>109</v>
      </c>
      <c r="S9">
        <v>78</v>
      </c>
      <c r="T9">
        <v>96</v>
      </c>
      <c r="U9">
        <v>144</v>
      </c>
      <c r="V9">
        <v>33</v>
      </c>
      <c r="W9" s="62"/>
      <c r="X9" s="62">
        <f si="0" t="shared"/>
        <v>40533</v>
      </c>
    </row>
    <row r="10" spans="2:24" x14ac:dyDescent="0.45">
      <c r="B10">
        <v>7</v>
      </c>
      <c r="C10">
        <v>4540</v>
      </c>
      <c r="D10">
        <v>6207</v>
      </c>
      <c r="E10">
        <v>2406</v>
      </c>
      <c r="F10">
        <v>1466</v>
      </c>
      <c r="G10">
        <v>2456</v>
      </c>
      <c r="H10">
        <v>8504</v>
      </c>
      <c r="I10">
        <v>38714</v>
      </c>
      <c r="J10">
        <v>274</v>
      </c>
      <c r="K10">
        <v>4970</v>
      </c>
      <c r="L10">
        <v>1563</v>
      </c>
      <c r="M10">
        <v>2073</v>
      </c>
      <c r="N10">
        <v>12520</v>
      </c>
      <c r="O10">
        <v>10829</v>
      </c>
      <c r="P10">
        <v>74</v>
      </c>
      <c r="Q10">
        <v>1099</v>
      </c>
      <c r="R10">
        <v>98</v>
      </c>
      <c r="S10">
        <v>113</v>
      </c>
      <c r="T10">
        <v>788</v>
      </c>
      <c r="U10">
        <v>212</v>
      </c>
      <c r="V10">
        <v>261</v>
      </c>
      <c r="W10" s="62"/>
      <c r="X10" s="62">
        <f si="0" t="shared"/>
        <v>99167</v>
      </c>
    </row>
    <row r="11" spans="2:24" x14ac:dyDescent="0.45">
      <c r="B11">
        <v>8</v>
      </c>
      <c r="C11">
        <v>454</v>
      </c>
      <c r="D11">
        <v>350</v>
      </c>
      <c r="E11">
        <v>523</v>
      </c>
      <c r="F11">
        <v>256</v>
      </c>
      <c r="G11">
        <v>284</v>
      </c>
      <c r="H11">
        <v>826</v>
      </c>
      <c r="I11">
        <v>170</v>
      </c>
      <c r="J11">
        <v>508</v>
      </c>
      <c r="K11">
        <v>171</v>
      </c>
      <c r="L11">
        <v>224</v>
      </c>
      <c r="M11">
        <v>645</v>
      </c>
      <c r="N11">
        <v>285</v>
      </c>
      <c r="O11">
        <v>29</v>
      </c>
      <c r="P11">
        <v>132</v>
      </c>
      <c r="Q11">
        <v>14</v>
      </c>
      <c r="R11">
        <v>23</v>
      </c>
      <c r="S11">
        <v>78</v>
      </c>
      <c r="T11">
        <v>8</v>
      </c>
      <c r="U11">
        <v>31</v>
      </c>
      <c r="V11">
        <v>21</v>
      </c>
      <c r="W11" s="62"/>
      <c r="X11" s="62">
        <f si="0" t="shared"/>
        <v>5032</v>
      </c>
    </row>
    <row r="12" spans="2:24" x14ac:dyDescent="0.45">
      <c r="B12">
        <v>9</v>
      </c>
      <c r="C12">
        <v>4161</v>
      </c>
      <c r="D12">
        <v>5788</v>
      </c>
      <c r="E12">
        <v>2223</v>
      </c>
      <c r="F12">
        <v>1350</v>
      </c>
      <c r="G12">
        <v>1557</v>
      </c>
      <c r="H12">
        <v>6904</v>
      </c>
      <c r="I12">
        <v>7035</v>
      </c>
      <c r="J12">
        <v>170</v>
      </c>
      <c r="K12">
        <v>22976</v>
      </c>
      <c r="L12">
        <v>1031</v>
      </c>
      <c r="M12">
        <v>3745</v>
      </c>
      <c r="N12">
        <v>5644</v>
      </c>
      <c r="O12">
        <v>2392</v>
      </c>
      <c r="P12">
        <v>168</v>
      </c>
      <c r="Q12">
        <v>5174</v>
      </c>
      <c r="R12">
        <v>79</v>
      </c>
      <c r="S12">
        <v>110</v>
      </c>
      <c r="T12">
        <v>213</v>
      </c>
      <c r="U12">
        <v>864</v>
      </c>
      <c r="V12">
        <v>31</v>
      </c>
      <c r="W12" s="62"/>
      <c r="X12" s="62">
        <f si="0" t="shared"/>
        <v>71615</v>
      </c>
    </row>
    <row r="13" spans="2:24" x14ac:dyDescent="0.45">
      <c r="B13">
        <v>10</v>
      </c>
      <c r="C13">
        <v>2588</v>
      </c>
      <c r="D13">
        <v>1056</v>
      </c>
      <c r="E13">
        <v>749</v>
      </c>
      <c r="F13">
        <v>1069</v>
      </c>
      <c r="G13">
        <v>1875</v>
      </c>
      <c r="H13">
        <v>8327</v>
      </c>
      <c r="I13">
        <v>858</v>
      </c>
      <c r="J13">
        <v>84</v>
      </c>
      <c r="K13">
        <v>861</v>
      </c>
      <c r="L13">
        <v>6526</v>
      </c>
      <c r="M13">
        <v>931</v>
      </c>
      <c r="N13">
        <v>5458</v>
      </c>
      <c r="O13">
        <v>226</v>
      </c>
      <c r="P13">
        <v>52</v>
      </c>
      <c r="Q13">
        <v>97</v>
      </c>
      <c r="R13">
        <v>903</v>
      </c>
      <c r="S13">
        <v>84</v>
      </c>
      <c r="T13">
        <v>62</v>
      </c>
      <c r="U13">
        <v>79</v>
      </c>
      <c r="V13">
        <v>48</v>
      </c>
      <c r="W13" s="62"/>
      <c r="X13" s="62">
        <f si="0" t="shared"/>
        <v>31933</v>
      </c>
    </row>
    <row r="14" spans="2:24" x14ac:dyDescent="0.45">
      <c r="B14">
        <v>11</v>
      </c>
      <c r="C14">
        <v>4066</v>
      </c>
      <c r="D14">
        <v>2906</v>
      </c>
      <c r="E14">
        <v>4390</v>
      </c>
      <c r="F14">
        <v>2260</v>
      </c>
      <c r="G14">
        <v>2138</v>
      </c>
      <c r="H14">
        <v>6954</v>
      </c>
      <c r="I14">
        <v>2111</v>
      </c>
      <c r="J14">
        <v>1294</v>
      </c>
      <c r="K14">
        <v>4448</v>
      </c>
      <c r="L14">
        <v>878</v>
      </c>
      <c r="M14">
        <v>27038</v>
      </c>
      <c r="N14">
        <v>3052</v>
      </c>
      <c r="O14">
        <v>691</v>
      </c>
      <c r="P14">
        <v>577</v>
      </c>
      <c r="Q14">
        <v>826</v>
      </c>
      <c r="R14">
        <v>83</v>
      </c>
      <c r="S14">
        <v>1556</v>
      </c>
      <c r="T14">
        <v>83</v>
      </c>
      <c r="U14">
        <v>5397</v>
      </c>
      <c r="V14">
        <v>49</v>
      </c>
      <c r="W14" s="62"/>
      <c r="X14" s="62">
        <f si="0" t="shared"/>
        <v>70797</v>
      </c>
    </row>
    <row r="15" spans="2:24" x14ac:dyDescent="0.45">
      <c r="B15">
        <v>12</v>
      </c>
      <c r="C15">
        <v>7753</v>
      </c>
      <c r="D15">
        <v>4528</v>
      </c>
      <c r="E15">
        <v>2094</v>
      </c>
      <c r="F15">
        <v>1793</v>
      </c>
      <c r="G15">
        <v>3161</v>
      </c>
      <c r="H15">
        <v>18970</v>
      </c>
      <c r="I15">
        <v>8909</v>
      </c>
      <c r="J15">
        <v>268</v>
      </c>
      <c r="K15">
        <v>3208</v>
      </c>
      <c r="L15">
        <v>2332</v>
      </c>
      <c r="M15">
        <v>1776</v>
      </c>
      <c r="N15">
        <v>70005</v>
      </c>
      <c r="O15">
        <v>2592</v>
      </c>
      <c r="P15">
        <v>88</v>
      </c>
      <c r="Q15">
        <v>484</v>
      </c>
      <c r="R15">
        <v>588</v>
      </c>
      <c r="S15">
        <v>141</v>
      </c>
      <c r="T15">
        <v>3685</v>
      </c>
      <c r="U15">
        <v>197</v>
      </c>
      <c r="V15">
        <v>1029</v>
      </c>
      <c r="W15" s="62"/>
      <c r="X15" s="62">
        <f si="0" t="shared"/>
        <v>133601</v>
      </c>
    </row>
    <row r="16" spans="2:24" x14ac:dyDescent="0.45">
      <c r="B16">
        <v>13</v>
      </c>
      <c r="C16">
        <v>1538</v>
      </c>
      <c r="D16">
        <v>1710</v>
      </c>
      <c r="E16">
        <v>436</v>
      </c>
      <c r="F16">
        <v>367</v>
      </c>
      <c r="G16">
        <v>442</v>
      </c>
      <c r="H16">
        <v>3206</v>
      </c>
      <c r="I16">
        <v>14766</v>
      </c>
      <c r="J16">
        <v>23</v>
      </c>
      <c r="K16">
        <v>1837</v>
      </c>
      <c r="L16">
        <v>434</v>
      </c>
      <c r="M16">
        <v>451</v>
      </c>
      <c r="N16">
        <v>6539</v>
      </c>
      <c r="O16">
        <v>72129</v>
      </c>
      <c r="P16">
        <v>29</v>
      </c>
      <c r="Q16">
        <v>2425</v>
      </c>
      <c r="R16">
        <v>91</v>
      </c>
      <c r="S16">
        <v>39</v>
      </c>
      <c r="T16">
        <v>2433</v>
      </c>
      <c r="U16">
        <v>103</v>
      </c>
      <c r="V16">
        <v>306</v>
      </c>
      <c r="W16" s="62"/>
      <c r="X16" s="62">
        <f si="0" t="shared"/>
        <v>109304</v>
      </c>
    </row>
    <row r="17" spans="2:24" x14ac:dyDescent="0.45">
      <c r="B17">
        <v>14</v>
      </c>
      <c r="C17">
        <v>758</v>
      </c>
      <c r="D17">
        <v>1001</v>
      </c>
      <c r="E17">
        <v>408</v>
      </c>
      <c r="F17">
        <v>421</v>
      </c>
      <c r="G17">
        <v>378</v>
      </c>
      <c r="H17">
        <v>2097</v>
      </c>
      <c r="I17">
        <v>546</v>
      </c>
      <c r="J17">
        <v>276</v>
      </c>
      <c r="K17">
        <v>443</v>
      </c>
      <c r="L17">
        <v>255</v>
      </c>
      <c r="M17">
        <v>2229</v>
      </c>
      <c r="N17">
        <v>681</v>
      </c>
      <c r="O17">
        <v>61</v>
      </c>
      <c r="P17">
        <v>11913</v>
      </c>
      <c r="Q17">
        <v>89</v>
      </c>
      <c r="R17">
        <v>13</v>
      </c>
      <c r="S17">
        <v>1887</v>
      </c>
      <c r="T17">
        <v>11</v>
      </c>
      <c r="U17">
        <v>456</v>
      </c>
      <c r="V17">
        <v>4</v>
      </c>
      <c r="W17" s="62"/>
      <c r="X17" s="62">
        <f si="0" t="shared"/>
        <v>23927</v>
      </c>
    </row>
    <row r="18" spans="2:24" x14ac:dyDescent="0.45">
      <c r="B18">
        <v>15</v>
      </c>
      <c r="C18">
        <v>932</v>
      </c>
      <c r="D18">
        <v>1576</v>
      </c>
      <c r="E18">
        <v>220</v>
      </c>
      <c r="F18">
        <v>331</v>
      </c>
      <c r="G18">
        <v>349</v>
      </c>
      <c r="H18">
        <v>1671</v>
      </c>
      <c r="I18">
        <v>2774</v>
      </c>
      <c r="J18">
        <v>36</v>
      </c>
      <c r="K18">
        <v>5037</v>
      </c>
      <c r="L18">
        <v>161</v>
      </c>
      <c r="M18">
        <v>780</v>
      </c>
      <c r="N18">
        <v>1779</v>
      </c>
      <c r="O18">
        <v>4021</v>
      </c>
      <c r="P18">
        <v>16</v>
      </c>
      <c r="Q18">
        <v>24840</v>
      </c>
      <c r="R18">
        <v>23</v>
      </c>
      <c r="S18">
        <v>148</v>
      </c>
      <c r="T18">
        <v>111</v>
      </c>
      <c r="U18">
        <v>881</v>
      </c>
      <c r="V18">
        <v>18</v>
      </c>
      <c r="W18" s="62"/>
      <c r="X18" s="62">
        <f si="0" t="shared"/>
        <v>45704</v>
      </c>
    </row>
    <row r="19" spans="2:24" x14ac:dyDescent="0.45">
      <c r="B19">
        <v>16</v>
      </c>
      <c r="C19">
        <v>1163</v>
      </c>
      <c r="D19">
        <v>558</v>
      </c>
      <c r="E19">
        <v>305</v>
      </c>
      <c r="F19">
        <v>347</v>
      </c>
      <c r="G19">
        <v>487</v>
      </c>
      <c r="H19">
        <v>2993</v>
      </c>
      <c r="I19">
        <v>384</v>
      </c>
      <c r="J19">
        <v>59</v>
      </c>
      <c r="K19">
        <v>393</v>
      </c>
      <c r="L19">
        <v>1674</v>
      </c>
      <c r="M19">
        <v>276</v>
      </c>
      <c r="N19">
        <v>4050</v>
      </c>
      <c r="O19">
        <v>60</v>
      </c>
      <c r="P19">
        <v>31</v>
      </c>
      <c r="Q19">
        <v>11</v>
      </c>
      <c r="R19">
        <v>2408</v>
      </c>
      <c r="S19">
        <v>10</v>
      </c>
      <c r="T19">
        <v>236</v>
      </c>
      <c r="U19">
        <v>64</v>
      </c>
      <c r="V19">
        <v>69</v>
      </c>
      <c r="W19" s="62"/>
      <c r="X19" s="62">
        <f si="0" t="shared"/>
        <v>15578</v>
      </c>
    </row>
    <row r="20" spans="2:24" x14ac:dyDescent="0.45">
      <c r="B20">
        <v>17</v>
      </c>
      <c r="C20">
        <v>819</v>
      </c>
      <c r="D20">
        <v>880</v>
      </c>
      <c r="E20">
        <v>366</v>
      </c>
      <c r="F20">
        <v>394</v>
      </c>
      <c r="G20">
        <v>351</v>
      </c>
      <c r="H20">
        <v>1478</v>
      </c>
      <c r="I20">
        <v>475</v>
      </c>
      <c r="J20">
        <v>269</v>
      </c>
      <c r="K20">
        <v>554</v>
      </c>
      <c r="L20">
        <v>115</v>
      </c>
      <c r="M20">
        <v>3607</v>
      </c>
      <c r="N20">
        <v>597</v>
      </c>
      <c r="O20">
        <v>156</v>
      </c>
      <c r="P20">
        <v>1524</v>
      </c>
      <c r="Q20">
        <v>150</v>
      </c>
      <c r="R20">
        <v>10</v>
      </c>
      <c r="S20">
        <v>7060</v>
      </c>
      <c r="T20">
        <v>0</v>
      </c>
      <c r="U20">
        <v>3004</v>
      </c>
      <c r="V20">
        <v>5</v>
      </c>
      <c r="W20" s="62"/>
      <c r="X20" s="62">
        <f si="0" t="shared"/>
        <v>21814</v>
      </c>
    </row>
    <row r="21" spans="2:24" x14ac:dyDescent="0.45">
      <c r="B21">
        <v>18</v>
      </c>
      <c r="C21">
        <v>954</v>
      </c>
      <c r="D21">
        <v>787</v>
      </c>
      <c r="E21">
        <v>307</v>
      </c>
      <c r="F21">
        <v>369</v>
      </c>
      <c r="G21">
        <v>714</v>
      </c>
      <c r="H21">
        <v>2614</v>
      </c>
      <c r="I21">
        <v>2460</v>
      </c>
      <c r="J21">
        <v>79</v>
      </c>
      <c r="K21">
        <v>443</v>
      </c>
      <c r="L21">
        <v>269</v>
      </c>
      <c r="M21">
        <v>129</v>
      </c>
      <c r="N21">
        <v>15041</v>
      </c>
      <c r="O21">
        <v>5509</v>
      </c>
      <c r="P21">
        <v>9</v>
      </c>
      <c r="Q21">
        <v>161</v>
      </c>
      <c r="R21">
        <v>207</v>
      </c>
      <c r="S21">
        <v>16</v>
      </c>
      <c r="T21">
        <v>11488</v>
      </c>
      <c r="U21">
        <v>60</v>
      </c>
      <c r="V21">
        <v>3700</v>
      </c>
      <c r="W21" s="62"/>
      <c r="X21" s="62">
        <f si="0" t="shared"/>
        <v>45316</v>
      </c>
    </row>
    <row r="22" spans="2:24" x14ac:dyDescent="0.45">
      <c r="B22">
        <v>19</v>
      </c>
      <c r="C22">
        <v>1223</v>
      </c>
      <c r="D22">
        <v>1032</v>
      </c>
      <c r="E22">
        <v>490</v>
      </c>
      <c r="F22">
        <v>358</v>
      </c>
      <c r="G22">
        <v>356</v>
      </c>
      <c r="H22">
        <v>1696</v>
      </c>
      <c r="I22">
        <v>725</v>
      </c>
      <c r="J22">
        <v>189</v>
      </c>
      <c r="K22">
        <v>947</v>
      </c>
      <c r="L22">
        <v>154</v>
      </c>
      <c r="M22">
        <v>8626</v>
      </c>
      <c r="N22">
        <v>1479</v>
      </c>
      <c r="O22">
        <v>277</v>
      </c>
      <c r="P22">
        <v>427</v>
      </c>
      <c r="Q22">
        <v>1969</v>
      </c>
      <c r="R22">
        <v>42</v>
      </c>
      <c r="S22">
        <v>3716</v>
      </c>
      <c r="T22">
        <v>12</v>
      </c>
      <c r="U22">
        <v>24748</v>
      </c>
      <c r="V22">
        <v>11</v>
      </c>
      <c r="W22" s="62"/>
      <c r="X22" s="62">
        <f si="0" t="shared"/>
        <v>48477</v>
      </c>
    </row>
    <row r="23" spans="2:24" x14ac:dyDescent="0.45">
      <c r="B23">
        <v>20</v>
      </c>
      <c r="C23">
        <v>362</v>
      </c>
      <c r="D23">
        <v>369</v>
      </c>
      <c r="E23">
        <v>50</v>
      </c>
      <c r="F23">
        <v>50</v>
      </c>
      <c r="G23">
        <v>120</v>
      </c>
      <c r="H23">
        <v>521</v>
      </c>
      <c r="I23">
        <v>386</v>
      </c>
      <c r="J23">
        <v>4</v>
      </c>
      <c r="K23">
        <v>143</v>
      </c>
      <c r="L23">
        <v>172</v>
      </c>
      <c r="M23">
        <v>68</v>
      </c>
      <c r="N23">
        <v>5749</v>
      </c>
      <c r="O23">
        <v>557</v>
      </c>
      <c r="P23">
        <v>10</v>
      </c>
      <c r="Q23">
        <v>5</v>
      </c>
      <c r="R23">
        <v>87</v>
      </c>
      <c r="S23">
        <v>20</v>
      </c>
      <c r="T23">
        <v>4273</v>
      </c>
      <c r="U23">
        <v>11</v>
      </c>
      <c r="V23">
        <v>24535</v>
      </c>
      <c r="W23" s="44"/>
      <c r="X23" s="62">
        <f si="0" t="shared"/>
        <v>37492</v>
      </c>
    </row>
    <row r="24" spans="2:24" x14ac:dyDescent="0.45">
      <c r="B24" s="80" t="s">
        <v>15</v>
      </c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62">
        <f si="0" t="shared"/>
        <v>0</v>
      </c>
    </row>
    <row ht="14.65" r="25" spans="2:24" thickBot="1" x14ac:dyDescent="0.5">
      <c r="B25" s="1" t="s">
        <v>3</v>
      </c>
      <c r="C25" s="86">
        <f>SUM(C4:C24)</f>
        <v>50465</v>
      </c>
      <c r="D25" s="86">
        <f ref="D25:X25" si="1" t="shared">SUM(D4:D24)</f>
        <v>41849</v>
      </c>
      <c r="E25" s="86">
        <f si="1" t="shared"/>
        <v>26730</v>
      </c>
      <c r="F25" s="86">
        <f si="1" t="shared"/>
        <v>18661</v>
      </c>
      <c r="G25" s="86">
        <f si="1" t="shared"/>
        <v>24148</v>
      </c>
      <c r="H25" s="86">
        <f si="1" t="shared"/>
        <v>106455</v>
      </c>
      <c r="I25" s="86">
        <f si="1" t="shared"/>
        <v>86378</v>
      </c>
      <c r="J25" s="86">
        <f si="1" t="shared"/>
        <v>5098</v>
      </c>
      <c r="K25" s="86">
        <f si="1" t="shared"/>
        <v>52399</v>
      </c>
      <c r="L25" s="86">
        <f si="1" t="shared"/>
        <v>20410</v>
      </c>
      <c r="M25" s="86">
        <f si="1" t="shared"/>
        <v>57960</v>
      </c>
      <c r="N25" s="86">
        <f si="1" t="shared"/>
        <v>148223</v>
      </c>
      <c r="O25" s="86">
        <f si="1" t="shared"/>
        <v>100852</v>
      </c>
      <c r="P25" s="86">
        <f si="1" t="shared"/>
        <v>15338</v>
      </c>
      <c r="Q25" s="86">
        <f si="1" t="shared"/>
        <v>37987</v>
      </c>
      <c r="R25" s="86">
        <f si="1" t="shared"/>
        <v>5063</v>
      </c>
      <c r="S25" s="86">
        <f si="1" t="shared"/>
        <v>15286</v>
      </c>
      <c r="T25" s="86">
        <f si="1" t="shared"/>
        <v>23663</v>
      </c>
      <c r="U25" s="86">
        <f si="1" t="shared"/>
        <v>36765</v>
      </c>
      <c r="V25" s="86">
        <f si="1" t="shared"/>
        <v>30183</v>
      </c>
      <c r="W25" s="86">
        <f si="1" t="shared"/>
        <v>0</v>
      </c>
      <c r="X25" s="86">
        <f si="1" t="shared"/>
        <v>903913</v>
      </c>
    </row>
    <row ht="14.65" r="29" spans="2:24" thickBot="1" x14ac:dyDescent="0.5">
      <c r="B29" s="4" t="s">
        <v>355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2:24" x14ac:dyDescent="0.45">
      <c r="B30" s="2" t="s">
        <v>14</v>
      </c>
      <c r="C30" s="2">
        <v>1</v>
      </c>
      <c r="D30" s="2">
        <v>2</v>
      </c>
      <c r="E30" s="2">
        <v>3</v>
      </c>
      <c r="F30" s="2">
        <v>4</v>
      </c>
      <c r="G30" s="2">
        <v>5</v>
      </c>
      <c r="H30" s="2">
        <v>6</v>
      </c>
      <c r="I30" s="2">
        <v>7</v>
      </c>
      <c r="J30" s="2">
        <v>8</v>
      </c>
      <c r="K30" s="2">
        <v>9</v>
      </c>
      <c r="L30" s="2">
        <v>10</v>
      </c>
      <c r="M30" s="2">
        <v>11</v>
      </c>
      <c r="N30" s="2">
        <v>12</v>
      </c>
      <c r="O30" s="2">
        <v>13</v>
      </c>
      <c r="P30" s="2">
        <v>14</v>
      </c>
      <c r="Q30" s="2">
        <v>15</v>
      </c>
      <c r="R30" s="2">
        <v>16</v>
      </c>
      <c r="S30" s="2">
        <v>17</v>
      </c>
      <c r="T30" s="2">
        <v>18</v>
      </c>
      <c r="U30" s="2">
        <v>19</v>
      </c>
      <c r="V30" s="2">
        <v>20</v>
      </c>
      <c r="W30" s="3" t="s">
        <v>15</v>
      </c>
      <c r="X30" s="3" t="s">
        <v>3</v>
      </c>
    </row>
    <row r="31" spans="2:24" x14ac:dyDescent="0.45">
      <c r="B31" s="28">
        <v>1</v>
      </c>
      <c r="C31" s="62">
        <f>IF($X4&gt;0,(C4/$X4)*County_Flow!$BS7,0)</f>
        <v>4446.9564775398694</v>
      </c>
      <c r="D31" s="62">
        <f>IF($X4&gt;0,(D4/$X4)*County_Flow!$BS7,0)</f>
        <v>562.31272634856089</v>
      </c>
      <c r="E31" s="62">
        <f>IF($X4&gt;0,(E4/$X4)*County_Flow!$BS7,0)</f>
        <v>310.83397928712117</v>
      </c>
      <c r="F31" s="62">
        <f>IF($X4&gt;0,(F4/$X4)*County_Flow!$BS7,0)</f>
        <v>415.48662557977002</v>
      </c>
      <c r="G31" s="62">
        <f>IF($X4&gt;0,(G4/$X4)*County_Flow!$BS7,0)</f>
        <v>527.94917084948224</v>
      </c>
      <c r="H31" s="62">
        <f>IF($X4&gt;0,(H4/$X4)*County_Flow!$BS7,0)</f>
        <v>2902.9394497744456</v>
      </c>
      <c r="I31" s="62">
        <f>IF($X4&gt;0,(I4/$X4)*County_Flow!$BS7,0)</f>
        <v>470.93690831691976</v>
      </c>
      <c r="J31" s="62">
        <f>IF($X4&gt;0,(J4/$X4)*County_Flow!$BS7,0)</f>
        <v>46.07840396467374</v>
      </c>
      <c r="K31" s="62">
        <f>IF($X4&gt;0,(K4/$X4)*County_Flow!$BS7,0)</f>
        <v>372.53218120592157</v>
      </c>
      <c r="L31" s="62">
        <f>IF($X4&gt;0,(L4/$X4)*County_Flow!$BS7,0)</f>
        <v>163.22688862062392</v>
      </c>
      <c r="M31" s="62">
        <f>IF($X4&gt;0,(M4/$X4)*County_Flow!$BS7,0)</f>
        <v>366.2842620242709</v>
      </c>
      <c r="N31" s="62">
        <f>IF($X4&gt;0,(N4/$X4)*County_Flow!$BS7,0)</f>
        <v>1284.7283817269204</v>
      </c>
      <c r="O31" s="62">
        <f>IF($X4&gt;0,(O4/$X4)*County_Flow!$BS7,0)</f>
        <v>162.44589872291758</v>
      </c>
      <c r="P31" s="62">
        <f>IF($X4&gt;0,(P4/$X4)*County_Flow!$BS7,0)</f>
        <v>35.925535294491389</v>
      </c>
      <c r="Q31" s="62">
        <f>IF($X4&gt;0,(Q4/$X4)*County_Flow!$BS7,0)</f>
        <v>36.706525192197724</v>
      </c>
      <c r="R31" s="62">
        <f>IF($X4&gt;0,(R4/$X4)*County_Flow!$BS7,0)</f>
        <v>10.152868670182349</v>
      </c>
      <c r="S31" s="62">
        <f>IF($X4&gt;0,(S4/$X4)*County_Flow!$BS7,0)</f>
        <v>16.400787851833027</v>
      </c>
      <c r="T31" s="62">
        <f>IF($X4&gt;0,(T4/$X4)*County_Flow!$BS7,0)</f>
        <v>31.239595908253381</v>
      </c>
      <c r="U31" s="62">
        <f>IF($X4&gt;0,(U4/$X4)*County_Flow!$BS7,0)</f>
        <v>117.14848465595018</v>
      </c>
      <c r="V31" s="62">
        <f>IF($X4&gt;0,(V4/$X4)*County_Flow!$BS7,0)</f>
        <v>11.714848465595018</v>
      </c>
      <c r="W31" s="62">
        <f>IF($X4&gt;0,(W4/$X4)*County_Flow!$BS7,0)</f>
        <v>0</v>
      </c>
      <c r="X31" s="62">
        <f>IF($X4&gt;0,(X4/$X4)*County_Flow!$BS7,0)</f>
        <v>12292</v>
      </c>
    </row>
    <row r="32" spans="2:24" x14ac:dyDescent="0.45">
      <c r="B32">
        <v>2</v>
      </c>
      <c r="C32" s="62">
        <f>IF($X5&gt;0,(C5/$X5)*County_Flow!$BS8,0)</f>
        <v>1348.5826771653542</v>
      </c>
      <c r="D32" s="62">
        <f>IF($X5&gt;0,(D5/$X5)*County_Flow!$BS8,0)</f>
        <v>4893.8740157480315</v>
      </c>
      <c r="E32" s="62">
        <f>IF($X5&gt;0,(E5/$X5)*County_Flow!$BS8,0)</f>
        <v>443.55118110236219</v>
      </c>
      <c r="F32" s="62">
        <f>IF($X5&gt;0,(F5/$X5)*County_Flow!$BS8,0)</f>
        <v>343.77165354330708</v>
      </c>
      <c r="G32" s="62">
        <f>IF($X5&gt;0,(G5/$X5)*County_Flow!$BS8,0)</f>
        <v>406.13385826771656</v>
      </c>
      <c r="H32" s="62">
        <f>IF($X5&gt;0,(H5/$X5)*County_Flow!$BS8,0)</f>
        <v>2454.732283464567</v>
      </c>
      <c r="I32" s="62">
        <f>IF($X5&gt;0,(I5/$X5)*County_Flow!$BS8,0)</f>
        <v>1400.8110236220473</v>
      </c>
      <c r="J32" s="62">
        <f>IF($X5&gt;0,(J5/$X5)*County_Flow!$BS8,0)</f>
        <v>84.188976377952756</v>
      </c>
      <c r="K32" s="62">
        <f>IF($X5&gt;0,(K5/$X5)*County_Flow!$BS8,0)</f>
        <v>1072.6299212598424</v>
      </c>
      <c r="L32" s="62">
        <f>IF($X5&gt;0,(L5/$X5)*County_Flow!$BS8,0)</f>
        <v>279.85039370078738</v>
      </c>
      <c r="M32" s="62">
        <f>IF($X5&gt;0,(M5/$X5)*County_Flow!$BS8,0)</f>
        <v>537.09448818897636</v>
      </c>
      <c r="N32" s="62">
        <f>IF($X5&gt;0,(N5/$X5)*County_Flow!$BS8,0)</f>
        <v>1562.1732283464567</v>
      </c>
      <c r="O32" s="62">
        <f>IF($X5&gt;0,(O5/$X5)*County_Flow!$BS8,0)</f>
        <v>214.37007874015748</v>
      </c>
      <c r="P32" s="62">
        <f>IF($X5&gt;0,(P5/$X5)*County_Flow!$BS8,0)</f>
        <v>31.960629921259841</v>
      </c>
      <c r="Q32" s="62">
        <f>IF($X5&gt;0,(Q5/$X5)*County_Flow!$BS8,0)</f>
        <v>133.29921259842521</v>
      </c>
      <c r="R32" s="62">
        <f>IF($X5&gt;0,(R5/$X5)*County_Flow!$BS8,0)</f>
        <v>17.149606299212596</v>
      </c>
      <c r="S32" s="62">
        <f>IF($X5&gt;0,(S5/$X5)*County_Flow!$BS8,0)</f>
        <v>18.708661417322833</v>
      </c>
      <c r="T32" s="62">
        <f>IF($X5&gt;0,(T5/$X5)*County_Flow!$BS8,0)</f>
        <v>32.740157480314956</v>
      </c>
      <c r="U32" s="62">
        <f>IF($X5&gt;0,(U5/$X5)*County_Flow!$BS8,0)</f>
        <v>60.803149606299222</v>
      </c>
      <c r="V32" s="62">
        <f>IF($X5&gt;0,(V5/$X5)*County_Flow!$BS8,0)</f>
        <v>8.5748031496062982</v>
      </c>
      <c r="W32" s="62">
        <f>IF($X5&gt;0,(W5/$X5)*County_Flow!$BS8,0)</f>
        <v>0</v>
      </c>
      <c r="X32" s="62">
        <f>IF($X5&gt;0,(X5/$X5)*County_Flow!$BS8,0)</f>
        <v>15345</v>
      </c>
    </row>
    <row r="33" spans="2:24" x14ac:dyDescent="0.45">
      <c r="B33">
        <v>3</v>
      </c>
      <c r="C33" s="62">
        <f>IF($X6&gt;0,(C6/$X6)*County_Flow!$BS9,0)</f>
        <v>4227.3431364798271</v>
      </c>
      <c r="D33" s="62">
        <f>IF($X6&gt;0,(D6/$X6)*County_Flow!$BS9,0)</f>
        <v>2557.5907449864285</v>
      </c>
      <c r="E33" s="62">
        <f>IF($X6&gt;0,(E6/$X6)*County_Flow!$BS9,0)</f>
        <v>7729.5861859962579</v>
      </c>
      <c r="F33" s="62">
        <f>IF($X6&gt;0,(F6/$X6)*County_Flow!$BS9,0)</f>
        <v>1666.863546525417</v>
      </c>
      <c r="G33" s="62">
        <f>IF($X6&gt;0,(G6/$X6)*County_Flow!$BS9,0)</f>
        <v>1726.5663425303712</v>
      </c>
      <c r="H33" s="62">
        <f>IF($X6&gt;0,(H6/$X6)*County_Flow!$BS9,0)</f>
        <v>6181.1652831580886</v>
      </c>
      <c r="I33" s="62">
        <f>IF($X6&gt;0,(I6/$X6)*County_Flow!$BS9,0)</f>
        <v>1374.1272564366088</v>
      </c>
      <c r="J33" s="62">
        <f>IF($X6&gt;0,(J6/$X6)*County_Flow!$BS9,0)</f>
        <v>623.9905130840383</v>
      </c>
      <c r="K33" s="62">
        <f>IF($X6&gt;0,(K6/$X6)*County_Flow!$BS9,0)</f>
        <v>2322.6313542572534</v>
      </c>
      <c r="L33" s="62">
        <f>IF($X6&gt;0,(L6/$X6)*County_Flow!$BS9,0)</f>
        <v>1294.2025456557831</v>
      </c>
      <c r="M33" s="62">
        <f>IF($X6&gt;0,(M6/$X6)*County_Flow!$BS9,0)</f>
        <v>2664.4780088017496</v>
      </c>
      <c r="N33" s="62">
        <f>IF($X6&gt;0,(N6/$X6)*County_Flow!$BS9,0)</f>
        <v>3052.546182833953</v>
      </c>
      <c r="O33" s="62">
        <f>IF($X6&gt;0,(O6/$X6)*County_Flow!$BS9,0)</f>
        <v>329.32832634990905</v>
      </c>
      <c r="P33" s="62">
        <f>IF($X6&gt;0,(P6/$X6)*County_Flow!$BS9,0)</f>
        <v>101.10957387935804</v>
      </c>
      <c r="Q33" s="62">
        <f>IF($X6&gt;0,(Q6/$X6)*County_Flow!$BS9,0)</f>
        <v>183.92312962816561</v>
      </c>
      <c r="R33" s="62">
        <f>IF($X6&gt;0,(R6/$X6)*County_Flow!$BS9,0)</f>
        <v>113.62790207394524</v>
      </c>
      <c r="S33" s="62">
        <f>IF($X6&gt;0,(S6/$X6)*County_Flow!$BS9,0)</f>
        <v>138.66455846311962</v>
      </c>
      <c r="T33" s="62">
        <f>IF($X6&gt;0,(T6/$X6)*County_Flow!$BS9,0)</f>
        <v>35.629087938440456</v>
      </c>
      <c r="U33" s="62">
        <f>IF($X6&gt;0,(U6/$X6)*County_Flow!$BS9,0)</f>
        <v>193.55261285477113</v>
      </c>
      <c r="V33" s="62">
        <f>IF($X6&gt;0,(V6/$X6)*County_Flow!$BS9,0)</f>
        <v>24.073708066513824</v>
      </c>
      <c r="W33" s="62">
        <f>IF($X6&gt;0,(W6/$X6)*County_Flow!$BS9,0)</f>
        <v>0</v>
      </c>
      <c r="X33" s="62">
        <f>IF($X6&gt;0,(X6/$X6)*County_Flow!$BS9,0)</f>
        <v>36541</v>
      </c>
    </row>
    <row r="34" spans="2:24" x14ac:dyDescent="0.45">
      <c r="B34">
        <v>4</v>
      </c>
      <c r="C34" s="62">
        <f>IF($X7&gt;0,(C7/$X7)*County_Flow!$BS10,0)</f>
        <v>1281.7507566077072</v>
      </c>
      <c r="D34" s="62">
        <f>IF($X7&gt;0,(D7/$X7)*County_Flow!$BS10,0)</f>
        <v>765.1981975923062</v>
      </c>
      <c r="E34" s="62">
        <f>IF($X7&gt;0,(E7/$X7)*County_Flow!$BS10,0)</f>
        <v>981.4498621292621</v>
      </c>
      <c r="F34" s="62">
        <f>IF($X7&gt;0,(F7/$X7)*County_Flow!$BS10,0)</f>
        <v>2850.669715515502</v>
      </c>
      <c r="G34" s="62">
        <f>IF($X7&gt;0,(G7/$X7)*County_Flow!$BS10,0)</f>
        <v>1170.5606294976126</v>
      </c>
      <c r="H34" s="62">
        <f>IF($X7&gt;0,(H7/$X7)*County_Flow!$BS10,0)</f>
        <v>2159.8901069338895</v>
      </c>
      <c r="I34" s="62">
        <f>IF($X7&gt;0,(I7/$X7)*County_Flow!$BS10,0)</f>
        <v>527.05871275808727</v>
      </c>
      <c r="J34" s="62">
        <f>IF($X7&gt;0,(J7/$X7)*County_Flow!$BS10,0)</f>
        <v>451.76461093550341</v>
      </c>
      <c r="K34" s="62">
        <f>IF($X7&gt;0,(K7/$X7)*County_Flow!$BS10,0)</f>
        <v>317.81115071625527</v>
      </c>
      <c r="L34" s="62">
        <f>IF($X7&gt;0,(L7/$X7)*County_Flow!$BS10,0)</f>
        <v>625.1161476898244</v>
      </c>
      <c r="M34" s="62">
        <f>IF($X7&gt;0,(M7/$X7)*County_Flow!$BS10,0)</f>
        <v>548.07102024345954</v>
      </c>
      <c r="N34" s="62">
        <f>IF($X7&gt;0,(N7/$X7)*County_Flow!$BS10,0)</f>
        <v>1055.8684511399556</v>
      </c>
      <c r="O34" s="62">
        <f>IF($X7&gt;0,(O7/$X7)*County_Flow!$BS10,0)</f>
        <v>103.31051180308022</v>
      </c>
      <c r="P34" s="62">
        <f>IF($X7&gt;0,(P7/$X7)*County_Flow!$BS10,0)</f>
        <v>24.514358732934291</v>
      </c>
      <c r="Q34" s="62">
        <f>IF($X7&gt;0,(Q7/$X7)*County_Flow!$BS10,0)</f>
        <v>54.28179433721165</v>
      </c>
      <c r="R34" s="62">
        <f>IF($X7&gt;0,(R7/$X7)*County_Flow!$BS10,0)</f>
        <v>21.012307485372251</v>
      </c>
      <c r="S34" s="62">
        <f>IF($X7&gt;0,(S7/$X7)*County_Flow!$BS10,0)</f>
        <v>20.136794673481742</v>
      </c>
      <c r="T34" s="62">
        <f>IF($X7&gt;0,(T7/$X7)*County_Flow!$BS10,0)</f>
        <v>25.389871544824803</v>
      </c>
      <c r="U34" s="62">
        <f>IF($X7&gt;0,(U7/$X7)*County_Flow!$BS10,0)</f>
        <v>30.642948416167865</v>
      </c>
      <c r="V34" s="62">
        <f>IF($X7&gt;0,(V7/$X7)*County_Flow!$BS10,0)</f>
        <v>3.5020512475620422</v>
      </c>
      <c r="W34" s="62">
        <f>IF($X7&gt;0,(W7/$X7)*County_Flow!$BS10,0)</f>
        <v>0</v>
      </c>
      <c r="X34" s="62">
        <f>IF($X7&gt;0,(X7/$X7)*County_Flow!$BS10,0)</f>
        <v>13018</v>
      </c>
    </row>
    <row r="35" spans="2:24" x14ac:dyDescent="0.45">
      <c r="B35">
        <v>5</v>
      </c>
      <c r="C35" s="62">
        <f>IF($X8&gt;0,(C8/$X8)*County_Flow!$BS11,0)</f>
        <v>1612.6208151855944</v>
      </c>
      <c r="D35" s="62">
        <f>IF($X8&gt;0,(D8/$X8)*County_Flow!$BS11,0)</f>
        <v>523.67639602158226</v>
      </c>
      <c r="E35" s="62">
        <f>IF($X8&gt;0,(E8/$X8)*County_Flow!$BS11,0)</f>
        <v>564.32275888968343</v>
      </c>
      <c r="F35" s="62">
        <f>IF($X8&gt;0,(F8/$X8)*County_Flow!$BS11,0)</f>
        <v>739.19664564779293</v>
      </c>
      <c r="G35" s="62">
        <f>IF($X8&gt;0,(G8/$X8)*County_Flow!$BS11,0)</f>
        <v>3195.9384385360463</v>
      </c>
      <c r="H35" s="62">
        <f>IF($X8&gt;0,(H8/$X8)*County_Flow!$BS11,0)</f>
        <v>3806.5791458103104</v>
      </c>
      <c r="I35" s="62">
        <f>IF($X8&gt;0,(I8/$X8)*County_Flow!$BS11,0)</f>
        <v>448.05525580185918</v>
      </c>
      <c r="J35" s="62">
        <f>IF($X8&gt;0,(J8/$X8)*County_Flow!$BS11,0)</f>
        <v>129.50120262627576</v>
      </c>
      <c r="K35" s="62">
        <f>IF($X8&gt;0,(K8/$X8)*County_Flow!$BS11,0)</f>
        <v>340.29513098875384</v>
      </c>
      <c r="L35" s="62">
        <f>IF($X8&gt;0,(L8/$X8)*County_Flow!$BS11,0)</f>
        <v>913.12526815315618</v>
      </c>
      <c r="M35" s="62">
        <f>IF($X8&gt;0,(M8/$X8)*County_Flow!$BS11,0)</f>
        <v>378.10570109861533</v>
      </c>
      <c r="N35" s="62">
        <f>IF($X8&gt;0,(N8/$X8)*County_Flow!$BS11,0)</f>
        <v>1572.9197165702399</v>
      </c>
      <c r="O35" s="62">
        <f>IF($X8&gt;0,(O8/$X8)*County_Flow!$BS11,0)</f>
        <v>81.2927257362023</v>
      </c>
      <c r="P35" s="62">
        <f>IF($X8&gt;0,(P8/$X8)*County_Flow!$BS11,0)</f>
        <v>12.288435285704999</v>
      </c>
      <c r="Q35" s="62">
        <f>IF($X8&gt;0,(Q8/$X8)*County_Flow!$BS11,0)</f>
        <v>20.795813560423841</v>
      </c>
      <c r="R35" s="62">
        <f>IF($X8&gt;0,(R8/$X8)*County_Flow!$BS11,0)</f>
        <v>115.32223883507768</v>
      </c>
      <c r="S35" s="62">
        <f>IF($X8&gt;0,(S8/$X8)*County_Flow!$BS11,0)</f>
        <v>17.014756549437688</v>
      </c>
      <c r="T35" s="62">
        <f>IF($X8&gt;0,(T8/$X8)*County_Flow!$BS11,0)</f>
        <v>15.124228043944614</v>
      </c>
      <c r="U35" s="62">
        <f>IF($X8&gt;0,(U8/$X8)*County_Flow!$BS11,0)</f>
        <v>47.263212637326916</v>
      </c>
      <c r="V35" s="62">
        <f>IF($X8&gt;0,(V8/$X8)*County_Flow!$BS11,0)</f>
        <v>7.5621140219723069</v>
      </c>
      <c r="W35" s="62">
        <f>IF($X8&gt;0,(W8/$X8)*County_Flow!$BS11,0)</f>
        <v>0</v>
      </c>
      <c r="X35" s="62">
        <f>IF($X8&gt;0,(X8/$X8)*County_Flow!$BS11,0)</f>
        <v>14541</v>
      </c>
    </row>
    <row r="36" spans="2:24" x14ac:dyDescent="0.45">
      <c r="B36">
        <v>6</v>
      </c>
      <c r="C36" s="62">
        <f>IF($X9&gt;0,(C9/$X9)*County_Flow!$BS12,0)</f>
        <v>3398.0978461993932</v>
      </c>
      <c r="D36" s="62">
        <f>IF($X9&gt;0,(D9/$X9)*County_Flow!$BS12,0)</f>
        <v>1645.2660794907852</v>
      </c>
      <c r="E36" s="62">
        <f>IF($X9&gt;0,(E9/$X9)*County_Flow!$BS12,0)</f>
        <v>856.45103989342022</v>
      </c>
      <c r="F36" s="62">
        <f>IF($X9&gt;0,(F9/$X9)*County_Flow!$BS12,0)</f>
        <v>886.60202797720376</v>
      </c>
      <c r="G36" s="62">
        <f>IF($X9&gt;0,(G9/$X9)*County_Flow!$BS12,0)</f>
        <v>1443.9878617422842</v>
      </c>
      <c r="H36" s="62">
        <f>IF($X9&gt;0,(H9/$X9)*County_Flow!$BS12,0)</f>
        <v>16228.565613204055</v>
      </c>
      <c r="I36" s="62">
        <f>IF($X9&gt;0,(I9/$X9)*County_Flow!$BS12,0)</f>
        <v>946.90400414477097</v>
      </c>
      <c r="J36" s="62">
        <f>IF($X9&gt;0,(J9/$X9)*County_Flow!$BS12,0)</f>
        <v>79.044482273702911</v>
      </c>
      <c r="K36" s="62">
        <f>IF($X9&gt;0,(K9/$X9)*County_Flow!$BS12,0)</f>
        <v>798.593738435349</v>
      </c>
      <c r="L36" s="62">
        <f>IF($X9&gt;0,(L9/$X9)*County_Flow!$BS12,0)</f>
        <v>839.33831692694832</v>
      </c>
      <c r="M36" s="62">
        <f>IF($X9&gt;0,(M9/$X9)*County_Flow!$BS12,0)</f>
        <v>517.45614684331281</v>
      </c>
      <c r="N36" s="62">
        <f>IF($X9&gt;0,(N9/$X9)*County_Flow!$BS12,0)</f>
        <v>4608.2118273998967</v>
      </c>
      <c r="O36" s="62">
        <f>IF($X9&gt;0,(O9/$X9)*County_Flow!$BS12,0)</f>
        <v>239.5781215306047</v>
      </c>
      <c r="P36" s="62">
        <f>IF($X9&gt;0,(P9/$X9)*County_Flow!$BS12,0)</f>
        <v>44.819036340759382</v>
      </c>
      <c r="Q36" s="62">
        <f>IF($X9&gt;0,(Q9/$X9)*County_Flow!$BS12,0)</f>
        <v>122.23373547479831</v>
      </c>
      <c r="R36" s="62">
        <f>IF($X9&gt;0,(R9/$X9)*County_Flow!$BS12,0)</f>
        <v>88.823181111686779</v>
      </c>
      <c r="S36" s="62">
        <f>IF($X9&gt;0,(S9/$X9)*County_Flow!$BS12,0)</f>
        <v>63.561542446895125</v>
      </c>
      <c r="T36" s="62">
        <f>IF($X9&gt;0,(T9/$X9)*County_Flow!$BS12,0)</f>
        <v>78.229590703870926</v>
      </c>
      <c r="U36" s="62">
        <f>IF($X9&gt;0,(U9/$X9)*County_Flow!$BS12,0)</f>
        <v>117.34438605580637</v>
      </c>
      <c r="V36" s="62">
        <f>IF($X9&gt;0,(V9/$X9)*County_Flow!$BS12,0)</f>
        <v>26.891421804455629</v>
      </c>
      <c r="W36" s="62">
        <f>IF($X9&gt;0,(W9/$X9)*County_Flow!$BS12,0)</f>
        <v>0</v>
      </c>
      <c r="X36" s="62">
        <f>IF($X9&gt;0,(X9/$X9)*County_Flow!$BS12,0)</f>
        <v>33030</v>
      </c>
    </row>
    <row r="37" spans="2:24" x14ac:dyDescent="0.45">
      <c r="B37">
        <v>7</v>
      </c>
      <c r="C37" s="62">
        <f>IF($X10&gt;0,(C10/$X10)*County_Flow!$BS13,0)</f>
        <v>4220.949711093408</v>
      </c>
      <c r="D37" s="62">
        <f>IF($X10&gt;0,(D10/$X10)*County_Flow!$BS13,0)</f>
        <v>5770.800629241583</v>
      </c>
      <c r="E37" s="62">
        <f>IF($X10&gt;0,(E10/$X10)*County_Flow!$BS13,0)</f>
        <v>2236.9174019583124</v>
      </c>
      <c r="F37" s="62">
        <f>IF($X10&gt;0,(F10/$X10)*County_Flow!$BS13,0)</f>
        <v>1362.9762723486645</v>
      </c>
      <c r="G37" s="62">
        <f>IF($X10&gt;0,(G10/$X10)*County_Flow!$BS13,0)</f>
        <v>2283.4036322566981</v>
      </c>
      <c r="H37" s="62">
        <f>IF($X10&gt;0,(H10/$X10)*County_Flow!$BS13,0)</f>
        <v>7906.3780491494144</v>
      </c>
      <c r="I37" s="62">
        <f>IF($X10&gt;0,(I10/$X10)*County_Flow!$BS13,0)</f>
        <v>35993.358395433963</v>
      </c>
      <c r="J37" s="62">
        <f>IF($X10&gt;0,(J10/$X10)*County_Flow!$BS13,0)</f>
        <v>254.74454203515282</v>
      </c>
      <c r="K37" s="62">
        <f>IF($X10&gt;0,(K10/$X10)*County_Flow!$BS13,0)</f>
        <v>4620.7312916595238</v>
      </c>
      <c r="L37" s="62">
        <f>IF($X10&gt;0,(L10/$X10)*County_Flow!$BS13,0)</f>
        <v>1453.1595591275322</v>
      </c>
      <c r="M37" s="62">
        <f>IF($X10&gt;0,(M10/$X10)*County_Flow!$BS13,0)</f>
        <v>1927.319108171065</v>
      </c>
      <c r="N37" s="62">
        <f>IF($X10&gt;0,(N10/$X10)*County_Flow!$BS13,0)</f>
        <v>11640.152066715742</v>
      </c>
      <c r="O37" s="62">
        <f>IF($X10&gt;0,(O10/$X10)*County_Flow!$BS13,0)</f>
        <v>10067.987758024343</v>
      </c>
      <c r="P37" s="62">
        <f>IF($X10&gt;0,(P10/$X10)*County_Flow!$BS13,0)</f>
        <v>68.799620841610619</v>
      </c>
      <c r="Q37" s="62">
        <f>IF($X10&gt;0,(Q10/$X10)*County_Flow!$BS13,0)</f>
        <v>1021.7673419585144</v>
      </c>
      <c r="R37" s="62">
        <f>IF($X10&gt;0,(R10/$X10)*County_Flow!$BS13,0)</f>
        <v>91.113011384835673</v>
      </c>
      <c r="S37" s="62">
        <f>IF($X10&gt;0,(S10/$X10)*County_Flow!$BS13,0)</f>
        <v>105.05888047435134</v>
      </c>
      <c r="T37" s="62">
        <f>IF($X10&gt;0,(T10/$X10)*County_Flow!$BS13,0)</f>
        <v>732.62298950255627</v>
      </c>
      <c r="U37" s="62">
        <f>IF($X10&gt;0,(U10/$X10)*County_Flow!$BS13,0)</f>
        <v>197.10161646515473</v>
      </c>
      <c r="V37" s="62">
        <f>IF($X10&gt;0,(V10/$X10)*County_Flow!$BS13,0)</f>
        <v>242.65812215757256</v>
      </c>
      <c r="W37" s="62">
        <f>IF($X10&gt;0,(W10/$X10)*County_Flow!$BS13,0)</f>
        <v>0</v>
      </c>
      <c r="X37" s="62">
        <f>IF($X10&gt;0,(X10/$X10)*County_Flow!$BS13,0)</f>
        <v>92198</v>
      </c>
    </row>
    <row r="38" spans="2:24" x14ac:dyDescent="0.45">
      <c r="B38">
        <v>8</v>
      </c>
      <c r="C38" s="62">
        <f>IF($X11&gt;0,(C11/$X11)*County_Flow!$BS14,0)</f>
        <v>505.69753577106513</v>
      </c>
      <c r="D38" s="62">
        <f>IF($X11&gt;0,(D11/$X11)*County_Flow!$BS14,0)</f>
        <v>389.85492845786962</v>
      </c>
      <c r="E38" s="62">
        <f>IF($X11&gt;0,(E11/$X11)*County_Flow!$BS14,0)</f>
        <v>582.55465023847376</v>
      </c>
      <c r="F38" s="62">
        <f>IF($X11&gt;0,(F11/$X11)*County_Flow!$BS14,0)</f>
        <v>285.15103338632753</v>
      </c>
      <c r="G38" s="62">
        <f>IF($X11&gt;0,(G11/$X11)*County_Flow!$BS14,0)</f>
        <v>316.33942766295706</v>
      </c>
      <c r="H38" s="62">
        <f>IF($X11&gt;0,(H11/$X11)*County_Flow!$BS14,0)</f>
        <v>920.05763116057244</v>
      </c>
      <c r="I38" s="62">
        <f>IF($X11&gt;0,(I11/$X11)*County_Flow!$BS14,0)</f>
        <v>189.35810810810813</v>
      </c>
      <c r="J38" s="62">
        <f>IF($X11&gt;0,(J11/$X11)*County_Flow!$BS14,0)</f>
        <v>565.84658187599371</v>
      </c>
      <c r="K38" s="62">
        <f>IF($X11&gt;0,(K11/$X11)*County_Flow!$BS14,0)</f>
        <v>190.47197933227346</v>
      </c>
      <c r="L38" s="62">
        <f>IF($X11&gt;0,(L11/$X11)*County_Flow!$BS14,0)</f>
        <v>249.50715421303656</v>
      </c>
      <c r="M38" s="62">
        <f>IF($X11&gt;0,(M11/$X11)*County_Flow!$BS14,0)</f>
        <v>718.4469395866455</v>
      </c>
      <c r="N38" s="62">
        <f>IF($X11&gt;0,(N11/$X11)*County_Flow!$BS14,0)</f>
        <v>317.4532988871224</v>
      </c>
      <c r="O38" s="62">
        <f>IF($X11&gt;0,(O11/$X11)*County_Flow!$BS14,0)</f>
        <v>32.30226550079491</v>
      </c>
      <c r="P38" s="62">
        <f>IF($X11&gt;0,(P11/$X11)*County_Flow!$BS14,0)</f>
        <v>147.03100158982511</v>
      </c>
      <c r="Q38" s="62">
        <f>IF($X11&gt;0,(Q11/$X11)*County_Flow!$BS14,0)</f>
        <v>15.594197138314785</v>
      </c>
      <c r="R38" s="62">
        <f>IF($X11&gt;0,(R11/$X11)*County_Flow!$BS14,0)</f>
        <v>25.619038155802862</v>
      </c>
      <c r="S38" s="62">
        <f>IF($X11&gt;0,(S11/$X11)*County_Flow!$BS14,0)</f>
        <v>86.881955484896665</v>
      </c>
      <c r="T38" s="62">
        <f>IF($X11&gt;0,(T11/$X11)*County_Flow!$BS14,0)</f>
        <v>8.9109697933227352</v>
      </c>
      <c r="U38" s="62">
        <f>IF($X11&gt;0,(U11/$X11)*County_Flow!$BS14,0)</f>
        <v>34.530007949125597</v>
      </c>
      <c r="V38" s="62">
        <f>IF($X11&gt;0,(V11/$X11)*County_Flow!$BS14,0)</f>
        <v>23.391295707472178</v>
      </c>
      <c r="W38" s="62">
        <f>IF($X11&gt;0,(W11/$X11)*County_Flow!$BS14,0)</f>
        <v>0</v>
      </c>
      <c r="X38" s="62">
        <f>IF($X11&gt;0,(X11/$X11)*County_Flow!$BS14,0)</f>
        <v>5605</v>
      </c>
    </row>
    <row r="39" spans="2:24" x14ac:dyDescent="0.45">
      <c r="B39">
        <v>9</v>
      </c>
      <c r="C39" s="62">
        <f>IF($X12&gt;0,(C12/$X12)*County_Flow!$BS15,0)</f>
        <v>4030.6183201843191</v>
      </c>
      <c r="D39" s="62">
        <f>IF($X12&gt;0,(D12/$X12)*County_Flow!$BS15,0)</f>
        <v>5606.6375479997214</v>
      </c>
      <c r="E39" s="62">
        <f>IF($X12&gt;0,(E12/$X12)*County_Flow!$BS15,0)</f>
        <v>2153.3440340710745</v>
      </c>
      <c r="F39" s="62">
        <f>IF($X12&gt;0,(F12/$X12)*County_Flow!$BS15,0)</f>
        <v>1307.6988061160371</v>
      </c>
      <c r="G39" s="62">
        <f>IF($X12&gt;0,(G12/$X12)*County_Flow!$BS15,0)</f>
        <v>1508.2126230538295</v>
      </c>
      <c r="H39" s="62">
        <f>IF($X12&gt;0,(H12/$X12)*County_Flow!$BS15,0)</f>
        <v>6687.6685610556451</v>
      </c>
      <c r="I39" s="62">
        <f>IF($X12&gt;0,(I12/$X12)*County_Flow!$BS15,0)</f>
        <v>6814.5637785380159</v>
      </c>
      <c r="J39" s="62">
        <f>IF($X12&gt;0,(J12/$X12)*County_Flow!$BS15,0)</f>
        <v>164.67318299238985</v>
      </c>
      <c r="K39" s="62">
        <f>IF($X12&gt;0,(K12/$X12)*County_Flow!$BS15,0)</f>
        <v>22256.065014312644</v>
      </c>
      <c r="L39" s="62">
        <f>IF($X12&gt;0,(L12/$X12)*County_Flow!$BS15,0)</f>
        <v>998.69442155972911</v>
      </c>
      <c r="M39" s="62">
        <f>IF($X12&gt;0,(M12/$X12)*County_Flow!$BS15,0)</f>
        <v>3627.6533547441181</v>
      </c>
      <c r="N39" s="62">
        <f>IF($X12&gt;0,(N12/$X12)*County_Flow!$BS15,0)</f>
        <v>5467.149675347343</v>
      </c>
      <c r="O39" s="62">
        <f>IF($X12&gt;0,(O12/$X12)*County_Flow!$BS15,0)</f>
        <v>2317.0485512811561</v>
      </c>
      <c r="P39" s="62">
        <f>IF($X12&gt;0,(P12/$X12)*County_Flow!$BS15,0)</f>
        <v>162.7358514277735</v>
      </c>
      <c r="Q39" s="62">
        <f>IF($X12&gt;0,(Q12/$X12)*County_Flow!$BS15,0)</f>
        <v>5011.8767576625014</v>
      </c>
      <c r="R39" s="62">
        <f>IF($X12&gt;0,(R12/$X12)*County_Flow!$BS15,0)</f>
        <v>76.524596802345883</v>
      </c>
      <c r="S39" s="62">
        <f>IF($X12&gt;0,(S12/$X12)*County_Flow!$BS15,0)</f>
        <v>106.55323605389933</v>
      </c>
      <c r="T39" s="62">
        <f>IF($X12&gt;0,(T12/$X12)*County_Flow!$BS15,0)</f>
        <v>206.32581163164141</v>
      </c>
      <c r="U39" s="62">
        <f>IF($X12&gt;0,(U12/$X12)*County_Flow!$BS15,0)</f>
        <v>836.92723591426375</v>
      </c>
      <c r="V39" s="62">
        <f>IF($X12&gt;0,(V12/$X12)*County_Flow!$BS15,0)</f>
        <v>30.028639251553443</v>
      </c>
      <c r="W39" s="62">
        <f>IF($X12&gt;0,(W12/$X12)*County_Flow!$BS15,0)</f>
        <v>0</v>
      </c>
      <c r="X39" s="62">
        <f>IF($X12&gt;0,(X12/$X12)*County_Flow!$BS15,0)</f>
        <v>69371</v>
      </c>
    </row>
    <row r="40" spans="2:24" x14ac:dyDescent="0.45">
      <c r="B40">
        <v>10</v>
      </c>
      <c r="C40" s="62">
        <f>IF($X13&gt;0,(C13/$X13)*County_Flow!$BS16,0)</f>
        <v>2387.1712648357498</v>
      </c>
      <c r="D40" s="62">
        <f>IF($X13&gt;0,(D13/$X13)*County_Flow!$BS16,0)</f>
        <v>974.05442645539097</v>
      </c>
      <c r="E40" s="62">
        <f>IF($X13&gt;0,(E13/$X13)*County_Flow!$BS16,0)</f>
        <v>690.87761876428772</v>
      </c>
      <c r="F40" s="62">
        <f>IF($X13&gt;0,(F13/$X13)*County_Flow!$BS16,0)</f>
        <v>986.04562678107288</v>
      </c>
      <c r="G40" s="62">
        <f>IF($X13&gt;0,(G13/$X13)*County_Flow!$BS16,0)</f>
        <v>1729.5000469733504</v>
      </c>
      <c r="H40" s="62">
        <f>IF($X13&gt;0,(H13/$X13)*County_Flow!$BS16,0)</f>
        <v>7680.8250086117814</v>
      </c>
      <c r="I40" s="62">
        <f>IF($X13&gt;0,(I13/$X13)*County_Flow!$BS16,0)</f>
        <v>791.41922149500522</v>
      </c>
      <c r="J40" s="62">
        <f>IF($X13&gt;0,(J13/$X13)*County_Flow!$BS16,0)</f>
        <v>77.481602104406107</v>
      </c>
      <c r="K40" s="62">
        <f>IF($X13&gt;0,(K13/$X13)*County_Flow!$BS16,0)</f>
        <v>794.18642157016257</v>
      </c>
      <c r="L40" s="62">
        <f>IF($X13&gt;0,(L13/$X13)*County_Flow!$BS16,0)</f>
        <v>6019.5825634923121</v>
      </c>
      <c r="M40" s="62">
        <f>IF($X13&gt;0,(M13/$X13)*County_Flow!$BS16,0)</f>
        <v>858.75442332383432</v>
      </c>
      <c r="N40" s="62">
        <f>IF($X13&gt;0,(N13/$X13)*County_Flow!$BS16,0)</f>
        <v>5034.4593367362913</v>
      </c>
      <c r="O40" s="62">
        <f>IF($X13&gt;0,(O13/$X13)*County_Flow!$BS16,0)</f>
        <v>208.46240566185452</v>
      </c>
      <c r="P40" s="62">
        <f>IF($X13&gt;0,(P13/$X13)*County_Flow!$BS16,0)</f>
        <v>47.964801302727587</v>
      </c>
      <c r="Q40" s="62">
        <f>IF($X13&gt;0,(Q13/$X13)*County_Flow!$BS16,0)</f>
        <v>89.472802430087995</v>
      </c>
      <c r="R40" s="62">
        <f>IF($X13&gt;0,(R13/$X13)*County_Flow!$BS16,0)</f>
        <v>832.92722262236555</v>
      </c>
      <c r="S40" s="62">
        <f>IF($X13&gt;0,(S13/$X13)*County_Flow!$BS16,0)</f>
        <v>77.481602104406107</v>
      </c>
      <c r="T40" s="62">
        <f>IF($X13&gt;0,(T13/$X13)*County_Flow!$BS16,0)</f>
        <v>57.188801553252127</v>
      </c>
      <c r="U40" s="62">
        <f>IF($X13&gt;0,(U13/$X13)*County_Flow!$BS16,0)</f>
        <v>72.869601979143837</v>
      </c>
      <c r="V40" s="62">
        <f>IF($X13&gt;0,(V13/$X13)*County_Flow!$BS16,0)</f>
        <v>44.275201202517771</v>
      </c>
      <c r="W40" s="62">
        <f>IF($X13&gt;0,(W13/$X13)*County_Flow!$BS16,0)</f>
        <v>0</v>
      </c>
      <c r="X40" s="62">
        <f>IF($X13&gt;0,(X13/$X13)*County_Flow!$BS16,0)</f>
        <v>29455</v>
      </c>
    </row>
    <row r="41" spans="2:24" x14ac:dyDescent="0.45">
      <c r="B41">
        <v>11</v>
      </c>
      <c r="C41" s="62">
        <f>IF($X14&gt;0,(C14/$X14)*County_Flow!$BS17,0)</f>
        <v>3389.108662796446</v>
      </c>
      <c r="D41" s="62">
        <f>IF($X14&gt;0,(D14/$X14)*County_Flow!$BS17,0)</f>
        <v>2422.2208003163978</v>
      </c>
      <c r="E41" s="62">
        <f>IF($X14&gt;0,(E14/$X14)*County_Flow!$BS17,0)</f>
        <v>3659.1704450753564</v>
      </c>
      <c r="F41" s="62">
        <f>IF($X14&gt;0,(F14/$X14)*County_Flow!$BS17,0)</f>
        <v>1883.7642837973358</v>
      </c>
      <c r="G41" s="62">
        <f>IF($X14&gt;0,(G14/$X14)*County_Flow!$BS17,0)</f>
        <v>1782.074353433055</v>
      </c>
      <c r="H41" s="62">
        <f>IF($X14&gt;0,(H14/$X14)*County_Flow!$BS17,0)</f>
        <v>5796.3260307640157</v>
      </c>
      <c r="I41" s="62">
        <f>IF($X14&gt;0,(I14/$X14)*County_Flow!$BS17,0)</f>
        <v>1759.5692049098125</v>
      </c>
      <c r="J41" s="62">
        <f>IF($X14&gt;0,(J14/$X14)*County_Flow!$BS17,0)</f>
        <v>1078.5800810768817</v>
      </c>
      <c r="K41" s="62">
        <f>IF($X14&gt;0,(K14/$X14)*County_Flow!$BS17,0)</f>
        <v>3707.5148381993586</v>
      </c>
      <c r="L41" s="62">
        <f>IF($X14&gt;0,(L14/$X14)*County_Flow!$BS17,0)</f>
        <v>731.8340890150713</v>
      </c>
      <c r="M41" s="62">
        <f>IF($X14&gt;0,(M14/$X14)*County_Flow!$BS17,0)</f>
        <v>22536.822435978924</v>
      </c>
      <c r="N41" s="62">
        <f>IF($X14&gt;0,(N14/$X14)*County_Flow!$BS17,0)</f>
        <v>2543.9153071457831</v>
      </c>
      <c r="O41" s="62">
        <f>IF($X14&gt;0,(O14/$X14)*County_Flow!$BS17,0)</f>
        <v>575.96509739113242</v>
      </c>
      <c r="P41" s="62">
        <f>IF($X14&gt;0,(P14/$X14)*County_Flow!$BS17,0)</f>
        <v>480.94335918188625</v>
      </c>
      <c r="Q41" s="62">
        <f>IF($X14&gt;0,(Q14/$X14)*County_Flow!$BS17,0)</f>
        <v>688.4908400073449</v>
      </c>
      <c r="R41" s="62">
        <f>IF($X14&gt;0,(R14/$X14)*County_Flow!$BS17,0)</f>
        <v>69.18249360848624</v>
      </c>
      <c r="S41" s="62">
        <f>IF($X14&gt;0,(S14/$X14)*County_Flow!$BS17,0)</f>
        <v>1296.9633741542721</v>
      </c>
      <c r="T41" s="62">
        <f>IF($X14&gt;0,(T14/$X14)*County_Flow!$BS17,0)</f>
        <v>69.18249360848624</v>
      </c>
      <c r="U41" s="62">
        <f>IF($X14&gt;0,(U14/$X14)*County_Flow!$BS17,0)</f>
        <v>4498.5291325903636</v>
      </c>
      <c r="V41" s="62">
        <f>IF($X14&gt;0,(V14/$X14)*County_Flow!$BS17,0)</f>
        <v>40.84267694958826</v>
      </c>
      <c r="W41" s="62">
        <f>IF($X14&gt;0,(W14/$X14)*County_Flow!$BS17,0)</f>
        <v>0</v>
      </c>
      <c r="X41" s="62">
        <f>IF($X14&gt;0,(X14/$X14)*County_Flow!$BS17,0)</f>
        <v>59011</v>
      </c>
    </row>
    <row r="42" spans="2:24" x14ac:dyDescent="0.45">
      <c r="B42">
        <v>12</v>
      </c>
      <c r="C42" s="62">
        <f>IF($X15&gt;0,(C15/$X15)*County_Flow!$BS18,0)</f>
        <v>7101.5439629942884</v>
      </c>
      <c r="D42" s="62">
        <f>IF($X15&gt;0,(D15/$X15)*County_Flow!$BS18,0)</f>
        <v>4147.5288358620073</v>
      </c>
      <c r="E42" s="62">
        <f>IF($X15&gt;0,(E15/$X15)*County_Flow!$BS18,0)</f>
        <v>1918.0488918496119</v>
      </c>
      <c r="F42" s="62">
        <f>IF($X15&gt;0,(F15/$X15)*County_Flow!$BS18,0)</f>
        <v>1642.3408133172657</v>
      </c>
      <c r="G42" s="62">
        <f>IF($X15&gt;0,(G15/$X15)*County_Flow!$BS18,0)</f>
        <v>2895.3928114310525</v>
      </c>
      <c r="H42" s="62">
        <f>IF($X15&gt;0,(H15/$X15)*County_Flow!$BS18,0)</f>
        <v>17376.02076331764</v>
      </c>
      <c r="I42" s="62">
        <f>IF($X15&gt;0,(I15/$X15)*County_Flow!$BS18,0)</f>
        <v>8160.4095403477513</v>
      </c>
      <c r="J42" s="62">
        <f>IF($X15&gt;0,(J15/$X15)*County_Flow!$BS18,0)</f>
        <v>245.48094699889973</v>
      </c>
      <c r="K42" s="62">
        <f>IF($X15&gt;0,(K15/$X15)*County_Flow!$BS18,0)</f>
        <v>2938.4435745241431</v>
      </c>
      <c r="L42" s="62">
        <f>IF($X15&gt;0,(L15/$X15)*County_Flow!$BS18,0)</f>
        <v>2136.05062836356</v>
      </c>
      <c r="M42" s="62">
        <f>IF($X15&gt;0,(M15/$X15)*County_Flow!$BS18,0)</f>
        <v>1626.7692607091265</v>
      </c>
      <c r="N42" s="62">
        <f>IF($X15&gt;0,(N15/$X15)*County_Flow!$BS18,0)</f>
        <v>64122.737666634232</v>
      </c>
      <c r="O42" s="62">
        <f>IF($X15&gt;0,(O15/$X15)*County_Flow!$BS18,0)</f>
        <v>2374.203785899806</v>
      </c>
      <c r="P42" s="62">
        <f>IF($X15&gt;0,(P15/$X15)*County_Flow!$BS18,0)</f>
        <v>80.605684089190945</v>
      </c>
      <c r="Q42" s="62">
        <f>IF($X15&gt;0,(Q15/$X15)*County_Flow!$BS18,0)</f>
        <v>443.33126249055022</v>
      </c>
      <c r="R42" s="62">
        <f>IF($X15&gt;0,(R15/$X15)*County_Flow!$BS18,0)</f>
        <v>538.59252550504857</v>
      </c>
      <c r="S42" s="62">
        <f>IF($X15&gt;0,(S15/$X15)*County_Flow!$BS18,0)</f>
        <v>129.15228927927186</v>
      </c>
      <c r="T42" s="62">
        <f>IF($X15&gt;0,(T15/$X15)*County_Flow!$BS18,0)</f>
        <v>3375.3630212348708</v>
      </c>
      <c r="U42" s="62">
        <f>IF($X15&gt;0,(U15/$X15)*County_Flow!$BS18,0)</f>
        <v>180.44681551784791</v>
      </c>
      <c r="V42" s="62">
        <f>IF($X15&gt;0,(V15/$X15)*County_Flow!$BS18,0)</f>
        <v>942.53691963383505</v>
      </c>
      <c r="W42" s="62">
        <f>IF($X15&gt;0,(W15/$X15)*County_Flow!$BS18,0)</f>
        <v>0</v>
      </c>
      <c r="X42" s="62">
        <f>IF($X15&gt;0,(X15/$X15)*County_Flow!$BS18,0)</f>
        <v>122375</v>
      </c>
    </row>
    <row r="43" spans="2:24" x14ac:dyDescent="0.45">
      <c r="B43">
        <v>13</v>
      </c>
      <c r="C43" s="62">
        <f>IF($X16&gt;0,(C16/$X16)*County_Flow!$BS19,0)</f>
        <v>1404.2143745883043</v>
      </c>
      <c r="D43" s="62">
        <f>IF($X16&gt;0,(D16/$X16)*County_Flow!$BS19,0)</f>
        <v>1561.2526531508454</v>
      </c>
      <c r="E43" s="62">
        <f>IF($X16&gt;0,(E16/$X16)*County_Flow!$BS19,0)</f>
        <v>398.07377589109268</v>
      </c>
      <c r="F43" s="62">
        <f>IF($X16&gt;0,(F16/$X16)*County_Flow!$BS19,0)</f>
        <v>335.0758618165849</v>
      </c>
      <c r="G43" s="62">
        <f>IF($X16&gt;0,(G16/$X16)*County_Flow!$BS19,0)</f>
        <v>403.55185537583259</v>
      </c>
      <c r="H43" s="62">
        <f>IF($X16&gt;0,(H16/$X16)*County_Flow!$BS19,0)</f>
        <v>2927.1204713459706</v>
      </c>
      <c r="I43" s="62">
        <f>IF($X16&gt;0,(I16/$X16)*County_Flow!$BS19,0)</f>
        <v>13481.553611944668</v>
      </c>
      <c r="J43" s="62">
        <f>IF($X16&gt;0,(J16/$X16)*County_Flow!$BS19,0)</f>
        <v>20.999304691502598</v>
      </c>
      <c r="K43" s="62">
        <f>IF($X16&gt;0,(K16/$X16)*County_Flow!$BS19,0)</f>
        <v>1677.205335577838</v>
      </c>
      <c r="L43" s="62">
        <f>IF($X16&gt;0,(L16/$X16)*County_Flow!$BS19,0)</f>
        <v>396.24774939617942</v>
      </c>
      <c r="M43" s="62">
        <f>IF($X16&gt;0,(M16/$X16)*County_Flow!$BS19,0)</f>
        <v>411.76897460294225</v>
      </c>
      <c r="N43" s="62">
        <f>IF($X16&gt;0,(N16/$X16)*County_Flow!$BS19,0)</f>
        <v>5970.1936251189345</v>
      </c>
      <c r="O43" s="62">
        <f>IF($X16&gt;0,(O16/$X16)*County_Flow!$BS19,0)</f>
        <v>65854.732525799613</v>
      </c>
      <c r="P43" s="62">
        <f>IF($X16&gt;0,(P16/$X16)*County_Flow!$BS19,0)</f>
        <v>26.477384176242406</v>
      </c>
      <c r="Q43" s="62">
        <f>IF($X16&gt;0,(Q16/$X16)*County_Flow!$BS19,0)</f>
        <v>2214.0571250823391</v>
      </c>
      <c r="R43" s="62">
        <f>IF($X16&gt;0,(R16/$X16)*County_Flow!$BS19,0)</f>
        <v>83.084205518553759</v>
      </c>
      <c r="S43" s="62">
        <f>IF($X16&gt;0,(S16/$X16)*County_Flow!$BS19,0)</f>
        <v>35.607516650808755</v>
      </c>
      <c r="T43" s="62">
        <f>IF($X16&gt;0,(T16/$X16)*County_Flow!$BS19,0)</f>
        <v>2221.3612310619919</v>
      </c>
      <c r="U43" s="62">
        <f>IF($X16&gt;0,(U16/$X16)*County_Flow!$BS19,0)</f>
        <v>94.040364488033376</v>
      </c>
      <c r="V43" s="62">
        <f>IF($X16&gt;0,(V16/$X16)*County_Flow!$BS19,0)</f>
        <v>279.38205372173019</v>
      </c>
      <c r="W43" s="62">
        <f>IF($X16&gt;0,(W16/$X16)*County_Flow!$BS19,0)</f>
        <v>0</v>
      </c>
      <c r="X43" s="62">
        <f>IF($X16&gt;0,(X16/$X16)*County_Flow!$BS19,0)</f>
        <v>99796</v>
      </c>
    </row>
    <row r="44" spans="2:24" x14ac:dyDescent="0.45">
      <c r="B44">
        <v>14</v>
      </c>
      <c r="C44" s="62">
        <f>IF($X17&gt;0,(C17/$X17)*County_Flow!$BS20,0)</f>
        <v>695.24252936013704</v>
      </c>
      <c r="D44" s="62">
        <f>IF($X17&gt;0,(D17/$X17)*County_Flow!$BS20,0)</f>
        <v>918.12370961675094</v>
      </c>
      <c r="E44" s="62">
        <f>IF($X17&gt;0,(E17/$X17)*County_Flow!$BS20,0)</f>
        <v>374.22025327036403</v>
      </c>
      <c r="F44" s="62">
        <f>IF($X17&gt;0,(F17/$X17)*County_Flow!$BS20,0)</f>
        <v>386.14393781084129</v>
      </c>
      <c r="G44" s="62">
        <f>IF($X17&gt;0,(G17/$X17)*County_Flow!$BS20,0)</f>
        <v>346.70405817695496</v>
      </c>
      <c r="H44" s="62">
        <f>IF($X17&gt;0,(H17/$X17)*County_Flow!$BS20,0)</f>
        <v>1923.3820370292974</v>
      </c>
      <c r="I44" s="62">
        <f>IF($X17&gt;0,(I17/$X17)*County_Flow!$BS20,0)</f>
        <v>500.794750700046</v>
      </c>
      <c r="J44" s="62">
        <f>IF($X17&gt;0,(J17/$X17)*County_Flow!$BS20,0)</f>
        <v>253.14899485936388</v>
      </c>
      <c r="K44" s="62">
        <f>IF($X17&gt;0,(K17/$X17)*County_Flow!$BS20,0)</f>
        <v>406.3224808793413</v>
      </c>
      <c r="L44" s="62">
        <f>IF($X17&gt;0,(L17/$X17)*County_Flow!$BS20,0)</f>
        <v>233.88765829397752</v>
      </c>
      <c r="M44" s="62">
        <f>IF($X17&gt;0,(M17/$X17)*County_Flow!$BS20,0)</f>
        <v>2044.4532954402976</v>
      </c>
      <c r="N44" s="62">
        <f>IF($X17&gt;0,(N17/$X17)*County_Flow!$BS20,0)</f>
        <v>624.61762862038699</v>
      </c>
      <c r="O44" s="62">
        <f>IF($X17&gt;0,(O17/$X17)*County_Flow!$BS20,0)</f>
        <v>55.94959668993188</v>
      </c>
      <c r="P44" s="62">
        <f>IF($X17&gt;0,(P17/$X17)*County_Flow!$BS20,0)</f>
        <v>10926.68107159276</v>
      </c>
      <c r="Q44" s="62">
        <f>IF($X17&gt;0,(Q17/$X17)*County_Flow!$BS20,0)</f>
        <v>81.631378777113724</v>
      </c>
      <c r="R44" s="62">
        <f>IF($X17&gt;0,(R17/$X17)*County_Flow!$BS20,0)</f>
        <v>11.923684540477286</v>
      </c>
      <c r="S44" s="62">
        <f>IF($X17&gt;0,(S17/$X17)*County_Flow!$BS20,0)</f>
        <v>1730.7686713754335</v>
      </c>
      <c r="T44" s="62">
        <f>IF($X17&gt;0,(T17/$X17)*County_Flow!$BS20,0)</f>
        <v>10.08927153425001</v>
      </c>
      <c r="U44" s="62">
        <f>IF($X17&gt;0,(U17/$X17)*County_Flow!$BS20,0)</f>
        <v>418.24616541981862</v>
      </c>
      <c r="V44" s="62">
        <f>IF($X17&gt;0,(V17/$X17)*County_Flow!$BS20,0)</f>
        <v>3.6688260124545491</v>
      </c>
      <c r="W44" s="62">
        <f>IF($X17&gt;0,(W17/$X17)*County_Flow!$BS20,0)</f>
        <v>0</v>
      </c>
      <c r="X44" s="62">
        <f>IF($X17&gt;0,(X17/$X17)*County_Flow!$BS20,0)</f>
        <v>21946</v>
      </c>
    </row>
    <row r="45" spans="2:24" x14ac:dyDescent="0.45">
      <c r="B45">
        <v>15</v>
      </c>
      <c r="C45" s="62">
        <f>IF($X18&gt;0,(C18/$X18)*County_Flow!$BS21,0)</f>
        <v>878.69508139331356</v>
      </c>
      <c r="D45" s="62">
        <f>IF($X18&gt;0,(D18/$X18)*County_Flow!$BS21,0)</f>
        <v>1485.8620689655172</v>
      </c>
      <c r="E45" s="62">
        <f>IF($X18&gt;0,(E18/$X18)*County_Flow!$BS21,0)</f>
        <v>207.4172938911255</v>
      </c>
      <c r="F45" s="62">
        <f>IF($X18&gt;0,(F18/$X18)*County_Flow!$BS21,0)</f>
        <v>312.06874671801154</v>
      </c>
      <c r="G45" s="62">
        <f>IF($X18&gt;0,(G18/$X18)*County_Flow!$BS21,0)</f>
        <v>329.03925258183091</v>
      </c>
      <c r="H45" s="62">
        <f>IF($X18&gt;0,(H18/$X18)*County_Flow!$BS21,0)</f>
        <v>1575.4286276912305</v>
      </c>
      <c r="I45" s="62">
        <f>IF($X18&gt;0,(I18/$X18)*County_Flow!$BS21,0)</f>
        <v>2615.3435147908281</v>
      </c>
      <c r="J45" s="62">
        <f>IF($X18&gt;0,(J18/$X18)*County_Flow!$BS21,0)</f>
        <v>33.941011727638717</v>
      </c>
      <c r="K45" s="62">
        <f>IF($X18&gt;0,(K18/$X18)*County_Flow!$BS21,0)</f>
        <v>4748.9132242254509</v>
      </c>
      <c r="L45" s="62">
        <f>IF($X18&gt;0,(L18/$X18)*County_Flow!$BS21,0)</f>
        <v>151.79174689305094</v>
      </c>
      <c r="M45" s="62">
        <f>IF($X18&gt;0,(M18/$X18)*County_Flow!$BS21,0)</f>
        <v>735.38858743217224</v>
      </c>
      <c r="N45" s="62">
        <f>IF($X18&gt;0,(N18/$X18)*County_Flow!$BS21,0)</f>
        <v>1677.2516628741466</v>
      </c>
      <c r="O45" s="62">
        <f>IF($X18&gt;0,(O18/$X18)*County_Flow!$BS21,0)</f>
        <v>3791.0224488009803</v>
      </c>
      <c r="P45" s="62">
        <f>IF($X18&gt;0,(P18/$X18)*County_Flow!$BS21,0)</f>
        <v>15.084894101172765</v>
      </c>
      <c r="Q45" s="62">
        <f>IF($X18&gt;0,(Q18/$X18)*County_Flow!$BS21,0)</f>
        <v>23419.298092070716</v>
      </c>
      <c r="R45" s="62">
        <f>IF($X18&gt;0,(R18/$X18)*County_Flow!$BS21,0)</f>
        <v>21.684535270435848</v>
      </c>
      <c r="S45" s="62">
        <f>IF($X18&gt;0,(S18/$X18)*County_Flow!$BS21,0)</f>
        <v>139.53527043584808</v>
      </c>
      <c r="T45" s="62">
        <f>IF($X18&gt;0,(T18/$X18)*County_Flow!$BS21,0)</f>
        <v>104.65145282688604</v>
      </c>
      <c r="U45" s="62">
        <f>IF($X18&gt;0,(U18/$X18)*County_Flow!$BS21,0)</f>
        <v>830.61198144582534</v>
      </c>
      <c r="V45" s="62">
        <f>IF($X18&gt;0,(V18/$X18)*County_Flow!$BS21,0)</f>
        <v>16.970505863819358</v>
      </c>
      <c r="W45" s="62">
        <f>IF($X18&gt;0,(W18/$X18)*County_Flow!$BS21,0)</f>
        <v>0</v>
      </c>
      <c r="X45" s="62">
        <f>IF($X18&gt;0,(X18/$X18)*County_Flow!$BS21,0)</f>
        <v>43090</v>
      </c>
    </row>
    <row r="46" spans="2:24" x14ac:dyDescent="0.45">
      <c r="B46">
        <v>16</v>
      </c>
      <c r="C46" s="62">
        <f>IF($X19&gt;0,(C19/$X19)*County_Flow!$BS22,0)</f>
        <v>1219.2910514828604</v>
      </c>
      <c r="D46" s="62">
        <f>IF($X19&gt;0,(D19/$X19)*County_Flow!$BS22,0)</f>
        <v>585.00808832969574</v>
      </c>
      <c r="E46" s="62">
        <f>IF($X19&gt;0,(E19/$X19)*County_Flow!$BS22,0)</f>
        <v>319.76248555655411</v>
      </c>
      <c r="F46" s="62">
        <f>IF($X19&gt;0,(F19/$X19)*County_Flow!$BS22,0)</f>
        <v>363.79535242007961</v>
      </c>
      <c r="G46" s="62">
        <f>IF($X19&gt;0,(G19/$X19)*County_Flow!$BS22,0)</f>
        <v>510.57157529849786</v>
      </c>
      <c r="H46" s="62">
        <f>IF($X19&gt;0,(H19/$X19)*County_Flow!$BS22,0)</f>
        <v>3137.8659648221851</v>
      </c>
      <c r="I46" s="62">
        <f>IF($X19&gt;0,(I19/$X19)*County_Flow!$BS22,0)</f>
        <v>402.58621132366153</v>
      </c>
      <c r="J46" s="62">
        <f>IF($X19&gt;0,(J19/$X19)*County_Flow!$BS22,0)</f>
        <v>61.855693927333412</v>
      </c>
      <c r="K46" s="62">
        <f>IF($X19&gt;0,(K19/$X19)*County_Flow!$BS22,0)</f>
        <v>412.02182565155988</v>
      </c>
      <c r="L46" s="62">
        <f>IF($X19&gt;0,(L19/$X19)*County_Flow!$BS22,0)</f>
        <v>1755.024264989087</v>
      </c>
      <c r="M46" s="62">
        <f>IF($X19&gt;0,(M19/$X19)*County_Flow!$BS22,0)</f>
        <v>289.35883938888173</v>
      </c>
      <c r="N46" s="62">
        <f>IF($X19&gt;0,(N19/$X19)*County_Flow!$BS22,0)</f>
        <v>4246.0264475542426</v>
      </c>
      <c r="O46" s="62">
        <f>IF($X19&gt;0,(O19/$X19)*County_Flow!$BS22,0)</f>
        <v>62.904095519322119</v>
      </c>
      <c r="P46" s="62">
        <f>IF($X19&gt;0,(P19/$X19)*County_Flow!$BS22,0)</f>
        <v>32.500449351649763</v>
      </c>
      <c r="Q46" s="62">
        <f>IF($X19&gt;0,(Q19/$X19)*County_Flow!$BS22,0)</f>
        <v>11.532417511875723</v>
      </c>
      <c r="R46" s="62">
        <f>IF($X19&gt;0,(R19/$X19)*County_Flow!$BS22,0)</f>
        <v>2524.5510335087943</v>
      </c>
      <c r="S46" s="62">
        <f>IF($X19&gt;0,(S19/$X19)*County_Flow!$BS22,0)</f>
        <v>10.484015919887019</v>
      </c>
      <c r="T46" s="62">
        <f>IF($X19&gt;0,(T19/$X19)*County_Flow!$BS22,0)</f>
        <v>247.42277570933365</v>
      </c>
      <c r="U46" s="62">
        <f>IF($X19&gt;0,(U19/$X19)*County_Flow!$BS22,0)</f>
        <v>67.097701887276926</v>
      </c>
      <c r="V46" s="62">
        <f>IF($X19&gt;0,(V19/$X19)*County_Flow!$BS22,0)</f>
        <v>72.339709847220433</v>
      </c>
      <c r="W46" s="62">
        <f>IF($X19&gt;0,(W19/$X19)*County_Flow!$BS22,0)</f>
        <v>0</v>
      </c>
      <c r="X46" s="62">
        <f>IF($X19&gt;0,(X19/$X19)*County_Flow!$BS22,0)</f>
        <v>16332</v>
      </c>
    </row>
    <row r="47" spans="2:24" x14ac:dyDescent="0.45">
      <c r="B47">
        <v>17</v>
      </c>
      <c r="C47" s="62">
        <f>IF($X20&gt;0,(C20/$X20)*County_Flow!$BS23,0)</f>
        <v>869.27234803337308</v>
      </c>
      <c r="D47" s="62">
        <f>IF($X20&gt;0,(D20/$X20)*County_Flow!$BS23,0)</f>
        <v>934.01668653158515</v>
      </c>
      <c r="E47" s="62">
        <f>IF($X20&gt;0,(E20/$X20)*County_Flow!$BS23,0)</f>
        <v>388.46603098927295</v>
      </c>
      <c r="F47" s="62">
        <f>IF($X20&gt;0,(F20/$X20)*County_Flow!$BS23,0)</f>
        <v>418.18474374255067</v>
      </c>
      <c r="G47" s="62">
        <f>IF($X20&gt;0,(G20/$X20)*County_Flow!$BS23,0)</f>
        <v>372.54529201430279</v>
      </c>
      <c r="H47" s="62">
        <f>IF($X20&gt;0,(H20/$X20)*County_Flow!$BS23,0)</f>
        <v>1568.7234803337305</v>
      </c>
      <c r="I47" s="62">
        <f>IF($X20&gt;0,(I20/$X20)*County_Flow!$BS23,0)</f>
        <v>504.15673420738977</v>
      </c>
      <c r="J47" s="62">
        <f>IF($X20&gt;0,(J20/$X20)*County_Flow!$BS23,0)</f>
        <v>285.51191895113232</v>
      </c>
      <c r="K47" s="62">
        <f>IF($X20&gt;0,(K20/$X20)*County_Flow!$BS23,0)</f>
        <v>588.0059594755661</v>
      </c>
      <c r="L47" s="62">
        <f>IF($X20&gt;0,(L20/$X20)*County_Flow!$BS23,0)</f>
        <v>122.05899880810487</v>
      </c>
      <c r="M47" s="62">
        <f>IF($X20&gt;0,(M20/$X20)*County_Flow!$BS23,0)</f>
        <v>3828.4070321811682</v>
      </c>
      <c r="N47" s="62">
        <f>IF($X20&gt;0,(N20/$X20)*County_Flow!$BS23,0)</f>
        <v>633.64541120381409</v>
      </c>
      <c r="O47" s="62">
        <f>IF($X20&gt;0,(O20/$X20)*County_Flow!$BS23,0)</f>
        <v>165.5756853396901</v>
      </c>
      <c r="P47" s="62">
        <f>IF($X20&gt;0,(P20/$X20)*County_Flow!$BS23,0)</f>
        <v>1617.5470798569725</v>
      </c>
      <c r="Q47" s="62">
        <f>IF($X20&gt;0,(Q20/$X20)*County_Flow!$BS23,0)</f>
        <v>159.20738974970203</v>
      </c>
      <c r="R47" s="62">
        <f>IF($X20&gt;0,(R20/$X20)*County_Flow!$BS23,0)</f>
        <v>10.613825983313468</v>
      </c>
      <c r="S47" s="62">
        <f>IF($X20&gt;0,(S20/$X20)*County_Flow!$BS23,0)</f>
        <v>7493.3611442193078</v>
      </c>
      <c r="T47" s="62">
        <f>IF($X20&gt;0,(T20/$X20)*County_Flow!$BS23,0)</f>
        <v>0</v>
      </c>
      <c r="U47" s="62">
        <f>IF($X20&gt;0,(U20/$X20)*County_Flow!$BS23,0)</f>
        <v>3188.3933253873661</v>
      </c>
      <c r="V47" s="62">
        <f>IF($X20&gt;0,(V20/$X20)*County_Flow!$BS23,0)</f>
        <v>5.3069129916567341</v>
      </c>
      <c r="W47" s="62">
        <f>IF($X20&gt;0,(W20/$X20)*County_Flow!$BS23,0)</f>
        <v>0</v>
      </c>
      <c r="X47" s="62">
        <f>IF($X20&gt;0,(X20/$X20)*County_Flow!$BS23,0)</f>
        <v>23153</v>
      </c>
    </row>
    <row r="48" spans="2:24" x14ac:dyDescent="0.45">
      <c r="B48">
        <v>18</v>
      </c>
      <c r="C48" s="62">
        <f>IF($X21&gt;0,(C21/$X21)*County_Flow!$BS24,0)</f>
        <v>1108.0176538088092</v>
      </c>
      <c r="D48" s="62">
        <f>IF($X21&gt;0,(D21/$X21)*County_Flow!$BS24,0)</f>
        <v>914.05649218818951</v>
      </c>
      <c r="E48" s="62">
        <f>IF($X21&gt;0,(E21/$X21)*County_Flow!$BS24,0)</f>
        <v>356.56333303910321</v>
      </c>
      <c r="F48" s="62">
        <f>IF($X21&gt;0,(F21/$X21)*County_Flow!$BS24,0)</f>
        <v>428.57286609586015</v>
      </c>
      <c r="G48" s="62">
        <f>IF($X21&gt;0,(G21/$X21)*County_Flow!$BS24,0)</f>
        <v>829.27107423426605</v>
      </c>
      <c r="H48" s="62">
        <f>IF($X21&gt;0,(H21/$X21)*County_Flow!$BS24,0)</f>
        <v>3036.0148291993996</v>
      </c>
      <c r="I48" s="62">
        <f>IF($X21&gt;0,(I21/$X21)*County_Flow!$BS24,0)</f>
        <v>2857.1524406390681</v>
      </c>
      <c r="J48" s="62">
        <f>IF($X21&gt;0,(J21/$X21)*County_Flow!$BS24,0)</f>
        <v>91.754082443287146</v>
      </c>
      <c r="K48" s="62">
        <f>IF($X21&gt;0,(K21/$X21)*County_Flow!$BS24,0)</f>
        <v>514.51972813134432</v>
      </c>
      <c r="L48" s="62">
        <f>IF($X21&gt;0,(L21/$X21)*County_Flow!$BS24,0)</f>
        <v>312.42845793980052</v>
      </c>
      <c r="M48" s="62">
        <f>IF($X21&gt;0,(M21/$X21)*County_Flow!$BS24,0)</f>
        <v>149.82628652131697</v>
      </c>
      <c r="N48" s="62">
        <f>IF($X21&gt;0,(N21/$X21)*County_Flow!$BS24,0)</f>
        <v>17469.280430752933</v>
      </c>
      <c r="O48" s="62">
        <f>IF($X21&gt;0,(O21/$X21)*County_Flow!$BS24,0)</f>
        <v>6398.3954453173274</v>
      </c>
      <c r="P48" s="62">
        <f>IF($X21&gt;0,(P21/$X21)*County_Flow!$BS24,0)</f>
        <v>10.452996734045369</v>
      </c>
      <c r="Q48" s="62">
        <f>IF($X21&gt;0,(Q21/$X21)*County_Flow!$BS24,0)</f>
        <v>186.99249713125607</v>
      </c>
      <c r="R48" s="62">
        <f>IF($X21&gt;0,(R21/$X21)*County_Flow!$BS24,0)</f>
        <v>240.4189248830435</v>
      </c>
      <c r="S48" s="62">
        <f>IF($X21&gt;0,(S21/$X21)*County_Flow!$BS24,0)</f>
        <v>18.583105304969546</v>
      </c>
      <c r="T48" s="62">
        <f>IF($X21&gt;0,(T21/$X21)*County_Flow!$BS24,0)</f>
        <v>13342.669608968135</v>
      </c>
      <c r="U48" s="62">
        <f>IF($X21&gt;0,(U21/$X21)*County_Flow!$BS24,0)</f>
        <v>69.686644893635801</v>
      </c>
      <c r="V48" s="62">
        <f>IF($X21&gt;0,(V21/$X21)*County_Flow!$BS24,0)</f>
        <v>4297.3431017742078</v>
      </c>
      <c r="W48" s="62">
        <f>IF($X21&gt;0,(W21/$X21)*County_Flow!$BS24,0)</f>
        <v>0</v>
      </c>
      <c r="X48" s="62">
        <f>IF($X21&gt;0,(X21/$X21)*County_Flow!$BS24,0)</f>
        <v>52632</v>
      </c>
    </row>
    <row r="49" spans="2:24" x14ac:dyDescent="0.45">
      <c r="B49">
        <v>19</v>
      </c>
      <c r="C49" s="62">
        <f>IF($X22&gt;0,(C22/$X22)*County_Flow!$BS25,0)</f>
        <v>1199.4113909689131</v>
      </c>
      <c r="D49" s="62">
        <f>IF($X22&gt;0,(D22/$X22)*County_Flow!$BS25,0)</f>
        <v>1012.0953029271612</v>
      </c>
      <c r="E49" s="62">
        <f>IF($X22&gt;0,(E22/$X22)*County_Flow!$BS25,0)</f>
        <v>480.54912638983433</v>
      </c>
      <c r="F49" s="62">
        <f>IF($X22&gt;0,(F22/$X22)*County_Flow!$BS25,0)</f>
        <v>351.09507601542998</v>
      </c>
      <c r="G49" s="62">
        <f>IF($X22&gt;0,(G22/$X22)*County_Flow!$BS25,0)</f>
        <v>349.13365100975722</v>
      </c>
      <c r="H49" s="62">
        <f>IF($X22&gt;0,(H22/$X22)*County_Flow!$BS25,0)</f>
        <v>1663.2884048105288</v>
      </c>
      <c r="I49" s="62">
        <f>IF($X22&gt;0,(I22/$X22)*County_Flow!$BS25,0)</f>
        <v>711.01656455638761</v>
      </c>
      <c r="J49" s="62">
        <f>IF($X22&gt;0,(J22/$X22)*County_Flow!$BS25,0)</f>
        <v>185.35466303607896</v>
      </c>
      <c r="K49" s="62">
        <f>IF($X22&gt;0,(K22/$X22)*County_Flow!$BS25,0)</f>
        <v>928.7347401860676</v>
      </c>
      <c r="L49" s="62">
        <f>IF($X22&gt;0,(L22/$X22)*County_Flow!$BS25,0)</f>
        <v>151.02972543680508</v>
      </c>
      <c r="M49" s="62">
        <f>IF($X22&gt;0,(M22/$X22)*County_Flow!$BS25,0)</f>
        <v>8459.6260494667586</v>
      </c>
      <c r="N49" s="62">
        <f>IF($X22&gt;0,(N22/$X22)*County_Flow!$BS25,0)</f>
        <v>1450.4737916950305</v>
      </c>
      <c r="O49" s="62">
        <f>IF($X22&gt;0,(O22/$X22)*County_Flow!$BS25,0)</f>
        <v>271.65736328568187</v>
      </c>
      <c r="P49" s="62">
        <f>IF($X22&gt;0,(P22/$X22)*County_Flow!$BS25,0)</f>
        <v>418.76423871114139</v>
      </c>
      <c r="Q49" s="62">
        <f>IF($X22&gt;0,(Q22/$X22)*County_Flow!$BS25,0)</f>
        <v>1931.0229180848648</v>
      </c>
      <c r="R49" s="62">
        <f>IF($X22&gt;0,(R22/$X22)*County_Flow!$BS25,0)</f>
        <v>41.18992511912866</v>
      </c>
      <c r="S49" s="62">
        <f>IF($X22&gt;0,(S22/$X22)*County_Flow!$BS25,0)</f>
        <v>3644.3276605400497</v>
      </c>
      <c r="T49" s="62">
        <f>IF($X22&gt;0,(T22/$X22)*County_Flow!$BS25,0)</f>
        <v>11.768550034036759</v>
      </c>
      <c r="U49" s="62">
        <f>IF($X22&gt;0,(U22/$X22)*County_Flow!$BS25,0)</f>
        <v>24270.673020195143</v>
      </c>
      <c r="V49" s="62">
        <f>IF($X22&gt;0,(V22/$X22)*County_Flow!$BS25,0)</f>
        <v>10.787837531200363</v>
      </c>
      <c r="W49" s="62">
        <f>IF($X22&gt;0,(W22/$X22)*County_Flow!$BS25,0)</f>
        <v>0</v>
      </c>
      <c r="X49" s="62">
        <f>IF($X22&gt;0,(X22/$X22)*County_Flow!$BS25,0)</f>
        <v>47542</v>
      </c>
    </row>
    <row r="50" spans="2:24" x14ac:dyDescent="0.45">
      <c r="B50">
        <v>20</v>
      </c>
      <c r="C50" s="44">
        <f>IF($X23&gt;0,(C23/$X23)*County_Flow!$BS26,0)</f>
        <v>298.3709591379494</v>
      </c>
      <c r="D50" s="44">
        <f>IF($X23&gt;0,(D23/$X23)*County_Flow!$BS26,0)</f>
        <v>304.14056332017498</v>
      </c>
      <c r="E50" s="44">
        <f>IF($X23&gt;0,(E23/$X23)*County_Flow!$BS26,0)</f>
        <v>41.211458444468157</v>
      </c>
      <c r="F50" s="44">
        <f>IF($X23&gt;0,(F23/$X23)*County_Flow!$BS26,0)</f>
        <v>41.211458444468157</v>
      </c>
      <c r="G50" s="44">
        <f>IF($X23&gt;0,(G23/$X23)*County_Flow!$BS26,0)</f>
        <v>98.907500266723559</v>
      </c>
      <c r="H50" s="44">
        <f>IF($X23&gt;0,(H23/$X23)*County_Flow!$BS26,0)</f>
        <v>429.42339699135817</v>
      </c>
      <c r="I50" s="44">
        <f>IF($X23&gt;0,(I23/$X23)*County_Flow!$BS26,0)</f>
        <v>318.1524591912941</v>
      </c>
      <c r="J50" s="44">
        <f>IF($X23&gt;0,(J23/$X23)*County_Flow!$BS26,0)</f>
        <v>3.2969166755574522</v>
      </c>
      <c r="K50" s="44">
        <f>IF($X23&gt;0,(K23/$X23)*County_Flow!$BS26,0)</f>
        <v>117.86477115117891</v>
      </c>
      <c r="L50" s="44">
        <f>IF($X23&gt;0,(L23/$X23)*County_Flow!$BS26,0)</f>
        <v>141.76741704897046</v>
      </c>
      <c r="M50" s="44">
        <f>IF($X23&gt;0,(M23/$X23)*County_Flow!$BS26,0)</f>
        <v>56.047583484476689</v>
      </c>
      <c r="N50" s="44">
        <f>IF($X23&gt;0,(N23/$X23)*County_Flow!$BS26,0)</f>
        <v>4738.4934919449488</v>
      </c>
      <c r="O50" s="44">
        <f>IF($X23&gt;0,(O23/$X23)*County_Flow!$BS26,0)</f>
        <v>459.09564707137525</v>
      </c>
      <c r="P50" s="44">
        <f>IF($X23&gt;0,(P23/$X23)*County_Flow!$BS26,0)</f>
        <v>8.2422916888936317</v>
      </c>
      <c r="Q50" s="44">
        <f>IF($X23&gt;0,(Q23/$X23)*County_Flow!$BS26,0)</f>
        <v>4.1211458444468159</v>
      </c>
      <c r="R50" s="44">
        <f>IF($X23&gt;0,(R23/$X23)*County_Flow!$BS26,0)</f>
        <v>71.707937693374589</v>
      </c>
      <c r="S50" s="44">
        <f>IF($X23&gt;0,(S23/$X23)*County_Flow!$BS26,0)</f>
        <v>16.484583377787263</v>
      </c>
      <c r="T50" s="44">
        <f>IF($X23&gt;0,(T23/$X23)*County_Flow!$BS26,0)</f>
        <v>3521.9312386642482</v>
      </c>
      <c r="U50" s="44">
        <f>IF($X23&gt;0,(U23/$X23)*County_Flow!$BS26,0)</f>
        <v>9.0665208577829937</v>
      </c>
      <c r="V50" s="44">
        <f>IF($X23&gt;0,(V23/$X23)*County_Flow!$BS26,0)</f>
        <v>20222.462658700522</v>
      </c>
      <c r="W50" s="44">
        <f>IF($X23&gt;0,(W23/$X23)*County_Flow!$BS26,0)</f>
        <v>0</v>
      </c>
      <c r="X50" s="62">
        <f>IF($X23&gt;0,(X23/$X23)*County_Flow!$BS26,0)</f>
        <v>30902</v>
      </c>
    </row>
    <row r="51" spans="2:24" x14ac:dyDescent="0.45">
      <c r="B51" s="80" t="s">
        <v>15</v>
      </c>
      <c r="C51" s="46">
        <f>IF($X24&gt;0,(C24/$X24)*County_Flow!$BS27,0)</f>
        <v>0</v>
      </c>
      <c r="D51" s="46">
        <f>IF($X24&gt;0,(D24/$X24)*County_Flow!$BS27,0)</f>
        <v>0</v>
      </c>
      <c r="E51" s="46">
        <f>IF($X24&gt;0,(E24/$X24)*County_Flow!$BS27,0)</f>
        <v>0</v>
      </c>
      <c r="F51" s="46">
        <f>IF($X24&gt;0,(F24/$X24)*County_Flow!$BS27,0)</f>
        <v>0</v>
      </c>
      <c r="G51" s="46">
        <f>IF($X24&gt;0,(G24/$X24)*County_Flow!$BS27,0)</f>
        <v>0</v>
      </c>
      <c r="H51" s="46">
        <f>IF($X24&gt;0,(H24/$X24)*County_Flow!$BS27,0)</f>
        <v>0</v>
      </c>
      <c r="I51" s="46">
        <f>IF($X24&gt;0,(I24/$X24)*County_Flow!$BS27,0)</f>
        <v>0</v>
      </c>
      <c r="J51" s="46">
        <f>IF($X24&gt;0,(J24/$X24)*County_Flow!$BS27,0)</f>
        <v>0</v>
      </c>
      <c r="K51" s="46">
        <f>IF($X24&gt;0,(K24/$X24)*County_Flow!$BS27,0)</f>
        <v>0</v>
      </c>
      <c r="L51" s="46">
        <f>IF($X24&gt;0,(L24/$X24)*County_Flow!$BS27,0)</f>
        <v>0</v>
      </c>
      <c r="M51" s="46">
        <f>IF($X24&gt;0,(M24/$X24)*County_Flow!$BS27,0)</f>
        <v>0</v>
      </c>
      <c r="N51" s="46">
        <f>IF($X24&gt;0,(N24/$X24)*County_Flow!$BS27,0)</f>
        <v>0</v>
      </c>
      <c r="O51" s="46">
        <f>IF($X24&gt;0,(O24/$X24)*County_Flow!$BS27,0)</f>
        <v>0</v>
      </c>
      <c r="P51" s="46">
        <f>IF($X24&gt;0,(P24/$X24)*County_Flow!$BS27,0)</f>
        <v>0</v>
      </c>
      <c r="Q51" s="46">
        <f>IF($X24&gt;0,(Q24/$X24)*County_Flow!$BS27,0)</f>
        <v>0</v>
      </c>
      <c r="R51" s="46">
        <f>IF($X24&gt;0,(R24/$X24)*County_Flow!$BS27,0)</f>
        <v>0</v>
      </c>
      <c r="S51" s="46">
        <f>IF($X24&gt;0,(S24/$X24)*County_Flow!$BS27,0)</f>
        <v>0</v>
      </c>
      <c r="T51" s="46">
        <f>IF($X24&gt;0,(T24/$X24)*County_Flow!$BS27,0)</f>
        <v>0</v>
      </c>
      <c r="U51" s="46">
        <f>IF($X24&gt;0,(U24/$X24)*County_Flow!$BS27,0)</f>
        <v>0</v>
      </c>
      <c r="V51" s="46">
        <f>IF($X24&gt;0,(V24/$X24)*County_Flow!$BS27,0)</f>
        <v>0</v>
      </c>
      <c r="W51" s="46">
        <f>IF($X24&gt;0,(W24/$X24)*County_Flow!$BS27,0)</f>
        <v>0</v>
      </c>
      <c r="X51" s="62">
        <f>IF($X24&gt;0,(X24/$X24)*County_Flow!$BS27,0)</f>
        <v>0</v>
      </c>
    </row>
    <row ht="14.65" r="52" spans="2:24" thickBot="1" x14ac:dyDescent="0.5">
      <c r="B52" s="1" t="s">
        <v>3</v>
      </c>
      <c r="C52" s="86">
        <f>IF($X25&gt;0,(C25/$X25)*County_Flow!$BS28,0)</f>
        <v>46794.881116877397</v>
      </c>
      <c r="D52" s="86">
        <f>IF($X25&gt;0,(D25/$X25)*County_Flow!$BS28,0)</f>
        <v>38805.48855365505</v>
      </c>
      <c r="E52" s="86">
        <f>IF($X25&gt;0,(E25/$X25)*County_Flow!$BS28,0)</f>
        <v>24786.033335066539</v>
      </c>
      <c r="F52" s="86">
        <f>IF($X25&gt;0,(F25/$X25)*County_Flow!$BS28,0)</f>
        <v>17303.859635827783</v>
      </c>
      <c r="G52" s="86">
        <f>IF($X25&gt;0,(G25/$X25)*County_Flow!$BS28,0)</f>
        <v>22391.811933228088</v>
      </c>
      <c r="H52" s="86">
        <f>IF($X25&gt;0,(H25/$X25)*County_Flow!$BS28,0)</f>
        <v>98712.950942181385</v>
      </c>
      <c r="I52" s="86">
        <f>IF($X25&gt;0,(I25/$X25)*County_Flow!$BS28,0)</f>
        <v>80096.071358637389</v>
      </c>
      <c r="J52" s="86">
        <f>IF($X25&gt;0,(J25/$X25)*County_Flow!$BS28,0)</f>
        <v>4727.2427213680967</v>
      </c>
      <c r="K52" s="86">
        <f>IF($X25&gt;0,(K25/$X25)*County_Flow!$BS28,0)</f>
        <v>48588.228983320296</v>
      </c>
      <c r="L52" s="86">
        <f>IF($X25&gt;0,(L25/$X25)*County_Flow!$BS28,0)</f>
        <v>18925.661817011151</v>
      </c>
      <c r="M52" s="86">
        <f>IF($X25&gt;0,(M25/$X25)*County_Flow!$BS28,0)</f>
        <v>53744.799554824414</v>
      </c>
      <c r="N52" s="86">
        <f>IF($X25&gt;0,(N25/$X25)*County_Flow!$BS28,0)</f>
        <v>137443.33030391199</v>
      </c>
      <c r="O52" s="86">
        <f>IF($X25&gt;0,(O25/$X25)*County_Flow!$BS28,0)</f>
        <v>93517.434863753486</v>
      </c>
      <c r="P52" s="86">
        <f>IF($X25&gt;0,(P25/$X25)*County_Flow!$BS28,0)</f>
        <v>14222.528218976826</v>
      </c>
      <c r="Q52" s="86">
        <f>IF($X25&gt;0,(Q25/$X25)*County_Flow!$BS28,0)</f>
        <v>35224.356464615514</v>
      </c>
      <c r="R52" s="86">
        <f>IF($X25&gt;0,(R25/$X25)*County_Flow!$BS28,0)</f>
        <v>4694.7881322649419</v>
      </c>
      <c r="S52" s="86">
        <f>IF($X25&gt;0,(S25/$X25)*County_Flow!$BS28,0)</f>
        <v>14174.309972309282</v>
      </c>
      <c r="T52" s="86">
        <f>IF($X25&gt;0,(T25/$X25)*County_Flow!$BS28,0)</f>
        <v>21942.0840556558</v>
      </c>
      <c r="U52" s="86">
        <f>IF($X25&gt;0,(U25/$X25)*County_Flow!$BS28,0)</f>
        <v>34091.227667928222</v>
      </c>
      <c r="V52" s="86">
        <f>IF($X25&gt;0,(V25/$X25)*County_Flow!$BS28,0)</f>
        <v>27987.910368586356</v>
      </c>
      <c r="W52" s="86">
        <f>IF($X25&gt;0,(W25/$X25)*County_Flow!$BS28,0)</f>
        <v>0</v>
      </c>
      <c r="X52" s="86">
        <f>IF($X25&gt;0,(X25/$X25)*County_Flow!$BS28,0)</f>
        <v>838175</v>
      </c>
    </row>
    <row ht="14.65" r="56" spans="2:24" thickBot="1" x14ac:dyDescent="0.5">
      <c r="B56" s="4" t="s">
        <v>355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</row>
    <row r="57" spans="2:24" x14ac:dyDescent="0.45">
      <c r="B57" s="2" t="s">
        <v>14</v>
      </c>
      <c r="C57" s="2">
        <v>1</v>
      </c>
      <c r="D57" s="2">
        <v>2</v>
      </c>
      <c r="E57" s="2">
        <v>3</v>
      </c>
      <c r="F57" s="2">
        <v>4</v>
      </c>
      <c r="G57" s="2">
        <v>5</v>
      </c>
      <c r="H57" s="2">
        <v>6</v>
      </c>
      <c r="I57" s="2">
        <v>7</v>
      </c>
      <c r="J57" s="2">
        <v>8</v>
      </c>
      <c r="K57" s="2">
        <v>9</v>
      </c>
      <c r="L57" s="2">
        <v>10</v>
      </c>
      <c r="M57" s="2">
        <v>11</v>
      </c>
      <c r="N57" s="2">
        <v>12</v>
      </c>
      <c r="O57" s="2">
        <v>13</v>
      </c>
      <c r="P57" s="2">
        <v>14</v>
      </c>
      <c r="Q57" s="2">
        <v>15</v>
      </c>
      <c r="R57" s="2">
        <v>16</v>
      </c>
      <c r="S57" s="2">
        <v>17</v>
      </c>
      <c r="T57" s="2">
        <v>18</v>
      </c>
      <c r="U57" s="2">
        <v>19</v>
      </c>
      <c r="V57" s="2">
        <v>20</v>
      </c>
      <c r="W57" s="3" t="s">
        <v>15</v>
      </c>
      <c r="X57" s="3" t="s">
        <v>3</v>
      </c>
    </row>
    <row r="58" spans="2:24" x14ac:dyDescent="0.45">
      <c r="B58" s="28">
        <v>1</v>
      </c>
      <c r="C58" s="82">
        <f>IF($X$52&gt;0,C31/$X$52,0)</f>
        <v>5.3055226862407847E-3</v>
      </c>
      <c r="D58" s="82">
        <f ref="D58:X58" si="2" t="shared">IF($X$52&gt;0,D31/$X$52,0)</f>
        <v>6.7087747349725405E-4</v>
      </c>
      <c r="E58" s="82">
        <f si="2" t="shared"/>
        <v>3.7084615896098211E-4</v>
      </c>
      <c r="F58" s="82">
        <f si="2" t="shared"/>
        <v>4.9570391097297111E-4</v>
      </c>
      <c r="G58" s="82">
        <f si="2" t="shared"/>
        <v>6.2987940567242194E-4</v>
      </c>
      <c r="H58" s="82">
        <f si="2" t="shared"/>
        <v>3.463404956929574E-3</v>
      </c>
      <c r="I58" s="82">
        <f si="2" t="shared"/>
        <v>5.6185988405395022E-4</v>
      </c>
      <c r="J58" s="82">
        <f si="2" t="shared"/>
        <v>5.4974681856024983E-5</v>
      </c>
      <c r="K58" s="82">
        <f si="2" t="shared"/>
        <v>4.4445632619193075E-4</v>
      </c>
      <c r="L58" s="82">
        <f si="2" t="shared"/>
        <v>1.9474082216795291E-4</v>
      </c>
      <c r="M58" s="82">
        <f si="2" t="shared"/>
        <v>4.3700213204196127E-4</v>
      </c>
      <c r="N58" s="82">
        <f si="2" t="shared"/>
        <v>1.5327686720874763E-3</v>
      </c>
      <c r="O58" s="82">
        <f si="2" t="shared"/>
        <v>1.9380904789920671E-4</v>
      </c>
      <c r="P58" s="82">
        <f si="2" t="shared"/>
        <v>4.2861616362324564E-5</v>
      </c>
      <c r="Q58" s="82">
        <f si="2" t="shared"/>
        <v>4.379339063107075E-5</v>
      </c>
      <c r="R58" s="82">
        <f si="2" t="shared"/>
        <v>1.2113065493700419E-5</v>
      </c>
      <c r="S58" s="82">
        <f si="2" t="shared"/>
        <v>1.9567259643669911E-5</v>
      </c>
      <c r="T58" s="82">
        <f si="2" t="shared"/>
        <v>3.7270970749847444E-5</v>
      </c>
      <c r="U58" s="82">
        <f si="2" t="shared"/>
        <v>1.3976614031192792E-4</v>
      </c>
      <c r="V58" s="82">
        <f si="2" t="shared"/>
        <v>1.3976614031192792E-5</v>
      </c>
      <c r="W58" s="82">
        <f si="2" t="shared"/>
        <v>0</v>
      </c>
      <c r="X58" s="82">
        <f si="2" t="shared"/>
        <v>1.4665195215796224E-2</v>
      </c>
    </row>
    <row r="59" spans="2:24" x14ac:dyDescent="0.45">
      <c r="B59">
        <v>2</v>
      </c>
      <c r="C59" s="83">
        <f ref="C59:X59" si="3" t="shared">IF($X$52&gt;0,C32/$X$52,0)</f>
        <v>1.6089512060910361E-3</v>
      </c>
      <c r="D59" s="83">
        <f si="3" t="shared"/>
        <v>5.8387258218725582E-3</v>
      </c>
      <c r="E59" s="83">
        <f si="3" t="shared"/>
        <v>5.291868417721385E-4</v>
      </c>
      <c r="F59" s="83">
        <f si="3" t="shared"/>
        <v>4.1014305311337976E-4</v>
      </c>
      <c r="G59" s="83">
        <f si="3" t="shared"/>
        <v>4.8454542102510401E-4</v>
      </c>
      <c r="H59" s="83">
        <f si="3" t="shared"/>
        <v>2.9286632069252449E-3</v>
      </c>
      <c r="I59" s="83">
        <f si="3" t="shared"/>
        <v>1.6712631892171054E-3</v>
      </c>
      <c r="J59" s="83">
        <f si="3" t="shared"/>
        <v>1.004431966808277E-4</v>
      </c>
      <c r="K59" s="83">
        <f si="3" t="shared"/>
        <v>1.2797207280816564E-3</v>
      </c>
      <c r="L59" s="83">
        <f si="3" t="shared"/>
        <v>3.338806260038624E-4</v>
      </c>
      <c r="M59" s="83">
        <f si="3" t="shared"/>
        <v>6.4079039363972479E-4</v>
      </c>
      <c r="N59" s="83">
        <f si="3" t="shared"/>
        <v>1.8637793161886916E-3</v>
      </c>
      <c r="O59" s="83">
        <f si="3" t="shared"/>
        <v>2.5575813969655199E-4</v>
      </c>
      <c r="P59" s="83">
        <f si="3" t="shared"/>
        <v>3.8131213554758659E-5</v>
      </c>
      <c r="Q59" s="83">
        <f si="3" t="shared"/>
        <v>1.5903506141131055E-4</v>
      </c>
      <c r="R59" s="83">
        <f si="3" t="shared"/>
        <v>2.0460651175724159E-5</v>
      </c>
      <c r="S59" s="83">
        <f si="3" t="shared"/>
        <v>2.2320710373517266E-5</v>
      </c>
      <c r="T59" s="83">
        <f si="3" t="shared"/>
        <v>3.9061243153655208E-5</v>
      </c>
      <c r="U59" s="83">
        <f si="3" t="shared"/>
        <v>7.2542308713931125E-5</v>
      </c>
      <c r="V59" s="83">
        <f si="3" t="shared"/>
        <v>1.023032558786208E-5</v>
      </c>
      <c r="W59" s="83">
        <f si="3" t="shared"/>
        <v>0</v>
      </c>
      <c r="X59" s="83">
        <f si="3" t="shared"/>
        <v>1.8307632654278642E-2</v>
      </c>
    </row>
    <row r="60" spans="2:24" x14ac:dyDescent="0.45">
      <c r="B60">
        <v>3</v>
      </c>
      <c r="C60" s="83">
        <f ref="C60:X60" si="4" t="shared">IF($X$52&gt;0,C33/$X$52,0)</f>
        <v>5.0435089766216207E-3</v>
      </c>
      <c r="D60" s="83">
        <f si="4" t="shared"/>
        <v>3.051380374010712E-3</v>
      </c>
      <c r="E60" s="83">
        <f si="4" t="shared"/>
        <v>9.2219240444969819E-3</v>
      </c>
      <c r="F60" s="83">
        <f si="4" t="shared"/>
        <v>1.9886820133330355E-3</v>
      </c>
      <c r="G60" s="83">
        <f si="4" t="shared"/>
        <v>2.0599115250757552E-3</v>
      </c>
      <c r="H60" s="83">
        <f si="4" t="shared"/>
        <v>7.3745521915567613E-3</v>
      </c>
      <c r="I60" s="83">
        <f si="4" t="shared"/>
        <v>1.6394276331751828E-3</v>
      </c>
      <c r="J60" s="83">
        <f si="4" t="shared"/>
        <v>7.4446328402068577E-4</v>
      </c>
      <c r="K60" s="83">
        <f si="4" t="shared"/>
        <v>2.7710577794103301E-3</v>
      </c>
      <c r="L60" s="83">
        <f si="4" t="shared"/>
        <v>1.5440719964873481E-3</v>
      </c>
      <c r="M60" s="83">
        <f si="4" t="shared"/>
        <v>3.1789041772920328E-3</v>
      </c>
      <c r="N60" s="83">
        <f si="4" t="shared"/>
        <v>3.641896003619713E-3</v>
      </c>
      <c r="O60" s="83">
        <f si="4" t="shared"/>
        <v>3.9291117767758409E-4</v>
      </c>
      <c r="P60" s="83">
        <f si="4" t="shared"/>
        <v>1.2063062472557406E-4</v>
      </c>
      <c r="Q60" s="83">
        <f si="4" t="shared"/>
        <v>2.1943285069128237E-4</v>
      </c>
      <c r="R60" s="83">
        <f si="4" t="shared"/>
        <v>1.3556584492969276E-4</v>
      </c>
      <c r="S60" s="83">
        <f si="4" t="shared"/>
        <v>1.6543628533793016E-4</v>
      </c>
      <c r="T60" s="83">
        <f si="4" t="shared"/>
        <v>4.2507934427107053E-5</v>
      </c>
      <c r="U60" s="83">
        <f si="4" t="shared"/>
        <v>2.3092148161752752E-4</v>
      </c>
      <c r="V60" s="83">
        <f si="4" t="shared"/>
        <v>2.8721577315612879E-5</v>
      </c>
      <c r="W60" s="83">
        <f si="4" t="shared"/>
        <v>0</v>
      </c>
      <c r="X60" s="83">
        <f si="4" t="shared"/>
        <v>4.3595907775822472E-2</v>
      </c>
    </row>
    <row r="61" spans="2:24" x14ac:dyDescent="0.45">
      <c r="B61">
        <v>4</v>
      </c>
      <c r="C61" s="83">
        <f ref="C61:X61" si="5" t="shared">IF($X$52&gt;0,C34/$X$52,0)</f>
        <v>1.5292161620278667E-3</v>
      </c>
      <c r="D61" s="83">
        <f si="5" t="shared"/>
        <v>9.1293369235816645E-4</v>
      </c>
      <c r="E61" s="83">
        <f si="5" t="shared"/>
        <v>1.1709366923724307E-3</v>
      </c>
      <c r="F61" s="83">
        <f si="5" t="shared"/>
        <v>3.4010435953297368E-3</v>
      </c>
      <c r="G61" s="83">
        <f si="5" t="shared"/>
        <v>1.3965587490650671E-3</v>
      </c>
      <c r="H61" s="83">
        <f si="5" t="shared"/>
        <v>2.5768963604663577E-3</v>
      </c>
      <c r="I61" s="83">
        <f si="5" t="shared"/>
        <v>6.288170283748469E-4</v>
      </c>
      <c r="J61" s="83">
        <f si="5" t="shared"/>
        <v>5.3898602432129734E-4</v>
      </c>
      <c r="K61" s="83">
        <f si="5" t="shared"/>
        <v>3.7917040083068008E-4</v>
      </c>
      <c r="L61" s="83">
        <f si="5" t="shared"/>
        <v>7.4580624295621364E-4</v>
      </c>
      <c r="M61" s="83">
        <f si="5" t="shared"/>
        <v>6.5388614578513983E-4</v>
      </c>
      <c r="N61" s="83">
        <f si="5" t="shared"/>
        <v>1.2597231498672182E-3</v>
      </c>
      <c r="O61" s="83">
        <f si="5" t="shared"/>
        <v>1.2325649393394008E-4</v>
      </c>
      <c r="P61" s="83">
        <f si="5" t="shared"/>
        <v>2.9247303645341712E-5</v>
      </c>
      <c r="Q61" s="83">
        <f si="5" t="shared"/>
        <v>6.4761886643256657E-5</v>
      </c>
      <c r="R61" s="83">
        <f si="5" t="shared"/>
        <v>2.50691174102929E-5</v>
      </c>
      <c r="S61" s="83">
        <f si="5" t="shared"/>
        <v>2.4024570851530697E-5</v>
      </c>
      <c r="T61" s="83">
        <f si="5" t="shared"/>
        <v>3.0291850204103919E-5</v>
      </c>
      <c r="U61" s="83">
        <f si="5" t="shared"/>
        <v>3.6559129556677141E-5</v>
      </c>
      <c r="V61" s="83">
        <f si="5" t="shared"/>
        <v>4.1781862350488173E-6</v>
      </c>
      <c r="W61" s="83">
        <f si="5" t="shared"/>
        <v>0</v>
      </c>
      <c r="X61" s="83">
        <f si="5" t="shared"/>
        <v>1.5531362782235214E-2</v>
      </c>
    </row>
    <row r="62" spans="2:24" x14ac:dyDescent="0.45">
      <c r="B62">
        <v>5</v>
      </c>
      <c r="C62" s="83">
        <f ref="C62:X62" si="6" t="shared">IF($X$52&gt;0,C35/$X$52,0)</f>
        <v>1.923966731512625E-3</v>
      </c>
      <c r="D62" s="83">
        <f si="6" t="shared"/>
        <v>6.2478169358616315E-4</v>
      </c>
      <c r="E62" s="83">
        <f si="6" t="shared"/>
        <v>6.7327557955043215E-4</v>
      </c>
      <c r="F62" s="83">
        <f si="6" t="shared"/>
        <v>8.8191206567577525E-4</v>
      </c>
      <c r="G62" s="83">
        <f si="6" t="shared"/>
        <v>3.8129727545393819E-3</v>
      </c>
      <c r="H62" s="83">
        <f si="6" t="shared"/>
        <v>4.5415088087932837E-3</v>
      </c>
      <c r="I62" s="83">
        <f si="6" t="shared"/>
        <v>5.345605103968255E-4</v>
      </c>
      <c r="J62" s="83">
        <f si="6" t="shared"/>
        <v>1.545037762117407E-4</v>
      </c>
      <c r="K62" s="83">
        <f si="6" t="shared"/>
        <v>4.059953243520194E-4</v>
      </c>
      <c r="L62" s="83">
        <f si="6" t="shared"/>
        <v>1.089420787011252E-3</v>
      </c>
      <c r="M62" s="83">
        <f si="6" t="shared"/>
        <v>4.5110591594668811E-4</v>
      </c>
      <c r="N62" s="83">
        <f si="6" t="shared"/>
        <v>1.8766006103382229E-3</v>
      </c>
      <c r="O62" s="83">
        <f si="6" t="shared"/>
        <v>9.6987771928537948E-5</v>
      </c>
      <c r="P62" s="83">
        <f si="6" t="shared"/>
        <v>1.4660942268267366E-5</v>
      </c>
      <c r="Q62" s="83">
        <f si="6" t="shared"/>
        <v>2.4810825377067845E-5</v>
      </c>
      <c r="R62" s="83">
        <f si="6" t="shared"/>
        <v>1.3758730436373988E-4</v>
      </c>
      <c r="S62" s="83">
        <f si="6" t="shared"/>
        <v>2.0299766217600964E-5</v>
      </c>
      <c r="T62" s="83">
        <f si="6" t="shared"/>
        <v>1.8044236637867527E-5</v>
      </c>
      <c r="U62" s="83">
        <f si="6" t="shared"/>
        <v>5.6388239493336014E-5</v>
      </c>
      <c r="V62" s="83">
        <f si="6" t="shared"/>
        <v>9.0221183189337633E-6</v>
      </c>
      <c r="W62" s="83">
        <f si="6" t="shared"/>
        <v>0</v>
      </c>
      <c r="X62" s="83">
        <f si="6" t="shared"/>
        <v>1.734840576251976E-2</v>
      </c>
    </row>
    <row r="63" spans="2:24" x14ac:dyDescent="0.45">
      <c r="B63">
        <v>6</v>
      </c>
      <c r="C63" s="83">
        <f ref="C63:X63" si="7" t="shared">IF($X$52&gt;0,C36/$X$52,0)</f>
        <v>4.0541627299780988E-3</v>
      </c>
      <c r="D63" s="83">
        <f si="7" t="shared"/>
        <v>1.9629147606296839E-3</v>
      </c>
      <c r="E63" s="83">
        <f si="7" t="shared"/>
        <v>1.0218045633589884E-3</v>
      </c>
      <c r="F63" s="83">
        <f si="7" t="shared"/>
        <v>1.0577767506513602E-3</v>
      </c>
      <c r="G63" s="83">
        <f si="7" t="shared"/>
        <v>1.7227761049211491E-3</v>
      </c>
      <c r="H63" s="83">
        <f si="7" t="shared"/>
        <v>1.9361786754799482E-2</v>
      </c>
      <c r="I63" s="83">
        <f si="7" t="shared"/>
        <v>1.1297211252361034E-3</v>
      </c>
      <c r="J63" s="83">
        <f si="7" t="shared"/>
        <v>9.4305463982703982E-5</v>
      </c>
      <c r="K63" s="83">
        <f si="7" t="shared"/>
        <v>9.5277685260876193E-4</v>
      </c>
      <c r="L63" s="83">
        <f si="7" t="shared"/>
        <v>1.001387916517372E-3</v>
      </c>
      <c r="M63" s="83">
        <f si="7" t="shared"/>
        <v>6.1736051163935074E-4</v>
      </c>
      <c r="N63" s="83">
        <f si="7" t="shared"/>
        <v>5.4979113280638255E-3</v>
      </c>
      <c r="O63" s="83">
        <f si="7" t="shared"/>
        <v>2.8583305578262856E-4</v>
      </c>
      <c r="P63" s="83">
        <f si="7" t="shared"/>
        <v>5.3472170299471328E-5</v>
      </c>
      <c r="Q63" s="83">
        <f si="7" t="shared"/>
        <v>1.458331917258309E-4</v>
      </c>
      <c r="R63" s="83">
        <f si="7" t="shared"/>
        <v>1.0597211932077046E-4</v>
      </c>
      <c r="S63" s="83">
        <f si="7" t="shared"/>
        <v>7.5833259697432074E-5</v>
      </c>
      <c r="T63" s="83">
        <f si="7" t="shared"/>
        <v>9.3333242704531788E-5</v>
      </c>
      <c r="U63" s="83">
        <f si="7" t="shared"/>
        <v>1.3999986405679765E-4</v>
      </c>
      <c r="V63" s="83">
        <f si="7" t="shared"/>
        <v>3.2083302179682797E-5</v>
      </c>
      <c r="W63" s="83">
        <f si="7" t="shared"/>
        <v>0</v>
      </c>
      <c r="X63" s="83">
        <f si="7" t="shared"/>
        <v>3.9407045068154026E-2</v>
      </c>
    </row>
    <row r="64" spans="2:24" x14ac:dyDescent="0.45">
      <c r="B64">
        <v>7</v>
      </c>
      <c r="C64" s="83">
        <f ref="C64:X64" si="8" t="shared">IF($X$52&gt;0,C37/$X$52,0)</f>
        <v>5.0358811836351694E-3</v>
      </c>
      <c r="D64" s="83">
        <f si="8" t="shared"/>
        <v>6.8849591424721369E-3</v>
      </c>
      <c r="E64" s="83">
        <f si="8" t="shared"/>
        <v>2.6687951823405761E-3</v>
      </c>
      <c r="F64" s="83">
        <f si="8" t="shared"/>
        <v>1.6261237478434271E-3</v>
      </c>
      <c r="G64" s="83">
        <f si="8" t="shared"/>
        <v>2.7242564288563823E-3</v>
      </c>
      <c r="H64" s="83">
        <f si="8" t="shared"/>
        <v>9.4328488074082555E-3</v>
      </c>
      <c r="I64" s="83">
        <f si="8" t="shared"/>
        <v>4.2942533952258138E-2</v>
      </c>
      <c r="J64" s="83">
        <f si="8" t="shared"/>
        <v>3.0392763090661596E-4</v>
      </c>
      <c r="K64" s="83">
        <f si="8" t="shared"/>
        <v>5.5128479036710993E-3</v>
      </c>
      <c r="L64" s="83">
        <f si="8" t="shared"/>
        <v>1.7337185660840902E-3</v>
      </c>
      <c r="M64" s="83">
        <f si="8" t="shared"/>
        <v>2.2994232805453097E-3</v>
      </c>
      <c r="N64" s="83">
        <f si="8" t="shared"/>
        <v>1.3887496127557779E-2</v>
      </c>
      <c r="O64" s="83">
        <f si="8" t="shared"/>
        <v>1.2011796770393227E-2</v>
      </c>
      <c r="P64" s="83">
        <f si="8" t="shared"/>
        <v>8.2082644843392636E-5</v>
      </c>
      <c r="Q64" s="83">
        <f si="8" t="shared"/>
        <v>1.219038198417412E-3</v>
      </c>
      <c r="R64" s="83">
        <f si="8" t="shared"/>
        <v>1.0870404317097941E-4</v>
      </c>
      <c r="S64" s="83">
        <f si="8" t="shared"/>
        <v>1.2534241712572116E-4</v>
      </c>
      <c r="T64" s="83">
        <f si="8" t="shared"/>
        <v>8.7406924508909984E-4</v>
      </c>
      <c r="U64" s="83">
        <f si="8" t="shared"/>
        <v>2.3515568522701672E-4</v>
      </c>
      <c r="V64" s="83">
        <f si="8" t="shared"/>
        <v>2.8950770681250641E-4</v>
      </c>
      <c r="W64" s="83">
        <f si="8" t="shared"/>
        <v>0</v>
      </c>
      <c r="X64" s="83">
        <f si="8" t="shared"/>
        <v>0.10999850866465834</v>
      </c>
    </row>
    <row r="65" spans="2:24" x14ac:dyDescent="0.45">
      <c r="B65">
        <v>8</v>
      </c>
      <c r="C65" s="83">
        <f ref="C65:X65" si="9" t="shared">IF($X$52&gt;0,C38/$X$52,0)</f>
        <v>6.0333168583060241E-4</v>
      </c>
      <c r="D65" s="83">
        <f si="9" t="shared"/>
        <v>4.6512354634517804E-4</v>
      </c>
      <c r="E65" s="83">
        <f si="9" t="shared"/>
        <v>6.9502747068150893E-4</v>
      </c>
      <c r="F65" s="83">
        <f si="9" t="shared"/>
        <v>3.4020465104104457E-4</v>
      </c>
      <c r="G65" s="83">
        <f si="9" t="shared"/>
        <v>3.7741453474865878E-4</v>
      </c>
      <c r="H65" s="83">
        <f si="9" t="shared"/>
        <v>1.0976915693746204E-3</v>
      </c>
      <c r="I65" s="83">
        <f si="9" t="shared"/>
        <v>2.2591715108194365E-4</v>
      </c>
      <c r="J65" s="83">
        <f si="9" t="shared"/>
        <v>6.7509360440957283E-4</v>
      </c>
      <c r="K65" s="83">
        <f si="9" t="shared"/>
        <v>2.2724607550007273E-4</v>
      </c>
      <c r="L65" s="83">
        <f si="9" t="shared"/>
        <v>2.9767906966091394E-4</v>
      </c>
      <c r="M65" s="83">
        <f si="9" t="shared"/>
        <v>8.5715624969325682E-4</v>
      </c>
      <c r="N65" s="83">
        <f si="9" t="shared"/>
        <v>3.7874345916678783E-4</v>
      </c>
      <c r="O65" s="83">
        <f si="9" t="shared"/>
        <v>3.8538808125743321E-5</v>
      </c>
      <c r="P65" s="83">
        <f si="9" t="shared"/>
        <v>1.7541802319303857E-4</v>
      </c>
      <c r="Q65" s="83">
        <f si="9" t="shared"/>
        <v>1.8604941853807121E-5</v>
      </c>
      <c r="R65" s="83">
        <f si="9" t="shared"/>
        <v>3.0565261616968848E-5</v>
      </c>
      <c r="S65" s="83">
        <f si="9" t="shared"/>
        <v>1.0365610461406826E-4</v>
      </c>
      <c r="T65" s="83">
        <f si="9" t="shared"/>
        <v>1.0631395345032643E-5</v>
      </c>
      <c r="U65" s="83">
        <f si="9" t="shared"/>
        <v>4.1196656962001486E-5</v>
      </c>
      <c r="V65" s="83">
        <f si="9" t="shared"/>
        <v>2.7907412780710684E-5</v>
      </c>
      <c r="W65" s="83">
        <f si="9" t="shared"/>
        <v>0</v>
      </c>
      <c r="X65" s="83">
        <f si="9" t="shared"/>
        <v>6.6871476720255316E-3</v>
      </c>
    </row>
    <row r="66" spans="2:24" x14ac:dyDescent="0.45">
      <c r="B66">
        <v>9</v>
      </c>
      <c r="C66" s="83">
        <f ref="C66:X66" si="10" t="shared">IF($X$52&gt;0,C39/$X$52,0)</f>
        <v>4.8088028397223958E-3</v>
      </c>
      <c r="D66" s="83">
        <f si="10" t="shared"/>
        <v>6.6891013785900571E-3</v>
      </c>
      <c r="E66" s="83">
        <f si="10" t="shared"/>
        <v>2.5690864486188139E-3</v>
      </c>
      <c r="F66" s="83">
        <f si="10" t="shared"/>
        <v>1.5601739566511016E-3</v>
      </c>
      <c r="G66" s="83">
        <f si="10" t="shared"/>
        <v>1.7994006300042706E-3</v>
      </c>
      <c r="H66" s="83">
        <f si="10" t="shared"/>
        <v>7.9788451827549674E-3</v>
      </c>
      <c r="I66" s="83">
        <f si="10" t="shared"/>
        <v>8.1302398407707404E-3</v>
      </c>
      <c r="J66" s="83">
        <f si="10" t="shared"/>
        <v>1.9646635009680537E-4</v>
      </c>
      <c r="K66" s="83">
        <f si="10" t="shared"/>
        <v>2.6553005057789417E-2</v>
      </c>
      <c r="L66" s="83">
        <f si="10" t="shared"/>
        <v>1.191510629116508E-3</v>
      </c>
      <c r="M66" s="83">
        <f si="10" t="shared"/>
        <v>4.32803812419139E-3</v>
      </c>
      <c r="N66" s="83">
        <f si="10" t="shared"/>
        <v>6.522682823213939E-3</v>
      </c>
      <c r="O66" s="83">
        <f si="10" t="shared"/>
        <v>2.7643971143032852E-3</v>
      </c>
      <c r="P66" s="83">
        <f si="10" t="shared"/>
        <v>1.9415498127213707E-4</v>
      </c>
      <c r="Q66" s="83">
        <f si="10" t="shared"/>
        <v>5.9795111494168893E-3</v>
      </c>
      <c r="R66" s="83">
        <f si="10" t="shared"/>
        <v>9.1299068574397809E-5</v>
      </c>
      <c r="S66" s="83">
        <f si="10" t="shared"/>
        <v>1.2712528535675644E-4</v>
      </c>
      <c r="T66" s="83">
        <f si="10" t="shared"/>
        <v>2.461607798271738E-4</v>
      </c>
      <c r="U66" s="83">
        <f si="10" t="shared"/>
        <v>9.9851133225670511E-4</v>
      </c>
      <c r="V66" s="83">
        <f si="10" t="shared"/>
        <v>3.5826216782358631E-5</v>
      </c>
      <c r="W66" s="83">
        <f si="10" t="shared"/>
        <v>0</v>
      </c>
      <c r="X66" s="83">
        <f si="10" t="shared"/>
        <v>8.2764339189310102E-2</v>
      </c>
    </row>
    <row r="67" spans="2:24" x14ac:dyDescent="0.45">
      <c r="B67">
        <v>10</v>
      </c>
      <c r="C67" s="83">
        <f ref="C67:X67" si="11" t="shared">IF($X$52&gt;0,C40/$X$52,0)</f>
        <v>2.8480582990852146E-3</v>
      </c>
      <c r="D67" s="83">
        <f si="11" t="shared"/>
        <v>1.1621134327024678E-3</v>
      </c>
      <c r="E67" s="83">
        <f si="11" t="shared"/>
        <v>8.2426416770279209E-4</v>
      </c>
      <c r="F67" s="83">
        <f si="11" t="shared"/>
        <v>1.1764197533702067E-3</v>
      </c>
      <c r="G67" s="83">
        <f si="11" t="shared"/>
        <v>2.0634116347700068E-3</v>
      </c>
      <c r="H67" s="83">
        <f si="11" t="shared"/>
        <v>9.1637486307892518E-3</v>
      </c>
      <c r="I67" s="83">
        <f si="11" t="shared"/>
        <v>9.4421716407075515E-4</v>
      </c>
      <c r="J67" s="83">
        <f si="11" t="shared"/>
        <v>9.2440841237696313E-5</v>
      </c>
      <c r="K67" s="83">
        <f si="11" t="shared"/>
        <v>9.4751862268638721E-4</v>
      </c>
      <c r="L67" s="83">
        <f si="11" t="shared"/>
        <v>7.1817729752048347E-3</v>
      </c>
      <c r="M67" s="83">
        <f si="11" t="shared"/>
        <v>1.0245526570511342E-3</v>
      </c>
      <c r="N67" s="83">
        <f si="11" t="shared"/>
        <v>6.0064537080398378E-3</v>
      </c>
      <c r="O67" s="83">
        <f si="11" t="shared"/>
        <v>2.4870988237761152E-4</v>
      </c>
      <c r="P67" s="83">
        <f si="11" t="shared"/>
        <v>5.7225282670954855E-5</v>
      </c>
      <c r="Q67" s="83">
        <f si="11" t="shared"/>
        <v>1.0674716190543502E-4</v>
      </c>
      <c r="R67" s="83">
        <f si="11" t="shared"/>
        <v>9.9373904330523526E-4</v>
      </c>
      <c r="S67" s="83">
        <f si="11" t="shared"/>
        <v>9.2440841237696313E-5</v>
      </c>
      <c r="T67" s="83">
        <f si="11" t="shared"/>
        <v>6.8230144723061567E-5</v>
      </c>
      <c r="U67" s="83">
        <f si="11" t="shared"/>
        <v>8.6938410211642961E-5</v>
      </c>
      <c r="V67" s="83">
        <f si="11" t="shared"/>
        <v>5.282333785011217E-5</v>
      </c>
      <c r="W67" s="83">
        <f si="11" t="shared"/>
        <v>0</v>
      </c>
      <c r="X67" s="83">
        <f si="11" t="shared"/>
        <v>3.5141825990992331E-2</v>
      </c>
    </row>
    <row r="68" spans="2:24" x14ac:dyDescent="0.45">
      <c r="B68">
        <v>11</v>
      </c>
      <c r="C68" s="83">
        <f ref="C68:X68" si="12" t="shared">IF($X$52&gt;0,C41/$X$52,0)</f>
        <v>4.0434380204568809E-3</v>
      </c>
      <c r="D68" s="83">
        <f si="12" t="shared"/>
        <v>2.889874787862198E-3</v>
      </c>
      <c r="E68" s="83">
        <f si="12" t="shared"/>
        <v>4.3656401647333273E-3</v>
      </c>
      <c r="F68" s="83">
        <f si="12" t="shared"/>
        <v>2.2474594014344688E-3</v>
      </c>
      <c r="G68" s="83">
        <f si="12" t="shared"/>
        <v>2.1261363717995107E-3</v>
      </c>
      <c r="H68" s="83">
        <f si="12" t="shared"/>
        <v>6.9154126891926102E-3</v>
      </c>
      <c r="I68" s="83">
        <f si="12" t="shared"/>
        <v>2.0992861931098069E-3</v>
      </c>
      <c r="J68" s="83">
        <f si="12" t="shared"/>
        <v>1.2868196749806207E-3</v>
      </c>
      <c r="K68" s="83">
        <f si="12" t="shared"/>
        <v>4.4233183263630606E-3</v>
      </c>
      <c r="L68" s="83">
        <f si="12" t="shared"/>
        <v>8.7312803294666539E-4</v>
      </c>
      <c r="M68" s="83">
        <f si="12" t="shared"/>
        <v>2.6887967830081932E-2</v>
      </c>
      <c r="N68" s="83">
        <f si="12" t="shared"/>
        <v>3.035064642999115E-3</v>
      </c>
      <c r="O68" s="83">
        <f si="12" t="shared"/>
        <v>6.8716568424390188E-4</v>
      </c>
      <c r="P68" s="83">
        <f si="12" t="shared"/>
        <v>5.7379826310959676E-4</v>
      </c>
      <c r="Q68" s="83">
        <f si="12" t="shared"/>
        <v>8.2141657769242086E-4</v>
      </c>
      <c r="R68" s="83">
        <f si="12" t="shared"/>
        <v>8.2539438194274747E-5</v>
      </c>
      <c r="S68" s="83">
        <f si="12" t="shared"/>
        <v>1.547365853377006E-3</v>
      </c>
      <c r="T68" s="83">
        <f si="12" t="shared"/>
        <v>8.2539438194274747E-5</v>
      </c>
      <c r="U68" s="83">
        <f si="12" t="shared"/>
        <v>5.3670523847530209E-3</v>
      </c>
      <c r="V68" s="83">
        <f si="12" t="shared"/>
        <v>4.8728102066499551E-5</v>
      </c>
      <c r="W68" s="83">
        <f si="12" t="shared"/>
        <v>0</v>
      </c>
      <c r="X68" s="83">
        <f si="12" t="shared"/>
        <v>7.0404151877591192E-2</v>
      </c>
    </row>
    <row r="69" spans="2:24" x14ac:dyDescent="0.45">
      <c r="B69">
        <v>12</v>
      </c>
      <c r="C69" s="83">
        <f ref="C69:X69" si="13" t="shared">IF($X$52&gt;0,C42/$X$52,0)</f>
        <v>8.472626793920468E-3</v>
      </c>
      <c r="D69" s="83">
        <f si="13" t="shared"/>
        <v>4.9482850667963221E-3</v>
      </c>
      <c r="E69" s="83">
        <f si="13" t="shared"/>
        <v>2.2883632795652601E-3</v>
      </c>
      <c r="F69" s="83">
        <f si="13" t="shared"/>
        <v>1.9594247183670065E-3</v>
      </c>
      <c r="G69" s="83">
        <f si="13" t="shared"/>
        <v>3.4544013021517612E-3</v>
      </c>
      <c r="H69" s="83">
        <f si="13" t="shared"/>
        <v>2.0730779089471338E-2</v>
      </c>
      <c r="I69" s="83">
        <f si="13" t="shared"/>
        <v>9.7359257199841932E-3</v>
      </c>
      <c r="J69" s="83">
        <f si="13" t="shared"/>
        <v>2.928755295718671E-4</v>
      </c>
      <c r="K69" s="83">
        <f si="13" t="shared"/>
        <v>3.5057638017408571E-3</v>
      </c>
      <c r="L69" s="83">
        <f si="13" t="shared"/>
        <v>2.5484542349313208E-3</v>
      </c>
      <c r="M69" s="83">
        <f si="13" t="shared"/>
        <v>1.9408467929837164E-3</v>
      </c>
      <c r="N69" s="83">
        <f si="13" t="shared"/>
        <v>7.6502803909248351E-2</v>
      </c>
      <c r="O69" s="83">
        <f si="13" t="shared"/>
        <v>2.8325872113816397E-3</v>
      </c>
      <c r="P69" s="83">
        <f si="13" t="shared"/>
        <v>9.6168084337030989E-5</v>
      </c>
      <c r="Q69" s="83">
        <f si="13" t="shared"/>
        <v>5.2892446385367049E-4</v>
      </c>
      <c r="R69" s="83">
        <f si="13" t="shared"/>
        <v>6.4257765443379792E-4</v>
      </c>
      <c r="S69" s="83">
        <f si="13" t="shared"/>
        <v>1.5408749876728828E-4</v>
      </c>
      <c r="T69" s="83">
        <f si="13" t="shared"/>
        <v>4.027038531613172E-3</v>
      </c>
      <c r="U69" s="83">
        <f si="13" t="shared"/>
        <v>2.1528537061812618E-4</v>
      </c>
      <c r="V69" s="83">
        <f si="13" t="shared"/>
        <v>1.1245108952591463E-3</v>
      </c>
      <c r="W69" s="83">
        <f si="13" t="shared"/>
        <v>0</v>
      </c>
      <c r="X69" s="83">
        <f si="13" t="shared"/>
        <v>0.14600172994899632</v>
      </c>
    </row>
    <row r="70" spans="2:24" x14ac:dyDescent="0.45">
      <c r="B70">
        <v>13</v>
      </c>
      <c r="C70" s="83">
        <f ref="C70:X70" si="14" t="shared">IF($X$52&gt;0,C43/$X$52,0)</f>
        <v>1.6753236192779601E-3</v>
      </c>
      <c r="D70" s="83">
        <f si="14" t="shared"/>
        <v>1.8626810071295916E-3</v>
      </c>
      <c r="E70" s="83">
        <f si="14" t="shared"/>
        <v>4.7492919246111217E-4</v>
      </c>
      <c r="F70" s="83">
        <f si="14" t="shared"/>
        <v>3.9976837989272513E-4</v>
      </c>
      <c r="G70" s="83">
        <f si="14" t="shared"/>
        <v>4.8146491529314593E-4</v>
      </c>
      <c r="H70" s="83">
        <f si="14" t="shared"/>
        <v>3.4922545665833156E-3</v>
      </c>
      <c r="I70" s="83">
        <f si="14" t="shared"/>
        <v>1.6084413889634823E-2</v>
      </c>
      <c r="J70" s="83">
        <f si="14" t="shared"/>
        <v>2.5053604189462342E-5</v>
      </c>
      <c r="K70" s="83">
        <f si="14" t="shared"/>
        <v>2.0010204737409706E-3</v>
      </c>
      <c r="L70" s="83">
        <f si="14" t="shared"/>
        <v>4.727506181837676E-4</v>
      </c>
      <c r="M70" s="83">
        <f si="14" t="shared"/>
        <v>4.9126849954119639E-4</v>
      </c>
      <c r="N70" s="83">
        <f si="14" t="shared"/>
        <v>7.1228485997780113E-3</v>
      </c>
      <c r="O70" s="83">
        <f si="14" t="shared"/>
        <v>7.8569192025292584E-2</v>
      </c>
      <c r="P70" s="83">
        <f si="14" t="shared"/>
        <v>3.1589327021495995E-5</v>
      </c>
      <c r="Q70" s="83">
        <f si="14" t="shared"/>
        <v>2.6415213112802685E-3</v>
      </c>
      <c r="R70" s="83">
        <f si="14" t="shared"/>
        <v>9.9125129619177097E-5</v>
      </c>
      <c r="S70" s="83">
        <f si="14" t="shared"/>
        <v>4.2482198408218753E-5</v>
      </c>
      <c r="T70" s="83">
        <f si="14" t="shared"/>
        <v>2.6502356083896463E-3</v>
      </c>
      <c r="U70" s="83">
        <f si="14" t="shared"/>
        <v>1.121965752832444E-4</v>
      </c>
      <c r="V70" s="83">
        <f si="14" t="shared"/>
        <v>3.3332186443371631E-4</v>
      </c>
      <c r="W70" s="83">
        <f si="14" t="shared"/>
        <v>0</v>
      </c>
      <c r="X70" s="83">
        <f si="14" t="shared"/>
        <v>0.11906344140543443</v>
      </c>
    </row>
    <row r="71" spans="2:24" x14ac:dyDescent="0.45">
      <c r="B71">
        <v>14</v>
      </c>
      <c r="C71" s="83">
        <f ref="C71:X71" si="15" t="shared">IF($X$52&gt;0,C44/$X$52,0)</f>
        <v>8.2947180405063025E-4</v>
      </c>
      <c r="D71" s="83">
        <f si="15" t="shared"/>
        <v>1.0953842689375738E-3</v>
      </c>
      <c r="E71" s="83">
        <f si="15" t="shared"/>
        <v>4.4647031141511502E-4</v>
      </c>
      <c r="F71" s="83">
        <f si="15" t="shared"/>
        <v>4.6069608114157699E-4</v>
      </c>
      <c r="G71" s="83">
        <f si="15" t="shared"/>
        <v>4.136416120463566E-4</v>
      </c>
      <c r="H71" s="83">
        <f si="15" t="shared"/>
        <v>2.2947260858762163E-3</v>
      </c>
      <c r="I71" s="83">
        <f si="15" t="shared"/>
        <v>5.9748232851140393E-4</v>
      </c>
      <c r="J71" s="83">
        <f si="15" t="shared"/>
        <v>3.0202403419257777E-4</v>
      </c>
      <c r="K71" s="83">
        <f si="15" t="shared"/>
        <v>4.8477046067866653E-4</v>
      </c>
      <c r="L71" s="83">
        <f si="15" t="shared"/>
        <v>2.7904394463444687E-4</v>
      </c>
      <c r="M71" s="83">
        <f si="15" t="shared"/>
        <v>2.4391723630987532E-3</v>
      </c>
      <c r="N71" s="83">
        <f si="15" t="shared"/>
        <v>7.4521147567081693E-4</v>
      </c>
      <c r="O71" s="83">
        <f si="15" t="shared"/>
        <v>6.6751688716475531E-5</v>
      </c>
      <c r="P71" s="83">
        <f si="15" t="shared"/>
        <v>1.3036276519333981E-2</v>
      </c>
      <c r="Q71" s="83">
        <f si="15" t="shared"/>
        <v>9.7391808127316763E-5</v>
      </c>
      <c r="R71" s="83">
        <f si="15" t="shared"/>
        <v>1.4225769726461999E-5</v>
      </c>
      <c r="S71" s="83">
        <f si="15" t="shared"/>
        <v>2.064925190294907E-3</v>
      </c>
      <c r="T71" s="83">
        <f si="15" t="shared"/>
        <v>1.2037189768544766E-5</v>
      </c>
      <c r="U71" s="83">
        <f si="15" t="shared"/>
        <v>4.989962304051286E-4</v>
      </c>
      <c r="V71" s="83">
        <f si="15" t="shared"/>
        <v>4.377159915834461E-6</v>
      </c>
      <c r="W71" s="83">
        <f si="15" t="shared"/>
        <v>0</v>
      </c>
      <c r="X71" s="83">
        <f si="15" t="shared"/>
        <v>2.6183076326542785E-2</v>
      </c>
    </row>
    <row r="72" spans="2:24" x14ac:dyDescent="0.45">
      <c r="B72">
        <v>15</v>
      </c>
      <c r="C72" s="83">
        <f ref="C72:X72" si="16" t="shared">IF($X$52&gt;0,C45/$X$52,0)</f>
        <v>1.0483432235431902E-3</v>
      </c>
      <c r="D72" s="83">
        <f si="16" t="shared"/>
        <v>1.7727348930301158E-3</v>
      </c>
      <c r="E72" s="83">
        <f si="16" t="shared"/>
        <v>2.4746299268186894E-4</v>
      </c>
      <c r="F72" s="83">
        <f si="16" t="shared"/>
        <v>3.7231932080772096E-4</v>
      </c>
      <c r="G72" s="83">
        <f si="16" t="shared"/>
        <v>3.9256629293623756E-4</v>
      </c>
      <c r="H72" s="83">
        <f si="16" t="shared"/>
        <v>1.8795939125972863E-3</v>
      </c>
      <c r="I72" s="83">
        <f si="16" t="shared"/>
        <v>3.1202833713613841E-3</v>
      </c>
      <c r="J72" s="83">
        <f si="16" t="shared"/>
        <v>4.0493944257033099E-5</v>
      </c>
      <c r="K72" s="83">
        <f si="16" t="shared"/>
        <v>5.6657777006298817E-3</v>
      </c>
      <c r="L72" s="83">
        <f si="16" t="shared"/>
        <v>1.8109791737173136E-4</v>
      </c>
      <c r="M72" s="83">
        <f si="16" t="shared"/>
        <v>8.7736879223571714E-4</v>
      </c>
      <c r="N72" s="83">
        <f si="16" t="shared"/>
        <v>2.0010757453683857E-3</v>
      </c>
      <c r="O72" s="83">
        <f si="16" t="shared"/>
        <v>4.5229486071536136E-3</v>
      </c>
      <c r="P72" s="83">
        <f si="16" t="shared"/>
        <v>1.799730855868138E-5</v>
      </c>
      <c r="Q72" s="83">
        <f si="16" t="shared"/>
        <v>2.794082153735284E-2</v>
      </c>
      <c r="R72" s="83">
        <f si="16" t="shared"/>
        <v>2.5871131053104482E-5</v>
      </c>
      <c r="S72" s="83">
        <f si="16" t="shared"/>
        <v>1.6647510416780277E-4</v>
      </c>
      <c r="T72" s="83">
        <f si="16" t="shared"/>
        <v>1.2485632812585205E-4</v>
      </c>
      <c r="U72" s="83">
        <f si="16" t="shared"/>
        <v>9.9097680251239331E-4</v>
      </c>
      <c r="V72" s="83">
        <f si="16" t="shared"/>
        <v>2.0246972128516549E-5</v>
      </c>
      <c r="W72" s="83">
        <f si="16" t="shared"/>
        <v>0</v>
      </c>
      <c r="X72" s="83">
        <f si="16" t="shared"/>
        <v>5.1409311897873358E-2</v>
      </c>
    </row>
    <row r="73" spans="2:24" x14ac:dyDescent="0.45">
      <c r="B73">
        <v>16</v>
      </c>
      <c r="C73" s="83">
        <f ref="C73:X73" si="17" t="shared">IF($X$52&gt;0,C46/$X$52,0)</f>
        <v>1.4546974694817437E-3</v>
      </c>
      <c r="D73" s="83">
        <f si="17" t="shared"/>
        <v>6.9795458982873E-4</v>
      </c>
      <c r="E73" s="83">
        <f si="17" t="shared"/>
        <v>3.8149847651928787E-4</v>
      </c>
      <c r="F73" s="83">
        <f si="17" t="shared"/>
        <v>4.3403269295800949E-4</v>
      </c>
      <c r="G73" s="83">
        <f si="17" t="shared"/>
        <v>6.0914674775374811E-4</v>
      </c>
      <c r="H73" s="83">
        <f si="17" t="shared"/>
        <v>3.7436883285974706E-3</v>
      </c>
      <c r="I73" s="83">
        <f si="17" t="shared"/>
        <v>4.8031283601116892E-4</v>
      </c>
      <c r="J73" s="83">
        <f si="17" t="shared"/>
        <v>7.3798065949632732E-5</v>
      </c>
      <c r="K73" s="83">
        <f si="17" t="shared"/>
        <v>4.915701681051808E-4</v>
      </c>
      <c r="L73" s="83">
        <f si="17" t="shared"/>
        <v>2.0938637694861897E-3</v>
      </c>
      <c r="M73" s="83">
        <f si="17" t="shared"/>
        <v>3.4522485088302771E-4</v>
      </c>
      <c r="N73" s="83">
        <f si="17" t="shared"/>
        <v>5.0657994423052976E-3</v>
      </c>
      <c r="O73" s="83">
        <f si="17" t="shared"/>
        <v>7.5048880626745154E-5</v>
      </c>
      <c r="P73" s="83">
        <f si="17" t="shared"/>
        <v>3.8775254990484999E-5</v>
      </c>
      <c r="Q73" s="83">
        <f si="17" t="shared"/>
        <v>1.3758961448236613E-5</v>
      </c>
      <c r="R73" s="83">
        <f si="17" t="shared"/>
        <v>3.0119617424867054E-3</v>
      </c>
      <c r="S73" s="83">
        <f si="17" t="shared"/>
        <v>1.2508146771124191E-5</v>
      </c>
      <c r="T73" s="83">
        <f si="17" t="shared"/>
        <v>2.9519226379853093E-4</v>
      </c>
      <c r="U73" s="83">
        <f si="17" t="shared"/>
        <v>8.0052139335194829E-5</v>
      </c>
      <c r="V73" s="83">
        <f si="17" t="shared"/>
        <v>8.6306212720756926E-5</v>
      </c>
      <c r="W73" s="83">
        <f si="17" t="shared"/>
        <v>0</v>
      </c>
      <c r="X73" s="83">
        <f si="17" t="shared"/>
        <v>1.9485191040057269E-2</v>
      </c>
    </row>
    <row r="74" spans="2:24" x14ac:dyDescent="0.45">
      <c r="B74">
        <v>17</v>
      </c>
      <c r="C74" s="83">
        <f ref="C74:X74" si="18" t="shared">IF($X$52&gt;0,C47/$X$52,0)</f>
        <v>1.0371012593233789E-3</v>
      </c>
      <c r="D74" s="83">
        <f si="18" t="shared"/>
        <v>1.1143456754634596E-3</v>
      </c>
      <c r="E74" s="83">
        <f si="18" t="shared"/>
        <v>4.6346649684048433E-4</v>
      </c>
      <c r="F74" s="83">
        <f si="18" t="shared"/>
        <v>4.9892295015068529E-4</v>
      </c>
      <c r="G74" s="83">
        <f si="18" t="shared"/>
        <v>4.4447196828144813E-4</v>
      </c>
      <c r="H74" s="83">
        <f si="18" t="shared"/>
        <v>1.8715942140170377E-3</v>
      </c>
      <c r="I74" s="83">
        <f si="18" t="shared"/>
        <v>6.0149340436948108E-4</v>
      </c>
      <c r="J74" s="83">
        <f si="18" t="shared"/>
        <v>3.4063521215871664E-4</v>
      </c>
      <c r="K74" s="83">
        <f si="18" t="shared"/>
        <v>7.0153125478040514E-4</v>
      </c>
      <c r="L74" s="83">
        <f si="18" t="shared"/>
        <v>1.4562471895261119E-4</v>
      </c>
      <c r="M74" s="83">
        <f si="18" t="shared"/>
        <v>4.567550967496249E-3</v>
      </c>
      <c r="N74" s="83">
        <f si="18" t="shared"/>
        <v>7.5598223664964247E-4</v>
      </c>
      <c r="O74" s="83">
        <f si="18" t="shared"/>
        <v>1.9754309701397691E-4</v>
      </c>
      <c r="P74" s="83">
        <f si="18" t="shared"/>
        <v>1.9298441015980822E-3</v>
      </c>
      <c r="Q74" s="83">
        <f si="18" t="shared"/>
        <v>1.8994528559036243E-4</v>
      </c>
      <c r="R74" s="83">
        <f si="18" t="shared"/>
        <v>1.2663019039357495E-5</v>
      </c>
      <c r="S74" s="83">
        <f si="18" t="shared"/>
        <v>8.9400914417863912E-3</v>
      </c>
      <c r="T74" s="83">
        <f si="18" t="shared"/>
        <v>0</v>
      </c>
      <c r="U74" s="83">
        <f si="18" t="shared"/>
        <v>3.8039709194229916E-3</v>
      </c>
      <c r="V74" s="83">
        <f si="18" t="shared"/>
        <v>6.3315095196787476E-6</v>
      </c>
      <c r="W74" s="83">
        <f si="18" t="shared"/>
        <v>0</v>
      </c>
      <c r="X74" s="83">
        <f si="18" t="shared"/>
        <v>2.7623109732454441E-2</v>
      </c>
    </row>
    <row r="75" spans="2:24" x14ac:dyDescent="0.45">
      <c r="B75">
        <v>18</v>
      </c>
      <c r="C75" s="83">
        <f ref="C75:X75" si="19" t="shared">IF($X$52&gt;0,C48/$X$52,0)</f>
        <v>1.3219407090509848E-3</v>
      </c>
      <c r="D75" s="83">
        <f si="19" t="shared"/>
        <v>1.0905318008628145E-3</v>
      </c>
      <c r="E75" s="83">
        <f si="19" t="shared"/>
        <v>4.2540440008244487E-4</v>
      </c>
      <c r="F75" s="83">
        <f si="19" t="shared"/>
        <v>5.1131668934990924E-4</v>
      </c>
      <c r="G75" s="83">
        <f si="19" t="shared"/>
        <v>9.8937700866079999E-4</v>
      </c>
      <c r="H75" s="83">
        <f si="19" t="shared"/>
        <v>3.6221729700830966E-3</v>
      </c>
      <c r="I75" s="83">
        <f si="19" t="shared"/>
        <v>3.4087779289993952E-3</v>
      </c>
      <c r="J75" s="83">
        <f si="19" t="shared"/>
        <v>1.0946888471176919E-4</v>
      </c>
      <c r="K75" s="83">
        <f si="19" t="shared"/>
        <v>6.1385716363688289E-4</v>
      </c>
      <c r="L75" s="83">
        <f si="19" t="shared"/>
        <v>3.7274848085399887E-4</v>
      </c>
      <c r="M75" s="83">
        <f si="19" t="shared"/>
        <v>1.7875298895972437E-4</v>
      </c>
      <c r="N75" s="83">
        <f si="19" t="shared"/>
        <v>2.0842044239869875E-2</v>
      </c>
      <c r="O75" s="83">
        <f si="19" t="shared"/>
        <v>7.6337226060397018E-3</v>
      </c>
      <c r="P75" s="83">
        <f si="19" t="shared"/>
        <v>1.2471138764631931E-5</v>
      </c>
      <c r="Q75" s="83">
        <f si="19" t="shared"/>
        <v>2.230948156784157E-4</v>
      </c>
      <c r="R75" s="83">
        <f si="19" t="shared"/>
        <v>2.8683619158653445E-4</v>
      </c>
      <c r="S75" s="83">
        <f si="19" t="shared"/>
        <v>2.2170913359345658E-5</v>
      </c>
      <c r="T75" s="83">
        <f si="19" t="shared"/>
        <v>1.5918715792010183E-2</v>
      </c>
      <c r="U75" s="83">
        <f si="19" t="shared"/>
        <v>8.3140925097546222E-5</v>
      </c>
      <c r="V75" s="83">
        <f si="19" t="shared"/>
        <v>5.1270237143486832E-3</v>
      </c>
      <c r="W75" s="83">
        <f si="19" t="shared"/>
        <v>0</v>
      </c>
      <c r="X75" s="83">
        <f si="19" t="shared"/>
        <v>6.2793569362006738E-2</v>
      </c>
    </row>
    <row r="76" spans="2:24" x14ac:dyDescent="0.45">
      <c r="B76">
        <v>19</v>
      </c>
      <c r="C76" s="83">
        <f ref="C76:X76" si="20" t="shared">IF($X$52&gt;0,C49/$X$52,0)</f>
        <v>1.4309796772379432E-3</v>
      </c>
      <c r="D76" s="83">
        <f si="20" t="shared"/>
        <v>1.2074987955106764E-3</v>
      </c>
      <c r="E76" s="83">
        <f si="20" t="shared"/>
        <v>5.7332791647309251E-4</v>
      </c>
      <c r="F76" s="83">
        <f si="20" t="shared"/>
        <v>4.1888039611707577E-4</v>
      </c>
      <c r="G76" s="83">
        <f si="20" t="shared"/>
        <v>4.1654028217228767E-4</v>
      </c>
      <c r="H76" s="83">
        <f si="20" t="shared"/>
        <v>1.9844166251803369E-3</v>
      </c>
      <c r="I76" s="83">
        <f si="20" t="shared"/>
        <v>8.482913049856982E-4</v>
      </c>
      <c r="J76" s="83">
        <f si="20" t="shared"/>
        <v>2.2114076778247856E-4</v>
      </c>
      <c r="K76" s="83">
        <f si="20" t="shared"/>
        <v>1.1080439528571809E-3</v>
      </c>
      <c r="L76" s="83">
        <f si="20" t="shared"/>
        <v>1.8018877374868623E-4</v>
      </c>
      <c r="M76" s="83">
        <f si="20" t="shared"/>
        <v>1.0092911443871219E-2</v>
      </c>
      <c r="N76" s="83">
        <f si="20" t="shared"/>
        <v>1.7305142621708242E-3</v>
      </c>
      <c r="O76" s="83">
        <f si="20" t="shared"/>
        <v>3.2410578135315643E-4</v>
      </c>
      <c r="P76" s="83">
        <f si="20" t="shared"/>
        <v>4.996143272122664E-4</v>
      </c>
      <c r="Q76" s="83">
        <f si="20" t="shared"/>
        <v>2.3038421786439165E-3</v>
      </c>
      <c r="R76" s="83">
        <f si="20" t="shared"/>
        <v>4.9142392840550791E-5</v>
      </c>
      <c r="S76" s="83">
        <f si="20" t="shared"/>
        <v>4.3479317094163505E-3</v>
      </c>
      <c r="T76" s="83">
        <f si="20" t="shared"/>
        <v>1.4040683668728796E-5</v>
      </c>
      <c r="U76" s="83">
        <f si="20" t="shared"/>
        <v>2.8956569952808354E-2</v>
      </c>
      <c r="V76" s="83">
        <f si="20" t="shared"/>
        <v>1.2870626696334732E-5</v>
      </c>
      <c r="W76" s="83">
        <f si="20" t="shared"/>
        <v>0</v>
      </c>
      <c r="X76" s="83">
        <f si="20" t="shared"/>
        <v>5.6720851850747156E-2</v>
      </c>
    </row>
    <row r="77" spans="2:24" x14ac:dyDescent="0.45">
      <c r="B77">
        <v>20</v>
      </c>
      <c r="C77" s="83">
        <f ref="C77:X77" si="21" t="shared">IF($X$52&gt;0,C50/$X$52,0)</f>
        <v>3.5597692503110855E-4</v>
      </c>
      <c r="D77" s="83">
        <f si="21" t="shared"/>
        <v>3.6286045673060516E-4</v>
      </c>
      <c r="E77" s="83">
        <f si="21" t="shared"/>
        <v>4.9168083567832681E-5</v>
      </c>
      <c r="F77" s="83">
        <f si="21" t="shared"/>
        <v>4.9168083567832681E-5</v>
      </c>
      <c r="G77" s="83">
        <f si="21" t="shared"/>
        <v>1.1800340056279841E-4</v>
      </c>
      <c r="H77" s="83">
        <f si="21" t="shared"/>
        <v>5.1233143077681655E-4</v>
      </c>
      <c r="I77" s="83">
        <f si="21" t="shared"/>
        <v>3.7957760514366822E-4</v>
      </c>
      <c r="J77" s="83">
        <f si="21" t="shared"/>
        <v>3.9334466854266142E-6</v>
      </c>
      <c r="K77" s="83">
        <f si="21" t="shared"/>
        <v>1.4062071900400146E-4</v>
      </c>
      <c r="L77" s="83">
        <f si="21" t="shared"/>
        <v>1.6913820747334441E-4</v>
      </c>
      <c r="M77" s="83">
        <f si="21" t="shared"/>
        <v>6.6868593652252435E-5</v>
      </c>
      <c r="N77" s="83">
        <f si="21" t="shared"/>
        <v>5.6533462486294019E-3</v>
      </c>
      <c r="O77" s="83">
        <f si="21" t="shared"/>
        <v>5.4773245094565603E-4</v>
      </c>
      <c r="P77" s="83">
        <f si="21" t="shared"/>
        <v>9.8336167135665373E-6</v>
      </c>
      <c r="Q77" s="83">
        <f si="21" t="shared"/>
        <v>4.9168083567832686E-6</v>
      </c>
      <c r="R77" s="83">
        <f si="21" t="shared"/>
        <v>8.5552465408028858E-5</v>
      </c>
      <c r="S77" s="83">
        <f si="21" t="shared"/>
        <v>1.9667233427133075E-5</v>
      </c>
      <c r="T77" s="83">
        <f si="21" t="shared"/>
        <v>4.2019044217069803E-3</v>
      </c>
      <c r="U77" s="83">
        <f si="21" t="shared"/>
        <v>1.0816978384923189E-5</v>
      </c>
      <c r="V77" s="83">
        <f si="21" t="shared"/>
        <v>2.4126778606735493E-2</v>
      </c>
      <c r="W77" s="83">
        <f si="21" t="shared"/>
        <v>0</v>
      </c>
      <c r="X77" s="83">
        <f si="21" t="shared"/>
        <v>3.6868195782503652E-2</v>
      </c>
    </row>
    <row r="78" spans="2:24" x14ac:dyDescent="0.45">
      <c r="B78" s="80" t="s">
        <v>15</v>
      </c>
      <c r="C78" s="84">
        <f ref="C78:X78" si="22" t="shared">IF($X$52&gt;0,C51/$X$52,0)</f>
        <v>0</v>
      </c>
      <c r="D78" s="84">
        <f si="22" t="shared"/>
        <v>0</v>
      </c>
      <c r="E78" s="84">
        <f si="22" t="shared"/>
        <v>0</v>
      </c>
      <c r="F78" s="84">
        <f si="22" t="shared"/>
        <v>0</v>
      </c>
      <c r="G78" s="84">
        <f si="22" t="shared"/>
        <v>0</v>
      </c>
      <c r="H78" s="84">
        <f si="22" t="shared"/>
        <v>0</v>
      </c>
      <c r="I78" s="84">
        <f si="22" t="shared"/>
        <v>0</v>
      </c>
      <c r="J78" s="84">
        <f si="22" t="shared"/>
        <v>0</v>
      </c>
      <c r="K78" s="84">
        <f si="22" t="shared"/>
        <v>0</v>
      </c>
      <c r="L78" s="84">
        <f si="22" t="shared"/>
        <v>0</v>
      </c>
      <c r="M78" s="84">
        <f si="22" t="shared"/>
        <v>0</v>
      </c>
      <c r="N78" s="84">
        <f si="22" t="shared"/>
        <v>0</v>
      </c>
      <c r="O78" s="84">
        <f si="22" t="shared"/>
        <v>0</v>
      </c>
      <c r="P78" s="84">
        <f si="22" t="shared"/>
        <v>0</v>
      </c>
      <c r="Q78" s="84">
        <f si="22" t="shared"/>
        <v>0</v>
      </c>
      <c r="R78" s="84">
        <f si="22" t="shared"/>
        <v>0</v>
      </c>
      <c r="S78" s="84">
        <f si="22" t="shared"/>
        <v>0</v>
      </c>
      <c r="T78" s="84">
        <f si="22" t="shared"/>
        <v>0</v>
      </c>
      <c r="U78" s="84">
        <f si="22" t="shared"/>
        <v>0</v>
      </c>
      <c r="V78" s="84">
        <f si="22" t="shared"/>
        <v>0</v>
      </c>
      <c r="W78" s="84">
        <f si="22" t="shared"/>
        <v>0</v>
      </c>
      <c r="X78" s="84">
        <f si="22" t="shared"/>
        <v>0</v>
      </c>
    </row>
    <row ht="14.65" r="79" spans="2:24" thickBot="1" x14ac:dyDescent="0.5">
      <c r="B79" s="1" t="s">
        <v>3</v>
      </c>
      <c r="C79" s="85">
        <f ref="C79:X79" si="23" t="shared">IF($X$52&gt;0,C52/$X$52,0)</f>
        <v>5.5829488014886387E-2</v>
      </c>
      <c r="D79" s="85">
        <f si="23" t="shared"/>
        <v>4.6297597224511648E-2</v>
      </c>
      <c r="E79" s="85">
        <f si="23" t="shared"/>
        <v>2.9571429993815776E-2</v>
      </c>
      <c r="F79" s="85">
        <f si="23" t="shared"/>
        <v>2.0644685937695331E-2</v>
      </c>
      <c r="G79" s="85">
        <f si="23" t="shared"/>
        <v>2.6714960399949996E-2</v>
      </c>
      <c r="H79" s="85">
        <f si="23" t="shared"/>
        <v>0.11777128993608899</v>
      </c>
      <c r="I79" s="85">
        <f si="23" t="shared"/>
        <v>9.5560081556521473E-2</v>
      </c>
      <c r="J79" s="85">
        <f si="23" t="shared"/>
        <v>5.6399233112036226E-3</v>
      </c>
      <c r="K79" s="85">
        <f si="23" t="shared"/>
        <v>5.7969074457386936E-2</v>
      </c>
      <c r="L79" s="85">
        <f si="23" t="shared"/>
        <v>2.2579606665685748E-2</v>
      </c>
      <c r="M79" s="85">
        <f si="23" t="shared"/>
        <v>6.4121215205445656E-2</v>
      </c>
      <c r="N79" s="85">
        <f si="23" t="shared"/>
        <v>0.16397927676667998</v>
      </c>
      <c r="O79" s="85">
        <f si="23" t="shared"/>
        <v>0.11157268453933067</v>
      </c>
      <c r="P79" s="85">
        <f si="23" t="shared"/>
        <v>1.6968447184629493E-2</v>
      </c>
      <c r="Q79" s="85">
        <f si="23" t="shared"/>
        <v>4.2025062146467639E-2</v>
      </c>
      <c r="R79" s="85">
        <f si="23" t="shared"/>
        <v>5.6012027706206242E-3</v>
      </c>
      <c r="S79" s="85">
        <f si="23" t="shared"/>
        <v>1.6910919524334753E-2</v>
      </c>
      <c r="T79" s="85">
        <f si="23" t="shared"/>
        <v>2.6178404337585587E-2</v>
      </c>
      <c r="U79" s="85">
        <f si="23" t="shared"/>
        <v>4.0673162129541231E-2</v>
      </c>
      <c r="V79" s="85">
        <f si="23" t="shared"/>
        <v>3.3391487897618463E-2</v>
      </c>
      <c r="W79" s="85">
        <f si="23" t="shared"/>
        <v>0</v>
      </c>
      <c r="X79" s="85">
        <f si="23" t="shared"/>
        <v>1</v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T36"/>
  <sheetViews>
    <sheetView workbookViewId="0" zoomScaleNormal="100">
      <selection activeCell="L36" sqref="L36"/>
    </sheetView>
  </sheetViews>
  <sheetFormatPr defaultRowHeight="14.25" x14ac:dyDescent="0.45"/>
  <cols>
    <col min="2" max="2" bestFit="true" customWidth="true" width="11.1328125" collapsed="true"/>
    <col min="3" max="4" bestFit="true" customWidth="true" width="9.265625" collapsed="true"/>
    <col min="5" max="5" bestFit="true" customWidth="true" width="9.59765625" collapsed="true"/>
    <col min="9" max="9" bestFit="true" customWidth="true" width="11.1328125" collapsed="true"/>
    <col min="14" max="15" bestFit="true" customWidth="true" width="9.59765625" collapsed="true"/>
  </cols>
  <sheetData>
    <row r="1" spans="1:19" x14ac:dyDescent="0.45">
      <c r="A1" t="s">
        <v>22</v>
      </c>
    </row>
    <row r="2" spans="1:19" x14ac:dyDescent="0.45">
      <c r="A2" t="s">
        <v>247</v>
      </c>
    </row>
    <row r="3" spans="1:19" x14ac:dyDescent="0.45">
      <c r="A3" t="s">
        <v>36</v>
      </c>
    </row>
    <row ht="14.65" r="5" spans="1:19" thickBot="1" x14ac:dyDescent="0.5">
      <c r="A5" s="4" t="s">
        <v>205</v>
      </c>
      <c r="B5" s="1"/>
      <c r="C5" s="1"/>
      <c r="D5" s="1"/>
      <c r="E5" s="1"/>
      <c r="H5" s="4" t="s">
        <v>37</v>
      </c>
      <c r="I5" s="1"/>
      <c r="J5" s="1"/>
      <c r="K5" s="1"/>
      <c r="L5" s="1"/>
      <c r="O5" s="4" t="s">
        <v>53</v>
      </c>
      <c r="P5" s="1"/>
      <c r="Q5" s="1"/>
      <c r="R5" s="1"/>
      <c r="S5" s="1"/>
    </row>
    <row r="6" spans="1:19" x14ac:dyDescent="0.45">
      <c r="A6" s="2"/>
      <c r="B6" s="3" t="s">
        <v>8</v>
      </c>
      <c r="C6" s="3" t="s">
        <v>9</v>
      </c>
      <c r="D6" s="3" t="s">
        <v>10</v>
      </c>
      <c r="E6" s="3" t="s">
        <v>3</v>
      </c>
      <c r="H6" s="2"/>
      <c r="I6" s="3" t="s">
        <v>8</v>
      </c>
      <c r="J6" s="3" t="s">
        <v>9</v>
      </c>
      <c r="K6" s="3" t="s">
        <v>10</v>
      </c>
      <c r="L6" s="3" t="s">
        <v>3</v>
      </c>
      <c r="O6" s="2"/>
      <c r="P6" s="3" t="s">
        <v>8</v>
      </c>
      <c r="Q6" s="3" t="s">
        <v>9</v>
      </c>
      <c r="R6" s="3" t="s">
        <v>10</v>
      </c>
      <c r="S6" s="3" t="s">
        <v>3</v>
      </c>
    </row>
    <row r="7" spans="1:19" x14ac:dyDescent="0.45">
      <c r="A7" s="28">
        <v>1</v>
      </c>
      <c r="B7" s="13" t="n">
        <v>6329.560990431574</v>
      </c>
      <c r="C7" s="13" t="n">
        <v>4282.935135821473</v>
      </c>
      <c r="D7" s="13" t="n">
        <v>488.6558633231063</v>
      </c>
      <c r="E7" s="13">
        <f ref="E7:E13" si="0" t="shared">SUM(B7:D7)</f>
        <v>11101.151989576154</v>
      </c>
      <c r="F7" s="13"/>
      <c r="G7" s="13"/>
      <c r="H7">
        <f>A7</f>
        <v>1</v>
      </c>
      <c r="I7" s="13" t="n">
        <v>16158.0</v>
      </c>
      <c r="J7" s="13" t="n">
        <v>6049.0</v>
      </c>
      <c r="K7" s="13" t="n">
        <v>959.0</v>
      </c>
      <c r="L7" s="13">
        <f>SUM(I7:K7)</f>
        <v>23507</v>
      </c>
      <c r="O7">
        <f>H7</f>
        <v>1</v>
      </c>
      <c r="P7" s="13">
        <f>I7-B7</f>
        <v>9986.4390095684248</v>
      </c>
      <c r="Q7" s="13">
        <f>J7-C7</f>
        <v>1945.0648641785274</v>
      </c>
      <c r="R7" s="13">
        <f>K7-D7</f>
        <v>474.3441366768937</v>
      </c>
      <c r="S7" s="13">
        <f>L7-E7</f>
        <v>12405.848010423846</v>
      </c>
    </row>
    <row r="8" spans="1:19" x14ac:dyDescent="0.45">
      <c r="A8">
        <v>2</v>
      </c>
      <c r="B8" s="13" t="n">
        <v>320.3370971440732</v>
      </c>
      <c r="C8" s="13" t="n">
        <v>349.8210644614419</v>
      </c>
      <c r="D8" s="13" t="n">
        <v>144.501085937214</v>
      </c>
      <c r="E8" s="13">
        <f si="0" t="shared"/>
        <v>814.65924754272896</v>
      </c>
      <c r="F8" s="13"/>
      <c r="G8" s="13"/>
      <c r="H8">
        <f ref="H8:H13" si="1" t="shared">A8</f>
        <v>2</v>
      </c>
      <c r="I8" s="13" t="n">
        <v>2585.0</v>
      </c>
      <c r="J8" s="13" t="n">
        <v>685.0</v>
      </c>
      <c r="K8" s="13" t="n">
        <v>96.0</v>
      </c>
      <c r="L8" s="13">
        <f ref="L8:L13" si="2" t="shared">SUM(I8:K8)</f>
        <v>3408</v>
      </c>
      <c r="O8">
        <f ref="O8:O13" si="3" t="shared">H8</f>
        <v>2</v>
      </c>
      <c r="P8" s="13">
        <f ref="P8:P13" si="4" t="shared">I8-B8</f>
        <v>2299.6629028559269</v>
      </c>
      <c r="Q8" s="13">
        <f ref="Q8:Q13" si="5" t="shared">J8-C8</f>
        <v>356.17893553855811</v>
      </c>
      <c r="R8" s="13">
        <f ref="R8:R13" si="6" t="shared">K8-D8</f>
        <v>-62.501085937213986</v>
      </c>
      <c r="S8" s="13">
        <f ref="S8:S13" si="7" t="shared">L8-E8</f>
        <v>2593.3407524572713</v>
      </c>
    </row>
    <row r="9" spans="1:19" x14ac:dyDescent="0.45">
      <c r="A9">
        <v>3</v>
      </c>
      <c r="B9" s="13" t="n">
        <v>273.3049991235705</v>
      </c>
      <c r="C9" s="13" t="n">
        <v>0.0</v>
      </c>
      <c r="D9" s="13" t="n">
        <v>0.0</v>
      </c>
      <c r="E9" s="13">
        <f si="0" t="shared"/>
        <v>273.3049991235705</v>
      </c>
      <c r="F9" s="13"/>
      <c r="G9" s="13"/>
      <c r="H9">
        <f si="1" t="shared"/>
        <v>3</v>
      </c>
      <c r="I9" s="13" t="n">
        <v>2329.0</v>
      </c>
      <c r="J9" s="13" t="n">
        <v>670.0</v>
      </c>
      <c r="K9" s="13" t="n">
        <v>75.0</v>
      </c>
      <c r="L9" s="13">
        <f si="2" t="shared"/>
        <v>3143</v>
      </c>
      <c r="O9">
        <f si="3" t="shared"/>
        <v>3</v>
      </c>
      <c r="P9" s="13">
        <f si="4" t="shared"/>
        <v>2132.6950008764297</v>
      </c>
      <c r="Q9" s="13">
        <f si="5" t="shared"/>
        <v>674</v>
      </c>
      <c r="R9" s="13">
        <f si="6" t="shared"/>
        <v>63</v>
      </c>
      <c r="S9" s="13">
        <f si="7" t="shared"/>
        <v>2869.6950008764297</v>
      </c>
    </row>
    <row r="10" spans="1:19" x14ac:dyDescent="0.45">
      <c r="A10">
        <v>4</v>
      </c>
      <c r="B10" s="13" t="n">
        <v>2622.415802252654</v>
      </c>
      <c r="C10" s="13" t="n">
        <v>1546.4033596121374</v>
      </c>
      <c r="D10" s="13" t="n">
        <v>83.2590124178557</v>
      </c>
      <c r="E10" s="13">
        <f si="0" t="shared"/>
        <v>4252.0781742826475</v>
      </c>
      <c r="F10" s="13"/>
      <c r="G10" s="13"/>
      <c r="H10">
        <f si="1" t="shared"/>
        <v>4</v>
      </c>
      <c r="I10" s="13" t="n">
        <v>7442.0</v>
      </c>
      <c r="J10" s="13" t="n">
        <v>2622.0</v>
      </c>
      <c r="K10" s="13" t="n">
        <v>405.0</v>
      </c>
      <c r="L10" s="13">
        <f si="2" t="shared"/>
        <v>10745</v>
      </c>
      <c r="O10">
        <f si="3" t="shared"/>
        <v>4</v>
      </c>
      <c r="P10" s="13">
        <f si="4" t="shared"/>
        <v>5053.5841977473465</v>
      </c>
      <c r="Q10" s="13">
        <f si="5" t="shared"/>
        <v>1077.5966403878626</v>
      </c>
      <c r="R10" s="13">
        <f si="6" t="shared"/>
        <v>361.74098758214427</v>
      </c>
      <c r="S10" s="13">
        <f si="7" t="shared"/>
        <v>6492.9218257173525</v>
      </c>
    </row>
    <row r="11" spans="1:19" x14ac:dyDescent="0.45">
      <c r="A11">
        <v>5</v>
      </c>
      <c r="B11" s="13" t="n">
        <v>2198.142672811044</v>
      </c>
      <c r="C11" s="13" t="n">
        <v>1648.138667517162</v>
      </c>
      <c r="D11" s="13" t="n">
        <v>81.50498294120669</v>
      </c>
      <c r="E11" s="13">
        <f si="0" t="shared"/>
        <v>3927.7863232694131</v>
      </c>
      <c r="F11" s="13"/>
      <c r="G11" s="13"/>
      <c r="H11">
        <f si="1" t="shared"/>
        <v>5</v>
      </c>
      <c r="I11" s="13" t="n">
        <v>4977.0</v>
      </c>
      <c r="J11" s="13" t="n">
        <v>1575.0</v>
      </c>
      <c r="K11" s="13" t="n">
        <v>185.0</v>
      </c>
      <c r="L11" s="13">
        <f si="2" t="shared"/>
        <v>7061</v>
      </c>
      <c r="O11">
        <f si="3" t="shared"/>
        <v>5</v>
      </c>
      <c r="P11" s="13">
        <f si="4" t="shared"/>
        <v>3004.8573271889559</v>
      </c>
      <c r="Q11" s="13">
        <f si="5" t="shared"/>
        <v>-9.1386675171620482</v>
      </c>
      <c r="R11" s="13">
        <f si="6" t="shared"/>
        <v>137.49501705879331</v>
      </c>
      <c r="S11" s="13">
        <f si="7" t="shared"/>
        <v>3133.2136767305869</v>
      </c>
    </row>
    <row r="12" spans="1:19" x14ac:dyDescent="0.45">
      <c r="A12">
        <v>6</v>
      </c>
      <c r="B12" s="13" t="n">
        <v>3329.4114657933656</v>
      </c>
      <c r="C12" s="13" t="n">
        <v>954.3899797079305</v>
      </c>
      <c r="D12" s="13" t="n">
        <v>0.0</v>
      </c>
      <c r="E12" s="13">
        <f si="0" t="shared"/>
        <v>4283.8014455012963</v>
      </c>
      <c r="F12" s="13"/>
      <c r="G12" s="13"/>
      <c r="H12">
        <f si="1" t="shared"/>
        <v>6</v>
      </c>
      <c r="I12" s="13" t="n">
        <v>5229.0</v>
      </c>
      <c r="J12" s="13" t="n">
        <v>2507.0</v>
      </c>
      <c r="K12" s="13" t="n">
        <v>356.0</v>
      </c>
      <c r="L12" s="13">
        <f si="2" t="shared"/>
        <v>8191</v>
      </c>
      <c r="O12">
        <f si="3" t="shared"/>
        <v>6</v>
      </c>
      <c r="P12" s="13">
        <f si="4" t="shared"/>
        <v>1973.5885342066344</v>
      </c>
      <c r="Q12" s="13">
        <f si="5" t="shared"/>
        <v>1572.6100202920695</v>
      </c>
      <c r="R12" s="13">
        <f si="6" t="shared"/>
        <v>361</v>
      </c>
      <c r="S12" s="13">
        <f si="7" t="shared"/>
        <v>3907.1985544987037</v>
      </c>
    </row>
    <row r="13" spans="1:19" x14ac:dyDescent="0.45">
      <c r="A13" s="6">
        <v>7</v>
      </c>
      <c r="B13" s="14" t="n">
        <v>1796.4599355684743</v>
      </c>
      <c r="C13" s="14" t="n">
        <v>874.840771946554</v>
      </c>
      <c r="D13" s="14" t="n">
        <v>0.0</v>
      </c>
      <c r="E13" s="14">
        <f si="0" t="shared"/>
        <v>2671.3007075150281</v>
      </c>
      <c r="F13" s="13"/>
      <c r="G13" s="13"/>
      <c r="H13" s="6">
        <f si="1" t="shared"/>
        <v>7</v>
      </c>
      <c r="I13" s="14" t="n">
        <v>3821.0</v>
      </c>
      <c r="J13" s="14" t="n">
        <v>1199.0</v>
      </c>
      <c r="K13" s="14" t="n">
        <v>143.0</v>
      </c>
      <c r="L13" s="14">
        <f si="2" t="shared"/>
        <v>5349</v>
      </c>
      <c r="O13" s="6">
        <f si="3" t="shared"/>
        <v>7</v>
      </c>
      <c r="P13" s="14">
        <f si="4" t="shared"/>
        <v>2163.5400644315259</v>
      </c>
      <c r="Q13" s="14">
        <f si="5" t="shared"/>
        <v>334.15922805344599</v>
      </c>
      <c r="R13" s="14">
        <f si="6" t="shared"/>
        <v>180</v>
      </c>
      <c r="S13" s="14">
        <f si="7" t="shared"/>
        <v>2677.6992924849719</v>
      </c>
    </row>
    <row ht="14.65" r="14" spans="1:19" thickBot="1" x14ac:dyDescent="0.5">
      <c r="A14" s="15" t="s">
        <v>3</v>
      </c>
      <c r="B14" s="15">
        <f>SUM(B7:B13)</f>
        <v>16869.632963124757</v>
      </c>
      <c r="C14" s="15">
        <f>SUM(C7:C13)</f>
        <v>9656.5289790666975</v>
      </c>
      <c r="D14" s="15">
        <f>SUM(D7:D13)</f>
        <v>797.92094461938268</v>
      </c>
      <c r="E14" s="15">
        <f>SUM(E7:E13)</f>
        <v>27324.08288681084</v>
      </c>
      <c r="F14" s="13"/>
      <c r="G14" s="13"/>
      <c r="H14" s="15" t="s">
        <v>3</v>
      </c>
      <c r="I14" s="15">
        <f>SUM(I7:I13)</f>
        <v>43484</v>
      </c>
      <c r="J14" s="15">
        <f>SUM(J7:J13)</f>
        <v>15607</v>
      </c>
      <c r="K14" s="15">
        <f>SUM(K7:K13)</f>
        <v>2313</v>
      </c>
      <c r="L14" s="15">
        <f>SUM(L7:L13)</f>
        <v>61404</v>
      </c>
      <c r="O14" s="15" t="s">
        <v>3</v>
      </c>
      <c r="P14" s="15">
        <f>I14-B14</f>
        <v>26614.367036875243</v>
      </c>
      <c r="Q14" s="15">
        <f>J14-C14</f>
        <v>5950.4710209333025</v>
      </c>
      <c r="R14" s="15">
        <f>K14-D14</f>
        <v>1515.0790553806173</v>
      </c>
      <c r="S14" s="15">
        <f>L14-E14</f>
        <v>34079.917113189164</v>
      </c>
    </row>
    <row r="15" spans="1:19" x14ac:dyDescent="0.45"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O15" s="13"/>
      <c r="P15" s="13"/>
      <c r="Q15" s="13"/>
      <c r="R15" s="13"/>
      <c r="S15" s="13"/>
    </row>
    <row ht="14.65" r="16" spans="1:19" thickBot="1" x14ac:dyDescent="0.5">
      <c r="A16" s="4" t="s">
        <v>206</v>
      </c>
      <c r="B16" s="15"/>
      <c r="C16" s="15"/>
      <c r="D16" s="15"/>
      <c r="E16" s="15"/>
      <c r="F16" s="13"/>
      <c r="G16" s="13"/>
      <c r="H16" s="16" t="s">
        <v>38</v>
      </c>
      <c r="I16" s="15"/>
      <c r="J16" s="15"/>
      <c r="K16" s="15"/>
      <c r="L16" s="15"/>
      <c r="O16" s="16" t="s">
        <v>54</v>
      </c>
      <c r="P16" s="15"/>
      <c r="Q16" s="15"/>
      <c r="R16" s="15"/>
      <c r="S16" s="15"/>
    </row>
    <row r="17" spans="1:19" x14ac:dyDescent="0.45">
      <c r="A17" s="2"/>
      <c r="B17" s="3" t="str">
        <f>B6</f>
        <v>FT</v>
      </c>
      <c r="C17" s="3" t="str">
        <f>C6</f>
        <v>PT</v>
      </c>
      <c r="D17" s="3" t="str">
        <f>D6</f>
        <v>NotFTPT</v>
      </c>
      <c r="E17" s="3" t="str">
        <f>E6</f>
        <v>Total</v>
      </c>
      <c r="F17" s="13"/>
      <c r="G17" s="13"/>
      <c r="H17" s="18"/>
      <c r="I17" s="17" t="str">
        <f>I6</f>
        <v>FT</v>
      </c>
      <c r="J17" s="17" t="str">
        <f>J6</f>
        <v>PT</v>
      </c>
      <c r="K17" s="17" t="str">
        <f>K6</f>
        <v>NotFTPT</v>
      </c>
      <c r="L17" s="17" t="str">
        <f>L6</f>
        <v>Total</v>
      </c>
      <c r="O17" s="18"/>
      <c r="P17" s="17" t="s">
        <v>8</v>
      </c>
      <c r="Q17" s="17" t="s">
        <v>9</v>
      </c>
      <c r="R17" s="17" t="s">
        <v>10</v>
      </c>
      <c r="S17" s="17" t="s">
        <v>3</v>
      </c>
    </row>
    <row r="18" spans="1:19" x14ac:dyDescent="0.45">
      <c r="A18">
        <f ref="A18:A23" si="8" t="shared">A7</f>
        <v>1</v>
      </c>
      <c r="B18" s="13" t="n">
        <v>300060.8102832</v>
      </c>
      <c r="C18" s="13" t="n">
        <v>33330.63667390376</v>
      </c>
      <c r="D18" s="13" t="n">
        <v>11245.630724878492</v>
      </c>
      <c r="E18" s="13">
        <f>SUM(B18:D18)</f>
        <v>344637.07768198231</v>
      </c>
      <c r="F18" s="13"/>
      <c r="G18" s="13"/>
      <c r="H18">
        <f ref="H18:H23" si="9" t="shared">H7</f>
        <v>1</v>
      </c>
      <c r="I18" s="13" t="n">
        <v>346136.0</v>
      </c>
      <c r="J18" s="13" t="n">
        <v>44513.0</v>
      </c>
      <c r="K18" s="13" t="n">
        <v>19519.0</v>
      </c>
      <c r="L18" s="13">
        <f>SUM(I18:K18)</f>
        <v>410168</v>
      </c>
      <c r="O18">
        <f ref="O18:O23" si="10" t="shared">O7</f>
        <v>1</v>
      </c>
      <c r="P18" s="13">
        <f>I18-B18</f>
        <v>46075.1897168</v>
      </c>
      <c r="Q18" s="13">
        <f>J18-C18</f>
        <v>11182.363326096238</v>
      </c>
      <c r="R18" s="13">
        <f>K18-D18</f>
        <v>8273.3692751215076</v>
      </c>
      <c r="S18" s="13">
        <f>L18-E18</f>
        <v>65530.922318017692</v>
      </c>
    </row>
    <row r="19" spans="1:19" x14ac:dyDescent="0.45">
      <c r="A19">
        <f si="8" t="shared"/>
        <v>2</v>
      </c>
      <c r="B19" s="13" t="n">
        <v>40887.555650227296</v>
      </c>
      <c r="C19" s="13" t="n">
        <v>3531.503348669202</v>
      </c>
      <c r="D19" s="13" t="n">
        <v>889.9173867332458</v>
      </c>
      <c r="E19" s="13">
        <f ref="E19:E24" si="11" t="shared">SUM(B19:D19)</f>
        <v>45308.976385629743</v>
      </c>
      <c r="F19" s="13"/>
      <c r="G19" s="13"/>
      <c r="H19">
        <f si="9" t="shared"/>
        <v>2</v>
      </c>
      <c r="I19" s="13" t="n">
        <v>47469.0</v>
      </c>
      <c r="J19" s="13" t="n">
        <v>5031.0</v>
      </c>
      <c r="K19" s="13" t="n">
        <v>1559.0</v>
      </c>
      <c r="L19" s="13">
        <f ref="L19:L24" si="12" t="shared">SUM(I19:K19)</f>
        <v>54059</v>
      </c>
      <c r="O19">
        <f si="10" t="shared"/>
        <v>2</v>
      </c>
      <c r="P19" s="13">
        <f ref="P19:P24" si="13" t="shared">I19-B19</f>
        <v>6581.4443497727043</v>
      </c>
      <c r="Q19" s="13">
        <f ref="Q19:Q24" si="14" t="shared">J19-C19</f>
        <v>1499.4966513307982</v>
      </c>
      <c r="R19" s="13">
        <f ref="R19:R24" si="15" t="shared">K19-D19</f>
        <v>669.08261326675415</v>
      </c>
      <c r="S19" s="13">
        <f ref="S19:S24" si="16" t="shared">L19-E19</f>
        <v>8750.0236143702568</v>
      </c>
    </row>
    <row r="20" spans="1:19" x14ac:dyDescent="0.45">
      <c r="A20">
        <f si="8" t="shared"/>
        <v>3</v>
      </c>
      <c r="B20" s="13" t="n">
        <v>30078.054184797344</v>
      </c>
      <c r="C20" s="13" t="n">
        <v>2538.34209567798</v>
      </c>
      <c r="D20" s="13" t="n">
        <v>261.5523560997358</v>
      </c>
      <c r="E20" s="13">
        <f si="11" t="shared"/>
        <v>32877.948636575064</v>
      </c>
      <c r="F20" s="13"/>
      <c r="G20" s="13"/>
      <c r="H20">
        <f si="9" t="shared"/>
        <v>3</v>
      </c>
      <c r="I20" s="13" t="n">
        <v>33260.0</v>
      </c>
      <c r="J20" s="13" t="n">
        <v>3586.0</v>
      </c>
      <c r="K20" s="13" t="n">
        <v>960.0</v>
      </c>
      <c r="L20" s="13">
        <f si="12" t="shared"/>
        <v>37806</v>
      </c>
      <c r="O20">
        <f si="10" t="shared"/>
        <v>3</v>
      </c>
      <c r="P20" s="13">
        <f si="13" t="shared"/>
        <v>3181.9458152026564</v>
      </c>
      <c r="Q20" s="13">
        <f si="14" t="shared"/>
        <v>1047.6579043220199</v>
      </c>
      <c r="R20" s="13">
        <f si="15" t="shared"/>
        <v>698.44764390026421</v>
      </c>
      <c r="S20" s="13">
        <f si="16" t="shared"/>
        <v>4928.0513634249364</v>
      </c>
    </row>
    <row r="21" spans="1:19" x14ac:dyDescent="0.45">
      <c r="A21">
        <f si="8" t="shared"/>
        <v>4</v>
      </c>
      <c r="B21" s="13" t="n">
        <v>137770.17228126264</v>
      </c>
      <c r="C21" s="13" t="n">
        <v>15619.13905221454</v>
      </c>
      <c r="D21" s="13" t="n">
        <v>6402.52488774559</v>
      </c>
      <c r="E21" s="13">
        <f si="11" t="shared"/>
        <v>159791.83622122277</v>
      </c>
      <c r="F21" s="13"/>
      <c r="G21" s="13"/>
      <c r="H21">
        <f si="9" t="shared"/>
        <v>4</v>
      </c>
      <c r="I21" s="13" t="n">
        <v>159326.0</v>
      </c>
      <c r="J21" s="13" t="n">
        <v>20055.0</v>
      </c>
      <c r="K21" s="13" t="n">
        <v>10817.0</v>
      </c>
      <c r="L21" s="13">
        <f si="12" t="shared"/>
        <v>190198</v>
      </c>
      <c r="O21">
        <f si="10" t="shared"/>
        <v>4</v>
      </c>
      <c r="P21" s="13">
        <f si="13" t="shared"/>
        <v>21555.827718737361</v>
      </c>
      <c r="Q21" s="13">
        <f si="14" t="shared"/>
        <v>4435.8609477854607</v>
      </c>
      <c r="R21" s="13">
        <f si="15" t="shared"/>
        <v>4414.4751122544103</v>
      </c>
      <c r="S21" s="13">
        <f si="16" t="shared"/>
        <v>30406.163778777234</v>
      </c>
    </row>
    <row r="22" spans="1:19" x14ac:dyDescent="0.45">
      <c r="A22">
        <f si="8" t="shared"/>
        <v>5</v>
      </c>
      <c r="B22" s="13" t="n">
        <v>73218.18672962855</v>
      </c>
      <c r="C22" s="13" t="n">
        <v>9371.099595845422</v>
      </c>
      <c r="D22" s="13" t="n">
        <v>2583.0631178512403</v>
      </c>
      <c r="E22" s="13">
        <f si="11" t="shared"/>
        <v>85172.34944332522</v>
      </c>
      <c r="F22" s="13"/>
      <c r="G22" s="13"/>
      <c r="H22">
        <f si="9" t="shared"/>
        <v>5</v>
      </c>
      <c r="I22" s="13" t="n">
        <v>88823.0</v>
      </c>
      <c r="J22" s="13" t="n">
        <v>10451.0</v>
      </c>
      <c r="K22" s="13" t="n">
        <v>3663.0</v>
      </c>
      <c r="L22" s="13">
        <f si="12" t="shared"/>
        <v>102937</v>
      </c>
      <c r="O22">
        <f si="10" t="shared"/>
        <v>5</v>
      </c>
      <c r="P22" s="13">
        <f si="13" t="shared"/>
        <v>15604.813270371451</v>
      </c>
      <c r="Q22" s="13">
        <f si="14" t="shared"/>
        <v>1079.9004041545777</v>
      </c>
      <c r="R22" s="13">
        <f si="15" t="shared"/>
        <v>1079.9368821487597</v>
      </c>
      <c r="S22" s="13">
        <f si="16" t="shared"/>
        <v>17764.65055667478</v>
      </c>
    </row>
    <row r="23" spans="1:19" x14ac:dyDescent="0.45">
      <c r="A23">
        <f si="8" t="shared"/>
        <v>6</v>
      </c>
      <c r="B23" s="13" t="n">
        <v>88521.93978408138</v>
      </c>
      <c r="C23" s="13" t="n">
        <v>14315.179648363242</v>
      </c>
      <c r="D23" s="13" t="n">
        <v>3707.5879208774845</v>
      </c>
      <c r="E23" s="13">
        <f si="11" t="shared"/>
        <v>106544.70735332211</v>
      </c>
      <c r="F23" s="13"/>
      <c r="G23" s="13"/>
      <c r="H23">
        <f si="9" t="shared"/>
        <v>6</v>
      </c>
      <c r="I23" s="13" t="n">
        <v>107582.0</v>
      </c>
      <c r="J23" s="13" t="n">
        <v>16987.0</v>
      </c>
      <c r="K23" s="13" t="n">
        <v>6141.0</v>
      </c>
      <c r="L23" s="13">
        <f si="12" t="shared"/>
        <v>130710</v>
      </c>
      <c r="O23">
        <f si="10" t="shared"/>
        <v>6</v>
      </c>
      <c r="P23" s="13">
        <f si="13" t="shared"/>
        <v>19060.060215918624</v>
      </c>
      <c r="Q23" s="13">
        <f si="14" t="shared"/>
        <v>2671.8203516367576</v>
      </c>
      <c r="R23" s="13">
        <f si="15" t="shared"/>
        <v>2433.4120791225155</v>
      </c>
      <c r="S23" s="13">
        <f si="16" t="shared"/>
        <v>24165.292646677888</v>
      </c>
    </row>
    <row r="24" spans="1:19" x14ac:dyDescent="0.45">
      <c r="A24" s="6">
        <v>7</v>
      </c>
      <c r="B24" s="14" t="n">
        <v>59624.779145083354</v>
      </c>
      <c r="C24" s="14" t="n">
        <v>6856.728051344406</v>
      </c>
      <c r="D24" s="14" t="n">
        <v>3173.7606718599473</v>
      </c>
      <c r="E24" s="14">
        <f si="11" t="shared"/>
        <v>69655.267868287701</v>
      </c>
      <c r="F24" s="13"/>
      <c r="G24" s="13"/>
      <c r="H24" s="6">
        <v>7</v>
      </c>
      <c r="I24" s="14" t="n">
        <v>71012.0</v>
      </c>
      <c r="J24" s="14" t="n">
        <v>7848.0</v>
      </c>
      <c r="K24" s="14" t="n">
        <v>2608.0</v>
      </c>
      <c r="L24" s="14">
        <f si="12" t="shared"/>
        <v>81468</v>
      </c>
      <c r="O24" s="6">
        <v>7</v>
      </c>
      <c r="P24" s="14">
        <f si="13" t="shared"/>
        <v>11387.220854916646</v>
      </c>
      <c r="Q24" s="14">
        <f si="14" t="shared"/>
        <v>991.27194865559431</v>
      </c>
      <c r="R24" s="14">
        <f si="15" t="shared"/>
        <v>-565.76067185994725</v>
      </c>
      <c r="S24" s="14">
        <f si="16" t="shared"/>
        <v>11812.732131712299</v>
      </c>
    </row>
    <row ht="14.65" r="25" spans="1:19" thickBot="1" x14ac:dyDescent="0.5">
      <c r="A25" s="15" t="s">
        <v>3</v>
      </c>
      <c r="B25" s="15">
        <f>SUM(B18:B24)</f>
        <v>730161.49805828067</v>
      </c>
      <c r="C25" s="15">
        <f>SUM(C18:C24)</f>
        <v>85562.628466018563</v>
      </c>
      <c r="D25" s="15">
        <f>SUM(D18:D24)</f>
        <v>28264.037066045741</v>
      </c>
      <c r="E25" s="15">
        <f>SUM(E18:E24)</f>
        <v>843988.16359034483</v>
      </c>
      <c r="F25" s="13"/>
      <c r="G25" s="13"/>
      <c r="H25" s="15" t="s">
        <v>3</v>
      </c>
      <c r="I25" s="15">
        <f>SUM(I18:I24)</f>
        <v>853608</v>
      </c>
      <c r="J25" s="15">
        <f>SUM(J18:J24)</f>
        <v>108471</v>
      </c>
      <c r="K25" s="15">
        <f>SUM(K18:K24)</f>
        <v>45267</v>
      </c>
      <c r="L25" s="15">
        <f>SUM(L18:L24)</f>
        <v>1007346</v>
      </c>
      <c r="O25" s="15" t="s">
        <v>3</v>
      </c>
      <c r="P25" s="15">
        <f>I25-B25</f>
        <v>123446.50194171933</v>
      </c>
      <c r="Q25" s="15">
        <f>J25-C25</f>
        <v>22908.371533981437</v>
      </c>
      <c r="R25" s="15">
        <f>K25-D25</f>
        <v>17002.962933954259</v>
      </c>
      <c r="S25" s="15">
        <f>L25-E25</f>
        <v>163357.83640965517</v>
      </c>
    </row>
    <row ht="14.65" r="27" spans="1:19" thickBot="1" x14ac:dyDescent="0.5">
      <c r="A27" s="4" t="s">
        <v>207</v>
      </c>
      <c r="B27" s="1"/>
      <c r="C27" s="1"/>
      <c r="D27" s="1"/>
      <c r="E27" s="1"/>
      <c r="H27" s="4" t="s">
        <v>39</v>
      </c>
      <c r="I27" s="1"/>
      <c r="J27" s="1"/>
      <c r="K27" s="1"/>
      <c r="L27" s="1"/>
      <c r="O27" s="4" t="s">
        <v>55</v>
      </c>
      <c r="P27" s="1"/>
      <c r="Q27" s="1"/>
      <c r="R27" s="1"/>
      <c r="S27" s="1"/>
    </row>
    <row r="28" spans="1:19" x14ac:dyDescent="0.45">
      <c r="A28" s="2"/>
      <c r="B28" s="3" t="s">
        <v>8</v>
      </c>
      <c r="C28" s="3" t="s">
        <v>9</v>
      </c>
      <c r="D28" s="3" t="s">
        <v>10</v>
      </c>
      <c r="E28" s="3" t="s">
        <v>3</v>
      </c>
      <c r="H28" s="2"/>
      <c r="I28" s="3" t="s">
        <v>8</v>
      </c>
      <c r="J28" s="3" t="s">
        <v>9</v>
      </c>
      <c r="K28" s="3" t="s">
        <v>10</v>
      </c>
      <c r="L28" s="3" t="s">
        <v>3</v>
      </c>
      <c r="O28" s="2"/>
      <c r="P28" s="3" t="s">
        <v>8</v>
      </c>
      <c r="Q28" s="3" t="s">
        <v>9</v>
      </c>
      <c r="R28" s="3" t="s">
        <v>10</v>
      </c>
      <c r="S28" s="3" t="s">
        <v>3</v>
      </c>
    </row>
    <row r="29" spans="1:19" x14ac:dyDescent="0.45">
      <c r="A29">
        <f ref="A29:A34" si="17" t="shared">A18</f>
        <v>1</v>
      </c>
      <c r="B29" s="19">
        <f ref="B29:E36" si="18" t="shared">IF(B18&gt;0,B7/B18,0)</f>
        <v>2.109426080819311E-2</v>
      </c>
      <c r="C29" s="19">
        <f si="18" t="shared"/>
        <v>0.12849844957131584</v>
      </c>
      <c r="D29" s="19">
        <f si="18" t="shared"/>
        <v>4.3452952998186425E-2</v>
      </c>
      <c r="E29" s="19">
        <f si="18" t="shared"/>
        <v>3.221113660852204E-2</v>
      </c>
      <c r="F29" s="19"/>
      <c r="G29" s="19"/>
      <c r="H29">
        <f ref="H29:H34" si="19" t="shared">H18</f>
        <v>1</v>
      </c>
      <c r="I29" s="19">
        <f ref="I29:L36" si="20" t="shared">IF(I18&gt;0,I7/I18,0)</f>
        <v>4.7137541313241035E-2</v>
      </c>
      <c r="J29" s="19">
        <f si="20" t="shared"/>
        <v>0.13991418237368858</v>
      </c>
      <c r="K29" s="19">
        <f si="20" t="shared"/>
        <v>4.9336543880321736E-2</v>
      </c>
      <c r="L29" s="19">
        <f si="20" t="shared"/>
        <v>5.7310662947865264E-2</v>
      </c>
      <c r="O29">
        <f ref="O29:O34" si="21" t="shared">O18</f>
        <v>1</v>
      </c>
      <c r="P29" s="19">
        <f>I29-B29</f>
        <v>2.6043280505047926E-2</v>
      </c>
      <c r="Q29" s="19">
        <f>J29-C29</f>
        <v>1.1415732802372736E-2</v>
      </c>
      <c r="R29" s="19">
        <f>K29-D29</f>
        <v>5.8835908821353103E-3</v>
      </c>
      <c r="S29" s="19">
        <f>L29-E29</f>
        <v>2.5099526339343224E-2</v>
      </c>
    </row>
    <row r="30" spans="1:19" x14ac:dyDescent="0.45">
      <c r="A30">
        <f si="17" t="shared"/>
        <v>2</v>
      </c>
      <c r="B30" s="19">
        <f si="18" t="shared"/>
        <v>7.8345866376654492E-3</v>
      </c>
      <c r="C30" s="19">
        <f si="18" t="shared"/>
        <v>9.9057265397544392E-2</v>
      </c>
      <c r="D30" s="19">
        <f si="18" t="shared"/>
        <v>0.16237584307421607</v>
      </c>
      <c r="E30" s="19">
        <f si="18" t="shared"/>
        <v>1.7980085019115712E-2</v>
      </c>
      <c r="F30" s="19"/>
      <c r="G30" s="19"/>
      <c r="H30">
        <f si="19" t="shared"/>
        <v>2</v>
      </c>
      <c r="I30" s="19">
        <f si="20" t="shared"/>
        <v>5.5193916029408666E-2</v>
      </c>
      <c r="J30" s="19">
        <f si="20" t="shared"/>
        <v>0.14032995428344266</v>
      </c>
      <c r="K30" s="19">
        <f si="20" t="shared"/>
        <v>5.2597819114817188E-2</v>
      </c>
      <c r="L30" s="19">
        <f si="20" t="shared"/>
        <v>6.3042231635805329E-2</v>
      </c>
      <c r="O30">
        <f si="21" t="shared"/>
        <v>2</v>
      </c>
      <c r="P30" s="19">
        <f ref="P30:P35" si="22" t="shared">I30-B30</f>
        <v>4.7359329391743213E-2</v>
      </c>
      <c r="Q30" s="19">
        <f ref="Q30:Q35" si="23" t="shared">J30-C30</f>
        <v>4.1272688885898273E-2</v>
      </c>
      <c r="R30" s="19">
        <f ref="R30:R35" si="24" t="shared">K30-D30</f>
        <v>-0.10977802395939888</v>
      </c>
      <c r="S30" s="19">
        <f ref="S30:S35" si="25" t="shared">L30-E30</f>
        <v>4.5062146616689613E-2</v>
      </c>
    </row>
    <row r="31" spans="1:19" x14ac:dyDescent="0.45">
      <c r="A31">
        <f si="17" t="shared"/>
        <v>3</v>
      </c>
      <c r="B31" s="19">
        <f si="18" t="shared"/>
        <v>9.0865252600585387E-3</v>
      </c>
      <c r="C31" s="19">
        <f si="18" t="shared"/>
        <v>0</v>
      </c>
      <c r="D31" s="19">
        <f si="18" t="shared"/>
        <v>0</v>
      </c>
      <c r="E31" s="19">
        <f si="18" t="shared"/>
        <v>8.3127144623473381E-3</v>
      </c>
      <c r="F31" s="19"/>
      <c r="G31" s="19"/>
      <c r="H31">
        <f si="19" t="shared"/>
        <v>3</v>
      </c>
      <c r="I31" s="19">
        <f si="20" t="shared"/>
        <v>7.2339146121467232E-2</v>
      </c>
      <c r="J31" s="19">
        <f si="20" t="shared"/>
        <v>0.18795315114333519</v>
      </c>
      <c r="K31" s="19">
        <f si="20" t="shared"/>
        <v>6.5625000000000003E-2</v>
      </c>
      <c r="L31" s="19">
        <f si="20" t="shared"/>
        <v>8.3134952124001488E-2</v>
      </c>
      <c r="O31">
        <f si="21" t="shared"/>
        <v>3</v>
      </c>
      <c r="P31" s="19">
        <f si="22" t="shared"/>
        <v>6.325262086140869E-2</v>
      </c>
      <c r="Q31" s="19">
        <f si="23" t="shared"/>
        <v>0.18795315114333519</v>
      </c>
      <c r="R31" s="19">
        <f si="24" t="shared"/>
        <v>6.5625000000000003E-2</v>
      </c>
      <c r="S31" s="19">
        <f si="25" t="shared"/>
        <v>7.4822237661654148E-2</v>
      </c>
    </row>
    <row r="32" spans="1:19" x14ac:dyDescent="0.45">
      <c r="A32">
        <f si="17" t="shared"/>
        <v>4</v>
      </c>
      <c r="B32" s="19">
        <f si="18" t="shared"/>
        <v>1.9034713819613292E-2</v>
      </c>
      <c r="C32" s="19">
        <f si="18" t="shared"/>
        <v>9.9006952588265904E-2</v>
      </c>
      <c r="D32" s="19">
        <f si="18" t="shared"/>
        <v>1.3004090398338499E-2</v>
      </c>
      <c r="E32" s="19">
        <f si="18" t="shared"/>
        <v>2.6610108969496324E-2</v>
      </c>
      <c r="F32" s="19"/>
      <c r="G32" s="19"/>
      <c r="H32">
        <f si="19" t="shared"/>
        <v>4</v>
      </c>
      <c r="I32" s="19">
        <f si="20" t="shared"/>
        <v>4.817794961274368E-2</v>
      </c>
      <c r="J32" s="19">
        <f si="20" t="shared"/>
        <v>0.13084018947893294</v>
      </c>
      <c r="K32" s="19">
        <f si="20" t="shared"/>
        <v>4.1138947952297313E-2</v>
      </c>
      <c r="L32" s="19">
        <f si="20" t="shared"/>
        <v>5.6493759135216981E-2</v>
      </c>
      <c r="O32">
        <f si="21" t="shared"/>
        <v>4</v>
      </c>
      <c r="P32" s="19">
        <f si="22" t="shared"/>
        <v>2.9143235793130388E-2</v>
      </c>
      <c r="Q32" s="19">
        <f si="23" t="shared"/>
        <v>3.1833236890667041E-2</v>
      </c>
      <c r="R32" s="19">
        <f si="24" t="shared"/>
        <v>2.8134857553958816E-2</v>
      </c>
      <c r="S32" s="19">
        <f si="25" t="shared"/>
        <v>2.9883650165720657E-2</v>
      </c>
    </row>
    <row r="33" spans="1:19" x14ac:dyDescent="0.45">
      <c r="A33">
        <f si="17" t="shared"/>
        <v>5</v>
      </c>
      <c r="B33" s="19">
        <f si="18" t="shared"/>
        <v>3.0021812489403558E-2</v>
      </c>
      <c r="C33" s="19">
        <f si="18" t="shared"/>
        <v>0.1758746292962084</v>
      </c>
      <c r="D33" s="19">
        <f si="18" t="shared"/>
        <v>3.155361647105543E-2</v>
      </c>
      <c r="E33" s="19">
        <f si="18" t="shared"/>
        <v>4.6115744709883957E-2</v>
      </c>
      <c r="F33" s="19"/>
      <c r="G33" s="19"/>
      <c r="H33">
        <f si="19" t="shared"/>
        <v>5</v>
      </c>
      <c r="I33" s="19">
        <f si="20" t="shared"/>
        <v>5.8577170327505264E-2</v>
      </c>
      <c r="J33" s="19">
        <f si="20" t="shared"/>
        <v>0.15682709788536983</v>
      </c>
      <c r="K33" s="19">
        <f si="20" t="shared"/>
        <v>5.9787059787059789E-2</v>
      </c>
      <c r="L33" s="19">
        <f si="20" t="shared"/>
        <v>6.859535444009443E-2</v>
      </c>
      <c r="O33">
        <f si="21" t="shared"/>
        <v>5</v>
      </c>
      <c r="P33" s="19">
        <f si="22" t="shared"/>
        <v>2.8555357838101706E-2</v>
      </c>
      <c r="Q33" s="19">
        <f si="23" t="shared"/>
        <v>-1.9047531410838564E-2</v>
      </c>
      <c r="R33" s="19">
        <f si="24" t="shared"/>
        <v>2.8233443316004359E-2</v>
      </c>
      <c r="S33" s="19">
        <f si="25" t="shared"/>
        <v>2.2479609730210473E-2</v>
      </c>
    </row>
    <row r="34" spans="1:19" x14ac:dyDescent="0.45">
      <c r="A34">
        <f si="17" t="shared"/>
        <v>6</v>
      </c>
      <c r="B34" s="19">
        <f si="18" t="shared"/>
        <v>3.7611144467849578E-2</v>
      </c>
      <c r="C34" s="19">
        <f si="18" t="shared"/>
        <v>6.6669787117694515E-2</v>
      </c>
      <c r="D34" s="19">
        <f si="18" t="shared"/>
        <v>0</v>
      </c>
      <c r="E34" s="19">
        <f si="18" t="shared"/>
        <v>4.020660952491438E-2</v>
      </c>
      <c r="F34" s="19"/>
      <c r="G34" s="19"/>
      <c r="H34">
        <f si="19" t="shared"/>
        <v>6</v>
      </c>
      <c r="I34" s="19">
        <f si="20" t="shared"/>
        <v>4.9292632596531015E-2</v>
      </c>
      <c r="J34" s="19">
        <f si="20" t="shared"/>
        <v>0.14876081709542591</v>
      </c>
      <c r="K34" s="19">
        <f si="20" t="shared"/>
        <v>5.8785214134505784E-2</v>
      </c>
      <c r="L34" s="19">
        <f si="20" t="shared"/>
        <v>6.2665442582816921E-2</v>
      </c>
      <c r="O34">
        <f si="21" t="shared"/>
        <v>6</v>
      </c>
      <c r="P34" s="19">
        <f si="22" t="shared"/>
        <v>1.1681488128681437E-2</v>
      </c>
      <c r="Q34" s="19">
        <f si="23" t="shared"/>
        <v>8.2091029977731392E-2</v>
      </c>
      <c r="R34" s="19">
        <f si="24" t="shared"/>
        <v>5.8785214134505784E-2</v>
      </c>
      <c r="S34" s="19">
        <f si="25" t="shared"/>
        <v>2.2458833057902541E-2</v>
      </c>
    </row>
    <row r="35" spans="1:19" x14ac:dyDescent="0.45">
      <c r="A35" s="6">
        <v>7</v>
      </c>
      <c r="B35" s="76">
        <f si="18" t="shared"/>
        <v>3.0129418696834033E-2</v>
      </c>
      <c r="C35" s="76">
        <f si="18" t="shared"/>
        <v>0.12758866406769961</v>
      </c>
      <c r="D35" s="76">
        <f si="18" t="shared"/>
        <v>0</v>
      </c>
      <c r="E35" s="76">
        <f si="18" t="shared"/>
        <v>3.8350304137315716E-2</v>
      </c>
      <c r="F35" s="19"/>
      <c r="G35" s="19"/>
      <c r="H35" s="6">
        <v>7</v>
      </c>
      <c r="I35" s="76">
        <f si="20" t="shared"/>
        <v>5.5765222779248579E-2</v>
      </c>
      <c r="J35" s="76">
        <f si="20" t="shared"/>
        <v>0.15405198776758411</v>
      </c>
      <c r="K35" s="76">
        <f si="20" t="shared"/>
        <v>6.9018404907975464E-2</v>
      </c>
      <c r="L35" s="76">
        <f si="20" t="shared"/>
        <v>6.5657681543673588E-2</v>
      </c>
      <c r="O35" s="6">
        <v>7</v>
      </c>
      <c r="P35" s="76">
        <f si="22" t="shared"/>
        <v>2.5635804082414546E-2</v>
      </c>
      <c r="Q35" s="76">
        <f si="23" t="shared"/>
        <v>2.6463323699884495E-2</v>
      </c>
      <c r="R35" s="76">
        <f si="24" t="shared"/>
        <v>6.9018404907975464E-2</v>
      </c>
      <c r="S35" s="76">
        <f si="25" t="shared"/>
        <v>2.7307377406357872E-2</v>
      </c>
    </row>
    <row ht="14.65" r="36" spans="1:19" thickBot="1" x14ac:dyDescent="0.5">
      <c r="A36" s="15" t="s">
        <v>3</v>
      </c>
      <c r="B36" s="20">
        <f si="18" t="shared"/>
        <v>2.3103974953467405E-2</v>
      </c>
      <c r="C36" s="20">
        <f si="18" t="shared"/>
        <v>0.11285919042215743</v>
      </c>
      <c r="D36" s="20">
        <f si="18" t="shared"/>
        <v>2.8230961583967921E-2</v>
      </c>
      <c r="E36" s="20">
        <f si="18" t="shared"/>
        <v>3.2374959822390838E-2</v>
      </c>
      <c r="H36" s="15" t="s">
        <v>3</v>
      </c>
      <c r="I36" s="20">
        <f si="20" t="shared"/>
        <v>5.0941415731811324E-2</v>
      </c>
      <c r="J36" s="20">
        <f si="20" t="shared"/>
        <v>0.14388177485226467</v>
      </c>
      <c r="K36" s="20">
        <f si="20" t="shared"/>
        <v>5.109682550202134E-2</v>
      </c>
      <c r="L36" s="20">
        <f si="20" t="shared"/>
        <v>6.0956215639909224E-2</v>
      </c>
      <c r="O36" s="15" t="s">
        <v>3</v>
      </c>
      <c r="P36" s="20">
        <f>I36-B36</f>
        <v>2.7837440778343919E-2</v>
      </c>
      <c r="Q36" s="20">
        <f>J36-C36</f>
        <v>3.1022584430107233E-2</v>
      </c>
      <c r="R36" s="20">
        <f>K36-D36</f>
        <v>2.2865863918053418E-2</v>
      </c>
      <c r="S36" s="20">
        <f>L36-E36</f>
        <v>2.8581255817518386E-2</v>
      </c>
    </row>
  </sheetData>
  <pageMargins bottom="0.75" footer="0.3" header="0.3" left="0.7" right="0.7" top="0.75"/>
  <pageSetup orientation="portrait" r:id="rId1"/>
  <ignoredErrors>
    <ignoredError formulaRange="1" sqref="E7:E12"/>
  </ignoredErrors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T48"/>
  <sheetViews>
    <sheetView workbookViewId="0">
      <selection activeCell="N35" sqref="N35"/>
    </sheetView>
  </sheetViews>
  <sheetFormatPr defaultColWidth="8.86328125" defaultRowHeight="14.25" x14ac:dyDescent="0.45"/>
  <cols>
    <col min="1" max="16384" style="78" width="8.86328125" collapsed="true"/>
  </cols>
  <sheetData>
    <row r="1" spans="1:19" x14ac:dyDescent="0.45">
      <c r="A1" s="78" t="s">
        <v>415</v>
      </c>
    </row>
    <row r="2" spans="1:19" x14ac:dyDescent="0.45">
      <c r="A2" s="78" t="s">
        <v>247</v>
      </c>
    </row>
    <row r="3" spans="1:19" x14ac:dyDescent="0.45">
      <c r="A3" s="78" t="s">
        <v>416</v>
      </c>
    </row>
    <row ht="14.65" r="5" spans="1:19" thickBot="1" x14ac:dyDescent="0.5">
      <c r="A5" s="166" t="s">
        <v>417</v>
      </c>
      <c r="B5" s="167"/>
      <c r="C5" s="167"/>
      <c r="D5" s="167"/>
      <c r="E5" s="167"/>
      <c r="H5" s="166" t="s">
        <v>418</v>
      </c>
      <c r="I5" s="167"/>
      <c r="J5" s="167"/>
      <c r="K5" s="167"/>
      <c r="L5" s="167"/>
      <c r="O5" s="166" t="s">
        <v>419</v>
      </c>
      <c r="P5" s="167"/>
      <c r="Q5" s="167"/>
      <c r="R5" s="167"/>
      <c r="S5" s="167"/>
    </row>
    <row r="6" spans="1:19" x14ac:dyDescent="0.45">
      <c r="A6" s="168" t="s">
        <v>420</v>
      </c>
      <c r="B6" s="169" t="s">
        <v>8</v>
      </c>
      <c r="C6" s="169" t="s">
        <v>9</v>
      </c>
      <c r="D6" s="169" t="s">
        <v>10</v>
      </c>
      <c r="E6" s="169" t="s">
        <v>3</v>
      </c>
      <c r="H6" s="168" t="str">
        <f ref="H6:H17" si="0" t="shared">A6</f>
        <v>County/District</v>
      </c>
      <c r="I6" s="169" t="s">
        <v>8</v>
      </c>
      <c r="J6" s="169" t="s">
        <v>9</v>
      </c>
      <c r="K6" s="169" t="s">
        <v>10</v>
      </c>
      <c r="L6" s="169" t="s">
        <v>3</v>
      </c>
      <c r="O6" s="168" t="str">
        <f>A6</f>
        <v>County/District</v>
      </c>
      <c r="P6" s="169" t="s">
        <v>8</v>
      </c>
      <c r="Q6" s="169" t="s">
        <v>9</v>
      </c>
      <c r="R6" s="169" t="s">
        <v>10</v>
      </c>
      <c r="S6" s="169" t="s">
        <v>3</v>
      </c>
    </row>
    <row r="7" spans="1:19" x14ac:dyDescent="0.45">
      <c r="A7" s="28">
        <v>1</v>
      </c>
      <c r="B7" s="170">
        <v>0</v>
      </c>
      <c r="C7" s="170">
        <v>0</v>
      </c>
      <c r="D7" s="170">
        <v>0</v>
      </c>
      <c r="E7" s="170">
        <f ref="E7:E17" si="1" t="shared">SUM(B7:D7)</f>
        <v>0</v>
      </c>
      <c r="F7" s="170"/>
      <c r="G7" s="170"/>
      <c r="H7" s="78">
        <f si="0" t="shared"/>
        <v>1</v>
      </c>
      <c r="I7" s="170" t="n">
        <v>57207.0</v>
      </c>
      <c r="J7" s="170" t="n">
        <v>6440.0</v>
      </c>
      <c r="K7" s="170" t="n">
        <v>2973.0</v>
      </c>
      <c r="L7" s="170">
        <f ref="L7:L17" si="2" t="shared">SUM(I7:K7)</f>
        <v>66589</v>
      </c>
      <c r="O7" s="78">
        <f ref="O7:O17" si="3" t="shared">H7</f>
        <v>1</v>
      </c>
      <c r="P7" s="170"/>
      <c r="Q7" s="170"/>
      <c r="R7" s="170"/>
      <c r="S7" s="170">
        <f ref="S7:S18" si="4" t="shared">L7-E7</f>
        <v>66589</v>
      </c>
    </row>
    <row r="8" spans="1:19" x14ac:dyDescent="0.45">
      <c r="A8" s="78">
        <v>2</v>
      </c>
      <c r="B8" s="170">
        <v>0</v>
      </c>
      <c r="C8" s="170">
        <v>0</v>
      </c>
      <c r="D8" s="170">
        <v>0</v>
      </c>
      <c r="E8" s="170">
        <f si="1" t="shared"/>
        <v>0</v>
      </c>
      <c r="F8" s="170"/>
      <c r="G8" s="170"/>
      <c r="H8" s="78">
        <f si="0" t="shared"/>
        <v>2</v>
      </c>
      <c r="I8" s="170" t="n">
        <v>6970.0</v>
      </c>
      <c r="J8" s="170" t="n">
        <v>630.0</v>
      </c>
      <c r="K8" s="170" t="n">
        <v>195.0</v>
      </c>
      <c r="L8" s="170">
        <f si="2" t="shared"/>
        <v>7790</v>
      </c>
      <c r="O8" s="78">
        <f si="3" t="shared"/>
        <v>2</v>
      </c>
      <c r="P8" s="170"/>
      <c r="Q8" s="170"/>
      <c r="R8" s="170"/>
      <c r="S8" s="170">
        <f si="4" t="shared"/>
        <v>7790</v>
      </c>
    </row>
    <row r="9" spans="1:19" x14ac:dyDescent="0.45">
      <c r="A9" s="78">
        <v>3</v>
      </c>
      <c r="B9" s="170">
        <v>0</v>
      </c>
      <c r="C9" s="170">
        <v>0</v>
      </c>
      <c r="D9" s="170">
        <v>0</v>
      </c>
      <c r="E9" s="170">
        <f si="1" t="shared"/>
        <v>0</v>
      </c>
      <c r="F9" s="170"/>
      <c r="G9" s="170"/>
      <c r="H9" s="78">
        <f si="0" t="shared"/>
        <v>3</v>
      </c>
      <c r="I9" s="170" t="n">
        <v>4786.0</v>
      </c>
      <c r="J9" s="170" t="n">
        <v>425.0</v>
      </c>
      <c r="K9" s="170" t="n">
        <v>141.0</v>
      </c>
      <c r="L9" s="170">
        <f si="2" t="shared"/>
        <v>5426</v>
      </c>
      <c r="O9" s="78">
        <f si="3" t="shared"/>
        <v>3</v>
      </c>
      <c r="P9" s="170"/>
      <c r="Q9" s="170"/>
      <c r="R9" s="170"/>
      <c r="S9" s="170">
        <f si="4" t="shared"/>
        <v>5426</v>
      </c>
    </row>
    <row r="10" spans="1:19" x14ac:dyDescent="0.45">
      <c r="A10" s="78">
        <v>4</v>
      </c>
      <c r="B10" s="170">
        <v>0</v>
      </c>
      <c r="C10" s="170">
        <v>0</v>
      </c>
      <c r="D10" s="170">
        <v>0</v>
      </c>
      <c r="E10" s="170">
        <f si="1" t="shared"/>
        <v>0</v>
      </c>
      <c r="F10" s="170"/>
      <c r="G10" s="170"/>
      <c r="H10" s="78">
        <f si="0" t="shared"/>
        <v>4</v>
      </c>
      <c r="I10" s="170" t="n">
        <v>23832.0</v>
      </c>
      <c r="J10" s="170" t="n">
        <v>2558.0</v>
      </c>
      <c r="K10" s="170" t="n">
        <v>1537.0</v>
      </c>
      <c r="L10" s="170">
        <f si="2" t="shared"/>
        <v>27849</v>
      </c>
      <c r="O10" s="78">
        <f si="3" t="shared"/>
        <v>4</v>
      </c>
      <c r="P10" s="170"/>
      <c r="Q10" s="170"/>
      <c r="R10" s="170"/>
      <c r="S10" s="170">
        <f si="4" t="shared"/>
        <v>27849</v>
      </c>
    </row>
    <row r="11" spans="1:19" x14ac:dyDescent="0.45">
      <c r="A11" s="78">
        <v>5</v>
      </c>
      <c r="B11" s="170">
        <v>0</v>
      </c>
      <c r="C11" s="170">
        <v>0</v>
      </c>
      <c r="D11" s="170">
        <v>0</v>
      </c>
      <c r="E11" s="170">
        <f si="1" t="shared"/>
        <v>0</v>
      </c>
      <c r="F11" s="170"/>
      <c r="G11" s="170"/>
      <c r="H11" s="78">
        <f si="0" t="shared"/>
        <v>5</v>
      </c>
      <c r="I11" s="170" t="n">
        <v>13814.0</v>
      </c>
      <c r="J11" s="170" t="n">
        <v>1322.0</v>
      </c>
      <c r="K11" s="170" t="n">
        <v>527.0</v>
      </c>
      <c r="L11" s="170">
        <f si="2" t="shared"/>
        <v>15701</v>
      </c>
      <c r="O11" s="78">
        <f si="3" t="shared"/>
        <v>5</v>
      </c>
      <c r="P11" s="170"/>
      <c r="Q11" s="170"/>
      <c r="R11" s="170"/>
      <c r="S11" s="170">
        <f si="4" t="shared"/>
        <v>15701</v>
      </c>
    </row>
    <row r="12" spans="1:19" x14ac:dyDescent="0.45">
      <c r="A12" s="78">
        <v>6</v>
      </c>
      <c r="B12" s="170">
        <v>0</v>
      </c>
      <c r="C12" s="170">
        <v>0</v>
      </c>
      <c r="D12" s="170">
        <v>0</v>
      </c>
      <c r="E12" s="170">
        <f si="1" t="shared"/>
        <v>0</v>
      </c>
      <c r="F12" s="170"/>
      <c r="G12" s="170"/>
      <c r="H12" s="78">
        <f si="0" t="shared"/>
        <v>6</v>
      </c>
      <c r="I12" s="170" t="n">
        <v>18416.0</v>
      </c>
      <c r="J12" s="170" t="n">
        <v>2513.0</v>
      </c>
      <c r="K12" s="170" t="n">
        <v>1037.0</v>
      </c>
      <c r="L12" s="170">
        <f si="2" t="shared"/>
        <v>22008</v>
      </c>
      <c r="O12" s="78">
        <f si="3" t="shared"/>
        <v>6</v>
      </c>
      <c r="P12" s="170"/>
      <c r="Q12" s="170"/>
      <c r="R12" s="170"/>
      <c r="S12" s="170">
        <f si="4" t="shared"/>
        <v>22008</v>
      </c>
    </row>
    <row r="13" spans="1:19" x14ac:dyDescent="0.45">
      <c r="A13" s="78">
        <v>7</v>
      </c>
      <c r="B13" s="170">
        <v>0</v>
      </c>
      <c r="C13" s="170">
        <v>0</v>
      </c>
      <c r="D13" s="170">
        <v>0</v>
      </c>
      <c r="E13" s="170">
        <f si="1" t="shared"/>
        <v>0</v>
      </c>
      <c r="F13" s="170"/>
      <c r="G13" s="170"/>
      <c r="H13" s="78">
        <f si="0" t="shared"/>
        <v>7</v>
      </c>
      <c r="I13" s="170" t="n">
        <v>11107.0</v>
      </c>
      <c r="J13" s="170" t="n">
        <v>1030.0</v>
      </c>
      <c r="K13" s="170" t="n">
        <v>426.0</v>
      </c>
      <c r="L13" s="170">
        <f si="2" t="shared"/>
        <v>12530</v>
      </c>
      <c r="O13" s="78">
        <f si="3" t="shared"/>
        <v>7</v>
      </c>
      <c r="P13" s="170"/>
      <c r="Q13" s="170"/>
      <c r="R13" s="170"/>
      <c r="S13" s="170">
        <f si="4" t="shared"/>
        <v>12530</v>
      </c>
    </row>
    <row r="14" spans="1:19" x14ac:dyDescent="0.45">
      <c r="A14" s="78">
        <v>8</v>
      </c>
      <c r="B14" s="170">
        <v>5284.9459619472937</v>
      </c>
      <c r="C14" s="170">
        <v>36.828138704388302</v>
      </c>
      <c r="D14" s="170">
        <v>0</v>
      </c>
      <c r="E14" s="170">
        <f si="1" t="shared"/>
        <v>5321.7741006516817</v>
      </c>
      <c r="F14" s="170"/>
      <c r="G14" s="170"/>
      <c r="H14" s="78">
        <f si="0" t="shared"/>
        <v>8</v>
      </c>
      <c r="I14" s="170" t="n">
        <v>0.0</v>
      </c>
      <c r="J14" s="170" t="n">
        <v>0.0</v>
      </c>
      <c r="K14" s="170" t="n">
        <v>0.0</v>
      </c>
      <c r="L14" s="170">
        <f si="2" t="shared"/>
        <v>0</v>
      </c>
      <c r="O14" s="78">
        <f si="3" t="shared"/>
        <v>8</v>
      </c>
      <c r="P14" s="170"/>
      <c r="Q14" s="170"/>
      <c r="R14" s="170"/>
      <c r="S14" s="170">
        <f si="4" t="shared"/>
        <v>-5321.7741006516817</v>
      </c>
    </row>
    <row r="15" spans="1:19" x14ac:dyDescent="0.45">
      <c r="A15" s="78">
        <v>9</v>
      </c>
      <c r="B15" s="170">
        <v>0</v>
      </c>
      <c r="C15" s="170">
        <v>0</v>
      </c>
      <c r="D15" s="170">
        <v>0</v>
      </c>
      <c r="E15" s="170">
        <f si="1" t="shared"/>
        <v>0</v>
      </c>
      <c r="F15" s="170"/>
      <c r="G15" s="170"/>
      <c r="H15" s="78">
        <f si="0" t="shared"/>
        <v>9</v>
      </c>
      <c r="I15" s="170" t="n">
        <v>0.0</v>
      </c>
      <c r="J15" s="170" t="n">
        <v>0.0</v>
      </c>
      <c r="K15" s="170" t="n">
        <v>0.0</v>
      </c>
      <c r="L15" s="170">
        <f si="2" t="shared"/>
        <v>0</v>
      </c>
      <c r="O15" s="78">
        <f si="3" t="shared"/>
        <v>9</v>
      </c>
      <c r="P15" s="170"/>
      <c r="Q15" s="170"/>
      <c r="R15" s="170"/>
      <c r="S15" s="170">
        <f si="4" t="shared"/>
        <v>0</v>
      </c>
    </row>
    <row r="16" spans="1:19" x14ac:dyDescent="0.45">
      <c r="A16" s="78">
        <v>10</v>
      </c>
      <c r="B16" s="170">
        <v>19175.72917513263</v>
      </c>
      <c r="C16" s="170">
        <v>1727.0483447222211</v>
      </c>
      <c r="D16" s="170">
        <v>95.650391044409204</v>
      </c>
      <c r="E16" s="170">
        <f si="1" t="shared"/>
        <v>20998.42791089926</v>
      </c>
      <c r="F16" s="170"/>
      <c r="G16" s="170"/>
      <c r="H16" s="78">
        <f si="0" t="shared"/>
        <v>10</v>
      </c>
      <c r="I16" s="170" t="n">
        <v>0.0</v>
      </c>
      <c r="J16" s="170" t="n">
        <v>0.0</v>
      </c>
      <c r="K16" s="170" t="n">
        <v>0.0</v>
      </c>
      <c r="L16" s="170">
        <f si="2" t="shared"/>
        <v>0</v>
      </c>
      <c r="O16" s="78">
        <f si="3" t="shared"/>
        <v>10</v>
      </c>
      <c r="P16" s="170"/>
      <c r="Q16" s="170"/>
      <c r="R16" s="170"/>
      <c r="S16" s="170">
        <f si="4" t="shared"/>
        <v>-20998.42791089926</v>
      </c>
    </row>
    <row r="17" spans="1:19" x14ac:dyDescent="0.45">
      <c r="A17" s="171" t="s">
        <v>421</v>
      </c>
      <c r="B17" s="172">
        <v>0</v>
      </c>
      <c r="C17" s="172">
        <v>0</v>
      </c>
      <c r="D17" s="172">
        <v>0</v>
      </c>
      <c r="E17" s="172">
        <f si="1" t="shared"/>
        <v>0</v>
      </c>
      <c r="F17" s="170"/>
      <c r="G17" s="170"/>
      <c r="H17" s="171" t="str">
        <f si="0" t="shared"/>
        <v>Rest</v>
      </c>
      <c r="I17" s="172" t="n">
        <v>0.0</v>
      </c>
      <c r="J17" s="172" t="n">
        <v>0.0</v>
      </c>
      <c r="K17" s="172" t="n">
        <v>0.0</v>
      </c>
      <c r="L17" s="172">
        <f si="2" t="shared"/>
        <v>0</v>
      </c>
      <c r="O17" s="171" t="str">
        <f si="3" t="shared"/>
        <v>Rest</v>
      </c>
      <c r="P17" s="172"/>
      <c r="Q17" s="172"/>
      <c r="R17" s="172"/>
      <c r="S17" s="172">
        <f si="4" t="shared"/>
        <v>0</v>
      </c>
    </row>
    <row ht="14.65" r="18" spans="1:19" thickBot="1" x14ac:dyDescent="0.5">
      <c r="A18" s="173" t="s">
        <v>3</v>
      </c>
      <c r="B18" s="173">
        <f>SUM(B7:B17)</f>
        <v>24460.675137079925</v>
      </c>
      <c r="C18" s="173">
        <f>SUM(C7:C17)</f>
        <v>1763.8764834266094</v>
      </c>
      <c r="D18" s="173">
        <f>SUM(D7:D17)</f>
        <v>95.650391044409204</v>
      </c>
      <c r="E18" s="173">
        <f>SUM(E7:E17)</f>
        <v>26320.20201155094</v>
      </c>
      <c r="F18" s="170"/>
      <c r="G18" s="170"/>
      <c r="H18" s="173" t="s">
        <v>3</v>
      </c>
      <c r="I18" s="173">
        <f>SUM(I7:I17)</f>
        <v>136162</v>
      </c>
      <c r="J18" s="173">
        <f>SUM(J7:J17)</f>
        <v>14940</v>
      </c>
      <c r="K18" s="173">
        <f>SUM(K7:K17)</f>
        <v>6791</v>
      </c>
      <c r="L18" s="173">
        <f>SUM(L7:L17)</f>
        <v>157893</v>
      </c>
      <c r="O18" s="173" t="s">
        <v>3</v>
      </c>
      <c r="P18" s="173">
        <f>I18-B18</f>
        <v>111701.32486292007</v>
      </c>
      <c r="Q18" s="173">
        <f>J18-C18</f>
        <v>13176.123516573391</v>
      </c>
      <c r="R18" s="173">
        <f>K18-D18</f>
        <v>6695.3496089555911</v>
      </c>
      <c r="S18" s="173">
        <f si="4" t="shared"/>
        <v>131572.79798844905</v>
      </c>
    </row>
    <row r="19" spans="1:19" x14ac:dyDescent="0.45">
      <c r="B19" s="170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O19" s="170"/>
      <c r="P19" s="170"/>
      <c r="Q19" s="170"/>
      <c r="R19" s="170"/>
      <c r="S19" s="170"/>
    </row>
    <row ht="14.65" r="20" spans="1:19" thickBot="1" x14ac:dyDescent="0.5">
      <c r="A20" s="166" t="s">
        <v>206</v>
      </c>
      <c r="B20" s="173"/>
      <c r="C20" s="173"/>
      <c r="D20" s="173"/>
      <c r="E20" s="173"/>
      <c r="F20" s="170"/>
      <c r="G20" s="170"/>
      <c r="H20" s="174" t="s">
        <v>38</v>
      </c>
      <c r="I20" s="173"/>
      <c r="J20" s="173"/>
      <c r="K20" s="173"/>
      <c r="L20" s="173"/>
      <c r="O20" s="174" t="s">
        <v>54</v>
      </c>
      <c r="P20" s="173"/>
      <c r="Q20" s="173"/>
      <c r="R20" s="173"/>
      <c r="S20" s="173"/>
    </row>
    <row r="21" spans="1:19" x14ac:dyDescent="0.45">
      <c r="A21" s="168" t="str">
        <f ref="A21:A32" si="5" t="shared">A6</f>
        <v>County/District</v>
      </c>
      <c r="B21" s="169" t="s">
        <v>8</v>
      </c>
      <c r="C21" s="169" t="s">
        <v>9</v>
      </c>
      <c r="D21" s="169" t="s">
        <v>10</v>
      </c>
      <c r="E21" s="169" t="s">
        <v>3</v>
      </c>
      <c r="F21" s="170"/>
      <c r="G21" s="170"/>
      <c r="H21" s="175" t="str">
        <f ref="H21:H32" si="6" t="shared">A21</f>
        <v>County/District</v>
      </c>
      <c r="I21" s="176" t="s">
        <v>8</v>
      </c>
      <c r="J21" s="176" t="s">
        <v>9</v>
      </c>
      <c r="K21" s="176" t="s">
        <v>10</v>
      </c>
      <c r="L21" s="176" t="s">
        <v>3</v>
      </c>
      <c r="O21" s="175" t="str">
        <f>A21</f>
        <v>County/District</v>
      </c>
      <c r="P21" s="176" t="s">
        <v>8</v>
      </c>
      <c r="Q21" s="176" t="s">
        <v>9</v>
      </c>
      <c r="R21" s="176" t="s">
        <v>10</v>
      </c>
      <c r="S21" s="176" t="s">
        <v>3</v>
      </c>
    </row>
    <row r="22" spans="1:19" x14ac:dyDescent="0.45">
      <c r="A22" s="78">
        <f si="5" t="shared"/>
        <v>1</v>
      </c>
      <c r="B22" s="170">
        <v>0</v>
      </c>
      <c r="C22" s="170">
        <v>0</v>
      </c>
      <c r="D22" s="170">
        <v>0</v>
      </c>
      <c r="E22" s="170">
        <f ref="E22:E32" si="7" t="shared">SUM(B22:D22)</f>
        <v>0</v>
      </c>
      <c r="F22" s="170"/>
      <c r="G22" s="170"/>
      <c r="H22" s="78">
        <f si="6" t="shared"/>
        <v>1</v>
      </c>
      <c r="I22" s="170" t="n">
        <v>346136.0</v>
      </c>
      <c r="J22" s="170" t="n">
        <v>44513.0</v>
      </c>
      <c r="K22" s="170" t="n">
        <v>19519.0</v>
      </c>
      <c r="L22" s="170">
        <f ref="L22:L32" si="8" t="shared">SUM(I22:K22)</f>
        <v>410168</v>
      </c>
      <c r="O22" s="78">
        <f ref="O22:O32" si="9" t="shared">H22</f>
        <v>1</v>
      </c>
      <c r="P22" s="170"/>
      <c r="Q22" s="170"/>
      <c r="R22" s="170"/>
      <c r="S22" s="170">
        <f ref="S22:S33" si="10" t="shared">L22-E22</f>
        <v>410168</v>
      </c>
    </row>
    <row r="23" spans="1:19" x14ac:dyDescent="0.45">
      <c r="A23" s="78">
        <f si="5" t="shared"/>
        <v>2</v>
      </c>
      <c r="B23" s="170">
        <v>0</v>
      </c>
      <c r="C23" s="170">
        <v>0</v>
      </c>
      <c r="D23" s="170">
        <v>0</v>
      </c>
      <c r="E23" s="170">
        <f si="7" t="shared"/>
        <v>0</v>
      </c>
      <c r="F23" s="170"/>
      <c r="G23" s="170"/>
      <c r="H23" s="78">
        <f si="6" t="shared"/>
        <v>2</v>
      </c>
      <c r="I23" s="170" t="n">
        <v>47469.0</v>
      </c>
      <c r="J23" s="170" t="n">
        <v>5031.0</v>
      </c>
      <c r="K23" s="170" t="n">
        <v>1559.0</v>
      </c>
      <c r="L23" s="170">
        <f si="8" t="shared"/>
        <v>54059</v>
      </c>
      <c r="O23" s="78">
        <f si="9" t="shared"/>
        <v>2</v>
      </c>
      <c r="P23" s="170"/>
      <c r="Q23" s="170"/>
      <c r="R23" s="170"/>
      <c r="S23" s="170">
        <f si="10" t="shared"/>
        <v>54059</v>
      </c>
    </row>
    <row r="24" spans="1:19" x14ac:dyDescent="0.45">
      <c r="A24" s="78">
        <f si="5" t="shared"/>
        <v>3</v>
      </c>
      <c r="B24" s="170">
        <v>0</v>
      </c>
      <c r="C24" s="170">
        <v>0</v>
      </c>
      <c r="D24" s="170">
        <v>0</v>
      </c>
      <c r="E24" s="170">
        <f si="7" t="shared"/>
        <v>0</v>
      </c>
      <c r="F24" s="170"/>
      <c r="G24" s="170"/>
      <c r="H24" s="78">
        <f si="6" t="shared"/>
        <v>3</v>
      </c>
      <c r="I24" s="170" t="n">
        <v>33260.0</v>
      </c>
      <c r="J24" s="170" t="n">
        <v>3586.0</v>
      </c>
      <c r="K24" s="170" t="n">
        <v>960.0</v>
      </c>
      <c r="L24" s="170">
        <f si="8" t="shared"/>
        <v>37806</v>
      </c>
      <c r="O24" s="78">
        <f si="9" t="shared"/>
        <v>3</v>
      </c>
      <c r="P24" s="170"/>
      <c r="Q24" s="170"/>
      <c r="R24" s="170"/>
      <c r="S24" s="170">
        <f si="10" t="shared"/>
        <v>37806</v>
      </c>
    </row>
    <row r="25" spans="1:19" x14ac:dyDescent="0.45">
      <c r="A25" s="78">
        <f si="5" t="shared"/>
        <v>4</v>
      </c>
      <c r="B25" s="170">
        <v>0</v>
      </c>
      <c r="C25" s="170">
        <v>0</v>
      </c>
      <c r="D25" s="170">
        <v>0</v>
      </c>
      <c r="E25" s="170">
        <f si="7" t="shared"/>
        <v>0</v>
      </c>
      <c r="F25" s="170"/>
      <c r="G25" s="170"/>
      <c r="H25" s="78">
        <f si="6" t="shared"/>
        <v>4</v>
      </c>
      <c r="I25" s="170" t="n">
        <v>159326.0</v>
      </c>
      <c r="J25" s="170" t="n">
        <v>20055.0</v>
      </c>
      <c r="K25" s="170" t="n">
        <v>10817.0</v>
      </c>
      <c r="L25" s="170">
        <f si="8" t="shared"/>
        <v>190198</v>
      </c>
      <c r="O25" s="78">
        <f si="9" t="shared"/>
        <v>4</v>
      </c>
      <c r="P25" s="170"/>
      <c r="Q25" s="170"/>
      <c r="R25" s="170"/>
      <c r="S25" s="170">
        <f si="10" t="shared"/>
        <v>190198</v>
      </c>
    </row>
    <row r="26" spans="1:19" x14ac:dyDescent="0.45">
      <c r="A26" s="78">
        <f si="5" t="shared"/>
        <v>5</v>
      </c>
      <c r="B26" s="170">
        <v>0</v>
      </c>
      <c r="C26" s="170">
        <v>0</v>
      </c>
      <c r="D26" s="170">
        <v>0</v>
      </c>
      <c r="E26" s="170">
        <f si="7" t="shared"/>
        <v>0</v>
      </c>
      <c r="F26" s="170"/>
      <c r="G26" s="170"/>
      <c r="H26" s="78">
        <f si="6" t="shared"/>
        <v>5</v>
      </c>
      <c r="I26" s="170" t="n">
        <v>88823.0</v>
      </c>
      <c r="J26" s="170" t="n">
        <v>10451.0</v>
      </c>
      <c r="K26" s="170" t="n">
        <v>3663.0</v>
      </c>
      <c r="L26" s="170">
        <f si="8" t="shared"/>
        <v>102937</v>
      </c>
      <c r="O26" s="78">
        <f si="9" t="shared"/>
        <v>5</v>
      </c>
      <c r="P26" s="170"/>
      <c r="Q26" s="170"/>
      <c r="R26" s="170"/>
      <c r="S26" s="170">
        <f si="10" t="shared"/>
        <v>102937</v>
      </c>
    </row>
    <row r="27" spans="1:19" x14ac:dyDescent="0.45">
      <c r="A27" s="78">
        <f si="5" t="shared"/>
        <v>6</v>
      </c>
      <c r="B27" s="170">
        <v>0</v>
      </c>
      <c r="C27" s="170">
        <v>0</v>
      </c>
      <c r="D27" s="170">
        <v>0</v>
      </c>
      <c r="E27" s="170">
        <f si="7" t="shared"/>
        <v>0</v>
      </c>
      <c r="F27" s="170"/>
      <c r="G27" s="170"/>
      <c r="H27" s="78">
        <f si="6" t="shared"/>
        <v>6</v>
      </c>
      <c r="I27" s="170" t="n">
        <v>107582.0</v>
      </c>
      <c r="J27" s="170" t="n">
        <v>16987.0</v>
      </c>
      <c r="K27" s="170" t="n">
        <v>6141.0</v>
      </c>
      <c r="L27" s="170">
        <f si="8" t="shared"/>
        <v>130710</v>
      </c>
      <c r="O27" s="78">
        <f si="9" t="shared"/>
        <v>6</v>
      </c>
      <c r="P27" s="170"/>
      <c r="Q27" s="170"/>
      <c r="R27" s="170"/>
      <c r="S27" s="170">
        <f si="10" t="shared"/>
        <v>130710</v>
      </c>
    </row>
    <row r="28" spans="1:19" x14ac:dyDescent="0.45">
      <c r="A28" s="78">
        <f si="5" t="shared"/>
        <v>7</v>
      </c>
      <c r="B28" s="170">
        <v>0</v>
      </c>
      <c r="C28" s="170">
        <v>0</v>
      </c>
      <c r="D28" s="170">
        <v>0</v>
      </c>
      <c r="E28" s="170">
        <f si="7" t="shared"/>
        <v>0</v>
      </c>
      <c r="F28" s="170"/>
      <c r="G28" s="170"/>
      <c r="H28" s="78">
        <f si="6" t="shared"/>
        <v>7</v>
      </c>
      <c r="I28" s="170" t="n">
        <v>71012.0</v>
      </c>
      <c r="J28" s="170" t="n">
        <v>7848.0</v>
      </c>
      <c r="K28" s="170" t="n">
        <v>2608.0</v>
      </c>
      <c r="L28" s="170">
        <f si="8" t="shared"/>
        <v>81468</v>
      </c>
      <c r="O28" s="78">
        <f si="9" t="shared"/>
        <v>7</v>
      </c>
      <c r="P28" s="170"/>
      <c r="Q28" s="170"/>
      <c r="R28" s="170"/>
      <c r="S28" s="170">
        <f si="10" t="shared"/>
        <v>81468</v>
      </c>
    </row>
    <row r="29" spans="1:19" x14ac:dyDescent="0.45">
      <c r="A29" s="78">
        <f si="5" t="shared"/>
        <v>8</v>
      </c>
      <c r="B29" s="170">
        <v>98132.244080397184</v>
      </c>
      <c r="C29" s="170">
        <v>23619.182780257517</v>
      </c>
      <c r="D29" s="170">
        <v>4148.3300824863245</v>
      </c>
      <c r="E29" s="170">
        <f si="7" t="shared"/>
        <v>125899.75694314102</v>
      </c>
      <c r="F29" s="170"/>
      <c r="G29" s="170"/>
      <c r="H29" s="78">
        <f si="6" t="shared"/>
        <v>8</v>
      </c>
      <c r="I29" s="170" t="n">
        <v>0.0</v>
      </c>
      <c r="J29" s="170" t="n">
        <v>0.0</v>
      </c>
      <c r="K29" s="170" t="n">
        <v>0.0</v>
      </c>
      <c r="L29" s="170">
        <f si="8" t="shared"/>
        <v>0</v>
      </c>
      <c r="O29" s="78">
        <f si="9" t="shared"/>
        <v>8</v>
      </c>
      <c r="P29" s="170"/>
      <c r="Q29" s="170"/>
      <c r="R29" s="170"/>
      <c r="S29" s="170">
        <f si="10" t="shared"/>
        <v>-125899.75694314102</v>
      </c>
    </row>
    <row r="30" spans="1:19" x14ac:dyDescent="0.45">
      <c r="A30" s="78">
        <f si="5" t="shared"/>
        <v>9</v>
      </c>
      <c r="B30" s="170">
        <v>0</v>
      </c>
      <c r="C30" s="170">
        <v>0</v>
      </c>
      <c r="D30" s="170">
        <v>0</v>
      </c>
      <c r="E30" s="170">
        <f si="7" t="shared"/>
        <v>0</v>
      </c>
      <c r="F30" s="170"/>
      <c r="G30" s="170"/>
      <c r="H30" s="78">
        <f si="6" t="shared"/>
        <v>9</v>
      </c>
      <c r="I30" s="170" t="n">
        <v>0.0</v>
      </c>
      <c r="J30" s="170" t="n">
        <v>0.0</v>
      </c>
      <c r="K30" s="170" t="n">
        <v>0.0</v>
      </c>
      <c r="L30" s="170">
        <f si="8" t="shared"/>
        <v>0</v>
      </c>
      <c r="O30" s="78">
        <f si="9" t="shared"/>
        <v>9</v>
      </c>
      <c r="P30" s="170"/>
      <c r="Q30" s="170"/>
      <c r="R30" s="170"/>
      <c r="S30" s="170">
        <f si="10" t="shared"/>
        <v>0</v>
      </c>
    </row>
    <row r="31" spans="1:19" x14ac:dyDescent="0.45">
      <c r="A31" s="78">
        <f si="5" t="shared"/>
        <v>10</v>
      </c>
      <c r="B31" s="170">
        <v>211452.75591960264</v>
      </c>
      <c r="C31" s="170">
        <v>34060.81721974253</v>
      </c>
      <c r="D31" s="170">
        <v>8132.560116669415</v>
      </c>
      <c r="E31" s="170">
        <f si="7" t="shared"/>
        <v>253646.13325601458</v>
      </c>
      <c r="F31" s="170"/>
      <c r="G31" s="170"/>
      <c r="H31" s="78">
        <f si="6" t="shared"/>
        <v>10</v>
      </c>
      <c r="I31" s="170" t="n">
        <v>0.0</v>
      </c>
      <c r="J31" s="170" t="n">
        <v>0.0</v>
      </c>
      <c r="K31" s="170" t="n">
        <v>0.0</v>
      </c>
      <c r="L31" s="170">
        <f si="8" t="shared"/>
        <v>0</v>
      </c>
      <c r="O31" s="78">
        <f si="9" t="shared"/>
        <v>10</v>
      </c>
      <c r="P31" s="170"/>
      <c r="Q31" s="170"/>
      <c r="R31" s="170"/>
      <c r="S31" s="170">
        <f si="10" t="shared"/>
        <v>-253646.13325601458</v>
      </c>
    </row>
    <row r="32" spans="1:19" x14ac:dyDescent="0.45">
      <c r="A32" s="171" t="str">
        <f si="5" t="shared"/>
        <v>Rest</v>
      </c>
      <c r="B32" s="172">
        <v>0</v>
      </c>
      <c r="C32" s="172">
        <v>0</v>
      </c>
      <c r="D32" s="172">
        <v>0</v>
      </c>
      <c r="E32" s="172">
        <f si="7" t="shared"/>
        <v>0</v>
      </c>
      <c r="F32" s="170"/>
      <c r="G32" s="170"/>
      <c r="H32" s="171" t="str">
        <f si="6" t="shared"/>
        <v>Rest</v>
      </c>
      <c r="I32" s="172" t="n">
        <v>0.0</v>
      </c>
      <c r="J32" s="172" t="n">
        <v>0.0</v>
      </c>
      <c r="K32" s="172" t="n">
        <v>0.0</v>
      </c>
      <c r="L32" s="172">
        <f si="8" t="shared"/>
        <v>0</v>
      </c>
      <c r="O32" s="171" t="str">
        <f si="9" t="shared"/>
        <v>Rest</v>
      </c>
      <c r="P32" s="172"/>
      <c r="Q32" s="172"/>
      <c r="R32" s="172"/>
      <c r="S32" s="172">
        <f si="10" t="shared"/>
        <v>0</v>
      </c>
    </row>
    <row ht="14.65" r="33" spans="1:19" thickBot="1" x14ac:dyDescent="0.5">
      <c r="A33" s="173" t="s">
        <v>3</v>
      </c>
      <c r="B33" s="173">
        <f>SUM(B22:B32)</f>
        <v>309584.99999999983</v>
      </c>
      <c r="C33" s="173">
        <f>SUM(C22:C32)</f>
        <v>57680.000000000044</v>
      </c>
      <c r="D33" s="173">
        <f>SUM(D22:D32)</f>
        <v>12280.89019915574</v>
      </c>
      <c r="E33" s="173">
        <f>SUM(E22:E32)</f>
        <v>379545.8901991556</v>
      </c>
      <c r="F33" s="170"/>
      <c r="G33" s="170"/>
      <c r="H33" s="173" t="s">
        <v>3</v>
      </c>
      <c r="I33" s="173">
        <f>SUM(I22:I32)</f>
        <v>853608</v>
      </c>
      <c r="J33" s="173">
        <f>SUM(J22:J32)</f>
        <v>108471</v>
      </c>
      <c r="K33" s="173">
        <f>SUM(K22:K32)</f>
        <v>45267</v>
      </c>
      <c r="L33" s="173">
        <f>SUM(L22:L32)</f>
        <v>1007346</v>
      </c>
      <c r="O33" s="173" t="s">
        <v>3</v>
      </c>
      <c r="P33" s="173">
        <f>I33-B33</f>
        <v>544023.00000000023</v>
      </c>
      <c r="Q33" s="173">
        <f>J33-C33</f>
        <v>50790.999999999956</v>
      </c>
      <c r="R33" s="173">
        <f>K33-D33</f>
        <v>32986.109800844264</v>
      </c>
      <c r="S33" s="173">
        <f si="10" t="shared"/>
        <v>627800.10980084445</v>
      </c>
    </row>
    <row ht="14.65" r="35" spans="1:19" thickBot="1" x14ac:dyDescent="0.5">
      <c r="A35" s="166" t="s">
        <v>422</v>
      </c>
      <c r="B35" s="167"/>
      <c r="C35" s="167"/>
      <c r="D35" s="167"/>
      <c r="E35" s="167"/>
      <c r="H35" s="166" t="s">
        <v>423</v>
      </c>
      <c r="I35" s="167"/>
      <c r="J35" s="167"/>
      <c r="K35" s="167"/>
      <c r="L35" s="167"/>
      <c r="O35" s="166" t="s">
        <v>424</v>
      </c>
      <c r="P35" s="167"/>
      <c r="Q35" s="167"/>
      <c r="R35" s="167"/>
      <c r="S35" s="167"/>
    </row>
    <row r="36" spans="1:19" x14ac:dyDescent="0.45">
      <c r="A36" s="168" t="str">
        <f ref="A36:A47" si="11" t="shared">A21</f>
        <v>County/District</v>
      </c>
      <c r="B36" s="169" t="s">
        <v>8</v>
      </c>
      <c r="C36" s="169" t="s">
        <v>9</v>
      </c>
      <c r="D36" s="169" t="s">
        <v>10</v>
      </c>
      <c r="E36" s="169" t="s">
        <v>3</v>
      </c>
      <c r="H36" s="168" t="str">
        <f ref="H36:H47" si="12" t="shared">A36</f>
        <v>County/District</v>
      </c>
      <c r="I36" s="169" t="s">
        <v>8</v>
      </c>
      <c r="J36" s="169" t="s">
        <v>9</v>
      </c>
      <c r="K36" s="169" t="s">
        <v>10</v>
      </c>
      <c r="L36" s="169" t="s">
        <v>3</v>
      </c>
      <c r="O36" s="168"/>
      <c r="P36" s="169" t="s">
        <v>8</v>
      </c>
      <c r="Q36" s="169" t="s">
        <v>9</v>
      </c>
      <c r="R36" s="169" t="s">
        <v>10</v>
      </c>
      <c r="S36" s="169" t="s">
        <v>3</v>
      </c>
    </row>
    <row r="37" spans="1:19" x14ac:dyDescent="0.45">
      <c r="A37" s="78">
        <f si="11" t="shared"/>
        <v>1</v>
      </c>
      <c r="B37" s="177">
        <f ref="B37:E48" si="13" t="shared">IFERROR(B7/B22,0)</f>
        <v>0</v>
      </c>
      <c r="C37" s="177">
        <f si="13" t="shared"/>
        <v>0</v>
      </c>
      <c r="D37" s="177">
        <f si="13" t="shared"/>
        <v>0</v>
      </c>
      <c r="E37" s="177">
        <f si="13" t="shared"/>
        <v>0</v>
      </c>
      <c r="F37" s="178"/>
      <c r="G37" s="178"/>
      <c r="H37" s="78">
        <f si="12" t="shared"/>
        <v>1</v>
      </c>
      <c r="I37" s="177">
        <f ref="I37:L48" si="14" t="shared">IFERROR(I7/I22,0)</f>
        <v>0.16519518339612174</v>
      </c>
      <c r="J37" s="177">
        <f si="14" t="shared"/>
        <v>0.1439804102172399</v>
      </c>
      <c r="K37" s="177">
        <f si="14" t="shared"/>
        <v>0.15369639838106461</v>
      </c>
      <c r="L37" s="177">
        <f si="14" t="shared"/>
        <v>0.16234567299252989</v>
      </c>
      <c r="O37" s="78">
        <f ref="O37:O47" si="15" t="shared">H37</f>
        <v>1</v>
      </c>
      <c r="P37" s="178">
        <f ref="P37:P48" si="16" t="shared">I37-B37</f>
        <v>0.16519518339612174</v>
      </c>
      <c r="Q37" s="178">
        <f ref="Q37:Q48" si="17" t="shared">J37-C37</f>
        <v>0.1439804102172399</v>
      </c>
      <c r="R37" s="178">
        <f ref="R37:R48" si="18" t="shared">K37-D37</f>
        <v>0.15369639838106461</v>
      </c>
      <c r="S37" s="178">
        <f ref="S37:S48" si="19" t="shared">L37-E37</f>
        <v>0.16234567299252989</v>
      </c>
    </row>
    <row r="38" spans="1:19" x14ac:dyDescent="0.45">
      <c r="A38" s="78">
        <f si="11" t="shared"/>
        <v>2</v>
      </c>
      <c r="B38" s="178">
        <f si="13" t="shared"/>
        <v>0</v>
      </c>
      <c r="C38" s="178">
        <f si="13" t="shared"/>
        <v>0</v>
      </c>
      <c r="D38" s="178">
        <f si="13" t="shared"/>
        <v>0</v>
      </c>
      <c r="E38" s="178">
        <f si="13" t="shared"/>
        <v>0</v>
      </c>
      <c r="F38" s="178"/>
      <c r="G38" s="178"/>
      <c r="H38" s="78">
        <f si="12" t="shared"/>
        <v>2</v>
      </c>
      <c r="I38" s="178">
        <f si="14" t="shared"/>
        <v>0.14632707661842465</v>
      </c>
      <c r="J38" s="178">
        <f si="14" t="shared"/>
        <v>0.12661498708010335</v>
      </c>
      <c r="K38" s="178">
        <f si="14" t="shared"/>
        <v>0.13277742142398974</v>
      </c>
      <c r="L38" s="178">
        <f si="14" t="shared"/>
        <v>0.14410181468395641</v>
      </c>
      <c r="O38" s="78">
        <f si="15" t="shared"/>
        <v>2</v>
      </c>
      <c r="P38" s="178">
        <f si="16" t="shared"/>
        <v>0.14632707661842465</v>
      </c>
      <c r="Q38" s="178">
        <f si="17" t="shared"/>
        <v>0.12661498708010335</v>
      </c>
      <c r="R38" s="178">
        <f si="18" t="shared"/>
        <v>0.13277742142398974</v>
      </c>
      <c r="S38" s="178">
        <f si="19" t="shared"/>
        <v>0.14410181468395641</v>
      </c>
    </row>
    <row r="39" spans="1:19" x14ac:dyDescent="0.45">
      <c r="A39" s="78">
        <f si="11" t="shared"/>
        <v>3</v>
      </c>
      <c r="B39" s="178">
        <f si="13" t="shared"/>
        <v>0</v>
      </c>
      <c r="C39" s="178">
        <f si="13" t="shared"/>
        <v>0</v>
      </c>
      <c r="D39" s="178">
        <f si="13" t="shared"/>
        <v>0</v>
      </c>
      <c r="E39" s="178">
        <f si="13" t="shared"/>
        <v>0</v>
      </c>
      <c r="F39" s="178"/>
      <c r="G39" s="178"/>
      <c r="H39" s="78">
        <f si="12" t="shared"/>
        <v>3</v>
      </c>
      <c r="I39" s="178">
        <f si="14" t="shared"/>
        <v>0.14624173180998196</v>
      </c>
      <c r="J39" s="178">
        <f si="14" t="shared"/>
        <v>0.11544896820970441</v>
      </c>
      <c r="K39" s="178">
        <f si="14" t="shared"/>
        <v>0.15416666666666667</v>
      </c>
      <c r="L39" s="178">
        <f si="14" t="shared"/>
        <v>0.14352219224461726</v>
      </c>
      <c r="O39" s="78">
        <f si="15" t="shared"/>
        <v>3</v>
      </c>
      <c r="P39" s="178">
        <f si="16" t="shared"/>
        <v>0.14624173180998196</v>
      </c>
      <c r="Q39" s="178">
        <f si="17" t="shared"/>
        <v>0.11544896820970441</v>
      </c>
      <c r="R39" s="178">
        <f si="18" t="shared"/>
        <v>0.15416666666666667</v>
      </c>
      <c r="S39" s="178">
        <f si="19" t="shared"/>
        <v>0.14352219224461726</v>
      </c>
    </row>
    <row r="40" spans="1:19" x14ac:dyDescent="0.45">
      <c r="A40" s="78">
        <f si="11" t="shared"/>
        <v>4</v>
      </c>
      <c r="B40" s="178">
        <f si="13" t="shared"/>
        <v>0</v>
      </c>
      <c r="C40" s="178">
        <f si="13" t="shared"/>
        <v>0</v>
      </c>
      <c r="D40" s="178">
        <f si="13" t="shared"/>
        <v>0</v>
      </c>
      <c r="E40" s="178">
        <f si="13" t="shared"/>
        <v>0</v>
      </c>
      <c r="F40" s="178"/>
      <c r="G40" s="178"/>
      <c r="H40" s="78">
        <f si="12" t="shared"/>
        <v>4</v>
      </c>
      <c r="I40" s="178">
        <f si="14" t="shared"/>
        <v>0.14946713028633116</v>
      </c>
      <c r="J40" s="178">
        <f si="14" t="shared"/>
        <v>0.12784841685365245</v>
      </c>
      <c r="K40" s="178">
        <f si="14" t="shared"/>
        <v>0.13598964592770638</v>
      </c>
      <c r="L40" s="178">
        <f si="14" t="shared"/>
        <v>0.14642109801364894</v>
      </c>
      <c r="O40" s="78">
        <f si="15" t="shared"/>
        <v>4</v>
      </c>
      <c r="P40" s="178">
        <f si="16" t="shared"/>
        <v>0.14946713028633116</v>
      </c>
      <c r="Q40" s="178">
        <f si="17" t="shared"/>
        <v>0.12784841685365245</v>
      </c>
      <c r="R40" s="178">
        <f si="18" t="shared"/>
        <v>0.13598964592770638</v>
      </c>
      <c r="S40" s="178">
        <f si="19" t="shared"/>
        <v>0.14642109801364894</v>
      </c>
    </row>
    <row r="41" spans="1:19" x14ac:dyDescent="0.45">
      <c r="A41" s="78">
        <f si="11" t="shared"/>
        <v>5</v>
      </c>
      <c r="B41" s="178">
        <f si="13" t="shared"/>
        <v>0</v>
      </c>
      <c r="C41" s="178">
        <f si="13" t="shared"/>
        <v>0</v>
      </c>
      <c r="D41" s="178">
        <f si="13" t="shared"/>
        <v>0</v>
      </c>
      <c r="E41" s="178">
        <f si="13" t="shared"/>
        <v>0</v>
      </c>
      <c r="F41" s="178"/>
      <c r="G41" s="178"/>
      <c r="H41" s="78">
        <f si="12" t="shared"/>
        <v>5</v>
      </c>
      <c r="I41" s="178">
        <f si="14" t="shared"/>
        <v>0.15590556500005628</v>
      </c>
      <c r="J41" s="178">
        <f si="14" t="shared"/>
        <v>0.12534685676011864</v>
      </c>
      <c r="K41" s="178">
        <f si="14" t="shared"/>
        <v>0.14823914823914824</v>
      </c>
      <c r="L41" s="178">
        <f si="14" t="shared"/>
        <v>0.15253018836764234</v>
      </c>
      <c r="O41" s="78">
        <f si="15" t="shared"/>
        <v>5</v>
      </c>
      <c r="P41" s="178">
        <f si="16" t="shared"/>
        <v>0.15590556500005628</v>
      </c>
      <c r="Q41" s="178">
        <f si="17" t="shared"/>
        <v>0.12534685676011864</v>
      </c>
      <c r="R41" s="178">
        <f si="18" t="shared"/>
        <v>0.14823914823914824</v>
      </c>
      <c r="S41" s="178">
        <f si="19" t="shared"/>
        <v>0.15253018836764234</v>
      </c>
    </row>
    <row r="42" spans="1:19" x14ac:dyDescent="0.45">
      <c r="A42" s="78">
        <f si="11" t="shared"/>
        <v>6</v>
      </c>
      <c r="B42" s="178">
        <f si="13" t="shared"/>
        <v>0</v>
      </c>
      <c r="C42" s="178">
        <f si="13" t="shared"/>
        <v>0</v>
      </c>
      <c r="D42" s="178">
        <f si="13" t="shared"/>
        <v>0</v>
      </c>
      <c r="E42" s="178">
        <f si="13" t="shared"/>
        <v>0</v>
      </c>
      <c r="F42" s="178"/>
      <c r="G42" s="178"/>
      <c r="H42" s="78">
        <f si="12" t="shared"/>
        <v>6</v>
      </c>
      <c r="I42" s="178">
        <f si="14" t="shared"/>
        <v>0.17163651912029892</v>
      </c>
      <c r="J42" s="178">
        <f si="14" t="shared"/>
        <v>0.1496438452934597</v>
      </c>
      <c r="K42" s="178">
        <f si="14" t="shared"/>
        <v>0.16300276827878196</v>
      </c>
      <c r="L42" s="178">
        <f si="14" t="shared"/>
        <v>0.16837273353224697</v>
      </c>
      <c r="O42" s="78">
        <f si="15" t="shared"/>
        <v>6</v>
      </c>
      <c r="P42" s="178">
        <f si="16" t="shared"/>
        <v>0.17163651912029892</v>
      </c>
      <c r="Q42" s="178">
        <f si="17" t="shared"/>
        <v>0.1496438452934597</v>
      </c>
      <c r="R42" s="178">
        <f si="18" t="shared"/>
        <v>0.16300276827878196</v>
      </c>
      <c r="S42" s="178">
        <f si="19" t="shared"/>
        <v>0.16837273353224697</v>
      </c>
    </row>
    <row r="43" spans="1:19" x14ac:dyDescent="0.45">
      <c r="A43" s="78">
        <f si="11" t="shared"/>
        <v>7</v>
      </c>
      <c r="B43" s="178">
        <f si="13" t="shared"/>
        <v>0</v>
      </c>
      <c r="C43" s="178">
        <f si="13" t="shared"/>
        <v>0</v>
      </c>
      <c r="D43" s="178">
        <f si="13" t="shared"/>
        <v>0</v>
      </c>
      <c r="E43" s="178">
        <f si="13" t="shared"/>
        <v>0</v>
      </c>
      <c r="F43" s="178"/>
      <c r="G43" s="178"/>
      <c r="H43" s="78">
        <f si="12" t="shared"/>
        <v>7</v>
      </c>
      <c r="I43" s="178">
        <f si="14" t="shared"/>
        <v>0.15553709232242438</v>
      </c>
      <c r="J43" s="178">
        <f si="14" t="shared"/>
        <v>0.13557594291539246</v>
      </c>
      <c r="K43" s="178">
        <f si="14" t="shared"/>
        <v>0.16142638036809817</v>
      </c>
      <c r="L43" s="178">
        <f si="14" t="shared"/>
        <v>0.1538027200864143</v>
      </c>
      <c r="O43" s="78">
        <f si="15" t="shared"/>
        <v>7</v>
      </c>
      <c r="P43" s="178">
        <f si="16" t="shared"/>
        <v>0.15553709232242438</v>
      </c>
      <c r="Q43" s="178">
        <f si="17" t="shared"/>
        <v>0.13557594291539246</v>
      </c>
      <c r="R43" s="178">
        <f si="18" t="shared"/>
        <v>0.16142638036809817</v>
      </c>
      <c r="S43" s="178">
        <f si="19" t="shared"/>
        <v>0.1538027200864143</v>
      </c>
    </row>
    <row r="44" spans="1:19" x14ac:dyDescent="0.45">
      <c r="A44" s="78">
        <f si="11" t="shared"/>
        <v>8</v>
      </c>
      <c r="B44" s="178">
        <f si="13" t="shared"/>
        <v>5.3855346033027385E-2</v>
      </c>
      <c r="C44" s="178">
        <f si="13" t="shared"/>
        <v>1.5592469496942844E-3</v>
      </c>
      <c r="D44" s="178">
        <f si="13" t="shared"/>
        <v>0</v>
      </c>
      <c r="E44" s="178">
        <f si="13" t="shared"/>
        <v>4.2269931490456387E-2</v>
      </c>
      <c r="F44" s="178"/>
      <c r="G44" s="178"/>
      <c r="H44" s="78">
        <f si="12" t="shared"/>
        <v>8</v>
      </c>
      <c r="I44" s="178">
        <f si="14" t="shared"/>
        <v>0</v>
      </c>
      <c r="J44" s="178">
        <f si="14" t="shared"/>
        <v>0</v>
      </c>
      <c r="K44" s="178">
        <f si="14" t="shared"/>
        <v>0</v>
      </c>
      <c r="L44" s="178">
        <f si="14" t="shared"/>
        <v>0</v>
      </c>
      <c r="O44" s="78">
        <f si="15" t="shared"/>
        <v>8</v>
      </c>
      <c r="P44" s="178">
        <f si="16" t="shared"/>
        <v>-5.3855346033027385E-2</v>
      </c>
      <c r="Q44" s="178">
        <f si="17" t="shared"/>
        <v>-1.5592469496942844E-3</v>
      </c>
      <c r="R44" s="178">
        <f si="18" t="shared"/>
        <v>0</v>
      </c>
      <c r="S44" s="178">
        <f si="19" t="shared"/>
        <v>-4.2269931490456387E-2</v>
      </c>
    </row>
    <row r="45" spans="1:19" x14ac:dyDescent="0.45">
      <c r="A45" s="78">
        <f si="11" t="shared"/>
        <v>9</v>
      </c>
      <c r="B45" s="178">
        <f si="13" t="shared"/>
        <v>0</v>
      </c>
      <c r="C45" s="178">
        <f si="13" t="shared"/>
        <v>0</v>
      </c>
      <c r="D45" s="178">
        <f si="13" t="shared"/>
        <v>0</v>
      </c>
      <c r="E45" s="178">
        <f si="13" t="shared"/>
        <v>0</v>
      </c>
      <c r="F45" s="178"/>
      <c r="G45" s="178"/>
      <c r="H45" s="78">
        <f si="12" t="shared"/>
        <v>9</v>
      </c>
      <c r="I45" s="178">
        <f si="14" t="shared"/>
        <v>0</v>
      </c>
      <c r="J45" s="178">
        <f si="14" t="shared"/>
        <v>0</v>
      </c>
      <c r="K45" s="178">
        <f si="14" t="shared"/>
        <v>0</v>
      </c>
      <c r="L45" s="178">
        <f si="14" t="shared"/>
        <v>0</v>
      </c>
      <c r="O45" s="78">
        <f si="15" t="shared"/>
        <v>9</v>
      </c>
      <c r="P45" s="178">
        <f si="16" t="shared"/>
        <v>0</v>
      </c>
      <c r="Q45" s="178">
        <f si="17" t="shared"/>
        <v>0</v>
      </c>
      <c r="R45" s="178">
        <f si="18" t="shared"/>
        <v>0</v>
      </c>
      <c r="S45" s="178">
        <f si="19" t="shared"/>
        <v>0</v>
      </c>
    </row>
    <row r="46" spans="1:19" x14ac:dyDescent="0.45">
      <c r="A46" s="78">
        <f si="11" t="shared"/>
        <v>10</v>
      </c>
      <c r="B46" s="178">
        <f si="13" t="shared"/>
        <v>9.068564319125505E-2</v>
      </c>
      <c r="C46" s="178">
        <f si="13" t="shared"/>
        <v>5.0704841683046266E-2</v>
      </c>
      <c r="D46" s="178">
        <f si="13" t="shared"/>
        <v>1.1761412110357887E-2</v>
      </c>
      <c r="E46" s="178">
        <f si="13" t="shared"/>
        <v>8.2786311943122567E-2</v>
      </c>
      <c r="F46" s="178"/>
      <c r="G46" s="178"/>
      <c r="H46" s="78">
        <f si="12" t="shared"/>
        <v>10</v>
      </c>
      <c r="I46" s="178">
        <f si="14" t="shared"/>
        <v>0</v>
      </c>
      <c r="J46" s="178">
        <f si="14" t="shared"/>
        <v>0</v>
      </c>
      <c r="K46" s="178">
        <f si="14" t="shared"/>
        <v>0</v>
      </c>
      <c r="L46" s="178">
        <f si="14" t="shared"/>
        <v>0</v>
      </c>
      <c r="O46" s="78">
        <f si="15" t="shared"/>
        <v>10</v>
      </c>
      <c r="P46" s="178">
        <f si="16" t="shared"/>
        <v>-9.068564319125505E-2</v>
      </c>
      <c r="Q46" s="178">
        <f si="17" t="shared"/>
        <v>-5.0704841683046266E-2</v>
      </c>
      <c r="R46" s="178">
        <f si="18" t="shared"/>
        <v>-1.1761412110357887E-2</v>
      </c>
      <c r="S46" s="178">
        <f si="19" t="shared"/>
        <v>-8.2786311943122567E-2</v>
      </c>
    </row>
    <row r="47" spans="1:19" x14ac:dyDescent="0.45">
      <c r="A47" s="171" t="str">
        <f si="11" t="shared"/>
        <v>Rest</v>
      </c>
      <c r="B47" s="179">
        <f si="13" t="shared"/>
        <v>0</v>
      </c>
      <c r="C47" s="179">
        <f si="13" t="shared"/>
        <v>0</v>
      </c>
      <c r="D47" s="179">
        <f si="13" t="shared"/>
        <v>0</v>
      </c>
      <c r="E47" s="179">
        <f si="13" t="shared"/>
        <v>0</v>
      </c>
      <c r="F47" s="178"/>
      <c r="G47" s="178"/>
      <c r="H47" s="171" t="str">
        <f si="12" t="shared"/>
        <v>Rest</v>
      </c>
      <c r="I47" s="179">
        <f si="14" t="shared"/>
        <v>0</v>
      </c>
      <c r="J47" s="179">
        <f si="14" t="shared"/>
        <v>0</v>
      </c>
      <c r="K47" s="179">
        <f si="14" t="shared"/>
        <v>0</v>
      </c>
      <c r="L47" s="179">
        <f si="14" t="shared"/>
        <v>0</v>
      </c>
      <c r="O47" s="171" t="str">
        <f si="15" t="shared"/>
        <v>Rest</v>
      </c>
      <c r="P47" s="179">
        <f si="16" t="shared"/>
        <v>0</v>
      </c>
      <c r="Q47" s="179">
        <f si="17" t="shared"/>
        <v>0</v>
      </c>
      <c r="R47" s="179">
        <f si="18" t="shared"/>
        <v>0</v>
      </c>
      <c r="S47" s="179">
        <f si="19" t="shared"/>
        <v>0</v>
      </c>
    </row>
    <row ht="14.65" r="48" spans="1:19" thickBot="1" x14ac:dyDescent="0.5">
      <c r="A48" s="173" t="s">
        <v>3</v>
      </c>
      <c r="B48" s="180">
        <f si="13" t="shared"/>
        <v>7.9011176694865515E-2</v>
      </c>
      <c r="C48" s="180">
        <f si="13" t="shared"/>
        <v>3.0580382861071568E-2</v>
      </c>
      <c r="D48" s="180">
        <f si="13" t="shared"/>
        <v>7.7885551855992304E-3</v>
      </c>
      <c r="E48" s="180">
        <f si="13" t="shared"/>
        <v>6.934656043236348E-2</v>
      </c>
      <c r="H48" s="173" t="s">
        <v>3</v>
      </c>
      <c r="I48" s="180">
        <f si="14" t="shared"/>
        <v>0.1595135003420774</v>
      </c>
      <c r="J48" s="180">
        <f si="14" t="shared"/>
        <v>0.13773266587382801</v>
      </c>
      <c r="K48" s="180">
        <f si="14" t="shared"/>
        <v>0.15002098659067312</v>
      </c>
      <c r="L48" s="180">
        <f si="14" t="shared"/>
        <v>0.15674157637991315</v>
      </c>
      <c r="O48" s="173" t="s">
        <v>3</v>
      </c>
      <c r="P48" s="180">
        <f si="16" t="shared"/>
        <v>8.0502323647211882E-2</v>
      </c>
      <c r="Q48" s="180">
        <f si="17" t="shared"/>
        <v>0.10715228301275645</v>
      </c>
      <c r="R48" s="180">
        <f si="18" t="shared"/>
        <v>0.14223243140507388</v>
      </c>
      <c r="S48" s="180">
        <f si="19" t="shared"/>
        <v>8.739501594754967E-2</v>
      </c>
    </row>
  </sheetData>
  <pageMargins bottom="0.75" footer="0.3" header="0.3" left="0.7" right="0.7" top="0.75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33"/>
  <sheetViews>
    <sheetView topLeftCell="A4" workbookViewId="0" zoomScale="115" zoomScaleNormal="115">
      <selection activeCell="B21" sqref="B21"/>
    </sheetView>
  </sheetViews>
  <sheetFormatPr defaultRowHeight="14.25" x14ac:dyDescent="0.45"/>
  <sheetData>
    <row r="1" spans="1:2" x14ac:dyDescent="0.45">
      <c r="A1" s="9" t="s">
        <v>209</v>
      </c>
    </row>
    <row r="11" spans="1:2" x14ac:dyDescent="0.45">
      <c r="A11" s="9" t="s">
        <v>17</v>
      </c>
    </row>
    <row r="12" spans="1:2" x14ac:dyDescent="0.45">
      <c r="A12">
        <v>1</v>
      </c>
      <c r="B12" t="s">
        <v>41</v>
      </c>
    </row>
    <row r="14" spans="1:2" x14ac:dyDescent="0.45">
      <c r="A14">
        <v>2</v>
      </c>
      <c r="B14" t="s">
        <v>210</v>
      </c>
    </row>
    <row r="15" spans="1:2" x14ac:dyDescent="0.45">
      <c r="B15" t="s">
        <v>42</v>
      </c>
    </row>
    <row r="17" spans="1:4" x14ac:dyDescent="0.45">
      <c r="A17">
        <v>3</v>
      </c>
      <c r="B17" t="s">
        <v>43</v>
      </c>
    </row>
    <row r="18" spans="1:4" x14ac:dyDescent="0.45">
      <c r="B18" t="s">
        <v>211</v>
      </c>
    </row>
    <row r="19" spans="1:4" x14ac:dyDescent="0.45">
      <c r="B19" t="s">
        <v>8</v>
      </c>
      <c r="C19" t="s">
        <v>49</v>
      </c>
      <c r="D19" t="s">
        <v>18</v>
      </c>
    </row>
    <row r="20" spans="1:4" x14ac:dyDescent="0.45">
      <c r="B20" t="s">
        <v>9</v>
      </c>
      <c r="C20" t="s">
        <v>50</v>
      </c>
      <c r="D20" t="s">
        <v>19</v>
      </c>
    </row>
    <row r="21" spans="1:4" x14ac:dyDescent="0.45">
      <c r="B21" t="s">
        <v>10</v>
      </c>
      <c r="C21" t="s">
        <v>51</v>
      </c>
      <c r="D21" t="s">
        <v>20</v>
      </c>
    </row>
    <row r="23" spans="1:4" x14ac:dyDescent="0.45">
      <c r="A23" s="9" t="s">
        <v>44</v>
      </c>
    </row>
    <row r="24" spans="1:4" x14ac:dyDescent="0.45">
      <c r="A24">
        <v>1</v>
      </c>
      <c r="B24" t="s">
        <v>45</v>
      </c>
    </row>
    <row r="26" spans="1:4" x14ac:dyDescent="0.45">
      <c r="A26">
        <v>2</v>
      </c>
      <c r="B26" t="s">
        <v>46</v>
      </c>
    </row>
    <row r="28" spans="1:4" x14ac:dyDescent="0.45">
      <c r="A28" s="9" t="s">
        <v>47</v>
      </c>
    </row>
    <row r="29" spans="1:4" x14ac:dyDescent="0.45">
      <c r="A29">
        <v>1</v>
      </c>
      <c r="B29" t="s">
        <v>48</v>
      </c>
    </row>
    <row r="31" spans="1:4" x14ac:dyDescent="0.45">
      <c r="A31" s="9">
        <v>2</v>
      </c>
      <c r="B31" t="s">
        <v>212</v>
      </c>
    </row>
    <row r="33" spans="1:2" x14ac:dyDescent="0.45">
      <c r="A33">
        <v>3</v>
      </c>
      <c r="B33" t="s">
        <v>52</v>
      </c>
    </row>
  </sheetData>
  <pageMargins bottom="0.75" footer="0.3" header="0.3" left="0.7" right="0.7" top="0.75"/>
  <pageSetup orientation="portrait"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F74"/>
  <sheetViews>
    <sheetView workbookViewId="0">
      <selection activeCell="A11" sqref="A10:E11"/>
    </sheetView>
  </sheetViews>
  <sheetFormatPr defaultRowHeight="14.25" x14ac:dyDescent="0.45"/>
  <cols>
    <col min="4" max="4" bestFit="true" customWidth="true" width="12.73046875" collapsed="true"/>
    <col min="5" max="5" bestFit="true" customWidth="true" style="30" width="94.73046875" collapsed="true"/>
  </cols>
  <sheetData>
    <row r="1" spans="1:5" x14ac:dyDescent="0.45">
      <c r="A1" t="s">
        <v>131</v>
      </c>
      <c r="B1" t="s">
        <v>132</v>
      </c>
      <c r="E1" s="30" t="s">
        <v>133</v>
      </c>
    </row>
    <row r="2" spans="1:5" x14ac:dyDescent="0.45">
      <c r="A2">
        <v>1</v>
      </c>
      <c r="B2" t="s">
        <v>56</v>
      </c>
      <c r="C2" t="s">
        <v>57</v>
      </c>
      <c r="D2">
        <v>1</v>
      </c>
      <c r="E2" s="30" t="s">
        <v>139</v>
      </c>
    </row>
    <row r="3" spans="1:5" x14ac:dyDescent="0.45">
      <c r="A3">
        <v>2</v>
      </c>
      <c r="B3" t="s">
        <v>58</v>
      </c>
      <c r="C3" t="s">
        <v>57</v>
      </c>
      <c r="D3">
        <v>0.7</v>
      </c>
      <c r="E3" s="30" t="s">
        <v>135</v>
      </c>
    </row>
    <row r="4" spans="1:5" x14ac:dyDescent="0.45">
      <c r="A4">
        <v>3</v>
      </c>
      <c r="B4" t="s">
        <v>59</v>
      </c>
      <c r="C4" t="s">
        <v>57</v>
      </c>
      <c r="D4">
        <v>1</v>
      </c>
      <c r="E4" s="30" t="s">
        <v>134</v>
      </c>
    </row>
    <row r="5" spans="1:5" x14ac:dyDescent="0.45">
      <c r="A5">
        <v>4</v>
      </c>
      <c r="B5" t="s">
        <v>60</v>
      </c>
      <c r="C5" t="s">
        <v>57</v>
      </c>
      <c r="D5">
        <v>0.5</v>
      </c>
      <c r="E5" s="30" t="s">
        <v>140</v>
      </c>
    </row>
    <row r="6" spans="1:5" x14ac:dyDescent="0.45">
      <c r="A6">
        <v>5</v>
      </c>
      <c r="B6" t="s">
        <v>61</v>
      </c>
      <c r="C6" t="s">
        <v>57</v>
      </c>
      <c r="D6">
        <v>0</v>
      </c>
      <c r="E6" s="30" t="s">
        <v>136</v>
      </c>
    </row>
    <row r="7" spans="1:5" x14ac:dyDescent="0.45">
      <c r="A7">
        <v>6</v>
      </c>
      <c r="B7" t="s">
        <v>62</v>
      </c>
      <c r="C7" t="s">
        <v>57</v>
      </c>
      <c r="D7">
        <v>-4.1530549264700003</v>
      </c>
      <c r="E7" s="30" t="s">
        <v>141</v>
      </c>
    </row>
    <row r="8" spans="1:5" x14ac:dyDescent="0.45">
      <c r="A8">
        <v>7</v>
      </c>
      <c r="B8" t="s">
        <v>63</v>
      </c>
      <c r="C8" t="s">
        <v>57</v>
      </c>
      <c r="D8">
        <v>-0.64354735537100005</v>
      </c>
      <c r="E8" s="30" t="s">
        <v>142</v>
      </c>
    </row>
    <row r="9" spans="1:5" x14ac:dyDescent="0.45">
      <c r="A9">
        <v>8</v>
      </c>
      <c r="B9" t="s">
        <v>64</v>
      </c>
      <c r="C9" t="s">
        <v>57</v>
      </c>
      <c r="D9">
        <v>-0.732358148145</v>
      </c>
      <c r="E9" s="30" t="s">
        <v>143</v>
      </c>
    </row>
    <row r="10" spans="1:5" x14ac:dyDescent="0.45">
      <c r="A10">
        <v>9</v>
      </c>
      <c r="B10" t="s">
        <v>65</v>
      </c>
      <c r="C10" t="s">
        <v>57</v>
      </c>
      <c r="D10">
        <v>-2.6263992007099999</v>
      </c>
      <c r="E10" s="30" t="s">
        <v>144</v>
      </c>
    </row>
    <row r="11" spans="1:5" x14ac:dyDescent="0.45">
      <c r="A11">
        <v>10</v>
      </c>
      <c r="B11" t="s">
        <v>66</v>
      </c>
      <c r="C11" t="s">
        <v>57</v>
      </c>
      <c r="D11">
        <v>-3.4653118418800002</v>
      </c>
      <c r="E11" s="30" t="s">
        <v>145</v>
      </c>
    </row>
    <row r="12" spans="1:5" x14ac:dyDescent="0.45">
      <c r="A12">
        <v>11</v>
      </c>
      <c r="B12" t="s">
        <v>67</v>
      </c>
      <c r="C12" t="s">
        <v>57</v>
      </c>
      <c r="D12">
        <v>0.125312575308</v>
      </c>
      <c r="E12" s="30" t="s">
        <v>146</v>
      </c>
    </row>
    <row r="13" spans="1:5" x14ac:dyDescent="0.45">
      <c r="A13">
        <v>12</v>
      </c>
      <c r="B13" t="s">
        <v>68</v>
      </c>
      <c r="C13" t="s">
        <v>57</v>
      </c>
      <c r="D13">
        <v>0.24676672684299999</v>
      </c>
      <c r="E13" s="30" t="s">
        <v>147</v>
      </c>
    </row>
    <row r="14" spans="1:5" x14ac:dyDescent="0.45">
      <c r="A14">
        <v>13</v>
      </c>
      <c r="B14" t="s">
        <v>69</v>
      </c>
      <c r="C14" t="s">
        <v>57</v>
      </c>
      <c r="D14">
        <v>0.40796503771199999</v>
      </c>
      <c r="E14" s="30" t="s">
        <v>148</v>
      </c>
    </row>
    <row r="15" spans="1:5" x14ac:dyDescent="0.45">
      <c r="A15">
        <v>14</v>
      </c>
      <c r="B15" t="s">
        <v>70</v>
      </c>
      <c r="C15" t="s">
        <v>57</v>
      </c>
      <c r="D15">
        <v>-0.50293651045300003</v>
      </c>
      <c r="E15" s="30" t="s">
        <v>149</v>
      </c>
    </row>
    <row r="16" spans="1:5" x14ac:dyDescent="0.45">
      <c r="A16">
        <v>15</v>
      </c>
      <c r="B16" t="s">
        <v>71</v>
      </c>
      <c r="C16" t="s">
        <v>57</v>
      </c>
      <c r="D16">
        <v>-1.61322160644</v>
      </c>
      <c r="E16" s="30" t="s">
        <v>150</v>
      </c>
    </row>
    <row r="17" spans="1:5" x14ac:dyDescent="0.45">
      <c r="A17">
        <v>16</v>
      </c>
      <c r="B17" t="s">
        <v>72</v>
      </c>
      <c r="C17" t="s">
        <v>57</v>
      </c>
      <c r="D17">
        <v>0.130749629122</v>
      </c>
      <c r="E17" s="30" t="s">
        <v>151</v>
      </c>
    </row>
    <row r="18" spans="1:5" x14ac:dyDescent="0.45">
      <c r="A18">
        <v>17</v>
      </c>
      <c r="B18" t="s">
        <v>73</v>
      </c>
      <c r="C18" t="s">
        <v>57</v>
      </c>
      <c r="D18" s="29">
        <v>8.4077289836199998E-2</v>
      </c>
      <c r="E18" s="30" t="s">
        <v>152</v>
      </c>
    </row>
    <row r="19" spans="1:5" x14ac:dyDescent="0.45">
      <c r="A19">
        <v>18</v>
      </c>
      <c r="B19" t="s">
        <v>74</v>
      </c>
      <c r="C19" t="s">
        <v>57</v>
      </c>
      <c r="D19">
        <v>0</v>
      </c>
      <c r="E19" s="30" t="s">
        <v>153</v>
      </c>
    </row>
    <row r="20" spans="1:5" x14ac:dyDescent="0.45">
      <c r="A20">
        <v>19</v>
      </c>
      <c r="B20" t="s">
        <v>75</v>
      </c>
      <c r="C20" t="s">
        <v>57</v>
      </c>
      <c r="D20">
        <v>0.106386053639</v>
      </c>
      <c r="E20" s="30" t="s">
        <v>137</v>
      </c>
    </row>
    <row r="21" spans="1:5" x14ac:dyDescent="0.45">
      <c r="A21">
        <v>20</v>
      </c>
      <c r="B21" t="s">
        <v>76</v>
      </c>
      <c r="C21" t="s">
        <v>57</v>
      </c>
      <c r="D21">
        <v>0.88087687792799996</v>
      </c>
      <c r="E21" s="30" t="s">
        <v>138</v>
      </c>
    </row>
    <row r="22" spans="1:5" x14ac:dyDescent="0.45">
      <c r="A22">
        <v>21</v>
      </c>
      <c r="B22" t="s">
        <v>77</v>
      </c>
      <c r="C22" t="s">
        <v>57</v>
      </c>
      <c r="D22">
        <v>-0.16458061134300001</v>
      </c>
      <c r="E22" s="30" t="s">
        <v>190</v>
      </c>
    </row>
    <row r="23" spans="1:5" x14ac:dyDescent="0.45">
      <c r="A23">
        <v>22</v>
      </c>
      <c r="B23" t="s">
        <v>78</v>
      </c>
      <c r="C23" t="s">
        <v>57</v>
      </c>
      <c r="D23">
        <v>0.154182014038</v>
      </c>
      <c r="E23" s="30" t="s">
        <v>191</v>
      </c>
    </row>
    <row r="24" spans="1:5" x14ac:dyDescent="0.45">
      <c r="A24">
        <v>23</v>
      </c>
      <c r="B24" t="s">
        <v>79</v>
      </c>
      <c r="C24" t="s">
        <v>57</v>
      </c>
      <c r="D24" s="29">
        <v>4.79448884421E-2</v>
      </c>
      <c r="E24" s="30" t="s">
        <v>192</v>
      </c>
    </row>
    <row r="25" spans="1:5" x14ac:dyDescent="0.45">
      <c r="A25">
        <v>24</v>
      </c>
      <c r="B25" t="s">
        <v>80</v>
      </c>
      <c r="C25" t="s">
        <v>57</v>
      </c>
      <c r="D25" s="29">
        <v>6.4843520043099998E-2</v>
      </c>
      <c r="E25" s="30" t="s">
        <v>193</v>
      </c>
    </row>
    <row r="26" spans="1:5" x14ac:dyDescent="0.45">
      <c r="A26">
        <v>25</v>
      </c>
      <c r="B26" t="s">
        <v>81</v>
      </c>
      <c r="C26" t="s">
        <v>57</v>
      </c>
      <c r="D26">
        <v>0.15272053169499999</v>
      </c>
      <c r="E26" s="30" t="s">
        <v>194</v>
      </c>
    </row>
    <row r="27" spans="1:5" x14ac:dyDescent="0.45">
      <c r="A27">
        <v>26</v>
      </c>
      <c r="B27" t="s">
        <v>82</v>
      </c>
      <c r="C27" t="s">
        <v>57</v>
      </c>
      <c r="D27" s="29">
        <v>7.2028590735099998E-2</v>
      </c>
      <c r="E27" s="30" t="s">
        <v>195</v>
      </c>
    </row>
    <row r="28" spans="1:5" x14ac:dyDescent="0.45">
      <c r="A28">
        <v>27</v>
      </c>
      <c r="B28" t="s">
        <v>83</v>
      </c>
      <c r="C28" t="s">
        <v>57</v>
      </c>
      <c r="D28">
        <v>-0.27934224041799999</v>
      </c>
      <c r="E28" s="30" t="s">
        <v>199</v>
      </c>
    </row>
    <row r="29" spans="1:5" x14ac:dyDescent="0.45">
      <c r="A29">
        <v>28</v>
      </c>
      <c r="B29" t="s">
        <v>84</v>
      </c>
      <c r="C29" t="s">
        <v>57</v>
      </c>
      <c r="D29" s="29">
        <v>4.3626229225700003E-2</v>
      </c>
      <c r="E29" s="30" t="s">
        <v>154</v>
      </c>
    </row>
    <row r="30" spans="1:5" x14ac:dyDescent="0.45">
      <c r="A30">
        <v>29</v>
      </c>
      <c r="B30" t="s">
        <v>85</v>
      </c>
      <c r="C30" t="s">
        <v>57</v>
      </c>
      <c r="D30" s="29">
        <v>-8.7886819411100006E-2</v>
      </c>
      <c r="E30" s="30" t="s">
        <v>174</v>
      </c>
    </row>
    <row r="31" spans="1:5" x14ac:dyDescent="0.45">
      <c r="A31">
        <v>30</v>
      </c>
      <c r="B31" t="s">
        <v>86</v>
      </c>
      <c r="C31" t="s">
        <v>57</v>
      </c>
      <c r="D31" s="29">
        <v>-4.2894941477000001E-2</v>
      </c>
      <c r="E31" s="30" t="s">
        <v>175</v>
      </c>
    </row>
    <row r="32" spans="1:5" x14ac:dyDescent="0.45">
      <c r="A32">
        <v>31</v>
      </c>
      <c r="B32" t="s">
        <v>87</v>
      </c>
      <c r="C32" t="s">
        <v>57</v>
      </c>
      <c r="D32">
        <v>-0.13045579928000001</v>
      </c>
      <c r="E32" s="30" t="s">
        <v>176</v>
      </c>
    </row>
    <row r="33" spans="1:5" x14ac:dyDescent="0.45">
      <c r="A33">
        <v>32</v>
      </c>
      <c r="B33" t="s">
        <v>88</v>
      </c>
      <c r="C33" t="s">
        <v>57</v>
      </c>
      <c r="D33">
        <v>0.18945088644899999</v>
      </c>
      <c r="E33" s="30" t="s">
        <v>177</v>
      </c>
    </row>
    <row r="34" spans="1:5" x14ac:dyDescent="0.45">
      <c r="A34">
        <v>33</v>
      </c>
      <c r="B34" t="s">
        <v>89</v>
      </c>
      <c r="C34" t="s">
        <v>57</v>
      </c>
      <c r="D34">
        <v>-0.179523169776</v>
      </c>
      <c r="E34" s="30" t="s">
        <v>178</v>
      </c>
    </row>
    <row r="35" spans="1:5" x14ac:dyDescent="0.45">
      <c r="A35">
        <v>34</v>
      </c>
      <c r="B35" t="s">
        <v>90</v>
      </c>
      <c r="C35" t="s">
        <v>57</v>
      </c>
      <c r="D35">
        <v>0.17233347539499999</v>
      </c>
      <c r="E35" s="30" t="s">
        <v>179</v>
      </c>
    </row>
    <row r="36" spans="1:5" x14ac:dyDescent="0.45">
      <c r="A36">
        <v>35</v>
      </c>
      <c r="B36" t="s">
        <v>91</v>
      </c>
      <c r="C36" t="s">
        <v>57</v>
      </c>
      <c r="D36">
        <v>-0.194698386872</v>
      </c>
      <c r="E36" s="30" t="s">
        <v>180</v>
      </c>
    </row>
    <row r="37" spans="1:5" x14ac:dyDescent="0.45">
      <c r="A37">
        <v>36</v>
      </c>
      <c r="B37" t="s">
        <v>92</v>
      </c>
      <c r="C37" t="s">
        <v>57</v>
      </c>
      <c r="D37">
        <v>0.38785322122799998</v>
      </c>
      <c r="E37" s="30" t="s">
        <v>181</v>
      </c>
    </row>
    <row r="38" spans="1:5" x14ac:dyDescent="0.45">
      <c r="A38">
        <v>41</v>
      </c>
      <c r="B38" t="s">
        <v>93</v>
      </c>
      <c r="C38" t="s">
        <v>94</v>
      </c>
      <c r="D38">
        <v>-2.9745332256100001</v>
      </c>
      <c r="E38" s="30" t="s">
        <v>213</v>
      </c>
    </row>
    <row r="39" spans="1:5" x14ac:dyDescent="0.45">
      <c r="A39">
        <v>42</v>
      </c>
      <c r="B39" t="s">
        <v>95</v>
      </c>
      <c r="C39" t="s">
        <v>94</v>
      </c>
      <c r="D39">
        <v>5.0782043482699999</v>
      </c>
      <c r="E39" s="30" t="s">
        <v>200</v>
      </c>
    </row>
    <row r="40" spans="1:5" x14ac:dyDescent="0.45">
      <c r="A40">
        <v>43</v>
      </c>
      <c r="B40" t="s">
        <v>96</v>
      </c>
      <c r="C40" t="s">
        <v>94</v>
      </c>
      <c r="D40">
        <v>-3.0391245094800001</v>
      </c>
      <c r="E40" s="30" t="s">
        <v>201</v>
      </c>
    </row>
    <row r="41" spans="1:5" x14ac:dyDescent="0.45">
      <c r="A41">
        <v>44</v>
      </c>
      <c r="B41" t="s">
        <v>97</v>
      </c>
      <c r="C41" t="s">
        <v>94</v>
      </c>
      <c r="D41">
        <v>-2.3320263859599999</v>
      </c>
      <c r="E41" s="30" t="s">
        <v>202</v>
      </c>
    </row>
    <row r="42" spans="1:5" x14ac:dyDescent="0.45">
      <c r="A42">
        <v>50</v>
      </c>
      <c r="B42" t="s">
        <v>98</v>
      </c>
      <c r="C42" t="s">
        <v>57</v>
      </c>
      <c r="D42">
        <v>0.33566647407</v>
      </c>
    </row>
    <row r="43" spans="1:5" x14ac:dyDescent="0.45">
      <c r="A43">
        <v>51</v>
      </c>
      <c r="B43" t="s">
        <v>99</v>
      </c>
      <c r="C43" t="s">
        <v>57</v>
      </c>
      <c r="D43">
        <v>-0.78911507665199998</v>
      </c>
      <c r="E43" s="30" t="s">
        <v>155</v>
      </c>
    </row>
    <row r="44" spans="1:5" x14ac:dyDescent="0.45">
      <c r="A44">
        <v>52</v>
      </c>
      <c r="B44" t="s">
        <v>100</v>
      </c>
      <c r="C44" t="s">
        <v>57</v>
      </c>
      <c r="D44">
        <v>0.56564055394500001</v>
      </c>
      <c r="E44" s="30" t="s">
        <v>156</v>
      </c>
    </row>
    <row r="45" spans="1:5" x14ac:dyDescent="0.45">
      <c r="A45">
        <v>53</v>
      </c>
      <c r="B45" t="s">
        <v>101</v>
      </c>
      <c r="C45" t="s">
        <v>57</v>
      </c>
      <c r="D45">
        <v>-1.85416848242</v>
      </c>
      <c r="E45" s="30" t="s">
        <v>157</v>
      </c>
    </row>
    <row r="46" spans="1:5" x14ac:dyDescent="0.45">
      <c r="A46">
        <v>54</v>
      </c>
      <c r="B46" t="s">
        <v>102</v>
      </c>
      <c r="C46" t="s">
        <v>57</v>
      </c>
      <c r="D46">
        <v>0</v>
      </c>
      <c r="E46" s="30" t="s">
        <v>158</v>
      </c>
    </row>
    <row r="47" spans="1:5" x14ac:dyDescent="0.45">
      <c r="A47">
        <v>55</v>
      </c>
      <c r="B47" t="s">
        <v>103</v>
      </c>
      <c r="C47" t="s">
        <v>57</v>
      </c>
      <c r="D47">
        <v>-1.1156286956100001</v>
      </c>
      <c r="E47" s="30" t="s">
        <v>159</v>
      </c>
    </row>
    <row r="48" spans="1:5" x14ac:dyDescent="0.45">
      <c r="A48">
        <v>56</v>
      </c>
      <c r="B48" t="s">
        <v>104</v>
      </c>
      <c r="C48" t="s">
        <v>57</v>
      </c>
      <c r="D48">
        <v>-0.81792869186600003</v>
      </c>
      <c r="E48" s="30" t="s">
        <v>160</v>
      </c>
    </row>
    <row r="49" spans="1:5" x14ac:dyDescent="0.45">
      <c r="A49">
        <v>57</v>
      </c>
      <c r="B49" t="s">
        <v>105</v>
      </c>
      <c r="C49" t="s">
        <v>57</v>
      </c>
      <c r="D49">
        <v>-1.04729487823</v>
      </c>
      <c r="E49" s="30" t="s">
        <v>161</v>
      </c>
    </row>
    <row r="50" spans="1:5" x14ac:dyDescent="0.45">
      <c r="A50">
        <v>58</v>
      </c>
      <c r="B50" t="s">
        <v>106</v>
      </c>
      <c r="C50" t="s">
        <v>57</v>
      </c>
      <c r="D50">
        <v>-2.0228517391</v>
      </c>
      <c r="E50" s="30" t="s">
        <v>162</v>
      </c>
    </row>
    <row r="51" spans="1:5" x14ac:dyDescent="0.45">
      <c r="A51">
        <v>59</v>
      </c>
      <c r="B51" t="s">
        <v>107</v>
      </c>
      <c r="C51" t="s">
        <v>57</v>
      </c>
      <c r="D51">
        <v>-1.2945321250099999</v>
      </c>
      <c r="E51" s="30" t="s">
        <v>163</v>
      </c>
    </row>
    <row r="52" spans="1:5" x14ac:dyDescent="0.45">
      <c r="A52">
        <v>60</v>
      </c>
      <c r="B52" t="s">
        <v>108</v>
      </c>
      <c r="C52" t="s">
        <v>57</v>
      </c>
      <c r="D52">
        <v>-0.66178028021599999</v>
      </c>
      <c r="E52" s="30" t="s">
        <v>182</v>
      </c>
    </row>
    <row r="53" spans="1:5" x14ac:dyDescent="0.45">
      <c r="A53">
        <v>61</v>
      </c>
      <c r="B53" t="s">
        <v>109</v>
      </c>
      <c r="C53" t="s">
        <v>57</v>
      </c>
      <c r="D53">
        <v>-0.55504741134900004</v>
      </c>
      <c r="E53" s="30" t="s">
        <v>183</v>
      </c>
    </row>
    <row r="54" spans="1:5" x14ac:dyDescent="0.45">
      <c r="A54">
        <v>62</v>
      </c>
      <c r="B54" t="s">
        <v>110</v>
      </c>
      <c r="C54" t="s">
        <v>57</v>
      </c>
      <c r="D54">
        <v>-1.7449233454799999</v>
      </c>
      <c r="E54" s="30" t="s">
        <v>184</v>
      </c>
    </row>
    <row r="55" spans="1:5" x14ac:dyDescent="0.45">
      <c r="A55">
        <v>63</v>
      </c>
      <c r="B55" t="s">
        <v>111</v>
      </c>
      <c r="C55" t="s">
        <v>57</v>
      </c>
      <c r="D55">
        <v>1.1995398853399999</v>
      </c>
      <c r="E55" s="30" t="s">
        <v>185</v>
      </c>
    </row>
    <row r="56" spans="1:5" x14ac:dyDescent="0.45">
      <c r="A56">
        <v>64</v>
      </c>
      <c r="B56" t="s">
        <v>112</v>
      </c>
      <c r="C56" t="s">
        <v>57</v>
      </c>
      <c r="D56">
        <v>0.19542046398099999</v>
      </c>
      <c r="E56" s="30" t="s">
        <v>186</v>
      </c>
    </row>
    <row r="57" spans="1:5" x14ac:dyDescent="0.45">
      <c r="A57">
        <v>65</v>
      </c>
      <c r="B57" t="s">
        <v>113</v>
      </c>
      <c r="C57" t="s">
        <v>57</v>
      </c>
      <c r="D57">
        <v>-0.90594458676599998</v>
      </c>
      <c r="E57" s="30" t="s">
        <v>187</v>
      </c>
    </row>
    <row r="58" spans="1:5" x14ac:dyDescent="0.45">
      <c r="A58">
        <v>66</v>
      </c>
      <c r="B58" t="s">
        <v>114</v>
      </c>
      <c r="C58" t="s">
        <v>57</v>
      </c>
      <c r="D58">
        <v>-2.05104130438</v>
      </c>
      <c r="E58" s="30" t="s">
        <v>164</v>
      </c>
    </row>
    <row r="59" spans="1:5" x14ac:dyDescent="0.45">
      <c r="A59">
        <v>67</v>
      </c>
      <c r="B59" t="s">
        <v>115</v>
      </c>
      <c r="C59" t="s">
        <v>57</v>
      </c>
      <c r="D59">
        <v>-2.2381608455899999</v>
      </c>
      <c r="E59" s="30" t="s">
        <v>165</v>
      </c>
    </row>
    <row r="60" spans="1:5" x14ac:dyDescent="0.45">
      <c r="A60">
        <v>68</v>
      </c>
      <c r="B60" t="s">
        <v>116</v>
      </c>
      <c r="C60" t="s">
        <v>57</v>
      </c>
      <c r="D60">
        <v>-0.40946320528300001</v>
      </c>
      <c r="E60" s="30" t="s">
        <v>166</v>
      </c>
    </row>
    <row r="61" spans="1:5" x14ac:dyDescent="0.45">
      <c r="A61">
        <v>69</v>
      </c>
      <c r="B61" t="s">
        <v>117</v>
      </c>
      <c r="C61" t="s">
        <v>57</v>
      </c>
      <c r="D61">
        <v>-1.1700902309500001</v>
      </c>
      <c r="E61" s="30" t="s">
        <v>167</v>
      </c>
    </row>
    <row r="62" spans="1:5" x14ac:dyDescent="0.45">
      <c r="A62">
        <v>70</v>
      </c>
      <c r="B62" t="s">
        <v>118</v>
      </c>
      <c r="C62" t="s">
        <v>57</v>
      </c>
      <c r="D62">
        <v>1.8412445021999999</v>
      </c>
      <c r="E62" s="30" t="s">
        <v>168</v>
      </c>
    </row>
    <row r="63" spans="1:5" x14ac:dyDescent="0.45">
      <c r="A63">
        <v>71</v>
      </c>
      <c r="B63" t="s">
        <v>119</v>
      </c>
      <c r="C63" t="s">
        <v>57</v>
      </c>
      <c r="D63">
        <v>0.71619685052500004</v>
      </c>
      <c r="E63" s="30" t="s">
        <v>169</v>
      </c>
    </row>
    <row r="64" spans="1:5" x14ac:dyDescent="0.45">
      <c r="A64">
        <v>72</v>
      </c>
      <c r="B64" t="s">
        <v>120</v>
      </c>
      <c r="C64" t="s">
        <v>57</v>
      </c>
      <c r="D64">
        <v>-0.101060642888</v>
      </c>
      <c r="E64" s="30" t="s">
        <v>170</v>
      </c>
    </row>
    <row r="65" spans="1:5" x14ac:dyDescent="0.45">
      <c r="A65">
        <v>73</v>
      </c>
      <c r="B65" t="s">
        <v>121</v>
      </c>
      <c r="C65" t="s">
        <v>57</v>
      </c>
      <c r="D65">
        <v>-0.34132571646100002</v>
      </c>
      <c r="E65" s="30" t="s">
        <v>171</v>
      </c>
    </row>
    <row r="66" spans="1:5" x14ac:dyDescent="0.45">
      <c r="A66">
        <v>74</v>
      </c>
      <c r="B66" t="s">
        <v>122</v>
      </c>
      <c r="C66" t="s">
        <v>57</v>
      </c>
      <c r="D66">
        <v>1.0486549950899999</v>
      </c>
      <c r="E66" s="30" t="s">
        <v>188</v>
      </c>
    </row>
    <row r="67" spans="1:5" x14ac:dyDescent="0.45">
      <c r="A67">
        <v>75</v>
      </c>
      <c r="B67" t="s">
        <v>123</v>
      </c>
      <c r="C67" t="s">
        <v>57</v>
      </c>
      <c r="D67">
        <v>-30</v>
      </c>
      <c r="E67" s="30" t="s">
        <v>196</v>
      </c>
    </row>
    <row r="68" spans="1:5" x14ac:dyDescent="0.45">
      <c r="A68">
        <v>76</v>
      </c>
      <c r="B68" t="s">
        <v>124</v>
      </c>
      <c r="C68" t="s">
        <v>57</v>
      </c>
      <c r="D68">
        <v>0.91468797064200003</v>
      </c>
      <c r="E68" s="30" t="s">
        <v>197</v>
      </c>
    </row>
    <row r="69" spans="1:5" x14ac:dyDescent="0.45">
      <c r="A69">
        <v>77</v>
      </c>
      <c r="B69" t="s">
        <v>125</v>
      </c>
      <c r="C69" t="s">
        <v>57</v>
      </c>
      <c r="D69">
        <v>-1.1830909132</v>
      </c>
      <c r="E69" s="30" t="s">
        <v>189</v>
      </c>
    </row>
    <row r="70" spans="1:5" x14ac:dyDescent="0.45">
      <c r="A70">
        <v>78</v>
      </c>
      <c r="B70" t="s">
        <v>126</v>
      </c>
      <c r="C70" t="s">
        <v>57</v>
      </c>
      <c r="D70">
        <v>1.4576625009499999</v>
      </c>
      <c r="E70" s="30" t="s">
        <v>198</v>
      </c>
    </row>
    <row r="71" spans="1:5" x14ac:dyDescent="0.45">
      <c r="A71">
        <v>79</v>
      </c>
      <c r="B71" t="s">
        <v>127</v>
      </c>
      <c r="C71" t="s">
        <v>57</v>
      </c>
      <c r="D71">
        <v>-1.62636517084</v>
      </c>
      <c r="E71" s="30" t="s">
        <v>172</v>
      </c>
    </row>
    <row r="72" spans="1:5" x14ac:dyDescent="0.45">
      <c r="A72">
        <v>80</v>
      </c>
      <c r="B72" t="s">
        <v>128</v>
      </c>
      <c r="C72" t="s">
        <v>57</v>
      </c>
      <c r="D72">
        <v>0</v>
      </c>
      <c r="E72" s="30" t="s">
        <v>173</v>
      </c>
    </row>
    <row r="73" spans="1:5" x14ac:dyDescent="0.45">
      <c r="A73">
        <v>90</v>
      </c>
      <c r="B73" t="s">
        <v>129</v>
      </c>
      <c r="C73" t="s">
        <v>57</v>
      </c>
      <c r="D73">
        <v>0</v>
      </c>
      <c r="E73" s="30">
        <v>100</v>
      </c>
    </row>
    <row r="74" spans="1:5" x14ac:dyDescent="0.45">
      <c r="A74">
        <v>98</v>
      </c>
      <c r="B74" t="s">
        <v>130</v>
      </c>
      <c r="C74" t="s">
        <v>94</v>
      </c>
      <c r="D74">
        <v>0.196146395147</v>
      </c>
    </row>
  </sheetData>
  <pageMargins bottom="0.75" footer="0.3" header="0.3" left="0.7" right="0.7" top="0.75"/>
  <pageSetup orientation="portrait"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8"/>
  <sheetViews>
    <sheetView workbookViewId="0">
      <selection activeCell="B2" sqref="B2:B8"/>
    </sheetView>
  </sheetViews>
  <sheetFormatPr defaultRowHeight="14.25" x14ac:dyDescent="0.45"/>
  <sheetData>
    <row r="1" spans="1:2" x14ac:dyDescent="0.45">
      <c r="A1" t="s">
        <v>310</v>
      </c>
      <c r="B1" t="s">
        <v>311</v>
      </c>
    </row>
    <row r="2" spans="1:2" x14ac:dyDescent="0.45">
      <c r="A2">
        <v>1</v>
      </c>
      <c r="B2" s="28" t="s">
        <v>312</v>
      </c>
    </row>
    <row r="3" spans="1:2" x14ac:dyDescent="0.45">
      <c r="A3">
        <v>2</v>
      </c>
      <c r="B3" s="78" t="s">
        <v>313</v>
      </c>
    </row>
    <row r="4" spans="1:2" x14ac:dyDescent="0.45">
      <c r="A4">
        <v>3</v>
      </c>
      <c r="B4" s="78" t="s">
        <v>314</v>
      </c>
    </row>
    <row r="5" spans="1:2" x14ac:dyDescent="0.45">
      <c r="A5">
        <v>4</v>
      </c>
      <c r="B5" s="78" t="s">
        <v>315</v>
      </c>
    </row>
    <row r="6" spans="1:2" x14ac:dyDescent="0.45">
      <c r="A6">
        <v>5</v>
      </c>
      <c r="B6" s="78" t="s">
        <v>316</v>
      </c>
    </row>
    <row r="7" spans="1:2" x14ac:dyDescent="0.45">
      <c r="A7">
        <v>6</v>
      </c>
      <c r="B7" s="78" t="s">
        <v>317</v>
      </c>
    </row>
    <row r="8" spans="1:2" x14ac:dyDescent="0.45">
      <c r="A8">
        <v>7</v>
      </c>
      <c r="B8" s="78" t="s">
        <v>318</v>
      </c>
    </row>
  </sheetData>
  <pageMargins bottom="0.75" footer="0.3" header="0.3" left="0.7" right="0.7" top="0.75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FFFF00"/>
  </sheetPr>
  <dimension ref="A1:L384"/>
  <sheetViews>
    <sheetView topLeftCell="A55" workbookViewId="0">
      <selection activeCell="C103" sqref="C103"/>
    </sheetView>
  </sheetViews>
  <sheetFormatPr defaultRowHeight="14.25" x14ac:dyDescent="0.45"/>
  <sheetData>
    <row r="1" spans="1:11" x14ac:dyDescent="0.45">
      <c r="A1" s="57" t="s">
        <v>234</v>
      </c>
      <c r="B1" s="58"/>
      <c r="C1" s="58"/>
      <c r="D1" s="58"/>
      <c r="E1" s="58"/>
      <c r="F1" s="58"/>
      <c r="G1" s="58"/>
      <c r="H1" s="58" t="s">
        <v>240</v>
      </c>
      <c r="I1" s="58"/>
      <c r="J1" s="58"/>
      <c r="K1" s="58"/>
    </row>
    <row r="2" spans="1:11" x14ac:dyDescent="0.45">
      <c r="A2" s="58">
        <v>1</v>
      </c>
      <c r="B2" s="58" t="s">
        <v>252</v>
      </c>
      <c r="C2" s="58"/>
      <c r="D2" s="58"/>
      <c r="E2" s="58"/>
      <c r="F2" s="58"/>
      <c r="G2" s="58"/>
      <c r="H2" s="58"/>
      <c r="I2" s="58"/>
      <c r="J2" s="58"/>
      <c r="K2" s="58"/>
    </row>
    <row r="3" spans="1:11" x14ac:dyDescent="0.45">
      <c r="A3" s="58">
        <v>2</v>
      </c>
      <c r="B3" s="58" t="s">
        <v>235</v>
      </c>
      <c r="C3" s="58"/>
      <c r="D3" s="58"/>
      <c r="E3" s="58"/>
      <c r="F3" s="58"/>
      <c r="G3" s="58"/>
      <c r="H3" s="58"/>
      <c r="I3" s="58"/>
      <c r="J3" s="58"/>
      <c r="K3" s="58"/>
    </row>
    <row r="4" spans="1:11" x14ac:dyDescent="0.45">
      <c r="A4" s="58">
        <v>3</v>
      </c>
      <c r="B4" s="58" t="s">
        <v>237</v>
      </c>
      <c r="C4" s="58"/>
      <c r="D4" s="58"/>
      <c r="E4" s="58"/>
      <c r="F4" s="58"/>
      <c r="G4" s="58"/>
      <c r="H4" s="58"/>
      <c r="I4" s="58"/>
      <c r="J4" s="58"/>
      <c r="K4" s="58"/>
    </row>
    <row r="5" spans="1:11" x14ac:dyDescent="0.45">
      <c r="A5" s="58">
        <v>4</v>
      </c>
      <c r="B5" s="58" t="s">
        <v>236</v>
      </c>
      <c r="C5" s="58"/>
      <c r="D5" s="58"/>
      <c r="E5" s="58"/>
      <c r="F5" s="58"/>
      <c r="G5" s="58"/>
      <c r="H5" s="58"/>
      <c r="I5" s="58"/>
      <c r="J5" s="58"/>
      <c r="K5" s="58"/>
    </row>
    <row r="6" spans="1:11" x14ac:dyDescent="0.45">
      <c r="A6" s="58"/>
      <c r="B6" s="58"/>
      <c r="C6" s="58"/>
      <c r="D6" s="58"/>
      <c r="E6" s="58"/>
      <c r="F6" s="58"/>
      <c r="G6" s="58"/>
      <c r="H6" s="58"/>
      <c r="I6" s="58"/>
      <c r="J6" s="58"/>
      <c r="K6" s="58"/>
    </row>
    <row r="8" spans="1:11" x14ac:dyDescent="0.45">
      <c r="A8" t="s">
        <v>226</v>
      </c>
      <c r="B8" t="s">
        <v>227</v>
      </c>
      <c r="C8" t="s">
        <v>301</v>
      </c>
      <c r="D8" t="s">
        <v>302</v>
      </c>
      <c r="E8" t="s">
        <v>303</v>
      </c>
      <c r="F8" t="s">
        <v>304</v>
      </c>
      <c r="G8" t="s">
        <v>305</v>
      </c>
      <c r="H8" t="s">
        <v>306</v>
      </c>
    </row>
    <row r="9" spans="1:11" x14ac:dyDescent="0.45">
      <c r="A9" t="s">
        <v>228</v>
      </c>
      <c r="B9" t="s">
        <v>229</v>
      </c>
      <c r="C9" t="s">
        <v>230</v>
      </c>
      <c r="D9" t="s">
        <v>231</v>
      </c>
      <c r="E9">
        <v>4</v>
      </c>
      <c r="F9" s="34">
        <v>0.67841435185185184</v>
      </c>
      <c r="G9" t="s">
        <v>232</v>
      </c>
      <c r="H9">
        <v>5</v>
      </c>
      <c r="I9" t="s">
        <v>307</v>
      </c>
      <c r="J9">
        <v>12</v>
      </c>
    </row>
    <row r="10" spans="1:11" x14ac:dyDescent="0.45">
      <c r="A10" t="s">
        <v>233</v>
      </c>
    </row>
    <row r="11" spans="1:11" x14ac:dyDescent="0.45">
      <c r="B11">
        <v>1</v>
      </c>
      <c r="C11" t="s">
        <v>56</v>
      </c>
      <c r="D11" t="s">
        <v>57</v>
      </c>
      <c r="E11">
        <v>1</v>
      </c>
    </row>
    <row r="12" spans="1:11" x14ac:dyDescent="0.45">
      <c r="B12">
        <v>2</v>
      </c>
      <c r="C12" t="s">
        <v>58</v>
      </c>
      <c r="D12" t="s">
        <v>57</v>
      </c>
      <c r="E12">
        <v>0.7</v>
      </c>
      <c r="F12" s="29"/>
    </row>
    <row r="13" spans="1:11" x14ac:dyDescent="0.45">
      <c r="B13">
        <v>3</v>
      </c>
      <c r="C13" t="s">
        <v>59</v>
      </c>
      <c r="D13" t="s">
        <v>57</v>
      </c>
      <c r="E13">
        <v>1</v>
      </c>
      <c r="F13" s="29"/>
    </row>
    <row r="14" spans="1:11" x14ac:dyDescent="0.45">
      <c r="B14">
        <v>4</v>
      </c>
      <c r="C14" t="s">
        <v>60</v>
      </c>
      <c r="D14" t="s">
        <v>57</v>
      </c>
      <c r="E14">
        <v>0.5</v>
      </c>
    </row>
    <row r="15" spans="1:11" x14ac:dyDescent="0.45">
      <c r="B15">
        <v>5</v>
      </c>
      <c r="C15" t="s">
        <v>61</v>
      </c>
      <c r="D15" t="s">
        <v>57</v>
      </c>
      <c r="E15">
        <v>0</v>
      </c>
    </row>
    <row r="16" spans="1:11" x14ac:dyDescent="0.45">
      <c r="B16">
        <v>6</v>
      </c>
      <c r="C16" t="s">
        <v>62</v>
      </c>
      <c r="D16" t="s">
        <v>57</v>
      </c>
      <c r="E16">
        <v>-4.1530549264700003</v>
      </c>
    </row>
    <row r="17" spans="2:6" x14ac:dyDescent="0.45">
      <c r="B17">
        <v>7</v>
      </c>
      <c r="C17" t="s">
        <v>63</v>
      </c>
      <c r="D17" t="s">
        <v>57</v>
      </c>
      <c r="E17">
        <v>0.16304005993109999</v>
      </c>
      <c r="F17" s="29"/>
    </row>
    <row r="18" spans="2:6" x14ac:dyDescent="0.45">
      <c r="B18">
        <v>8</v>
      </c>
      <c r="C18" t="s">
        <v>64</v>
      </c>
      <c r="D18" t="s">
        <v>57</v>
      </c>
      <c r="E18">
        <v>-0.66484078944180003</v>
      </c>
      <c r="F18" s="29"/>
    </row>
    <row r="19" spans="2:6" x14ac:dyDescent="0.45">
      <c r="B19">
        <v>9</v>
      </c>
      <c r="C19" t="s">
        <v>65</v>
      </c>
      <c r="D19" t="s">
        <v>57</v>
      </c>
      <c r="E19">
        <v>-2.1673496431996999</v>
      </c>
    </row>
    <row r="20" spans="2:6" x14ac:dyDescent="0.45">
      <c r="B20">
        <v>10</v>
      </c>
      <c r="C20" t="s">
        <v>66</v>
      </c>
      <c r="D20" t="s">
        <v>57</v>
      </c>
      <c r="E20">
        <v>-3.3544504276017002</v>
      </c>
    </row>
    <row r="21" spans="2:6" x14ac:dyDescent="0.45">
      <c r="B21">
        <v>11</v>
      </c>
      <c r="C21" t="s">
        <v>67</v>
      </c>
      <c r="D21" t="s">
        <v>57</v>
      </c>
      <c r="E21">
        <v>-0.22974879339000001</v>
      </c>
    </row>
    <row r="22" spans="2:6" x14ac:dyDescent="0.45">
      <c r="B22">
        <v>12</v>
      </c>
      <c r="C22" t="s">
        <v>68</v>
      </c>
      <c r="D22" t="s">
        <v>57</v>
      </c>
      <c r="E22" s="29">
        <v>-0.93478838755000004</v>
      </c>
      <c r="F22" s="29"/>
    </row>
    <row r="23" spans="2:6" x14ac:dyDescent="0.45">
      <c r="B23">
        <v>13</v>
      </c>
      <c r="C23" t="s">
        <v>69</v>
      </c>
      <c r="D23" t="s">
        <v>57</v>
      </c>
      <c r="E23" s="29">
        <v>0.40796503771199999</v>
      </c>
      <c r="F23" s="29"/>
    </row>
    <row r="24" spans="2:6" x14ac:dyDescent="0.45">
      <c r="B24">
        <v>14</v>
      </c>
      <c r="C24" t="s">
        <v>70</v>
      </c>
      <c r="D24" t="s">
        <v>57</v>
      </c>
      <c r="E24">
        <v>-0.50293651045300003</v>
      </c>
      <c r="F24" s="29"/>
    </row>
    <row r="25" spans="2:6" x14ac:dyDescent="0.45">
      <c r="B25">
        <v>15</v>
      </c>
      <c r="C25" t="s">
        <v>71</v>
      </c>
      <c r="D25" t="s">
        <v>57</v>
      </c>
      <c r="E25">
        <v>-1.61322160644</v>
      </c>
    </row>
    <row r="26" spans="2:6" x14ac:dyDescent="0.45">
      <c r="B26">
        <v>16</v>
      </c>
      <c r="C26" t="s">
        <v>72</v>
      </c>
      <c r="D26" t="s">
        <v>57</v>
      </c>
      <c r="E26">
        <v>0.130749629122</v>
      </c>
      <c r="F26" s="29"/>
    </row>
    <row r="27" spans="2:6" x14ac:dyDescent="0.45">
      <c r="B27">
        <v>17</v>
      </c>
      <c r="C27" t="s">
        <v>73</v>
      </c>
      <c r="D27" t="s">
        <v>57</v>
      </c>
      <c r="E27" s="29">
        <v>8.4077289836199998E-2</v>
      </c>
      <c r="F27" s="29"/>
    </row>
    <row r="28" spans="2:6" x14ac:dyDescent="0.45">
      <c r="B28">
        <v>18</v>
      </c>
      <c r="C28" t="s">
        <v>74</v>
      </c>
      <c r="D28" t="s">
        <v>57</v>
      </c>
      <c r="E28" s="29">
        <v>0</v>
      </c>
      <c r="F28" s="29"/>
    </row>
    <row r="29" spans="2:6" x14ac:dyDescent="0.45">
      <c r="B29">
        <v>19</v>
      </c>
      <c r="C29" t="s">
        <v>75</v>
      </c>
      <c r="D29" t="s">
        <v>57</v>
      </c>
      <c r="E29" s="29">
        <v>0.106386053639</v>
      </c>
      <c r="F29" s="29"/>
    </row>
    <row r="30" spans="2:6" x14ac:dyDescent="0.45">
      <c r="B30">
        <v>20</v>
      </c>
      <c r="C30" t="s">
        <v>76</v>
      </c>
      <c r="D30" t="s">
        <v>57</v>
      </c>
      <c r="E30">
        <v>0.88087687792799996</v>
      </c>
      <c r="F30" s="29"/>
    </row>
    <row r="31" spans="2:6" x14ac:dyDescent="0.45">
      <c r="B31">
        <v>21</v>
      </c>
      <c r="C31" t="s">
        <v>77</v>
      </c>
      <c r="D31" t="s">
        <v>57</v>
      </c>
      <c r="E31">
        <v>-0.16458061134300001</v>
      </c>
      <c r="F31" s="29"/>
    </row>
    <row r="32" spans="2:6" x14ac:dyDescent="0.45">
      <c r="B32">
        <v>22</v>
      </c>
      <c r="C32" t="s">
        <v>78</v>
      </c>
      <c r="D32" t="s">
        <v>57</v>
      </c>
      <c r="E32" s="29">
        <v>0.154182014038</v>
      </c>
      <c r="F32" s="29"/>
    </row>
    <row r="33" spans="2:6" x14ac:dyDescent="0.45">
      <c r="B33">
        <v>23</v>
      </c>
      <c r="C33" t="s">
        <v>79</v>
      </c>
      <c r="D33" t="s">
        <v>57</v>
      </c>
      <c r="E33" s="29">
        <v>4.79448884421E-2</v>
      </c>
      <c r="F33" s="29"/>
    </row>
    <row r="34" spans="2:6" x14ac:dyDescent="0.45">
      <c r="B34">
        <v>24</v>
      </c>
      <c r="C34" t="s">
        <v>80</v>
      </c>
      <c r="D34" t="s">
        <v>57</v>
      </c>
      <c r="E34" s="29">
        <v>6.4843520043099998E-2</v>
      </c>
      <c r="F34" s="29"/>
    </row>
    <row r="35" spans="2:6" x14ac:dyDescent="0.45">
      <c r="B35">
        <v>25</v>
      </c>
      <c r="C35" t="s">
        <v>81</v>
      </c>
      <c r="D35" t="s">
        <v>57</v>
      </c>
      <c r="E35">
        <v>0.15272053169499999</v>
      </c>
      <c r="F35" s="29"/>
    </row>
    <row r="36" spans="2:6" x14ac:dyDescent="0.45">
      <c r="B36">
        <v>26</v>
      </c>
      <c r="C36" t="s">
        <v>82</v>
      </c>
      <c r="D36" t="s">
        <v>57</v>
      </c>
      <c r="E36" s="29">
        <v>7.2028590735099998E-2</v>
      </c>
      <c r="F36" s="29"/>
    </row>
    <row r="37" spans="2:6" x14ac:dyDescent="0.45">
      <c r="B37">
        <v>27</v>
      </c>
      <c r="C37" t="s">
        <v>83</v>
      </c>
      <c r="D37" t="s">
        <v>57</v>
      </c>
      <c r="E37" s="29">
        <v>-0.27934224041799999</v>
      </c>
      <c r="F37" s="29"/>
    </row>
    <row r="38" spans="2:6" x14ac:dyDescent="0.45">
      <c r="B38">
        <v>28</v>
      </c>
      <c r="C38" t="s">
        <v>84</v>
      </c>
      <c r="D38" t="s">
        <v>57</v>
      </c>
      <c r="E38" s="29">
        <v>4.3626229225700003E-2</v>
      </c>
      <c r="F38" s="29"/>
    </row>
    <row r="39" spans="2:6" x14ac:dyDescent="0.45">
      <c r="B39">
        <v>29</v>
      </c>
      <c r="C39" t="s">
        <v>85</v>
      </c>
      <c r="D39" t="s">
        <v>57</v>
      </c>
      <c r="E39" s="29">
        <v>-8.7886819411100006E-2</v>
      </c>
      <c r="F39" s="29"/>
    </row>
    <row r="40" spans="2:6" x14ac:dyDescent="0.45">
      <c r="B40">
        <v>30</v>
      </c>
      <c r="C40" t="s">
        <v>86</v>
      </c>
      <c r="D40" t="s">
        <v>57</v>
      </c>
      <c r="E40" s="29">
        <v>-4.2894941477000001E-2</v>
      </c>
      <c r="F40" s="29"/>
    </row>
    <row r="41" spans="2:6" x14ac:dyDescent="0.45">
      <c r="B41">
        <v>31</v>
      </c>
      <c r="C41" t="s">
        <v>87</v>
      </c>
      <c r="D41" t="s">
        <v>57</v>
      </c>
      <c r="E41">
        <v>-0.13045579928000001</v>
      </c>
      <c r="F41" s="29"/>
    </row>
    <row r="42" spans="2:6" x14ac:dyDescent="0.45">
      <c r="B42">
        <v>32</v>
      </c>
      <c r="C42" t="s">
        <v>88</v>
      </c>
      <c r="D42" t="s">
        <v>57</v>
      </c>
      <c r="E42">
        <v>0.18945088644899999</v>
      </c>
      <c r="F42" s="29"/>
    </row>
    <row r="43" spans="2:6" x14ac:dyDescent="0.45">
      <c r="B43">
        <v>33</v>
      </c>
      <c r="C43" t="s">
        <v>89</v>
      </c>
      <c r="D43" t="s">
        <v>57</v>
      </c>
      <c r="E43">
        <v>-0.179523169776</v>
      </c>
      <c r="F43" s="29"/>
    </row>
    <row r="44" spans="2:6" x14ac:dyDescent="0.45">
      <c r="B44">
        <v>34</v>
      </c>
      <c r="C44" t="s">
        <v>90</v>
      </c>
      <c r="D44" t="s">
        <v>57</v>
      </c>
      <c r="E44" s="29">
        <v>0.17233347539499999</v>
      </c>
      <c r="F44" s="29"/>
    </row>
    <row r="45" spans="2:6" x14ac:dyDescent="0.45">
      <c r="B45">
        <v>35</v>
      </c>
      <c r="C45" t="s">
        <v>91</v>
      </c>
      <c r="D45" t="s">
        <v>57</v>
      </c>
      <c r="E45">
        <v>-0.194698386872</v>
      </c>
    </row>
    <row r="46" spans="2:6" x14ac:dyDescent="0.45">
      <c r="B46">
        <v>36</v>
      </c>
      <c r="C46" t="s">
        <v>92</v>
      </c>
      <c r="D46" t="s">
        <v>57</v>
      </c>
      <c r="E46">
        <v>0.38785322122799998</v>
      </c>
    </row>
    <row r="47" spans="2:6" x14ac:dyDescent="0.45">
      <c r="B47">
        <v>41</v>
      </c>
      <c r="C47" t="s">
        <v>93</v>
      </c>
      <c r="D47" t="s">
        <v>94</v>
      </c>
      <c r="E47">
        <v>-1.2033803293631999</v>
      </c>
    </row>
    <row r="48" spans="2:6" x14ac:dyDescent="0.45">
      <c r="B48">
        <v>42</v>
      </c>
      <c r="C48" t="s">
        <v>95</v>
      </c>
      <c r="D48" t="s">
        <v>94</v>
      </c>
      <c r="E48">
        <v>5.07828619993</v>
      </c>
    </row>
    <row r="49" spans="2:5" x14ac:dyDescent="0.45">
      <c r="B49">
        <v>43</v>
      </c>
      <c r="C49" t="s">
        <v>96</v>
      </c>
      <c r="D49" t="s">
        <v>94</v>
      </c>
      <c r="E49">
        <v>-3.0390882271000002</v>
      </c>
    </row>
    <row r="50" spans="2:5" x14ac:dyDescent="0.45">
      <c r="B50">
        <v>44</v>
      </c>
      <c r="C50" t="s">
        <v>97</v>
      </c>
      <c r="D50" t="s">
        <v>94</v>
      </c>
      <c r="E50">
        <v>-2.3320026601800001</v>
      </c>
    </row>
    <row r="51" spans="2:5" x14ac:dyDescent="0.45">
      <c r="B51">
        <v>50</v>
      </c>
      <c r="C51" t="s">
        <v>98</v>
      </c>
      <c r="D51" t="s">
        <v>57</v>
      </c>
      <c r="E51">
        <v>0.33566647407</v>
      </c>
    </row>
    <row r="52" spans="2:5" x14ac:dyDescent="0.45">
      <c r="B52">
        <v>51</v>
      </c>
      <c r="C52" t="s">
        <v>99</v>
      </c>
      <c r="D52" t="s">
        <v>57</v>
      </c>
      <c r="E52">
        <v>-0.78911507665199998</v>
      </c>
    </row>
    <row r="53" spans="2:5" x14ac:dyDescent="0.45">
      <c r="B53">
        <v>52</v>
      </c>
      <c r="C53" t="s">
        <v>100</v>
      </c>
      <c r="D53" t="s">
        <v>57</v>
      </c>
      <c r="E53">
        <v>0.56564055394500001</v>
      </c>
    </row>
    <row r="54" spans="2:5" x14ac:dyDescent="0.45">
      <c r="B54">
        <v>53</v>
      </c>
      <c r="C54" t="s">
        <v>101</v>
      </c>
      <c r="D54" t="s">
        <v>57</v>
      </c>
      <c r="E54">
        <v>-1.85416848242</v>
      </c>
    </row>
    <row r="55" spans="2:5" x14ac:dyDescent="0.45">
      <c r="B55">
        <v>54</v>
      </c>
      <c r="C55" t="s">
        <v>102</v>
      </c>
      <c r="D55" t="s">
        <v>57</v>
      </c>
      <c r="E55">
        <v>0</v>
      </c>
    </row>
    <row r="56" spans="2:5" x14ac:dyDescent="0.45">
      <c r="B56">
        <v>55</v>
      </c>
      <c r="C56" t="s">
        <v>103</v>
      </c>
      <c r="D56" t="s">
        <v>57</v>
      </c>
      <c r="E56">
        <v>-1.1156286956100001</v>
      </c>
    </row>
    <row r="57" spans="2:5" x14ac:dyDescent="0.45">
      <c r="B57">
        <v>56</v>
      </c>
      <c r="C57" t="s">
        <v>104</v>
      </c>
      <c r="D57" t="s">
        <v>57</v>
      </c>
      <c r="E57">
        <v>-0.81792869186600003</v>
      </c>
    </row>
    <row r="58" spans="2:5" x14ac:dyDescent="0.45">
      <c r="B58">
        <v>57</v>
      </c>
      <c r="C58" t="s">
        <v>105</v>
      </c>
      <c r="D58" t="s">
        <v>57</v>
      </c>
      <c r="E58">
        <v>-1.04729487823</v>
      </c>
    </row>
    <row r="59" spans="2:5" x14ac:dyDescent="0.45">
      <c r="B59">
        <v>58</v>
      </c>
      <c r="C59" t="s">
        <v>106</v>
      </c>
      <c r="D59" t="s">
        <v>57</v>
      </c>
      <c r="E59">
        <v>-2.0228517391</v>
      </c>
    </row>
    <row r="60" spans="2:5" x14ac:dyDescent="0.45">
      <c r="B60">
        <v>59</v>
      </c>
      <c r="C60" t="s">
        <v>107</v>
      </c>
      <c r="D60" t="s">
        <v>57</v>
      </c>
      <c r="E60">
        <v>-1.2945321250099999</v>
      </c>
    </row>
    <row r="61" spans="2:5" x14ac:dyDescent="0.45">
      <c r="B61">
        <v>60</v>
      </c>
      <c r="C61" t="s">
        <v>108</v>
      </c>
      <c r="D61" t="s">
        <v>57</v>
      </c>
      <c r="E61">
        <v>-0.66178028021599999</v>
      </c>
    </row>
    <row r="62" spans="2:5" x14ac:dyDescent="0.45">
      <c r="B62">
        <v>61</v>
      </c>
      <c r="C62" t="s">
        <v>109</v>
      </c>
      <c r="D62" t="s">
        <v>57</v>
      </c>
      <c r="E62" s="29">
        <v>-0.55504741134900004</v>
      </c>
    </row>
    <row r="63" spans="2:5" x14ac:dyDescent="0.45">
      <c r="B63">
        <v>62</v>
      </c>
      <c r="C63" t="s">
        <v>110</v>
      </c>
      <c r="D63" t="s">
        <v>57</v>
      </c>
      <c r="E63">
        <v>-1.7449233454799999</v>
      </c>
    </row>
    <row r="64" spans="2:5" x14ac:dyDescent="0.45">
      <c r="B64">
        <v>63</v>
      </c>
      <c r="C64" t="s">
        <v>111</v>
      </c>
      <c r="D64" t="s">
        <v>57</v>
      </c>
      <c r="E64">
        <v>1.1995398853399999</v>
      </c>
    </row>
    <row r="65" spans="2:5" x14ac:dyDescent="0.45">
      <c r="B65">
        <v>64</v>
      </c>
      <c r="C65" t="s">
        <v>112</v>
      </c>
      <c r="D65" t="s">
        <v>57</v>
      </c>
      <c r="E65" s="29">
        <v>0.19542046398099999</v>
      </c>
    </row>
    <row r="66" spans="2:5" x14ac:dyDescent="0.45">
      <c r="B66">
        <v>65</v>
      </c>
      <c r="C66" t="s">
        <v>113</v>
      </c>
      <c r="D66" t="s">
        <v>57</v>
      </c>
      <c r="E66">
        <v>-0.90594458676599998</v>
      </c>
    </row>
    <row r="67" spans="2:5" x14ac:dyDescent="0.45">
      <c r="B67">
        <v>66</v>
      </c>
      <c r="C67" t="s">
        <v>114</v>
      </c>
      <c r="D67" t="s">
        <v>57</v>
      </c>
      <c r="E67">
        <v>-2.05104130438</v>
      </c>
    </row>
    <row r="68" spans="2:5" x14ac:dyDescent="0.45">
      <c r="B68">
        <v>67</v>
      </c>
      <c r="C68" t="s">
        <v>115</v>
      </c>
      <c r="D68" t="s">
        <v>57</v>
      </c>
      <c r="E68">
        <v>-2.2381608455899999</v>
      </c>
    </row>
    <row r="69" spans="2:5" x14ac:dyDescent="0.45">
      <c r="B69">
        <v>68</v>
      </c>
      <c r="C69" t="s">
        <v>116</v>
      </c>
      <c r="D69" t="s">
        <v>57</v>
      </c>
      <c r="E69">
        <v>-0.40946320528300001</v>
      </c>
    </row>
    <row r="70" spans="2:5" x14ac:dyDescent="0.45">
      <c r="B70">
        <v>69</v>
      </c>
      <c r="C70" t="s">
        <v>117</v>
      </c>
      <c r="D70" t="s">
        <v>57</v>
      </c>
      <c r="E70">
        <v>-1.1700902309500001</v>
      </c>
    </row>
    <row r="71" spans="2:5" x14ac:dyDescent="0.45">
      <c r="B71">
        <v>70</v>
      </c>
      <c r="C71" t="s">
        <v>118</v>
      </c>
      <c r="D71" t="s">
        <v>57</v>
      </c>
      <c r="E71">
        <v>1.8412445021999999</v>
      </c>
    </row>
    <row r="72" spans="2:5" x14ac:dyDescent="0.45">
      <c r="B72">
        <v>71</v>
      </c>
      <c r="C72" t="s">
        <v>119</v>
      </c>
      <c r="D72" t="s">
        <v>57</v>
      </c>
      <c r="E72">
        <v>0.71619685052500004</v>
      </c>
    </row>
    <row r="73" spans="2:5" x14ac:dyDescent="0.45">
      <c r="B73">
        <v>72</v>
      </c>
      <c r="C73" t="s">
        <v>120</v>
      </c>
      <c r="D73" t="s">
        <v>57</v>
      </c>
      <c r="E73">
        <v>-0.101060642888</v>
      </c>
    </row>
    <row r="74" spans="2:5" x14ac:dyDescent="0.45">
      <c r="B74">
        <v>73</v>
      </c>
      <c r="C74" t="s">
        <v>121</v>
      </c>
      <c r="D74" t="s">
        <v>57</v>
      </c>
      <c r="E74">
        <v>-0.34132571646100002</v>
      </c>
    </row>
    <row r="75" spans="2:5" x14ac:dyDescent="0.45">
      <c r="B75">
        <v>74</v>
      </c>
      <c r="C75" t="s">
        <v>122</v>
      </c>
      <c r="D75" t="s">
        <v>57</v>
      </c>
      <c r="E75">
        <v>1.0486549950899999</v>
      </c>
    </row>
    <row r="76" spans="2:5" x14ac:dyDescent="0.45">
      <c r="B76">
        <v>75</v>
      </c>
      <c r="C76" t="s">
        <v>123</v>
      </c>
      <c r="D76" t="s">
        <v>57</v>
      </c>
      <c r="E76">
        <v>-30</v>
      </c>
    </row>
    <row r="77" spans="2:5" x14ac:dyDescent="0.45">
      <c r="B77">
        <v>76</v>
      </c>
      <c r="C77" t="s">
        <v>124</v>
      </c>
      <c r="D77" t="s">
        <v>57</v>
      </c>
      <c r="E77" s="29">
        <v>0.91468797064200003</v>
      </c>
    </row>
    <row r="78" spans="2:5" x14ac:dyDescent="0.45">
      <c r="B78">
        <v>77</v>
      </c>
      <c r="C78" t="s">
        <v>125</v>
      </c>
      <c r="D78" t="s">
        <v>57</v>
      </c>
      <c r="E78">
        <v>-1.1830909132</v>
      </c>
    </row>
    <row r="79" spans="2:5" x14ac:dyDescent="0.45">
      <c r="B79">
        <v>78</v>
      </c>
      <c r="C79" t="s">
        <v>126</v>
      </c>
      <c r="D79" t="s">
        <v>57</v>
      </c>
      <c r="E79">
        <v>1.4576625009499999</v>
      </c>
    </row>
    <row r="80" spans="2:5" x14ac:dyDescent="0.45">
      <c r="B80">
        <v>79</v>
      </c>
      <c r="C80" t="s">
        <v>127</v>
      </c>
      <c r="D80" t="s">
        <v>57</v>
      </c>
      <c r="E80">
        <v>-1.62636517084</v>
      </c>
    </row>
    <row r="81" spans="2:6" x14ac:dyDescent="0.45">
      <c r="B81">
        <v>80</v>
      </c>
      <c r="C81" t="s">
        <v>128</v>
      </c>
      <c r="D81" t="s">
        <v>57</v>
      </c>
      <c r="E81">
        <v>0</v>
      </c>
    </row>
    <row r="82" spans="2:6" x14ac:dyDescent="0.45">
      <c r="B82">
        <v>101</v>
      </c>
      <c r="C82" t="s">
        <v>372</v>
      </c>
      <c r="D82" t="s">
        <v>57</v>
      </c>
      <c r="E82">
        <v>0</v>
      </c>
      <c r="F82" s="29"/>
    </row>
    <row r="83" spans="2:6" x14ac:dyDescent="0.45">
      <c r="B83">
        <v>102</v>
      </c>
      <c r="C83" t="s">
        <v>373</v>
      </c>
      <c r="D83" t="s">
        <v>57</v>
      </c>
      <c r="E83">
        <v>6.1585552388600001E-2</v>
      </c>
      <c r="F83" s="29"/>
    </row>
    <row r="84" spans="2:6" x14ac:dyDescent="0.45">
      <c r="B84">
        <v>103</v>
      </c>
      <c r="C84" s="29" t="s">
        <v>374</v>
      </c>
      <c r="D84" s="29" t="s">
        <v>57</v>
      </c>
      <c r="E84" s="29">
        <v>-0.17738509358310001</v>
      </c>
      <c r="F84" s="29"/>
    </row>
    <row r="85" spans="2:6" x14ac:dyDescent="0.45">
      <c r="B85">
        <v>104</v>
      </c>
      <c r="C85" s="29" t="s">
        <v>375</v>
      </c>
      <c r="D85" s="29" t="s">
        <v>57</v>
      </c>
      <c r="E85" s="29">
        <v>0.2419007637824</v>
      </c>
    </row>
    <row r="86" spans="2:6" x14ac:dyDescent="0.45">
      <c r="B86">
        <v>105</v>
      </c>
      <c r="C86" s="29" t="s">
        <v>376</v>
      </c>
      <c r="D86" s="29" t="s">
        <v>57</v>
      </c>
      <c r="E86" s="29">
        <v>-3.3705109193499998E-2</v>
      </c>
    </row>
    <row r="87" spans="2:6" x14ac:dyDescent="0.45">
      <c r="B87">
        <v>106</v>
      </c>
      <c r="C87" t="s">
        <v>377</v>
      </c>
      <c r="D87" t="s">
        <v>57</v>
      </c>
      <c r="E87">
        <v>0.1143372177009</v>
      </c>
      <c r="F87" s="29"/>
    </row>
    <row r="88" spans="2:6" x14ac:dyDescent="0.45">
      <c r="B88">
        <v>107</v>
      </c>
      <c r="C88" t="s">
        <v>378</v>
      </c>
      <c r="D88" t="s">
        <v>57</v>
      </c>
      <c r="E88">
        <v>0.29549776405130002</v>
      </c>
      <c r="F88" s="29"/>
    </row>
    <row r="89" spans="2:6" x14ac:dyDescent="0.45">
      <c r="B89">
        <v>108</v>
      </c>
      <c r="C89" s="29" t="s">
        <v>379</v>
      </c>
      <c r="D89" s="29" t="s">
        <v>57</v>
      </c>
      <c r="E89" s="29">
        <v>-0.24958234591280001</v>
      </c>
    </row>
    <row r="90" spans="2:6" x14ac:dyDescent="0.45">
      <c r="B90">
        <v>109</v>
      </c>
      <c r="C90" s="29" t="s">
        <v>380</v>
      </c>
      <c r="D90" s="34" t="s">
        <v>57</v>
      </c>
      <c r="E90" s="29">
        <v>0.1613318461263</v>
      </c>
    </row>
    <row r="91" spans="2:6" x14ac:dyDescent="0.45">
      <c r="B91">
        <v>110</v>
      </c>
      <c r="C91" t="s">
        <v>381</v>
      </c>
      <c r="D91" t="s">
        <v>57</v>
      </c>
      <c r="E91">
        <v>-4.5588844644699998E-2</v>
      </c>
    </row>
    <row r="92" spans="2:6" x14ac:dyDescent="0.45">
      <c r="B92">
        <v>111</v>
      </c>
      <c r="C92" t="s">
        <v>382</v>
      </c>
      <c r="D92" t="s">
        <v>57</v>
      </c>
      <c r="E92">
        <v>-0.14910096747439999</v>
      </c>
    </row>
    <row r="93" spans="2:6" x14ac:dyDescent="0.45">
      <c r="B93">
        <v>112</v>
      </c>
      <c r="C93" t="s">
        <v>383</v>
      </c>
      <c r="D93" t="s">
        <v>57</v>
      </c>
      <c r="E93">
        <v>0.17468608903999999</v>
      </c>
    </row>
    <row r="94" spans="2:6" x14ac:dyDescent="0.45">
      <c r="B94">
        <v>113</v>
      </c>
      <c r="C94" t="s">
        <v>384</v>
      </c>
      <c r="D94" t="s">
        <v>57</v>
      </c>
      <c r="E94">
        <v>1.3048994599762</v>
      </c>
    </row>
    <row r="95" spans="2:6" x14ac:dyDescent="0.45">
      <c r="B95">
        <v>114</v>
      </c>
      <c r="C95" t="s">
        <v>385</v>
      </c>
      <c r="D95" t="s">
        <v>57</v>
      </c>
      <c r="E95">
        <v>4.9409553856600001E-2</v>
      </c>
    </row>
    <row r="96" spans="2:6" x14ac:dyDescent="0.45">
      <c r="B96">
        <v>115</v>
      </c>
      <c r="C96" t="s">
        <v>386</v>
      </c>
      <c r="D96" t="s">
        <v>57</v>
      </c>
      <c r="E96">
        <v>0.21697886195819999</v>
      </c>
    </row>
    <row r="97" spans="2:11" x14ac:dyDescent="0.45">
      <c r="B97">
        <v>116</v>
      </c>
      <c r="C97" t="s">
        <v>387</v>
      </c>
      <c r="D97" t="s">
        <v>57</v>
      </c>
      <c r="E97">
        <v>-0.46096256471820002</v>
      </c>
    </row>
    <row r="98" spans="2:11" x14ac:dyDescent="0.45">
      <c r="B98">
        <v>117</v>
      </c>
      <c r="C98" t="s">
        <v>388</v>
      </c>
      <c r="D98" t="s">
        <v>57</v>
      </c>
      <c r="E98">
        <v>-6.5598826231399995E-2</v>
      </c>
    </row>
    <row r="99" spans="2:11" x14ac:dyDescent="0.45">
      <c r="B99">
        <v>118</v>
      </c>
      <c r="C99" t="s">
        <v>389</v>
      </c>
      <c r="D99" t="s">
        <v>57</v>
      </c>
      <c r="E99">
        <v>0.30646725571720002</v>
      </c>
    </row>
    <row r="100" spans="2:11" x14ac:dyDescent="0.45">
      <c r="B100">
        <v>119</v>
      </c>
      <c r="C100" t="s">
        <v>390</v>
      </c>
      <c r="D100" t="s">
        <v>57</v>
      </c>
      <c r="E100">
        <v>0.1628137198364</v>
      </c>
    </row>
    <row r="101" spans="2:11" x14ac:dyDescent="0.45">
      <c r="B101">
        <v>120</v>
      </c>
      <c r="C101" t="s">
        <v>391</v>
      </c>
      <c r="D101" t="s">
        <v>57</v>
      </c>
      <c r="E101">
        <v>-0.40270863939919999</v>
      </c>
    </row>
    <row r="102" spans="2:11" x14ac:dyDescent="0.45">
      <c r="B102">
        <v>121</v>
      </c>
      <c r="C102" t="s">
        <v>413</v>
      </c>
      <c r="D102" t="s">
        <v>57</v>
      </c>
      <c r="E102">
        <v>-0.47819038789149998</v>
      </c>
    </row>
    <row r="103" spans="2:11" x14ac:dyDescent="0.45">
      <c r="B103">
        <v>122</v>
      </c>
      <c r="C103" t="s">
        <v>414</v>
      </c>
      <c r="D103" t="s">
        <v>57</v>
      </c>
      <c r="E103">
        <v>-1.0119832457914</v>
      </c>
    </row>
    <row r="104" spans="2:11" x14ac:dyDescent="0.45">
      <c r="B104">
        <v>98</v>
      </c>
      <c r="C104" s="29" t="s">
        <v>130</v>
      </c>
      <c r="D104" s="29" t="s">
        <v>94</v>
      </c>
      <c r="E104" s="29">
        <v>0.196143079927</v>
      </c>
    </row>
    <row r="105" spans="2:11" x14ac:dyDescent="0.45">
      <c r="B105">
        <v>-1</v>
      </c>
    </row>
    <row r="106" spans="2:11" x14ac:dyDescent="0.45">
      <c r="B106">
        <v>4094</v>
      </c>
      <c r="C106" s="29">
        <v>-7858.2822859199996</v>
      </c>
      <c r="D106" s="29">
        <v>-18684.837435699999</v>
      </c>
      <c r="E106" s="29">
        <v>-15176.5511826</v>
      </c>
    </row>
    <row r="107" spans="2:11" x14ac:dyDescent="0.45">
      <c r="B107">
        <v>4</v>
      </c>
      <c r="C107" t="s">
        <v>308</v>
      </c>
      <c r="D107" t="s">
        <v>232</v>
      </c>
      <c r="E107">
        <v>5</v>
      </c>
      <c r="F107" t="s">
        <v>307</v>
      </c>
      <c r="G107">
        <v>12</v>
      </c>
    </row>
    <row r="108" spans="2:11" x14ac:dyDescent="0.45"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2:11" x14ac:dyDescent="0.45">
      <c r="B109">
        <v>0</v>
      </c>
      <c r="C109">
        <v>0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2:11" x14ac:dyDescent="0.45"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4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4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4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4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4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4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4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4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4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4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4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45">
      <c r="B123">
        <v>0</v>
      </c>
      <c r="C123">
        <v>0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</row>
    <row r="124" spans="2:11" x14ac:dyDescent="0.45">
      <c r="B124">
        <v>0</v>
      </c>
      <c r="C124">
        <v>0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</row>
    <row r="125" spans="2:11" x14ac:dyDescent="0.45">
      <c r="B125">
        <v>0</v>
      </c>
      <c r="C125">
        <v>0</v>
      </c>
      <c r="D125">
        <v>0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</row>
    <row r="126" spans="2:11" x14ac:dyDescent="0.45">
      <c r="B126">
        <v>0</v>
      </c>
      <c r="C126">
        <v>0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</row>
    <row r="127" spans="2:11" x14ac:dyDescent="0.4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45">
      <c r="B134">
        <v>0</v>
      </c>
      <c r="C134">
        <v>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0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</row>
    <row r="136" spans="2:11" x14ac:dyDescent="0.45">
      <c r="B136">
        <v>0</v>
      </c>
      <c r="C136">
        <v>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</row>
    <row r="137" spans="2:11" x14ac:dyDescent="0.45">
      <c r="B137">
        <v>0</v>
      </c>
      <c r="C137">
        <v>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</row>
    <row r="138" spans="2:11" x14ac:dyDescent="0.45">
      <c r="B138">
        <v>0</v>
      </c>
      <c r="C138">
        <v>0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</row>
    <row r="139" spans="2:11" x14ac:dyDescent="0.45">
      <c r="B139">
        <v>0</v>
      </c>
      <c r="C139">
        <v>0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</row>
    <row r="140" spans="2:11" x14ac:dyDescent="0.45">
      <c r="B140">
        <v>0</v>
      </c>
      <c r="C140">
        <v>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45">
      <c r="B141">
        <v>0</v>
      </c>
      <c r="C141">
        <v>0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</row>
    <row r="142" spans="2:11" x14ac:dyDescent="0.45">
      <c r="B142">
        <v>0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</row>
    <row r="143" spans="2:11" x14ac:dyDescent="0.45">
      <c r="B143">
        <v>0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</row>
    <row r="147" spans="2:11" x14ac:dyDescent="0.45">
      <c r="B147">
        <v>0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</row>
    <row r="148" spans="2:11" x14ac:dyDescent="0.45">
      <c r="B148">
        <v>0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</row>
    <row r="149" spans="2:11" x14ac:dyDescent="0.45">
      <c r="B149">
        <v>0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</row>
    <row r="150" spans="2:11" x14ac:dyDescent="0.4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4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45">
      <c r="B152">
        <v>0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45">
      <c r="B153">
        <v>0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</row>
    <row r="154" spans="2:11" x14ac:dyDescent="0.45">
      <c r="B154">
        <v>0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</row>
    <row r="155" spans="2:11" x14ac:dyDescent="0.45">
      <c r="B155">
        <v>0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</row>
    <row r="156" spans="2:11" x14ac:dyDescent="0.45">
      <c r="B156">
        <v>0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</row>
    <row r="157" spans="2:11" x14ac:dyDescent="0.45">
      <c r="B157">
        <v>0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</row>
    <row r="158" spans="2:11" x14ac:dyDescent="0.45">
      <c r="B158">
        <v>0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</row>
    <row r="159" spans="2:11" x14ac:dyDescent="0.45">
      <c r="B159">
        <v>0</v>
      </c>
      <c r="C159">
        <v>0</v>
      </c>
      <c r="D159">
        <v>0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</row>
    <row r="160" spans="2:11" x14ac:dyDescent="0.45">
      <c r="B160">
        <v>0</v>
      </c>
      <c r="C160">
        <v>0</v>
      </c>
      <c r="D160">
        <v>0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</row>
    <row r="161" spans="2:11" x14ac:dyDescent="0.45">
      <c r="B161">
        <v>0</v>
      </c>
      <c r="C161">
        <v>0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</row>
    <row r="162" spans="2:11" x14ac:dyDescent="0.45">
      <c r="B162">
        <v>0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</row>
    <row r="163" spans="2:11" x14ac:dyDescent="0.45">
      <c r="B163">
        <v>0</v>
      </c>
      <c r="C163">
        <v>0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</row>
    <row r="164" spans="2:11" x14ac:dyDescent="0.45">
      <c r="B164">
        <v>0</v>
      </c>
      <c r="C164">
        <v>0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</row>
    <row r="165" spans="2:11" x14ac:dyDescent="0.45">
      <c r="B165">
        <v>0</v>
      </c>
      <c r="C165">
        <v>0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4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4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45">
      <c r="B178">
        <v>0</v>
      </c>
      <c r="C178">
        <v>0</v>
      </c>
      <c r="D178">
        <v>-93357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4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4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21016</v>
      </c>
    </row>
    <row r="182" spans="2:11" x14ac:dyDescent="0.45">
      <c r="B182">
        <v>-15064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4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4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4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61408</v>
      </c>
      <c r="J185">
        <v>-67476</v>
      </c>
      <c r="K185">
        <v>11445</v>
      </c>
    </row>
    <row r="186" spans="2:11" x14ac:dyDescent="0.4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4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4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</row>
    <row r="189" spans="2:11" x14ac:dyDescent="0.45">
      <c r="B189">
        <v>0</v>
      </c>
      <c r="C189">
        <v>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</row>
    <row r="190" spans="2:11" x14ac:dyDescent="0.45">
      <c r="B190">
        <v>0</v>
      </c>
      <c r="C190">
        <v>0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</row>
    <row r="191" spans="2:11" x14ac:dyDescent="0.45">
      <c r="B191">
        <v>0</v>
      </c>
      <c r="C191">
        <v>0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</row>
    <row r="192" spans="2:11" x14ac:dyDescent="0.45">
      <c r="B192">
        <v>0</v>
      </c>
      <c r="C192">
        <v>0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</row>
    <row r="193" spans="2:11" x14ac:dyDescent="0.45">
      <c r="B193">
        <v>0</v>
      </c>
      <c r="C193">
        <v>0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</row>
    <row r="194" spans="2:11" x14ac:dyDescent="0.45">
      <c r="B194">
        <v>0</v>
      </c>
      <c r="C194">
        <v>0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</row>
    <row r="195" spans="2:11" x14ac:dyDescent="0.45">
      <c r="B195">
        <v>0</v>
      </c>
      <c r="C195">
        <v>0</v>
      </c>
      <c r="D195">
        <v>0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</row>
    <row r="196" spans="2:11" x14ac:dyDescent="0.45">
      <c r="B196">
        <v>0</v>
      </c>
      <c r="C196">
        <v>0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</row>
    <row r="197" spans="2:11" x14ac:dyDescent="0.45">
      <c r="B197">
        <v>0</v>
      </c>
      <c r="C197">
        <v>0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</row>
    <row r="198" spans="2:11" x14ac:dyDescent="0.45">
      <c r="B198">
        <v>0</v>
      </c>
      <c r="C198">
        <v>0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</row>
    <row r="199" spans="2:11" x14ac:dyDescent="0.45">
      <c r="B199">
        <v>0</v>
      </c>
      <c r="C199">
        <v>0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</row>
    <row r="200" spans="2:11" x14ac:dyDescent="0.45">
      <c r="B200">
        <v>0</v>
      </c>
      <c r="C200">
        <v>0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</row>
    <row r="201" spans="2:11" x14ac:dyDescent="0.45">
      <c r="B201">
        <v>0</v>
      </c>
      <c r="C201">
        <v>0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</row>
    <row r="202" spans="2:11" x14ac:dyDescent="0.45">
      <c r="B202">
        <v>0</v>
      </c>
      <c r="C202">
        <v>0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</row>
    <row r="203" spans="2:11" x14ac:dyDescent="0.45">
      <c r="B203">
        <v>0</v>
      </c>
      <c r="C203">
        <v>0</v>
      </c>
      <c r="D203">
        <v>0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</row>
    <row r="204" spans="2:11" x14ac:dyDescent="0.45">
      <c r="B204">
        <v>0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</row>
    <row r="205" spans="2:11" x14ac:dyDescent="0.45">
      <c r="B205">
        <v>0</v>
      </c>
      <c r="C205">
        <v>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</row>
    <row r="206" spans="2:11" x14ac:dyDescent="0.45">
      <c r="B206">
        <v>0</v>
      </c>
      <c r="C206">
        <v>0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</row>
    <row r="207" spans="2:11" x14ac:dyDescent="0.45">
      <c r="B207">
        <v>0</v>
      </c>
      <c r="C207">
        <v>0</v>
      </c>
      <c r="D207">
        <v>0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</row>
    <row r="208" spans="2:11" x14ac:dyDescent="0.45">
      <c r="B208">
        <v>0</v>
      </c>
      <c r="C208">
        <v>0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</row>
    <row r="209" spans="2:11" x14ac:dyDescent="0.45">
      <c r="B209">
        <v>0</v>
      </c>
      <c r="C209">
        <v>0</v>
      </c>
      <c r="D209">
        <v>0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</row>
    <row r="210" spans="2:11" x14ac:dyDescent="0.45">
      <c r="B210">
        <v>0</v>
      </c>
      <c r="C210">
        <v>0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</row>
    <row r="211" spans="2:11" x14ac:dyDescent="0.45">
      <c r="B211">
        <v>0</v>
      </c>
      <c r="C211">
        <v>0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</row>
    <row r="212" spans="2:11" x14ac:dyDescent="0.45">
      <c r="B212">
        <v>0</v>
      </c>
      <c r="C212">
        <v>0</v>
      </c>
      <c r="D212">
        <v>0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</row>
    <row r="213" spans="2:11" x14ac:dyDescent="0.45">
      <c r="B213">
        <v>0</v>
      </c>
      <c r="C213">
        <v>0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</row>
    <row r="214" spans="2:11" x14ac:dyDescent="0.45">
      <c r="B214">
        <v>0</v>
      </c>
      <c r="C214">
        <v>0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</row>
    <row r="215" spans="2:11" x14ac:dyDescent="0.45">
      <c r="B215">
        <v>0</v>
      </c>
      <c r="C215">
        <v>0</v>
      </c>
      <c r="D215">
        <v>0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</row>
    <row r="216" spans="2:11" x14ac:dyDescent="0.45">
      <c r="B216">
        <v>0</v>
      </c>
      <c r="C216">
        <v>0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</row>
    <row r="217" spans="2:11" x14ac:dyDescent="0.45">
      <c r="B217">
        <v>0</v>
      </c>
      <c r="C217">
        <v>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</row>
    <row r="218" spans="2:11" x14ac:dyDescent="0.45">
      <c r="B218">
        <v>0</v>
      </c>
      <c r="C218">
        <v>0</v>
      </c>
      <c r="D218">
        <v>0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</row>
    <row r="219" spans="2:11" x14ac:dyDescent="0.45">
      <c r="B219">
        <v>0</v>
      </c>
      <c r="C219">
        <v>0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</row>
    <row r="220" spans="2:11" x14ac:dyDescent="0.45">
      <c r="B220">
        <v>0</v>
      </c>
      <c r="C220">
        <v>0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</row>
    <row r="221" spans="2:11" x14ac:dyDescent="0.45">
      <c r="B221">
        <v>0</v>
      </c>
      <c r="C221">
        <v>0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</row>
    <row r="222" spans="2:11" x14ac:dyDescent="0.45">
      <c r="B222">
        <v>0</v>
      </c>
      <c r="C222">
        <v>0</v>
      </c>
      <c r="D222">
        <v>0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</row>
    <row r="223" spans="2:11" x14ac:dyDescent="0.45">
      <c r="B223">
        <v>0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</row>
    <row r="224" spans="2:11" x14ac:dyDescent="0.45">
      <c r="B224">
        <v>0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</row>
    <row r="225" spans="2:11" x14ac:dyDescent="0.45">
      <c r="B225">
        <v>0</v>
      </c>
      <c r="C225">
        <v>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</row>
    <row r="226" spans="2:11" x14ac:dyDescent="0.45">
      <c r="B226">
        <v>0</v>
      </c>
      <c r="C226">
        <v>0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</row>
    <row r="227" spans="2:11" x14ac:dyDescent="0.45">
      <c r="B227">
        <v>0</v>
      </c>
      <c r="C227">
        <v>0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</row>
    <row r="228" spans="2:11" x14ac:dyDescent="0.45">
      <c r="B228">
        <v>0</v>
      </c>
      <c r="C228">
        <v>0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</row>
    <row r="229" spans="2:11" x14ac:dyDescent="0.45">
      <c r="B229">
        <v>0</v>
      </c>
      <c r="C229">
        <v>0</v>
      </c>
      <c r="D229">
        <v>0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</row>
    <row r="230" spans="2:11" x14ac:dyDescent="0.45">
      <c r="B230">
        <v>0</v>
      </c>
      <c r="C230">
        <v>0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</row>
    <row r="231" spans="2:11" x14ac:dyDescent="0.45">
      <c r="B231">
        <v>0</v>
      </c>
      <c r="C231">
        <v>0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</row>
    <row r="232" spans="2:11" x14ac:dyDescent="0.45">
      <c r="B232">
        <v>0</v>
      </c>
      <c r="C232">
        <v>0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</row>
    <row r="233" spans="2:11" x14ac:dyDescent="0.45">
      <c r="B233">
        <v>0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</row>
    <row r="234" spans="2:11" x14ac:dyDescent="0.45">
      <c r="B234">
        <v>0</v>
      </c>
      <c r="C234">
        <v>0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</row>
    <row r="235" spans="2:11" x14ac:dyDescent="0.45">
      <c r="B235">
        <v>0</v>
      </c>
      <c r="C235">
        <v>0</v>
      </c>
      <c r="D235">
        <v>0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</row>
    <row r="236" spans="2:11" x14ac:dyDescent="0.45">
      <c r="B236">
        <v>0</v>
      </c>
      <c r="C236">
        <v>0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</row>
    <row r="237" spans="2:11" x14ac:dyDescent="0.45">
      <c r="B237">
        <v>0</v>
      </c>
      <c r="C237">
        <v>0</v>
      </c>
      <c r="D237">
        <v>0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</row>
    <row r="238" spans="2:11" x14ac:dyDescent="0.45"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</row>
    <row r="239" spans="2:11" x14ac:dyDescent="0.45"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</row>
    <row r="240" spans="2:11" x14ac:dyDescent="0.45">
      <c r="B240">
        <v>0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</row>
    <row r="241" spans="2:11" x14ac:dyDescent="0.45">
      <c r="B241">
        <v>0</v>
      </c>
      <c r="C241">
        <v>0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</row>
    <row r="242" spans="2:11" x14ac:dyDescent="0.4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4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4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4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4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4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4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4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4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4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4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4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4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4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4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4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4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4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4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4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4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4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4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4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4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4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4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4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4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45"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</row>
    <row r="278" spans="2:11" x14ac:dyDescent="0.45"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</row>
    <row r="279" spans="2:11" x14ac:dyDescent="0.45"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</row>
    <row r="280" spans="2:11" x14ac:dyDescent="0.45"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4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4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4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4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4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4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4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4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4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45"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</row>
    <row r="297" spans="2:11" x14ac:dyDescent="0.45"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</row>
    <row r="298" spans="2:11" x14ac:dyDescent="0.4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4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4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4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4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4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45"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</row>
    <row r="305" spans="2:11" x14ac:dyDescent="0.45"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</row>
    <row r="306" spans="2:11" x14ac:dyDescent="0.45"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</row>
    <row r="307" spans="2:11" x14ac:dyDescent="0.45"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</row>
    <row r="308" spans="2:11" x14ac:dyDescent="0.45"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</row>
    <row r="309" spans="2:11" x14ac:dyDescent="0.45"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</row>
    <row r="310" spans="2:11" x14ac:dyDescent="0.45"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</row>
    <row r="311" spans="2:11" x14ac:dyDescent="0.45"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</row>
    <row r="312" spans="2:11" x14ac:dyDescent="0.45"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</row>
    <row r="313" spans="2:11" x14ac:dyDescent="0.45"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</row>
    <row r="314" spans="2:11" x14ac:dyDescent="0.45"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</row>
    <row r="315" spans="2:11" x14ac:dyDescent="0.45"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</row>
    <row r="316" spans="2:11" x14ac:dyDescent="0.45"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</row>
    <row r="317" spans="2:11" x14ac:dyDescent="0.45"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</row>
    <row r="318" spans="2:11" x14ac:dyDescent="0.45"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</row>
    <row r="319" spans="2:11" x14ac:dyDescent="0.45"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</row>
    <row r="320" spans="2:11" x14ac:dyDescent="0.45"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</row>
    <row r="321" spans="2:11" x14ac:dyDescent="0.45"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</row>
    <row r="322" spans="2:11" x14ac:dyDescent="0.45"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</row>
    <row r="323" spans="2:11" x14ac:dyDescent="0.45"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</row>
    <row r="324" spans="2:11" x14ac:dyDescent="0.45"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</row>
    <row r="325" spans="2:11" x14ac:dyDescent="0.45"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</row>
    <row r="326" spans="2:11" x14ac:dyDescent="0.45"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</row>
    <row r="327" spans="2:11" x14ac:dyDescent="0.45"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</row>
    <row r="328" spans="2:11" x14ac:dyDescent="0.45"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</row>
    <row r="329" spans="2:11" x14ac:dyDescent="0.45"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</row>
    <row r="330" spans="2:11" x14ac:dyDescent="0.45"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</row>
    <row r="331" spans="2:11" x14ac:dyDescent="0.45"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</row>
    <row r="332" spans="2:11" x14ac:dyDescent="0.45"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</row>
    <row r="333" spans="2:11" x14ac:dyDescent="0.45"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</row>
    <row r="334" spans="2:11" x14ac:dyDescent="0.45"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</row>
    <row r="335" spans="2:11" x14ac:dyDescent="0.45"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</row>
    <row r="336" spans="2:11" x14ac:dyDescent="0.45"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</row>
    <row r="337" spans="2:11" x14ac:dyDescent="0.45"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</row>
    <row r="338" spans="2:11" x14ac:dyDescent="0.45"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</row>
    <row r="339" spans="2:11" x14ac:dyDescent="0.45"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</row>
    <row r="340" spans="2:11" x14ac:dyDescent="0.45"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</row>
    <row r="341" spans="2:11" x14ac:dyDescent="0.45"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</row>
    <row r="342" spans="2:11" x14ac:dyDescent="0.45"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</row>
    <row r="343" spans="2:11" x14ac:dyDescent="0.45"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</row>
    <row r="344" spans="2:11" x14ac:dyDescent="0.45"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</row>
    <row r="345" spans="2:11" x14ac:dyDescent="0.45"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</row>
    <row r="346" spans="2:11" x14ac:dyDescent="0.45"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</row>
    <row r="347" spans="2:11" x14ac:dyDescent="0.45"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</row>
    <row r="348" spans="2:11" x14ac:dyDescent="0.45"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</row>
    <row r="349" spans="2:11" x14ac:dyDescent="0.45"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</row>
    <row r="350" spans="2:11" x14ac:dyDescent="0.4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4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4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4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4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4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4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</row>
    <row r="357" spans="2:11" x14ac:dyDescent="0.45"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</row>
    <row r="358" spans="2:11" x14ac:dyDescent="0.45"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</row>
    <row r="359" spans="2:11" x14ac:dyDescent="0.45"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</row>
    <row r="360" spans="2:11" x14ac:dyDescent="0.45"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</row>
    <row r="361" spans="2:11" x14ac:dyDescent="0.45"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</row>
    <row r="362" spans="2:11" x14ac:dyDescent="0.45"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</row>
    <row r="363" spans="2:11" x14ac:dyDescent="0.45"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</row>
    <row r="364" spans="2:11" x14ac:dyDescent="0.45"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</row>
    <row r="365" spans="2:11" x14ac:dyDescent="0.45"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</row>
    <row r="366" spans="2:11" x14ac:dyDescent="0.45"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</row>
    <row r="367" spans="2:11" x14ac:dyDescent="0.45">
      <c r="B367">
        <v>0</v>
      </c>
      <c r="C367">
        <v>0</v>
      </c>
      <c r="D367">
        <v>99207</v>
      </c>
      <c r="E367">
        <v>-91957</v>
      </c>
      <c r="F367">
        <v>23803</v>
      </c>
      <c r="G367">
        <v>66371</v>
      </c>
      <c r="H367">
        <v>0</v>
      </c>
      <c r="I367">
        <v>0</v>
      </c>
      <c r="J367">
        <v>0</v>
      </c>
      <c r="K367">
        <v>0</v>
      </c>
    </row>
    <row r="368" spans="2:11" x14ac:dyDescent="0.45"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</row>
    <row r="369" spans="2:11" x14ac:dyDescent="0.45"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</row>
    <row r="370" spans="2:11" x14ac:dyDescent="0.45"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  <c r="I370">
        <v>0</v>
      </c>
    </row>
    <row r="371" spans="2:11" x14ac:dyDescent="0.45"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</row>
    <row r="372" spans="2:11" x14ac:dyDescent="0.45"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</row>
    <row r="373" spans="2:11" x14ac:dyDescent="0.45"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</row>
    <row r="374" spans="2:11" x14ac:dyDescent="0.45"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</row>
    <row r="375" spans="2:11" x14ac:dyDescent="0.45"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</row>
    <row r="376" spans="2:11" x14ac:dyDescent="0.45">
      <c r="B376">
        <v>0</v>
      </c>
      <c r="C376">
        <v>-53851</v>
      </c>
      <c r="D376">
        <v>-1875</v>
      </c>
      <c r="E376">
        <v>0</v>
      </c>
      <c r="F376">
        <v>0</v>
      </c>
      <c r="G376">
        <v>-21781</v>
      </c>
      <c r="H376">
        <v>-20280</v>
      </c>
      <c r="I376">
        <v>-42228</v>
      </c>
      <c r="J376">
        <v>-2163</v>
      </c>
      <c r="K376">
        <v>-1012</v>
      </c>
    </row>
    <row r="377" spans="2:11" x14ac:dyDescent="0.45">
      <c r="B377">
        <v>-3960</v>
      </c>
      <c r="C377">
        <v>-2366</v>
      </c>
      <c r="D377">
        <v>300</v>
      </c>
      <c r="E377">
        <v>3832</v>
      </c>
      <c r="F377">
        <v>-1611</v>
      </c>
      <c r="G377">
        <v>0</v>
      </c>
      <c r="H377">
        <v>0</v>
      </c>
      <c r="I377">
        <v>0</v>
      </c>
      <c r="J377">
        <v>-6123</v>
      </c>
      <c r="K377">
        <v>-8113</v>
      </c>
    </row>
    <row r="378" spans="2:11" x14ac:dyDescent="0.45">
      <c r="B378">
        <v>0</v>
      </c>
      <c r="C378">
        <v>228</v>
      </c>
      <c r="D378">
        <v>0</v>
      </c>
      <c r="E378">
        <v>-699</v>
      </c>
      <c r="F378">
        <v>0</v>
      </c>
      <c r="G378">
        <v>1524</v>
      </c>
      <c r="H378">
        <v>-6490</v>
      </c>
      <c r="I378">
        <v>0</v>
      </c>
      <c r="J378">
        <v>4309</v>
      </c>
      <c r="K378">
        <v>1098</v>
      </c>
    </row>
    <row r="379" spans="2:11" x14ac:dyDescent="0.45">
      <c r="B379">
        <v>2508</v>
      </c>
      <c r="C379">
        <v>0</v>
      </c>
      <c r="D379">
        <v>0</v>
      </c>
      <c r="E379">
        <v>-12322</v>
      </c>
      <c r="F379">
        <v>0</v>
      </c>
      <c r="G379">
        <v>0</v>
      </c>
      <c r="H379">
        <v>0</v>
      </c>
      <c r="I379">
        <v>10347</v>
      </c>
      <c r="J379">
        <v>0</v>
      </c>
      <c r="K379">
        <v>52376</v>
      </c>
    </row>
    <row r="380" spans="2:11" x14ac:dyDescent="0.45">
      <c r="B380">
        <v>0</v>
      </c>
      <c r="C380">
        <v>0</v>
      </c>
      <c r="D380">
        <v>0</v>
      </c>
      <c r="E380">
        <v>0</v>
      </c>
      <c r="F380">
        <v>-31826</v>
      </c>
      <c r="G380">
        <v>-30459</v>
      </c>
      <c r="H380">
        <v>-31188</v>
      </c>
      <c r="I380">
        <v>0</v>
      </c>
      <c r="J380">
        <v>-28742</v>
      </c>
      <c r="K380">
        <v>-30971</v>
      </c>
    </row>
    <row r="381" spans="2:11" x14ac:dyDescent="0.45">
      <c r="B381">
        <v>-30536</v>
      </c>
      <c r="C381">
        <v>-29277</v>
      </c>
      <c r="D381">
        <v>-28272</v>
      </c>
      <c r="E381">
        <v>-26510</v>
      </c>
      <c r="F381">
        <v>-25917</v>
      </c>
      <c r="G381">
        <v>0</v>
      </c>
      <c r="H381">
        <v>-4294</v>
      </c>
      <c r="I381">
        <v>-13158</v>
      </c>
      <c r="J381">
        <v>-19171</v>
      </c>
      <c r="K381">
        <v>-20363</v>
      </c>
    </row>
    <row r="382" spans="2:11" x14ac:dyDescent="0.45">
      <c r="B382">
        <v>-6903</v>
      </c>
      <c r="C382">
        <v>0</v>
      </c>
      <c r="D382">
        <v>-17686</v>
      </c>
      <c r="E382">
        <v>-23766</v>
      </c>
      <c r="F382">
        <v>0</v>
      </c>
      <c r="G382">
        <v>-17253</v>
      </c>
      <c r="H382">
        <v>-24236</v>
      </c>
      <c r="I382">
        <v>-18126</v>
      </c>
      <c r="J382">
        <v>0</v>
      </c>
      <c r="K382">
        <v>41</v>
      </c>
    </row>
    <row r="383" spans="2:11" x14ac:dyDescent="0.45">
      <c r="B383">
        <v>0</v>
      </c>
      <c r="C383">
        <v>0</v>
      </c>
      <c r="D383">
        <v>0</v>
      </c>
      <c r="E383">
        <v>-894</v>
      </c>
      <c r="F383">
        <v>0</v>
      </c>
      <c r="G383">
        <v>0</v>
      </c>
    </row>
    <row r="384" spans="2:11" x14ac:dyDescent="0.45">
      <c r="B384">
        <v>0</v>
      </c>
      <c r="C384">
        <v>0</v>
      </c>
      <c r="D384">
        <v>-4019</v>
      </c>
      <c r="E384">
        <v>0</v>
      </c>
      <c r="F384">
        <v>0</v>
      </c>
      <c r="G384">
        <v>0</v>
      </c>
    </row>
  </sheetData>
  <pageMargins bottom="0.75" footer="0.3" header="0.3" left="0.7" right="0.7" top="0.75"/>
  <pageSetup orientation="portrait"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00B050"/>
  </sheetPr>
  <dimension ref="B1:DC401"/>
  <sheetViews>
    <sheetView topLeftCell="C2" workbookViewId="0">
      <selection activeCell="BH9" sqref="BH9"/>
    </sheetView>
  </sheetViews>
  <sheetFormatPr defaultRowHeight="14.25" x14ac:dyDescent="0.45"/>
  <cols>
    <col min="3" max="3" bestFit="true" customWidth="true" width="19.265625" collapsed="true"/>
    <col min="5" max="5" bestFit="true" customWidth="true" width="10.59765625" collapsed="true"/>
    <col min="6" max="6" bestFit="true" customWidth="true" width="9.0" collapsed="true"/>
    <col min="14" max="14" bestFit="true" customWidth="true" width="10.3984375" collapsed="true"/>
    <col min="16" max="16" bestFit="true" customWidth="true" width="10.265625" collapsed="true"/>
    <col min="17" max="17" customWidth="true" width="18.265625" collapsed="true"/>
    <col min="18" max="18" bestFit="true" customWidth="true" width="7.0" collapsed="true"/>
    <col min="19" max="19" bestFit="true" customWidth="true" width="10.1328125" collapsed="true"/>
    <col min="21" max="21" bestFit="true" customWidth="true" width="12.265625" collapsed="true"/>
    <col min="22" max="23" bestFit="true" customWidth="true" width="11.59765625" collapsed="true"/>
    <col min="24" max="24" bestFit="true" customWidth="true" width="9.86328125" collapsed="true"/>
    <col min="25" max="25" customWidth="true" width="10.0" collapsed="true"/>
    <col min="26" max="26" customWidth="true" width="12.3984375" collapsed="true"/>
    <col min="27" max="27" bestFit="true" customWidth="true" width="15.73046875" collapsed="true"/>
    <col min="28" max="28" bestFit="true" customWidth="true" width="15.265625" collapsed="true"/>
    <col min="29" max="29" bestFit="true" customWidth="true" width="20.73046875" collapsed="true"/>
    <col min="30" max="30" bestFit="true" customWidth="true" width="12.86328125" collapsed="true"/>
    <col min="31" max="31" bestFit="true" customWidth="true" width="10.73046875" collapsed="true"/>
    <col min="33" max="33" bestFit="true" customWidth="true" width="10.59765625" collapsed="true"/>
    <col min="34" max="34" bestFit="true" customWidth="true" width="11.265625" collapsed="true"/>
    <col min="52" max="56" bestFit="true" customWidth="true" width="10.59765625" collapsed="true"/>
    <col min="57" max="57" bestFit="true" customWidth="true" width="11.59765625" collapsed="true"/>
    <col min="58" max="58" bestFit="true" customWidth="true" width="10.59765625" collapsed="true"/>
    <col min="59" max="59" bestFit="true" customWidth="true" width="9.59765625" collapsed="true"/>
    <col min="60" max="62" bestFit="true" customWidth="true" width="10.59765625" collapsed="true"/>
    <col min="63" max="63" bestFit="true" customWidth="true" width="11.59765625" collapsed="true"/>
    <col min="64" max="66" bestFit="true" customWidth="true" width="10.59765625" collapsed="true"/>
    <col min="67" max="67" bestFit="true" customWidth="true" width="9.59765625" collapsed="true"/>
    <col min="68" max="71" bestFit="true" customWidth="true" width="10.59765625" collapsed="true"/>
    <col min="72" max="72" bestFit="true" customWidth="true" width="9.265625" collapsed="true"/>
    <col min="73" max="73" bestFit="true" customWidth="true" width="11.59765625" collapsed="true"/>
    <col min="102" max="102" bestFit="true" customWidth="true" width="9.59765625" collapsed="true"/>
  </cols>
  <sheetData>
    <row ht="14.65" r="1" spans="2:106" thickBot="1" x14ac:dyDescent="0.5">
      <c r="CS1" t="s">
        <v>406</v>
      </c>
      <c r="CU1" t="s">
        <v>407</v>
      </c>
      <c r="CV1" t="s">
        <v>405</v>
      </c>
      <c r="CW1" t="s">
        <v>227</v>
      </c>
      <c r="CX1" t="s">
        <v>365</v>
      </c>
      <c r="CY1" t="s">
        <v>345</v>
      </c>
      <c r="CZ1" t="s">
        <v>408</v>
      </c>
      <c r="DA1" t="s">
        <v>409</v>
      </c>
      <c r="DB1" t="s">
        <v>410</v>
      </c>
    </row>
    <row r="2" spans="2:106" x14ac:dyDescent="0.45">
      <c r="B2" s="202" t="s">
        <v>350</v>
      </c>
      <c r="C2" s="206"/>
      <c r="D2" s="207" t="s">
        <v>348</v>
      </c>
      <c r="E2" s="203"/>
      <c r="F2" s="203"/>
      <c r="G2" s="206"/>
      <c r="H2" s="207" t="s">
        <v>349</v>
      </c>
      <c r="I2" s="203"/>
      <c r="J2" s="203"/>
      <c r="K2" s="206"/>
      <c r="L2" s="207" t="s">
        <v>357</v>
      </c>
      <c r="M2" s="203"/>
      <c r="N2" s="203"/>
      <c r="O2" s="206"/>
      <c r="P2" s="207" t="s">
        <v>400</v>
      </c>
      <c r="Q2" s="206"/>
      <c r="R2" s="137"/>
      <c r="U2" s="205"/>
      <c r="V2" s="205"/>
      <c r="W2" s="205"/>
      <c r="X2" s="205"/>
      <c r="Y2" s="205"/>
      <c r="Z2" s="205"/>
      <c r="AA2" s="205"/>
      <c r="AB2" s="205"/>
      <c r="AC2" s="205"/>
      <c r="AD2" s="202" t="s">
        <v>363</v>
      </c>
      <c r="AE2" s="203"/>
      <c r="AF2" s="203"/>
      <c r="AG2" s="203"/>
      <c r="AH2" s="203"/>
      <c r="AI2" s="204"/>
      <c r="CS2">
        <v>20</v>
      </c>
      <c r="CU2">
        <v>1</v>
      </c>
      <c r="CV2">
        <v>1</v>
      </c>
      <c r="CW2">
        <f>MOD(ROW()-2,$CS$2)+1</f>
        <v>1</v>
      </c>
      <c r="CX2" s="44">
        <f>VLOOKUP($CV2,$B$30:$V$49,MATCH($CW2,$B$29:$V$29,0),0)</f>
        <v>4446.9564775398694</v>
      </c>
      <c r="CY2" s="44">
        <f>VLOOKUP($CV2,$AY$30:$BS$49,MATCH($CW2,$AY$29:$BS$29,0),0)</f>
        <v>3357</v>
      </c>
      <c r="CZ2" s="87">
        <f>CY2-CX2</f>
        <v>-1089.9564775398694</v>
      </c>
      <c r="DA2" s="63">
        <f>CZ2/CX2</f>
        <v>-0.24510167415509573</v>
      </c>
      <c r="DB2">
        <v>1000</v>
      </c>
    </row>
    <row r="3" spans="2:106" x14ac:dyDescent="0.45">
      <c r="B3" s="147" t="s">
        <v>351</v>
      </c>
      <c r="C3" s="148" t="s">
        <v>360</v>
      </c>
      <c r="D3" s="149" t="s">
        <v>343</v>
      </c>
      <c r="E3" s="150" t="s">
        <v>356</v>
      </c>
      <c r="F3" s="150" t="s">
        <v>428</v>
      </c>
      <c r="G3" s="150" t="s">
        <v>345</v>
      </c>
      <c r="H3" s="149" t="s">
        <v>343</v>
      </c>
      <c r="I3" s="150" t="s">
        <v>356</v>
      </c>
      <c r="J3" s="150" t="s">
        <v>428</v>
      </c>
      <c r="K3" s="150" t="s">
        <v>345</v>
      </c>
      <c r="L3" s="151" t="s">
        <v>343</v>
      </c>
      <c r="M3" s="152" t="s">
        <v>356</v>
      </c>
      <c r="N3" s="152" t="s">
        <v>428</v>
      </c>
      <c r="O3" s="153" t="s">
        <v>345</v>
      </c>
      <c r="P3" s="151" t="s">
        <v>358</v>
      </c>
      <c r="Q3" s="154" t="s">
        <v>429</v>
      </c>
      <c r="R3" s="155" t="s">
        <v>361</v>
      </c>
      <c r="T3" s="104"/>
      <c r="U3" s="163"/>
      <c r="V3" s="163"/>
      <c r="W3" s="163"/>
      <c r="X3" s="163"/>
      <c r="Y3" s="163"/>
      <c r="Z3" s="163"/>
      <c r="AA3" s="163"/>
      <c r="AB3" s="163"/>
      <c r="AC3" s="163"/>
      <c r="AD3" s="147" t="s">
        <v>396</v>
      </c>
      <c r="AE3" s="152" t="s">
        <v>362</v>
      </c>
      <c r="AF3" s="152" t="s">
        <v>364</v>
      </c>
      <c r="AG3" s="152" t="s">
        <v>397</v>
      </c>
      <c r="AH3" s="152" t="s">
        <v>398</v>
      </c>
      <c r="AI3" s="156" t="s">
        <v>268</v>
      </c>
      <c r="AK3" s="72" t="s">
        <v>399</v>
      </c>
      <c r="CU3">
        <v>2</v>
      </c>
      <c r="CV3">
        <f>IF(CW2&lt;$CS$2,CV2,CV2+1)</f>
        <v>1</v>
      </c>
      <c r="CW3">
        <f ref="CW3:CW66" si="0" t="shared">MOD(ROW()-2,$CS$2)+1</f>
        <v>2</v>
      </c>
      <c r="CX3" s="44">
        <f ref="CX3:CX66" si="1" t="shared">VLOOKUP($CV3,$B$30:$V$49,MATCH($CW3,$B$29:$V$29,0),0)</f>
        <v>562.31272634856089</v>
      </c>
      <c r="CY3" s="44">
        <f ref="CY3:CY66" si="2" t="shared">VLOOKUP($CV3,$AY$30:$BS$49,MATCH($CW3,$AY$29:$BS$29,0),0)</f>
        <v>670</v>
      </c>
      <c r="CZ3" s="87">
        <f ref="CZ3:CZ66" si="3" t="shared">CY3-CX3</f>
        <v>107.68727365143911</v>
      </c>
      <c r="DA3" s="63">
        <f ref="DA3:DA66" si="4" t="shared">CZ3/CX3</f>
        <v>0.1915078009183932</v>
      </c>
      <c r="DB3">
        <v>2000</v>
      </c>
    </row>
    <row r="4" spans="2:106" x14ac:dyDescent="0.45">
      <c r="B4" s="138">
        <v>1</v>
      </c>
      <c r="C4" s="30" t="s">
        <v>323</v>
      </c>
      <c r="D4" s="109">
        <f>County_Flow!BX22</f>
        <v>83524.716672332506</v>
      </c>
      <c r="E4" s="110">
        <f>County_Flow!BY22</f>
        <v>50465</v>
      </c>
      <c r="F4" s="110">
        <f>County_Flow!BZ22</f>
        <v>70858</v>
      </c>
      <c r="G4" s="111">
        <f>County_Flow!CA22</f>
        <v>54561</v>
      </c>
      <c r="H4" s="109">
        <f>County_Flow!CB22</f>
        <v>88906.182321098691</v>
      </c>
      <c r="I4" s="110">
        <f>County_Flow!CC22</f>
        <v>46794.881116877397</v>
      </c>
      <c r="J4" s="110">
        <f>County_Flow!CD22</f>
        <v>61994.393952536062</v>
      </c>
      <c r="K4" s="111">
        <f>County_Flow!CE22</f>
        <v>54561</v>
      </c>
      <c r="L4" s="79">
        <f>County_Flow!CF22</f>
        <v>0.10607114543036796</v>
      </c>
      <c r="M4" s="79">
        <f>County_Flow!CG22</f>
        <v>5.5829488014886387E-2</v>
      </c>
      <c r="N4" s="83">
        <f>County_Flow!CH22</f>
        <v>7.3963544549212362E-2</v>
      </c>
      <c r="O4" s="98">
        <f>County_Flow!CI22</f>
        <v>6.5094998061264051E-2</v>
      </c>
      <c r="P4" s="102">
        <f>County_Flow!CJ22</f>
        <v>9.2655100463776632E-3</v>
      </c>
      <c r="Q4" s="98">
        <f>County_Flow!CK22</f>
        <v>0.16596086361936743</v>
      </c>
      <c r="R4" s="139">
        <f>M4/O4</f>
        <v>0.85766172021915654</v>
      </c>
      <c r="S4" s="116"/>
      <c r="T4" s="117"/>
      <c r="U4" s="164"/>
      <c r="V4" s="165"/>
      <c r="W4" s="165"/>
      <c r="X4" s="19"/>
      <c r="Y4" s="19"/>
      <c r="Z4" s="19"/>
      <c r="AA4" s="79"/>
      <c r="AB4" s="66"/>
      <c r="AC4" s="66"/>
      <c r="AD4" s="159">
        <v>101</v>
      </c>
      <c r="AE4" s="158">
        <f>LN(R4)</f>
        <v>-0.15354552271608216</v>
      </c>
      <c r="AF4" s="117">
        <f ref="AF4:AF23" si="5" t="shared">AE4-AE$4</f>
        <v>0</v>
      </c>
      <c r="AG4">
        <f>VLOOKUP(AD4,calibration_dist!$T:$W,3,FALSE)</f>
        <v>0</v>
      </c>
      <c r="AH4" s="128">
        <f>AG4+AF4*AI4</f>
        <v>0</v>
      </c>
      <c r="AI4" s="142">
        <v>1</v>
      </c>
      <c r="CU4">
        <v>3</v>
      </c>
      <c r="CV4">
        <f ref="CV4:CV67" si="6" t="shared">IF(CW3&lt;$CS$2,CV3,CV3+1)</f>
        <v>1</v>
      </c>
      <c r="CW4">
        <f si="0" t="shared"/>
        <v>3</v>
      </c>
      <c r="CX4" s="44">
        <f si="1" t="shared"/>
        <v>310.83397928712117</v>
      </c>
      <c r="CY4" s="44">
        <f si="2" t="shared"/>
        <v>443</v>
      </c>
      <c r="CZ4" s="87">
        <f si="3" t="shared"/>
        <v>132.16602071287883</v>
      </c>
      <c r="DA4" s="63">
        <f si="4" t="shared"/>
        <v>0.42519811063125584</v>
      </c>
      <c r="DB4">
        <v>3000</v>
      </c>
    </row>
    <row r="5" spans="2:106" x14ac:dyDescent="0.45">
      <c r="B5" s="119">
        <v>2</v>
      </c>
      <c r="C5" s="30" t="s">
        <v>324</v>
      </c>
      <c r="D5" s="94">
        <f>County_Flow!BX23</f>
        <v>33517.436176149633</v>
      </c>
      <c r="E5" s="87">
        <f>County_Flow!BY23</f>
        <v>41849</v>
      </c>
      <c r="F5" s="87">
        <f>County_Flow!BZ23</f>
        <v>75074</v>
      </c>
      <c r="G5" s="100">
        <f>County_Flow!CA23</f>
        <v>35769</v>
      </c>
      <c r="H5" s="94">
        <f>County_Flow!CB23</f>
        <v>35676.951809399434</v>
      </c>
      <c r="I5" s="87">
        <f>County_Flow!CC23</f>
        <v>38805.48855365505</v>
      </c>
      <c r="J5" s="87">
        <f>County_Flow!CD23</f>
        <v>64791.616557937239</v>
      </c>
      <c r="K5" s="100">
        <f>County_Flow!CE23</f>
        <v>35769</v>
      </c>
      <c r="L5" s="79">
        <f>County_Flow!CF23</f>
        <v>4.2565039292987057E-2</v>
      </c>
      <c r="M5" s="79">
        <f>County_Flow!CG23</f>
        <v>4.6297597224511648E-2</v>
      </c>
      <c r="N5" s="83">
        <f>County_Flow!CH23</f>
        <v>7.7300822093163413E-2</v>
      </c>
      <c r="O5" s="98">
        <f>County_Flow!CI23</f>
        <v>4.267485906881021E-2</v>
      </c>
      <c r="P5" s="102">
        <f>County_Flow!CJ23</f>
        <v>-3.6227381557014382E-3</v>
      </c>
      <c r="Q5" s="98">
        <f>County_Flow!CK23</f>
        <v>-7.824894536391673E-2</v>
      </c>
      <c r="R5" s="139">
        <f ref="R5:R23" si="7" t="shared">M5/O5</f>
        <v>1.0848916255320264</v>
      </c>
      <c r="S5" s="116"/>
      <c r="T5" s="117"/>
      <c r="U5" s="164"/>
      <c r="V5" s="165"/>
      <c r="W5" s="165"/>
      <c r="X5" s="19"/>
      <c r="Y5" s="19"/>
      <c r="Z5" s="19"/>
      <c r="AA5" s="79"/>
      <c r="AB5" s="66"/>
      <c r="AC5" s="66"/>
      <c r="AD5" s="159">
        <v>102</v>
      </c>
      <c r="AE5" s="136">
        <f ref="AE5:AE23" si="8" t="shared">LN(R5)</f>
        <v>8.1480097701373974E-2</v>
      </c>
      <c r="AF5" s="117">
        <f si="5" t="shared"/>
        <v>0.23502562041745612</v>
      </c>
      <c r="AG5">
        <f>VLOOKUP(AD5,calibration_dist!$T:$W,3,FALSE)</f>
        <v>6.1585552388600001E-2</v>
      </c>
      <c r="AH5" s="128">
        <f ref="AH5:AH23" si="9" t="shared">AG5+AF5*AI5</f>
        <v>0.29661117280605609</v>
      </c>
      <c r="AI5" s="142">
        <v>1</v>
      </c>
      <c r="AK5" s="87">
        <f>MIN($U$26)</f>
        <v>0</v>
      </c>
      <c r="CU5">
        <v>4</v>
      </c>
      <c r="CV5">
        <f si="6" t="shared"/>
        <v>1</v>
      </c>
      <c r="CW5">
        <f si="0" t="shared"/>
        <v>4</v>
      </c>
      <c r="CX5" s="44">
        <f si="1" t="shared"/>
        <v>415.48662557977002</v>
      </c>
      <c r="CY5" s="44">
        <f si="2" t="shared"/>
        <v>514</v>
      </c>
      <c r="CZ5" s="87">
        <f si="3" t="shared"/>
        <v>98.513374420229979</v>
      </c>
      <c r="DA5" s="63">
        <f si="4" t="shared"/>
        <v>0.23710359938244563</v>
      </c>
      <c r="DB5">
        <v>4000</v>
      </c>
    </row>
    <row r="6" spans="2:106" x14ac:dyDescent="0.45">
      <c r="B6" s="119">
        <v>3</v>
      </c>
      <c r="C6" s="30" t="s">
        <v>325</v>
      </c>
      <c r="D6" s="94">
        <f>County_Flow!BX24</f>
        <v>20342.761980711071</v>
      </c>
      <c r="E6" s="87">
        <f>County_Flow!BY24</f>
        <v>26730</v>
      </c>
      <c r="F6" s="87">
        <f>County_Flow!BZ24</f>
        <v>24294</v>
      </c>
      <c r="G6" s="100">
        <f>County_Flow!CA24</f>
        <v>22365</v>
      </c>
      <c r="H6" s="94">
        <f>County_Flow!CB24</f>
        <v>21653.438378808769</v>
      </c>
      <c r="I6" s="87">
        <f>County_Flow!CC24</f>
        <v>24786.033335066539</v>
      </c>
      <c r="J6" s="87">
        <f>County_Flow!CD24</f>
        <v>21032.233411331239</v>
      </c>
      <c r="K6" s="100">
        <f>County_Flow!CE24</f>
        <v>22365</v>
      </c>
      <c r="L6" s="79">
        <f>County_Flow!CF24</f>
        <v>2.5834030338304965E-2</v>
      </c>
      <c r="M6" s="79">
        <f>County_Flow!CG24</f>
        <v>2.9571429993815776E-2</v>
      </c>
      <c r="N6" s="83">
        <f>County_Flow!CH24</f>
        <v>2.5092890400371333E-2</v>
      </c>
      <c r="O6" s="98">
        <f>County_Flow!CI24</f>
        <v>2.6682971933068868E-2</v>
      </c>
      <c r="P6" s="102">
        <f>County_Flow!CJ24</f>
        <v>-2.8884580607469075E-3</v>
      </c>
      <c r="Q6" s="98">
        <f>County_Flow!CK24</f>
        <v>-9.7677321027456743E-2</v>
      </c>
      <c r="R6" s="139">
        <f si="7" t="shared"/>
        <v>1.1082509874834134</v>
      </c>
      <c r="S6" s="116"/>
      <c r="T6" s="117"/>
      <c r="U6" s="164"/>
      <c r="V6" s="165"/>
      <c r="W6" s="165"/>
      <c r="X6" s="19"/>
      <c r="Y6" s="19"/>
      <c r="Z6" s="19"/>
      <c r="AA6" s="79"/>
      <c r="AB6" s="66"/>
      <c r="AC6" s="66"/>
      <c r="AD6" s="159">
        <v>103</v>
      </c>
      <c r="AE6" s="136">
        <f si="8" t="shared"/>
        <v>0.10278308567210188</v>
      </c>
      <c r="AF6" s="117">
        <f si="5" t="shared"/>
        <v>0.25632860838818405</v>
      </c>
      <c r="AG6">
        <f>VLOOKUP(AD6,calibration_dist!$T:$W,3,FALSE)</f>
        <v>-0.17738509358310001</v>
      </c>
      <c r="AH6" s="128">
        <f si="9" t="shared"/>
        <v>7.8943514805084047E-2</v>
      </c>
      <c r="AI6" s="142">
        <v>1</v>
      </c>
      <c r="AK6">
        <f>COUNT($U$4:$U$23)</f>
        <v>0</v>
      </c>
      <c r="CU6">
        <v>5</v>
      </c>
      <c r="CV6">
        <f si="6" t="shared"/>
        <v>1</v>
      </c>
      <c r="CW6">
        <f si="0" t="shared"/>
        <v>5</v>
      </c>
      <c r="CX6" s="44">
        <f si="1" t="shared"/>
        <v>527.94917084948224</v>
      </c>
      <c r="CY6" s="44">
        <f si="2" t="shared"/>
        <v>532</v>
      </c>
      <c r="CZ6" s="87">
        <f si="3" t="shared"/>
        <v>4.0508291505177567</v>
      </c>
      <c r="DA6" s="63">
        <f si="4" t="shared"/>
        <v>7.672763542747648E-3</v>
      </c>
      <c r="DB6">
        <v>5000</v>
      </c>
    </row>
    <row r="7" spans="2:106" x14ac:dyDescent="0.45">
      <c r="B7" s="119">
        <v>4</v>
      </c>
      <c r="C7" s="30" t="s">
        <v>326</v>
      </c>
      <c r="D7" s="94">
        <f>County_Flow!BX25</f>
        <v>24858.21125930726</v>
      </c>
      <c r="E7" s="87">
        <f>County_Flow!BY25</f>
        <v>18661</v>
      </c>
      <c r="F7" s="87">
        <f>County_Flow!BZ25</f>
        <v>23571</v>
      </c>
      <c r="G7" s="100">
        <f>County_Flow!CA25</f>
        <v>14532</v>
      </c>
      <c r="H7" s="94">
        <f>County_Flow!CB25</f>
        <v>26459.816332767474</v>
      </c>
      <c r="I7" s="87">
        <f>County_Flow!CC25</f>
        <v>17303.859635827783</v>
      </c>
      <c r="J7" s="87">
        <f>County_Flow!CD25</f>
        <v>20025.637876396635</v>
      </c>
      <c r="K7" s="100">
        <f>County_Flow!CE25</f>
        <v>14532</v>
      </c>
      <c r="L7" s="79">
        <f>County_Flow!CF25</f>
        <v>3.1568367384815187E-2</v>
      </c>
      <c r="M7" s="79">
        <f>County_Flow!CG25</f>
        <v>2.0644685937695331E-2</v>
      </c>
      <c r="N7" s="83">
        <f>County_Flow!CH25</f>
        <v>2.3891953203563264E-2</v>
      </c>
      <c r="O7" s="98">
        <f>County_Flow!CI25</f>
        <v>1.7337668148059773E-2</v>
      </c>
      <c r="P7" s="102">
        <f>County_Flow!CJ25</f>
        <v>-3.3070177896355572E-3</v>
      </c>
      <c r="Q7" s="98">
        <f>County_Flow!CK25</f>
        <v>-0.16018736248233456</v>
      </c>
      <c r="R7" s="139">
        <f si="7" t="shared"/>
        <v>1.1907417861153167</v>
      </c>
      <c r="S7" s="116"/>
      <c r="T7" s="117"/>
      <c r="U7" s="164"/>
      <c r="V7" s="165"/>
      <c r="W7" s="165"/>
      <c r="X7" s="19"/>
      <c r="Y7" s="19"/>
      <c r="Z7" s="19"/>
      <c r="AA7" s="79"/>
      <c r="AB7" s="66"/>
      <c r="AC7" s="66"/>
      <c r="AD7" s="159">
        <v>104</v>
      </c>
      <c r="AE7" s="136">
        <f si="8" t="shared"/>
        <v>0.17457646259846449</v>
      </c>
      <c r="AF7" s="117">
        <f si="5" t="shared"/>
        <v>0.32812198531454662</v>
      </c>
      <c r="AG7">
        <f>VLOOKUP(AD7,calibration_dist!$T:$W,3,FALSE)</f>
        <v>0.2419007637824</v>
      </c>
      <c r="AH7" s="128">
        <f si="9" t="shared"/>
        <v>0.57002274909694661</v>
      </c>
      <c r="AI7" s="142">
        <v>1</v>
      </c>
      <c r="AK7" t="b">
        <f>$AC$160&lt;=1.5</f>
        <v>1</v>
      </c>
      <c r="CU7">
        <v>6</v>
      </c>
      <c r="CV7">
        <f si="6" t="shared"/>
        <v>1</v>
      </c>
      <c r="CW7">
        <f si="0" t="shared"/>
        <v>6</v>
      </c>
      <c r="CX7" s="44">
        <f si="1" t="shared"/>
        <v>2902.9394497744456</v>
      </c>
      <c r="CY7" s="44">
        <f si="2" t="shared"/>
        <v>3030</v>
      </c>
      <c r="CZ7" s="87">
        <f si="3" t="shared"/>
        <v>127.06055022555438</v>
      </c>
      <c r="DA7" s="63">
        <f si="4" t="shared"/>
        <v>4.3769617804266227E-2</v>
      </c>
      <c r="DB7">
        <v>6000</v>
      </c>
    </row>
    <row r="8" spans="2:106" x14ac:dyDescent="0.45">
      <c r="B8" s="119">
        <v>5</v>
      </c>
      <c r="C8" s="30" t="s">
        <v>327</v>
      </c>
      <c r="D8" s="94">
        <f>County_Flow!BX26</f>
        <v>23036.313694395729</v>
      </c>
      <c r="E8" s="87">
        <f>County_Flow!BY26</f>
        <v>24148</v>
      </c>
      <c r="F8" s="87">
        <f>County_Flow!BZ26</f>
        <v>27651</v>
      </c>
      <c r="G8" s="100">
        <f>County_Flow!CA26</f>
        <v>17563</v>
      </c>
      <c r="H8" s="94">
        <f>County_Flow!CB26</f>
        <v>24520.534602404598</v>
      </c>
      <c r="I8" s="87">
        <f>County_Flow!CC26</f>
        <v>22391.811933228088</v>
      </c>
      <c r="J8" s="87">
        <f>County_Flow!CD26</f>
        <v>23699.572032701555</v>
      </c>
      <c r="K8" s="100">
        <f>County_Flow!CE26</f>
        <v>17563</v>
      </c>
      <c r="L8" s="79">
        <f>County_Flow!CF26</f>
        <v>2.9254671879266968E-2</v>
      </c>
      <c r="M8" s="79">
        <f>County_Flow!CG26</f>
        <v>2.6714960399949996E-2</v>
      </c>
      <c r="N8" s="83">
        <f>County_Flow!CH26</f>
        <v>2.8275207483761219E-2</v>
      </c>
      <c r="O8" s="98">
        <f>County_Flow!CI26</f>
        <v>2.0953858084528886E-2</v>
      </c>
      <c r="P8" s="102">
        <f>County_Flow!CJ26</f>
        <v>-5.76110231542111E-3</v>
      </c>
      <c r="Q8" s="98">
        <f>County_Flow!CK26</f>
        <v>-0.21565079001322016</v>
      </c>
      <c r="R8" s="139">
        <f si="7" t="shared"/>
        <v>1.2749423181249269</v>
      </c>
      <c r="S8" s="116"/>
      <c r="T8" s="117"/>
      <c r="U8" s="164"/>
      <c r="V8" s="165"/>
      <c r="W8" s="165"/>
      <c r="X8" s="19"/>
      <c r="Y8" s="19"/>
      <c r="Z8" s="19"/>
      <c r="AA8" s="79"/>
      <c r="AB8" s="66"/>
      <c r="AC8" s="66"/>
      <c r="AD8" s="159">
        <v>105</v>
      </c>
      <c r="AE8" s="136">
        <f si="8" t="shared"/>
        <v>0.24290093690066689</v>
      </c>
      <c r="AF8" s="117">
        <f si="5" t="shared"/>
        <v>0.39644645961674907</v>
      </c>
      <c r="AG8">
        <f>VLOOKUP(AD8,calibration_dist!$T:$W,3,FALSE)</f>
        <v>-3.3705109193499998E-2</v>
      </c>
      <c r="AH8" s="128">
        <f si="9" t="shared"/>
        <v>0.36274135042324906</v>
      </c>
      <c r="AI8" s="142">
        <v>1</v>
      </c>
      <c r="AK8" t="b">
        <f ref="AK8" t="array">$AC$4:$AC$23&lt;=0.02</f>
        <v>1</v>
      </c>
      <c r="CU8">
        <v>7</v>
      </c>
      <c r="CV8">
        <f si="6" t="shared"/>
        <v>1</v>
      </c>
      <c r="CW8">
        <f si="0" t="shared"/>
        <v>7</v>
      </c>
      <c r="CX8" s="44">
        <f si="1" t="shared"/>
        <v>470.93690831691976</v>
      </c>
      <c r="CY8" s="44">
        <f si="2" t="shared"/>
        <v>510</v>
      </c>
      <c r="CZ8" s="87">
        <f si="3" t="shared"/>
        <v>39.063091683080245</v>
      </c>
      <c r="DA8" s="63">
        <f si="4" t="shared"/>
        <v>8.2947611438414823E-2</v>
      </c>
      <c r="DB8">
        <v>7000</v>
      </c>
    </row>
    <row r="9" spans="2:106" x14ac:dyDescent="0.45">
      <c r="B9" s="119">
        <v>6</v>
      </c>
      <c r="C9" s="30" t="s">
        <v>328</v>
      </c>
      <c r="D9" s="94">
        <f>County_Flow!BX27</f>
        <v>116219.36188648028</v>
      </c>
      <c r="E9" s="87">
        <f>County_Flow!BY27</f>
        <v>106455</v>
      </c>
      <c r="F9" s="87">
        <f>County_Flow!BZ27</f>
        <v>153058</v>
      </c>
      <c r="G9" s="100">
        <f>County_Flow!CA27</f>
        <v>97510</v>
      </c>
      <c r="H9" s="94">
        <f>County_Flow!CB27</f>
        <v>123707.3310605295</v>
      </c>
      <c r="I9" s="87">
        <f>County_Flow!CC27</f>
        <v>98712.950942181385</v>
      </c>
      <c r="J9" s="87">
        <f>County_Flow!CD27</f>
        <v>134115.782326477</v>
      </c>
      <c r="K9" s="100">
        <f>County_Flow!CE27</f>
        <v>97510</v>
      </c>
      <c r="L9" s="79">
        <f>County_Flow!CF27</f>
        <v>0.14759129186688874</v>
      </c>
      <c r="M9" s="79">
        <f>County_Flow!CG27</f>
        <v>0.11777128993608899</v>
      </c>
      <c r="N9" s="83">
        <f>County_Flow!CH27</f>
        <v>0.16000928484681243</v>
      </c>
      <c r="O9" s="98">
        <f>County_Flow!CI27</f>
        <v>0.11633608733259761</v>
      </c>
      <c r="P9" s="102">
        <f>County_Flow!CJ27</f>
        <v>-1.4352026034913784E-3</v>
      </c>
      <c r="Q9" s="98">
        <f>County_Flow!CK27</f>
        <v>-1.2186353773234715E-2</v>
      </c>
      <c r="R9" s="139">
        <f si="7" t="shared"/>
        <v>1.0123366930794933</v>
      </c>
      <c r="S9" s="116"/>
      <c r="T9" s="117"/>
      <c r="U9" s="164"/>
      <c r="V9" s="165"/>
      <c r="W9" s="165"/>
      <c r="X9" s="19"/>
      <c r="Y9" s="19"/>
      <c r="Z9" s="19"/>
      <c r="AA9" s="79"/>
      <c r="AB9" s="66"/>
      <c r="AC9" s="66"/>
      <c r="AD9" s="159">
        <v>106</v>
      </c>
      <c r="AE9" s="136">
        <f si="8" t="shared"/>
        <v>1.2261216204113893E-2</v>
      </c>
      <c r="AF9" s="117">
        <f si="5" t="shared"/>
        <v>0.16580673892019604</v>
      </c>
      <c r="AG9">
        <f>VLOOKUP(AD9,calibration_dist!$T:$W,3,FALSE)</f>
        <v>0.1143372177009</v>
      </c>
      <c r="AH9" s="128">
        <f si="9" t="shared"/>
        <v>0.28014395662109604</v>
      </c>
      <c r="AI9" s="142">
        <v>1</v>
      </c>
      <c r="AK9" t="b">
        <f ref="AK9" t="array">$AW$30:$AW$49&lt;=0.25</f>
        <v>1</v>
      </c>
      <c r="CU9">
        <v>8</v>
      </c>
      <c r="CV9">
        <f si="6" t="shared"/>
        <v>1</v>
      </c>
      <c r="CW9">
        <f si="0" t="shared"/>
        <v>8</v>
      </c>
      <c r="CX9" s="44">
        <f si="1" t="shared"/>
        <v>46.07840396467374</v>
      </c>
      <c r="CY9" s="44">
        <f si="2" t="shared"/>
        <v>58</v>
      </c>
      <c r="CZ9" s="87">
        <f si="3" t="shared"/>
        <v>11.92159603532626</v>
      </c>
      <c r="DA9" s="63">
        <f si="4" t="shared"/>
        <v>0.2587241529560359</v>
      </c>
      <c r="DB9">
        <v>8000</v>
      </c>
    </row>
    <row r="10" spans="2:106" x14ac:dyDescent="0.45">
      <c r="B10" s="119">
        <v>7</v>
      </c>
      <c r="C10" s="30" t="s">
        <v>329</v>
      </c>
      <c r="D10" s="94">
        <f>County_Flow!BX28</f>
        <v>74301.509013582981</v>
      </c>
      <c r="E10" s="87">
        <f>County_Flow!BY28</f>
        <v>86378</v>
      </c>
      <c r="F10" s="87">
        <f>County_Flow!BZ28</f>
        <v>84080</v>
      </c>
      <c r="G10" s="100">
        <f>County_Flow!CA28</f>
        <v>87842</v>
      </c>
      <c r="H10" s="94">
        <f>County_Flow!CB28</f>
        <v>79088.726909534715</v>
      </c>
      <c r="I10" s="87">
        <f>County_Flow!CC28</f>
        <v>80096.071358637389</v>
      </c>
      <c r="J10" s="87">
        <f>County_Flow!CD28</f>
        <v>75039.689357400712</v>
      </c>
      <c r="K10" s="100">
        <f>County_Flow!CE28</f>
        <v>87842</v>
      </c>
      <c r="L10" s="79">
        <f>County_Flow!CF28</f>
        <v>9.4358250853980002E-2</v>
      </c>
      <c r="M10" s="79">
        <f>County_Flow!CG28</f>
        <v>9.5560081556521473E-2</v>
      </c>
      <c r="N10" s="83">
        <f>County_Flow!CH28</f>
        <v>8.9527472612999343E-2</v>
      </c>
      <c r="O10" s="98">
        <f>County_Flow!CI28</f>
        <v>0.1048015032660244</v>
      </c>
      <c r="P10" s="102">
        <f>County_Flow!CJ28</f>
        <v>9.2414217095029283E-3</v>
      </c>
      <c r="Q10" s="98">
        <f>County_Flow!CK28</f>
        <v>9.6707972188542379E-2</v>
      </c>
      <c r="R10" s="139">
        <f si="7" t="shared"/>
        <v>0.91181976000816678</v>
      </c>
      <c r="S10" s="116"/>
      <c r="T10" s="117"/>
      <c r="U10" s="164"/>
      <c r="V10" s="165"/>
      <c r="W10" s="165"/>
      <c r="X10" s="19"/>
      <c r="Y10" s="19"/>
      <c r="Z10" s="19"/>
      <c r="AA10" s="79"/>
      <c r="AB10" s="66"/>
      <c r="AC10" s="66"/>
      <c r="AD10" s="159">
        <v>107</v>
      </c>
      <c r="AE10" s="136">
        <f si="8" t="shared"/>
        <v>-9.2312940009490391E-2</v>
      </c>
      <c r="AF10" s="117">
        <f si="5" t="shared"/>
        <v>6.1232582706591765E-2</v>
      </c>
      <c r="AG10">
        <f>VLOOKUP(AD10,calibration_dist!$T:$W,3,FALSE)</f>
        <v>0.29549776405130002</v>
      </c>
      <c r="AH10" s="128">
        <f si="9" t="shared"/>
        <v>0.35673034675789178</v>
      </c>
      <c r="AI10" s="142">
        <v>1</v>
      </c>
      <c r="AK10">
        <f>{32767,32767,0.000001,0.01,FALSE,FALSE,TRUE,1,1,1,0.0001,TRUE}</f>
        <v>32767</v>
      </c>
      <c r="CU10">
        <v>9</v>
      </c>
      <c r="CV10">
        <f si="6" t="shared"/>
        <v>1</v>
      </c>
      <c r="CW10">
        <f si="0" t="shared"/>
        <v>9</v>
      </c>
      <c r="CX10" s="44">
        <f si="1" t="shared"/>
        <v>372.53218120592157</v>
      </c>
      <c r="CY10" s="44">
        <f si="2" t="shared"/>
        <v>568</v>
      </c>
      <c r="CZ10" s="87">
        <f si="3" t="shared"/>
        <v>195.46781879407843</v>
      </c>
      <c r="DA10" s="63">
        <f si="4" t="shared"/>
        <v>0.52470049207918301</v>
      </c>
      <c r="DB10">
        <v>9000</v>
      </c>
    </row>
    <row r="11" spans="2:106" x14ac:dyDescent="0.45">
      <c r="B11" s="119">
        <v>8</v>
      </c>
      <c r="C11" s="30" t="s">
        <v>330</v>
      </c>
      <c r="D11" s="94">
        <f>County_Flow!BX29</f>
        <v>3682.4775864874828</v>
      </c>
      <c r="E11" s="87">
        <f>County_Flow!BY29</f>
        <v>5098</v>
      </c>
      <c r="F11" s="87">
        <f>County_Flow!BZ29</f>
        <v>7355</v>
      </c>
      <c r="G11" s="100">
        <f>County_Flow!CA29</f>
        <v>2420</v>
      </c>
      <c r="H11" s="94">
        <f>County_Flow!CB29</f>
        <v>3919.738213324164</v>
      </c>
      <c r="I11" s="87">
        <f>County_Flow!CC29</f>
        <v>4727.2427213680967</v>
      </c>
      <c r="J11" s="87">
        <f>County_Flow!CD29</f>
        <v>6080.0782622354609</v>
      </c>
      <c r="K11" s="100">
        <f>County_Flow!CE29</f>
        <v>2420</v>
      </c>
      <c r="L11" s="79">
        <f>County_Flow!CF29</f>
        <v>4.6765153020838883E-3</v>
      </c>
      <c r="M11" s="79">
        <f>County_Flow!CG29</f>
        <v>5.6399233112036226E-3</v>
      </c>
      <c r="N11" s="83">
        <f>County_Flow!CH29</f>
        <v>7.2539484740483332E-3</v>
      </c>
      <c r="O11" s="98">
        <f>County_Flow!CI29</f>
        <v>2.8872252214632984E-3</v>
      </c>
      <c r="P11" s="102">
        <f>County_Flow!CJ29</f>
        <v>-2.7526980897403241E-3</v>
      </c>
      <c r="Q11" s="98">
        <f>County_Flow!CK29</f>
        <v>-0.4880736736742734</v>
      </c>
      <c r="R11" s="139">
        <f si="7" t="shared"/>
        <v>1.9534060832099571</v>
      </c>
      <c r="S11" s="116"/>
      <c r="T11" s="117"/>
      <c r="U11" s="164"/>
      <c r="V11" s="165"/>
      <c r="W11" s="165"/>
      <c r="X11" s="19"/>
      <c r="Y11" s="19"/>
      <c r="Z11" s="19"/>
      <c r="AA11" s="79"/>
      <c r="AB11" s="66"/>
      <c r="AC11" s="66"/>
      <c r="AD11" s="159">
        <v>108</v>
      </c>
      <c r="AE11" s="136">
        <f si="8" t="shared"/>
        <v>0.6695745581914142</v>
      </c>
      <c r="AF11" s="117">
        <f si="5" t="shared"/>
        <v>0.82312008090749633</v>
      </c>
      <c r="AG11">
        <f>VLOOKUP(AD11,calibration_dist!$T:$W,3,FALSE)</f>
        <v>-0.24958234591280001</v>
      </c>
      <c r="AH11" s="128">
        <f si="9" t="shared"/>
        <v>0.57353773499469629</v>
      </c>
      <c r="AI11" s="142">
        <v>1</v>
      </c>
      <c r="AK11">
        <f>{0,0,1,100,0,FALSE,TRUE,0.075,0,0,FALSE,30}</f>
        <v>0</v>
      </c>
      <c r="CU11">
        <v>10</v>
      </c>
      <c r="CV11">
        <f si="6" t="shared"/>
        <v>1</v>
      </c>
      <c r="CW11">
        <f si="0" t="shared"/>
        <v>10</v>
      </c>
      <c r="CX11" s="44">
        <f si="1" t="shared"/>
        <v>163.22688862062392</v>
      </c>
      <c r="CY11" s="44">
        <f si="2" t="shared"/>
        <v>383</v>
      </c>
      <c r="CZ11" s="87">
        <f si="3" t="shared"/>
        <v>219.77311137937608</v>
      </c>
      <c r="DA11" s="63">
        <f si="4" t="shared"/>
        <v>1.3464271311951446</v>
      </c>
      <c r="DB11">
        <v>10000</v>
      </c>
    </row>
    <row r="12" spans="2:106" x14ac:dyDescent="0.45">
      <c r="B12" s="119">
        <v>9</v>
      </c>
      <c r="C12" s="30" t="s">
        <v>331</v>
      </c>
      <c r="D12" s="94">
        <f>County_Flow!BX30</f>
        <v>54879.130936305446</v>
      </c>
      <c r="E12" s="87">
        <f>County_Flow!BY30</f>
        <v>52399</v>
      </c>
      <c r="F12" s="87">
        <f>County_Flow!BZ30</f>
        <v>57234</v>
      </c>
      <c r="G12" s="100">
        <f>County_Flow!CA30</f>
        <v>56060</v>
      </c>
      <c r="H12" s="94">
        <f>County_Flow!CB30</f>
        <v>58414.972418132311</v>
      </c>
      <c r="I12" s="87">
        <f>County_Flow!CC30</f>
        <v>48588.228983320296</v>
      </c>
      <c r="J12" s="87">
        <f>County_Flow!CD30</f>
        <v>49804.529843887227</v>
      </c>
      <c r="K12" s="100">
        <f>County_Flow!CE30</f>
        <v>56060</v>
      </c>
      <c r="L12" s="79">
        <f>County_Flow!CF30</f>
        <v>6.9693050279634086E-2</v>
      </c>
      <c r="M12" s="79">
        <f>County_Flow!CG30</f>
        <v>5.7969074457386936E-2</v>
      </c>
      <c r="N12" s="83">
        <f>County_Flow!CH30</f>
        <v>5.9420204424955686E-2</v>
      </c>
      <c r="O12" s="98">
        <f>County_Flow!CI30</f>
        <v>6.6883407402988634E-2</v>
      </c>
      <c r="P12" s="102">
        <f>County_Flow!CJ30</f>
        <v>8.9143329456016981E-3</v>
      </c>
      <c r="Q12" s="98">
        <f>County_Flow!CK30</f>
        <v>0.15377738956578693</v>
      </c>
      <c r="R12" s="139">
        <f si="7" t="shared"/>
        <v>0.86671831935997679</v>
      </c>
      <c r="S12" s="116"/>
      <c r="T12" s="117"/>
      <c r="U12" s="164"/>
      <c r="V12" s="165"/>
      <c r="W12" s="165"/>
      <c r="X12" s="19"/>
      <c r="Y12" s="19"/>
      <c r="Z12" s="19"/>
      <c r="AA12" s="79"/>
      <c r="AB12" s="66"/>
      <c r="AC12" s="66"/>
      <c r="AD12" s="159">
        <v>109</v>
      </c>
      <c r="AE12" s="136">
        <f si="8" t="shared"/>
        <v>-0.14304124615512709</v>
      </c>
      <c r="AF12" s="117">
        <f si="5" t="shared"/>
        <v>1.0504276560955067E-2</v>
      </c>
      <c r="AG12">
        <f>VLOOKUP(AD12,calibration_dist!$T:$W,3,FALSE)</f>
        <v>0.1613318461263</v>
      </c>
      <c r="AH12" s="128">
        <f si="9" t="shared"/>
        <v>0.17183612268725507</v>
      </c>
      <c r="AI12" s="142">
        <v>1</v>
      </c>
      <c r="CU12">
        <v>11</v>
      </c>
      <c r="CV12">
        <f si="6" t="shared"/>
        <v>1</v>
      </c>
      <c r="CW12">
        <f si="0" t="shared"/>
        <v>11</v>
      </c>
      <c r="CX12" s="44">
        <f si="1" t="shared"/>
        <v>366.2842620242709</v>
      </c>
      <c r="CY12" s="44">
        <f si="2" t="shared"/>
        <v>336</v>
      </c>
      <c r="CZ12" s="87">
        <f si="3" t="shared"/>
        <v>-30.284262024270902</v>
      </c>
      <c r="DA12" s="63">
        <f si="4" t="shared"/>
        <v>-8.2679670310989745E-2</v>
      </c>
      <c r="DB12">
        <v>11000</v>
      </c>
    </row>
    <row r="13" spans="2:106" x14ac:dyDescent="0.45">
      <c r="B13" s="119">
        <v>10</v>
      </c>
      <c r="C13" s="30" t="s">
        <v>332</v>
      </c>
      <c r="D13" s="94">
        <f>County_Flow!BX31</f>
        <v>14021.229546144357</v>
      </c>
      <c r="E13" s="87">
        <f>County_Flow!BY31</f>
        <v>20410</v>
      </c>
      <c r="F13" s="87">
        <f>County_Flow!BZ31</f>
        <v>21817</v>
      </c>
      <c r="G13" s="100">
        <f>County_Flow!CA31</f>
        <v>17375</v>
      </c>
      <c r="H13" s="94">
        <f>County_Flow!CB31</f>
        <v>14924.612019766513</v>
      </c>
      <c r="I13" s="87">
        <f>County_Flow!CC31</f>
        <v>18925.661817011151</v>
      </c>
      <c r="J13" s="87">
        <f>County_Flow!CD31</f>
        <v>18624.781390735643</v>
      </c>
      <c r="K13" s="100">
        <f>County_Flow!CE31</f>
        <v>17375</v>
      </c>
      <c r="L13" s="79">
        <f>County_Flow!CF31</f>
        <v>1.7806081092571969E-2</v>
      </c>
      <c r="M13" s="79">
        <f>County_Flow!CG31</f>
        <v>2.2579606665685748E-2</v>
      </c>
      <c r="N13" s="83">
        <f>County_Flow!CH31</f>
        <v>2.2220635775029852E-2</v>
      </c>
      <c r="O13" s="98">
        <f>County_Flow!CI31</f>
        <v>2.0729561249142481E-2</v>
      </c>
      <c r="P13" s="102">
        <f>County_Flow!CJ31</f>
        <v>-1.8500454165432667E-3</v>
      </c>
      <c r="Q13" s="98">
        <f>County_Flow!CK31</f>
        <v>-8.1934350936005471E-2</v>
      </c>
      <c r="R13" s="139">
        <f si="7" t="shared"/>
        <v>1.0892467232812175</v>
      </c>
      <c r="S13" s="116"/>
      <c r="T13" s="117"/>
      <c r="U13" s="164"/>
      <c r="V13" s="165"/>
      <c r="W13" s="165"/>
      <c r="X13" s="19"/>
      <c r="Y13" s="19"/>
      <c r="Z13" s="19"/>
      <c r="AA13" s="79"/>
      <c r="AB13" s="66"/>
      <c r="AC13" s="66"/>
      <c r="AD13" s="159">
        <v>110</v>
      </c>
      <c r="AE13" s="136">
        <f si="8" t="shared"/>
        <v>8.5486377776983355E-2</v>
      </c>
      <c r="AF13" s="117">
        <f si="5" t="shared"/>
        <v>0.2390319004930655</v>
      </c>
      <c r="AG13">
        <f>VLOOKUP(AD13,calibration_dist!$T:$W,3,FALSE)</f>
        <v>-4.5588844644699998E-2</v>
      </c>
      <c r="AH13" s="128">
        <f si="9" t="shared"/>
        <v>0.19344305584836549</v>
      </c>
      <c r="AI13" s="142">
        <v>1</v>
      </c>
      <c r="CU13">
        <v>12</v>
      </c>
      <c r="CV13">
        <f si="6" t="shared"/>
        <v>1</v>
      </c>
      <c r="CW13">
        <f si="0" t="shared"/>
        <v>12</v>
      </c>
      <c r="CX13" s="44">
        <f si="1" t="shared"/>
        <v>1284.7283817269204</v>
      </c>
      <c r="CY13" s="44">
        <f si="2" t="shared"/>
        <v>1683</v>
      </c>
      <c r="CZ13" s="87">
        <f si="3" t="shared"/>
        <v>398.27161827307964</v>
      </c>
      <c r="DA13" s="63">
        <f si="4" t="shared"/>
        <v>0.3100045300919767</v>
      </c>
      <c r="DB13">
        <v>12000</v>
      </c>
    </row>
    <row r="14" spans="2:106" x14ac:dyDescent="0.45">
      <c r="B14" s="119">
        <v>11</v>
      </c>
      <c r="C14" s="30" t="s">
        <v>333</v>
      </c>
      <c r="D14" s="94">
        <f>County_Flow!BX32</f>
        <v>40033.491243339275</v>
      </c>
      <c r="E14" s="87">
        <f>County_Flow!BY32</f>
        <v>57960</v>
      </c>
      <c r="F14" s="87">
        <f>County_Flow!BZ32</f>
        <v>50898</v>
      </c>
      <c r="G14" s="100">
        <f>County_Flow!CA32</f>
        <v>47935</v>
      </c>
      <c r="H14" s="94">
        <f>County_Flow!CB32</f>
        <v>42612.833820116626</v>
      </c>
      <c r="I14" s="87">
        <f>County_Flow!CC32</f>
        <v>53744.799554824414</v>
      </c>
      <c r="J14" s="87">
        <f>County_Flow!CD32</f>
        <v>43380.202212499782</v>
      </c>
      <c r="K14" s="100">
        <f>County_Flow!CE32</f>
        <v>47935</v>
      </c>
      <c r="L14" s="79">
        <f>County_Flow!CF32</f>
        <v>5.0840020067547488E-2</v>
      </c>
      <c r="M14" s="79">
        <f>County_Flow!CG32</f>
        <v>6.4121215205445656E-2</v>
      </c>
      <c r="N14" s="83">
        <f>County_Flow!CH32</f>
        <v>5.1755542950457589E-2</v>
      </c>
      <c r="O14" s="98">
        <f>County_Flow!CI32</f>
        <v>5.7189727682166611E-2</v>
      </c>
      <c r="P14" s="102">
        <f>County_Flow!CJ32</f>
        <v>-6.9314875232790452E-3</v>
      </c>
      <c r="Q14" s="98">
        <f>County_Flow!CK32</f>
        <v>-0.10809975296117551</v>
      </c>
      <c r="R14" s="139">
        <f si="7" t="shared"/>
        <v>1.121201617916437</v>
      </c>
      <c r="S14" s="116"/>
      <c r="T14" s="117"/>
      <c r="U14" s="164"/>
      <c r="V14" s="165"/>
      <c r="W14" s="165"/>
      <c r="X14" s="19"/>
      <c r="Y14" s="19"/>
      <c r="Z14" s="19"/>
      <c r="AA14" s="79"/>
      <c r="AB14" s="66"/>
      <c r="AC14" s="66"/>
      <c r="AD14" s="159">
        <v>111</v>
      </c>
      <c r="AE14" s="136">
        <f si="8" t="shared"/>
        <v>0.11440098332960719</v>
      </c>
      <c r="AF14" s="117">
        <f si="5" t="shared"/>
        <v>0.26794650604568937</v>
      </c>
      <c r="AG14">
        <f>VLOOKUP(AD14,calibration_dist!$T:$W,3,FALSE)</f>
        <v>-0.14910096747439999</v>
      </c>
      <c r="AH14" s="128">
        <f si="9" t="shared"/>
        <v>0.11884553857128938</v>
      </c>
      <c r="AI14" s="142">
        <v>1</v>
      </c>
      <c r="CU14">
        <v>13</v>
      </c>
      <c r="CV14">
        <f si="6" t="shared"/>
        <v>1</v>
      </c>
      <c r="CW14">
        <f si="0" t="shared"/>
        <v>13</v>
      </c>
      <c r="CX14" s="44">
        <f si="1" t="shared"/>
        <v>162.44589872291758</v>
      </c>
      <c r="CY14" s="44">
        <f si="2" t="shared"/>
        <v>47</v>
      </c>
      <c r="CZ14" s="87">
        <f si="3" t="shared"/>
        <v>-115.44589872291758</v>
      </c>
      <c r="DA14" s="63">
        <f si="4" t="shared"/>
        <v>-0.71067290482865653</v>
      </c>
      <c r="DB14">
        <v>13000</v>
      </c>
    </row>
    <row r="15" spans="2:106" x14ac:dyDescent="0.45">
      <c r="B15" s="119">
        <v>12</v>
      </c>
      <c r="C15" s="30" t="s">
        <v>334</v>
      </c>
      <c r="D15" s="94">
        <f>County_Flow!BX33</f>
        <v>150051.4119853304</v>
      </c>
      <c r="E15" s="87">
        <f>County_Flow!BY33</f>
        <v>148223</v>
      </c>
      <c r="F15" s="87">
        <f>County_Flow!BZ33</f>
        <v>162784</v>
      </c>
      <c r="G15" s="100">
        <f>County_Flow!CA33</f>
        <v>162422</v>
      </c>
      <c r="H15" s="94">
        <f>County_Flow!CB33</f>
        <v>159719.16724771252</v>
      </c>
      <c r="I15" s="87">
        <f>County_Flow!CC33</f>
        <v>137443.33030391199</v>
      </c>
      <c r="J15" s="87">
        <f>County_Flow!CD33</f>
        <v>143650.19015566274</v>
      </c>
      <c r="K15" s="100">
        <f>County_Flow!CE33</f>
        <v>162422</v>
      </c>
      <c r="L15" s="79">
        <f>County_Flow!CF33</f>
        <v>0.19055587108624389</v>
      </c>
      <c r="M15" s="79">
        <f>County_Flow!CG33</f>
        <v>0.16397927676667998</v>
      </c>
      <c r="N15" s="83">
        <f>County_Flow!CH33</f>
        <v>0.17138448433282161</v>
      </c>
      <c r="O15" s="98">
        <f>County_Flow!CI33</f>
        <v>0.19378053509112059</v>
      </c>
      <c r="P15" s="102">
        <f>County_Flow!CJ33</f>
        <v>2.980125832444061E-2</v>
      </c>
      <c r="Q15" s="98">
        <f>County_Flow!CK33</f>
        <v>0.18173795440532228</v>
      </c>
      <c r="R15" s="139">
        <f si="7" t="shared"/>
        <v>0.84621129098220682</v>
      </c>
      <c r="S15" s="116"/>
      <c r="T15" s="117"/>
      <c r="U15" s="164"/>
      <c r="V15" s="165"/>
      <c r="W15" s="165"/>
      <c r="X15" s="19"/>
      <c r="Y15" s="19"/>
      <c r="Z15" s="19"/>
      <c r="AA15" s="79"/>
      <c r="AB15" s="66"/>
      <c r="AC15" s="66"/>
      <c r="AD15" s="159">
        <v>112</v>
      </c>
      <c r="AE15" s="136">
        <f si="8" t="shared"/>
        <v>-0.16698619762493525</v>
      </c>
      <c r="AF15" s="117">
        <f si="5" t="shared"/>
        <v>-1.344067490885309E-2</v>
      </c>
      <c r="AG15">
        <f>VLOOKUP(AD15,calibration_dist!$T:$W,3,FALSE)</f>
        <v>0.17468608903999999</v>
      </c>
      <c r="AH15" s="128">
        <f si="9" t="shared"/>
        <v>0.1612454141311469</v>
      </c>
      <c r="AI15" s="142">
        <v>1</v>
      </c>
      <c r="CU15">
        <v>14</v>
      </c>
      <c r="CV15">
        <f si="6" t="shared"/>
        <v>1</v>
      </c>
      <c r="CW15">
        <f si="0" t="shared"/>
        <v>14</v>
      </c>
      <c r="CX15" s="44">
        <f si="1" t="shared"/>
        <v>35.925535294491389</v>
      </c>
      <c r="CY15" s="44">
        <f si="2" t="shared"/>
        <v>17</v>
      </c>
      <c r="CZ15" s="87">
        <f si="3" t="shared"/>
        <v>-18.925535294491389</v>
      </c>
      <c r="DA15" s="63">
        <f si="4" t="shared"/>
        <v>-0.52679897848017088</v>
      </c>
      <c r="DB15">
        <v>14000</v>
      </c>
    </row>
    <row r="16" spans="2:106" x14ac:dyDescent="0.45">
      <c r="B16" s="119">
        <v>13</v>
      </c>
      <c r="C16" s="30" t="s">
        <v>335</v>
      </c>
      <c r="D16" s="94">
        <f>County_Flow!BX34</f>
        <v>58699.074960954094</v>
      </c>
      <c r="E16" s="87">
        <f>County_Flow!BY34</f>
        <v>100852</v>
      </c>
      <c r="F16" s="87">
        <f>County_Flow!BZ34</f>
        <v>65336</v>
      </c>
      <c r="G16" s="100">
        <f>County_Flow!CA34</f>
        <v>80256</v>
      </c>
      <c r="H16" s="94">
        <f>County_Flow!CB34</f>
        <v>62481.033979814951</v>
      </c>
      <c r="I16" s="87">
        <f>County_Flow!CC34</f>
        <v>93517.434863753486</v>
      </c>
      <c r="J16" s="87">
        <f>County_Flow!CD34</f>
        <v>60163.184984376487</v>
      </c>
      <c r="K16" s="100">
        <f>County_Flow!CE34</f>
        <v>80256</v>
      </c>
      <c r="L16" s="79">
        <f>County_Flow!CF34</f>
        <v>7.4544139326292169E-2</v>
      </c>
      <c r="M16" s="79">
        <f>County_Flow!CG34</f>
        <v>0.11157268453933067</v>
      </c>
      <c r="N16" s="83">
        <f>County_Flow!CH34</f>
        <v>7.1778787227460256E-2</v>
      </c>
      <c r="O16" s="98">
        <f>County_Flow!CI34</f>
        <v>9.5750887344528288E-2</v>
      </c>
      <c r="P16" s="102">
        <f>County_Flow!CJ34</f>
        <v>-1.5821797194802381E-2</v>
      </c>
      <c r="Q16" s="98">
        <f>County_Flow!CK34</f>
        <v>-0.14180708531060765</v>
      </c>
      <c r="R16" s="139">
        <f si="7" t="shared"/>
        <v>1.165239170451474</v>
      </c>
      <c r="S16" s="116"/>
      <c r="T16" s="117"/>
      <c r="U16" s="164"/>
      <c r="V16" s="165"/>
      <c r="W16" s="165"/>
      <c r="X16" s="19"/>
      <c r="Y16" s="19"/>
      <c r="Z16" s="19"/>
      <c r="AA16" s="79"/>
      <c r="AB16" s="66"/>
      <c r="AC16" s="66"/>
      <c r="AD16" s="159">
        <v>113</v>
      </c>
      <c r="AE16" s="136">
        <f si="8" t="shared"/>
        <v>0.15292636247208644</v>
      </c>
      <c r="AF16" s="117">
        <f si="5" t="shared"/>
        <v>0.30647188518816859</v>
      </c>
      <c r="AG16">
        <f>VLOOKUP(AD16,calibration_dist!$T:$W,3,FALSE)</f>
        <v>1.3048994599762</v>
      </c>
      <c r="AH16" s="128">
        <f si="9" t="shared"/>
        <v>1.6113713451643688</v>
      </c>
      <c r="AI16" s="142">
        <v>1</v>
      </c>
      <c r="CU16">
        <v>15</v>
      </c>
      <c r="CV16">
        <f si="6" t="shared"/>
        <v>1</v>
      </c>
      <c r="CW16">
        <f si="0" t="shared"/>
        <v>15</v>
      </c>
      <c r="CX16" s="44">
        <f si="1" t="shared"/>
        <v>36.706525192197724</v>
      </c>
      <c r="CY16" s="44">
        <f si="2" t="shared"/>
        <v>34</v>
      </c>
      <c r="CZ16" s="87">
        <f si="3" t="shared"/>
        <v>-2.7065251921977236</v>
      </c>
      <c r="DA16" s="63">
        <f si="4" t="shared"/>
        <v>-7.3734170642036634E-2</v>
      </c>
      <c r="DB16">
        <v>15000</v>
      </c>
    </row>
    <row r="17" spans="2:106" x14ac:dyDescent="0.45">
      <c r="B17" s="119">
        <v>14</v>
      </c>
      <c r="C17" s="30" t="s">
        <v>336</v>
      </c>
      <c r="D17" s="94">
        <f>County_Flow!BX35</f>
        <v>13303.423145710443</v>
      </c>
      <c r="E17" s="87">
        <f>County_Flow!BY35</f>
        <v>15338</v>
      </c>
      <c r="F17" s="87">
        <f>County_Flow!BZ35</f>
        <v>11928</v>
      </c>
      <c r="G17" s="100">
        <f>County_Flow!CA35</f>
        <v>14989</v>
      </c>
      <c r="H17" s="94">
        <f>County_Flow!CB35</f>
        <v>14160.557626638967</v>
      </c>
      <c r="I17" s="87">
        <f>County_Flow!CC35</f>
        <v>14222.528218976826</v>
      </c>
      <c r="J17" s="87">
        <f>County_Flow!CD35</f>
        <v>9443.1786011355562</v>
      </c>
      <c r="K17" s="100">
        <f>County_Flow!CE35</f>
        <v>14989</v>
      </c>
      <c r="L17" s="79">
        <f>County_Flow!CF35</f>
        <v>1.6894512037031604E-2</v>
      </c>
      <c r="M17" s="79">
        <f>County_Flow!CG35</f>
        <v>1.6968447184629493E-2</v>
      </c>
      <c r="N17" s="83">
        <f>County_Flow!CH35</f>
        <v>1.1266356788421937E-2</v>
      </c>
      <c r="O17" s="98">
        <f>County_Flow!CI35</f>
        <v>1.7882900348972469E-2</v>
      </c>
      <c r="P17" s="102">
        <f>County_Flow!CJ35</f>
        <v>9.1445316434297583E-4</v>
      </c>
      <c r="Q17" s="98">
        <f>County_Flow!CK35</f>
        <v>5.3891387608602993E-2</v>
      </c>
      <c r="R17" s="139">
        <f si="7" t="shared"/>
        <v>0.94886438181178367</v>
      </c>
      <c r="S17" s="116"/>
      <c r="T17" s="117"/>
      <c r="U17" s="164"/>
      <c r="V17" s="165"/>
      <c r="W17" s="165"/>
      <c r="X17" s="19"/>
      <c r="Y17" s="19"/>
      <c r="Z17" s="19"/>
      <c r="AA17" s="79"/>
      <c r="AB17" s="66"/>
      <c r="AC17" s="66"/>
      <c r="AD17" s="159">
        <v>114</v>
      </c>
      <c r="AE17" s="136">
        <f si="8" t="shared"/>
        <v>-5.2489396999705715E-2</v>
      </c>
      <c r="AF17" s="117">
        <f si="5" t="shared"/>
        <v>0.10105612571637644</v>
      </c>
      <c r="AG17">
        <f>VLOOKUP(AD17,calibration_dist!$T:$W,3,FALSE)</f>
        <v>4.9409553856600001E-2</v>
      </c>
      <c r="AH17" s="128">
        <f si="9" t="shared"/>
        <v>0.15046567957297644</v>
      </c>
      <c r="AI17" s="142">
        <v>1</v>
      </c>
      <c r="CU17">
        <v>16</v>
      </c>
      <c r="CV17">
        <f si="6" t="shared"/>
        <v>1</v>
      </c>
      <c r="CW17">
        <f si="0" t="shared"/>
        <v>16</v>
      </c>
      <c r="CX17" s="44">
        <f si="1" t="shared"/>
        <v>10.152868670182349</v>
      </c>
      <c r="CY17" s="44">
        <f si="2" t="shared"/>
        <v>41</v>
      </c>
      <c r="CZ17" s="87">
        <f si="3" t="shared"/>
        <v>30.84713132981765</v>
      </c>
      <c r="DA17" s="63">
        <f si="4" t="shared"/>
        <v>3.0382675411149216</v>
      </c>
      <c r="DB17">
        <v>16000</v>
      </c>
    </row>
    <row r="18" spans="2:106" x14ac:dyDescent="0.45">
      <c r="B18" s="119">
        <v>15</v>
      </c>
      <c r="C18" s="30" t="s">
        <v>337</v>
      </c>
      <c r="D18" s="94">
        <f>County_Flow!BX36</f>
        <v>18530.92040310935</v>
      </c>
      <c r="E18" s="87">
        <f>County_Flow!BY36</f>
        <v>37987</v>
      </c>
      <c r="F18" s="87">
        <f>County_Flow!BZ36</f>
        <v>31047</v>
      </c>
      <c r="G18" s="100">
        <f>County_Flow!CA36</f>
        <v>32841</v>
      </c>
      <c r="H18" s="94">
        <f>County_Flow!CB36</f>
        <v>19724.860539183908</v>
      </c>
      <c r="I18" s="87">
        <f>County_Flow!CC36</f>
        <v>35224.356464615514</v>
      </c>
      <c r="J18" s="87">
        <f>County_Flow!CD36</f>
        <v>27272.251839650497</v>
      </c>
      <c r="K18" s="100">
        <f>County_Flow!CE36</f>
        <v>32841</v>
      </c>
      <c r="L18" s="79">
        <f>County_Flow!CF36</f>
        <v>2.3533105305197487E-2</v>
      </c>
      <c r="M18" s="79">
        <f>County_Flow!CG36</f>
        <v>4.2025062146467639E-2</v>
      </c>
      <c r="N18" s="83">
        <f>County_Flow!CH36</f>
        <v>3.2537658412205683E-2</v>
      </c>
      <c r="O18" s="98">
        <f>County_Flow!CI36</f>
        <v>3.9181555164494286E-2</v>
      </c>
      <c r="P18" s="102">
        <f>County_Flow!CJ36</f>
        <v>-2.8435069819733524E-3</v>
      </c>
      <c r="Q18" s="98">
        <f>County_Flow!CK36</f>
        <v>-6.7662171969265217E-2</v>
      </c>
      <c r="R18" s="139">
        <f si="7" t="shared"/>
        <v>1.0725725911091475</v>
      </c>
      <c r="S18" s="116"/>
      <c r="T18" s="117"/>
      <c r="U18" s="164"/>
      <c r="V18" s="165"/>
      <c r="W18" s="165"/>
      <c r="X18" s="19"/>
      <c r="Y18" s="19"/>
      <c r="Z18" s="19"/>
      <c r="AA18" s="79"/>
      <c r="AB18" s="66"/>
      <c r="AC18" s="66"/>
      <c r="AD18" s="159">
        <v>115</v>
      </c>
      <c r="AE18" s="136">
        <f si="8" t="shared"/>
        <v>7.0060053547428336E-2</v>
      </c>
      <c r="AF18" s="117">
        <f si="5" t="shared"/>
        <v>0.22360557626351049</v>
      </c>
      <c r="AG18">
        <f>VLOOKUP(AD18,calibration_dist!$T:$W,3,FALSE)</f>
        <v>0.21697886195819999</v>
      </c>
      <c r="AH18" s="128">
        <f si="9" t="shared"/>
        <v>0.44058443822171045</v>
      </c>
      <c r="AI18" s="142">
        <v>1</v>
      </c>
      <c r="CU18">
        <v>17</v>
      </c>
      <c r="CV18">
        <f si="6" t="shared"/>
        <v>1</v>
      </c>
      <c r="CW18">
        <f si="0" t="shared"/>
        <v>17</v>
      </c>
      <c r="CX18" s="44">
        <f si="1" t="shared"/>
        <v>16.400787851833027</v>
      </c>
      <c r="CY18" s="44">
        <f si="2" t="shared"/>
        <v>20</v>
      </c>
      <c r="CZ18" s="87">
        <f si="3" t="shared"/>
        <v>3.5992121481669734</v>
      </c>
      <c r="DA18" s="63">
        <f si="4" t="shared"/>
        <v>0.2194536128802318</v>
      </c>
      <c r="DB18">
        <v>17000</v>
      </c>
    </row>
    <row r="19" spans="2:106" x14ac:dyDescent="0.45">
      <c r="B19" s="119">
        <v>16</v>
      </c>
      <c r="C19" s="30" t="s">
        <v>338</v>
      </c>
      <c r="D19" s="94">
        <f>County_Flow!BX37</f>
        <v>2059.7893251669652</v>
      </c>
      <c r="E19" s="87">
        <f>County_Flow!BY37</f>
        <v>5063</v>
      </c>
      <c r="F19" s="87">
        <f>County_Flow!BZ37</f>
        <v>5518</v>
      </c>
      <c r="G19" s="100">
        <f>County_Flow!CA37</f>
        <v>4087</v>
      </c>
      <c r="H19" s="94">
        <f>County_Flow!CB37</f>
        <v>2192.5007660278366</v>
      </c>
      <c r="I19" s="87">
        <f>County_Flow!CC37</f>
        <v>4694.7881322649419</v>
      </c>
      <c r="J19" s="87">
        <f>County_Flow!CD37</f>
        <v>4634.5352202811782</v>
      </c>
      <c r="K19" s="100">
        <f>County_Flow!CE37</f>
        <v>4087</v>
      </c>
      <c r="L19" s="79">
        <f>County_Flow!CF37</f>
        <v>2.6158031032037891E-3</v>
      </c>
      <c r="M19" s="79">
        <f>County_Flow!CG37</f>
        <v>5.6012027706206242E-3</v>
      </c>
      <c r="N19" s="83">
        <f>County_Flow!CH37</f>
        <v>5.5293169329569351E-3</v>
      </c>
      <c r="O19" s="98">
        <f>County_Flow!CI37</f>
        <v>4.8760700331076448E-3</v>
      </c>
      <c r="P19" s="102">
        <f>County_Flow!CJ37</f>
        <v>-7.2513273751297937E-4</v>
      </c>
      <c r="Q19" s="98">
        <f>County_Flow!CK37</f>
        <v>-0.12946018332284615</v>
      </c>
      <c r="R19" s="139">
        <f si="7" t="shared"/>
        <v>1.1487125354208323</v>
      </c>
      <c r="S19" s="116"/>
      <c r="T19" s="117"/>
      <c r="U19" s="164"/>
      <c r="V19" s="165"/>
      <c r="W19" s="165"/>
      <c r="X19" s="19"/>
      <c r="Y19" s="19"/>
      <c r="Z19" s="19"/>
      <c r="AA19" s="79"/>
      <c r="AB19" s="66"/>
      <c r="AC19" s="66"/>
      <c r="AD19" s="159">
        <v>116</v>
      </c>
      <c r="AE19" s="136">
        <f si="8" t="shared"/>
        <v>0.13864178081171744</v>
      </c>
      <c r="AF19" s="117">
        <f si="5" t="shared"/>
        <v>0.29218730352779959</v>
      </c>
      <c r="AG19">
        <f>VLOOKUP(AD19,calibration_dist!$T:$W,3,FALSE)</f>
        <v>-0.46096256471820002</v>
      </c>
      <c r="AH19" s="128">
        <f si="9" t="shared"/>
        <v>-0.16877526119040043</v>
      </c>
      <c r="AI19" s="142">
        <v>1</v>
      </c>
      <c r="CU19">
        <v>18</v>
      </c>
      <c r="CV19">
        <f si="6" t="shared"/>
        <v>1</v>
      </c>
      <c r="CW19">
        <f si="0" t="shared"/>
        <v>18</v>
      </c>
      <c r="CX19" s="44">
        <f si="1" t="shared"/>
        <v>31.239595908253381</v>
      </c>
      <c r="CY19" s="44">
        <f si="2" t="shared"/>
        <v>25</v>
      </c>
      <c r="CZ19" s="87">
        <f si="3" t="shared"/>
        <v>-6.2395959082533814</v>
      </c>
      <c r="DA19" s="63">
        <f si="4" t="shared"/>
        <v>-0.19973356654734781</v>
      </c>
      <c r="DB19">
        <v>18000</v>
      </c>
    </row>
    <row r="20" spans="2:106" x14ac:dyDescent="0.45">
      <c r="B20" s="119">
        <v>17</v>
      </c>
      <c r="C20" s="30" t="s">
        <v>339</v>
      </c>
      <c r="D20" s="94">
        <f>County_Flow!BX38</f>
        <v>9135.2817345814929</v>
      </c>
      <c r="E20" s="87">
        <f>County_Flow!BY38</f>
        <v>15286</v>
      </c>
      <c r="F20" s="87">
        <f>County_Flow!BZ38</f>
        <v>11837</v>
      </c>
      <c r="G20" s="100">
        <f>County_Flow!CA38</f>
        <v>15046</v>
      </c>
      <c r="H20" s="94">
        <f>County_Flow!CB38</f>
        <v>9723.8644536263346</v>
      </c>
      <c r="I20" s="87">
        <f>County_Flow!CC38</f>
        <v>14174.309972309282</v>
      </c>
      <c r="J20" s="87">
        <f>County_Flow!CD38</f>
        <v>9966.6835237006999</v>
      </c>
      <c r="K20" s="100">
        <f>County_Flow!CE38</f>
        <v>15046</v>
      </c>
      <c r="L20" s="79">
        <f>County_Flow!CF38</f>
        <v>1.160123417380181E-2</v>
      </c>
      <c r="M20" s="79">
        <f>County_Flow!CG38</f>
        <v>1.6910919524334753E-2</v>
      </c>
      <c r="N20" s="83">
        <f>County_Flow!CH38</f>
        <v>1.1890933902467505E-2</v>
      </c>
      <c r="O20" s="98">
        <f>County_Flow!CI38</f>
        <v>1.795090524055239E-2</v>
      </c>
      <c r="P20" s="102">
        <f>County_Flow!CJ38</f>
        <v>1.0399857162176375E-3</v>
      </c>
      <c r="Q20" s="98">
        <f>County_Flow!CK38</f>
        <v>6.149788098282305E-2</v>
      </c>
      <c r="R20" s="139">
        <f si="7" t="shared"/>
        <v>0.94206499882422445</v>
      </c>
      <c r="S20" s="116"/>
      <c r="T20" s="117"/>
      <c r="U20" s="164"/>
      <c r="V20" s="165"/>
      <c r="W20" s="165"/>
      <c r="X20" s="19"/>
      <c r="Y20" s="19"/>
      <c r="Z20" s="19"/>
      <c r="AA20" s="79"/>
      <c r="AB20" s="66"/>
      <c r="AC20" s="66"/>
      <c r="AD20" s="159">
        <v>117</v>
      </c>
      <c r="AE20" s="136">
        <f si="8" t="shared"/>
        <v>-5.9681005911251986E-2</v>
      </c>
      <c r="AF20" s="117">
        <f si="5" t="shared"/>
        <v>9.386451680483017E-2</v>
      </c>
      <c r="AG20">
        <f>VLOOKUP(AD20,calibration_dist!$T:$W,3,FALSE)</f>
        <v>-6.5598826231399995E-2</v>
      </c>
      <c r="AH20" s="128">
        <f si="9" t="shared"/>
        <v>2.8265690573430174E-2</v>
      </c>
      <c r="AI20" s="142">
        <v>1</v>
      </c>
      <c r="CU20">
        <v>19</v>
      </c>
      <c r="CV20">
        <f si="6" t="shared"/>
        <v>1</v>
      </c>
      <c r="CW20">
        <f si="0" t="shared"/>
        <v>19</v>
      </c>
      <c r="CX20" s="44">
        <f si="1" t="shared"/>
        <v>117.14848465595018</v>
      </c>
      <c r="CY20" s="44">
        <f si="2" t="shared"/>
        <v>23</v>
      </c>
      <c r="CZ20" s="87">
        <f si="3" t="shared"/>
        <v>-94.148484655950185</v>
      </c>
      <c r="DA20" s="63">
        <f si="4" t="shared"/>
        <v>-0.80366796832628262</v>
      </c>
      <c r="DB20">
        <v>19000</v>
      </c>
    </row>
    <row r="21" spans="2:106" x14ac:dyDescent="0.45">
      <c r="B21" s="119">
        <v>18</v>
      </c>
      <c r="C21" s="30" t="s">
        <v>340</v>
      </c>
      <c r="D21" s="94">
        <f>County_Flow!BX39</f>
        <v>13074.167718361357</v>
      </c>
      <c r="E21" s="87">
        <f>County_Flow!BY39</f>
        <v>23663</v>
      </c>
      <c r="F21" s="87">
        <f>County_Flow!BZ39</f>
        <v>23748</v>
      </c>
      <c r="G21" s="100">
        <f>County_Flow!CA39</f>
        <v>23721</v>
      </c>
      <c r="H21" s="94">
        <f>County_Flow!CB39</f>
        <v>13916.531359516643</v>
      </c>
      <c r="I21" s="87">
        <f>County_Flow!CC39</f>
        <v>21942.0840556558</v>
      </c>
      <c r="J21" s="87">
        <f>County_Flow!CD39</f>
        <v>20461.11622888859</v>
      </c>
      <c r="K21" s="100">
        <f>County_Flow!CE39</f>
        <v>23721</v>
      </c>
      <c r="L21" s="79">
        <f>County_Flow!CF39</f>
        <v>1.6603372039868333E-2</v>
      </c>
      <c r="M21" s="79">
        <f>County_Flow!CG39</f>
        <v>2.6178404337585587E-2</v>
      </c>
      <c r="N21" s="83">
        <f>County_Flow!CH39</f>
        <v>2.4411508609644278E-2</v>
      </c>
      <c r="O21" s="98">
        <f>County_Flow!CI39</f>
        <v>2.8300772511706984E-2</v>
      </c>
      <c r="P21" s="102">
        <f>County_Flow!CJ39</f>
        <v>2.1223681741213973E-3</v>
      </c>
      <c r="Q21" s="98">
        <f>County_Flow!CK39</f>
        <v>8.1073244448066295E-2</v>
      </c>
      <c r="R21" s="139">
        <f si="7" t="shared"/>
        <v>0.92500670526772888</v>
      </c>
      <c r="S21" s="116"/>
      <c r="T21" s="117"/>
      <c r="U21" s="164"/>
      <c r="V21" s="165"/>
      <c r="W21" s="165"/>
      <c r="X21" s="19"/>
      <c r="Y21" s="19"/>
      <c r="Z21" s="19"/>
      <c r="AA21" s="79"/>
      <c r="AB21" s="66"/>
      <c r="AC21" s="66"/>
      <c r="AD21" s="159">
        <v>118</v>
      </c>
      <c r="AE21" s="136">
        <f si="8" t="shared"/>
        <v>-7.7954292557900012E-2</v>
      </c>
      <c r="AF21" s="117">
        <f si="5" t="shared"/>
        <v>7.5591230158182143E-2</v>
      </c>
      <c r="AG21">
        <f>VLOOKUP(AD21,calibration_dist!$T:$W,3,FALSE)</f>
        <v>0.30646725571720002</v>
      </c>
      <c r="AH21" s="128">
        <f si="9" t="shared"/>
        <v>0.38205848587538216</v>
      </c>
      <c r="AI21" s="142">
        <v>1</v>
      </c>
      <c r="CU21">
        <v>20</v>
      </c>
      <c r="CV21">
        <f si="6" t="shared"/>
        <v>1</v>
      </c>
      <c r="CW21">
        <f si="0" t="shared"/>
        <v>20</v>
      </c>
      <c r="CX21" s="44">
        <f si="1" t="shared"/>
        <v>11.714848465595018</v>
      </c>
      <c r="CY21" s="44">
        <f si="2" t="shared"/>
        <v>1</v>
      </c>
      <c r="CZ21" s="87">
        <f si="3" t="shared"/>
        <v>-10.714848465595018</v>
      </c>
      <c r="DA21" s="63">
        <f si="4" t="shared"/>
        <v>-0.91463824709838382</v>
      </c>
      <c r="DB21">
        <v>20000</v>
      </c>
    </row>
    <row r="22" spans="2:106" x14ac:dyDescent="0.45">
      <c r="B22" s="119">
        <v>19</v>
      </c>
      <c r="C22" s="30" t="s">
        <v>341</v>
      </c>
      <c r="D22" s="94">
        <f>County_Flow!BX40</f>
        <v>16912.63761576551</v>
      </c>
      <c r="E22" s="87">
        <f>County_Flow!BY40</f>
        <v>36765</v>
      </c>
      <c r="F22" s="87">
        <f>County_Flow!BZ40</f>
        <v>29164</v>
      </c>
      <c r="G22" s="100">
        <f>County_Flow!CA40</f>
        <v>28364</v>
      </c>
      <c r="H22" s="94">
        <f>County_Flow!CB40</f>
        <v>18002.312408872851</v>
      </c>
      <c r="I22" s="87">
        <f>County_Flow!CC40</f>
        <v>34091.227667928222</v>
      </c>
      <c r="J22" s="87">
        <f>County_Flow!CD40</f>
        <v>25375.529779971108</v>
      </c>
      <c r="K22" s="100">
        <f>County_Flow!CE40</f>
        <v>28364</v>
      </c>
      <c r="L22" s="79">
        <f>County_Flow!CF40</f>
        <v>2.147798778163611E-2</v>
      </c>
      <c r="M22" s="79">
        <f>County_Flow!CG40</f>
        <v>4.0673162129541231E-2</v>
      </c>
      <c r="N22" s="83">
        <f>County_Flow!CH40</f>
        <v>3.0274739499473392E-2</v>
      </c>
      <c r="O22" s="98">
        <f>County_Flow!CI40</f>
        <v>3.3840188504787184E-2</v>
      </c>
      <c r="P22" s="102">
        <f>County_Flow!CJ40</f>
        <v>-6.8329736247540462E-3</v>
      </c>
      <c r="Q22" s="98">
        <f>County_Flow!CK40</f>
        <v>-0.16799710833869994</v>
      </c>
      <c r="R22" s="139">
        <f si="7" t="shared"/>
        <v>1.2019188995885004</v>
      </c>
      <c r="S22" s="116"/>
      <c r="T22" s="117"/>
      <c r="U22" s="164"/>
      <c r="V22" s="165"/>
      <c r="W22" s="165"/>
      <c r="X22" s="19"/>
      <c r="Y22" s="19"/>
      <c r="Z22" s="19"/>
      <c r="AA22" s="79"/>
      <c r="AB22" s="66"/>
      <c r="AC22" s="66"/>
      <c r="AD22" s="159">
        <v>119</v>
      </c>
      <c r="AE22" s="136">
        <f si="8" t="shared"/>
        <v>0.18391936261252109</v>
      </c>
      <c r="AF22" s="117">
        <f si="5" t="shared"/>
        <v>0.33746488532860325</v>
      </c>
      <c r="AG22">
        <f>VLOOKUP(AD22,calibration_dist!$T:$W,3,FALSE)</f>
        <v>0.1628137198364</v>
      </c>
      <c r="AH22" s="128">
        <f si="9" t="shared"/>
        <v>0.50027860516500322</v>
      </c>
      <c r="AI22" s="142">
        <v>1</v>
      </c>
      <c r="CU22">
        <v>21</v>
      </c>
      <c r="CV22">
        <f si="6" t="shared"/>
        <v>2</v>
      </c>
      <c r="CW22">
        <f si="0" t="shared"/>
        <v>1</v>
      </c>
      <c r="CX22" s="44">
        <f si="1" t="shared"/>
        <v>1348.5826771653542</v>
      </c>
      <c r="CY22" s="44">
        <f si="2" t="shared"/>
        <v>1780</v>
      </c>
      <c r="CZ22" s="87">
        <f si="3" t="shared"/>
        <v>431.4173228346458</v>
      </c>
      <c r="DA22" s="63">
        <f si="4" t="shared"/>
        <v>0.31990424475973622</v>
      </c>
      <c r="DB22">
        <v>21000</v>
      </c>
    </row>
    <row r="23" spans="2:106" x14ac:dyDescent="0.45">
      <c r="B23" s="119">
        <v>20</v>
      </c>
      <c r="C23" s="30" t="s">
        <v>342</v>
      </c>
      <c r="D23" s="94">
        <f>County_Flow!BX41</f>
        <v>17257.161403342958</v>
      </c>
      <c r="E23" s="87">
        <f>County_Flow!BY41</f>
        <v>30183</v>
      </c>
      <c r="F23" s="87">
        <f>County_Flow!BZ41</f>
        <v>22156</v>
      </c>
      <c r="G23" s="100">
        <f>County_Flow!CA41</f>
        <v>22517</v>
      </c>
      <c r="H23" s="94">
        <f>County_Flow!CB41</f>
        <v>18369.033732723354</v>
      </c>
      <c r="I23" s="87">
        <f>County_Flow!CC41</f>
        <v>27987.910368586356</v>
      </c>
      <c r="J23" s="87">
        <f>County_Flow!CD41</f>
        <v>18619.81244219459</v>
      </c>
      <c r="K23" s="100">
        <f>County_Flow!CE41</f>
        <v>22517</v>
      </c>
      <c r="L23" s="79">
        <f>County_Flow!CF41</f>
        <v>2.1915511358276431E-2</v>
      </c>
      <c r="M23" s="79">
        <f>County_Flow!CG41</f>
        <v>3.3391487897618463E-2</v>
      </c>
      <c r="N23" s="83">
        <f>County_Flow!CH41</f>
        <v>2.2214707480173703E-2</v>
      </c>
      <c r="O23" s="98">
        <f>County_Flow!CI41</f>
        <v>2.6864318310615323E-2</v>
      </c>
      <c r="P23" s="103">
        <f>County_Flow!CJ41</f>
        <v>-6.5271695870031399E-3</v>
      </c>
      <c r="Q23" s="99">
        <f>Flow_ODData!CK41</f>
        <v>0</v>
      </c>
      <c r="R23" s="140">
        <f si="7" t="shared"/>
        <v>1.2429679961178823</v>
      </c>
      <c r="S23" s="116"/>
      <c r="T23" s="117"/>
      <c r="U23" s="164"/>
      <c r="V23" s="165"/>
      <c r="W23" s="165"/>
      <c r="X23" s="19"/>
      <c r="Y23" s="19"/>
      <c r="Z23" s="19"/>
      <c r="AA23" s="79"/>
      <c r="AB23" s="66"/>
      <c r="AC23" s="66"/>
      <c r="AD23" s="159">
        <v>120</v>
      </c>
      <c r="AE23" s="136">
        <f si="8" t="shared"/>
        <v>0.21750206490658583</v>
      </c>
      <c r="AF23" s="117">
        <f si="5" t="shared"/>
        <v>0.37104758762266798</v>
      </c>
      <c r="AG23">
        <f>VLOOKUP(AD23,calibration_dist!$T:$W,3,FALSE)</f>
        <v>-0.40270863939919999</v>
      </c>
      <c r="AH23" s="128">
        <f si="9" t="shared"/>
        <v>-3.1661051776532001E-2</v>
      </c>
      <c r="AI23" s="142">
        <v>1</v>
      </c>
      <c r="CU23">
        <v>22</v>
      </c>
      <c r="CV23">
        <f si="6" t="shared"/>
        <v>2</v>
      </c>
      <c r="CW23">
        <f si="0" t="shared"/>
        <v>2</v>
      </c>
      <c r="CX23" s="44">
        <f si="1" t="shared"/>
        <v>4893.8740157480315</v>
      </c>
      <c r="CY23" s="44">
        <f si="2" t="shared"/>
        <v>2032</v>
      </c>
      <c r="CZ23" s="87">
        <f si="3" t="shared"/>
        <v>-2861.8740157480315</v>
      </c>
      <c r="DA23" s="63">
        <f si="4" t="shared"/>
        <v>-0.58478702282461437</v>
      </c>
      <c r="DB23">
        <v>22000</v>
      </c>
    </row>
    <row ht="14.65" r="24" spans="2:106" thickBot="1" x14ac:dyDescent="0.5">
      <c r="B24" s="141"/>
      <c r="C24" s="89" t="s">
        <v>218</v>
      </c>
      <c r="D24" s="95">
        <f>County_Flow!BX42</f>
        <v>787440.5082875588</v>
      </c>
      <c r="E24" s="90">
        <f>County_Flow!BY42</f>
        <v>903913</v>
      </c>
      <c r="F24" s="90">
        <f>County_Flow!BZ42</f>
        <v>959408</v>
      </c>
      <c r="G24" s="101">
        <f>County_Flow!CA42</f>
        <v>838175</v>
      </c>
      <c r="H24" s="95">
        <f>County_Flow!CB42</f>
        <v>838175.00000000023</v>
      </c>
      <c r="I24" s="90">
        <f>County_Flow!CC42</f>
        <v>838175</v>
      </c>
      <c r="J24" s="90">
        <f>County_Flow!CD42</f>
        <v>838174.99999999988</v>
      </c>
      <c r="K24" s="101">
        <f>County_Flow!CE42</f>
        <v>838175</v>
      </c>
      <c r="L24" s="107">
        <f>County_Flow!CF42</f>
        <v>1</v>
      </c>
      <c r="M24" s="107">
        <f>County_Flow!CG42</f>
        <v>1</v>
      </c>
      <c r="N24" s="107">
        <f>County_Flow!CH42</f>
        <v>1</v>
      </c>
      <c r="O24" s="108">
        <f>County_Flow!CI42</f>
        <v>1</v>
      </c>
      <c r="P24" s="96"/>
      <c r="Q24" s="114"/>
      <c r="R24" s="140">
        <f>V24/W24</f>
        <v>1.0401936518230877</v>
      </c>
      <c r="S24" t="s">
        <v>411</v>
      </c>
      <c r="T24" s="117"/>
      <c r="V24" s="87">
        <f>N41</f>
        <v>64122.737666634232</v>
      </c>
      <c r="W24" s="87">
        <f>BK41</f>
        <v>61645</v>
      </c>
      <c r="X24" s="19">
        <f>M68</f>
        <v>1.940846792983716E-3</v>
      </c>
      <c r="Y24" s="19">
        <f>AK68</f>
        <v>1.059444626718764E-3</v>
      </c>
      <c r="Z24" s="38"/>
      <c r="AA24" s="38"/>
      <c r="AC24" s="36"/>
      <c r="AD24" s="159">
        <v>121</v>
      </c>
      <c r="AE24" s="136">
        <f>LN(R24)</f>
        <v>3.9406899495574334E-2</v>
      </c>
      <c r="AF24" s="117">
        <f>AE24-AF14</f>
        <v>-0.22853960655011504</v>
      </c>
      <c r="AG24">
        <f>VLOOKUP(AD24,calibration_dist!$T:$W,3,FALSE)</f>
        <v>-0.47819038789149998</v>
      </c>
      <c r="AH24" s="128">
        <f>AG24+AI24*(AF24-(AF15*AI15))</f>
        <v>-0.47819038789149998</v>
      </c>
      <c r="AI24" s="142">
        <v>0</v>
      </c>
      <c r="CU24">
        <v>23</v>
      </c>
      <c r="CV24">
        <f si="6" t="shared"/>
        <v>2</v>
      </c>
      <c r="CW24">
        <f si="0" t="shared"/>
        <v>3</v>
      </c>
      <c r="CX24" s="44">
        <f si="1" t="shared"/>
        <v>443.55118110236219</v>
      </c>
      <c r="CY24" s="44">
        <f si="2" t="shared"/>
        <v>691</v>
      </c>
      <c r="CZ24" s="87">
        <f si="3" t="shared"/>
        <v>247.44881889763781</v>
      </c>
      <c r="DA24" s="63">
        <f si="4" t="shared"/>
        <v>0.55788109566668442</v>
      </c>
      <c r="DB24">
        <v>23000</v>
      </c>
    </row>
    <row ht="14.65" r="25" spans="2:106" thickBot="1" x14ac:dyDescent="0.5">
      <c r="R25" s="140">
        <f>V25/W25</f>
        <v>1.2599677143474777</v>
      </c>
      <c r="S25" t="s">
        <v>412</v>
      </c>
      <c r="U25" s="36"/>
      <c r="V25" s="87">
        <f>O42</f>
        <v>65854.732525799613</v>
      </c>
      <c r="W25" s="87">
        <f>BL42</f>
        <v>52267</v>
      </c>
      <c r="X25" s="19">
        <f>M69</f>
        <v>4.9126849954119628E-4</v>
      </c>
      <c r="Y25" s="19">
        <f>AK69</f>
        <v>2.5889581531303126E-4</v>
      </c>
      <c r="AD25" s="160">
        <v>122</v>
      </c>
      <c r="AE25" s="143">
        <f>LN(R25)</f>
        <v>0.23108609710135039</v>
      </c>
      <c r="AF25" s="144">
        <f>AE25-AF14</f>
        <v>-3.6860408944338979E-2</v>
      </c>
      <c r="AG25" s="1">
        <f>VLOOKUP(AD25,calibration_dist!$T:$W,3,FALSE)</f>
        <v>-1.0119832457914</v>
      </c>
      <c r="AH25" s="145">
        <f>AG25+AI25*(AF25-(AF16*AI16))</f>
        <v>-1.0119832457914</v>
      </c>
      <c r="AI25" s="146">
        <v>0</v>
      </c>
      <c r="CU25">
        <v>24</v>
      </c>
      <c r="CV25">
        <f si="6" t="shared"/>
        <v>2</v>
      </c>
      <c r="CW25">
        <f si="0" t="shared"/>
        <v>4</v>
      </c>
      <c r="CX25" s="44">
        <f si="1" t="shared"/>
        <v>343.77165354330708</v>
      </c>
      <c r="CY25" s="44">
        <f si="2" t="shared"/>
        <v>413</v>
      </c>
      <c r="CZ25" s="87">
        <f si="3" t="shared"/>
        <v>69.228346456692918</v>
      </c>
      <c r="DA25" s="63">
        <f si="4" t="shared"/>
        <v>0.20137886804553473</v>
      </c>
      <c r="DB25">
        <v>24000</v>
      </c>
    </row>
    <row r="26" spans="2:106" x14ac:dyDescent="0.45">
      <c r="U26" s="118"/>
      <c r="AH26" s="117"/>
      <c r="CU26">
        <v>25</v>
      </c>
      <c r="CV26">
        <f si="6" t="shared"/>
        <v>2</v>
      </c>
      <c r="CW26">
        <f si="0" t="shared"/>
        <v>5</v>
      </c>
      <c r="CX26" s="44">
        <f si="1" t="shared"/>
        <v>406.13385826771656</v>
      </c>
      <c r="CY26" s="44">
        <f si="2" t="shared"/>
        <v>454</v>
      </c>
      <c r="CZ26" s="87">
        <f si="3" t="shared"/>
        <v>47.866141732283438</v>
      </c>
      <c r="DA26" s="63">
        <f si="4" t="shared"/>
        <v>0.11785804300199687</v>
      </c>
      <c r="DB26">
        <v>25000</v>
      </c>
    </row>
    <row r="27" spans="2:106" x14ac:dyDescent="0.45">
      <c r="B27" s="9" t="s">
        <v>355</v>
      </c>
      <c r="Z27" s="9" t="s">
        <v>321</v>
      </c>
      <c r="AH27" s="117"/>
      <c r="AY27" s="9" t="s">
        <v>401</v>
      </c>
      <c r="BW27" s="9" t="s">
        <v>402</v>
      </c>
      <c r="CU27">
        <v>26</v>
      </c>
      <c r="CV27">
        <f si="6" t="shared"/>
        <v>2</v>
      </c>
      <c r="CW27">
        <f si="0" t="shared"/>
        <v>6</v>
      </c>
      <c r="CX27" s="44">
        <f si="1" t="shared"/>
        <v>2454.732283464567</v>
      </c>
      <c r="CY27" s="44">
        <f si="2" t="shared"/>
        <v>2885</v>
      </c>
      <c r="CZ27" s="87">
        <f si="3" t="shared"/>
        <v>430.26771653543301</v>
      </c>
      <c r="DA27" s="63">
        <f si="4" t="shared"/>
        <v>0.17528091329298059</v>
      </c>
      <c r="DB27">
        <v>26000</v>
      </c>
    </row>
    <row ht="14.65" r="28" spans="2:106" thickBot="1" x14ac:dyDescent="0.5">
      <c r="Z28" t="s">
        <v>403</v>
      </c>
      <c r="AA28" s="157">
        <v>1</v>
      </c>
      <c r="AB28" s="157">
        <v>1</v>
      </c>
      <c r="AC28" s="157">
        <v>1</v>
      </c>
      <c r="AD28" s="157">
        <v>1</v>
      </c>
      <c r="AE28" s="157">
        <v>1</v>
      </c>
      <c r="AF28" s="157">
        <v>1</v>
      </c>
      <c r="AG28" s="157">
        <v>1</v>
      </c>
      <c r="AH28" s="157">
        <v>1</v>
      </c>
      <c r="AI28" s="157">
        <v>1</v>
      </c>
      <c r="AJ28" s="157">
        <v>1</v>
      </c>
      <c r="AK28" s="157">
        <v>1</v>
      </c>
      <c r="AL28" s="157">
        <v>1</v>
      </c>
      <c r="AM28" s="157">
        <v>1</v>
      </c>
      <c r="AN28" s="157">
        <v>1</v>
      </c>
      <c r="AO28" s="157">
        <v>1</v>
      </c>
      <c r="AP28" s="157">
        <v>1</v>
      </c>
      <c r="AQ28" s="157">
        <v>1</v>
      </c>
      <c r="AR28" s="157">
        <v>1</v>
      </c>
      <c r="AS28" s="157">
        <v>1</v>
      </c>
      <c r="AT28" s="157">
        <v>1</v>
      </c>
      <c r="CU28">
        <v>27</v>
      </c>
      <c r="CV28">
        <f si="6" t="shared"/>
        <v>2</v>
      </c>
      <c r="CW28">
        <f si="0" t="shared"/>
        <v>7</v>
      </c>
      <c r="CX28" s="44">
        <f si="1" t="shared"/>
        <v>1400.8110236220473</v>
      </c>
      <c r="CY28" s="44">
        <f si="2" t="shared"/>
        <v>1365</v>
      </c>
      <c r="CZ28" s="87">
        <f si="3" t="shared"/>
        <v>-35.811023622047287</v>
      </c>
      <c r="DA28" s="63">
        <f si="4" t="shared"/>
        <v>-2.5564493010235945E-2</v>
      </c>
      <c r="DB28">
        <v>27000</v>
      </c>
    </row>
    <row r="29" spans="2:106" x14ac:dyDescent="0.45">
      <c r="B29" s="2" t="s">
        <v>14</v>
      </c>
      <c r="C29" s="2">
        <v>1</v>
      </c>
      <c r="D29" s="2">
        <v>2</v>
      </c>
      <c r="E29" s="2">
        <v>3</v>
      </c>
      <c r="F29" s="2">
        <v>4</v>
      </c>
      <c r="G29" s="2">
        <v>5</v>
      </c>
      <c r="H29" s="2">
        <v>6</v>
      </c>
      <c r="I29" s="2">
        <v>7</v>
      </c>
      <c r="J29" s="2">
        <v>8</v>
      </c>
      <c r="K29" s="2">
        <v>9</v>
      </c>
      <c r="L29" s="2">
        <v>10</v>
      </c>
      <c r="M29" s="2">
        <v>11</v>
      </c>
      <c r="N29" s="2">
        <v>12</v>
      </c>
      <c r="O29" s="2">
        <v>13</v>
      </c>
      <c r="P29" s="2">
        <v>14</v>
      </c>
      <c r="Q29" s="2">
        <v>15</v>
      </c>
      <c r="R29" s="2">
        <v>16</v>
      </c>
      <c r="S29" s="2">
        <v>17</v>
      </c>
      <c r="T29" s="2">
        <v>18</v>
      </c>
      <c r="U29" s="2">
        <v>19</v>
      </c>
      <c r="V29" s="2">
        <v>20</v>
      </c>
      <c r="W29" s="3" t="s">
        <v>15</v>
      </c>
      <c r="X29" s="3" t="s">
        <v>3</v>
      </c>
      <c r="Z29" s="2" t="s">
        <v>14</v>
      </c>
      <c r="AA29" s="2">
        <v>1</v>
      </c>
      <c r="AB29" s="2">
        <v>2</v>
      </c>
      <c r="AC29" s="2">
        <v>3</v>
      </c>
      <c r="AD29" s="2">
        <v>4</v>
      </c>
      <c r="AE29" s="2">
        <v>5</v>
      </c>
      <c r="AF29" s="2">
        <v>6</v>
      </c>
      <c r="AG29" s="2">
        <v>7</v>
      </c>
      <c r="AH29" s="2">
        <v>8</v>
      </c>
      <c r="AI29" s="2">
        <v>9</v>
      </c>
      <c r="AJ29" s="2">
        <v>10</v>
      </c>
      <c r="AK29" s="2">
        <v>11</v>
      </c>
      <c r="AL29" s="2">
        <v>12</v>
      </c>
      <c r="AM29" s="2">
        <v>13</v>
      </c>
      <c r="AN29" s="2">
        <v>14</v>
      </c>
      <c r="AO29" s="2">
        <v>15</v>
      </c>
      <c r="AP29" s="2">
        <v>16</v>
      </c>
      <c r="AQ29" s="2">
        <v>17</v>
      </c>
      <c r="AR29" s="2">
        <v>18</v>
      </c>
      <c r="AS29" s="2">
        <v>19</v>
      </c>
      <c r="AT29" s="2">
        <v>20</v>
      </c>
      <c r="AU29" s="3" t="s">
        <v>15</v>
      </c>
      <c r="AV29" s="3" t="s">
        <v>3</v>
      </c>
      <c r="AY29" s="2" t="s">
        <v>14</v>
      </c>
      <c r="AZ29" s="2">
        <v>1</v>
      </c>
      <c r="BA29" s="2">
        <v>2</v>
      </c>
      <c r="BB29" s="2">
        <v>3</v>
      </c>
      <c r="BC29" s="2">
        <v>4</v>
      </c>
      <c r="BD29" s="2">
        <v>5</v>
      </c>
      <c r="BE29" s="2">
        <v>6</v>
      </c>
      <c r="BF29" s="2">
        <v>7</v>
      </c>
      <c r="BG29" s="2">
        <v>8</v>
      </c>
      <c r="BH29" s="2">
        <v>9</v>
      </c>
      <c r="BI29" s="2">
        <v>10</v>
      </c>
      <c r="BJ29" s="2">
        <v>11</v>
      </c>
      <c r="BK29" s="2">
        <v>12</v>
      </c>
      <c r="BL29" s="2">
        <v>13</v>
      </c>
      <c r="BM29" s="2">
        <v>14</v>
      </c>
      <c r="BN29" s="2">
        <v>15</v>
      </c>
      <c r="BO29" s="2">
        <v>16</v>
      </c>
      <c r="BP29" s="2">
        <v>17</v>
      </c>
      <c r="BQ29" s="2">
        <v>18</v>
      </c>
      <c r="BR29" s="2">
        <v>19</v>
      </c>
      <c r="BS29" s="2">
        <v>20</v>
      </c>
      <c r="BT29" s="3" t="s">
        <v>15</v>
      </c>
      <c r="BU29" s="3" t="s">
        <v>3</v>
      </c>
      <c r="BW29" s="2" t="s">
        <v>14</v>
      </c>
      <c r="BX29" s="2">
        <v>1</v>
      </c>
      <c r="BY29" s="2">
        <v>2</v>
      </c>
      <c r="BZ29" s="2">
        <v>3</v>
      </c>
      <c r="CA29" s="2">
        <v>4</v>
      </c>
      <c r="CB29" s="2">
        <v>5</v>
      </c>
      <c r="CC29" s="2">
        <v>6</v>
      </c>
      <c r="CD29" s="2">
        <v>7</v>
      </c>
      <c r="CE29" s="2">
        <v>8</v>
      </c>
      <c r="CF29" s="2">
        <v>9</v>
      </c>
      <c r="CG29" s="2">
        <v>10</v>
      </c>
      <c r="CH29" s="2">
        <v>11</v>
      </c>
      <c r="CI29" s="2">
        <v>12</v>
      </c>
      <c r="CJ29" s="2">
        <v>13</v>
      </c>
      <c r="CK29" s="2">
        <v>14</v>
      </c>
      <c r="CL29" s="2">
        <v>15</v>
      </c>
      <c r="CM29" s="2">
        <v>16</v>
      </c>
      <c r="CN29" s="2">
        <v>17</v>
      </c>
      <c r="CO29" s="2">
        <v>18</v>
      </c>
      <c r="CP29" s="2">
        <v>19</v>
      </c>
      <c r="CQ29" s="2">
        <v>20</v>
      </c>
      <c r="CR29" s="3" t="s">
        <v>15</v>
      </c>
      <c r="CS29" s="3" t="s">
        <v>3</v>
      </c>
      <c r="CU29">
        <v>28</v>
      </c>
      <c r="CV29">
        <f si="6" t="shared"/>
        <v>2</v>
      </c>
      <c r="CW29">
        <f si="0" t="shared"/>
        <v>8</v>
      </c>
      <c r="CX29" s="44">
        <f si="1" t="shared"/>
        <v>84.188976377952756</v>
      </c>
      <c r="CY29" s="44">
        <f si="2" t="shared"/>
        <v>50</v>
      </c>
      <c r="CZ29" s="87">
        <f si="3" t="shared"/>
        <v>-34.188976377952756</v>
      </c>
      <c r="DA29" s="63">
        <f si="4" t="shared"/>
        <v>-0.4060980172091283</v>
      </c>
      <c r="DB29">
        <v>28000</v>
      </c>
    </row>
    <row r="30" spans="2:106" x14ac:dyDescent="0.45">
      <c r="B30" s="28">
        <v>1</v>
      </c>
      <c r="C30" s="62">
        <f>Flow_ODData!C31</f>
        <v>4446.9564775398694</v>
      </c>
      <c r="D30" s="62">
        <f>Flow_ODData!D31</f>
        <v>562.31272634856089</v>
      </c>
      <c r="E30" s="62">
        <f>Flow_ODData!E31</f>
        <v>310.83397928712117</v>
      </c>
      <c r="F30" s="62">
        <f>Flow_ODData!F31</f>
        <v>415.48662557977002</v>
      </c>
      <c r="G30" s="62">
        <f>Flow_ODData!G31</f>
        <v>527.94917084948224</v>
      </c>
      <c r="H30" s="62">
        <f>Flow_ODData!H31</f>
        <v>2902.9394497744456</v>
      </c>
      <c r="I30" s="62">
        <f>Flow_ODData!I31</f>
        <v>470.93690831691976</v>
      </c>
      <c r="J30" s="62">
        <f>Flow_ODData!J31</f>
        <v>46.07840396467374</v>
      </c>
      <c r="K30" s="62">
        <f>Flow_ODData!K31</f>
        <v>372.53218120592157</v>
      </c>
      <c r="L30" s="62">
        <f>Flow_ODData!L31</f>
        <v>163.22688862062392</v>
      </c>
      <c r="M30" s="62">
        <f>Flow_ODData!M31</f>
        <v>366.2842620242709</v>
      </c>
      <c r="N30" s="62">
        <f>Flow_ODData!N31</f>
        <v>1284.7283817269204</v>
      </c>
      <c r="O30" s="62">
        <f>Flow_ODData!O31</f>
        <v>162.44589872291758</v>
      </c>
      <c r="P30" s="62">
        <f>Flow_ODData!P31</f>
        <v>35.925535294491389</v>
      </c>
      <c r="Q30" s="62">
        <f>Flow_ODData!Q31</f>
        <v>36.706525192197724</v>
      </c>
      <c r="R30" s="62">
        <f>Flow_ODData!R31</f>
        <v>10.152868670182349</v>
      </c>
      <c r="S30" s="62">
        <f>Flow_ODData!S31</f>
        <v>16.400787851833027</v>
      </c>
      <c r="T30" s="62">
        <f>Flow_ODData!T31</f>
        <v>31.239595908253381</v>
      </c>
      <c r="U30" s="62">
        <f>Flow_ODData!U31</f>
        <v>117.14848465595018</v>
      </c>
      <c r="V30" s="62">
        <f>Flow_ODData!V31</f>
        <v>11.714848465595018</v>
      </c>
      <c r="W30" s="62">
        <f>Flow_ODData!W31</f>
        <v>0</v>
      </c>
      <c r="X30" s="62">
        <f>SUM(C30:W30)</f>
        <v>12292</v>
      </c>
      <c r="Z30" s="28">
        <v>1</v>
      </c>
      <c r="AA30" s="62">
        <f>County_Flow!AX34*AA$28</f>
        <v>3357</v>
      </c>
      <c r="AB30" s="62">
        <f>County_Flow!AY34*AB$28</f>
        <v>670</v>
      </c>
      <c r="AC30" s="62">
        <f>County_Flow!AZ34*AC$28</f>
        <v>443</v>
      </c>
      <c r="AD30" s="62">
        <f>County_Flow!BA34*AD$28</f>
        <v>514</v>
      </c>
      <c r="AE30" s="62">
        <f>County_Flow!BB34*AE$28</f>
        <v>532</v>
      </c>
      <c r="AF30" s="62">
        <f>County_Flow!BC34*AF$28</f>
        <v>3030</v>
      </c>
      <c r="AG30" s="62">
        <f>County_Flow!BD34*AG$28</f>
        <v>510</v>
      </c>
      <c r="AH30" s="62">
        <f>County_Flow!BE34*AH$28</f>
        <v>58</v>
      </c>
      <c r="AI30" s="62">
        <f>County_Flow!BF34*AI$28</f>
        <v>568</v>
      </c>
      <c r="AJ30" s="62">
        <f>County_Flow!BG34*AJ$28</f>
        <v>383</v>
      </c>
      <c r="AK30" s="62">
        <f>County_Flow!BH34*AK$28</f>
        <v>336</v>
      </c>
      <c r="AL30" s="62">
        <f>County_Flow!BI34*AL$28</f>
        <v>1683</v>
      </c>
      <c r="AM30" s="62">
        <f>County_Flow!BJ34*AM$28</f>
        <v>47</v>
      </c>
      <c r="AN30" s="62">
        <f>County_Flow!BK34*AN$28</f>
        <v>17</v>
      </c>
      <c r="AO30" s="62">
        <f>County_Flow!BL34*AO$28</f>
        <v>34</v>
      </c>
      <c r="AP30" s="62">
        <f>County_Flow!BM34*AP$28</f>
        <v>41</v>
      </c>
      <c r="AQ30" s="62">
        <f>County_Flow!BN34*AQ$28</f>
        <v>20</v>
      </c>
      <c r="AR30" s="62">
        <f>County_Flow!BO34*AR$28</f>
        <v>25</v>
      </c>
      <c r="AS30" s="62">
        <f>County_Flow!BP34*AS$28</f>
        <v>23</v>
      </c>
      <c r="AT30" s="62">
        <f>County_Flow!BQ34*AT$28</f>
        <v>1</v>
      </c>
      <c r="AU30" s="62">
        <f>County_Flow!BR34</f>
        <v>0</v>
      </c>
      <c r="AV30" s="77">
        <f>SUM(AA30:AU30)</f>
        <v>12292</v>
      </c>
      <c r="AW30" s="115">
        <f>ABS((AV30-X30)/X30)</f>
        <v>0</v>
      </c>
      <c r="AY30" s="28">
        <v>1</v>
      </c>
      <c r="AZ30" s="62">
        <f>AA30*$X30/$AV30</f>
        <v>3357</v>
      </c>
      <c r="BA30" s="62">
        <f ref="BA30:BS30" si="10" t="shared">AB30*$X30/$AV30</f>
        <v>670</v>
      </c>
      <c r="BB30" s="62">
        <f si="10" t="shared"/>
        <v>443</v>
      </c>
      <c r="BC30" s="62">
        <f si="10" t="shared"/>
        <v>514</v>
      </c>
      <c r="BD30" s="62">
        <f si="10" t="shared"/>
        <v>532</v>
      </c>
      <c r="BE30" s="62">
        <f si="10" t="shared"/>
        <v>3030</v>
      </c>
      <c r="BF30" s="62">
        <f si="10" t="shared"/>
        <v>510</v>
      </c>
      <c r="BG30" s="62">
        <f si="10" t="shared"/>
        <v>58</v>
      </c>
      <c r="BH30" s="62">
        <f si="10" t="shared"/>
        <v>568</v>
      </c>
      <c r="BI30" s="62">
        <f si="10" t="shared"/>
        <v>383</v>
      </c>
      <c r="BJ30" s="62">
        <f si="10" t="shared"/>
        <v>336</v>
      </c>
      <c r="BK30" s="62">
        <f si="10" t="shared"/>
        <v>1683</v>
      </c>
      <c r="BL30" s="62">
        <f si="10" t="shared"/>
        <v>47</v>
      </c>
      <c r="BM30" s="62">
        <f si="10" t="shared"/>
        <v>17</v>
      </c>
      <c r="BN30" s="62">
        <f si="10" t="shared"/>
        <v>34</v>
      </c>
      <c r="BO30" s="62">
        <f si="10" t="shared"/>
        <v>41</v>
      </c>
      <c r="BP30" s="62">
        <f si="10" t="shared"/>
        <v>20</v>
      </c>
      <c r="BQ30" s="62">
        <f si="10" t="shared"/>
        <v>25</v>
      </c>
      <c r="BR30" s="62">
        <f si="10" t="shared"/>
        <v>23</v>
      </c>
      <c r="BS30" s="62">
        <f si="10" t="shared"/>
        <v>1</v>
      </c>
      <c r="BT30" s="62">
        <f>AU30*$X30/$AV30</f>
        <v>0</v>
      </c>
      <c r="BU30" s="62">
        <f ref="BU30:BU49" si="11" t="shared">AV30*$X30/$AV30</f>
        <v>12292</v>
      </c>
      <c r="BW30" s="28">
        <v>1</v>
      </c>
      <c r="BX30" s="62">
        <f>ABS(AZ30-C30)</f>
        <v>1089.9564775398694</v>
      </c>
      <c r="BY30" s="62">
        <f ref="BY30:CS30" si="12" t="shared">ABS(BA30-D30)</f>
        <v>107.68727365143911</v>
      </c>
      <c r="BZ30" s="62">
        <f si="12" t="shared"/>
        <v>132.16602071287883</v>
      </c>
      <c r="CA30" s="62">
        <f si="12" t="shared"/>
        <v>98.513374420229979</v>
      </c>
      <c r="CB30" s="62">
        <f si="12" t="shared"/>
        <v>4.0508291505177567</v>
      </c>
      <c r="CC30" s="62">
        <f si="12" t="shared"/>
        <v>127.06055022555438</v>
      </c>
      <c r="CD30" s="62">
        <f si="12" t="shared"/>
        <v>39.063091683080245</v>
      </c>
      <c r="CE30" s="62">
        <f si="12" t="shared"/>
        <v>11.92159603532626</v>
      </c>
      <c r="CF30" s="62">
        <f si="12" t="shared"/>
        <v>195.46781879407843</v>
      </c>
      <c r="CG30" s="62">
        <f si="12" t="shared"/>
        <v>219.77311137937608</v>
      </c>
      <c r="CH30" s="62">
        <f si="12" t="shared"/>
        <v>30.284262024270902</v>
      </c>
      <c r="CI30" s="62">
        <f si="12" t="shared"/>
        <v>398.27161827307964</v>
      </c>
      <c r="CJ30" s="62">
        <f si="12" t="shared"/>
        <v>115.44589872291758</v>
      </c>
      <c r="CK30" s="62">
        <f si="12" t="shared"/>
        <v>18.925535294491389</v>
      </c>
      <c r="CL30" s="62">
        <f si="12" t="shared"/>
        <v>2.7065251921977236</v>
      </c>
      <c r="CM30" s="62">
        <f si="12" t="shared"/>
        <v>30.84713132981765</v>
      </c>
      <c r="CN30" s="62">
        <f si="12" t="shared"/>
        <v>3.5992121481669734</v>
      </c>
      <c r="CO30" s="62">
        <f si="12" t="shared"/>
        <v>6.2395959082533814</v>
      </c>
      <c r="CP30" s="62">
        <f si="12" t="shared"/>
        <v>94.148484655950185</v>
      </c>
      <c r="CQ30" s="62">
        <f si="12" t="shared"/>
        <v>10.714848465595018</v>
      </c>
      <c r="CR30" s="62">
        <f si="12" t="shared"/>
        <v>0</v>
      </c>
      <c r="CS30" s="62">
        <f si="12" t="shared"/>
        <v>0</v>
      </c>
      <c r="CU30">
        <v>29</v>
      </c>
      <c r="CV30">
        <f si="6" t="shared"/>
        <v>2</v>
      </c>
      <c r="CW30">
        <f si="0" t="shared"/>
        <v>9</v>
      </c>
      <c r="CX30" s="44">
        <f si="1" t="shared"/>
        <v>1072.6299212598424</v>
      </c>
      <c r="CY30" s="44">
        <f si="2" t="shared"/>
        <v>1517</v>
      </c>
      <c r="CZ30" s="87">
        <f si="3" t="shared"/>
        <v>444.37007874015762</v>
      </c>
      <c r="DA30" s="63">
        <f si="4" t="shared"/>
        <v>0.41428089029833237</v>
      </c>
      <c r="DB30">
        <v>29000</v>
      </c>
    </row>
    <row r="31" spans="2:106" x14ac:dyDescent="0.45">
      <c r="B31">
        <v>2</v>
      </c>
      <c r="C31" s="62">
        <f>Flow_ODData!C32</f>
        <v>1348.5826771653542</v>
      </c>
      <c r="D31" s="62">
        <f>Flow_ODData!D32</f>
        <v>4893.8740157480315</v>
      </c>
      <c r="E31" s="62">
        <f>Flow_ODData!E32</f>
        <v>443.55118110236219</v>
      </c>
      <c r="F31" s="62">
        <f>Flow_ODData!F32</f>
        <v>343.77165354330708</v>
      </c>
      <c r="G31" s="62">
        <f>Flow_ODData!G32</f>
        <v>406.13385826771656</v>
      </c>
      <c r="H31" s="62">
        <f>Flow_ODData!H32</f>
        <v>2454.732283464567</v>
      </c>
      <c r="I31" s="62">
        <f>Flow_ODData!I32</f>
        <v>1400.8110236220473</v>
      </c>
      <c r="J31" s="62">
        <f>Flow_ODData!J32</f>
        <v>84.188976377952756</v>
      </c>
      <c r="K31" s="62">
        <f>Flow_ODData!K32</f>
        <v>1072.6299212598424</v>
      </c>
      <c r="L31" s="62">
        <f>Flow_ODData!L32</f>
        <v>279.85039370078738</v>
      </c>
      <c r="M31" s="62">
        <f>Flow_ODData!M32</f>
        <v>537.09448818897636</v>
      </c>
      <c r="N31" s="62">
        <f>Flow_ODData!N32</f>
        <v>1562.1732283464567</v>
      </c>
      <c r="O31" s="62">
        <f>Flow_ODData!O32</f>
        <v>214.37007874015748</v>
      </c>
      <c r="P31" s="62">
        <f>Flow_ODData!P32</f>
        <v>31.960629921259841</v>
      </c>
      <c r="Q31" s="62">
        <f>Flow_ODData!Q32</f>
        <v>133.29921259842521</v>
      </c>
      <c r="R31" s="62">
        <f>Flow_ODData!R32</f>
        <v>17.149606299212596</v>
      </c>
      <c r="S31" s="62">
        <f>Flow_ODData!S32</f>
        <v>18.708661417322833</v>
      </c>
      <c r="T31" s="62">
        <f>Flow_ODData!T32</f>
        <v>32.740157480314956</v>
      </c>
      <c r="U31" s="62">
        <f>Flow_ODData!U32</f>
        <v>60.803149606299222</v>
      </c>
      <c r="V31" s="62">
        <f>Flow_ODData!V32</f>
        <v>8.5748031496062982</v>
      </c>
      <c r="W31" s="62">
        <f>Flow_ODData!W32</f>
        <v>0</v>
      </c>
      <c r="X31" s="62">
        <f ref="X31:X51" si="13" t="shared">SUM(C31:W31)</f>
        <v>15345</v>
      </c>
      <c r="Z31">
        <v>2</v>
      </c>
      <c r="AA31" s="62">
        <f>County_Flow!AX35*AA$28</f>
        <v>1780</v>
      </c>
      <c r="AB31" s="62">
        <f>County_Flow!AY35*AB$28</f>
        <v>2032</v>
      </c>
      <c r="AC31" s="62">
        <f>County_Flow!AZ35*AC$28</f>
        <v>691</v>
      </c>
      <c r="AD31" s="62">
        <f>County_Flow!BA35*AD$28</f>
        <v>413</v>
      </c>
      <c r="AE31" s="62">
        <f>County_Flow!BB35*AE$28</f>
        <v>454</v>
      </c>
      <c r="AF31" s="62">
        <f>County_Flow!BC35*AF$28</f>
        <v>2885</v>
      </c>
      <c r="AG31" s="62">
        <f>County_Flow!BD35*AG$28</f>
        <v>1365</v>
      </c>
      <c r="AH31" s="62">
        <f>County_Flow!BE35*AH$28</f>
        <v>50</v>
      </c>
      <c r="AI31" s="62">
        <f>County_Flow!BF35*AI$28</f>
        <v>1517</v>
      </c>
      <c r="AJ31" s="62">
        <f>County_Flow!BG35*AJ$28</f>
        <v>465</v>
      </c>
      <c r="AK31" s="62">
        <f>County_Flow!BH35*AK$28</f>
        <v>412</v>
      </c>
      <c r="AL31" s="62">
        <f>County_Flow!BI35*AL$28</f>
        <v>2909</v>
      </c>
      <c r="AM31" s="62">
        <f>County_Flow!BJ35*AM$28</f>
        <v>112</v>
      </c>
      <c r="AN31" s="62">
        <f>County_Flow!BK35*AN$28</f>
        <v>21</v>
      </c>
      <c r="AO31" s="62">
        <f>County_Flow!BL35*AO$28</f>
        <v>126</v>
      </c>
      <c r="AP31" s="62">
        <f>County_Flow!BM35*AP$28</f>
        <v>31</v>
      </c>
      <c r="AQ31" s="62">
        <f>County_Flow!BN35*AQ$28</f>
        <v>13</v>
      </c>
      <c r="AR31" s="62">
        <f>County_Flow!BO35*AR$28</f>
        <v>41</v>
      </c>
      <c r="AS31" s="62">
        <f>County_Flow!BP35*AS$28</f>
        <v>26</v>
      </c>
      <c r="AT31" s="62">
        <f>County_Flow!BQ35*AT$28</f>
        <v>2</v>
      </c>
      <c r="AU31" s="62">
        <f>County_Flow!BR35</f>
        <v>0</v>
      </c>
      <c r="AV31" s="13">
        <f ref="AV31:AV49" si="14" t="shared">SUM(AA31:AU31)</f>
        <v>15345</v>
      </c>
      <c r="AW31" s="115">
        <f ref="AW31:AW49" si="15" t="shared">ABS((AV31-X31)/X31)</f>
        <v>0</v>
      </c>
      <c r="AY31">
        <v>2</v>
      </c>
      <c r="AZ31" s="62">
        <f ref="AZ31:AZ49" si="16" t="shared">AA31*$X31/$AV31</f>
        <v>1780</v>
      </c>
      <c r="BA31" s="62">
        <f ref="BA31:BA49" si="17" t="shared">AB31*$X31/$AV31</f>
        <v>2032</v>
      </c>
      <c r="BB31" s="62">
        <f ref="BB31:BB49" si="18" t="shared">AC31*$X31/$AV31</f>
        <v>691</v>
      </c>
      <c r="BC31" s="62">
        <f ref="BC31:BC49" si="19" t="shared">AD31*$X31/$AV31</f>
        <v>413</v>
      </c>
      <c r="BD31" s="62">
        <f ref="BD31:BD49" si="20" t="shared">AE31*$X31/$AV31</f>
        <v>454</v>
      </c>
      <c r="BE31" s="62">
        <f ref="BE31:BE49" si="21" t="shared">AF31*$X31/$AV31</f>
        <v>2885</v>
      </c>
      <c r="BF31" s="62">
        <f ref="BF31:BF49" si="22" t="shared">AG31*$X31/$AV31</f>
        <v>1365</v>
      </c>
      <c r="BG31" s="62">
        <f ref="BG31:BG49" si="23" t="shared">AH31*$X31/$AV31</f>
        <v>50</v>
      </c>
      <c r="BH31" s="62">
        <f ref="BH31:BH49" si="24" t="shared">AI31*$X31/$AV31</f>
        <v>1517</v>
      </c>
      <c r="BI31" s="62">
        <f ref="BI31:BI49" si="25" t="shared">AJ31*$X31/$AV31</f>
        <v>465</v>
      </c>
      <c r="BJ31" s="62">
        <f ref="BJ31:BJ49" si="26" t="shared">AK31*$X31/$AV31</f>
        <v>412</v>
      </c>
      <c r="BK31" s="62">
        <f ref="BK31:BK49" si="27" t="shared">AL31*$X31/$AV31</f>
        <v>2909</v>
      </c>
      <c r="BL31" s="62">
        <f ref="BL31:BL49" si="28" t="shared">AM31*$X31/$AV31</f>
        <v>112</v>
      </c>
      <c r="BM31" s="62">
        <f ref="BM31:BM49" si="29" t="shared">AN31*$X31/$AV31</f>
        <v>21</v>
      </c>
      <c r="BN31" s="62">
        <f ref="BN31:BN49" si="30" t="shared">AO31*$X31/$AV31</f>
        <v>126</v>
      </c>
      <c r="BO31" s="62">
        <f ref="BO31:BO49" si="31" t="shared">AP31*$X31/$AV31</f>
        <v>31</v>
      </c>
      <c r="BP31" s="62">
        <f ref="BP31:BP49" si="32" t="shared">AQ31*$X31/$AV31</f>
        <v>13</v>
      </c>
      <c r="BQ31" s="62">
        <f ref="BQ31:BQ49" si="33" t="shared">AR31*$X31/$AV31</f>
        <v>41</v>
      </c>
      <c r="BR31" s="62">
        <f ref="BR31:BR49" si="34" t="shared">AS31*$X31/$AV31</f>
        <v>26</v>
      </c>
      <c r="BS31" s="62">
        <f ref="BS31:BS49" si="35" t="shared">AT31*$X31/$AV31</f>
        <v>2</v>
      </c>
      <c r="BT31" s="62">
        <f ref="BT31:BT50" si="36" t="shared">ABS(AU31-W31)</f>
        <v>0</v>
      </c>
      <c r="BU31" s="62">
        <f si="11" t="shared"/>
        <v>15345</v>
      </c>
      <c r="BW31">
        <v>2</v>
      </c>
      <c r="BX31" s="62">
        <f ref="BX31:BX49" si="37" t="shared">ABS(AZ31-C31)</f>
        <v>431.4173228346458</v>
      </c>
      <c r="BY31" s="62">
        <f ref="BY31:BY49" si="38" t="shared">ABS(BA31-D31)</f>
        <v>2861.8740157480315</v>
      </c>
      <c r="BZ31" s="62">
        <f ref="BZ31:BZ49" si="39" t="shared">ABS(BB31-E31)</f>
        <v>247.44881889763781</v>
      </c>
      <c r="CA31" s="62">
        <f ref="CA31:CA49" si="40" t="shared">ABS(BC31-F31)</f>
        <v>69.228346456692918</v>
      </c>
      <c r="CB31" s="62">
        <f ref="CB31:CB49" si="41" t="shared">ABS(BD31-G31)</f>
        <v>47.866141732283438</v>
      </c>
      <c r="CC31" s="62">
        <f ref="CC31:CC49" si="42" t="shared">ABS(BE31-H31)</f>
        <v>430.26771653543301</v>
      </c>
      <c r="CD31" s="62">
        <f ref="CD31:CD49" si="43" t="shared">ABS(BF31-I31)</f>
        <v>35.811023622047287</v>
      </c>
      <c r="CE31" s="62">
        <f ref="CE31:CE49" si="44" t="shared">ABS(BG31-J31)</f>
        <v>34.188976377952756</v>
      </c>
      <c r="CF31" s="62">
        <f ref="CF31:CF49" si="45" t="shared">ABS(BH31-K31)</f>
        <v>444.37007874015762</v>
      </c>
      <c r="CG31" s="62">
        <f ref="CG31:CG49" si="46" t="shared">ABS(BI31-L31)</f>
        <v>185.14960629921262</v>
      </c>
      <c r="CH31" s="62">
        <f ref="CH31:CH49" si="47" t="shared">ABS(BJ31-M31)</f>
        <v>125.09448818897636</v>
      </c>
      <c r="CI31" s="62">
        <f ref="CI31:CI49" si="48" t="shared">ABS(BK31-N31)</f>
        <v>1346.8267716535433</v>
      </c>
      <c r="CJ31" s="62">
        <f ref="CJ31:CJ49" si="49" t="shared">ABS(BL31-O31)</f>
        <v>102.37007874015748</v>
      </c>
      <c r="CK31" s="62">
        <f ref="CK31:CK49" si="50" t="shared">ABS(BM31-P31)</f>
        <v>10.960629921259841</v>
      </c>
      <c r="CL31" s="62">
        <f ref="CL31:CL49" si="51" t="shared">ABS(BN31-Q31)</f>
        <v>7.2992125984252141</v>
      </c>
      <c r="CM31" s="62">
        <f ref="CM31:CM49" si="52" t="shared">ABS(BO31-R31)</f>
        <v>13.850393700787404</v>
      </c>
      <c r="CN31" s="62">
        <f ref="CN31:CN49" si="53" t="shared">ABS(BP31-S31)</f>
        <v>5.7086614173228334</v>
      </c>
      <c r="CO31" s="62">
        <f ref="CO31:CO49" si="54" t="shared">ABS(BQ31-T31)</f>
        <v>8.2598425196850442</v>
      </c>
      <c r="CP31" s="62">
        <f ref="CP31:CP49" si="55" t="shared">ABS(BR31-U31)</f>
        <v>34.803149606299222</v>
      </c>
      <c r="CQ31" s="62">
        <f ref="CQ31:CQ49" si="56" t="shared">ABS(BS31-V31)</f>
        <v>6.5748031496062982</v>
      </c>
      <c r="CR31" s="62">
        <f ref="CR31:CR49" si="57" t="shared">ABS(BT31-W31)</f>
        <v>0</v>
      </c>
      <c r="CS31" s="62">
        <f ref="CS31:CS49" si="58" t="shared">ABS(BU31-X31)</f>
        <v>0</v>
      </c>
      <c r="CU31">
        <v>30</v>
      </c>
      <c r="CV31">
        <f si="6" t="shared"/>
        <v>2</v>
      </c>
      <c r="CW31">
        <f si="0" t="shared"/>
        <v>10</v>
      </c>
      <c r="CX31" s="44">
        <f si="1" t="shared"/>
        <v>279.85039370078738</v>
      </c>
      <c r="CY31" s="44">
        <f si="2" t="shared"/>
        <v>465</v>
      </c>
      <c r="CZ31" s="87">
        <f si="3" t="shared"/>
        <v>185.14960629921262</v>
      </c>
      <c r="DA31" s="63">
        <f si="4" t="shared"/>
        <v>0.66160209335696818</v>
      </c>
      <c r="DB31">
        <v>30000</v>
      </c>
    </row>
    <row r="32" spans="2:106" x14ac:dyDescent="0.45">
      <c r="B32">
        <v>3</v>
      </c>
      <c r="C32" s="62">
        <f>Flow_ODData!C33</f>
        <v>4227.3431364798271</v>
      </c>
      <c r="D32" s="62">
        <f>Flow_ODData!D33</f>
        <v>2557.5907449864285</v>
      </c>
      <c r="E32" s="62">
        <f>Flow_ODData!E33</f>
        <v>7729.5861859962579</v>
      </c>
      <c r="F32" s="62">
        <f>Flow_ODData!F33</f>
        <v>1666.863546525417</v>
      </c>
      <c r="G32" s="62">
        <f>Flow_ODData!G33</f>
        <v>1726.5663425303712</v>
      </c>
      <c r="H32" s="62">
        <f>Flow_ODData!H33</f>
        <v>6181.1652831580886</v>
      </c>
      <c r="I32" s="62">
        <f>Flow_ODData!I33</f>
        <v>1374.1272564366088</v>
      </c>
      <c r="J32" s="62">
        <f>Flow_ODData!J33</f>
        <v>623.9905130840383</v>
      </c>
      <c r="K32" s="62">
        <f>Flow_ODData!K33</f>
        <v>2322.6313542572534</v>
      </c>
      <c r="L32" s="62">
        <f>Flow_ODData!L33</f>
        <v>1294.2025456557831</v>
      </c>
      <c r="M32" s="62">
        <f>Flow_ODData!M33</f>
        <v>2664.4780088017496</v>
      </c>
      <c r="N32" s="62">
        <f>Flow_ODData!N33</f>
        <v>3052.546182833953</v>
      </c>
      <c r="O32" s="62">
        <f>Flow_ODData!O33</f>
        <v>329.32832634990905</v>
      </c>
      <c r="P32" s="62">
        <f>Flow_ODData!P33</f>
        <v>101.10957387935804</v>
      </c>
      <c r="Q32" s="62">
        <f>Flow_ODData!Q33</f>
        <v>183.92312962816561</v>
      </c>
      <c r="R32" s="62">
        <f>Flow_ODData!R33</f>
        <v>113.62790207394524</v>
      </c>
      <c r="S32" s="62">
        <f>Flow_ODData!S33</f>
        <v>138.66455846311962</v>
      </c>
      <c r="T32" s="62">
        <f>Flow_ODData!T33</f>
        <v>35.629087938440456</v>
      </c>
      <c r="U32" s="62">
        <f>Flow_ODData!U33</f>
        <v>193.55261285477113</v>
      </c>
      <c r="V32" s="62">
        <f>Flow_ODData!V33</f>
        <v>24.073708066513824</v>
      </c>
      <c r="W32" s="62">
        <f>Flow_ODData!W33</f>
        <v>0</v>
      </c>
      <c r="X32" s="62">
        <f si="13" t="shared"/>
        <v>36540.999999999993</v>
      </c>
      <c r="Z32">
        <v>3</v>
      </c>
      <c r="AA32" s="62">
        <f>County_Flow!AX36*AA$28</f>
        <v>5578</v>
      </c>
      <c r="AB32" s="62">
        <f>County_Flow!AY36*AB$28</f>
        <v>2669</v>
      </c>
      <c r="AC32" s="62">
        <f>County_Flow!AZ36*AC$28</f>
        <v>3668</v>
      </c>
      <c r="AD32" s="62">
        <f>County_Flow!BA36*AD$28</f>
        <v>1442</v>
      </c>
      <c r="AE32" s="62">
        <f>County_Flow!BB36*AE$28</f>
        <v>1494</v>
      </c>
      <c r="AF32" s="62">
        <f>County_Flow!BC36*AF$28</f>
        <v>7266</v>
      </c>
      <c r="AG32" s="62">
        <f>County_Flow!BD36*AG$28</f>
        <v>1833</v>
      </c>
      <c r="AH32" s="62">
        <f>County_Flow!BE36*AH$28</f>
        <v>269</v>
      </c>
      <c r="AI32" s="62">
        <f>County_Flow!BF36*AI$28</f>
        <v>2469</v>
      </c>
      <c r="AJ32" s="62">
        <f>County_Flow!BG36*AJ$28</f>
        <v>1329</v>
      </c>
      <c r="AK32" s="62">
        <f>County_Flow!BH36*AK$28</f>
        <v>2630</v>
      </c>
      <c r="AL32" s="62">
        <f>County_Flow!BI36*AL$28</f>
        <v>4992</v>
      </c>
      <c r="AM32" s="62">
        <f>County_Flow!BJ36*AM$28</f>
        <v>132</v>
      </c>
      <c r="AN32" s="62">
        <f>County_Flow!BK36*AN$28</f>
        <v>142</v>
      </c>
      <c r="AO32" s="62">
        <f>County_Flow!BL36*AO$28</f>
        <v>143</v>
      </c>
      <c r="AP32" s="62">
        <f>County_Flow!BM36*AP$28</f>
        <v>114</v>
      </c>
      <c r="AQ32" s="62">
        <f>County_Flow!BN36*AQ$28</f>
        <v>144</v>
      </c>
      <c r="AR32" s="62">
        <f>County_Flow!BO36*AR$28</f>
        <v>40</v>
      </c>
      <c r="AS32" s="62">
        <f>County_Flow!BP36*AS$28</f>
        <v>185</v>
      </c>
      <c r="AT32" s="62">
        <f>County_Flow!BQ36*AT$28</f>
        <v>2</v>
      </c>
      <c r="AU32" s="62">
        <f>County_Flow!BR36</f>
        <v>0</v>
      </c>
      <c r="AV32" s="13">
        <f si="14" t="shared"/>
        <v>36541</v>
      </c>
      <c r="AW32" s="115">
        <f si="15" t="shared"/>
        <v>1.9911763811016195E-16</v>
      </c>
      <c r="AY32">
        <v>3</v>
      </c>
      <c r="AZ32" s="62">
        <f si="16" t="shared"/>
        <v>5577.9999999999991</v>
      </c>
      <c r="BA32" s="62">
        <f si="17" t="shared"/>
        <v>2668.9999999999995</v>
      </c>
      <c r="BB32" s="62">
        <f si="18" t="shared"/>
        <v>3667.9999999999991</v>
      </c>
      <c r="BC32" s="62">
        <f si="19" t="shared"/>
        <v>1441.9999999999998</v>
      </c>
      <c r="BD32" s="62">
        <f si="20" t="shared"/>
        <v>1493.9999999999998</v>
      </c>
      <c r="BE32" s="62">
        <f si="21" t="shared"/>
        <v>7265.9999999999982</v>
      </c>
      <c r="BF32" s="62">
        <f si="22" t="shared"/>
        <v>1832.9999999999995</v>
      </c>
      <c r="BG32" s="62">
        <f si="23" t="shared"/>
        <v>268.99999999999994</v>
      </c>
      <c r="BH32" s="62">
        <f si="24" t="shared"/>
        <v>2468.9999999999995</v>
      </c>
      <c r="BI32" s="62">
        <f si="25" t="shared"/>
        <v>1328.9999999999998</v>
      </c>
      <c r="BJ32" s="62">
        <f si="26" t="shared"/>
        <v>2629.9999999999995</v>
      </c>
      <c r="BK32" s="62">
        <f si="27" t="shared"/>
        <v>4991.9999999999991</v>
      </c>
      <c r="BL32" s="62">
        <f si="28" t="shared"/>
        <v>131.99999999999997</v>
      </c>
      <c r="BM32" s="62">
        <f si="29" t="shared"/>
        <v>141.99999999999997</v>
      </c>
      <c r="BN32" s="62">
        <f si="30" t="shared"/>
        <v>142.99999999999997</v>
      </c>
      <c r="BO32" s="62">
        <f si="31" t="shared"/>
        <v>113.99999999999997</v>
      </c>
      <c r="BP32" s="62">
        <f si="32" t="shared"/>
        <v>143.99999999999997</v>
      </c>
      <c r="BQ32" s="62">
        <f si="33" t="shared"/>
        <v>39.999999999999993</v>
      </c>
      <c r="BR32" s="62">
        <f si="34" t="shared"/>
        <v>184.99999999999997</v>
      </c>
      <c r="BS32" s="62">
        <f si="35" t="shared"/>
        <v>1.9999999999999996</v>
      </c>
      <c r="BT32" s="62">
        <f si="36" t="shared"/>
        <v>0</v>
      </c>
      <c r="BU32" s="62">
        <f si="11" t="shared"/>
        <v>36540.999999999993</v>
      </c>
      <c r="BW32">
        <v>3</v>
      </c>
      <c r="BX32" s="62">
        <f si="37" t="shared"/>
        <v>1350.656863520172</v>
      </c>
      <c r="BY32" s="62">
        <f si="38" t="shared"/>
        <v>111.40925501357106</v>
      </c>
      <c r="BZ32" s="62">
        <f si="39" t="shared"/>
        <v>4061.5861859962588</v>
      </c>
      <c r="CA32" s="62">
        <f si="40" t="shared"/>
        <v>224.86354652541718</v>
      </c>
      <c r="CB32" s="62">
        <f si="41" t="shared"/>
        <v>232.56634253037146</v>
      </c>
      <c r="CC32" s="62">
        <f si="42" t="shared"/>
        <v>1084.8347168419095</v>
      </c>
      <c r="CD32" s="62">
        <f si="43" t="shared"/>
        <v>458.87274356339071</v>
      </c>
      <c r="CE32" s="62">
        <f si="44" t="shared"/>
        <v>354.99051308403835</v>
      </c>
      <c r="CF32" s="62">
        <f si="45" t="shared"/>
        <v>146.36864574274614</v>
      </c>
      <c r="CG32" s="62">
        <f si="46" t="shared"/>
        <v>34.797454344216703</v>
      </c>
      <c r="CH32" s="62">
        <f si="47" t="shared"/>
        <v>34.478008801750093</v>
      </c>
      <c r="CI32" s="62">
        <f si="48" t="shared"/>
        <v>1939.4538171660461</v>
      </c>
      <c r="CJ32" s="62">
        <f si="49" t="shared"/>
        <v>197.32832634990908</v>
      </c>
      <c r="CK32" s="62">
        <f si="50" t="shared"/>
        <v>40.890426120641933</v>
      </c>
      <c r="CL32" s="62">
        <f si="51" t="shared"/>
        <v>40.92312962816564</v>
      </c>
      <c r="CM32" s="62">
        <f si="52" t="shared"/>
        <v>0.37209792605473524</v>
      </c>
      <c r="CN32" s="62">
        <f si="53" t="shared"/>
        <v>5.3354415368803529</v>
      </c>
      <c r="CO32" s="62">
        <f si="54" t="shared"/>
        <v>4.3709120615595367</v>
      </c>
      <c r="CP32" s="62">
        <f si="55" t="shared"/>
        <v>8.5526128547711551</v>
      </c>
      <c r="CQ32" s="62">
        <f si="56" t="shared"/>
        <v>22.073708066513824</v>
      </c>
      <c r="CR32" s="62">
        <f si="57" t="shared"/>
        <v>0</v>
      </c>
      <c r="CS32" s="62">
        <f si="58" t="shared"/>
        <v>0</v>
      </c>
      <c r="CU32">
        <v>31</v>
      </c>
      <c r="CV32">
        <f si="6" t="shared"/>
        <v>2</v>
      </c>
      <c r="CW32">
        <f si="0" t="shared"/>
        <v>11</v>
      </c>
      <c r="CX32" s="44">
        <f si="1" t="shared"/>
        <v>537.09448818897636</v>
      </c>
      <c r="CY32" s="44">
        <f si="2" t="shared"/>
        <v>412</v>
      </c>
      <c r="CZ32" s="87">
        <f si="3" t="shared"/>
        <v>-125.09448818897636</v>
      </c>
      <c r="DA32" s="63">
        <f si="4" t="shared"/>
        <v>-0.23290964800398758</v>
      </c>
      <c r="DB32">
        <v>31000</v>
      </c>
    </row>
    <row r="33" spans="2:106" x14ac:dyDescent="0.45">
      <c r="B33">
        <v>4</v>
      </c>
      <c r="C33" s="62">
        <f>Flow_ODData!C34</f>
        <v>1281.7507566077072</v>
      </c>
      <c r="D33" s="62">
        <f>Flow_ODData!D34</f>
        <v>765.1981975923062</v>
      </c>
      <c r="E33" s="62">
        <f>Flow_ODData!E34</f>
        <v>981.4498621292621</v>
      </c>
      <c r="F33" s="62">
        <f>Flow_ODData!F34</f>
        <v>2850.669715515502</v>
      </c>
      <c r="G33" s="62">
        <f>Flow_ODData!G34</f>
        <v>1170.5606294976126</v>
      </c>
      <c r="H33" s="62">
        <f>Flow_ODData!H34</f>
        <v>2159.8901069338895</v>
      </c>
      <c r="I33" s="62">
        <f>Flow_ODData!I34</f>
        <v>527.05871275808727</v>
      </c>
      <c r="J33" s="62">
        <f>Flow_ODData!J34</f>
        <v>451.76461093550341</v>
      </c>
      <c r="K33" s="62">
        <f>Flow_ODData!K34</f>
        <v>317.81115071625527</v>
      </c>
      <c r="L33" s="62">
        <f>Flow_ODData!L34</f>
        <v>625.1161476898244</v>
      </c>
      <c r="M33" s="62">
        <f>Flow_ODData!M34</f>
        <v>548.07102024345954</v>
      </c>
      <c r="N33" s="62">
        <f>Flow_ODData!N34</f>
        <v>1055.8684511399556</v>
      </c>
      <c r="O33" s="62">
        <f>Flow_ODData!O34</f>
        <v>103.31051180308022</v>
      </c>
      <c r="P33" s="62">
        <f>Flow_ODData!P34</f>
        <v>24.514358732934291</v>
      </c>
      <c r="Q33" s="62">
        <f>Flow_ODData!Q34</f>
        <v>54.28179433721165</v>
      </c>
      <c r="R33" s="62">
        <f>Flow_ODData!R34</f>
        <v>21.012307485372251</v>
      </c>
      <c r="S33" s="62">
        <f>Flow_ODData!S34</f>
        <v>20.136794673481742</v>
      </c>
      <c r="T33" s="62">
        <f>Flow_ODData!T34</f>
        <v>25.389871544824803</v>
      </c>
      <c r="U33" s="62">
        <f>Flow_ODData!U34</f>
        <v>30.642948416167865</v>
      </c>
      <c r="V33" s="62">
        <f>Flow_ODData!V34</f>
        <v>3.5020512475620422</v>
      </c>
      <c r="W33" s="62">
        <f>Flow_ODData!W34</f>
        <v>0</v>
      </c>
      <c r="X33" s="62">
        <f si="13" t="shared"/>
        <v>13018</v>
      </c>
      <c r="Z33">
        <v>4</v>
      </c>
      <c r="AA33" s="62">
        <f>County_Flow!AX37*AA$28</f>
        <v>1944</v>
      </c>
      <c r="AB33" s="62">
        <f>County_Flow!AY37*AB$28</f>
        <v>848</v>
      </c>
      <c r="AC33" s="62">
        <f>County_Flow!AZ37*AC$28</f>
        <v>739</v>
      </c>
      <c r="AD33" s="62">
        <f>County_Flow!BA37*AD$28</f>
        <v>1075</v>
      </c>
      <c r="AE33" s="62">
        <f>County_Flow!BB37*AE$28</f>
        <v>766</v>
      </c>
      <c r="AF33" s="62">
        <f>County_Flow!BC37*AF$28</f>
        <v>2931</v>
      </c>
      <c r="AG33" s="62">
        <f>County_Flow!BD37*AG$28</f>
        <v>512</v>
      </c>
      <c r="AH33" s="62">
        <f>County_Flow!BE37*AH$28</f>
        <v>124</v>
      </c>
      <c r="AI33" s="62">
        <f>County_Flow!BF37*AI$28</f>
        <v>684</v>
      </c>
      <c r="AJ33" s="62">
        <f>County_Flow!BG37*AJ$28</f>
        <v>728</v>
      </c>
      <c r="AK33" s="62">
        <f>County_Flow!BH37*AK$28</f>
        <v>672</v>
      </c>
      <c r="AL33" s="62">
        <f>County_Flow!BI37*AL$28</f>
        <v>1733</v>
      </c>
      <c r="AM33" s="62">
        <f>County_Flow!BJ37*AM$28</f>
        <v>32</v>
      </c>
      <c r="AN33" s="62">
        <f>County_Flow!BK37*AN$28</f>
        <v>60</v>
      </c>
      <c r="AO33" s="62">
        <f>County_Flow!BL37*AO$28</f>
        <v>41</v>
      </c>
      <c r="AP33" s="62">
        <f>County_Flow!BM37*AP$28</f>
        <v>35</v>
      </c>
      <c r="AQ33" s="62">
        <f>County_Flow!BN37*AQ$28</f>
        <v>39</v>
      </c>
      <c r="AR33" s="62">
        <f>County_Flow!BO37*AR$28</f>
        <v>15</v>
      </c>
      <c r="AS33" s="62">
        <f>County_Flow!BP37*AS$28</f>
        <v>39</v>
      </c>
      <c r="AT33" s="62">
        <f>County_Flow!BQ37*AT$28</f>
        <v>1</v>
      </c>
      <c r="AU33" s="62">
        <f>County_Flow!BR37</f>
        <v>0</v>
      </c>
      <c r="AV33" s="13">
        <f si="14" t="shared"/>
        <v>13018</v>
      </c>
      <c r="AW33" s="115">
        <f si="15" t="shared"/>
        <v>0</v>
      </c>
      <c r="AY33">
        <v>4</v>
      </c>
      <c r="AZ33" s="62">
        <f si="16" t="shared"/>
        <v>1944</v>
      </c>
      <c r="BA33" s="62">
        <f si="17" t="shared"/>
        <v>848</v>
      </c>
      <c r="BB33" s="62">
        <f si="18" t="shared"/>
        <v>739</v>
      </c>
      <c r="BC33" s="62">
        <f si="19" t="shared"/>
        <v>1075</v>
      </c>
      <c r="BD33" s="62">
        <f si="20" t="shared"/>
        <v>766</v>
      </c>
      <c r="BE33" s="62">
        <f si="21" t="shared"/>
        <v>2931</v>
      </c>
      <c r="BF33" s="62">
        <f si="22" t="shared"/>
        <v>512</v>
      </c>
      <c r="BG33" s="62">
        <f si="23" t="shared"/>
        <v>124</v>
      </c>
      <c r="BH33" s="62">
        <f si="24" t="shared"/>
        <v>684</v>
      </c>
      <c r="BI33" s="62">
        <f si="25" t="shared"/>
        <v>728</v>
      </c>
      <c r="BJ33" s="62">
        <f si="26" t="shared"/>
        <v>672</v>
      </c>
      <c r="BK33" s="62">
        <f si="27" t="shared"/>
        <v>1733</v>
      </c>
      <c r="BL33" s="62">
        <f si="28" t="shared"/>
        <v>32</v>
      </c>
      <c r="BM33" s="62">
        <f si="29" t="shared"/>
        <v>60</v>
      </c>
      <c r="BN33" s="62">
        <f si="30" t="shared"/>
        <v>41</v>
      </c>
      <c r="BO33" s="62">
        <f si="31" t="shared"/>
        <v>35</v>
      </c>
      <c r="BP33" s="62">
        <f si="32" t="shared"/>
        <v>39</v>
      </c>
      <c r="BQ33" s="62">
        <f si="33" t="shared"/>
        <v>15</v>
      </c>
      <c r="BR33" s="62">
        <f si="34" t="shared"/>
        <v>39</v>
      </c>
      <c r="BS33" s="62">
        <f si="35" t="shared"/>
        <v>1</v>
      </c>
      <c r="BT33" s="62">
        <f si="36" t="shared"/>
        <v>0</v>
      </c>
      <c r="BU33" s="62">
        <f si="11" t="shared"/>
        <v>13018</v>
      </c>
      <c r="BW33">
        <v>4</v>
      </c>
      <c r="BX33" s="62">
        <f si="37" t="shared"/>
        <v>662.24924339229278</v>
      </c>
      <c r="BY33" s="62">
        <f si="38" t="shared"/>
        <v>82.801802407693799</v>
      </c>
      <c r="BZ33" s="62">
        <f si="39" t="shared"/>
        <v>242.4498621292621</v>
      </c>
      <c r="CA33" s="62">
        <f si="40" t="shared"/>
        <v>1775.669715515502</v>
      </c>
      <c r="CB33" s="62">
        <f si="41" t="shared"/>
        <v>404.56062949761258</v>
      </c>
      <c r="CC33" s="62">
        <f si="42" t="shared"/>
        <v>771.10989306611054</v>
      </c>
      <c r="CD33" s="62">
        <f si="43" t="shared"/>
        <v>15.058712758087268</v>
      </c>
      <c r="CE33" s="62">
        <f si="44" t="shared"/>
        <v>327.76461093550341</v>
      </c>
      <c r="CF33" s="62">
        <f si="45" t="shared"/>
        <v>366.18884928374473</v>
      </c>
      <c r="CG33" s="62">
        <f si="46" t="shared"/>
        <v>102.8838523101756</v>
      </c>
      <c r="CH33" s="62">
        <f si="47" t="shared"/>
        <v>123.92897975654046</v>
      </c>
      <c r="CI33" s="62">
        <f si="48" t="shared"/>
        <v>677.1315488600444</v>
      </c>
      <c r="CJ33" s="62">
        <f si="49" t="shared"/>
        <v>71.310511803080217</v>
      </c>
      <c r="CK33" s="62">
        <f si="50" t="shared"/>
        <v>35.485641267065709</v>
      </c>
      <c r="CL33" s="62">
        <f si="51" t="shared"/>
        <v>13.28179433721165</v>
      </c>
      <c r="CM33" s="62">
        <f si="52" t="shared"/>
        <v>13.987692514627749</v>
      </c>
      <c r="CN33" s="62">
        <f si="53" t="shared"/>
        <v>18.863205326518258</v>
      </c>
      <c r="CO33" s="62">
        <f si="54" t="shared"/>
        <v>10.389871544824803</v>
      </c>
      <c r="CP33" s="62">
        <f si="55" t="shared"/>
        <v>8.3570515838321349</v>
      </c>
      <c r="CQ33" s="62">
        <f si="56" t="shared"/>
        <v>2.5020512475620422</v>
      </c>
      <c r="CR33" s="62">
        <f si="57" t="shared"/>
        <v>0</v>
      </c>
      <c r="CS33" s="62">
        <f si="58" t="shared"/>
        <v>0</v>
      </c>
      <c r="CU33">
        <v>32</v>
      </c>
      <c r="CV33">
        <f si="6" t="shared"/>
        <v>2</v>
      </c>
      <c r="CW33">
        <f si="0" t="shared"/>
        <v>12</v>
      </c>
      <c r="CX33" s="44">
        <f si="1" t="shared"/>
        <v>1562.1732283464567</v>
      </c>
      <c r="CY33" s="44">
        <f si="2" t="shared"/>
        <v>2909</v>
      </c>
      <c r="CZ33" s="87">
        <f si="3" t="shared"/>
        <v>1346.8267716535433</v>
      </c>
      <c r="DA33" s="63">
        <f si="4" t="shared"/>
        <v>0.86214943849674397</v>
      </c>
      <c r="DB33">
        <v>32000</v>
      </c>
    </row>
    <row r="34" spans="2:106" x14ac:dyDescent="0.45">
      <c r="B34">
        <v>5</v>
      </c>
      <c r="C34" s="62">
        <f>Flow_ODData!C35</f>
        <v>1612.6208151855944</v>
      </c>
      <c r="D34" s="62">
        <f>Flow_ODData!D35</f>
        <v>523.67639602158226</v>
      </c>
      <c r="E34" s="62">
        <f>Flow_ODData!E35</f>
        <v>564.32275888968343</v>
      </c>
      <c r="F34" s="62">
        <f>Flow_ODData!F35</f>
        <v>739.19664564779293</v>
      </c>
      <c r="G34" s="62">
        <f>Flow_ODData!G35</f>
        <v>3195.9384385360463</v>
      </c>
      <c r="H34" s="62">
        <f>Flow_ODData!H35</f>
        <v>3806.5791458103104</v>
      </c>
      <c r="I34" s="62">
        <f>Flow_ODData!I35</f>
        <v>448.05525580185918</v>
      </c>
      <c r="J34" s="62">
        <f>Flow_ODData!J35</f>
        <v>129.50120262627576</v>
      </c>
      <c r="K34" s="62">
        <f>Flow_ODData!K35</f>
        <v>340.29513098875384</v>
      </c>
      <c r="L34" s="62">
        <f>Flow_ODData!L35</f>
        <v>913.12526815315618</v>
      </c>
      <c r="M34" s="62">
        <f>Flow_ODData!M35</f>
        <v>378.10570109861533</v>
      </c>
      <c r="N34" s="62">
        <f>Flow_ODData!N35</f>
        <v>1572.9197165702399</v>
      </c>
      <c r="O34" s="62">
        <f>Flow_ODData!O35</f>
        <v>81.2927257362023</v>
      </c>
      <c r="P34" s="62">
        <f>Flow_ODData!P35</f>
        <v>12.288435285704999</v>
      </c>
      <c r="Q34" s="62">
        <f>Flow_ODData!Q35</f>
        <v>20.795813560423841</v>
      </c>
      <c r="R34" s="62">
        <f>Flow_ODData!R35</f>
        <v>115.32223883507768</v>
      </c>
      <c r="S34" s="62">
        <f>Flow_ODData!S35</f>
        <v>17.014756549437688</v>
      </c>
      <c r="T34" s="62">
        <f>Flow_ODData!T35</f>
        <v>15.124228043944614</v>
      </c>
      <c r="U34" s="62">
        <f>Flow_ODData!U35</f>
        <v>47.263212637326916</v>
      </c>
      <c r="V34" s="62">
        <f>Flow_ODData!V35</f>
        <v>7.5621140219723069</v>
      </c>
      <c r="W34" s="62">
        <f>Flow_ODData!W35</f>
        <v>0</v>
      </c>
      <c r="X34" s="62">
        <f si="13" t="shared"/>
        <v>14540.999999999998</v>
      </c>
      <c r="Z34">
        <v>5</v>
      </c>
      <c r="AA34" s="62">
        <f>County_Flow!AX38*AA$28</f>
        <v>1843</v>
      </c>
      <c r="AB34" s="62">
        <f>County_Flow!AY38*AB$28</f>
        <v>790</v>
      </c>
      <c r="AC34" s="62">
        <f>County_Flow!AZ38*AC$28</f>
        <v>543</v>
      </c>
      <c r="AD34" s="62">
        <f>County_Flow!BA38*AD$28</f>
        <v>580</v>
      </c>
      <c r="AE34" s="62">
        <f>County_Flow!BB38*AE$28</f>
        <v>1369</v>
      </c>
      <c r="AF34" s="62">
        <f>County_Flow!BC38*AF$28</f>
        <v>4409</v>
      </c>
      <c r="AG34" s="62">
        <f>County_Flow!BD38*AG$28</f>
        <v>539</v>
      </c>
      <c r="AH34" s="62">
        <f>County_Flow!BE38*AH$28</f>
        <v>83</v>
      </c>
      <c r="AI34" s="62">
        <f>County_Flow!BF38*AI$28</f>
        <v>537</v>
      </c>
      <c r="AJ34" s="62">
        <f>County_Flow!BG38*AJ$28</f>
        <v>972</v>
      </c>
      <c r="AK34" s="62">
        <f>County_Flow!BH38*AK$28</f>
        <v>333</v>
      </c>
      <c r="AL34" s="62">
        <f>County_Flow!BI38*AL$28</f>
        <v>2289</v>
      </c>
      <c r="AM34" s="62">
        <f>County_Flow!BJ38*AM$28</f>
        <v>41</v>
      </c>
      <c r="AN34" s="62">
        <f>County_Flow!BK38*AN$28</f>
        <v>32</v>
      </c>
      <c r="AO34" s="62">
        <f>County_Flow!BL38*AO$28</f>
        <v>31</v>
      </c>
      <c r="AP34" s="62">
        <f>County_Flow!BM38*AP$28</f>
        <v>97</v>
      </c>
      <c r="AQ34" s="62">
        <f>County_Flow!BN38*AQ$28</f>
        <v>14</v>
      </c>
      <c r="AR34" s="62">
        <f>County_Flow!BO38*AR$28</f>
        <v>23</v>
      </c>
      <c r="AS34" s="62">
        <f>County_Flow!BP38*AS$28</f>
        <v>16</v>
      </c>
      <c r="AT34" s="62">
        <f>County_Flow!BQ38*AT$28</f>
        <v>0</v>
      </c>
      <c r="AU34" s="62">
        <f>County_Flow!BR38</f>
        <v>0</v>
      </c>
      <c r="AV34" s="13">
        <f si="14" t="shared"/>
        <v>14541</v>
      </c>
      <c r="AW34" s="115">
        <f si="15" t="shared"/>
        <v>1.250938314796683E-16</v>
      </c>
      <c r="AY34">
        <v>5</v>
      </c>
      <c r="AZ34" s="62">
        <f si="16" t="shared"/>
        <v>1842.9999999999998</v>
      </c>
      <c r="BA34" s="62">
        <f si="17" t="shared"/>
        <v>789.99999999999989</v>
      </c>
      <c r="BB34" s="62">
        <f si="18" t="shared"/>
        <v>542.99999999999989</v>
      </c>
      <c r="BC34" s="62">
        <f si="19" t="shared"/>
        <v>579.99999999999989</v>
      </c>
      <c r="BD34" s="62">
        <f si="20" t="shared"/>
        <v>1368.9999999999998</v>
      </c>
      <c r="BE34" s="62">
        <f si="21" t="shared"/>
        <v>4408.9999999999991</v>
      </c>
      <c r="BF34" s="62">
        <f si="22" t="shared"/>
        <v>538.99999999999989</v>
      </c>
      <c r="BG34" s="62">
        <f si="23" t="shared"/>
        <v>82.999999999999986</v>
      </c>
      <c r="BH34" s="62">
        <f si="24" t="shared"/>
        <v>536.99999999999989</v>
      </c>
      <c r="BI34" s="62">
        <f si="25" t="shared"/>
        <v>971.99999999999989</v>
      </c>
      <c r="BJ34" s="62">
        <f si="26" t="shared"/>
        <v>332.99999999999994</v>
      </c>
      <c r="BK34" s="62">
        <f si="27" t="shared"/>
        <v>2288.9999999999995</v>
      </c>
      <c r="BL34" s="62">
        <f si="28" t="shared"/>
        <v>40.999999999999993</v>
      </c>
      <c r="BM34" s="62">
        <f si="29" t="shared"/>
        <v>31.999999999999996</v>
      </c>
      <c r="BN34" s="62">
        <f si="30" t="shared"/>
        <v>30.999999999999996</v>
      </c>
      <c r="BO34" s="62">
        <f si="31" t="shared"/>
        <v>96.999999999999986</v>
      </c>
      <c r="BP34" s="62">
        <f si="32" t="shared"/>
        <v>13.999999999999998</v>
      </c>
      <c r="BQ34" s="62">
        <f si="33" t="shared"/>
        <v>22.999999999999996</v>
      </c>
      <c r="BR34" s="62">
        <f si="34" t="shared"/>
        <v>15.999999999999998</v>
      </c>
      <c r="BS34" s="62">
        <f si="35" t="shared"/>
        <v>0</v>
      </c>
      <c r="BT34" s="62">
        <f si="36" t="shared"/>
        <v>0</v>
      </c>
      <c r="BU34" s="62">
        <f si="11" t="shared"/>
        <v>14540.999999999998</v>
      </c>
      <c r="BW34">
        <v>5</v>
      </c>
      <c r="BX34" s="62">
        <f si="37" t="shared"/>
        <v>230.37918481440533</v>
      </c>
      <c r="BY34" s="62">
        <f si="38" t="shared"/>
        <v>266.32360397841762</v>
      </c>
      <c r="BZ34" s="62">
        <f si="39" t="shared"/>
        <v>21.322758889683541</v>
      </c>
      <c r="CA34" s="62">
        <f si="40" t="shared"/>
        <v>159.19664564779305</v>
      </c>
      <c r="CB34" s="62">
        <f si="41" t="shared"/>
        <v>1826.9384385360465</v>
      </c>
      <c r="CC34" s="62">
        <f si="42" t="shared"/>
        <v>602.42085418968873</v>
      </c>
      <c r="CD34" s="62">
        <f si="43" t="shared"/>
        <v>90.944744198140711</v>
      </c>
      <c r="CE34" s="62">
        <f si="44" t="shared"/>
        <v>46.50120262627577</v>
      </c>
      <c r="CF34" s="62">
        <f si="45" t="shared"/>
        <v>196.70486901124605</v>
      </c>
      <c r="CG34" s="62">
        <f si="46" t="shared"/>
        <v>58.874731846843702</v>
      </c>
      <c r="CH34" s="62">
        <f si="47" t="shared"/>
        <v>45.105701098615384</v>
      </c>
      <c r="CI34" s="62">
        <f si="48" t="shared"/>
        <v>716.08028342975967</v>
      </c>
      <c r="CJ34" s="62">
        <f si="49" t="shared"/>
        <v>40.292725736202307</v>
      </c>
      <c r="CK34" s="62">
        <f si="50" t="shared"/>
        <v>19.711564714294997</v>
      </c>
      <c r="CL34" s="62">
        <f si="51" t="shared"/>
        <v>10.204186439576155</v>
      </c>
      <c r="CM34" s="62">
        <f si="52" t="shared"/>
        <v>18.322238835077698</v>
      </c>
      <c r="CN34" s="62">
        <f si="53" t="shared"/>
        <v>3.0147565494376902</v>
      </c>
      <c r="CO34" s="62">
        <f si="54" t="shared"/>
        <v>7.8757719560553827</v>
      </c>
      <c r="CP34" s="62">
        <f si="55" t="shared"/>
        <v>31.263212637326916</v>
      </c>
      <c r="CQ34" s="62">
        <f si="56" t="shared"/>
        <v>7.5621140219723069</v>
      </c>
      <c r="CR34" s="62">
        <f si="57" t="shared"/>
        <v>0</v>
      </c>
      <c r="CS34" s="62">
        <f si="58" t="shared"/>
        <v>0</v>
      </c>
      <c r="CU34">
        <v>33</v>
      </c>
      <c r="CV34">
        <f si="6" t="shared"/>
        <v>2</v>
      </c>
      <c r="CW34">
        <f si="0" t="shared"/>
        <v>13</v>
      </c>
      <c r="CX34" s="44">
        <f si="1" t="shared"/>
        <v>214.37007874015748</v>
      </c>
      <c r="CY34" s="44">
        <f si="2" t="shared"/>
        <v>112</v>
      </c>
      <c r="CZ34" s="87">
        <f si="3" t="shared"/>
        <v>-102.37007874015748</v>
      </c>
      <c r="DA34" s="63">
        <f si="4" t="shared"/>
        <v>-0.47753902662993575</v>
      </c>
      <c r="DB34">
        <v>33000</v>
      </c>
    </row>
    <row r="35" spans="2:106" x14ac:dyDescent="0.45">
      <c r="B35">
        <v>6</v>
      </c>
      <c r="C35" s="62">
        <f>Flow_ODData!C36</f>
        <v>3398.0978461993932</v>
      </c>
      <c r="D35" s="62">
        <f>Flow_ODData!D36</f>
        <v>1645.2660794907852</v>
      </c>
      <c r="E35" s="62">
        <f>Flow_ODData!E36</f>
        <v>856.45103989342022</v>
      </c>
      <c r="F35" s="62">
        <f>Flow_ODData!F36</f>
        <v>886.60202797720376</v>
      </c>
      <c r="G35" s="62">
        <f>Flow_ODData!G36</f>
        <v>1443.9878617422842</v>
      </c>
      <c r="H35" s="62">
        <f>Flow_ODData!H36</f>
        <v>16228.565613204055</v>
      </c>
      <c r="I35" s="62">
        <f>Flow_ODData!I36</f>
        <v>946.90400414477097</v>
      </c>
      <c r="J35" s="62">
        <f>Flow_ODData!J36</f>
        <v>79.044482273702911</v>
      </c>
      <c r="K35" s="62">
        <f>Flow_ODData!K36</f>
        <v>798.593738435349</v>
      </c>
      <c r="L35" s="62">
        <f>Flow_ODData!L36</f>
        <v>839.33831692694832</v>
      </c>
      <c r="M35" s="62">
        <f>Flow_ODData!M36</f>
        <v>517.45614684331281</v>
      </c>
      <c r="N35" s="62">
        <f>Flow_ODData!N36</f>
        <v>4608.2118273998967</v>
      </c>
      <c r="O35" s="62">
        <f>Flow_ODData!O36</f>
        <v>239.5781215306047</v>
      </c>
      <c r="P35" s="62">
        <f>Flow_ODData!P36</f>
        <v>44.819036340759382</v>
      </c>
      <c r="Q35" s="62">
        <f>Flow_ODData!Q36</f>
        <v>122.23373547479831</v>
      </c>
      <c r="R35" s="62">
        <f>Flow_ODData!R36</f>
        <v>88.823181111686779</v>
      </c>
      <c r="S35" s="62">
        <f>Flow_ODData!S36</f>
        <v>63.561542446895125</v>
      </c>
      <c r="T35" s="62">
        <f>Flow_ODData!T36</f>
        <v>78.229590703870926</v>
      </c>
      <c r="U35" s="62">
        <f>Flow_ODData!U36</f>
        <v>117.34438605580637</v>
      </c>
      <c r="V35" s="62">
        <f>Flow_ODData!V36</f>
        <v>26.891421804455629</v>
      </c>
      <c r="W35" s="62">
        <f>Flow_ODData!W36</f>
        <v>0</v>
      </c>
      <c r="X35" s="62">
        <f si="13" t="shared"/>
        <v>33030</v>
      </c>
      <c r="Z35">
        <v>6</v>
      </c>
      <c r="AA35" s="62">
        <f>County_Flow!AX39*AA$28</f>
        <v>3801</v>
      </c>
      <c r="AB35" s="62">
        <f>County_Flow!AY39*AB$28</f>
        <v>1787</v>
      </c>
      <c r="AC35" s="62">
        <f>County_Flow!AZ39*AC$28</f>
        <v>935</v>
      </c>
      <c r="AD35" s="62">
        <f>County_Flow!BA39*AD$28</f>
        <v>837</v>
      </c>
      <c r="AE35" s="62">
        <f>County_Flow!BB39*AE$28</f>
        <v>1638</v>
      </c>
      <c r="AF35" s="62">
        <f>County_Flow!BC39*AF$28</f>
        <v>12658</v>
      </c>
      <c r="AG35" s="62">
        <f>County_Flow!BD39*AG$28</f>
        <v>1422</v>
      </c>
      <c r="AH35" s="62">
        <f>County_Flow!BE39*AH$28</f>
        <v>89</v>
      </c>
      <c r="AI35" s="62">
        <f>County_Flow!BF39*AI$28</f>
        <v>1293</v>
      </c>
      <c r="AJ35" s="62">
        <f>County_Flow!BG39*AJ$28</f>
        <v>1305</v>
      </c>
      <c r="AK35" s="62">
        <f>County_Flow!BH39*AK$28</f>
        <v>592</v>
      </c>
      <c r="AL35" s="62">
        <f>County_Flow!BI39*AL$28</f>
        <v>6153</v>
      </c>
      <c r="AM35" s="62">
        <f>County_Flow!BJ39*AM$28</f>
        <v>120</v>
      </c>
      <c r="AN35" s="62">
        <f>County_Flow!BK39*AN$28</f>
        <v>42</v>
      </c>
      <c r="AO35" s="62">
        <f>County_Flow!BL39*AO$28</f>
        <v>78</v>
      </c>
      <c r="AP35" s="62">
        <f>County_Flow!BM39*AP$28</f>
        <v>134</v>
      </c>
      <c r="AQ35" s="62">
        <f>County_Flow!BN39*AQ$28</f>
        <v>32</v>
      </c>
      <c r="AR35" s="62">
        <f>County_Flow!BO39*AR$28</f>
        <v>79</v>
      </c>
      <c r="AS35" s="62">
        <f>County_Flow!BP39*AS$28</f>
        <v>29</v>
      </c>
      <c r="AT35" s="62">
        <f>County_Flow!BQ39*AT$28</f>
        <v>6</v>
      </c>
      <c r="AU35" s="62">
        <f>County_Flow!BR39</f>
        <v>0</v>
      </c>
      <c r="AV35" s="13">
        <f si="14" t="shared"/>
        <v>33030</v>
      </c>
      <c r="AW35" s="115">
        <f si="15" t="shared"/>
        <v>0</v>
      </c>
      <c r="AY35">
        <v>6</v>
      </c>
      <c r="AZ35" s="62">
        <f si="16" t="shared"/>
        <v>3801</v>
      </c>
      <c r="BA35" s="62">
        <f si="17" t="shared"/>
        <v>1787</v>
      </c>
      <c r="BB35" s="62">
        <f si="18" t="shared"/>
        <v>935</v>
      </c>
      <c r="BC35" s="62">
        <f si="19" t="shared"/>
        <v>837</v>
      </c>
      <c r="BD35" s="62">
        <f si="20" t="shared"/>
        <v>1638</v>
      </c>
      <c r="BE35" s="62">
        <f si="21" t="shared"/>
        <v>12658</v>
      </c>
      <c r="BF35" s="62">
        <f si="22" t="shared"/>
        <v>1422</v>
      </c>
      <c r="BG35" s="62">
        <f si="23" t="shared"/>
        <v>89</v>
      </c>
      <c r="BH35" s="62">
        <f si="24" t="shared"/>
        <v>1293</v>
      </c>
      <c r="BI35" s="62">
        <f si="25" t="shared"/>
        <v>1305</v>
      </c>
      <c r="BJ35" s="62">
        <f si="26" t="shared"/>
        <v>592</v>
      </c>
      <c r="BK35" s="62">
        <f si="27" t="shared"/>
        <v>6153</v>
      </c>
      <c r="BL35" s="62">
        <f si="28" t="shared"/>
        <v>120</v>
      </c>
      <c r="BM35" s="62">
        <f si="29" t="shared"/>
        <v>42</v>
      </c>
      <c r="BN35" s="62">
        <f si="30" t="shared"/>
        <v>78</v>
      </c>
      <c r="BO35" s="62">
        <f si="31" t="shared"/>
        <v>134</v>
      </c>
      <c r="BP35" s="62">
        <f si="32" t="shared"/>
        <v>32</v>
      </c>
      <c r="BQ35" s="62">
        <f si="33" t="shared"/>
        <v>79</v>
      </c>
      <c r="BR35" s="62">
        <f si="34" t="shared"/>
        <v>29</v>
      </c>
      <c r="BS35" s="62">
        <f si="35" t="shared"/>
        <v>6</v>
      </c>
      <c r="BT35" s="62">
        <f si="36" t="shared"/>
        <v>0</v>
      </c>
      <c r="BU35" s="62">
        <f si="11" t="shared"/>
        <v>33030</v>
      </c>
      <c r="BW35">
        <v>6</v>
      </c>
      <c r="BX35" s="62">
        <f si="37" t="shared"/>
        <v>402.90215380060681</v>
      </c>
      <c r="BY35" s="62">
        <f si="38" t="shared"/>
        <v>141.73392050921484</v>
      </c>
      <c r="BZ35" s="62">
        <f si="39" t="shared"/>
        <v>78.548960106579784</v>
      </c>
      <c r="CA35" s="62">
        <f si="40" t="shared"/>
        <v>49.602027977203761</v>
      </c>
      <c r="CB35" s="62">
        <f si="41" t="shared"/>
        <v>194.01213825771583</v>
      </c>
      <c r="CC35" s="62">
        <f si="42" t="shared"/>
        <v>3570.5656132040549</v>
      </c>
      <c r="CD35" s="62">
        <f si="43" t="shared"/>
        <v>475.09599585522903</v>
      </c>
      <c r="CE35" s="62">
        <f si="44" t="shared"/>
        <v>9.9555177262970886</v>
      </c>
      <c r="CF35" s="62">
        <f si="45" t="shared"/>
        <v>494.406261564651</v>
      </c>
      <c r="CG35" s="62">
        <f si="46" t="shared"/>
        <v>465.66168307305168</v>
      </c>
      <c r="CH35" s="62">
        <f si="47" t="shared"/>
        <v>74.543853156687192</v>
      </c>
      <c r="CI35" s="62">
        <f si="48" t="shared"/>
        <v>1544.7881726001033</v>
      </c>
      <c r="CJ35" s="62">
        <f si="49" t="shared"/>
        <v>119.5781215306047</v>
      </c>
      <c r="CK35" s="62">
        <f si="50" t="shared"/>
        <v>2.8190363407593821</v>
      </c>
      <c r="CL35" s="62">
        <f si="51" t="shared"/>
        <v>44.233735474798308</v>
      </c>
      <c r="CM35" s="62">
        <f si="52" t="shared"/>
        <v>45.176818888313221</v>
      </c>
      <c r="CN35" s="62">
        <f si="53" t="shared"/>
        <v>31.561542446895125</v>
      </c>
      <c r="CO35" s="62">
        <f si="54" t="shared"/>
        <v>0.77040929612907405</v>
      </c>
      <c r="CP35" s="62">
        <f si="55" t="shared"/>
        <v>88.344386055806368</v>
      </c>
      <c r="CQ35" s="62">
        <f si="56" t="shared"/>
        <v>20.891421804455629</v>
      </c>
      <c r="CR35" s="62">
        <f si="57" t="shared"/>
        <v>0</v>
      </c>
      <c r="CS35" s="62">
        <f si="58" t="shared"/>
        <v>0</v>
      </c>
      <c r="CU35">
        <v>34</v>
      </c>
      <c r="CV35">
        <f si="6" t="shared"/>
        <v>2</v>
      </c>
      <c r="CW35">
        <f si="0" t="shared"/>
        <v>14</v>
      </c>
      <c r="CX35" s="44">
        <f si="1" t="shared"/>
        <v>31.960629921259841</v>
      </c>
      <c r="CY35" s="44">
        <f si="2" t="shared"/>
        <v>21</v>
      </c>
      <c r="CZ35" s="87">
        <f si="3" t="shared"/>
        <v>-10.960629921259841</v>
      </c>
      <c r="DA35" s="63">
        <f si="4" t="shared"/>
        <v>-0.34294161123429412</v>
      </c>
      <c r="DB35">
        <v>34000</v>
      </c>
    </row>
    <row r="36" spans="2:106" x14ac:dyDescent="0.45">
      <c r="B36">
        <v>7</v>
      </c>
      <c r="C36" s="62">
        <f>Flow_ODData!C37</f>
        <v>4220.949711093408</v>
      </c>
      <c r="D36" s="62">
        <f>Flow_ODData!D37</f>
        <v>5770.800629241583</v>
      </c>
      <c r="E36" s="62">
        <f>Flow_ODData!E37</f>
        <v>2236.9174019583124</v>
      </c>
      <c r="F36" s="62">
        <f>Flow_ODData!F37</f>
        <v>1362.9762723486645</v>
      </c>
      <c r="G36" s="62">
        <f>Flow_ODData!G37</f>
        <v>2283.4036322566981</v>
      </c>
      <c r="H36" s="62">
        <f>Flow_ODData!H37</f>
        <v>7906.3780491494144</v>
      </c>
      <c r="I36" s="62">
        <f>Flow_ODData!I37</f>
        <v>35993.358395433963</v>
      </c>
      <c r="J36" s="62">
        <f>Flow_ODData!J37</f>
        <v>254.74454203515282</v>
      </c>
      <c r="K36" s="62">
        <f>Flow_ODData!K37</f>
        <v>4620.7312916595238</v>
      </c>
      <c r="L36" s="62">
        <f>Flow_ODData!L37</f>
        <v>1453.1595591275322</v>
      </c>
      <c r="M36" s="62">
        <f>Flow_ODData!M37</f>
        <v>1927.319108171065</v>
      </c>
      <c r="N36" s="62">
        <f>Flow_ODData!N37</f>
        <v>11640.152066715742</v>
      </c>
      <c r="O36" s="62">
        <f>Flow_ODData!O37</f>
        <v>10067.987758024343</v>
      </c>
      <c r="P36" s="62">
        <f>Flow_ODData!P37</f>
        <v>68.799620841610619</v>
      </c>
      <c r="Q36" s="62">
        <f>Flow_ODData!Q37</f>
        <v>1021.7673419585144</v>
      </c>
      <c r="R36" s="62">
        <f>Flow_ODData!R37</f>
        <v>91.113011384835673</v>
      </c>
      <c r="S36" s="62">
        <f>Flow_ODData!S37</f>
        <v>105.05888047435134</v>
      </c>
      <c r="T36" s="62">
        <f>Flow_ODData!T37</f>
        <v>732.62298950255627</v>
      </c>
      <c r="U36" s="62">
        <f>Flow_ODData!U37</f>
        <v>197.10161646515473</v>
      </c>
      <c r="V36" s="62">
        <f>Flow_ODData!V37</f>
        <v>242.65812215757256</v>
      </c>
      <c r="W36" s="62">
        <f>Flow_ODData!W37</f>
        <v>0</v>
      </c>
      <c r="X36" s="62">
        <f si="13" t="shared"/>
        <v>92198.000000000015</v>
      </c>
      <c r="Z36">
        <v>7</v>
      </c>
      <c r="AA36" s="62">
        <f>County_Flow!AX40*AA$28</f>
        <v>4930</v>
      </c>
      <c r="AB36" s="62">
        <f>County_Flow!AY40*AB$28</f>
        <v>5403</v>
      </c>
      <c r="AC36" s="62">
        <f>County_Flow!AZ40*AC$28</f>
        <v>1823</v>
      </c>
      <c r="AD36" s="62">
        <f>County_Flow!BA40*AD$28</f>
        <v>1053</v>
      </c>
      <c r="AE36" s="62">
        <f>County_Flow!BB40*AE$28</f>
        <v>1346</v>
      </c>
      <c r="AF36" s="62">
        <f>County_Flow!BC40*AF$28</f>
        <v>8957</v>
      </c>
      <c r="AG36" s="62">
        <f>County_Flow!BD40*AG$28</f>
        <v>28705</v>
      </c>
      <c r="AH36" s="62">
        <f>County_Flow!BE40*AH$28</f>
        <v>89</v>
      </c>
      <c r="AI36" s="62">
        <f>County_Flow!BF40*AI$28</f>
        <v>7185</v>
      </c>
      <c r="AJ36" s="62">
        <f>County_Flow!BG40*AJ$28</f>
        <v>1088</v>
      </c>
      <c r="AK36" s="62">
        <f>County_Flow!BH40*AK$28</f>
        <v>843</v>
      </c>
      <c r="AL36" s="62">
        <f>County_Flow!BI40*AL$28</f>
        <v>18852</v>
      </c>
      <c r="AM36" s="62">
        <f>County_Flow!BJ40*AM$28</f>
        <v>9957</v>
      </c>
      <c r="AN36" s="62">
        <f>County_Flow!BK40*AN$28</f>
        <v>55</v>
      </c>
      <c r="AO36" s="62">
        <f>County_Flow!BL40*AO$28</f>
        <v>1222</v>
      </c>
      <c r="AP36" s="62">
        <f>County_Flow!BM40*AP$28</f>
        <v>105</v>
      </c>
      <c r="AQ36" s="62">
        <f>County_Flow!BN40*AQ$28</f>
        <v>31</v>
      </c>
      <c r="AR36" s="62">
        <f>County_Flow!BO40*AR$28</f>
        <v>461</v>
      </c>
      <c r="AS36" s="62">
        <f>County_Flow!BP40*AS$28</f>
        <v>69</v>
      </c>
      <c r="AT36" s="62">
        <f>County_Flow!BQ40*AT$28</f>
        <v>24</v>
      </c>
      <c r="AU36" s="62">
        <f>County_Flow!BR40</f>
        <v>0</v>
      </c>
      <c r="AV36" s="13">
        <f si="14" t="shared"/>
        <v>92198</v>
      </c>
      <c r="AW36" s="115">
        <f si="15" t="shared"/>
        <v>1.5783330688699159E-16</v>
      </c>
      <c r="AY36">
        <v>7</v>
      </c>
      <c r="AZ36" s="62">
        <f si="16" t="shared"/>
        <v>4930.0000000000009</v>
      </c>
      <c r="BA36" s="62">
        <f si="17" t="shared"/>
        <v>5403.0000000000009</v>
      </c>
      <c r="BB36" s="62">
        <f si="18" t="shared"/>
        <v>1823.0000000000002</v>
      </c>
      <c r="BC36" s="62">
        <f si="19" t="shared"/>
        <v>1053.0000000000002</v>
      </c>
      <c r="BD36" s="62">
        <f si="20" t="shared"/>
        <v>1346.0000000000002</v>
      </c>
      <c r="BE36" s="62">
        <f si="21" t="shared"/>
        <v>8957.0000000000018</v>
      </c>
      <c r="BF36" s="62">
        <f si="22" t="shared"/>
        <v>28705.000000000004</v>
      </c>
      <c r="BG36" s="62">
        <f si="23" t="shared"/>
        <v>89.000000000000014</v>
      </c>
      <c r="BH36" s="62">
        <f si="24" t="shared"/>
        <v>7185.0000000000009</v>
      </c>
      <c r="BI36" s="62">
        <f si="25" t="shared"/>
        <v>1088.0000000000002</v>
      </c>
      <c r="BJ36" s="62">
        <f si="26" t="shared"/>
        <v>843.00000000000011</v>
      </c>
      <c r="BK36" s="62">
        <f si="27" t="shared"/>
        <v>18852.000000000004</v>
      </c>
      <c r="BL36" s="62">
        <f si="28" t="shared"/>
        <v>9957.0000000000018</v>
      </c>
      <c r="BM36" s="62">
        <f si="29" t="shared"/>
        <v>55.000000000000007</v>
      </c>
      <c r="BN36" s="62">
        <f si="30" t="shared"/>
        <v>1222.0000000000002</v>
      </c>
      <c r="BO36" s="62">
        <f si="31" t="shared"/>
        <v>105.00000000000001</v>
      </c>
      <c r="BP36" s="62">
        <f si="32" t="shared"/>
        <v>31.000000000000004</v>
      </c>
      <c r="BQ36" s="62">
        <f si="33" t="shared"/>
        <v>461.00000000000006</v>
      </c>
      <c r="BR36" s="62">
        <f si="34" t="shared"/>
        <v>69.000000000000014</v>
      </c>
      <c r="BS36" s="62">
        <f si="35" t="shared"/>
        <v>24.000000000000004</v>
      </c>
      <c r="BT36" s="62">
        <f si="36" t="shared"/>
        <v>0</v>
      </c>
      <c r="BU36" s="62">
        <f si="11" t="shared"/>
        <v>92198.000000000015</v>
      </c>
      <c r="BW36">
        <v>7</v>
      </c>
      <c r="BX36" s="62">
        <f si="37" t="shared"/>
        <v>709.05028890659287</v>
      </c>
      <c r="BY36" s="62">
        <f si="38" t="shared"/>
        <v>367.8006292415821</v>
      </c>
      <c r="BZ36" s="62">
        <f si="39" t="shared"/>
        <v>413.91740195831221</v>
      </c>
      <c r="CA36" s="62">
        <f si="40" t="shared"/>
        <v>309.97627234866422</v>
      </c>
      <c r="CB36" s="62">
        <f si="41" t="shared"/>
        <v>937.40363225669785</v>
      </c>
      <c r="CC36" s="62">
        <f si="42" t="shared"/>
        <v>1050.6219508505874</v>
      </c>
      <c r="CD36" s="62">
        <f si="43" t="shared"/>
        <v>7288.3583954339592</v>
      </c>
      <c r="CE36" s="62">
        <f si="44" t="shared"/>
        <v>165.74454203515279</v>
      </c>
      <c r="CF36" s="62">
        <f si="45" t="shared"/>
        <v>2564.2687083404771</v>
      </c>
      <c r="CG36" s="62">
        <f si="46" t="shared"/>
        <v>365.15955912753202</v>
      </c>
      <c r="CH36" s="62">
        <f si="47" t="shared"/>
        <v>1084.3191081710647</v>
      </c>
      <c r="CI36" s="62">
        <f si="48" t="shared"/>
        <v>7211.8479332842617</v>
      </c>
      <c r="CJ36" s="62">
        <f si="49" t="shared"/>
        <v>110.98775802434102</v>
      </c>
      <c r="CK36" s="62">
        <f si="50" t="shared"/>
        <v>13.799620841610611</v>
      </c>
      <c r="CL36" s="62">
        <f si="51" t="shared"/>
        <v>200.23265804148582</v>
      </c>
      <c r="CM36" s="62">
        <f si="52" t="shared"/>
        <v>13.886988615164341</v>
      </c>
      <c r="CN36" s="62">
        <f si="53" t="shared"/>
        <v>74.058880474351341</v>
      </c>
      <c r="CO36" s="62">
        <f si="54" t="shared"/>
        <v>271.62298950255621</v>
      </c>
      <c r="CP36" s="62">
        <f si="55" t="shared"/>
        <v>128.10161646515473</v>
      </c>
      <c r="CQ36" s="62">
        <f si="56" t="shared"/>
        <v>218.65812215757256</v>
      </c>
      <c r="CR36" s="62">
        <f si="57" t="shared"/>
        <v>0</v>
      </c>
      <c r="CS36" s="62">
        <f si="58" t="shared"/>
        <v>0</v>
      </c>
      <c r="CU36">
        <v>35</v>
      </c>
      <c r="CV36">
        <f si="6" t="shared"/>
        <v>2</v>
      </c>
      <c r="CW36">
        <f si="0" t="shared"/>
        <v>15</v>
      </c>
      <c r="CX36" s="44">
        <f si="1" t="shared"/>
        <v>133.29921259842521</v>
      </c>
      <c r="CY36" s="44">
        <f si="2" t="shared"/>
        <v>126</v>
      </c>
      <c r="CZ36" s="87">
        <f si="3" t="shared"/>
        <v>-7.2992125984252141</v>
      </c>
      <c r="DA36" s="63">
        <f si="4" t="shared"/>
        <v>-5.4758107389686457E-2</v>
      </c>
      <c r="DB36">
        <v>35000</v>
      </c>
    </row>
    <row r="37" spans="2:106" x14ac:dyDescent="0.45">
      <c r="B37">
        <v>8</v>
      </c>
      <c r="C37" s="62">
        <f>Flow_ODData!C38</f>
        <v>505.69753577106513</v>
      </c>
      <c r="D37" s="62">
        <f>Flow_ODData!D38</f>
        <v>389.85492845786962</v>
      </c>
      <c r="E37" s="62">
        <f>Flow_ODData!E38</f>
        <v>582.55465023847376</v>
      </c>
      <c r="F37" s="62">
        <f>Flow_ODData!F38</f>
        <v>285.15103338632753</v>
      </c>
      <c r="G37" s="62">
        <f>Flow_ODData!G38</f>
        <v>316.33942766295706</v>
      </c>
      <c r="H37" s="62">
        <f>Flow_ODData!H38</f>
        <v>920.05763116057244</v>
      </c>
      <c r="I37" s="62">
        <f>Flow_ODData!I38</f>
        <v>189.35810810810813</v>
      </c>
      <c r="J37" s="62">
        <f>Flow_ODData!J38</f>
        <v>565.84658187599371</v>
      </c>
      <c r="K37" s="62">
        <f>Flow_ODData!K38</f>
        <v>190.47197933227346</v>
      </c>
      <c r="L37" s="62">
        <f>Flow_ODData!L38</f>
        <v>249.50715421303656</v>
      </c>
      <c r="M37" s="62">
        <f>Flow_ODData!M38</f>
        <v>718.4469395866455</v>
      </c>
      <c r="N37" s="62">
        <f>Flow_ODData!N38</f>
        <v>317.4532988871224</v>
      </c>
      <c r="O37" s="62">
        <f>Flow_ODData!O38</f>
        <v>32.30226550079491</v>
      </c>
      <c r="P37" s="62">
        <f>Flow_ODData!P38</f>
        <v>147.03100158982511</v>
      </c>
      <c r="Q37" s="62">
        <f>Flow_ODData!Q38</f>
        <v>15.594197138314785</v>
      </c>
      <c r="R37" s="62">
        <f>Flow_ODData!R38</f>
        <v>25.619038155802862</v>
      </c>
      <c r="S37" s="62">
        <f>Flow_ODData!S38</f>
        <v>86.881955484896665</v>
      </c>
      <c r="T37" s="62">
        <f>Flow_ODData!T38</f>
        <v>8.9109697933227352</v>
      </c>
      <c r="U37" s="62">
        <f>Flow_ODData!U38</f>
        <v>34.530007949125597</v>
      </c>
      <c r="V37" s="62">
        <f>Flow_ODData!V38</f>
        <v>23.391295707472178</v>
      </c>
      <c r="W37" s="62">
        <f>Flow_ODData!W38</f>
        <v>0</v>
      </c>
      <c r="X37" s="62">
        <f si="13" t="shared"/>
        <v>5604.9999999999982</v>
      </c>
      <c r="Z37">
        <v>8</v>
      </c>
      <c r="AA37" s="62">
        <f>County_Flow!AX41*AA$28</f>
        <v>797</v>
      </c>
      <c r="AB37" s="62">
        <f>County_Flow!AY41*AB$28</f>
        <v>336</v>
      </c>
      <c r="AC37" s="62">
        <f>County_Flow!AZ41*AC$28</f>
        <v>442</v>
      </c>
      <c r="AD37" s="62">
        <f>County_Flow!BA41*AD$28</f>
        <v>301</v>
      </c>
      <c r="AE37" s="62">
        <f>County_Flow!BB41*AE$28</f>
        <v>303</v>
      </c>
      <c r="AF37" s="62">
        <f>County_Flow!BC41*AF$28</f>
        <v>1185</v>
      </c>
      <c r="AG37" s="62">
        <f>County_Flow!BD41*AG$28</f>
        <v>145</v>
      </c>
      <c r="AH37" s="62">
        <f>County_Flow!BE41*AH$28</f>
        <v>106</v>
      </c>
      <c r="AI37" s="62">
        <f>County_Flow!BF41*AI$28</f>
        <v>331</v>
      </c>
      <c r="AJ37" s="62">
        <f>County_Flow!BG41*AJ$28</f>
        <v>237</v>
      </c>
      <c r="AK37" s="62">
        <f>County_Flow!BH41*AK$28</f>
        <v>666</v>
      </c>
      <c r="AL37" s="62">
        <f>County_Flow!BI41*AL$28</f>
        <v>512</v>
      </c>
      <c r="AM37" s="62">
        <f>County_Flow!BJ41*AM$28</f>
        <v>10</v>
      </c>
      <c r="AN37" s="62">
        <f>County_Flow!BK41*AN$28</f>
        <v>81</v>
      </c>
      <c r="AO37" s="62">
        <f>County_Flow!BL41*AO$28</f>
        <v>21</v>
      </c>
      <c r="AP37" s="62">
        <f>County_Flow!BM41*AP$28</f>
        <v>16</v>
      </c>
      <c r="AQ37" s="62">
        <f>County_Flow!BN41*AQ$28</f>
        <v>58</v>
      </c>
      <c r="AR37" s="62">
        <f>County_Flow!BO41*AR$28</f>
        <v>3</v>
      </c>
      <c r="AS37" s="62">
        <f>County_Flow!BP41*AS$28</f>
        <v>54</v>
      </c>
      <c r="AT37" s="62">
        <f>County_Flow!BQ41*AT$28</f>
        <v>1</v>
      </c>
      <c r="AU37" s="62">
        <f>County_Flow!BR41</f>
        <v>0</v>
      </c>
      <c r="AV37" s="13">
        <f si="14" t="shared"/>
        <v>5605</v>
      </c>
      <c r="AW37" s="115">
        <f si="15" t="shared"/>
        <v>3.2452977761745888E-16</v>
      </c>
      <c r="AY37">
        <v>8</v>
      </c>
      <c r="AZ37" s="62">
        <f si="16" t="shared"/>
        <v>796.99999999999966</v>
      </c>
      <c r="BA37" s="62">
        <f si="17" t="shared"/>
        <v>335.99999999999989</v>
      </c>
      <c r="BB37" s="62">
        <f si="18" t="shared"/>
        <v>441.99999999999983</v>
      </c>
      <c r="BC37" s="62">
        <f si="19" t="shared"/>
        <v>300.99999999999994</v>
      </c>
      <c r="BD37" s="62">
        <f si="20" t="shared"/>
        <v>302.99999999999994</v>
      </c>
      <c r="BE37" s="62">
        <f si="21" t="shared"/>
        <v>1184.9999999999998</v>
      </c>
      <c r="BF37" s="62">
        <f si="22" t="shared"/>
        <v>144.99999999999997</v>
      </c>
      <c r="BG37" s="62">
        <f si="23" t="shared"/>
        <v>105.99999999999996</v>
      </c>
      <c r="BH37" s="62">
        <f si="24" t="shared"/>
        <v>330.99999999999989</v>
      </c>
      <c r="BI37" s="62">
        <f si="25" t="shared"/>
        <v>236.99999999999991</v>
      </c>
      <c r="BJ37" s="62">
        <f si="26" t="shared"/>
        <v>665.99999999999977</v>
      </c>
      <c r="BK37" s="62">
        <f si="27" t="shared"/>
        <v>511.99999999999983</v>
      </c>
      <c r="BL37" s="62">
        <f si="28" t="shared"/>
        <v>9.9999999999999982</v>
      </c>
      <c r="BM37" s="62">
        <f si="29" t="shared"/>
        <v>80.999999999999972</v>
      </c>
      <c r="BN37" s="62">
        <f si="30" t="shared"/>
        <v>20.999999999999993</v>
      </c>
      <c r="BO37" s="62">
        <f si="31" t="shared"/>
        <v>15.999999999999995</v>
      </c>
      <c r="BP37" s="62">
        <f si="32" t="shared"/>
        <v>57.999999999999979</v>
      </c>
      <c r="BQ37" s="62">
        <f si="33" t="shared"/>
        <v>2.9999999999999987</v>
      </c>
      <c r="BR37" s="62">
        <f si="34" t="shared"/>
        <v>53.999999999999979</v>
      </c>
      <c r="BS37" s="62">
        <f si="35" t="shared"/>
        <v>0.99999999999999967</v>
      </c>
      <c r="BT37" s="62">
        <f si="36" t="shared"/>
        <v>0</v>
      </c>
      <c r="BU37" s="62">
        <f si="11" t="shared"/>
        <v>5604.9999999999982</v>
      </c>
      <c r="BW37">
        <v>8</v>
      </c>
      <c r="BX37" s="62">
        <f si="37" t="shared"/>
        <v>291.30246422893453</v>
      </c>
      <c r="BY37" s="62">
        <f si="38" t="shared"/>
        <v>53.854928457869732</v>
      </c>
      <c r="BZ37" s="62">
        <f si="39" t="shared"/>
        <v>140.55465023847393</v>
      </c>
      <c r="CA37" s="62">
        <f si="40" t="shared"/>
        <v>15.848966613672417</v>
      </c>
      <c r="CB37" s="62">
        <f si="41" t="shared"/>
        <v>13.339427662957121</v>
      </c>
      <c r="CC37" s="62">
        <f si="42" t="shared"/>
        <v>264.94236883942733</v>
      </c>
      <c r="CD37" s="62">
        <f si="43" t="shared"/>
        <v>44.358108108108155</v>
      </c>
      <c r="CE37" s="62">
        <f si="44" t="shared"/>
        <v>459.84658187599376</v>
      </c>
      <c r="CF37" s="62">
        <f si="45" t="shared"/>
        <v>140.52802066772642</v>
      </c>
      <c r="CG37" s="62">
        <f si="46" t="shared"/>
        <v>12.507154213036642</v>
      </c>
      <c r="CH37" s="62">
        <f si="47" t="shared"/>
        <v>52.446939586645726</v>
      </c>
      <c r="CI37" s="62">
        <f si="48" t="shared"/>
        <v>194.54670111287743</v>
      </c>
      <c r="CJ37" s="62">
        <f si="49" t="shared"/>
        <v>22.30226550079491</v>
      </c>
      <c r="CK37" s="62">
        <f si="50" t="shared"/>
        <v>66.031001589825138</v>
      </c>
      <c r="CL37" s="62">
        <f si="51" t="shared"/>
        <v>5.4058028616852081</v>
      </c>
      <c r="CM37" s="62">
        <f si="52" t="shared"/>
        <v>9.6190381558028673</v>
      </c>
      <c r="CN37" s="62">
        <f si="53" t="shared"/>
        <v>28.881955484896686</v>
      </c>
      <c r="CO37" s="62">
        <f si="54" t="shared"/>
        <v>5.910969793322737</v>
      </c>
      <c r="CP37" s="62">
        <f si="55" t="shared"/>
        <v>19.469992050874382</v>
      </c>
      <c r="CQ37" s="62">
        <f si="56" t="shared"/>
        <v>22.391295707472178</v>
      </c>
      <c r="CR37" s="62">
        <f si="57" t="shared"/>
        <v>0</v>
      </c>
      <c r="CS37" s="62">
        <f si="58" t="shared"/>
        <v>0</v>
      </c>
      <c r="CU37">
        <v>36</v>
      </c>
      <c r="CV37">
        <f si="6" t="shared"/>
        <v>2</v>
      </c>
      <c r="CW37">
        <f si="0" t="shared"/>
        <v>16</v>
      </c>
      <c r="CX37" s="44">
        <f si="1" t="shared"/>
        <v>17.149606299212596</v>
      </c>
      <c r="CY37" s="44">
        <f si="2" t="shared"/>
        <v>31</v>
      </c>
      <c r="CZ37" s="87">
        <f si="3" t="shared"/>
        <v>13.850393700787404</v>
      </c>
      <c r="DA37" s="63">
        <f si="4" t="shared"/>
        <v>0.80762167125803508</v>
      </c>
      <c r="DB37">
        <v>36000</v>
      </c>
    </row>
    <row r="38" spans="2:106" x14ac:dyDescent="0.45">
      <c r="B38">
        <v>9</v>
      </c>
      <c r="C38" s="62">
        <f>Flow_ODData!C39</f>
        <v>4030.6183201843191</v>
      </c>
      <c r="D38" s="62">
        <f>Flow_ODData!D39</f>
        <v>5606.6375479997214</v>
      </c>
      <c r="E38" s="62">
        <f>Flow_ODData!E39</f>
        <v>2153.3440340710745</v>
      </c>
      <c r="F38" s="62">
        <f>Flow_ODData!F39</f>
        <v>1307.6988061160371</v>
      </c>
      <c r="G38" s="62">
        <f>Flow_ODData!G39</f>
        <v>1508.2126230538295</v>
      </c>
      <c r="H38" s="62">
        <f>Flow_ODData!H39</f>
        <v>6687.6685610556451</v>
      </c>
      <c r="I38" s="62">
        <f>Flow_ODData!I39</f>
        <v>6814.5637785380159</v>
      </c>
      <c r="J38" s="62">
        <f>Flow_ODData!J39</f>
        <v>164.67318299238985</v>
      </c>
      <c r="K38" s="62">
        <f>Flow_ODData!K39</f>
        <v>22256.065014312644</v>
      </c>
      <c r="L38" s="62">
        <f>Flow_ODData!L39</f>
        <v>998.69442155972911</v>
      </c>
      <c r="M38" s="62">
        <f>Flow_ODData!M39</f>
        <v>3627.6533547441181</v>
      </c>
      <c r="N38" s="62">
        <f>Flow_ODData!N39</f>
        <v>5467.149675347343</v>
      </c>
      <c r="O38" s="62">
        <f>Flow_ODData!O39</f>
        <v>2317.0485512811561</v>
      </c>
      <c r="P38" s="62">
        <f>Flow_ODData!P39</f>
        <v>162.7358514277735</v>
      </c>
      <c r="Q38" s="62">
        <f>Flow_ODData!Q39</f>
        <v>5011.8767576625014</v>
      </c>
      <c r="R38" s="62">
        <f>Flow_ODData!R39</f>
        <v>76.524596802345883</v>
      </c>
      <c r="S38" s="62">
        <f>Flow_ODData!S39</f>
        <v>106.55323605389933</v>
      </c>
      <c r="T38" s="62">
        <f>Flow_ODData!T39</f>
        <v>206.32581163164141</v>
      </c>
      <c r="U38" s="62">
        <f>Flow_ODData!U39</f>
        <v>836.92723591426375</v>
      </c>
      <c r="V38" s="62">
        <f>Flow_ODData!V39</f>
        <v>30.028639251553443</v>
      </c>
      <c r="W38" s="62">
        <f>Flow_ODData!W39</f>
        <v>0</v>
      </c>
      <c r="X38" s="62">
        <f si="13" t="shared"/>
        <v>69371.000000000015</v>
      </c>
      <c r="Z38">
        <v>9</v>
      </c>
      <c r="AA38" s="62">
        <f>County_Flow!AX42*AA$28</f>
        <v>5705</v>
      </c>
      <c r="AB38" s="62">
        <f>County_Flow!AY42*AB$28</f>
        <v>5978</v>
      </c>
      <c r="AC38" s="62">
        <f>County_Flow!AZ42*AC$28</f>
        <v>2745</v>
      </c>
      <c r="AD38" s="62">
        <f>County_Flow!BA42*AD$28</f>
        <v>1201</v>
      </c>
      <c r="AE38" s="62">
        <f>County_Flow!BB42*AE$28</f>
        <v>1404</v>
      </c>
      <c r="AF38" s="62">
        <f>County_Flow!BC42*AF$28</f>
        <v>8741</v>
      </c>
      <c r="AG38" s="62">
        <f>County_Flow!BD42*AG$28</f>
        <v>7687</v>
      </c>
      <c r="AH38" s="62">
        <f>County_Flow!BE42*AH$28</f>
        <v>180</v>
      </c>
      <c r="AI38" s="62">
        <f>County_Flow!BF42*AI$28</f>
        <v>18026</v>
      </c>
      <c r="AJ38" s="62">
        <f>County_Flow!BG42*AJ$28</f>
        <v>844</v>
      </c>
      <c r="AK38" s="62">
        <f>County_Flow!BH42*AK$28</f>
        <v>3065</v>
      </c>
      <c r="AL38" s="62">
        <f>County_Flow!BI42*AL$28</f>
        <v>6927</v>
      </c>
      <c r="AM38" s="62">
        <f>County_Flow!BJ42*AM$28</f>
        <v>1377</v>
      </c>
      <c r="AN38" s="62">
        <f>County_Flow!BK42*AN$28</f>
        <v>135</v>
      </c>
      <c r="AO38" s="62">
        <f>County_Flow!BL42*AO$28</f>
        <v>4566</v>
      </c>
      <c r="AP38" s="62">
        <f>County_Flow!BM42*AP$28</f>
        <v>59</v>
      </c>
      <c r="AQ38" s="62">
        <f>County_Flow!BN42*AQ$28</f>
        <v>156</v>
      </c>
      <c r="AR38" s="62">
        <f>County_Flow!BO42*AR$28</f>
        <v>93</v>
      </c>
      <c r="AS38" s="62">
        <f>County_Flow!BP42*AS$28</f>
        <v>473</v>
      </c>
      <c r="AT38" s="62">
        <f>County_Flow!BQ42*AT$28</f>
        <v>9</v>
      </c>
      <c r="AU38" s="62">
        <f>County_Flow!BR42</f>
        <v>0</v>
      </c>
      <c r="AV38" s="13">
        <f si="14" t="shared"/>
        <v>69371</v>
      </c>
      <c r="AW38" s="115">
        <f si="15" t="shared"/>
        <v>2.097694314391727E-16</v>
      </c>
      <c r="AY38">
        <v>9</v>
      </c>
      <c r="AZ38" s="62">
        <f si="16" t="shared"/>
        <v>5705.0000000000009</v>
      </c>
      <c r="BA38" s="62">
        <f si="17" t="shared"/>
        <v>5978.0000000000009</v>
      </c>
      <c r="BB38" s="62">
        <f si="18" t="shared"/>
        <v>2745.0000000000005</v>
      </c>
      <c r="BC38" s="62">
        <f si="19" t="shared"/>
        <v>1201.0000000000002</v>
      </c>
      <c r="BD38" s="62">
        <f si="20" t="shared"/>
        <v>1404.0000000000002</v>
      </c>
      <c r="BE38" s="62">
        <f si="21" t="shared"/>
        <v>8741.0000000000018</v>
      </c>
      <c r="BF38" s="62">
        <f si="22" t="shared"/>
        <v>7687.0000000000018</v>
      </c>
      <c r="BG38" s="62">
        <f si="23" t="shared"/>
        <v>180.00000000000003</v>
      </c>
      <c r="BH38" s="62">
        <f si="24" t="shared"/>
        <v>18026.000000000004</v>
      </c>
      <c r="BI38" s="62">
        <f si="25" t="shared"/>
        <v>844.00000000000023</v>
      </c>
      <c r="BJ38" s="62">
        <f si="26" t="shared"/>
        <v>3065.0000000000005</v>
      </c>
      <c r="BK38" s="62">
        <f si="27" t="shared"/>
        <v>6927.0000000000018</v>
      </c>
      <c r="BL38" s="62">
        <f si="28" t="shared"/>
        <v>1377.0000000000002</v>
      </c>
      <c r="BM38" s="62">
        <f si="29" t="shared"/>
        <v>135.00000000000003</v>
      </c>
      <c r="BN38" s="62">
        <f si="30" t="shared"/>
        <v>4566.0000000000009</v>
      </c>
      <c r="BO38" s="62">
        <f si="31" t="shared"/>
        <v>59.000000000000014</v>
      </c>
      <c r="BP38" s="62">
        <f si="32" t="shared"/>
        <v>156.00000000000003</v>
      </c>
      <c r="BQ38" s="62">
        <f si="33" t="shared"/>
        <v>93.000000000000014</v>
      </c>
      <c r="BR38" s="62">
        <f si="34" t="shared"/>
        <v>473.00000000000011</v>
      </c>
      <c r="BS38" s="62">
        <f si="35" t="shared"/>
        <v>9.0000000000000018</v>
      </c>
      <c r="BT38" s="62">
        <f si="36" t="shared"/>
        <v>0</v>
      </c>
      <c r="BU38" s="62">
        <f si="11" t="shared"/>
        <v>69371.000000000015</v>
      </c>
      <c r="BW38">
        <v>9</v>
      </c>
      <c r="BX38" s="62">
        <f si="37" t="shared"/>
        <v>1674.3816798156818</v>
      </c>
      <c r="BY38" s="62">
        <f si="38" t="shared"/>
        <v>371.36245200027952</v>
      </c>
      <c r="BZ38" s="62">
        <f si="39" t="shared"/>
        <v>591.65596592892598</v>
      </c>
      <c r="CA38" s="62">
        <f si="40" t="shared"/>
        <v>106.69880611603685</v>
      </c>
      <c r="CB38" s="62">
        <f si="41" t="shared"/>
        <v>104.21262305382925</v>
      </c>
      <c r="CC38" s="62">
        <f si="42" t="shared"/>
        <v>2053.3314389443567</v>
      </c>
      <c r="CD38" s="62">
        <f si="43" t="shared"/>
        <v>872.43622146198595</v>
      </c>
      <c r="CE38" s="62">
        <f si="44" t="shared"/>
        <v>15.326817007610174</v>
      </c>
      <c r="CF38" s="62">
        <f si="45" t="shared"/>
        <v>4230.0650143126404</v>
      </c>
      <c r="CG38" s="62">
        <f si="46" t="shared"/>
        <v>154.69442155972888</v>
      </c>
      <c r="CH38" s="62">
        <f si="47" t="shared"/>
        <v>562.65335474411768</v>
      </c>
      <c r="CI38" s="62">
        <f si="48" t="shared"/>
        <v>1459.8503246526589</v>
      </c>
      <c r="CJ38" s="62">
        <f si="49" t="shared"/>
        <v>940.04855128115582</v>
      </c>
      <c r="CK38" s="62">
        <f si="50" t="shared"/>
        <v>27.735851427773468</v>
      </c>
      <c r="CL38" s="62">
        <f si="51" t="shared"/>
        <v>445.87675766250049</v>
      </c>
      <c r="CM38" s="62">
        <f si="52" t="shared"/>
        <v>17.524596802345869</v>
      </c>
      <c r="CN38" s="62">
        <f si="53" t="shared"/>
        <v>49.446763946100702</v>
      </c>
      <c r="CO38" s="62">
        <f si="54" t="shared"/>
        <v>113.3258116316414</v>
      </c>
      <c r="CP38" s="62">
        <f si="55" t="shared"/>
        <v>363.92723591426363</v>
      </c>
      <c r="CQ38" s="62">
        <f si="56" t="shared"/>
        <v>21.028639251553443</v>
      </c>
      <c r="CR38" s="62">
        <f si="57" t="shared"/>
        <v>0</v>
      </c>
      <c r="CS38" s="62">
        <f si="58" t="shared"/>
        <v>0</v>
      </c>
      <c r="CU38">
        <v>37</v>
      </c>
      <c r="CV38">
        <f si="6" t="shared"/>
        <v>2</v>
      </c>
      <c r="CW38">
        <f si="0" t="shared"/>
        <v>17</v>
      </c>
      <c r="CX38" s="44">
        <f si="1" t="shared"/>
        <v>18.708661417322833</v>
      </c>
      <c r="CY38" s="44">
        <f si="2" t="shared"/>
        <v>13</v>
      </c>
      <c r="CZ38" s="87">
        <f si="3" t="shared"/>
        <v>-5.7086614173228334</v>
      </c>
      <c r="DA38" s="63">
        <f si="4" t="shared"/>
        <v>-0.30513468013468009</v>
      </c>
      <c r="DB38">
        <v>37000</v>
      </c>
    </row>
    <row r="39" spans="2:106" x14ac:dyDescent="0.45">
      <c r="B39">
        <v>10</v>
      </c>
      <c r="C39" s="62">
        <f>Flow_ODData!C40</f>
        <v>2387.1712648357498</v>
      </c>
      <c r="D39" s="62">
        <f>Flow_ODData!D40</f>
        <v>974.05442645539097</v>
      </c>
      <c r="E39" s="62">
        <f>Flow_ODData!E40</f>
        <v>690.87761876428772</v>
      </c>
      <c r="F39" s="62">
        <f>Flow_ODData!F40</f>
        <v>986.04562678107288</v>
      </c>
      <c r="G39" s="62">
        <f>Flow_ODData!G40</f>
        <v>1729.5000469733504</v>
      </c>
      <c r="H39" s="62">
        <f>Flow_ODData!H40</f>
        <v>7680.8250086117814</v>
      </c>
      <c r="I39" s="62">
        <f>Flow_ODData!I40</f>
        <v>791.41922149500522</v>
      </c>
      <c r="J39" s="62">
        <f>Flow_ODData!J40</f>
        <v>77.481602104406107</v>
      </c>
      <c r="K39" s="62">
        <f>Flow_ODData!K40</f>
        <v>794.18642157016257</v>
      </c>
      <c r="L39" s="62">
        <f>Flow_ODData!L40</f>
        <v>6019.5825634923121</v>
      </c>
      <c r="M39" s="62">
        <f>Flow_ODData!M40</f>
        <v>858.75442332383432</v>
      </c>
      <c r="N39" s="62">
        <f>Flow_ODData!N40</f>
        <v>5034.4593367362913</v>
      </c>
      <c r="O39" s="62">
        <f>Flow_ODData!O40</f>
        <v>208.46240566185452</v>
      </c>
      <c r="P39" s="62">
        <f>Flow_ODData!P40</f>
        <v>47.964801302727587</v>
      </c>
      <c r="Q39" s="62">
        <f>Flow_ODData!Q40</f>
        <v>89.472802430087995</v>
      </c>
      <c r="R39" s="62">
        <f>Flow_ODData!R40</f>
        <v>832.92722262236555</v>
      </c>
      <c r="S39" s="62">
        <f>Flow_ODData!S40</f>
        <v>77.481602104406107</v>
      </c>
      <c r="T39" s="62">
        <f>Flow_ODData!T40</f>
        <v>57.188801553252127</v>
      </c>
      <c r="U39" s="62">
        <f>Flow_ODData!U40</f>
        <v>72.869601979143837</v>
      </c>
      <c r="V39" s="62">
        <f>Flow_ODData!V40</f>
        <v>44.275201202517771</v>
      </c>
      <c r="W39" s="62">
        <f>Flow_ODData!W40</f>
        <v>0</v>
      </c>
      <c r="X39" s="62">
        <f si="13" t="shared"/>
        <v>29455.000000000004</v>
      </c>
      <c r="Z39">
        <v>10</v>
      </c>
      <c r="AA39" s="62">
        <f>County_Flow!AX43*AA$28</f>
        <v>3145</v>
      </c>
      <c r="AB39" s="62">
        <f>County_Flow!AY43*AB$28</f>
        <v>1374</v>
      </c>
      <c r="AC39" s="62">
        <f>County_Flow!AZ43*AC$28</f>
        <v>713</v>
      </c>
      <c r="AD39" s="62">
        <f>County_Flow!BA43*AD$28</f>
        <v>1007</v>
      </c>
      <c r="AE39" s="62">
        <f>County_Flow!BB43*AE$28</f>
        <v>1700</v>
      </c>
      <c r="AF39" s="62">
        <f>County_Flow!BC43*AF$28</f>
        <v>7210</v>
      </c>
      <c r="AG39" s="62">
        <f>County_Flow!BD43*AG$28</f>
        <v>954</v>
      </c>
      <c r="AH39" s="62">
        <f>County_Flow!BE43*AH$28</f>
        <v>71</v>
      </c>
      <c r="AI39" s="62">
        <f>County_Flow!BF43*AI$28</f>
        <v>733</v>
      </c>
      <c r="AJ39" s="62">
        <f>County_Flow!BG43*AJ$28</f>
        <v>3386</v>
      </c>
      <c r="AK39" s="62">
        <f>County_Flow!BH43*AK$28</f>
        <v>424</v>
      </c>
      <c r="AL39" s="62">
        <f>County_Flow!BI43*AL$28</f>
        <v>7762</v>
      </c>
      <c r="AM39" s="62">
        <f>County_Flow!BJ43*AM$28</f>
        <v>79</v>
      </c>
      <c r="AN39" s="62">
        <f>County_Flow!BK43*AN$28</f>
        <v>40</v>
      </c>
      <c r="AO39" s="62">
        <f>County_Flow!BL43*AO$28</f>
        <v>35</v>
      </c>
      <c r="AP39" s="62">
        <f>County_Flow!BM43*AP$28</f>
        <v>659</v>
      </c>
      <c r="AQ39" s="62">
        <f>County_Flow!BN43*AQ$28</f>
        <v>18</v>
      </c>
      <c r="AR39" s="62">
        <f>County_Flow!BO43*AR$28</f>
        <v>108</v>
      </c>
      <c r="AS39" s="62">
        <f>County_Flow!BP43*AS$28</f>
        <v>24</v>
      </c>
      <c r="AT39" s="62">
        <f>County_Flow!BQ43*AT$28</f>
        <v>13</v>
      </c>
      <c r="AU39" s="62">
        <f>County_Flow!BR43</f>
        <v>0</v>
      </c>
      <c r="AV39" s="13">
        <f si="14" t="shared"/>
        <v>29455</v>
      </c>
      <c r="AW39" s="115">
        <f si="15" t="shared"/>
        <v>1.2350972015249407E-16</v>
      </c>
      <c r="AY39">
        <v>10</v>
      </c>
      <c r="AZ39" s="62">
        <f si="16" t="shared"/>
        <v>3145.0000000000005</v>
      </c>
      <c r="BA39" s="62">
        <f si="17" t="shared"/>
        <v>1374.0000000000002</v>
      </c>
      <c r="BB39" s="62">
        <f si="18" t="shared"/>
        <v>713.00000000000011</v>
      </c>
      <c r="BC39" s="62">
        <f si="19" t="shared"/>
        <v>1007.0000000000001</v>
      </c>
      <c r="BD39" s="62">
        <f si="20" t="shared"/>
        <v>1700.0000000000002</v>
      </c>
      <c r="BE39" s="62">
        <f si="21" t="shared"/>
        <v>7210.0000000000009</v>
      </c>
      <c r="BF39" s="62">
        <f si="22" t="shared"/>
        <v>954.00000000000011</v>
      </c>
      <c r="BG39" s="62">
        <f si="23" t="shared"/>
        <v>71.000000000000014</v>
      </c>
      <c r="BH39" s="62">
        <f si="24" t="shared"/>
        <v>733.00000000000011</v>
      </c>
      <c r="BI39" s="62">
        <f si="25" t="shared"/>
        <v>3386.0000000000005</v>
      </c>
      <c r="BJ39" s="62">
        <f si="26" t="shared"/>
        <v>424.00000000000006</v>
      </c>
      <c r="BK39" s="62">
        <f si="27" t="shared"/>
        <v>7762.0000000000009</v>
      </c>
      <c r="BL39" s="62">
        <f si="28" t="shared"/>
        <v>79.000000000000014</v>
      </c>
      <c r="BM39" s="62">
        <f si="29" t="shared"/>
        <v>40.000000000000007</v>
      </c>
      <c r="BN39" s="62">
        <f si="30" t="shared"/>
        <v>35.000000000000007</v>
      </c>
      <c r="BO39" s="62">
        <f si="31" t="shared"/>
        <v>659.00000000000011</v>
      </c>
      <c r="BP39" s="62">
        <f si="32" t="shared"/>
        <v>18.000000000000004</v>
      </c>
      <c r="BQ39" s="62">
        <f si="33" t="shared"/>
        <v>108.00000000000001</v>
      </c>
      <c r="BR39" s="62">
        <f si="34" t="shared"/>
        <v>24.000000000000004</v>
      </c>
      <c r="BS39" s="62">
        <f si="35" t="shared"/>
        <v>13.000000000000002</v>
      </c>
      <c r="BT39" s="62">
        <f si="36" t="shared"/>
        <v>0</v>
      </c>
      <c r="BU39" s="62">
        <f si="11" t="shared"/>
        <v>29455.000000000004</v>
      </c>
      <c r="BW39">
        <v>10</v>
      </c>
      <c r="BX39" s="62">
        <f si="37" t="shared"/>
        <v>757.8287351642507</v>
      </c>
      <c r="BY39" s="62">
        <f si="38" t="shared"/>
        <v>399.94557354460926</v>
      </c>
      <c r="BZ39" s="62">
        <f si="39" t="shared"/>
        <v>22.122381235712396</v>
      </c>
      <c r="CA39" s="62">
        <f si="40" t="shared"/>
        <v>20.95437321892723</v>
      </c>
      <c r="CB39" s="62">
        <f si="41" t="shared"/>
        <v>29.500046973350209</v>
      </c>
      <c r="CC39" s="62">
        <f si="42" t="shared"/>
        <v>470.8250086117805</v>
      </c>
      <c r="CD39" s="62">
        <f si="43" t="shared"/>
        <v>162.5807785049949</v>
      </c>
      <c r="CE39" s="62">
        <f si="44" t="shared"/>
        <v>6.4816021044060932</v>
      </c>
      <c r="CF39" s="62">
        <f si="45" t="shared"/>
        <v>61.186421570162452</v>
      </c>
      <c r="CG39" s="62">
        <f si="46" t="shared"/>
        <v>2633.5825634923117</v>
      </c>
      <c r="CH39" s="62">
        <f si="47" t="shared"/>
        <v>434.75442332383426</v>
      </c>
      <c r="CI39" s="62">
        <f si="48" t="shared"/>
        <v>2727.5406632637096</v>
      </c>
      <c r="CJ39" s="62">
        <f si="49" t="shared"/>
        <v>129.46240566185452</v>
      </c>
      <c r="CK39" s="62">
        <f si="50" t="shared"/>
        <v>7.9648013027275795</v>
      </c>
      <c r="CL39" s="62">
        <f si="51" t="shared"/>
        <v>54.472802430087988</v>
      </c>
      <c r="CM39" s="62">
        <f si="52" t="shared"/>
        <v>173.92722262236543</v>
      </c>
      <c r="CN39" s="62">
        <f si="53" t="shared"/>
        <v>59.481602104406107</v>
      </c>
      <c r="CO39" s="62">
        <f si="54" t="shared"/>
        <v>50.811198446747888</v>
      </c>
      <c r="CP39" s="62">
        <f si="55" t="shared"/>
        <v>48.869601979143837</v>
      </c>
      <c r="CQ39" s="62">
        <f si="56" t="shared"/>
        <v>31.275201202517771</v>
      </c>
      <c r="CR39" s="62">
        <f si="57" t="shared"/>
        <v>0</v>
      </c>
      <c r="CS39" s="62">
        <f si="58" t="shared"/>
        <v>0</v>
      </c>
      <c r="CU39">
        <v>38</v>
      </c>
      <c r="CV39">
        <f si="6" t="shared"/>
        <v>2</v>
      </c>
      <c r="CW39">
        <f si="0" t="shared"/>
        <v>18</v>
      </c>
      <c r="CX39" s="44">
        <f si="1" t="shared"/>
        <v>32.740157480314956</v>
      </c>
      <c r="CY39" s="44">
        <f si="2" t="shared"/>
        <v>41</v>
      </c>
      <c r="CZ39" s="87">
        <f si="3" t="shared"/>
        <v>8.2598425196850442</v>
      </c>
      <c r="DA39" s="63">
        <f si="4" t="shared"/>
        <v>0.25228475228475244</v>
      </c>
      <c r="DB39">
        <v>38000</v>
      </c>
    </row>
    <row r="40" spans="2:106" x14ac:dyDescent="0.45">
      <c r="B40">
        <v>11</v>
      </c>
      <c r="C40" s="62">
        <f>Flow_ODData!C41</f>
        <v>3389.108662796446</v>
      </c>
      <c r="D40" s="62">
        <f>Flow_ODData!D41</f>
        <v>2422.2208003163978</v>
      </c>
      <c r="E40" s="62">
        <f>Flow_ODData!E41</f>
        <v>3659.1704450753564</v>
      </c>
      <c r="F40" s="62">
        <f>Flow_ODData!F41</f>
        <v>1883.7642837973358</v>
      </c>
      <c r="G40" s="62">
        <f>Flow_ODData!G41</f>
        <v>1782.074353433055</v>
      </c>
      <c r="H40" s="62">
        <f>Flow_ODData!H41</f>
        <v>5796.3260307640157</v>
      </c>
      <c r="I40" s="62">
        <f>Flow_ODData!I41</f>
        <v>1759.5692049098125</v>
      </c>
      <c r="J40" s="62">
        <f>Flow_ODData!J41</f>
        <v>1078.5800810768817</v>
      </c>
      <c r="K40" s="62">
        <f>Flow_ODData!K41</f>
        <v>3707.5148381993586</v>
      </c>
      <c r="L40" s="62">
        <f>Flow_ODData!L41</f>
        <v>731.8340890150713</v>
      </c>
      <c r="M40" s="62">
        <f>Flow_ODData!M41</f>
        <v>22536.822435978924</v>
      </c>
      <c r="N40" s="62">
        <f>Flow_ODData!N41</f>
        <v>2543.9153071457831</v>
      </c>
      <c r="O40" s="62">
        <f>Flow_ODData!O41</f>
        <v>575.96509739113242</v>
      </c>
      <c r="P40" s="62">
        <f>Flow_ODData!P41</f>
        <v>480.94335918188625</v>
      </c>
      <c r="Q40" s="62">
        <f>Flow_ODData!Q41</f>
        <v>688.4908400073449</v>
      </c>
      <c r="R40" s="62">
        <f>Flow_ODData!R41</f>
        <v>69.18249360848624</v>
      </c>
      <c r="S40" s="62">
        <f>Flow_ODData!S41</f>
        <v>1296.9633741542721</v>
      </c>
      <c r="T40" s="62">
        <f>Flow_ODData!T41</f>
        <v>69.18249360848624</v>
      </c>
      <c r="U40" s="62">
        <f>Flow_ODData!U41</f>
        <v>4498.5291325903636</v>
      </c>
      <c r="V40" s="62">
        <f>Flow_ODData!V41</f>
        <v>40.84267694958826</v>
      </c>
      <c r="W40" s="62">
        <f>Flow_ODData!W41</f>
        <v>0</v>
      </c>
      <c r="X40" s="62">
        <f si="13" t="shared"/>
        <v>59011.000000000015</v>
      </c>
      <c r="Z40">
        <v>11</v>
      </c>
      <c r="AA40" s="62">
        <f>County_Flow!AX44*AA$28</f>
        <v>5632</v>
      </c>
      <c r="AB40" s="62">
        <f>County_Flow!AY44*AB$28</f>
        <v>2990</v>
      </c>
      <c r="AC40" s="62">
        <f>County_Flow!AZ44*AC$28</f>
        <v>3790</v>
      </c>
      <c r="AD40" s="62">
        <f>County_Flow!BA44*AD$28</f>
        <v>1931</v>
      </c>
      <c r="AE40" s="62">
        <f>County_Flow!BB44*AE$28</f>
        <v>1453</v>
      </c>
      <c r="AF40" s="62">
        <f>County_Flow!BC44*AF$28</f>
        <v>7286</v>
      </c>
      <c r="AG40" s="62">
        <f>County_Flow!BD44*AG$28</f>
        <v>1548</v>
      </c>
      <c r="AH40" s="62">
        <f>County_Flow!BE44*AH$28</f>
        <v>529</v>
      </c>
      <c r="AI40" s="62">
        <f>County_Flow!BF44*AI$28</f>
        <v>5646</v>
      </c>
      <c r="AJ40" s="62">
        <f>County_Flow!BG44*AJ$28</f>
        <v>952</v>
      </c>
      <c r="AK40" s="62">
        <f>County_Flow!BH44*AK$28</f>
        <v>17367</v>
      </c>
      <c r="AL40" s="62">
        <f>County_Flow!BI44*AL$28</f>
        <v>3419</v>
      </c>
      <c r="AM40" s="62">
        <f>County_Flow!BJ44*AM$28</f>
        <v>146</v>
      </c>
      <c r="AN40" s="62">
        <f>County_Flow!BK44*AN$28</f>
        <v>762</v>
      </c>
      <c r="AO40" s="62">
        <f>County_Flow!BL44*AO$28</f>
        <v>755</v>
      </c>
      <c r="AP40" s="62">
        <f>County_Flow!BM44*AP$28</f>
        <v>64</v>
      </c>
      <c r="AQ40" s="62">
        <f>County_Flow!BN44*AQ$28</f>
        <v>1135</v>
      </c>
      <c r="AR40" s="62">
        <f>County_Flow!BO44*AR$28</f>
        <v>38</v>
      </c>
      <c r="AS40" s="62">
        <f>County_Flow!BP44*AS$28</f>
        <v>3565</v>
      </c>
      <c r="AT40" s="62">
        <f>County_Flow!BQ44*AT$28</f>
        <v>3</v>
      </c>
      <c r="AU40" s="62">
        <f>County_Flow!BR44</f>
        <v>0</v>
      </c>
      <c r="AV40" s="13">
        <f si="14" t="shared"/>
        <v>59011</v>
      </c>
      <c r="AW40" s="115">
        <f si="15" t="shared"/>
        <v>2.4659665534166253E-16</v>
      </c>
      <c r="AY40">
        <v>11</v>
      </c>
      <c r="AZ40" s="62">
        <f si="16" t="shared"/>
        <v>5632.0000000000009</v>
      </c>
      <c r="BA40" s="62">
        <f si="17" t="shared"/>
        <v>2990.0000000000005</v>
      </c>
      <c r="BB40" s="62">
        <f si="18" t="shared"/>
        <v>3790.0000000000009</v>
      </c>
      <c r="BC40" s="62">
        <f si="19" t="shared"/>
        <v>1931.0000000000005</v>
      </c>
      <c r="BD40" s="62">
        <f si="20" t="shared"/>
        <v>1453.0000000000002</v>
      </c>
      <c r="BE40" s="62">
        <f si="21" t="shared"/>
        <v>7286.0000000000018</v>
      </c>
      <c r="BF40" s="62">
        <f si="22" t="shared"/>
        <v>1548.0000000000005</v>
      </c>
      <c r="BG40" s="62">
        <f si="23" t="shared"/>
        <v>529.00000000000011</v>
      </c>
      <c r="BH40" s="62">
        <f si="24" t="shared"/>
        <v>5646.0000000000009</v>
      </c>
      <c r="BI40" s="62">
        <f si="25" t="shared"/>
        <v>952.00000000000023</v>
      </c>
      <c r="BJ40" s="62">
        <f si="26" t="shared"/>
        <v>17367.000000000004</v>
      </c>
      <c r="BK40" s="62">
        <f si="27" t="shared"/>
        <v>3419.0000000000009</v>
      </c>
      <c r="BL40" s="62">
        <f si="28" t="shared"/>
        <v>146.00000000000003</v>
      </c>
      <c r="BM40" s="62">
        <f si="29" t="shared"/>
        <v>762.00000000000011</v>
      </c>
      <c r="BN40" s="62">
        <f si="30" t="shared"/>
        <v>755.00000000000011</v>
      </c>
      <c r="BO40" s="62">
        <f si="31" t="shared"/>
        <v>64.000000000000014</v>
      </c>
      <c r="BP40" s="62">
        <f si="32" t="shared"/>
        <v>1135.0000000000002</v>
      </c>
      <c r="BQ40" s="62">
        <f si="33" t="shared"/>
        <v>38.000000000000007</v>
      </c>
      <c r="BR40" s="62">
        <f si="34" t="shared"/>
        <v>3565.0000000000009</v>
      </c>
      <c r="BS40" s="62">
        <f si="35" t="shared"/>
        <v>3.0000000000000009</v>
      </c>
      <c r="BT40" s="62">
        <f si="36" t="shared"/>
        <v>0</v>
      </c>
      <c r="BU40" s="62">
        <f si="11" t="shared"/>
        <v>59011.000000000015</v>
      </c>
      <c r="BW40">
        <v>11</v>
      </c>
      <c r="BX40" s="62">
        <f si="37" t="shared"/>
        <v>2242.8913372035549</v>
      </c>
      <c r="BY40" s="62">
        <f si="38" t="shared"/>
        <v>567.77919968360266</v>
      </c>
      <c r="BZ40" s="62">
        <f si="39" t="shared"/>
        <v>130.82955492464453</v>
      </c>
      <c r="CA40" s="62">
        <f si="40" t="shared"/>
        <v>47.235716202664662</v>
      </c>
      <c r="CB40" s="62">
        <f si="41" t="shared"/>
        <v>329.07435343305474</v>
      </c>
      <c r="CC40" s="62">
        <f si="42" t="shared"/>
        <v>1489.6739692359861</v>
      </c>
      <c r="CD40" s="62">
        <f si="43" t="shared"/>
        <v>211.56920490981202</v>
      </c>
      <c r="CE40" s="62">
        <f si="44" t="shared"/>
        <v>549.58008107688158</v>
      </c>
      <c r="CF40" s="62">
        <f si="45" t="shared"/>
        <v>1938.4851618006423</v>
      </c>
      <c r="CG40" s="62">
        <f si="46" t="shared"/>
        <v>220.16591098492893</v>
      </c>
      <c r="CH40" s="62">
        <f si="47" t="shared"/>
        <v>5169.8224359789201</v>
      </c>
      <c r="CI40" s="62">
        <f si="48" t="shared"/>
        <v>875.08469285421779</v>
      </c>
      <c r="CJ40" s="62">
        <f si="49" t="shared"/>
        <v>429.96509739113242</v>
      </c>
      <c r="CK40" s="62">
        <f si="50" t="shared"/>
        <v>281.05664081811386</v>
      </c>
      <c r="CL40" s="62">
        <f si="51" t="shared"/>
        <v>66.509159992655214</v>
      </c>
      <c r="CM40" s="62">
        <f si="52" t="shared"/>
        <v>5.1824936084862259</v>
      </c>
      <c r="CN40" s="62">
        <f si="53" t="shared"/>
        <v>161.96337415427183</v>
      </c>
      <c r="CO40" s="62">
        <f si="54" t="shared"/>
        <v>31.182493608486233</v>
      </c>
      <c r="CP40" s="62">
        <f si="55" t="shared"/>
        <v>933.52913259036268</v>
      </c>
      <c r="CQ40" s="62">
        <f si="56" t="shared"/>
        <v>37.84267694958826</v>
      </c>
      <c r="CR40" s="62">
        <f si="57" t="shared"/>
        <v>0</v>
      </c>
      <c r="CS40" s="62">
        <f si="58" t="shared"/>
        <v>0</v>
      </c>
      <c r="CU40">
        <v>39</v>
      </c>
      <c r="CV40">
        <f si="6" t="shared"/>
        <v>2</v>
      </c>
      <c r="CW40">
        <f si="0" t="shared"/>
        <v>19</v>
      </c>
      <c r="CX40" s="44">
        <f si="1" t="shared"/>
        <v>60.803149606299222</v>
      </c>
      <c r="CY40" s="44">
        <f si="2" t="shared"/>
        <v>26</v>
      </c>
      <c r="CZ40" s="87">
        <f si="3" t="shared"/>
        <v>-34.803149606299222</v>
      </c>
      <c r="DA40" s="63">
        <f si="4" t="shared"/>
        <v>-0.57239057239057245</v>
      </c>
      <c r="DB40">
        <v>39000</v>
      </c>
    </row>
    <row r="41" spans="2:106" x14ac:dyDescent="0.45">
      <c r="B41">
        <v>12</v>
      </c>
      <c r="C41" s="62">
        <f>Flow_ODData!C42</f>
        <v>7101.5439629942884</v>
      </c>
      <c r="D41" s="62">
        <f>Flow_ODData!D42</f>
        <v>4147.5288358620073</v>
      </c>
      <c r="E41" s="62">
        <f>Flow_ODData!E42</f>
        <v>1918.0488918496119</v>
      </c>
      <c r="F41" s="62">
        <f>Flow_ODData!F42</f>
        <v>1642.3408133172657</v>
      </c>
      <c r="G41" s="62">
        <f>Flow_ODData!G42</f>
        <v>2895.3928114310525</v>
      </c>
      <c r="H41" s="62">
        <f>Flow_ODData!H42</f>
        <v>17376.02076331764</v>
      </c>
      <c r="I41" s="62">
        <f>Flow_ODData!I42</f>
        <v>8160.4095403477513</v>
      </c>
      <c r="J41" s="62">
        <f>Flow_ODData!J42</f>
        <v>245.48094699889973</v>
      </c>
      <c r="K41" s="62">
        <f>Flow_ODData!K42</f>
        <v>2938.4435745241431</v>
      </c>
      <c r="L41" s="62">
        <f>Flow_ODData!L42</f>
        <v>2136.05062836356</v>
      </c>
      <c r="M41" s="62">
        <f>Flow_ODData!M42</f>
        <v>1626.7692607091265</v>
      </c>
      <c r="N41" s="62">
        <f>Flow_ODData!N42</f>
        <v>64122.737666634232</v>
      </c>
      <c r="O41" s="62">
        <f>Flow_ODData!O42</f>
        <v>2374.203785899806</v>
      </c>
      <c r="P41" s="62">
        <f>Flow_ODData!P42</f>
        <v>80.605684089190945</v>
      </c>
      <c r="Q41" s="62">
        <f>Flow_ODData!Q42</f>
        <v>443.33126249055022</v>
      </c>
      <c r="R41" s="62">
        <f>Flow_ODData!R42</f>
        <v>538.59252550504857</v>
      </c>
      <c r="S41" s="62">
        <f>Flow_ODData!S42</f>
        <v>129.15228927927186</v>
      </c>
      <c r="T41" s="62">
        <f>Flow_ODData!T42</f>
        <v>3375.3630212348708</v>
      </c>
      <c r="U41" s="62">
        <f>Flow_ODData!U42</f>
        <v>180.44681551784791</v>
      </c>
      <c r="V41" s="62">
        <f>Flow_ODData!V42</f>
        <v>942.53691963383505</v>
      </c>
      <c r="W41" s="62">
        <f>Flow_ODData!W42</f>
        <v>0</v>
      </c>
      <c r="X41" s="62">
        <f si="13" t="shared"/>
        <v>122375</v>
      </c>
      <c r="Z41">
        <v>12</v>
      </c>
      <c r="AA41" s="62">
        <f>County_Flow!AX45*AA$28</f>
        <v>7735</v>
      </c>
      <c r="AB41" s="62">
        <f>County_Flow!AY45*AB$28</f>
        <v>5403</v>
      </c>
      <c r="AC41" s="62">
        <f>County_Flow!AZ45*AC$28</f>
        <v>1946</v>
      </c>
      <c r="AD41" s="62">
        <f>County_Flow!BA45*AD$28</f>
        <v>1813</v>
      </c>
      <c r="AE41" s="62">
        <f>County_Flow!BB45*AE$28</f>
        <v>2454</v>
      </c>
      <c r="AF41" s="62">
        <f>County_Flow!BC45*AF$28</f>
        <v>16587</v>
      </c>
      <c r="AG41" s="62">
        <f>County_Flow!BD45*AG$28</f>
        <v>11323</v>
      </c>
      <c r="AH41" s="62">
        <f>County_Flow!BE45*AH$28</f>
        <v>136</v>
      </c>
      <c r="AI41" s="62">
        <f>County_Flow!BF45*AI$28</f>
        <v>3924</v>
      </c>
      <c r="AJ41" s="62">
        <f>County_Flow!BG45*AJ$28</f>
        <v>2552</v>
      </c>
      <c r="AK41" s="62">
        <f>County_Flow!BH45*AK$28</f>
        <v>888</v>
      </c>
      <c r="AL41" s="62">
        <f>County_Flow!BI45*AL$28</f>
        <v>61645</v>
      </c>
      <c r="AM41" s="62">
        <f>County_Flow!BJ45*AM$28</f>
        <v>2342</v>
      </c>
      <c r="AN41" s="62">
        <f>County_Flow!BK45*AN$28</f>
        <v>55</v>
      </c>
      <c r="AO41" s="62">
        <f>County_Flow!BL45*AO$28</f>
        <v>320</v>
      </c>
      <c r="AP41" s="62">
        <f>County_Flow!BM45*AP$28</f>
        <v>531</v>
      </c>
      <c r="AQ41" s="62">
        <f>County_Flow!BN45*AQ$28</f>
        <v>36</v>
      </c>
      <c r="AR41" s="62">
        <f>County_Flow!BO45*AR$28</f>
        <v>2452</v>
      </c>
      <c r="AS41" s="62">
        <f>County_Flow!BP45*AS$28</f>
        <v>65</v>
      </c>
      <c r="AT41" s="62">
        <f>County_Flow!BQ45*AT$28</f>
        <v>168</v>
      </c>
      <c r="AU41" s="62">
        <f>County_Flow!BR45</f>
        <v>0</v>
      </c>
      <c r="AV41" s="13">
        <f si="14" t="shared"/>
        <v>122375</v>
      </c>
      <c r="AW41" s="115">
        <f si="15" t="shared"/>
        <v>0</v>
      </c>
      <c r="AY41">
        <v>12</v>
      </c>
      <c r="AZ41" s="62">
        <f si="16" t="shared"/>
        <v>7735</v>
      </c>
      <c r="BA41" s="62">
        <f si="17" t="shared"/>
        <v>5403</v>
      </c>
      <c r="BB41" s="62">
        <f si="18" t="shared"/>
        <v>1946</v>
      </c>
      <c r="BC41" s="62">
        <f si="19" t="shared"/>
        <v>1813</v>
      </c>
      <c r="BD41" s="62">
        <f si="20" t="shared"/>
        <v>2454</v>
      </c>
      <c r="BE41" s="62">
        <f si="21" t="shared"/>
        <v>16587</v>
      </c>
      <c r="BF41" s="62">
        <f si="22" t="shared"/>
        <v>11323</v>
      </c>
      <c r="BG41" s="62">
        <f si="23" t="shared"/>
        <v>136</v>
      </c>
      <c r="BH41" s="62">
        <f si="24" t="shared"/>
        <v>3924</v>
      </c>
      <c r="BI41" s="62">
        <f si="25" t="shared"/>
        <v>2552</v>
      </c>
      <c r="BJ41" s="62">
        <f si="26" t="shared"/>
        <v>888</v>
      </c>
      <c r="BK41" s="62">
        <f si="27" t="shared"/>
        <v>61645</v>
      </c>
      <c r="BL41" s="62">
        <f si="28" t="shared"/>
        <v>2342</v>
      </c>
      <c r="BM41" s="62">
        <f si="29" t="shared"/>
        <v>55</v>
      </c>
      <c r="BN41" s="62">
        <f si="30" t="shared"/>
        <v>320</v>
      </c>
      <c r="BO41" s="62">
        <f si="31" t="shared"/>
        <v>531</v>
      </c>
      <c r="BP41" s="62">
        <f si="32" t="shared"/>
        <v>36</v>
      </c>
      <c r="BQ41" s="62">
        <f si="33" t="shared"/>
        <v>2452</v>
      </c>
      <c r="BR41" s="62">
        <f si="34" t="shared"/>
        <v>65</v>
      </c>
      <c r="BS41" s="62">
        <f si="35" t="shared"/>
        <v>168</v>
      </c>
      <c r="BT41" s="62">
        <f si="36" t="shared"/>
        <v>0</v>
      </c>
      <c r="BU41" s="62">
        <f si="11" t="shared"/>
        <v>122375</v>
      </c>
      <c r="BW41">
        <v>12</v>
      </c>
      <c r="BX41" s="62">
        <f si="37" t="shared"/>
        <v>633.45603700571155</v>
      </c>
      <c r="BY41" s="62">
        <f si="38" t="shared"/>
        <v>1255.4711641379927</v>
      </c>
      <c r="BZ41" s="62">
        <f si="39" t="shared"/>
        <v>27.951108150388109</v>
      </c>
      <c r="CA41" s="62">
        <f si="40" t="shared"/>
        <v>170.65918668273434</v>
      </c>
      <c r="CB41" s="62">
        <f si="41" t="shared"/>
        <v>441.39281143105245</v>
      </c>
      <c r="CC41" s="62">
        <f si="42" t="shared"/>
        <v>789.02076331763965</v>
      </c>
      <c r="CD41" s="62">
        <f si="43" t="shared"/>
        <v>3162.5904596522487</v>
      </c>
      <c r="CE41" s="62">
        <f si="44" t="shared"/>
        <v>109.48094699889973</v>
      </c>
      <c r="CF41" s="62">
        <f si="45" t="shared"/>
        <v>985.55642547585694</v>
      </c>
      <c r="CG41" s="62">
        <f si="46" t="shared"/>
        <v>415.94937163643999</v>
      </c>
      <c r="CH41" s="62">
        <f si="47" t="shared"/>
        <v>738.76926070912646</v>
      </c>
      <c r="CI41" s="62">
        <f si="48" t="shared"/>
        <v>2477.7376666342316</v>
      </c>
      <c r="CJ41" s="62">
        <f si="49" t="shared"/>
        <v>32.203785899806007</v>
      </c>
      <c r="CK41" s="62">
        <f si="50" t="shared"/>
        <v>25.605684089190945</v>
      </c>
      <c r="CL41" s="62">
        <f si="51" t="shared"/>
        <v>123.33126249055022</v>
      </c>
      <c r="CM41" s="62">
        <f si="52" t="shared"/>
        <v>7.5925255050485703</v>
      </c>
      <c r="CN41" s="62">
        <f si="53" t="shared"/>
        <v>93.152289279271855</v>
      </c>
      <c r="CO41" s="62">
        <f si="54" t="shared"/>
        <v>923.36302123487076</v>
      </c>
      <c r="CP41" s="62">
        <f si="55" t="shared"/>
        <v>115.44681551784791</v>
      </c>
      <c r="CQ41" s="62">
        <f si="56" t="shared"/>
        <v>774.53691963383505</v>
      </c>
      <c r="CR41" s="62">
        <f si="57" t="shared"/>
        <v>0</v>
      </c>
      <c r="CS41" s="62">
        <f si="58" t="shared"/>
        <v>0</v>
      </c>
      <c r="CU41">
        <v>40</v>
      </c>
      <c r="CV41">
        <f si="6" t="shared"/>
        <v>2</v>
      </c>
      <c r="CW41">
        <f si="0" t="shared"/>
        <v>20</v>
      </c>
      <c r="CX41" s="44">
        <f si="1" t="shared"/>
        <v>8.5748031496062982</v>
      </c>
      <c r="CY41" s="44">
        <f si="2" t="shared"/>
        <v>2</v>
      </c>
      <c r="CZ41" s="87">
        <f si="3" t="shared"/>
        <v>-6.5748031496062982</v>
      </c>
      <c r="DA41" s="63">
        <f si="4" t="shared"/>
        <v>-0.76675849403122132</v>
      </c>
      <c r="DB41">
        <v>40000</v>
      </c>
    </row>
    <row r="42" spans="2:106" x14ac:dyDescent="0.45">
      <c r="B42">
        <v>13</v>
      </c>
      <c r="C42" s="62">
        <f>Flow_ODData!C43</f>
        <v>1404.2143745883043</v>
      </c>
      <c r="D42" s="62">
        <f>Flow_ODData!D43</f>
        <v>1561.2526531508454</v>
      </c>
      <c r="E42" s="62">
        <f>Flow_ODData!E43</f>
        <v>398.07377589109268</v>
      </c>
      <c r="F42" s="62">
        <f>Flow_ODData!F43</f>
        <v>335.0758618165849</v>
      </c>
      <c r="G42" s="62">
        <f>Flow_ODData!G43</f>
        <v>403.55185537583259</v>
      </c>
      <c r="H42" s="62">
        <f>Flow_ODData!H43</f>
        <v>2927.1204713459706</v>
      </c>
      <c r="I42" s="62">
        <f>Flow_ODData!I43</f>
        <v>13481.553611944668</v>
      </c>
      <c r="J42" s="62">
        <f>Flow_ODData!J43</f>
        <v>20.999304691502598</v>
      </c>
      <c r="K42" s="62">
        <f>Flow_ODData!K43</f>
        <v>1677.205335577838</v>
      </c>
      <c r="L42" s="62">
        <f>Flow_ODData!L43</f>
        <v>396.24774939617942</v>
      </c>
      <c r="M42" s="62">
        <f>Flow_ODData!M43</f>
        <v>411.76897460294225</v>
      </c>
      <c r="N42" s="62">
        <f>Flow_ODData!N43</f>
        <v>5970.1936251189345</v>
      </c>
      <c r="O42" s="62">
        <f>Flow_ODData!O43</f>
        <v>65854.732525799613</v>
      </c>
      <c r="P42" s="62">
        <f>Flow_ODData!P43</f>
        <v>26.477384176242406</v>
      </c>
      <c r="Q42" s="62">
        <f>Flow_ODData!Q43</f>
        <v>2214.0571250823391</v>
      </c>
      <c r="R42" s="62">
        <f>Flow_ODData!R43</f>
        <v>83.084205518553759</v>
      </c>
      <c r="S42" s="62">
        <f>Flow_ODData!S43</f>
        <v>35.607516650808755</v>
      </c>
      <c r="T42" s="62">
        <f>Flow_ODData!T43</f>
        <v>2221.3612310619919</v>
      </c>
      <c r="U42" s="62">
        <f>Flow_ODData!U43</f>
        <v>94.040364488033376</v>
      </c>
      <c r="V42" s="62">
        <f>Flow_ODData!V43</f>
        <v>279.38205372173019</v>
      </c>
      <c r="W42" s="62">
        <f>Flow_ODData!W43</f>
        <v>0</v>
      </c>
      <c r="X42" s="62">
        <f si="13" t="shared"/>
        <v>99796</v>
      </c>
      <c r="Z42">
        <v>13</v>
      </c>
      <c r="AA42" s="62">
        <f>County_Flow!AX46*AA$28</f>
        <v>1383</v>
      </c>
      <c r="AB42" s="62">
        <f>County_Flow!AY46*AB$28</f>
        <v>1537</v>
      </c>
      <c r="AC42" s="62">
        <f>County_Flow!AZ46*AC$28</f>
        <v>492</v>
      </c>
      <c r="AD42" s="62">
        <f>County_Flow!BA46*AD$28</f>
        <v>298</v>
      </c>
      <c r="AE42" s="62">
        <f>County_Flow!BB46*AE$28</f>
        <v>378</v>
      </c>
      <c r="AF42" s="62">
        <f>County_Flow!BC46*AF$28</f>
        <v>2477</v>
      </c>
      <c r="AG42" s="62">
        <f>County_Flow!BD46*AG$28</f>
        <v>24519</v>
      </c>
      <c r="AH42" s="62">
        <f>County_Flow!BE46*AH$28</f>
        <v>18</v>
      </c>
      <c r="AI42" s="62">
        <f>County_Flow!BF46*AI$28</f>
        <v>2356</v>
      </c>
      <c r="AJ42" s="62">
        <f>County_Flow!BG46*AJ$28</f>
        <v>250</v>
      </c>
      <c r="AK42" s="62">
        <f>County_Flow!BH46*AK$28</f>
        <v>217</v>
      </c>
      <c r="AL42" s="62">
        <f>County_Flow!BI46*AL$28</f>
        <v>8473</v>
      </c>
      <c r="AM42" s="62">
        <f>County_Flow!BJ46*AM$28</f>
        <v>52267</v>
      </c>
      <c r="AN42" s="62">
        <f>County_Flow!BK46*AN$28</f>
        <v>14</v>
      </c>
      <c r="AO42" s="62">
        <f>County_Flow!BL46*AO$28</f>
        <v>2868</v>
      </c>
      <c r="AP42" s="62">
        <f>County_Flow!BM46*AP$28</f>
        <v>39</v>
      </c>
      <c r="AQ42" s="62">
        <f>County_Flow!BN46*AQ$28</f>
        <v>9</v>
      </c>
      <c r="AR42" s="62">
        <f>County_Flow!BO46*AR$28</f>
        <v>2072</v>
      </c>
      <c r="AS42" s="62">
        <f>County_Flow!BP46*AS$28</f>
        <v>79</v>
      </c>
      <c r="AT42" s="62">
        <f>County_Flow!BQ46*AT$28</f>
        <v>50</v>
      </c>
      <c r="AU42" s="62">
        <f>County_Flow!BR46</f>
        <v>0</v>
      </c>
      <c r="AV42" s="13">
        <f si="14" t="shared"/>
        <v>99796</v>
      </c>
      <c r="AW42" s="115">
        <f si="15" t="shared"/>
        <v>0</v>
      </c>
      <c r="AY42">
        <v>13</v>
      </c>
      <c r="AZ42" s="62">
        <f si="16" t="shared"/>
        <v>1383</v>
      </c>
      <c r="BA42" s="62">
        <f si="17" t="shared"/>
        <v>1537</v>
      </c>
      <c r="BB42" s="62">
        <f si="18" t="shared"/>
        <v>492</v>
      </c>
      <c r="BC42" s="62">
        <f si="19" t="shared"/>
        <v>298</v>
      </c>
      <c r="BD42" s="62">
        <f si="20" t="shared"/>
        <v>378</v>
      </c>
      <c r="BE42" s="62">
        <f si="21" t="shared"/>
        <v>2477</v>
      </c>
      <c r="BF42" s="62">
        <f si="22" t="shared"/>
        <v>24519</v>
      </c>
      <c r="BG42" s="62">
        <f si="23" t="shared"/>
        <v>18</v>
      </c>
      <c r="BH42" s="62">
        <f si="24" t="shared"/>
        <v>2356</v>
      </c>
      <c r="BI42" s="62">
        <f si="25" t="shared"/>
        <v>250</v>
      </c>
      <c r="BJ42" s="62">
        <f si="26" t="shared"/>
        <v>217</v>
      </c>
      <c r="BK42" s="62">
        <f si="27" t="shared"/>
        <v>8473</v>
      </c>
      <c r="BL42" s="62">
        <f si="28" t="shared"/>
        <v>52267</v>
      </c>
      <c r="BM42" s="62">
        <f si="29" t="shared"/>
        <v>14</v>
      </c>
      <c r="BN42" s="62">
        <f si="30" t="shared"/>
        <v>2868</v>
      </c>
      <c r="BO42" s="62">
        <f si="31" t="shared"/>
        <v>39</v>
      </c>
      <c r="BP42" s="62">
        <f si="32" t="shared"/>
        <v>9</v>
      </c>
      <c r="BQ42" s="62">
        <f si="33" t="shared"/>
        <v>2072</v>
      </c>
      <c r="BR42" s="62">
        <f si="34" t="shared"/>
        <v>79</v>
      </c>
      <c r="BS42" s="62">
        <f si="35" t="shared"/>
        <v>50</v>
      </c>
      <c r="BT42" s="62">
        <f si="36" t="shared"/>
        <v>0</v>
      </c>
      <c r="BU42" s="62">
        <f si="11" t="shared"/>
        <v>99796</v>
      </c>
      <c r="BW42">
        <v>13</v>
      </c>
      <c r="BX42" s="62">
        <f si="37" t="shared"/>
        <v>21.214374588304281</v>
      </c>
      <c r="BY42" s="62">
        <f si="38" t="shared"/>
        <v>24.25265315084539</v>
      </c>
      <c r="BZ42" s="62">
        <f si="39" t="shared"/>
        <v>93.92622410890732</v>
      </c>
      <c r="CA42" s="62">
        <f si="40" t="shared"/>
        <v>37.075861816584904</v>
      </c>
      <c r="CB42" s="62">
        <f si="41" t="shared"/>
        <v>25.551855375832588</v>
      </c>
      <c r="CC42" s="62">
        <f si="42" t="shared"/>
        <v>450.1204713459706</v>
      </c>
      <c r="CD42" s="62">
        <f si="43" t="shared"/>
        <v>11037.446388055332</v>
      </c>
      <c r="CE42" s="62">
        <f si="44" t="shared"/>
        <v>2.9993046915025978</v>
      </c>
      <c r="CF42" s="62">
        <f si="45" t="shared"/>
        <v>678.79466442216199</v>
      </c>
      <c r="CG42" s="62">
        <f si="46" t="shared"/>
        <v>146.24774939617942</v>
      </c>
      <c r="CH42" s="62">
        <f si="47" t="shared"/>
        <v>194.76897460294225</v>
      </c>
      <c r="CI42" s="62">
        <f si="48" t="shared"/>
        <v>2502.8063748810655</v>
      </c>
      <c r="CJ42" s="62">
        <f si="49" t="shared"/>
        <v>13587.732525799613</v>
      </c>
      <c r="CK42" s="62">
        <f si="50" t="shared"/>
        <v>12.477384176242406</v>
      </c>
      <c r="CL42" s="62">
        <f si="51" t="shared"/>
        <v>653.9428749176609</v>
      </c>
      <c r="CM42" s="62">
        <f si="52" t="shared"/>
        <v>44.084205518553759</v>
      </c>
      <c r="CN42" s="62">
        <f si="53" t="shared"/>
        <v>26.607516650808755</v>
      </c>
      <c r="CO42" s="62">
        <f si="54" t="shared"/>
        <v>149.36123106199193</v>
      </c>
      <c r="CP42" s="62">
        <f si="55" t="shared"/>
        <v>15.040364488033376</v>
      </c>
      <c r="CQ42" s="62">
        <f si="56" t="shared"/>
        <v>229.38205372173019</v>
      </c>
      <c r="CR42" s="62">
        <f si="57" t="shared"/>
        <v>0</v>
      </c>
      <c r="CS42" s="62">
        <f si="58" t="shared"/>
        <v>0</v>
      </c>
      <c r="CU42">
        <v>41</v>
      </c>
      <c r="CV42">
        <f si="6" t="shared"/>
        <v>3</v>
      </c>
      <c r="CW42">
        <f si="0" t="shared"/>
        <v>1</v>
      </c>
      <c r="CX42" s="44">
        <f si="1" t="shared"/>
        <v>4227.3431364798271</v>
      </c>
      <c r="CY42" s="44">
        <f si="2" t="shared"/>
        <v>5577.9999999999991</v>
      </c>
      <c r="CZ42" s="87">
        <f si="3" t="shared"/>
        <v>1350.656863520172</v>
      </c>
      <c r="DA42" s="63">
        <f si="4" t="shared"/>
        <v>0.31950490412398475</v>
      </c>
      <c r="DB42">
        <v>41000</v>
      </c>
    </row>
    <row r="43" spans="2:106" x14ac:dyDescent="0.45">
      <c r="B43">
        <v>14</v>
      </c>
      <c r="C43" s="62">
        <f>Flow_ODData!C44</f>
        <v>695.24252936013704</v>
      </c>
      <c r="D43" s="62">
        <f>Flow_ODData!D44</f>
        <v>918.12370961675094</v>
      </c>
      <c r="E43" s="62">
        <f>Flow_ODData!E44</f>
        <v>374.22025327036403</v>
      </c>
      <c r="F43" s="62">
        <f>Flow_ODData!F44</f>
        <v>386.14393781084129</v>
      </c>
      <c r="G43" s="62">
        <f>Flow_ODData!G44</f>
        <v>346.70405817695496</v>
      </c>
      <c r="H43" s="62">
        <f>Flow_ODData!H44</f>
        <v>1923.3820370292974</v>
      </c>
      <c r="I43" s="62">
        <f>Flow_ODData!I44</f>
        <v>500.794750700046</v>
      </c>
      <c r="J43" s="62">
        <f>Flow_ODData!J44</f>
        <v>253.14899485936388</v>
      </c>
      <c r="K43" s="62">
        <f>Flow_ODData!K44</f>
        <v>406.3224808793413</v>
      </c>
      <c r="L43" s="62">
        <f>Flow_ODData!L44</f>
        <v>233.88765829397752</v>
      </c>
      <c r="M43" s="62">
        <f>Flow_ODData!M44</f>
        <v>2044.4532954402976</v>
      </c>
      <c r="N43" s="62">
        <f>Flow_ODData!N44</f>
        <v>624.61762862038699</v>
      </c>
      <c r="O43" s="62">
        <f>Flow_ODData!O44</f>
        <v>55.94959668993188</v>
      </c>
      <c r="P43" s="62">
        <f>Flow_ODData!P44</f>
        <v>10926.68107159276</v>
      </c>
      <c r="Q43" s="62">
        <f>Flow_ODData!Q44</f>
        <v>81.631378777113724</v>
      </c>
      <c r="R43" s="62">
        <f>Flow_ODData!R44</f>
        <v>11.923684540477286</v>
      </c>
      <c r="S43" s="62">
        <f>Flow_ODData!S44</f>
        <v>1730.7686713754335</v>
      </c>
      <c r="T43" s="62">
        <f>Flow_ODData!T44</f>
        <v>10.08927153425001</v>
      </c>
      <c r="U43" s="62">
        <f>Flow_ODData!U44</f>
        <v>418.24616541981862</v>
      </c>
      <c r="V43" s="62">
        <f>Flow_ODData!V44</f>
        <v>3.6688260124545491</v>
      </c>
      <c r="W43" s="62">
        <f>Flow_ODData!W44</f>
        <v>0</v>
      </c>
      <c r="X43" s="62">
        <f si="13" t="shared"/>
        <v>21945.999999999996</v>
      </c>
      <c r="Z43">
        <v>14</v>
      </c>
      <c r="AA43" s="62">
        <f>County_Flow!AX47*AA$28</f>
        <v>1284</v>
      </c>
      <c r="AB43" s="62">
        <f>County_Flow!AY47*AB$28</f>
        <v>503</v>
      </c>
      <c r="AC43" s="62">
        <f>County_Flow!AZ47*AC$28</f>
        <v>721</v>
      </c>
      <c r="AD43" s="62">
        <f>County_Flow!BA47*AD$28</f>
        <v>528</v>
      </c>
      <c r="AE43" s="62">
        <f>County_Flow!BB47*AE$28</f>
        <v>399</v>
      </c>
      <c r="AF43" s="62">
        <f>County_Flow!BC47*AF$28</f>
        <v>1702</v>
      </c>
      <c r="AG43" s="62">
        <f>County_Flow!BD47*AG$28</f>
        <v>231</v>
      </c>
      <c r="AH43" s="62">
        <f>County_Flow!BE47*AH$28</f>
        <v>277</v>
      </c>
      <c r="AI43" s="62">
        <f>County_Flow!BF47*AI$28</f>
        <v>536</v>
      </c>
      <c r="AJ43" s="62">
        <f>County_Flow!BG47*AJ$28</f>
        <v>329</v>
      </c>
      <c r="AK43" s="62">
        <f>County_Flow!BH47*AK$28</f>
        <v>2585</v>
      </c>
      <c r="AL43" s="62">
        <f>County_Flow!BI47*AL$28</f>
        <v>679</v>
      </c>
      <c r="AM43" s="62">
        <f>County_Flow!BJ47*AM$28</f>
        <v>20</v>
      </c>
      <c r="AN43" s="62">
        <f>County_Flow!BK47*AN$28</f>
        <v>10078</v>
      </c>
      <c r="AO43" s="62">
        <f>County_Flow!BL47*AO$28</f>
        <v>50</v>
      </c>
      <c r="AP43" s="62">
        <f>County_Flow!BM47*AP$28</f>
        <v>23</v>
      </c>
      <c r="AQ43" s="62">
        <f>County_Flow!BN47*AQ$28</f>
        <v>1598</v>
      </c>
      <c r="AR43" s="62">
        <f>County_Flow!BO47*AR$28</f>
        <v>10</v>
      </c>
      <c r="AS43" s="62">
        <f>County_Flow!BP47*AS$28</f>
        <v>393</v>
      </c>
      <c r="AT43" s="62">
        <f>County_Flow!BQ47*AT$28</f>
        <v>0</v>
      </c>
      <c r="AU43" s="62">
        <f>County_Flow!BR47</f>
        <v>0</v>
      </c>
      <c r="AV43" s="13">
        <f si="14" t="shared"/>
        <v>21946</v>
      </c>
      <c r="AW43" s="115">
        <f si="15" t="shared"/>
        <v>1.6576956197446977E-16</v>
      </c>
      <c r="AY43">
        <v>14</v>
      </c>
      <c r="AZ43" s="62">
        <f si="16" t="shared"/>
        <v>1283.9999999999998</v>
      </c>
      <c r="BA43" s="62">
        <f si="17" t="shared"/>
        <v>502.99999999999994</v>
      </c>
      <c r="BB43" s="62">
        <f si="18" t="shared"/>
        <v>720.99999999999989</v>
      </c>
      <c r="BC43" s="62">
        <f si="19" t="shared"/>
        <v>527.99999999999989</v>
      </c>
      <c r="BD43" s="62">
        <f si="20" t="shared"/>
        <v>398.99999999999994</v>
      </c>
      <c r="BE43" s="62">
        <f si="21" t="shared"/>
        <v>1701.9999999999998</v>
      </c>
      <c r="BF43" s="62">
        <f si="22" t="shared"/>
        <v>230.99999999999997</v>
      </c>
      <c r="BG43" s="62">
        <f si="23" t="shared"/>
        <v>276.99999999999994</v>
      </c>
      <c r="BH43" s="62">
        <f si="24" t="shared"/>
        <v>535.99999999999989</v>
      </c>
      <c r="BI43" s="62">
        <f si="25" t="shared"/>
        <v>328.99999999999994</v>
      </c>
      <c r="BJ43" s="62">
        <f si="26" t="shared"/>
        <v>2584.9999999999995</v>
      </c>
      <c r="BK43" s="62">
        <f si="27" t="shared"/>
        <v>678.99999999999989</v>
      </c>
      <c r="BL43" s="62">
        <f si="28" t="shared"/>
        <v>19.999999999999996</v>
      </c>
      <c r="BM43" s="62">
        <f si="29" t="shared"/>
        <v>10077.999999999998</v>
      </c>
      <c r="BN43" s="62">
        <f si="30" t="shared"/>
        <v>49.999999999999993</v>
      </c>
      <c r="BO43" s="62">
        <f si="31" t="shared"/>
        <v>22.999999999999996</v>
      </c>
      <c r="BP43" s="62">
        <f si="32" t="shared"/>
        <v>1597.9999999999998</v>
      </c>
      <c r="BQ43" s="62">
        <f si="33" t="shared"/>
        <v>9.9999999999999982</v>
      </c>
      <c r="BR43" s="62">
        <f si="34" t="shared"/>
        <v>392.99999999999994</v>
      </c>
      <c r="BS43" s="62">
        <f si="35" t="shared"/>
        <v>0</v>
      </c>
      <c r="BT43" s="62">
        <f si="36" t="shared"/>
        <v>0</v>
      </c>
      <c r="BU43" s="62">
        <f si="11" t="shared"/>
        <v>21945.999999999996</v>
      </c>
      <c r="BW43">
        <v>14</v>
      </c>
      <c r="BX43" s="62">
        <f si="37" t="shared"/>
        <v>588.75747063986273</v>
      </c>
      <c r="BY43" s="62">
        <f si="38" t="shared"/>
        <v>415.123709616751</v>
      </c>
      <c r="BZ43" s="62">
        <f si="39" t="shared"/>
        <v>346.77974672963586</v>
      </c>
      <c r="CA43" s="62">
        <f si="40" t="shared"/>
        <v>141.85606218915859</v>
      </c>
      <c r="CB43" s="62">
        <f si="41" t="shared"/>
        <v>52.295941823044984</v>
      </c>
      <c r="CC43" s="62">
        <f si="42" t="shared"/>
        <v>221.38203702929763</v>
      </c>
      <c r="CD43" s="62">
        <f si="43" t="shared"/>
        <v>269.79475070004605</v>
      </c>
      <c r="CE43" s="62">
        <f si="44" t="shared"/>
        <v>23.851005140636062</v>
      </c>
      <c r="CF43" s="62">
        <f si="45" t="shared"/>
        <v>129.67751912065859</v>
      </c>
      <c r="CG43" s="62">
        <f si="46" t="shared"/>
        <v>95.11234170602242</v>
      </c>
      <c r="CH43" s="62">
        <f si="47" t="shared"/>
        <v>540.54670455970199</v>
      </c>
      <c r="CI43" s="62">
        <f si="48" t="shared"/>
        <v>54.382371379612891</v>
      </c>
      <c r="CJ43" s="62">
        <f si="49" t="shared"/>
        <v>35.94959668993188</v>
      </c>
      <c r="CK43" s="62">
        <f si="50" t="shared"/>
        <v>848.68107159276224</v>
      </c>
      <c r="CL43" s="62">
        <f si="51" t="shared"/>
        <v>31.631378777113731</v>
      </c>
      <c r="CM43" s="62">
        <f si="52" t="shared"/>
        <v>11.076315459522711</v>
      </c>
      <c r="CN43" s="62">
        <f si="53" t="shared"/>
        <v>132.76867137543377</v>
      </c>
      <c r="CO43" s="62">
        <f si="54" t="shared"/>
        <v>8.9271534250011442E-2</v>
      </c>
      <c r="CP43" s="62">
        <f si="55" t="shared"/>
        <v>25.246165419818681</v>
      </c>
      <c r="CQ43" s="62">
        <f si="56" t="shared"/>
        <v>3.6688260124545491</v>
      </c>
      <c r="CR43" s="62">
        <f si="57" t="shared"/>
        <v>0</v>
      </c>
      <c r="CS43" s="62">
        <f si="58" t="shared"/>
        <v>0</v>
      </c>
      <c r="CU43">
        <v>42</v>
      </c>
      <c r="CV43">
        <f si="6" t="shared"/>
        <v>3</v>
      </c>
      <c r="CW43">
        <f si="0" t="shared"/>
        <v>2</v>
      </c>
      <c r="CX43" s="44">
        <f si="1" t="shared"/>
        <v>2557.5907449864285</v>
      </c>
      <c r="CY43" s="44">
        <f si="2" t="shared"/>
        <v>2668.9999999999995</v>
      </c>
      <c r="CZ43" s="87">
        <f si="3" t="shared"/>
        <v>111.40925501357106</v>
      </c>
      <c r="DA43" s="63">
        <f si="4" t="shared"/>
        <v>4.3560235441093699E-2</v>
      </c>
      <c r="DB43">
        <v>42000</v>
      </c>
    </row>
    <row r="44" spans="2:106" x14ac:dyDescent="0.45">
      <c r="B44">
        <v>15</v>
      </c>
      <c r="C44" s="62">
        <f>Flow_ODData!C45</f>
        <v>878.69508139331356</v>
      </c>
      <c r="D44" s="62">
        <f>Flow_ODData!D45</f>
        <v>1485.8620689655172</v>
      </c>
      <c r="E44" s="62">
        <f>Flow_ODData!E45</f>
        <v>207.4172938911255</v>
      </c>
      <c r="F44" s="62">
        <f>Flow_ODData!F45</f>
        <v>312.06874671801154</v>
      </c>
      <c r="G44" s="62">
        <f>Flow_ODData!G45</f>
        <v>329.03925258183091</v>
      </c>
      <c r="H44" s="62">
        <f>Flow_ODData!H45</f>
        <v>1575.4286276912305</v>
      </c>
      <c r="I44" s="62">
        <f>Flow_ODData!I45</f>
        <v>2615.3435147908281</v>
      </c>
      <c r="J44" s="62">
        <f>Flow_ODData!J45</f>
        <v>33.941011727638717</v>
      </c>
      <c r="K44" s="62">
        <f>Flow_ODData!K45</f>
        <v>4748.9132242254509</v>
      </c>
      <c r="L44" s="62">
        <f>Flow_ODData!L45</f>
        <v>151.79174689305094</v>
      </c>
      <c r="M44" s="62">
        <f>Flow_ODData!M45</f>
        <v>735.38858743217224</v>
      </c>
      <c r="N44" s="62">
        <f>Flow_ODData!N45</f>
        <v>1677.2516628741466</v>
      </c>
      <c r="O44" s="62">
        <f>Flow_ODData!O45</f>
        <v>3791.0224488009803</v>
      </c>
      <c r="P44" s="62">
        <f>Flow_ODData!P45</f>
        <v>15.084894101172765</v>
      </c>
      <c r="Q44" s="62">
        <f>Flow_ODData!Q45</f>
        <v>23419.298092070716</v>
      </c>
      <c r="R44" s="62">
        <f>Flow_ODData!R45</f>
        <v>21.684535270435848</v>
      </c>
      <c r="S44" s="62">
        <f>Flow_ODData!S45</f>
        <v>139.53527043584808</v>
      </c>
      <c r="T44" s="62">
        <f>Flow_ODData!T45</f>
        <v>104.65145282688604</v>
      </c>
      <c r="U44" s="62">
        <f>Flow_ODData!U45</f>
        <v>830.61198144582534</v>
      </c>
      <c r="V44" s="62">
        <f>Flow_ODData!V45</f>
        <v>16.970505863819358</v>
      </c>
      <c r="W44" s="62">
        <f>Flow_ODData!W45</f>
        <v>0</v>
      </c>
      <c r="X44" s="62">
        <f si="13" t="shared"/>
        <v>43090.000000000007</v>
      </c>
      <c r="Z44">
        <v>15</v>
      </c>
      <c r="AA44" s="62">
        <f>County_Flow!AX48*AA$28</f>
        <v>1050</v>
      </c>
      <c r="AB44" s="62">
        <f>County_Flow!AY48*AB$28</f>
        <v>1121</v>
      </c>
      <c r="AC44" s="62">
        <f>County_Flow!AZ48*AC$28</f>
        <v>487</v>
      </c>
      <c r="AD44" s="62">
        <f>County_Flow!BA48*AD$28</f>
        <v>197</v>
      </c>
      <c r="AE44" s="62">
        <f>County_Flow!BB48*AE$28</f>
        <v>219</v>
      </c>
      <c r="AF44" s="62">
        <f>County_Flow!BC48*AF$28</f>
        <v>1598</v>
      </c>
      <c r="AG44" s="62">
        <f>County_Flow!BD48*AG$28</f>
        <v>2675</v>
      </c>
      <c r="AH44" s="62">
        <f>County_Flow!BE48*AH$28</f>
        <v>33</v>
      </c>
      <c r="AI44" s="62">
        <f>County_Flow!BF48*AI$28</f>
        <v>6598</v>
      </c>
      <c r="AJ44" s="62">
        <f>County_Flow!BG48*AJ$28</f>
        <v>126</v>
      </c>
      <c r="AK44" s="62">
        <f>County_Flow!BH48*AK$28</f>
        <v>905</v>
      </c>
      <c r="AL44" s="62">
        <f>County_Flow!BI48*AL$28</f>
        <v>1395</v>
      </c>
      <c r="AM44" s="62">
        <f>County_Flow!BJ48*AM$28</f>
        <v>5513</v>
      </c>
      <c r="AN44" s="62">
        <f>County_Flow!BK48*AN$28</f>
        <v>27</v>
      </c>
      <c r="AO44" s="62">
        <f>County_Flow!BL48*AO$28</f>
        <v>19415</v>
      </c>
      <c r="AP44" s="62">
        <f>County_Flow!BM48*AP$28</f>
        <v>14</v>
      </c>
      <c r="AQ44" s="62">
        <f>County_Flow!BN48*AQ$28</f>
        <v>95</v>
      </c>
      <c r="AR44" s="62">
        <f>County_Flow!BO48*AR$28</f>
        <v>50</v>
      </c>
      <c r="AS44" s="62">
        <f>County_Flow!BP48*AS$28</f>
        <v>1571</v>
      </c>
      <c r="AT44" s="62">
        <f>County_Flow!BQ48*AT$28</f>
        <v>1</v>
      </c>
      <c r="AU44" s="62">
        <f>County_Flow!BR48</f>
        <v>0</v>
      </c>
      <c r="AV44" s="13">
        <f si="14" t="shared"/>
        <v>43090</v>
      </c>
      <c r="AW44" s="115">
        <f si="15" t="shared"/>
        <v>1.6885489937766127E-16</v>
      </c>
      <c r="AY44">
        <v>15</v>
      </c>
      <c r="AZ44" s="62">
        <f si="16" t="shared"/>
        <v>1050.0000000000002</v>
      </c>
      <c r="BA44" s="62">
        <f si="17" t="shared"/>
        <v>1121.0000000000002</v>
      </c>
      <c r="BB44" s="62">
        <f si="18" t="shared"/>
        <v>487.00000000000011</v>
      </c>
      <c r="BC44" s="62">
        <f si="19" t="shared"/>
        <v>197.00000000000006</v>
      </c>
      <c r="BD44" s="62">
        <f si="20" t="shared"/>
        <v>219.00000000000006</v>
      </c>
      <c r="BE44" s="62">
        <f si="21" t="shared"/>
        <v>1598.0000000000005</v>
      </c>
      <c r="BF44" s="62">
        <f si="22" t="shared"/>
        <v>2675.0000000000005</v>
      </c>
      <c r="BG44" s="62">
        <f si="23" t="shared"/>
        <v>33.000000000000007</v>
      </c>
      <c r="BH44" s="62">
        <f si="24" t="shared"/>
        <v>6598.0000000000018</v>
      </c>
      <c r="BI44" s="62">
        <f si="25" t="shared"/>
        <v>126.00000000000003</v>
      </c>
      <c r="BJ44" s="62">
        <f si="26" t="shared"/>
        <v>905.00000000000023</v>
      </c>
      <c r="BK44" s="62">
        <f si="27" t="shared"/>
        <v>1395.0000000000002</v>
      </c>
      <c r="BL44" s="62">
        <f si="28" t="shared"/>
        <v>5513.0000000000009</v>
      </c>
      <c r="BM44" s="62">
        <f si="29" t="shared"/>
        <v>27.000000000000007</v>
      </c>
      <c r="BN44" s="62">
        <f si="30" t="shared"/>
        <v>19415.000000000004</v>
      </c>
      <c r="BO44" s="62">
        <f si="31" t="shared"/>
        <v>14.000000000000004</v>
      </c>
      <c r="BP44" s="62">
        <f si="32" t="shared"/>
        <v>95.000000000000014</v>
      </c>
      <c r="BQ44" s="62">
        <f si="33" t="shared"/>
        <v>50.000000000000014</v>
      </c>
      <c r="BR44" s="62">
        <f si="34" t="shared"/>
        <v>1571.0000000000005</v>
      </c>
      <c r="BS44" s="62">
        <f si="35" t="shared"/>
        <v>1.0000000000000002</v>
      </c>
      <c r="BT44" s="62">
        <f si="36" t="shared"/>
        <v>0</v>
      </c>
      <c r="BU44" s="62">
        <f si="11" t="shared"/>
        <v>43090.000000000007</v>
      </c>
      <c r="BW44">
        <v>15</v>
      </c>
      <c r="BX44" s="62">
        <f si="37" t="shared"/>
        <v>171.30491860668667</v>
      </c>
      <c r="BY44" s="62">
        <f si="38" t="shared"/>
        <v>364.86206896551698</v>
      </c>
      <c r="BZ44" s="62">
        <f si="39" t="shared"/>
        <v>279.58270610887462</v>
      </c>
      <c r="CA44" s="62">
        <f si="40" t="shared"/>
        <v>115.06874671801148</v>
      </c>
      <c r="CB44" s="62">
        <f si="41" t="shared"/>
        <v>110.03925258183085</v>
      </c>
      <c r="CC44" s="62">
        <f si="42" t="shared"/>
        <v>22.571372308769924</v>
      </c>
      <c r="CD44" s="62">
        <f si="43" t="shared"/>
        <v>59.656485209172388</v>
      </c>
      <c r="CE44" s="62">
        <f si="44" t="shared"/>
        <v>0.94101172763870977</v>
      </c>
      <c r="CF44" s="62">
        <f si="45" t="shared"/>
        <v>1849.0867757745509</v>
      </c>
      <c r="CG44" s="62">
        <f si="46" t="shared"/>
        <v>25.791746893050913</v>
      </c>
      <c r="CH44" s="62">
        <f si="47" t="shared"/>
        <v>169.61141256782798</v>
      </c>
      <c r="CI44" s="62">
        <f si="48" t="shared"/>
        <v>282.2516628741464</v>
      </c>
      <c r="CJ44" s="62">
        <f si="49" t="shared"/>
        <v>1721.9775511990206</v>
      </c>
      <c r="CK44" s="62">
        <f si="50" t="shared"/>
        <v>11.915105898827242</v>
      </c>
      <c r="CL44" s="62">
        <f si="51" t="shared"/>
        <v>4004.2980920707123</v>
      </c>
      <c r="CM44" s="62">
        <f si="52" t="shared"/>
        <v>7.6845352704358447</v>
      </c>
      <c r="CN44" s="62">
        <f si="53" t="shared"/>
        <v>44.535270435848062</v>
      </c>
      <c r="CO44" s="62">
        <f si="54" t="shared"/>
        <v>54.651452826886029</v>
      </c>
      <c r="CP44" s="62">
        <f si="55" t="shared"/>
        <v>740.38801855417512</v>
      </c>
      <c r="CQ44" s="62">
        <f si="56" t="shared"/>
        <v>15.970505863819358</v>
      </c>
      <c r="CR44" s="62">
        <f si="57" t="shared"/>
        <v>0</v>
      </c>
      <c r="CS44" s="62">
        <f si="58" t="shared"/>
        <v>0</v>
      </c>
      <c r="CU44">
        <v>43</v>
      </c>
      <c r="CV44">
        <f si="6" t="shared"/>
        <v>3</v>
      </c>
      <c r="CW44">
        <f si="0" t="shared"/>
        <v>3</v>
      </c>
      <c r="CX44" s="44">
        <f si="1" t="shared"/>
        <v>7729.5861859962579</v>
      </c>
      <c r="CY44" s="44">
        <f si="2" t="shared"/>
        <v>3667.9999999999991</v>
      </c>
      <c r="CZ44" s="87">
        <f si="3" t="shared"/>
        <v>-4061.5861859962588</v>
      </c>
      <c r="DA44" s="63">
        <f si="4" t="shared"/>
        <v>-0.52545971909268074</v>
      </c>
      <c r="DB44">
        <v>43000</v>
      </c>
    </row>
    <row r="45" spans="2:106" x14ac:dyDescent="0.45">
      <c r="B45">
        <v>16</v>
      </c>
      <c r="C45" s="62">
        <f>Flow_ODData!C46</f>
        <v>1219.2910514828604</v>
      </c>
      <c r="D45" s="62">
        <f>Flow_ODData!D46</f>
        <v>585.00808832969574</v>
      </c>
      <c r="E45" s="62">
        <f>Flow_ODData!E46</f>
        <v>319.76248555655411</v>
      </c>
      <c r="F45" s="62">
        <f>Flow_ODData!F46</f>
        <v>363.79535242007961</v>
      </c>
      <c r="G45" s="62">
        <f>Flow_ODData!G46</f>
        <v>510.57157529849786</v>
      </c>
      <c r="H45" s="62">
        <f>Flow_ODData!H46</f>
        <v>3137.8659648221851</v>
      </c>
      <c r="I45" s="62">
        <f>Flow_ODData!I46</f>
        <v>402.58621132366153</v>
      </c>
      <c r="J45" s="62">
        <f>Flow_ODData!J46</f>
        <v>61.855693927333412</v>
      </c>
      <c r="K45" s="62">
        <f>Flow_ODData!K46</f>
        <v>412.02182565155988</v>
      </c>
      <c r="L45" s="62">
        <f>Flow_ODData!L46</f>
        <v>1755.024264989087</v>
      </c>
      <c r="M45" s="62">
        <f>Flow_ODData!M46</f>
        <v>289.35883938888173</v>
      </c>
      <c r="N45" s="62">
        <f>Flow_ODData!N46</f>
        <v>4246.0264475542426</v>
      </c>
      <c r="O45" s="62">
        <f>Flow_ODData!O46</f>
        <v>62.904095519322119</v>
      </c>
      <c r="P45" s="62">
        <f>Flow_ODData!P46</f>
        <v>32.500449351649763</v>
      </c>
      <c r="Q45" s="62">
        <f>Flow_ODData!Q46</f>
        <v>11.532417511875723</v>
      </c>
      <c r="R45" s="62">
        <f>Flow_ODData!R46</f>
        <v>2524.5510335087943</v>
      </c>
      <c r="S45" s="62">
        <f>Flow_ODData!S46</f>
        <v>10.484015919887019</v>
      </c>
      <c r="T45" s="62">
        <f>Flow_ODData!T46</f>
        <v>247.42277570933365</v>
      </c>
      <c r="U45" s="62">
        <f>Flow_ODData!U46</f>
        <v>67.097701887276926</v>
      </c>
      <c r="V45" s="62">
        <f>Flow_ODData!V46</f>
        <v>72.339709847220433</v>
      </c>
      <c r="W45" s="62">
        <f>Flow_ODData!W46</f>
        <v>0</v>
      </c>
      <c r="X45" s="62">
        <f si="13" t="shared"/>
        <v>16331.999999999996</v>
      </c>
      <c r="Z45">
        <v>16</v>
      </c>
      <c r="AA45" s="62">
        <f>County_Flow!AX49*AA$28</f>
        <v>1118</v>
      </c>
      <c r="AB45" s="62">
        <f>County_Flow!AY49*AB$28</f>
        <v>446</v>
      </c>
      <c r="AC45" s="62">
        <f>County_Flow!AZ49*AC$28</f>
        <v>249</v>
      </c>
      <c r="AD45" s="62">
        <f>County_Flow!BA49*AD$28</f>
        <v>304</v>
      </c>
      <c r="AE45" s="62">
        <f>County_Flow!BB49*AE$28</f>
        <v>677</v>
      </c>
      <c r="AF45" s="62">
        <f>County_Flow!BC49*AF$28</f>
        <v>3086</v>
      </c>
      <c r="AG45" s="62">
        <f>County_Flow!BD49*AG$28</f>
        <v>381</v>
      </c>
      <c r="AH45" s="62">
        <f>County_Flow!BE49*AH$28</f>
        <v>28</v>
      </c>
      <c r="AI45" s="62">
        <f>County_Flow!BF49*AI$28</f>
        <v>218</v>
      </c>
      <c r="AJ45" s="62">
        <f>County_Flow!BG49*AJ$28</f>
        <v>1523</v>
      </c>
      <c r="AK45" s="62">
        <f>County_Flow!BH49*AK$28</f>
        <v>140</v>
      </c>
      <c r="AL45" s="62">
        <f>County_Flow!BI49*AL$28</f>
        <v>5878</v>
      </c>
      <c r="AM45" s="62">
        <f>County_Flow!BJ49*AM$28</f>
        <v>63</v>
      </c>
      <c r="AN45" s="62">
        <f>County_Flow!BK49*AN$28</f>
        <v>5</v>
      </c>
      <c r="AO45" s="62">
        <f>County_Flow!BL49*AO$28</f>
        <v>15</v>
      </c>
      <c r="AP45" s="62">
        <f>County_Flow!BM49*AP$28</f>
        <v>1736</v>
      </c>
      <c r="AQ45" s="62">
        <f>County_Flow!BN49*AQ$28</f>
        <v>5</v>
      </c>
      <c r="AR45" s="62">
        <f>County_Flow!BO49*AR$28</f>
        <v>353</v>
      </c>
      <c r="AS45" s="62">
        <f>County_Flow!BP49*AS$28</f>
        <v>4</v>
      </c>
      <c r="AT45" s="62">
        <f>County_Flow!BQ49*AT$28</f>
        <v>103</v>
      </c>
      <c r="AU45" s="62">
        <f>County_Flow!BR49</f>
        <v>0</v>
      </c>
      <c r="AV45" s="13">
        <f si="14" t="shared"/>
        <v>16332</v>
      </c>
      <c r="AW45" s="115">
        <f si="15" t="shared"/>
        <v>2.2275158015501554E-16</v>
      </c>
      <c r="AY45">
        <v>16</v>
      </c>
      <c r="AZ45" s="62">
        <f si="16" t="shared"/>
        <v>1117.9999999999998</v>
      </c>
      <c r="BA45" s="62">
        <f si="17" t="shared"/>
        <v>445.99999999999989</v>
      </c>
      <c r="BB45" s="62">
        <f si="18" t="shared"/>
        <v>248.99999999999994</v>
      </c>
      <c r="BC45" s="62">
        <f si="19" t="shared"/>
        <v>303.99999999999994</v>
      </c>
      <c r="BD45" s="62">
        <f si="20" t="shared"/>
        <v>676.99999999999989</v>
      </c>
      <c r="BE45" s="62">
        <f si="21" t="shared"/>
        <v>3085.9999999999991</v>
      </c>
      <c r="BF45" s="62">
        <f si="22" t="shared"/>
        <v>380.99999999999994</v>
      </c>
      <c r="BG45" s="62">
        <f si="23" t="shared"/>
        <v>27.999999999999993</v>
      </c>
      <c r="BH45" s="62">
        <f si="24" t="shared"/>
        <v>217.99999999999994</v>
      </c>
      <c r="BI45" s="62">
        <f si="25" t="shared"/>
        <v>1522.9999999999998</v>
      </c>
      <c r="BJ45" s="62">
        <f si="26" t="shared"/>
        <v>139.99999999999997</v>
      </c>
      <c r="BK45" s="62">
        <f si="27" t="shared"/>
        <v>5877.9999999999991</v>
      </c>
      <c r="BL45" s="62">
        <f si="28" t="shared"/>
        <v>62.999999999999986</v>
      </c>
      <c r="BM45" s="62">
        <f si="29" t="shared"/>
        <v>4.9999999999999991</v>
      </c>
      <c r="BN45" s="62">
        <f si="30" t="shared"/>
        <v>14.999999999999996</v>
      </c>
      <c r="BO45" s="62">
        <f si="31" t="shared"/>
        <v>1735.9999999999995</v>
      </c>
      <c r="BP45" s="62">
        <f si="32" t="shared"/>
        <v>4.9999999999999991</v>
      </c>
      <c r="BQ45" s="62">
        <f si="33" t="shared"/>
        <v>352.99999999999994</v>
      </c>
      <c r="BR45" s="62">
        <f si="34" t="shared"/>
        <v>3.9999999999999991</v>
      </c>
      <c r="BS45" s="62">
        <f si="35" t="shared"/>
        <v>102.99999999999997</v>
      </c>
      <c r="BT45" s="62">
        <f si="36" t="shared"/>
        <v>0</v>
      </c>
      <c r="BU45" s="62">
        <f si="11" t="shared"/>
        <v>16331.999999999996</v>
      </c>
      <c r="BW45">
        <v>16</v>
      </c>
      <c r="BX45" s="62">
        <f si="37" t="shared"/>
        <v>101.29105148286067</v>
      </c>
      <c r="BY45" s="62">
        <f si="38" t="shared"/>
        <v>139.00808832969585</v>
      </c>
      <c r="BZ45" s="62">
        <f si="39" t="shared"/>
        <v>70.762485556554168</v>
      </c>
      <c r="CA45" s="62">
        <f si="40" t="shared"/>
        <v>59.795352420079666</v>
      </c>
      <c r="CB45" s="62">
        <f si="41" t="shared"/>
        <v>166.42842470150202</v>
      </c>
      <c r="CC45" s="62">
        <f si="42" t="shared"/>
        <v>51.865964822186015</v>
      </c>
      <c r="CD45" s="62">
        <f si="43" t="shared"/>
        <v>21.586211323661587</v>
      </c>
      <c r="CE45" s="62">
        <f si="44" t="shared"/>
        <v>33.855693927333419</v>
      </c>
      <c r="CF45" s="62">
        <f si="45" t="shared"/>
        <v>194.02182565155994</v>
      </c>
      <c r="CG45" s="62">
        <f si="46" t="shared"/>
        <v>232.02426498908721</v>
      </c>
      <c r="CH45" s="62">
        <f si="47" t="shared"/>
        <v>149.35883938888176</v>
      </c>
      <c r="CI45" s="62">
        <f si="48" t="shared"/>
        <v>1631.9735524457565</v>
      </c>
      <c r="CJ45" s="62">
        <f si="49" t="shared"/>
        <v>9.5904480677866388E-2</v>
      </c>
      <c r="CK45" s="62">
        <f si="50" t="shared"/>
        <v>27.500449351649763</v>
      </c>
      <c r="CL45" s="62">
        <f si="51" t="shared"/>
        <v>3.4675824881242736</v>
      </c>
      <c r="CM45" s="62">
        <f si="52" t="shared"/>
        <v>788.55103350879472</v>
      </c>
      <c r="CN45" s="62">
        <f si="53" t="shared"/>
        <v>5.4840159198870202</v>
      </c>
      <c r="CO45" s="62">
        <f si="54" t="shared"/>
        <v>105.57722429066629</v>
      </c>
      <c r="CP45" s="62">
        <f si="55" t="shared"/>
        <v>63.097701887276926</v>
      </c>
      <c r="CQ45" s="62">
        <f si="56" t="shared"/>
        <v>30.660290152779538</v>
      </c>
      <c r="CR45" s="62">
        <f si="57" t="shared"/>
        <v>0</v>
      </c>
      <c r="CS45" s="62">
        <f si="58" t="shared"/>
        <v>0</v>
      </c>
      <c r="CU45">
        <v>44</v>
      </c>
      <c r="CV45">
        <f si="6" t="shared"/>
        <v>3</v>
      </c>
      <c r="CW45">
        <f si="0" t="shared"/>
        <v>4</v>
      </c>
      <c r="CX45" s="44">
        <f si="1" t="shared"/>
        <v>1666.863546525417</v>
      </c>
      <c r="CY45" s="44">
        <f si="2" t="shared"/>
        <v>1441.9999999999998</v>
      </c>
      <c r="CZ45" s="87">
        <f si="3" t="shared"/>
        <v>-224.86354652541718</v>
      </c>
      <c r="DA45" s="63">
        <f si="4" t="shared"/>
        <v>-0.13490219220052299</v>
      </c>
      <c r="DB45">
        <v>44000</v>
      </c>
    </row>
    <row r="46" spans="2:106" x14ac:dyDescent="0.45">
      <c r="B46">
        <v>17</v>
      </c>
      <c r="C46" s="62">
        <f>Flow_ODData!C47</f>
        <v>869.27234803337308</v>
      </c>
      <c r="D46" s="62">
        <f>Flow_ODData!D47</f>
        <v>934.01668653158515</v>
      </c>
      <c r="E46" s="62">
        <f>Flow_ODData!E47</f>
        <v>388.46603098927295</v>
      </c>
      <c r="F46" s="62">
        <f>Flow_ODData!F47</f>
        <v>418.18474374255067</v>
      </c>
      <c r="G46" s="62">
        <f>Flow_ODData!G47</f>
        <v>372.54529201430279</v>
      </c>
      <c r="H46" s="62">
        <f>Flow_ODData!H47</f>
        <v>1568.7234803337305</v>
      </c>
      <c r="I46" s="62">
        <f>Flow_ODData!I47</f>
        <v>504.15673420738977</v>
      </c>
      <c r="J46" s="62">
        <f>Flow_ODData!J47</f>
        <v>285.51191895113232</v>
      </c>
      <c r="K46" s="62">
        <f>Flow_ODData!K47</f>
        <v>588.0059594755661</v>
      </c>
      <c r="L46" s="62">
        <f>Flow_ODData!L47</f>
        <v>122.05899880810487</v>
      </c>
      <c r="M46" s="62">
        <f>Flow_ODData!M47</f>
        <v>3828.4070321811682</v>
      </c>
      <c r="N46" s="62">
        <f>Flow_ODData!N47</f>
        <v>633.64541120381409</v>
      </c>
      <c r="O46" s="62">
        <f>Flow_ODData!O47</f>
        <v>165.5756853396901</v>
      </c>
      <c r="P46" s="62">
        <f>Flow_ODData!P47</f>
        <v>1617.5470798569725</v>
      </c>
      <c r="Q46" s="62">
        <f>Flow_ODData!Q47</f>
        <v>159.20738974970203</v>
      </c>
      <c r="R46" s="62">
        <f>Flow_ODData!R47</f>
        <v>10.613825983313468</v>
      </c>
      <c r="S46" s="62">
        <f>Flow_ODData!S47</f>
        <v>7493.3611442193078</v>
      </c>
      <c r="T46" s="62">
        <f>Flow_ODData!T47</f>
        <v>0</v>
      </c>
      <c r="U46" s="62">
        <f>Flow_ODData!U47</f>
        <v>3188.3933253873661</v>
      </c>
      <c r="V46" s="62">
        <f>Flow_ODData!V47</f>
        <v>5.3069129916567341</v>
      </c>
      <c r="W46" s="62">
        <f>Flow_ODData!W47</f>
        <v>0</v>
      </c>
      <c r="X46" s="62">
        <f si="13" t="shared"/>
        <v>23153</v>
      </c>
      <c r="Z46">
        <v>17</v>
      </c>
      <c r="AA46" s="62">
        <f>County_Flow!AX50*AA$28</f>
        <v>1068</v>
      </c>
      <c r="AB46" s="62">
        <f>County_Flow!AY50*AB$28</f>
        <v>437</v>
      </c>
      <c r="AC46" s="62">
        <f>County_Flow!AZ50*AC$28</f>
        <v>770</v>
      </c>
      <c r="AD46" s="62">
        <f>County_Flow!BA50*AD$28</f>
        <v>390</v>
      </c>
      <c r="AE46" s="62">
        <f>County_Flow!BB50*AE$28</f>
        <v>271</v>
      </c>
      <c r="AF46" s="62">
        <f>County_Flow!BC50*AF$28</f>
        <v>1310</v>
      </c>
      <c r="AG46" s="62">
        <f>County_Flow!BD50*AG$28</f>
        <v>208</v>
      </c>
      <c r="AH46" s="62">
        <f>County_Flow!BE50*AH$28</f>
        <v>129</v>
      </c>
      <c r="AI46" s="62">
        <f>County_Flow!BF50*AI$28</f>
        <v>699</v>
      </c>
      <c r="AJ46" s="62">
        <f>County_Flow!BG50*AJ$28</f>
        <v>199</v>
      </c>
      <c r="AK46" s="62">
        <f>County_Flow!BH50*AK$28</f>
        <v>4689</v>
      </c>
      <c r="AL46" s="62">
        <f>County_Flow!BI50*AL$28</f>
        <v>551</v>
      </c>
      <c r="AM46" s="62">
        <f>County_Flow!BJ50*AM$28</f>
        <v>23</v>
      </c>
      <c r="AN46" s="62">
        <f>County_Flow!BK50*AN$28</f>
        <v>2674</v>
      </c>
      <c r="AO46" s="62">
        <f>County_Flow!BL50*AO$28</f>
        <v>161</v>
      </c>
      <c r="AP46" s="62">
        <f>County_Flow!BM50*AP$28</f>
        <v>16</v>
      </c>
      <c r="AQ46" s="62">
        <f>County_Flow!BN50*AQ$28</f>
        <v>6503</v>
      </c>
      <c r="AR46" s="62">
        <f>County_Flow!BO50*AR$28</f>
        <v>3</v>
      </c>
      <c r="AS46" s="62">
        <f>County_Flow!BP50*AS$28</f>
        <v>3052</v>
      </c>
      <c r="AT46" s="62">
        <f>County_Flow!BQ50*AT$28</f>
        <v>0</v>
      </c>
      <c r="AU46" s="62">
        <f>County_Flow!BR50</f>
        <v>0</v>
      </c>
      <c r="AV46" s="13">
        <f si="14" t="shared"/>
        <v>23153</v>
      </c>
      <c r="AW46" s="115">
        <f si="15" t="shared"/>
        <v>0</v>
      </c>
      <c r="AY46">
        <v>17</v>
      </c>
      <c r="AZ46" s="62">
        <f si="16" t="shared"/>
        <v>1068</v>
      </c>
      <c r="BA46" s="62">
        <f si="17" t="shared"/>
        <v>437</v>
      </c>
      <c r="BB46" s="62">
        <f si="18" t="shared"/>
        <v>770</v>
      </c>
      <c r="BC46" s="62">
        <f si="19" t="shared"/>
        <v>390</v>
      </c>
      <c r="BD46" s="62">
        <f si="20" t="shared"/>
        <v>271</v>
      </c>
      <c r="BE46" s="62">
        <f si="21" t="shared"/>
        <v>1310</v>
      </c>
      <c r="BF46" s="62">
        <f si="22" t="shared"/>
        <v>208</v>
      </c>
      <c r="BG46" s="62">
        <f si="23" t="shared"/>
        <v>129</v>
      </c>
      <c r="BH46" s="62">
        <f si="24" t="shared"/>
        <v>699</v>
      </c>
      <c r="BI46" s="62">
        <f si="25" t="shared"/>
        <v>199</v>
      </c>
      <c r="BJ46" s="62">
        <f si="26" t="shared"/>
        <v>4689</v>
      </c>
      <c r="BK46" s="62">
        <f si="27" t="shared"/>
        <v>551</v>
      </c>
      <c r="BL46" s="62">
        <f si="28" t="shared"/>
        <v>23</v>
      </c>
      <c r="BM46" s="62">
        <f si="29" t="shared"/>
        <v>2674</v>
      </c>
      <c r="BN46" s="62">
        <f si="30" t="shared"/>
        <v>161</v>
      </c>
      <c r="BO46" s="62">
        <f si="31" t="shared"/>
        <v>16</v>
      </c>
      <c r="BP46" s="62">
        <f si="32" t="shared"/>
        <v>6503</v>
      </c>
      <c r="BQ46" s="62">
        <f si="33" t="shared"/>
        <v>3</v>
      </c>
      <c r="BR46" s="62">
        <f si="34" t="shared"/>
        <v>3052</v>
      </c>
      <c r="BS46" s="62">
        <f si="35" t="shared"/>
        <v>0</v>
      </c>
      <c r="BT46" s="62">
        <f si="36" t="shared"/>
        <v>0</v>
      </c>
      <c r="BU46" s="62">
        <f si="11" t="shared"/>
        <v>23153</v>
      </c>
      <c r="BW46">
        <v>17</v>
      </c>
      <c r="BX46" s="62">
        <f si="37" t="shared"/>
        <v>198.72765196662692</v>
      </c>
      <c r="BY46" s="62">
        <f si="38" t="shared"/>
        <v>497.01668653158515</v>
      </c>
      <c r="BZ46" s="62">
        <f si="39" t="shared"/>
        <v>381.53396901072705</v>
      </c>
      <c r="CA46" s="62">
        <f si="40" t="shared"/>
        <v>28.184743742550666</v>
      </c>
      <c r="CB46" s="62">
        <f si="41" t="shared"/>
        <v>101.54529201430279</v>
      </c>
      <c r="CC46" s="62">
        <f si="42" t="shared"/>
        <v>258.72348033373055</v>
      </c>
      <c r="CD46" s="62">
        <f si="43" t="shared"/>
        <v>296.15673420738977</v>
      </c>
      <c r="CE46" s="62">
        <f si="44" t="shared"/>
        <v>156.51191895113232</v>
      </c>
      <c r="CF46" s="62">
        <f si="45" t="shared"/>
        <v>110.9940405244339</v>
      </c>
      <c r="CG46" s="62">
        <f si="46" t="shared"/>
        <v>76.941001191895126</v>
      </c>
      <c r="CH46" s="62">
        <f si="47" t="shared"/>
        <v>860.59296781883177</v>
      </c>
      <c r="CI46" s="62">
        <f si="48" t="shared"/>
        <v>82.645411203814092</v>
      </c>
      <c r="CJ46" s="62">
        <f si="49" t="shared"/>
        <v>142.5756853396901</v>
      </c>
      <c r="CK46" s="62">
        <f si="50" t="shared"/>
        <v>1056.4529201430275</v>
      </c>
      <c r="CL46" s="62">
        <f si="51" t="shared"/>
        <v>1.7926102502979688</v>
      </c>
      <c r="CM46" s="62">
        <f si="52" t="shared"/>
        <v>5.3861740166865317</v>
      </c>
      <c r="CN46" s="62">
        <f si="53" t="shared"/>
        <v>990.36114421930779</v>
      </c>
      <c r="CO46" s="62">
        <f si="54" t="shared"/>
        <v>3</v>
      </c>
      <c r="CP46" s="62">
        <f si="55" t="shared"/>
        <v>136.39332538736608</v>
      </c>
      <c r="CQ46" s="62">
        <f si="56" t="shared"/>
        <v>5.3069129916567341</v>
      </c>
      <c r="CR46" s="62">
        <f si="57" t="shared"/>
        <v>0</v>
      </c>
      <c r="CS46" s="62">
        <f si="58" t="shared"/>
        <v>0</v>
      </c>
      <c r="CU46">
        <v>45</v>
      </c>
      <c r="CV46">
        <f si="6" t="shared"/>
        <v>3</v>
      </c>
      <c r="CW46">
        <f si="0" t="shared"/>
        <v>5</v>
      </c>
      <c r="CX46" s="44">
        <f si="1" t="shared"/>
        <v>1726.5663425303712</v>
      </c>
      <c r="CY46" s="44">
        <f si="2" t="shared"/>
        <v>1493.9999999999998</v>
      </c>
      <c r="CZ46" s="87">
        <f si="3" t="shared"/>
        <v>-232.56634253037146</v>
      </c>
      <c r="DA46" s="63">
        <f si="4" t="shared"/>
        <v>-0.13469875833993938</v>
      </c>
      <c r="DB46">
        <v>45000</v>
      </c>
    </row>
    <row r="47" spans="2:106" x14ac:dyDescent="0.45">
      <c r="B47">
        <v>18</v>
      </c>
      <c r="C47" s="62">
        <f>Flow_ODData!C48</f>
        <v>1108.0176538088092</v>
      </c>
      <c r="D47" s="62">
        <f>Flow_ODData!D48</f>
        <v>914.05649218818951</v>
      </c>
      <c r="E47" s="62">
        <f>Flow_ODData!E48</f>
        <v>356.56333303910321</v>
      </c>
      <c r="F47" s="62">
        <f>Flow_ODData!F48</f>
        <v>428.57286609586015</v>
      </c>
      <c r="G47" s="62">
        <f>Flow_ODData!G48</f>
        <v>829.27107423426605</v>
      </c>
      <c r="H47" s="62">
        <f>Flow_ODData!H48</f>
        <v>3036.0148291993996</v>
      </c>
      <c r="I47" s="62">
        <f>Flow_ODData!I48</f>
        <v>2857.1524406390681</v>
      </c>
      <c r="J47" s="62">
        <f>Flow_ODData!J48</f>
        <v>91.754082443287146</v>
      </c>
      <c r="K47" s="62">
        <f>Flow_ODData!K48</f>
        <v>514.51972813134432</v>
      </c>
      <c r="L47" s="62">
        <f>Flow_ODData!L48</f>
        <v>312.42845793980052</v>
      </c>
      <c r="M47" s="62">
        <f>Flow_ODData!M48</f>
        <v>149.82628652131697</v>
      </c>
      <c r="N47" s="62">
        <f>Flow_ODData!N48</f>
        <v>17469.280430752933</v>
      </c>
      <c r="O47" s="62">
        <f>Flow_ODData!O48</f>
        <v>6398.3954453173274</v>
      </c>
      <c r="P47" s="62">
        <f>Flow_ODData!P48</f>
        <v>10.452996734045369</v>
      </c>
      <c r="Q47" s="62">
        <f>Flow_ODData!Q48</f>
        <v>186.99249713125607</v>
      </c>
      <c r="R47" s="62">
        <f>Flow_ODData!R48</f>
        <v>240.4189248830435</v>
      </c>
      <c r="S47" s="62">
        <f>Flow_ODData!S48</f>
        <v>18.583105304969546</v>
      </c>
      <c r="T47" s="62">
        <f>Flow_ODData!T48</f>
        <v>13342.669608968135</v>
      </c>
      <c r="U47" s="62">
        <f>Flow_ODData!U48</f>
        <v>69.686644893635801</v>
      </c>
      <c r="V47" s="62">
        <f>Flow_ODData!V48</f>
        <v>4297.3431017742078</v>
      </c>
      <c r="W47" s="62">
        <f>Flow_ODData!W48</f>
        <v>0</v>
      </c>
      <c r="X47" s="62">
        <f si="13" t="shared"/>
        <v>52632</v>
      </c>
      <c r="Z47">
        <v>18</v>
      </c>
      <c r="AA47" s="62">
        <f>County_Flow!AX51*AA$28</f>
        <v>994</v>
      </c>
      <c r="AB47" s="62">
        <f>County_Flow!AY51*AB$28</f>
        <v>685</v>
      </c>
      <c r="AC47" s="62">
        <f>County_Flow!AZ51*AC$28</f>
        <v>237</v>
      </c>
      <c r="AD47" s="62">
        <f>County_Flow!BA51*AD$28</f>
        <v>197</v>
      </c>
      <c r="AE47" s="62">
        <f>County_Flow!BB51*AE$28</f>
        <v>337</v>
      </c>
      <c r="AF47" s="62">
        <f>County_Flow!BC51*AF$28</f>
        <v>2219</v>
      </c>
      <c r="AG47" s="62">
        <f>County_Flow!BD51*AG$28</f>
        <v>2674</v>
      </c>
      <c r="AH47" s="62">
        <f>County_Flow!BE51*AH$28</f>
        <v>17</v>
      </c>
      <c r="AI47" s="62">
        <f>County_Flow!BF51*AI$28</f>
        <v>470</v>
      </c>
      <c r="AJ47" s="62">
        <f>County_Flow!BG51*AJ$28</f>
        <v>407</v>
      </c>
      <c r="AK47" s="62">
        <f>County_Flow!BH51*AK$28</f>
        <v>100</v>
      </c>
      <c r="AL47" s="62">
        <f>County_Flow!BI51*AL$28</f>
        <v>21786</v>
      </c>
      <c r="AM47" s="62">
        <f>County_Flow!BJ51*AM$28</f>
        <v>7651</v>
      </c>
      <c r="AN47" s="62">
        <f>County_Flow!BK51*AN$28</f>
        <v>9</v>
      </c>
      <c r="AO47" s="62">
        <f>County_Flow!BL51*AO$28</f>
        <v>118</v>
      </c>
      <c r="AP47" s="62">
        <f>County_Flow!BM51*AP$28</f>
        <v>241</v>
      </c>
      <c r="AQ47" s="62">
        <f>County_Flow!BN51*AQ$28</f>
        <v>13</v>
      </c>
      <c r="AR47" s="62">
        <f>County_Flow!BO51*AR$28</f>
        <v>11557</v>
      </c>
      <c r="AS47" s="62">
        <f>County_Flow!BP51*AS$28</f>
        <v>8</v>
      </c>
      <c r="AT47" s="62">
        <f>County_Flow!BQ51*AT$28</f>
        <v>2912</v>
      </c>
      <c r="AU47" s="62">
        <f>County_Flow!BR51</f>
        <v>0</v>
      </c>
      <c r="AV47" s="13">
        <f si="14" t="shared"/>
        <v>52632</v>
      </c>
      <c r="AW47" s="115">
        <f si="15" t="shared"/>
        <v>0</v>
      </c>
      <c r="AY47">
        <v>18</v>
      </c>
      <c r="AZ47" s="62">
        <f si="16" t="shared"/>
        <v>994</v>
      </c>
      <c r="BA47" s="62">
        <f si="17" t="shared"/>
        <v>685</v>
      </c>
      <c r="BB47" s="62">
        <f si="18" t="shared"/>
        <v>237</v>
      </c>
      <c r="BC47" s="62">
        <f si="19" t="shared"/>
        <v>197</v>
      </c>
      <c r="BD47" s="62">
        <f si="20" t="shared"/>
        <v>337</v>
      </c>
      <c r="BE47" s="62">
        <f si="21" t="shared"/>
        <v>2219</v>
      </c>
      <c r="BF47" s="62">
        <f si="22" t="shared"/>
        <v>2674</v>
      </c>
      <c r="BG47" s="62">
        <f si="23" t="shared"/>
        <v>17</v>
      </c>
      <c r="BH47" s="62">
        <f si="24" t="shared"/>
        <v>470</v>
      </c>
      <c r="BI47" s="62">
        <f si="25" t="shared"/>
        <v>407</v>
      </c>
      <c r="BJ47" s="62">
        <f si="26" t="shared"/>
        <v>100</v>
      </c>
      <c r="BK47" s="62">
        <f si="27" t="shared"/>
        <v>21786</v>
      </c>
      <c r="BL47" s="62">
        <f si="28" t="shared"/>
        <v>7651</v>
      </c>
      <c r="BM47" s="62">
        <f si="29" t="shared"/>
        <v>9</v>
      </c>
      <c r="BN47" s="62">
        <f si="30" t="shared"/>
        <v>118</v>
      </c>
      <c r="BO47" s="62">
        <f si="31" t="shared"/>
        <v>241</v>
      </c>
      <c r="BP47" s="62">
        <f si="32" t="shared"/>
        <v>13</v>
      </c>
      <c r="BQ47" s="62">
        <f si="33" t="shared"/>
        <v>11557</v>
      </c>
      <c r="BR47" s="62">
        <f si="34" t="shared"/>
        <v>8</v>
      </c>
      <c r="BS47" s="62">
        <f si="35" t="shared"/>
        <v>2912</v>
      </c>
      <c r="BT47" s="62">
        <f si="36" t="shared"/>
        <v>0</v>
      </c>
      <c r="BU47" s="62">
        <f si="11" t="shared"/>
        <v>52632</v>
      </c>
      <c r="BW47">
        <v>18</v>
      </c>
      <c r="BX47" s="62">
        <f si="37" t="shared"/>
        <v>114.0176538088092</v>
      </c>
      <c r="BY47" s="62">
        <f si="38" t="shared"/>
        <v>229.05649218818951</v>
      </c>
      <c r="BZ47" s="62">
        <f si="39" t="shared"/>
        <v>119.56333303910321</v>
      </c>
      <c r="CA47" s="62">
        <f si="40" t="shared"/>
        <v>231.57286609586015</v>
      </c>
      <c r="CB47" s="62">
        <f si="41" t="shared"/>
        <v>492.27107423426605</v>
      </c>
      <c r="CC47" s="62">
        <f si="42" t="shared"/>
        <v>817.01482919939963</v>
      </c>
      <c r="CD47" s="62">
        <f si="43" t="shared"/>
        <v>183.15244063906812</v>
      </c>
      <c r="CE47" s="62">
        <f si="44" t="shared"/>
        <v>74.754082443287146</v>
      </c>
      <c r="CF47" s="62">
        <f si="45" t="shared"/>
        <v>44.519728131344323</v>
      </c>
      <c r="CG47" s="62">
        <f si="46" t="shared"/>
        <v>94.571542060199477</v>
      </c>
      <c r="CH47" s="62">
        <f si="47" t="shared"/>
        <v>49.826286521316973</v>
      </c>
      <c r="CI47" s="62">
        <f si="48" t="shared"/>
        <v>4316.7195692470668</v>
      </c>
      <c r="CJ47" s="62">
        <f si="49" t="shared"/>
        <v>1252.6045546826726</v>
      </c>
      <c r="CK47" s="62">
        <f si="50" t="shared"/>
        <v>1.4529967340453691</v>
      </c>
      <c r="CL47" s="62">
        <f si="51" t="shared"/>
        <v>68.992497131256073</v>
      </c>
      <c r="CM47" s="62">
        <f si="52" t="shared"/>
        <v>0.58107511695649805</v>
      </c>
      <c r="CN47" s="62">
        <f si="53" t="shared"/>
        <v>5.5831053049695463</v>
      </c>
      <c r="CO47" s="62">
        <f si="54" t="shared"/>
        <v>1785.6696089681354</v>
      </c>
      <c r="CP47" s="62">
        <f si="55" t="shared"/>
        <v>61.686644893635801</v>
      </c>
      <c r="CQ47" s="62">
        <f si="56" t="shared"/>
        <v>1385.3431017742078</v>
      </c>
      <c r="CR47" s="62">
        <f si="57" t="shared"/>
        <v>0</v>
      </c>
      <c r="CS47" s="62">
        <f si="58" t="shared"/>
        <v>0</v>
      </c>
      <c r="CU47">
        <v>46</v>
      </c>
      <c r="CV47">
        <f si="6" t="shared"/>
        <v>3</v>
      </c>
      <c r="CW47">
        <f si="0" t="shared"/>
        <v>6</v>
      </c>
      <c r="CX47" s="44">
        <f si="1" t="shared"/>
        <v>6181.1652831580886</v>
      </c>
      <c r="CY47" s="44">
        <f si="2" t="shared"/>
        <v>7265.9999999999982</v>
      </c>
      <c r="CZ47" s="87">
        <f si="3" t="shared"/>
        <v>1084.8347168419095</v>
      </c>
      <c r="DA47" s="63">
        <f si="4" t="shared"/>
        <v>0.17550650518887992</v>
      </c>
      <c r="DB47">
        <v>46000</v>
      </c>
    </row>
    <row r="48" spans="2:106" x14ac:dyDescent="0.45">
      <c r="B48">
        <v>19</v>
      </c>
      <c r="C48" s="62">
        <f>Flow_ODData!C49</f>
        <v>1199.4113909689131</v>
      </c>
      <c r="D48" s="62">
        <f>Flow_ODData!D49</f>
        <v>1012.0953029271612</v>
      </c>
      <c r="E48" s="62">
        <f>Flow_ODData!E49</f>
        <v>480.54912638983433</v>
      </c>
      <c r="F48" s="62">
        <f>Flow_ODData!F49</f>
        <v>351.09507601542998</v>
      </c>
      <c r="G48" s="62">
        <f>Flow_ODData!G49</f>
        <v>349.13365100975722</v>
      </c>
      <c r="H48" s="62">
        <f>Flow_ODData!H49</f>
        <v>1663.2884048105288</v>
      </c>
      <c r="I48" s="62">
        <f>Flow_ODData!I49</f>
        <v>711.01656455638761</v>
      </c>
      <c r="J48" s="62">
        <f>Flow_ODData!J49</f>
        <v>185.35466303607896</v>
      </c>
      <c r="K48" s="62">
        <f>Flow_ODData!K49</f>
        <v>928.7347401860676</v>
      </c>
      <c r="L48" s="62">
        <f>Flow_ODData!L49</f>
        <v>151.02972543680508</v>
      </c>
      <c r="M48" s="62">
        <f>Flow_ODData!M49</f>
        <v>8459.6260494667586</v>
      </c>
      <c r="N48" s="62">
        <f>Flow_ODData!N49</f>
        <v>1450.4737916950305</v>
      </c>
      <c r="O48" s="62">
        <f>Flow_ODData!O49</f>
        <v>271.65736328568187</v>
      </c>
      <c r="P48" s="62">
        <f>Flow_ODData!P49</f>
        <v>418.76423871114139</v>
      </c>
      <c r="Q48" s="62">
        <f>Flow_ODData!Q49</f>
        <v>1931.0229180848648</v>
      </c>
      <c r="R48" s="62">
        <f>Flow_ODData!R49</f>
        <v>41.18992511912866</v>
      </c>
      <c r="S48" s="62">
        <f>Flow_ODData!S49</f>
        <v>3644.3276605400497</v>
      </c>
      <c r="T48" s="62">
        <f>Flow_ODData!T49</f>
        <v>11.768550034036759</v>
      </c>
      <c r="U48" s="62">
        <f>Flow_ODData!U49</f>
        <v>24270.673020195143</v>
      </c>
      <c r="V48" s="62">
        <f>Flow_ODData!V49</f>
        <v>10.787837531200363</v>
      </c>
      <c r="W48" s="62">
        <f>Flow_ODData!W49</f>
        <v>0</v>
      </c>
      <c r="X48" s="62">
        <f si="13" t="shared"/>
        <v>47542</v>
      </c>
      <c r="Z48">
        <v>19</v>
      </c>
      <c r="AA48" s="62">
        <f>County_Flow!AX52*AA$28</f>
        <v>1259</v>
      </c>
      <c r="AB48" s="62">
        <f>County_Flow!AY52*AB$28</f>
        <v>659</v>
      </c>
      <c r="AC48" s="62">
        <f>County_Flow!AZ52*AC$28</f>
        <v>886</v>
      </c>
      <c r="AD48" s="62">
        <f>County_Flow!BA52*AD$28</f>
        <v>417</v>
      </c>
      <c r="AE48" s="62">
        <f>County_Flow!BB52*AE$28</f>
        <v>314</v>
      </c>
      <c r="AF48" s="62">
        <f>County_Flow!BC52*AF$28</f>
        <v>1618</v>
      </c>
      <c r="AG48" s="62">
        <f>County_Flow!BD52*AG$28</f>
        <v>427</v>
      </c>
      <c r="AH48" s="62">
        <f>County_Flow!BE52*AH$28</f>
        <v>132</v>
      </c>
      <c r="AI48" s="62">
        <f>County_Flow!BF52*AI$28</f>
        <v>2207</v>
      </c>
      <c r="AJ48" s="62">
        <f>County_Flow!BG52*AJ$28</f>
        <v>219</v>
      </c>
      <c r="AK48" s="62">
        <f>County_Flow!BH52*AK$28</f>
        <v>11055</v>
      </c>
      <c r="AL48" s="62">
        <f>County_Flow!BI52*AL$28</f>
        <v>783</v>
      </c>
      <c r="AM48" s="62">
        <f>County_Flow!BJ52*AM$28</f>
        <v>152</v>
      </c>
      <c r="AN48" s="62">
        <f>County_Flow!BK52*AN$28</f>
        <v>737</v>
      </c>
      <c r="AO48" s="62">
        <f>County_Flow!BL52*AO$28</f>
        <v>2837</v>
      </c>
      <c r="AP48" s="62">
        <f>County_Flow!BM52*AP$28</f>
        <v>19</v>
      </c>
      <c r="AQ48" s="62">
        <f>County_Flow!BN52*AQ$28</f>
        <v>5126</v>
      </c>
      <c r="AR48" s="62">
        <f>County_Flow!BO52*AR$28</f>
        <v>6</v>
      </c>
      <c r="AS48" s="62">
        <f>County_Flow!BP52*AS$28</f>
        <v>18688</v>
      </c>
      <c r="AT48" s="62">
        <f>County_Flow!BQ52*AT$28</f>
        <v>1</v>
      </c>
      <c r="AU48" s="62">
        <f>County_Flow!BR52</f>
        <v>0</v>
      </c>
      <c r="AV48" s="13">
        <f si="14" t="shared"/>
        <v>47542</v>
      </c>
      <c r="AW48" s="115">
        <f si="15" t="shared"/>
        <v>0</v>
      </c>
      <c r="AY48">
        <v>19</v>
      </c>
      <c r="AZ48" s="62">
        <f si="16" t="shared"/>
        <v>1259</v>
      </c>
      <c r="BA48" s="62">
        <f si="17" t="shared"/>
        <v>659</v>
      </c>
      <c r="BB48" s="62">
        <f si="18" t="shared"/>
        <v>886</v>
      </c>
      <c r="BC48" s="62">
        <f si="19" t="shared"/>
        <v>417</v>
      </c>
      <c r="BD48" s="62">
        <f si="20" t="shared"/>
        <v>314</v>
      </c>
      <c r="BE48" s="62">
        <f si="21" t="shared"/>
        <v>1618</v>
      </c>
      <c r="BF48" s="62">
        <f si="22" t="shared"/>
        <v>427</v>
      </c>
      <c r="BG48" s="62">
        <f si="23" t="shared"/>
        <v>132</v>
      </c>
      <c r="BH48" s="62">
        <f si="24" t="shared"/>
        <v>2207</v>
      </c>
      <c r="BI48" s="62">
        <f si="25" t="shared"/>
        <v>219</v>
      </c>
      <c r="BJ48" s="62">
        <f si="26" t="shared"/>
        <v>11055</v>
      </c>
      <c r="BK48" s="62">
        <f si="27" t="shared"/>
        <v>783</v>
      </c>
      <c r="BL48" s="62">
        <f si="28" t="shared"/>
        <v>152</v>
      </c>
      <c r="BM48" s="62">
        <f si="29" t="shared"/>
        <v>737</v>
      </c>
      <c r="BN48" s="62">
        <f si="30" t="shared"/>
        <v>2837</v>
      </c>
      <c r="BO48" s="62">
        <f si="31" t="shared"/>
        <v>19</v>
      </c>
      <c r="BP48" s="62">
        <f si="32" t="shared"/>
        <v>5126</v>
      </c>
      <c r="BQ48" s="62">
        <f si="33" t="shared"/>
        <v>6</v>
      </c>
      <c r="BR48" s="62">
        <f si="34" t="shared"/>
        <v>18688</v>
      </c>
      <c r="BS48" s="62">
        <f si="35" t="shared"/>
        <v>1</v>
      </c>
      <c r="BT48" s="62">
        <f si="36" t="shared"/>
        <v>0</v>
      </c>
      <c r="BU48" s="62">
        <f si="11" t="shared"/>
        <v>47542</v>
      </c>
      <c r="BW48">
        <v>19</v>
      </c>
      <c r="BX48" s="62">
        <f si="37" t="shared"/>
        <v>59.588609031086889</v>
      </c>
      <c r="BY48" s="62">
        <f si="38" t="shared"/>
        <v>353.09530292716124</v>
      </c>
      <c r="BZ48" s="62">
        <f si="39" t="shared"/>
        <v>405.45087361016567</v>
      </c>
      <c r="CA48" s="62">
        <f si="40" t="shared"/>
        <v>65.904923984570019</v>
      </c>
      <c r="CB48" s="62">
        <f si="41" t="shared"/>
        <v>35.133651009757216</v>
      </c>
      <c r="CC48" s="62">
        <f si="42" t="shared"/>
        <v>45.288404810528846</v>
      </c>
      <c r="CD48" s="62">
        <f si="43" t="shared"/>
        <v>284.01656455638761</v>
      </c>
      <c r="CE48" s="62">
        <f si="44" t="shared"/>
        <v>53.354663036078961</v>
      </c>
      <c r="CF48" s="62">
        <f si="45" t="shared"/>
        <v>1278.2652598139325</v>
      </c>
      <c r="CG48" s="62">
        <f si="46" t="shared"/>
        <v>67.97027456319492</v>
      </c>
      <c r="CH48" s="62">
        <f si="47" t="shared"/>
        <v>2595.3739505332414</v>
      </c>
      <c r="CI48" s="62">
        <f si="48" t="shared"/>
        <v>667.47379169503051</v>
      </c>
      <c r="CJ48" s="62">
        <f si="49" t="shared"/>
        <v>119.65736328568187</v>
      </c>
      <c r="CK48" s="62">
        <f si="50" t="shared"/>
        <v>318.23576128885861</v>
      </c>
      <c r="CL48" s="62">
        <f si="51" t="shared"/>
        <v>905.97708191513516</v>
      </c>
      <c r="CM48" s="62">
        <f si="52" t="shared"/>
        <v>22.18992511912866</v>
      </c>
      <c r="CN48" s="62">
        <f si="53" t="shared"/>
        <v>1481.6723394599503</v>
      </c>
      <c r="CO48" s="62">
        <f si="54" t="shared"/>
        <v>5.7685500340367586</v>
      </c>
      <c r="CP48" s="62">
        <f si="55" t="shared"/>
        <v>5582.6730201951432</v>
      </c>
      <c r="CQ48" s="62">
        <f si="56" t="shared"/>
        <v>9.7878375312003634</v>
      </c>
      <c r="CR48" s="62">
        <f si="57" t="shared"/>
        <v>0</v>
      </c>
      <c r="CS48" s="62">
        <f si="58" t="shared"/>
        <v>0</v>
      </c>
      <c r="CU48">
        <v>47</v>
      </c>
      <c r="CV48">
        <f si="6" t="shared"/>
        <v>3</v>
      </c>
      <c r="CW48">
        <f si="0" t="shared"/>
        <v>7</v>
      </c>
      <c r="CX48" s="44">
        <f si="1" t="shared"/>
        <v>1374.1272564366088</v>
      </c>
      <c r="CY48" s="44">
        <f si="2" t="shared"/>
        <v>1832.9999999999995</v>
      </c>
      <c r="CZ48" s="87">
        <f si="3" t="shared"/>
        <v>458.87274356339071</v>
      </c>
      <c r="DA48" s="63">
        <f si="4" t="shared"/>
        <v>0.33393758941463758</v>
      </c>
      <c r="DB48">
        <v>47000</v>
      </c>
    </row>
    <row r="49" spans="2:106" x14ac:dyDescent="0.45">
      <c r="B49">
        <v>20</v>
      </c>
      <c r="C49" s="62">
        <f>Flow_ODData!C50</f>
        <v>298.3709591379494</v>
      </c>
      <c r="D49" s="62">
        <f>Flow_ODData!D50</f>
        <v>304.14056332017498</v>
      </c>
      <c r="E49" s="62">
        <f>Flow_ODData!E50</f>
        <v>41.211458444468157</v>
      </c>
      <c r="F49" s="62">
        <f>Flow_ODData!F50</f>
        <v>41.211458444468157</v>
      </c>
      <c r="G49" s="62">
        <f>Flow_ODData!G50</f>
        <v>98.907500266723559</v>
      </c>
      <c r="H49" s="62">
        <f>Flow_ODData!H50</f>
        <v>429.42339699135817</v>
      </c>
      <c r="I49" s="62">
        <f>Flow_ODData!I50</f>
        <v>318.1524591912941</v>
      </c>
      <c r="J49" s="62">
        <f>Flow_ODData!J50</f>
        <v>3.2969166755574522</v>
      </c>
      <c r="K49" s="62">
        <f>Flow_ODData!K50</f>
        <v>117.86477115117891</v>
      </c>
      <c r="L49" s="62">
        <f>Flow_ODData!L50</f>
        <v>141.76741704897046</v>
      </c>
      <c r="M49" s="62">
        <f>Flow_ODData!M50</f>
        <v>56.047583484476689</v>
      </c>
      <c r="N49" s="62">
        <f>Flow_ODData!N50</f>
        <v>4738.4934919449488</v>
      </c>
      <c r="O49" s="62">
        <f>Flow_ODData!O50</f>
        <v>459.09564707137525</v>
      </c>
      <c r="P49" s="62">
        <f>Flow_ODData!P50</f>
        <v>8.2422916888936317</v>
      </c>
      <c r="Q49" s="62">
        <f>Flow_ODData!Q50</f>
        <v>4.1211458444468159</v>
      </c>
      <c r="R49" s="62">
        <f>Flow_ODData!R50</f>
        <v>71.707937693374589</v>
      </c>
      <c r="S49" s="62">
        <f>Flow_ODData!S50</f>
        <v>16.484583377787263</v>
      </c>
      <c r="T49" s="62">
        <f>Flow_ODData!T50</f>
        <v>3521.9312386642482</v>
      </c>
      <c r="U49" s="62">
        <f>Flow_ODData!U50</f>
        <v>9.0665208577829937</v>
      </c>
      <c r="V49" s="62">
        <f>Flow_ODData!V50</f>
        <v>20222.462658700522</v>
      </c>
      <c r="W49" s="62">
        <f>Flow_ODData!W50</f>
        <v>0</v>
      </c>
      <c r="X49" s="62">
        <f si="13" t="shared"/>
        <v>30902</v>
      </c>
      <c r="Z49">
        <v>20</v>
      </c>
      <c r="AA49" s="62">
        <f>County_Flow!AX53*AA$28</f>
        <v>158</v>
      </c>
      <c r="AB49" s="62">
        <f>County_Flow!AY53*AB$28</f>
        <v>101</v>
      </c>
      <c r="AC49" s="62">
        <f>County_Flow!AZ53*AC$28</f>
        <v>45</v>
      </c>
      <c r="AD49" s="62">
        <f>County_Flow!BA53*AD$28</f>
        <v>34</v>
      </c>
      <c r="AE49" s="62">
        <f>County_Flow!BB53*AE$28</f>
        <v>55</v>
      </c>
      <c r="AF49" s="62">
        <f>County_Flow!BC53*AF$28</f>
        <v>355</v>
      </c>
      <c r="AG49" s="62">
        <f>County_Flow!BD53*AG$28</f>
        <v>184</v>
      </c>
      <c r="AH49" s="62">
        <f>County_Flow!BE53*AH$28</f>
        <v>2</v>
      </c>
      <c r="AI49" s="62">
        <f>County_Flow!BF53*AI$28</f>
        <v>63</v>
      </c>
      <c r="AJ49" s="62">
        <f>County_Flow!BG53*AJ$28</f>
        <v>81</v>
      </c>
      <c r="AK49" s="62">
        <f>County_Flow!BH53*AK$28</f>
        <v>16</v>
      </c>
      <c r="AL49" s="62">
        <f>County_Flow!BI53*AL$28</f>
        <v>4001</v>
      </c>
      <c r="AM49" s="62">
        <f>County_Flow!BJ53*AM$28</f>
        <v>172</v>
      </c>
      <c r="AN49" s="62">
        <f>County_Flow!BK53*AN$28</f>
        <v>3</v>
      </c>
      <c r="AO49" s="62">
        <f>County_Flow!BL53*AO$28</f>
        <v>5</v>
      </c>
      <c r="AP49" s="62">
        <f>County_Flow!BM53*AP$28</f>
        <v>113</v>
      </c>
      <c r="AQ49" s="62">
        <f>County_Flow!BN53*AQ$28</f>
        <v>1</v>
      </c>
      <c r="AR49" s="62">
        <f>County_Flow!BO53*AR$28</f>
        <v>6292</v>
      </c>
      <c r="AS49" s="62">
        <f>County_Flow!BP53*AS$28</f>
        <v>1</v>
      </c>
      <c r="AT49" s="62">
        <f>County_Flow!BQ53*AT$28</f>
        <v>19220</v>
      </c>
      <c r="AU49" s="62">
        <f>County_Flow!BR53</f>
        <v>0</v>
      </c>
      <c r="AV49" s="13">
        <f si="14" t="shared"/>
        <v>30902</v>
      </c>
      <c r="AW49" s="115">
        <f si="15" t="shared"/>
        <v>0</v>
      </c>
      <c r="AY49">
        <v>20</v>
      </c>
      <c r="AZ49" s="62">
        <f si="16" t="shared"/>
        <v>158</v>
      </c>
      <c r="BA49" s="62">
        <f si="17" t="shared"/>
        <v>101</v>
      </c>
      <c r="BB49" s="62">
        <f si="18" t="shared"/>
        <v>45</v>
      </c>
      <c r="BC49" s="62">
        <f si="19" t="shared"/>
        <v>34</v>
      </c>
      <c r="BD49" s="62">
        <f si="20" t="shared"/>
        <v>55</v>
      </c>
      <c r="BE49" s="62">
        <f si="21" t="shared"/>
        <v>355</v>
      </c>
      <c r="BF49" s="62">
        <f si="22" t="shared"/>
        <v>184</v>
      </c>
      <c r="BG49" s="62">
        <f si="23" t="shared"/>
        <v>2</v>
      </c>
      <c r="BH49" s="62">
        <f si="24" t="shared"/>
        <v>63</v>
      </c>
      <c r="BI49" s="62">
        <f si="25" t="shared"/>
        <v>81</v>
      </c>
      <c r="BJ49" s="62">
        <f si="26" t="shared"/>
        <v>16</v>
      </c>
      <c r="BK49" s="62">
        <f si="27" t="shared"/>
        <v>4001</v>
      </c>
      <c r="BL49" s="62">
        <f si="28" t="shared"/>
        <v>172</v>
      </c>
      <c r="BM49" s="62">
        <f si="29" t="shared"/>
        <v>3</v>
      </c>
      <c r="BN49" s="62">
        <f si="30" t="shared"/>
        <v>5</v>
      </c>
      <c r="BO49" s="62">
        <f si="31" t="shared"/>
        <v>113</v>
      </c>
      <c r="BP49" s="62">
        <f si="32" t="shared"/>
        <v>1</v>
      </c>
      <c r="BQ49" s="62">
        <f si="33" t="shared"/>
        <v>6292</v>
      </c>
      <c r="BR49" s="62">
        <f si="34" t="shared"/>
        <v>1</v>
      </c>
      <c r="BS49" s="62">
        <f si="35" t="shared"/>
        <v>19220</v>
      </c>
      <c r="BT49" s="62">
        <f si="36" t="shared"/>
        <v>0</v>
      </c>
      <c r="BU49" s="62">
        <f si="11" t="shared"/>
        <v>30902</v>
      </c>
      <c r="BW49">
        <v>20</v>
      </c>
      <c r="BX49" s="62">
        <f si="37" t="shared"/>
        <v>140.3709591379494</v>
      </c>
      <c r="BY49" s="62">
        <f si="38" t="shared"/>
        <v>203.14056332017498</v>
      </c>
      <c r="BZ49" s="62">
        <f si="39" t="shared"/>
        <v>3.7885415555318431</v>
      </c>
      <c r="CA49" s="62">
        <f si="40" t="shared"/>
        <v>7.2114584444681569</v>
      </c>
      <c r="CB49" s="62">
        <f si="41" t="shared"/>
        <v>43.907500266723559</v>
      </c>
      <c r="CC49" s="62">
        <f si="42" t="shared"/>
        <v>74.423396991358175</v>
      </c>
      <c r="CD49" s="62">
        <f si="43" t="shared"/>
        <v>134.1524591912941</v>
      </c>
      <c r="CE49" s="62">
        <f si="44" t="shared"/>
        <v>1.2969166755574522</v>
      </c>
      <c r="CF49" s="62">
        <f si="45" t="shared"/>
        <v>54.864771151178914</v>
      </c>
      <c r="CG49" s="62">
        <f si="46" t="shared"/>
        <v>60.767417048970458</v>
      </c>
      <c r="CH49" s="62">
        <f si="47" t="shared"/>
        <v>40.047583484476689</v>
      </c>
      <c r="CI49" s="62">
        <f si="48" t="shared"/>
        <v>737.4934919449488</v>
      </c>
      <c r="CJ49" s="62">
        <f si="49" t="shared"/>
        <v>287.09564707137525</v>
      </c>
      <c r="CK49" s="62">
        <f si="50" t="shared"/>
        <v>5.2422916888936317</v>
      </c>
      <c r="CL49" s="62">
        <f si="51" t="shared"/>
        <v>0.87885415555318414</v>
      </c>
      <c r="CM49" s="62">
        <f si="52" t="shared"/>
        <v>41.292062306625411</v>
      </c>
      <c r="CN49" s="62">
        <f si="53" t="shared"/>
        <v>15.484583377787263</v>
      </c>
      <c r="CO49" s="62">
        <f si="54" t="shared"/>
        <v>2770.0687613357518</v>
      </c>
      <c r="CP49" s="62">
        <f si="55" t="shared"/>
        <v>8.0665208577829937</v>
      </c>
      <c r="CQ49" s="62">
        <f si="56" t="shared"/>
        <v>1002.4626587005223</v>
      </c>
      <c r="CR49" s="62">
        <f si="57" t="shared"/>
        <v>0</v>
      </c>
      <c r="CS49" s="62">
        <f si="58" t="shared"/>
        <v>0</v>
      </c>
      <c r="CU49">
        <v>48</v>
      </c>
      <c r="CV49">
        <f si="6" t="shared"/>
        <v>3</v>
      </c>
      <c r="CW49">
        <f si="0" t="shared"/>
        <v>8</v>
      </c>
      <c r="CX49" s="44">
        <f si="1" t="shared"/>
        <v>623.9905130840383</v>
      </c>
      <c r="CY49" s="44">
        <f si="2" t="shared"/>
        <v>268.99999999999994</v>
      </c>
      <c r="CZ49" s="87">
        <f si="3" t="shared"/>
        <v>-354.99051308403835</v>
      </c>
      <c r="DA49" s="63">
        <f si="4" t="shared"/>
        <v>-0.56890370228469911</v>
      </c>
      <c r="DB49">
        <v>48000</v>
      </c>
    </row>
    <row r="50" spans="2:106" x14ac:dyDescent="0.45">
      <c r="B50" s="80" t="s">
        <v>15</v>
      </c>
      <c r="C50" s="62">
        <f>Flow_ODData!C51</f>
        <v>0</v>
      </c>
      <c r="D50" s="62">
        <f>Flow_ODData!D51</f>
        <v>0</v>
      </c>
      <c r="E50" s="62">
        <f>Flow_ODData!E51</f>
        <v>0</v>
      </c>
      <c r="F50" s="62">
        <f>Flow_ODData!F51</f>
        <v>0</v>
      </c>
      <c r="G50" s="62">
        <f>Flow_ODData!G51</f>
        <v>0</v>
      </c>
      <c r="H50" s="62">
        <f>Flow_ODData!H51</f>
        <v>0</v>
      </c>
      <c r="I50" s="62">
        <f>Flow_ODData!I51</f>
        <v>0</v>
      </c>
      <c r="J50" s="62">
        <f>Flow_ODData!J51</f>
        <v>0</v>
      </c>
      <c r="K50" s="62">
        <f>Flow_ODData!K51</f>
        <v>0</v>
      </c>
      <c r="L50" s="62">
        <f>Flow_ODData!L51</f>
        <v>0</v>
      </c>
      <c r="M50" s="62">
        <f>Flow_ODData!M51</f>
        <v>0</v>
      </c>
      <c r="N50" s="62">
        <f>Flow_ODData!N51</f>
        <v>0</v>
      </c>
      <c r="O50" s="62">
        <f>Flow_ODData!O51</f>
        <v>0</v>
      </c>
      <c r="P50" s="62">
        <f>Flow_ODData!P51</f>
        <v>0</v>
      </c>
      <c r="Q50" s="62">
        <f>Flow_ODData!Q51</f>
        <v>0</v>
      </c>
      <c r="R50" s="62">
        <f>Flow_ODData!R51</f>
        <v>0</v>
      </c>
      <c r="S50" s="62">
        <f>Flow_ODData!S51</f>
        <v>0</v>
      </c>
      <c r="T50" s="62">
        <f>Flow_ODData!T51</f>
        <v>0</v>
      </c>
      <c r="U50" s="62">
        <f>Flow_ODData!U51</f>
        <v>0</v>
      </c>
      <c r="V50" s="62">
        <f>Flow_ODData!V51</f>
        <v>0</v>
      </c>
      <c r="W50" s="62">
        <f>Flow_ODData!W51</f>
        <v>0</v>
      </c>
      <c r="X50" s="62">
        <f si="13" t="shared"/>
        <v>0</v>
      </c>
      <c r="Z50" s="80" t="s">
        <v>15</v>
      </c>
      <c r="AA50" s="62">
        <f>County_Flow!AX54</f>
        <v>0</v>
      </c>
      <c r="AB50" s="62">
        <f>County_Flow!AY54</f>
        <v>0</v>
      </c>
      <c r="AC50" s="62">
        <f>County_Flow!AZ54</f>
        <v>0</v>
      </c>
      <c r="AD50" s="62">
        <f>County_Flow!BA54</f>
        <v>0</v>
      </c>
      <c r="AE50" s="62">
        <f>County_Flow!BB54</f>
        <v>0</v>
      </c>
      <c r="AF50" s="62">
        <f>County_Flow!BC54</f>
        <v>0</v>
      </c>
      <c r="AG50" s="62">
        <f>County_Flow!BD54</f>
        <v>0</v>
      </c>
      <c r="AH50" s="62">
        <f>County_Flow!BE54</f>
        <v>0</v>
      </c>
      <c r="AI50" s="62">
        <f>County_Flow!BF54</f>
        <v>0</v>
      </c>
      <c r="AJ50" s="62">
        <f>County_Flow!BG54</f>
        <v>0</v>
      </c>
      <c r="AK50" s="62">
        <f>County_Flow!BH54</f>
        <v>0</v>
      </c>
      <c r="AL50" s="62">
        <f>County_Flow!BI54</f>
        <v>0</v>
      </c>
      <c r="AM50" s="62">
        <f>County_Flow!BJ54</f>
        <v>0</v>
      </c>
      <c r="AN50" s="62">
        <f>County_Flow!BK54</f>
        <v>0</v>
      </c>
      <c r="AO50" s="62">
        <f>County_Flow!BL54</f>
        <v>0</v>
      </c>
      <c r="AP50" s="62">
        <f>County_Flow!BM54</f>
        <v>0</v>
      </c>
      <c r="AQ50" s="62">
        <f>County_Flow!BN54</f>
        <v>0</v>
      </c>
      <c r="AR50" s="62">
        <f>County_Flow!BO54</f>
        <v>0</v>
      </c>
      <c r="AS50" s="62">
        <f>County_Flow!BP54</f>
        <v>0</v>
      </c>
      <c r="AT50" s="62">
        <f>County_Flow!BQ54</f>
        <v>0</v>
      </c>
      <c r="AU50" s="62">
        <f>County_Flow!BR54</f>
        <v>0</v>
      </c>
      <c r="AV50" s="14">
        <f>SUM(AA50:AU50)</f>
        <v>0</v>
      </c>
      <c r="AY50" s="80" t="s">
        <v>15</v>
      </c>
      <c r="AZ50" s="62">
        <f ref="AZ50:BS50" si="59" t="shared">ABS(AA50-C50)</f>
        <v>0</v>
      </c>
      <c r="BA50" s="62">
        <f si="59" t="shared"/>
        <v>0</v>
      </c>
      <c r="BB50" s="62">
        <f si="59" t="shared"/>
        <v>0</v>
      </c>
      <c r="BC50" s="62">
        <f si="59" t="shared"/>
        <v>0</v>
      </c>
      <c r="BD50" s="62">
        <f si="59" t="shared"/>
        <v>0</v>
      </c>
      <c r="BE50" s="62">
        <f si="59" t="shared"/>
        <v>0</v>
      </c>
      <c r="BF50" s="62">
        <f si="59" t="shared"/>
        <v>0</v>
      </c>
      <c r="BG50" s="62">
        <f si="59" t="shared"/>
        <v>0</v>
      </c>
      <c r="BH50" s="62">
        <f si="59" t="shared"/>
        <v>0</v>
      </c>
      <c r="BI50" s="62">
        <f si="59" t="shared"/>
        <v>0</v>
      </c>
      <c r="BJ50" s="62">
        <f si="59" t="shared"/>
        <v>0</v>
      </c>
      <c r="BK50" s="62">
        <f si="59" t="shared"/>
        <v>0</v>
      </c>
      <c r="BL50" s="62">
        <f si="59" t="shared"/>
        <v>0</v>
      </c>
      <c r="BM50" s="62">
        <f si="59" t="shared"/>
        <v>0</v>
      </c>
      <c r="BN50" s="62">
        <f si="59" t="shared"/>
        <v>0</v>
      </c>
      <c r="BO50" s="62">
        <f si="59" t="shared"/>
        <v>0</v>
      </c>
      <c r="BP50" s="62">
        <f si="59" t="shared"/>
        <v>0</v>
      </c>
      <c r="BQ50" s="62">
        <f si="59" t="shared"/>
        <v>0</v>
      </c>
      <c r="BR50" s="62">
        <f si="59" t="shared"/>
        <v>0</v>
      </c>
      <c r="BS50" s="62">
        <f si="59" t="shared"/>
        <v>0</v>
      </c>
      <c r="BT50" s="62">
        <f si="36" t="shared"/>
        <v>0</v>
      </c>
      <c r="BU50" s="14"/>
      <c r="BW50" s="80" t="s">
        <v>15</v>
      </c>
      <c r="BX50" s="62">
        <f ref="BX50:CS50" si="60" t="shared">ABS(AZ50-C50)</f>
        <v>0</v>
      </c>
      <c r="BY50" s="62">
        <f si="60" t="shared"/>
        <v>0</v>
      </c>
      <c r="BZ50" s="62">
        <f si="60" t="shared"/>
        <v>0</v>
      </c>
      <c r="CA50" s="62">
        <f si="60" t="shared"/>
        <v>0</v>
      </c>
      <c r="CB50" s="62">
        <f si="60" t="shared"/>
        <v>0</v>
      </c>
      <c r="CC50" s="62">
        <f si="60" t="shared"/>
        <v>0</v>
      </c>
      <c r="CD50" s="62">
        <f si="60" t="shared"/>
        <v>0</v>
      </c>
      <c r="CE50" s="62">
        <f si="60" t="shared"/>
        <v>0</v>
      </c>
      <c r="CF50" s="62">
        <f si="60" t="shared"/>
        <v>0</v>
      </c>
      <c r="CG50" s="62">
        <f si="60" t="shared"/>
        <v>0</v>
      </c>
      <c r="CH50" s="62">
        <f si="60" t="shared"/>
        <v>0</v>
      </c>
      <c r="CI50" s="62">
        <f si="60" t="shared"/>
        <v>0</v>
      </c>
      <c r="CJ50" s="62">
        <f si="60" t="shared"/>
        <v>0</v>
      </c>
      <c r="CK50" s="62">
        <f si="60" t="shared"/>
        <v>0</v>
      </c>
      <c r="CL50" s="62">
        <f si="60" t="shared"/>
        <v>0</v>
      </c>
      <c r="CM50" s="62">
        <f si="60" t="shared"/>
        <v>0</v>
      </c>
      <c r="CN50" s="62">
        <f si="60" t="shared"/>
        <v>0</v>
      </c>
      <c r="CO50" s="62">
        <f si="60" t="shared"/>
        <v>0</v>
      </c>
      <c r="CP50" s="62">
        <f si="60" t="shared"/>
        <v>0</v>
      </c>
      <c r="CQ50" s="62">
        <f si="60" t="shared"/>
        <v>0</v>
      </c>
      <c r="CR50" s="62">
        <f si="60" t="shared"/>
        <v>0</v>
      </c>
      <c r="CS50" s="14">
        <f si="60" t="shared"/>
        <v>0</v>
      </c>
      <c r="CU50">
        <v>49</v>
      </c>
      <c r="CV50">
        <f si="6" t="shared"/>
        <v>3</v>
      </c>
      <c r="CW50">
        <f si="0" t="shared"/>
        <v>9</v>
      </c>
      <c r="CX50" s="44">
        <f si="1" t="shared"/>
        <v>2322.6313542572534</v>
      </c>
      <c r="CY50" s="44">
        <f si="2" t="shared"/>
        <v>2468.9999999999995</v>
      </c>
      <c r="CZ50" s="87">
        <f si="3" t="shared"/>
        <v>146.36864574274614</v>
      </c>
      <c r="DA50" s="63">
        <f si="4" t="shared"/>
        <v>6.3018457696465954E-2</v>
      </c>
      <c r="DB50">
        <v>49000</v>
      </c>
    </row>
    <row ht="14.65" r="51" spans="2:106" thickBot="1" x14ac:dyDescent="0.5">
      <c r="B51" s="1" t="s">
        <v>3</v>
      </c>
      <c r="C51" s="86">
        <f>SUM(C30:C50)</f>
        <v>45622.95655562669</v>
      </c>
      <c r="D51" s="86">
        <f ref="D51:W51" si="61" t="shared">SUM(D30:D50)</f>
        <v>37973.570893550583</v>
      </c>
      <c r="E51" s="86">
        <f si="61" t="shared"/>
        <v>24693.371806727035</v>
      </c>
      <c r="F51" s="86">
        <f si="61" t="shared"/>
        <v>17006.715093599527</v>
      </c>
      <c r="G51" s="86">
        <f si="61" t="shared"/>
        <v>22225.783455192617</v>
      </c>
      <c r="H51" s="86">
        <f si="61" t="shared"/>
        <v>96362.395138628126</v>
      </c>
      <c r="I51" s="86">
        <f si="61" t="shared"/>
        <v>80267.327697266272</v>
      </c>
      <c r="J51" s="86">
        <f si="61" t="shared"/>
        <v>4737.2377126577649</v>
      </c>
      <c r="K51" s="86">
        <f si="61" t="shared"/>
        <v>49125.494661739824</v>
      </c>
      <c r="L51" s="86">
        <f si="61" t="shared"/>
        <v>18967.923995324341</v>
      </c>
      <c r="M51" s="86">
        <f si="61" t="shared"/>
        <v>52282.131798232105</v>
      </c>
      <c r="N51" s="86">
        <f si="61" t="shared"/>
        <v>139072.29762924835</v>
      </c>
      <c r="O51" s="86">
        <f si="61" t="shared"/>
        <v>93765.628334465873</v>
      </c>
      <c r="P51" s="86">
        <f si="61" t="shared"/>
        <v>14294.448294100401</v>
      </c>
      <c r="Q51" s="86">
        <f si="61" t="shared"/>
        <v>35829.636376730843</v>
      </c>
      <c r="R51" s="86">
        <f si="61" t="shared"/>
        <v>5005.2210650714824</v>
      </c>
      <c r="S51" s="86">
        <f si="61" t="shared"/>
        <v>15165.730406777278</v>
      </c>
      <c r="T51" s="86">
        <f si="61" t="shared"/>
        <v>24127.840747742663</v>
      </c>
      <c r="U51" s="86">
        <f si="61" t="shared"/>
        <v>35334.974929217104</v>
      </c>
      <c r="V51" s="86">
        <f si="61" t="shared"/>
        <v>26314.313408101058</v>
      </c>
      <c r="W51" s="86">
        <f si="61" t="shared"/>
        <v>0</v>
      </c>
      <c r="X51" s="86">
        <f si="13" t="shared"/>
        <v>838175.00000000012</v>
      </c>
      <c r="Z51" s="1" t="s">
        <v>3</v>
      </c>
      <c r="AA51" s="40">
        <f>SUM(AA30:AA50)</f>
        <v>54561</v>
      </c>
      <c r="AB51" s="40">
        <f ref="AB51:AV51" si="62" t="shared">SUM(AB30:AB50)</f>
        <v>35769</v>
      </c>
      <c r="AC51" s="40">
        <f si="62" t="shared"/>
        <v>22365</v>
      </c>
      <c r="AD51" s="40">
        <f si="62" t="shared"/>
        <v>14532</v>
      </c>
      <c r="AE51" s="40">
        <f si="62" t="shared"/>
        <v>17563</v>
      </c>
      <c r="AF51" s="40">
        <f si="62" t="shared"/>
        <v>97510</v>
      </c>
      <c r="AG51" s="40">
        <f si="62" t="shared"/>
        <v>87842</v>
      </c>
      <c r="AH51" s="40">
        <f si="62" t="shared"/>
        <v>2420</v>
      </c>
      <c r="AI51" s="40">
        <f si="62" t="shared"/>
        <v>56060</v>
      </c>
      <c r="AJ51" s="40">
        <f si="62" t="shared"/>
        <v>17375</v>
      </c>
      <c r="AK51" s="40">
        <f si="62" t="shared"/>
        <v>47935</v>
      </c>
      <c r="AL51" s="40">
        <f si="62" t="shared"/>
        <v>162422</v>
      </c>
      <c r="AM51" s="40">
        <f si="62" t="shared"/>
        <v>80256</v>
      </c>
      <c r="AN51" s="40">
        <f si="62" t="shared"/>
        <v>14989</v>
      </c>
      <c r="AO51" s="40">
        <f si="62" t="shared"/>
        <v>32841</v>
      </c>
      <c r="AP51" s="40">
        <f si="62" t="shared"/>
        <v>4087</v>
      </c>
      <c r="AQ51" s="40">
        <f si="62" t="shared"/>
        <v>15046</v>
      </c>
      <c r="AR51" s="40">
        <f si="62" t="shared"/>
        <v>23721</v>
      </c>
      <c r="AS51" s="40">
        <f si="62" t="shared"/>
        <v>28364</v>
      </c>
      <c r="AT51" s="40">
        <f si="62" t="shared"/>
        <v>22517</v>
      </c>
      <c r="AU51" s="40">
        <f si="62" t="shared"/>
        <v>0</v>
      </c>
      <c r="AV51" s="40">
        <f si="62" t="shared"/>
        <v>838175</v>
      </c>
      <c r="AY51" s="1" t="s">
        <v>3</v>
      </c>
      <c r="AZ51" s="40">
        <f>ABS(SUM(AZ30:AZ50))</f>
        <v>54561</v>
      </c>
      <c r="BA51" s="40">
        <f ref="BA51:BS51" si="63" t="shared">ABS(SUM(BA30:BA50))</f>
        <v>35769</v>
      </c>
      <c r="BB51" s="40">
        <f si="63" t="shared"/>
        <v>22365</v>
      </c>
      <c r="BC51" s="40">
        <f si="63" t="shared"/>
        <v>14532</v>
      </c>
      <c r="BD51" s="40">
        <f si="63" t="shared"/>
        <v>17563</v>
      </c>
      <c r="BE51" s="40">
        <f si="63" t="shared"/>
        <v>97510</v>
      </c>
      <c r="BF51" s="40">
        <f si="63" t="shared"/>
        <v>87842</v>
      </c>
      <c r="BG51" s="40">
        <f si="63" t="shared"/>
        <v>2420</v>
      </c>
      <c r="BH51" s="40">
        <f si="63" t="shared"/>
        <v>56060.000000000007</v>
      </c>
      <c r="BI51" s="40">
        <f si="63" t="shared"/>
        <v>17375</v>
      </c>
      <c r="BJ51" s="40">
        <f si="63" t="shared"/>
        <v>47935</v>
      </c>
      <c r="BK51" s="40">
        <f si="63" t="shared"/>
        <v>162422</v>
      </c>
      <c r="BL51" s="40">
        <f si="63" t="shared"/>
        <v>80256</v>
      </c>
      <c r="BM51" s="40">
        <f si="63" t="shared"/>
        <v>14988.999999999998</v>
      </c>
      <c r="BN51" s="40">
        <f si="63" t="shared"/>
        <v>32841</v>
      </c>
      <c r="BO51" s="40">
        <f si="63" t="shared"/>
        <v>4086.9999999999995</v>
      </c>
      <c r="BP51" s="40">
        <f si="63" t="shared"/>
        <v>15046</v>
      </c>
      <c r="BQ51" s="40">
        <f si="63" t="shared"/>
        <v>23721</v>
      </c>
      <c r="BR51" s="40">
        <f si="63" t="shared"/>
        <v>28364</v>
      </c>
      <c r="BS51" s="40">
        <f si="63" t="shared"/>
        <v>22517</v>
      </c>
      <c r="BT51" s="40">
        <f>ABS(SUM(BT30:BT50))</f>
        <v>0</v>
      </c>
      <c r="BU51" s="40">
        <f>ABS(SUM(BU30:BU50))</f>
        <v>838175</v>
      </c>
      <c r="BW51" s="1" t="s">
        <v>3</v>
      </c>
      <c r="BX51" s="40">
        <f>SUM(BX30:BX49)</f>
        <v>11871.744477488905</v>
      </c>
      <c r="BY51" s="40">
        <f ref="BY51:CQ51" si="64" t="shared">SUM(BY30:BY49)</f>
        <v>8813.5993834042238</v>
      </c>
      <c r="BZ51" s="40">
        <f si="64" t="shared"/>
        <v>7811.9415488882569</v>
      </c>
      <c r="CA51" s="40">
        <f si="64" t="shared"/>
        <v>3735.1169931368222</v>
      </c>
      <c r="CB51" s="40">
        <f si="64" t="shared"/>
        <v>5592.0904065227478</v>
      </c>
      <c r="CC51" s="40">
        <f si="64" t="shared"/>
        <v>14646.064800703771</v>
      </c>
      <c r="CD51" s="40">
        <f si="64" t="shared"/>
        <v>25142.701513633434</v>
      </c>
      <c r="CE51" s="40">
        <f si="64" t="shared"/>
        <v>2439.3475844775044</v>
      </c>
      <c r="CF51" s="40">
        <f si="64" t="shared"/>
        <v>16103.820859893953</v>
      </c>
      <c r="CG51" s="40">
        <f si="64" t="shared"/>
        <v>5668.6257581154541</v>
      </c>
      <c r="CH51" s="40">
        <f si="64" t="shared"/>
        <v>13076.32753501777</v>
      </c>
      <c r="CI51" s="40">
        <f si="64" t="shared"/>
        <v>31844.906419455976</v>
      </c>
      <c r="CJ51" s="40">
        <f si="64" t="shared"/>
        <v>19458.984355190616</v>
      </c>
      <c r="CK51" s="40">
        <f si="64" t="shared"/>
        <v>2832.9444146020614</v>
      </c>
      <c r="CL51" s="40">
        <f si="64" t="shared"/>
        <v>6685.4579988551932</v>
      </c>
      <c r="CM51" s="40">
        <f si="64" t="shared"/>
        <v>1271.1345648205959</v>
      </c>
      <c r="CN51" s="40">
        <f si="64" t="shared"/>
        <v>3237.5643316125124</v>
      </c>
      <c r="CO51" s="40">
        <f si="64" t="shared"/>
        <v>6308.3089875558508</v>
      </c>
      <c r="CP51" s="40">
        <f si="64" t="shared"/>
        <v>8507.4050535948645</v>
      </c>
      <c r="CQ51" s="40">
        <f si="64" t="shared"/>
        <v>3858.6339884066147</v>
      </c>
      <c r="CR51" s="40">
        <f>ABS(BT51-W51)</f>
        <v>0</v>
      </c>
      <c r="CS51" s="40">
        <f>ABS(BU51-X51)</f>
        <v>1.1641532182693481E-10</v>
      </c>
      <c r="CU51">
        <v>50</v>
      </c>
      <c r="CV51">
        <f si="6" t="shared"/>
        <v>3</v>
      </c>
      <c r="CW51">
        <f si="0" t="shared"/>
        <v>10</v>
      </c>
      <c r="CX51" s="44">
        <f si="1" t="shared"/>
        <v>1294.2025456557831</v>
      </c>
      <c r="CY51" s="44">
        <f si="2" t="shared"/>
        <v>1328.9999999999998</v>
      </c>
      <c r="CZ51" s="87">
        <f si="3" t="shared"/>
        <v>34.797454344216703</v>
      </c>
      <c r="DA51" s="63">
        <f si="4" t="shared"/>
        <v>2.6887178101310676E-2</v>
      </c>
      <c r="DB51">
        <v>50000</v>
      </c>
    </row>
    <row r="52" spans="2:106" x14ac:dyDescent="0.45">
      <c r="CU52">
        <v>51</v>
      </c>
      <c r="CV52">
        <f si="6" t="shared"/>
        <v>3</v>
      </c>
      <c r="CW52">
        <f si="0" t="shared"/>
        <v>11</v>
      </c>
      <c r="CX52" s="44">
        <f si="1" t="shared"/>
        <v>2664.4780088017496</v>
      </c>
      <c r="CY52" s="44">
        <f si="2" t="shared"/>
        <v>2629.9999999999995</v>
      </c>
      <c r="CZ52" s="87">
        <f si="3" t="shared"/>
        <v>-34.478008801750093</v>
      </c>
      <c r="DA52" s="63">
        <f si="4" t="shared"/>
        <v>-1.2939873659252043E-2</v>
      </c>
      <c r="DB52">
        <v>51000</v>
      </c>
    </row>
    <row r="53" spans="2:106" x14ac:dyDescent="0.45">
      <c r="CU53">
        <v>52</v>
      </c>
      <c r="CV53">
        <f si="6" t="shared"/>
        <v>3</v>
      </c>
      <c r="CW53">
        <f si="0" t="shared"/>
        <v>12</v>
      </c>
      <c r="CX53" s="44">
        <f si="1" t="shared"/>
        <v>3052.546182833953</v>
      </c>
      <c r="CY53" s="44">
        <f si="2" t="shared"/>
        <v>4991.9999999999991</v>
      </c>
      <c r="CZ53" s="87">
        <f si="3" t="shared"/>
        <v>1939.4538171660461</v>
      </c>
      <c r="DA53" s="63">
        <f si="4" t="shared"/>
        <v>0.63535609324196263</v>
      </c>
      <c r="DB53">
        <v>52000</v>
      </c>
    </row>
    <row r="54" spans="2:106" x14ac:dyDescent="0.45">
      <c r="CU54">
        <v>53</v>
      </c>
      <c r="CV54">
        <f si="6" t="shared"/>
        <v>3</v>
      </c>
      <c r="CW54">
        <f si="0" t="shared"/>
        <v>13</v>
      </c>
      <c r="CX54" s="44">
        <f si="1" t="shared"/>
        <v>329.32832634990905</v>
      </c>
      <c r="CY54" s="44">
        <f si="2" t="shared"/>
        <v>131.99999999999997</v>
      </c>
      <c r="CZ54" s="87">
        <f si="3" t="shared"/>
        <v>-197.32832634990908</v>
      </c>
      <c r="DA54" s="63">
        <f si="4" t="shared"/>
        <v>-0.59918418964134024</v>
      </c>
      <c r="DB54">
        <v>53000</v>
      </c>
    </row>
    <row ht="14.65" r="55" spans="2:106" thickBot="1" x14ac:dyDescent="0.5">
      <c r="B55" s="4" t="s">
        <v>355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Z55" s="4" t="s">
        <v>321</v>
      </c>
      <c r="AA55" s="1"/>
      <c r="AB55" s="1"/>
      <c r="AC55" s="1"/>
      <c r="AD55" s="1"/>
      <c r="AE55" s="1"/>
      <c r="AF55" s="1"/>
      <c r="AG55" s="1"/>
      <c r="AH55" s="1"/>
      <c r="AI55" s="1"/>
      <c r="AY55" s="9" t="s">
        <v>366</v>
      </c>
      <c r="CU55">
        <v>54</v>
      </c>
      <c r="CV55">
        <f si="6" t="shared"/>
        <v>3</v>
      </c>
      <c r="CW55">
        <f si="0" t="shared"/>
        <v>14</v>
      </c>
      <c r="CX55" s="44">
        <f si="1" t="shared"/>
        <v>101.10957387935804</v>
      </c>
      <c r="CY55" s="44">
        <f si="2" t="shared"/>
        <v>141.99999999999997</v>
      </c>
      <c r="CZ55" s="87">
        <f si="3" t="shared"/>
        <v>40.890426120641933</v>
      </c>
      <c r="DA55" s="63">
        <f si="4" t="shared"/>
        <v>0.40441695629566782</v>
      </c>
      <c r="DB55">
        <v>54000</v>
      </c>
    </row>
    <row r="56" spans="2:106" x14ac:dyDescent="0.45">
      <c r="B56" s="2" t="s">
        <v>14</v>
      </c>
      <c r="C56" s="2">
        <v>1</v>
      </c>
      <c r="D56" s="2">
        <v>2</v>
      </c>
      <c r="E56" s="2">
        <v>3</v>
      </c>
      <c r="F56" s="2">
        <v>4</v>
      </c>
      <c r="G56" s="2">
        <v>5</v>
      </c>
      <c r="H56" s="2">
        <v>6</v>
      </c>
      <c r="I56" s="2">
        <v>7</v>
      </c>
      <c r="J56" s="2">
        <v>8</v>
      </c>
      <c r="K56" s="2">
        <v>9</v>
      </c>
      <c r="L56" s="2">
        <v>10</v>
      </c>
      <c r="M56" s="2">
        <v>11</v>
      </c>
      <c r="N56" s="2">
        <v>12</v>
      </c>
      <c r="O56" s="2">
        <v>13</v>
      </c>
      <c r="P56" s="2">
        <v>14</v>
      </c>
      <c r="Q56" s="2">
        <v>15</v>
      </c>
      <c r="R56" s="2">
        <v>16</v>
      </c>
      <c r="S56" s="2">
        <v>17</v>
      </c>
      <c r="T56" s="2">
        <v>18</v>
      </c>
      <c r="U56" s="2">
        <v>19</v>
      </c>
      <c r="V56" s="2">
        <v>20</v>
      </c>
      <c r="W56" s="3" t="s">
        <v>15</v>
      </c>
      <c r="X56" s="3" t="s">
        <v>3</v>
      </c>
      <c r="Z56" s="2" t="s">
        <v>14</v>
      </c>
      <c r="AA56" s="2">
        <v>1</v>
      </c>
      <c r="AB56" s="2">
        <v>2</v>
      </c>
      <c r="AC56" s="2">
        <v>3</v>
      </c>
      <c r="AD56" s="2">
        <v>4</v>
      </c>
      <c r="AE56" s="2">
        <v>5</v>
      </c>
      <c r="AF56" s="2">
        <v>6</v>
      </c>
      <c r="AG56" s="2">
        <v>7</v>
      </c>
      <c r="AH56" s="2">
        <v>8</v>
      </c>
      <c r="AI56" s="2">
        <v>9</v>
      </c>
      <c r="AJ56" s="2">
        <v>10</v>
      </c>
      <c r="AK56" s="2">
        <v>11</v>
      </c>
      <c r="AL56" s="2">
        <v>12</v>
      </c>
      <c r="AM56" s="2">
        <v>13</v>
      </c>
      <c r="AN56" s="2">
        <v>14</v>
      </c>
      <c r="AO56" s="2">
        <v>15</v>
      </c>
      <c r="AP56" s="2">
        <v>16</v>
      </c>
      <c r="AQ56" s="2">
        <v>17</v>
      </c>
      <c r="AR56" s="2">
        <v>18</v>
      </c>
      <c r="AS56" s="2">
        <v>19</v>
      </c>
      <c r="AT56" s="2">
        <v>20</v>
      </c>
      <c r="AU56" s="3" t="s">
        <v>15</v>
      </c>
      <c r="AV56" s="3" t="s">
        <v>3</v>
      </c>
      <c r="AY56" s="123" t="s">
        <v>359</v>
      </c>
      <c r="AZ56" s="2">
        <v>1</v>
      </c>
      <c r="BA56" s="2">
        <v>2</v>
      </c>
      <c r="BB56" s="2">
        <v>3</v>
      </c>
      <c r="BC56" s="2">
        <v>4</v>
      </c>
      <c r="BD56" s="2">
        <v>5</v>
      </c>
      <c r="BE56" s="2">
        <v>6</v>
      </c>
      <c r="BF56" s="2">
        <v>7</v>
      </c>
      <c r="BG56" s="2">
        <v>8</v>
      </c>
      <c r="BH56" s="2">
        <v>9</v>
      </c>
      <c r="BI56" s="2">
        <v>10</v>
      </c>
      <c r="BJ56" s="2">
        <v>11</v>
      </c>
      <c r="BK56" s="2">
        <v>12</v>
      </c>
      <c r="BL56" s="2">
        <v>13</v>
      </c>
      <c r="BM56" s="2">
        <v>14</v>
      </c>
      <c r="BN56" s="2">
        <v>15</v>
      </c>
      <c r="BO56" s="2">
        <v>16</v>
      </c>
      <c r="BP56" s="2">
        <v>17</v>
      </c>
      <c r="BQ56" s="2">
        <v>18</v>
      </c>
      <c r="BR56" s="2">
        <v>19</v>
      </c>
      <c r="BS56" s="2">
        <v>20</v>
      </c>
      <c r="BT56" s="3" t="s">
        <v>15</v>
      </c>
      <c r="BU56" s="124" t="s">
        <v>3</v>
      </c>
      <c r="CU56">
        <v>55</v>
      </c>
      <c r="CV56">
        <f si="6" t="shared"/>
        <v>3</v>
      </c>
      <c r="CW56">
        <f si="0" t="shared"/>
        <v>15</v>
      </c>
      <c r="CX56" s="44">
        <f si="1" t="shared"/>
        <v>183.92312962816561</v>
      </c>
      <c r="CY56" s="44">
        <f si="2" t="shared"/>
        <v>142.99999999999997</v>
      </c>
      <c r="CZ56" s="87">
        <f si="3" t="shared"/>
        <v>-40.92312962816564</v>
      </c>
      <c r="DA56" s="63">
        <f si="4" t="shared"/>
        <v>-0.22250126838804485</v>
      </c>
      <c r="DB56">
        <v>55000</v>
      </c>
    </row>
    <row r="57" spans="2:106" x14ac:dyDescent="0.45">
      <c r="B57" s="28">
        <v>1</v>
      </c>
      <c r="C57" s="82">
        <f>IF($X$51&gt;0,C30/$X$51,0)</f>
        <v>5.3055226862407838E-3</v>
      </c>
      <c r="D57" s="82">
        <f ref="D57:X57" si="65" t="shared">IF($X$51&gt;0,D30/$X$51,0)</f>
        <v>6.7087747349725395E-4</v>
      </c>
      <c r="E57" s="82">
        <f si="65" t="shared"/>
        <v>3.7084615896098205E-4</v>
      </c>
      <c r="F57" s="82">
        <f si="65" t="shared"/>
        <v>4.95703910972971E-4</v>
      </c>
      <c r="G57" s="82">
        <f si="65" t="shared"/>
        <v>6.2987940567242183E-4</v>
      </c>
      <c r="H57" s="82">
        <f si="65" t="shared"/>
        <v>3.4634049569295736E-3</v>
      </c>
      <c r="I57" s="82">
        <f si="65" t="shared"/>
        <v>5.6185988405395022E-4</v>
      </c>
      <c r="J57" s="82">
        <f si="65" t="shared"/>
        <v>5.4974681856024977E-5</v>
      </c>
      <c r="K57" s="82">
        <f si="65" t="shared"/>
        <v>4.444563261919307E-4</v>
      </c>
      <c r="L57" s="82">
        <f si="65" t="shared"/>
        <v>1.9474082216795288E-4</v>
      </c>
      <c r="M57" s="82">
        <f si="65" t="shared"/>
        <v>4.3700213204196122E-4</v>
      </c>
      <c r="N57" s="82">
        <f si="65" t="shared"/>
        <v>1.5327686720874761E-3</v>
      </c>
      <c r="O57" s="82">
        <f si="65" t="shared"/>
        <v>1.9380904789920668E-4</v>
      </c>
      <c r="P57" s="82">
        <f si="65" t="shared"/>
        <v>4.2861616362324557E-5</v>
      </c>
      <c r="Q57" s="82">
        <f si="65" t="shared"/>
        <v>4.3793390631070743E-5</v>
      </c>
      <c r="R57" s="82">
        <f si="65" t="shared"/>
        <v>1.2113065493700418E-5</v>
      </c>
      <c r="S57" s="82">
        <f si="65" t="shared"/>
        <v>1.9567259643669907E-5</v>
      </c>
      <c r="T57" s="82">
        <f si="65" t="shared"/>
        <v>3.7270970749847437E-5</v>
      </c>
      <c r="U57" s="82">
        <f si="65" t="shared"/>
        <v>1.3976614031192789E-4</v>
      </c>
      <c r="V57" s="82">
        <f si="65" t="shared"/>
        <v>1.3976614031192791E-5</v>
      </c>
      <c r="W57" s="82">
        <f si="65" t="shared"/>
        <v>0</v>
      </c>
      <c r="X57" s="82">
        <f si="65" t="shared"/>
        <v>1.4665195215796222E-2</v>
      </c>
      <c r="Z57" s="28">
        <v>1</v>
      </c>
      <c r="AA57" s="82">
        <f>IF($BU$51&gt;0,AZ30/$BU$51,0)</f>
        <v>4.0051301935753276E-3</v>
      </c>
      <c r="AB57" s="82">
        <f ref="AB57:AV57" si="66" t="shared">IF($BU$51&gt;0,BA30/$BU$51,0)</f>
        <v>7.9935574313240074E-4</v>
      </c>
      <c r="AC57" s="82">
        <f si="66" t="shared"/>
        <v>5.2852924508605E-4</v>
      </c>
      <c r="AD57" s="82">
        <f si="66" t="shared"/>
        <v>6.1323709249261793E-4</v>
      </c>
      <c r="AE57" s="82">
        <f si="66" t="shared"/>
        <v>6.3471232141259289E-4</v>
      </c>
      <c r="AF57" s="82">
        <f si="66" t="shared"/>
        <v>3.6149968681957823E-3</v>
      </c>
      <c r="AG57" s="82">
        <f si="66" t="shared"/>
        <v>6.0846481939929014E-4</v>
      </c>
      <c r="AH57" s="82">
        <f si="66" t="shared"/>
        <v>6.9197959853252607E-5</v>
      </c>
      <c r="AI57" s="82">
        <f si="66" t="shared"/>
        <v>6.7766277925254269E-4</v>
      </c>
      <c r="AJ57" s="82">
        <f si="66" t="shared"/>
        <v>4.5694514868613355E-4</v>
      </c>
      <c r="AK57" s="82">
        <f si="66" t="shared"/>
        <v>4.0087093983953232E-4</v>
      </c>
      <c r="AL57" s="82">
        <f si="66" t="shared"/>
        <v>2.0079339040176575E-3</v>
      </c>
      <c r="AM57" s="82">
        <f si="66" t="shared"/>
        <v>5.6074208846601246E-5</v>
      </c>
      <c r="AN57" s="82">
        <f si="66" t="shared"/>
        <v>2.0282160646643005E-5</v>
      </c>
      <c r="AO57" s="82">
        <f si="66" t="shared"/>
        <v>4.056432129328601E-5</v>
      </c>
      <c r="AP57" s="82">
        <f si="66" t="shared"/>
        <v>4.8915799206609599E-5</v>
      </c>
      <c r="AQ57" s="82">
        <f si="66" t="shared"/>
        <v>2.3861365466638829E-5</v>
      </c>
      <c r="AR57" s="82">
        <f si="66" t="shared"/>
        <v>2.9826706833298535E-5</v>
      </c>
      <c r="AS57" s="82">
        <f si="66" t="shared"/>
        <v>2.7440570286634652E-5</v>
      </c>
      <c r="AT57" s="82">
        <f si="66" t="shared"/>
        <v>1.1930682733319415E-6</v>
      </c>
      <c r="AU57" s="82">
        <f si="66" t="shared"/>
        <v>0</v>
      </c>
      <c r="AV57" s="82">
        <f si="66" t="shared"/>
        <v>1.4665195215796224E-2</v>
      </c>
      <c r="AX57" t="s">
        <v>220</v>
      </c>
      <c r="AY57" s="119" t="s">
        <v>365</v>
      </c>
      <c r="AZ57" s="87">
        <f>C51</f>
        <v>45622.95655562669</v>
      </c>
      <c r="BA57" s="87">
        <f ref="BA57:BU57" si="67" t="shared">D51</f>
        <v>37973.570893550583</v>
      </c>
      <c r="BB57" s="87">
        <f si="67" t="shared"/>
        <v>24693.371806727035</v>
      </c>
      <c r="BC57" s="87">
        <f si="67" t="shared"/>
        <v>17006.715093599527</v>
      </c>
      <c r="BD57" s="87">
        <f si="67" t="shared"/>
        <v>22225.783455192617</v>
      </c>
      <c r="BE57" s="87">
        <f si="67" t="shared"/>
        <v>96362.395138628126</v>
      </c>
      <c r="BF57" s="87">
        <f si="67" t="shared"/>
        <v>80267.327697266272</v>
      </c>
      <c r="BG57" s="87">
        <f si="67" t="shared"/>
        <v>4737.2377126577649</v>
      </c>
      <c r="BH57" s="87">
        <f si="67" t="shared"/>
        <v>49125.494661739824</v>
      </c>
      <c r="BI57" s="87">
        <f si="67" t="shared"/>
        <v>18967.923995324341</v>
      </c>
      <c r="BJ57" s="87">
        <f si="67" t="shared"/>
        <v>52282.131798232105</v>
      </c>
      <c r="BK57" s="87">
        <f si="67" t="shared"/>
        <v>139072.29762924835</v>
      </c>
      <c r="BL57" s="87">
        <f si="67" t="shared"/>
        <v>93765.628334465873</v>
      </c>
      <c r="BM57" s="87">
        <f si="67" t="shared"/>
        <v>14294.448294100401</v>
      </c>
      <c r="BN57" s="87">
        <f si="67" t="shared"/>
        <v>35829.636376730843</v>
      </c>
      <c r="BO57" s="87">
        <f si="67" t="shared"/>
        <v>5005.2210650714824</v>
      </c>
      <c r="BP57" s="87">
        <f si="67" t="shared"/>
        <v>15165.730406777278</v>
      </c>
      <c r="BQ57" s="87">
        <f si="67" t="shared"/>
        <v>24127.840747742663</v>
      </c>
      <c r="BR57" s="87">
        <f si="67" t="shared"/>
        <v>35334.974929217104</v>
      </c>
      <c r="BS57" s="87">
        <f si="67" t="shared"/>
        <v>26314.313408101058</v>
      </c>
      <c r="BT57" s="87">
        <f si="67" t="shared"/>
        <v>0</v>
      </c>
      <c r="BU57" s="126">
        <f si="67" t="shared"/>
        <v>838175.00000000012</v>
      </c>
      <c r="CU57">
        <v>56</v>
      </c>
      <c r="CV57">
        <f si="6" t="shared"/>
        <v>3</v>
      </c>
      <c r="CW57">
        <f si="0" t="shared"/>
        <v>16</v>
      </c>
      <c r="CX57" s="44">
        <f si="1" t="shared"/>
        <v>113.62790207394524</v>
      </c>
      <c r="CY57" s="44">
        <f si="2" t="shared"/>
        <v>113.99999999999997</v>
      </c>
      <c r="CZ57" s="87">
        <f si="3" t="shared"/>
        <v>0.37209792605473524</v>
      </c>
      <c r="DA57" s="63">
        <f si="4" t="shared"/>
        <v>3.2747055895882542E-3</v>
      </c>
      <c r="DB57">
        <v>56000</v>
      </c>
    </row>
    <row r="58" spans="2:106" x14ac:dyDescent="0.45">
      <c r="B58">
        <v>2</v>
      </c>
      <c r="C58" s="83">
        <f ref="C58:X58" si="68" t="shared">IF($X$51&gt;0,C31/$X$51,0)</f>
        <v>1.6089512060910359E-3</v>
      </c>
      <c r="D58" s="83">
        <f si="68" t="shared"/>
        <v>5.8387258218725573E-3</v>
      </c>
      <c r="E58" s="83">
        <f si="68" t="shared"/>
        <v>5.2918684177213839E-4</v>
      </c>
      <c r="F58" s="83">
        <f si="68" t="shared"/>
        <v>4.1014305311337971E-4</v>
      </c>
      <c r="G58" s="83">
        <f si="68" t="shared"/>
        <v>4.8454542102510396E-4</v>
      </c>
      <c r="H58" s="83">
        <f si="68" t="shared"/>
        <v>2.9286632069252445E-3</v>
      </c>
      <c r="I58" s="83">
        <f si="68" t="shared"/>
        <v>1.6712631892171052E-3</v>
      </c>
      <c r="J58" s="83">
        <f si="68" t="shared"/>
        <v>1.0044319668082768E-4</v>
      </c>
      <c r="K58" s="83">
        <f si="68" t="shared"/>
        <v>1.2797207280816562E-3</v>
      </c>
      <c r="L58" s="83">
        <f si="68" t="shared"/>
        <v>3.3388062600386235E-4</v>
      </c>
      <c r="M58" s="83">
        <f si="68" t="shared"/>
        <v>6.4079039363972479E-4</v>
      </c>
      <c r="N58" s="83">
        <f si="68" t="shared"/>
        <v>1.8637793161886914E-3</v>
      </c>
      <c r="O58" s="83">
        <f si="68" t="shared"/>
        <v>2.5575813969655199E-4</v>
      </c>
      <c r="P58" s="83">
        <f si="68" t="shared"/>
        <v>3.8131213554758653E-5</v>
      </c>
      <c r="Q58" s="83">
        <f si="68" t="shared"/>
        <v>1.5903506141131052E-4</v>
      </c>
      <c r="R58" s="83">
        <f si="68" t="shared"/>
        <v>2.0460651175724156E-5</v>
      </c>
      <c r="S58" s="83">
        <f si="68" t="shared"/>
        <v>2.2320710373517263E-5</v>
      </c>
      <c r="T58" s="83">
        <f si="68" t="shared"/>
        <v>3.9061243153655208E-5</v>
      </c>
      <c r="U58" s="83">
        <f si="68" t="shared"/>
        <v>7.2542308713931112E-5</v>
      </c>
      <c r="V58" s="83">
        <f si="68" t="shared"/>
        <v>1.0230325587862078E-5</v>
      </c>
      <c r="W58" s="83">
        <f si="68" t="shared"/>
        <v>0</v>
      </c>
      <c r="X58" s="83">
        <f si="68" t="shared"/>
        <v>1.8307632654278639E-2</v>
      </c>
      <c r="Z58">
        <v>2</v>
      </c>
      <c r="AA58" s="83">
        <f ref="AA58:AA78" si="69" t="shared">IF($BU$51&gt;0,AZ31/$BU$51,0)</f>
        <v>2.1236615265308556E-3</v>
      </c>
      <c r="AB58" s="83">
        <f ref="AB58:AB78" si="70" t="shared">IF($BU$51&gt;0,BA31/$BU$51,0)</f>
        <v>2.424314731410505E-3</v>
      </c>
      <c r="AC58" s="83">
        <f ref="AC58:AC78" si="71" t="shared">IF($BU$51&gt;0,BB31/$BU$51,0)</f>
        <v>8.2441017687237149E-4</v>
      </c>
      <c r="AD58" s="83">
        <f ref="AD58:AD78" si="72" t="shared">IF($BU$51&gt;0,BC31/$BU$51,0)</f>
        <v>4.9273719688609178E-4</v>
      </c>
      <c r="AE58" s="83">
        <f ref="AE58:AE78" si="73" t="shared">IF($BU$51&gt;0,BD31/$BU$51,0)</f>
        <v>5.4165299609270137E-4</v>
      </c>
      <c r="AF58" s="83">
        <f ref="AF58:AF78" si="74" t="shared">IF($BU$51&gt;0,BE31/$BU$51,0)</f>
        <v>3.4420019685626512E-3</v>
      </c>
      <c r="AG58" s="83">
        <f ref="AG58:AG78" si="75" t="shared">IF($BU$51&gt;0,BF31/$BU$51,0)</f>
        <v>1.6285381930981001E-3</v>
      </c>
      <c r="AH58" s="83">
        <f ref="AH58:AH78" si="76" t="shared">IF($BU$51&gt;0,BG31/$BU$51,0)</f>
        <v>5.965341366659707E-5</v>
      </c>
      <c r="AI58" s="83">
        <f ref="AI58:AI78" si="77" t="shared">IF($BU$51&gt;0,BH31/$BU$51,0)</f>
        <v>1.8098845706445551E-3</v>
      </c>
      <c r="AJ58" s="83">
        <f ref="AJ58:AJ78" si="78" t="shared">IF($BU$51&gt;0,BI31/$BU$51,0)</f>
        <v>5.5477674709935275E-4</v>
      </c>
      <c r="AK58" s="83">
        <f ref="AK58:AK78" si="79" t="shared">IF($BU$51&gt;0,BJ31/$BU$51,0)</f>
        <v>4.9154412861275988E-4</v>
      </c>
      <c r="AL58" s="83">
        <f ref="AL58:AL78" si="80" t="shared">IF($BU$51&gt;0,BK31/$BU$51,0)</f>
        <v>3.4706356071226175E-3</v>
      </c>
      <c r="AM58" s="83">
        <f ref="AM58:AM78" si="81" t="shared">IF($BU$51&gt;0,BL31/$BU$51,0)</f>
        <v>1.3362364661317745E-4</v>
      </c>
      <c r="AN58" s="83">
        <f ref="AN58:AN78" si="82" t="shared">IF($BU$51&gt;0,BM31/$BU$51,0)</f>
        <v>2.505443373997077E-5</v>
      </c>
      <c r="AO58" s="83">
        <f ref="AO58:AO78" si="83" t="shared">IF($BU$51&gt;0,BN31/$BU$51,0)</f>
        <v>1.5032660243982461E-4</v>
      </c>
      <c r="AP58" s="83">
        <f ref="AP58:AP78" si="84" t="shared">IF($BU$51&gt;0,BO31/$BU$51,0)</f>
        <v>3.6985116473290186E-5</v>
      </c>
      <c r="AQ58" s="83">
        <f ref="AQ58:AQ78" si="85" t="shared">IF($BU$51&gt;0,BP31/$BU$51,0)</f>
        <v>1.550988755331524E-5</v>
      </c>
      <c r="AR58" s="83">
        <f ref="AR58:AR78" si="86" t="shared">IF($BU$51&gt;0,BQ31/$BU$51,0)</f>
        <v>4.8915799206609599E-5</v>
      </c>
      <c r="AS58" s="83">
        <f ref="AS58:AS78" si="87" t="shared">IF($BU$51&gt;0,BR31/$BU$51,0)</f>
        <v>3.101977510663048E-5</v>
      </c>
      <c r="AT58" s="83">
        <f ref="AT58:AT78" si="88" t="shared">IF($BU$51&gt;0,BS31/$BU$51,0)</f>
        <v>2.386136546663883E-6</v>
      </c>
      <c r="AU58" s="83">
        <f ref="AU58:AU78" si="89" t="shared">IF($BU$51&gt;0,BT31/$BU$51,0)</f>
        <v>0</v>
      </c>
      <c r="AV58" s="83">
        <f ref="AV58:AV78" si="90" t="shared">IF($BU$51&gt;0,BU31/$BU$51,0)</f>
        <v>1.8307632654278642E-2</v>
      </c>
      <c r="AY58" s="125" t="s">
        <v>345</v>
      </c>
      <c r="AZ58" s="46">
        <f>AZ51</f>
        <v>54561</v>
      </c>
      <c r="BA58" s="46">
        <f ref="BA58:BU58" si="91" t="shared">BA51</f>
        <v>35769</v>
      </c>
      <c r="BB58" s="46">
        <f si="91" t="shared"/>
        <v>22365</v>
      </c>
      <c r="BC58" s="46">
        <f si="91" t="shared"/>
        <v>14532</v>
      </c>
      <c r="BD58" s="46">
        <f si="91" t="shared"/>
        <v>17563</v>
      </c>
      <c r="BE58" s="46">
        <f si="91" t="shared"/>
        <v>97510</v>
      </c>
      <c r="BF58" s="46">
        <f si="91" t="shared"/>
        <v>87842</v>
      </c>
      <c r="BG58" s="46">
        <f si="91" t="shared"/>
        <v>2420</v>
      </c>
      <c r="BH58" s="46">
        <f si="91" t="shared"/>
        <v>56060.000000000007</v>
      </c>
      <c r="BI58" s="46">
        <f si="91" t="shared"/>
        <v>17375</v>
      </c>
      <c r="BJ58" s="46">
        <f si="91" t="shared"/>
        <v>47935</v>
      </c>
      <c r="BK58" s="46">
        <f si="91" t="shared"/>
        <v>162422</v>
      </c>
      <c r="BL58" s="46">
        <f si="91" t="shared"/>
        <v>80256</v>
      </c>
      <c r="BM58" s="46">
        <f si="91" t="shared"/>
        <v>14988.999999999998</v>
      </c>
      <c r="BN58" s="46">
        <f si="91" t="shared"/>
        <v>32841</v>
      </c>
      <c r="BO58" s="46">
        <f si="91" t="shared"/>
        <v>4086.9999999999995</v>
      </c>
      <c r="BP58" s="46">
        <f si="91" t="shared"/>
        <v>15046</v>
      </c>
      <c r="BQ58" s="46">
        <f si="91" t="shared"/>
        <v>23721</v>
      </c>
      <c r="BR58" s="46">
        <f si="91" t="shared"/>
        <v>28364</v>
      </c>
      <c r="BS58" s="46">
        <f si="91" t="shared"/>
        <v>22517</v>
      </c>
      <c r="BT58" s="46">
        <f si="91" t="shared"/>
        <v>0</v>
      </c>
      <c r="BU58" s="127">
        <f si="91" t="shared"/>
        <v>838175</v>
      </c>
      <c r="CU58">
        <v>57</v>
      </c>
      <c r="CV58">
        <f si="6" t="shared"/>
        <v>3</v>
      </c>
      <c r="CW58">
        <f si="0" t="shared"/>
        <v>17</v>
      </c>
      <c r="CX58" s="44">
        <f si="1" t="shared"/>
        <v>138.66455846311962</v>
      </c>
      <c r="CY58" s="44">
        <f si="2" t="shared"/>
        <v>143.99999999999997</v>
      </c>
      <c r="CZ58" s="87">
        <f si="3" t="shared"/>
        <v>5.3354415368803529</v>
      </c>
      <c r="DA58" s="63">
        <f si="4" t="shared"/>
        <v>3.8477326838345732E-2</v>
      </c>
      <c r="DB58">
        <v>57000</v>
      </c>
    </row>
    <row r="59" spans="2:106" x14ac:dyDescent="0.45">
      <c r="B59">
        <v>3</v>
      </c>
      <c r="C59" s="83">
        <f ref="C59:X59" si="92" t="shared">IF($X$51&gt;0,C32/$X$51,0)</f>
        <v>5.0435089766216199E-3</v>
      </c>
      <c r="D59" s="83">
        <f si="92" t="shared"/>
        <v>3.0513803740107115E-3</v>
      </c>
      <c r="E59" s="83">
        <f si="92" t="shared"/>
        <v>9.2219240444969802E-3</v>
      </c>
      <c r="F59" s="83">
        <f si="92" t="shared"/>
        <v>1.9886820133330351E-3</v>
      </c>
      <c r="G59" s="83">
        <f si="92" t="shared"/>
        <v>2.0599115250757552E-3</v>
      </c>
      <c r="H59" s="83">
        <f si="92" t="shared"/>
        <v>7.3745521915567604E-3</v>
      </c>
      <c r="I59" s="83">
        <f si="92" t="shared"/>
        <v>1.6394276331751826E-3</v>
      </c>
      <c r="J59" s="83">
        <f si="92" t="shared"/>
        <v>7.4446328402068566E-4</v>
      </c>
      <c r="K59" s="83">
        <f si="92" t="shared"/>
        <v>2.7710577794103296E-3</v>
      </c>
      <c r="L59" s="83">
        <f si="92" t="shared"/>
        <v>1.5440719964873479E-3</v>
      </c>
      <c r="M59" s="83">
        <f si="92" t="shared"/>
        <v>3.1789041772920324E-3</v>
      </c>
      <c r="N59" s="83">
        <f si="92" t="shared"/>
        <v>3.6418960036197125E-3</v>
      </c>
      <c r="O59" s="83">
        <f si="92" t="shared"/>
        <v>3.9291117767758404E-4</v>
      </c>
      <c r="P59" s="83">
        <f si="92" t="shared"/>
        <v>1.2063062472557405E-4</v>
      </c>
      <c r="Q59" s="83">
        <f si="92" t="shared"/>
        <v>2.1943285069128235E-4</v>
      </c>
      <c r="R59" s="83">
        <f si="92" t="shared"/>
        <v>1.3556584492969276E-4</v>
      </c>
      <c r="S59" s="83">
        <f si="92" t="shared"/>
        <v>1.6543628533793016E-4</v>
      </c>
      <c r="T59" s="83">
        <f si="92" t="shared"/>
        <v>4.2507934427107053E-5</v>
      </c>
      <c r="U59" s="83">
        <f si="92" t="shared"/>
        <v>2.309214816175275E-4</v>
      </c>
      <c r="V59" s="83">
        <f si="92" t="shared"/>
        <v>2.8721577315612872E-5</v>
      </c>
      <c r="W59" s="83">
        <f si="92" t="shared"/>
        <v>0</v>
      </c>
      <c r="X59" s="83">
        <f si="92" t="shared"/>
        <v>4.3595907775822458E-2</v>
      </c>
      <c r="Z59">
        <v>3</v>
      </c>
      <c r="AA59" s="83">
        <f si="69" t="shared"/>
        <v>6.6549348286455683E-3</v>
      </c>
      <c r="AB59" s="83">
        <f si="70" t="shared"/>
        <v>3.1842992215229513E-3</v>
      </c>
      <c r="AC59" s="83">
        <f si="71" t="shared"/>
        <v>4.37617442658156E-3</v>
      </c>
      <c r="AD59" s="83">
        <f si="72" t="shared"/>
        <v>1.7204044501446592E-3</v>
      </c>
      <c r="AE59" s="83">
        <f si="73" t="shared"/>
        <v>1.7824440003579203E-3</v>
      </c>
      <c r="AF59" s="83">
        <f si="74" t="shared"/>
        <v>8.6688340740298849E-3</v>
      </c>
      <c r="AG59" s="83">
        <f si="75" t="shared"/>
        <v>2.1868941450174481E-3</v>
      </c>
      <c r="AH59" s="83">
        <f si="76" t="shared"/>
        <v>3.2093536552629218E-4</v>
      </c>
      <c r="AI59" s="83">
        <f si="77" t="shared"/>
        <v>2.945685566856563E-3</v>
      </c>
      <c r="AJ59" s="83">
        <f si="78" t="shared"/>
        <v>1.5855877352581498E-3</v>
      </c>
      <c r="AK59" s="83">
        <f si="79" t="shared"/>
        <v>3.1377695588630052E-3</v>
      </c>
      <c r="AL59" s="83">
        <f si="80" t="shared"/>
        <v>5.9557968204730508E-3</v>
      </c>
      <c r="AM59" s="83">
        <f si="81" t="shared"/>
        <v>1.5748501207981625E-4</v>
      </c>
      <c r="AN59" s="83">
        <f si="82" t="shared"/>
        <v>1.6941569481313565E-4</v>
      </c>
      <c r="AO59" s="83">
        <f si="83" t="shared"/>
        <v>1.7060876308646759E-4</v>
      </c>
      <c r="AP59" s="83">
        <f si="84" t="shared"/>
        <v>1.3600978315984129E-4</v>
      </c>
      <c r="AQ59" s="83">
        <f si="85" t="shared"/>
        <v>1.7180183135979954E-4</v>
      </c>
      <c r="AR59" s="83">
        <f si="86" t="shared"/>
        <v>4.7722730933277651E-5</v>
      </c>
      <c r="AS59" s="83">
        <f si="87" t="shared"/>
        <v>2.2071763056640914E-4</v>
      </c>
      <c r="AT59" s="83">
        <f si="88" t="shared"/>
        <v>2.3861365466638821E-6</v>
      </c>
      <c r="AU59" s="83">
        <f si="89" t="shared"/>
        <v>0</v>
      </c>
      <c r="AV59" s="83">
        <f si="90" t="shared"/>
        <v>4.3595907775822465E-2</v>
      </c>
      <c r="AX59" t="s">
        <v>357</v>
      </c>
      <c r="AY59" s="119" t="s">
        <v>365</v>
      </c>
      <c r="AZ59" s="83">
        <f ref="AZ59:BU59" si="93" t="shared">C78</f>
        <v>5.4431302002119708E-2</v>
      </c>
      <c r="BA59" s="83">
        <f si="93" t="shared"/>
        <v>4.5305062658216454E-2</v>
      </c>
      <c r="BB59" s="83">
        <f si="93" t="shared"/>
        <v>2.9460878464195463E-2</v>
      </c>
      <c r="BC59" s="83">
        <f si="93" t="shared"/>
        <v>2.0290172211769052E-2</v>
      </c>
      <c r="BD59" s="83">
        <f si="93" t="shared"/>
        <v>2.6516877090336281E-2</v>
      </c>
      <c r="BE59" s="83">
        <f si="93" t="shared"/>
        <v>0.11496691638217331</v>
      </c>
      <c r="BF59" s="83">
        <f si="93" t="shared"/>
        <v>9.5764402060746573E-2</v>
      </c>
      <c r="BG59" s="83">
        <f si="93" t="shared"/>
        <v>5.6518480182035542E-3</v>
      </c>
      <c r="BH59" s="83">
        <f si="93" t="shared"/>
        <v>5.8610069092659429E-2</v>
      </c>
      <c r="BI59" s="83">
        <f si="93" t="shared"/>
        <v>2.2630028329793109E-2</v>
      </c>
      <c r="BJ59" s="83">
        <f si="93" t="shared"/>
        <v>6.2376152710629761E-2</v>
      </c>
      <c r="BK59" s="83">
        <f si="93" t="shared"/>
        <v>0.16592274600083315</v>
      </c>
      <c r="BL59" s="83">
        <f si="93" t="shared"/>
        <v>0.11186879629488575</v>
      </c>
      <c r="BM59" s="83">
        <f si="93" t="shared"/>
        <v>1.7054252744475078E-2</v>
      </c>
      <c r="BN59" s="83">
        <f si="93" t="shared"/>
        <v>4.2747202406097577E-2</v>
      </c>
      <c r="BO59" s="83">
        <f si="93" t="shared"/>
        <v>5.9715704537494935E-3</v>
      </c>
      <c r="BP59" s="83">
        <f si="93" t="shared"/>
        <v>1.8093751790231486E-2</v>
      </c>
      <c r="BQ59" s="83">
        <f si="93" t="shared"/>
        <v>2.8786161300137392E-2</v>
      </c>
      <c r="BR59" s="83">
        <f si="93" t="shared"/>
        <v>4.2157037527028485E-2</v>
      </c>
      <c r="BS59" s="83">
        <f si="93" t="shared"/>
        <v>3.1394772461718679E-2</v>
      </c>
      <c r="BT59" s="83">
        <f si="93" t="shared"/>
        <v>0</v>
      </c>
      <c r="BU59" s="120">
        <f si="93" t="shared"/>
        <v>1</v>
      </c>
      <c r="CU59">
        <v>58</v>
      </c>
      <c r="CV59">
        <f si="6" t="shared"/>
        <v>3</v>
      </c>
      <c r="CW59">
        <f si="0" t="shared"/>
        <v>18</v>
      </c>
      <c r="CX59" s="44">
        <f si="1" t="shared"/>
        <v>35.629087938440456</v>
      </c>
      <c r="CY59" s="44">
        <f si="2" t="shared"/>
        <v>39.999999999999993</v>
      </c>
      <c r="CZ59" s="87">
        <f si="3" t="shared"/>
        <v>4.3709120615595367</v>
      </c>
      <c r="DA59" s="63">
        <f si="4" t="shared"/>
        <v>0.12267819117659004</v>
      </c>
      <c r="DB59">
        <v>58000</v>
      </c>
    </row>
    <row ht="14.65" r="60" spans="2:106" thickBot="1" x14ac:dyDescent="0.5">
      <c r="B60">
        <v>4</v>
      </c>
      <c r="C60" s="83">
        <f ref="C60:X60" si="94" t="shared">IF($X$51&gt;0,C33/$X$51,0)</f>
        <v>1.5292161620278665E-3</v>
      </c>
      <c r="D60" s="83">
        <f si="94" t="shared"/>
        <v>9.1293369235816635E-4</v>
      </c>
      <c r="E60" s="83">
        <f si="94" t="shared"/>
        <v>1.1709366923724305E-3</v>
      </c>
      <c r="F60" s="83">
        <f si="94" t="shared"/>
        <v>3.4010435953297363E-3</v>
      </c>
      <c r="G60" s="83">
        <f si="94" t="shared"/>
        <v>1.3965587490650669E-3</v>
      </c>
      <c r="H60" s="83">
        <f si="94" t="shared"/>
        <v>2.5768963604663572E-3</v>
      </c>
      <c r="I60" s="83">
        <f si="94" t="shared"/>
        <v>6.2881702837484679E-4</v>
      </c>
      <c r="J60" s="83">
        <f si="94" t="shared"/>
        <v>5.3898602432129723E-4</v>
      </c>
      <c r="K60" s="83">
        <f si="94" t="shared"/>
        <v>3.7917040083068003E-4</v>
      </c>
      <c r="L60" s="83">
        <f si="94" t="shared"/>
        <v>7.4580624295621353E-4</v>
      </c>
      <c r="M60" s="83">
        <f si="94" t="shared"/>
        <v>6.5388614578513972E-4</v>
      </c>
      <c r="N60" s="83">
        <f si="94" t="shared"/>
        <v>1.2597231498672179E-3</v>
      </c>
      <c r="O60" s="83">
        <f si="94" t="shared"/>
        <v>1.2325649393394005E-4</v>
      </c>
      <c r="P60" s="83">
        <f si="94" t="shared"/>
        <v>2.9247303645341709E-5</v>
      </c>
      <c r="Q60" s="83">
        <f si="94" t="shared"/>
        <v>6.4761886643256657E-5</v>
      </c>
      <c r="R60" s="83">
        <f si="94" t="shared"/>
        <v>2.5069117410292897E-5</v>
      </c>
      <c r="S60" s="83">
        <f si="94" t="shared"/>
        <v>2.4024570851530694E-5</v>
      </c>
      <c r="T60" s="83">
        <f si="94" t="shared"/>
        <v>3.0291850204103916E-5</v>
      </c>
      <c r="U60" s="83">
        <f si="94" t="shared"/>
        <v>3.6559129556677141E-5</v>
      </c>
      <c r="V60" s="83">
        <f si="94" t="shared"/>
        <v>4.1781862350488164E-6</v>
      </c>
      <c r="W60" s="83">
        <f si="94" t="shared"/>
        <v>0</v>
      </c>
      <c r="X60" s="83">
        <f si="94" t="shared"/>
        <v>1.5531362782235211E-2</v>
      </c>
      <c r="Z60">
        <v>4</v>
      </c>
      <c r="AA60" s="83">
        <f si="69" t="shared"/>
        <v>2.319324723357294E-3</v>
      </c>
      <c r="AB60" s="83">
        <f si="70" t="shared"/>
        <v>1.0117218957854863E-3</v>
      </c>
      <c r="AC60" s="83">
        <f si="71" t="shared"/>
        <v>8.8167745399230467E-4</v>
      </c>
      <c r="AD60" s="83">
        <f si="72" t="shared"/>
        <v>1.282548393831837E-3</v>
      </c>
      <c r="AE60" s="83">
        <f si="73" t="shared"/>
        <v>9.138902973722671E-4</v>
      </c>
      <c r="AF60" s="83">
        <f si="74" t="shared"/>
        <v>3.4968831091359205E-3</v>
      </c>
      <c r="AG60" s="83">
        <f si="75" t="shared"/>
        <v>6.1085095594595404E-4</v>
      </c>
      <c r="AH60" s="83">
        <f si="76" t="shared"/>
        <v>1.4794046589316074E-4</v>
      </c>
      <c r="AI60" s="83">
        <f si="77" t="shared"/>
        <v>8.1605869895904791E-4</v>
      </c>
      <c r="AJ60" s="83">
        <f si="78" t="shared"/>
        <v>8.685537029856534E-4</v>
      </c>
      <c r="AK60" s="83">
        <f si="79" t="shared"/>
        <v>8.0174187967906464E-4</v>
      </c>
      <c r="AL60" s="83">
        <f si="80" t="shared"/>
        <v>2.0675873176842544E-3</v>
      </c>
      <c r="AM60" s="83">
        <f si="81" t="shared"/>
        <v>3.8178184746622127E-5</v>
      </c>
      <c r="AN60" s="83">
        <f si="82" t="shared"/>
        <v>7.1584096399916489E-5</v>
      </c>
      <c r="AO60" s="83">
        <f si="83" t="shared"/>
        <v>4.8915799206609599E-5</v>
      </c>
      <c r="AP60" s="83">
        <f si="84" t="shared"/>
        <v>4.1757389566617951E-5</v>
      </c>
      <c r="AQ60" s="83">
        <f si="85" t="shared"/>
        <v>4.6529662659945716E-5</v>
      </c>
      <c r="AR60" s="83">
        <f si="86" t="shared"/>
        <v>1.7896024099979122E-5</v>
      </c>
      <c r="AS60" s="83">
        <f si="87" t="shared"/>
        <v>4.6529662659945716E-5</v>
      </c>
      <c r="AT60" s="83">
        <f si="88" t="shared"/>
        <v>1.1930682733319415E-6</v>
      </c>
      <c r="AU60" s="83">
        <f si="89" t="shared"/>
        <v>0</v>
      </c>
      <c r="AV60" s="83">
        <f si="90" t="shared"/>
        <v>1.5531362782235214E-2</v>
      </c>
      <c r="AY60" s="121" t="s">
        <v>345</v>
      </c>
      <c r="AZ60" s="85">
        <f ref="AZ60:BU60" si="95" t="shared">AA78</f>
        <v>6.5094998061264051E-2</v>
      </c>
      <c r="BA60" s="85">
        <f si="95" t="shared"/>
        <v>4.267485906881021E-2</v>
      </c>
      <c r="BB60" s="85">
        <f si="95" t="shared"/>
        <v>2.6682971933068868E-2</v>
      </c>
      <c r="BC60" s="85">
        <f si="95" t="shared"/>
        <v>1.7337668148059773E-2</v>
      </c>
      <c r="BD60" s="85">
        <f si="95" t="shared"/>
        <v>2.0953858084528886E-2</v>
      </c>
      <c r="BE60" s="85">
        <f si="95" t="shared"/>
        <v>0.11633608733259761</v>
      </c>
      <c r="BF60" s="85">
        <f si="95" t="shared"/>
        <v>0.1048015032660244</v>
      </c>
      <c r="BG60" s="85">
        <f si="95" t="shared"/>
        <v>2.8872252214632984E-3</v>
      </c>
      <c r="BH60" s="85">
        <f si="95" t="shared"/>
        <v>6.6883407402988648E-2</v>
      </c>
      <c r="BI60" s="85">
        <f si="95" t="shared"/>
        <v>2.0729561249142481E-2</v>
      </c>
      <c r="BJ60" s="85">
        <f si="95" t="shared"/>
        <v>5.7189727682166611E-2</v>
      </c>
      <c r="BK60" s="85">
        <f si="95" t="shared"/>
        <v>0.19378053509112059</v>
      </c>
      <c r="BL60" s="85">
        <f si="95" t="shared"/>
        <v>9.5750887344528288E-2</v>
      </c>
      <c r="BM60" s="85">
        <f si="95" t="shared"/>
        <v>1.7882900348972469E-2</v>
      </c>
      <c r="BN60" s="85">
        <f si="95" t="shared"/>
        <v>3.9181555164494286E-2</v>
      </c>
      <c r="BO60" s="85">
        <f si="95" t="shared"/>
        <v>4.8760700331076439E-3</v>
      </c>
      <c r="BP60" s="85">
        <f si="95" t="shared"/>
        <v>1.795090524055239E-2</v>
      </c>
      <c r="BQ60" s="85">
        <f si="95" t="shared"/>
        <v>2.8300772511706984E-2</v>
      </c>
      <c r="BR60" s="85">
        <f si="95" t="shared"/>
        <v>3.3840188504787184E-2</v>
      </c>
      <c r="BS60" s="85">
        <f si="95" t="shared"/>
        <v>2.6864318310615323E-2</v>
      </c>
      <c r="BT60" s="85">
        <f si="95" t="shared"/>
        <v>0</v>
      </c>
      <c r="BU60" s="122">
        <f si="95" t="shared"/>
        <v>1</v>
      </c>
      <c r="CU60">
        <v>59</v>
      </c>
      <c r="CV60">
        <f si="6" t="shared"/>
        <v>3</v>
      </c>
      <c r="CW60">
        <f si="0" t="shared"/>
        <v>19</v>
      </c>
      <c r="CX60" s="44">
        <f si="1" t="shared"/>
        <v>193.55261285477113</v>
      </c>
      <c r="CY60" s="44">
        <f si="2" t="shared"/>
        <v>184.99999999999997</v>
      </c>
      <c r="CZ60" s="87">
        <f si="3" t="shared"/>
        <v>-8.5526128547711551</v>
      </c>
      <c r="DA60" s="63">
        <f si="4" t="shared"/>
        <v>-4.4187534999532457E-2</v>
      </c>
      <c r="DB60">
        <v>59000</v>
      </c>
    </row>
    <row r="61" spans="2:106" x14ac:dyDescent="0.45">
      <c r="B61">
        <v>5</v>
      </c>
      <c r="C61" s="83">
        <f ref="C61:X61" si="96" t="shared">IF($X$51&gt;0,C34/$X$51,0)</f>
        <v>1.9239667315126246E-3</v>
      </c>
      <c r="D61" s="83">
        <f si="96" t="shared"/>
        <v>6.2478169358616304E-4</v>
      </c>
      <c r="E61" s="83">
        <f si="96" t="shared"/>
        <v>6.7327557955043204E-4</v>
      </c>
      <c r="F61" s="83">
        <f si="96" t="shared"/>
        <v>8.8191206567577514E-4</v>
      </c>
      <c r="G61" s="83">
        <f si="96" t="shared"/>
        <v>3.812972754539381E-3</v>
      </c>
      <c r="H61" s="83">
        <f si="96" t="shared"/>
        <v>4.5415088087932829E-3</v>
      </c>
      <c r="I61" s="83">
        <f si="96" t="shared"/>
        <v>5.3456051039682539E-4</v>
      </c>
      <c r="J61" s="83">
        <f si="96" t="shared"/>
        <v>1.5450377621174067E-4</v>
      </c>
      <c r="K61" s="83">
        <f si="96" t="shared"/>
        <v>4.0599532435201934E-4</v>
      </c>
      <c r="L61" s="83">
        <f si="96" t="shared"/>
        <v>1.089420787011252E-3</v>
      </c>
      <c r="M61" s="83">
        <f si="96" t="shared"/>
        <v>4.5110591594668806E-4</v>
      </c>
      <c r="N61" s="83">
        <f si="96" t="shared"/>
        <v>1.8766006103382224E-3</v>
      </c>
      <c r="O61" s="83">
        <f si="96" t="shared"/>
        <v>9.6987771928537934E-5</v>
      </c>
      <c r="P61" s="83">
        <f si="96" t="shared"/>
        <v>1.4660942268267363E-5</v>
      </c>
      <c r="Q61" s="83">
        <f si="96" t="shared"/>
        <v>2.4810825377067841E-5</v>
      </c>
      <c r="R61" s="83">
        <f si="96" t="shared"/>
        <v>1.3758730436373988E-4</v>
      </c>
      <c r="S61" s="83">
        <f si="96" t="shared"/>
        <v>2.029976621760096E-5</v>
      </c>
      <c r="T61" s="83">
        <f si="96" t="shared"/>
        <v>1.8044236637867523E-5</v>
      </c>
      <c r="U61" s="83">
        <f si="96" t="shared"/>
        <v>5.6388239493336007E-5</v>
      </c>
      <c r="V61" s="83">
        <f si="96" t="shared"/>
        <v>9.0221183189337616E-6</v>
      </c>
      <c r="W61" s="83">
        <f si="96" t="shared"/>
        <v>0</v>
      </c>
      <c r="X61" s="83">
        <f si="96" t="shared"/>
        <v>1.7348405762519756E-2</v>
      </c>
      <c r="Z61">
        <v>5</v>
      </c>
      <c r="AA61" s="83">
        <f si="69" t="shared"/>
        <v>2.1988248277507679E-3</v>
      </c>
      <c r="AB61" s="83">
        <f si="70" t="shared"/>
        <v>9.4252393593223364E-4</v>
      </c>
      <c r="AC61" s="83">
        <f si="71" t="shared"/>
        <v>6.4783607241924405E-4</v>
      </c>
      <c r="AD61" s="83">
        <f si="72" t="shared"/>
        <v>6.9197959853252585E-4</v>
      </c>
      <c r="AE61" s="83">
        <f si="73" t="shared"/>
        <v>1.6333104661914275E-3</v>
      </c>
      <c r="AF61" s="83">
        <f si="74" t="shared"/>
        <v>5.2602380171205285E-3</v>
      </c>
      <c r="AG61" s="83">
        <f si="75" t="shared"/>
        <v>6.4306379932591625E-4</v>
      </c>
      <c r="AH61" s="83">
        <f si="76" t="shared"/>
        <v>9.9024666686551118E-5</v>
      </c>
      <c r="AI61" s="83">
        <f si="77" t="shared"/>
        <v>6.4067766277925236E-4</v>
      </c>
      <c r="AJ61" s="83">
        <f si="78" t="shared"/>
        <v>1.159662361678647E-3</v>
      </c>
      <c r="AK61" s="83">
        <f si="79" t="shared"/>
        <v>3.9729173501953642E-4</v>
      </c>
      <c r="AL61" s="83">
        <f si="80" t="shared"/>
        <v>2.7309332776568134E-3</v>
      </c>
      <c r="AM61" s="83">
        <f si="81" t="shared"/>
        <v>4.8915799206609592E-5</v>
      </c>
      <c r="AN61" s="83">
        <f si="82" t="shared"/>
        <v>3.817818474662212E-5</v>
      </c>
      <c r="AO61" s="83">
        <f si="83" t="shared"/>
        <v>3.6985116473290179E-5</v>
      </c>
      <c r="AP61" s="83">
        <f si="84" t="shared"/>
        <v>1.157276225131983E-4</v>
      </c>
      <c r="AQ61" s="83">
        <f si="85" t="shared"/>
        <v>1.6702955826647178E-5</v>
      </c>
      <c r="AR61" s="83">
        <f si="86" t="shared"/>
        <v>2.7440570286634649E-5</v>
      </c>
      <c r="AS61" s="83">
        <f si="87" t="shared"/>
        <v>1.908909237331106E-5</v>
      </c>
      <c r="AT61" s="83">
        <f si="88" t="shared"/>
        <v>0</v>
      </c>
      <c r="AU61" s="83">
        <f si="89" t="shared"/>
        <v>0</v>
      </c>
      <c r="AV61" s="83">
        <f si="90" t="shared"/>
        <v>1.7348405762519756E-2</v>
      </c>
      <c r="CU61">
        <v>60</v>
      </c>
      <c r="CV61">
        <f si="6" t="shared"/>
        <v>3</v>
      </c>
      <c r="CW61">
        <f si="0" t="shared"/>
        <v>20</v>
      </c>
      <c r="CX61" s="44">
        <f si="1" t="shared"/>
        <v>24.073708066513824</v>
      </c>
      <c r="CY61" s="44">
        <f si="2" t="shared"/>
        <v>1.9999999999999996</v>
      </c>
      <c r="CZ61" s="87">
        <f si="3" t="shared"/>
        <v>-22.073708066513824</v>
      </c>
      <c r="DA61" s="63">
        <f si="4" t="shared"/>
        <v>-0.91692181385293237</v>
      </c>
      <c r="DB61">
        <v>60000</v>
      </c>
    </row>
    <row r="62" spans="2:106" x14ac:dyDescent="0.45">
      <c r="B62">
        <v>6</v>
      </c>
      <c r="C62" s="83">
        <f ref="C62:X62" si="97" t="shared">IF($X$51&gt;0,C35/$X$51,0)</f>
        <v>4.0541627299780988E-3</v>
      </c>
      <c r="D62" s="83">
        <f si="97" t="shared"/>
        <v>1.9629147606296834E-3</v>
      </c>
      <c r="E62" s="83">
        <f si="97" t="shared"/>
        <v>1.0218045633589884E-3</v>
      </c>
      <c r="F62" s="83">
        <f si="97" t="shared"/>
        <v>1.0577767506513599E-3</v>
      </c>
      <c r="G62" s="83">
        <f si="97" t="shared"/>
        <v>1.7227761049211489E-3</v>
      </c>
      <c r="H62" s="83">
        <f si="97" t="shared"/>
        <v>1.9361786754799479E-2</v>
      </c>
      <c r="I62" s="83">
        <f si="97" t="shared"/>
        <v>1.1297211252361032E-3</v>
      </c>
      <c r="J62" s="83">
        <f si="97" t="shared"/>
        <v>9.4305463982703969E-5</v>
      </c>
      <c r="K62" s="83">
        <f si="97" t="shared"/>
        <v>9.5277685260876171E-4</v>
      </c>
      <c r="L62" s="83">
        <f si="97" t="shared"/>
        <v>1.0013879165173718E-3</v>
      </c>
      <c r="M62" s="83">
        <f si="97" t="shared"/>
        <v>6.1736051163935064E-4</v>
      </c>
      <c r="N62" s="83">
        <f si="97" t="shared"/>
        <v>5.4979113280638247E-3</v>
      </c>
      <c r="O62" s="83">
        <f si="97" t="shared"/>
        <v>2.8583305578262856E-4</v>
      </c>
      <c r="P62" s="83">
        <f si="97" t="shared"/>
        <v>5.3472170299471322E-5</v>
      </c>
      <c r="Q62" s="83">
        <f si="97" t="shared"/>
        <v>1.4583319172583087E-4</v>
      </c>
      <c r="R62" s="83">
        <f si="97" t="shared"/>
        <v>1.0597211932077045E-4</v>
      </c>
      <c r="S62" s="83">
        <f si="97" t="shared"/>
        <v>7.5833259697432061E-5</v>
      </c>
      <c r="T62" s="83">
        <f si="97" t="shared"/>
        <v>9.3333242704531774E-5</v>
      </c>
      <c r="U62" s="83">
        <f si="97" t="shared"/>
        <v>1.3999986405679763E-4</v>
      </c>
      <c r="V62" s="83">
        <f si="97" t="shared"/>
        <v>3.208330217968279E-5</v>
      </c>
      <c r="W62" s="83">
        <f si="97" t="shared"/>
        <v>0</v>
      </c>
      <c r="X62" s="83">
        <f si="97" t="shared"/>
        <v>3.9407045068154019E-2</v>
      </c>
      <c r="Z62">
        <v>6</v>
      </c>
      <c r="AA62" s="83">
        <f si="69" t="shared"/>
        <v>4.5348525069347093E-3</v>
      </c>
      <c r="AB62" s="83">
        <f si="70" t="shared"/>
        <v>2.1320130044441793E-3</v>
      </c>
      <c r="AC62" s="83">
        <f si="71" t="shared"/>
        <v>1.1155188355653652E-3</v>
      </c>
      <c r="AD62" s="83">
        <f si="72" t="shared"/>
        <v>9.9859814477883503E-4</v>
      </c>
      <c r="AE62" s="83">
        <f si="73" t="shared"/>
        <v>1.9542458317177202E-3</v>
      </c>
      <c r="AF62" s="83">
        <f si="74" t="shared"/>
        <v>1.5101858203835715E-2</v>
      </c>
      <c r="AG62" s="83">
        <f si="75" t="shared"/>
        <v>1.6965430846780207E-3</v>
      </c>
      <c r="AH62" s="83">
        <f si="76" t="shared"/>
        <v>1.0618307632654279E-4</v>
      </c>
      <c r="AI62" s="83">
        <f si="77" t="shared"/>
        <v>1.5426372774182003E-3</v>
      </c>
      <c r="AJ62" s="83">
        <f si="78" t="shared"/>
        <v>1.5569540966981835E-3</v>
      </c>
      <c r="AK62" s="83">
        <f si="79" t="shared"/>
        <v>7.0629641781250934E-4</v>
      </c>
      <c r="AL62" s="83">
        <f si="80" t="shared"/>
        <v>7.3409490858114355E-3</v>
      </c>
      <c r="AM62" s="83">
        <f si="81" t="shared"/>
        <v>1.4316819279983298E-4</v>
      </c>
      <c r="AN62" s="83">
        <f si="82" t="shared"/>
        <v>5.010886747994154E-5</v>
      </c>
      <c r="AO62" s="83">
        <f si="83" t="shared"/>
        <v>9.3059325319891432E-5</v>
      </c>
      <c r="AP62" s="83">
        <f si="84" t="shared"/>
        <v>1.5987114862648014E-4</v>
      </c>
      <c r="AQ62" s="83">
        <f si="85" t="shared"/>
        <v>3.8178184746622127E-5</v>
      </c>
      <c r="AR62" s="83">
        <f si="86" t="shared"/>
        <v>9.4252393593223367E-5</v>
      </c>
      <c r="AS62" s="83">
        <f si="87" t="shared"/>
        <v>3.4598979926626303E-5</v>
      </c>
      <c r="AT62" s="83">
        <f si="88" t="shared"/>
        <v>7.1584096399916484E-6</v>
      </c>
      <c r="AU62" s="83">
        <f si="89" t="shared"/>
        <v>0</v>
      </c>
      <c r="AV62" s="83">
        <f si="90" t="shared"/>
        <v>3.9407045068154026E-2</v>
      </c>
      <c r="CU62">
        <v>61</v>
      </c>
      <c r="CV62">
        <f si="6" t="shared"/>
        <v>4</v>
      </c>
      <c r="CW62">
        <f si="0" t="shared"/>
        <v>1</v>
      </c>
      <c r="CX62" s="44">
        <f si="1" t="shared"/>
        <v>1281.7507566077072</v>
      </c>
      <c r="CY62" s="44">
        <f si="2" t="shared"/>
        <v>1944</v>
      </c>
      <c r="CZ62" s="87">
        <f si="3" t="shared"/>
        <v>662.24924339229278</v>
      </c>
      <c r="DA62" s="63">
        <f si="4" t="shared"/>
        <v>0.51667552367591918</v>
      </c>
      <c r="DB62">
        <v>61000</v>
      </c>
    </row>
    <row r="63" spans="2:106" x14ac:dyDescent="0.45">
      <c r="B63">
        <v>7</v>
      </c>
      <c r="C63" s="83">
        <f ref="C63:X63" si="98" t="shared">IF($X$51&gt;0,C36/$X$51,0)</f>
        <v>5.0358811836351686E-3</v>
      </c>
      <c r="D63" s="83">
        <f si="98" t="shared"/>
        <v>6.8849591424721352E-3</v>
      </c>
      <c r="E63" s="83">
        <f si="98" t="shared"/>
        <v>2.6687951823405756E-3</v>
      </c>
      <c r="F63" s="83">
        <f si="98" t="shared"/>
        <v>1.6261237478434269E-3</v>
      </c>
      <c r="G63" s="83">
        <f si="98" t="shared"/>
        <v>2.7242564288563818E-3</v>
      </c>
      <c r="H63" s="83">
        <f si="98" t="shared"/>
        <v>9.4328488074082537E-3</v>
      </c>
      <c r="I63" s="83">
        <f si="98" t="shared"/>
        <v>4.2942533952258131E-2</v>
      </c>
      <c r="J63" s="83">
        <f si="98" t="shared"/>
        <v>3.0392763090661591E-4</v>
      </c>
      <c r="K63" s="83">
        <f si="98" t="shared"/>
        <v>5.5128479036710984E-3</v>
      </c>
      <c r="L63" s="83">
        <f si="98" t="shared"/>
        <v>1.73371856608409E-3</v>
      </c>
      <c r="M63" s="83">
        <f si="98" t="shared"/>
        <v>2.2994232805453093E-3</v>
      </c>
      <c r="N63" s="83">
        <f si="98" t="shared"/>
        <v>1.3887496127557778E-2</v>
      </c>
      <c r="O63" s="83">
        <f si="98" t="shared"/>
        <v>1.2011796770393225E-2</v>
      </c>
      <c r="P63" s="83">
        <f si="98" t="shared"/>
        <v>8.2082644843392623E-5</v>
      </c>
      <c r="Q63" s="83">
        <f si="98" t="shared"/>
        <v>1.219038198417412E-3</v>
      </c>
      <c r="R63" s="83">
        <f si="98" t="shared"/>
        <v>1.087040431709794E-4</v>
      </c>
      <c r="S63" s="83">
        <f si="98" t="shared"/>
        <v>1.2534241712572116E-4</v>
      </c>
      <c r="T63" s="83">
        <f si="98" t="shared"/>
        <v>8.7406924508909973E-4</v>
      </c>
      <c r="U63" s="83">
        <f si="98" t="shared"/>
        <v>2.3515568522701667E-4</v>
      </c>
      <c r="V63" s="83">
        <f si="98" t="shared"/>
        <v>2.8950770681250636E-4</v>
      </c>
      <c r="W63" s="83">
        <f si="98" t="shared"/>
        <v>0</v>
      </c>
      <c r="X63" s="83">
        <f si="98" t="shared"/>
        <v>0.10999850866465834</v>
      </c>
      <c r="Z63">
        <v>7</v>
      </c>
      <c r="AA63" s="83">
        <f si="69" t="shared"/>
        <v>5.8818265875264725E-3</v>
      </c>
      <c r="AB63" s="83">
        <f si="70" t="shared"/>
        <v>6.4461478808124804E-3</v>
      </c>
      <c r="AC63" s="83">
        <f si="71" t="shared"/>
        <v>2.1749634622841296E-3</v>
      </c>
      <c r="AD63" s="83">
        <f si="72" t="shared"/>
        <v>1.2563008918185345E-3</v>
      </c>
      <c r="AE63" s="83">
        <f si="73" t="shared"/>
        <v>1.6058698959047935E-3</v>
      </c>
      <c r="AF63" s="83">
        <f si="74" t="shared"/>
        <v>1.0686312524234201E-2</v>
      </c>
      <c r="AG63" s="83">
        <f si="75" t="shared"/>
        <v>3.4247024785993382E-2</v>
      </c>
      <c r="AH63" s="83">
        <f si="76" t="shared"/>
        <v>1.0618307632654281E-4</v>
      </c>
      <c r="AI63" s="83">
        <f si="77" t="shared"/>
        <v>8.5721955438900002E-3</v>
      </c>
      <c r="AJ63" s="83">
        <f si="78" t="shared"/>
        <v>1.2980582813851525E-3</v>
      </c>
      <c r="AK63" s="83">
        <f si="79" t="shared"/>
        <v>1.0057565544188268E-3</v>
      </c>
      <c r="AL63" s="83">
        <f si="80" t="shared"/>
        <v>2.2491723088853763E-2</v>
      </c>
      <c r="AM63" s="83">
        <f si="81" t="shared"/>
        <v>1.1879380797566143E-2</v>
      </c>
      <c r="AN63" s="83">
        <f si="82" t="shared"/>
        <v>6.561875503325679E-5</v>
      </c>
      <c r="AO63" s="83">
        <f si="83" t="shared"/>
        <v>1.4579294300116326E-3</v>
      </c>
      <c r="AP63" s="83">
        <f si="84" t="shared"/>
        <v>1.2527216869985387E-4</v>
      </c>
      <c r="AQ63" s="83">
        <f si="85" t="shared"/>
        <v>3.6985116473290186E-5</v>
      </c>
      <c r="AR63" s="83">
        <f si="86" t="shared"/>
        <v>5.5000447400602507E-4</v>
      </c>
      <c r="AS63" s="83">
        <f si="87" t="shared"/>
        <v>8.2321710859903981E-5</v>
      </c>
      <c r="AT63" s="83">
        <f si="88" t="shared"/>
        <v>2.8633638559966597E-5</v>
      </c>
      <c r="AU63" s="83">
        <f si="89" t="shared"/>
        <v>0</v>
      </c>
      <c r="AV63" s="83">
        <f si="90" t="shared"/>
        <v>0.10999850866465835</v>
      </c>
      <c r="CU63">
        <v>62</v>
      </c>
      <c r="CV63">
        <f si="6" t="shared"/>
        <v>4</v>
      </c>
      <c r="CW63">
        <f si="0" t="shared"/>
        <v>2</v>
      </c>
      <c r="CX63" s="44">
        <f si="1" t="shared"/>
        <v>765.1981975923062</v>
      </c>
      <c r="CY63" s="44">
        <f si="2" t="shared"/>
        <v>848</v>
      </c>
      <c r="CZ63" s="87">
        <f si="3" t="shared"/>
        <v>82.801802407693799</v>
      </c>
      <c r="DA63" s="63">
        <f si="4" t="shared"/>
        <v>0.10820961506212301</v>
      </c>
      <c r="DB63">
        <v>62000</v>
      </c>
    </row>
    <row r="64" spans="2:106" x14ac:dyDescent="0.45">
      <c r="B64">
        <v>8</v>
      </c>
      <c r="C64" s="83">
        <f ref="C64:X64" si="99" t="shared">IF($X$51&gt;0,C37/$X$51,0)</f>
        <v>6.033316858306023E-4</v>
      </c>
      <c r="D64" s="83">
        <f si="99" t="shared"/>
        <v>4.6512354634517799E-4</v>
      </c>
      <c r="E64" s="83">
        <f si="99" t="shared"/>
        <v>6.9502747068150882E-4</v>
      </c>
      <c r="F64" s="83">
        <f si="99" t="shared"/>
        <v>3.4020465104104452E-4</v>
      </c>
      <c r="G64" s="83">
        <f si="99" t="shared"/>
        <v>3.7741453474865873E-4</v>
      </c>
      <c r="H64" s="83">
        <f si="99" t="shared"/>
        <v>1.0976915693746202E-3</v>
      </c>
      <c r="I64" s="83">
        <f si="99" t="shared"/>
        <v>2.2591715108194363E-4</v>
      </c>
      <c r="J64" s="83">
        <f si="99" t="shared"/>
        <v>6.7509360440957272E-4</v>
      </c>
      <c r="K64" s="83">
        <f si="99" t="shared"/>
        <v>2.272460755000727E-4</v>
      </c>
      <c r="L64" s="83">
        <f si="99" t="shared"/>
        <v>2.9767906966091394E-4</v>
      </c>
      <c r="M64" s="83">
        <f si="99" t="shared"/>
        <v>8.5715624969325661E-4</v>
      </c>
      <c r="N64" s="83">
        <f si="99" t="shared"/>
        <v>3.7874345916678778E-4</v>
      </c>
      <c r="O64" s="83">
        <f si="99" t="shared"/>
        <v>3.8538808125743315E-5</v>
      </c>
      <c r="P64" s="83">
        <f si="99" t="shared"/>
        <v>1.7541802319303855E-4</v>
      </c>
      <c r="Q64" s="83">
        <f si="99" t="shared"/>
        <v>1.8604941853807121E-5</v>
      </c>
      <c r="R64" s="83">
        <f si="99" t="shared"/>
        <v>3.0565261616968841E-5</v>
      </c>
      <c r="S64" s="83">
        <f si="99" t="shared"/>
        <v>1.0365610461406825E-4</v>
      </c>
      <c r="T64" s="83">
        <f si="99" t="shared"/>
        <v>1.0631395345032641E-5</v>
      </c>
      <c r="U64" s="83">
        <f si="99" t="shared"/>
        <v>4.1196656962001479E-5</v>
      </c>
      <c r="V64" s="83">
        <f si="99" t="shared"/>
        <v>2.790741278071068E-5</v>
      </c>
      <c r="W64" s="83">
        <f si="99" t="shared"/>
        <v>0</v>
      </c>
      <c r="X64" s="83">
        <f si="99" t="shared"/>
        <v>6.6871476720255282E-3</v>
      </c>
      <c r="Z64">
        <v>8</v>
      </c>
      <c r="AA64" s="83">
        <f si="69" t="shared"/>
        <v>9.508754138455569E-4</v>
      </c>
      <c r="AB64" s="83">
        <f si="70" t="shared"/>
        <v>4.0087093983953216E-4</v>
      </c>
      <c r="AC64" s="83">
        <f si="71" t="shared"/>
        <v>5.2733617681271789E-4</v>
      </c>
      <c r="AD64" s="83">
        <f si="72" t="shared"/>
        <v>3.591135502729143E-4</v>
      </c>
      <c r="AE64" s="83">
        <f si="73" t="shared"/>
        <v>3.614996868195782E-4</v>
      </c>
      <c r="AF64" s="83">
        <f si="74" t="shared"/>
        <v>1.4137859038983504E-3</v>
      </c>
      <c r="AG64" s="83">
        <f si="75" t="shared"/>
        <v>1.7299489963313146E-4</v>
      </c>
      <c r="AH64" s="83">
        <f si="76" t="shared"/>
        <v>1.2646523697318573E-4</v>
      </c>
      <c r="AI64" s="83">
        <f si="77" t="shared"/>
        <v>3.9490559847287247E-4</v>
      </c>
      <c r="AJ64" s="83">
        <f si="78" t="shared"/>
        <v>2.8275718077967001E-4</v>
      </c>
      <c r="AK64" s="83">
        <f si="79" t="shared"/>
        <v>7.9458347003907273E-4</v>
      </c>
      <c r="AL64" s="83">
        <f si="80" t="shared"/>
        <v>6.1085095594595382E-4</v>
      </c>
      <c r="AM64" s="83">
        <f si="81" t="shared"/>
        <v>1.1930682733319413E-5</v>
      </c>
      <c r="AN64" s="83">
        <f si="82" t="shared"/>
        <v>9.6638530139887222E-5</v>
      </c>
      <c r="AO64" s="83">
        <f si="83" t="shared"/>
        <v>2.505443373997076E-5</v>
      </c>
      <c r="AP64" s="83">
        <f si="84" t="shared"/>
        <v>1.9089092373311057E-5</v>
      </c>
      <c r="AQ64" s="83">
        <f si="85" t="shared"/>
        <v>6.919795985325258E-5</v>
      </c>
      <c r="AR64" s="83">
        <f si="86" t="shared"/>
        <v>3.5792048199958225E-6</v>
      </c>
      <c r="AS64" s="83">
        <f si="87" t="shared"/>
        <v>6.4425686759924815E-5</v>
      </c>
      <c r="AT64" s="83">
        <f si="88" t="shared"/>
        <v>1.1930682733319411E-6</v>
      </c>
      <c r="AU64" s="83">
        <f si="89" t="shared"/>
        <v>0</v>
      </c>
      <c r="AV64" s="83">
        <f si="90" t="shared"/>
        <v>6.6871476720255299E-3</v>
      </c>
      <c r="CU64">
        <v>63</v>
      </c>
      <c r="CV64">
        <f si="6" t="shared"/>
        <v>4</v>
      </c>
      <c r="CW64">
        <f si="0" t="shared"/>
        <v>3</v>
      </c>
      <c r="CX64" s="44">
        <f si="1" t="shared"/>
        <v>981.4498621292621</v>
      </c>
      <c r="CY64" s="44">
        <f si="2" t="shared"/>
        <v>739</v>
      </c>
      <c r="CZ64" s="87">
        <f si="3" t="shared"/>
        <v>-242.4498621292621</v>
      </c>
      <c r="DA64" s="63">
        <f si="4" t="shared"/>
        <v>-0.24703234620998926</v>
      </c>
      <c r="DB64">
        <v>63000</v>
      </c>
    </row>
    <row r="65" spans="2:106" x14ac:dyDescent="0.45">
      <c r="B65">
        <v>9</v>
      </c>
      <c r="C65" s="83">
        <f ref="C65:X65" si="100" t="shared">IF($X$51&gt;0,C38/$X$51,0)</f>
        <v>4.808802839722395E-3</v>
      </c>
      <c r="D65" s="83">
        <f si="100" t="shared"/>
        <v>6.6891013785900563E-3</v>
      </c>
      <c r="E65" s="83">
        <f si="100" t="shared"/>
        <v>2.5690864486188139E-3</v>
      </c>
      <c r="F65" s="83">
        <f si="100" t="shared"/>
        <v>1.5601739566511014E-3</v>
      </c>
      <c r="G65" s="83">
        <f si="100" t="shared"/>
        <v>1.7994006300042704E-3</v>
      </c>
      <c r="H65" s="83">
        <f si="100" t="shared"/>
        <v>7.9788451827549674E-3</v>
      </c>
      <c r="I65" s="83">
        <f si="100" t="shared"/>
        <v>8.1302398407707404E-3</v>
      </c>
      <c r="J65" s="83">
        <f si="100" t="shared"/>
        <v>1.9646635009680535E-4</v>
      </c>
      <c r="K65" s="83">
        <f si="100" t="shared"/>
        <v>2.6553005057789413E-2</v>
      </c>
      <c r="L65" s="83">
        <f si="100" t="shared"/>
        <v>1.1915106291165078E-3</v>
      </c>
      <c r="M65" s="83">
        <f si="100" t="shared"/>
        <v>4.3280381241913891E-3</v>
      </c>
      <c r="N65" s="83">
        <f si="100" t="shared"/>
        <v>6.5226828232139373E-3</v>
      </c>
      <c r="O65" s="83">
        <f si="100" t="shared"/>
        <v>2.7643971143032848E-3</v>
      </c>
      <c r="P65" s="83">
        <f si="100" t="shared"/>
        <v>1.9415498127213704E-4</v>
      </c>
      <c r="Q65" s="83">
        <f si="100" t="shared"/>
        <v>5.9795111494168884E-3</v>
      </c>
      <c r="R65" s="83">
        <f si="100" t="shared"/>
        <v>9.1299068574397796E-5</v>
      </c>
      <c r="S65" s="83">
        <f si="100" t="shared"/>
        <v>1.2712528535675641E-4</v>
      </c>
      <c r="T65" s="83">
        <f si="100" t="shared"/>
        <v>2.461607798271738E-4</v>
      </c>
      <c r="U65" s="83">
        <f si="100" t="shared"/>
        <v>9.9851133225670489E-4</v>
      </c>
      <c r="V65" s="83">
        <f si="100" t="shared"/>
        <v>3.5826216782358624E-5</v>
      </c>
      <c r="W65" s="83">
        <f si="100" t="shared"/>
        <v>0</v>
      </c>
      <c r="X65" s="83">
        <f si="100" t="shared"/>
        <v>8.2764339189310115E-2</v>
      </c>
      <c r="Z65">
        <v>9</v>
      </c>
      <c r="AA65" s="83">
        <f si="69" t="shared"/>
        <v>6.8064544993587271E-3</v>
      </c>
      <c r="AB65" s="83">
        <f si="70" t="shared"/>
        <v>7.1321621379783467E-3</v>
      </c>
      <c r="AC65" s="83">
        <f si="71" t="shared"/>
        <v>3.2749724102961795E-3</v>
      </c>
      <c r="AD65" s="83">
        <f si="72" t="shared"/>
        <v>1.432874996271662E-3</v>
      </c>
      <c r="AE65" s="83">
        <f si="73" t="shared"/>
        <v>1.6750678557580459E-3</v>
      </c>
      <c r="AF65" s="83">
        <f si="74" t="shared"/>
        <v>1.0428609777194502E-2</v>
      </c>
      <c r="AG65" s="83">
        <f si="75" t="shared"/>
        <v>9.1711158171026361E-3</v>
      </c>
      <c r="AH65" s="83">
        <f si="76" t="shared"/>
        <v>2.1475228919974948E-4</v>
      </c>
      <c r="AI65" s="83">
        <f si="77" t="shared"/>
        <v>2.1506248695081581E-2</v>
      </c>
      <c r="AJ65" s="83">
        <f si="78" t="shared"/>
        <v>1.0069496226921587E-3</v>
      </c>
      <c r="AK65" s="83">
        <f si="79" t="shared"/>
        <v>3.6567542577624012E-3</v>
      </c>
      <c r="AL65" s="83">
        <f si="80" t="shared"/>
        <v>8.2643839293703603E-3</v>
      </c>
      <c r="AM65" s="83">
        <f si="81" t="shared"/>
        <v>1.6428550123780835E-3</v>
      </c>
      <c r="AN65" s="83">
        <f si="82" t="shared"/>
        <v>1.6106421689981212E-4</v>
      </c>
      <c r="AO65" s="83">
        <f si="83" t="shared"/>
        <v>5.4475497360336458E-3</v>
      </c>
      <c r="AP65" s="83">
        <f si="84" t="shared"/>
        <v>7.0391028126584555E-5</v>
      </c>
      <c r="AQ65" s="83">
        <f si="85" t="shared"/>
        <v>1.8611865063978289E-4</v>
      </c>
      <c r="AR65" s="83">
        <f si="86" t="shared"/>
        <v>1.1095534941987057E-4</v>
      </c>
      <c r="AS65" s="83">
        <f si="87" t="shared"/>
        <v>5.6432129328600844E-4</v>
      </c>
      <c r="AT65" s="83">
        <f si="88" t="shared"/>
        <v>1.0737614459987475E-5</v>
      </c>
      <c r="AU65" s="83">
        <f si="89" t="shared"/>
        <v>0</v>
      </c>
      <c r="AV65" s="83">
        <f si="90" t="shared"/>
        <v>8.2764339189310129E-2</v>
      </c>
      <c r="CU65">
        <v>64</v>
      </c>
      <c r="CV65">
        <f si="6" t="shared"/>
        <v>4</v>
      </c>
      <c r="CW65">
        <f si="0" t="shared"/>
        <v>4</v>
      </c>
      <c r="CX65" s="44">
        <f si="1" t="shared"/>
        <v>2850.669715515502</v>
      </c>
      <c r="CY65" s="44">
        <f si="2" t="shared"/>
        <v>1075</v>
      </c>
      <c r="CZ65" s="87">
        <f si="3" t="shared"/>
        <v>-1775.669715515502</v>
      </c>
      <c r="DA65" s="63">
        <f si="4" t="shared"/>
        <v>-0.62289563250732405</v>
      </c>
      <c r="DB65">
        <v>64000</v>
      </c>
    </row>
    <row r="66" spans="2:106" x14ac:dyDescent="0.45">
      <c r="B66">
        <v>10</v>
      </c>
      <c r="C66" s="83">
        <f ref="C66:X66" si="101" t="shared">IF($X$51&gt;0,C39/$X$51,0)</f>
        <v>2.8480582990852142E-3</v>
      </c>
      <c r="D66" s="83">
        <f si="101" t="shared"/>
        <v>1.1621134327024676E-3</v>
      </c>
      <c r="E66" s="83">
        <f si="101" t="shared"/>
        <v>8.2426416770279187E-4</v>
      </c>
      <c r="F66" s="83">
        <f si="101" t="shared"/>
        <v>1.1764197533702064E-3</v>
      </c>
      <c r="G66" s="83">
        <f si="101" t="shared"/>
        <v>2.0634116347700063E-3</v>
      </c>
      <c r="H66" s="83">
        <f si="101" t="shared"/>
        <v>9.16374863078925E-3</v>
      </c>
      <c r="I66" s="83">
        <f si="101" t="shared"/>
        <v>9.4421716407075505E-4</v>
      </c>
      <c r="J66" s="83">
        <f si="101" t="shared"/>
        <v>9.24408412376963E-5</v>
      </c>
      <c r="K66" s="83">
        <f si="101" t="shared"/>
        <v>9.4751862268638699E-4</v>
      </c>
      <c r="L66" s="83">
        <f si="101" t="shared"/>
        <v>7.1817729752048339E-3</v>
      </c>
      <c r="M66" s="83">
        <f si="101" t="shared"/>
        <v>1.024552657051134E-3</v>
      </c>
      <c r="N66" s="83">
        <f si="101" t="shared"/>
        <v>6.006453708039837E-3</v>
      </c>
      <c r="O66" s="83">
        <f si="101" t="shared"/>
        <v>2.4870988237761147E-4</v>
      </c>
      <c r="P66" s="83">
        <f si="101" t="shared"/>
        <v>5.7225282670954848E-5</v>
      </c>
      <c r="Q66" s="83">
        <f si="101" t="shared"/>
        <v>1.0674716190543501E-4</v>
      </c>
      <c r="R66" s="83">
        <f si="101" t="shared"/>
        <v>9.9373904330523504E-4</v>
      </c>
      <c r="S66" s="83">
        <f si="101" t="shared"/>
        <v>9.24408412376963E-5</v>
      </c>
      <c r="T66" s="83">
        <f si="101" t="shared"/>
        <v>6.8230144723061554E-5</v>
      </c>
      <c r="U66" s="83">
        <f si="101" t="shared"/>
        <v>8.6938410211642947E-5</v>
      </c>
      <c r="V66" s="83">
        <f si="101" t="shared"/>
        <v>5.2823337850112164E-5</v>
      </c>
      <c r="W66" s="83">
        <f si="101" t="shared"/>
        <v>0</v>
      </c>
      <c r="X66" s="83">
        <f si="101" t="shared"/>
        <v>3.5141825990992331E-2</v>
      </c>
      <c r="Z66">
        <v>10</v>
      </c>
      <c r="AA66" s="83">
        <f si="69" t="shared"/>
        <v>3.7521997196289562E-3</v>
      </c>
      <c r="AB66" s="83">
        <f si="70" t="shared"/>
        <v>1.6392758075580878E-3</v>
      </c>
      <c r="AC66" s="83">
        <f si="71" t="shared"/>
        <v>8.5065767888567435E-4</v>
      </c>
      <c r="AD66" s="83">
        <f si="72" t="shared"/>
        <v>1.2014197512452652E-3</v>
      </c>
      <c r="AE66" s="83">
        <f si="73" t="shared"/>
        <v>2.0282160646643006E-3</v>
      </c>
      <c r="AF66" s="83">
        <f si="74" t="shared"/>
        <v>8.6020222507232989E-3</v>
      </c>
      <c r="AG66" s="83">
        <f si="75" t="shared"/>
        <v>1.1381871327586723E-3</v>
      </c>
      <c r="AH66" s="83">
        <f si="76" t="shared"/>
        <v>8.4707847406567864E-5</v>
      </c>
      <c r="AI66" s="83">
        <f si="77" t="shared"/>
        <v>8.745190443523132E-4</v>
      </c>
      <c r="AJ66" s="83">
        <f si="78" t="shared"/>
        <v>4.0397291735019538E-3</v>
      </c>
      <c r="AK66" s="83">
        <f si="79" t="shared"/>
        <v>5.0586094789274326E-4</v>
      </c>
      <c r="AL66" s="83">
        <f si="80" t="shared"/>
        <v>9.2605959376025303E-3</v>
      </c>
      <c r="AM66" s="83">
        <f si="81" t="shared"/>
        <v>9.4252393593223394E-5</v>
      </c>
      <c r="AN66" s="83">
        <f si="82" t="shared"/>
        <v>4.7722730933277664E-5</v>
      </c>
      <c r="AO66" s="83">
        <f si="83" t="shared"/>
        <v>4.1757389566617958E-5</v>
      </c>
      <c r="AP66" s="83">
        <f si="84" t="shared"/>
        <v>7.8623199212574958E-4</v>
      </c>
      <c r="AQ66" s="83">
        <f si="85" t="shared"/>
        <v>2.147522891997495E-5</v>
      </c>
      <c r="AR66" s="83">
        <f si="86" t="shared"/>
        <v>1.2885137351984968E-4</v>
      </c>
      <c r="AS66" s="83">
        <f si="87" t="shared"/>
        <v>2.8633638559966597E-5</v>
      </c>
      <c r="AT66" s="83">
        <f si="88" t="shared"/>
        <v>1.550988755331524E-5</v>
      </c>
      <c r="AU66" s="83">
        <f si="89" t="shared"/>
        <v>0</v>
      </c>
      <c r="AV66" s="83">
        <f si="90" t="shared"/>
        <v>3.5141825990992338E-2</v>
      </c>
      <c r="CU66">
        <v>65</v>
      </c>
      <c r="CV66">
        <f si="6" t="shared"/>
        <v>4</v>
      </c>
      <c r="CW66">
        <f si="0" t="shared"/>
        <v>5</v>
      </c>
      <c r="CX66" s="44">
        <f si="1" t="shared"/>
        <v>1170.5606294976126</v>
      </c>
      <c r="CY66" s="44">
        <f si="2" t="shared"/>
        <v>766</v>
      </c>
      <c r="CZ66" s="87">
        <f si="3" t="shared"/>
        <v>-404.56062949761258</v>
      </c>
      <c r="DA66" s="63">
        <f si="4" t="shared"/>
        <v>-0.3456127083919131</v>
      </c>
      <c r="DB66">
        <v>65000</v>
      </c>
    </row>
    <row r="67" spans="2:106" x14ac:dyDescent="0.45">
      <c r="B67">
        <v>11</v>
      </c>
      <c r="C67" s="83">
        <f ref="C67:X67" si="102" t="shared">IF($X$51&gt;0,C40/$X$51,0)</f>
        <v>4.04343802045688E-3</v>
      </c>
      <c r="D67" s="83">
        <f si="102" t="shared"/>
        <v>2.8898747878621975E-3</v>
      </c>
      <c r="E67" s="83">
        <f si="102" t="shared"/>
        <v>4.3656401647333264E-3</v>
      </c>
      <c r="F67" s="83">
        <f si="102" t="shared"/>
        <v>2.2474594014344684E-3</v>
      </c>
      <c r="G67" s="83">
        <f si="102" t="shared"/>
        <v>2.1261363717995107E-3</v>
      </c>
      <c r="H67" s="83">
        <f si="102" t="shared"/>
        <v>6.9154126891926085E-3</v>
      </c>
      <c r="I67" s="83">
        <f si="102" t="shared"/>
        <v>2.0992861931098065E-3</v>
      </c>
      <c r="J67" s="83">
        <f si="102" t="shared"/>
        <v>1.2868196749806205E-3</v>
      </c>
      <c r="K67" s="83">
        <f si="102" t="shared"/>
        <v>4.4233183263630606E-3</v>
      </c>
      <c r="L67" s="83">
        <f si="102" t="shared"/>
        <v>8.7312803294666529E-4</v>
      </c>
      <c r="M67" s="83">
        <f si="102" t="shared"/>
        <v>2.6887967830081929E-2</v>
      </c>
      <c r="N67" s="83">
        <f si="102" t="shared"/>
        <v>3.0350646429991145E-3</v>
      </c>
      <c r="O67" s="83">
        <f si="102" t="shared"/>
        <v>6.8716568424390177E-4</v>
      </c>
      <c r="P67" s="83">
        <f si="102" t="shared"/>
        <v>5.7379826310959665E-4</v>
      </c>
      <c r="Q67" s="83">
        <f si="102" t="shared"/>
        <v>8.2141657769242075E-4</v>
      </c>
      <c r="R67" s="83">
        <f si="102" t="shared"/>
        <v>8.2539438194274747E-5</v>
      </c>
      <c r="S67" s="83">
        <f si="102" t="shared"/>
        <v>1.5473658533770058E-3</v>
      </c>
      <c r="T67" s="83">
        <f si="102" t="shared"/>
        <v>8.2539438194274747E-5</v>
      </c>
      <c r="U67" s="83">
        <f si="102" t="shared"/>
        <v>5.3670523847530209E-3</v>
      </c>
      <c r="V67" s="83">
        <f si="102" t="shared"/>
        <v>4.8728102066499544E-5</v>
      </c>
      <c r="W67" s="83">
        <f si="102" t="shared"/>
        <v>0</v>
      </c>
      <c r="X67" s="83">
        <f si="102" t="shared"/>
        <v>7.0404151877591206E-2</v>
      </c>
      <c r="Z67">
        <v>11</v>
      </c>
      <c r="AA67" s="83">
        <f si="69" t="shared"/>
        <v>6.7193605154054949E-3</v>
      </c>
      <c r="AB67" s="83">
        <f si="70" t="shared"/>
        <v>3.5672741372625052E-3</v>
      </c>
      <c r="AC67" s="83">
        <f si="71" t="shared"/>
        <v>4.5217287559280589E-3</v>
      </c>
      <c r="AD67" s="83">
        <f si="72" t="shared"/>
        <v>2.3038148358039794E-3</v>
      </c>
      <c r="AE67" s="83">
        <f si="73" t="shared"/>
        <v>1.7335282011513111E-3</v>
      </c>
      <c r="AF67" s="83">
        <f si="74" t="shared"/>
        <v>8.692695439496528E-3</v>
      </c>
      <c r="AG67" s="83">
        <f si="75" t="shared"/>
        <v>1.8468696871178458E-3</v>
      </c>
      <c r="AH67" s="83">
        <f si="76" t="shared"/>
        <v>6.311331165925971E-4</v>
      </c>
      <c r="AI67" s="83">
        <f si="77" t="shared"/>
        <v>6.7360634712321423E-3</v>
      </c>
      <c r="AJ67" s="83">
        <f si="78" t="shared"/>
        <v>1.1358009962120085E-3</v>
      </c>
      <c r="AK67" s="83">
        <f si="79" t="shared"/>
        <v>2.072001670295583E-2</v>
      </c>
      <c r="AL67" s="83">
        <f si="80" t="shared"/>
        <v>4.0791004265219085E-3</v>
      </c>
      <c r="AM67" s="83">
        <f si="81" t="shared"/>
        <v>1.7418796790646349E-4</v>
      </c>
      <c r="AN67" s="83">
        <f si="82" t="shared"/>
        <v>9.0911802427893953E-4</v>
      </c>
      <c r="AO67" s="83">
        <f si="83" t="shared"/>
        <v>9.0076654636561595E-4</v>
      </c>
      <c r="AP67" s="83">
        <f si="84" t="shared"/>
        <v>7.6356369493244268E-5</v>
      </c>
      <c r="AQ67" s="83">
        <f si="85" t="shared"/>
        <v>1.3541324902317537E-3</v>
      </c>
      <c r="AR67" s="83">
        <f si="86" t="shared"/>
        <v>4.5336594386613782E-5</v>
      </c>
      <c r="AS67" s="83">
        <f si="87" t="shared"/>
        <v>4.2532883944283719E-3</v>
      </c>
      <c r="AT67" s="83">
        <f si="88" t="shared"/>
        <v>3.5792048199958255E-6</v>
      </c>
      <c r="AU67" s="83">
        <f si="89" t="shared"/>
        <v>0</v>
      </c>
      <c r="AV67" s="83">
        <f si="90" t="shared"/>
        <v>7.0404151877591206E-2</v>
      </c>
      <c r="CU67">
        <v>66</v>
      </c>
      <c r="CV67">
        <f si="6" t="shared"/>
        <v>4</v>
      </c>
      <c r="CW67">
        <f ref="CW67:CW130" si="103" t="shared">MOD(ROW()-2,$CS$2)+1</f>
        <v>6</v>
      </c>
      <c r="CX67" s="44">
        <f ref="CX67:CX130" si="104" t="shared">VLOOKUP($CV67,$B$30:$V$49,MATCH($CW67,$B$29:$V$29,0),0)</f>
        <v>2159.8901069338895</v>
      </c>
      <c r="CY67" s="44">
        <f ref="CY67:CY130" si="105" t="shared">VLOOKUP($CV67,$AY$30:$BS$49,MATCH($CW67,$AY$29:$BS$29,0),0)</f>
        <v>2931</v>
      </c>
      <c r="CZ67" s="87">
        <f ref="CZ67:CZ130" si="106" t="shared">CY67-CX67</f>
        <v>771.10989306611054</v>
      </c>
      <c r="DA67" s="63">
        <f ref="DA67:DA130" si="107" t="shared">CZ67/CX67</f>
        <v>0.35701348443173964</v>
      </c>
      <c r="DB67">
        <v>66000</v>
      </c>
    </row>
    <row r="68" spans="2:106" x14ac:dyDescent="0.45">
      <c r="B68">
        <v>12</v>
      </c>
      <c r="C68" s="83">
        <f ref="C68:X68" si="108" t="shared">IF($X$51&gt;0,C41/$X$51,0)</f>
        <v>8.4726267939204663E-3</v>
      </c>
      <c r="D68" s="83">
        <f si="108" t="shared"/>
        <v>4.9482850667963213E-3</v>
      </c>
      <c r="E68" s="83">
        <f si="108" t="shared"/>
        <v>2.2883632795652597E-3</v>
      </c>
      <c r="F68" s="83">
        <f si="108" t="shared"/>
        <v>1.959424718367006E-3</v>
      </c>
      <c r="G68" s="83">
        <f si="108" t="shared"/>
        <v>3.4544013021517608E-3</v>
      </c>
      <c r="H68" s="83">
        <f si="108" t="shared"/>
        <v>2.0730779089471338E-2</v>
      </c>
      <c r="I68" s="83">
        <f si="108" t="shared"/>
        <v>9.7359257199841915E-3</v>
      </c>
      <c r="J68" s="83">
        <f si="108" t="shared"/>
        <v>2.928755295718671E-4</v>
      </c>
      <c r="K68" s="83">
        <f si="108" t="shared"/>
        <v>3.5057638017408567E-3</v>
      </c>
      <c r="L68" s="83">
        <f si="108" t="shared"/>
        <v>2.5484542349313208E-3</v>
      </c>
      <c r="M68" s="83">
        <f si="108" t="shared"/>
        <v>1.940846792983716E-3</v>
      </c>
      <c r="N68" s="83">
        <f si="108" t="shared"/>
        <v>7.6502803909248338E-2</v>
      </c>
      <c r="O68" s="83">
        <f si="108" t="shared"/>
        <v>2.8325872113816393E-3</v>
      </c>
      <c r="P68" s="83">
        <f si="108" t="shared"/>
        <v>9.6168084337030975E-5</v>
      </c>
      <c r="Q68" s="83">
        <f si="108" t="shared"/>
        <v>5.2892446385367038E-4</v>
      </c>
      <c r="R68" s="83">
        <f si="108" t="shared"/>
        <v>6.4257765443379781E-4</v>
      </c>
      <c r="S68" s="83">
        <f si="108" t="shared"/>
        <v>1.5408749876728826E-4</v>
      </c>
      <c r="T68" s="83">
        <f si="108" t="shared"/>
        <v>4.027038531613172E-3</v>
      </c>
      <c r="U68" s="83">
        <f si="108" t="shared"/>
        <v>2.1528537061812615E-4</v>
      </c>
      <c r="V68" s="83">
        <f si="108" t="shared"/>
        <v>1.1245108952591463E-3</v>
      </c>
      <c r="W68" s="83">
        <f si="108" t="shared"/>
        <v>0</v>
      </c>
      <c r="X68" s="83">
        <f si="108" t="shared"/>
        <v>0.14600172994899632</v>
      </c>
      <c r="Z68">
        <v>12</v>
      </c>
      <c r="AA68" s="83">
        <f si="69" t="shared"/>
        <v>9.228383094222567E-3</v>
      </c>
      <c r="AB68" s="83">
        <f si="70" t="shared"/>
        <v>6.4461478808124795E-3</v>
      </c>
      <c r="AC68" s="83">
        <f si="71" t="shared"/>
        <v>2.3217108599039582E-3</v>
      </c>
      <c r="AD68" s="83">
        <f si="72" t="shared"/>
        <v>2.1630327795508098E-3</v>
      </c>
      <c r="AE68" s="83">
        <f si="73" t="shared"/>
        <v>2.9277895427565841E-3</v>
      </c>
      <c r="AF68" s="83">
        <f si="74" t="shared"/>
        <v>1.9789423449756913E-2</v>
      </c>
      <c r="AG68" s="83">
        <f si="75" t="shared"/>
        <v>1.3509112058937572E-2</v>
      </c>
      <c r="AH68" s="83">
        <f si="76" t="shared"/>
        <v>1.6225728517314404E-4</v>
      </c>
      <c r="AI68" s="83">
        <f si="77" t="shared"/>
        <v>4.6815999045545379E-3</v>
      </c>
      <c r="AJ68" s="83">
        <f si="78" t="shared"/>
        <v>3.0447102335431145E-3</v>
      </c>
      <c r="AK68" s="83">
        <f si="79" t="shared"/>
        <v>1.059444626718764E-3</v>
      </c>
      <c r="AL68" s="83">
        <f si="80" t="shared"/>
        <v>7.3546693709547528E-2</v>
      </c>
      <c r="AM68" s="83">
        <f si="81" t="shared"/>
        <v>2.7941658961434068E-3</v>
      </c>
      <c r="AN68" s="83">
        <f si="82" t="shared"/>
        <v>6.5618755033256776E-5</v>
      </c>
      <c r="AO68" s="83">
        <f si="83" t="shared"/>
        <v>3.8178184746622126E-4</v>
      </c>
      <c r="AP68" s="83">
        <f si="84" t="shared"/>
        <v>6.3351925313926089E-4</v>
      </c>
      <c r="AQ68" s="83">
        <f si="85" t="shared"/>
        <v>4.2950457839949892E-5</v>
      </c>
      <c r="AR68" s="83">
        <f si="86" t="shared"/>
        <v>2.9254034062099203E-3</v>
      </c>
      <c r="AS68" s="83">
        <f si="87" t="shared"/>
        <v>7.7549437766576189E-5</v>
      </c>
      <c r="AT68" s="83">
        <f si="88" t="shared"/>
        <v>2.0043546991976616E-4</v>
      </c>
      <c r="AU68" s="83">
        <f si="89" t="shared"/>
        <v>0</v>
      </c>
      <c r="AV68" s="83">
        <f si="90" t="shared"/>
        <v>0.14600172994899632</v>
      </c>
      <c r="CU68">
        <v>67</v>
      </c>
      <c r="CV68">
        <f ref="CV68:CV131" si="109" t="shared">IF(CW67&lt;$CS$2,CV67,CV67+1)</f>
        <v>4</v>
      </c>
      <c r="CW68">
        <f si="103" t="shared"/>
        <v>7</v>
      </c>
      <c r="CX68" s="44">
        <f si="104" t="shared"/>
        <v>527.05871275808727</v>
      </c>
      <c r="CY68" s="44">
        <f si="105" t="shared"/>
        <v>512</v>
      </c>
      <c r="CZ68" s="87">
        <f si="106" t="shared"/>
        <v>-15.058712758087268</v>
      </c>
      <c r="DA68" s="63">
        <f si="107" t="shared"/>
        <v>-2.8571224407401098E-2</v>
      </c>
      <c r="DB68">
        <v>67000</v>
      </c>
    </row>
    <row r="69" spans="2:106" x14ac:dyDescent="0.45">
      <c r="B69">
        <v>13</v>
      </c>
      <c r="C69" s="83">
        <f ref="C69:X69" si="110" t="shared">IF($X$51&gt;0,C42/$X$51,0)</f>
        <v>1.6753236192779599E-3</v>
      </c>
      <c r="D69" s="83">
        <f si="110" t="shared"/>
        <v>1.8626810071295913E-3</v>
      </c>
      <c r="E69" s="83">
        <f si="110" t="shared"/>
        <v>4.7492919246111206E-4</v>
      </c>
      <c r="F69" s="83">
        <f si="110" t="shared"/>
        <v>3.9976837989272508E-4</v>
      </c>
      <c r="G69" s="83">
        <f si="110" t="shared"/>
        <v>4.8146491529314588E-4</v>
      </c>
      <c r="H69" s="83">
        <f si="110" t="shared"/>
        <v>3.4922545665833152E-3</v>
      </c>
      <c r="I69" s="83">
        <f si="110" t="shared"/>
        <v>1.6084413889634819E-2</v>
      </c>
      <c r="J69" s="83">
        <f si="110" t="shared"/>
        <v>2.5053604189462339E-5</v>
      </c>
      <c r="K69" s="83">
        <f si="110" t="shared"/>
        <v>2.0010204737409701E-3</v>
      </c>
      <c r="L69" s="83">
        <f si="110" t="shared"/>
        <v>4.7275061818376755E-4</v>
      </c>
      <c r="M69" s="83">
        <f si="110" t="shared"/>
        <v>4.9126849954119628E-4</v>
      </c>
      <c r="N69" s="83">
        <f si="110" t="shared"/>
        <v>7.1228485997780104E-3</v>
      </c>
      <c r="O69" s="83">
        <f si="110" t="shared"/>
        <v>7.856919202529257E-2</v>
      </c>
      <c r="P69" s="83">
        <f si="110" t="shared"/>
        <v>3.1589327021495988E-5</v>
      </c>
      <c r="Q69" s="83">
        <f si="110" t="shared"/>
        <v>2.641521311280268E-3</v>
      </c>
      <c r="R69" s="83">
        <f si="110" t="shared"/>
        <v>9.9125129619177083E-5</v>
      </c>
      <c r="S69" s="83">
        <f si="110" t="shared"/>
        <v>4.2482198408218746E-5</v>
      </c>
      <c r="T69" s="83">
        <f si="110" t="shared"/>
        <v>2.6502356083896463E-3</v>
      </c>
      <c r="U69" s="83">
        <f si="110" t="shared"/>
        <v>1.1219657528324439E-4</v>
      </c>
      <c r="V69" s="83">
        <f si="110" t="shared"/>
        <v>3.3332186443371626E-4</v>
      </c>
      <c r="W69" s="83">
        <f si="110" t="shared"/>
        <v>0</v>
      </c>
      <c r="X69" s="83">
        <f si="110" t="shared"/>
        <v>0.11906344140543441</v>
      </c>
      <c r="Z69">
        <v>13</v>
      </c>
      <c r="AA69" s="83">
        <f si="69" t="shared"/>
        <v>1.6500134220180751E-3</v>
      </c>
      <c r="AB69" s="83">
        <f si="70" t="shared"/>
        <v>1.8337459361111939E-3</v>
      </c>
      <c r="AC69" s="83">
        <f si="71" t="shared"/>
        <v>5.8698959047931518E-4</v>
      </c>
      <c r="AD69" s="83">
        <f si="72" t="shared"/>
        <v>3.5553434545291856E-4</v>
      </c>
      <c r="AE69" s="83">
        <f si="73" t="shared"/>
        <v>4.5097980731947387E-4</v>
      </c>
      <c r="AF69" s="83">
        <f si="74" t="shared"/>
        <v>2.955230113043219E-3</v>
      </c>
      <c r="AG69" s="83">
        <f si="75" t="shared"/>
        <v>2.9252840993825871E-2</v>
      </c>
      <c r="AH69" s="83">
        <f si="76" t="shared"/>
        <v>2.1475228919974946E-5</v>
      </c>
      <c r="AI69" s="83">
        <f si="77" t="shared"/>
        <v>2.8108688519700542E-3</v>
      </c>
      <c r="AJ69" s="83">
        <f si="78" t="shared"/>
        <v>2.9826706833298533E-4</v>
      </c>
      <c r="AK69" s="83">
        <f si="79" t="shared"/>
        <v>2.5889581531303126E-4</v>
      </c>
      <c r="AL69" s="83">
        <f si="80" t="shared"/>
        <v>1.010886747994154E-2</v>
      </c>
      <c r="AM69" s="83">
        <f si="81" t="shared"/>
        <v>6.2358099442240585E-2</v>
      </c>
      <c r="AN69" s="83">
        <f si="82" t="shared"/>
        <v>1.6702955826647181E-5</v>
      </c>
      <c r="AO69" s="83">
        <f si="83" t="shared"/>
        <v>3.4217198079160081E-3</v>
      </c>
      <c r="AP69" s="83">
        <f si="84" t="shared"/>
        <v>4.6529662659945716E-5</v>
      </c>
      <c r="AQ69" s="83">
        <f si="85" t="shared"/>
        <v>1.0737614459987473E-5</v>
      </c>
      <c r="AR69" s="83">
        <f si="86" t="shared"/>
        <v>2.4720374623437825E-3</v>
      </c>
      <c r="AS69" s="83">
        <f si="87" t="shared"/>
        <v>9.4252393593223367E-5</v>
      </c>
      <c r="AT69" s="83">
        <f si="88" t="shared"/>
        <v>5.965341366659707E-5</v>
      </c>
      <c r="AU69" s="83">
        <f si="89" t="shared"/>
        <v>0</v>
      </c>
      <c r="AV69" s="83">
        <f si="90" t="shared"/>
        <v>0.11906344140543443</v>
      </c>
      <c r="CU69">
        <v>68</v>
      </c>
      <c r="CV69">
        <f si="109" t="shared"/>
        <v>4</v>
      </c>
      <c r="CW69">
        <f si="103" t="shared"/>
        <v>8</v>
      </c>
      <c r="CX69" s="44">
        <f si="104" t="shared"/>
        <v>451.76461093550341</v>
      </c>
      <c r="CY69" s="44">
        <f si="105" t="shared"/>
        <v>124</v>
      </c>
      <c r="CZ69" s="87">
        <f si="106" t="shared"/>
        <v>-327.76461093550341</v>
      </c>
      <c r="DA69" s="63">
        <f si="107" t="shared"/>
        <v>-0.72552077564636208</v>
      </c>
      <c r="DB69">
        <v>68000</v>
      </c>
    </row>
    <row r="70" spans="2:106" x14ac:dyDescent="0.45">
      <c r="B70">
        <v>14</v>
      </c>
      <c r="C70" s="83">
        <f ref="C70:X70" si="111" t="shared">IF($X$51&gt;0,C43/$X$51,0)</f>
        <v>8.2947180405063014E-4</v>
      </c>
      <c r="D70" s="83">
        <f si="111" t="shared"/>
        <v>1.0953842689375736E-3</v>
      </c>
      <c r="E70" s="83">
        <f si="111" t="shared"/>
        <v>4.4647031141511497E-4</v>
      </c>
      <c r="F70" s="83">
        <f si="111" t="shared"/>
        <v>4.6069608114157693E-4</v>
      </c>
      <c r="G70" s="83">
        <f si="111" t="shared"/>
        <v>4.1364161204635654E-4</v>
      </c>
      <c r="H70" s="83">
        <f si="111" t="shared"/>
        <v>2.2947260858762158E-3</v>
      </c>
      <c r="I70" s="83">
        <f si="111" t="shared"/>
        <v>5.9748232851140383E-4</v>
      </c>
      <c r="J70" s="83">
        <f si="111" t="shared"/>
        <v>3.0202403419257772E-4</v>
      </c>
      <c r="K70" s="83">
        <f si="111" t="shared"/>
        <v>4.8477046067866642E-4</v>
      </c>
      <c r="L70" s="83">
        <f si="111" t="shared"/>
        <v>2.7904394463444687E-4</v>
      </c>
      <c r="M70" s="83">
        <f si="111" t="shared"/>
        <v>2.4391723630987528E-3</v>
      </c>
      <c r="N70" s="83">
        <f si="111" t="shared"/>
        <v>7.4521147567081683E-4</v>
      </c>
      <c r="O70" s="83">
        <f si="111" t="shared"/>
        <v>6.6751688716475518E-5</v>
      </c>
      <c r="P70" s="83">
        <f si="111" t="shared"/>
        <v>1.303627651933398E-2</v>
      </c>
      <c r="Q70" s="83">
        <f si="111" t="shared"/>
        <v>9.739180812731675E-5</v>
      </c>
      <c r="R70" s="83">
        <f si="111" t="shared"/>
        <v>1.4225769726461997E-5</v>
      </c>
      <c r="S70" s="83">
        <f si="111" t="shared"/>
        <v>2.0649251902949066E-3</v>
      </c>
      <c r="T70" s="83">
        <f si="111" t="shared"/>
        <v>1.2037189768544764E-5</v>
      </c>
      <c r="U70" s="83">
        <f si="111" t="shared"/>
        <v>4.9899623040512849E-4</v>
      </c>
      <c r="V70" s="83">
        <f si="111" t="shared"/>
        <v>4.3771599158344602E-6</v>
      </c>
      <c r="W70" s="83">
        <f si="111" t="shared"/>
        <v>0</v>
      </c>
      <c r="X70" s="83">
        <f si="111" t="shared"/>
        <v>2.6183076326542779E-2</v>
      </c>
      <c r="Z70">
        <v>14</v>
      </c>
      <c r="AA70" s="83">
        <f si="69" t="shared"/>
        <v>1.5318996629582126E-3</v>
      </c>
      <c r="AB70" s="83">
        <f si="70" t="shared"/>
        <v>6.0011334148596645E-4</v>
      </c>
      <c r="AC70" s="83">
        <f si="71" t="shared"/>
        <v>8.602022250723296E-4</v>
      </c>
      <c r="AD70" s="83">
        <f si="72" t="shared"/>
        <v>6.2994004831926499E-4</v>
      </c>
      <c r="AE70" s="83">
        <f si="73" t="shared"/>
        <v>4.7603424105944456E-4</v>
      </c>
      <c r="AF70" s="83">
        <f si="74" t="shared"/>
        <v>2.030602201210964E-3</v>
      </c>
      <c r="AG70" s="83">
        <f si="75" t="shared"/>
        <v>2.7559877113967843E-4</v>
      </c>
      <c r="AH70" s="83">
        <f si="76" t="shared"/>
        <v>3.3047991171294771E-4</v>
      </c>
      <c r="AI70" s="83">
        <f si="77" t="shared"/>
        <v>6.3948459450592046E-4</v>
      </c>
      <c r="AJ70" s="83">
        <f si="78" t="shared"/>
        <v>3.9251946192620868E-4</v>
      </c>
      <c r="AK70" s="83">
        <f si="79" t="shared"/>
        <v>3.0840814865630678E-3</v>
      </c>
      <c r="AL70" s="83">
        <f si="80" t="shared"/>
        <v>8.1009335759238811E-4</v>
      </c>
      <c r="AM70" s="83">
        <f si="81" t="shared"/>
        <v>2.3861365466638825E-5</v>
      </c>
      <c r="AN70" s="83">
        <f si="82" t="shared"/>
        <v>1.2023742058639304E-2</v>
      </c>
      <c r="AO70" s="83">
        <f si="83" t="shared"/>
        <v>5.9653413666597063E-5</v>
      </c>
      <c r="AP70" s="83">
        <f si="84" t="shared"/>
        <v>2.7440570286634649E-5</v>
      </c>
      <c r="AQ70" s="83">
        <f si="85" t="shared"/>
        <v>1.906523100784442E-3</v>
      </c>
      <c r="AR70" s="83">
        <f si="86" t="shared"/>
        <v>1.1930682733319413E-5</v>
      </c>
      <c r="AS70" s="83">
        <f si="87" t="shared"/>
        <v>4.6887583141945292E-4</v>
      </c>
      <c r="AT70" s="83">
        <f si="88" t="shared"/>
        <v>0</v>
      </c>
      <c r="AU70" s="83">
        <f si="89" t="shared"/>
        <v>0</v>
      </c>
      <c r="AV70" s="83">
        <f si="90" t="shared"/>
        <v>2.6183076326542782E-2</v>
      </c>
      <c r="CU70">
        <v>69</v>
      </c>
      <c r="CV70">
        <f si="109" t="shared"/>
        <v>4</v>
      </c>
      <c r="CW70">
        <f si="103" t="shared"/>
        <v>9</v>
      </c>
      <c r="CX70" s="44">
        <f si="104" t="shared"/>
        <v>317.81115071625527</v>
      </c>
      <c r="CY70" s="44">
        <f si="105" t="shared"/>
        <v>684</v>
      </c>
      <c r="CZ70" s="87">
        <f si="106" t="shared"/>
        <v>366.18884928374473</v>
      </c>
      <c r="DA70" s="63">
        <f si="107" t="shared"/>
        <v>1.1522215267099973</v>
      </c>
      <c r="DB70">
        <v>69000</v>
      </c>
    </row>
    <row r="71" spans="2:106" x14ac:dyDescent="0.45">
      <c r="B71">
        <v>15</v>
      </c>
      <c r="C71" s="83">
        <f ref="C71:X71" si="112" t="shared">IF($X$51&gt;0,C44/$X$51,0)</f>
        <v>1.0483432235431902E-3</v>
      </c>
      <c r="D71" s="83">
        <f si="112" t="shared"/>
        <v>1.7727348930301153E-3</v>
      </c>
      <c r="E71" s="83">
        <f si="112" t="shared"/>
        <v>2.4746299268186889E-4</v>
      </c>
      <c r="F71" s="83">
        <f si="112" t="shared"/>
        <v>3.7231932080772096E-4</v>
      </c>
      <c r="G71" s="83">
        <f si="112" t="shared"/>
        <v>3.925662929362375E-4</v>
      </c>
      <c r="H71" s="83">
        <f si="112" t="shared"/>
        <v>1.8795939125972861E-3</v>
      </c>
      <c r="I71" s="83">
        <f si="112" t="shared"/>
        <v>3.1202833713613837E-3</v>
      </c>
      <c r="J71" s="83">
        <f si="112" t="shared"/>
        <v>4.0493944257033092E-5</v>
      </c>
      <c r="K71" s="83">
        <f si="112" t="shared"/>
        <v>5.6657777006298808E-3</v>
      </c>
      <c r="L71" s="83">
        <f si="112" t="shared"/>
        <v>1.8109791737173136E-4</v>
      </c>
      <c r="M71" s="83">
        <f si="112" t="shared"/>
        <v>8.7736879223571703E-4</v>
      </c>
      <c r="N71" s="83">
        <f si="112" t="shared"/>
        <v>2.0010757453683852E-3</v>
      </c>
      <c r="O71" s="83">
        <f si="112" t="shared"/>
        <v>4.5229486071536136E-3</v>
      </c>
      <c r="P71" s="83">
        <f si="112" t="shared"/>
        <v>1.7997308558681377E-5</v>
      </c>
      <c r="Q71" s="83">
        <f si="112" t="shared"/>
        <v>2.7940821537352837E-2</v>
      </c>
      <c r="R71" s="83">
        <f si="112" t="shared"/>
        <v>2.5871131053104478E-5</v>
      </c>
      <c r="S71" s="83">
        <f si="112" t="shared"/>
        <v>1.6647510416780274E-4</v>
      </c>
      <c r="T71" s="83">
        <f si="112" t="shared"/>
        <v>1.2485632812585202E-4</v>
      </c>
      <c r="U71" s="83">
        <f si="112" t="shared"/>
        <v>9.9097680251239331E-4</v>
      </c>
      <c r="V71" s="83">
        <f si="112" t="shared"/>
        <v>2.0246972128516546E-5</v>
      </c>
      <c r="W71" s="83">
        <f si="112" t="shared"/>
        <v>0</v>
      </c>
      <c r="X71" s="83">
        <f si="112" t="shared"/>
        <v>5.1409311897873358E-2</v>
      </c>
      <c r="Z71">
        <v>15</v>
      </c>
      <c r="AA71" s="83">
        <f si="69" t="shared"/>
        <v>1.2527216869985388E-3</v>
      </c>
      <c r="AB71" s="83">
        <f si="70" t="shared"/>
        <v>1.3374295344051065E-3</v>
      </c>
      <c r="AC71" s="83">
        <f si="71" t="shared"/>
        <v>5.8102424911265561E-4</v>
      </c>
      <c r="AD71" s="83">
        <f si="72" t="shared"/>
        <v>2.3503444984639252E-4</v>
      </c>
      <c r="AE71" s="83">
        <f si="73" t="shared"/>
        <v>2.6128195185969527E-4</v>
      </c>
      <c r="AF71" s="83">
        <f si="74" t="shared"/>
        <v>1.9065231007844429E-3</v>
      </c>
      <c r="AG71" s="83">
        <f si="75" t="shared"/>
        <v>3.1914576311629439E-3</v>
      </c>
      <c r="AH71" s="83">
        <f si="76" t="shared"/>
        <v>3.9371253019954075E-5</v>
      </c>
      <c r="AI71" s="83">
        <f si="77" t="shared"/>
        <v>7.8718644674441521E-3</v>
      </c>
      <c r="AJ71" s="83">
        <f si="78" t="shared"/>
        <v>1.5032660243982464E-4</v>
      </c>
      <c r="AK71" s="83">
        <f si="79" t="shared"/>
        <v>1.0797267873654073E-3</v>
      </c>
      <c r="AL71" s="83">
        <f si="80" t="shared"/>
        <v>1.6643302412980585E-3</v>
      </c>
      <c r="AM71" s="83">
        <f si="81" t="shared"/>
        <v>6.5773853908789939E-3</v>
      </c>
      <c r="AN71" s="83">
        <f si="82" t="shared"/>
        <v>3.2212843379962428E-5</v>
      </c>
      <c r="AO71" s="83">
        <f si="83" t="shared"/>
        <v>2.3163420526739645E-2</v>
      </c>
      <c r="AP71" s="83">
        <f si="84" t="shared"/>
        <v>1.6702955826647184E-5</v>
      </c>
      <c r="AQ71" s="83">
        <f si="85" t="shared"/>
        <v>1.1334148596653445E-4</v>
      </c>
      <c r="AR71" s="83">
        <f si="86" t="shared"/>
        <v>5.965341366659709E-5</v>
      </c>
      <c r="AS71" s="83">
        <f si="87" t="shared"/>
        <v>1.8743102574044805E-3</v>
      </c>
      <c r="AT71" s="83">
        <f si="88" t="shared"/>
        <v>1.1930682733319417E-6</v>
      </c>
      <c r="AU71" s="83">
        <f si="89" t="shared"/>
        <v>0</v>
      </c>
      <c r="AV71" s="83">
        <f si="90" t="shared"/>
        <v>5.1409311897873365E-2</v>
      </c>
      <c r="CU71">
        <v>70</v>
      </c>
      <c r="CV71">
        <f si="109" t="shared"/>
        <v>4</v>
      </c>
      <c r="CW71">
        <f si="103" t="shared"/>
        <v>10</v>
      </c>
      <c r="CX71" s="44">
        <f si="104" t="shared"/>
        <v>625.1161476898244</v>
      </c>
      <c r="CY71" s="44">
        <f si="105" t="shared"/>
        <v>728</v>
      </c>
      <c r="CZ71" s="87">
        <f si="106" t="shared"/>
        <v>102.8838523101756</v>
      </c>
      <c r="DA71" s="63">
        <f si="107" t="shared"/>
        <v>0.1645835780924754</v>
      </c>
      <c r="DB71">
        <v>70000</v>
      </c>
    </row>
    <row r="72" spans="2:106" x14ac:dyDescent="0.45">
      <c r="B72">
        <v>16</v>
      </c>
      <c r="C72" s="83">
        <f ref="C72:X72" si="113" t="shared">IF($X$51&gt;0,C45/$X$51,0)</f>
        <v>1.4546974694817434E-3</v>
      </c>
      <c r="D72" s="83">
        <f si="113" t="shared"/>
        <v>6.9795458982872989E-4</v>
      </c>
      <c r="E72" s="83">
        <f si="113" t="shared"/>
        <v>3.8149847651928781E-4</v>
      </c>
      <c r="F72" s="83">
        <f si="113" t="shared"/>
        <v>4.3403269295800944E-4</v>
      </c>
      <c r="G72" s="83">
        <f si="113" t="shared"/>
        <v>6.0914674775374811E-4</v>
      </c>
      <c r="H72" s="83">
        <f si="113" t="shared"/>
        <v>3.7436883285974702E-3</v>
      </c>
      <c r="I72" s="83">
        <f si="113" t="shared"/>
        <v>4.8031283601116887E-4</v>
      </c>
      <c r="J72" s="83">
        <f si="113" t="shared"/>
        <v>7.3798065949632718E-5</v>
      </c>
      <c r="K72" s="83">
        <f si="113" t="shared"/>
        <v>4.9157016810518069E-4</v>
      </c>
      <c r="L72" s="83">
        <f si="113" t="shared"/>
        <v>2.0938637694861892E-3</v>
      </c>
      <c r="M72" s="83">
        <f si="113" t="shared"/>
        <v>3.4522485088302765E-4</v>
      </c>
      <c r="N72" s="83">
        <f si="113" t="shared"/>
        <v>5.0657994423052967E-3</v>
      </c>
      <c r="O72" s="83">
        <f si="113" t="shared"/>
        <v>7.504888062674514E-5</v>
      </c>
      <c r="P72" s="83">
        <f si="113" t="shared"/>
        <v>3.8775254990484992E-5</v>
      </c>
      <c r="Q72" s="83">
        <f si="113" t="shared"/>
        <v>1.375896144823661E-5</v>
      </c>
      <c r="R72" s="83">
        <f si="113" t="shared"/>
        <v>3.011961742486705E-3</v>
      </c>
      <c r="S72" s="83">
        <f si="113" t="shared"/>
        <v>1.250814677112419E-5</v>
      </c>
      <c r="T72" s="83">
        <f si="113" t="shared"/>
        <v>2.9519226379853087E-4</v>
      </c>
      <c r="U72" s="83">
        <f si="113" t="shared"/>
        <v>8.0052139335194816E-5</v>
      </c>
      <c r="V72" s="83">
        <f si="113" t="shared"/>
        <v>8.6306212720756913E-5</v>
      </c>
      <c r="W72" s="83">
        <f si="113" t="shared"/>
        <v>0</v>
      </c>
      <c r="X72" s="83">
        <f si="113" t="shared"/>
        <v>1.9485191040057259E-2</v>
      </c>
      <c r="Z72">
        <v>16</v>
      </c>
      <c r="AA72" s="83">
        <f si="69" t="shared"/>
        <v>1.3338503295851102E-3</v>
      </c>
      <c r="AB72" s="83">
        <f si="70" t="shared"/>
        <v>5.3210844990604579E-4</v>
      </c>
      <c r="AC72" s="83">
        <f si="71" t="shared"/>
        <v>2.9707400005965333E-4</v>
      </c>
      <c r="AD72" s="83">
        <f si="72" t="shared"/>
        <v>3.6269275509291014E-4</v>
      </c>
      <c r="AE72" s="83">
        <f si="73" t="shared"/>
        <v>8.0770722104572422E-4</v>
      </c>
      <c r="AF72" s="83">
        <f si="74" t="shared"/>
        <v>3.6818086915023701E-3</v>
      </c>
      <c r="AG72" s="83">
        <f si="75" t="shared"/>
        <v>4.545590121394696E-4</v>
      </c>
      <c r="AH72" s="83">
        <f si="76" t="shared"/>
        <v>3.3405911653294349E-5</v>
      </c>
      <c r="AI72" s="83">
        <f si="77" t="shared"/>
        <v>2.6008888358636315E-4</v>
      </c>
      <c r="AJ72" s="83">
        <f si="78" t="shared"/>
        <v>1.8170429802845465E-3</v>
      </c>
      <c r="AK72" s="83">
        <f si="79" t="shared"/>
        <v>1.6702955826647178E-4</v>
      </c>
      <c r="AL72" s="83">
        <f si="80" t="shared"/>
        <v>7.0128553106451504E-3</v>
      </c>
      <c r="AM72" s="83">
        <f si="81" t="shared"/>
        <v>7.5163301219912293E-5</v>
      </c>
      <c r="AN72" s="83">
        <f si="82" t="shared"/>
        <v>5.9653413666597063E-6</v>
      </c>
      <c r="AO72" s="83">
        <f si="83" t="shared"/>
        <v>1.7896024099979116E-5</v>
      </c>
      <c r="AP72" s="83">
        <f si="84" t="shared"/>
        <v>2.0711665225042497E-3</v>
      </c>
      <c r="AQ72" s="83">
        <f si="85" t="shared"/>
        <v>5.9653413666597063E-6</v>
      </c>
      <c r="AR72" s="83">
        <f si="86" t="shared"/>
        <v>4.2115310048617527E-4</v>
      </c>
      <c r="AS72" s="83">
        <f si="87" t="shared"/>
        <v>4.7722730933277642E-6</v>
      </c>
      <c r="AT72" s="83">
        <f si="88" t="shared"/>
        <v>1.2288603215318994E-4</v>
      </c>
      <c r="AU72" s="83">
        <f si="89" t="shared"/>
        <v>0</v>
      </c>
      <c r="AV72" s="83">
        <f si="90" t="shared"/>
        <v>1.9485191040057262E-2</v>
      </c>
      <c r="CU72">
        <v>71</v>
      </c>
      <c r="CV72">
        <f si="109" t="shared"/>
        <v>4</v>
      </c>
      <c r="CW72">
        <f si="103" t="shared"/>
        <v>11</v>
      </c>
      <c r="CX72" s="44">
        <f si="104" t="shared"/>
        <v>548.07102024345954</v>
      </c>
      <c r="CY72" s="44">
        <f si="105" t="shared"/>
        <v>672</v>
      </c>
      <c r="CZ72" s="87">
        <f si="106" t="shared"/>
        <v>123.92897975654046</v>
      </c>
      <c r="DA72" s="63">
        <f si="107" t="shared"/>
        <v>0.22611846855447632</v>
      </c>
    </row>
    <row r="73" spans="2:106" x14ac:dyDescent="0.45">
      <c r="B73">
        <v>17</v>
      </c>
      <c r="C73" s="83">
        <f ref="C73:X73" si="114" t="shared">IF($X$51&gt;0,C46/$X$51,0)</f>
        <v>1.0371012593233787E-3</v>
      </c>
      <c r="D73" s="83">
        <f si="114" t="shared"/>
        <v>1.1143456754634593E-3</v>
      </c>
      <c r="E73" s="83">
        <f si="114" t="shared"/>
        <v>4.6346649684048428E-4</v>
      </c>
      <c r="F73" s="83">
        <f si="114" t="shared"/>
        <v>4.9892295015068529E-4</v>
      </c>
      <c r="G73" s="83">
        <f si="114" t="shared"/>
        <v>4.4447196828144807E-4</v>
      </c>
      <c r="H73" s="83">
        <f si="114" t="shared"/>
        <v>1.8715942140170375E-3</v>
      </c>
      <c r="I73" s="83">
        <f si="114" t="shared"/>
        <v>6.0149340436948097E-4</v>
      </c>
      <c r="J73" s="83">
        <f si="114" t="shared"/>
        <v>3.4063521215871659E-4</v>
      </c>
      <c r="K73" s="83">
        <f si="114" t="shared"/>
        <v>7.0153125478040503E-4</v>
      </c>
      <c r="L73" s="83">
        <f si="114" t="shared"/>
        <v>1.4562471895261116E-4</v>
      </c>
      <c r="M73" s="83">
        <f si="114" t="shared"/>
        <v>4.5675509674962481E-3</v>
      </c>
      <c r="N73" s="83">
        <f si="114" t="shared"/>
        <v>7.5598223664964236E-4</v>
      </c>
      <c r="O73" s="83">
        <f si="114" t="shared"/>
        <v>1.9754309701397688E-4</v>
      </c>
      <c r="P73" s="83">
        <f si="114" t="shared"/>
        <v>1.9298441015980817E-3</v>
      </c>
      <c r="Q73" s="83">
        <f si="114" t="shared"/>
        <v>1.8994528559036241E-4</v>
      </c>
      <c r="R73" s="83">
        <f si="114" t="shared"/>
        <v>1.2663019039357493E-5</v>
      </c>
      <c r="S73" s="83">
        <f si="114" t="shared"/>
        <v>8.9400914417863894E-3</v>
      </c>
      <c r="T73" s="83">
        <f si="114" t="shared"/>
        <v>0</v>
      </c>
      <c r="U73" s="83">
        <f si="114" t="shared"/>
        <v>3.8039709194229911E-3</v>
      </c>
      <c r="V73" s="83">
        <f si="114" t="shared"/>
        <v>6.3315095196787467E-6</v>
      </c>
      <c r="W73" s="83">
        <f si="114" t="shared"/>
        <v>0</v>
      </c>
      <c r="X73" s="83">
        <f si="114" t="shared"/>
        <v>2.7623109732454437E-2</v>
      </c>
      <c r="Z73">
        <v>17</v>
      </c>
      <c r="AA73" s="83">
        <f si="69" t="shared"/>
        <v>1.2741969159185134E-3</v>
      </c>
      <c r="AB73" s="83">
        <f si="70" t="shared"/>
        <v>5.2137083544605842E-4</v>
      </c>
      <c r="AC73" s="83">
        <f si="71" t="shared"/>
        <v>9.186625704655949E-4</v>
      </c>
      <c r="AD73" s="83">
        <f si="72" t="shared"/>
        <v>4.6529662659945713E-4</v>
      </c>
      <c r="AE73" s="83">
        <f si="73" t="shared"/>
        <v>3.2332150207295613E-4</v>
      </c>
      <c r="AF73" s="83">
        <f si="74" t="shared"/>
        <v>1.5629194380648434E-3</v>
      </c>
      <c r="AG73" s="83">
        <f si="75" t="shared"/>
        <v>2.4815820085304384E-4</v>
      </c>
      <c r="AH73" s="83">
        <f si="76" t="shared"/>
        <v>1.5390580725982043E-4</v>
      </c>
      <c r="AI73" s="83">
        <f si="77" t="shared"/>
        <v>8.3395472305902707E-4</v>
      </c>
      <c r="AJ73" s="83">
        <f si="78" t="shared"/>
        <v>2.3742058639305633E-4</v>
      </c>
      <c r="AK73" s="83">
        <f si="79" t="shared"/>
        <v>5.5942971336534735E-3</v>
      </c>
      <c r="AL73" s="83">
        <f si="80" t="shared"/>
        <v>6.5738061860589974E-4</v>
      </c>
      <c r="AM73" s="83">
        <f si="81" t="shared"/>
        <v>2.7440570286634652E-5</v>
      </c>
      <c r="AN73" s="83">
        <f si="82" t="shared"/>
        <v>3.1902645628896112E-3</v>
      </c>
      <c r="AO73" s="83">
        <f si="83" t="shared"/>
        <v>1.9208399200644258E-4</v>
      </c>
      <c r="AP73" s="83">
        <f si="84" t="shared"/>
        <v>1.9089092373311064E-5</v>
      </c>
      <c r="AQ73" s="83">
        <f si="85" t="shared"/>
        <v>7.7585229814776148E-3</v>
      </c>
      <c r="AR73" s="83">
        <f si="86" t="shared"/>
        <v>3.5792048199958242E-6</v>
      </c>
      <c r="AS73" s="83">
        <f si="87" t="shared"/>
        <v>3.6412443702090853E-3</v>
      </c>
      <c r="AT73" s="83">
        <f si="88" t="shared"/>
        <v>0</v>
      </c>
      <c r="AU73" s="83">
        <f si="89" t="shared"/>
        <v>0</v>
      </c>
      <c r="AV73" s="83">
        <f si="90" t="shared"/>
        <v>2.7623109732454441E-2</v>
      </c>
      <c r="CU73">
        <v>72</v>
      </c>
      <c r="CV73">
        <f si="109" t="shared"/>
        <v>4</v>
      </c>
      <c r="CW73">
        <f si="103" t="shared"/>
        <v>12</v>
      </c>
      <c r="CX73" s="44">
        <f si="104" t="shared"/>
        <v>1055.8684511399556</v>
      </c>
      <c r="CY73" s="44">
        <f si="105" t="shared"/>
        <v>1733</v>
      </c>
      <c r="CZ73" s="87">
        <f si="106" t="shared"/>
        <v>677.1315488600444</v>
      </c>
      <c r="DA73" s="63">
        <f si="107" t="shared"/>
        <v>0.64130294652613928</v>
      </c>
    </row>
    <row r="74" spans="2:106" x14ac:dyDescent="0.45">
      <c r="B74">
        <v>18</v>
      </c>
      <c r="C74" s="83">
        <f ref="C74:X74" si="115" t="shared">IF($X$51&gt;0,C47/$X$51,0)</f>
        <v>1.3219407090509846E-3</v>
      </c>
      <c r="D74" s="83">
        <f si="115" t="shared"/>
        <v>1.0905318008628143E-3</v>
      </c>
      <c r="E74" s="83">
        <f si="115" t="shared"/>
        <v>4.2540440008244482E-4</v>
      </c>
      <c r="F74" s="83">
        <f si="115" t="shared"/>
        <v>5.1131668934990913E-4</v>
      </c>
      <c r="G74" s="83">
        <f si="115" t="shared"/>
        <v>9.8937700866079978E-4</v>
      </c>
      <c r="H74" s="83">
        <f si="115" t="shared"/>
        <v>3.6221729700830962E-3</v>
      </c>
      <c r="I74" s="83">
        <f si="115" t="shared"/>
        <v>3.4087779289993948E-3</v>
      </c>
      <c r="J74" s="83">
        <f si="115" t="shared"/>
        <v>1.0946888471176918E-4</v>
      </c>
      <c r="K74" s="83">
        <f si="115" t="shared"/>
        <v>6.1385716363688279E-4</v>
      </c>
      <c r="L74" s="83">
        <f si="115" t="shared"/>
        <v>3.7274848085399882E-4</v>
      </c>
      <c r="M74" s="83">
        <f si="115" t="shared"/>
        <v>1.7875298895972435E-4</v>
      </c>
      <c r="N74" s="83">
        <f si="115" t="shared"/>
        <v>2.0842044239869875E-2</v>
      </c>
      <c r="O74" s="83">
        <f si="115" t="shared"/>
        <v>7.633722606039701E-3</v>
      </c>
      <c r="P74" s="83">
        <f si="115" t="shared"/>
        <v>1.2471138764631929E-5</v>
      </c>
      <c r="Q74" s="83">
        <f si="115" t="shared"/>
        <v>2.2309481567841567E-4</v>
      </c>
      <c r="R74" s="83">
        <f si="115" t="shared"/>
        <v>2.868361915865344E-4</v>
      </c>
      <c r="S74" s="83">
        <f si="115" t="shared"/>
        <v>2.2170913359345654E-5</v>
      </c>
      <c r="T74" s="83">
        <f si="115" t="shared"/>
        <v>1.591871579201018E-2</v>
      </c>
      <c r="U74" s="83">
        <f si="115" t="shared"/>
        <v>8.3140925097546209E-5</v>
      </c>
      <c r="V74" s="83">
        <f si="115" t="shared"/>
        <v>5.1270237143486832E-3</v>
      </c>
      <c r="W74" s="83">
        <f si="115" t="shared"/>
        <v>0</v>
      </c>
      <c r="X74" s="83">
        <f si="115" t="shared"/>
        <v>6.2793569362006738E-2</v>
      </c>
      <c r="Z74">
        <v>18</v>
      </c>
      <c r="AA74" s="83">
        <f si="69" t="shared"/>
        <v>1.1859098636919497E-3</v>
      </c>
      <c r="AB74" s="83">
        <f si="70" t="shared"/>
        <v>8.1725176723237991E-4</v>
      </c>
      <c r="AC74" s="83">
        <f si="71" t="shared"/>
        <v>2.8275718077967011E-4</v>
      </c>
      <c r="AD74" s="83">
        <f si="72" t="shared"/>
        <v>2.3503444984639246E-4</v>
      </c>
      <c r="AE74" s="83">
        <f si="73" t="shared"/>
        <v>4.0206400811286427E-4</v>
      </c>
      <c r="AF74" s="83">
        <f si="74" t="shared"/>
        <v>2.6474184985235782E-3</v>
      </c>
      <c r="AG74" s="83">
        <f si="75" t="shared"/>
        <v>3.1902645628896112E-3</v>
      </c>
      <c r="AH74" s="83">
        <f si="76" t="shared"/>
        <v>2.0282160646643005E-5</v>
      </c>
      <c r="AI74" s="83">
        <f si="77" t="shared"/>
        <v>5.6074208846601243E-4</v>
      </c>
      <c r="AJ74" s="83">
        <f si="78" t="shared"/>
        <v>4.8557878724610014E-4</v>
      </c>
      <c r="AK74" s="83">
        <f si="79" t="shared"/>
        <v>1.1930682733319414E-4</v>
      </c>
      <c r="AL74" s="83">
        <f si="80" t="shared"/>
        <v>2.5992185402809675E-2</v>
      </c>
      <c r="AM74" s="83">
        <f si="81" t="shared"/>
        <v>9.1281653592626844E-3</v>
      </c>
      <c r="AN74" s="83">
        <f si="82" t="shared"/>
        <v>1.0737614459987473E-5</v>
      </c>
      <c r="AO74" s="83">
        <f si="83" t="shared"/>
        <v>1.4078205625316908E-4</v>
      </c>
      <c r="AP74" s="83">
        <f si="84" t="shared"/>
        <v>2.8752945387299791E-4</v>
      </c>
      <c r="AQ74" s="83">
        <f si="85" t="shared"/>
        <v>1.550988755331524E-5</v>
      </c>
      <c r="AR74" s="83">
        <f si="86" t="shared"/>
        <v>1.3788290034897246E-2</v>
      </c>
      <c r="AS74" s="83">
        <f si="87" t="shared"/>
        <v>9.5445461866555318E-6</v>
      </c>
      <c r="AT74" s="83">
        <f si="88" t="shared"/>
        <v>3.4742148119426136E-3</v>
      </c>
      <c r="AU74" s="83">
        <f si="89" t="shared"/>
        <v>0</v>
      </c>
      <c r="AV74" s="83">
        <f si="90" t="shared"/>
        <v>6.2793569362006738E-2</v>
      </c>
      <c r="CU74">
        <v>73</v>
      </c>
      <c r="CV74">
        <f si="109" t="shared"/>
        <v>4</v>
      </c>
      <c r="CW74">
        <f si="103" t="shared"/>
        <v>13</v>
      </c>
      <c r="CX74" s="44">
        <f si="104" t="shared"/>
        <v>103.31051180308022</v>
      </c>
      <c r="CY74" s="44">
        <f si="105" t="shared"/>
        <v>32</v>
      </c>
      <c r="CZ74" s="87">
        <f si="106" t="shared"/>
        <v>-71.310511803080217</v>
      </c>
      <c r="DA74" s="63">
        <f si="107" t="shared"/>
        <v>-0.69025417218922425</v>
      </c>
    </row>
    <row r="75" spans="2:106" x14ac:dyDescent="0.45">
      <c r="B75">
        <v>19</v>
      </c>
      <c r="C75" s="83">
        <f ref="C75:X75" si="116" t="shared">IF($X$51&gt;0,C48/$X$51,0)</f>
        <v>1.430979677237943E-3</v>
      </c>
      <c r="D75" s="83">
        <f si="116" t="shared"/>
        <v>1.2074987955106762E-3</v>
      </c>
      <c r="E75" s="83">
        <f si="116" t="shared"/>
        <v>5.733279164730924E-4</v>
      </c>
      <c r="F75" s="83">
        <f si="116" t="shared"/>
        <v>4.1888039611707572E-4</v>
      </c>
      <c r="G75" s="83">
        <f si="116" t="shared"/>
        <v>4.1654028217228762E-4</v>
      </c>
      <c r="H75" s="83">
        <f si="116" t="shared"/>
        <v>1.9844166251803365E-3</v>
      </c>
      <c r="I75" s="83">
        <f si="116" t="shared"/>
        <v>8.4829130498569809E-4</v>
      </c>
      <c r="J75" s="83">
        <f si="116" t="shared"/>
        <v>2.2114076778247853E-4</v>
      </c>
      <c r="K75" s="83">
        <f si="116" t="shared"/>
        <v>1.1080439528571807E-3</v>
      </c>
      <c r="L75" s="83">
        <f si="116" t="shared"/>
        <v>1.8018877374868621E-4</v>
      </c>
      <c r="M75" s="83">
        <f si="116" t="shared"/>
        <v>1.0092911443871217E-2</v>
      </c>
      <c r="N75" s="83">
        <f si="116" t="shared"/>
        <v>1.7305142621708239E-3</v>
      </c>
      <c r="O75" s="83">
        <f si="116" t="shared"/>
        <v>3.2410578135315637E-4</v>
      </c>
      <c r="P75" s="83">
        <f si="116" t="shared"/>
        <v>4.9961432721226629E-4</v>
      </c>
      <c r="Q75" s="83">
        <f si="116" t="shared"/>
        <v>2.3038421786439165E-3</v>
      </c>
      <c r="R75" s="83">
        <f si="116" t="shared"/>
        <v>4.9142392840550784E-5</v>
      </c>
      <c r="S75" s="83">
        <f si="116" t="shared"/>
        <v>4.3479317094163496E-3</v>
      </c>
      <c r="T75" s="83">
        <f si="116" t="shared"/>
        <v>1.4040683668728794E-5</v>
      </c>
      <c r="U75" s="83">
        <f si="116" t="shared"/>
        <v>2.8956569952808351E-2</v>
      </c>
      <c r="V75" s="83">
        <f si="116" t="shared"/>
        <v>1.287062669633473E-5</v>
      </c>
      <c r="W75" s="83">
        <f si="116" t="shared"/>
        <v>0</v>
      </c>
      <c r="X75" s="83">
        <f si="116" t="shared"/>
        <v>5.6720851850747149E-2</v>
      </c>
      <c r="Z75">
        <v>19</v>
      </c>
      <c r="AA75" s="83">
        <f si="69" t="shared"/>
        <v>1.5020729561249142E-3</v>
      </c>
      <c r="AB75" s="83">
        <f si="70" t="shared"/>
        <v>7.8623199212574937E-4</v>
      </c>
      <c r="AC75" s="83">
        <f si="71" t="shared"/>
        <v>1.0570584901721E-3</v>
      </c>
      <c r="AD75" s="83">
        <f si="72" t="shared"/>
        <v>4.9750946997941957E-4</v>
      </c>
      <c r="AE75" s="83">
        <f si="73" t="shared"/>
        <v>3.7462343782622962E-4</v>
      </c>
      <c r="AF75" s="83">
        <f si="74" t="shared"/>
        <v>1.9303844662510812E-3</v>
      </c>
      <c r="AG75" s="83">
        <f si="75" t="shared"/>
        <v>5.0944015271273894E-4</v>
      </c>
      <c r="AH75" s="83">
        <f si="76" t="shared"/>
        <v>1.5748501207981627E-4</v>
      </c>
      <c r="AI75" s="83">
        <f si="77" t="shared"/>
        <v>2.6331016792435946E-3</v>
      </c>
      <c r="AJ75" s="83">
        <f si="78" t="shared"/>
        <v>2.6128195185969516E-4</v>
      </c>
      <c r="AK75" s="83">
        <f si="79" t="shared"/>
        <v>1.3189369761684612E-2</v>
      </c>
      <c r="AL75" s="83">
        <f si="80" t="shared"/>
        <v>9.3417245801891017E-4</v>
      </c>
      <c r="AM75" s="83">
        <f si="81" t="shared"/>
        <v>1.813463775464551E-4</v>
      </c>
      <c r="AN75" s="83">
        <f si="82" t="shared"/>
        <v>8.7929131744564077E-4</v>
      </c>
      <c r="AO75" s="83">
        <f si="83" t="shared"/>
        <v>3.3847346914427177E-3</v>
      </c>
      <c r="AP75" s="83">
        <f si="84" t="shared"/>
        <v>2.2668297193306887E-5</v>
      </c>
      <c r="AQ75" s="83">
        <f si="85" t="shared"/>
        <v>6.1156679690995315E-3</v>
      </c>
      <c r="AR75" s="83">
        <f si="86" t="shared"/>
        <v>7.1584096399916484E-6</v>
      </c>
      <c r="AS75" s="83">
        <f si="87" t="shared"/>
        <v>2.229605989202732E-2</v>
      </c>
      <c r="AT75" s="83">
        <f si="88" t="shared"/>
        <v>1.1930682733319415E-6</v>
      </c>
      <c r="AU75" s="83">
        <f si="89" t="shared"/>
        <v>0</v>
      </c>
      <c r="AV75" s="83">
        <f si="90" t="shared"/>
        <v>5.6720851850747156E-2</v>
      </c>
      <c r="CU75">
        <v>74</v>
      </c>
      <c r="CV75">
        <f si="109" t="shared"/>
        <v>4</v>
      </c>
      <c r="CW75">
        <f si="103" t="shared"/>
        <v>14</v>
      </c>
      <c r="CX75" s="44">
        <f si="104" t="shared"/>
        <v>24.514358732934291</v>
      </c>
      <c r="CY75" s="44">
        <f si="105" t="shared"/>
        <v>60</v>
      </c>
      <c r="CZ75" s="87">
        <f si="106" t="shared"/>
        <v>35.485641267065709</v>
      </c>
      <c r="DA75" s="63">
        <f si="107" t="shared"/>
        <v>1.4475451572547904</v>
      </c>
    </row>
    <row r="76" spans="2:106" x14ac:dyDescent="0.45">
      <c r="B76">
        <v>20</v>
      </c>
      <c r="C76" s="83">
        <f ref="C76:X76" si="117" t="shared">IF($X$51&gt;0,C49/$X$51,0)</f>
        <v>3.559769250311085E-4</v>
      </c>
      <c r="D76" s="83">
        <f si="117" t="shared"/>
        <v>3.6286045673060511E-4</v>
      </c>
      <c r="E76" s="83">
        <f si="117" t="shared"/>
        <v>4.9168083567832675E-5</v>
      </c>
      <c r="F76" s="83">
        <f si="117" t="shared"/>
        <v>4.9168083567832675E-5</v>
      </c>
      <c r="G76" s="83">
        <f si="117" t="shared"/>
        <v>1.180034005627984E-4</v>
      </c>
      <c r="H76" s="83">
        <f si="117" t="shared"/>
        <v>5.1233143077681644E-4</v>
      </c>
      <c r="I76" s="83">
        <f si="117" t="shared"/>
        <v>3.7957760514366817E-4</v>
      </c>
      <c r="J76" s="83">
        <f si="117" t="shared"/>
        <v>3.9334466854266134E-6</v>
      </c>
      <c r="K76" s="83">
        <f si="117" t="shared"/>
        <v>1.4062071900400143E-4</v>
      </c>
      <c r="L76" s="83">
        <f si="117" t="shared"/>
        <v>1.6913820747334441E-4</v>
      </c>
      <c r="M76" s="83">
        <f si="117" t="shared"/>
        <v>6.6868593652252435E-5</v>
      </c>
      <c r="N76" s="83">
        <f si="117" t="shared"/>
        <v>5.653346248629401E-3</v>
      </c>
      <c r="O76" s="83">
        <f si="117" t="shared"/>
        <v>5.4773245094565592E-4</v>
      </c>
      <c r="P76" s="83">
        <f si="117" t="shared"/>
        <v>9.8336167135665356E-6</v>
      </c>
      <c r="Q76" s="83">
        <f si="117" t="shared"/>
        <v>4.9168083567832678E-6</v>
      </c>
      <c r="R76" s="83">
        <f si="117" t="shared"/>
        <v>8.5552465408028844E-5</v>
      </c>
      <c r="S76" s="83">
        <f si="117" t="shared"/>
        <v>1.9667233427133071E-5</v>
      </c>
      <c r="T76" s="83">
        <f si="117" t="shared"/>
        <v>4.2019044217069795E-3</v>
      </c>
      <c r="U76" s="83">
        <f si="117" t="shared"/>
        <v>1.0816978384923187E-5</v>
      </c>
      <c r="V76" s="83">
        <f si="117" t="shared"/>
        <v>2.412677860673549E-2</v>
      </c>
      <c r="W76" s="83">
        <f si="117" t="shared"/>
        <v>0</v>
      </c>
      <c r="X76" s="83">
        <f si="117" t="shared"/>
        <v>3.6868195782503652E-2</v>
      </c>
      <c r="Z76">
        <v>20</v>
      </c>
      <c r="AA76" s="83">
        <f si="69" t="shared"/>
        <v>1.8850478718644673E-4</v>
      </c>
      <c r="AB76" s="83">
        <f si="70" t="shared"/>
        <v>1.2049989560652609E-4</v>
      </c>
      <c r="AC76" s="83">
        <f si="71" t="shared"/>
        <v>5.3688072299937364E-5</v>
      </c>
      <c r="AD76" s="83">
        <f si="72" t="shared"/>
        <v>4.056432129328601E-5</v>
      </c>
      <c r="AE76" s="83">
        <f si="73" t="shared"/>
        <v>6.5618755033256776E-5</v>
      </c>
      <c r="AF76" s="83">
        <f si="74" t="shared"/>
        <v>4.2353923703283922E-4</v>
      </c>
      <c r="AG76" s="83">
        <f si="75" t="shared"/>
        <v>2.1952456229307722E-4</v>
      </c>
      <c r="AH76" s="83">
        <f si="76" t="shared"/>
        <v>2.386136546663883E-6</v>
      </c>
      <c r="AI76" s="83">
        <f si="77" t="shared"/>
        <v>7.5163301219912306E-5</v>
      </c>
      <c r="AJ76" s="83">
        <f si="78" t="shared"/>
        <v>9.6638530139887249E-5</v>
      </c>
      <c r="AK76" s="83">
        <f si="79" t="shared"/>
        <v>1.9089092373311064E-5</v>
      </c>
      <c r="AL76" s="83">
        <f si="80" t="shared"/>
        <v>4.7734661616010976E-3</v>
      </c>
      <c r="AM76" s="83">
        <f si="81" t="shared"/>
        <v>2.0520774301309392E-4</v>
      </c>
      <c r="AN76" s="83">
        <f si="82" t="shared"/>
        <v>3.5792048199958242E-6</v>
      </c>
      <c r="AO76" s="83">
        <f si="83" t="shared"/>
        <v>5.9653413666597072E-6</v>
      </c>
      <c r="AP76" s="83">
        <f si="84" t="shared"/>
        <v>1.3481671488650937E-4</v>
      </c>
      <c r="AQ76" s="83">
        <f si="85" t="shared"/>
        <v>1.1930682733319415E-6</v>
      </c>
      <c r="AR76" s="83">
        <f si="86" t="shared"/>
        <v>7.5067855758045752E-3</v>
      </c>
      <c r="AS76" s="83">
        <f si="87" t="shared"/>
        <v>1.1930682733319415E-6</v>
      </c>
      <c r="AT76" s="83">
        <f si="88" t="shared"/>
        <v>2.2930772213439914E-2</v>
      </c>
      <c r="AU76" s="83">
        <f si="89" t="shared"/>
        <v>0</v>
      </c>
      <c r="AV76" s="83">
        <f si="90" t="shared"/>
        <v>3.6868195782503652E-2</v>
      </c>
      <c r="CU76">
        <v>75</v>
      </c>
      <c r="CV76">
        <f si="109" t="shared"/>
        <v>4</v>
      </c>
      <c r="CW76">
        <f si="103" t="shared"/>
        <v>15</v>
      </c>
      <c r="CX76" s="44">
        <f si="104" t="shared"/>
        <v>54.28179433721165</v>
      </c>
      <c r="CY76" s="44">
        <f si="105" t="shared"/>
        <v>41</v>
      </c>
      <c r="CZ76" s="87">
        <f si="106" t="shared"/>
        <v>-13.28179433721165</v>
      </c>
      <c r="DA76" s="63">
        <f si="107" t="shared"/>
        <v>-0.24468230093319923</v>
      </c>
    </row>
    <row r="77" spans="2:106" x14ac:dyDescent="0.45">
      <c r="B77" s="80" t="s">
        <v>15</v>
      </c>
      <c r="C77" s="84">
        <f ref="C77:X77" si="118" t="shared">IF($X$51&gt;0,C50/$X$51,0)</f>
        <v>0</v>
      </c>
      <c r="D77" s="84">
        <f si="118" t="shared"/>
        <v>0</v>
      </c>
      <c r="E77" s="84">
        <f si="118" t="shared"/>
        <v>0</v>
      </c>
      <c r="F77" s="84">
        <f si="118" t="shared"/>
        <v>0</v>
      </c>
      <c r="G77" s="84">
        <f si="118" t="shared"/>
        <v>0</v>
      </c>
      <c r="H77" s="84">
        <f si="118" t="shared"/>
        <v>0</v>
      </c>
      <c r="I77" s="84">
        <f si="118" t="shared"/>
        <v>0</v>
      </c>
      <c r="J77" s="84">
        <f si="118" t="shared"/>
        <v>0</v>
      </c>
      <c r="K77" s="84">
        <f si="118" t="shared"/>
        <v>0</v>
      </c>
      <c r="L77" s="84">
        <f si="118" t="shared"/>
        <v>0</v>
      </c>
      <c r="M77" s="84">
        <f si="118" t="shared"/>
        <v>0</v>
      </c>
      <c r="N77" s="84">
        <f si="118" t="shared"/>
        <v>0</v>
      </c>
      <c r="O77" s="84">
        <f si="118" t="shared"/>
        <v>0</v>
      </c>
      <c r="P77" s="84">
        <f si="118" t="shared"/>
        <v>0</v>
      </c>
      <c r="Q77" s="84">
        <f si="118" t="shared"/>
        <v>0</v>
      </c>
      <c r="R77" s="84">
        <f si="118" t="shared"/>
        <v>0</v>
      </c>
      <c r="S77" s="84">
        <f si="118" t="shared"/>
        <v>0</v>
      </c>
      <c r="T77" s="84">
        <f si="118" t="shared"/>
        <v>0</v>
      </c>
      <c r="U77" s="84">
        <f si="118" t="shared"/>
        <v>0</v>
      </c>
      <c r="V77" s="84">
        <f si="118" t="shared"/>
        <v>0</v>
      </c>
      <c r="W77" s="84">
        <f si="118" t="shared"/>
        <v>0</v>
      </c>
      <c r="X77" s="84">
        <f si="118" t="shared"/>
        <v>0</v>
      </c>
      <c r="Z77" s="80" t="s">
        <v>15</v>
      </c>
      <c r="AA77" s="84">
        <f si="69" t="shared"/>
        <v>0</v>
      </c>
      <c r="AB77" s="84">
        <f si="70" t="shared"/>
        <v>0</v>
      </c>
      <c r="AC77" s="84">
        <f si="71" t="shared"/>
        <v>0</v>
      </c>
      <c r="AD77" s="84">
        <f si="72" t="shared"/>
        <v>0</v>
      </c>
      <c r="AE77" s="84">
        <f si="73" t="shared"/>
        <v>0</v>
      </c>
      <c r="AF77" s="84">
        <f si="74" t="shared"/>
        <v>0</v>
      </c>
      <c r="AG77" s="84">
        <f si="75" t="shared"/>
        <v>0</v>
      </c>
      <c r="AH77" s="84">
        <f si="76" t="shared"/>
        <v>0</v>
      </c>
      <c r="AI77" s="84">
        <f si="77" t="shared"/>
        <v>0</v>
      </c>
      <c r="AJ77" s="84">
        <f si="78" t="shared"/>
        <v>0</v>
      </c>
      <c r="AK77" s="84">
        <f si="79" t="shared"/>
        <v>0</v>
      </c>
      <c r="AL77" s="84">
        <f si="80" t="shared"/>
        <v>0</v>
      </c>
      <c r="AM77" s="84">
        <f si="81" t="shared"/>
        <v>0</v>
      </c>
      <c r="AN77" s="84">
        <f si="82" t="shared"/>
        <v>0</v>
      </c>
      <c r="AO77" s="84">
        <f si="83" t="shared"/>
        <v>0</v>
      </c>
      <c r="AP77" s="84">
        <f si="84" t="shared"/>
        <v>0</v>
      </c>
      <c r="AQ77" s="84">
        <f si="85" t="shared"/>
        <v>0</v>
      </c>
      <c r="AR77" s="84">
        <f si="86" t="shared"/>
        <v>0</v>
      </c>
      <c r="AS77" s="84">
        <f si="87" t="shared"/>
        <v>0</v>
      </c>
      <c r="AT77" s="84">
        <f si="88" t="shared"/>
        <v>0</v>
      </c>
      <c r="AU77" s="84">
        <f si="89" t="shared"/>
        <v>0</v>
      </c>
      <c r="AV77" s="84">
        <f si="90" t="shared"/>
        <v>0</v>
      </c>
      <c r="CU77">
        <v>76</v>
      </c>
      <c r="CV77">
        <f si="109" t="shared"/>
        <v>4</v>
      </c>
      <c r="CW77">
        <f si="103" t="shared"/>
        <v>16</v>
      </c>
      <c r="CX77" s="44">
        <f si="104" t="shared"/>
        <v>21.012307485372251</v>
      </c>
      <c r="CY77" s="44">
        <f si="105" t="shared"/>
        <v>35</v>
      </c>
      <c r="CZ77" s="87">
        <f si="106" t="shared"/>
        <v>13.987692514627749</v>
      </c>
      <c r="DA77" s="63">
        <f si="107" t="shared"/>
        <v>0.66569045424284323</v>
      </c>
    </row>
    <row ht="14.65" r="78" spans="2:106" thickBot="1" x14ac:dyDescent="0.5">
      <c r="B78" s="1" t="s">
        <v>3</v>
      </c>
      <c r="C78" s="85">
        <f ref="C78:X78" si="119" t="shared">IF($X$51&gt;0,C51/$X$51,0)</f>
        <v>5.4431302002119708E-2</v>
      </c>
      <c r="D78" s="85">
        <f si="119" t="shared"/>
        <v>4.5305062658216454E-2</v>
      </c>
      <c r="E78" s="85">
        <f si="119" t="shared"/>
        <v>2.9460878464195463E-2</v>
      </c>
      <c r="F78" s="85">
        <f si="119" t="shared"/>
        <v>2.0290172211769052E-2</v>
      </c>
      <c r="G78" s="85">
        <f si="119" t="shared"/>
        <v>2.6516877090336281E-2</v>
      </c>
      <c r="H78" s="85">
        <f si="119" t="shared"/>
        <v>0.11496691638217331</v>
      </c>
      <c r="I78" s="85">
        <f si="119" t="shared"/>
        <v>9.5764402060746573E-2</v>
      </c>
      <c r="J78" s="85">
        <f si="119" t="shared"/>
        <v>5.6518480182035542E-3</v>
      </c>
      <c r="K78" s="85">
        <f si="119" t="shared"/>
        <v>5.8610069092659429E-2</v>
      </c>
      <c r="L78" s="85">
        <f si="119" t="shared"/>
        <v>2.2630028329793109E-2</v>
      </c>
      <c r="M78" s="85">
        <f si="119" t="shared"/>
        <v>6.2376152710629761E-2</v>
      </c>
      <c r="N78" s="85">
        <f si="119" t="shared"/>
        <v>0.16592274600083315</v>
      </c>
      <c r="O78" s="85">
        <f si="119" t="shared"/>
        <v>0.11186879629488575</v>
      </c>
      <c r="P78" s="85">
        <f si="119" t="shared"/>
        <v>1.7054252744475078E-2</v>
      </c>
      <c r="Q78" s="85">
        <f si="119" t="shared"/>
        <v>4.2747202406097577E-2</v>
      </c>
      <c r="R78" s="85">
        <f si="119" t="shared"/>
        <v>5.9715704537494935E-3</v>
      </c>
      <c r="S78" s="85">
        <f si="119" t="shared"/>
        <v>1.8093751790231486E-2</v>
      </c>
      <c r="T78" s="85">
        <f si="119" t="shared"/>
        <v>2.8786161300137392E-2</v>
      </c>
      <c r="U78" s="85">
        <f si="119" t="shared"/>
        <v>4.2157037527028485E-2</v>
      </c>
      <c r="V78" s="85">
        <f si="119" t="shared"/>
        <v>3.1394772461718679E-2</v>
      </c>
      <c r="W78" s="85">
        <f si="119" t="shared"/>
        <v>0</v>
      </c>
      <c r="X78" s="85">
        <f si="119" t="shared"/>
        <v>1</v>
      </c>
      <c r="Z78" s="1" t="s">
        <v>3</v>
      </c>
      <c r="AA78" s="85">
        <f si="69" t="shared"/>
        <v>6.5094998061264051E-2</v>
      </c>
      <c r="AB78" s="85">
        <f si="70" t="shared"/>
        <v>4.267485906881021E-2</v>
      </c>
      <c r="AC78" s="85">
        <f si="71" t="shared"/>
        <v>2.6682971933068868E-2</v>
      </c>
      <c r="AD78" s="85">
        <f si="72" t="shared"/>
        <v>1.7337668148059773E-2</v>
      </c>
      <c r="AE78" s="85">
        <f si="73" t="shared"/>
        <v>2.0953858084528886E-2</v>
      </c>
      <c r="AF78" s="85">
        <f si="74" t="shared"/>
        <v>0.11633608733259761</v>
      </c>
      <c r="AG78" s="85">
        <f si="75" t="shared"/>
        <v>0.1048015032660244</v>
      </c>
      <c r="AH78" s="85">
        <f si="76" t="shared"/>
        <v>2.8872252214632984E-3</v>
      </c>
      <c r="AI78" s="85">
        <f si="77" t="shared"/>
        <v>6.6883407402988648E-2</v>
      </c>
      <c r="AJ78" s="85">
        <f si="78" t="shared"/>
        <v>2.0729561249142481E-2</v>
      </c>
      <c r="AK78" s="85">
        <f si="79" t="shared"/>
        <v>5.7189727682166611E-2</v>
      </c>
      <c r="AL78" s="85">
        <f si="80" t="shared"/>
        <v>0.19378053509112059</v>
      </c>
      <c r="AM78" s="85">
        <f si="81" t="shared"/>
        <v>9.5750887344528288E-2</v>
      </c>
      <c r="AN78" s="85">
        <f si="82" t="shared"/>
        <v>1.7882900348972469E-2</v>
      </c>
      <c r="AO78" s="85">
        <f si="83" t="shared"/>
        <v>3.9181555164494286E-2</v>
      </c>
      <c r="AP78" s="85">
        <f si="84" t="shared"/>
        <v>4.8760700331076439E-3</v>
      </c>
      <c r="AQ78" s="85">
        <f si="85" t="shared"/>
        <v>1.795090524055239E-2</v>
      </c>
      <c r="AR78" s="85">
        <f si="86" t="shared"/>
        <v>2.8300772511706984E-2</v>
      </c>
      <c r="AS78" s="85">
        <f si="87" t="shared"/>
        <v>3.3840188504787184E-2</v>
      </c>
      <c r="AT78" s="85">
        <f si="88" t="shared"/>
        <v>2.6864318310615323E-2</v>
      </c>
      <c r="AU78" s="85">
        <f si="89" t="shared"/>
        <v>0</v>
      </c>
      <c r="AV78" s="85">
        <f si="90" t="shared"/>
        <v>1</v>
      </c>
      <c r="CU78">
        <v>77</v>
      </c>
      <c r="CV78">
        <f si="109" t="shared"/>
        <v>4</v>
      </c>
      <c r="CW78">
        <f si="103" t="shared"/>
        <v>17</v>
      </c>
      <c r="CX78" s="44">
        <f si="104" t="shared"/>
        <v>20.136794673481742</v>
      </c>
      <c r="CY78" s="44">
        <f si="105" t="shared"/>
        <v>39</v>
      </c>
      <c r="CZ78" s="87">
        <f si="106" t="shared"/>
        <v>18.863205326518258</v>
      </c>
      <c r="DA78" s="63">
        <f si="107" t="shared"/>
        <v>0.93675312443639902</v>
      </c>
    </row>
    <row r="79" spans="2:106" x14ac:dyDescent="0.45">
      <c r="CU79">
        <v>78</v>
      </c>
      <c r="CV79">
        <f si="109" t="shared"/>
        <v>4</v>
      </c>
      <c r="CW79">
        <f si="103" t="shared"/>
        <v>18</v>
      </c>
      <c r="CX79" s="44">
        <f si="104" t="shared"/>
        <v>25.389871544824803</v>
      </c>
      <c r="CY79" s="44">
        <f si="105" t="shared"/>
        <v>15</v>
      </c>
      <c r="CZ79" s="87">
        <f si="106" t="shared"/>
        <v>-10.389871544824803</v>
      </c>
      <c r="DA79" s="63">
        <f si="107" t="shared"/>
        <v>-0.4092132379040162</v>
      </c>
    </row>
    <row r="80" spans="2:106" x14ac:dyDescent="0.45">
      <c r="CU80">
        <v>79</v>
      </c>
      <c r="CV80">
        <f si="109" t="shared"/>
        <v>4</v>
      </c>
      <c r="CW80">
        <f si="103" t="shared"/>
        <v>19</v>
      </c>
      <c r="CX80" s="44">
        <f si="104" t="shared"/>
        <v>30.642948416167865</v>
      </c>
      <c r="CY80" s="44">
        <f si="105" t="shared"/>
        <v>39</v>
      </c>
      <c r="CZ80" s="87">
        <f si="106" t="shared"/>
        <v>8.3570515838321349</v>
      </c>
      <c r="DA80" s="63">
        <f si="107" t="shared"/>
        <v>0.27272348177249089</v>
      </c>
    </row>
    <row r="81" spans="26:105" x14ac:dyDescent="0.45">
      <c r="CU81">
        <v>80</v>
      </c>
      <c r="CV81">
        <f si="109" t="shared"/>
        <v>4</v>
      </c>
      <c r="CW81">
        <f si="103" t="shared"/>
        <v>20</v>
      </c>
      <c r="CX81" s="44">
        <f si="104" t="shared"/>
        <v>3.5020512475620422</v>
      </c>
      <c r="CY81" s="44">
        <f si="105" t="shared"/>
        <v>1</v>
      </c>
      <c r="CZ81" s="87">
        <f si="106" t="shared"/>
        <v>-2.5020512475620422</v>
      </c>
      <c r="DA81" s="63">
        <f si="107" t="shared"/>
        <v>-0.71445306498694117</v>
      </c>
    </row>
    <row ht="14.65" r="82" spans="26:105" thickBot="1" x14ac:dyDescent="0.5">
      <c r="Z82" s="21" t="s">
        <v>434</v>
      </c>
      <c r="AA82" s="22"/>
      <c r="AB82" s="22"/>
      <c r="AC82" s="22"/>
      <c r="AD82" s="22"/>
      <c r="AE82" s="22"/>
      <c r="AF82" s="22"/>
      <c r="AG82" s="22"/>
      <c r="AH82" s="22"/>
      <c r="AI82" s="22"/>
      <c r="CU82">
        <v>81</v>
      </c>
      <c r="CV82">
        <f si="109" t="shared"/>
        <v>5</v>
      </c>
      <c r="CW82">
        <f si="103" t="shared"/>
        <v>1</v>
      </c>
      <c r="CX82" s="44">
        <f si="104" t="shared"/>
        <v>1612.6208151855944</v>
      </c>
      <c r="CY82" s="44">
        <f si="105" t="shared"/>
        <v>1842.9999999999998</v>
      </c>
      <c r="CZ82" s="87">
        <f si="106" t="shared"/>
        <v>230.37918481440533</v>
      </c>
      <c r="DA82" s="63">
        <f si="107" t="shared"/>
        <v>0.14286010861635276</v>
      </c>
    </row>
    <row r="83" spans="26:105" x14ac:dyDescent="0.45">
      <c r="Z83" s="2" t="s">
        <v>14</v>
      </c>
      <c r="AA83" s="2">
        <v>1</v>
      </c>
      <c r="AB83" s="2">
        <v>2</v>
      </c>
      <c r="AC83" s="2">
        <v>3</v>
      </c>
      <c r="AD83" s="2">
        <v>4</v>
      </c>
      <c r="AE83" s="2">
        <v>5</v>
      </c>
      <c r="AF83" s="2">
        <v>6</v>
      </c>
      <c r="AG83" s="2">
        <v>7</v>
      </c>
      <c r="AH83" s="2">
        <v>8</v>
      </c>
      <c r="AI83" s="2">
        <v>9</v>
      </c>
      <c r="AJ83" s="2">
        <v>10</v>
      </c>
      <c r="AK83" s="2">
        <v>11</v>
      </c>
      <c r="AL83" s="2">
        <v>12</v>
      </c>
      <c r="AM83" s="2">
        <v>13</v>
      </c>
      <c r="AN83" s="2">
        <v>14</v>
      </c>
      <c r="AO83" s="2">
        <v>15</v>
      </c>
      <c r="AP83" s="2">
        <v>16</v>
      </c>
      <c r="AQ83" s="2">
        <v>17</v>
      </c>
      <c r="AR83" s="2">
        <v>18</v>
      </c>
      <c r="AS83" s="2">
        <v>19</v>
      </c>
      <c r="AT83" s="2">
        <v>20</v>
      </c>
      <c r="AU83" s="3" t="s">
        <v>15</v>
      </c>
      <c r="AV83" s="3" t="s">
        <v>3</v>
      </c>
      <c r="CU83">
        <v>82</v>
      </c>
      <c r="CV83">
        <f si="109" t="shared"/>
        <v>5</v>
      </c>
      <c r="CW83">
        <f si="103" t="shared"/>
        <v>2</v>
      </c>
      <c r="CX83" s="44">
        <f si="104" t="shared"/>
        <v>523.67639602158226</v>
      </c>
      <c r="CY83" s="44">
        <f si="105" t="shared"/>
        <v>789.99999999999989</v>
      </c>
      <c r="CZ83" s="87">
        <f si="106" t="shared"/>
        <v>266.32360397841762</v>
      </c>
      <c r="DA83" s="63">
        <f si="107" t="shared"/>
        <v>0.50856522463434006</v>
      </c>
    </row>
    <row r="84" spans="26:105" x14ac:dyDescent="0.45">
      <c r="Z84" s="28">
        <v>1</v>
      </c>
      <c r="AA84" s="82">
        <f ref="AA84:AA100" si="120" t="shared">AA57-C57</f>
        <v>-1.3003924926654562E-3</v>
      </c>
      <c r="AB84" s="82">
        <f ref="AB84:AV96" si="121" t="shared">AB57-D57</f>
        <v>1.284782696351468E-4</v>
      </c>
      <c r="AC84" s="82">
        <f si="121" t="shared"/>
        <v>1.5768308612506795E-4</v>
      </c>
      <c r="AD84" s="82">
        <f si="121" t="shared"/>
        <v>1.1753318151964693E-4</v>
      </c>
      <c r="AE84" s="82">
        <f si="121" t="shared"/>
        <v>4.8329157401710539E-6</v>
      </c>
      <c r="AF84" s="82">
        <f si="121" t="shared"/>
        <v>1.5159191126620872E-4</v>
      </c>
      <c r="AG84" s="82">
        <f si="121" t="shared"/>
        <v>4.6604935345339921E-5</v>
      </c>
      <c r="AH84" s="82">
        <f si="121" t="shared"/>
        <v>1.422327799722763E-5</v>
      </c>
      <c r="AI84" s="82">
        <f si="121" t="shared"/>
        <v>2.3320645306061199E-4</v>
      </c>
      <c r="AJ84" s="82">
        <f si="121" t="shared"/>
        <v>2.622043265181807E-4</v>
      </c>
      <c r="AK84" s="82">
        <f si="121" t="shared"/>
        <v>-3.6131192202428896E-5</v>
      </c>
      <c r="AL84" s="82">
        <f si="121" t="shared"/>
        <v>4.7516523193018149E-4</v>
      </c>
      <c r="AM84" s="82">
        <f si="121" t="shared"/>
        <v>-1.3773483905260542E-4</v>
      </c>
      <c r="AN84" s="82">
        <f si="121" t="shared"/>
        <v>-2.2579455715681552E-5</v>
      </c>
      <c r="AO84" s="82">
        <f si="121" t="shared"/>
        <v>-3.229069337784733E-6</v>
      </c>
      <c r="AP84" s="82">
        <f si="121" t="shared"/>
        <v>3.6802733712909179E-5</v>
      </c>
      <c r="AQ84" s="82">
        <f si="121" t="shared"/>
        <v>4.2941058229689212E-6</v>
      </c>
      <c r="AR84" s="82">
        <f si="121" t="shared"/>
        <v>-7.4442639165489019E-6</v>
      </c>
      <c r="AS84" s="82">
        <f si="121" t="shared"/>
        <v>-1.1232557002529324E-4</v>
      </c>
      <c r="AT84" s="82">
        <f si="121" t="shared"/>
        <v>-1.2783545757860849E-5</v>
      </c>
      <c r="AU84" s="82">
        <f si="121" t="shared"/>
        <v>0</v>
      </c>
      <c r="AV84" s="82">
        <f si="121" t="shared"/>
        <v>0</v>
      </c>
      <c r="CU84">
        <v>83</v>
      </c>
      <c r="CV84">
        <f si="109" t="shared"/>
        <v>5</v>
      </c>
      <c r="CW84">
        <f si="103" t="shared"/>
        <v>3</v>
      </c>
      <c r="CX84" s="44">
        <f si="104" t="shared"/>
        <v>564.32275888968343</v>
      </c>
      <c r="CY84" s="44">
        <f si="105" t="shared"/>
        <v>542.99999999999989</v>
      </c>
      <c r="CZ84" s="87">
        <f si="106" t="shared"/>
        <v>-21.322758889683541</v>
      </c>
      <c r="DA84" s="63">
        <f si="107" t="shared"/>
        <v>-3.7784687138325779E-2</v>
      </c>
    </row>
    <row r="85" spans="26:105" x14ac:dyDescent="0.45">
      <c r="Z85">
        <v>2</v>
      </c>
      <c r="AA85" s="83">
        <f si="120" t="shared"/>
        <v>5.1471032043981968E-4</v>
      </c>
      <c r="AB85" s="83">
        <f si="121" t="shared"/>
        <v>-3.4144110904620524E-3</v>
      </c>
      <c r="AC85" s="83">
        <f si="121" t="shared"/>
        <v>2.952233351002331E-4</v>
      </c>
      <c r="AD85" s="83">
        <f si="121" t="shared"/>
        <v>8.2594143772712068E-5</v>
      </c>
      <c r="AE85" s="83">
        <f si="121" t="shared"/>
        <v>5.7107575067597417E-5</v>
      </c>
      <c r="AF85" s="83">
        <f si="121" t="shared"/>
        <v>5.1333876163740669E-4</v>
      </c>
      <c r="AG85" s="83">
        <f si="121" t="shared"/>
        <v>-4.272499611900505E-5</v>
      </c>
      <c r="AH85" s="83">
        <f si="121" t="shared"/>
        <v>-4.0789783014230615E-5</v>
      </c>
      <c r="AI85" s="83">
        <f si="121" t="shared"/>
        <v>5.3016384256289895E-4</v>
      </c>
      <c r="AJ85" s="83">
        <f si="121" t="shared"/>
        <v>2.208961210954904E-4</v>
      </c>
      <c r="AK85" s="83">
        <f si="121" t="shared"/>
        <v>-1.4924626502696491E-4</v>
      </c>
      <c r="AL85" s="83">
        <f si="121" t="shared"/>
        <v>1.6068562909339261E-3</v>
      </c>
      <c r="AM85" s="83">
        <f si="121" t="shared"/>
        <v>-1.2213449308337454E-4</v>
      </c>
      <c r="AN85" s="83">
        <f si="121" t="shared"/>
        <v>-1.3076779814787883E-5</v>
      </c>
      <c r="AO85" s="83">
        <f si="121" t="shared"/>
        <v>-8.7084589714859107E-6</v>
      </c>
      <c r="AP85" s="83">
        <f si="121" t="shared"/>
        <v>1.652446529756603E-5</v>
      </c>
      <c r="AQ85" s="83">
        <f si="121" t="shared"/>
        <v>-6.8108228202020227E-6</v>
      </c>
      <c r="AR85" s="83">
        <f si="121" t="shared"/>
        <v>9.8545560529543909E-6</v>
      </c>
      <c r="AS85" s="83">
        <f si="121" t="shared"/>
        <v>-4.1522533607300632E-5</v>
      </c>
      <c r="AT85" s="83">
        <f si="121" t="shared"/>
        <v>-7.8441890411981953E-6</v>
      </c>
      <c r="AU85" s="83">
        <f si="121" t="shared"/>
        <v>0</v>
      </c>
      <c r="AV85" s="83">
        <f si="121" t="shared"/>
        <v>0</v>
      </c>
      <c r="CU85">
        <v>84</v>
      </c>
      <c r="CV85">
        <f si="109" t="shared"/>
        <v>5</v>
      </c>
      <c r="CW85">
        <f si="103" t="shared"/>
        <v>4</v>
      </c>
      <c r="CX85" s="44">
        <f si="104" t="shared"/>
        <v>739.19664564779293</v>
      </c>
      <c r="CY85" s="44">
        <f si="105" t="shared"/>
        <v>579.99999999999989</v>
      </c>
      <c r="CZ85" s="87">
        <f si="106" t="shared"/>
        <v>-159.19664564779305</v>
      </c>
      <c r="DA85" s="63">
        <f si="107" t="shared"/>
        <v>-0.2153644048374726</v>
      </c>
    </row>
    <row r="86" spans="26:105" x14ac:dyDescent="0.45">
      <c r="Z86">
        <v>3</v>
      </c>
      <c r="AA86" s="83">
        <f si="120" t="shared"/>
        <v>1.6114258520239485E-3</v>
      </c>
      <c r="AB86" s="83">
        <f si="121" t="shared"/>
        <v>1.3291884751223974E-4</v>
      </c>
      <c r="AC86" s="83">
        <f si="121" t="shared"/>
        <v>-4.8457496179154201E-3</v>
      </c>
      <c r="AD86" s="83">
        <f si="121" t="shared"/>
        <v>-2.6827756318837585E-4</v>
      </c>
      <c r="AE86" s="83">
        <f si="121" t="shared"/>
        <v>-2.7746752471783493E-4</v>
      </c>
      <c r="AF86" s="83">
        <f si="121" t="shared"/>
        <v>1.2942818824731245E-3</v>
      </c>
      <c r="AG86" s="83">
        <f si="121" t="shared"/>
        <v>5.4746651184226554E-4</v>
      </c>
      <c r="AH86" s="83">
        <f si="121" t="shared"/>
        <v>-4.2352791849439348E-4</v>
      </c>
      <c r="AI86" s="83">
        <f si="121" t="shared"/>
        <v>1.7462778744623333E-4</v>
      </c>
      <c r="AJ86" s="83">
        <f si="121" t="shared"/>
        <v>4.151573877080191E-5</v>
      </c>
      <c r="AK86" s="83">
        <f si="121" t="shared"/>
        <v>-4.1134618429027135E-5</v>
      </c>
      <c r="AL86" s="83">
        <f si="121" t="shared"/>
        <v>2.3139008168533383E-3</v>
      </c>
      <c r="AM86" s="83">
        <f si="121" t="shared"/>
        <v>-2.3542616559776779E-4</v>
      </c>
      <c r="AN86" s="83">
        <f si="121" t="shared"/>
        <v>4.8785070087561597E-5</v>
      </c>
      <c r="AO86" s="83">
        <f si="121" t="shared"/>
        <v>-4.8824087604814752E-5</v>
      </c>
      <c r="AP86" s="83">
        <f si="121" t="shared"/>
        <v>4.4393823014852985E-7</v>
      </c>
      <c r="AQ86" s="83">
        <f si="121" t="shared"/>
        <v>6.3655460218693856E-6</v>
      </c>
      <c r="AR86" s="83">
        <f si="121" t="shared"/>
        <v>5.2147965061705978E-6</v>
      </c>
      <c r="AS86" s="83">
        <f si="121" t="shared"/>
        <v>-1.0203851051118355E-5</v>
      </c>
      <c r="AT86" s="83">
        <f si="121" t="shared"/>
        <v>-2.6335440768948989E-5</v>
      </c>
      <c r="AU86" s="83">
        <f si="121" t="shared"/>
        <v>0</v>
      </c>
      <c r="AV86" s="83">
        <f si="121" t="shared"/>
        <v>0</v>
      </c>
      <c r="CU86">
        <v>85</v>
      </c>
      <c r="CV86">
        <f si="109" t="shared"/>
        <v>5</v>
      </c>
      <c r="CW86">
        <f si="103" t="shared"/>
        <v>5</v>
      </c>
      <c r="CX86" s="44">
        <f si="104" t="shared"/>
        <v>3195.9384385360463</v>
      </c>
      <c r="CY86" s="44">
        <f si="105" t="shared"/>
        <v>1368.9999999999998</v>
      </c>
      <c r="CZ86" s="87">
        <f si="106" t="shared"/>
        <v>-1826.9384385360465</v>
      </c>
      <c r="DA86" s="63">
        <f si="107" t="shared"/>
        <v>-0.57164381406949338</v>
      </c>
    </row>
    <row r="87" spans="26:105" x14ac:dyDescent="0.45">
      <c r="Z87">
        <v>4</v>
      </c>
      <c r="AA87" s="83">
        <f si="120" t="shared"/>
        <v>7.9010856132942747E-4</v>
      </c>
      <c r="AB87" s="83">
        <f si="121" t="shared"/>
        <v>9.8788203427319955E-5</v>
      </c>
      <c r="AC87" s="83">
        <f si="121" t="shared"/>
        <v>-2.892592383801258E-4</v>
      </c>
      <c r="AD87" s="83">
        <f si="121" t="shared"/>
        <v>-2.1184952014978993E-3</v>
      </c>
      <c r="AE87" s="83">
        <f si="121" t="shared"/>
        <v>-4.8266845169279982E-4</v>
      </c>
      <c r="AF87" s="83">
        <f si="121" t="shared"/>
        <v>9.1998674866956322E-4</v>
      </c>
      <c r="AG87" s="83">
        <f si="121" t="shared"/>
        <v>-1.7966072428892755E-5</v>
      </c>
      <c r="AH87" s="83">
        <f si="121" t="shared"/>
        <v>-3.9104555842813649E-4</v>
      </c>
      <c r="AI87" s="83">
        <f si="121" t="shared"/>
        <v>4.3688829812836788E-4</v>
      </c>
      <c r="AJ87" s="83">
        <f si="121" t="shared"/>
        <v>1.2274746002943987E-4</v>
      </c>
      <c r="AK87" s="83">
        <f si="121" t="shared"/>
        <v>1.4785573389392492E-4</v>
      </c>
      <c r="AL87" s="83">
        <f si="121" t="shared"/>
        <v>8.0786416781703646E-4</v>
      </c>
      <c r="AM87" s="83">
        <f si="121" t="shared"/>
        <v>-8.5078309187317934E-5</v>
      </c>
      <c r="AN87" s="83">
        <f si="121" t="shared"/>
        <v>4.2336792754574777E-5</v>
      </c>
      <c r="AO87" s="83">
        <f si="121" t="shared"/>
        <v>-1.5846087436647058E-5</v>
      </c>
      <c r="AP87" s="83">
        <f si="121" t="shared"/>
        <v>1.6688272156325054E-5</v>
      </c>
      <c r="AQ87" s="83">
        <f si="121" t="shared"/>
        <v>2.2505091808415022E-5</v>
      </c>
      <c r="AR87" s="83">
        <f si="121" t="shared"/>
        <v>-1.2395826104124793E-5</v>
      </c>
      <c r="AS87" s="83">
        <f si="121" t="shared"/>
        <v>9.9705331032685755E-6</v>
      </c>
      <c r="AT87" s="83">
        <f si="121" t="shared"/>
        <v>-2.9851179617168752E-6</v>
      </c>
      <c r="AU87" s="83">
        <f si="121" t="shared"/>
        <v>0</v>
      </c>
      <c r="AV87" s="83">
        <f si="121" t="shared"/>
        <v>0</v>
      </c>
      <c r="CU87">
        <v>86</v>
      </c>
      <c r="CV87">
        <f si="109" t="shared"/>
        <v>5</v>
      </c>
      <c r="CW87">
        <f si="103" t="shared"/>
        <v>6</v>
      </c>
      <c r="CX87" s="44">
        <f si="104" t="shared"/>
        <v>3806.5791458103104</v>
      </c>
      <c r="CY87" s="44">
        <f si="105" t="shared"/>
        <v>4408.9999999999991</v>
      </c>
      <c r="CZ87" s="87">
        <f si="106" t="shared"/>
        <v>602.42085418968873</v>
      </c>
      <c r="DA87" s="63">
        <f si="107" t="shared"/>
        <v>0.15825780342771537</v>
      </c>
    </row>
    <row r="88" spans="26:105" x14ac:dyDescent="0.45">
      <c r="Z88">
        <v>5</v>
      </c>
      <c r="AA88" s="83">
        <f si="120" t="shared"/>
        <v>2.7485809623814333E-4</v>
      </c>
      <c r="AB88" s="83">
        <f si="121" t="shared"/>
        <v>3.177422423460706E-4</v>
      </c>
      <c r="AC88" s="83">
        <f si="121" t="shared"/>
        <v>-2.5439507131187994E-5</v>
      </c>
      <c r="AD88" s="83">
        <f si="121" t="shared"/>
        <v>-1.8993246714324929E-4</v>
      </c>
      <c r="AE88" s="83">
        <f si="121" t="shared"/>
        <v>-2.1796622883479538E-3</v>
      </c>
      <c r="AF88" s="83">
        <f si="121" t="shared"/>
        <v>7.1872920832724563E-4</v>
      </c>
      <c r="AG88" s="83">
        <f si="121" t="shared"/>
        <v>1.0850328892909086E-4</v>
      </c>
      <c r="AH88" s="83">
        <f si="121" t="shared"/>
        <v>-5.5479109525189552E-5</v>
      </c>
      <c r="AI88" s="83">
        <f si="121" t="shared"/>
        <v>2.3468233842723302E-4</v>
      </c>
      <c r="AJ88" s="83">
        <f si="121" t="shared"/>
        <v>7.0241574667395017E-5</v>
      </c>
      <c r="AK88" s="83">
        <f si="121" t="shared"/>
        <v>-5.3814180927151635E-5</v>
      </c>
      <c r="AL88" s="83">
        <f si="121" t="shared"/>
        <v>8.5433266731859098E-4</v>
      </c>
      <c r="AM88" s="83">
        <f si="121" t="shared"/>
        <v>-4.8071972721928342E-5</v>
      </c>
      <c r="AN88" s="83">
        <f si="121" t="shared"/>
        <v>2.3517242478354756E-5</v>
      </c>
      <c r="AO88" s="83">
        <f si="121" t="shared"/>
        <v>1.2174291096222338E-5</v>
      </c>
      <c r="AP88" s="83">
        <f si="121" t="shared"/>
        <v>-2.1859681850541586E-5</v>
      </c>
      <c r="AQ88" s="83">
        <f si="121" t="shared"/>
        <v>-3.5968103909537826E-6</v>
      </c>
      <c r="AR88" s="83">
        <f si="121" t="shared"/>
        <v>9.3963336487671258E-6</v>
      </c>
      <c r="AS88" s="83">
        <f si="121" t="shared"/>
        <v>-3.7299147120024947E-5</v>
      </c>
      <c r="AT88" s="83">
        <f si="121" t="shared"/>
        <v>-9.0221183189337616E-6</v>
      </c>
      <c r="AU88" s="83">
        <f si="121" t="shared"/>
        <v>0</v>
      </c>
      <c r="AV88" s="83">
        <f si="121" t="shared"/>
        <v>0</v>
      </c>
      <c r="CU88">
        <v>87</v>
      </c>
      <c r="CV88">
        <f si="109" t="shared"/>
        <v>5</v>
      </c>
      <c r="CW88">
        <f si="103" t="shared"/>
        <v>7</v>
      </c>
      <c r="CX88" s="44">
        <f si="104" t="shared"/>
        <v>448.05525580185918</v>
      </c>
      <c r="CY88" s="44">
        <f si="105" t="shared"/>
        <v>538.99999999999989</v>
      </c>
      <c r="CZ88" s="87">
        <f si="106" t="shared"/>
        <v>90.944744198140711</v>
      </c>
      <c r="DA88" s="63">
        <f si="107" t="shared"/>
        <v>0.20297662625423743</v>
      </c>
    </row>
    <row r="89" spans="26:105" x14ac:dyDescent="0.45">
      <c r="Z89">
        <v>6</v>
      </c>
      <c r="AA89" s="83">
        <f si="120" t="shared"/>
        <v>4.8068977695661045E-4</v>
      </c>
      <c r="AB89" s="83">
        <f si="121" t="shared"/>
        <v>1.6909824381449584E-4</v>
      </c>
      <c r="AC89" s="83">
        <f si="121" t="shared"/>
        <v>9.3714272206376747E-5</v>
      </c>
      <c r="AD89" s="83">
        <f si="121" t="shared"/>
        <v>-5.9178605872524902E-5</v>
      </c>
      <c r="AE89" s="83">
        <f si="121" t="shared"/>
        <v>2.3146972679657127E-4</v>
      </c>
      <c r="AF89" s="83">
        <f si="121" t="shared"/>
        <v>-4.2599285509637638E-3</v>
      </c>
      <c r="AG89" s="83">
        <f si="121" t="shared"/>
        <v>5.6682195944191753E-4</v>
      </c>
      <c r="AH89" s="83">
        <f si="121" t="shared"/>
        <v>1.1877612343838824E-5</v>
      </c>
      <c r="AI89" s="83">
        <f si="121" t="shared"/>
        <v>5.898604248094386E-4</v>
      </c>
      <c r="AJ89" s="83">
        <f si="121" t="shared"/>
        <v>5.5556618018081164E-4</v>
      </c>
      <c r="AK89" s="83">
        <f si="121" t="shared"/>
        <v>8.8935906173158701E-5</v>
      </c>
      <c r="AL89" s="83">
        <f si="121" t="shared"/>
        <v>1.8430377577476108E-3</v>
      </c>
      <c r="AM89" s="83">
        <f si="121" t="shared"/>
        <v>-1.4266486298279558E-4</v>
      </c>
      <c r="AN89" s="83">
        <f si="121" t="shared"/>
        <v>-3.3633028195297816E-6</v>
      </c>
      <c r="AO89" s="83">
        <f si="121" t="shared"/>
        <v>-5.2773866405939442E-5</v>
      </c>
      <c r="AP89" s="83">
        <f si="121" t="shared"/>
        <v>5.3899029305709694E-5</v>
      </c>
      <c r="AQ89" s="83">
        <f si="121" t="shared"/>
        <v>-3.7655074950809933E-5</v>
      </c>
      <c r="AR89" s="83">
        <f si="121" t="shared"/>
        <v>9.1915088869159241E-7</v>
      </c>
      <c r="AS89" s="83">
        <f si="121" t="shared"/>
        <v>-1.0540088413017132E-4</v>
      </c>
      <c r="AT89" s="83">
        <f si="121" t="shared"/>
        <v>-2.4924892539691143E-5</v>
      </c>
      <c r="AU89" s="83">
        <f si="121" t="shared"/>
        <v>0</v>
      </c>
      <c r="AV89" s="83">
        <f si="121" t="shared"/>
        <v>0</v>
      </c>
      <c r="CU89">
        <v>88</v>
      </c>
      <c r="CV89">
        <f si="109" t="shared"/>
        <v>5</v>
      </c>
      <c r="CW89">
        <f si="103" t="shared"/>
        <v>8</v>
      </c>
      <c r="CX89" s="44">
        <f si="104" t="shared"/>
        <v>129.50120262627576</v>
      </c>
      <c r="CY89" s="44">
        <f si="105" t="shared"/>
        <v>82.999999999999986</v>
      </c>
      <c r="CZ89" s="87">
        <f si="106" t="shared"/>
        <v>-46.50120262627577</v>
      </c>
      <c r="DA89" s="63">
        <f si="107" t="shared"/>
        <v>-0.35907931110471936</v>
      </c>
    </row>
    <row r="90" spans="26:105" x14ac:dyDescent="0.45">
      <c r="Z90">
        <v>7</v>
      </c>
      <c r="AA90" s="83">
        <f si="120" t="shared"/>
        <v>8.4594540389130394E-4</v>
      </c>
      <c r="AB90" s="83">
        <f si="121" t="shared"/>
        <v>-4.3881126165965477E-4</v>
      </c>
      <c r="AC90" s="83">
        <f si="121" t="shared"/>
        <v>-4.9383172005644602E-4</v>
      </c>
      <c r="AD90" s="83">
        <f si="121" t="shared"/>
        <v>-3.6982285602489237E-4</v>
      </c>
      <c r="AE90" s="83">
        <f si="121" t="shared"/>
        <v>-1.1183865329515883E-3</v>
      </c>
      <c r="AF90" s="83">
        <f si="121" t="shared"/>
        <v>1.2534637168259474E-3</v>
      </c>
      <c r="AG90" s="83">
        <f si="121" t="shared"/>
        <v>-8.6955091662647491E-3</v>
      </c>
      <c r="AH90" s="83">
        <f si="121" t="shared"/>
        <v>-1.977445545800731E-4</v>
      </c>
      <c r="AI90" s="83">
        <f si="121" t="shared"/>
        <v>3.0593476402189018E-3</v>
      </c>
      <c r="AJ90" s="83">
        <f si="121" t="shared"/>
        <v>-4.3566028469893743E-4</v>
      </c>
      <c r="AK90" s="83">
        <f si="121" t="shared"/>
        <v>-1.2936667261264825E-3</v>
      </c>
      <c r="AL90" s="83">
        <f si="121" t="shared"/>
        <v>8.6042269612959851E-3</v>
      </c>
      <c r="AM90" s="83">
        <f si="121" t="shared"/>
        <v>-1.3241597282708135E-4</v>
      </c>
      <c r="AN90" s="83">
        <f si="121" t="shared"/>
        <v>-1.6463889810135833E-5</v>
      </c>
      <c r="AO90" s="83">
        <f si="121" t="shared"/>
        <v>2.3889123159422055E-4</v>
      </c>
      <c r="AP90" s="83">
        <f si="121" t="shared"/>
        <v>1.6568125528874467E-5</v>
      </c>
      <c r="AQ90" s="83">
        <f si="121" t="shared"/>
        <v>-8.8357300652430978E-5</v>
      </c>
      <c r="AR90" s="83">
        <f si="121" t="shared"/>
        <v>-3.2406477108307466E-4</v>
      </c>
      <c r="AS90" s="83">
        <f si="121" t="shared"/>
        <v>-1.5283397436711269E-4</v>
      </c>
      <c r="AT90" s="83">
        <f si="121" t="shared"/>
        <v>-2.6087406825253977E-4</v>
      </c>
      <c r="AU90" s="83">
        <f si="121" t="shared"/>
        <v>0</v>
      </c>
      <c r="AV90" s="83">
        <f si="121" t="shared"/>
        <v>0</v>
      </c>
      <c r="CU90">
        <v>89</v>
      </c>
      <c r="CV90">
        <f si="109" t="shared"/>
        <v>5</v>
      </c>
      <c r="CW90">
        <f si="103" t="shared"/>
        <v>9</v>
      </c>
      <c r="CX90" s="44">
        <f si="104" t="shared"/>
        <v>340.29513098875384</v>
      </c>
      <c r="CY90" s="44">
        <f si="105" t="shared"/>
        <v>536.99999999999989</v>
      </c>
      <c r="CZ90" s="87">
        <f si="106" t="shared"/>
        <v>196.70486901124605</v>
      </c>
      <c r="DA90" s="63">
        <f si="107" t="shared"/>
        <v>0.5780419732709805</v>
      </c>
    </row>
    <row r="91" spans="26:105" x14ac:dyDescent="0.45">
      <c r="Z91">
        <v>8</v>
      </c>
      <c r="AA91" s="83">
        <f si="120" t="shared"/>
        <v>3.475437280149546E-4</v>
      </c>
      <c r="AB91" s="83">
        <f si="121" t="shared"/>
        <v>-6.425260650564583E-5</v>
      </c>
      <c r="AC91" s="83">
        <f si="121" t="shared"/>
        <v>-1.6769129386879093E-4</v>
      </c>
      <c r="AD91" s="83">
        <f si="121" t="shared"/>
        <v>1.8908899231869782E-5</v>
      </c>
      <c r="AE91" s="83">
        <f si="121" t="shared"/>
        <v>-1.591484792908053E-5</v>
      </c>
      <c r="AF91" s="83">
        <f si="121" t="shared"/>
        <v>3.1609433452373017E-4</v>
      </c>
      <c r="AG91" s="83">
        <f si="121" t="shared"/>
        <v>-5.2922251448812163E-5</v>
      </c>
      <c r="AH91" s="83">
        <f si="121" t="shared"/>
        <v>-5.4862836743638699E-4</v>
      </c>
      <c r="AI91" s="83">
        <f si="121" t="shared"/>
        <v>1.6765952297279977E-4</v>
      </c>
      <c r="AJ91" s="83">
        <f si="121" t="shared"/>
        <v>-1.4921888881243935E-5</v>
      </c>
      <c r="AK91" s="83">
        <f si="121" t="shared"/>
        <v>-6.2572779654183875E-5</v>
      </c>
      <c r="AL91" s="83">
        <f si="121" t="shared"/>
        <v>2.3210749677916604E-4</v>
      </c>
      <c r="AM91" s="83">
        <f si="121" t="shared"/>
        <v>-2.6608125392423902E-5</v>
      </c>
      <c r="AN91" s="83">
        <f si="121" t="shared"/>
        <v>-7.8779493053151325E-5</v>
      </c>
      <c r="AO91" s="83">
        <f si="121" t="shared"/>
        <v>6.4494918861636385E-6</v>
      </c>
      <c r="AP91" s="83">
        <f si="121" t="shared"/>
        <v>-1.1476169243657784E-5</v>
      </c>
      <c r="AQ91" s="83">
        <f si="121" t="shared"/>
        <v>-3.4458144760815668E-5</v>
      </c>
      <c r="AR91" s="83">
        <f si="121" t="shared"/>
        <v>-7.0521905250368191E-6</v>
      </c>
      <c r="AS91" s="83">
        <f si="121" t="shared"/>
        <v>2.3229029797923336E-5</v>
      </c>
      <c r="AT91" s="83">
        <f si="121" t="shared"/>
        <v>-2.6714344507378739E-5</v>
      </c>
      <c r="AU91" s="83">
        <f si="121" t="shared"/>
        <v>0</v>
      </c>
      <c r="AV91" s="83">
        <f si="121" t="shared"/>
        <v>0</v>
      </c>
      <c r="CU91">
        <v>90</v>
      </c>
      <c r="CV91">
        <f si="109" t="shared"/>
        <v>5</v>
      </c>
      <c r="CW91">
        <f si="103" t="shared"/>
        <v>10</v>
      </c>
      <c r="CX91" s="44">
        <f si="104" t="shared"/>
        <v>913.12526815315618</v>
      </c>
      <c r="CY91" s="44">
        <f si="105" t="shared"/>
        <v>971.99999999999989</v>
      </c>
      <c r="CZ91" s="87">
        <f si="106" t="shared"/>
        <v>58.874731846843702</v>
      </c>
      <c r="DA91" s="63">
        <f si="107" t="shared"/>
        <v>6.447607343724146E-2</v>
      </c>
    </row>
    <row r="92" spans="26:105" x14ac:dyDescent="0.45">
      <c r="Z92">
        <v>9</v>
      </c>
      <c r="AA92" s="83">
        <f si="120" t="shared"/>
        <v>1.9976516596363321E-3</v>
      </c>
      <c r="AB92" s="83">
        <f si="121" t="shared"/>
        <v>4.4306075938829043E-4</v>
      </c>
      <c r="AC92" s="83">
        <f si="121" t="shared"/>
        <v>7.0588596167736562E-4</v>
      </c>
      <c r="AD92" s="83">
        <f si="121" t="shared"/>
        <v>-1.2729896037943947E-4</v>
      </c>
      <c r="AE92" s="83">
        <f si="121" t="shared"/>
        <v>-1.2433277424622443E-4</v>
      </c>
      <c r="AF92" s="83">
        <f si="121" t="shared"/>
        <v>2.4497645944395342E-3</v>
      </c>
      <c r="AG92" s="83">
        <f si="121" t="shared"/>
        <v>1.0408759763318957E-3</v>
      </c>
      <c r="AH92" s="83">
        <f si="121" t="shared"/>
        <v>1.8285939102944136E-5</v>
      </c>
      <c r="AI92" s="83">
        <f si="121" t="shared"/>
        <v>-5.046756362707832E-3</v>
      </c>
      <c r="AJ92" s="83">
        <f si="121" t="shared"/>
        <v>-1.8456100642434909E-4</v>
      </c>
      <c r="AK92" s="83">
        <f si="121" t="shared"/>
        <v>-6.7128386642898797E-4</v>
      </c>
      <c r="AL92" s="83">
        <f si="121" t="shared"/>
        <v>1.7417011061564231E-3</v>
      </c>
      <c r="AM92" s="83">
        <f si="121" t="shared"/>
        <v>-1.1215421019252012E-3</v>
      </c>
      <c r="AN92" s="83">
        <f si="121" t="shared"/>
        <v>-3.3090764372324926E-5</v>
      </c>
      <c r="AO92" s="83">
        <f si="121" t="shared"/>
        <v>-5.3196141338324263E-4</v>
      </c>
      <c r="AP92" s="83">
        <f si="121" t="shared"/>
        <v>-2.0908040447813241E-5</v>
      </c>
      <c r="AQ92" s="83">
        <f si="121" t="shared"/>
        <v>5.8993365283026479E-5</v>
      </c>
      <c r="AR92" s="83">
        <f si="121" t="shared"/>
        <v>-1.3520543040730323E-4</v>
      </c>
      <c r="AS92" s="83">
        <f si="121" t="shared"/>
        <v>-4.3419003897069645E-4</v>
      </c>
      <c r="AT92" s="83">
        <f si="121" t="shared"/>
        <v>-2.5088602322371149E-5</v>
      </c>
      <c r="AU92" s="83">
        <f si="121" t="shared"/>
        <v>0</v>
      </c>
      <c r="AV92" s="83">
        <f si="121" t="shared"/>
        <v>0</v>
      </c>
      <c r="CU92">
        <v>91</v>
      </c>
      <c r="CV92">
        <f si="109" t="shared"/>
        <v>5</v>
      </c>
      <c r="CW92">
        <f si="103" t="shared"/>
        <v>11</v>
      </c>
      <c r="CX92" s="44">
        <f si="104" t="shared"/>
        <v>378.10570109861533</v>
      </c>
      <c r="CY92" s="44">
        <f si="105" t="shared"/>
        <v>332.99999999999994</v>
      </c>
      <c r="CZ92" s="87">
        <f si="106" t="shared"/>
        <v>-45.105701098615384</v>
      </c>
      <c r="DA92" s="63">
        <f si="107" t="shared"/>
        <v>-0.11929389312977108</v>
      </c>
    </row>
    <row r="93" spans="26:105" x14ac:dyDescent="0.45">
      <c r="Z93">
        <v>10</v>
      </c>
      <c r="AA93" s="83">
        <f si="120" t="shared"/>
        <v>9.0414142054374199E-4</v>
      </c>
      <c r="AB93" s="83">
        <f si="121" t="shared"/>
        <v>4.7716237485562023E-4</v>
      </c>
      <c r="AC93" s="83">
        <f si="121" t="shared"/>
        <v>2.6393511182882471E-5</v>
      </c>
      <c r="AD93" s="83">
        <f si="121" t="shared"/>
        <v>2.4999997875058784E-5</v>
      </c>
      <c r="AE93" s="83">
        <f si="121" t="shared"/>
        <v>-3.5195570105705717E-5</v>
      </c>
      <c r="AF93" s="83">
        <f si="121" t="shared"/>
        <v>-5.6172638006595117E-4</v>
      </c>
      <c r="AG93" s="83">
        <f si="121" t="shared"/>
        <v>1.9396996868791721E-4</v>
      </c>
      <c r="AH93" s="83">
        <f si="121" t="shared"/>
        <v>-7.7329938311284361E-6</v>
      </c>
      <c r="AI93" s="83">
        <f si="121" t="shared"/>
        <v>-7.2999578334073797E-5</v>
      </c>
      <c r="AJ93" s="83">
        <f si="121" t="shared"/>
        <v>-3.14204380170288E-3</v>
      </c>
      <c r="AK93" s="83">
        <f si="121" t="shared"/>
        <v>-5.186917091583907E-4</v>
      </c>
      <c r="AL93" s="83">
        <f si="121" t="shared"/>
        <v>3.2541422295626933E-3</v>
      </c>
      <c r="AM93" s="83">
        <f si="121" t="shared"/>
        <v>-1.5445748878438806E-4</v>
      </c>
      <c r="AN93" s="83">
        <f si="121" t="shared"/>
        <v>-9.5025517376771842E-6</v>
      </c>
      <c r="AO93" s="83">
        <f si="121" t="shared"/>
        <v>-6.4989772338817057E-5</v>
      </c>
      <c r="AP93" s="83">
        <f si="121" t="shared"/>
        <v>-2.0750705117948546E-4</v>
      </c>
      <c r="AQ93" s="83">
        <f si="121" t="shared"/>
        <v>-7.0965612317721357E-5</v>
      </c>
      <c r="AR93" s="83">
        <f si="121" t="shared"/>
        <v>6.062122879678813E-5</v>
      </c>
      <c r="AS93" s="83">
        <f si="121" t="shared"/>
        <v>-5.830477165167635E-5</v>
      </c>
      <c r="AT93" s="83">
        <f si="121" t="shared"/>
        <v>-3.731345029679692E-5</v>
      </c>
      <c r="AU93" s="83">
        <f si="121" t="shared"/>
        <v>0</v>
      </c>
      <c r="AV93" s="83">
        <f si="121" t="shared"/>
        <v>0</v>
      </c>
      <c r="CU93">
        <v>92</v>
      </c>
      <c r="CV93">
        <f si="109" t="shared"/>
        <v>5</v>
      </c>
      <c r="CW93">
        <f si="103" t="shared"/>
        <v>12</v>
      </c>
      <c r="CX93" s="44">
        <f si="104" t="shared"/>
        <v>1572.9197165702399</v>
      </c>
      <c r="CY93" s="44">
        <f si="105" t="shared"/>
        <v>2288.9999999999995</v>
      </c>
      <c r="CZ93" s="87">
        <f si="106" t="shared"/>
        <v>716.08028342975967</v>
      </c>
      <c r="DA93" s="63">
        <f si="107" t="shared"/>
        <v>0.45525545638856679</v>
      </c>
    </row>
    <row r="94" spans="26:105" x14ac:dyDescent="0.45">
      <c r="Z94">
        <v>11</v>
      </c>
      <c r="AA94" s="83">
        <f si="120" t="shared"/>
        <v>2.6759224949486149E-3</v>
      </c>
      <c r="AB94" s="83">
        <f si="121" t="shared"/>
        <v>6.773993494003077E-4</v>
      </c>
      <c r="AC94" s="83">
        <f si="121" t="shared"/>
        <v>1.5608859119473247E-4</v>
      </c>
      <c r="AD94" s="83">
        <f si="121" t="shared"/>
        <v>5.6355434369510966E-5</v>
      </c>
      <c r="AE94" s="83">
        <f si="121" t="shared"/>
        <v>-3.9260817064819958E-4</v>
      </c>
      <c r="AF94" s="83">
        <f si="121" t="shared"/>
        <v>1.7772827503039195E-3</v>
      </c>
      <c r="AG94" s="83">
        <f si="121" t="shared"/>
        <v>-2.5241650599196067E-4</v>
      </c>
      <c r="AH94" s="83">
        <f si="121" t="shared"/>
        <v>-6.5568655838802337E-4</v>
      </c>
      <c r="AI94" s="83">
        <f si="121" t="shared"/>
        <v>2.3127451448690817E-3</v>
      </c>
      <c r="AJ94" s="83">
        <f si="121" t="shared"/>
        <v>2.6267296326534318E-4</v>
      </c>
      <c r="AK94" s="83">
        <f si="121" t="shared"/>
        <v>-6.1679511271260992E-3</v>
      </c>
      <c r="AL94" s="83">
        <f si="121" t="shared"/>
        <v>1.044035783522794E-3</v>
      </c>
      <c r="AM94" s="83">
        <f si="121" t="shared"/>
        <v>-5.1297771633743833E-4</v>
      </c>
      <c r="AN94" s="83">
        <f si="121" t="shared"/>
        <v>3.3531976116934288E-4</v>
      </c>
      <c r="AO94" s="83">
        <f si="121" t="shared"/>
        <v>7.9349968673195193E-5</v>
      </c>
      <c r="AP94" s="83">
        <f si="121" t="shared"/>
        <v>-6.1830687010304788E-6</v>
      </c>
      <c r="AQ94" s="83">
        <f si="121" t="shared"/>
        <v>-1.9323336314525205E-4</v>
      </c>
      <c r="AR94" s="83">
        <f si="121" t="shared"/>
        <v>-3.7202843807660965E-5</v>
      </c>
      <c r="AS94" s="83">
        <f si="121" t="shared"/>
        <v>-1.1137639903246489E-3</v>
      </c>
      <c r="AT94" s="83">
        <f si="121" t="shared"/>
        <v>-4.5148897246503721E-5</v>
      </c>
      <c r="AU94" s="83">
        <f si="121" t="shared"/>
        <v>0</v>
      </c>
      <c r="AV94" s="83">
        <f si="121" t="shared"/>
        <v>0</v>
      </c>
      <c r="CU94">
        <v>93</v>
      </c>
      <c r="CV94">
        <f si="109" t="shared"/>
        <v>5</v>
      </c>
      <c r="CW94">
        <f si="103" t="shared"/>
        <v>13</v>
      </c>
      <c r="CX94" s="44">
        <f si="104" t="shared"/>
        <v>81.2927257362023</v>
      </c>
      <c r="CY94" s="44">
        <f si="105" t="shared"/>
        <v>40.999999999999993</v>
      </c>
      <c r="CZ94" s="87">
        <f si="106" t="shared"/>
        <v>-40.292725736202307</v>
      </c>
      <c r="DA94" s="63">
        <f si="107" t="shared"/>
        <v>-0.49564983055130407</v>
      </c>
    </row>
    <row r="95" spans="26:105" x14ac:dyDescent="0.45">
      <c r="Z95">
        <v>12</v>
      </c>
      <c r="AA95" s="83">
        <f si="120" t="shared"/>
        <v>7.5575630030210068E-4</v>
      </c>
      <c r="AB95" s="83">
        <f si="121" t="shared"/>
        <v>1.4978628140161583E-3</v>
      </c>
      <c r="AC95" s="83">
        <f si="121" t="shared"/>
        <v>3.3347580338698515E-5</v>
      </c>
      <c r="AD95" s="83">
        <f si="121" t="shared"/>
        <v>2.0360806118380377E-4</v>
      </c>
      <c r="AE95" s="83">
        <f si="121" t="shared"/>
        <v>-5.266117593951767E-4</v>
      </c>
      <c r="AF95" s="83">
        <f si="121" t="shared"/>
        <v>-9.4135563971442515E-4</v>
      </c>
      <c r="AG95" s="83">
        <f si="121" t="shared"/>
        <v>3.7731863389533805E-3</v>
      </c>
      <c r="AH95" s="83">
        <f si="121" t="shared"/>
        <v>-1.3061824439872306E-4</v>
      </c>
      <c r="AI95" s="83">
        <f si="121" t="shared"/>
        <v>1.1758361028136812E-3</v>
      </c>
      <c r="AJ95" s="83">
        <f si="121" t="shared"/>
        <v>4.9625599861179365E-4</v>
      </c>
      <c r="AK95" s="83">
        <f si="121" t="shared"/>
        <v>-8.8140216626495199E-4</v>
      </c>
      <c r="AL95" s="83">
        <f si="121" t="shared"/>
        <v>-2.9561101997008093E-3</v>
      </c>
      <c r="AM95" s="83">
        <f si="121" t="shared"/>
        <v>-3.8421315238232508E-5</v>
      </c>
      <c r="AN95" s="83">
        <f si="121" t="shared"/>
        <v>-3.0549329303774199E-5</v>
      </c>
      <c r="AO95" s="83">
        <f si="121" t="shared"/>
        <v>-1.4714261638744912E-4</v>
      </c>
      <c r="AP95" s="83">
        <f si="121" t="shared"/>
        <v>-9.0584012945369276E-6</v>
      </c>
      <c r="AQ95" s="83">
        <f si="121" t="shared"/>
        <v>-1.1113704092733837E-4</v>
      </c>
      <c r="AR95" s="83">
        <f si="121" t="shared"/>
        <v>-1.1016351254032517E-3</v>
      </c>
      <c r="AS95" s="83">
        <f si="121" t="shared"/>
        <v>-1.3773593285154996E-4</v>
      </c>
      <c r="AT95" s="83">
        <f si="121" t="shared"/>
        <v>-9.2407542533938015E-4</v>
      </c>
      <c r="AU95" s="83">
        <f si="121" t="shared"/>
        <v>0</v>
      </c>
      <c r="AV95" s="83">
        <f si="121" t="shared"/>
        <v>0</v>
      </c>
      <c r="CU95">
        <v>94</v>
      </c>
      <c r="CV95">
        <f si="109" t="shared"/>
        <v>5</v>
      </c>
      <c r="CW95">
        <f si="103" t="shared"/>
        <v>14</v>
      </c>
      <c r="CX95" s="44">
        <f si="104" t="shared"/>
        <v>12.288435285704999</v>
      </c>
      <c r="CY95" s="44">
        <f si="105" t="shared"/>
        <v>31.999999999999996</v>
      </c>
      <c r="CZ95" s="87">
        <f si="106" t="shared"/>
        <v>19.711564714294997</v>
      </c>
      <c r="DA95" s="63">
        <f si="107" t="shared"/>
        <v>1.6040744208683138</v>
      </c>
    </row>
    <row r="96" spans="26:105" x14ac:dyDescent="0.45">
      <c r="Z96">
        <v>13</v>
      </c>
      <c r="AA96" s="83">
        <f si="120" t="shared"/>
        <v>-2.5310197259884818E-5</v>
      </c>
      <c r="AB96" s="83">
        <f si="121" t="shared"/>
        <v>-2.8935071018397441E-5</v>
      </c>
      <c r="AC96" s="83">
        <f si="121" t="shared"/>
        <v>1.1206039801820312E-4</v>
      </c>
      <c r="AD96" s="83">
        <f si="121" t="shared"/>
        <v>-4.4234034439806513E-5</v>
      </c>
      <c r="AE96" s="83">
        <f ref="AE96:AV105" si="122" t="shared">AE69-G69</f>
        <v>-3.0485107973672013E-5</v>
      </c>
      <c r="AF96" s="83">
        <f si="122" t="shared"/>
        <v>-5.370244535400962E-4</v>
      </c>
      <c r="AG96" s="83">
        <f si="122" t="shared"/>
        <v>1.3168427104191052E-2</v>
      </c>
      <c r="AH96" s="83">
        <f si="122" t="shared"/>
        <v>-3.5783752694873924E-6</v>
      </c>
      <c r="AI96" s="83">
        <f si="122" t="shared"/>
        <v>8.0984837822908407E-4</v>
      </c>
      <c r="AJ96" s="83">
        <f si="122" t="shared"/>
        <v>-1.7448354985078222E-4</v>
      </c>
      <c r="AK96" s="83">
        <f si="122" t="shared"/>
        <v>-2.3237268422816502E-4</v>
      </c>
      <c r="AL96" s="83">
        <f si="122" t="shared"/>
        <v>2.9860188801635297E-3</v>
      </c>
      <c r="AM96" s="83">
        <f si="122" t="shared"/>
        <v>-1.6211092583051985E-2</v>
      </c>
      <c r="AN96" s="83">
        <f si="122" t="shared"/>
        <v>-1.4886371194848807E-5</v>
      </c>
      <c r="AO96" s="83">
        <f si="122" t="shared"/>
        <v>7.8019849663574009E-4</v>
      </c>
      <c r="AP96" s="83">
        <f si="122" t="shared"/>
        <v>-5.2595466959231367E-5</v>
      </c>
      <c r="AQ96" s="83">
        <f si="122" t="shared"/>
        <v>-3.1744583948231275E-5</v>
      </c>
      <c r="AR96" s="83">
        <f si="122" t="shared"/>
        <v>-1.7819814604586384E-4</v>
      </c>
      <c r="AS96" s="83">
        <f si="122" t="shared"/>
        <v>-1.7944181690021023E-5</v>
      </c>
      <c r="AT96" s="83">
        <f si="122" t="shared"/>
        <v>-2.7366845076711918E-4</v>
      </c>
      <c r="AU96" s="83">
        <f si="122" t="shared"/>
        <v>0</v>
      </c>
      <c r="AV96" s="83">
        <f si="122" t="shared"/>
        <v>0</v>
      </c>
      <c r="CU96">
        <v>95</v>
      </c>
      <c r="CV96">
        <f si="109" t="shared"/>
        <v>5</v>
      </c>
      <c r="CW96">
        <f si="103" t="shared"/>
        <v>15</v>
      </c>
      <c r="CX96" s="44">
        <f si="104" t="shared"/>
        <v>20.795813560423841</v>
      </c>
      <c r="CY96" s="44">
        <f si="105" t="shared"/>
        <v>30.999999999999996</v>
      </c>
      <c r="CZ96" s="87">
        <f si="106" t="shared"/>
        <v>10.204186439576155</v>
      </c>
      <c r="DA96" s="63">
        <f si="107" t="shared"/>
        <v>0.49068464717319682</v>
      </c>
    </row>
    <row r="97" spans="26:105" x14ac:dyDescent="0.45">
      <c r="Z97">
        <v>14</v>
      </c>
      <c r="AA97" s="83">
        <f si="120" t="shared"/>
        <v>7.0242785890758247E-4</v>
      </c>
      <c r="AB97" s="83">
        <f ref="AB97:AD100" si="123" t="shared">AB70-D70</f>
        <v>-4.9527092745160718E-4</v>
      </c>
      <c r="AC97" s="83">
        <f si="123" t="shared"/>
        <v>4.1373191365721464E-4</v>
      </c>
      <c r="AD97" s="83">
        <f si="123" t="shared"/>
        <v>1.6924396717768806E-4</v>
      </c>
      <c r="AE97" s="83">
        <f si="122" t="shared"/>
        <v>6.2392629013088017E-5</v>
      </c>
      <c r="AF97" s="83">
        <f si="122" t="shared"/>
        <v>-2.6412388466525187E-4</v>
      </c>
      <c r="AG97" s="83">
        <f si="122" t="shared"/>
        <v>-3.218835573717254E-4</v>
      </c>
      <c r="AH97" s="83">
        <f si="122" t="shared"/>
        <v>2.8455877520369992E-5</v>
      </c>
      <c r="AI97" s="83">
        <f si="122" t="shared"/>
        <v>1.5471413382725404E-4</v>
      </c>
      <c r="AJ97" s="83">
        <f si="122" t="shared"/>
        <v>1.1347551729176181E-4</v>
      </c>
      <c r="AK97" s="83">
        <f si="122" t="shared"/>
        <v>6.4490912346431509E-4</v>
      </c>
      <c r="AL97" s="83">
        <f si="122" t="shared"/>
        <v>6.4881881921571285E-5</v>
      </c>
      <c r="AM97" s="83">
        <f si="122" t="shared"/>
        <v>-4.2890323249836692E-5</v>
      </c>
      <c r="AN97" s="83">
        <f si="122" t="shared"/>
        <v>-1.0125344606946758E-3</v>
      </c>
      <c r="AO97" s="83">
        <f si="122" t="shared"/>
        <v>-3.7738394460719687E-5</v>
      </c>
      <c r="AP97" s="83">
        <f si="122" t="shared"/>
        <v>1.3214800560172652E-5</v>
      </c>
      <c r="AQ97" s="83">
        <f si="122" t="shared"/>
        <v>-1.5840208951046456E-4</v>
      </c>
      <c r="AR97" s="83">
        <f si="122" t="shared"/>
        <v>-1.0650703522535138E-7</v>
      </c>
      <c r="AS97" s="83">
        <f si="122" t="shared"/>
        <v>-3.0120398985675569E-5</v>
      </c>
      <c r="AT97" s="83">
        <f si="122" t="shared"/>
        <v>-4.3771599158344602E-6</v>
      </c>
      <c r="AU97" s="83">
        <f si="122" t="shared"/>
        <v>0</v>
      </c>
      <c r="AV97" s="83">
        <f si="122" t="shared"/>
        <v>0</v>
      </c>
      <c r="CU97">
        <v>96</v>
      </c>
      <c r="CV97">
        <f si="109" t="shared"/>
        <v>5</v>
      </c>
      <c r="CW97">
        <f si="103" t="shared"/>
        <v>16</v>
      </c>
      <c r="CX97" s="44">
        <f si="104" t="shared"/>
        <v>115.32223883507768</v>
      </c>
      <c r="CY97" s="44">
        <f si="105" t="shared"/>
        <v>96.999999999999986</v>
      </c>
      <c r="CZ97" s="87">
        <f si="106" t="shared"/>
        <v>-18.322238835077698</v>
      </c>
      <c r="DA97" s="63">
        <f si="107" t="shared"/>
        <v>-0.15887862584145915</v>
      </c>
    </row>
    <row r="98" spans="26:105" x14ac:dyDescent="0.45">
      <c r="Z98">
        <v>15</v>
      </c>
      <c r="AA98" s="83">
        <f si="120" t="shared"/>
        <v>2.043784634553486E-4</v>
      </c>
      <c r="AB98" s="83">
        <f si="123" t="shared"/>
        <v>-4.3530535862500879E-4</v>
      </c>
      <c r="AC98" s="83">
        <f si="123" t="shared"/>
        <v>3.3356125643078672E-4</v>
      </c>
      <c r="AD98" s="83">
        <f si="123" t="shared"/>
        <v>-1.3728487096132844E-4</v>
      </c>
      <c r="AE98" s="83">
        <f si="122" t="shared"/>
        <v>-1.3128434107654224E-4</v>
      </c>
      <c r="AF98" s="83">
        <f si="122" t="shared"/>
        <v>2.6929188187156802E-5</v>
      </c>
      <c r="AG98" s="83">
        <f si="122" t="shared"/>
        <v>7.1174259801560277E-5</v>
      </c>
      <c r="AH98" s="83">
        <f si="122" t="shared"/>
        <v>-1.1226912370790169E-6</v>
      </c>
      <c r="AI98" s="83">
        <f si="122" t="shared"/>
        <v>2.2060867668142713E-3</v>
      </c>
      <c r="AJ98" s="83">
        <f si="122" t="shared"/>
        <v>-3.0771314931906719E-5</v>
      </c>
      <c r="AK98" s="83">
        <f si="122" t="shared"/>
        <v>2.0235799512969025E-4</v>
      </c>
      <c r="AL98" s="83">
        <f si="122" t="shared"/>
        <v>-3.3674550407032677E-4</v>
      </c>
      <c r="AM98" s="83">
        <f si="122" t="shared"/>
        <v>2.0544367837253804E-3</v>
      </c>
      <c r="AN98" s="83">
        <f si="122" t="shared"/>
        <v>1.4215534821281051E-5</v>
      </c>
      <c r="AO98" s="83">
        <f si="122" t="shared"/>
        <v>-4.7774010106131914E-3</v>
      </c>
      <c r="AP98" s="83">
        <f si="122" t="shared"/>
        <v>-9.1681752264572939E-6</v>
      </c>
      <c r="AQ98" s="83">
        <f si="122" t="shared"/>
        <v>-5.3133618201268288E-5</v>
      </c>
      <c r="AR98" s="83">
        <f si="122" t="shared"/>
        <v>-6.5202914459254932E-5</v>
      </c>
      <c r="AS98" s="83">
        <f si="122" t="shared"/>
        <v>8.8333345489208714E-4</v>
      </c>
      <c r="AT98" s="83">
        <f si="122" t="shared"/>
        <v>-1.9053903855184605E-5</v>
      </c>
      <c r="AU98" s="83">
        <f si="122" t="shared"/>
        <v>0</v>
      </c>
      <c r="AV98" s="83">
        <f si="122" t="shared"/>
        <v>0</v>
      </c>
      <c r="CU98">
        <v>97</v>
      </c>
      <c r="CV98">
        <f si="109" t="shared"/>
        <v>5</v>
      </c>
      <c r="CW98">
        <f si="103" t="shared"/>
        <v>17</v>
      </c>
      <c r="CX98" s="44">
        <f si="104" t="shared"/>
        <v>17.014756549437688</v>
      </c>
      <c r="CY98" s="44">
        <f si="105" t="shared"/>
        <v>13.999999999999998</v>
      </c>
      <c r="CZ98" s="87">
        <f si="106" t="shared"/>
        <v>-3.0147565494376902</v>
      </c>
      <c r="DA98" s="63">
        <f si="107" t="shared"/>
        <v>-0.17718481840619243</v>
      </c>
    </row>
    <row r="99" spans="26:105" x14ac:dyDescent="0.45">
      <c r="Z99">
        <v>16</v>
      </c>
      <c r="AA99" s="83">
        <f si="120" t="shared"/>
        <v>-1.2084713989663322E-4</v>
      </c>
      <c r="AB99" s="83">
        <f si="123" t="shared"/>
        <v>-1.658461399226841E-4</v>
      </c>
      <c r="AC99" s="83">
        <f si="123" t="shared"/>
        <v>-8.4424476459634486E-5</v>
      </c>
      <c r="AD99" s="83">
        <f si="123" t="shared"/>
        <v>-7.1339937865099292E-5</v>
      </c>
      <c r="AE99" s="83">
        <f si="122" t="shared"/>
        <v>1.9856047329197611E-4</v>
      </c>
      <c r="AF99" s="83">
        <f si="122" t="shared"/>
        <v>-6.1879637095100127E-5</v>
      </c>
      <c r="AG99" s="83">
        <f si="122" t="shared"/>
        <v>-2.5753823871699265E-5</v>
      </c>
      <c r="AH99" s="83">
        <f si="122" t="shared"/>
        <v>-4.039215429633837E-5</v>
      </c>
      <c r="AI99" s="83">
        <f si="122" t="shared"/>
        <v>-2.3148128451881754E-4</v>
      </c>
      <c r="AJ99" s="83">
        <f si="122" t="shared"/>
        <v>-2.7682078920164273E-4</v>
      </c>
      <c r="AK99" s="83">
        <f si="122" t="shared"/>
        <v>-1.7819529261655587E-4</v>
      </c>
      <c r="AL99" s="83">
        <f si="122" t="shared"/>
        <v>1.9470558683398536E-3</v>
      </c>
      <c r="AM99" s="83">
        <f si="122" t="shared"/>
        <v>1.1442059316715239E-7</v>
      </c>
      <c r="AN99" s="83">
        <f si="122" t="shared"/>
        <v>-3.2809913623825286E-5</v>
      </c>
      <c r="AO99" s="83">
        <f si="122" t="shared"/>
        <v>4.1370626517425056E-6</v>
      </c>
      <c r="AP99" s="83">
        <f si="122" t="shared"/>
        <v>-9.4079521998245534E-4</v>
      </c>
      <c r="AQ99" s="83">
        <f si="122" t="shared"/>
        <v>-6.5428054044644832E-6</v>
      </c>
      <c r="AR99" s="83">
        <f si="122" t="shared"/>
        <v>1.259608366876444E-4</v>
      </c>
      <c r="AS99" s="83">
        <f si="122" t="shared"/>
        <v>-7.5279866241867051E-5</v>
      </c>
      <c r="AT99" s="83">
        <f si="122" t="shared"/>
        <v>3.6579819432433031E-5</v>
      </c>
      <c r="AU99" s="83">
        <f si="122" t="shared"/>
        <v>0</v>
      </c>
      <c r="AV99" s="83">
        <f si="122" t="shared"/>
        <v>0</v>
      </c>
      <c r="CU99">
        <v>98</v>
      </c>
      <c r="CV99">
        <f si="109" t="shared"/>
        <v>5</v>
      </c>
      <c r="CW99">
        <f si="103" t="shared"/>
        <v>18</v>
      </c>
      <c r="CX99" s="44">
        <f si="104" t="shared"/>
        <v>15.124228043944614</v>
      </c>
      <c r="CY99" s="44">
        <f si="105" t="shared"/>
        <v>22.999999999999996</v>
      </c>
      <c r="CZ99" s="87">
        <f si="106" t="shared"/>
        <v>7.8757719560553827</v>
      </c>
      <c r="DA99" s="63">
        <f si="107" t="shared"/>
        <v>0.52073877312426908</v>
      </c>
    </row>
    <row r="100" spans="26:105" x14ac:dyDescent="0.45">
      <c r="Z100">
        <v>17</v>
      </c>
      <c r="AA100" s="83">
        <f si="120" t="shared"/>
        <v>2.370956565951347E-4</v>
      </c>
      <c r="AB100" s="83">
        <f si="123" t="shared"/>
        <v>-5.9297484001740093E-4</v>
      </c>
      <c r="AC100" s="83">
        <f si="123" t="shared"/>
        <v>4.5519607362511062E-4</v>
      </c>
      <c r="AD100" s="83">
        <f si="123" t="shared"/>
        <v>-3.3626323551228161E-5</v>
      </c>
      <c r="AE100" s="83">
        <f si="122" t="shared"/>
        <v>-1.2115046620849194E-4</v>
      </c>
      <c r="AF100" s="83">
        <f si="122" t="shared"/>
        <v>-3.0867477595219409E-4</v>
      </c>
      <c r="AG100" s="83">
        <f si="122" t="shared"/>
        <v>-3.5333520351643713E-4</v>
      </c>
      <c r="AH100" s="83">
        <f si="122" t="shared"/>
        <v>-1.8672940489889616E-4</v>
      </c>
      <c r="AI100" s="83">
        <f si="122" t="shared"/>
        <v>1.3242346827862204E-4</v>
      </c>
      <c r="AJ100" s="83">
        <f si="122" t="shared"/>
        <v>9.1795867440445169E-5</v>
      </c>
      <c r="AK100" s="83">
        <f si="122" t="shared"/>
        <v>1.0267461661572254E-3</v>
      </c>
      <c r="AL100" s="83">
        <f si="122" t="shared"/>
        <v>-9.8601618043742622E-5</v>
      </c>
      <c r="AM100" s="83">
        <f si="122" t="shared"/>
        <v>-1.7010252672734224E-4</v>
      </c>
      <c r="AN100" s="83">
        <f si="122" t="shared"/>
        <v>1.2604204612915294E-3</v>
      </c>
      <c r="AO100" s="83">
        <f si="122" t="shared"/>
        <v>2.1387064160801716E-6</v>
      </c>
      <c r="AP100" s="83">
        <f si="122" t="shared"/>
        <v>6.4260733339535701E-6</v>
      </c>
      <c r="AQ100" s="83">
        <f si="122" t="shared"/>
        <v>-1.1815684603087746E-3</v>
      </c>
      <c r="AR100" s="83">
        <f si="122" t="shared"/>
        <v>3.5792048199958242E-6</v>
      </c>
      <c r="AS100" s="83">
        <f si="122" t="shared"/>
        <v>-1.6272654921390588E-4</v>
      </c>
      <c r="AT100" s="83">
        <f si="122" t="shared"/>
        <v>-6.3315095196787467E-6</v>
      </c>
      <c r="AU100" s="83">
        <f si="122" t="shared"/>
        <v>0</v>
      </c>
      <c r="AV100" s="83">
        <f si="122" t="shared"/>
        <v>0</v>
      </c>
      <c r="CU100">
        <v>99</v>
      </c>
      <c r="CV100">
        <f si="109" t="shared"/>
        <v>5</v>
      </c>
      <c r="CW100">
        <f si="103" t="shared"/>
        <v>19</v>
      </c>
      <c r="CX100" s="44">
        <f si="104" t="shared"/>
        <v>47.263212637326916</v>
      </c>
      <c r="CY100" s="44">
        <f si="105" t="shared"/>
        <v>15.999999999999998</v>
      </c>
      <c r="CZ100" s="87">
        <f si="106" t="shared"/>
        <v>-31.263212637326916</v>
      </c>
      <c r="DA100" s="63">
        <f si="107" t="shared"/>
        <v>-0.66147032528711913</v>
      </c>
    </row>
    <row r="101" spans="26:105" x14ac:dyDescent="0.45">
      <c r="Z101">
        <v>18</v>
      </c>
      <c r="AA101" s="83">
        <f ref="AA101:AD105" si="124" t="shared">AA74-C74</f>
        <v>-1.3603084535903482E-4</v>
      </c>
      <c r="AB101" s="83">
        <f si="124" t="shared"/>
        <v>-2.7328003363043436E-4</v>
      </c>
      <c r="AC101" s="83">
        <f si="124" t="shared"/>
        <v>-1.426472193027747E-4</v>
      </c>
      <c r="AD101" s="83">
        <f si="124" t="shared"/>
        <v>-2.7628223950351666E-4</v>
      </c>
      <c r="AE101" s="83">
        <f si="122" t="shared"/>
        <v>-5.8731300054793551E-4</v>
      </c>
      <c r="AF101" s="83">
        <f si="122" t="shared"/>
        <v>-9.7475447155951798E-4</v>
      </c>
      <c r="AG101" s="83">
        <f si="122" t="shared"/>
        <v>-2.1851336610978359E-4</v>
      </c>
      <c r="AH101" s="83">
        <f si="122" t="shared"/>
        <v>-8.9186724065126171E-5</v>
      </c>
      <c r="AI101" s="83">
        <f si="122" t="shared"/>
        <v>-5.3115075170870351E-5</v>
      </c>
      <c r="AJ101" s="83">
        <f si="122" t="shared"/>
        <v>1.1283030639210132E-4</v>
      </c>
      <c r="AK101" s="83">
        <f si="122" t="shared"/>
        <v>-5.9446161626530207E-5</v>
      </c>
      <c r="AL101" s="83">
        <f si="122" t="shared"/>
        <v>5.150141162939801E-3</v>
      </c>
      <c r="AM101" s="83">
        <f si="122" t="shared"/>
        <v>1.4944427532229835E-3</v>
      </c>
      <c r="AN101" s="83">
        <f si="122" t="shared"/>
        <v>-1.7335243046444562E-6</v>
      </c>
      <c r="AO101" s="83">
        <f si="122" t="shared"/>
        <v>-8.2312759425246586E-5</v>
      </c>
      <c r="AP101" s="83">
        <f si="122" t="shared"/>
        <v>6.9326228646350531E-7</v>
      </c>
      <c r="AQ101" s="83">
        <f si="122" t="shared"/>
        <v>-6.6610258060304145E-6</v>
      </c>
      <c r="AR101" s="83">
        <f si="122" t="shared"/>
        <v>-2.1304257571129331E-3</v>
      </c>
      <c r="AS101" s="83">
        <f si="122" t="shared"/>
        <v>-7.3596378910890679E-5</v>
      </c>
      <c r="AT101" s="83">
        <f si="122" t="shared"/>
        <v>-1.6528089024060695E-3</v>
      </c>
      <c r="AU101" s="83">
        <f si="122" t="shared"/>
        <v>0</v>
      </c>
      <c r="AV101" s="83">
        <f si="122" t="shared"/>
        <v>0</v>
      </c>
      <c r="CU101">
        <v>100</v>
      </c>
      <c r="CV101">
        <f si="109" t="shared"/>
        <v>5</v>
      </c>
      <c r="CW101">
        <f si="103" t="shared"/>
        <v>20</v>
      </c>
      <c r="CX101" s="44">
        <f si="104" t="shared"/>
        <v>7.5621140219723069</v>
      </c>
      <c r="CY101" s="44">
        <f si="105" t="shared"/>
        <v>0</v>
      </c>
      <c r="CZ101" s="87">
        <f si="106" t="shared"/>
        <v>-7.5621140219723069</v>
      </c>
      <c r="DA101" s="63">
        <f si="107" t="shared"/>
        <v>-1</v>
      </c>
    </row>
    <row r="102" spans="26:105" x14ac:dyDescent="0.45">
      <c r="Z102">
        <v>19</v>
      </c>
      <c r="AA102" s="83">
        <f si="124" t="shared"/>
        <v>7.109327888697118E-5</v>
      </c>
      <c r="AB102" s="83">
        <f si="124" t="shared"/>
        <v>-4.2126680338492684E-4</v>
      </c>
      <c r="AC102" s="83">
        <f si="124" t="shared"/>
        <v>4.837305736990076E-4</v>
      </c>
      <c r="AD102" s="83">
        <f si="124" t="shared"/>
        <v>7.8629073862343849E-5</v>
      </c>
      <c r="AE102" s="83">
        <f si="122" t="shared"/>
        <v>-4.1916844346057993E-5</v>
      </c>
      <c r="AF102" s="83">
        <f si="122" t="shared"/>
        <v>-5.4032158929255255E-5</v>
      </c>
      <c r="AG102" s="83">
        <f si="122" t="shared"/>
        <v>-3.3885115227295915E-4</v>
      </c>
      <c r="AH102" s="83">
        <f si="122" t="shared"/>
        <v>-6.3655755702662258E-5</v>
      </c>
      <c r="AI102" s="83">
        <f si="122" t="shared"/>
        <v>1.5250577263864139E-3</v>
      </c>
      <c r="AJ102" s="83">
        <f si="122" t="shared"/>
        <v>8.1093178111008951E-5</v>
      </c>
      <c r="AK102" s="83">
        <f si="122" t="shared"/>
        <v>3.0964583178133952E-3</v>
      </c>
      <c r="AL102" s="83">
        <f si="122" t="shared"/>
        <v>-7.9634180415191378E-4</v>
      </c>
      <c r="AM102" s="83">
        <f si="122" t="shared"/>
        <v>-1.4275940380670127E-4</v>
      </c>
      <c r="AN102" s="83">
        <f si="122" t="shared"/>
        <v>3.7967699023337448E-4</v>
      </c>
      <c r="AO102" s="83">
        <f si="122" t="shared"/>
        <v>1.0808925127988012E-3</v>
      </c>
      <c r="AP102" s="83">
        <f si="122" t="shared"/>
        <v>-2.6474095647243897E-5</v>
      </c>
      <c r="AQ102" s="83">
        <f si="122" t="shared"/>
        <v>1.7677362596831819E-3</v>
      </c>
      <c r="AR102" s="83">
        <f si="122" t="shared"/>
        <v>-6.8822740287371461E-6</v>
      </c>
      <c r="AS102" s="83">
        <f si="122" t="shared"/>
        <v>-6.6605100607810309E-3</v>
      </c>
      <c r="AT102" s="83">
        <f si="122" t="shared"/>
        <v>-1.1677558423002789E-5</v>
      </c>
      <c r="AU102" s="83">
        <f si="122" t="shared"/>
        <v>0</v>
      </c>
      <c r="AV102" s="83">
        <f si="122" t="shared"/>
        <v>0</v>
      </c>
      <c r="CU102">
        <v>101</v>
      </c>
      <c r="CV102">
        <f si="109" t="shared"/>
        <v>6</v>
      </c>
      <c r="CW102">
        <f si="103" t="shared"/>
        <v>1</v>
      </c>
      <c r="CX102" s="44">
        <f si="104" t="shared"/>
        <v>3398.0978461993932</v>
      </c>
      <c r="CY102" s="44">
        <f si="105" t="shared"/>
        <v>3801</v>
      </c>
      <c r="CZ102" s="87">
        <f si="106" t="shared"/>
        <v>402.90215380060681</v>
      </c>
      <c r="DA102" s="63">
        <f si="107" t="shared"/>
        <v>0.11856696659021554</v>
      </c>
    </row>
    <row r="103" spans="26:105" x14ac:dyDescent="0.45">
      <c r="Z103">
        <v>20</v>
      </c>
      <c r="AA103" s="83">
        <f si="124" t="shared"/>
        <v>-1.6747213784466176E-4</v>
      </c>
      <c r="AB103" s="83">
        <f si="124" t="shared"/>
        <v>-2.4236056112407901E-4</v>
      </c>
      <c r="AC103" s="83">
        <f si="124" t="shared"/>
        <v>4.5199887321046892E-6</v>
      </c>
      <c r="AD103" s="83">
        <f si="124" t="shared"/>
        <v>-8.6037622745466647E-6</v>
      </c>
      <c r="AE103" s="83">
        <f si="122" t="shared"/>
        <v>-5.2384645529541624E-5</v>
      </c>
      <c r="AF103" s="83">
        <f si="122" t="shared"/>
        <v>-8.8792193743977214E-5</v>
      </c>
      <c r="AG103" s="83">
        <f si="122" t="shared"/>
        <v>-1.6005304285059095E-4</v>
      </c>
      <c r="AH103" s="83">
        <f si="122" t="shared"/>
        <v>-1.5473101387627304E-6</v>
      </c>
      <c r="AI103" s="83">
        <f si="122" t="shared"/>
        <v>-6.5457417784089124E-5</v>
      </c>
      <c r="AJ103" s="83">
        <f si="122" t="shared"/>
        <v>-7.2499677333457156E-5</v>
      </c>
      <c r="AK103" s="83">
        <f si="122" t="shared"/>
        <v>-4.7779501278941375E-5</v>
      </c>
      <c r="AL103" s="83">
        <f si="122" t="shared"/>
        <v>-8.7988008702830339E-4</v>
      </c>
      <c r="AM103" s="83">
        <f si="122" t="shared"/>
        <v>-3.4252470793256199E-4</v>
      </c>
      <c r="AN103" s="83">
        <f si="122" t="shared"/>
        <v>-6.2544118935707118E-6</v>
      </c>
      <c r="AO103" s="83">
        <f si="122" t="shared"/>
        <v>1.0485330098764394E-6</v>
      </c>
      <c r="AP103" s="83">
        <f si="122" t="shared"/>
        <v>4.9264249478480525E-5</v>
      </c>
      <c r="AQ103" s="83">
        <f si="122" t="shared"/>
        <v>-1.847416515380113E-5</v>
      </c>
      <c r="AR103" s="83">
        <f si="122" t="shared"/>
        <v>3.3048811540975958E-3</v>
      </c>
      <c r="AS103" s="83">
        <f si="122" t="shared"/>
        <v>-9.6239101115912462E-6</v>
      </c>
      <c r="AT103" s="83">
        <f si="122" t="shared"/>
        <v>-1.1960063932955761E-3</v>
      </c>
      <c r="AU103" s="83">
        <f si="122" t="shared"/>
        <v>0</v>
      </c>
      <c r="AV103" s="83">
        <f si="122" t="shared"/>
        <v>0</v>
      </c>
      <c r="CU103">
        <v>102</v>
      </c>
      <c r="CV103">
        <f si="109" t="shared"/>
        <v>6</v>
      </c>
      <c r="CW103">
        <f si="103" t="shared"/>
        <v>2</v>
      </c>
      <c r="CX103" s="44">
        <f si="104" t="shared"/>
        <v>1645.2660794907852</v>
      </c>
      <c r="CY103" s="44">
        <f si="105" t="shared"/>
        <v>1787</v>
      </c>
      <c r="CZ103" s="87">
        <f si="106" t="shared"/>
        <v>141.73392050921484</v>
      </c>
      <c r="DA103" s="63">
        <f si="107" t="shared"/>
        <v>8.6146503763744955E-2</v>
      </c>
    </row>
    <row r="104" spans="26:105" x14ac:dyDescent="0.45">
      <c r="Z104" s="80" t="s">
        <v>15</v>
      </c>
      <c r="AA104" s="84">
        <f si="124" t="shared"/>
        <v>0</v>
      </c>
      <c r="AB104" s="84">
        <f si="124" t="shared"/>
        <v>0</v>
      </c>
      <c r="AC104" s="84">
        <f si="124" t="shared"/>
        <v>0</v>
      </c>
      <c r="AD104" s="84">
        <f si="124" t="shared"/>
        <v>0</v>
      </c>
      <c r="AE104" s="84">
        <f si="122" t="shared"/>
        <v>0</v>
      </c>
      <c r="AF104" s="84">
        <f si="122" t="shared"/>
        <v>0</v>
      </c>
      <c r="AG104" s="84">
        <f si="122" t="shared"/>
        <v>0</v>
      </c>
      <c r="AH104" s="84">
        <f si="122" t="shared"/>
        <v>0</v>
      </c>
      <c r="AI104" s="84">
        <f si="122" t="shared"/>
        <v>0</v>
      </c>
      <c r="AJ104" s="84">
        <f si="122" t="shared"/>
        <v>0</v>
      </c>
      <c r="AK104" s="84">
        <f si="122" t="shared"/>
        <v>0</v>
      </c>
      <c r="AL104" s="84">
        <f si="122" t="shared"/>
        <v>0</v>
      </c>
      <c r="AM104" s="84">
        <f si="122" t="shared"/>
        <v>0</v>
      </c>
      <c r="AN104" s="84">
        <f si="122" t="shared"/>
        <v>0</v>
      </c>
      <c r="AO104" s="84">
        <f si="122" t="shared"/>
        <v>0</v>
      </c>
      <c r="AP104" s="84">
        <f si="122" t="shared"/>
        <v>0</v>
      </c>
      <c r="AQ104" s="84">
        <f si="122" t="shared"/>
        <v>0</v>
      </c>
      <c r="AR104" s="84">
        <f si="122" t="shared"/>
        <v>0</v>
      </c>
      <c r="AS104" s="84">
        <f si="122" t="shared"/>
        <v>0</v>
      </c>
      <c r="AT104" s="84">
        <f si="122" t="shared"/>
        <v>0</v>
      </c>
      <c r="AU104" s="84">
        <f si="122" t="shared"/>
        <v>0</v>
      </c>
      <c r="AV104" s="84">
        <f si="122" t="shared"/>
        <v>0</v>
      </c>
      <c r="CU104">
        <v>103</v>
      </c>
      <c r="CV104">
        <f si="109" t="shared"/>
        <v>6</v>
      </c>
      <c r="CW104">
        <f si="103" t="shared"/>
        <v>3</v>
      </c>
      <c r="CX104" s="44">
        <f si="104" t="shared"/>
        <v>856.45103989342022</v>
      </c>
      <c r="CY104" s="44">
        <f si="105" t="shared"/>
        <v>935</v>
      </c>
      <c r="CZ104" s="87">
        <f si="106" t="shared"/>
        <v>78.548960106579784</v>
      </c>
      <c r="DA104" s="63">
        <f si="107" t="shared"/>
        <v>9.1714478058611146E-2</v>
      </c>
    </row>
    <row ht="14.65" r="105" spans="26:105" thickBot="1" x14ac:dyDescent="0.5">
      <c r="Z105" s="1" t="s">
        <v>3</v>
      </c>
      <c r="AA105" s="85">
        <f si="124" t="shared"/>
        <v>1.0663696059144342E-2</v>
      </c>
      <c r="AB105" s="85">
        <f si="124" t="shared"/>
        <v>-2.6302035894062437E-3</v>
      </c>
      <c r="AC105" s="85">
        <f si="124" t="shared"/>
        <v>-2.7779065311265942E-3</v>
      </c>
      <c r="AD105" s="85">
        <f si="124" t="shared"/>
        <v>-2.9525040637092791E-3</v>
      </c>
      <c r="AE105" s="85">
        <f si="122" t="shared"/>
        <v>-5.5630190058073951E-3</v>
      </c>
      <c r="AF105" s="85">
        <f si="122" t="shared"/>
        <v>1.3691709504242977E-3</v>
      </c>
      <c r="AG105" s="85">
        <f si="122" t="shared"/>
        <v>9.0371012052778282E-3</v>
      </c>
      <c r="AH105" s="85">
        <f si="122" t="shared"/>
        <v>-2.7646227967402558E-3</v>
      </c>
      <c r="AI105" s="85">
        <f si="122" t="shared"/>
        <v>8.2733383103292188E-3</v>
      </c>
      <c r="AJ105" s="85">
        <f si="122" t="shared"/>
        <v>-1.900467080650628E-3</v>
      </c>
      <c r="AK105" s="85">
        <f si="122" t="shared"/>
        <v>-5.18642502846315E-3</v>
      </c>
      <c r="AL105" s="85">
        <f si="122" t="shared"/>
        <v>2.7857789090287438E-2</v>
      </c>
      <c r="AM105" s="85">
        <f si="122" t="shared"/>
        <v>-1.611790895035746E-2</v>
      </c>
      <c r="AN105" s="85">
        <f si="122" t="shared"/>
        <v>8.2864760449739144E-4</v>
      </c>
      <c r="AO105" s="85">
        <f si="122" t="shared"/>
        <v>-3.5656472416032911E-3</v>
      </c>
      <c r="AP105" s="85">
        <f si="122" t="shared"/>
        <v>-1.0955004206418496E-3</v>
      </c>
      <c r="AQ105" s="85">
        <f si="122" t="shared"/>
        <v>-1.4284654967909594E-4</v>
      </c>
      <c r="AR105" s="85">
        <f si="122" t="shared"/>
        <v>-4.8538878843040756E-4</v>
      </c>
      <c r="AS105" s="85">
        <f si="122" t="shared"/>
        <v>-8.3168490222413002E-3</v>
      </c>
      <c r="AT105" s="85">
        <f si="122" t="shared"/>
        <v>-4.5304541511033553E-3</v>
      </c>
      <c r="AU105" s="85">
        <f si="122" t="shared"/>
        <v>0</v>
      </c>
      <c r="AV105" s="85">
        <f si="122" t="shared"/>
        <v>0</v>
      </c>
      <c r="CU105">
        <v>104</v>
      </c>
      <c r="CV105">
        <f si="109" t="shared"/>
        <v>6</v>
      </c>
      <c r="CW105">
        <f si="103" t="shared"/>
        <v>4</v>
      </c>
      <c r="CX105" s="44">
        <f si="104" t="shared"/>
        <v>886.60202797720376</v>
      </c>
      <c r="CY105" s="44">
        <f si="105" t="shared"/>
        <v>837</v>
      </c>
      <c r="CZ105" s="87">
        <f si="106" t="shared"/>
        <v>-49.602027977203761</v>
      </c>
      <c r="DA105" s="63">
        <f si="107" t="shared"/>
        <v>-5.5946215338996637E-2</v>
      </c>
    </row>
    <row r="106" spans="26:105" x14ac:dyDescent="0.45">
      <c r="CU106">
        <v>105</v>
      </c>
      <c r="CV106">
        <f si="109" t="shared"/>
        <v>6</v>
      </c>
      <c r="CW106">
        <f si="103" t="shared"/>
        <v>5</v>
      </c>
      <c r="CX106" s="44">
        <f si="104" t="shared"/>
        <v>1443.9878617422842</v>
      </c>
      <c r="CY106" s="44">
        <f si="105" t="shared"/>
        <v>1638</v>
      </c>
      <c r="CZ106" s="87">
        <f si="106" t="shared"/>
        <v>194.01213825771583</v>
      </c>
      <c r="DA106" s="63">
        <f si="107" t="shared"/>
        <v>0.13435856588408232</v>
      </c>
    </row>
    <row r="107" spans="26:105" x14ac:dyDescent="0.45">
      <c r="CU107">
        <v>106</v>
      </c>
      <c r="CV107">
        <f si="109" t="shared"/>
        <v>6</v>
      </c>
      <c r="CW107">
        <f si="103" t="shared"/>
        <v>6</v>
      </c>
      <c r="CX107" s="44">
        <f si="104" t="shared"/>
        <v>16228.565613204055</v>
      </c>
      <c r="CY107" s="44">
        <f si="105" t="shared"/>
        <v>12658</v>
      </c>
      <c r="CZ107" s="87">
        <f si="106" t="shared"/>
        <v>-3570.5656132040549</v>
      </c>
      <c r="DA107" s="63">
        <f si="107" t="shared"/>
        <v>-0.22001732613379793</v>
      </c>
    </row>
    <row ht="14.65" r="108" spans="26:105" thickBot="1" x14ac:dyDescent="0.5">
      <c r="Z108" s="21" t="s">
        <v>435</v>
      </c>
      <c r="AA108" s="22"/>
      <c r="AB108" s="22"/>
      <c r="AC108" s="22"/>
      <c r="AD108" s="22"/>
      <c r="AE108" s="22"/>
      <c r="AF108" s="22"/>
      <c r="AG108" s="22"/>
      <c r="AH108" s="22"/>
      <c r="AI108" s="22"/>
      <c r="CU108">
        <v>107</v>
      </c>
      <c r="CV108">
        <f si="109" t="shared"/>
        <v>6</v>
      </c>
      <c r="CW108">
        <f si="103" t="shared"/>
        <v>7</v>
      </c>
      <c r="CX108" s="44">
        <f si="104" t="shared"/>
        <v>946.90400414477097</v>
      </c>
      <c r="CY108" s="44">
        <f si="105" t="shared"/>
        <v>1422</v>
      </c>
      <c r="CZ108" s="87">
        <f si="106" t="shared"/>
        <v>475.09599585522903</v>
      </c>
      <c r="DA108" s="63">
        <f si="107" t="shared"/>
        <v>0.50173617787616009</v>
      </c>
    </row>
    <row r="109" spans="26:105" x14ac:dyDescent="0.45">
      <c r="Z109" s="2" t="s">
        <v>14</v>
      </c>
      <c r="AA109" s="2">
        <v>1</v>
      </c>
      <c r="AB109" s="2">
        <v>2</v>
      </c>
      <c r="AC109" s="2">
        <v>3</v>
      </c>
      <c r="AD109" s="2">
        <v>4</v>
      </c>
      <c r="AE109" s="2">
        <v>5</v>
      </c>
      <c r="AF109" s="2">
        <v>6</v>
      </c>
      <c r="AG109" s="2">
        <v>7</v>
      </c>
      <c r="AH109" s="2">
        <v>8</v>
      </c>
      <c r="AI109" s="2">
        <v>9</v>
      </c>
      <c r="AJ109" s="2">
        <v>10</v>
      </c>
      <c r="AK109" s="2">
        <v>11</v>
      </c>
      <c r="AL109" s="2">
        <v>12</v>
      </c>
      <c r="AM109" s="2">
        <v>13</v>
      </c>
      <c r="AN109" s="2">
        <v>14</v>
      </c>
      <c r="AO109" s="2">
        <v>15</v>
      </c>
      <c r="AP109" s="2">
        <v>16</v>
      </c>
      <c r="AQ109" s="2">
        <v>17</v>
      </c>
      <c r="AR109" s="2">
        <v>18</v>
      </c>
      <c r="AS109" s="2">
        <v>19</v>
      </c>
      <c r="AT109" s="2">
        <v>20</v>
      </c>
      <c r="AU109" s="3" t="s">
        <v>15</v>
      </c>
      <c r="AV109" s="3" t="s">
        <v>3</v>
      </c>
      <c r="CU109">
        <v>108</v>
      </c>
      <c r="CV109">
        <f si="109" t="shared"/>
        <v>6</v>
      </c>
      <c r="CW109">
        <f si="103" t="shared"/>
        <v>8</v>
      </c>
      <c r="CX109" s="44">
        <f si="104" t="shared"/>
        <v>79.044482273702911</v>
      </c>
      <c r="CY109" s="44">
        <f si="105" t="shared"/>
        <v>89</v>
      </c>
      <c r="CZ109" s="87">
        <f si="106" t="shared"/>
        <v>9.9555177262970886</v>
      </c>
      <c r="DA109" s="63">
        <f si="107" t="shared"/>
        <v>0.12594829442774605</v>
      </c>
    </row>
    <row r="110" spans="26:105" x14ac:dyDescent="0.45">
      <c r="Z110" s="28">
        <v>1</v>
      </c>
      <c r="AA110" s="82">
        <f>IF(C30&gt;0,(AZ30-C30)/C30,0)</f>
        <v>-0.24510167415509573</v>
      </c>
      <c r="AB110" s="82">
        <f ref="AB110:AV110" si="125" t="shared">IF(D30&gt;0,(BA30-D30)/D30,0)</f>
        <v>0.1915078009183932</v>
      </c>
      <c r="AC110" s="82">
        <f si="125" t="shared"/>
        <v>0.42519811063125584</v>
      </c>
      <c r="AD110" s="82">
        <f si="125" t="shared"/>
        <v>0.23710359938244563</v>
      </c>
      <c r="AE110" s="82">
        <f si="125" t="shared"/>
        <v>7.672763542747648E-3</v>
      </c>
      <c r="AF110" s="82">
        <f si="125" t="shared"/>
        <v>4.3769617804266227E-2</v>
      </c>
      <c r="AG110" s="82">
        <f si="125" t="shared"/>
        <v>8.2947611438414823E-2</v>
      </c>
      <c r="AH110" s="82">
        <f si="125" t="shared"/>
        <v>0.2587241529560359</v>
      </c>
      <c r="AI110" s="82">
        <f si="125" t="shared"/>
        <v>0.52470049207918301</v>
      </c>
      <c r="AJ110" s="82">
        <f si="125" t="shared"/>
        <v>1.3464271311951446</v>
      </c>
      <c r="AK110" s="82">
        <f si="125" t="shared"/>
        <v>-8.2679670310989745E-2</v>
      </c>
      <c r="AL110" s="82">
        <f si="125" t="shared"/>
        <v>0.3100045300919767</v>
      </c>
      <c r="AM110" s="82">
        <f si="125" t="shared"/>
        <v>-0.71067290482865653</v>
      </c>
      <c r="AN110" s="82">
        <f si="125" t="shared"/>
        <v>-0.52679897848017088</v>
      </c>
      <c r="AO110" s="82">
        <f si="125" t="shared"/>
        <v>-7.3734170642036634E-2</v>
      </c>
      <c r="AP110" s="82">
        <f si="125" t="shared"/>
        <v>3.0382675411149216</v>
      </c>
      <c r="AQ110" s="82">
        <f si="125" t="shared"/>
        <v>0.2194536128802318</v>
      </c>
      <c r="AR110" s="82">
        <f si="125" t="shared"/>
        <v>-0.19973356654734781</v>
      </c>
      <c r="AS110" s="82">
        <f si="125" t="shared"/>
        <v>-0.80366796832628262</v>
      </c>
      <c r="AT110" s="82">
        <f si="125" t="shared"/>
        <v>-0.91463824709838382</v>
      </c>
      <c r="AU110" s="82">
        <f si="125" t="shared"/>
        <v>0</v>
      </c>
      <c r="AV110" s="82">
        <f si="125" t="shared"/>
        <v>0</v>
      </c>
      <c r="CU110">
        <v>109</v>
      </c>
      <c r="CV110">
        <f si="109" t="shared"/>
        <v>6</v>
      </c>
      <c r="CW110">
        <f si="103" t="shared"/>
        <v>9</v>
      </c>
      <c r="CX110" s="44">
        <f si="104" t="shared"/>
        <v>798.593738435349</v>
      </c>
      <c r="CY110" s="44">
        <f si="105" t="shared"/>
        <v>1293</v>
      </c>
      <c r="CZ110" s="87">
        <f si="106" t="shared"/>
        <v>494.406261564651</v>
      </c>
      <c r="DA110" s="63">
        <f si="107" t="shared"/>
        <v>0.61909609075237715</v>
      </c>
    </row>
    <row r="111" spans="26:105" x14ac:dyDescent="0.45">
      <c r="Z111">
        <v>2</v>
      </c>
      <c r="AA111" s="83">
        <f ref="AA111:AA131" si="126" t="shared">IF(C31&gt;0,(AZ31-C31)/C31,0)</f>
        <v>0.31990424475973622</v>
      </c>
      <c r="AB111" s="83">
        <f ref="AB111:AB131" si="127" t="shared">IF(D31&gt;0,(BA31-D31)/D31,0)</f>
        <v>-0.58478702282461437</v>
      </c>
      <c r="AC111" s="83">
        <f ref="AC111:AC131" si="128" t="shared">IF(E31&gt;0,(BB31-E31)/E31,0)</f>
        <v>0.55788109566668442</v>
      </c>
      <c r="AD111" s="83">
        <f ref="AD111:AD131" si="129" t="shared">IF(F31&gt;0,(BC31-F31)/F31,0)</f>
        <v>0.20137886804553473</v>
      </c>
      <c r="AE111" s="83">
        <f ref="AE111:AE131" si="130" t="shared">IF(G31&gt;0,(BD31-G31)/G31,0)</f>
        <v>0.11785804300199687</v>
      </c>
      <c r="AF111" s="83">
        <f ref="AF111:AF131" si="131" t="shared">IF(H31&gt;0,(BE31-H31)/H31,0)</f>
        <v>0.17528091329298059</v>
      </c>
      <c r="AG111" s="83">
        <f ref="AG111:AG131" si="132" t="shared">IF(I31&gt;0,(BF31-I31)/I31,0)</f>
        <v>-2.5564493010235945E-2</v>
      </c>
      <c r="AH111" s="83">
        <f ref="AH111:AH131" si="133" t="shared">IF(J31&gt;0,(BG31-J31)/J31,0)</f>
        <v>-0.4060980172091283</v>
      </c>
      <c r="AI111" s="83">
        <f ref="AI111:AI131" si="134" t="shared">IF(K31&gt;0,(BH31-K31)/K31,0)</f>
        <v>0.41428089029833237</v>
      </c>
      <c r="AJ111" s="83">
        <f ref="AJ111:AJ131" si="135" t="shared">IF(L31&gt;0,(BI31-L31)/L31,0)</f>
        <v>0.66160209335696818</v>
      </c>
      <c r="AK111" s="83">
        <f ref="AK111:AK131" si="136" t="shared">IF(M31&gt;0,(BJ31-M31)/M31,0)</f>
        <v>-0.23290964800398758</v>
      </c>
      <c r="AL111" s="83">
        <f ref="AL111:AL131" si="137" t="shared">IF(N31&gt;0,(BK31-N31)/N31,0)</f>
        <v>0.86214943849674397</v>
      </c>
      <c r="AM111" s="83">
        <f ref="AM111:AM131" si="138" t="shared">IF(O31&gt;0,(BL31-O31)/O31,0)</f>
        <v>-0.47753902662993575</v>
      </c>
      <c r="AN111" s="83">
        <f ref="AN111:AN131" si="139" t="shared">IF(P31&gt;0,(BM31-P31)/P31,0)</f>
        <v>-0.34294161123429412</v>
      </c>
      <c r="AO111" s="83">
        <f ref="AO111:AO131" si="140" t="shared">IF(Q31&gt;0,(BN31-Q31)/Q31,0)</f>
        <v>-5.4758107389686457E-2</v>
      </c>
      <c r="AP111" s="83">
        <f ref="AP111:AP131" si="141" t="shared">IF(R31&gt;0,(BO31-R31)/R31,0)</f>
        <v>0.80762167125803508</v>
      </c>
      <c r="AQ111" s="83">
        <f ref="AQ111:AQ131" si="142" t="shared">IF(S31&gt;0,(BP31-S31)/S31,0)</f>
        <v>-0.30513468013468009</v>
      </c>
      <c r="AR111" s="83">
        <f ref="AR111:AR131" si="143" t="shared">IF(T31&gt;0,(BQ31-T31)/T31,0)</f>
        <v>0.25228475228475244</v>
      </c>
      <c r="AS111" s="83">
        <f ref="AS111:AS131" si="144" t="shared">IF(U31&gt;0,(BR31-U31)/U31,0)</f>
        <v>-0.57239057239057245</v>
      </c>
      <c r="AT111" s="83">
        <f ref="AT111:AT131" si="145" t="shared">IF(V31&gt;0,(BS31-V31)/V31,0)</f>
        <v>-0.76675849403122132</v>
      </c>
      <c r="AU111" s="83">
        <f ref="AU111:AU131" si="146" t="shared">IF(W31&gt;0,(BT31-W31)/W31,0)</f>
        <v>0</v>
      </c>
      <c r="AV111" s="83">
        <f ref="AV111:AV131" si="147" t="shared">IF(X31&gt;0,(BU31-X31)/X31,0)</f>
        <v>0</v>
      </c>
      <c r="CU111">
        <v>110</v>
      </c>
      <c r="CV111">
        <f si="109" t="shared"/>
        <v>6</v>
      </c>
      <c r="CW111">
        <f si="103" t="shared"/>
        <v>10</v>
      </c>
      <c r="CX111" s="44">
        <f si="104" t="shared"/>
        <v>839.33831692694832</v>
      </c>
      <c r="CY111" s="44">
        <f si="105" t="shared"/>
        <v>1305</v>
      </c>
      <c r="CZ111" s="87">
        <f si="106" t="shared"/>
        <v>465.66168307305168</v>
      </c>
      <c r="DA111" s="63">
        <f si="107" t="shared"/>
        <v>0.55479616941350773</v>
      </c>
    </row>
    <row r="112" spans="26:105" x14ac:dyDescent="0.45">
      <c r="Z112">
        <v>3</v>
      </c>
      <c r="AA112" s="83">
        <f si="126" t="shared"/>
        <v>0.31950490412398475</v>
      </c>
      <c r="AB112" s="83">
        <f si="127" t="shared"/>
        <v>4.3560235441093699E-2</v>
      </c>
      <c r="AC112" s="83">
        <f si="128" t="shared"/>
        <v>-0.52545971909268074</v>
      </c>
      <c r="AD112" s="83">
        <f si="129" t="shared"/>
        <v>-0.13490219220052299</v>
      </c>
      <c r="AE112" s="83">
        <f si="130" t="shared"/>
        <v>-0.13469875833993938</v>
      </c>
      <c r="AF112" s="83">
        <f si="131" t="shared"/>
        <v>0.17550650518887992</v>
      </c>
      <c r="AG112" s="83">
        <f si="132" t="shared"/>
        <v>0.33393758941463758</v>
      </c>
      <c r="AH112" s="83">
        <f si="133" t="shared"/>
        <v>-0.56890370228469911</v>
      </c>
      <c r="AI112" s="83">
        <f si="134" t="shared"/>
        <v>6.3018457696465954E-2</v>
      </c>
      <c r="AJ112" s="83">
        <f si="135" t="shared"/>
        <v>2.6887178101310676E-2</v>
      </c>
      <c r="AK112" s="83">
        <f si="136" t="shared"/>
        <v>-1.2939873659252043E-2</v>
      </c>
      <c r="AL112" s="83">
        <f si="137" t="shared"/>
        <v>0.63535609324196263</v>
      </c>
      <c r="AM112" s="83">
        <f si="138" t="shared"/>
        <v>-0.59918418964134024</v>
      </c>
      <c r="AN112" s="83">
        <f si="139" t="shared"/>
        <v>0.40441695629566782</v>
      </c>
      <c r="AO112" s="83">
        <f si="140" t="shared"/>
        <v>-0.22250126838804485</v>
      </c>
      <c r="AP112" s="83">
        <f si="141" t="shared"/>
        <v>3.2747055895882542E-3</v>
      </c>
      <c r="AQ112" s="83">
        <f si="142" t="shared"/>
        <v>3.8477326838345732E-2</v>
      </c>
      <c r="AR112" s="83">
        <f si="143" t="shared"/>
        <v>0.12267819117659004</v>
      </c>
      <c r="AS112" s="83">
        <f si="144" t="shared"/>
        <v>-4.4187534999532457E-2</v>
      </c>
      <c r="AT112" s="83">
        <f si="145" t="shared"/>
        <v>-0.91692181385293237</v>
      </c>
      <c r="AU112" s="83">
        <f si="146" t="shared"/>
        <v>0</v>
      </c>
      <c r="AV112" s="83">
        <f si="147" t="shared"/>
        <v>0</v>
      </c>
      <c r="CU112">
        <v>111</v>
      </c>
      <c r="CV112">
        <f si="109" t="shared"/>
        <v>6</v>
      </c>
      <c r="CW112">
        <f si="103" t="shared"/>
        <v>11</v>
      </c>
      <c r="CX112" s="44">
        <f si="104" t="shared"/>
        <v>517.45614684331281</v>
      </c>
      <c r="CY112" s="44">
        <f si="105" t="shared"/>
        <v>592</v>
      </c>
      <c r="CZ112" s="87">
        <f si="106" t="shared"/>
        <v>74.543853156687192</v>
      </c>
      <c r="DA112" s="63">
        <f si="107" t="shared"/>
        <v>0.14405830061433067</v>
      </c>
    </row>
    <row r="113" spans="26:105" x14ac:dyDescent="0.45">
      <c r="Z113">
        <v>4</v>
      </c>
      <c r="AA113" s="83">
        <f si="126" t="shared"/>
        <v>0.51667552367591918</v>
      </c>
      <c r="AB113" s="83">
        <f si="127" t="shared"/>
        <v>0.10820961506212301</v>
      </c>
      <c r="AC113" s="83">
        <f si="128" t="shared"/>
        <v>-0.24703234620998926</v>
      </c>
      <c r="AD113" s="83">
        <f si="129" t="shared"/>
        <v>-0.62289563250732405</v>
      </c>
      <c r="AE113" s="83">
        <f si="130" t="shared"/>
        <v>-0.3456127083919131</v>
      </c>
      <c r="AF113" s="83">
        <f si="131" t="shared"/>
        <v>0.35701348443173964</v>
      </c>
      <c r="AG113" s="83">
        <f si="132" t="shared"/>
        <v>-2.8571224407401098E-2</v>
      </c>
      <c r="AH113" s="83">
        <f si="133" t="shared"/>
        <v>-0.72552077564636208</v>
      </c>
      <c r="AI113" s="83">
        <f si="134" t="shared"/>
        <v>1.1522215267099973</v>
      </c>
      <c r="AJ113" s="83">
        <f si="135" t="shared"/>
        <v>0.1645835780924754</v>
      </c>
      <c r="AK113" s="83">
        <f si="136" t="shared"/>
        <v>0.22611846855447632</v>
      </c>
      <c r="AL113" s="83">
        <f si="137" t="shared"/>
        <v>0.64130294652613928</v>
      </c>
      <c r="AM113" s="83">
        <f si="138" t="shared"/>
        <v>-0.69025417218922425</v>
      </c>
      <c r="AN113" s="83">
        <f si="139" t="shared"/>
        <v>1.4475451572547904</v>
      </c>
      <c r="AO113" s="83">
        <f si="140" t="shared"/>
        <v>-0.24468230093319923</v>
      </c>
      <c r="AP113" s="83">
        <f si="141" t="shared"/>
        <v>0.66569045424284323</v>
      </c>
      <c r="AQ113" s="83">
        <f si="142" t="shared"/>
        <v>0.93675312443639902</v>
      </c>
      <c r="AR113" s="83">
        <f si="143" t="shared"/>
        <v>-0.4092132379040162</v>
      </c>
      <c r="AS113" s="83">
        <f si="144" t="shared"/>
        <v>0.27272348177249089</v>
      </c>
      <c r="AT113" s="83">
        <f si="145" t="shared"/>
        <v>-0.71445306498694117</v>
      </c>
      <c r="AU113" s="83">
        <f si="146" t="shared"/>
        <v>0</v>
      </c>
      <c r="AV113" s="83">
        <f si="147" t="shared"/>
        <v>0</v>
      </c>
      <c r="CU113">
        <v>112</v>
      </c>
      <c r="CV113">
        <f si="109" t="shared"/>
        <v>6</v>
      </c>
      <c r="CW113">
        <f si="103" t="shared"/>
        <v>12</v>
      </c>
      <c r="CX113" s="44">
        <f si="104" t="shared"/>
        <v>4608.2118273998967</v>
      </c>
      <c r="CY113" s="44">
        <f si="105" t="shared"/>
        <v>6153</v>
      </c>
      <c r="CZ113" s="87">
        <f si="106" t="shared"/>
        <v>1544.7881726001033</v>
      </c>
      <c r="DA113" s="63">
        <f si="107" t="shared"/>
        <v>0.33522507872033375</v>
      </c>
    </row>
    <row r="114" spans="26:105" x14ac:dyDescent="0.45">
      <c r="Z114">
        <v>5</v>
      </c>
      <c r="AA114" s="83">
        <f si="126" t="shared"/>
        <v>0.14286010861635276</v>
      </c>
      <c r="AB114" s="83">
        <f si="127" t="shared"/>
        <v>0.50856522463434006</v>
      </c>
      <c r="AC114" s="83">
        <f si="128" t="shared"/>
        <v>-3.7784687138325779E-2</v>
      </c>
      <c r="AD114" s="83">
        <f si="129" t="shared"/>
        <v>-0.2153644048374726</v>
      </c>
      <c r="AE114" s="83">
        <f si="130" t="shared"/>
        <v>-0.57164381406949338</v>
      </c>
      <c r="AF114" s="83">
        <f si="131" t="shared"/>
        <v>0.15825780342771537</v>
      </c>
      <c r="AG114" s="83">
        <f si="132" t="shared"/>
        <v>0.20297662625423743</v>
      </c>
      <c r="AH114" s="83">
        <f si="133" t="shared"/>
        <v>-0.35907931110471936</v>
      </c>
      <c r="AI114" s="83">
        <f si="134" t="shared"/>
        <v>0.5780419732709805</v>
      </c>
      <c r="AJ114" s="83">
        <f si="135" t="shared"/>
        <v>6.447607343724146E-2</v>
      </c>
      <c r="AK114" s="83">
        <f si="136" t="shared"/>
        <v>-0.11929389312977108</v>
      </c>
      <c r="AL114" s="83">
        <f si="137" t="shared"/>
        <v>0.45525545638856679</v>
      </c>
      <c r="AM114" s="83">
        <f si="138" t="shared"/>
        <v>-0.49564983055130407</v>
      </c>
      <c r="AN114" s="83">
        <f si="139" t="shared"/>
        <v>1.6040744208683138</v>
      </c>
      <c r="AO114" s="83">
        <f si="140" t="shared"/>
        <v>0.49068464717319682</v>
      </c>
      <c r="AP114" s="83">
        <f si="141" t="shared"/>
        <v>-0.15887862584145915</v>
      </c>
      <c r="AQ114" s="83">
        <f si="142" t="shared"/>
        <v>-0.17718481840619243</v>
      </c>
      <c r="AR114" s="83">
        <f si="143" t="shared"/>
        <v>0.52073877312426908</v>
      </c>
      <c r="AS114" s="83">
        <f si="144" t="shared"/>
        <v>-0.66147032528711913</v>
      </c>
      <c r="AT114" s="83">
        <f si="145" t="shared"/>
        <v>-1</v>
      </c>
      <c r="AU114" s="83">
        <f si="146" t="shared"/>
        <v>0</v>
      </c>
      <c r="AV114" s="83">
        <f si="147" t="shared"/>
        <v>0</v>
      </c>
      <c r="CU114">
        <v>113</v>
      </c>
      <c r="CV114">
        <f si="109" t="shared"/>
        <v>6</v>
      </c>
      <c r="CW114">
        <f si="103" t="shared"/>
        <v>13</v>
      </c>
      <c r="CX114" s="44">
        <f si="104" t="shared"/>
        <v>239.5781215306047</v>
      </c>
      <c r="CY114" s="44">
        <f si="105" t="shared"/>
        <v>120</v>
      </c>
      <c r="CZ114" s="87">
        <f si="106" t="shared"/>
        <v>-119.5781215306047</v>
      </c>
      <c r="DA114" s="63">
        <f si="107" t="shared"/>
        <v>-0.49911953882370391</v>
      </c>
    </row>
    <row r="115" spans="26:105" x14ac:dyDescent="0.45">
      <c r="Z115">
        <v>6</v>
      </c>
      <c r="AA115" s="83">
        <f si="126" t="shared"/>
        <v>0.11856696659021554</v>
      </c>
      <c r="AB115" s="83">
        <f si="127" t="shared"/>
        <v>8.6146503763744955E-2</v>
      </c>
      <c r="AC115" s="83">
        <f si="128" t="shared"/>
        <v>9.1714478058611146E-2</v>
      </c>
      <c r="AD115" s="83">
        <f si="129" t="shared"/>
        <v>-5.5946215338996637E-2</v>
      </c>
      <c r="AE115" s="83">
        <f si="130" t="shared"/>
        <v>0.13435856588408232</v>
      </c>
      <c r="AF115" s="83">
        <f si="131" t="shared"/>
        <v>-0.22001732613379793</v>
      </c>
      <c r="AG115" s="83">
        <f si="132" t="shared"/>
        <v>0.50173617787616009</v>
      </c>
      <c r="AH115" s="83">
        <f si="133" t="shared"/>
        <v>0.12594829442774605</v>
      </c>
      <c r="AI115" s="83">
        <f si="134" t="shared"/>
        <v>0.61909609075237715</v>
      </c>
      <c r="AJ115" s="83">
        <f si="135" t="shared"/>
        <v>0.55479616941350773</v>
      </c>
      <c r="AK115" s="83">
        <f si="136" t="shared"/>
        <v>0.14405830061433067</v>
      </c>
      <c r="AL115" s="83">
        <f si="137" t="shared"/>
        <v>0.33522507872033375</v>
      </c>
      <c r="AM115" s="83">
        <f si="138" t="shared"/>
        <v>-0.49911953882370391</v>
      </c>
      <c r="AN115" s="83">
        <f si="139" t="shared"/>
        <v>-6.289819172652962E-2</v>
      </c>
      <c r="AO115" s="83">
        <f si="140" t="shared"/>
        <v>-0.36187829246139869</v>
      </c>
      <c r="AP115" s="83">
        <f si="141" t="shared"/>
        <v>0.50861518719429366</v>
      </c>
      <c r="AQ115" s="83">
        <f si="142" t="shared"/>
        <v>-0.49655092107408183</v>
      </c>
      <c r="AR115" s="83">
        <f si="143" t="shared"/>
        <v>9.8480547986678005E-3</v>
      </c>
      <c r="AS115" s="83">
        <f si="144" t="shared"/>
        <v>-0.75286418912100106</v>
      </c>
      <c r="AT115" s="83">
        <f si="145" t="shared"/>
        <v>-0.77688052183964995</v>
      </c>
      <c r="AU115" s="83">
        <f si="146" t="shared"/>
        <v>0</v>
      </c>
      <c r="AV115" s="83">
        <f si="147" t="shared"/>
        <v>0</v>
      </c>
      <c r="CU115">
        <v>114</v>
      </c>
      <c r="CV115">
        <f si="109" t="shared"/>
        <v>6</v>
      </c>
      <c r="CW115">
        <f si="103" t="shared"/>
        <v>14</v>
      </c>
      <c r="CX115" s="44">
        <f si="104" t="shared"/>
        <v>44.819036340759382</v>
      </c>
      <c r="CY115" s="44">
        <f si="105" t="shared"/>
        <v>42</v>
      </c>
      <c r="CZ115" s="87">
        <f si="106" t="shared"/>
        <v>-2.8190363407593821</v>
      </c>
      <c r="DA115" s="63">
        <f si="107" t="shared"/>
        <v>-6.289819172652962E-2</v>
      </c>
    </row>
    <row r="116" spans="26:105" x14ac:dyDescent="0.45">
      <c r="Z116">
        <v>7</v>
      </c>
      <c r="AA116" s="83">
        <f si="126" t="shared"/>
        <v>0.16798359076467609</v>
      </c>
      <c r="AB116" s="83">
        <f si="127" t="shared"/>
        <v>-6.3734766260660033E-2</v>
      </c>
      <c r="AC116" s="83">
        <f si="128" t="shared"/>
        <v>-0.18503919795873897</v>
      </c>
      <c r="AD116" s="83">
        <f si="129" t="shared"/>
        <v>-0.227426022475444</v>
      </c>
      <c r="AE116" s="83">
        <f si="130" t="shared"/>
        <v>-0.41052909744662952</v>
      </c>
      <c r="AF116" s="83">
        <f si="131" t="shared"/>
        <v>0.13288283766845876</v>
      </c>
      <c r="AG116" s="83">
        <f si="132" t="shared"/>
        <v>-0.20249175737817632</v>
      </c>
      <c r="AH116" s="83">
        <f si="133" t="shared"/>
        <v>-0.65063039510491771</v>
      </c>
      <c r="AI116" s="83">
        <f si="134" t="shared"/>
        <v>0.55494867510885415</v>
      </c>
      <c r="AJ116" s="83">
        <f si="135" t="shared"/>
        <v>-0.25128662357406334</v>
      </c>
      <c r="AK116" s="83">
        <f si="136" t="shared"/>
        <v>-0.56260486578168811</v>
      </c>
      <c r="AL116" s="83">
        <f si="137" t="shared"/>
        <v>0.61956647060531722</v>
      </c>
      <c r="AM116" s="83">
        <f si="138" t="shared"/>
        <v>-1.1023827272324805E-2</v>
      </c>
      <c r="AN116" s="83">
        <f si="139" t="shared"/>
        <v>-0.20057698971015955</v>
      </c>
      <c r="AO116" s="83">
        <f si="140" t="shared"/>
        <v>0.19596697782264372</v>
      </c>
      <c r="AP116" s="83">
        <f si="141" t="shared"/>
        <v>0.15241498885938054</v>
      </c>
      <c r="AQ116" s="83">
        <f si="142" t="shared"/>
        <v>-0.70492737158408791</v>
      </c>
      <c r="AR116" s="83">
        <f si="143" t="shared"/>
        <v>-0.37075411691214538</v>
      </c>
      <c r="AS116" s="83">
        <f si="144" t="shared"/>
        <v>-0.64992676753516943</v>
      </c>
      <c r="AT116" s="83">
        <f si="145" t="shared"/>
        <v>-0.9010954185806509</v>
      </c>
      <c r="AU116" s="83">
        <f si="146" t="shared"/>
        <v>0</v>
      </c>
      <c r="AV116" s="83">
        <f si="147" t="shared"/>
        <v>0</v>
      </c>
      <c r="CU116">
        <v>115</v>
      </c>
      <c r="CV116">
        <f si="109" t="shared"/>
        <v>6</v>
      </c>
      <c r="CW116">
        <f si="103" t="shared"/>
        <v>15</v>
      </c>
      <c r="CX116" s="44">
        <f si="104" t="shared"/>
        <v>122.23373547479831</v>
      </c>
      <c r="CY116" s="44">
        <f si="105" t="shared"/>
        <v>78</v>
      </c>
      <c r="CZ116" s="87">
        <f si="106" t="shared"/>
        <v>-44.233735474798308</v>
      </c>
      <c r="DA116" s="63">
        <f si="107" t="shared"/>
        <v>-0.36187829246139869</v>
      </c>
    </row>
    <row r="117" spans="26:105" x14ac:dyDescent="0.45">
      <c r="Z117">
        <v>8</v>
      </c>
      <c r="AA117" s="83">
        <f si="126" t="shared"/>
        <v>0.5760409011777553</v>
      </c>
      <c r="AB117" s="83">
        <f si="127" t="shared"/>
        <v>-0.13814094558429998</v>
      </c>
      <c r="AC117" s="83">
        <f si="128" t="shared"/>
        <v>-0.24127290062990087</v>
      </c>
      <c r="AD117" s="83">
        <f si="129" t="shared"/>
        <v>5.5580954504906049E-2</v>
      </c>
      <c r="AE117" s="83">
        <f si="130" t="shared"/>
        <v>-4.2168084331143114E-2</v>
      </c>
      <c r="AF117" s="83">
        <f si="131" t="shared"/>
        <v>0.28796279696656135</v>
      </c>
      <c r="AG117" s="83">
        <f si="132" t="shared"/>
        <v>-0.23425512934879594</v>
      </c>
      <c r="AH117" s="83">
        <f si="133" t="shared"/>
        <v>-0.81267007101364797</v>
      </c>
      <c r="AI117" s="83">
        <f si="134" t="shared"/>
        <v>0.73778841990495048</v>
      </c>
      <c r="AJ117" s="83">
        <f si="135" t="shared"/>
        <v>-5.012743723716101E-2</v>
      </c>
      <c r="AK117" s="83">
        <f si="136" t="shared"/>
        <v>-7.3000435657532045E-2</v>
      </c>
      <c r="AL117" s="83">
        <f si="137" t="shared"/>
        <v>0.61283565738610535</v>
      </c>
      <c r="AM117" s="83">
        <f si="138" t="shared"/>
        <v>-0.69042419022424562</v>
      </c>
      <c r="AN117" s="83">
        <f si="139" t="shared"/>
        <v>-0.44909577487632812</v>
      </c>
      <c r="AO117" s="83">
        <f si="140" t="shared"/>
        <v>0.34665477252453125</v>
      </c>
      <c r="AP117" s="83">
        <f si="141" t="shared"/>
        <v>-0.37546445332195655</v>
      </c>
      <c r="AQ117" s="83">
        <f si="142" t="shared"/>
        <v>-0.33242754866305296</v>
      </c>
      <c r="AR117" s="83">
        <f si="143" t="shared"/>
        <v>-0.66333630686886735</v>
      </c>
      <c r="AS117" s="83">
        <f si="144" t="shared"/>
        <v>0.56385715518977808</v>
      </c>
      <c r="AT117" s="83">
        <f si="145" t="shared"/>
        <v>-0.95724905484049105</v>
      </c>
      <c r="AU117" s="83">
        <f si="146" t="shared"/>
        <v>0</v>
      </c>
      <c r="AV117" s="83">
        <f si="147" t="shared"/>
        <v>0</v>
      </c>
      <c r="CU117">
        <v>116</v>
      </c>
      <c r="CV117">
        <f si="109" t="shared"/>
        <v>6</v>
      </c>
      <c r="CW117">
        <f si="103" t="shared"/>
        <v>16</v>
      </c>
      <c r="CX117" s="44">
        <f si="104" t="shared"/>
        <v>88.823181111686779</v>
      </c>
      <c r="CY117" s="44">
        <f si="105" t="shared"/>
        <v>134</v>
      </c>
      <c r="CZ117" s="87">
        <f si="106" t="shared"/>
        <v>45.176818888313221</v>
      </c>
      <c r="DA117" s="63">
        <f si="107" t="shared"/>
        <v>0.50861518719429366</v>
      </c>
    </row>
    <row r="118" spans="26:105" x14ac:dyDescent="0.45">
      <c r="Z118">
        <v>9</v>
      </c>
      <c r="AA118" s="83">
        <f si="126" t="shared"/>
        <v>0.41541558808255324</v>
      </c>
      <c r="AB118" s="83">
        <f si="127" t="shared"/>
        <v>6.6236215346713534E-2</v>
      </c>
      <c r="AC118" s="83">
        <f si="128" t="shared"/>
        <v>0.27476146707981053</v>
      </c>
      <c r="AD118" s="83">
        <f si="129" t="shared"/>
        <v>-8.1592799211112121E-2</v>
      </c>
      <c r="AE118" s="83">
        <f si="130" t="shared"/>
        <v>-6.9096771543271859E-2</v>
      </c>
      <c r="AF118" s="83">
        <f si="131" t="shared"/>
        <v>0.30703247629548186</v>
      </c>
      <c r="AG118" s="83">
        <f si="132" t="shared"/>
        <v>0.12802524854337144</v>
      </c>
      <c r="AH118" s="83">
        <f si="133" t="shared"/>
        <v>9.307415287113556E-2</v>
      </c>
      <c r="AI118" s="83">
        <f si="134" t="shared"/>
        <v>-0.19006347310687355</v>
      </c>
      <c r="AJ118" s="83">
        <f si="135" t="shared"/>
        <v>-0.1548966512881208</v>
      </c>
      <c r="AK118" s="83">
        <f si="136" t="shared"/>
        <v>-0.15510119069350969</v>
      </c>
      <c r="AL118" s="83">
        <f si="137" t="shared"/>
        <v>0.26702219828285761</v>
      </c>
      <c r="AM118" s="83">
        <f si="138" t="shared"/>
        <v>-0.4057094749962743</v>
      </c>
      <c r="AN118" s="83">
        <f si="139" t="shared"/>
        <v>-0.17043479469601311</v>
      </c>
      <c r="AO118" s="83">
        <f si="140" t="shared"/>
        <v>-8.8964030685873011E-2</v>
      </c>
      <c r="AP118" s="83">
        <f si="141" t="shared"/>
        <v>-0.22900606516895294</v>
      </c>
      <c r="AQ118" s="83">
        <f si="142" t="shared"/>
        <v>0.46405689566376329</v>
      </c>
      <c r="AR118" s="83">
        <f si="143" t="shared"/>
        <v>-0.54925658954374923</v>
      </c>
      <c r="AS118" s="83">
        <f si="144" t="shared"/>
        <v>-0.43483736733302458</v>
      </c>
      <c r="AT118" s="83">
        <f si="145" t="shared"/>
        <v>-0.7002861193740435</v>
      </c>
      <c r="AU118" s="83">
        <f si="146" t="shared"/>
        <v>0</v>
      </c>
      <c r="AV118" s="83">
        <f si="147" t="shared"/>
        <v>0</v>
      </c>
      <c r="CU118">
        <v>117</v>
      </c>
      <c r="CV118">
        <f si="109" t="shared"/>
        <v>6</v>
      </c>
      <c r="CW118">
        <f si="103" t="shared"/>
        <v>17</v>
      </c>
      <c r="CX118" s="44">
        <f si="104" t="shared"/>
        <v>63.561542446895125</v>
      </c>
      <c r="CY118" s="44">
        <f si="105" t="shared"/>
        <v>32</v>
      </c>
      <c r="CZ118" s="87">
        <f si="106" t="shared"/>
        <v>-31.561542446895125</v>
      </c>
      <c r="DA118" s="63">
        <f si="107" t="shared"/>
        <v>-0.49655092107408183</v>
      </c>
    </row>
    <row r="119" spans="26:105" x14ac:dyDescent="0.45">
      <c r="Z119">
        <v>10</v>
      </c>
      <c r="AA119" s="83">
        <f si="126" t="shared"/>
        <v>0.3174588879848943</v>
      </c>
      <c r="AB119" s="83">
        <f si="127" t="shared"/>
        <v>0.41059879477168587</v>
      </c>
      <c r="AC119" s="83">
        <f si="128" t="shared"/>
        <v>3.20206945989664E-2</v>
      </c>
      <c r="AD119" s="83">
        <f si="129" t="shared"/>
        <v>2.12509164381494E-2</v>
      </c>
      <c r="AE119" s="83">
        <f si="130" t="shared"/>
        <v>-1.7056979573360352E-2</v>
      </c>
      <c r="AF119" s="83">
        <f si="131" t="shared"/>
        <v>-6.1298754767084136E-2</v>
      </c>
      <c r="AG119" s="83">
        <f si="132" t="shared"/>
        <v>0.20542940339239785</v>
      </c>
      <c r="AH119" s="83">
        <f si="133" t="shared"/>
        <v>-8.3653434213610656E-2</v>
      </c>
      <c r="AI119" s="83">
        <f si="134" t="shared"/>
        <v>-7.7042895607800227E-2</v>
      </c>
      <c r="AJ119" s="83">
        <f si="135" t="shared"/>
        <v>-0.43750252375713183</v>
      </c>
      <c r="AK119" s="83">
        <f si="136" t="shared"/>
        <v>-0.50626164071575253</v>
      </c>
      <c r="AL119" s="83">
        <f si="137" t="shared"/>
        <v>0.54177429607205907</v>
      </c>
      <c r="AM119" s="83">
        <f si="138" t="shared"/>
        <v>-0.62103478682796465</v>
      </c>
      <c r="AN119" s="83">
        <f si="139" t="shared"/>
        <v>-0.1660551297285297</v>
      </c>
      <c r="AO119" s="83">
        <f si="140" t="shared"/>
        <v>-0.6088196742541041</v>
      </c>
      <c r="AP119" s="83">
        <f si="141" t="shared"/>
        <v>-0.20881442927844004</v>
      </c>
      <c r="AQ119" s="83">
        <f si="142" t="shared"/>
        <v>-0.76768678613866193</v>
      </c>
      <c r="AR119" s="83">
        <f si="143" t="shared"/>
        <v>0.88848160945345833</v>
      </c>
      <c r="AS119" s="83">
        <f si="144" t="shared"/>
        <v>-0.67064455756367258</v>
      </c>
      <c r="AT119" s="83">
        <f si="145" t="shared"/>
        <v>-0.70638191025858654</v>
      </c>
      <c r="AU119" s="83">
        <f si="146" t="shared"/>
        <v>0</v>
      </c>
      <c r="AV119" s="83">
        <f si="147" t="shared"/>
        <v>0</v>
      </c>
      <c r="CU119">
        <v>118</v>
      </c>
      <c r="CV119">
        <f si="109" t="shared"/>
        <v>6</v>
      </c>
      <c r="CW119">
        <f si="103" t="shared"/>
        <v>18</v>
      </c>
      <c r="CX119" s="44">
        <f si="104" t="shared"/>
        <v>78.229590703870926</v>
      </c>
      <c r="CY119" s="44">
        <f si="105" t="shared"/>
        <v>79</v>
      </c>
      <c r="CZ119" s="87">
        <f si="106" t="shared"/>
        <v>0.77040929612907405</v>
      </c>
      <c r="DA119" s="63">
        <f si="107" t="shared"/>
        <v>9.8480547986678005E-3</v>
      </c>
    </row>
    <row r="120" spans="26:105" x14ac:dyDescent="0.45">
      <c r="Z120">
        <v>11</v>
      </c>
      <c r="AA120" s="83">
        <f si="126" t="shared"/>
        <v>0.6617938698232485</v>
      </c>
      <c r="AB120" s="83">
        <f si="127" t="shared"/>
        <v>0.23440439435143057</v>
      </c>
      <c r="AC120" s="83">
        <f si="128" t="shared"/>
        <v>3.5753883807385811E-2</v>
      </c>
      <c r="AD120" s="83">
        <f si="129" t="shared"/>
        <v>2.5075173475232162E-2</v>
      </c>
      <c r="AE120" s="83">
        <f si="130" t="shared"/>
        <v>-0.1846580378641966</v>
      </c>
      <c r="AF120" s="83">
        <f si="131" t="shared"/>
        <v>0.25700313635387961</v>
      </c>
      <c r="AG120" s="83">
        <f si="132" t="shared"/>
        <v>-0.12023920646000172</v>
      </c>
      <c r="AH120" s="83">
        <f si="133" t="shared"/>
        <v>-0.50954035840173029</v>
      </c>
      <c r="AI120" s="83">
        <f si="134" t="shared"/>
        <v>0.52285297467403069</v>
      </c>
      <c r="AJ120" s="83">
        <f si="135" t="shared"/>
        <v>0.30084128942563493</v>
      </c>
      <c r="AK120" s="83">
        <f si="136" t="shared"/>
        <v>-0.22939446990209028</v>
      </c>
      <c r="AL120" s="83">
        <f si="137" t="shared"/>
        <v>0.34399128398501738</v>
      </c>
      <c r="AM120" s="83">
        <f si="138" t="shared"/>
        <v>-0.74651241774663857</v>
      </c>
      <c r="AN120" s="83">
        <f si="139" t="shared"/>
        <v>0.58438615577561615</v>
      </c>
      <c r="AO120" s="83">
        <f si="140" t="shared"/>
        <v>9.6601372346429015E-2</v>
      </c>
      <c r="AP120" s="83">
        <f si="141" t="shared"/>
        <v>-7.4910477176707568E-2</v>
      </c>
      <c r="AQ120" s="83">
        <f si="142" t="shared"/>
        <v>-0.12487891129530579</v>
      </c>
      <c r="AR120" s="83">
        <f si="143" t="shared"/>
        <v>-0.45072809582367013</v>
      </c>
      <c r="AS120" s="83">
        <f si="144" t="shared"/>
        <v>-0.20751874781186838</v>
      </c>
      <c r="AT120" s="83">
        <f si="145" t="shared"/>
        <v>-0.92654741990338019</v>
      </c>
      <c r="AU120" s="83">
        <f si="146" t="shared"/>
        <v>0</v>
      </c>
      <c r="AV120" s="83">
        <f si="147" t="shared"/>
        <v>0</v>
      </c>
      <c r="CU120">
        <v>119</v>
      </c>
      <c r="CV120">
        <f si="109" t="shared"/>
        <v>6</v>
      </c>
      <c r="CW120">
        <f si="103" t="shared"/>
        <v>19</v>
      </c>
      <c r="CX120" s="44">
        <f si="104" t="shared"/>
        <v>117.34438605580637</v>
      </c>
      <c r="CY120" s="44">
        <f si="105" t="shared"/>
        <v>29</v>
      </c>
      <c r="CZ120" s="87">
        <f si="106" t="shared"/>
        <v>-88.344386055806368</v>
      </c>
      <c r="DA120" s="63">
        <f si="107" t="shared"/>
        <v>-0.75286418912100106</v>
      </c>
    </row>
    <row r="121" spans="26:105" x14ac:dyDescent="0.45">
      <c r="Z121">
        <v>12</v>
      </c>
      <c r="AA121" s="83">
        <f si="126" t="shared"/>
        <v>8.919976279899304E-2</v>
      </c>
      <c r="AB121" s="83">
        <f si="127" t="shared"/>
        <v>0.30270342023482522</v>
      </c>
      <c r="AC121" s="83">
        <f si="128" t="shared"/>
        <v>1.4572677614820501E-2</v>
      </c>
      <c r="AD121" s="83">
        <f si="129" t="shared"/>
        <v>0.10391216323610085</v>
      </c>
      <c r="AE121" s="83">
        <f si="130" t="shared"/>
        <v>-0.15244660748221356</v>
      </c>
      <c r="AF121" s="83">
        <f si="131" t="shared"/>
        <v>-4.5408599245192791E-2</v>
      </c>
      <c r="AG121" s="83">
        <f si="132" t="shared"/>
        <v>0.38755290944839965</v>
      </c>
      <c r="AH121" s="83">
        <f si="133" t="shared"/>
        <v>-0.44598551674721393</v>
      </c>
      <c r="AI121" s="83">
        <f si="134" t="shared"/>
        <v>0.33540083397227044</v>
      </c>
      <c r="AJ121" s="83">
        <f si="135" t="shared"/>
        <v>0.19472823635978193</v>
      </c>
      <c r="AK121" s="83">
        <f si="136" t="shared"/>
        <v>-0.45413278855975486</v>
      </c>
      <c r="AL121" s="83">
        <f si="137" t="shared"/>
        <v>-3.8640547125664962E-2</v>
      </c>
      <c r="AM121" s="83">
        <f si="138" t="shared"/>
        <v>-1.3564036116470519E-2</v>
      </c>
      <c r="AN121" s="83">
        <f si="139" t="shared"/>
        <v>-0.31766598569969351</v>
      </c>
      <c r="AO121" s="83">
        <f si="140" t="shared"/>
        <v>-0.27819211710380803</v>
      </c>
      <c r="AP121" s="83">
        <f si="141" t="shared"/>
        <v>-1.4096975255883682E-2</v>
      </c>
      <c r="AQ121" s="83">
        <f si="142" t="shared"/>
        <v>-0.7212592962858323</v>
      </c>
      <c r="AR121" s="83">
        <f si="143" t="shared"/>
        <v>-0.27355961875089219</v>
      </c>
      <c r="AS121" s="83">
        <f si="144" t="shared"/>
        <v>-0.63978305844044736</v>
      </c>
      <c r="AT121" s="83">
        <f si="145" t="shared"/>
        <v>-0.82175764524400163</v>
      </c>
      <c r="AU121" s="83">
        <f si="146" t="shared"/>
        <v>0</v>
      </c>
      <c r="AV121" s="83">
        <f si="147" t="shared"/>
        <v>0</v>
      </c>
      <c r="CU121">
        <v>120</v>
      </c>
      <c r="CV121">
        <f si="109" t="shared"/>
        <v>6</v>
      </c>
      <c r="CW121">
        <f si="103" t="shared"/>
        <v>20</v>
      </c>
      <c r="CX121" s="44">
        <f si="104" t="shared"/>
        <v>26.891421804455629</v>
      </c>
      <c r="CY121" s="44">
        <f si="105" t="shared"/>
        <v>6</v>
      </c>
      <c r="CZ121" s="87">
        <f si="106" t="shared"/>
        <v>-20.891421804455629</v>
      </c>
      <c r="DA121" s="63">
        <f si="107" t="shared"/>
        <v>-0.77688052183964995</v>
      </c>
    </row>
    <row r="122" spans="26:105" x14ac:dyDescent="0.45">
      <c r="Z122">
        <v>13</v>
      </c>
      <c r="AA122" s="83">
        <f si="126" t="shared"/>
        <v>-1.5107646647274946E-2</v>
      </c>
      <c r="AB122" s="83">
        <f si="127" t="shared"/>
        <v>-1.5534098918518952E-2</v>
      </c>
      <c r="AC122" s="83">
        <f si="128" t="shared"/>
        <v>0.23595180038838881</v>
      </c>
      <c r="AD122" s="83">
        <f si="129" t="shared"/>
        <v>-0.11064915752385539</v>
      </c>
      <c r="AE122" s="83">
        <f si="130" t="shared"/>
        <v>-6.3317402795821237E-2</v>
      </c>
      <c r="AF122" s="83">
        <f si="131" t="shared"/>
        <v>-0.15377586120976866</v>
      </c>
      <c r="AG122" s="83">
        <f si="132" t="shared"/>
        <v>0.81870730227087074</v>
      </c>
      <c r="AH122" s="83">
        <f si="133" t="shared"/>
        <v>-0.14282876197878452</v>
      </c>
      <c r="AI122" s="83">
        <f si="134" t="shared"/>
        <v>0.40471768722838025</v>
      </c>
      <c r="AJ122" s="83">
        <f si="135" t="shared"/>
        <v>-0.36908159003814778</v>
      </c>
      <c r="AK122" s="83">
        <f si="136" t="shared"/>
        <v>-0.47300546329589971</v>
      </c>
      <c r="AL122" s="83">
        <f si="137" t="shared"/>
        <v>0.41921695208523596</v>
      </c>
      <c r="AM122" s="83">
        <f si="138" t="shared"/>
        <v>-0.20632886969021411</v>
      </c>
      <c r="AN122" s="83">
        <f si="139" t="shared"/>
        <v>-0.47124686083748779</v>
      </c>
      <c r="AO122" s="83">
        <f si="140" t="shared"/>
        <v>0.29535953138216398</v>
      </c>
      <c r="AP122" s="83">
        <f si="141" t="shared"/>
        <v>-0.53059670298838202</v>
      </c>
      <c r="AQ122" s="83">
        <f si="142" t="shared"/>
        <v>-0.74724437853220571</v>
      </c>
      <c r="AR122" s="83">
        <f si="143" t="shared"/>
        <v>-6.7238605308054769E-2</v>
      </c>
      <c r="AS122" s="83">
        <f si="144" t="shared"/>
        <v>-0.15993519984652185</v>
      </c>
      <c r="AT122" s="83">
        <f si="145" t="shared"/>
        <v>-0.82103360135722625</v>
      </c>
      <c r="AU122" s="83">
        <f si="146" t="shared"/>
        <v>0</v>
      </c>
      <c r="AV122" s="83">
        <f si="147" t="shared"/>
        <v>0</v>
      </c>
      <c r="CU122">
        <v>121</v>
      </c>
      <c r="CV122">
        <f si="109" t="shared"/>
        <v>7</v>
      </c>
      <c r="CW122">
        <f si="103" t="shared"/>
        <v>1</v>
      </c>
      <c r="CX122" s="44">
        <f si="104" t="shared"/>
        <v>4220.949711093408</v>
      </c>
      <c r="CY122" s="44">
        <f si="105" t="shared"/>
        <v>4930.0000000000009</v>
      </c>
      <c r="CZ122" s="87">
        <f si="106" t="shared"/>
        <v>709.05028890659287</v>
      </c>
      <c r="DA122" s="63">
        <f si="107" t="shared"/>
        <v>0.16798359076467609</v>
      </c>
    </row>
    <row r="123" spans="26:105" x14ac:dyDescent="0.45">
      <c r="Z123">
        <v>14</v>
      </c>
      <c r="AA123" s="83">
        <f si="126" t="shared"/>
        <v>0.84683753622167313</v>
      </c>
      <c r="AB123" s="83">
        <f si="127" t="shared"/>
        <v>-0.45214354587361061</v>
      </c>
      <c r="AC123" s="83">
        <f si="128" t="shared"/>
        <v>0.92667284493310642</v>
      </c>
      <c r="AD123" s="83">
        <f si="129" t="shared"/>
        <v>0.3673657626049513</v>
      </c>
      <c r="AE123" s="83">
        <f si="130" t="shared"/>
        <v>0.1508374089937925</v>
      </c>
      <c r="AF123" s="83">
        <f si="131" t="shared"/>
        <v>-0.11510039751188832</v>
      </c>
      <c r="AG123" s="83">
        <f si="132" t="shared"/>
        <v>-0.5387331842494516</v>
      </c>
      <c r="AH123" s="83">
        <f si="133" t="shared"/>
        <v>9.4217261869384117E-2</v>
      </c>
      <c r="AI123" s="83">
        <f si="134" t="shared"/>
        <v>0.31914926006559485</v>
      </c>
      <c r="AJ123" s="83">
        <f si="135" t="shared"/>
        <v>0.40665823241718058</v>
      </c>
      <c r="AK123" s="83">
        <f si="136" t="shared"/>
        <v>0.26439669997122078</v>
      </c>
      <c r="AL123" s="83">
        <f si="137" t="shared"/>
        <v>8.7065060106819234E-2</v>
      </c>
      <c r="AM123" s="83">
        <f si="138" t="shared"/>
        <v>-0.64253540359122918</v>
      </c>
      <c r="AN123" s="83">
        <f si="139" t="shared"/>
        <v>-7.7670526487605418E-2</v>
      </c>
      <c r="AO123" s="83">
        <f si="140" t="shared"/>
        <v>-0.38749043873778038</v>
      </c>
      <c r="AP123" s="83">
        <f si="141" t="shared"/>
        <v>0.92893395677502077</v>
      </c>
      <c r="AQ123" s="83">
        <f si="142" t="shared"/>
        <v>-7.6710812699147798E-2</v>
      </c>
      <c r="AR123" s="83">
        <f si="143" t="shared"/>
        <v>-8.8481645029536305E-3</v>
      </c>
      <c r="AS123" s="83">
        <f si="144" t="shared"/>
        <v>-6.0361977005760709E-2</v>
      </c>
      <c r="AT123" s="83">
        <f si="145" t="shared"/>
        <v>-1</v>
      </c>
      <c r="AU123" s="83">
        <f si="146" t="shared"/>
        <v>0</v>
      </c>
      <c r="AV123" s="83">
        <f si="147" t="shared"/>
        <v>0</v>
      </c>
      <c r="CU123">
        <v>122</v>
      </c>
      <c r="CV123">
        <f si="109" t="shared"/>
        <v>7</v>
      </c>
      <c r="CW123">
        <f si="103" t="shared"/>
        <v>2</v>
      </c>
      <c r="CX123" s="44">
        <f si="104" t="shared"/>
        <v>5770.800629241583</v>
      </c>
      <c r="CY123" s="44">
        <f si="105" t="shared"/>
        <v>5403.0000000000009</v>
      </c>
      <c r="CZ123" s="87">
        <f si="106" t="shared"/>
        <v>-367.8006292415821</v>
      </c>
      <c r="DA123" s="63">
        <f si="107" t="shared"/>
        <v>-6.3734766260660033E-2</v>
      </c>
    </row>
    <row r="124" spans="26:105" x14ac:dyDescent="0.45">
      <c r="Z124">
        <v>15</v>
      </c>
      <c r="AA124" s="83">
        <f si="126" t="shared"/>
        <v>0.19495376978218079</v>
      </c>
      <c r="AB124" s="83">
        <f si="127" t="shared"/>
        <v>-0.24555581341378493</v>
      </c>
      <c r="AC124" s="83">
        <f si="128" t="shared"/>
        <v>1.3479237958606729</v>
      </c>
      <c r="AD124" s="83">
        <f si="129" t="shared"/>
        <v>-0.36872883916821303</v>
      </c>
      <c r="AE124" s="83">
        <f si="130" t="shared"/>
        <v>-0.33442591337781036</v>
      </c>
      <c r="AF124" s="83">
        <f si="131" t="shared"/>
        <v>1.4327130986471896E-2</v>
      </c>
      <c r="AG124" s="83">
        <f si="132" t="shared"/>
        <v>2.2810191040599743E-2</v>
      </c>
      <c r="AH124" s="83">
        <f si="133" t="shared"/>
        <v>-2.7724916840720711E-2</v>
      </c>
      <c r="AI124" s="83">
        <f si="134" t="shared"/>
        <v>0.38937051246627852</v>
      </c>
      <c r="AJ124" s="83">
        <f si="135" t="shared"/>
        <v>-0.16991534402211736</v>
      </c>
      <c r="AK124" s="83">
        <f si="136" t="shared"/>
        <v>0.23064188847433251</v>
      </c>
      <c r="AL124" s="83">
        <f si="137" t="shared"/>
        <v>-0.16828223761631489</v>
      </c>
      <c r="AM124" s="83">
        <f si="138" t="shared"/>
        <v>0.45422510007653621</v>
      </c>
      <c r="AN124" s="83">
        <f si="139" t="shared"/>
        <v>0.78987003945230949</v>
      </c>
      <c r="AO124" s="83">
        <f si="140" t="shared"/>
        <v>-0.17098283972167738</v>
      </c>
      <c r="AP124" s="83">
        <f si="141" t="shared"/>
        <v>-0.35437860090609125</v>
      </c>
      <c r="AQ124" s="83">
        <f si="142" t="shared"/>
        <v>-0.31916855356168417</v>
      </c>
      <c r="AR124" s="83">
        <f si="143" t="shared"/>
        <v>-0.52222354635907653</v>
      </c>
      <c r="AS124" s="83">
        <f si="144" t="shared"/>
        <v>0.89137652127940703</v>
      </c>
      <c r="AT124" s="83">
        <f si="145" t="shared"/>
        <v>-0.94107423738428608</v>
      </c>
      <c r="AU124" s="83">
        <f si="146" t="shared"/>
        <v>0</v>
      </c>
      <c r="AV124" s="83">
        <f si="147" t="shared"/>
        <v>0</v>
      </c>
      <c r="CU124">
        <v>123</v>
      </c>
      <c r="CV124">
        <f si="109" t="shared"/>
        <v>7</v>
      </c>
      <c r="CW124">
        <f si="103" t="shared"/>
        <v>3</v>
      </c>
      <c r="CX124" s="44">
        <f si="104" t="shared"/>
        <v>2236.9174019583124</v>
      </c>
      <c r="CY124" s="44">
        <f si="105" t="shared"/>
        <v>1823.0000000000002</v>
      </c>
      <c r="CZ124" s="87">
        <f si="106" t="shared"/>
        <v>-413.91740195831221</v>
      </c>
      <c r="DA124" s="63">
        <f si="107" t="shared"/>
        <v>-0.18503919795873897</v>
      </c>
    </row>
    <row r="125" spans="26:105" x14ac:dyDescent="0.45">
      <c r="Z125">
        <v>16</v>
      </c>
      <c r="AA125" s="83">
        <f si="126" t="shared"/>
        <v>-8.3073726621444424E-2</v>
      </c>
      <c r="AB125" s="83">
        <f si="127" t="shared"/>
        <v>-0.23761737846495282</v>
      </c>
      <c r="AC125" s="83">
        <f si="128" t="shared"/>
        <v>-0.22129702123559117</v>
      </c>
      <c r="AD125" s="83">
        <f si="129" t="shared"/>
        <v>-0.16436535547335177</v>
      </c>
      <c r="AE125" s="83">
        <f si="130" t="shared"/>
        <v>0.32596492392707566</v>
      </c>
      <c r="AF125" s="83">
        <f si="131" t="shared"/>
        <v>-1.6529056818755841E-2</v>
      </c>
      <c r="AG125" s="83">
        <f si="132" t="shared"/>
        <v>-5.3618854090129842E-2</v>
      </c>
      <c r="AH125" s="83">
        <f si="133" t="shared"/>
        <v>-0.54733350768170641</v>
      </c>
      <c r="AI125" s="83">
        <f si="134" t="shared"/>
        <v>-0.47090181532189274</v>
      </c>
      <c r="AJ125" s="83">
        <f si="135" t="shared"/>
        <v>-0.13220573049486012</v>
      </c>
      <c r="AK125" s="83">
        <f si="136" t="shared"/>
        <v>-0.51617168393515711</v>
      </c>
      <c r="AL125" s="83">
        <f si="137" t="shared"/>
        <v>0.3843531293559867</v>
      </c>
      <c r="AM125" s="83">
        <f si="138" t="shared"/>
        <v>1.5246142542246332E-3</v>
      </c>
      <c r="AN125" s="83">
        <f si="139" t="shared"/>
        <v>-0.84615597323283798</v>
      </c>
      <c r="AO125" s="83">
        <f si="140" t="shared"/>
        <v>0.30068131721327862</v>
      </c>
      <c r="AP125" s="83">
        <f si="141" t="shared"/>
        <v>-0.31235297803142936</v>
      </c>
      <c r="AQ125" s="83">
        <f si="142" t="shared"/>
        <v>-0.52308351702179778</v>
      </c>
      <c r="AR125" s="83">
        <f si="143" t="shared"/>
        <v>0.42670778382462204</v>
      </c>
      <c r="AS125" s="83">
        <f si="144" t="shared"/>
        <v>-0.9403854396277247</v>
      </c>
      <c r="AT125" s="83">
        <f si="145" t="shared"/>
        <v>0.42383761584796603</v>
      </c>
      <c r="AU125" s="83">
        <f si="146" t="shared"/>
        <v>0</v>
      </c>
      <c r="AV125" s="83">
        <f si="147" t="shared"/>
        <v>0</v>
      </c>
      <c r="CU125">
        <v>124</v>
      </c>
      <c r="CV125">
        <f si="109" t="shared"/>
        <v>7</v>
      </c>
      <c r="CW125">
        <f si="103" t="shared"/>
        <v>4</v>
      </c>
      <c r="CX125" s="44">
        <f si="104" t="shared"/>
        <v>1362.9762723486645</v>
      </c>
      <c r="CY125" s="44">
        <f si="105" t="shared"/>
        <v>1053.0000000000002</v>
      </c>
      <c r="CZ125" s="87">
        <f si="106" t="shared"/>
        <v>-309.97627234866422</v>
      </c>
      <c r="DA125" s="63">
        <f si="107" t="shared"/>
        <v>-0.227426022475444</v>
      </c>
    </row>
    <row r="126" spans="26:105" x14ac:dyDescent="0.45">
      <c r="Z126">
        <v>17</v>
      </c>
      <c r="AA126" s="83">
        <f si="126" t="shared"/>
        <v>0.22861379683389788</v>
      </c>
      <c r="AB126" s="83">
        <f si="127" t="shared"/>
        <v>-0.53212827318666733</v>
      </c>
      <c r="AC126" s="83">
        <f si="128" t="shared"/>
        <v>0.98215529434866511</v>
      </c>
      <c r="AD126" s="83">
        <f si="129" t="shared"/>
        <v>-6.7397828745044297E-2</v>
      </c>
      <c r="AE126" s="83">
        <f si="130" t="shared"/>
        <v>-0.27257166897818225</v>
      </c>
      <c r="AF126" s="83">
        <f si="131" t="shared"/>
        <v>-0.16492612214785596</v>
      </c>
      <c r="AG126" s="83">
        <f si="132" t="shared"/>
        <v>-0.58742988859008838</v>
      </c>
      <c r="AH126" s="83">
        <f si="133" t="shared"/>
        <v>-0.54817998325989536</v>
      </c>
      <c r="AI126" s="83">
        <f si="134" t="shared"/>
        <v>0.18876346189318874</v>
      </c>
      <c r="AJ126" s="83">
        <f si="135" t="shared"/>
        <v>0.63035910455777178</v>
      </c>
      <c r="AK126" s="83">
        <f si="136" t="shared"/>
        <v>0.22479139772359155</v>
      </c>
      <c r="AL126" s="83">
        <f si="137" t="shared"/>
        <v>-0.13042848530505799</v>
      </c>
      <c r="AM126" s="83">
        <f si="138" t="shared"/>
        <v>-0.86109071538605508</v>
      </c>
      <c r="AN126" s="83">
        <f si="139" t="shared"/>
        <v>0.65312035321806017</v>
      </c>
      <c r="AO126" s="83">
        <f si="140" t="shared"/>
        <v>1.1259591989518966E-2</v>
      </c>
      <c r="AP126" s="83">
        <f si="141" t="shared"/>
        <v>0.50746771476698482</v>
      </c>
      <c r="AQ126" s="83">
        <f si="142" t="shared"/>
        <v>-0.13216514260537326</v>
      </c>
      <c r="AR126" s="83">
        <f si="143" t="shared"/>
        <v>0</v>
      </c>
      <c r="AS126" s="83">
        <f si="144" t="shared"/>
        <v>-4.2778073928753851E-2</v>
      </c>
      <c r="AT126" s="83">
        <f si="145" t="shared"/>
        <v>-1</v>
      </c>
      <c r="AU126" s="83">
        <f si="146" t="shared"/>
        <v>0</v>
      </c>
      <c r="AV126" s="83">
        <f si="147" t="shared"/>
        <v>0</v>
      </c>
      <c r="CU126">
        <v>125</v>
      </c>
      <c r="CV126">
        <f si="109" t="shared"/>
        <v>7</v>
      </c>
      <c r="CW126">
        <f si="103" t="shared"/>
        <v>5</v>
      </c>
      <c r="CX126" s="44">
        <f si="104" t="shared"/>
        <v>2283.4036322566981</v>
      </c>
      <c r="CY126" s="44">
        <f si="105" t="shared"/>
        <v>1346.0000000000002</v>
      </c>
      <c r="CZ126" s="87">
        <f si="106" t="shared"/>
        <v>-937.40363225669785</v>
      </c>
      <c r="DA126" s="63">
        <f si="107" t="shared"/>
        <v>-0.41052909744662952</v>
      </c>
    </row>
    <row r="127" spans="26:105" x14ac:dyDescent="0.45">
      <c r="Z127">
        <v>18</v>
      </c>
      <c r="AA127" s="83">
        <f si="126" t="shared"/>
        <v>-0.10290238013525657</v>
      </c>
      <c r="AB127" s="83">
        <f si="127" t="shared"/>
        <v>-0.25059336501165669</v>
      </c>
      <c r="AC127" s="83">
        <f si="128" t="shared"/>
        <v>-0.3353214477215779</v>
      </c>
      <c r="AD127" s="83">
        <f si="129" t="shared"/>
        <v>-0.54033487515297707</v>
      </c>
      <c r="AE127" s="83">
        <f si="130" t="shared"/>
        <v>-0.59361901015156027</v>
      </c>
      <c r="AF127" s="83">
        <f si="131" t="shared"/>
        <v>-0.26910765433080819</v>
      </c>
      <c r="AG127" s="83">
        <f si="132" t="shared"/>
        <v>-6.4103139207406748E-2</v>
      </c>
      <c r="AH127" s="83">
        <f si="133" t="shared"/>
        <v>-0.81472214045072455</v>
      </c>
      <c r="AI127" s="83">
        <f si="134" t="shared"/>
        <v>-8.6526766025149429E-2</v>
      </c>
      <c r="AJ127" s="83">
        <f si="135" t="shared"/>
        <v>0.30269823268923135</v>
      </c>
      <c r="AK127" s="83">
        <f si="136" t="shared"/>
        <v>-0.33256037827666368</v>
      </c>
      <c r="AL127" s="83">
        <f si="137" t="shared"/>
        <v>0.24710345605580358</v>
      </c>
      <c r="AM127" s="83">
        <f si="138" t="shared"/>
        <v>0.19576854312738556</v>
      </c>
      <c r="AN127" s="83">
        <f si="139" t="shared"/>
        <v>-0.13900288797689608</v>
      </c>
      <c r="AO127" s="83">
        <f si="140" t="shared"/>
        <v>-0.36895863839300469</v>
      </c>
      <c r="AP127" s="83">
        <f si="141" t="shared"/>
        <v>2.4169275244832469E-3</v>
      </c>
      <c r="AQ127" s="83">
        <f si="142" t="shared"/>
        <v>-0.30043984648122812</v>
      </c>
      <c r="AR127" s="83">
        <f si="143" t="shared"/>
        <v>-0.13383150908330341</v>
      </c>
      <c r="AS127" s="83">
        <f si="144" t="shared"/>
        <v>-0.88520038506358611</v>
      </c>
      <c r="AT127" s="83">
        <f si="145" t="shared"/>
        <v>-0.32237200264560045</v>
      </c>
      <c r="AU127" s="83">
        <f si="146" t="shared"/>
        <v>0</v>
      </c>
      <c r="AV127" s="83">
        <f si="147" t="shared"/>
        <v>0</v>
      </c>
      <c r="CU127">
        <v>126</v>
      </c>
      <c r="CV127">
        <f si="109" t="shared"/>
        <v>7</v>
      </c>
      <c r="CW127">
        <f si="103" t="shared"/>
        <v>6</v>
      </c>
      <c r="CX127" s="44">
        <f si="104" t="shared"/>
        <v>7906.3780491494144</v>
      </c>
      <c r="CY127" s="44">
        <f si="105" t="shared"/>
        <v>8957.0000000000018</v>
      </c>
      <c r="CZ127" s="87">
        <f si="106" t="shared"/>
        <v>1050.6219508505874</v>
      </c>
      <c r="DA127" s="63">
        <f si="107" t="shared"/>
        <v>0.13288283766845876</v>
      </c>
    </row>
    <row r="128" spans="26:105" x14ac:dyDescent="0.45">
      <c r="Z128">
        <v>19</v>
      </c>
      <c r="AA128" s="83">
        <f si="126" t="shared"/>
        <v>4.9681543363490815E-2</v>
      </c>
      <c r="AB128" s="83">
        <f si="127" t="shared"/>
        <v>-0.34887554749631411</v>
      </c>
      <c r="AC128" s="83">
        <f si="128" t="shared"/>
        <v>0.84372408843222635</v>
      </c>
      <c r="AD128" s="83">
        <f si="129" t="shared"/>
        <v>0.18771247017338863</v>
      </c>
      <c r="AE128" s="83">
        <f si="130" t="shared"/>
        <v>-0.10063095009072998</v>
      </c>
      <c r="AF128" s="83">
        <f si="131" t="shared"/>
        <v>-2.7228233347594225E-2</v>
      </c>
      <c r="AG128" s="83">
        <f si="132" t="shared"/>
        <v>-0.39945140340519242</v>
      </c>
      <c r="AH128" s="83">
        <f si="133" t="shared"/>
        <v>-0.28785174412198938</v>
      </c>
      <c r="AI128" s="83">
        <f si="134" t="shared"/>
        <v>1.3763512922514756</v>
      </c>
      <c r="AJ128" s="83">
        <f si="135" t="shared"/>
        <v>0.45004567390037081</v>
      </c>
      <c r="AK128" s="83">
        <f si="136" t="shared"/>
        <v>0.30679535186981904</v>
      </c>
      <c r="AL128" s="83">
        <f si="137" t="shared"/>
        <v>-0.4601763889266951</v>
      </c>
      <c r="AM128" s="83">
        <f si="138" t="shared"/>
        <v>-0.44047163617592472</v>
      </c>
      <c r="AN128" s="83">
        <f si="139" t="shared"/>
        <v>0.75994015694442785</v>
      </c>
      <c r="AO128" s="83">
        <f si="140" t="shared"/>
        <v>0.46916951291994929</v>
      </c>
      <c r="AP128" s="83">
        <f si="141" t="shared"/>
        <v>-0.5387221524426522</v>
      </c>
      <c r="AQ128" s="83">
        <f si="142" t="shared"/>
        <v>0.40656946286777701</v>
      </c>
      <c r="AR128" s="83">
        <f si="143" t="shared"/>
        <v>-0.49016658954187869</v>
      </c>
      <c r="AS128" s="83">
        <f si="144" t="shared"/>
        <v>-0.23001723172447308</v>
      </c>
      <c r="AT128" s="83">
        <f si="145" t="shared"/>
        <v>-0.9073030162803416</v>
      </c>
      <c r="AU128" s="83">
        <f si="146" t="shared"/>
        <v>0</v>
      </c>
      <c r="AV128" s="83">
        <f si="147" t="shared"/>
        <v>0</v>
      </c>
      <c r="CU128">
        <v>127</v>
      </c>
      <c r="CV128">
        <f si="109" t="shared"/>
        <v>7</v>
      </c>
      <c r="CW128">
        <f si="103" t="shared"/>
        <v>7</v>
      </c>
      <c r="CX128" s="44">
        <f si="104" t="shared"/>
        <v>35993.358395433963</v>
      </c>
      <c r="CY128" s="44">
        <f si="105" t="shared"/>
        <v>28705.000000000004</v>
      </c>
      <c r="CZ128" s="87">
        <f si="106" t="shared"/>
        <v>-7288.3583954339592</v>
      </c>
      <c r="DA128" s="63">
        <f si="107" t="shared"/>
        <v>-0.20249175737817632</v>
      </c>
    </row>
    <row r="129" spans="26:105" x14ac:dyDescent="0.45">
      <c r="Z129">
        <v>20</v>
      </c>
      <c r="AA129" s="83">
        <f si="126" t="shared"/>
        <v>-0.47045784731700385</v>
      </c>
      <c r="AB129" s="83">
        <f si="127" t="shared"/>
        <v>-0.66791670634977007</v>
      </c>
      <c r="AC129" s="83">
        <f si="128" t="shared"/>
        <v>9.1929324962785483E-2</v>
      </c>
      <c r="AD129" s="83">
        <f si="129" t="shared"/>
        <v>-0.17498673225033987</v>
      </c>
      <c r="AE129" s="83">
        <f si="130" t="shared"/>
        <v>-0.4439248808059888</v>
      </c>
      <c r="AF129" s="83">
        <f si="131" t="shared"/>
        <v>-0.17331006534060808</v>
      </c>
      <c r="AG129" s="83">
        <f si="132" t="shared"/>
        <v>-0.42166092172379799</v>
      </c>
      <c r="AH129" s="83">
        <f si="133" t="shared"/>
        <v>-0.39337259724289686</v>
      </c>
      <c r="AI129" s="83">
        <f si="134" t="shared"/>
        <v>-0.46548914162660843</v>
      </c>
      <c r="AJ129" s="83">
        <f si="135" t="shared"/>
        <v>-0.42864163228691454</v>
      </c>
      <c r="AK129" s="83">
        <f si="136" t="shared"/>
        <v>-0.71452828105548094</v>
      </c>
      <c r="AL129" s="83">
        <f si="137" t="shared"/>
        <v>-0.15563881077364089</v>
      </c>
      <c r="AM129" s="83">
        <f si="138" t="shared"/>
        <v>-0.62535040116976037</v>
      </c>
      <c r="AN129" s="83">
        <f si="139" t="shared"/>
        <v>-0.6360235583457382</v>
      </c>
      <c r="AO129" s="83">
        <f si="140" t="shared"/>
        <v>0.21325480551420603</v>
      </c>
      <c r="AP129" s="83">
        <f si="141" t="shared"/>
        <v>0.57583670141500343</v>
      </c>
      <c r="AQ129" s="83">
        <f si="142" t="shared"/>
        <v>-0.93933725972428972</v>
      </c>
      <c r="AR129" s="83">
        <f si="143" t="shared"/>
        <v>0.78651983063313502</v>
      </c>
      <c r="AS129" s="83">
        <f si="144" t="shared"/>
        <v>-0.88970410858961757</v>
      </c>
      <c r="AT129" s="83">
        <f si="145" t="shared"/>
        <v>-4.957173988249261E-2</v>
      </c>
      <c r="AU129" s="83">
        <f si="146" t="shared"/>
        <v>0</v>
      </c>
      <c r="AV129" s="83">
        <f si="147" t="shared"/>
        <v>0</v>
      </c>
      <c r="CU129">
        <v>128</v>
      </c>
      <c r="CV129">
        <f si="109" t="shared"/>
        <v>7</v>
      </c>
      <c r="CW129">
        <f si="103" t="shared"/>
        <v>8</v>
      </c>
      <c r="CX129" s="44">
        <f si="104" t="shared"/>
        <v>254.74454203515282</v>
      </c>
      <c r="CY129" s="44">
        <f si="105" t="shared"/>
        <v>89.000000000000014</v>
      </c>
      <c r="CZ129" s="87">
        <f si="106" t="shared"/>
        <v>-165.74454203515279</v>
      </c>
      <c r="DA129" s="63">
        <f si="107" t="shared"/>
        <v>-0.65063039510491771</v>
      </c>
    </row>
    <row r="130" spans="26:105" x14ac:dyDescent="0.45">
      <c r="Z130" s="80" t="s">
        <v>15</v>
      </c>
      <c r="AA130" s="84">
        <f si="126" t="shared"/>
        <v>0</v>
      </c>
      <c r="AB130" s="84">
        <f si="127" t="shared"/>
        <v>0</v>
      </c>
      <c r="AC130" s="84">
        <f si="128" t="shared"/>
        <v>0</v>
      </c>
      <c r="AD130" s="84">
        <f si="129" t="shared"/>
        <v>0</v>
      </c>
      <c r="AE130" s="84">
        <f si="130" t="shared"/>
        <v>0</v>
      </c>
      <c r="AF130" s="84">
        <f si="131" t="shared"/>
        <v>0</v>
      </c>
      <c r="AG130" s="84">
        <f si="132" t="shared"/>
        <v>0</v>
      </c>
      <c r="AH130" s="84">
        <f si="133" t="shared"/>
        <v>0</v>
      </c>
      <c r="AI130" s="84">
        <f si="134" t="shared"/>
        <v>0</v>
      </c>
      <c r="AJ130" s="84">
        <f si="135" t="shared"/>
        <v>0</v>
      </c>
      <c r="AK130" s="84">
        <f si="136" t="shared"/>
        <v>0</v>
      </c>
      <c r="AL130" s="84">
        <f si="137" t="shared"/>
        <v>0</v>
      </c>
      <c r="AM130" s="84">
        <f si="138" t="shared"/>
        <v>0</v>
      </c>
      <c r="AN130" s="84">
        <f si="139" t="shared"/>
        <v>0</v>
      </c>
      <c r="AO130" s="84">
        <f si="140" t="shared"/>
        <v>0</v>
      </c>
      <c r="AP130" s="84">
        <f si="141" t="shared"/>
        <v>0</v>
      </c>
      <c r="AQ130" s="84">
        <f si="142" t="shared"/>
        <v>0</v>
      </c>
      <c r="AR130" s="84">
        <f si="143" t="shared"/>
        <v>0</v>
      </c>
      <c r="AS130" s="84">
        <f si="144" t="shared"/>
        <v>0</v>
      </c>
      <c r="AT130" s="84">
        <f si="145" t="shared"/>
        <v>0</v>
      </c>
      <c r="AU130" s="84">
        <f si="146" t="shared"/>
        <v>0</v>
      </c>
      <c r="AV130" s="84">
        <f si="147" t="shared"/>
        <v>0</v>
      </c>
      <c r="CU130">
        <v>129</v>
      </c>
      <c r="CV130">
        <f si="109" t="shared"/>
        <v>7</v>
      </c>
      <c r="CW130">
        <f si="103" t="shared"/>
        <v>9</v>
      </c>
      <c r="CX130" s="44">
        <f si="104" t="shared"/>
        <v>4620.7312916595238</v>
      </c>
      <c r="CY130" s="44">
        <f si="105" t="shared"/>
        <v>7185.0000000000009</v>
      </c>
      <c r="CZ130" s="87">
        <f si="106" t="shared"/>
        <v>2564.2687083404771</v>
      </c>
      <c r="DA130" s="63">
        <f si="107" t="shared"/>
        <v>0.55494867510885415</v>
      </c>
    </row>
    <row ht="14.65" r="131" spans="26:105" thickBot="1" x14ac:dyDescent="0.5">
      <c r="Z131" s="1" t="s">
        <v>3</v>
      </c>
      <c r="AA131" s="85">
        <f si="126" t="shared"/>
        <v>0.19591109649975061</v>
      </c>
      <c r="AB131" s="85">
        <f si="127" t="shared"/>
        <v>-5.8055401208660262E-2</v>
      </c>
      <c r="AC131" s="85">
        <f si="128" t="shared"/>
        <v>-9.4291367940798329E-2</v>
      </c>
      <c r="AD131" s="85">
        <f si="129" t="shared"/>
        <v>-0.14551399726399164</v>
      </c>
      <c r="AE131" s="85">
        <f si="130" t="shared"/>
        <v>-0.20979163522369554</v>
      </c>
      <c r="AF131" s="85">
        <f si="131" t="shared"/>
        <v>1.1909260450831629E-2</v>
      </c>
      <c r="AG131" s="85">
        <f si="132" t="shared"/>
        <v>9.4368063819218251E-2</v>
      </c>
      <c r="AH131" s="85">
        <f si="133" t="shared"/>
        <v>-0.48915377551482614</v>
      </c>
      <c r="AI131" s="85">
        <f si="134" t="shared"/>
        <v>0.14115899261694256</v>
      </c>
      <c r="AJ131" s="85">
        <f si="135" t="shared"/>
        <v>-8.3979880756428732E-2</v>
      </c>
      <c r="AK131" s="85">
        <f si="136" t="shared"/>
        <v>-8.3147562058269037E-2</v>
      </c>
      <c r="AL131" s="85">
        <f si="137" t="shared"/>
        <v>0.16789614300469402</v>
      </c>
      <c r="AM131" s="85">
        <f si="138" t="shared"/>
        <v>-0.14407868399576518</v>
      </c>
      <c r="AN131" s="85">
        <f si="139" t="shared"/>
        <v>4.8588913094760891E-2</v>
      </c>
      <c r="AO131" s="85">
        <f si="140" t="shared"/>
        <v>-8.3412411594324179E-2</v>
      </c>
      <c r="AP131" s="85">
        <f si="141" t="shared"/>
        <v>-0.18345264937031691</v>
      </c>
      <c r="AQ131" s="85">
        <f si="142" t="shared"/>
        <v>-7.8947998919836494E-3</v>
      </c>
      <c r="AR131" s="85">
        <f si="143" t="shared"/>
        <v>-1.6861879684808744E-2</v>
      </c>
      <c r="AS131" s="85">
        <f si="144" t="shared"/>
        <v>-0.19728257747971623</v>
      </c>
      <c r="AT131" s="85">
        <f si="145" t="shared"/>
        <v>-0.14430600370260949</v>
      </c>
      <c r="AU131" s="85">
        <f si="146" t="shared"/>
        <v>0</v>
      </c>
      <c r="AV131" s="85">
        <f si="147" t="shared"/>
        <v>-1.3889142700144337E-16</v>
      </c>
      <c r="CU131">
        <v>130</v>
      </c>
      <c r="CV131">
        <f si="109" t="shared"/>
        <v>7</v>
      </c>
      <c r="CW131">
        <f ref="CW131:CW194" si="148" t="shared">MOD(ROW()-2,$CS$2)+1</f>
        <v>10</v>
      </c>
      <c r="CX131" s="44">
        <f ref="CX131:CX194" si="149" t="shared">VLOOKUP($CV131,$B$30:$V$49,MATCH($CW131,$B$29:$V$29,0),0)</f>
        <v>1453.1595591275322</v>
      </c>
      <c r="CY131" s="44">
        <f ref="CY131:CY194" si="150" t="shared">VLOOKUP($CV131,$AY$30:$BS$49,MATCH($CW131,$AY$29:$BS$29,0),0)</f>
        <v>1088.0000000000002</v>
      </c>
      <c r="CZ131" s="87">
        <f ref="CZ131:CZ194" si="151" t="shared">CY131-CX131</f>
        <v>-365.15955912753202</v>
      </c>
      <c r="DA131" s="63">
        <f ref="DA131:DA194" si="152" t="shared">CZ131/CX131</f>
        <v>-0.25128662357406334</v>
      </c>
    </row>
    <row r="132" spans="26:105" x14ac:dyDescent="0.45">
      <c r="CU132">
        <v>131</v>
      </c>
      <c r="CV132">
        <f ref="CV132:CV195" si="153" t="shared">IF(CW131&lt;$CS$2,CV131,CV131+1)</f>
        <v>7</v>
      </c>
      <c r="CW132">
        <f si="148" t="shared"/>
        <v>11</v>
      </c>
      <c r="CX132" s="44">
        <f si="149" t="shared"/>
        <v>1927.319108171065</v>
      </c>
      <c r="CY132" s="44">
        <f si="150" t="shared"/>
        <v>843.00000000000011</v>
      </c>
      <c r="CZ132" s="87">
        <f si="151" t="shared"/>
        <v>-1084.3191081710647</v>
      </c>
      <c r="DA132" s="63">
        <f si="152" t="shared"/>
        <v>-0.56260486578168811</v>
      </c>
    </row>
    <row r="133" spans="26:105" x14ac:dyDescent="0.45">
      <c r="CU133">
        <v>132</v>
      </c>
      <c r="CV133">
        <f si="153" t="shared"/>
        <v>7</v>
      </c>
      <c r="CW133">
        <f si="148" t="shared"/>
        <v>12</v>
      </c>
      <c r="CX133" s="44">
        <f si="149" t="shared"/>
        <v>11640.152066715742</v>
      </c>
      <c r="CY133" s="44">
        <f si="150" t="shared"/>
        <v>18852.000000000004</v>
      </c>
      <c r="CZ133" s="87">
        <f si="151" t="shared"/>
        <v>7211.8479332842617</v>
      </c>
      <c r="DA133" s="63">
        <f si="152" t="shared"/>
        <v>0.61956647060531722</v>
      </c>
    </row>
    <row ht="14.65" r="134" spans="26:105" thickBot="1" x14ac:dyDescent="0.5">
      <c r="Z134" s="21" t="s">
        <v>435</v>
      </c>
      <c r="AA134" s="22"/>
      <c r="AB134" s="22"/>
      <c r="AC134" s="22"/>
      <c r="AD134" s="22"/>
      <c r="AE134" s="22"/>
      <c r="AF134" s="22"/>
      <c r="AG134" s="22"/>
      <c r="AH134" s="22"/>
      <c r="AI134" s="22"/>
      <c r="CU134">
        <v>133</v>
      </c>
      <c r="CV134">
        <f si="153" t="shared"/>
        <v>7</v>
      </c>
      <c r="CW134">
        <f si="148" t="shared"/>
        <v>13</v>
      </c>
      <c r="CX134" s="44">
        <f si="149" t="shared"/>
        <v>10067.987758024343</v>
      </c>
      <c r="CY134" s="44">
        <f si="150" t="shared"/>
        <v>9957.0000000000018</v>
      </c>
      <c r="CZ134" s="87">
        <f si="151" t="shared"/>
        <v>-110.98775802434102</v>
      </c>
      <c r="DA134" s="63">
        <f si="152" t="shared"/>
        <v>-1.1023827272324805E-2</v>
      </c>
    </row>
    <row r="135" spans="26:105" x14ac:dyDescent="0.45">
      <c r="Z135" s="2" t="s">
        <v>14</v>
      </c>
      <c r="AA135" s="2">
        <v>1</v>
      </c>
      <c r="AB135" s="2">
        <v>2</v>
      </c>
      <c r="AC135" s="2">
        <v>3</v>
      </c>
      <c r="AD135" s="2">
        <v>4</v>
      </c>
      <c r="AE135" s="2">
        <v>5</v>
      </c>
      <c r="AF135" s="2">
        <v>6</v>
      </c>
      <c r="AG135" s="2">
        <v>7</v>
      </c>
      <c r="AH135" s="2">
        <v>8</v>
      </c>
      <c r="AI135" s="2">
        <v>9</v>
      </c>
      <c r="AJ135" s="2">
        <v>10</v>
      </c>
      <c r="AK135" s="2">
        <v>11</v>
      </c>
      <c r="AL135" s="2">
        <v>12</v>
      </c>
      <c r="AM135" s="2">
        <v>13</v>
      </c>
      <c r="AN135" s="2">
        <v>14</v>
      </c>
      <c r="AO135" s="2">
        <v>15</v>
      </c>
      <c r="AP135" s="2">
        <v>16</v>
      </c>
      <c r="AQ135" s="2">
        <v>17</v>
      </c>
      <c r="AR135" s="2">
        <v>18</v>
      </c>
      <c r="AS135" s="2">
        <v>19</v>
      </c>
      <c r="AT135" s="2">
        <v>20</v>
      </c>
      <c r="AU135" s="3" t="s">
        <v>15</v>
      </c>
      <c r="AV135" s="3" t="s">
        <v>3</v>
      </c>
      <c r="CU135">
        <v>134</v>
      </c>
      <c r="CV135">
        <f si="153" t="shared"/>
        <v>7</v>
      </c>
      <c r="CW135">
        <f si="148" t="shared"/>
        <v>14</v>
      </c>
      <c r="CX135" s="44">
        <f si="149" t="shared"/>
        <v>68.799620841610619</v>
      </c>
      <c r="CY135" s="44">
        <f si="150" t="shared"/>
        <v>55.000000000000007</v>
      </c>
      <c r="CZ135" s="87">
        <f si="151" t="shared"/>
        <v>-13.799620841610611</v>
      </c>
      <c r="DA135" s="63">
        <f si="152" t="shared"/>
        <v>-0.20057698971015955</v>
      </c>
    </row>
    <row r="136" spans="26:105" x14ac:dyDescent="0.45">
      <c r="Z136" s="28">
        <v>1</v>
      </c>
      <c r="AA136" s="82">
        <f>ABS(AA110)</f>
        <v>0.24510167415509573</v>
      </c>
      <c r="AB136" s="82">
        <f ref="AB136:AV136" si="154" t="shared">ABS(AB110)</f>
        <v>0.1915078009183932</v>
      </c>
      <c r="AC136" s="82">
        <f si="154" t="shared"/>
        <v>0.42519811063125584</v>
      </c>
      <c r="AD136" s="82">
        <f si="154" t="shared"/>
        <v>0.23710359938244563</v>
      </c>
      <c r="AE136" s="82">
        <f si="154" t="shared"/>
        <v>7.672763542747648E-3</v>
      </c>
      <c r="AF136" s="82">
        <f si="154" t="shared"/>
        <v>4.3769617804266227E-2</v>
      </c>
      <c r="AG136" s="82">
        <f si="154" t="shared"/>
        <v>8.2947611438414823E-2</v>
      </c>
      <c r="AH136" s="82">
        <f si="154" t="shared"/>
        <v>0.2587241529560359</v>
      </c>
      <c r="AI136" s="82">
        <f si="154" t="shared"/>
        <v>0.52470049207918301</v>
      </c>
      <c r="AJ136" s="82">
        <f si="154" t="shared"/>
        <v>1.3464271311951446</v>
      </c>
      <c r="AK136" s="82">
        <f si="154" t="shared"/>
        <v>8.2679670310989745E-2</v>
      </c>
      <c r="AL136" s="82">
        <f si="154" t="shared"/>
        <v>0.3100045300919767</v>
      </c>
      <c r="AM136" s="82">
        <f si="154" t="shared"/>
        <v>0.71067290482865653</v>
      </c>
      <c r="AN136" s="82">
        <f si="154" t="shared"/>
        <v>0.52679897848017088</v>
      </c>
      <c r="AO136" s="82">
        <f si="154" t="shared"/>
        <v>7.3734170642036634E-2</v>
      </c>
      <c r="AP136" s="82">
        <f si="154" t="shared"/>
        <v>3.0382675411149216</v>
      </c>
      <c r="AQ136" s="82">
        <f si="154" t="shared"/>
        <v>0.2194536128802318</v>
      </c>
      <c r="AR136" s="82">
        <f si="154" t="shared"/>
        <v>0.19973356654734781</v>
      </c>
      <c r="AS136" s="82">
        <f si="154" t="shared"/>
        <v>0.80366796832628262</v>
      </c>
      <c r="AT136" s="82">
        <f si="154" t="shared"/>
        <v>0.91463824709838382</v>
      </c>
      <c r="AU136" s="82">
        <f si="154" t="shared"/>
        <v>0</v>
      </c>
      <c r="AV136" s="82">
        <f si="154" t="shared"/>
        <v>0</v>
      </c>
      <c r="CU136">
        <v>135</v>
      </c>
      <c r="CV136">
        <f si="153" t="shared"/>
        <v>7</v>
      </c>
      <c r="CW136">
        <f si="148" t="shared"/>
        <v>15</v>
      </c>
      <c r="CX136" s="44">
        <f si="149" t="shared"/>
        <v>1021.7673419585144</v>
      </c>
      <c r="CY136" s="44">
        <f si="150" t="shared"/>
        <v>1222.0000000000002</v>
      </c>
      <c r="CZ136" s="87">
        <f si="151" t="shared"/>
        <v>200.23265804148582</v>
      </c>
      <c r="DA136" s="63">
        <f si="152" t="shared"/>
        <v>0.19596697782264372</v>
      </c>
    </row>
    <row r="137" spans="26:105" x14ac:dyDescent="0.45">
      <c r="Z137">
        <v>2</v>
      </c>
      <c r="AA137" s="83">
        <f ref="AA137:AV137" si="155" t="shared">ABS(AA111)</f>
        <v>0.31990424475973622</v>
      </c>
      <c r="AB137" s="83">
        <f si="155" t="shared"/>
        <v>0.58478702282461437</v>
      </c>
      <c r="AC137" s="83">
        <f si="155" t="shared"/>
        <v>0.55788109566668442</v>
      </c>
      <c r="AD137" s="83">
        <f si="155" t="shared"/>
        <v>0.20137886804553473</v>
      </c>
      <c r="AE137" s="83">
        <f si="155" t="shared"/>
        <v>0.11785804300199687</v>
      </c>
      <c r="AF137" s="83">
        <f si="155" t="shared"/>
        <v>0.17528091329298059</v>
      </c>
      <c r="AG137" s="83">
        <f si="155" t="shared"/>
        <v>2.5564493010235945E-2</v>
      </c>
      <c r="AH137" s="83">
        <f si="155" t="shared"/>
        <v>0.4060980172091283</v>
      </c>
      <c r="AI137" s="83">
        <f si="155" t="shared"/>
        <v>0.41428089029833237</v>
      </c>
      <c r="AJ137" s="83">
        <f si="155" t="shared"/>
        <v>0.66160209335696818</v>
      </c>
      <c r="AK137" s="83">
        <f si="155" t="shared"/>
        <v>0.23290964800398758</v>
      </c>
      <c r="AL137" s="83">
        <f si="155" t="shared"/>
        <v>0.86214943849674397</v>
      </c>
      <c r="AM137" s="83">
        <f si="155" t="shared"/>
        <v>0.47753902662993575</v>
      </c>
      <c r="AN137" s="83">
        <f si="155" t="shared"/>
        <v>0.34294161123429412</v>
      </c>
      <c r="AO137" s="83">
        <f si="155" t="shared"/>
        <v>5.4758107389686457E-2</v>
      </c>
      <c r="AP137" s="83">
        <f si="155" t="shared"/>
        <v>0.80762167125803508</v>
      </c>
      <c r="AQ137" s="83">
        <f si="155" t="shared"/>
        <v>0.30513468013468009</v>
      </c>
      <c r="AR137" s="83">
        <f si="155" t="shared"/>
        <v>0.25228475228475244</v>
      </c>
      <c r="AS137" s="83">
        <f si="155" t="shared"/>
        <v>0.57239057239057245</v>
      </c>
      <c r="AT137" s="83">
        <f si="155" t="shared"/>
        <v>0.76675849403122132</v>
      </c>
      <c r="AU137" s="83">
        <f si="155" t="shared"/>
        <v>0</v>
      </c>
      <c r="AV137" s="83">
        <f si="155" t="shared"/>
        <v>0</v>
      </c>
      <c r="CU137">
        <v>136</v>
      </c>
      <c r="CV137">
        <f si="153" t="shared"/>
        <v>7</v>
      </c>
      <c r="CW137">
        <f si="148" t="shared"/>
        <v>16</v>
      </c>
      <c r="CX137" s="44">
        <f si="149" t="shared"/>
        <v>91.113011384835673</v>
      </c>
      <c r="CY137" s="44">
        <f si="150" t="shared"/>
        <v>105.00000000000001</v>
      </c>
      <c r="CZ137" s="87">
        <f si="151" t="shared"/>
        <v>13.886988615164341</v>
      </c>
      <c r="DA137" s="63">
        <f si="152" t="shared"/>
        <v>0.15241498885938054</v>
      </c>
    </row>
    <row r="138" spans="26:105" x14ac:dyDescent="0.45">
      <c r="Z138">
        <v>3</v>
      </c>
      <c r="AA138" s="83">
        <f ref="AA138:AV138" si="156" t="shared">ABS(AA112)</f>
        <v>0.31950490412398475</v>
      </c>
      <c r="AB138" s="83">
        <f si="156" t="shared"/>
        <v>4.3560235441093699E-2</v>
      </c>
      <c r="AC138" s="83">
        <f si="156" t="shared"/>
        <v>0.52545971909268074</v>
      </c>
      <c r="AD138" s="83">
        <f si="156" t="shared"/>
        <v>0.13490219220052299</v>
      </c>
      <c r="AE138" s="83">
        <f si="156" t="shared"/>
        <v>0.13469875833993938</v>
      </c>
      <c r="AF138" s="83">
        <f si="156" t="shared"/>
        <v>0.17550650518887992</v>
      </c>
      <c r="AG138" s="83">
        <f si="156" t="shared"/>
        <v>0.33393758941463758</v>
      </c>
      <c r="AH138" s="83">
        <f si="156" t="shared"/>
        <v>0.56890370228469911</v>
      </c>
      <c r="AI138" s="83">
        <f si="156" t="shared"/>
        <v>6.3018457696465954E-2</v>
      </c>
      <c r="AJ138" s="83">
        <f si="156" t="shared"/>
        <v>2.6887178101310676E-2</v>
      </c>
      <c r="AK138" s="83">
        <f si="156" t="shared"/>
        <v>1.2939873659252043E-2</v>
      </c>
      <c r="AL138" s="83">
        <f si="156" t="shared"/>
        <v>0.63535609324196263</v>
      </c>
      <c r="AM138" s="83">
        <f si="156" t="shared"/>
        <v>0.59918418964134024</v>
      </c>
      <c r="AN138" s="83">
        <f si="156" t="shared"/>
        <v>0.40441695629566782</v>
      </c>
      <c r="AO138" s="83">
        <f si="156" t="shared"/>
        <v>0.22250126838804485</v>
      </c>
      <c r="AP138" s="83">
        <f si="156" t="shared"/>
        <v>3.2747055895882542E-3</v>
      </c>
      <c r="AQ138" s="83">
        <f si="156" t="shared"/>
        <v>3.8477326838345732E-2</v>
      </c>
      <c r="AR138" s="83">
        <f si="156" t="shared"/>
        <v>0.12267819117659004</v>
      </c>
      <c r="AS138" s="83">
        <f si="156" t="shared"/>
        <v>4.4187534999532457E-2</v>
      </c>
      <c r="AT138" s="83">
        <f si="156" t="shared"/>
        <v>0.91692181385293237</v>
      </c>
      <c r="AU138" s="83">
        <f si="156" t="shared"/>
        <v>0</v>
      </c>
      <c r="AV138" s="83">
        <f si="156" t="shared"/>
        <v>0</v>
      </c>
      <c r="CU138">
        <v>137</v>
      </c>
      <c r="CV138">
        <f si="153" t="shared"/>
        <v>7</v>
      </c>
      <c r="CW138">
        <f si="148" t="shared"/>
        <v>17</v>
      </c>
      <c r="CX138" s="44">
        <f si="149" t="shared"/>
        <v>105.05888047435134</v>
      </c>
      <c r="CY138" s="44">
        <f si="150" t="shared"/>
        <v>31.000000000000004</v>
      </c>
      <c r="CZ138" s="87">
        <f si="151" t="shared"/>
        <v>-74.058880474351341</v>
      </c>
      <c r="DA138" s="63">
        <f si="152" t="shared"/>
        <v>-0.70492737158408791</v>
      </c>
    </row>
    <row r="139" spans="26:105" x14ac:dyDescent="0.45">
      <c r="Z139">
        <v>4</v>
      </c>
      <c r="AA139" s="83">
        <f ref="AA139:AV139" si="157" t="shared">ABS(AA113)</f>
        <v>0.51667552367591918</v>
      </c>
      <c r="AB139" s="83">
        <f si="157" t="shared"/>
        <v>0.10820961506212301</v>
      </c>
      <c r="AC139" s="83">
        <f si="157" t="shared"/>
        <v>0.24703234620998926</v>
      </c>
      <c r="AD139" s="83">
        <f si="157" t="shared"/>
        <v>0.62289563250732405</v>
      </c>
      <c r="AE139" s="83">
        <f si="157" t="shared"/>
        <v>0.3456127083919131</v>
      </c>
      <c r="AF139" s="83">
        <f si="157" t="shared"/>
        <v>0.35701348443173964</v>
      </c>
      <c r="AG139" s="83">
        <f si="157" t="shared"/>
        <v>2.8571224407401098E-2</v>
      </c>
      <c r="AH139" s="83">
        <f si="157" t="shared"/>
        <v>0.72552077564636208</v>
      </c>
      <c r="AI139" s="83">
        <f si="157" t="shared"/>
        <v>1.1522215267099973</v>
      </c>
      <c r="AJ139" s="83">
        <f si="157" t="shared"/>
        <v>0.1645835780924754</v>
      </c>
      <c r="AK139" s="83">
        <f si="157" t="shared"/>
        <v>0.22611846855447632</v>
      </c>
      <c r="AL139" s="83">
        <f si="157" t="shared"/>
        <v>0.64130294652613928</v>
      </c>
      <c r="AM139" s="83">
        <f si="157" t="shared"/>
        <v>0.69025417218922425</v>
      </c>
      <c r="AN139" s="83">
        <f si="157" t="shared"/>
        <v>1.4475451572547904</v>
      </c>
      <c r="AO139" s="83">
        <f si="157" t="shared"/>
        <v>0.24468230093319923</v>
      </c>
      <c r="AP139" s="83">
        <f si="157" t="shared"/>
        <v>0.66569045424284323</v>
      </c>
      <c r="AQ139" s="83">
        <f si="157" t="shared"/>
        <v>0.93675312443639902</v>
      </c>
      <c r="AR139" s="83">
        <f si="157" t="shared"/>
        <v>0.4092132379040162</v>
      </c>
      <c r="AS139" s="83">
        <f si="157" t="shared"/>
        <v>0.27272348177249089</v>
      </c>
      <c r="AT139" s="83">
        <f si="157" t="shared"/>
        <v>0.71445306498694117</v>
      </c>
      <c r="AU139" s="83">
        <f si="157" t="shared"/>
        <v>0</v>
      </c>
      <c r="AV139" s="83">
        <f si="157" t="shared"/>
        <v>0</v>
      </c>
      <c r="CU139">
        <v>138</v>
      </c>
      <c r="CV139">
        <f si="153" t="shared"/>
        <v>7</v>
      </c>
      <c r="CW139">
        <f si="148" t="shared"/>
        <v>18</v>
      </c>
      <c r="CX139" s="44">
        <f si="149" t="shared"/>
        <v>732.62298950255627</v>
      </c>
      <c r="CY139" s="44">
        <f si="150" t="shared"/>
        <v>461.00000000000006</v>
      </c>
      <c r="CZ139" s="87">
        <f si="151" t="shared"/>
        <v>-271.62298950255621</v>
      </c>
      <c r="DA139" s="63">
        <f si="152" t="shared"/>
        <v>-0.37075411691214538</v>
      </c>
    </row>
    <row r="140" spans="26:105" x14ac:dyDescent="0.45">
      <c r="Z140">
        <v>5</v>
      </c>
      <c r="AA140" s="83">
        <f ref="AA140:AV140" si="158" t="shared">ABS(AA114)</f>
        <v>0.14286010861635276</v>
      </c>
      <c r="AB140" s="83">
        <f si="158" t="shared"/>
        <v>0.50856522463434006</v>
      </c>
      <c r="AC140" s="83">
        <f si="158" t="shared"/>
        <v>3.7784687138325779E-2</v>
      </c>
      <c r="AD140" s="83">
        <f si="158" t="shared"/>
        <v>0.2153644048374726</v>
      </c>
      <c r="AE140" s="83">
        <f si="158" t="shared"/>
        <v>0.57164381406949338</v>
      </c>
      <c r="AF140" s="83">
        <f si="158" t="shared"/>
        <v>0.15825780342771537</v>
      </c>
      <c r="AG140" s="83">
        <f si="158" t="shared"/>
        <v>0.20297662625423743</v>
      </c>
      <c r="AH140" s="83">
        <f si="158" t="shared"/>
        <v>0.35907931110471936</v>
      </c>
      <c r="AI140" s="83">
        <f si="158" t="shared"/>
        <v>0.5780419732709805</v>
      </c>
      <c r="AJ140" s="83">
        <f si="158" t="shared"/>
        <v>6.447607343724146E-2</v>
      </c>
      <c r="AK140" s="83">
        <f si="158" t="shared"/>
        <v>0.11929389312977108</v>
      </c>
      <c r="AL140" s="83">
        <f si="158" t="shared"/>
        <v>0.45525545638856679</v>
      </c>
      <c r="AM140" s="83">
        <f si="158" t="shared"/>
        <v>0.49564983055130407</v>
      </c>
      <c r="AN140" s="83">
        <f si="158" t="shared"/>
        <v>1.6040744208683138</v>
      </c>
      <c r="AO140" s="83">
        <f si="158" t="shared"/>
        <v>0.49068464717319682</v>
      </c>
      <c r="AP140" s="83">
        <f si="158" t="shared"/>
        <v>0.15887862584145915</v>
      </c>
      <c r="AQ140" s="83">
        <f si="158" t="shared"/>
        <v>0.17718481840619243</v>
      </c>
      <c r="AR140" s="83">
        <f si="158" t="shared"/>
        <v>0.52073877312426908</v>
      </c>
      <c r="AS140" s="83">
        <f si="158" t="shared"/>
        <v>0.66147032528711913</v>
      </c>
      <c r="AT140" s="83">
        <f si="158" t="shared"/>
        <v>1</v>
      </c>
      <c r="AU140" s="83">
        <f si="158" t="shared"/>
        <v>0</v>
      </c>
      <c r="AV140" s="83">
        <f si="158" t="shared"/>
        <v>0</v>
      </c>
      <c r="CU140">
        <v>139</v>
      </c>
      <c r="CV140">
        <f si="153" t="shared"/>
        <v>7</v>
      </c>
      <c r="CW140">
        <f si="148" t="shared"/>
        <v>19</v>
      </c>
      <c r="CX140" s="44">
        <f si="149" t="shared"/>
        <v>197.10161646515473</v>
      </c>
      <c r="CY140" s="44">
        <f si="150" t="shared"/>
        <v>69.000000000000014</v>
      </c>
      <c r="CZ140" s="87">
        <f si="151" t="shared"/>
        <v>-128.10161646515473</v>
      </c>
      <c r="DA140" s="63">
        <f si="152" t="shared"/>
        <v>-0.64992676753516943</v>
      </c>
    </row>
    <row r="141" spans="26:105" x14ac:dyDescent="0.45">
      <c r="Z141">
        <v>6</v>
      </c>
      <c r="AA141" s="83">
        <f ref="AA141:AV141" si="159" t="shared">ABS(AA115)</f>
        <v>0.11856696659021554</v>
      </c>
      <c r="AB141" s="83">
        <f si="159" t="shared"/>
        <v>8.6146503763744955E-2</v>
      </c>
      <c r="AC141" s="83">
        <f si="159" t="shared"/>
        <v>9.1714478058611146E-2</v>
      </c>
      <c r="AD141" s="83">
        <f si="159" t="shared"/>
        <v>5.5946215338996637E-2</v>
      </c>
      <c r="AE141" s="83">
        <f si="159" t="shared"/>
        <v>0.13435856588408232</v>
      </c>
      <c r="AF141" s="83">
        <f si="159" t="shared"/>
        <v>0.22001732613379793</v>
      </c>
      <c r="AG141" s="83">
        <f si="159" t="shared"/>
        <v>0.50173617787616009</v>
      </c>
      <c r="AH141" s="83">
        <f si="159" t="shared"/>
        <v>0.12594829442774605</v>
      </c>
      <c r="AI141" s="83">
        <f si="159" t="shared"/>
        <v>0.61909609075237715</v>
      </c>
      <c r="AJ141" s="83">
        <f si="159" t="shared"/>
        <v>0.55479616941350773</v>
      </c>
      <c r="AK141" s="83">
        <f si="159" t="shared"/>
        <v>0.14405830061433067</v>
      </c>
      <c r="AL141" s="83">
        <f si="159" t="shared"/>
        <v>0.33522507872033375</v>
      </c>
      <c r="AM141" s="83">
        <f si="159" t="shared"/>
        <v>0.49911953882370391</v>
      </c>
      <c r="AN141" s="83">
        <f si="159" t="shared"/>
        <v>6.289819172652962E-2</v>
      </c>
      <c r="AO141" s="83">
        <f si="159" t="shared"/>
        <v>0.36187829246139869</v>
      </c>
      <c r="AP141" s="83">
        <f si="159" t="shared"/>
        <v>0.50861518719429366</v>
      </c>
      <c r="AQ141" s="83">
        <f si="159" t="shared"/>
        <v>0.49655092107408183</v>
      </c>
      <c r="AR141" s="83">
        <f si="159" t="shared"/>
        <v>9.8480547986678005E-3</v>
      </c>
      <c r="AS141" s="83">
        <f si="159" t="shared"/>
        <v>0.75286418912100106</v>
      </c>
      <c r="AT141" s="83">
        <f si="159" t="shared"/>
        <v>0.77688052183964995</v>
      </c>
      <c r="AU141" s="83">
        <f si="159" t="shared"/>
        <v>0</v>
      </c>
      <c r="AV141" s="83">
        <f si="159" t="shared"/>
        <v>0</v>
      </c>
      <c r="CU141">
        <v>140</v>
      </c>
      <c r="CV141">
        <f si="153" t="shared"/>
        <v>7</v>
      </c>
      <c r="CW141">
        <f si="148" t="shared"/>
        <v>20</v>
      </c>
      <c r="CX141" s="44">
        <f si="149" t="shared"/>
        <v>242.65812215757256</v>
      </c>
      <c r="CY141" s="44">
        <f si="150" t="shared"/>
        <v>24.000000000000004</v>
      </c>
      <c r="CZ141" s="87">
        <f si="151" t="shared"/>
        <v>-218.65812215757256</v>
      </c>
      <c r="DA141" s="63">
        <f si="152" t="shared"/>
        <v>-0.9010954185806509</v>
      </c>
    </row>
    <row r="142" spans="26:105" x14ac:dyDescent="0.45">
      <c r="Z142">
        <v>7</v>
      </c>
      <c r="AA142" s="83">
        <f ref="AA142:AV142" si="160" t="shared">ABS(AA116)</f>
        <v>0.16798359076467609</v>
      </c>
      <c r="AB142" s="83">
        <f si="160" t="shared"/>
        <v>6.3734766260660033E-2</v>
      </c>
      <c r="AC142" s="83">
        <f si="160" t="shared"/>
        <v>0.18503919795873897</v>
      </c>
      <c r="AD142" s="83">
        <f si="160" t="shared"/>
        <v>0.227426022475444</v>
      </c>
      <c r="AE142" s="83">
        <f si="160" t="shared"/>
        <v>0.41052909744662952</v>
      </c>
      <c r="AF142" s="83">
        <f si="160" t="shared"/>
        <v>0.13288283766845876</v>
      </c>
      <c r="AG142" s="83">
        <f si="160" t="shared"/>
        <v>0.20249175737817632</v>
      </c>
      <c r="AH142" s="83">
        <f si="160" t="shared"/>
        <v>0.65063039510491771</v>
      </c>
      <c r="AI142" s="83">
        <f si="160" t="shared"/>
        <v>0.55494867510885415</v>
      </c>
      <c r="AJ142" s="83">
        <f si="160" t="shared"/>
        <v>0.25128662357406334</v>
      </c>
      <c r="AK142" s="83">
        <f si="160" t="shared"/>
        <v>0.56260486578168811</v>
      </c>
      <c r="AL142" s="83">
        <f si="160" t="shared"/>
        <v>0.61956647060531722</v>
      </c>
      <c r="AM142" s="83">
        <f si="160" t="shared"/>
        <v>1.1023827272324805E-2</v>
      </c>
      <c r="AN142" s="83">
        <f si="160" t="shared"/>
        <v>0.20057698971015955</v>
      </c>
      <c r="AO142" s="83">
        <f si="160" t="shared"/>
        <v>0.19596697782264372</v>
      </c>
      <c r="AP142" s="83">
        <f si="160" t="shared"/>
        <v>0.15241498885938054</v>
      </c>
      <c r="AQ142" s="83">
        <f si="160" t="shared"/>
        <v>0.70492737158408791</v>
      </c>
      <c r="AR142" s="83">
        <f si="160" t="shared"/>
        <v>0.37075411691214538</v>
      </c>
      <c r="AS142" s="83">
        <f si="160" t="shared"/>
        <v>0.64992676753516943</v>
      </c>
      <c r="AT142" s="83">
        <f si="160" t="shared"/>
        <v>0.9010954185806509</v>
      </c>
      <c r="AU142" s="83">
        <f si="160" t="shared"/>
        <v>0</v>
      </c>
      <c r="AV142" s="83">
        <f si="160" t="shared"/>
        <v>0</v>
      </c>
      <c r="CU142">
        <v>141</v>
      </c>
      <c r="CV142">
        <f si="153" t="shared"/>
        <v>8</v>
      </c>
      <c r="CW142">
        <f si="148" t="shared"/>
        <v>1</v>
      </c>
      <c r="CX142" s="44">
        <f si="149" t="shared"/>
        <v>505.69753577106513</v>
      </c>
      <c r="CY142" s="44">
        <f si="150" t="shared"/>
        <v>796.99999999999966</v>
      </c>
      <c r="CZ142" s="87">
        <f si="151" t="shared"/>
        <v>291.30246422893453</v>
      </c>
      <c r="DA142" s="63">
        <f si="152" t="shared"/>
        <v>0.5760409011777553</v>
      </c>
    </row>
    <row r="143" spans="26:105" x14ac:dyDescent="0.45">
      <c r="Z143">
        <v>8</v>
      </c>
      <c r="AA143" s="83">
        <f ref="AA143:AV143" si="161" t="shared">ABS(AA117)</f>
        <v>0.5760409011777553</v>
      </c>
      <c r="AB143" s="83">
        <f si="161" t="shared"/>
        <v>0.13814094558429998</v>
      </c>
      <c r="AC143" s="83">
        <f si="161" t="shared"/>
        <v>0.24127290062990087</v>
      </c>
      <c r="AD143" s="83">
        <f si="161" t="shared"/>
        <v>5.5580954504906049E-2</v>
      </c>
      <c r="AE143" s="83">
        <f si="161" t="shared"/>
        <v>4.2168084331143114E-2</v>
      </c>
      <c r="AF143" s="83">
        <f si="161" t="shared"/>
        <v>0.28796279696656135</v>
      </c>
      <c r="AG143" s="83">
        <f si="161" t="shared"/>
        <v>0.23425512934879594</v>
      </c>
      <c r="AH143" s="83">
        <f si="161" t="shared"/>
        <v>0.81267007101364797</v>
      </c>
      <c r="AI143" s="83">
        <f si="161" t="shared"/>
        <v>0.73778841990495048</v>
      </c>
      <c r="AJ143" s="83">
        <f si="161" t="shared"/>
        <v>5.012743723716101E-2</v>
      </c>
      <c r="AK143" s="83">
        <f si="161" t="shared"/>
        <v>7.3000435657532045E-2</v>
      </c>
      <c r="AL143" s="83">
        <f si="161" t="shared"/>
        <v>0.61283565738610535</v>
      </c>
      <c r="AM143" s="83">
        <f si="161" t="shared"/>
        <v>0.69042419022424562</v>
      </c>
      <c r="AN143" s="83">
        <f si="161" t="shared"/>
        <v>0.44909577487632812</v>
      </c>
      <c r="AO143" s="83">
        <f si="161" t="shared"/>
        <v>0.34665477252453125</v>
      </c>
      <c r="AP143" s="83">
        <f si="161" t="shared"/>
        <v>0.37546445332195655</v>
      </c>
      <c r="AQ143" s="83">
        <f si="161" t="shared"/>
        <v>0.33242754866305296</v>
      </c>
      <c r="AR143" s="83">
        <f si="161" t="shared"/>
        <v>0.66333630686886735</v>
      </c>
      <c r="AS143" s="83">
        <f si="161" t="shared"/>
        <v>0.56385715518977808</v>
      </c>
      <c r="AT143" s="83">
        <f si="161" t="shared"/>
        <v>0.95724905484049105</v>
      </c>
      <c r="AU143" s="83">
        <f si="161" t="shared"/>
        <v>0</v>
      </c>
      <c r="AV143" s="83">
        <f si="161" t="shared"/>
        <v>0</v>
      </c>
      <c r="CU143">
        <v>142</v>
      </c>
      <c r="CV143">
        <f si="153" t="shared"/>
        <v>8</v>
      </c>
      <c r="CW143">
        <f si="148" t="shared"/>
        <v>2</v>
      </c>
      <c r="CX143" s="44">
        <f si="149" t="shared"/>
        <v>389.85492845786962</v>
      </c>
      <c r="CY143" s="44">
        <f si="150" t="shared"/>
        <v>335.99999999999989</v>
      </c>
      <c r="CZ143" s="87">
        <f si="151" t="shared"/>
        <v>-53.854928457869732</v>
      </c>
      <c r="DA143" s="63">
        <f si="152" t="shared"/>
        <v>-0.13814094558429998</v>
      </c>
    </row>
    <row r="144" spans="26:105" x14ac:dyDescent="0.45">
      <c r="Z144">
        <v>9</v>
      </c>
      <c r="AA144" s="83">
        <f ref="AA144:AV144" si="162" t="shared">ABS(AA118)</f>
        <v>0.41541558808255324</v>
      </c>
      <c r="AB144" s="83">
        <f si="162" t="shared"/>
        <v>6.6236215346713534E-2</v>
      </c>
      <c r="AC144" s="83">
        <f si="162" t="shared"/>
        <v>0.27476146707981053</v>
      </c>
      <c r="AD144" s="83">
        <f si="162" t="shared"/>
        <v>8.1592799211112121E-2</v>
      </c>
      <c r="AE144" s="83">
        <f si="162" t="shared"/>
        <v>6.9096771543271859E-2</v>
      </c>
      <c r="AF144" s="83">
        <f si="162" t="shared"/>
        <v>0.30703247629548186</v>
      </c>
      <c r="AG144" s="83">
        <f si="162" t="shared"/>
        <v>0.12802524854337144</v>
      </c>
      <c r="AH144" s="83">
        <f si="162" t="shared"/>
        <v>9.307415287113556E-2</v>
      </c>
      <c r="AI144" s="83">
        <f si="162" t="shared"/>
        <v>0.19006347310687355</v>
      </c>
      <c r="AJ144" s="83">
        <f si="162" t="shared"/>
        <v>0.1548966512881208</v>
      </c>
      <c r="AK144" s="83">
        <f si="162" t="shared"/>
        <v>0.15510119069350969</v>
      </c>
      <c r="AL144" s="83">
        <f si="162" t="shared"/>
        <v>0.26702219828285761</v>
      </c>
      <c r="AM144" s="83">
        <f si="162" t="shared"/>
        <v>0.4057094749962743</v>
      </c>
      <c r="AN144" s="83">
        <f si="162" t="shared"/>
        <v>0.17043479469601311</v>
      </c>
      <c r="AO144" s="83">
        <f si="162" t="shared"/>
        <v>8.8964030685873011E-2</v>
      </c>
      <c r="AP144" s="83">
        <f si="162" t="shared"/>
        <v>0.22900606516895294</v>
      </c>
      <c r="AQ144" s="83">
        <f si="162" t="shared"/>
        <v>0.46405689566376329</v>
      </c>
      <c r="AR144" s="83">
        <f si="162" t="shared"/>
        <v>0.54925658954374923</v>
      </c>
      <c r="AS144" s="83">
        <f si="162" t="shared"/>
        <v>0.43483736733302458</v>
      </c>
      <c r="AT144" s="83">
        <f si="162" t="shared"/>
        <v>0.7002861193740435</v>
      </c>
      <c r="AU144" s="83">
        <f si="162" t="shared"/>
        <v>0</v>
      </c>
      <c r="AV144" s="83">
        <f si="162" t="shared"/>
        <v>0</v>
      </c>
      <c r="CU144">
        <v>143</v>
      </c>
      <c r="CV144">
        <f si="153" t="shared"/>
        <v>8</v>
      </c>
      <c r="CW144">
        <f si="148" t="shared"/>
        <v>3</v>
      </c>
      <c r="CX144" s="44">
        <f si="149" t="shared"/>
        <v>582.55465023847376</v>
      </c>
      <c r="CY144" s="44">
        <f si="150" t="shared"/>
        <v>441.99999999999983</v>
      </c>
      <c r="CZ144" s="87">
        <f si="151" t="shared"/>
        <v>-140.55465023847393</v>
      </c>
      <c r="DA144" s="63">
        <f si="152" t="shared"/>
        <v>-0.24127290062990087</v>
      </c>
    </row>
    <row r="145" spans="26:105" x14ac:dyDescent="0.45">
      <c r="Z145">
        <v>10</v>
      </c>
      <c r="AA145" s="83">
        <f ref="AA145:AV145" si="163" t="shared">ABS(AA119)</f>
        <v>0.3174588879848943</v>
      </c>
      <c r="AB145" s="83">
        <f si="163" t="shared"/>
        <v>0.41059879477168587</v>
      </c>
      <c r="AC145" s="83">
        <f si="163" t="shared"/>
        <v>3.20206945989664E-2</v>
      </c>
      <c r="AD145" s="83">
        <f si="163" t="shared"/>
        <v>2.12509164381494E-2</v>
      </c>
      <c r="AE145" s="83">
        <f si="163" t="shared"/>
        <v>1.7056979573360352E-2</v>
      </c>
      <c r="AF145" s="83">
        <f si="163" t="shared"/>
        <v>6.1298754767084136E-2</v>
      </c>
      <c r="AG145" s="83">
        <f si="163" t="shared"/>
        <v>0.20542940339239785</v>
      </c>
      <c r="AH145" s="83">
        <f si="163" t="shared"/>
        <v>8.3653434213610656E-2</v>
      </c>
      <c r="AI145" s="83">
        <f si="163" t="shared"/>
        <v>7.7042895607800227E-2</v>
      </c>
      <c r="AJ145" s="83">
        <f si="163" t="shared"/>
        <v>0.43750252375713183</v>
      </c>
      <c r="AK145" s="83">
        <f si="163" t="shared"/>
        <v>0.50626164071575253</v>
      </c>
      <c r="AL145" s="83">
        <f si="163" t="shared"/>
        <v>0.54177429607205907</v>
      </c>
      <c r="AM145" s="83">
        <f si="163" t="shared"/>
        <v>0.62103478682796465</v>
      </c>
      <c r="AN145" s="83">
        <f si="163" t="shared"/>
        <v>0.1660551297285297</v>
      </c>
      <c r="AO145" s="83">
        <f si="163" t="shared"/>
        <v>0.6088196742541041</v>
      </c>
      <c r="AP145" s="83">
        <f si="163" t="shared"/>
        <v>0.20881442927844004</v>
      </c>
      <c r="AQ145" s="83">
        <f si="163" t="shared"/>
        <v>0.76768678613866193</v>
      </c>
      <c r="AR145" s="83">
        <f si="163" t="shared"/>
        <v>0.88848160945345833</v>
      </c>
      <c r="AS145" s="83">
        <f si="163" t="shared"/>
        <v>0.67064455756367258</v>
      </c>
      <c r="AT145" s="83">
        <f si="163" t="shared"/>
        <v>0.70638191025858654</v>
      </c>
      <c r="AU145" s="83">
        <f si="163" t="shared"/>
        <v>0</v>
      </c>
      <c r="AV145" s="83">
        <f si="163" t="shared"/>
        <v>0</v>
      </c>
      <c r="CU145">
        <v>144</v>
      </c>
      <c r="CV145">
        <f si="153" t="shared"/>
        <v>8</v>
      </c>
      <c r="CW145">
        <f si="148" t="shared"/>
        <v>4</v>
      </c>
      <c r="CX145" s="44">
        <f si="149" t="shared"/>
        <v>285.15103338632753</v>
      </c>
      <c r="CY145" s="44">
        <f si="150" t="shared"/>
        <v>300.99999999999994</v>
      </c>
      <c r="CZ145" s="87">
        <f si="151" t="shared"/>
        <v>15.848966613672417</v>
      </c>
      <c r="DA145" s="63">
        <f si="152" t="shared"/>
        <v>5.5580954504906049E-2</v>
      </c>
    </row>
    <row r="146" spans="26:105" x14ac:dyDescent="0.45">
      <c r="Z146">
        <v>11</v>
      </c>
      <c r="AA146" s="83">
        <f ref="AA146:AV146" si="164" t="shared">ABS(AA120)</f>
        <v>0.6617938698232485</v>
      </c>
      <c r="AB146" s="83">
        <f si="164" t="shared"/>
        <v>0.23440439435143057</v>
      </c>
      <c r="AC146" s="83">
        <f si="164" t="shared"/>
        <v>3.5753883807385811E-2</v>
      </c>
      <c r="AD146" s="83">
        <f si="164" t="shared"/>
        <v>2.5075173475232162E-2</v>
      </c>
      <c r="AE146" s="83">
        <f si="164" t="shared"/>
        <v>0.1846580378641966</v>
      </c>
      <c r="AF146" s="83">
        <f si="164" t="shared"/>
        <v>0.25700313635387961</v>
      </c>
      <c r="AG146" s="83">
        <f si="164" t="shared"/>
        <v>0.12023920646000172</v>
      </c>
      <c r="AH146" s="83">
        <f si="164" t="shared"/>
        <v>0.50954035840173029</v>
      </c>
      <c r="AI146" s="83">
        <f si="164" t="shared"/>
        <v>0.52285297467403069</v>
      </c>
      <c r="AJ146" s="83">
        <f si="164" t="shared"/>
        <v>0.30084128942563493</v>
      </c>
      <c r="AK146" s="83">
        <f si="164" t="shared"/>
        <v>0.22939446990209028</v>
      </c>
      <c r="AL146" s="83">
        <f si="164" t="shared"/>
        <v>0.34399128398501738</v>
      </c>
      <c r="AM146" s="83">
        <f si="164" t="shared"/>
        <v>0.74651241774663857</v>
      </c>
      <c r="AN146" s="83">
        <f si="164" t="shared"/>
        <v>0.58438615577561615</v>
      </c>
      <c r="AO146" s="83">
        <f si="164" t="shared"/>
        <v>9.6601372346429015E-2</v>
      </c>
      <c r="AP146" s="83">
        <f si="164" t="shared"/>
        <v>7.4910477176707568E-2</v>
      </c>
      <c r="AQ146" s="83">
        <f si="164" t="shared"/>
        <v>0.12487891129530579</v>
      </c>
      <c r="AR146" s="83">
        <f si="164" t="shared"/>
        <v>0.45072809582367013</v>
      </c>
      <c r="AS146" s="83">
        <f si="164" t="shared"/>
        <v>0.20751874781186838</v>
      </c>
      <c r="AT146" s="83">
        <f si="164" t="shared"/>
        <v>0.92654741990338019</v>
      </c>
      <c r="AU146" s="83">
        <f si="164" t="shared"/>
        <v>0</v>
      </c>
      <c r="AV146" s="83">
        <f si="164" t="shared"/>
        <v>0</v>
      </c>
      <c r="CU146">
        <v>145</v>
      </c>
      <c r="CV146">
        <f si="153" t="shared"/>
        <v>8</v>
      </c>
      <c r="CW146">
        <f si="148" t="shared"/>
        <v>5</v>
      </c>
      <c r="CX146" s="44">
        <f si="149" t="shared"/>
        <v>316.33942766295706</v>
      </c>
      <c r="CY146" s="44">
        <f si="150" t="shared"/>
        <v>302.99999999999994</v>
      </c>
      <c r="CZ146" s="87">
        <f si="151" t="shared"/>
        <v>-13.339427662957121</v>
      </c>
      <c r="DA146" s="63">
        <f si="152" t="shared"/>
        <v>-4.2168084331143114E-2</v>
      </c>
    </row>
    <row r="147" spans="26:105" x14ac:dyDescent="0.45">
      <c r="Z147">
        <v>12</v>
      </c>
      <c r="AA147" s="83">
        <f ref="AA147:AV147" si="165" t="shared">ABS(AA121)</f>
        <v>8.919976279899304E-2</v>
      </c>
      <c r="AB147" s="83">
        <f si="165" t="shared"/>
        <v>0.30270342023482522</v>
      </c>
      <c r="AC147" s="83">
        <f si="165" t="shared"/>
        <v>1.4572677614820501E-2</v>
      </c>
      <c r="AD147" s="83">
        <f si="165" t="shared"/>
        <v>0.10391216323610085</v>
      </c>
      <c r="AE147" s="83">
        <f si="165" t="shared"/>
        <v>0.15244660748221356</v>
      </c>
      <c r="AF147" s="83">
        <f si="165" t="shared"/>
        <v>4.5408599245192791E-2</v>
      </c>
      <c r="AG147" s="83">
        <f si="165" t="shared"/>
        <v>0.38755290944839965</v>
      </c>
      <c r="AH147" s="83">
        <f si="165" t="shared"/>
        <v>0.44598551674721393</v>
      </c>
      <c r="AI147" s="83">
        <f si="165" t="shared"/>
        <v>0.33540083397227044</v>
      </c>
      <c r="AJ147" s="83">
        <f si="165" t="shared"/>
        <v>0.19472823635978193</v>
      </c>
      <c r="AK147" s="83">
        <f si="165" t="shared"/>
        <v>0.45413278855975486</v>
      </c>
      <c r="AL147" s="83">
        <f si="165" t="shared"/>
        <v>3.8640547125664962E-2</v>
      </c>
      <c r="AM147" s="83">
        <f si="165" t="shared"/>
        <v>1.3564036116470519E-2</v>
      </c>
      <c r="AN147" s="83">
        <f si="165" t="shared"/>
        <v>0.31766598569969351</v>
      </c>
      <c r="AO147" s="83">
        <f si="165" t="shared"/>
        <v>0.27819211710380803</v>
      </c>
      <c r="AP147" s="83">
        <f si="165" t="shared"/>
        <v>1.4096975255883682E-2</v>
      </c>
      <c r="AQ147" s="83">
        <f si="165" t="shared"/>
        <v>0.7212592962858323</v>
      </c>
      <c r="AR147" s="83">
        <f si="165" t="shared"/>
        <v>0.27355961875089219</v>
      </c>
      <c r="AS147" s="83">
        <f si="165" t="shared"/>
        <v>0.63978305844044736</v>
      </c>
      <c r="AT147" s="83">
        <f si="165" t="shared"/>
        <v>0.82175764524400163</v>
      </c>
      <c r="AU147" s="83">
        <f si="165" t="shared"/>
        <v>0</v>
      </c>
      <c r="AV147" s="83">
        <f si="165" t="shared"/>
        <v>0</v>
      </c>
      <c r="CU147">
        <v>146</v>
      </c>
      <c r="CV147">
        <f si="153" t="shared"/>
        <v>8</v>
      </c>
      <c r="CW147">
        <f si="148" t="shared"/>
        <v>6</v>
      </c>
      <c r="CX147" s="44">
        <f si="149" t="shared"/>
        <v>920.05763116057244</v>
      </c>
      <c r="CY147" s="44">
        <f si="150" t="shared"/>
        <v>1184.9999999999998</v>
      </c>
      <c r="CZ147" s="87">
        <f si="151" t="shared"/>
        <v>264.94236883942733</v>
      </c>
      <c r="DA147" s="63">
        <f si="152" t="shared"/>
        <v>0.28796279696656135</v>
      </c>
    </row>
    <row r="148" spans="26:105" x14ac:dyDescent="0.45">
      <c r="Z148">
        <v>13</v>
      </c>
      <c r="AA148" s="83">
        <f ref="AA148:AV148" si="166" t="shared">ABS(AA122)</f>
        <v>1.5107646647274946E-2</v>
      </c>
      <c r="AB148" s="83">
        <f si="166" t="shared"/>
        <v>1.5534098918518952E-2</v>
      </c>
      <c r="AC148" s="83">
        <f si="166" t="shared"/>
        <v>0.23595180038838881</v>
      </c>
      <c r="AD148" s="83">
        <f si="166" t="shared"/>
        <v>0.11064915752385539</v>
      </c>
      <c r="AE148" s="83">
        <f si="166" t="shared"/>
        <v>6.3317402795821237E-2</v>
      </c>
      <c r="AF148" s="83">
        <f si="166" t="shared"/>
        <v>0.15377586120976866</v>
      </c>
      <c r="AG148" s="83">
        <f si="166" t="shared"/>
        <v>0.81870730227087074</v>
      </c>
      <c r="AH148" s="83">
        <f si="166" t="shared"/>
        <v>0.14282876197878452</v>
      </c>
      <c r="AI148" s="83">
        <f si="166" t="shared"/>
        <v>0.40471768722838025</v>
      </c>
      <c r="AJ148" s="83">
        <f si="166" t="shared"/>
        <v>0.36908159003814778</v>
      </c>
      <c r="AK148" s="83">
        <f si="166" t="shared"/>
        <v>0.47300546329589971</v>
      </c>
      <c r="AL148" s="83">
        <f si="166" t="shared"/>
        <v>0.41921695208523596</v>
      </c>
      <c r="AM148" s="83">
        <f si="166" t="shared"/>
        <v>0.20632886969021411</v>
      </c>
      <c r="AN148" s="83">
        <f si="166" t="shared"/>
        <v>0.47124686083748779</v>
      </c>
      <c r="AO148" s="83">
        <f si="166" t="shared"/>
        <v>0.29535953138216398</v>
      </c>
      <c r="AP148" s="83">
        <f si="166" t="shared"/>
        <v>0.53059670298838202</v>
      </c>
      <c r="AQ148" s="83">
        <f si="166" t="shared"/>
        <v>0.74724437853220571</v>
      </c>
      <c r="AR148" s="83">
        <f si="166" t="shared"/>
        <v>6.7238605308054769E-2</v>
      </c>
      <c r="AS148" s="83">
        <f si="166" t="shared"/>
        <v>0.15993519984652185</v>
      </c>
      <c r="AT148" s="83">
        <f si="166" t="shared"/>
        <v>0.82103360135722625</v>
      </c>
      <c r="AU148" s="83">
        <f si="166" t="shared"/>
        <v>0</v>
      </c>
      <c r="AV148" s="83">
        <f si="166" t="shared"/>
        <v>0</v>
      </c>
      <c r="CU148">
        <v>147</v>
      </c>
      <c r="CV148">
        <f si="153" t="shared"/>
        <v>8</v>
      </c>
      <c r="CW148">
        <f si="148" t="shared"/>
        <v>7</v>
      </c>
      <c r="CX148" s="44">
        <f si="149" t="shared"/>
        <v>189.35810810810813</v>
      </c>
      <c r="CY148" s="44">
        <f si="150" t="shared"/>
        <v>144.99999999999997</v>
      </c>
      <c r="CZ148" s="87">
        <f si="151" t="shared"/>
        <v>-44.358108108108155</v>
      </c>
      <c r="DA148" s="63">
        <f si="152" t="shared"/>
        <v>-0.23425512934879594</v>
      </c>
    </row>
    <row r="149" spans="26:105" x14ac:dyDescent="0.45">
      <c r="Z149">
        <v>14</v>
      </c>
      <c r="AA149" s="83">
        <f ref="AA149:AV149" si="167" t="shared">ABS(AA123)</f>
        <v>0.84683753622167313</v>
      </c>
      <c r="AB149" s="83">
        <f si="167" t="shared"/>
        <v>0.45214354587361061</v>
      </c>
      <c r="AC149" s="83">
        <f si="167" t="shared"/>
        <v>0.92667284493310642</v>
      </c>
      <c r="AD149" s="83">
        <f si="167" t="shared"/>
        <v>0.3673657626049513</v>
      </c>
      <c r="AE149" s="83">
        <f si="167" t="shared"/>
        <v>0.1508374089937925</v>
      </c>
      <c r="AF149" s="83">
        <f si="167" t="shared"/>
        <v>0.11510039751188832</v>
      </c>
      <c r="AG149" s="83">
        <f si="167" t="shared"/>
        <v>0.5387331842494516</v>
      </c>
      <c r="AH149" s="83">
        <f si="167" t="shared"/>
        <v>9.4217261869384117E-2</v>
      </c>
      <c r="AI149" s="83">
        <f si="167" t="shared"/>
        <v>0.31914926006559485</v>
      </c>
      <c r="AJ149" s="83">
        <f si="167" t="shared"/>
        <v>0.40665823241718058</v>
      </c>
      <c r="AK149" s="83">
        <f si="167" t="shared"/>
        <v>0.26439669997122078</v>
      </c>
      <c r="AL149" s="83">
        <f si="167" t="shared"/>
        <v>8.7065060106819234E-2</v>
      </c>
      <c r="AM149" s="83">
        <f si="167" t="shared"/>
        <v>0.64253540359122918</v>
      </c>
      <c r="AN149" s="83">
        <f si="167" t="shared"/>
        <v>7.7670526487605418E-2</v>
      </c>
      <c r="AO149" s="83">
        <f si="167" t="shared"/>
        <v>0.38749043873778038</v>
      </c>
      <c r="AP149" s="83">
        <f si="167" t="shared"/>
        <v>0.92893395677502077</v>
      </c>
      <c r="AQ149" s="83">
        <f si="167" t="shared"/>
        <v>7.6710812699147798E-2</v>
      </c>
      <c r="AR149" s="83">
        <f si="167" t="shared"/>
        <v>8.8481645029536305E-3</v>
      </c>
      <c r="AS149" s="83">
        <f si="167" t="shared"/>
        <v>6.0361977005760709E-2</v>
      </c>
      <c r="AT149" s="83">
        <f si="167" t="shared"/>
        <v>1</v>
      </c>
      <c r="AU149" s="83">
        <f si="167" t="shared"/>
        <v>0</v>
      </c>
      <c r="AV149" s="83">
        <f si="167" t="shared"/>
        <v>0</v>
      </c>
      <c r="CU149">
        <v>148</v>
      </c>
      <c r="CV149">
        <f si="153" t="shared"/>
        <v>8</v>
      </c>
      <c r="CW149">
        <f si="148" t="shared"/>
        <v>8</v>
      </c>
      <c r="CX149" s="44">
        <f si="149" t="shared"/>
        <v>565.84658187599371</v>
      </c>
      <c r="CY149" s="44">
        <f si="150" t="shared"/>
        <v>105.99999999999996</v>
      </c>
      <c r="CZ149" s="87">
        <f si="151" t="shared"/>
        <v>-459.84658187599376</v>
      </c>
      <c r="DA149" s="63">
        <f si="152" t="shared"/>
        <v>-0.81267007101364797</v>
      </c>
    </row>
    <row r="150" spans="26:105" x14ac:dyDescent="0.45">
      <c r="Z150">
        <v>15</v>
      </c>
      <c r="AA150" s="83">
        <f ref="AA150:AV150" si="168" t="shared">ABS(AA124)</f>
        <v>0.19495376978218079</v>
      </c>
      <c r="AB150" s="83">
        <f si="168" t="shared"/>
        <v>0.24555581341378493</v>
      </c>
      <c r="AC150" s="83">
        <f si="168" t="shared"/>
        <v>1.3479237958606729</v>
      </c>
      <c r="AD150" s="83">
        <f si="168" t="shared"/>
        <v>0.36872883916821303</v>
      </c>
      <c r="AE150" s="83">
        <f si="168" t="shared"/>
        <v>0.33442591337781036</v>
      </c>
      <c r="AF150" s="83">
        <f si="168" t="shared"/>
        <v>1.4327130986471896E-2</v>
      </c>
      <c r="AG150" s="83">
        <f si="168" t="shared"/>
        <v>2.2810191040599743E-2</v>
      </c>
      <c r="AH150" s="83">
        <f si="168" t="shared"/>
        <v>2.7724916840720711E-2</v>
      </c>
      <c r="AI150" s="83">
        <f si="168" t="shared"/>
        <v>0.38937051246627852</v>
      </c>
      <c r="AJ150" s="83">
        <f si="168" t="shared"/>
        <v>0.16991534402211736</v>
      </c>
      <c r="AK150" s="83">
        <f si="168" t="shared"/>
        <v>0.23064188847433251</v>
      </c>
      <c r="AL150" s="83">
        <f si="168" t="shared"/>
        <v>0.16828223761631489</v>
      </c>
      <c r="AM150" s="83">
        <f si="168" t="shared"/>
        <v>0.45422510007653621</v>
      </c>
      <c r="AN150" s="83">
        <f si="168" t="shared"/>
        <v>0.78987003945230949</v>
      </c>
      <c r="AO150" s="83">
        <f si="168" t="shared"/>
        <v>0.17098283972167738</v>
      </c>
      <c r="AP150" s="83">
        <f si="168" t="shared"/>
        <v>0.35437860090609125</v>
      </c>
      <c r="AQ150" s="83">
        <f si="168" t="shared"/>
        <v>0.31916855356168417</v>
      </c>
      <c r="AR150" s="83">
        <f si="168" t="shared"/>
        <v>0.52222354635907653</v>
      </c>
      <c r="AS150" s="83">
        <f si="168" t="shared"/>
        <v>0.89137652127940703</v>
      </c>
      <c r="AT150" s="83">
        <f si="168" t="shared"/>
        <v>0.94107423738428608</v>
      </c>
      <c r="AU150" s="83">
        <f si="168" t="shared"/>
        <v>0</v>
      </c>
      <c r="AV150" s="83">
        <f si="168" t="shared"/>
        <v>0</v>
      </c>
      <c r="CU150">
        <v>149</v>
      </c>
      <c r="CV150">
        <f si="153" t="shared"/>
        <v>8</v>
      </c>
      <c r="CW150">
        <f si="148" t="shared"/>
        <v>9</v>
      </c>
      <c r="CX150" s="44">
        <f si="149" t="shared"/>
        <v>190.47197933227346</v>
      </c>
      <c r="CY150" s="44">
        <f si="150" t="shared"/>
        <v>330.99999999999989</v>
      </c>
      <c r="CZ150" s="87">
        <f si="151" t="shared"/>
        <v>140.52802066772642</v>
      </c>
      <c r="DA150" s="63">
        <f si="152" t="shared"/>
        <v>0.73778841990495048</v>
      </c>
    </row>
    <row r="151" spans="26:105" x14ac:dyDescent="0.45">
      <c r="Z151">
        <v>16</v>
      </c>
      <c r="AA151" s="83">
        <f ref="AA151:AV151" si="169" t="shared">ABS(AA125)</f>
        <v>8.3073726621444424E-2</v>
      </c>
      <c r="AB151" s="83">
        <f si="169" t="shared"/>
        <v>0.23761737846495282</v>
      </c>
      <c r="AC151" s="83">
        <f si="169" t="shared"/>
        <v>0.22129702123559117</v>
      </c>
      <c r="AD151" s="83">
        <f si="169" t="shared"/>
        <v>0.16436535547335177</v>
      </c>
      <c r="AE151" s="83">
        <f si="169" t="shared"/>
        <v>0.32596492392707566</v>
      </c>
      <c r="AF151" s="83">
        <f si="169" t="shared"/>
        <v>1.6529056818755841E-2</v>
      </c>
      <c r="AG151" s="83">
        <f si="169" t="shared"/>
        <v>5.3618854090129842E-2</v>
      </c>
      <c r="AH151" s="83">
        <f si="169" t="shared"/>
        <v>0.54733350768170641</v>
      </c>
      <c r="AI151" s="83">
        <f si="169" t="shared"/>
        <v>0.47090181532189274</v>
      </c>
      <c r="AJ151" s="83">
        <f si="169" t="shared"/>
        <v>0.13220573049486012</v>
      </c>
      <c r="AK151" s="83">
        <f si="169" t="shared"/>
        <v>0.51617168393515711</v>
      </c>
      <c r="AL151" s="83">
        <f si="169" t="shared"/>
        <v>0.3843531293559867</v>
      </c>
      <c r="AM151" s="83">
        <f si="169" t="shared"/>
        <v>1.5246142542246332E-3</v>
      </c>
      <c r="AN151" s="83">
        <f si="169" t="shared"/>
        <v>0.84615597323283798</v>
      </c>
      <c r="AO151" s="83">
        <f si="169" t="shared"/>
        <v>0.30068131721327862</v>
      </c>
      <c r="AP151" s="83">
        <f si="169" t="shared"/>
        <v>0.31235297803142936</v>
      </c>
      <c r="AQ151" s="83">
        <f si="169" t="shared"/>
        <v>0.52308351702179778</v>
      </c>
      <c r="AR151" s="83">
        <f si="169" t="shared"/>
        <v>0.42670778382462204</v>
      </c>
      <c r="AS151" s="83">
        <f si="169" t="shared"/>
        <v>0.9403854396277247</v>
      </c>
      <c r="AT151" s="83">
        <f si="169" t="shared"/>
        <v>0.42383761584796603</v>
      </c>
      <c r="AU151" s="83">
        <f si="169" t="shared"/>
        <v>0</v>
      </c>
      <c r="AV151" s="83">
        <f si="169" t="shared"/>
        <v>0</v>
      </c>
      <c r="CU151">
        <v>150</v>
      </c>
      <c r="CV151">
        <f si="153" t="shared"/>
        <v>8</v>
      </c>
      <c r="CW151">
        <f si="148" t="shared"/>
        <v>10</v>
      </c>
      <c r="CX151" s="44">
        <f si="149" t="shared"/>
        <v>249.50715421303656</v>
      </c>
      <c r="CY151" s="44">
        <f si="150" t="shared"/>
        <v>236.99999999999991</v>
      </c>
      <c r="CZ151" s="87">
        <f si="151" t="shared"/>
        <v>-12.507154213036642</v>
      </c>
      <c r="DA151" s="63">
        <f si="152" t="shared"/>
        <v>-5.012743723716101E-2</v>
      </c>
    </row>
    <row r="152" spans="26:105" x14ac:dyDescent="0.45">
      <c r="Z152">
        <v>17</v>
      </c>
      <c r="AA152" s="83">
        <f ref="AA152:AV152" si="170" t="shared">ABS(AA126)</f>
        <v>0.22861379683389788</v>
      </c>
      <c r="AB152" s="83">
        <f si="170" t="shared"/>
        <v>0.53212827318666733</v>
      </c>
      <c r="AC152" s="83">
        <f si="170" t="shared"/>
        <v>0.98215529434866511</v>
      </c>
      <c r="AD152" s="83">
        <f si="170" t="shared"/>
        <v>6.7397828745044297E-2</v>
      </c>
      <c r="AE152" s="83">
        <f si="170" t="shared"/>
        <v>0.27257166897818225</v>
      </c>
      <c r="AF152" s="83">
        <f si="170" t="shared"/>
        <v>0.16492612214785596</v>
      </c>
      <c r="AG152" s="83">
        <f si="170" t="shared"/>
        <v>0.58742988859008838</v>
      </c>
      <c r="AH152" s="83">
        <f si="170" t="shared"/>
        <v>0.54817998325989536</v>
      </c>
      <c r="AI152" s="83">
        <f si="170" t="shared"/>
        <v>0.18876346189318874</v>
      </c>
      <c r="AJ152" s="83">
        <f si="170" t="shared"/>
        <v>0.63035910455777178</v>
      </c>
      <c r="AK152" s="83">
        <f si="170" t="shared"/>
        <v>0.22479139772359155</v>
      </c>
      <c r="AL152" s="83">
        <f si="170" t="shared"/>
        <v>0.13042848530505799</v>
      </c>
      <c r="AM152" s="83">
        <f si="170" t="shared"/>
        <v>0.86109071538605508</v>
      </c>
      <c r="AN152" s="83">
        <f si="170" t="shared"/>
        <v>0.65312035321806017</v>
      </c>
      <c r="AO152" s="83">
        <f si="170" t="shared"/>
        <v>1.1259591989518966E-2</v>
      </c>
      <c r="AP152" s="83">
        <f si="170" t="shared"/>
        <v>0.50746771476698482</v>
      </c>
      <c r="AQ152" s="83">
        <f si="170" t="shared"/>
        <v>0.13216514260537326</v>
      </c>
      <c r="AR152" s="83">
        <f si="170" t="shared"/>
        <v>0</v>
      </c>
      <c r="AS152" s="83">
        <f si="170" t="shared"/>
        <v>4.2778073928753851E-2</v>
      </c>
      <c r="AT152" s="83">
        <f si="170" t="shared"/>
        <v>1</v>
      </c>
      <c r="AU152" s="83">
        <f si="170" t="shared"/>
        <v>0</v>
      </c>
      <c r="AV152" s="83">
        <f si="170" t="shared"/>
        <v>0</v>
      </c>
      <c r="CU152">
        <v>151</v>
      </c>
      <c r="CV152">
        <f si="153" t="shared"/>
        <v>8</v>
      </c>
      <c r="CW152">
        <f si="148" t="shared"/>
        <v>11</v>
      </c>
      <c r="CX152" s="44">
        <f si="149" t="shared"/>
        <v>718.4469395866455</v>
      </c>
      <c r="CY152" s="44">
        <f si="150" t="shared"/>
        <v>665.99999999999977</v>
      </c>
      <c r="CZ152" s="87">
        <f si="151" t="shared"/>
        <v>-52.446939586645726</v>
      </c>
      <c r="DA152" s="63">
        <f si="152" t="shared"/>
        <v>-7.3000435657532045E-2</v>
      </c>
    </row>
    <row r="153" spans="26:105" x14ac:dyDescent="0.45">
      <c r="Z153">
        <v>18</v>
      </c>
      <c r="AA153" s="83">
        <f ref="AA153:AV153" si="171" t="shared">ABS(AA127)</f>
        <v>0.10290238013525657</v>
      </c>
      <c r="AB153" s="83">
        <f si="171" t="shared"/>
        <v>0.25059336501165669</v>
      </c>
      <c r="AC153" s="83">
        <f si="171" t="shared"/>
        <v>0.3353214477215779</v>
      </c>
      <c r="AD153" s="83">
        <f si="171" t="shared"/>
        <v>0.54033487515297707</v>
      </c>
      <c r="AE153" s="83">
        <f si="171" t="shared"/>
        <v>0.59361901015156027</v>
      </c>
      <c r="AF153" s="83">
        <f si="171" t="shared"/>
        <v>0.26910765433080819</v>
      </c>
      <c r="AG153" s="83">
        <f si="171" t="shared"/>
        <v>6.4103139207406748E-2</v>
      </c>
      <c r="AH153" s="83">
        <f si="171" t="shared"/>
        <v>0.81472214045072455</v>
      </c>
      <c r="AI153" s="83">
        <f si="171" t="shared"/>
        <v>8.6526766025149429E-2</v>
      </c>
      <c r="AJ153" s="83">
        <f si="171" t="shared"/>
        <v>0.30269823268923135</v>
      </c>
      <c r="AK153" s="83">
        <f si="171" t="shared"/>
        <v>0.33256037827666368</v>
      </c>
      <c r="AL153" s="83">
        <f si="171" t="shared"/>
        <v>0.24710345605580358</v>
      </c>
      <c r="AM153" s="83">
        <f si="171" t="shared"/>
        <v>0.19576854312738556</v>
      </c>
      <c r="AN153" s="83">
        <f si="171" t="shared"/>
        <v>0.13900288797689608</v>
      </c>
      <c r="AO153" s="83">
        <f si="171" t="shared"/>
        <v>0.36895863839300469</v>
      </c>
      <c r="AP153" s="83">
        <f si="171" t="shared"/>
        <v>2.4169275244832469E-3</v>
      </c>
      <c r="AQ153" s="83">
        <f si="171" t="shared"/>
        <v>0.30043984648122812</v>
      </c>
      <c r="AR153" s="83">
        <f si="171" t="shared"/>
        <v>0.13383150908330341</v>
      </c>
      <c r="AS153" s="83">
        <f si="171" t="shared"/>
        <v>0.88520038506358611</v>
      </c>
      <c r="AT153" s="83">
        <f si="171" t="shared"/>
        <v>0.32237200264560045</v>
      </c>
      <c r="AU153" s="83">
        <f si="171" t="shared"/>
        <v>0</v>
      </c>
      <c r="AV153" s="83">
        <f si="171" t="shared"/>
        <v>0</v>
      </c>
      <c r="CU153">
        <v>152</v>
      </c>
      <c r="CV153">
        <f si="153" t="shared"/>
        <v>8</v>
      </c>
      <c r="CW153">
        <f si="148" t="shared"/>
        <v>12</v>
      </c>
      <c r="CX153" s="44">
        <f si="149" t="shared"/>
        <v>317.4532988871224</v>
      </c>
      <c r="CY153" s="44">
        <f si="150" t="shared"/>
        <v>511.99999999999983</v>
      </c>
      <c r="CZ153" s="87">
        <f si="151" t="shared"/>
        <v>194.54670111287743</v>
      </c>
      <c r="DA153" s="63">
        <f si="152" t="shared"/>
        <v>0.61283565738610535</v>
      </c>
    </row>
    <row r="154" spans="26:105" x14ac:dyDescent="0.45">
      <c r="Z154">
        <v>19</v>
      </c>
      <c r="AA154" s="83">
        <f ref="AA154:AV154" si="172" t="shared">ABS(AA128)</f>
        <v>4.9681543363490815E-2</v>
      </c>
      <c r="AB154" s="83">
        <f si="172" t="shared"/>
        <v>0.34887554749631411</v>
      </c>
      <c r="AC154" s="83">
        <f si="172" t="shared"/>
        <v>0.84372408843222635</v>
      </c>
      <c r="AD154" s="83">
        <f si="172" t="shared"/>
        <v>0.18771247017338863</v>
      </c>
      <c r="AE154" s="83">
        <f si="172" t="shared"/>
        <v>0.10063095009072998</v>
      </c>
      <c r="AF154" s="83">
        <f si="172" t="shared"/>
        <v>2.7228233347594225E-2</v>
      </c>
      <c r="AG154" s="83">
        <f si="172" t="shared"/>
        <v>0.39945140340519242</v>
      </c>
      <c r="AH154" s="83">
        <f si="172" t="shared"/>
        <v>0.28785174412198938</v>
      </c>
      <c r="AI154" s="83">
        <f si="172" t="shared"/>
        <v>1.3763512922514756</v>
      </c>
      <c r="AJ154" s="83">
        <f si="172" t="shared"/>
        <v>0.45004567390037081</v>
      </c>
      <c r="AK154" s="83">
        <f si="172" t="shared"/>
        <v>0.30679535186981904</v>
      </c>
      <c r="AL154" s="83">
        <f si="172" t="shared"/>
        <v>0.4601763889266951</v>
      </c>
      <c r="AM154" s="83">
        <f si="172" t="shared"/>
        <v>0.44047163617592472</v>
      </c>
      <c r="AN154" s="83">
        <f si="172" t="shared"/>
        <v>0.75994015694442785</v>
      </c>
      <c r="AO154" s="83">
        <f si="172" t="shared"/>
        <v>0.46916951291994929</v>
      </c>
      <c r="AP154" s="83">
        <f si="172" t="shared"/>
        <v>0.5387221524426522</v>
      </c>
      <c r="AQ154" s="83">
        <f si="172" t="shared"/>
        <v>0.40656946286777701</v>
      </c>
      <c r="AR154" s="83">
        <f si="172" t="shared"/>
        <v>0.49016658954187869</v>
      </c>
      <c r="AS154" s="83">
        <f si="172" t="shared"/>
        <v>0.23001723172447308</v>
      </c>
      <c r="AT154" s="83">
        <f si="172" t="shared"/>
        <v>0.9073030162803416</v>
      </c>
      <c r="AU154" s="83">
        <f si="172" t="shared"/>
        <v>0</v>
      </c>
      <c r="AV154" s="83">
        <f si="172" t="shared"/>
        <v>0</v>
      </c>
      <c r="CU154">
        <v>153</v>
      </c>
      <c r="CV154">
        <f si="153" t="shared"/>
        <v>8</v>
      </c>
      <c r="CW154">
        <f si="148" t="shared"/>
        <v>13</v>
      </c>
      <c r="CX154" s="44">
        <f si="149" t="shared"/>
        <v>32.30226550079491</v>
      </c>
      <c r="CY154" s="44">
        <f si="150" t="shared"/>
        <v>9.9999999999999982</v>
      </c>
      <c r="CZ154" s="87">
        <f si="151" t="shared"/>
        <v>-22.30226550079491</v>
      </c>
      <c r="DA154" s="63">
        <f si="152" t="shared"/>
        <v>-0.69042419022424562</v>
      </c>
    </row>
    <row r="155" spans="26:105" x14ac:dyDescent="0.45">
      <c r="Z155">
        <v>20</v>
      </c>
      <c r="AA155" s="83">
        <f ref="AA155:AV155" si="173" t="shared">ABS(AA129)</f>
        <v>0.47045784731700385</v>
      </c>
      <c r="AB155" s="83">
        <f si="173" t="shared"/>
        <v>0.66791670634977007</v>
      </c>
      <c r="AC155" s="83">
        <f si="173" t="shared"/>
        <v>9.1929324962785483E-2</v>
      </c>
      <c r="AD155" s="83">
        <f si="173" t="shared"/>
        <v>0.17498673225033987</v>
      </c>
      <c r="AE155" s="83">
        <f si="173" t="shared"/>
        <v>0.4439248808059888</v>
      </c>
      <c r="AF155" s="83">
        <f si="173" t="shared"/>
        <v>0.17331006534060808</v>
      </c>
      <c r="AG155" s="83">
        <f si="173" t="shared"/>
        <v>0.42166092172379799</v>
      </c>
      <c r="AH155" s="83">
        <f si="173" t="shared"/>
        <v>0.39337259724289686</v>
      </c>
      <c r="AI155" s="83">
        <f si="173" t="shared"/>
        <v>0.46548914162660843</v>
      </c>
      <c r="AJ155" s="83">
        <f si="173" t="shared"/>
        <v>0.42864163228691454</v>
      </c>
      <c r="AK155" s="83">
        <f si="173" t="shared"/>
        <v>0.71452828105548094</v>
      </c>
      <c r="AL155" s="83">
        <f si="173" t="shared"/>
        <v>0.15563881077364089</v>
      </c>
      <c r="AM155" s="83">
        <f si="173" t="shared"/>
        <v>0.62535040116976037</v>
      </c>
      <c r="AN155" s="83">
        <f si="173" t="shared"/>
        <v>0.6360235583457382</v>
      </c>
      <c r="AO155" s="83">
        <f si="173" t="shared"/>
        <v>0.21325480551420603</v>
      </c>
      <c r="AP155" s="83">
        <f si="173" t="shared"/>
        <v>0.57583670141500343</v>
      </c>
      <c r="AQ155" s="83">
        <f si="173" t="shared"/>
        <v>0.93933725972428972</v>
      </c>
      <c r="AR155" s="83">
        <f si="173" t="shared"/>
        <v>0.78651983063313502</v>
      </c>
      <c r="AS155" s="83">
        <f si="173" t="shared"/>
        <v>0.88970410858961757</v>
      </c>
      <c r="AT155" s="83">
        <f si="173" t="shared"/>
        <v>4.957173988249261E-2</v>
      </c>
      <c r="AU155" s="83">
        <f si="173" t="shared"/>
        <v>0</v>
      </c>
      <c r="AV155" s="83">
        <f si="173" t="shared"/>
        <v>0</v>
      </c>
      <c r="CU155">
        <v>154</v>
      </c>
      <c r="CV155">
        <f si="153" t="shared"/>
        <v>8</v>
      </c>
      <c r="CW155">
        <f si="148" t="shared"/>
        <v>14</v>
      </c>
      <c r="CX155" s="44">
        <f si="149" t="shared"/>
        <v>147.03100158982511</v>
      </c>
      <c r="CY155" s="44">
        <f si="150" t="shared"/>
        <v>80.999999999999972</v>
      </c>
      <c r="CZ155" s="87">
        <f si="151" t="shared"/>
        <v>-66.031001589825138</v>
      </c>
      <c r="DA155" s="63">
        <f si="152" t="shared"/>
        <v>-0.44909577487632812</v>
      </c>
    </row>
    <row r="156" spans="26:105" x14ac:dyDescent="0.45">
      <c r="Z156" s="80" t="s">
        <v>15</v>
      </c>
      <c r="AA156" s="84">
        <f ref="AA156:AV156" si="174" t="shared">ABS(AA130)</f>
        <v>0</v>
      </c>
      <c r="AB156" s="84">
        <f si="174" t="shared"/>
        <v>0</v>
      </c>
      <c r="AC156" s="84">
        <f si="174" t="shared"/>
        <v>0</v>
      </c>
      <c r="AD156" s="84">
        <f si="174" t="shared"/>
        <v>0</v>
      </c>
      <c r="AE156" s="84">
        <f si="174" t="shared"/>
        <v>0</v>
      </c>
      <c r="AF156" s="84">
        <f si="174" t="shared"/>
        <v>0</v>
      </c>
      <c r="AG156" s="84">
        <f si="174" t="shared"/>
        <v>0</v>
      </c>
      <c r="AH156" s="84">
        <f si="174" t="shared"/>
        <v>0</v>
      </c>
      <c r="AI156" s="84">
        <f si="174" t="shared"/>
        <v>0</v>
      </c>
      <c r="AJ156" s="84">
        <f si="174" t="shared"/>
        <v>0</v>
      </c>
      <c r="AK156" s="84">
        <f si="174" t="shared"/>
        <v>0</v>
      </c>
      <c r="AL156" s="84">
        <f si="174" t="shared"/>
        <v>0</v>
      </c>
      <c r="AM156" s="84">
        <f si="174" t="shared"/>
        <v>0</v>
      </c>
      <c r="AN156" s="84">
        <f si="174" t="shared"/>
        <v>0</v>
      </c>
      <c r="AO156" s="84">
        <f si="174" t="shared"/>
        <v>0</v>
      </c>
      <c r="AP156" s="84">
        <f si="174" t="shared"/>
        <v>0</v>
      </c>
      <c r="AQ156" s="84">
        <f si="174" t="shared"/>
        <v>0</v>
      </c>
      <c r="AR156" s="84">
        <f si="174" t="shared"/>
        <v>0</v>
      </c>
      <c r="AS156" s="84">
        <f si="174" t="shared"/>
        <v>0</v>
      </c>
      <c r="AT156" s="84">
        <f si="174" t="shared"/>
        <v>0</v>
      </c>
      <c r="AU156" s="84">
        <f si="174" t="shared"/>
        <v>0</v>
      </c>
      <c r="AV156" s="84">
        <f si="174" t="shared"/>
        <v>0</v>
      </c>
      <c r="CU156">
        <v>155</v>
      </c>
      <c r="CV156">
        <f si="153" t="shared"/>
        <v>8</v>
      </c>
      <c r="CW156">
        <f si="148" t="shared"/>
        <v>15</v>
      </c>
      <c r="CX156" s="44">
        <f si="149" t="shared"/>
        <v>15.594197138314785</v>
      </c>
      <c r="CY156" s="44">
        <f si="150" t="shared"/>
        <v>20.999999999999993</v>
      </c>
      <c r="CZ156" s="87">
        <f si="151" t="shared"/>
        <v>5.4058028616852081</v>
      </c>
      <c r="DA156" s="63">
        <f si="152" t="shared"/>
        <v>0.34665477252453125</v>
      </c>
    </row>
    <row ht="14.65" r="157" spans="26:105" thickBot="1" x14ac:dyDescent="0.5">
      <c r="Z157" s="1" t="s">
        <v>3</v>
      </c>
      <c r="AA157" s="85">
        <f ref="AA157:AV157" si="175" t="shared">ABS(AA131)</f>
        <v>0.19591109649975061</v>
      </c>
      <c r="AB157" s="85">
        <f si="175" t="shared"/>
        <v>5.8055401208660262E-2</v>
      </c>
      <c r="AC157" s="85">
        <f si="175" t="shared"/>
        <v>9.4291367940798329E-2</v>
      </c>
      <c r="AD157" s="85">
        <f si="175" t="shared"/>
        <v>0.14551399726399164</v>
      </c>
      <c r="AE157" s="85">
        <f si="175" t="shared"/>
        <v>0.20979163522369554</v>
      </c>
      <c r="AF157" s="85">
        <f si="175" t="shared"/>
        <v>1.1909260450831629E-2</v>
      </c>
      <c r="AG157" s="85">
        <f si="175" t="shared"/>
        <v>9.4368063819218251E-2</v>
      </c>
      <c r="AH157" s="85">
        <f si="175" t="shared"/>
        <v>0.48915377551482614</v>
      </c>
      <c r="AI157" s="85">
        <f si="175" t="shared"/>
        <v>0.14115899261694256</v>
      </c>
      <c r="AJ157" s="85">
        <f si="175" t="shared"/>
        <v>8.3979880756428732E-2</v>
      </c>
      <c r="AK157" s="85">
        <f si="175" t="shared"/>
        <v>8.3147562058269037E-2</v>
      </c>
      <c r="AL157" s="85">
        <f si="175" t="shared"/>
        <v>0.16789614300469402</v>
      </c>
      <c r="AM157" s="85">
        <f si="175" t="shared"/>
        <v>0.14407868399576518</v>
      </c>
      <c r="AN157" s="85">
        <f si="175" t="shared"/>
        <v>4.8588913094760891E-2</v>
      </c>
      <c r="AO157" s="85">
        <f si="175" t="shared"/>
        <v>8.3412411594324179E-2</v>
      </c>
      <c r="AP157" s="85">
        <f si="175" t="shared"/>
        <v>0.18345264937031691</v>
      </c>
      <c r="AQ157" s="85">
        <f si="175" t="shared"/>
        <v>7.8947998919836494E-3</v>
      </c>
      <c r="AR157" s="85">
        <f si="175" t="shared"/>
        <v>1.6861879684808744E-2</v>
      </c>
      <c r="AS157" s="85">
        <f si="175" t="shared"/>
        <v>0.19728257747971623</v>
      </c>
      <c r="AT157" s="85">
        <f si="175" t="shared"/>
        <v>0.14430600370260949</v>
      </c>
      <c r="AU157" s="85">
        <f si="175" t="shared"/>
        <v>0</v>
      </c>
      <c r="AV157" s="85">
        <f si="175" t="shared"/>
        <v>1.3889142700144337E-16</v>
      </c>
      <c r="CU157">
        <v>156</v>
      </c>
      <c r="CV157">
        <f si="153" t="shared"/>
        <v>8</v>
      </c>
      <c r="CW157">
        <f si="148" t="shared"/>
        <v>16</v>
      </c>
      <c r="CX157" s="44">
        <f si="149" t="shared"/>
        <v>25.619038155802862</v>
      </c>
      <c r="CY157" s="44">
        <f si="150" t="shared"/>
        <v>15.999999999999995</v>
      </c>
      <c r="CZ157" s="87">
        <f si="151" t="shared"/>
        <v>-9.6190381558028673</v>
      </c>
      <c r="DA157" s="63">
        <f si="152" t="shared"/>
        <v>-0.37546445332195655</v>
      </c>
    </row>
    <row r="158" spans="26:105" x14ac:dyDescent="0.45">
      <c r="CU158">
        <v>157</v>
      </c>
      <c r="CV158">
        <f si="153" t="shared"/>
        <v>8</v>
      </c>
      <c r="CW158">
        <f si="148" t="shared"/>
        <v>17</v>
      </c>
      <c r="CX158" s="44">
        <f si="149" t="shared"/>
        <v>86.881955484896665</v>
      </c>
      <c r="CY158" s="44">
        <f si="150" t="shared"/>
        <v>57.999999999999979</v>
      </c>
      <c r="CZ158" s="87">
        <f si="151" t="shared"/>
        <v>-28.881955484896686</v>
      </c>
      <c r="DA158" s="63">
        <f si="152" t="shared"/>
        <v>-0.33242754866305296</v>
      </c>
    </row>
    <row r="159" spans="26:105" x14ac:dyDescent="0.45">
      <c r="AA159" s="104" t="s">
        <v>368</v>
      </c>
      <c r="AB159" s="104" t="s">
        <v>369</v>
      </c>
      <c r="AC159" s="104" t="s">
        <v>370</v>
      </c>
      <c r="CU159">
        <v>158</v>
      </c>
      <c r="CV159">
        <f si="153" t="shared"/>
        <v>8</v>
      </c>
      <c r="CW159">
        <f si="148" t="shared"/>
        <v>18</v>
      </c>
      <c r="CX159" s="44">
        <f si="149" t="shared"/>
        <v>8.9109697933227352</v>
      </c>
      <c r="CY159" s="44">
        <f si="150" t="shared"/>
        <v>2.9999999999999987</v>
      </c>
      <c r="CZ159" s="87">
        <f si="151" t="shared"/>
        <v>-5.910969793322737</v>
      </c>
      <c r="DA159" s="63">
        <f si="152" t="shared"/>
        <v>-0.66333630686886735</v>
      </c>
    </row>
    <row r="160" spans="26:105" x14ac:dyDescent="0.45">
      <c r="Z160" t="s">
        <v>367</v>
      </c>
      <c r="AA160" s="7">
        <f>SUM(AA136:AL155)</f>
        <v>74.018925370378398</v>
      </c>
      <c r="AB160" s="7">
        <f>MIN($AA$136:$AL$155)</f>
        <v>7.672763542747648E-3</v>
      </c>
      <c r="AC160" s="7">
        <f>MAX($AA$136:$AL$154)</f>
        <v>1.3763512922514756</v>
      </c>
      <c r="CU160">
        <v>159</v>
      </c>
      <c r="CV160">
        <f si="153" t="shared"/>
        <v>8</v>
      </c>
      <c r="CW160">
        <f si="148" t="shared"/>
        <v>19</v>
      </c>
      <c r="CX160" s="44">
        <f si="149" t="shared"/>
        <v>34.530007949125597</v>
      </c>
      <c r="CY160" s="44">
        <f si="150" t="shared"/>
        <v>53.999999999999979</v>
      </c>
      <c r="CZ160" s="87">
        <f si="151" t="shared"/>
        <v>19.469992050874382</v>
      </c>
      <c r="DA160" s="63">
        <f si="152" t="shared"/>
        <v>0.56385715518977808</v>
      </c>
    </row>
    <row r="161" spans="26:105" x14ac:dyDescent="0.45">
      <c r="Z161" t="s">
        <v>371</v>
      </c>
      <c r="AA161" s="7">
        <f>SUM(AM136:AT155)</f>
        <v>77.127711694490472</v>
      </c>
      <c r="AB161" s="7">
        <f>MIN($AM$136:$AT$155)</f>
        <v>0</v>
      </c>
      <c r="AC161" s="7">
        <f>MAX($AM$136:$AT$155)</f>
        <v>3.0382675411149216</v>
      </c>
      <c r="CU161">
        <v>160</v>
      </c>
      <c r="CV161">
        <f si="153" t="shared"/>
        <v>8</v>
      </c>
      <c r="CW161">
        <f si="148" t="shared"/>
        <v>20</v>
      </c>
      <c r="CX161" s="44">
        <f si="149" t="shared"/>
        <v>23.391295707472178</v>
      </c>
      <c r="CY161" s="44">
        <f si="150" t="shared"/>
        <v>0.99999999999999967</v>
      </c>
      <c r="CZ161" s="87">
        <f si="151" t="shared"/>
        <v>-22.391295707472178</v>
      </c>
      <c r="DA161" s="63">
        <f si="152" t="shared"/>
        <v>-0.95724905484049105</v>
      </c>
    </row>
    <row r="162" spans="26:105" x14ac:dyDescent="0.45">
      <c r="CU162">
        <v>161</v>
      </c>
      <c r="CV162">
        <f si="153" t="shared"/>
        <v>9</v>
      </c>
      <c r="CW162">
        <f si="148" t="shared"/>
        <v>1</v>
      </c>
      <c r="CX162" s="44">
        <f si="149" t="shared"/>
        <v>4030.6183201843191</v>
      </c>
      <c r="CY162" s="44">
        <f si="150" t="shared"/>
        <v>5705.0000000000009</v>
      </c>
      <c r="CZ162" s="87">
        <f si="151" t="shared"/>
        <v>1674.3816798156818</v>
      </c>
      <c r="DA162" s="63">
        <f si="152" t="shared"/>
        <v>0.41541558808255324</v>
      </c>
    </row>
    <row r="163" spans="26:105" x14ac:dyDescent="0.45">
      <c r="CU163">
        <v>162</v>
      </c>
      <c r="CV163">
        <f si="153" t="shared"/>
        <v>9</v>
      </c>
      <c r="CW163">
        <f si="148" t="shared"/>
        <v>2</v>
      </c>
      <c r="CX163" s="44">
        <f si="149" t="shared"/>
        <v>5606.6375479997214</v>
      </c>
      <c r="CY163" s="44">
        <f si="150" t="shared"/>
        <v>5978.0000000000009</v>
      </c>
      <c r="CZ163" s="87">
        <f si="151" t="shared"/>
        <v>371.36245200027952</v>
      </c>
      <c r="DA163" s="63">
        <f si="152" t="shared"/>
        <v>6.6236215346713534E-2</v>
      </c>
    </row>
    <row r="164" spans="26:105" x14ac:dyDescent="0.45">
      <c r="CU164">
        <v>163</v>
      </c>
      <c r="CV164">
        <f si="153" t="shared"/>
        <v>9</v>
      </c>
      <c r="CW164">
        <f si="148" t="shared"/>
        <v>3</v>
      </c>
      <c r="CX164" s="44">
        <f si="149" t="shared"/>
        <v>2153.3440340710745</v>
      </c>
      <c r="CY164" s="44">
        <f si="150" t="shared"/>
        <v>2745.0000000000005</v>
      </c>
      <c r="CZ164" s="87">
        <f si="151" t="shared"/>
        <v>591.65596592892598</v>
      </c>
      <c r="DA164" s="63">
        <f si="152" t="shared"/>
        <v>0.27476146707981053</v>
      </c>
    </row>
    <row r="165" spans="26:105" x14ac:dyDescent="0.45">
      <c r="CU165">
        <v>164</v>
      </c>
      <c r="CV165">
        <f si="153" t="shared"/>
        <v>9</v>
      </c>
      <c r="CW165">
        <f si="148" t="shared"/>
        <v>4</v>
      </c>
      <c r="CX165" s="44">
        <f si="149" t="shared"/>
        <v>1307.6988061160371</v>
      </c>
      <c r="CY165" s="44">
        <f si="150" t="shared"/>
        <v>1201.0000000000002</v>
      </c>
      <c r="CZ165" s="87">
        <f si="151" t="shared"/>
        <v>-106.69880611603685</v>
      </c>
      <c r="DA165" s="63">
        <f si="152" t="shared"/>
        <v>-8.1592799211112121E-2</v>
      </c>
    </row>
    <row r="166" spans="26:105" x14ac:dyDescent="0.45">
      <c r="CU166">
        <v>165</v>
      </c>
      <c r="CV166">
        <f si="153" t="shared"/>
        <v>9</v>
      </c>
      <c r="CW166">
        <f si="148" t="shared"/>
        <v>5</v>
      </c>
      <c r="CX166" s="44">
        <f si="149" t="shared"/>
        <v>1508.2126230538295</v>
      </c>
      <c r="CY166" s="44">
        <f si="150" t="shared"/>
        <v>1404.0000000000002</v>
      </c>
      <c r="CZ166" s="87">
        <f si="151" t="shared"/>
        <v>-104.21262305382925</v>
      </c>
      <c r="DA166" s="63">
        <f si="152" t="shared"/>
        <v>-6.9096771543271859E-2</v>
      </c>
    </row>
    <row r="167" spans="26:105" x14ac:dyDescent="0.45">
      <c r="CU167">
        <v>166</v>
      </c>
      <c r="CV167">
        <f si="153" t="shared"/>
        <v>9</v>
      </c>
      <c r="CW167">
        <f si="148" t="shared"/>
        <v>6</v>
      </c>
      <c r="CX167" s="44">
        <f si="149" t="shared"/>
        <v>6687.6685610556451</v>
      </c>
      <c r="CY167" s="44">
        <f si="150" t="shared"/>
        <v>8741.0000000000018</v>
      </c>
      <c r="CZ167" s="87">
        <f si="151" t="shared"/>
        <v>2053.3314389443567</v>
      </c>
      <c r="DA167" s="63">
        <f si="152" t="shared"/>
        <v>0.30703247629548186</v>
      </c>
    </row>
    <row r="168" spans="26:105" x14ac:dyDescent="0.45">
      <c r="CU168">
        <v>167</v>
      </c>
      <c r="CV168">
        <f si="153" t="shared"/>
        <v>9</v>
      </c>
      <c r="CW168">
        <f si="148" t="shared"/>
        <v>7</v>
      </c>
      <c r="CX168" s="44">
        <f si="149" t="shared"/>
        <v>6814.5637785380159</v>
      </c>
      <c r="CY168" s="44">
        <f si="150" t="shared"/>
        <v>7687.0000000000018</v>
      </c>
      <c r="CZ168" s="87">
        <f si="151" t="shared"/>
        <v>872.43622146198595</v>
      </c>
      <c r="DA168" s="63">
        <f si="152" t="shared"/>
        <v>0.12802524854337144</v>
      </c>
    </row>
    <row r="169" spans="26:105" x14ac:dyDescent="0.45">
      <c r="CU169">
        <v>168</v>
      </c>
      <c r="CV169">
        <f si="153" t="shared"/>
        <v>9</v>
      </c>
      <c r="CW169">
        <f si="148" t="shared"/>
        <v>8</v>
      </c>
      <c r="CX169" s="44">
        <f si="149" t="shared"/>
        <v>164.67318299238985</v>
      </c>
      <c r="CY169" s="44">
        <f si="150" t="shared"/>
        <v>180.00000000000003</v>
      </c>
      <c r="CZ169" s="87">
        <f si="151" t="shared"/>
        <v>15.326817007610174</v>
      </c>
      <c r="DA169" s="63">
        <f si="152" t="shared"/>
        <v>9.307415287113556E-2</v>
      </c>
    </row>
    <row r="170" spans="26:105" x14ac:dyDescent="0.45">
      <c r="CU170">
        <v>169</v>
      </c>
      <c r="CV170">
        <f si="153" t="shared"/>
        <v>9</v>
      </c>
      <c r="CW170">
        <f si="148" t="shared"/>
        <v>9</v>
      </c>
      <c r="CX170" s="44">
        <f si="149" t="shared"/>
        <v>22256.065014312644</v>
      </c>
      <c r="CY170" s="44">
        <f si="150" t="shared"/>
        <v>18026.000000000004</v>
      </c>
      <c r="CZ170" s="87">
        <f si="151" t="shared"/>
        <v>-4230.0650143126404</v>
      </c>
      <c r="DA170" s="63">
        <f si="152" t="shared"/>
        <v>-0.19006347310687355</v>
      </c>
    </row>
    <row r="171" spans="26:105" x14ac:dyDescent="0.45">
      <c r="CU171">
        <v>170</v>
      </c>
      <c r="CV171">
        <f si="153" t="shared"/>
        <v>9</v>
      </c>
      <c r="CW171">
        <f si="148" t="shared"/>
        <v>10</v>
      </c>
      <c r="CX171" s="44">
        <f si="149" t="shared"/>
        <v>998.69442155972911</v>
      </c>
      <c r="CY171" s="44">
        <f si="150" t="shared"/>
        <v>844.00000000000023</v>
      </c>
      <c r="CZ171" s="87">
        <f si="151" t="shared"/>
        <v>-154.69442155972888</v>
      </c>
      <c r="DA171" s="63">
        <f si="152" t="shared"/>
        <v>-0.1548966512881208</v>
      </c>
    </row>
    <row r="172" spans="26:105" x14ac:dyDescent="0.45">
      <c r="CU172">
        <v>171</v>
      </c>
      <c r="CV172">
        <f si="153" t="shared"/>
        <v>9</v>
      </c>
      <c r="CW172">
        <f si="148" t="shared"/>
        <v>11</v>
      </c>
      <c r="CX172" s="44">
        <f si="149" t="shared"/>
        <v>3627.6533547441181</v>
      </c>
      <c r="CY172" s="44">
        <f si="150" t="shared"/>
        <v>3065.0000000000005</v>
      </c>
      <c r="CZ172" s="87">
        <f si="151" t="shared"/>
        <v>-562.65335474411768</v>
      </c>
      <c r="DA172" s="63">
        <f si="152" t="shared"/>
        <v>-0.15510119069350969</v>
      </c>
    </row>
    <row r="173" spans="26:105" x14ac:dyDescent="0.45">
      <c r="CU173">
        <v>172</v>
      </c>
      <c r="CV173">
        <f si="153" t="shared"/>
        <v>9</v>
      </c>
      <c r="CW173">
        <f si="148" t="shared"/>
        <v>12</v>
      </c>
      <c r="CX173" s="44">
        <f si="149" t="shared"/>
        <v>5467.149675347343</v>
      </c>
      <c r="CY173" s="44">
        <f si="150" t="shared"/>
        <v>6927.0000000000018</v>
      </c>
      <c r="CZ173" s="87">
        <f si="151" t="shared"/>
        <v>1459.8503246526589</v>
      </c>
      <c r="DA173" s="63">
        <f si="152" t="shared"/>
        <v>0.26702219828285761</v>
      </c>
    </row>
    <row r="174" spans="26:105" x14ac:dyDescent="0.45">
      <c r="CU174">
        <v>173</v>
      </c>
      <c r="CV174">
        <f si="153" t="shared"/>
        <v>9</v>
      </c>
      <c r="CW174">
        <f si="148" t="shared"/>
        <v>13</v>
      </c>
      <c r="CX174" s="44">
        <f si="149" t="shared"/>
        <v>2317.0485512811561</v>
      </c>
      <c r="CY174" s="44">
        <f si="150" t="shared"/>
        <v>1377.0000000000002</v>
      </c>
      <c r="CZ174" s="87">
        <f si="151" t="shared"/>
        <v>-940.04855128115582</v>
      </c>
      <c r="DA174" s="63">
        <f si="152" t="shared"/>
        <v>-0.4057094749962743</v>
      </c>
    </row>
    <row r="175" spans="26:105" x14ac:dyDescent="0.45">
      <c r="CU175">
        <v>174</v>
      </c>
      <c r="CV175">
        <f si="153" t="shared"/>
        <v>9</v>
      </c>
      <c r="CW175">
        <f si="148" t="shared"/>
        <v>14</v>
      </c>
      <c r="CX175" s="44">
        <f si="149" t="shared"/>
        <v>162.7358514277735</v>
      </c>
      <c r="CY175" s="44">
        <f si="150" t="shared"/>
        <v>135.00000000000003</v>
      </c>
      <c r="CZ175" s="87">
        <f si="151" t="shared"/>
        <v>-27.735851427773468</v>
      </c>
      <c r="DA175" s="63">
        <f si="152" t="shared"/>
        <v>-0.17043479469601311</v>
      </c>
    </row>
    <row r="176" spans="26:105" x14ac:dyDescent="0.45">
      <c r="CU176">
        <v>175</v>
      </c>
      <c r="CV176">
        <f si="153" t="shared"/>
        <v>9</v>
      </c>
      <c r="CW176">
        <f si="148" t="shared"/>
        <v>15</v>
      </c>
      <c r="CX176" s="44">
        <f si="149" t="shared"/>
        <v>5011.8767576625014</v>
      </c>
      <c r="CY176" s="44">
        <f si="150" t="shared"/>
        <v>4566.0000000000009</v>
      </c>
      <c r="CZ176" s="87">
        <f si="151" t="shared"/>
        <v>-445.87675766250049</v>
      </c>
      <c r="DA176" s="63">
        <f si="152" t="shared"/>
        <v>-8.8964030685873011E-2</v>
      </c>
    </row>
    <row r="177" spans="99:105" x14ac:dyDescent="0.45">
      <c r="CU177">
        <v>176</v>
      </c>
      <c r="CV177">
        <f si="153" t="shared"/>
        <v>9</v>
      </c>
      <c r="CW177">
        <f si="148" t="shared"/>
        <v>16</v>
      </c>
      <c r="CX177" s="44">
        <f si="149" t="shared"/>
        <v>76.524596802345883</v>
      </c>
      <c r="CY177" s="44">
        <f si="150" t="shared"/>
        <v>59.000000000000014</v>
      </c>
      <c r="CZ177" s="87">
        <f si="151" t="shared"/>
        <v>-17.524596802345869</v>
      </c>
      <c r="DA177" s="63">
        <f si="152" t="shared"/>
        <v>-0.22900606516895294</v>
      </c>
    </row>
    <row r="178" spans="99:105" x14ac:dyDescent="0.45">
      <c r="CU178">
        <v>177</v>
      </c>
      <c r="CV178">
        <f si="153" t="shared"/>
        <v>9</v>
      </c>
      <c r="CW178">
        <f si="148" t="shared"/>
        <v>17</v>
      </c>
      <c r="CX178" s="44">
        <f si="149" t="shared"/>
        <v>106.55323605389933</v>
      </c>
      <c r="CY178" s="44">
        <f si="150" t="shared"/>
        <v>156.00000000000003</v>
      </c>
      <c r="CZ178" s="87">
        <f si="151" t="shared"/>
        <v>49.446763946100702</v>
      </c>
      <c r="DA178" s="63">
        <f si="152" t="shared"/>
        <v>0.46405689566376329</v>
      </c>
    </row>
    <row r="179" spans="99:105" x14ac:dyDescent="0.45">
      <c r="CU179">
        <v>178</v>
      </c>
      <c r="CV179">
        <f si="153" t="shared"/>
        <v>9</v>
      </c>
      <c r="CW179">
        <f si="148" t="shared"/>
        <v>18</v>
      </c>
      <c r="CX179" s="44">
        <f si="149" t="shared"/>
        <v>206.32581163164141</v>
      </c>
      <c r="CY179" s="44">
        <f si="150" t="shared"/>
        <v>93.000000000000014</v>
      </c>
      <c r="CZ179" s="87">
        <f si="151" t="shared"/>
        <v>-113.3258116316414</v>
      </c>
      <c r="DA179" s="63">
        <f si="152" t="shared"/>
        <v>-0.54925658954374923</v>
      </c>
    </row>
    <row r="180" spans="99:105" x14ac:dyDescent="0.45">
      <c r="CU180">
        <v>179</v>
      </c>
      <c r="CV180">
        <f si="153" t="shared"/>
        <v>9</v>
      </c>
      <c r="CW180">
        <f si="148" t="shared"/>
        <v>19</v>
      </c>
      <c r="CX180" s="44">
        <f si="149" t="shared"/>
        <v>836.92723591426375</v>
      </c>
      <c r="CY180" s="44">
        <f si="150" t="shared"/>
        <v>473.00000000000011</v>
      </c>
      <c r="CZ180" s="87">
        <f si="151" t="shared"/>
        <v>-363.92723591426363</v>
      </c>
      <c r="DA180" s="63">
        <f si="152" t="shared"/>
        <v>-0.43483736733302458</v>
      </c>
    </row>
    <row r="181" spans="99:105" x14ac:dyDescent="0.45">
      <c r="CU181">
        <v>180</v>
      </c>
      <c r="CV181">
        <f si="153" t="shared"/>
        <v>9</v>
      </c>
      <c r="CW181">
        <f si="148" t="shared"/>
        <v>20</v>
      </c>
      <c r="CX181" s="44">
        <f si="149" t="shared"/>
        <v>30.028639251553443</v>
      </c>
      <c r="CY181" s="44">
        <f si="150" t="shared"/>
        <v>9.0000000000000018</v>
      </c>
      <c r="CZ181" s="87">
        <f si="151" t="shared"/>
        <v>-21.028639251553443</v>
      </c>
      <c r="DA181" s="63">
        <f si="152" t="shared"/>
        <v>-0.7002861193740435</v>
      </c>
    </row>
    <row r="182" spans="99:105" x14ac:dyDescent="0.45">
      <c r="CU182">
        <v>181</v>
      </c>
      <c r="CV182">
        <f si="153" t="shared"/>
        <v>10</v>
      </c>
      <c r="CW182">
        <f si="148" t="shared"/>
        <v>1</v>
      </c>
      <c r="CX182" s="44">
        <f si="149" t="shared"/>
        <v>2387.1712648357498</v>
      </c>
      <c r="CY182" s="44">
        <f si="150" t="shared"/>
        <v>3145.0000000000005</v>
      </c>
      <c r="CZ182" s="87">
        <f si="151" t="shared"/>
        <v>757.8287351642507</v>
      </c>
      <c r="DA182" s="63">
        <f si="152" t="shared"/>
        <v>0.3174588879848943</v>
      </c>
    </row>
    <row r="183" spans="99:105" x14ac:dyDescent="0.45">
      <c r="CU183">
        <v>182</v>
      </c>
      <c r="CV183">
        <f si="153" t="shared"/>
        <v>10</v>
      </c>
      <c r="CW183">
        <f si="148" t="shared"/>
        <v>2</v>
      </c>
      <c r="CX183" s="44">
        <f si="149" t="shared"/>
        <v>974.05442645539097</v>
      </c>
      <c r="CY183" s="44">
        <f si="150" t="shared"/>
        <v>1374.0000000000002</v>
      </c>
      <c r="CZ183" s="87">
        <f si="151" t="shared"/>
        <v>399.94557354460926</v>
      </c>
      <c r="DA183" s="63">
        <f si="152" t="shared"/>
        <v>0.41059879477168587</v>
      </c>
    </row>
    <row r="184" spans="99:105" x14ac:dyDescent="0.45">
      <c r="CU184">
        <v>183</v>
      </c>
      <c r="CV184">
        <f si="153" t="shared"/>
        <v>10</v>
      </c>
      <c r="CW184">
        <f si="148" t="shared"/>
        <v>3</v>
      </c>
      <c r="CX184" s="44">
        <f si="149" t="shared"/>
        <v>690.87761876428772</v>
      </c>
      <c r="CY184" s="44">
        <f si="150" t="shared"/>
        <v>713.00000000000011</v>
      </c>
      <c r="CZ184" s="87">
        <f si="151" t="shared"/>
        <v>22.122381235712396</v>
      </c>
      <c r="DA184" s="63">
        <f si="152" t="shared"/>
        <v>3.20206945989664E-2</v>
      </c>
    </row>
    <row r="185" spans="99:105" x14ac:dyDescent="0.45">
      <c r="CU185">
        <v>184</v>
      </c>
      <c r="CV185">
        <f si="153" t="shared"/>
        <v>10</v>
      </c>
      <c r="CW185">
        <f si="148" t="shared"/>
        <v>4</v>
      </c>
      <c r="CX185" s="44">
        <f si="149" t="shared"/>
        <v>986.04562678107288</v>
      </c>
      <c r="CY185" s="44">
        <f si="150" t="shared"/>
        <v>1007.0000000000001</v>
      </c>
      <c r="CZ185" s="87">
        <f si="151" t="shared"/>
        <v>20.95437321892723</v>
      </c>
      <c r="DA185" s="63">
        <f si="152" t="shared"/>
        <v>2.12509164381494E-2</v>
      </c>
    </row>
    <row r="186" spans="99:105" x14ac:dyDescent="0.45">
      <c r="CU186">
        <v>185</v>
      </c>
      <c r="CV186">
        <f si="153" t="shared"/>
        <v>10</v>
      </c>
      <c r="CW186">
        <f si="148" t="shared"/>
        <v>5</v>
      </c>
      <c r="CX186" s="44">
        <f si="149" t="shared"/>
        <v>1729.5000469733504</v>
      </c>
      <c r="CY186" s="44">
        <f si="150" t="shared"/>
        <v>1700.0000000000002</v>
      </c>
      <c r="CZ186" s="87">
        <f si="151" t="shared"/>
        <v>-29.500046973350209</v>
      </c>
      <c r="DA186" s="63">
        <f si="152" t="shared"/>
        <v>-1.7056979573360352E-2</v>
      </c>
    </row>
    <row r="187" spans="99:105" x14ac:dyDescent="0.45">
      <c r="CU187">
        <v>186</v>
      </c>
      <c r="CV187">
        <f si="153" t="shared"/>
        <v>10</v>
      </c>
      <c r="CW187">
        <f si="148" t="shared"/>
        <v>6</v>
      </c>
      <c r="CX187" s="44">
        <f si="149" t="shared"/>
        <v>7680.8250086117814</v>
      </c>
      <c r="CY187" s="44">
        <f si="150" t="shared"/>
        <v>7210.0000000000009</v>
      </c>
      <c r="CZ187" s="87">
        <f si="151" t="shared"/>
        <v>-470.8250086117805</v>
      </c>
      <c r="DA187" s="63">
        <f si="152" t="shared"/>
        <v>-6.1298754767084136E-2</v>
      </c>
    </row>
    <row r="188" spans="99:105" x14ac:dyDescent="0.45">
      <c r="CU188">
        <v>187</v>
      </c>
      <c r="CV188">
        <f si="153" t="shared"/>
        <v>10</v>
      </c>
      <c r="CW188">
        <f si="148" t="shared"/>
        <v>7</v>
      </c>
      <c r="CX188" s="44">
        <f si="149" t="shared"/>
        <v>791.41922149500522</v>
      </c>
      <c r="CY188" s="44">
        <f si="150" t="shared"/>
        <v>954.00000000000011</v>
      </c>
      <c r="CZ188" s="87">
        <f si="151" t="shared"/>
        <v>162.5807785049949</v>
      </c>
      <c r="DA188" s="63">
        <f si="152" t="shared"/>
        <v>0.20542940339239785</v>
      </c>
    </row>
    <row r="189" spans="99:105" x14ac:dyDescent="0.45">
      <c r="CU189">
        <v>188</v>
      </c>
      <c r="CV189">
        <f si="153" t="shared"/>
        <v>10</v>
      </c>
      <c r="CW189">
        <f si="148" t="shared"/>
        <v>8</v>
      </c>
      <c r="CX189" s="44">
        <f si="149" t="shared"/>
        <v>77.481602104406107</v>
      </c>
      <c r="CY189" s="44">
        <f si="150" t="shared"/>
        <v>71.000000000000014</v>
      </c>
      <c r="CZ189" s="87">
        <f si="151" t="shared"/>
        <v>-6.4816021044060932</v>
      </c>
      <c r="DA189" s="63">
        <f si="152" t="shared"/>
        <v>-8.3653434213610656E-2</v>
      </c>
    </row>
    <row r="190" spans="99:105" x14ac:dyDescent="0.45">
      <c r="CU190">
        <v>189</v>
      </c>
      <c r="CV190">
        <f si="153" t="shared"/>
        <v>10</v>
      </c>
      <c r="CW190">
        <f si="148" t="shared"/>
        <v>9</v>
      </c>
      <c r="CX190" s="44">
        <f si="149" t="shared"/>
        <v>794.18642157016257</v>
      </c>
      <c r="CY190" s="44">
        <f si="150" t="shared"/>
        <v>733.00000000000011</v>
      </c>
      <c r="CZ190" s="87">
        <f si="151" t="shared"/>
        <v>-61.186421570162452</v>
      </c>
      <c r="DA190" s="63">
        <f si="152" t="shared"/>
        <v>-7.7042895607800227E-2</v>
      </c>
    </row>
    <row r="191" spans="99:105" x14ac:dyDescent="0.45">
      <c r="CU191">
        <v>190</v>
      </c>
      <c r="CV191">
        <f si="153" t="shared"/>
        <v>10</v>
      </c>
      <c r="CW191">
        <f si="148" t="shared"/>
        <v>10</v>
      </c>
      <c r="CX191" s="44">
        <f si="149" t="shared"/>
        <v>6019.5825634923121</v>
      </c>
      <c r="CY191" s="44">
        <f si="150" t="shared"/>
        <v>3386.0000000000005</v>
      </c>
      <c r="CZ191" s="87">
        <f si="151" t="shared"/>
        <v>-2633.5825634923117</v>
      </c>
      <c r="DA191" s="63">
        <f si="152" t="shared"/>
        <v>-0.43750252375713183</v>
      </c>
    </row>
    <row r="192" spans="99:105" x14ac:dyDescent="0.45">
      <c r="CU192">
        <v>191</v>
      </c>
      <c r="CV192">
        <f si="153" t="shared"/>
        <v>10</v>
      </c>
      <c r="CW192">
        <f si="148" t="shared"/>
        <v>11</v>
      </c>
      <c r="CX192" s="44">
        <f si="149" t="shared"/>
        <v>858.75442332383432</v>
      </c>
      <c r="CY192" s="44">
        <f si="150" t="shared"/>
        <v>424.00000000000006</v>
      </c>
      <c r="CZ192" s="87">
        <f si="151" t="shared"/>
        <v>-434.75442332383426</v>
      </c>
      <c r="DA192" s="63">
        <f si="152" t="shared"/>
        <v>-0.50626164071575253</v>
      </c>
    </row>
    <row r="193" spans="99:105" x14ac:dyDescent="0.45">
      <c r="CU193">
        <v>192</v>
      </c>
      <c r="CV193">
        <f si="153" t="shared"/>
        <v>10</v>
      </c>
      <c r="CW193">
        <f si="148" t="shared"/>
        <v>12</v>
      </c>
      <c r="CX193" s="44">
        <f si="149" t="shared"/>
        <v>5034.4593367362913</v>
      </c>
      <c r="CY193" s="44">
        <f si="150" t="shared"/>
        <v>7762.0000000000009</v>
      </c>
      <c r="CZ193" s="87">
        <f si="151" t="shared"/>
        <v>2727.5406632637096</v>
      </c>
      <c r="DA193" s="63">
        <f si="152" t="shared"/>
        <v>0.54177429607205907</v>
      </c>
    </row>
    <row r="194" spans="99:105" x14ac:dyDescent="0.45">
      <c r="CU194">
        <v>193</v>
      </c>
      <c r="CV194">
        <f si="153" t="shared"/>
        <v>10</v>
      </c>
      <c r="CW194">
        <f si="148" t="shared"/>
        <v>13</v>
      </c>
      <c r="CX194" s="44">
        <f si="149" t="shared"/>
        <v>208.46240566185452</v>
      </c>
      <c r="CY194" s="44">
        <f si="150" t="shared"/>
        <v>79.000000000000014</v>
      </c>
      <c r="CZ194" s="87">
        <f si="151" t="shared"/>
        <v>-129.46240566185452</v>
      </c>
      <c r="DA194" s="63">
        <f si="152" t="shared"/>
        <v>-0.62103478682796465</v>
      </c>
    </row>
    <row r="195" spans="99:105" x14ac:dyDescent="0.45">
      <c r="CU195">
        <v>194</v>
      </c>
      <c r="CV195">
        <f si="153" t="shared"/>
        <v>10</v>
      </c>
      <c r="CW195">
        <f ref="CW195:CW258" si="176" t="shared">MOD(ROW()-2,$CS$2)+1</f>
        <v>14</v>
      </c>
      <c r="CX195" s="44">
        <f ref="CX195:CX258" si="177" t="shared">VLOOKUP($CV195,$B$30:$V$49,MATCH($CW195,$B$29:$V$29,0),0)</f>
        <v>47.964801302727587</v>
      </c>
      <c r="CY195" s="44">
        <f ref="CY195:CY258" si="178" t="shared">VLOOKUP($CV195,$AY$30:$BS$49,MATCH($CW195,$AY$29:$BS$29,0),0)</f>
        <v>40.000000000000007</v>
      </c>
      <c r="CZ195" s="87">
        <f ref="CZ195:CZ258" si="179" t="shared">CY195-CX195</f>
        <v>-7.9648013027275795</v>
      </c>
      <c r="DA195" s="63">
        <f ref="DA195:DA258" si="180" t="shared">CZ195/CX195</f>
        <v>-0.1660551297285297</v>
      </c>
    </row>
    <row r="196" spans="99:105" x14ac:dyDescent="0.45">
      <c r="CU196">
        <v>195</v>
      </c>
      <c r="CV196">
        <f ref="CV196:CV259" si="181" t="shared">IF(CW195&lt;$CS$2,CV195,CV195+1)</f>
        <v>10</v>
      </c>
      <c r="CW196">
        <f si="176" t="shared"/>
        <v>15</v>
      </c>
      <c r="CX196" s="44">
        <f si="177" t="shared"/>
        <v>89.472802430087995</v>
      </c>
      <c r="CY196" s="44">
        <f si="178" t="shared"/>
        <v>35.000000000000007</v>
      </c>
      <c r="CZ196" s="87">
        <f si="179" t="shared"/>
        <v>-54.472802430087988</v>
      </c>
      <c r="DA196" s="63">
        <f si="180" t="shared"/>
        <v>-0.6088196742541041</v>
      </c>
    </row>
    <row r="197" spans="99:105" x14ac:dyDescent="0.45">
      <c r="CU197">
        <v>196</v>
      </c>
      <c r="CV197">
        <f si="181" t="shared"/>
        <v>10</v>
      </c>
      <c r="CW197">
        <f si="176" t="shared"/>
        <v>16</v>
      </c>
      <c r="CX197" s="44">
        <f si="177" t="shared"/>
        <v>832.92722262236555</v>
      </c>
      <c r="CY197" s="44">
        <f si="178" t="shared"/>
        <v>659.00000000000011</v>
      </c>
      <c r="CZ197" s="87">
        <f si="179" t="shared"/>
        <v>-173.92722262236543</v>
      </c>
      <c r="DA197" s="63">
        <f si="180" t="shared"/>
        <v>-0.20881442927844004</v>
      </c>
    </row>
    <row r="198" spans="99:105" x14ac:dyDescent="0.45">
      <c r="CU198">
        <v>197</v>
      </c>
      <c r="CV198">
        <f si="181" t="shared"/>
        <v>10</v>
      </c>
      <c r="CW198">
        <f si="176" t="shared"/>
        <v>17</v>
      </c>
      <c r="CX198" s="44">
        <f si="177" t="shared"/>
        <v>77.481602104406107</v>
      </c>
      <c r="CY198" s="44">
        <f si="178" t="shared"/>
        <v>18.000000000000004</v>
      </c>
      <c r="CZ198" s="87">
        <f si="179" t="shared"/>
        <v>-59.481602104406107</v>
      </c>
      <c r="DA198" s="63">
        <f si="180" t="shared"/>
        <v>-0.76768678613866193</v>
      </c>
    </row>
    <row r="199" spans="99:105" x14ac:dyDescent="0.45">
      <c r="CU199">
        <v>198</v>
      </c>
      <c r="CV199">
        <f si="181" t="shared"/>
        <v>10</v>
      </c>
      <c r="CW199">
        <f si="176" t="shared"/>
        <v>18</v>
      </c>
      <c r="CX199" s="44">
        <f si="177" t="shared"/>
        <v>57.188801553252127</v>
      </c>
      <c r="CY199" s="44">
        <f si="178" t="shared"/>
        <v>108.00000000000001</v>
      </c>
      <c r="CZ199" s="87">
        <f si="179" t="shared"/>
        <v>50.811198446747888</v>
      </c>
      <c r="DA199" s="63">
        <f si="180" t="shared"/>
        <v>0.88848160945345833</v>
      </c>
    </row>
    <row r="200" spans="99:105" x14ac:dyDescent="0.45">
      <c r="CU200">
        <v>199</v>
      </c>
      <c r="CV200">
        <f si="181" t="shared"/>
        <v>10</v>
      </c>
      <c r="CW200">
        <f si="176" t="shared"/>
        <v>19</v>
      </c>
      <c r="CX200" s="44">
        <f si="177" t="shared"/>
        <v>72.869601979143837</v>
      </c>
      <c r="CY200" s="44">
        <f si="178" t="shared"/>
        <v>24.000000000000004</v>
      </c>
      <c r="CZ200" s="87">
        <f si="179" t="shared"/>
        <v>-48.869601979143837</v>
      </c>
      <c r="DA200" s="63">
        <f si="180" t="shared"/>
        <v>-0.67064455756367258</v>
      </c>
    </row>
    <row r="201" spans="99:105" x14ac:dyDescent="0.45">
      <c r="CU201">
        <v>200</v>
      </c>
      <c r="CV201">
        <f si="181" t="shared"/>
        <v>10</v>
      </c>
      <c r="CW201">
        <f si="176" t="shared"/>
        <v>20</v>
      </c>
      <c r="CX201" s="44">
        <f si="177" t="shared"/>
        <v>44.275201202517771</v>
      </c>
      <c r="CY201" s="44">
        <f si="178" t="shared"/>
        <v>13.000000000000002</v>
      </c>
      <c r="CZ201" s="87">
        <f si="179" t="shared"/>
        <v>-31.275201202517771</v>
      </c>
      <c r="DA201" s="63">
        <f si="180" t="shared"/>
        <v>-0.70638191025858654</v>
      </c>
    </row>
    <row r="202" spans="99:105" x14ac:dyDescent="0.45">
      <c r="CU202">
        <v>201</v>
      </c>
      <c r="CV202">
        <f si="181" t="shared"/>
        <v>11</v>
      </c>
      <c r="CW202">
        <f si="176" t="shared"/>
        <v>1</v>
      </c>
      <c r="CX202" s="44">
        <f si="177" t="shared"/>
        <v>3389.108662796446</v>
      </c>
      <c r="CY202" s="44">
        <f si="178" t="shared"/>
        <v>5632.0000000000009</v>
      </c>
      <c r="CZ202" s="87">
        <f si="179" t="shared"/>
        <v>2242.8913372035549</v>
      </c>
      <c r="DA202" s="63">
        <f si="180" t="shared"/>
        <v>0.6617938698232485</v>
      </c>
    </row>
    <row r="203" spans="99:105" x14ac:dyDescent="0.45">
      <c r="CU203">
        <v>202</v>
      </c>
      <c r="CV203">
        <f si="181" t="shared"/>
        <v>11</v>
      </c>
      <c r="CW203">
        <f si="176" t="shared"/>
        <v>2</v>
      </c>
      <c r="CX203" s="44">
        <f si="177" t="shared"/>
        <v>2422.2208003163978</v>
      </c>
      <c r="CY203" s="44">
        <f si="178" t="shared"/>
        <v>2990.0000000000005</v>
      </c>
      <c r="CZ203" s="87">
        <f si="179" t="shared"/>
        <v>567.77919968360266</v>
      </c>
      <c r="DA203" s="63">
        <f si="180" t="shared"/>
        <v>0.23440439435143057</v>
      </c>
    </row>
    <row r="204" spans="99:105" x14ac:dyDescent="0.45">
      <c r="CU204">
        <v>203</v>
      </c>
      <c r="CV204">
        <f si="181" t="shared"/>
        <v>11</v>
      </c>
      <c r="CW204">
        <f si="176" t="shared"/>
        <v>3</v>
      </c>
      <c r="CX204" s="44">
        <f si="177" t="shared"/>
        <v>3659.1704450753564</v>
      </c>
      <c r="CY204" s="44">
        <f si="178" t="shared"/>
        <v>3790.0000000000009</v>
      </c>
      <c r="CZ204" s="87">
        <f si="179" t="shared"/>
        <v>130.82955492464453</v>
      </c>
      <c r="DA204" s="63">
        <f si="180" t="shared"/>
        <v>3.5753883807385811E-2</v>
      </c>
    </row>
    <row r="205" spans="99:105" x14ac:dyDescent="0.45">
      <c r="CU205">
        <v>204</v>
      </c>
      <c r="CV205">
        <f si="181" t="shared"/>
        <v>11</v>
      </c>
      <c r="CW205">
        <f si="176" t="shared"/>
        <v>4</v>
      </c>
      <c r="CX205" s="44">
        <f si="177" t="shared"/>
        <v>1883.7642837973358</v>
      </c>
      <c r="CY205" s="44">
        <f si="178" t="shared"/>
        <v>1931.0000000000005</v>
      </c>
      <c r="CZ205" s="87">
        <f si="179" t="shared"/>
        <v>47.235716202664662</v>
      </c>
      <c r="DA205" s="63">
        <f si="180" t="shared"/>
        <v>2.5075173475232162E-2</v>
      </c>
    </row>
    <row r="206" spans="99:105" x14ac:dyDescent="0.45">
      <c r="CU206">
        <v>205</v>
      </c>
      <c r="CV206">
        <f si="181" t="shared"/>
        <v>11</v>
      </c>
      <c r="CW206">
        <f si="176" t="shared"/>
        <v>5</v>
      </c>
      <c r="CX206" s="44">
        <f si="177" t="shared"/>
        <v>1782.074353433055</v>
      </c>
      <c r="CY206" s="44">
        <f si="178" t="shared"/>
        <v>1453.0000000000002</v>
      </c>
      <c r="CZ206" s="87">
        <f si="179" t="shared"/>
        <v>-329.07435343305474</v>
      </c>
      <c r="DA206" s="63">
        <f si="180" t="shared"/>
        <v>-0.1846580378641966</v>
      </c>
    </row>
    <row r="207" spans="99:105" x14ac:dyDescent="0.45">
      <c r="CU207">
        <v>206</v>
      </c>
      <c r="CV207">
        <f si="181" t="shared"/>
        <v>11</v>
      </c>
      <c r="CW207">
        <f si="176" t="shared"/>
        <v>6</v>
      </c>
      <c r="CX207" s="44">
        <f si="177" t="shared"/>
        <v>5796.3260307640157</v>
      </c>
      <c r="CY207" s="44">
        <f si="178" t="shared"/>
        <v>7286.0000000000018</v>
      </c>
      <c r="CZ207" s="87">
        <f si="179" t="shared"/>
        <v>1489.6739692359861</v>
      </c>
      <c r="DA207" s="63">
        <f si="180" t="shared"/>
        <v>0.25700313635387961</v>
      </c>
    </row>
    <row r="208" spans="99:105" x14ac:dyDescent="0.45">
      <c r="CU208">
        <v>207</v>
      </c>
      <c r="CV208">
        <f si="181" t="shared"/>
        <v>11</v>
      </c>
      <c r="CW208">
        <f si="176" t="shared"/>
        <v>7</v>
      </c>
      <c r="CX208" s="44">
        <f si="177" t="shared"/>
        <v>1759.5692049098125</v>
      </c>
      <c r="CY208" s="44">
        <f si="178" t="shared"/>
        <v>1548.0000000000005</v>
      </c>
      <c r="CZ208" s="87">
        <f si="179" t="shared"/>
        <v>-211.56920490981202</v>
      </c>
      <c r="DA208" s="63">
        <f si="180" t="shared"/>
        <v>-0.12023920646000172</v>
      </c>
    </row>
    <row r="209" spans="99:105" x14ac:dyDescent="0.45">
      <c r="CU209">
        <v>208</v>
      </c>
      <c r="CV209">
        <f si="181" t="shared"/>
        <v>11</v>
      </c>
      <c r="CW209">
        <f si="176" t="shared"/>
        <v>8</v>
      </c>
      <c r="CX209" s="44">
        <f si="177" t="shared"/>
        <v>1078.5800810768817</v>
      </c>
      <c r="CY209" s="44">
        <f si="178" t="shared"/>
        <v>529.00000000000011</v>
      </c>
      <c r="CZ209" s="87">
        <f si="179" t="shared"/>
        <v>-549.58008107688158</v>
      </c>
      <c r="DA209" s="63">
        <f si="180" t="shared"/>
        <v>-0.50954035840173029</v>
      </c>
    </row>
    <row r="210" spans="99:105" x14ac:dyDescent="0.45">
      <c r="CU210">
        <v>209</v>
      </c>
      <c r="CV210">
        <f si="181" t="shared"/>
        <v>11</v>
      </c>
      <c r="CW210">
        <f si="176" t="shared"/>
        <v>9</v>
      </c>
      <c r="CX210" s="44">
        <f si="177" t="shared"/>
        <v>3707.5148381993586</v>
      </c>
      <c r="CY210" s="44">
        <f si="178" t="shared"/>
        <v>5646.0000000000009</v>
      </c>
      <c r="CZ210" s="87">
        <f si="179" t="shared"/>
        <v>1938.4851618006423</v>
      </c>
      <c r="DA210" s="63">
        <f si="180" t="shared"/>
        <v>0.52285297467403069</v>
      </c>
    </row>
    <row r="211" spans="99:105" x14ac:dyDescent="0.45">
      <c r="CU211">
        <v>210</v>
      </c>
      <c r="CV211">
        <f si="181" t="shared"/>
        <v>11</v>
      </c>
      <c r="CW211">
        <f si="176" t="shared"/>
        <v>10</v>
      </c>
      <c r="CX211" s="44">
        <f si="177" t="shared"/>
        <v>731.8340890150713</v>
      </c>
      <c r="CY211" s="44">
        <f si="178" t="shared"/>
        <v>952.00000000000023</v>
      </c>
      <c r="CZ211" s="87">
        <f si="179" t="shared"/>
        <v>220.16591098492893</v>
      </c>
      <c r="DA211" s="63">
        <f si="180" t="shared"/>
        <v>0.30084128942563493</v>
      </c>
    </row>
    <row r="212" spans="99:105" x14ac:dyDescent="0.45">
      <c r="CU212">
        <v>211</v>
      </c>
      <c r="CV212">
        <f si="181" t="shared"/>
        <v>11</v>
      </c>
      <c r="CW212">
        <f si="176" t="shared"/>
        <v>11</v>
      </c>
      <c r="CX212" s="44">
        <f si="177" t="shared"/>
        <v>22536.822435978924</v>
      </c>
      <c r="CY212" s="44">
        <f si="178" t="shared"/>
        <v>17367.000000000004</v>
      </c>
      <c r="CZ212" s="87">
        <f si="179" t="shared"/>
        <v>-5169.8224359789201</v>
      </c>
      <c r="DA212" s="63">
        <f si="180" t="shared"/>
        <v>-0.22939446990209028</v>
      </c>
    </row>
    <row r="213" spans="99:105" x14ac:dyDescent="0.45">
      <c r="CU213">
        <v>212</v>
      </c>
      <c r="CV213">
        <f si="181" t="shared"/>
        <v>11</v>
      </c>
      <c r="CW213">
        <f si="176" t="shared"/>
        <v>12</v>
      </c>
      <c r="CX213" s="44">
        <f si="177" t="shared"/>
        <v>2543.9153071457831</v>
      </c>
      <c r="CY213" s="44">
        <f si="178" t="shared"/>
        <v>3419.0000000000009</v>
      </c>
      <c r="CZ213" s="87">
        <f si="179" t="shared"/>
        <v>875.08469285421779</v>
      </c>
      <c r="DA213" s="63">
        <f si="180" t="shared"/>
        <v>0.34399128398501738</v>
      </c>
    </row>
    <row r="214" spans="99:105" x14ac:dyDescent="0.45">
      <c r="CU214">
        <v>213</v>
      </c>
      <c r="CV214">
        <f si="181" t="shared"/>
        <v>11</v>
      </c>
      <c r="CW214">
        <f si="176" t="shared"/>
        <v>13</v>
      </c>
      <c r="CX214" s="44">
        <f si="177" t="shared"/>
        <v>575.96509739113242</v>
      </c>
      <c r="CY214" s="44">
        <f si="178" t="shared"/>
        <v>146.00000000000003</v>
      </c>
      <c r="CZ214" s="87">
        <f si="179" t="shared"/>
        <v>-429.96509739113242</v>
      </c>
      <c r="DA214" s="63">
        <f si="180" t="shared"/>
        <v>-0.74651241774663857</v>
      </c>
    </row>
    <row r="215" spans="99:105" x14ac:dyDescent="0.45">
      <c r="CU215">
        <v>214</v>
      </c>
      <c r="CV215">
        <f si="181" t="shared"/>
        <v>11</v>
      </c>
      <c r="CW215">
        <f si="176" t="shared"/>
        <v>14</v>
      </c>
      <c r="CX215" s="44">
        <f si="177" t="shared"/>
        <v>480.94335918188625</v>
      </c>
      <c r="CY215" s="44">
        <f si="178" t="shared"/>
        <v>762.00000000000011</v>
      </c>
      <c r="CZ215" s="87">
        <f si="179" t="shared"/>
        <v>281.05664081811386</v>
      </c>
      <c r="DA215" s="63">
        <f si="180" t="shared"/>
        <v>0.58438615577561615</v>
      </c>
    </row>
    <row r="216" spans="99:105" x14ac:dyDescent="0.45">
      <c r="CU216">
        <v>215</v>
      </c>
      <c r="CV216">
        <f si="181" t="shared"/>
        <v>11</v>
      </c>
      <c r="CW216">
        <f si="176" t="shared"/>
        <v>15</v>
      </c>
      <c r="CX216" s="44">
        <f si="177" t="shared"/>
        <v>688.4908400073449</v>
      </c>
      <c r="CY216" s="44">
        <f si="178" t="shared"/>
        <v>755.00000000000011</v>
      </c>
      <c r="CZ216" s="87">
        <f si="179" t="shared"/>
        <v>66.509159992655214</v>
      </c>
      <c r="DA216" s="63">
        <f si="180" t="shared"/>
        <v>9.6601372346429015E-2</v>
      </c>
    </row>
    <row r="217" spans="99:105" x14ac:dyDescent="0.45">
      <c r="CU217">
        <v>216</v>
      </c>
      <c r="CV217">
        <f si="181" t="shared"/>
        <v>11</v>
      </c>
      <c r="CW217">
        <f si="176" t="shared"/>
        <v>16</v>
      </c>
      <c r="CX217" s="44">
        <f si="177" t="shared"/>
        <v>69.18249360848624</v>
      </c>
      <c r="CY217" s="44">
        <f si="178" t="shared"/>
        <v>64.000000000000014</v>
      </c>
      <c r="CZ217" s="87">
        <f si="179" t="shared"/>
        <v>-5.1824936084862259</v>
      </c>
      <c r="DA217" s="63">
        <f si="180" t="shared"/>
        <v>-7.4910477176707568E-2</v>
      </c>
    </row>
    <row r="218" spans="99:105" x14ac:dyDescent="0.45">
      <c r="CU218">
        <v>217</v>
      </c>
      <c r="CV218">
        <f si="181" t="shared"/>
        <v>11</v>
      </c>
      <c r="CW218">
        <f si="176" t="shared"/>
        <v>17</v>
      </c>
      <c r="CX218" s="44">
        <f si="177" t="shared"/>
        <v>1296.9633741542721</v>
      </c>
      <c r="CY218" s="44">
        <f si="178" t="shared"/>
        <v>1135.0000000000002</v>
      </c>
      <c r="CZ218" s="87">
        <f si="179" t="shared"/>
        <v>-161.96337415427183</v>
      </c>
      <c r="DA218" s="63">
        <f si="180" t="shared"/>
        <v>-0.12487891129530579</v>
      </c>
    </row>
    <row r="219" spans="99:105" x14ac:dyDescent="0.45">
      <c r="CU219">
        <v>218</v>
      </c>
      <c r="CV219">
        <f si="181" t="shared"/>
        <v>11</v>
      </c>
      <c r="CW219">
        <f si="176" t="shared"/>
        <v>18</v>
      </c>
      <c r="CX219" s="44">
        <f si="177" t="shared"/>
        <v>69.18249360848624</v>
      </c>
      <c r="CY219" s="44">
        <f si="178" t="shared"/>
        <v>38.000000000000007</v>
      </c>
      <c r="CZ219" s="87">
        <f si="179" t="shared"/>
        <v>-31.182493608486233</v>
      </c>
      <c r="DA219" s="63">
        <f si="180" t="shared"/>
        <v>-0.45072809582367013</v>
      </c>
    </row>
    <row r="220" spans="99:105" x14ac:dyDescent="0.45">
      <c r="CU220">
        <v>219</v>
      </c>
      <c r="CV220">
        <f si="181" t="shared"/>
        <v>11</v>
      </c>
      <c r="CW220">
        <f si="176" t="shared"/>
        <v>19</v>
      </c>
      <c r="CX220" s="44">
        <f si="177" t="shared"/>
        <v>4498.5291325903636</v>
      </c>
      <c r="CY220" s="44">
        <f si="178" t="shared"/>
        <v>3565.0000000000009</v>
      </c>
      <c r="CZ220" s="87">
        <f si="179" t="shared"/>
        <v>-933.52913259036268</v>
      </c>
      <c r="DA220" s="63">
        <f si="180" t="shared"/>
        <v>-0.20751874781186838</v>
      </c>
    </row>
    <row r="221" spans="99:105" x14ac:dyDescent="0.45">
      <c r="CU221">
        <v>220</v>
      </c>
      <c r="CV221">
        <f si="181" t="shared"/>
        <v>11</v>
      </c>
      <c r="CW221">
        <f si="176" t="shared"/>
        <v>20</v>
      </c>
      <c r="CX221" s="44">
        <f si="177" t="shared"/>
        <v>40.84267694958826</v>
      </c>
      <c r="CY221" s="44">
        <f si="178" t="shared"/>
        <v>3.0000000000000009</v>
      </c>
      <c r="CZ221" s="87">
        <f si="179" t="shared"/>
        <v>-37.84267694958826</v>
      </c>
      <c r="DA221" s="63">
        <f si="180" t="shared"/>
        <v>-0.92654741990338019</v>
      </c>
    </row>
    <row r="222" spans="99:105" x14ac:dyDescent="0.45">
      <c r="CU222">
        <v>221</v>
      </c>
      <c r="CV222">
        <f si="181" t="shared"/>
        <v>12</v>
      </c>
      <c r="CW222">
        <f si="176" t="shared"/>
        <v>1</v>
      </c>
      <c r="CX222" s="44">
        <f si="177" t="shared"/>
        <v>7101.5439629942884</v>
      </c>
      <c r="CY222" s="44">
        <f si="178" t="shared"/>
        <v>7735</v>
      </c>
      <c r="CZ222" s="87">
        <f si="179" t="shared"/>
        <v>633.45603700571155</v>
      </c>
      <c r="DA222" s="63">
        <f si="180" t="shared"/>
        <v>8.919976279899304E-2</v>
      </c>
    </row>
    <row r="223" spans="99:105" x14ac:dyDescent="0.45">
      <c r="CU223">
        <v>222</v>
      </c>
      <c r="CV223">
        <f si="181" t="shared"/>
        <v>12</v>
      </c>
      <c r="CW223">
        <f si="176" t="shared"/>
        <v>2</v>
      </c>
      <c r="CX223" s="44">
        <f si="177" t="shared"/>
        <v>4147.5288358620073</v>
      </c>
      <c r="CY223" s="44">
        <f si="178" t="shared"/>
        <v>5403</v>
      </c>
      <c r="CZ223" s="87">
        <f si="179" t="shared"/>
        <v>1255.4711641379927</v>
      </c>
      <c r="DA223" s="63">
        <f si="180" t="shared"/>
        <v>0.30270342023482522</v>
      </c>
    </row>
    <row r="224" spans="99:105" x14ac:dyDescent="0.45">
      <c r="CU224">
        <v>223</v>
      </c>
      <c r="CV224">
        <f si="181" t="shared"/>
        <v>12</v>
      </c>
      <c r="CW224">
        <f si="176" t="shared"/>
        <v>3</v>
      </c>
      <c r="CX224" s="44">
        <f si="177" t="shared"/>
        <v>1918.0488918496119</v>
      </c>
      <c r="CY224" s="44">
        <f si="178" t="shared"/>
        <v>1946</v>
      </c>
      <c r="CZ224" s="87">
        <f si="179" t="shared"/>
        <v>27.951108150388109</v>
      </c>
      <c r="DA224" s="63">
        <f si="180" t="shared"/>
        <v>1.4572677614820501E-2</v>
      </c>
    </row>
    <row r="225" spans="99:105" x14ac:dyDescent="0.45">
      <c r="CU225">
        <v>224</v>
      </c>
      <c r="CV225">
        <f si="181" t="shared"/>
        <v>12</v>
      </c>
      <c r="CW225">
        <f si="176" t="shared"/>
        <v>4</v>
      </c>
      <c r="CX225" s="44">
        <f si="177" t="shared"/>
        <v>1642.3408133172657</v>
      </c>
      <c r="CY225" s="44">
        <f si="178" t="shared"/>
        <v>1813</v>
      </c>
      <c r="CZ225" s="87">
        <f si="179" t="shared"/>
        <v>170.65918668273434</v>
      </c>
      <c r="DA225" s="63">
        <f si="180" t="shared"/>
        <v>0.10391216323610085</v>
      </c>
    </row>
    <row r="226" spans="99:105" x14ac:dyDescent="0.45">
      <c r="CU226">
        <v>225</v>
      </c>
      <c r="CV226">
        <f si="181" t="shared"/>
        <v>12</v>
      </c>
      <c r="CW226">
        <f si="176" t="shared"/>
        <v>5</v>
      </c>
      <c r="CX226" s="44">
        <f si="177" t="shared"/>
        <v>2895.3928114310525</v>
      </c>
      <c r="CY226" s="44">
        <f si="178" t="shared"/>
        <v>2454</v>
      </c>
      <c r="CZ226" s="87">
        <f si="179" t="shared"/>
        <v>-441.39281143105245</v>
      </c>
      <c r="DA226" s="63">
        <f si="180" t="shared"/>
        <v>-0.15244660748221356</v>
      </c>
    </row>
    <row r="227" spans="99:105" x14ac:dyDescent="0.45">
      <c r="CU227">
        <v>226</v>
      </c>
      <c r="CV227">
        <f si="181" t="shared"/>
        <v>12</v>
      </c>
      <c r="CW227">
        <f si="176" t="shared"/>
        <v>6</v>
      </c>
      <c r="CX227" s="44">
        <f si="177" t="shared"/>
        <v>17376.02076331764</v>
      </c>
      <c r="CY227" s="44">
        <f si="178" t="shared"/>
        <v>16587</v>
      </c>
      <c r="CZ227" s="87">
        <f si="179" t="shared"/>
        <v>-789.02076331763965</v>
      </c>
      <c r="DA227" s="63">
        <f si="180" t="shared"/>
        <v>-4.5408599245192791E-2</v>
      </c>
    </row>
    <row r="228" spans="99:105" x14ac:dyDescent="0.45">
      <c r="CU228">
        <v>227</v>
      </c>
      <c r="CV228">
        <f si="181" t="shared"/>
        <v>12</v>
      </c>
      <c r="CW228">
        <f si="176" t="shared"/>
        <v>7</v>
      </c>
      <c r="CX228" s="44">
        <f si="177" t="shared"/>
        <v>8160.4095403477513</v>
      </c>
      <c r="CY228" s="44">
        <f si="178" t="shared"/>
        <v>11323</v>
      </c>
      <c r="CZ228" s="87">
        <f si="179" t="shared"/>
        <v>3162.5904596522487</v>
      </c>
      <c r="DA228" s="63">
        <f si="180" t="shared"/>
        <v>0.38755290944839965</v>
      </c>
    </row>
    <row r="229" spans="99:105" x14ac:dyDescent="0.45">
      <c r="CU229">
        <v>228</v>
      </c>
      <c r="CV229">
        <f si="181" t="shared"/>
        <v>12</v>
      </c>
      <c r="CW229">
        <f si="176" t="shared"/>
        <v>8</v>
      </c>
      <c r="CX229" s="44">
        <f si="177" t="shared"/>
        <v>245.48094699889973</v>
      </c>
      <c r="CY229" s="44">
        <f si="178" t="shared"/>
        <v>136</v>
      </c>
      <c r="CZ229" s="87">
        <f si="179" t="shared"/>
        <v>-109.48094699889973</v>
      </c>
      <c r="DA229" s="63">
        <f si="180" t="shared"/>
        <v>-0.44598551674721393</v>
      </c>
    </row>
    <row r="230" spans="99:105" x14ac:dyDescent="0.45">
      <c r="CU230">
        <v>229</v>
      </c>
      <c r="CV230">
        <f si="181" t="shared"/>
        <v>12</v>
      </c>
      <c r="CW230">
        <f si="176" t="shared"/>
        <v>9</v>
      </c>
      <c r="CX230" s="44">
        <f si="177" t="shared"/>
        <v>2938.4435745241431</v>
      </c>
      <c r="CY230" s="44">
        <f si="178" t="shared"/>
        <v>3924</v>
      </c>
      <c r="CZ230" s="87">
        <f si="179" t="shared"/>
        <v>985.55642547585694</v>
      </c>
      <c r="DA230" s="63">
        <f si="180" t="shared"/>
        <v>0.33540083397227044</v>
      </c>
    </row>
    <row r="231" spans="99:105" x14ac:dyDescent="0.45">
      <c r="CU231">
        <v>230</v>
      </c>
      <c r="CV231">
        <f si="181" t="shared"/>
        <v>12</v>
      </c>
      <c r="CW231">
        <f si="176" t="shared"/>
        <v>10</v>
      </c>
      <c r="CX231" s="44">
        <f si="177" t="shared"/>
        <v>2136.05062836356</v>
      </c>
      <c r="CY231" s="44">
        <f si="178" t="shared"/>
        <v>2552</v>
      </c>
      <c r="CZ231" s="87">
        <f si="179" t="shared"/>
        <v>415.94937163643999</v>
      </c>
      <c r="DA231" s="63">
        <f si="180" t="shared"/>
        <v>0.19472823635978193</v>
      </c>
    </row>
    <row r="232" spans="99:105" x14ac:dyDescent="0.45">
      <c r="CU232">
        <v>231</v>
      </c>
      <c r="CV232">
        <f si="181" t="shared"/>
        <v>12</v>
      </c>
      <c r="CW232">
        <f si="176" t="shared"/>
        <v>11</v>
      </c>
      <c r="CX232" s="44">
        <f si="177" t="shared"/>
        <v>1626.7692607091265</v>
      </c>
      <c r="CY232" s="44">
        <f si="178" t="shared"/>
        <v>888</v>
      </c>
      <c r="CZ232" s="87">
        <f si="179" t="shared"/>
        <v>-738.76926070912646</v>
      </c>
      <c r="DA232" s="63">
        <f si="180" t="shared"/>
        <v>-0.45413278855975486</v>
      </c>
    </row>
    <row r="233" spans="99:105" x14ac:dyDescent="0.45">
      <c r="CU233">
        <v>232</v>
      </c>
      <c r="CV233">
        <f si="181" t="shared"/>
        <v>12</v>
      </c>
      <c r="CW233">
        <f si="176" t="shared"/>
        <v>12</v>
      </c>
      <c r="CX233" s="44">
        <f si="177" t="shared"/>
        <v>64122.737666634232</v>
      </c>
      <c r="CY233" s="44">
        <f si="178" t="shared"/>
        <v>61645</v>
      </c>
      <c r="CZ233" s="87">
        <f si="179" t="shared"/>
        <v>-2477.7376666342316</v>
      </c>
      <c r="DA233" s="63">
        <f si="180" t="shared"/>
        <v>-3.8640547125664962E-2</v>
      </c>
    </row>
    <row r="234" spans="99:105" x14ac:dyDescent="0.45">
      <c r="CU234">
        <v>233</v>
      </c>
      <c r="CV234">
        <f si="181" t="shared"/>
        <v>12</v>
      </c>
      <c r="CW234">
        <f si="176" t="shared"/>
        <v>13</v>
      </c>
      <c r="CX234" s="44">
        <f si="177" t="shared"/>
        <v>2374.203785899806</v>
      </c>
      <c r="CY234" s="44">
        <f si="178" t="shared"/>
        <v>2342</v>
      </c>
      <c r="CZ234" s="87">
        <f si="179" t="shared"/>
        <v>-32.203785899806007</v>
      </c>
      <c r="DA234" s="63">
        <f si="180" t="shared"/>
        <v>-1.3564036116470519E-2</v>
      </c>
    </row>
    <row r="235" spans="99:105" x14ac:dyDescent="0.45">
      <c r="CU235">
        <v>234</v>
      </c>
      <c r="CV235">
        <f si="181" t="shared"/>
        <v>12</v>
      </c>
      <c r="CW235">
        <f si="176" t="shared"/>
        <v>14</v>
      </c>
      <c r="CX235" s="44">
        <f si="177" t="shared"/>
        <v>80.605684089190945</v>
      </c>
      <c r="CY235" s="44">
        <f si="178" t="shared"/>
        <v>55</v>
      </c>
      <c r="CZ235" s="87">
        <f si="179" t="shared"/>
        <v>-25.605684089190945</v>
      </c>
      <c r="DA235" s="63">
        <f si="180" t="shared"/>
        <v>-0.31766598569969351</v>
      </c>
    </row>
    <row r="236" spans="99:105" x14ac:dyDescent="0.45">
      <c r="CU236">
        <v>235</v>
      </c>
      <c r="CV236">
        <f si="181" t="shared"/>
        <v>12</v>
      </c>
      <c r="CW236">
        <f si="176" t="shared"/>
        <v>15</v>
      </c>
      <c r="CX236" s="44">
        <f si="177" t="shared"/>
        <v>443.33126249055022</v>
      </c>
      <c r="CY236" s="44">
        <f si="178" t="shared"/>
        <v>320</v>
      </c>
      <c r="CZ236" s="87">
        <f si="179" t="shared"/>
        <v>-123.33126249055022</v>
      </c>
      <c r="DA236" s="63">
        <f si="180" t="shared"/>
        <v>-0.27819211710380803</v>
      </c>
    </row>
    <row r="237" spans="99:105" x14ac:dyDescent="0.45">
      <c r="CU237">
        <v>236</v>
      </c>
      <c r="CV237">
        <f si="181" t="shared"/>
        <v>12</v>
      </c>
      <c r="CW237">
        <f si="176" t="shared"/>
        <v>16</v>
      </c>
      <c r="CX237" s="44">
        <f si="177" t="shared"/>
        <v>538.59252550504857</v>
      </c>
      <c r="CY237" s="44">
        <f si="178" t="shared"/>
        <v>531</v>
      </c>
      <c r="CZ237" s="87">
        <f si="179" t="shared"/>
        <v>-7.5925255050485703</v>
      </c>
      <c r="DA237" s="63">
        <f si="180" t="shared"/>
        <v>-1.4096975255883682E-2</v>
      </c>
    </row>
    <row r="238" spans="99:105" x14ac:dyDescent="0.45">
      <c r="CU238">
        <v>237</v>
      </c>
      <c r="CV238">
        <f si="181" t="shared"/>
        <v>12</v>
      </c>
      <c r="CW238">
        <f si="176" t="shared"/>
        <v>17</v>
      </c>
      <c r="CX238" s="44">
        <f si="177" t="shared"/>
        <v>129.15228927927186</v>
      </c>
      <c r="CY238" s="44">
        <f si="178" t="shared"/>
        <v>36</v>
      </c>
      <c r="CZ238" s="87">
        <f si="179" t="shared"/>
        <v>-93.152289279271855</v>
      </c>
      <c r="DA238" s="63">
        <f si="180" t="shared"/>
        <v>-0.7212592962858323</v>
      </c>
    </row>
    <row r="239" spans="99:105" x14ac:dyDescent="0.45">
      <c r="CU239">
        <v>238</v>
      </c>
      <c r="CV239">
        <f si="181" t="shared"/>
        <v>12</v>
      </c>
      <c r="CW239">
        <f si="176" t="shared"/>
        <v>18</v>
      </c>
      <c r="CX239" s="44">
        <f si="177" t="shared"/>
        <v>3375.3630212348708</v>
      </c>
      <c r="CY239" s="44">
        <f si="178" t="shared"/>
        <v>2452</v>
      </c>
      <c r="CZ239" s="87">
        <f si="179" t="shared"/>
        <v>-923.36302123487076</v>
      </c>
      <c r="DA239" s="63">
        <f si="180" t="shared"/>
        <v>-0.27355961875089219</v>
      </c>
    </row>
    <row r="240" spans="99:105" x14ac:dyDescent="0.45">
      <c r="CU240">
        <v>239</v>
      </c>
      <c r="CV240">
        <f si="181" t="shared"/>
        <v>12</v>
      </c>
      <c r="CW240">
        <f si="176" t="shared"/>
        <v>19</v>
      </c>
      <c r="CX240" s="44">
        <f si="177" t="shared"/>
        <v>180.44681551784791</v>
      </c>
      <c r="CY240" s="44">
        <f si="178" t="shared"/>
        <v>65</v>
      </c>
      <c r="CZ240" s="87">
        <f si="179" t="shared"/>
        <v>-115.44681551784791</v>
      </c>
      <c r="DA240" s="63">
        <f si="180" t="shared"/>
        <v>-0.63978305844044736</v>
      </c>
    </row>
    <row r="241" spans="99:105" x14ac:dyDescent="0.45">
      <c r="CU241">
        <v>240</v>
      </c>
      <c r="CV241">
        <f si="181" t="shared"/>
        <v>12</v>
      </c>
      <c r="CW241">
        <f si="176" t="shared"/>
        <v>20</v>
      </c>
      <c r="CX241" s="44">
        <f si="177" t="shared"/>
        <v>942.53691963383505</v>
      </c>
      <c r="CY241" s="44">
        <f si="178" t="shared"/>
        <v>168</v>
      </c>
      <c r="CZ241" s="87">
        <f si="179" t="shared"/>
        <v>-774.53691963383505</v>
      </c>
      <c r="DA241" s="63">
        <f si="180" t="shared"/>
        <v>-0.82175764524400163</v>
      </c>
    </row>
    <row r="242" spans="99:105" x14ac:dyDescent="0.45">
      <c r="CU242">
        <v>241</v>
      </c>
      <c r="CV242">
        <f si="181" t="shared"/>
        <v>13</v>
      </c>
      <c r="CW242">
        <f si="176" t="shared"/>
        <v>1</v>
      </c>
      <c r="CX242" s="44">
        <f si="177" t="shared"/>
        <v>1404.2143745883043</v>
      </c>
      <c r="CY242" s="44">
        <f si="178" t="shared"/>
        <v>1383</v>
      </c>
      <c r="CZ242" s="87">
        <f si="179" t="shared"/>
        <v>-21.214374588304281</v>
      </c>
      <c r="DA242" s="63">
        <f si="180" t="shared"/>
        <v>-1.5107646647274946E-2</v>
      </c>
    </row>
    <row r="243" spans="99:105" x14ac:dyDescent="0.45">
      <c r="CU243">
        <v>242</v>
      </c>
      <c r="CV243">
        <f si="181" t="shared"/>
        <v>13</v>
      </c>
      <c r="CW243">
        <f si="176" t="shared"/>
        <v>2</v>
      </c>
      <c r="CX243" s="44">
        <f si="177" t="shared"/>
        <v>1561.2526531508454</v>
      </c>
      <c r="CY243" s="44">
        <f si="178" t="shared"/>
        <v>1537</v>
      </c>
      <c r="CZ243" s="87">
        <f si="179" t="shared"/>
        <v>-24.25265315084539</v>
      </c>
      <c r="DA243" s="63">
        <f si="180" t="shared"/>
        <v>-1.5534098918518952E-2</v>
      </c>
    </row>
    <row r="244" spans="99:105" x14ac:dyDescent="0.45">
      <c r="CU244">
        <v>243</v>
      </c>
      <c r="CV244">
        <f si="181" t="shared"/>
        <v>13</v>
      </c>
      <c r="CW244">
        <f si="176" t="shared"/>
        <v>3</v>
      </c>
      <c r="CX244" s="44">
        <f si="177" t="shared"/>
        <v>398.07377589109268</v>
      </c>
      <c r="CY244" s="44">
        <f si="178" t="shared"/>
        <v>492</v>
      </c>
      <c r="CZ244" s="87">
        <f si="179" t="shared"/>
        <v>93.92622410890732</v>
      </c>
      <c r="DA244" s="63">
        <f si="180" t="shared"/>
        <v>0.23595180038838881</v>
      </c>
    </row>
    <row r="245" spans="99:105" x14ac:dyDescent="0.45">
      <c r="CU245">
        <v>244</v>
      </c>
      <c r="CV245">
        <f si="181" t="shared"/>
        <v>13</v>
      </c>
      <c r="CW245">
        <f si="176" t="shared"/>
        <v>4</v>
      </c>
      <c r="CX245" s="44">
        <f si="177" t="shared"/>
        <v>335.0758618165849</v>
      </c>
      <c r="CY245" s="44">
        <f si="178" t="shared"/>
        <v>298</v>
      </c>
      <c r="CZ245" s="87">
        <f si="179" t="shared"/>
        <v>-37.075861816584904</v>
      </c>
      <c r="DA245" s="63">
        <f si="180" t="shared"/>
        <v>-0.11064915752385539</v>
      </c>
    </row>
    <row r="246" spans="99:105" x14ac:dyDescent="0.45">
      <c r="CU246">
        <v>245</v>
      </c>
      <c r="CV246">
        <f si="181" t="shared"/>
        <v>13</v>
      </c>
      <c r="CW246">
        <f si="176" t="shared"/>
        <v>5</v>
      </c>
      <c r="CX246" s="44">
        <f si="177" t="shared"/>
        <v>403.55185537583259</v>
      </c>
      <c r="CY246" s="44">
        <f si="178" t="shared"/>
        <v>378</v>
      </c>
      <c r="CZ246" s="87">
        <f si="179" t="shared"/>
        <v>-25.551855375832588</v>
      </c>
      <c r="DA246" s="63">
        <f si="180" t="shared"/>
        <v>-6.3317402795821237E-2</v>
      </c>
    </row>
    <row r="247" spans="99:105" x14ac:dyDescent="0.45">
      <c r="CU247">
        <v>246</v>
      </c>
      <c r="CV247">
        <f si="181" t="shared"/>
        <v>13</v>
      </c>
      <c r="CW247">
        <f si="176" t="shared"/>
        <v>6</v>
      </c>
      <c r="CX247" s="44">
        <f si="177" t="shared"/>
        <v>2927.1204713459706</v>
      </c>
      <c r="CY247" s="44">
        <f si="178" t="shared"/>
        <v>2477</v>
      </c>
      <c r="CZ247" s="87">
        <f si="179" t="shared"/>
        <v>-450.1204713459706</v>
      </c>
      <c r="DA247" s="63">
        <f si="180" t="shared"/>
        <v>-0.15377586120976866</v>
      </c>
    </row>
    <row r="248" spans="99:105" x14ac:dyDescent="0.45">
      <c r="CU248">
        <v>247</v>
      </c>
      <c r="CV248">
        <f si="181" t="shared"/>
        <v>13</v>
      </c>
      <c r="CW248">
        <f si="176" t="shared"/>
        <v>7</v>
      </c>
      <c r="CX248" s="44">
        <f si="177" t="shared"/>
        <v>13481.553611944668</v>
      </c>
      <c r="CY248" s="44">
        <f si="178" t="shared"/>
        <v>24519</v>
      </c>
      <c r="CZ248" s="87">
        <f si="179" t="shared"/>
        <v>11037.446388055332</v>
      </c>
      <c r="DA248" s="63">
        <f si="180" t="shared"/>
        <v>0.81870730227087074</v>
      </c>
    </row>
    <row r="249" spans="99:105" x14ac:dyDescent="0.45">
      <c r="CU249">
        <v>248</v>
      </c>
      <c r="CV249">
        <f si="181" t="shared"/>
        <v>13</v>
      </c>
      <c r="CW249">
        <f si="176" t="shared"/>
        <v>8</v>
      </c>
      <c r="CX249" s="44">
        <f si="177" t="shared"/>
        <v>20.999304691502598</v>
      </c>
      <c r="CY249" s="44">
        <f si="178" t="shared"/>
        <v>18</v>
      </c>
      <c r="CZ249" s="87">
        <f si="179" t="shared"/>
        <v>-2.9993046915025978</v>
      </c>
      <c r="DA249" s="63">
        <f si="180" t="shared"/>
        <v>-0.14282876197878452</v>
      </c>
    </row>
    <row r="250" spans="99:105" x14ac:dyDescent="0.45">
      <c r="CU250">
        <v>249</v>
      </c>
      <c r="CV250">
        <f si="181" t="shared"/>
        <v>13</v>
      </c>
      <c r="CW250">
        <f si="176" t="shared"/>
        <v>9</v>
      </c>
      <c r="CX250" s="44">
        <f si="177" t="shared"/>
        <v>1677.205335577838</v>
      </c>
      <c r="CY250" s="44">
        <f si="178" t="shared"/>
        <v>2356</v>
      </c>
      <c r="CZ250" s="87">
        <f si="179" t="shared"/>
        <v>678.79466442216199</v>
      </c>
      <c r="DA250" s="63">
        <f si="180" t="shared"/>
        <v>0.40471768722838025</v>
      </c>
    </row>
    <row r="251" spans="99:105" x14ac:dyDescent="0.45">
      <c r="CU251">
        <v>250</v>
      </c>
      <c r="CV251">
        <f si="181" t="shared"/>
        <v>13</v>
      </c>
      <c r="CW251">
        <f si="176" t="shared"/>
        <v>10</v>
      </c>
      <c r="CX251" s="44">
        <f si="177" t="shared"/>
        <v>396.24774939617942</v>
      </c>
      <c r="CY251" s="44">
        <f si="178" t="shared"/>
        <v>250</v>
      </c>
      <c r="CZ251" s="87">
        <f si="179" t="shared"/>
        <v>-146.24774939617942</v>
      </c>
      <c r="DA251" s="63">
        <f si="180" t="shared"/>
        <v>-0.36908159003814778</v>
      </c>
    </row>
    <row r="252" spans="99:105" x14ac:dyDescent="0.45">
      <c r="CU252">
        <v>251</v>
      </c>
      <c r="CV252">
        <f si="181" t="shared"/>
        <v>13</v>
      </c>
      <c r="CW252">
        <f si="176" t="shared"/>
        <v>11</v>
      </c>
      <c r="CX252" s="44">
        <f si="177" t="shared"/>
        <v>411.76897460294225</v>
      </c>
      <c r="CY252" s="44">
        <f si="178" t="shared"/>
        <v>217</v>
      </c>
      <c r="CZ252" s="87">
        <f si="179" t="shared"/>
        <v>-194.76897460294225</v>
      </c>
      <c r="DA252" s="63">
        <f si="180" t="shared"/>
        <v>-0.47300546329589971</v>
      </c>
    </row>
    <row r="253" spans="99:105" x14ac:dyDescent="0.45">
      <c r="CU253">
        <v>252</v>
      </c>
      <c r="CV253">
        <f si="181" t="shared"/>
        <v>13</v>
      </c>
      <c r="CW253">
        <f si="176" t="shared"/>
        <v>12</v>
      </c>
      <c r="CX253" s="44">
        <f si="177" t="shared"/>
        <v>5970.1936251189345</v>
      </c>
      <c r="CY253" s="44">
        <f si="178" t="shared"/>
        <v>8473</v>
      </c>
      <c r="CZ253" s="87">
        <f si="179" t="shared"/>
        <v>2502.8063748810655</v>
      </c>
      <c r="DA253" s="63">
        <f si="180" t="shared"/>
        <v>0.41921695208523596</v>
      </c>
    </row>
    <row r="254" spans="99:105" x14ac:dyDescent="0.45">
      <c r="CU254">
        <v>253</v>
      </c>
      <c r="CV254">
        <f si="181" t="shared"/>
        <v>13</v>
      </c>
      <c r="CW254">
        <f si="176" t="shared"/>
        <v>13</v>
      </c>
      <c r="CX254" s="44">
        <f si="177" t="shared"/>
        <v>65854.732525799613</v>
      </c>
      <c r="CY254" s="44">
        <f si="178" t="shared"/>
        <v>52267</v>
      </c>
      <c r="CZ254" s="87">
        <f si="179" t="shared"/>
        <v>-13587.732525799613</v>
      </c>
      <c r="DA254" s="63">
        <f si="180" t="shared"/>
        <v>-0.20632886969021411</v>
      </c>
    </row>
    <row r="255" spans="99:105" x14ac:dyDescent="0.45">
      <c r="CU255">
        <v>254</v>
      </c>
      <c r="CV255">
        <f si="181" t="shared"/>
        <v>13</v>
      </c>
      <c r="CW255">
        <f si="176" t="shared"/>
        <v>14</v>
      </c>
      <c r="CX255" s="44">
        <f si="177" t="shared"/>
        <v>26.477384176242406</v>
      </c>
      <c r="CY255" s="44">
        <f si="178" t="shared"/>
        <v>14</v>
      </c>
      <c r="CZ255" s="87">
        <f si="179" t="shared"/>
        <v>-12.477384176242406</v>
      </c>
      <c r="DA255" s="63">
        <f si="180" t="shared"/>
        <v>-0.47124686083748779</v>
      </c>
    </row>
    <row r="256" spans="99:105" x14ac:dyDescent="0.45">
      <c r="CU256">
        <v>255</v>
      </c>
      <c r="CV256">
        <f si="181" t="shared"/>
        <v>13</v>
      </c>
      <c r="CW256">
        <f si="176" t="shared"/>
        <v>15</v>
      </c>
      <c r="CX256" s="44">
        <f si="177" t="shared"/>
        <v>2214.0571250823391</v>
      </c>
      <c r="CY256" s="44">
        <f si="178" t="shared"/>
        <v>2868</v>
      </c>
      <c r="CZ256" s="87">
        <f si="179" t="shared"/>
        <v>653.9428749176609</v>
      </c>
      <c r="DA256" s="63">
        <f si="180" t="shared"/>
        <v>0.29535953138216398</v>
      </c>
    </row>
    <row r="257" spans="99:105" x14ac:dyDescent="0.45">
      <c r="CU257">
        <v>256</v>
      </c>
      <c r="CV257">
        <f si="181" t="shared"/>
        <v>13</v>
      </c>
      <c r="CW257">
        <f si="176" t="shared"/>
        <v>16</v>
      </c>
      <c r="CX257" s="44">
        <f si="177" t="shared"/>
        <v>83.084205518553759</v>
      </c>
      <c r="CY257" s="44">
        <f si="178" t="shared"/>
        <v>39</v>
      </c>
      <c r="CZ257" s="87">
        <f si="179" t="shared"/>
        <v>-44.084205518553759</v>
      </c>
      <c r="DA257" s="63">
        <f si="180" t="shared"/>
        <v>-0.53059670298838202</v>
      </c>
    </row>
    <row r="258" spans="99:105" x14ac:dyDescent="0.45">
      <c r="CU258">
        <v>257</v>
      </c>
      <c r="CV258">
        <f si="181" t="shared"/>
        <v>13</v>
      </c>
      <c r="CW258">
        <f si="176" t="shared"/>
        <v>17</v>
      </c>
      <c r="CX258" s="44">
        <f si="177" t="shared"/>
        <v>35.607516650808755</v>
      </c>
      <c r="CY258" s="44">
        <f si="178" t="shared"/>
        <v>9</v>
      </c>
      <c r="CZ258" s="87">
        <f si="179" t="shared"/>
        <v>-26.607516650808755</v>
      </c>
      <c r="DA258" s="63">
        <f si="180" t="shared"/>
        <v>-0.74724437853220571</v>
      </c>
    </row>
    <row r="259" spans="99:105" x14ac:dyDescent="0.45">
      <c r="CU259">
        <v>258</v>
      </c>
      <c r="CV259">
        <f si="181" t="shared"/>
        <v>13</v>
      </c>
      <c r="CW259">
        <f ref="CW259:CW322" si="182" t="shared">MOD(ROW()-2,$CS$2)+1</f>
        <v>18</v>
      </c>
      <c r="CX259" s="44">
        <f ref="CX259:CX322" si="183" t="shared">VLOOKUP($CV259,$B$30:$V$49,MATCH($CW259,$B$29:$V$29,0),0)</f>
        <v>2221.3612310619919</v>
      </c>
      <c r="CY259" s="44">
        <f ref="CY259:CY322" si="184" t="shared">VLOOKUP($CV259,$AY$30:$BS$49,MATCH($CW259,$AY$29:$BS$29,0),0)</f>
        <v>2072</v>
      </c>
      <c r="CZ259" s="87">
        <f ref="CZ259:CZ322" si="185" t="shared">CY259-CX259</f>
        <v>-149.36123106199193</v>
      </c>
      <c r="DA259" s="63">
        <f ref="DA259:DA322" si="186" t="shared">CZ259/CX259</f>
        <v>-6.7238605308054769E-2</v>
      </c>
    </row>
    <row r="260" spans="99:105" x14ac:dyDescent="0.45">
      <c r="CU260">
        <v>259</v>
      </c>
      <c r="CV260">
        <f ref="CV260:CV323" si="187" t="shared">IF(CW259&lt;$CS$2,CV259,CV259+1)</f>
        <v>13</v>
      </c>
      <c r="CW260">
        <f si="182" t="shared"/>
        <v>19</v>
      </c>
      <c r="CX260" s="44">
        <f si="183" t="shared"/>
        <v>94.040364488033376</v>
      </c>
      <c r="CY260" s="44">
        <f si="184" t="shared"/>
        <v>79</v>
      </c>
      <c r="CZ260" s="87">
        <f si="185" t="shared"/>
        <v>-15.040364488033376</v>
      </c>
      <c r="DA260" s="63">
        <f si="186" t="shared"/>
        <v>-0.15993519984652185</v>
      </c>
    </row>
    <row r="261" spans="99:105" x14ac:dyDescent="0.45">
      <c r="CU261">
        <v>260</v>
      </c>
      <c r="CV261">
        <f si="187" t="shared"/>
        <v>13</v>
      </c>
      <c r="CW261">
        <f si="182" t="shared"/>
        <v>20</v>
      </c>
      <c r="CX261" s="44">
        <f si="183" t="shared"/>
        <v>279.38205372173019</v>
      </c>
      <c r="CY261" s="44">
        <f si="184" t="shared"/>
        <v>50</v>
      </c>
      <c r="CZ261" s="87">
        <f si="185" t="shared"/>
        <v>-229.38205372173019</v>
      </c>
      <c r="DA261" s="63">
        <f si="186" t="shared"/>
        <v>-0.82103360135722625</v>
      </c>
    </row>
    <row r="262" spans="99:105" x14ac:dyDescent="0.45">
      <c r="CU262">
        <v>261</v>
      </c>
      <c r="CV262">
        <f si="187" t="shared"/>
        <v>14</v>
      </c>
      <c r="CW262">
        <f si="182" t="shared"/>
        <v>1</v>
      </c>
      <c r="CX262" s="44">
        <f si="183" t="shared"/>
        <v>695.24252936013704</v>
      </c>
      <c r="CY262" s="44">
        <f si="184" t="shared"/>
        <v>1283.9999999999998</v>
      </c>
      <c r="CZ262" s="87">
        <f si="185" t="shared"/>
        <v>588.75747063986273</v>
      </c>
      <c r="DA262" s="63">
        <f si="186" t="shared"/>
        <v>0.84683753622167313</v>
      </c>
    </row>
    <row r="263" spans="99:105" x14ac:dyDescent="0.45">
      <c r="CU263">
        <v>262</v>
      </c>
      <c r="CV263">
        <f si="187" t="shared"/>
        <v>14</v>
      </c>
      <c r="CW263">
        <f si="182" t="shared"/>
        <v>2</v>
      </c>
      <c r="CX263" s="44">
        <f si="183" t="shared"/>
        <v>918.12370961675094</v>
      </c>
      <c r="CY263" s="44">
        <f si="184" t="shared"/>
        <v>502.99999999999994</v>
      </c>
      <c r="CZ263" s="87">
        <f si="185" t="shared"/>
        <v>-415.123709616751</v>
      </c>
      <c r="DA263" s="63">
        <f si="186" t="shared"/>
        <v>-0.45214354587361061</v>
      </c>
    </row>
    <row r="264" spans="99:105" x14ac:dyDescent="0.45">
      <c r="CU264">
        <v>263</v>
      </c>
      <c r="CV264">
        <f si="187" t="shared"/>
        <v>14</v>
      </c>
      <c r="CW264">
        <f si="182" t="shared"/>
        <v>3</v>
      </c>
      <c r="CX264" s="44">
        <f si="183" t="shared"/>
        <v>374.22025327036403</v>
      </c>
      <c r="CY264" s="44">
        <f si="184" t="shared"/>
        <v>720.99999999999989</v>
      </c>
      <c r="CZ264" s="87">
        <f si="185" t="shared"/>
        <v>346.77974672963586</v>
      </c>
      <c r="DA264" s="63">
        <f si="186" t="shared"/>
        <v>0.92667284493310642</v>
      </c>
    </row>
    <row r="265" spans="99:105" x14ac:dyDescent="0.45">
      <c r="CU265">
        <v>264</v>
      </c>
      <c r="CV265">
        <f si="187" t="shared"/>
        <v>14</v>
      </c>
      <c r="CW265">
        <f si="182" t="shared"/>
        <v>4</v>
      </c>
      <c r="CX265" s="44">
        <f si="183" t="shared"/>
        <v>386.14393781084129</v>
      </c>
      <c r="CY265" s="44">
        <f si="184" t="shared"/>
        <v>527.99999999999989</v>
      </c>
      <c r="CZ265" s="87">
        <f si="185" t="shared"/>
        <v>141.85606218915859</v>
      </c>
      <c r="DA265" s="63">
        <f si="186" t="shared"/>
        <v>0.3673657626049513</v>
      </c>
    </row>
    <row r="266" spans="99:105" x14ac:dyDescent="0.45">
      <c r="CU266">
        <v>265</v>
      </c>
      <c r="CV266">
        <f si="187" t="shared"/>
        <v>14</v>
      </c>
      <c r="CW266">
        <f si="182" t="shared"/>
        <v>5</v>
      </c>
      <c r="CX266" s="44">
        <f si="183" t="shared"/>
        <v>346.70405817695496</v>
      </c>
      <c r="CY266" s="44">
        <f si="184" t="shared"/>
        <v>398.99999999999994</v>
      </c>
      <c r="CZ266" s="87">
        <f si="185" t="shared"/>
        <v>52.295941823044984</v>
      </c>
      <c r="DA266" s="63">
        <f si="186" t="shared"/>
        <v>0.1508374089937925</v>
      </c>
    </row>
    <row r="267" spans="99:105" x14ac:dyDescent="0.45">
      <c r="CU267">
        <v>266</v>
      </c>
      <c r="CV267">
        <f si="187" t="shared"/>
        <v>14</v>
      </c>
      <c r="CW267">
        <f si="182" t="shared"/>
        <v>6</v>
      </c>
      <c r="CX267" s="44">
        <f si="183" t="shared"/>
        <v>1923.3820370292974</v>
      </c>
      <c r="CY267" s="44">
        <f si="184" t="shared"/>
        <v>1701.9999999999998</v>
      </c>
      <c r="CZ267" s="87">
        <f si="185" t="shared"/>
        <v>-221.38203702929763</v>
      </c>
      <c r="DA267" s="63">
        <f si="186" t="shared"/>
        <v>-0.11510039751188832</v>
      </c>
    </row>
    <row r="268" spans="99:105" x14ac:dyDescent="0.45">
      <c r="CU268">
        <v>267</v>
      </c>
      <c r="CV268">
        <f si="187" t="shared"/>
        <v>14</v>
      </c>
      <c r="CW268">
        <f si="182" t="shared"/>
        <v>7</v>
      </c>
      <c r="CX268" s="44">
        <f si="183" t="shared"/>
        <v>500.794750700046</v>
      </c>
      <c r="CY268" s="44">
        <f si="184" t="shared"/>
        <v>230.99999999999997</v>
      </c>
      <c r="CZ268" s="87">
        <f si="185" t="shared"/>
        <v>-269.79475070004605</v>
      </c>
      <c r="DA268" s="63">
        <f si="186" t="shared"/>
        <v>-0.5387331842494516</v>
      </c>
    </row>
    <row r="269" spans="99:105" x14ac:dyDescent="0.45">
      <c r="CU269">
        <v>268</v>
      </c>
      <c r="CV269">
        <f si="187" t="shared"/>
        <v>14</v>
      </c>
      <c r="CW269">
        <f si="182" t="shared"/>
        <v>8</v>
      </c>
      <c r="CX269" s="44">
        <f si="183" t="shared"/>
        <v>253.14899485936388</v>
      </c>
      <c r="CY269" s="44">
        <f si="184" t="shared"/>
        <v>276.99999999999994</v>
      </c>
      <c r="CZ269" s="87">
        <f si="185" t="shared"/>
        <v>23.851005140636062</v>
      </c>
      <c r="DA269" s="63">
        <f si="186" t="shared"/>
        <v>9.4217261869384117E-2</v>
      </c>
    </row>
    <row r="270" spans="99:105" x14ac:dyDescent="0.45">
      <c r="CU270">
        <v>269</v>
      </c>
      <c r="CV270">
        <f si="187" t="shared"/>
        <v>14</v>
      </c>
      <c r="CW270">
        <f si="182" t="shared"/>
        <v>9</v>
      </c>
      <c r="CX270" s="44">
        <f si="183" t="shared"/>
        <v>406.3224808793413</v>
      </c>
      <c r="CY270" s="44">
        <f si="184" t="shared"/>
        <v>535.99999999999989</v>
      </c>
      <c r="CZ270" s="87">
        <f si="185" t="shared"/>
        <v>129.67751912065859</v>
      </c>
      <c r="DA270" s="63">
        <f si="186" t="shared"/>
        <v>0.31914926006559485</v>
      </c>
    </row>
    <row r="271" spans="99:105" x14ac:dyDescent="0.45">
      <c r="CU271">
        <v>270</v>
      </c>
      <c r="CV271">
        <f si="187" t="shared"/>
        <v>14</v>
      </c>
      <c r="CW271">
        <f si="182" t="shared"/>
        <v>10</v>
      </c>
      <c r="CX271" s="44">
        <f si="183" t="shared"/>
        <v>233.88765829397752</v>
      </c>
      <c r="CY271" s="44">
        <f si="184" t="shared"/>
        <v>328.99999999999994</v>
      </c>
      <c r="CZ271" s="87">
        <f si="185" t="shared"/>
        <v>95.11234170602242</v>
      </c>
      <c r="DA271" s="63">
        <f si="186" t="shared"/>
        <v>0.40665823241718058</v>
      </c>
    </row>
    <row r="272" spans="99:105" x14ac:dyDescent="0.45">
      <c r="CU272">
        <v>271</v>
      </c>
      <c r="CV272">
        <f si="187" t="shared"/>
        <v>14</v>
      </c>
      <c r="CW272">
        <f si="182" t="shared"/>
        <v>11</v>
      </c>
      <c r="CX272" s="44">
        <f si="183" t="shared"/>
        <v>2044.4532954402976</v>
      </c>
      <c r="CY272" s="44">
        <f si="184" t="shared"/>
        <v>2584.9999999999995</v>
      </c>
      <c r="CZ272" s="87">
        <f si="185" t="shared"/>
        <v>540.54670455970199</v>
      </c>
      <c r="DA272" s="63">
        <f si="186" t="shared"/>
        <v>0.26439669997122078</v>
      </c>
    </row>
    <row r="273" spans="99:105" x14ac:dyDescent="0.45">
      <c r="CU273">
        <v>272</v>
      </c>
      <c r="CV273">
        <f si="187" t="shared"/>
        <v>14</v>
      </c>
      <c r="CW273">
        <f si="182" t="shared"/>
        <v>12</v>
      </c>
      <c r="CX273" s="44">
        <f si="183" t="shared"/>
        <v>624.61762862038699</v>
      </c>
      <c r="CY273" s="44">
        <f si="184" t="shared"/>
        <v>678.99999999999989</v>
      </c>
      <c r="CZ273" s="87">
        <f si="185" t="shared"/>
        <v>54.382371379612891</v>
      </c>
      <c r="DA273" s="63">
        <f si="186" t="shared"/>
        <v>8.7065060106819234E-2</v>
      </c>
    </row>
    <row r="274" spans="99:105" x14ac:dyDescent="0.45">
      <c r="CU274">
        <v>273</v>
      </c>
      <c r="CV274">
        <f si="187" t="shared"/>
        <v>14</v>
      </c>
      <c r="CW274">
        <f si="182" t="shared"/>
        <v>13</v>
      </c>
      <c r="CX274" s="44">
        <f si="183" t="shared"/>
        <v>55.94959668993188</v>
      </c>
      <c r="CY274" s="44">
        <f si="184" t="shared"/>
        <v>19.999999999999996</v>
      </c>
      <c r="CZ274" s="87">
        <f si="185" t="shared"/>
        <v>-35.94959668993188</v>
      </c>
      <c r="DA274" s="63">
        <f si="186" t="shared"/>
        <v>-0.64253540359122918</v>
      </c>
    </row>
    <row r="275" spans="99:105" x14ac:dyDescent="0.45">
      <c r="CU275">
        <v>274</v>
      </c>
      <c r="CV275">
        <f si="187" t="shared"/>
        <v>14</v>
      </c>
      <c r="CW275">
        <f si="182" t="shared"/>
        <v>14</v>
      </c>
      <c r="CX275" s="44">
        <f si="183" t="shared"/>
        <v>10926.68107159276</v>
      </c>
      <c r="CY275" s="44">
        <f si="184" t="shared"/>
        <v>10077.999999999998</v>
      </c>
      <c r="CZ275" s="87">
        <f si="185" t="shared"/>
        <v>-848.68107159276224</v>
      </c>
      <c r="DA275" s="63">
        <f si="186" t="shared"/>
        <v>-7.7670526487605418E-2</v>
      </c>
    </row>
    <row r="276" spans="99:105" x14ac:dyDescent="0.45">
      <c r="CU276">
        <v>275</v>
      </c>
      <c r="CV276">
        <f si="187" t="shared"/>
        <v>14</v>
      </c>
      <c r="CW276">
        <f si="182" t="shared"/>
        <v>15</v>
      </c>
      <c r="CX276" s="44">
        <f si="183" t="shared"/>
        <v>81.631378777113724</v>
      </c>
      <c r="CY276" s="44">
        <f si="184" t="shared"/>
        <v>49.999999999999993</v>
      </c>
      <c r="CZ276" s="87">
        <f si="185" t="shared"/>
        <v>-31.631378777113731</v>
      </c>
      <c r="DA276" s="63">
        <f si="186" t="shared"/>
        <v>-0.38749043873778038</v>
      </c>
    </row>
    <row r="277" spans="99:105" x14ac:dyDescent="0.45">
      <c r="CU277">
        <v>276</v>
      </c>
      <c r="CV277">
        <f si="187" t="shared"/>
        <v>14</v>
      </c>
      <c r="CW277">
        <f si="182" t="shared"/>
        <v>16</v>
      </c>
      <c r="CX277" s="44">
        <f si="183" t="shared"/>
        <v>11.923684540477286</v>
      </c>
      <c r="CY277" s="44">
        <f si="184" t="shared"/>
        <v>22.999999999999996</v>
      </c>
      <c r="CZ277" s="87">
        <f si="185" t="shared"/>
        <v>11.076315459522711</v>
      </c>
      <c r="DA277" s="63">
        <f si="186" t="shared"/>
        <v>0.92893395677502077</v>
      </c>
    </row>
    <row r="278" spans="99:105" x14ac:dyDescent="0.45">
      <c r="CU278">
        <v>277</v>
      </c>
      <c r="CV278">
        <f si="187" t="shared"/>
        <v>14</v>
      </c>
      <c r="CW278">
        <f si="182" t="shared"/>
        <v>17</v>
      </c>
      <c r="CX278" s="44">
        <f si="183" t="shared"/>
        <v>1730.7686713754335</v>
      </c>
      <c r="CY278" s="44">
        <f si="184" t="shared"/>
        <v>1597.9999999999998</v>
      </c>
      <c r="CZ278" s="87">
        <f si="185" t="shared"/>
        <v>-132.76867137543377</v>
      </c>
      <c r="DA278" s="63">
        <f si="186" t="shared"/>
        <v>-7.6710812699147798E-2</v>
      </c>
    </row>
    <row r="279" spans="99:105" x14ac:dyDescent="0.45">
      <c r="CU279">
        <v>278</v>
      </c>
      <c r="CV279">
        <f si="187" t="shared"/>
        <v>14</v>
      </c>
      <c r="CW279">
        <f si="182" t="shared"/>
        <v>18</v>
      </c>
      <c r="CX279" s="44">
        <f si="183" t="shared"/>
        <v>10.08927153425001</v>
      </c>
      <c r="CY279" s="44">
        <f si="184" t="shared"/>
        <v>9.9999999999999982</v>
      </c>
      <c r="CZ279" s="87">
        <f si="185" t="shared"/>
        <v>-8.9271534250011442E-2</v>
      </c>
      <c r="DA279" s="63">
        <f si="186" t="shared"/>
        <v>-8.8481645029536305E-3</v>
      </c>
    </row>
    <row r="280" spans="99:105" x14ac:dyDescent="0.45">
      <c r="CU280">
        <v>279</v>
      </c>
      <c r="CV280">
        <f si="187" t="shared"/>
        <v>14</v>
      </c>
      <c r="CW280">
        <f si="182" t="shared"/>
        <v>19</v>
      </c>
      <c r="CX280" s="44">
        <f si="183" t="shared"/>
        <v>418.24616541981862</v>
      </c>
      <c r="CY280" s="44">
        <f si="184" t="shared"/>
        <v>392.99999999999994</v>
      </c>
      <c r="CZ280" s="87">
        <f si="185" t="shared"/>
        <v>-25.246165419818681</v>
      </c>
      <c r="DA280" s="63">
        <f si="186" t="shared"/>
        <v>-6.0361977005760709E-2</v>
      </c>
    </row>
    <row r="281" spans="99:105" x14ac:dyDescent="0.45">
      <c r="CU281">
        <v>280</v>
      </c>
      <c r="CV281">
        <f si="187" t="shared"/>
        <v>14</v>
      </c>
      <c r="CW281">
        <f si="182" t="shared"/>
        <v>20</v>
      </c>
      <c r="CX281" s="44">
        <f si="183" t="shared"/>
        <v>3.6688260124545491</v>
      </c>
      <c r="CY281" s="44">
        <f si="184" t="shared"/>
        <v>0</v>
      </c>
      <c r="CZ281" s="87">
        <f si="185" t="shared"/>
        <v>-3.6688260124545491</v>
      </c>
      <c r="DA281" s="63">
        <f si="186" t="shared"/>
        <v>-1</v>
      </c>
    </row>
    <row r="282" spans="99:105" x14ac:dyDescent="0.45">
      <c r="CU282">
        <v>281</v>
      </c>
      <c r="CV282">
        <f si="187" t="shared"/>
        <v>15</v>
      </c>
      <c r="CW282">
        <f si="182" t="shared"/>
        <v>1</v>
      </c>
      <c r="CX282" s="44">
        <f si="183" t="shared"/>
        <v>878.69508139331356</v>
      </c>
      <c r="CY282" s="44">
        <f si="184" t="shared"/>
        <v>1050.0000000000002</v>
      </c>
      <c r="CZ282" s="87">
        <f si="185" t="shared"/>
        <v>171.30491860668667</v>
      </c>
      <c r="DA282" s="63">
        <f si="186" t="shared"/>
        <v>0.19495376978218079</v>
      </c>
    </row>
    <row r="283" spans="99:105" x14ac:dyDescent="0.45">
      <c r="CU283">
        <v>282</v>
      </c>
      <c r="CV283">
        <f si="187" t="shared"/>
        <v>15</v>
      </c>
      <c r="CW283">
        <f si="182" t="shared"/>
        <v>2</v>
      </c>
      <c r="CX283" s="44">
        <f si="183" t="shared"/>
        <v>1485.8620689655172</v>
      </c>
      <c r="CY283" s="44">
        <f si="184" t="shared"/>
        <v>1121.0000000000002</v>
      </c>
      <c r="CZ283" s="87">
        <f si="185" t="shared"/>
        <v>-364.86206896551698</v>
      </c>
      <c r="DA283" s="63">
        <f si="186" t="shared"/>
        <v>-0.24555581341378493</v>
      </c>
    </row>
    <row r="284" spans="99:105" x14ac:dyDescent="0.45">
      <c r="CU284">
        <v>283</v>
      </c>
      <c r="CV284">
        <f si="187" t="shared"/>
        <v>15</v>
      </c>
      <c r="CW284">
        <f si="182" t="shared"/>
        <v>3</v>
      </c>
      <c r="CX284" s="44">
        <f si="183" t="shared"/>
        <v>207.4172938911255</v>
      </c>
      <c r="CY284" s="44">
        <f si="184" t="shared"/>
        <v>487.00000000000011</v>
      </c>
      <c r="CZ284" s="87">
        <f si="185" t="shared"/>
        <v>279.58270610887462</v>
      </c>
      <c r="DA284" s="63">
        <f si="186" t="shared"/>
        <v>1.3479237958606729</v>
      </c>
    </row>
    <row r="285" spans="99:105" x14ac:dyDescent="0.45">
      <c r="CU285">
        <v>284</v>
      </c>
      <c r="CV285">
        <f si="187" t="shared"/>
        <v>15</v>
      </c>
      <c r="CW285">
        <f si="182" t="shared"/>
        <v>4</v>
      </c>
      <c r="CX285" s="44">
        <f si="183" t="shared"/>
        <v>312.06874671801154</v>
      </c>
      <c r="CY285" s="44">
        <f si="184" t="shared"/>
        <v>197.00000000000006</v>
      </c>
      <c r="CZ285" s="87">
        <f si="185" t="shared"/>
        <v>-115.06874671801148</v>
      </c>
      <c r="DA285" s="63">
        <f si="186" t="shared"/>
        <v>-0.36872883916821303</v>
      </c>
    </row>
    <row r="286" spans="99:105" x14ac:dyDescent="0.45">
      <c r="CU286">
        <v>285</v>
      </c>
      <c r="CV286">
        <f si="187" t="shared"/>
        <v>15</v>
      </c>
      <c r="CW286">
        <f si="182" t="shared"/>
        <v>5</v>
      </c>
      <c r="CX286" s="44">
        <f si="183" t="shared"/>
        <v>329.03925258183091</v>
      </c>
      <c r="CY286" s="44">
        <f si="184" t="shared"/>
        <v>219.00000000000006</v>
      </c>
      <c r="CZ286" s="87">
        <f si="185" t="shared"/>
        <v>-110.03925258183085</v>
      </c>
      <c r="DA286" s="63">
        <f si="186" t="shared"/>
        <v>-0.33442591337781036</v>
      </c>
    </row>
    <row r="287" spans="99:105" x14ac:dyDescent="0.45">
      <c r="CU287">
        <v>286</v>
      </c>
      <c r="CV287">
        <f si="187" t="shared"/>
        <v>15</v>
      </c>
      <c r="CW287">
        <f si="182" t="shared"/>
        <v>6</v>
      </c>
      <c r="CX287" s="44">
        <f si="183" t="shared"/>
        <v>1575.4286276912305</v>
      </c>
      <c r="CY287" s="44">
        <f si="184" t="shared"/>
        <v>1598.0000000000005</v>
      </c>
      <c r="CZ287" s="87">
        <f si="185" t="shared"/>
        <v>22.571372308769924</v>
      </c>
      <c r="DA287" s="63">
        <f si="186" t="shared"/>
        <v>1.4327130986471896E-2</v>
      </c>
    </row>
    <row r="288" spans="99:105" x14ac:dyDescent="0.45">
      <c r="CU288">
        <v>287</v>
      </c>
      <c r="CV288">
        <f si="187" t="shared"/>
        <v>15</v>
      </c>
      <c r="CW288">
        <f si="182" t="shared"/>
        <v>7</v>
      </c>
      <c r="CX288" s="44">
        <f si="183" t="shared"/>
        <v>2615.3435147908281</v>
      </c>
      <c r="CY288" s="44">
        <f si="184" t="shared"/>
        <v>2675.0000000000005</v>
      </c>
      <c r="CZ288" s="87">
        <f si="185" t="shared"/>
        <v>59.656485209172388</v>
      </c>
      <c r="DA288" s="63">
        <f si="186" t="shared"/>
        <v>2.2810191040599743E-2</v>
      </c>
    </row>
    <row r="289" spans="99:105" x14ac:dyDescent="0.45">
      <c r="CU289">
        <v>288</v>
      </c>
      <c r="CV289">
        <f si="187" t="shared"/>
        <v>15</v>
      </c>
      <c r="CW289">
        <f si="182" t="shared"/>
        <v>8</v>
      </c>
      <c r="CX289" s="44">
        <f si="183" t="shared"/>
        <v>33.941011727638717</v>
      </c>
      <c r="CY289" s="44">
        <f si="184" t="shared"/>
        <v>33.000000000000007</v>
      </c>
      <c r="CZ289" s="87">
        <f si="185" t="shared"/>
        <v>-0.94101172763870977</v>
      </c>
      <c r="DA289" s="63">
        <f si="186" t="shared"/>
        <v>-2.7724916840720711E-2</v>
      </c>
    </row>
    <row r="290" spans="99:105" x14ac:dyDescent="0.45">
      <c r="CU290">
        <v>289</v>
      </c>
      <c r="CV290">
        <f si="187" t="shared"/>
        <v>15</v>
      </c>
      <c r="CW290">
        <f si="182" t="shared"/>
        <v>9</v>
      </c>
      <c r="CX290" s="44">
        <f si="183" t="shared"/>
        <v>4748.9132242254509</v>
      </c>
      <c r="CY290" s="44">
        <f si="184" t="shared"/>
        <v>6598.0000000000018</v>
      </c>
      <c r="CZ290" s="87">
        <f si="185" t="shared"/>
        <v>1849.0867757745509</v>
      </c>
      <c r="DA290" s="63">
        <f si="186" t="shared"/>
        <v>0.38937051246627852</v>
      </c>
    </row>
    <row r="291" spans="99:105" x14ac:dyDescent="0.45">
      <c r="CU291">
        <v>290</v>
      </c>
      <c r="CV291">
        <f si="187" t="shared"/>
        <v>15</v>
      </c>
      <c r="CW291">
        <f si="182" t="shared"/>
        <v>10</v>
      </c>
      <c r="CX291" s="44">
        <f si="183" t="shared"/>
        <v>151.79174689305094</v>
      </c>
      <c r="CY291" s="44">
        <f si="184" t="shared"/>
        <v>126.00000000000003</v>
      </c>
      <c r="CZ291" s="87">
        <f si="185" t="shared"/>
        <v>-25.791746893050913</v>
      </c>
      <c r="DA291" s="63">
        <f si="186" t="shared"/>
        <v>-0.16991534402211736</v>
      </c>
    </row>
    <row r="292" spans="99:105" x14ac:dyDescent="0.45">
      <c r="CU292">
        <v>291</v>
      </c>
      <c r="CV292">
        <f si="187" t="shared"/>
        <v>15</v>
      </c>
      <c r="CW292">
        <f si="182" t="shared"/>
        <v>11</v>
      </c>
      <c r="CX292" s="44">
        <f si="183" t="shared"/>
        <v>735.38858743217224</v>
      </c>
      <c r="CY292" s="44">
        <f si="184" t="shared"/>
        <v>905.00000000000023</v>
      </c>
      <c r="CZ292" s="87">
        <f si="185" t="shared"/>
        <v>169.61141256782798</v>
      </c>
      <c r="DA292" s="63">
        <f si="186" t="shared"/>
        <v>0.23064188847433251</v>
      </c>
    </row>
    <row r="293" spans="99:105" x14ac:dyDescent="0.45">
      <c r="CU293">
        <v>292</v>
      </c>
      <c r="CV293">
        <f si="187" t="shared"/>
        <v>15</v>
      </c>
      <c r="CW293">
        <f si="182" t="shared"/>
        <v>12</v>
      </c>
      <c r="CX293" s="44">
        <f si="183" t="shared"/>
        <v>1677.2516628741466</v>
      </c>
      <c r="CY293" s="44">
        <f si="184" t="shared"/>
        <v>1395.0000000000002</v>
      </c>
      <c r="CZ293" s="87">
        <f si="185" t="shared"/>
        <v>-282.2516628741464</v>
      </c>
      <c r="DA293" s="63">
        <f si="186" t="shared"/>
        <v>-0.16828223761631489</v>
      </c>
    </row>
    <row r="294" spans="99:105" x14ac:dyDescent="0.45">
      <c r="CU294">
        <v>293</v>
      </c>
      <c r="CV294">
        <f si="187" t="shared"/>
        <v>15</v>
      </c>
      <c r="CW294">
        <f si="182" t="shared"/>
        <v>13</v>
      </c>
      <c r="CX294" s="44">
        <f si="183" t="shared"/>
        <v>3791.0224488009803</v>
      </c>
      <c r="CY294" s="44">
        <f si="184" t="shared"/>
        <v>5513.0000000000009</v>
      </c>
      <c r="CZ294" s="87">
        <f si="185" t="shared"/>
        <v>1721.9775511990206</v>
      </c>
      <c r="DA294" s="63">
        <f si="186" t="shared"/>
        <v>0.45422510007653621</v>
      </c>
    </row>
    <row r="295" spans="99:105" x14ac:dyDescent="0.45">
      <c r="CU295">
        <v>294</v>
      </c>
      <c r="CV295">
        <f si="187" t="shared"/>
        <v>15</v>
      </c>
      <c r="CW295">
        <f si="182" t="shared"/>
        <v>14</v>
      </c>
      <c r="CX295" s="44">
        <f si="183" t="shared"/>
        <v>15.084894101172765</v>
      </c>
      <c r="CY295" s="44">
        <f si="184" t="shared"/>
        <v>27.000000000000007</v>
      </c>
      <c r="CZ295" s="87">
        <f si="185" t="shared"/>
        <v>11.915105898827242</v>
      </c>
      <c r="DA295" s="63">
        <f si="186" t="shared"/>
        <v>0.78987003945230949</v>
      </c>
    </row>
    <row r="296" spans="99:105" x14ac:dyDescent="0.45">
      <c r="CU296">
        <v>295</v>
      </c>
      <c r="CV296">
        <f si="187" t="shared"/>
        <v>15</v>
      </c>
      <c r="CW296">
        <f si="182" t="shared"/>
        <v>15</v>
      </c>
      <c r="CX296" s="44">
        <f si="183" t="shared"/>
        <v>23419.298092070716</v>
      </c>
      <c r="CY296" s="44">
        <f si="184" t="shared"/>
        <v>19415.000000000004</v>
      </c>
      <c r="CZ296" s="87">
        <f si="185" t="shared"/>
        <v>-4004.2980920707123</v>
      </c>
      <c r="DA296" s="63">
        <f si="186" t="shared"/>
        <v>-0.17098283972167738</v>
      </c>
    </row>
    <row r="297" spans="99:105" x14ac:dyDescent="0.45">
      <c r="CU297">
        <v>296</v>
      </c>
      <c r="CV297">
        <f si="187" t="shared"/>
        <v>15</v>
      </c>
      <c r="CW297">
        <f si="182" t="shared"/>
        <v>16</v>
      </c>
      <c r="CX297" s="44">
        <f si="183" t="shared"/>
        <v>21.684535270435848</v>
      </c>
      <c r="CY297" s="44">
        <f si="184" t="shared"/>
        <v>14.000000000000004</v>
      </c>
      <c r="CZ297" s="87">
        <f si="185" t="shared"/>
        <v>-7.6845352704358447</v>
      </c>
      <c r="DA297" s="63">
        <f si="186" t="shared"/>
        <v>-0.35437860090609125</v>
      </c>
    </row>
    <row r="298" spans="99:105" x14ac:dyDescent="0.45">
      <c r="CU298">
        <v>297</v>
      </c>
      <c r="CV298">
        <f si="187" t="shared"/>
        <v>15</v>
      </c>
      <c r="CW298">
        <f si="182" t="shared"/>
        <v>17</v>
      </c>
      <c r="CX298" s="44">
        <f si="183" t="shared"/>
        <v>139.53527043584808</v>
      </c>
      <c r="CY298" s="44">
        <f si="184" t="shared"/>
        <v>95.000000000000014</v>
      </c>
      <c r="CZ298" s="87">
        <f si="185" t="shared"/>
        <v>-44.535270435848062</v>
      </c>
      <c r="DA298" s="63">
        <f si="186" t="shared"/>
        <v>-0.31916855356168417</v>
      </c>
    </row>
    <row r="299" spans="99:105" x14ac:dyDescent="0.45">
      <c r="CU299">
        <v>298</v>
      </c>
      <c r="CV299">
        <f si="187" t="shared"/>
        <v>15</v>
      </c>
      <c r="CW299">
        <f si="182" t="shared"/>
        <v>18</v>
      </c>
      <c r="CX299" s="44">
        <f si="183" t="shared"/>
        <v>104.65145282688604</v>
      </c>
      <c r="CY299" s="44">
        <f si="184" t="shared"/>
        <v>50.000000000000014</v>
      </c>
      <c r="CZ299" s="87">
        <f si="185" t="shared"/>
        <v>-54.651452826886029</v>
      </c>
      <c r="DA299" s="63">
        <f si="186" t="shared"/>
        <v>-0.52222354635907653</v>
      </c>
    </row>
    <row r="300" spans="99:105" x14ac:dyDescent="0.45">
      <c r="CU300">
        <v>299</v>
      </c>
      <c r="CV300">
        <f si="187" t="shared"/>
        <v>15</v>
      </c>
      <c r="CW300">
        <f si="182" t="shared"/>
        <v>19</v>
      </c>
      <c r="CX300" s="44">
        <f si="183" t="shared"/>
        <v>830.61198144582534</v>
      </c>
      <c r="CY300" s="44">
        <f si="184" t="shared"/>
        <v>1571.0000000000005</v>
      </c>
      <c r="CZ300" s="87">
        <f si="185" t="shared"/>
        <v>740.38801855417512</v>
      </c>
      <c r="DA300" s="63">
        <f si="186" t="shared"/>
        <v>0.89137652127940703</v>
      </c>
    </row>
    <row r="301" spans="99:105" x14ac:dyDescent="0.45">
      <c r="CU301">
        <v>300</v>
      </c>
      <c r="CV301">
        <f si="187" t="shared"/>
        <v>15</v>
      </c>
      <c r="CW301">
        <f si="182" t="shared"/>
        <v>20</v>
      </c>
      <c r="CX301" s="44">
        <f si="183" t="shared"/>
        <v>16.970505863819358</v>
      </c>
      <c r="CY301" s="44">
        <f si="184" t="shared"/>
        <v>1.0000000000000002</v>
      </c>
      <c r="CZ301" s="87">
        <f si="185" t="shared"/>
        <v>-15.970505863819358</v>
      </c>
      <c r="DA301" s="63">
        <f si="186" t="shared"/>
        <v>-0.94107423738428608</v>
      </c>
    </row>
    <row r="302" spans="99:105" x14ac:dyDescent="0.45">
      <c r="CU302">
        <v>301</v>
      </c>
      <c r="CV302">
        <f si="187" t="shared"/>
        <v>16</v>
      </c>
      <c r="CW302">
        <f si="182" t="shared"/>
        <v>1</v>
      </c>
      <c r="CX302" s="44">
        <f si="183" t="shared"/>
        <v>1219.2910514828604</v>
      </c>
      <c r="CY302" s="44">
        <f si="184" t="shared"/>
        <v>1117.9999999999998</v>
      </c>
      <c r="CZ302" s="87">
        <f si="185" t="shared"/>
        <v>-101.29105148286067</v>
      </c>
      <c r="DA302" s="63">
        <f si="186" t="shared"/>
        <v>-8.3073726621444424E-2</v>
      </c>
    </row>
    <row r="303" spans="99:105" x14ac:dyDescent="0.45">
      <c r="CU303">
        <v>302</v>
      </c>
      <c r="CV303">
        <f si="187" t="shared"/>
        <v>16</v>
      </c>
      <c r="CW303">
        <f si="182" t="shared"/>
        <v>2</v>
      </c>
      <c r="CX303" s="44">
        <f si="183" t="shared"/>
        <v>585.00808832969574</v>
      </c>
      <c r="CY303" s="44">
        <f si="184" t="shared"/>
        <v>445.99999999999989</v>
      </c>
      <c r="CZ303" s="87">
        <f si="185" t="shared"/>
        <v>-139.00808832969585</v>
      </c>
      <c r="DA303" s="63">
        <f si="186" t="shared"/>
        <v>-0.23761737846495282</v>
      </c>
    </row>
    <row r="304" spans="99:105" x14ac:dyDescent="0.45">
      <c r="CU304">
        <v>303</v>
      </c>
      <c r="CV304">
        <f si="187" t="shared"/>
        <v>16</v>
      </c>
      <c r="CW304">
        <f si="182" t="shared"/>
        <v>3</v>
      </c>
      <c r="CX304" s="44">
        <f si="183" t="shared"/>
        <v>319.76248555655411</v>
      </c>
      <c r="CY304" s="44">
        <f si="184" t="shared"/>
        <v>248.99999999999994</v>
      </c>
      <c r="CZ304" s="87">
        <f si="185" t="shared"/>
        <v>-70.762485556554168</v>
      </c>
      <c r="DA304" s="63">
        <f si="186" t="shared"/>
        <v>-0.22129702123559117</v>
      </c>
    </row>
    <row r="305" spans="99:105" x14ac:dyDescent="0.45">
      <c r="CU305">
        <v>304</v>
      </c>
      <c r="CV305">
        <f si="187" t="shared"/>
        <v>16</v>
      </c>
      <c r="CW305">
        <f si="182" t="shared"/>
        <v>4</v>
      </c>
      <c r="CX305" s="44">
        <f si="183" t="shared"/>
        <v>363.79535242007961</v>
      </c>
      <c r="CY305" s="44">
        <f si="184" t="shared"/>
        <v>303.99999999999994</v>
      </c>
      <c r="CZ305" s="87">
        <f si="185" t="shared"/>
        <v>-59.795352420079666</v>
      </c>
      <c r="DA305" s="63">
        <f si="186" t="shared"/>
        <v>-0.16436535547335177</v>
      </c>
    </row>
    <row r="306" spans="99:105" x14ac:dyDescent="0.45">
      <c r="CU306">
        <v>305</v>
      </c>
      <c r="CV306">
        <f si="187" t="shared"/>
        <v>16</v>
      </c>
      <c r="CW306">
        <f si="182" t="shared"/>
        <v>5</v>
      </c>
      <c r="CX306" s="44">
        <f si="183" t="shared"/>
        <v>510.57157529849786</v>
      </c>
      <c r="CY306" s="44">
        <f si="184" t="shared"/>
        <v>676.99999999999989</v>
      </c>
      <c r="CZ306" s="87">
        <f si="185" t="shared"/>
        <v>166.42842470150202</v>
      </c>
      <c r="DA306" s="63">
        <f si="186" t="shared"/>
        <v>0.32596492392707566</v>
      </c>
    </row>
    <row r="307" spans="99:105" x14ac:dyDescent="0.45">
      <c r="CU307">
        <v>306</v>
      </c>
      <c r="CV307">
        <f si="187" t="shared"/>
        <v>16</v>
      </c>
      <c r="CW307">
        <f si="182" t="shared"/>
        <v>6</v>
      </c>
      <c r="CX307" s="44">
        <f si="183" t="shared"/>
        <v>3137.8659648221851</v>
      </c>
      <c r="CY307" s="44">
        <f si="184" t="shared"/>
        <v>3085.9999999999991</v>
      </c>
      <c r="CZ307" s="87">
        <f si="185" t="shared"/>
        <v>-51.865964822186015</v>
      </c>
      <c r="DA307" s="63">
        <f si="186" t="shared"/>
        <v>-1.6529056818755841E-2</v>
      </c>
    </row>
    <row r="308" spans="99:105" x14ac:dyDescent="0.45">
      <c r="CU308">
        <v>307</v>
      </c>
      <c r="CV308">
        <f si="187" t="shared"/>
        <v>16</v>
      </c>
      <c r="CW308">
        <f si="182" t="shared"/>
        <v>7</v>
      </c>
      <c r="CX308" s="44">
        <f si="183" t="shared"/>
        <v>402.58621132366153</v>
      </c>
      <c r="CY308" s="44">
        <f si="184" t="shared"/>
        <v>380.99999999999994</v>
      </c>
      <c r="CZ308" s="87">
        <f si="185" t="shared"/>
        <v>-21.586211323661587</v>
      </c>
      <c r="DA308" s="63">
        <f si="186" t="shared"/>
        <v>-5.3618854090129842E-2</v>
      </c>
    </row>
    <row r="309" spans="99:105" x14ac:dyDescent="0.45">
      <c r="CU309">
        <v>308</v>
      </c>
      <c r="CV309">
        <f si="187" t="shared"/>
        <v>16</v>
      </c>
      <c r="CW309">
        <f si="182" t="shared"/>
        <v>8</v>
      </c>
      <c r="CX309" s="44">
        <f si="183" t="shared"/>
        <v>61.855693927333412</v>
      </c>
      <c r="CY309" s="44">
        <f si="184" t="shared"/>
        <v>27.999999999999993</v>
      </c>
      <c r="CZ309" s="87">
        <f si="185" t="shared"/>
        <v>-33.855693927333419</v>
      </c>
      <c r="DA309" s="63">
        <f si="186" t="shared"/>
        <v>-0.54733350768170641</v>
      </c>
    </row>
    <row r="310" spans="99:105" x14ac:dyDescent="0.45">
      <c r="CU310">
        <v>309</v>
      </c>
      <c r="CV310">
        <f si="187" t="shared"/>
        <v>16</v>
      </c>
      <c r="CW310">
        <f si="182" t="shared"/>
        <v>9</v>
      </c>
      <c r="CX310" s="44">
        <f si="183" t="shared"/>
        <v>412.02182565155988</v>
      </c>
      <c r="CY310" s="44">
        <f si="184" t="shared"/>
        <v>217.99999999999994</v>
      </c>
      <c r="CZ310" s="87">
        <f si="185" t="shared"/>
        <v>-194.02182565155994</v>
      </c>
      <c r="DA310" s="63">
        <f si="186" t="shared"/>
        <v>-0.47090181532189274</v>
      </c>
    </row>
    <row r="311" spans="99:105" x14ac:dyDescent="0.45">
      <c r="CU311">
        <v>310</v>
      </c>
      <c r="CV311">
        <f si="187" t="shared"/>
        <v>16</v>
      </c>
      <c r="CW311">
        <f si="182" t="shared"/>
        <v>10</v>
      </c>
      <c r="CX311" s="44">
        <f si="183" t="shared"/>
        <v>1755.024264989087</v>
      </c>
      <c r="CY311" s="44">
        <f si="184" t="shared"/>
        <v>1522.9999999999998</v>
      </c>
      <c r="CZ311" s="87">
        <f si="185" t="shared"/>
        <v>-232.02426498908721</v>
      </c>
      <c r="DA311" s="63">
        <f si="186" t="shared"/>
        <v>-0.13220573049486012</v>
      </c>
    </row>
    <row r="312" spans="99:105" x14ac:dyDescent="0.45">
      <c r="CU312">
        <v>311</v>
      </c>
      <c r="CV312">
        <f si="187" t="shared"/>
        <v>16</v>
      </c>
      <c r="CW312">
        <f si="182" t="shared"/>
        <v>11</v>
      </c>
      <c r="CX312" s="44">
        <f si="183" t="shared"/>
        <v>289.35883938888173</v>
      </c>
      <c r="CY312" s="44">
        <f si="184" t="shared"/>
        <v>139.99999999999997</v>
      </c>
      <c r="CZ312" s="87">
        <f si="185" t="shared"/>
        <v>-149.35883938888176</v>
      </c>
      <c r="DA312" s="63">
        <f si="186" t="shared"/>
        <v>-0.51617168393515711</v>
      </c>
    </row>
    <row r="313" spans="99:105" x14ac:dyDescent="0.45">
      <c r="CU313">
        <v>312</v>
      </c>
      <c r="CV313">
        <f si="187" t="shared"/>
        <v>16</v>
      </c>
      <c r="CW313">
        <f si="182" t="shared"/>
        <v>12</v>
      </c>
      <c r="CX313" s="44">
        <f si="183" t="shared"/>
        <v>4246.0264475542426</v>
      </c>
      <c r="CY313" s="44">
        <f si="184" t="shared"/>
        <v>5877.9999999999991</v>
      </c>
      <c r="CZ313" s="87">
        <f si="185" t="shared"/>
        <v>1631.9735524457565</v>
      </c>
      <c r="DA313" s="63">
        <f si="186" t="shared"/>
        <v>0.3843531293559867</v>
      </c>
    </row>
    <row r="314" spans="99:105" x14ac:dyDescent="0.45">
      <c r="CU314">
        <v>313</v>
      </c>
      <c r="CV314">
        <f si="187" t="shared"/>
        <v>16</v>
      </c>
      <c r="CW314">
        <f si="182" t="shared"/>
        <v>13</v>
      </c>
      <c r="CX314" s="44">
        <f si="183" t="shared"/>
        <v>62.904095519322119</v>
      </c>
      <c r="CY314" s="44">
        <f si="184" t="shared"/>
        <v>62.999999999999986</v>
      </c>
      <c r="CZ314" s="87">
        <f si="185" t="shared"/>
        <v>9.5904480677866388E-2</v>
      </c>
      <c r="DA314" s="63">
        <f si="186" t="shared"/>
        <v>1.5246142542246332E-3</v>
      </c>
    </row>
    <row r="315" spans="99:105" x14ac:dyDescent="0.45">
      <c r="CU315">
        <v>314</v>
      </c>
      <c r="CV315">
        <f si="187" t="shared"/>
        <v>16</v>
      </c>
      <c r="CW315">
        <f si="182" t="shared"/>
        <v>14</v>
      </c>
      <c r="CX315" s="44">
        <f si="183" t="shared"/>
        <v>32.500449351649763</v>
      </c>
      <c r="CY315" s="44">
        <f si="184" t="shared"/>
        <v>4.9999999999999991</v>
      </c>
      <c r="CZ315" s="87">
        <f si="185" t="shared"/>
        <v>-27.500449351649763</v>
      </c>
      <c r="DA315" s="63">
        <f si="186" t="shared"/>
        <v>-0.84615597323283798</v>
      </c>
    </row>
    <row r="316" spans="99:105" x14ac:dyDescent="0.45">
      <c r="CU316">
        <v>315</v>
      </c>
      <c r="CV316">
        <f si="187" t="shared"/>
        <v>16</v>
      </c>
      <c r="CW316">
        <f si="182" t="shared"/>
        <v>15</v>
      </c>
      <c r="CX316" s="44">
        <f si="183" t="shared"/>
        <v>11.532417511875723</v>
      </c>
      <c r="CY316" s="44">
        <f si="184" t="shared"/>
        <v>14.999999999999996</v>
      </c>
      <c r="CZ316" s="87">
        <f si="185" t="shared"/>
        <v>3.4675824881242736</v>
      </c>
      <c r="DA316" s="63">
        <f si="186" t="shared"/>
        <v>0.30068131721327862</v>
      </c>
    </row>
    <row r="317" spans="99:105" x14ac:dyDescent="0.45">
      <c r="CU317">
        <v>316</v>
      </c>
      <c r="CV317">
        <f si="187" t="shared"/>
        <v>16</v>
      </c>
      <c r="CW317">
        <f si="182" t="shared"/>
        <v>16</v>
      </c>
      <c r="CX317" s="44">
        <f si="183" t="shared"/>
        <v>2524.5510335087943</v>
      </c>
      <c r="CY317" s="44">
        <f si="184" t="shared"/>
        <v>1735.9999999999995</v>
      </c>
      <c r="CZ317" s="87">
        <f si="185" t="shared"/>
        <v>-788.55103350879472</v>
      </c>
      <c r="DA317" s="63">
        <f si="186" t="shared"/>
        <v>-0.31235297803142936</v>
      </c>
    </row>
    <row r="318" spans="99:105" x14ac:dyDescent="0.45">
      <c r="CU318">
        <v>317</v>
      </c>
      <c r="CV318">
        <f si="187" t="shared"/>
        <v>16</v>
      </c>
      <c r="CW318">
        <f si="182" t="shared"/>
        <v>17</v>
      </c>
      <c r="CX318" s="44">
        <f si="183" t="shared"/>
        <v>10.484015919887019</v>
      </c>
      <c r="CY318" s="44">
        <f si="184" t="shared"/>
        <v>4.9999999999999991</v>
      </c>
      <c r="CZ318" s="87">
        <f si="185" t="shared"/>
        <v>-5.4840159198870202</v>
      </c>
      <c r="DA318" s="63">
        <f si="186" t="shared"/>
        <v>-0.52308351702179778</v>
      </c>
    </row>
    <row r="319" spans="99:105" x14ac:dyDescent="0.45">
      <c r="CU319">
        <v>318</v>
      </c>
      <c r="CV319">
        <f si="187" t="shared"/>
        <v>16</v>
      </c>
      <c r="CW319">
        <f si="182" t="shared"/>
        <v>18</v>
      </c>
      <c r="CX319" s="44">
        <f si="183" t="shared"/>
        <v>247.42277570933365</v>
      </c>
      <c r="CY319" s="44">
        <f si="184" t="shared"/>
        <v>352.99999999999994</v>
      </c>
      <c r="CZ319" s="87">
        <f si="185" t="shared"/>
        <v>105.57722429066629</v>
      </c>
      <c r="DA319" s="63">
        <f si="186" t="shared"/>
        <v>0.42670778382462204</v>
      </c>
    </row>
    <row r="320" spans="99:105" x14ac:dyDescent="0.45">
      <c r="CU320">
        <v>319</v>
      </c>
      <c r="CV320">
        <f si="187" t="shared"/>
        <v>16</v>
      </c>
      <c r="CW320">
        <f si="182" t="shared"/>
        <v>19</v>
      </c>
      <c r="CX320" s="44">
        <f si="183" t="shared"/>
        <v>67.097701887276926</v>
      </c>
      <c r="CY320" s="44">
        <f si="184" t="shared"/>
        <v>3.9999999999999991</v>
      </c>
      <c r="CZ320" s="87">
        <f si="185" t="shared"/>
        <v>-63.097701887276926</v>
      </c>
      <c r="DA320" s="63">
        <f si="186" t="shared"/>
        <v>-0.9403854396277247</v>
      </c>
    </row>
    <row r="321" spans="99:105" x14ac:dyDescent="0.45">
      <c r="CU321">
        <v>320</v>
      </c>
      <c r="CV321">
        <f si="187" t="shared"/>
        <v>16</v>
      </c>
      <c r="CW321">
        <f si="182" t="shared"/>
        <v>20</v>
      </c>
      <c r="CX321" s="44">
        <f si="183" t="shared"/>
        <v>72.339709847220433</v>
      </c>
      <c r="CY321" s="44">
        <f si="184" t="shared"/>
        <v>102.99999999999997</v>
      </c>
      <c r="CZ321" s="87">
        <f si="185" t="shared"/>
        <v>30.660290152779538</v>
      </c>
      <c r="DA321" s="63">
        <f si="186" t="shared"/>
        <v>0.42383761584796603</v>
      </c>
    </row>
    <row r="322" spans="99:105" x14ac:dyDescent="0.45">
      <c r="CU322">
        <v>321</v>
      </c>
      <c r="CV322">
        <f si="187" t="shared"/>
        <v>17</v>
      </c>
      <c r="CW322">
        <f si="182" t="shared"/>
        <v>1</v>
      </c>
      <c r="CX322" s="44">
        <f si="183" t="shared"/>
        <v>869.27234803337308</v>
      </c>
      <c r="CY322" s="44">
        <f si="184" t="shared"/>
        <v>1068</v>
      </c>
      <c r="CZ322" s="87">
        <f si="185" t="shared"/>
        <v>198.72765196662692</v>
      </c>
      <c r="DA322" s="63">
        <f si="186" t="shared"/>
        <v>0.22861379683389788</v>
      </c>
    </row>
    <row r="323" spans="99:105" x14ac:dyDescent="0.45">
      <c r="CU323">
        <v>322</v>
      </c>
      <c r="CV323">
        <f si="187" t="shared"/>
        <v>17</v>
      </c>
      <c r="CW323">
        <f ref="CW323:CW386" si="188" t="shared">MOD(ROW()-2,$CS$2)+1</f>
        <v>2</v>
      </c>
      <c r="CX323" s="44">
        <f ref="CX323:CX386" si="189" t="shared">VLOOKUP($CV323,$B$30:$V$49,MATCH($CW323,$B$29:$V$29,0),0)</f>
        <v>934.01668653158515</v>
      </c>
      <c r="CY323" s="44">
        <f ref="CY323:CY386" si="190" t="shared">VLOOKUP($CV323,$AY$30:$BS$49,MATCH($CW323,$AY$29:$BS$29,0),0)</f>
        <v>437</v>
      </c>
      <c r="CZ323" s="87">
        <f ref="CZ323:CZ386" si="191" t="shared">CY323-CX323</f>
        <v>-497.01668653158515</v>
      </c>
      <c r="DA323" s="63">
        <f ref="DA323:DA386" si="192" t="shared">CZ323/CX323</f>
        <v>-0.53212827318666733</v>
      </c>
    </row>
    <row r="324" spans="99:105" x14ac:dyDescent="0.45">
      <c r="CU324">
        <v>323</v>
      </c>
      <c r="CV324">
        <f ref="CV324:CV387" si="193" t="shared">IF(CW323&lt;$CS$2,CV323,CV323+1)</f>
        <v>17</v>
      </c>
      <c r="CW324">
        <f si="188" t="shared"/>
        <v>3</v>
      </c>
      <c r="CX324" s="44">
        <f si="189" t="shared"/>
        <v>388.46603098927295</v>
      </c>
      <c r="CY324" s="44">
        <f si="190" t="shared"/>
        <v>770</v>
      </c>
      <c r="CZ324" s="87">
        <f si="191" t="shared"/>
        <v>381.53396901072705</v>
      </c>
      <c r="DA324" s="63">
        <f si="192" t="shared"/>
        <v>0.98215529434866511</v>
      </c>
    </row>
    <row r="325" spans="99:105" x14ac:dyDescent="0.45">
      <c r="CU325">
        <v>324</v>
      </c>
      <c r="CV325">
        <f si="193" t="shared"/>
        <v>17</v>
      </c>
      <c r="CW325">
        <f si="188" t="shared"/>
        <v>4</v>
      </c>
      <c r="CX325" s="44">
        <f si="189" t="shared"/>
        <v>418.18474374255067</v>
      </c>
      <c r="CY325" s="44">
        <f si="190" t="shared"/>
        <v>390</v>
      </c>
      <c r="CZ325" s="87">
        <f si="191" t="shared"/>
        <v>-28.184743742550666</v>
      </c>
      <c r="DA325" s="63">
        <f si="192" t="shared"/>
        <v>-6.7397828745044297E-2</v>
      </c>
    </row>
    <row r="326" spans="99:105" x14ac:dyDescent="0.45">
      <c r="CU326">
        <v>325</v>
      </c>
      <c r="CV326">
        <f si="193" t="shared"/>
        <v>17</v>
      </c>
      <c r="CW326">
        <f si="188" t="shared"/>
        <v>5</v>
      </c>
      <c r="CX326" s="44">
        <f si="189" t="shared"/>
        <v>372.54529201430279</v>
      </c>
      <c r="CY326" s="44">
        <f si="190" t="shared"/>
        <v>271</v>
      </c>
      <c r="CZ326" s="87">
        <f si="191" t="shared"/>
        <v>-101.54529201430279</v>
      </c>
      <c r="DA326" s="63">
        <f si="192" t="shared"/>
        <v>-0.27257166897818225</v>
      </c>
    </row>
    <row r="327" spans="99:105" x14ac:dyDescent="0.45">
      <c r="CU327">
        <v>326</v>
      </c>
      <c r="CV327">
        <f si="193" t="shared"/>
        <v>17</v>
      </c>
      <c r="CW327">
        <f si="188" t="shared"/>
        <v>6</v>
      </c>
      <c r="CX327" s="44">
        <f si="189" t="shared"/>
        <v>1568.7234803337305</v>
      </c>
      <c r="CY327" s="44">
        <f si="190" t="shared"/>
        <v>1310</v>
      </c>
      <c r="CZ327" s="87">
        <f si="191" t="shared"/>
        <v>-258.72348033373055</v>
      </c>
      <c r="DA327" s="63">
        <f si="192" t="shared"/>
        <v>-0.16492612214785596</v>
      </c>
    </row>
    <row r="328" spans="99:105" x14ac:dyDescent="0.45">
      <c r="CU328">
        <v>327</v>
      </c>
      <c r="CV328">
        <f si="193" t="shared"/>
        <v>17</v>
      </c>
      <c r="CW328">
        <f si="188" t="shared"/>
        <v>7</v>
      </c>
      <c r="CX328" s="44">
        <f si="189" t="shared"/>
        <v>504.15673420738977</v>
      </c>
      <c r="CY328" s="44">
        <f si="190" t="shared"/>
        <v>208</v>
      </c>
      <c r="CZ328" s="87">
        <f si="191" t="shared"/>
        <v>-296.15673420738977</v>
      </c>
      <c r="DA328" s="63">
        <f si="192" t="shared"/>
        <v>-0.58742988859008838</v>
      </c>
    </row>
    <row r="329" spans="99:105" x14ac:dyDescent="0.45">
      <c r="CU329">
        <v>328</v>
      </c>
      <c r="CV329">
        <f si="193" t="shared"/>
        <v>17</v>
      </c>
      <c r="CW329">
        <f si="188" t="shared"/>
        <v>8</v>
      </c>
      <c r="CX329" s="44">
        <f si="189" t="shared"/>
        <v>285.51191895113232</v>
      </c>
      <c r="CY329" s="44">
        <f si="190" t="shared"/>
        <v>129</v>
      </c>
      <c r="CZ329" s="87">
        <f si="191" t="shared"/>
        <v>-156.51191895113232</v>
      </c>
      <c r="DA329" s="63">
        <f si="192" t="shared"/>
        <v>-0.54817998325989536</v>
      </c>
    </row>
    <row r="330" spans="99:105" x14ac:dyDescent="0.45">
      <c r="CU330">
        <v>329</v>
      </c>
      <c r="CV330">
        <f si="193" t="shared"/>
        <v>17</v>
      </c>
      <c r="CW330">
        <f si="188" t="shared"/>
        <v>9</v>
      </c>
      <c r="CX330" s="44">
        <f si="189" t="shared"/>
        <v>588.0059594755661</v>
      </c>
      <c r="CY330" s="44">
        <f si="190" t="shared"/>
        <v>699</v>
      </c>
      <c r="CZ330" s="87">
        <f si="191" t="shared"/>
        <v>110.9940405244339</v>
      </c>
      <c r="DA330" s="63">
        <f si="192" t="shared"/>
        <v>0.18876346189318874</v>
      </c>
    </row>
    <row r="331" spans="99:105" x14ac:dyDescent="0.45">
      <c r="CU331">
        <v>330</v>
      </c>
      <c r="CV331">
        <f si="193" t="shared"/>
        <v>17</v>
      </c>
      <c r="CW331">
        <f si="188" t="shared"/>
        <v>10</v>
      </c>
      <c r="CX331" s="44">
        <f si="189" t="shared"/>
        <v>122.05899880810487</v>
      </c>
      <c r="CY331" s="44">
        <f si="190" t="shared"/>
        <v>199</v>
      </c>
      <c r="CZ331" s="87">
        <f si="191" t="shared"/>
        <v>76.941001191895126</v>
      </c>
      <c r="DA331" s="63">
        <f si="192" t="shared"/>
        <v>0.63035910455777178</v>
      </c>
    </row>
    <row r="332" spans="99:105" x14ac:dyDescent="0.45">
      <c r="CU332">
        <v>331</v>
      </c>
      <c r="CV332">
        <f si="193" t="shared"/>
        <v>17</v>
      </c>
      <c r="CW332">
        <f si="188" t="shared"/>
        <v>11</v>
      </c>
      <c r="CX332" s="44">
        <f si="189" t="shared"/>
        <v>3828.4070321811682</v>
      </c>
      <c r="CY332" s="44">
        <f si="190" t="shared"/>
        <v>4689</v>
      </c>
      <c r="CZ332" s="87">
        <f si="191" t="shared"/>
        <v>860.59296781883177</v>
      </c>
      <c r="DA332" s="63">
        <f si="192" t="shared"/>
        <v>0.22479139772359155</v>
      </c>
    </row>
    <row r="333" spans="99:105" x14ac:dyDescent="0.45">
      <c r="CU333">
        <v>332</v>
      </c>
      <c r="CV333">
        <f si="193" t="shared"/>
        <v>17</v>
      </c>
      <c r="CW333">
        <f si="188" t="shared"/>
        <v>12</v>
      </c>
      <c r="CX333" s="44">
        <f si="189" t="shared"/>
        <v>633.64541120381409</v>
      </c>
      <c r="CY333" s="44">
        <f si="190" t="shared"/>
        <v>551</v>
      </c>
      <c r="CZ333" s="87">
        <f si="191" t="shared"/>
        <v>-82.645411203814092</v>
      </c>
      <c r="DA333" s="63">
        <f si="192" t="shared"/>
        <v>-0.13042848530505799</v>
      </c>
    </row>
    <row r="334" spans="99:105" x14ac:dyDescent="0.45">
      <c r="CU334">
        <v>333</v>
      </c>
      <c r="CV334">
        <f si="193" t="shared"/>
        <v>17</v>
      </c>
      <c r="CW334">
        <f si="188" t="shared"/>
        <v>13</v>
      </c>
      <c r="CX334" s="44">
        <f si="189" t="shared"/>
        <v>165.5756853396901</v>
      </c>
      <c r="CY334" s="44">
        <f si="190" t="shared"/>
        <v>23</v>
      </c>
      <c r="CZ334" s="87">
        <f si="191" t="shared"/>
        <v>-142.5756853396901</v>
      </c>
      <c r="DA334" s="63">
        <f si="192" t="shared"/>
        <v>-0.86109071538605508</v>
      </c>
    </row>
    <row r="335" spans="99:105" x14ac:dyDescent="0.45">
      <c r="CU335">
        <v>334</v>
      </c>
      <c r="CV335">
        <f si="193" t="shared"/>
        <v>17</v>
      </c>
      <c r="CW335">
        <f si="188" t="shared"/>
        <v>14</v>
      </c>
      <c r="CX335" s="44">
        <f si="189" t="shared"/>
        <v>1617.5470798569725</v>
      </c>
      <c r="CY335" s="44">
        <f si="190" t="shared"/>
        <v>2674</v>
      </c>
      <c r="CZ335" s="87">
        <f si="191" t="shared"/>
        <v>1056.4529201430275</v>
      </c>
      <c r="DA335" s="63">
        <f si="192" t="shared"/>
        <v>0.65312035321806017</v>
      </c>
    </row>
    <row r="336" spans="99:105" x14ac:dyDescent="0.45">
      <c r="CU336">
        <v>335</v>
      </c>
      <c r="CV336">
        <f si="193" t="shared"/>
        <v>17</v>
      </c>
      <c r="CW336">
        <f si="188" t="shared"/>
        <v>15</v>
      </c>
      <c r="CX336" s="44">
        <f si="189" t="shared"/>
        <v>159.20738974970203</v>
      </c>
      <c r="CY336" s="44">
        <f si="190" t="shared"/>
        <v>161</v>
      </c>
      <c r="CZ336" s="87">
        <f si="191" t="shared"/>
        <v>1.7926102502979688</v>
      </c>
      <c r="DA336" s="63">
        <f si="192" t="shared"/>
        <v>1.1259591989518966E-2</v>
      </c>
    </row>
    <row r="337" spans="99:105" x14ac:dyDescent="0.45">
      <c r="CU337">
        <v>336</v>
      </c>
      <c r="CV337">
        <f si="193" t="shared"/>
        <v>17</v>
      </c>
      <c r="CW337">
        <f si="188" t="shared"/>
        <v>16</v>
      </c>
      <c r="CX337" s="44">
        <f si="189" t="shared"/>
        <v>10.613825983313468</v>
      </c>
      <c r="CY337" s="44">
        <f si="190" t="shared"/>
        <v>16</v>
      </c>
      <c r="CZ337" s="87">
        <f si="191" t="shared"/>
        <v>5.3861740166865317</v>
      </c>
      <c r="DA337" s="63">
        <f si="192" t="shared"/>
        <v>0.50746771476698482</v>
      </c>
    </row>
    <row r="338" spans="99:105" x14ac:dyDescent="0.45">
      <c r="CU338">
        <v>337</v>
      </c>
      <c r="CV338">
        <f si="193" t="shared"/>
        <v>17</v>
      </c>
      <c r="CW338">
        <f si="188" t="shared"/>
        <v>17</v>
      </c>
      <c r="CX338" s="44">
        <f si="189" t="shared"/>
        <v>7493.3611442193078</v>
      </c>
      <c r="CY338" s="44">
        <f si="190" t="shared"/>
        <v>6503</v>
      </c>
      <c r="CZ338" s="87">
        <f si="191" t="shared"/>
        <v>-990.36114421930779</v>
      </c>
      <c r="DA338" s="63">
        <f si="192" t="shared"/>
        <v>-0.13216514260537326</v>
      </c>
    </row>
    <row r="339" spans="99:105" x14ac:dyDescent="0.45">
      <c r="CU339">
        <v>338</v>
      </c>
      <c r="CV339">
        <f si="193" t="shared"/>
        <v>17</v>
      </c>
      <c r="CW339">
        <f si="188" t="shared"/>
        <v>18</v>
      </c>
      <c r="CX339" s="44">
        <f si="189" t="shared"/>
        <v>0</v>
      </c>
      <c r="CY339" s="44">
        <f si="190" t="shared"/>
        <v>3</v>
      </c>
      <c r="CZ339" s="87">
        <f si="191" t="shared"/>
        <v>3</v>
      </c>
      <c r="DA339" s="63" t="e">
        <f si="192" t="shared"/>
        <v>#DIV/0!</v>
      </c>
    </row>
    <row r="340" spans="99:105" x14ac:dyDescent="0.45">
      <c r="CU340">
        <v>339</v>
      </c>
      <c r="CV340">
        <f si="193" t="shared"/>
        <v>17</v>
      </c>
      <c r="CW340">
        <f si="188" t="shared"/>
        <v>19</v>
      </c>
      <c r="CX340" s="44">
        <f si="189" t="shared"/>
        <v>3188.3933253873661</v>
      </c>
      <c r="CY340" s="44">
        <f si="190" t="shared"/>
        <v>3052</v>
      </c>
      <c r="CZ340" s="87">
        <f si="191" t="shared"/>
        <v>-136.39332538736608</v>
      </c>
      <c r="DA340" s="63">
        <f si="192" t="shared"/>
        <v>-4.2778073928753851E-2</v>
      </c>
    </row>
    <row r="341" spans="99:105" x14ac:dyDescent="0.45">
      <c r="CU341">
        <v>340</v>
      </c>
      <c r="CV341">
        <f si="193" t="shared"/>
        <v>17</v>
      </c>
      <c r="CW341">
        <f si="188" t="shared"/>
        <v>20</v>
      </c>
      <c r="CX341" s="44">
        <f si="189" t="shared"/>
        <v>5.3069129916567341</v>
      </c>
      <c r="CY341" s="44">
        <f si="190" t="shared"/>
        <v>0</v>
      </c>
      <c r="CZ341" s="87">
        <f si="191" t="shared"/>
        <v>-5.3069129916567341</v>
      </c>
      <c r="DA341" s="63">
        <f si="192" t="shared"/>
        <v>-1</v>
      </c>
    </row>
    <row r="342" spans="99:105" x14ac:dyDescent="0.45">
      <c r="CU342">
        <v>341</v>
      </c>
      <c r="CV342">
        <f si="193" t="shared"/>
        <v>18</v>
      </c>
      <c r="CW342">
        <f si="188" t="shared"/>
        <v>1</v>
      </c>
      <c r="CX342" s="44">
        <f si="189" t="shared"/>
        <v>1108.0176538088092</v>
      </c>
      <c r="CY342" s="44">
        <f si="190" t="shared"/>
        <v>994</v>
      </c>
      <c r="CZ342" s="87">
        <f si="191" t="shared"/>
        <v>-114.0176538088092</v>
      </c>
      <c r="DA342" s="63">
        <f si="192" t="shared"/>
        <v>-0.10290238013525657</v>
      </c>
    </row>
    <row r="343" spans="99:105" x14ac:dyDescent="0.45">
      <c r="CU343">
        <v>342</v>
      </c>
      <c r="CV343">
        <f si="193" t="shared"/>
        <v>18</v>
      </c>
      <c r="CW343">
        <f si="188" t="shared"/>
        <v>2</v>
      </c>
      <c r="CX343" s="44">
        <f si="189" t="shared"/>
        <v>914.05649218818951</v>
      </c>
      <c r="CY343" s="44">
        <f si="190" t="shared"/>
        <v>685</v>
      </c>
      <c r="CZ343" s="87">
        <f si="191" t="shared"/>
        <v>-229.05649218818951</v>
      </c>
      <c r="DA343" s="63">
        <f si="192" t="shared"/>
        <v>-0.25059336501165669</v>
      </c>
    </row>
    <row r="344" spans="99:105" x14ac:dyDescent="0.45">
      <c r="CU344">
        <v>343</v>
      </c>
      <c r="CV344">
        <f si="193" t="shared"/>
        <v>18</v>
      </c>
      <c r="CW344">
        <f si="188" t="shared"/>
        <v>3</v>
      </c>
      <c r="CX344" s="44">
        <f si="189" t="shared"/>
        <v>356.56333303910321</v>
      </c>
      <c r="CY344" s="44">
        <f si="190" t="shared"/>
        <v>237</v>
      </c>
      <c r="CZ344" s="87">
        <f si="191" t="shared"/>
        <v>-119.56333303910321</v>
      </c>
      <c r="DA344" s="63">
        <f si="192" t="shared"/>
        <v>-0.3353214477215779</v>
      </c>
    </row>
    <row r="345" spans="99:105" x14ac:dyDescent="0.45">
      <c r="CU345">
        <v>344</v>
      </c>
      <c r="CV345">
        <f si="193" t="shared"/>
        <v>18</v>
      </c>
      <c r="CW345">
        <f si="188" t="shared"/>
        <v>4</v>
      </c>
      <c r="CX345" s="44">
        <f si="189" t="shared"/>
        <v>428.57286609586015</v>
      </c>
      <c r="CY345" s="44">
        <f si="190" t="shared"/>
        <v>197</v>
      </c>
      <c r="CZ345" s="87">
        <f si="191" t="shared"/>
        <v>-231.57286609586015</v>
      </c>
      <c r="DA345" s="63">
        <f si="192" t="shared"/>
        <v>-0.54033487515297707</v>
      </c>
    </row>
    <row r="346" spans="99:105" x14ac:dyDescent="0.45">
      <c r="CU346">
        <v>345</v>
      </c>
      <c r="CV346">
        <f si="193" t="shared"/>
        <v>18</v>
      </c>
      <c r="CW346">
        <f si="188" t="shared"/>
        <v>5</v>
      </c>
      <c r="CX346" s="44">
        <f si="189" t="shared"/>
        <v>829.27107423426605</v>
      </c>
      <c r="CY346" s="44">
        <f si="190" t="shared"/>
        <v>337</v>
      </c>
      <c r="CZ346" s="87">
        <f si="191" t="shared"/>
        <v>-492.27107423426605</v>
      </c>
      <c r="DA346" s="63">
        <f si="192" t="shared"/>
        <v>-0.59361901015156027</v>
      </c>
    </row>
    <row r="347" spans="99:105" x14ac:dyDescent="0.45">
      <c r="CU347">
        <v>346</v>
      </c>
      <c r="CV347">
        <f si="193" t="shared"/>
        <v>18</v>
      </c>
      <c r="CW347">
        <f si="188" t="shared"/>
        <v>6</v>
      </c>
      <c r="CX347" s="44">
        <f si="189" t="shared"/>
        <v>3036.0148291993996</v>
      </c>
      <c r="CY347" s="44">
        <f si="190" t="shared"/>
        <v>2219</v>
      </c>
      <c r="CZ347" s="87">
        <f si="191" t="shared"/>
        <v>-817.01482919939963</v>
      </c>
      <c r="DA347" s="63">
        <f si="192" t="shared"/>
        <v>-0.26910765433080819</v>
      </c>
    </row>
    <row r="348" spans="99:105" x14ac:dyDescent="0.45">
      <c r="CU348">
        <v>347</v>
      </c>
      <c r="CV348">
        <f si="193" t="shared"/>
        <v>18</v>
      </c>
      <c r="CW348">
        <f si="188" t="shared"/>
        <v>7</v>
      </c>
      <c r="CX348" s="44">
        <f si="189" t="shared"/>
        <v>2857.1524406390681</v>
      </c>
      <c r="CY348" s="44">
        <f si="190" t="shared"/>
        <v>2674</v>
      </c>
      <c r="CZ348" s="87">
        <f si="191" t="shared"/>
        <v>-183.15244063906812</v>
      </c>
      <c r="DA348" s="63">
        <f si="192" t="shared"/>
        <v>-6.4103139207406748E-2</v>
      </c>
    </row>
    <row r="349" spans="99:105" x14ac:dyDescent="0.45">
      <c r="CU349">
        <v>348</v>
      </c>
      <c r="CV349">
        <f si="193" t="shared"/>
        <v>18</v>
      </c>
      <c r="CW349">
        <f si="188" t="shared"/>
        <v>8</v>
      </c>
      <c r="CX349" s="44">
        <f si="189" t="shared"/>
        <v>91.754082443287146</v>
      </c>
      <c r="CY349" s="44">
        <f si="190" t="shared"/>
        <v>17</v>
      </c>
      <c r="CZ349" s="87">
        <f si="191" t="shared"/>
        <v>-74.754082443287146</v>
      </c>
      <c r="DA349" s="63">
        <f si="192" t="shared"/>
        <v>-0.81472214045072455</v>
      </c>
    </row>
    <row r="350" spans="99:105" x14ac:dyDescent="0.45">
      <c r="CU350">
        <v>349</v>
      </c>
      <c r="CV350">
        <f si="193" t="shared"/>
        <v>18</v>
      </c>
      <c r="CW350">
        <f si="188" t="shared"/>
        <v>9</v>
      </c>
      <c r="CX350" s="44">
        <f si="189" t="shared"/>
        <v>514.51972813134432</v>
      </c>
      <c r="CY350" s="44">
        <f si="190" t="shared"/>
        <v>470</v>
      </c>
      <c r="CZ350" s="87">
        <f si="191" t="shared"/>
        <v>-44.519728131344323</v>
      </c>
      <c r="DA350" s="63">
        <f si="192" t="shared"/>
        <v>-8.6526766025149429E-2</v>
      </c>
    </row>
    <row r="351" spans="99:105" x14ac:dyDescent="0.45">
      <c r="CU351">
        <v>350</v>
      </c>
      <c r="CV351">
        <f si="193" t="shared"/>
        <v>18</v>
      </c>
      <c r="CW351">
        <f si="188" t="shared"/>
        <v>10</v>
      </c>
      <c r="CX351" s="44">
        <f si="189" t="shared"/>
        <v>312.42845793980052</v>
      </c>
      <c r="CY351" s="44">
        <f si="190" t="shared"/>
        <v>407</v>
      </c>
      <c r="CZ351" s="87">
        <f si="191" t="shared"/>
        <v>94.571542060199477</v>
      </c>
      <c r="DA351" s="63">
        <f si="192" t="shared"/>
        <v>0.30269823268923135</v>
      </c>
    </row>
    <row r="352" spans="99:105" x14ac:dyDescent="0.45">
      <c r="CU352">
        <v>351</v>
      </c>
      <c r="CV352">
        <f si="193" t="shared"/>
        <v>18</v>
      </c>
      <c r="CW352">
        <f si="188" t="shared"/>
        <v>11</v>
      </c>
      <c r="CX352" s="44">
        <f si="189" t="shared"/>
        <v>149.82628652131697</v>
      </c>
      <c r="CY352" s="44">
        <f si="190" t="shared"/>
        <v>100</v>
      </c>
      <c r="CZ352" s="87">
        <f si="191" t="shared"/>
        <v>-49.826286521316973</v>
      </c>
      <c r="DA352" s="63">
        <f si="192" t="shared"/>
        <v>-0.33256037827666368</v>
      </c>
    </row>
    <row r="353" spans="99:105" x14ac:dyDescent="0.45">
      <c r="CU353">
        <v>352</v>
      </c>
      <c r="CV353">
        <f si="193" t="shared"/>
        <v>18</v>
      </c>
      <c r="CW353">
        <f si="188" t="shared"/>
        <v>12</v>
      </c>
      <c r="CX353" s="44">
        <f si="189" t="shared"/>
        <v>17469.280430752933</v>
      </c>
      <c r="CY353" s="44">
        <f si="190" t="shared"/>
        <v>21786</v>
      </c>
      <c r="CZ353" s="87">
        <f si="191" t="shared"/>
        <v>4316.7195692470668</v>
      </c>
      <c r="DA353" s="63">
        <f si="192" t="shared"/>
        <v>0.24710345605580358</v>
      </c>
    </row>
    <row r="354" spans="99:105" x14ac:dyDescent="0.45">
      <c r="CU354">
        <v>353</v>
      </c>
      <c r="CV354">
        <f si="193" t="shared"/>
        <v>18</v>
      </c>
      <c r="CW354">
        <f si="188" t="shared"/>
        <v>13</v>
      </c>
      <c r="CX354" s="44">
        <f si="189" t="shared"/>
        <v>6398.3954453173274</v>
      </c>
      <c r="CY354" s="44">
        <f si="190" t="shared"/>
        <v>7651</v>
      </c>
      <c r="CZ354" s="87">
        <f si="191" t="shared"/>
        <v>1252.6045546826726</v>
      </c>
      <c r="DA354" s="63">
        <f si="192" t="shared"/>
        <v>0.19576854312738556</v>
      </c>
    </row>
    <row r="355" spans="99:105" x14ac:dyDescent="0.45">
      <c r="CU355">
        <v>354</v>
      </c>
      <c r="CV355">
        <f si="193" t="shared"/>
        <v>18</v>
      </c>
      <c r="CW355">
        <f si="188" t="shared"/>
        <v>14</v>
      </c>
      <c r="CX355" s="44">
        <f si="189" t="shared"/>
        <v>10.452996734045369</v>
      </c>
      <c r="CY355" s="44">
        <f si="190" t="shared"/>
        <v>9</v>
      </c>
      <c r="CZ355" s="87">
        <f si="191" t="shared"/>
        <v>-1.4529967340453691</v>
      </c>
      <c r="DA355" s="63">
        <f si="192" t="shared"/>
        <v>-0.13900288797689608</v>
      </c>
    </row>
    <row r="356" spans="99:105" x14ac:dyDescent="0.45">
      <c r="CU356">
        <v>355</v>
      </c>
      <c r="CV356">
        <f si="193" t="shared"/>
        <v>18</v>
      </c>
      <c r="CW356">
        <f si="188" t="shared"/>
        <v>15</v>
      </c>
      <c r="CX356" s="44">
        <f si="189" t="shared"/>
        <v>186.99249713125607</v>
      </c>
      <c r="CY356" s="44">
        <f si="190" t="shared"/>
        <v>118</v>
      </c>
      <c r="CZ356" s="87">
        <f si="191" t="shared"/>
        <v>-68.992497131256073</v>
      </c>
      <c r="DA356" s="63">
        <f si="192" t="shared"/>
        <v>-0.36895863839300469</v>
      </c>
    </row>
    <row r="357" spans="99:105" x14ac:dyDescent="0.45">
      <c r="CU357">
        <v>356</v>
      </c>
      <c r="CV357">
        <f si="193" t="shared"/>
        <v>18</v>
      </c>
      <c r="CW357">
        <f si="188" t="shared"/>
        <v>16</v>
      </c>
      <c r="CX357" s="44">
        <f si="189" t="shared"/>
        <v>240.4189248830435</v>
      </c>
      <c r="CY357" s="44">
        <f si="190" t="shared"/>
        <v>241</v>
      </c>
      <c r="CZ357" s="87">
        <f si="191" t="shared"/>
        <v>0.58107511695649805</v>
      </c>
      <c r="DA357" s="63">
        <f si="192" t="shared"/>
        <v>2.4169275244832469E-3</v>
      </c>
    </row>
    <row r="358" spans="99:105" x14ac:dyDescent="0.45">
      <c r="CU358">
        <v>357</v>
      </c>
      <c r="CV358">
        <f si="193" t="shared"/>
        <v>18</v>
      </c>
      <c r="CW358">
        <f si="188" t="shared"/>
        <v>17</v>
      </c>
      <c r="CX358" s="44">
        <f si="189" t="shared"/>
        <v>18.583105304969546</v>
      </c>
      <c r="CY358" s="44">
        <f si="190" t="shared"/>
        <v>13</v>
      </c>
      <c r="CZ358" s="87">
        <f si="191" t="shared"/>
        <v>-5.5831053049695463</v>
      </c>
      <c r="DA358" s="63">
        <f si="192" t="shared"/>
        <v>-0.30043984648122812</v>
      </c>
    </row>
    <row r="359" spans="99:105" x14ac:dyDescent="0.45">
      <c r="CU359">
        <v>358</v>
      </c>
      <c r="CV359">
        <f si="193" t="shared"/>
        <v>18</v>
      </c>
      <c r="CW359">
        <f si="188" t="shared"/>
        <v>18</v>
      </c>
      <c r="CX359" s="44">
        <f si="189" t="shared"/>
        <v>13342.669608968135</v>
      </c>
      <c r="CY359" s="44">
        <f si="190" t="shared"/>
        <v>11557</v>
      </c>
      <c r="CZ359" s="87">
        <f si="191" t="shared"/>
        <v>-1785.6696089681354</v>
      </c>
      <c r="DA359" s="63">
        <f si="192" t="shared"/>
        <v>-0.13383150908330341</v>
      </c>
    </row>
    <row r="360" spans="99:105" x14ac:dyDescent="0.45">
      <c r="CU360">
        <v>359</v>
      </c>
      <c r="CV360">
        <f si="193" t="shared"/>
        <v>18</v>
      </c>
      <c r="CW360">
        <f si="188" t="shared"/>
        <v>19</v>
      </c>
      <c r="CX360" s="44">
        <f si="189" t="shared"/>
        <v>69.686644893635801</v>
      </c>
      <c r="CY360" s="44">
        <f si="190" t="shared"/>
        <v>8</v>
      </c>
      <c r="CZ360" s="87">
        <f si="191" t="shared"/>
        <v>-61.686644893635801</v>
      </c>
      <c r="DA360" s="63">
        <f si="192" t="shared"/>
        <v>-0.88520038506358611</v>
      </c>
    </row>
    <row r="361" spans="99:105" x14ac:dyDescent="0.45">
      <c r="CU361">
        <v>360</v>
      </c>
      <c r="CV361">
        <f si="193" t="shared"/>
        <v>18</v>
      </c>
      <c r="CW361">
        <f si="188" t="shared"/>
        <v>20</v>
      </c>
      <c r="CX361" s="44">
        <f si="189" t="shared"/>
        <v>4297.3431017742078</v>
      </c>
      <c r="CY361" s="44">
        <f si="190" t="shared"/>
        <v>2912</v>
      </c>
      <c r="CZ361" s="87">
        <f si="191" t="shared"/>
        <v>-1385.3431017742078</v>
      </c>
      <c r="DA361" s="63">
        <f si="192" t="shared"/>
        <v>-0.32237200264560045</v>
      </c>
    </row>
    <row r="362" spans="99:105" x14ac:dyDescent="0.45">
      <c r="CU362">
        <v>361</v>
      </c>
      <c r="CV362">
        <f si="193" t="shared"/>
        <v>19</v>
      </c>
      <c r="CW362">
        <f si="188" t="shared"/>
        <v>1</v>
      </c>
      <c r="CX362" s="44">
        <f si="189" t="shared"/>
        <v>1199.4113909689131</v>
      </c>
      <c r="CY362" s="44">
        <f si="190" t="shared"/>
        <v>1259</v>
      </c>
      <c r="CZ362" s="87">
        <f si="191" t="shared"/>
        <v>59.588609031086889</v>
      </c>
      <c r="DA362" s="63">
        <f si="192" t="shared"/>
        <v>4.9681543363490815E-2</v>
      </c>
    </row>
    <row r="363" spans="99:105" x14ac:dyDescent="0.45">
      <c r="CU363">
        <v>362</v>
      </c>
      <c r="CV363">
        <f si="193" t="shared"/>
        <v>19</v>
      </c>
      <c r="CW363">
        <f si="188" t="shared"/>
        <v>2</v>
      </c>
      <c r="CX363" s="44">
        <f si="189" t="shared"/>
        <v>1012.0953029271612</v>
      </c>
      <c r="CY363" s="44">
        <f si="190" t="shared"/>
        <v>659</v>
      </c>
      <c r="CZ363" s="87">
        <f si="191" t="shared"/>
        <v>-353.09530292716124</v>
      </c>
      <c r="DA363" s="63">
        <f si="192" t="shared"/>
        <v>-0.34887554749631411</v>
      </c>
    </row>
    <row r="364" spans="99:105" x14ac:dyDescent="0.45">
      <c r="CU364">
        <v>363</v>
      </c>
      <c r="CV364">
        <f si="193" t="shared"/>
        <v>19</v>
      </c>
      <c r="CW364">
        <f si="188" t="shared"/>
        <v>3</v>
      </c>
      <c r="CX364" s="44">
        <f si="189" t="shared"/>
        <v>480.54912638983433</v>
      </c>
      <c r="CY364" s="44">
        <f si="190" t="shared"/>
        <v>886</v>
      </c>
      <c r="CZ364" s="87">
        <f si="191" t="shared"/>
        <v>405.45087361016567</v>
      </c>
      <c r="DA364" s="63">
        <f si="192" t="shared"/>
        <v>0.84372408843222635</v>
      </c>
    </row>
    <row r="365" spans="99:105" x14ac:dyDescent="0.45">
      <c r="CU365">
        <v>364</v>
      </c>
      <c r="CV365">
        <f si="193" t="shared"/>
        <v>19</v>
      </c>
      <c r="CW365">
        <f si="188" t="shared"/>
        <v>4</v>
      </c>
      <c r="CX365" s="44">
        <f si="189" t="shared"/>
        <v>351.09507601542998</v>
      </c>
      <c r="CY365" s="44">
        <f si="190" t="shared"/>
        <v>417</v>
      </c>
      <c r="CZ365" s="87">
        <f si="191" t="shared"/>
        <v>65.904923984570019</v>
      </c>
      <c r="DA365" s="63">
        <f si="192" t="shared"/>
        <v>0.18771247017338863</v>
      </c>
    </row>
    <row r="366" spans="99:105" x14ac:dyDescent="0.45">
      <c r="CU366">
        <v>365</v>
      </c>
      <c r="CV366">
        <f si="193" t="shared"/>
        <v>19</v>
      </c>
      <c r="CW366">
        <f si="188" t="shared"/>
        <v>5</v>
      </c>
      <c r="CX366" s="44">
        <f si="189" t="shared"/>
        <v>349.13365100975722</v>
      </c>
      <c r="CY366" s="44">
        <f si="190" t="shared"/>
        <v>314</v>
      </c>
      <c r="CZ366" s="87">
        <f si="191" t="shared"/>
        <v>-35.133651009757216</v>
      </c>
      <c r="DA366" s="63">
        <f si="192" t="shared"/>
        <v>-0.10063095009072998</v>
      </c>
    </row>
    <row r="367" spans="99:105" x14ac:dyDescent="0.45">
      <c r="CU367">
        <v>366</v>
      </c>
      <c r="CV367">
        <f si="193" t="shared"/>
        <v>19</v>
      </c>
      <c r="CW367">
        <f si="188" t="shared"/>
        <v>6</v>
      </c>
      <c r="CX367" s="44">
        <f si="189" t="shared"/>
        <v>1663.2884048105288</v>
      </c>
      <c r="CY367" s="44">
        <f si="190" t="shared"/>
        <v>1618</v>
      </c>
      <c r="CZ367" s="87">
        <f si="191" t="shared"/>
        <v>-45.288404810528846</v>
      </c>
      <c r="DA367" s="63">
        <f si="192" t="shared"/>
        <v>-2.7228233347594225E-2</v>
      </c>
    </row>
    <row r="368" spans="99:105" x14ac:dyDescent="0.45">
      <c r="CU368">
        <v>367</v>
      </c>
      <c r="CV368">
        <f si="193" t="shared"/>
        <v>19</v>
      </c>
      <c r="CW368">
        <f si="188" t="shared"/>
        <v>7</v>
      </c>
      <c r="CX368" s="44">
        <f si="189" t="shared"/>
        <v>711.01656455638761</v>
      </c>
      <c r="CY368" s="44">
        <f si="190" t="shared"/>
        <v>427</v>
      </c>
      <c r="CZ368" s="87">
        <f si="191" t="shared"/>
        <v>-284.01656455638761</v>
      </c>
      <c r="DA368" s="63">
        <f si="192" t="shared"/>
        <v>-0.39945140340519242</v>
      </c>
    </row>
    <row r="369" spans="99:105" x14ac:dyDescent="0.45">
      <c r="CU369">
        <v>368</v>
      </c>
      <c r="CV369">
        <f si="193" t="shared"/>
        <v>19</v>
      </c>
      <c r="CW369">
        <f si="188" t="shared"/>
        <v>8</v>
      </c>
      <c r="CX369" s="44">
        <f si="189" t="shared"/>
        <v>185.35466303607896</v>
      </c>
      <c r="CY369" s="44">
        <f si="190" t="shared"/>
        <v>132</v>
      </c>
      <c r="CZ369" s="87">
        <f si="191" t="shared"/>
        <v>-53.354663036078961</v>
      </c>
      <c r="DA369" s="63">
        <f si="192" t="shared"/>
        <v>-0.28785174412198938</v>
      </c>
    </row>
    <row r="370" spans="99:105" x14ac:dyDescent="0.45">
      <c r="CU370">
        <v>369</v>
      </c>
      <c r="CV370">
        <f si="193" t="shared"/>
        <v>19</v>
      </c>
      <c r="CW370">
        <f si="188" t="shared"/>
        <v>9</v>
      </c>
      <c r="CX370" s="44">
        <f si="189" t="shared"/>
        <v>928.7347401860676</v>
      </c>
      <c r="CY370" s="44">
        <f si="190" t="shared"/>
        <v>2207</v>
      </c>
      <c r="CZ370" s="87">
        <f si="191" t="shared"/>
        <v>1278.2652598139325</v>
      </c>
      <c r="DA370" s="63">
        <f si="192" t="shared"/>
        <v>1.3763512922514756</v>
      </c>
    </row>
    <row r="371" spans="99:105" x14ac:dyDescent="0.45">
      <c r="CU371">
        <v>370</v>
      </c>
      <c r="CV371">
        <f si="193" t="shared"/>
        <v>19</v>
      </c>
      <c r="CW371">
        <f si="188" t="shared"/>
        <v>10</v>
      </c>
      <c r="CX371" s="44">
        <f si="189" t="shared"/>
        <v>151.02972543680508</v>
      </c>
      <c r="CY371" s="44">
        <f si="190" t="shared"/>
        <v>219</v>
      </c>
      <c r="CZ371" s="87">
        <f si="191" t="shared"/>
        <v>67.97027456319492</v>
      </c>
      <c r="DA371" s="63">
        <f si="192" t="shared"/>
        <v>0.45004567390037081</v>
      </c>
    </row>
    <row r="372" spans="99:105" x14ac:dyDescent="0.45">
      <c r="CU372">
        <v>371</v>
      </c>
      <c r="CV372">
        <f si="193" t="shared"/>
        <v>19</v>
      </c>
      <c r="CW372">
        <f si="188" t="shared"/>
        <v>11</v>
      </c>
      <c r="CX372" s="44">
        <f si="189" t="shared"/>
        <v>8459.6260494667586</v>
      </c>
      <c r="CY372" s="44">
        <f si="190" t="shared"/>
        <v>11055</v>
      </c>
      <c r="CZ372" s="87">
        <f si="191" t="shared"/>
        <v>2595.3739505332414</v>
      </c>
      <c r="DA372" s="63">
        <f si="192" t="shared"/>
        <v>0.30679535186981904</v>
      </c>
    </row>
    <row r="373" spans="99:105" x14ac:dyDescent="0.45">
      <c r="CU373">
        <v>372</v>
      </c>
      <c r="CV373">
        <f si="193" t="shared"/>
        <v>19</v>
      </c>
      <c r="CW373">
        <f si="188" t="shared"/>
        <v>12</v>
      </c>
      <c r="CX373" s="44">
        <f si="189" t="shared"/>
        <v>1450.4737916950305</v>
      </c>
      <c r="CY373" s="44">
        <f si="190" t="shared"/>
        <v>783</v>
      </c>
      <c r="CZ373" s="87">
        <f si="191" t="shared"/>
        <v>-667.47379169503051</v>
      </c>
      <c r="DA373" s="63">
        <f si="192" t="shared"/>
        <v>-0.4601763889266951</v>
      </c>
    </row>
    <row r="374" spans="99:105" x14ac:dyDescent="0.45">
      <c r="CU374">
        <v>373</v>
      </c>
      <c r="CV374">
        <f si="193" t="shared"/>
        <v>19</v>
      </c>
      <c r="CW374">
        <f si="188" t="shared"/>
        <v>13</v>
      </c>
      <c r="CX374" s="44">
        <f si="189" t="shared"/>
        <v>271.65736328568187</v>
      </c>
      <c r="CY374" s="44">
        <f si="190" t="shared"/>
        <v>152</v>
      </c>
      <c r="CZ374" s="87">
        <f si="191" t="shared"/>
        <v>-119.65736328568187</v>
      </c>
      <c r="DA374" s="63">
        <f si="192" t="shared"/>
        <v>-0.44047163617592472</v>
      </c>
    </row>
    <row r="375" spans="99:105" x14ac:dyDescent="0.45">
      <c r="CU375">
        <v>374</v>
      </c>
      <c r="CV375">
        <f si="193" t="shared"/>
        <v>19</v>
      </c>
      <c r="CW375">
        <f si="188" t="shared"/>
        <v>14</v>
      </c>
      <c r="CX375" s="44">
        <f si="189" t="shared"/>
        <v>418.76423871114139</v>
      </c>
      <c r="CY375" s="44">
        <f si="190" t="shared"/>
        <v>737</v>
      </c>
      <c r="CZ375" s="87">
        <f si="191" t="shared"/>
        <v>318.23576128885861</v>
      </c>
      <c r="DA375" s="63">
        <f si="192" t="shared"/>
        <v>0.75994015694442785</v>
      </c>
    </row>
    <row r="376" spans="99:105" x14ac:dyDescent="0.45">
      <c r="CU376">
        <v>375</v>
      </c>
      <c r="CV376">
        <f si="193" t="shared"/>
        <v>19</v>
      </c>
      <c r="CW376">
        <f si="188" t="shared"/>
        <v>15</v>
      </c>
      <c r="CX376" s="44">
        <f si="189" t="shared"/>
        <v>1931.0229180848648</v>
      </c>
      <c r="CY376" s="44">
        <f si="190" t="shared"/>
        <v>2837</v>
      </c>
      <c r="CZ376" s="87">
        <f si="191" t="shared"/>
        <v>905.97708191513516</v>
      </c>
      <c r="DA376" s="63">
        <f si="192" t="shared"/>
        <v>0.46916951291994929</v>
      </c>
    </row>
    <row r="377" spans="99:105" x14ac:dyDescent="0.45">
      <c r="CU377">
        <v>376</v>
      </c>
      <c r="CV377">
        <f si="193" t="shared"/>
        <v>19</v>
      </c>
      <c r="CW377">
        <f si="188" t="shared"/>
        <v>16</v>
      </c>
      <c r="CX377" s="44">
        <f si="189" t="shared"/>
        <v>41.18992511912866</v>
      </c>
      <c r="CY377" s="44">
        <f si="190" t="shared"/>
        <v>19</v>
      </c>
      <c r="CZ377" s="87">
        <f si="191" t="shared"/>
        <v>-22.18992511912866</v>
      </c>
      <c r="DA377" s="63">
        <f si="192" t="shared"/>
        <v>-0.5387221524426522</v>
      </c>
    </row>
    <row r="378" spans="99:105" x14ac:dyDescent="0.45">
      <c r="CU378">
        <v>377</v>
      </c>
      <c r="CV378">
        <f si="193" t="shared"/>
        <v>19</v>
      </c>
      <c r="CW378">
        <f si="188" t="shared"/>
        <v>17</v>
      </c>
      <c r="CX378" s="44">
        <f si="189" t="shared"/>
        <v>3644.3276605400497</v>
      </c>
      <c r="CY378" s="44">
        <f si="190" t="shared"/>
        <v>5126</v>
      </c>
      <c r="CZ378" s="87">
        <f si="191" t="shared"/>
        <v>1481.6723394599503</v>
      </c>
      <c r="DA378" s="63">
        <f si="192" t="shared"/>
        <v>0.40656946286777701</v>
      </c>
    </row>
    <row r="379" spans="99:105" x14ac:dyDescent="0.45">
      <c r="CU379">
        <v>378</v>
      </c>
      <c r="CV379">
        <f si="193" t="shared"/>
        <v>19</v>
      </c>
      <c r="CW379">
        <f si="188" t="shared"/>
        <v>18</v>
      </c>
      <c r="CX379" s="44">
        <f si="189" t="shared"/>
        <v>11.768550034036759</v>
      </c>
      <c r="CY379" s="44">
        <f si="190" t="shared"/>
        <v>6</v>
      </c>
      <c r="CZ379" s="87">
        <f si="191" t="shared"/>
        <v>-5.7685500340367586</v>
      </c>
      <c r="DA379" s="63">
        <f si="192" t="shared"/>
        <v>-0.49016658954187869</v>
      </c>
    </row>
    <row r="380" spans="99:105" x14ac:dyDescent="0.45">
      <c r="CU380">
        <v>379</v>
      </c>
      <c r="CV380">
        <f si="193" t="shared"/>
        <v>19</v>
      </c>
      <c r="CW380">
        <f si="188" t="shared"/>
        <v>19</v>
      </c>
      <c r="CX380" s="44">
        <f si="189" t="shared"/>
        <v>24270.673020195143</v>
      </c>
      <c r="CY380" s="44">
        <f si="190" t="shared"/>
        <v>18688</v>
      </c>
      <c r="CZ380" s="87">
        <f si="191" t="shared"/>
        <v>-5582.6730201951432</v>
      </c>
      <c r="DA380" s="63">
        <f si="192" t="shared"/>
        <v>-0.23001723172447308</v>
      </c>
    </row>
    <row r="381" spans="99:105" x14ac:dyDescent="0.45">
      <c r="CU381">
        <v>380</v>
      </c>
      <c r="CV381">
        <f si="193" t="shared"/>
        <v>19</v>
      </c>
      <c r="CW381">
        <f si="188" t="shared"/>
        <v>20</v>
      </c>
      <c r="CX381" s="44">
        <f si="189" t="shared"/>
        <v>10.787837531200363</v>
      </c>
      <c r="CY381" s="44">
        <f si="190" t="shared"/>
        <v>1</v>
      </c>
      <c r="CZ381" s="87">
        <f si="191" t="shared"/>
        <v>-9.7878375312003634</v>
      </c>
      <c r="DA381" s="63">
        <f si="192" t="shared"/>
        <v>-0.9073030162803416</v>
      </c>
    </row>
    <row r="382" spans="99:105" x14ac:dyDescent="0.45">
      <c r="CU382">
        <v>381</v>
      </c>
      <c r="CV382">
        <f si="193" t="shared"/>
        <v>20</v>
      </c>
      <c r="CW382">
        <f si="188" t="shared"/>
        <v>1</v>
      </c>
      <c r="CX382" s="44">
        <f si="189" t="shared"/>
        <v>298.3709591379494</v>
      </c>
      <c r="CY382" s="44">
        <f si="190" t="shared"/>
        <v>158</v>
      </c>
      <c r="CZ382" s="87">
        <f si="191" t="shared"/>
        <v>-140.3709591379494</v>
      </c>
      <c r="DA382" s="63">
        <f si="192" t="shared"/>
        <v>-0.47045784731700385</v>
      </c>
    </row>
    <row r="383" spans="99:105" x14ac:dyDescent="0.45">
      <c r="CU383">
        <v>382</v>
      </c>
      <c r="CV383">
        <f si="193" t="shared"/>
        <v>20</v>
      </c>
      <c r="CW383">
        <f si="188" t="shared"/>
        <v>2</v>
      </c>
      <c r="CX383" s="44">
        <f si="189" t="shared"/>
        <v>304.14056332017498</v>
      </c>
      <c r="CY383" s="44">
        <f si="190" t="shared"/>
        <v>101</v>
      </c>
      <c r="CZ383" s="87">
        <f si="191" t="shared"/>
        <v>-203.14056332017498</v>
      </c>
      <c r="DA383" s="63">
        <f si="192" t="shared"/>
        <v>-0.66791670634977007</v>
      </c>
    </row>
    <row r="384" spans="99:105" x14ac:dyDescent="0.45">
      <c r="CU384">
        <v>383</v>
      </c>
      <c r="CV384">
        <f si="193" t="shared"/>
        <v>20</v>
      </c>
      <c r="CW384">
        <f si="188" t="shared"/>
        <v>3</v>
      </c>
      <c r="CX384" s="44">
        <f si="189" t="shared"/>
        <v>41.211458444468157</v>
      </c>
      <c r="CY384" s="44">
        <f si="190" t="shared"/>
        <v>45</v>
      </c>
      <c r="CZ384" s="87">
        <f si="191" t="shared"/>
        <v>3.7885415555318431</v>
      </c>
      <c r="DA384" s="63">
        <f si="192" t="shared"/>
        <v>9.1929324962785483E-2</v>
      </c>
    </row>
    <row r="385" spans="99:105" x14ac:dyDescent="0.45">
      <c r="CU385">
        <v>384</v>
      </c>
      <c r="CV385">
        <f si="193" t="shared"/>
        <v>20</v>
      </c>
      <c r="CW385">
        <f si="188" t="shared"/>
        <v>4</v>
      </c>
      <c r="CX385" s="44">
        <f si="189" t="shared"/>
        <v>41.211458444468157</v>
      </c>
      <c r="CY385" s="44">
        <f si="190" t="shared"/>
        <v>34</v>
      </c>
      <c r="CZ385" s="87">
        <f si="191" t="shared"/>
        <v>-7.2114584444681569</v>
      </c>
      <c r="DA385" s="63">
        <f si="192" t="shared"/>
        <v>-0.17498673225033987</v>
      </c>
    </row>
    <row r="386" spans="99:105" x14ac:dyDescent="0.45">
      <c r="CU386">
        <v>385</v>
      </c>
      <c r="CV386">
        <f si="193" t="shared"/>
        <v>20</v>
      </c>
      <c r="CW386">
        <f si="188" t="shared"/>
        <v>5</v>
      </c>
      <c r="CX386" s="44">
        <f si="189" t="shared"/>
        <v>98.907500266723559</v>
      </c>
      <c r="CY386" s="44">
        <f si="190" t="shared"/>
        <v>55</v>
      </c>
      <c r="CZ386" s="87">
        <f si="191" t="shared"/>
        <v>-43.907500266723559</v>
      </c>
      <c r="DA386" s="63">
        <f si="192" t="shared"/>
        <v>-0.4439248808059888</v>
      </c>
    </row>
    <row r="387" spans="99:105" x14ac:dyDescent="0.45">
      <c r="CU387">
        <v>386</v>
      </c>
      <c r="CV387">
        <f si="193" t="shared"/>
        <v>20</v>
      </c>
      <c r="CW387">
        <f ref="CW387:CW401" si="194" t="shared">MOD(ROW()-2,$CS$2)+1</f>
        <v>6</v>
      </c>
      <c r="CX387" s="44">
        <f ref="CX387:CX401" si="195" t="shared">VLOOKUP($CV387,$B$30:$V$49,MATCH($CW387,$B$29:$V$29,0),0)</f>
        <v>429.42339699135817</v>
      </c>
      <c r="CY387" s="44">
        <f ref="CY387:CY401" si="196" t="shared">VLOOKUP($CV387,$AY$30:$BS$49,MATCH($CW387,$AY$29:$BS$29,0),0)</f>
        <v>355</v>
      </c>
      <c r="CZ387" s="87">
        <f ref="CZ387:CZ401" si="197" t="shared">CY387-CX387</f>
        <v>-74.423396991358175</v>
      </c>
      <c r="DA387" s="63">
        <f ref="DA387:DA401" si="198" t="shared">CZ387/CX387</f>
        <v>-0.17331006534060808</v>
      </c>
    </row>
    <row r="388" spans="99:105" x14ac:dyDescent="0.45">
      <c r="CU388">
        <v>387</v>
      </c>
      <c r="CV388">
        <f ref="CV388:CV401" si="199" t="shared">IF(CW387&lt;$CS$2,CV387,CV387+1)</f>
        <v>20</v>
      </c>
      <c r="CW388">
        <f si="194" t="shared"/>
        <v>7</v>
      </c>
      <c r="CX388" s="44">
        <f si="195" t="shared"/>
        <v>318.1524591912941</v>
      </c>
      <c r="CY388" s="44">
        <f si="196" t="shared"/>
        <v>184</v>
      </c>
      <c r="CZ388" s="87">
        <f si="197" t="shared"/>
        <v>-134.1524591912941</v>
      </c>
      <c r="DA388" s="63">
        <f si="198" t="shared"/>
        <v>-0.42166092172379799</v>
      </c>
    </row>
    <row r="389" spans="99:105" x14ac:dyDescent="0.45">
      <c r="CU389">
        <v>388</v>
      </c>
      <c r="CV389">
        <f si="199" t="shared"/>
        <v>20</v>
      </c>
      <c r="CW389">
        <f si="194" t="shared"/>
        <v>8</v>
      </c>
      <c r="CX389" s="44">
        <f si="195" t="shared"/>
        <v>3.2969166755574522</v>
      </c>
      <c r="CY389" s="44">
        <f si="196" t="shared"/>
        <v>2</v>
      </c>
      <c r="CZ389" s="87">
        <f si="197" t="shared"/>
        <v>-1.2969166755574522</v>
      </c>
      <c r="DA389" s="63">
        <f si="198" t="shared"/>
        <v>-0.39337259724289686</v>
      </c>
    </row>
    <row r="390" spans="99:105" x14ac:dyDescent="0.45">
      <c r="CU390">
        <v>389</v>
      </c>
      <c r="CV390">
        <f si="199" t="shared"/>
        <v>20</v>
      </c>
      <c r="CW390">
        <f si="194" t="shared"/>
        <v>9</v>
      </c>
      <c r="CX390" s="44">
        <f si="195" t="shared"/>
        <v>117.86477115117891</v>
      </c>
      <c r="CY390" s="44">
        <f si="196" t="shared"/>
        <v>63</v>
      </c>
      <c r="CZ390" s="87">
        <f si="197" t="shared"/>
        <v>-54.864771151178914</v>
      </c>
      <c r="DA390" s="63">
        <f si="198" t="shared"/>
        <v>-0.46548914162660843</v>
      </c>
    </row>
    <row r="391" spans="99:105" x14ac:dyDescent="0.45">
      <c r="CU391">
        <v>390</v>
      </c>
      <c r="CV391">
        <f si="199" t="shared"/>
        <v>20</v>
      </c>
      <c r="CW391">
        <f si="194" t="shared"/>
        <v>10</v>
      </c>
      <c r="CX391" s="44">
        <f si="195" t="shared"/>
        <v>141.76741704897046</v>
      </c>
      <c r="CY391" s="44">
        <f si="196" t="shared"/>
        <v>81</v>
      </c>
      <c r="CZ391" s="87">
        <f si="197" t="shared"/>
        <v>-60.767417048970458</v>
      </c>
      <c r="DA391" s="63">
        <f si="198" t="shared"/>
        <v>-0.42864163228691454</v>
      </c>
    </row>
    <row r="392" spans="99:105" x14ac:dyDescent="0.45">
      <c r="CU392">
        <v>391</v>
      </c>
      <c r="CV392">
        <f si="199" t="shared"/>
        <v>20</v>
      </c>
      <c r="CW392">
        <f si="194" t="shared"/>
        <v>11</v>
      </c>
      <c r="CX392" s="44">
        <f si="195" t="shared"/>
        <v>56.047583484476689</v>
      </c>
      <c r="CY392" s="44">
        <f si="196" t="shared"/>
        <v>16</v>
      </c>
      <c r="CZ392" s="87">
        <f si="197" t="shared"/>
        <v>-40.047583484476689</v>
      </c>
      <c r="DA392" s="63">
        <f si="198" t="shared"/>
        <v>-0.71452828105548094</v>
      </c>
    </row>
    <row r="393" spans="99:105" x14ac:dyDescent="0.45">
      <c r="CU393">
        <v>392</v>
      </c>
      <c r="CV393">
        <f si="199" t="shared"/>
        <v>20</v>
      </c>
      <c r="CW393">
        <f si="194" t="shared"/>
        <v>12</v>
      </c>
      <c r="CX393" s="44">
        <f si="195" t="shared"/>
        <v>4738.4934919449488</v>
      </c>
      <c r="CY393" s="44">
        <f si="196" t="shared"/>
        <v>4001</v>
      </c>
      <c r="CZ393" s="87">
        <f si="197" t="shared"/>
        <v>-737.4934919449488</v>
      </c>
      <c r="DA393" s="63">
        <f si="198" t="shared"/>
        <v>-0.15563881077364089</v>
      </c>
    </row>
    <row r="394" spans="99:105" x14ac:dyDescent="0.45">
      <c r="CU394">
        <v>393</v>
      </c>
      <c r="CV394">
        <f si="199" t="shared"/>
        <v>20</v>
      </c>
      <c r="CW394">
        <f si="194" t="shared"/>
        <v>13</v>
      </c>
      <c r="CX394" s="44">
        <f si="195" t="shared"/>
        <v>459.09564707137525</v>
      </c>
      <c r="CY394" s="44">
        <f si="196" t="shared"/>
        <v>172</v>
      </c>
      <c r="CZ394" s="87">
        <f si="197" t="shared"/>
        <v>-287.09564707137525</v>
      </c>
      <c r="DA394" s="63">
        <f si="198" t="shared"/>
        <v>-0.62535040116976037</v>
      </c>
    </row>
    <row r="395" spans="99:105" x14ac:dyDescent="0.45">
      <c r="CU395">
        <v>394</v>
      </c>
      <c r="CV395">
        <f si="199" t="shared"/>
        <v>20</v>
      </c>
      <c r="CW395">
        <f si="194" t="shared"/>
        <v>14</v>
      </c>
      <c r="CX395" s="44">
        <f si="195" t="shared"/>
        <v>8.2422916888936317</v>
      </c>
      <c r="CY395" s="44">
        <f si="196" t="shared"/>
        <v>3</v>
      </c>
      <c r="CZ395" s="87">
        <f si="197" t="shared"/>
        <v>-5.2422916888936317</v>
      </c>
      <c r="DA395" s="63">
        <f si="198" t="shared"/>
        <v>-0.6360235583457382</v>
      </c>
    </row>
    <row r="396" spans="99:105" x14ac:dyDescent="0.45">
      <c r="CU396">
        <v>395</v>
      </c>
      <c r="CV396">
        <f si="199" t="shared"/>
        <v>20</v>
      </c>
      <c r="CW396">
        <f si="194" t="shared"/>
        <v>15</v>
      </c>
      <c r="CX396" s="44">
        <f si="195" t="shared"/>
        <v>4.1211458444468159</v>
      </c>
      <c r="CY396" s="44">
        <f si="196" t="shared"/>
        <v>5</v>
      </c>
      <c r="CZ396" s="87">
        <f si="197" t="shared"/>
        <v>0.87885415555318414</v>
      </c>
      <c r="DA396" s="63">
        <f si="198" t="shared"/>
        <v>0.21325480551420603</v>
      </c>
    </row>
    <row r="397" spans="99:105" x14ac:dyDescent="0.45">
      <c r="CU397">
        <v>396</v>
      </c>
      <c r="CV397">
        <f si="199" t="shared"/>
        <v>20</v>
      </c>
      <c r="CW397">
        <f si="194" t="shared"/>
        <v>16</v>
      </c>
      <c r="CX397" s="44">
        <f si="195" t="shared"/>
        <v>71.707937693374589</v>
      </c>
      <c r="CY397" s="44">
        <f si="196" t="shared"/>
        <v>113</v>
      </c>
      <c r="CZ397" s="87">
        <f si="197" t="shared"/>
        <v>41.292062306625411</v>
      </c>
      <c r="DA397" s="63">
        <f si="198" t="shared"/>
        <v>0.57583670141500343</v>
      </c>
    </row>
    <row r="398" spans="99:105" x14ac:dyDescent="0.45">
      <c r="CU398">
        <v>397</v>
      </c>
      <c r="CV398">
        <f si="199" t="shared"/>
        <v>20</v>
      </c>
      <c r="CW398">
        <f si="194" t="shared"/>
        <v>17</v>
      </c>
      <c r="CX398" s="44">
        <f si="195" t="shared"/>
        <v>16.484583377787263</v>
      </c>
      <c r="CY398" s="44">
        <f si="196" t="shared"/>
        <v>1</v>
      </c>
      <c r="CZ398" s="87">
        <f si="197" t="shared"/>
        <v>-15.484583377787263</v>
      </c>
      <c r="DA398" s="63">
        <f si="198" t="shared"/>
        <v>-0.93933725972428972</v>
      </c>
    </row>
    <row r="399" spans="99:105" x14ac:dyDescent="0.45">
      <c r="CU399">
        <v>398</v>
      </c>
      <c r="CV399">
        <f si="199" t="shared"/>
        <v>20</v>
      </c>
      <c r="CW399">
        <f si="194" t="shared"/>
        <v>18</v>
      </c>
      <c r="CX399" s="44">
        <f si="195" t="shared"/>
        <v>3521.9312386642482</v>
      </c>
      <c r="CY399" s="44">
        <f si="196" t="shared"/>
        <v>6292</v>
      </c>
      <c r="CZ399" s="87">
        <f si="197" t="shared"/>
        <v>2770.0687613357518</v>
      </c>
      <c r="DA399" s="63">
        <f si="198" t="shared"/>
        <v>0.78651983063313502</v>
      </c>
    </row>
    <row r="400" spans="99:105" x14ac:dyDescent="0.45">
      <c r="CU400">
        <v>399</v>
      </c>
      <c r="CV400">
        <f si="199" t="shared"/>
        <v>20</v>
      </c>
      <c r="CW400">
        <f si="194" t="shared"/>
        <v>19</v>
      </c>
      <c r="CX400" s="44">
        <f si="195" t="shared"/>
        <v>9.0665208577829937</v>
      </c>
      <c r="CY400" s="44">
        <f si="196" t="shared"/>
        <v>1</v>
      </c>
      <c r="CZ400" s="87">
        <f si="197" t="shared"/>
        <v>-8.0665208577829937</v>
      </c>
      <c r="DA400" s="63">
        <f si="198" t="shared"/>
        <v>-0.88970410858961757</v>
      </c>
    </row>
    <row r="401" spans="99:105" x14ac:dyDescent="0.45">
      <c r="CU401">
        <v>400</v>
      </c>
      <c r="CV401">
        <f si="199" t="shared"/>
        <v>20</v>
      </c>
      <c r="CW401">
        <f si="194" t="shared"/>
        <v>20</v>
      </c>
      <c r="CX401" s="44">
        <f si="195" t="shared"/>
        <v>20222.462658700522</v>
      </c>
      <c r="CY401" s="44">
        <f si="196" t="shared"/>
        <v>19220</v>
      </c>
      <c r="CZ401" s="87">
        <f si="197" t="shared"/>
        <v>-1002.4626587005223</v>
      </c>
      <c r="DA401" s="63">
        <f si="198" t="shared"/>
        <v>-4.957173988249261E-2</v>
      </c>
    </row>
  </sheetData>
  <mergeCells count="7">
    <mergeCell ref="AD2:AI2"/>
    <mergeCell ref="U2:AC2"/>
    <mergeCell ref="B2:C2"/>
    <mergeCell ref="D2:G2"/>
    <mergeCell ref="H2:K2"/>
    <mergeCell ref="L2:O2"/>
    <mergeCell ref="P2:Q2"/>
  </mergeCells>
  <conditionalFormatting sqref="P4:P23">
    <cfRule priority="1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Q4:Q23">
    <cfRule priority="14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84:AU104">
    <cfRule priority="22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05:AU105">
    <cfRule priority="21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V84:AV104">
    <cfRule priority="20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4:AA23">
    <cfRule priority="17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Z4:Z23">
    <cfRule priority="1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10:AT129">
    <cfRule priority="6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A131:AT131">
    <cfRule priority="5" type="colorScale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00B050"/>
  </sheetPr>
  <dimension ref="A1:AF127"/>
  <sheetViews>
    <sheetView workbookViewId="0">
      <selection activeCell="W75" sqref="W75"/>
    </sheetView>
  </sheetViews>
  <sheetFormatPr defaultRowHeight="14.25" x14ac:dyDescent="0.45"/>
  <cols>
    <col min="1" max="1" bestFit="true" customWidth="true" width="12.73046875" collapsed="true"/>
    <col min="2" max="2" bestFit="true" customWidth="true" width="11.59765625" collapsed="true"/>
    <col min="3" max="4" bestFit="true" customWidth="true" width="10.59765625" collapsed="true"/>
    <col min="5" max="5" bestFit="true" customWidth="true" width="11.59765625" collapsed="true"/>
    <col min="7" max="7" bestFit="true" customWidth="true" width="12.73046875" collapsed="true"/>
    <col min="8" max="8" bestFit="true" customWidth="true" width="11.59765625" collapsed="true"/>
    <col min="9" max="9" bestFit="true" customWidth="true" width="10.59765625" collapsed="true"/>
    <col min="10" max="10" customWidth="true" width="7.3984375" collapsed="true"/>
    <col min="11" max="11" bestFit="true" customWidth="true" width="11.59765625" collapsed="true"/>
    <col min="13" max="13" bestFit="true" customWidth="true" width="42.3984375" collapsed="true"/>
    <col min="14" max="14" bestFit="true" customWidth="true" width="16.3984375" collapsed="true"/>
    <col min="15" max="15" bestFit="true" customWidth="true" width="9.3984375" collapsed="true"/>
    <col min="16" max="16" bestFit="true" customWidth="true" width="13.3984375" collapsed="true"/>
    <col min="17" max="17" bestFit="true" customWidth="true" width="16.3984375" collapsed="true"/>
    <col min="21" max="21" bestFit="true" customWidth="true" width="10.0" collapsed="true"/>
    <col min="22" max="23" bestFit="true" customWidth="true" width="17.59765625" collapsed="true"/>
    <col min="24" max="24" bestFit="true" customWidth="true" width="11.59765625" collapsed="true"/>
  </cols>
  <sheetData>
    <row r="1" spans="1:31" x14ac:dyDescent="0.45">
      <c r="M1" s="31"/>
      <c r="T1" s="31" t="s">
        <v>267</v>
      </c>
      <c r="Z1" s="31" t="s">
        <v>266</v>
      </c>
    </row>
    <row r="2" spans="1:31" x14ac:dyDescent="0.45">
      <c r="V2" s="36" t="s">
        <v>238</v>
      </c>
      <c r="W2" s="36" t="s">
        <v>239</v>
      </c>
      <c r="X2" s="36" t="s">
        <v>395</v>
      </c>
      <c r="Z2" s="60"/>
      <c r="AA2" s="31" t="s">
        <v>254</v>
      </c>
      <c r="AC2" s="60"/>
      <c r="AD2" s="60"/>
      <c r="AE2" s="60"/>
    </row>
    <row r="3" spans="1:31" x14ac:dyDescent="0.45">
      <c r="T3">
        <f>WorkLocationCoefficients!B11</f>
        <v>1</v>
      </c>
      <c r="U3" t="str">
        <f>WorkLocationCoefficients!C11</f>
        <v>Beta00001</v>
      </c>
      <c r="V3" s="35">
        <f>WorkLocationCoefficients!E11</f>
        <v>1</v>
      </c>
      <c r="W3" s="135">
        <f>_xlfn.IFNA(VLOOKUP(T3,$M$13:$Q$39,5,FALSE),_xlfn.IFNA(VLOOKUP(T3,calibration_flow!$AD$3:$AH$25,5,FALSE),V3))</f>
        <v>1</v>
      </c>
      <c r="X3">
        <f>IF(W3=V3,0,1)</f>
        <v>0</v>
      </c>
      <c r="Z3">
        <v>1</v>
      </c>
      <c r="AA3" s="28" t="s">
        <v>309</v>
      </c>
      <c r="AC3" s="60"/>
      <c r="AD3" s="60"/>
      <c r="AE3" s="60"/>
    </row>
    <row r="4" spans="1:31" x14ac:dyDescent="0.45">
      <c r="C4" s="9" t="s">
        <v>298</v>
      </c>
      <c r="I4" s="9" t="s">
        <v>219</v>
      </c>
      <c r="T4">
        <f>WorkLocationCoefficients!B12</f>
        <v>2</v>
      </c>
      <c r="U4" t="str">
        <f>WorkLocationCoefficients!C12</f>
        <v>Beta00002</v>
      </c>
      <c r="V4" s="35">
        <f>WorkLocationCoefficients!E12</f>
        <v>0.7</v>
      </c>
      <c r="W4" s="135">
        <f>_xlfn.IFNA(VLOOKUP(T4,$M$13:$Q$39,5,FALSE),_xlfn.IFNA(VLOOKUP(T4,calibration_flow!$AD$3:$AH$25,5,FALSE),V4))</f>
        <v>0.7</v>
      </c>
      <c r="X4">
        <f ref="X4:X67" si="0" t="shared">IF(W4=V4,0,1)</f>
        <v>0</v>
      </c>
      <c r="Z4">
        <v>2</v>
      </c>
      <c r="AA4" s="28" t="s">
        <v>261</v>
      </c>
      <c r="AC4" s="60"/>
      <c r="AD4" s="60"/>
      <c r="AE4" s="60"/>
    </row>
    <row ht="14.65" r="5" spans="1:31" thickBot="1" x14ac:dyDescent="0.5">
      <c r="A5" s="31" t="s">
        <v>220</v>
      </c>
      <c r="M5" s="9"/>
      <c r="T5">
        <f>WorkLocationCoefficients!B13</f>
        <v>3</v>
      </c>
      <c r="U5" t="str">
        <f>WorkLocationCoefficients!C13</f>
        <v>Beta00003</v>
      </c>
      <c r="V5" s="35">
        <f>WorkLocationCoefficients!E13</f>
        <v>1</v>
      </c>
      <c r="W5" s="135">
        <f>_xlfn.IFNA(VLOOKUP(T5,$M$13:$Q$39,5,FALSE),_xlfn.IFNA(VLOOKUP(T5,calibration_flow!$AD$3:$AH$25,5,FALSE),V5))</f>
        <v>1</v>
      </c>
      <c r="X5">
        <f si="0" t="shared"/>
        <v>0</v>
      </c>
      <c r="Z5">
        <v>3</v>
      </c>
      <c r="AA5" s="60" t="s">
        <v>263</v>
      </c>
      <c r="AB5" s="60"/>
      <c r="AC5" s="60"/>
      <c r="AD5" s="60"/>
      <c r="AE5" s="60"/>
    </row>
    <row r="6" spans="1:31" x14ac:dyDescent="0.45">
      <c r="A6" s="5" t="s">
        <v>2</v>
      </c>
      <c r="B6" s="5" t="s">
        <v>8</v>
      </c>
      <c r="C6" s="5" t="s">
        <v>9</v>
      </c>
      <c r="D6" s="5" t="s">
        <v>10</v>
      </c>
      <c r="E6" s="5" t="s">
        <v>218</v>
      </c>
      <c r="G6" s="5" t="s">
        <v>2</v>
      </c>
      <c r="H6" s="5" t="s">
        <v>8</v>
      </c>
      <c r="I6" s="5" t="s">
        <v>9</v>
      </c>
      <c r="J6" s="5" t="s">
        <v>10</v>
      </c>
      <c r="K6" s="5" t="s">
        <v>218</v>
      </c>
      <c r="M6" s="42"/>
      <c r="N6" s="42"/>
      <c r="O6" s="42"/>
      <c r="P6" s="42"/>
      <c r="Q6" s="42"/>
      <c r="T6">
        <f>WorkLocationCoefficients!B14</f>
        <v>4</v>
      </c>
      <c r="U6" t="str">
        <f>WorkLocationCoefficients!C14</f>
        <v>Beta00004</v>
      </c>
      <c r="V6" s="35">
        <f>WorkLocationCoefficients!E14</f>
        <v>0.5</v>
      </c>
      <c r="W6" s="135">
        <f>_xlfn.IFNA(VLOOKUP(T6,$M$13:$Q$39,5,FALSE),_xlfn.IFNA(VLOOKUP(T6,calibration_flow!$AD$3:$AH$25,5,FALSE),V6))</f>
        <v>0.5</v>
      </c>
      <c r="X6">
        <f si="0" t="shared"/>
        <v>0</v>
      </c>
      <c r="Z6">
        <v>4</v>
      </c>
      <c r="AA6" s="60" t="s">
        <v>265</v>
      </c>
      <c r="AB6" s="60"/>
      <c r="AC6" s="60"/>
      <c r="AD6" s="60"/>
      <c r="AE6" s="60"/>
    </row>
    <row r="7" spans="1:31" x14ac:dyDescent="0.45">
      <c r="A7" s="13" t="s">
        <v>214</v>
      </c>
      <c r="B7" s="44">
        <f>SUM(TLFD!B11:B13)+0.5*(TLFD!B14)</f>
        <v>93835.825908944753</v>
      </c>
      <c r="C7" s="44">
        <f>SUM(TLFD!C11:C13)+0.5*(TLFD!C14)</f>
        <v>18136.61284219474</v>
      </c>
      <c r="D7" s="44">
        <f>SUM(TLFD!D11:D13)+0.5*(TLFD!D14)</f>
        <v>7086.7129284346656</v>
      </c>
      <c r="E7" s="44">
        <f>SUM(B7:D7)</f>
        <v>119059.15167957415</v>
      </c>
      <c r="G7" s="13" t="s">
        <v>214</v>
      </c>
      <c r="H7" s="44">
        <f>SUM(TLFD!H11:H13)+0.5*(TLFD!H14)</f>
        <v>99650.5</v>
      </c>
      <c r="I7" s="44">
        <f>SUM(TLFD!I11:I13)+0.5*(TLFD!I14)</f>
        <v>20911</v>
      </c>
      <c r="J7" s="44">
        <f>SUM(TLFD!J11:J13)+0.5*(TLFD!J14)</f>
        <v>12822.5</v>
      </c>
      <c r="K7" s="44">
        <f>SUM(H7:J7)</f>
        <v>133384</v>
      </c>
      <c r="N7" s="35"/>
      <c r="O7" s="7"/>
      <c r="P7" s="7"/>
      <c r="Q7" s="35"/>
      <c r="T7">
        <f>WorkLocationCoefficients!B15</f>
        <v>5</v>
      </c>
      <c r="U7" t="str">
        <f>WorkLocationCoefficients!C15</f>
        <v>Beta00005</v>
      </c>
      <c r="V7" s="35">
        <f>WorkLocationCoefficients!E15</f>
        <v>0</v>
      </c>
      <c r="W7" s="135">
        <f>_xlfn.IFNA(VLOOKUP(T7,$M$13:$Q$39,5,FALSE),_xlfn.IFNA(VLOOKUP(T7,calibration_flow!$AD$3:$AH$25,5,FALSE),V7))</f>
        <v>0</v>
      </c>
      <c r="X7">
        <f si="0" t="shared"/>
        <v>0</v>
      </c>
      <c r="Z7" s="60">
        <v>5</v>
      </c>
      <c r="AA7" s="60" t="s">
        <v>255</v>
      </c>
      <c r="AB7" s="60"/>
      <c r="AC7" s="60"/>
      <c r="AD7" s="60"/>
      <c r="AE7" s="60"/>
    </row>
    <row r="8" spans="1:31" x14ac:dyDescent="0.45">
      <c r="A8" s="13" t="s">
        <v>215</v>
      </c>
      <c r="B8" s="44">
        <f>0.5*(TLFD!B14)+SUM(TLFD!B15:B20)</f>
        <v>214263.14743205707</v>
      </c>
      <c r="C8" s="44">
        <f>0.5*(TLFD!C14)+SUM(TLFD!C15:C20)</f>
        <v>27861.970074027286</v>
      </c>
      <c r="D8" s="44">
        <f>0.5*(TLFD!D14)+SUM(TLFD!D15:D20)</f>
        <v>11955.620798275151</v>
      </c>
      <c r="E8" s="44">
        <f>SUM(B8:D8)</f>
        <v>254080.73830435949</v>
      </c>
      <c r="G8" s="13" t="s">
        <v>215</v>
      </c>
      <c r="H8" s="44">
        <f>0.5*(TLFD!H14)+SUM(TLFD!H15:H20)</f>
        <v>231239.5</v>
      </c>
      <c r="I8" s="44">
        <f>0.5*(TLFD!I14)+SUM(TLFD!I15:I20)</f>
        <v>33291</v>
      </c>
      <c r="J8" s="44">
        <f>0.5*(TLFD!J14)+SUM(TLFD!J15:J20)</f>
        <v>15611.5</v>
      </c>
      <c r="K8" s="44">
        <f>SUM(H8:J8)</f>
        <v>280142</v>
      </c>
      <c r="M8" s="31" t="s">
        <v>244</v>
      </c>
      <c r="N8" s="35"/>
      <c r="O8" s="7"/>
      <c r="P8" s="7"/>
      <c r="Q8" s="35"/>
      <c r="T8" s="58">
        <f>WorkLocationCoefficients!B16</f>
        <v>6</v>
      </c>
      <c r="U8" s="58" t="str">
        <f>WorkLocationCoefficients!C16</f>
        <v>Beta00006</v>
      </c>
      <c r="V8" s="59">
        <f>WorkLocationCoefficients!E16</f>
        <v>-4.1530549264700003</v>
      </c>
      <c r="W8" s="135">
        <f>_xlfn.IFNA(VLOOKUP(T8,$M$13:$Q$39,5,FALSE),_xlfn.IFNA(VLOOKUP(T8,calibration_flow!$AD$3:$AH$25,5,FALSE),V8))</f>
        <v>-4.1530549264700003</v>
      </c>
      <c r="X8">
        <f si="0" t="shared"/>
        <v>0</v>
      </c>
      <c r="Z8" s="60"/>
      <c r="AA8" s="60"/>
      <c r="AB8" s="60"/>
      <c r="AC8" s="60"/>
      <c r="AD8" s="60"/>
      <c r="AE8" s="60"/>
    </row>
    <row r="9" spans="1:31" x14ac:dyDescent="0.45">
      <c r="A9" s="14" t="s">
        <v>216</v>
      </c>
      <c r="B9" s="46">
        <f>SUM(TLFD!B21:B101)</f>
        <v>378900.41553480143</v>
      </c>
      <c r="C9" s="46">
        <f>SUM(TLFD!C21:C101)</f>
        <v>27359.937934897298</v>
      </c>
      <c r="D9" s="46">
        <f>SUM(TLFD!D21:D101)</f>
        <v>8040.2648339261777</v>
      </c>
      <c r="E9" s="46">
        <f>SUM(B9:D9)</f>
        <v>414300.61830362491</v>
      </c>
      <c r="G9" s="14" t="s">
        <v>216</v>
      </c>
      <c r="H9" s="46">
        <f>SUM(TLFD!H21:H101)</f>
        <v>388403</v>
      </c>
      <c r="I9" s="46">
        <f>SUM(TLFD!I21:I101)</f>
        <v>27180</v>
      </c>
      <c r="J9" s="46">
        <f>SUM(TLFD!J21:J101)</f>
        <v>9066</v>
      </c>
      <c r="K9" s="46">
        <f>SUM(H9:J9)</f>
        <v>424649</v>
      </c>
      <c r="M9" t="s">
        <v>245</v>
      </c>
      <c r="N9" s="35"/>
      <c r="O9" s="7"/>
      <c r="P9" s="7"/>
      <c r="Q9" s="35"/>
      <c r="T9" s="58">
        <f>WorkLocationCoefficients!B17</f>
        <v>7</v>
      </c>
      <c r="U9" s="58" t="str">
        <f>WorkLocationCoefficients!C17</f>
        <v>Beta00007</v>
      </c>
      <c r="V9" s="59">
        <f>WorkLocationCoefficients!E17</f>
        <v>0.16304005993109999</v>
      </c>
      <c r="W9" s="135">
        <f>_xlfn.IFNA(VLOOKUP(T9,$M$13:$Q$39,5,FALSE),_xlfn.IFNA(VLOOKUP(T9,calibration_flow!$AD$3:$AH$25,5,FALSE),V9))</f>
        <v>0.16304005993109999</v>
      </c>
      <c r="X9">
        <f si="0" t="shared"/>
        <v>0</v>
      </c>
      <c r="Z9" s="60"/>
      <c r="AA9" s="61" t="s">
        <v>256</v>
      </c>
      <c r="AB9" s="60"/>
      <c r="AC9" s="60"/>
      <c r="AD9" s="60"/>
      <c r="AE9" s="60"/>
    </row>
    <row ht="14.65" r="10" spans="1:31" thickBot="1" x14ac:dyDescent="0.5">
      <c r="A10" s="40" t="s">
        <v>3</v>
      </c>
      <c r="B10" s="47">
        <f>SUM(B7:B9)</f>
        <v>686999.38887580321</v>
      </c>
      <c r="C10" s="47">
        <f>SUM(C7:C9)</f>
        <v>73358.52085111932</v>
      </c>
      <c r="D10" s="47">
        <f>SUM(D7:D9)</f>
        <v>27082.598560635997</v>
      </c>
      <c r="E10" s="47">
        <f>SUM(E7:E9)</f>
        <v>787440.50828755856</v>
      </c>
      <c r="G10" s="40" t="s">
        <v>3</v>
      </c>
      <c r="H10" s="47">
        <f>SUM(H7:H9)</f>
        <v>719293</v>
      </c>
      <c r="I10" s="47">
        <f>SUM(I7:I9)</f>
        <v>81382</v>
      </c>
      <c r="J10" s="47">
        <f>SUM(J7:J9)</f>
        <v>37500</v>
      </c>
      <c r="K10" s="47">
        <f>SUM(K7:K9)</f>
        <v>838175</v>
      </c>
      <c r="M10" t="s">
        <v>246</v>
      </c>
      <c r="T10" s="58">
        <f>WorkLocationCoefficients!B18</f>
        <v>8</v>
      </c>
      <c r="U10" s="58" t="str">
        <f>WorkLocationCoefficients!C18</f>
        <v>Beta00008</v>
      </c>
      <c r="V10" s="59">
        <f>WorkLocationCoefficients!E18</f>
        <v>-0.66484078944180003</v>
      </c>
      <c r="W10" s="135">
        <f>_xlfn.IFNA(VLOOKUP(T10,$M$13:$Q$39,5,FALSE),_xlfn.IFNA(VLOOKUP(T10,calibration_flow!$AD$3:$AH$25,5,FALSE),V10))</f>
        <v>-0.66484078944180003</v>
      </c>
      <c r="X10">
        <f si="0" t="shared"/>
        <v>0</v>
      </c>
      <c r="Z10" s="60">
        <v>1</v>
      </c>
      <c r="AA10" s="28" t="s">
        <v>309</v>
      </c>
      <c r="AB10" s="60"/>
      <c r="AC10" s="60"/>
      <c r="AD10" s="60"/>
      <c r="AE10" s="60"/>
    </row>
    <row r="11" spans="1:31" x14ac:dyDescent="0.45">
      <c r="T11" s="58">
        <f>WorkLocationCoefficients!B19</f>
        <v>9</v>
      </c>
      <c r="U11" s="58" t="str">
        <f>WorkLocationCoefficients!C19</f>
        <v>Beta00009</v>
      </c>
      <c r="V11" s="59">
        <f>WorkLocationCoefficients!E19</f>
        <v>-2.1673496431996999</v>
      </c>
      <c r="W11" s="135">
        <f>_xlfn.IFNA(VLOOKUP(T11,$M$13:$Q$39,5,FALSE),_xlfn.IFNA(VLOOKUP(T11,calibration_flow!$AD$3:$AH$25,5,FALSE),V11))</f>
        <v>-2.1673496431996999</v>
      </c>
      <c r="X11">
        <f si="0" t="shared"/>
        <v>0</v>
      </c>
      <c r="Z11" s="60">
        <v>2</v>
      </c>
      <c r="AA11" s="60" t="s">
        <v>257</v>
      </c>
      <c r="AB11" s="60"/>
      <c r="AC11" s="60"/>
      <c r="AD11" s="60"/>
      <c r="AE11" s="60"/>
    </row>
    <row ht="14.65" r="12" spans="1:31" thickBot="1" x14ac:dyDescent="0.5">
      <c r="A12" s="37" t="s">
        <v>243</v>
      </c>
      <c r="M12" s="9" t="s">
        <v>393</v>
      </c>
      <c r="T12" s="58">
        <f>WorkLocationCoefficients!B20</f>
        <v>10</v>
      </c>
      <c r="U12" s="58" t="str">
        <f>WorkLocationCoefficients!C20</f>
        <v>Beta00010</v>
      </c>
      <c r="V12" s="59">
        <f>WorkLocationCoefficients!E20</f>
        <v>-3.3544504276017002</v>
      </c>
      <c r="W12" s="135">
        <f>_xlfn.IFNA(VLOOKUP(T12,$M$13:$Q$39,5,FALSE),_xlfn.IFNA(VLOOKUP(T12,calibration_flow!$AD$3:$AH$25,5,FALSE),V12))</f>
        <v>-3.3544504276017002</v>
      </c>
      <c r="X12">
        <f si="0" t="shared"/>
        <v>0</v>
      </c>
      <c r="Z12" s="60">
        <v>3</v>
      </c>
      <c r="AA12" s="60" t="s">
        <v>258</v>
      </c>
      <c r="AB12" s="60"/>
      <c r="AC12" s="60"/>
      <c r="AD12" s="60"/>
      <c r="AE12" s="60"/>
    </row>
    <row r="13" spans="1:31" x14ac:dyDescent="0.45">
      <c r="A13" s="5" t="s">
        <v>2</v>
      </c>
      <c r="B13" s="5" t="s">
        <v>8</v>
      </c>
      <c r="C13" s="5" t="s">
        <v>9</v>
      </c>
      <c r="D13" s="5" t="s">
        <v>10</v>
      </c>
      <c r="E13" s="5" t="s">
        <v>218</v>
      </c>
      <c r="G13" s="5" t="s">
        <v>2</v>
      </c>
      <c r="H13" s="5" t="s">
        <v>8</v>
      </c>
      <c r="I13" s="5" t="s">
        <v>9</v>
      </c>
      <c r="J13" s="5" t="s">
        <v>10</v>
      </c>
      <c r="K13" s="5" t="s">
        <v>218</v>
      </c>
      <c r="M13" s="5" t="s">
        <v>225</v>
      </c>
      <c r="N13" s="5" t="s">
        <v>223</v>
      </c>
      <c r="O13" s="5" t="s">
        <v>221</v>
      </c>
      <c r="P13" s="5" t="s">
        <v>222</v>
      </c>
      <c r="Q13" s="5" t="s">
        <v>224</v>
      </c>
      <c r="R13" s="42" t="s">
        <v>268</v>
      </c>
      <c r="T13">
        <f>WorkLocationCoefficients!B21</f>
        <v>11</v>
      </c>
      <c r="U13" t="str">
        <f>WorkLocationCoefficients!C21</f>
        <v>Beta00011</v>
      </c>
      <c r="V13" s="35">
        <f>WorkLocationCoefficients!E21</f>
        <v>-0.22974879339000001</v>
      </c>
      <c r="W13" s="135">
        <f>_xlfn.IFNA(VLOOKUP(T13,$M$13:$Q$39,5,FALSE),_xlfn.IFNA(VLOOKUP(T13,calibration_flow!$AD$3:$AH$25,5,FALSE),V13))</f>
        <v>-0.22974879339000001</v>
      </c>
      <c r="X13">
        <f si="0" t="shared"/>
        <v>0</v>
      </c>
      <c r="Z13" s="60">
        <v>4</v>
      </c>
      <c r="AA13" s="60" t="s">
        <v>259</v>
      </c>
      <c r="AB13" s="60"/>
      <c r="AC13" s="60"/>
      <c r="AD13" s="60"/>
      <c r="AE13" s="60"/>
    </row>
    <row r="14" spans="1:31" x14ac:dyDescent="0.45">
      <c r="A14" s="13" t="s">
        <v>214</v>
      </c>
      <c r="B14" s="38">
        <f ref="B14:E16" si="1" t="shared">B7/B$10</f>
        <v>0.1365879321413902</v>
      </c>
      <c r="C14" s="38">
        <f si="1" t="shared"/>
        <v>0.24723253184184135</v>
      </c>
      <c r="D14" s="38">
        <f si="1" t="shared"/>
        <v>0.26167034572284575</v>
      </c>
      <c r="E14" s="19">
        <f si="1" t="shared"/>
        <v>0.15119764658601481</v>
      </c>
      <c r="G14" s="13" t="s">
        <v>214</v>
      </c>
      <c r="H14" s="38">
        <f ref="H14:K16" si="2" t="shared">H7/H$10</f>
        <v>0.13853951032472164</v>
      </c>
      <c r="I14" s="38">
        <f si="2" t="shared"/>
        <v>0.25694871101717826</v>
      </c>
      <c r="J14" s="38">
        <f si="2" t="shared"/>
        <v>0.34193333333333331</v>
      </c>
      <c r="K14" s="19">
        <f si="2" t="shared"/>
        <v>0.15913621857010768</v>
      </c>
      <c r="M14">
        <v>6</v>
      </c>
      <c r="N14" s="130">
        <f>V8</f>
        <v>-4.1530549264700003</v>
      </c>
      <c r="O14" s="7">
        <f>B14/H14</f>
        <v>0.98591320137658089</v>
      </c>
      <c r="P14" s="117">
        <f>R14*(LN(O14)-LN(O14))</f>
        <v>0</v>
      </c>
      <c r="Q14" s="128">
        <f>N14+P14</f>
        <v>-4.1530549264700003</v>
      </c>
      <c r="R14" s="73">
        <v>0</v>
      </c>
      <c r="T14">
        <f>WorkLocationCoefficients!B22</f>
        <v>12</v>
      </c>
      <c r="U14" t="str">
        <f>WorkLocationCoefficients!C22</f>
        <v>Beta00012</v>
      </c>
      <c r="V14" s="35">
        <f>WorkLocationCoefficients!E22</f>
        <v>-0.93478838755000004</v>
      </c>
      <c r="W14" s="135">
        <f>_xlfn.IFNA(VLOOKUP(T14,$M$13:$Q$39,5,FALSE),_xlfn.IFNA(VLOOKUP(T14,calibration_flow!$AD$3:$AH$25,5,FALSE),V14))</f>
        <v>-0.93478838755000004</v>
      </c>
      <c r="X14">
        <f si="0" t="shared"/>
        <v>0</v>
      </c>
      <c r="Z14" s="60">
        <v>5</v>
      </c>
      <c r="AA14" s="60" t="s">
        <v>262</v>
      </c>
      <c r="AB14" s="60"/>
      <c r="AC14" s="60"/>
      <c r="AD14" s="60"/>
      <c r="AE14" s="60"/>
    </row>
    <row r="15" spans="1:31" x14ac:dyDescent="0.45">
      <c r="A15" s="13" t="s">
        <v>215</v>
      </c>
      <c r="B15" s="38">
        <f si="1" t="shared"/>
        <v>0.31188258810924779</v>
      </c>
      <c r="C15" s="38">
        <f si="1" t="shared"/>
        <v>0.37980550521967293</v>
      </c>
      <c r="D15" s="38">
        <f si="1" t="shared"/>
        <v>0.44145028297441152</v>
      </c>
      <c r="E15" s="38">
        <f si="1" t="shared"/>
        <v>0.32266658322786457</v>
      </c>
      <c r="G15" s="13" t="s">
        <v>215</v>
      </c>
      <c r="H15" s="38">
        <f si="2" t="shared"/>
        <v>0.32148164934178425</v>
      </c>
      <c r="I15" s="38">
        <f si="2" t="shared"/>
        <v>0.40907080189722544</v>
      </c>
      <c r="J15" s="38">
        <f si="2" t="shared"/>
        <v>0.41630666666666666</v>
      </c>
      <c r="K15" s="19">
        <f si="2" t="shared"/>
        <v>0.33422853222775672</v>
      </c>
      <c r="M15">
        <v>7</v>
      </c>
      <c r="N15" s="130">
        <f>V9</f>
        <v>0.16304005993109999</v>
      </c>
      <c r="O15" s="7">
        <f>B15/H15</f>
        <v>0.9701411845677973</v>
      </c>
      <c r="P15" s="117">
        <f>R15*(LN(O15)-LN(O14))</f>
        <v>0</v>
      </c>
      <c r="Q15" s="128">
        <f>N15+P15</f>
        <v>0.16304005993109999</v>
      </c>
      <c r="R15" s="73">
        <v>0</v>
      </c>
      <c r="T15">
        <f>WorkLocationCoefficients!B23</f>
        <v>13</v>
      </c>
      <c r="U15" t="str">
        <f>WorkLocationCoefficients!C23</f>
        <v>Beta00013</v>
      </c>
      <c r="V15" s="35">
        <f>WorkLocationCoefficients!E23</f>
        <v>0.40796503771199999</v>
      </c>
      <c r="W15" s="135">
        <f>_xlfn.IFNA(VLOOKUP(T15,$M$13:$Q$39,5,FALSE),_xlfn.IFNA(VLOOKUP(T15,calibration_flow!$AD$3:$AH$25,5,FALSE),V15))</f>
        <v>0.40796503771199999</v>
      </c>
      <c r="X15">
        <f si="0" t="shared"/>
        <v>0</v>
      </c>
      <c r="Z15" s="60">
        <v>6</v>
      </c>
      <c r="AA15" s="60" t="s">
        <v>264</v>
      </c>
      <c r="AB15" s="60"/>
      <c r="AC15" s="60"/>
      <c r="AD15" s="60"/>
      <c r="AE15" s="60"/>
    </row>
    <row r="16" spans="1:31" x14ac:dyDescent="0.45">
      <c r="A16" s="14" t="s">
        <v>216</v>
      </c>
      <c r="B16" s="38">
        <f si="1" t="shared"/>
        <v>0.55152947974936206</v>
      </c>
      <c r="C16" s="38">
        <f si="1" t="shared"/>
        <v>0.37296196293848577</v>
      </c>
      <c r="D16" s="38">
        <f si="1" t="shared"/>
        <v>0.29687937130274267</v>
      </c>
      <c r="E16" s="38">
        <f si="1" t="shared"/>
        <v>0.52613577018612057</v>
      </c>
      <c r="G16" s="14" t="s">
        <v>216</v>
      </c>
      <c r="H16" s="38">
        <f si="2" t="shared"/>
        <v>0.53997884033349419</v>
      </c>
      <c r="I16" s="38">
        <f si="2" t="shared"/>
        <v>0.3339804870855963</v>
      </c>
      <c r="J16" s="38">
        <f si="2" t="shared"/>
        <v>0.24176</v>
      </c>
      <c r="K16" s="19">
        <f si="2" t="shared"/>
        <v>0.50663524920213554</v>
      </c>
      <c r="M16" s="6">
        <v>8</v>
      </c>
      <c r="N16" s="131">
        <f>V10</f>
        <v>-0.66484078944180003</v>
      </c>
      <c r="O16" s="12">
        <f>B16/H16</f>
        <v>1.0213909111859534</v>
      </c>
      <c r="P16" s="132">
        <f>R16*(LN(O16)-LN(O14)-LN(O15))</f>
        <v>0</v>
      </c>
      <c r="Q16" s="129">
        <f>N16+P16</f>
        <v>-0.66484078944180003</v>
      </c>
      <c r="R16" s="73">
        <v>0</v>
      </c>
      <c r="T16">
        <f>WorkLocationCoefficients!B24</f>
        <v>14</v>
      </c>
      <c r="U16" t="str">
        <f>WorkLocationCoefficients!C24</f>
        <v>Beta00014</v>
      </c>
      <c r="V16" s="35">
        <f>WorkLocationCoefficients!E24</f>
        <v>-0.50293651045300003</v>
      </c>
      <c r="W16" s="135">
        <f>_xlfn.IFNA(VLOOKUP(T16,$M$13:$Q$39,5,FALSE),_xlfn.IFNA(VLOOKUP(T16,calibration_flow!$AD$3:$AH$25,5,FALSE),V16))</f>
        <v>-0.50293651045300003</v>
      </c>
      <c r="X16">
        <f si="0" t="shared"/>
        <v>0</v>
      </c>
      <c r="Z16" s="60">
        <v>7</v>
      </c>
      <c r="AA16" s="60" t="s">
        <v>265</v>
      </c>
      <c r="AB16" s="60"/>
      <c r="AC16" s="60"/>
      <c r="AD16" s="60"/>
      <c r="AE16" s="60"/>
    </row>
    <row ht="14.65" r="17" spans="1:31" thickBot="1" x14ac:dyDescent="0.5">
      <c r="A17" s="40" t="s">
        <v>3</v>
      </c>
      <c r="B17" s="41">
        <f>SUM(B14:B16)</f>
        <v>1</v>
      </c>
      <c r="C17" s="41">
        <f>SUM(C14:C16)</f>
        <v>1</v>
      </c>
      <c r="D17" s="41">
        <f>SUM(D14:D16)</f>
        <v>1</v>
      </c>
      <c r="E17" s="41">
        <f>SUM(E14:E16)</f>
        <v>1</v>
      </c>
      <c r="G17" s="40" t="s">
        <v>3</v>
      </c>
      <c r="H17" s="41">
        <f>SUM(H14:H16)</f>
        <v>1</v>
      </c>
      <c r="I17" s="41">
        <f>SUM(I14:I16)</f>
        <v>1</v>
      </c>
      <c r="J17" s="41">
        <f>SUM(J14:J16)</f>
        <v>1</v>
      </c>
      <c r="K17" s="41">
        <f>SUM(K14:K16)</f>
        <v>1</v>
      </c>
      <c r="N17" s="35"/>
      <c r="O17" s="7"/>
      <c r="P17" s="7"/>
      <c r="Q17" s="35"/>
      <c r="T17">
        <f>WorkLocationCoefficients!B25</f>
        <v>15</v>
      </c>
      <c r="U17" t="str">
        <f>WorkLocationCoefficients!C25</f>
        <v>Beta00015</v>
      </c>
      <c r="V17" s="35">
        <f>WorkLocationCoefficients!E25</f>
        <v>-1.61322160644</v>
      </c>
      <c r="W17" s="135">
        <f>_xlfn.IFNA(VLOOKUP(T17,$M$13:$Q$39,5,FALSE),_xlfn.IFNA(VLOOKUP(T17,calibration_flow!$AD$3:$AH$25,5,FALSE),V17))</f>
        <v>-1.61322160644</v>
      </c>
      <c r="X17">
        <f si="0" t="shared"/>
        <v>0</v>
      </c>
      <c r="Z17" s="60">
        <v>8</v>
      </c>
      <c r="AA17" s="60" t="s">
        <v>260</v>
      </c>
      <c r="AB17" s="60"/>
      <c r="AC17" s="60"/>
      <c r="AD17" s="60"/>
      <c r="AE17" s="60"/>
    </row>
    <row r="18" spans="1:31" x14ac:dyDescent="0.45">
      <c r="A18" s="13"/>
      <c r="B18" s="38"/>
      <c r="C18" s="38"/>
      <c r="D18" s="38"/>
      <c r="E18" s="38"/>
      <c r="G18" s="13"/>
      <c r="H18" s="38"/>
      <c r="I18" s="38"/>
      <c r="J18" s="38"/>
      <c r="K18" s="38"/>
      <c r="N18" s="35"/>
      <c r="O18" s="7"/>
      <c r="P18" s="7"/>
      <c r="Q18" s="35"/>
      <c r="T18">
        <f>WorkLocationCoefficients!B26</f>
        <v>16</v>
      </c>
      <c r="U18" t="str">
        <f>WorkLocationCoefficients!C26</f>
        <v>Beta00016</v>
      </c>
      <c r="V18" s="35">
        <f>WorkLocationCoefficients!E26</f>
        <v>0.130749629122</v>
      </c>
      <c r="W18" s="135">
        <f>_xlfn.IFNA(VLOOKUP(T18,$M$13:$Q$39,5,FALSE),_xlfn.IFNA(VLOOKUP(T18,calibration_flow!$AD$3:$AH$25,5,FALSE),V18))</f>
        <v>0.130749629122</v>
      </c>
      <c r="X18">
        <f si="0" t="shared"/>
        <v>0</v>
      </c>
    </row>
    <row r="19" spans="1:31" x14ac:dyDescent="0.45">
      <c r="A19" s="13"/>
      <c r="B19" s="38"/>
      <c r="C19" s="38"/>
      <c r="D19" s="38"/>
      <c r="E19" s="38"/>
      <c r="G19" s="13"/>
      <c r="H19" s="38"/>
      <c r="I19" s="38"/>
      <c r="J19" s="38"/>
      <c r="K19" s="38"/>
      <c r="N19" s="35"/>
      <c r="O19" s="7"/>
      <c r="P19" s="7"/>
      <c r="Q19" s="35"/>
      <c r="T19">
        <f>WorkLocationCoefficients!B27</f>
        <v>17</v>
      </c>
      <c r="U19" t="str">
        <f>WorkLocationCoefficients!C27</f>
        <v>Beta00017</v>
      </c>
      <c r="V19" s="35">
        <f>WorkLocationCoefficients!E27</f>
        <v>8.4077289836199998E-2</v>
      </c>
      <c r="W19" s="135">
        <f>_xlfn.IFNA(VLOOKUP(T19,$M$13:$Q$39,5,FALSE),_xlfn.IFNA(VLOOKUP(T19,calibration_flow!$AD$3:$AH$25,5,FALSE),V19))</f>
        <v>8.4077289836199998E-2</v>
      </c>
      <c r="X19">
        <f si="0" t="shared"/>
        <v>0</v>
      </c>
    </row>
    <row r="20" spans="1:31" x14ac:dyDescent="0.45">
      <c r="B20" s="38"/>
      <c r="C20" s="38"/>
      <c r="D20" s="38"/>
      <c r="E20" s="38"/>
      <c r="H20" s="38"/>
      <c r="I20" s="38"/>
      <c r="J20" s="38"/>
      <c r="K20" s="38"/>
      <c r="P20" s="7"/>
      <c r="T20">
        <f>WorkLocationCoefficients!B28</f>
        <v>18</v>
      </c>
      <c r="U20" t="str">
        <f>WorkLocationCoefficients!C28</f>
        <v>Beta00018</v>
      </c>
      <c r="V20" s="35">
        <f>WorkLocationCoefficients!E28</f>
        <v>0</v>
      </c>
      <c r="W20" s="135">
        <f>_xlfn.IFNA(VLOOKUP(T20,$M$13:$Q$39,5,FALSE),_xlfn.IFNA(VLOOKUP(T20,calibration_flow!$AD$3:$AH$25,5,FALSE),V20))</f>
        <v>0</v>
      </c>
      <c r="X20">
        <f si="0" t="shared"/>
        <v>0</v>
      </c>
    </row>
    <row r="21" spans="1:31" x14ac:dyDescent="0.45">
      <c r="T21">
        <f>WorkLocationCoefficients!B29</f>
        <v>19</v>
      </c>
      <c r="U21" t="str">
        <f>WorkLocationCoefficients!C29</f>
        <v>Beta00019</v>
      </c>
      <c r="V21" s="35">
        <f>WorkLocationCoefficients!E29</f>
        <v>0.106386053639</v>
      </c>
      <c r="W21" s="135">
        <f>_xlfn.IFNA(VLOOKUP(T21,$M$13:$Q$39,5,FALSE),_xlfn.IFNA(VLOOKUP(T21,calibration_flow!$AD$3:$AH$25,5,FALSE),V21))</f>
        <v>0.106386053639</v>
      </c>
      <c r="X21">
        <f si="0" t="shared"/>
        <v>0</v>
      </c>
    </row>
    <row r="22" spans="1:31" x14ac:dyDescent="0.45">
      <c r="N22" s="32"/>
      <c r="Q22" s="33"/>
      <c r="T22">
        <f>WorkLocationCoefficients!B30</f>
        <v>20</v>
      </c>
      <c r="U22" t="str">
        <f>WorkLocationCoefficients!C30</f>
        <v>Beta00020</v>
      </c>
      <c r="V22" s="35">
        <f>WorkLocationCoefficients!E30</f>
        <v>0.88087687792799996</v>
      </c>
      <c r="W22" s="135">
        <f>_xlfn.IFNA(VLOOKUP(T22,$M$13:$Q$39,5,FALSE),_xlfn.IFNA(VLOOKUP(T22,calibration_flow!$AD$3:$AH$25,5,FALSE),V22))</f>
        <v>0.88087687792799996</v>
      </c>
      <c r="X22">
        <f si="0" t="shared"/>
        <v>0</v>
      </c>
    </row>
    <row r="23" spans="1:31" x14ac:dyDescent="0.45">
      <c r="A23" s="37" t="s">
        <v>242</v>
      </c>
      <c r="G23" s="181" t="s">
        <v>425</v>
      </c>
      <c r="H23" s="78"/>
      <c r="I23" s="78"/>
      <c r="T23">
        <f>WorkLocationCoefficients!B31</f>
        <v>21</v>
      </c>
      <c r="U23" t="str">
        <f>WorkLocationCoefficients!C31</f>
        <v>Beta00021</v>
      </c>
      <c r="V23" s="35">
        <f>WorkLocationCoefficients!E31</f>
        <v>-0.16458061134300001</v>
      </c>
      <c r="W23" s="135">
        <f>_xlfn.IFNA(VLOOKUP(T23,$M$13:$Q$39,5,FALSE),_xlfn.IFNA(VLOOKUP(T23,calibration_flow!$AD$3:$AH$25,5,FALSE),V23))</f>
        <v>-0.16458061134300001</v>
      </c>
      <c r="X23">
        <f si="0" t="shared"/>
        <v>0</v>
      </c>
    </row>
    <row ht="14.65" r="24" spans="1:31" thickBot="1" x14ac:dyDescent="0.5">
      <c r="G24" s="78"/>
      <c r="H24" s="78"/>
      <c r="I24" s="78"/>
      <c r="M24" s="31" t="s">
        <v>431</v>
      </c>
      <c r="T24">
        <f>WorkLocationCoefficients!B32</f>
        <v>22</v>
      </c>
      <c r="U24" t="str">
        <f>WorkLocationCoefficients!C32</f>
        <v>Beta00022</v>
      </c>
      <c r="V24" s="35">
        <f>WorkLocationCoefficients!E32</f>
        <v>0.154182014038</v>
      </c>
      <c r="W24" s="135">
        <f>_xlfn.IFNA(VLOOKUP(T24,$M$13:$Q$39,5,FALSE),_xlfn.IFNA(VLOOKUP(T24,calibration_flow!$AD$3:$AH$25,5,FALSE),V24))</f>
        <v>0.154182014038</v>
      </c>
      <c r="X24">
        <f si="0" t="shared"/>
        <v>0</v>
      </c>
    </row>
    <row r="25" spans="1:31" x14ac:dyDescent="0.45">
      <c r="A25" s="5"/>
      <c r="B25" s="5" t="s">
        <v>203</v>
      </c>
      <c r="C25" s="5" t="s">
        <v>253</v>
      </c>
      <c r="D25" s="42"/>
      <c r="E25" s="42"/>
      <c r="G25" s="182"/>
      <c r="H25" s="182" t="s">
        <v>203</v>
      </c>
      <c r="I25" s="182" t="s">
        <v>253</v>
      </c>
      <c r="J25" s="42"/>
      <c r="K25" s="42"/>
      <c r="M25" s="189" t="s">
        <v>225</v>
      </c>
      <c r="N25" s="189" t="s">
        <v>223</v>
      </c>
      <c r="O25" s="189" t="s">
        <v>221</v>
      </c>
      <c r="P25" s="189" t="s">
        <v>222</v>
      </c>
      <c r="Q25" s="189" t="s">
        <v>224</v>
      </c>
      <c r="R25" s="42" t="str">
        <f>R13</f>
        <v>damp</v>
      </c>
      <c r="T25">
        <f>WorkLocationCoefficients!B33</f>
        <v>23</v>
      </c>
      <c r="U25" t="str">
        <f>WorkLocationCoefficients!C33</f>
        <v>Beta00023</v>
      </c>
      <c r="V25" s="35">
        <f>WorkLocationCoefficients!E33</f>
        <v>4.79448884421E-2</v>
      </c>
      <c r="W25" s="135">
        <f>_xlfn.IFNA(VLOOKUP(T25,$M$13:$Q$39,5,FALSE),_xlfn.IFNA(VLOOKUP(T25,calibration_flow!$AD$3:$AH$25,5,FALSE),V25))</f>
        <v>4.79448884421E-2</v>
      </c>
      <c r="X25">
        <f si="0" t="shared"/>
        <v>0</v>
      </c>
    </row>
    <row r="26" spans="1:31" x14ac:dyDescent="0.45">
      <c r="A26" s="39" t="s">
        <v>217</v>
      </c>
      <c r="B26" s="56">
        <f>WorkAtHome!E14</f>
        <v>27324.08288681084</v>
      </c>
      <c r="C26" s="56">
        <f>WorkAtHome!L14</f>
        <v>61404</v>
      </c>
      <c r="D26" s="10"/>
      <c r="E26" s="10"/>
      <c r="G26" s="183" t="s">
        <v>425</v>
      </c>
      <c r="H26" s="184">
        <f>Telecommute!E18</f>
        <v>26320.20201155094</v>
      </c>
      <c r="I26" s="184">
        <f>Telecommute!L18</f>
        <v>157893</v>
      </c>
      <c r="J26" s="10"/>
      <c r="K26" s="10"/>
      <c r="M26" s="190" t="s">
        <v>430</v>
      </c>
      <c r="N26" s="191">
        <v>-1.9179999999999999</v>
      </c>
      <c r="O26" s="192">
        <f>IFERROR(J31/I31,1)</f>
        <v>1.0146879215671374</v>
      </c>
      <c r="P26" s="192">
        <f>R26*LN(O26)</f>
        <v>0</v>
      </c>
      <c r="Q26" s="193">
        <f>N26+P26</f>
        <v>-1.9179999999999999</v>
      </c>
      <c r="R26" s="73">
        <v>0</v>
      </c>
      <c r="T26">
        <f>WorkLocationCoefficients!B34</f>
        <v>24</v>
      </c>
      <c r="U26" t="str">
        <f>WorkLocationCoefficients!C34</f>
        <v>Beta00024</v>
      </c>
      <c r="V26" s="35">
        <f>WorkLocationCoefficients!E34</f>
        <v>6.4843520043099998E-2</v>
      </c>
      <c r="W26" s="135">
        <f>_xlfn.IFNA(VLOOKUP(T26,$M$13:$Q$39,5,FALSE),_xlfn.IFNA(VLOOKUP(T26,calibration_flow!$AD$3:$AH$25,5,FALSE),V26))</f>
        <v>6.4843520043099998E-2</v>
      </c>
      <c r="X26">
        <f si="0" t="shared"/>
        <v>0</v>
      </c>
    </row>
    <row ht="14.65" r="27" spans="1:31" thickBot="1" x14ac:dyDescent="0.5">
      <c r="A27" s="40" t="s">
        <v>3</v>
      </c>
      <c r="B27" s="47">
        <f>WorkAtHome!E25</f>
        <v>843988.16359034483</v>
      </c>
      <c r="C27" s="47">
        <f>WorkAtHome!L25</f>
        <v>1007346</v>
      </c>
      <c r="G27" s="185" t="s">
        <v>3</v>
      </c>
      <c r="H27" s="186">
        <f>Telecommute!E33</f>
        <v>379545.8901991556</v>
      </c>
      <c r="I27" s="186">
        <f>Telecommute!L33</f>
        <v>1007346</v>
      </c>
      <c r="T27">
        <f>WorkLocationCoefficients!B35</f>
        <v>25</v>
      </c>
      <c r="U27" t="str">
        <f>WorkLocationCoefficients!C35</f>
        <v>Beta00025</v>
      </c>
      <c r="V27" s="35">
        <f>WorkLocationCoefficients!E35</f>
        <v>0.15272053169499999</v>
      </c>
      <c r="W27" s="135">
        <f>_xlfn.IFNA(VLOOKUP(T27,$M$13:$Q$39,5,FALSE),_xlfn.IFNA(VLOOKUP(T27,calibration_flow!$AD$3:$AH$25,5,FALSE),V27))</f>
        <v>0.15272053169499999</v>
      </c>
      <c r="X27">
        <f si="0" t="shared"/>
        <v>0</v>
      </c>
    </row>
    <row r="28" spans="1:31" x14ac:dyDescent="0.45">
      <c r="G28" s="78"/>
      <c r="H28" s="78"/>
      <c r="I28" s="78"/>
      <c r="T28">
        <f>WorkLocationCoefficients!B36</f>
        <v>26</v>
      </c>
      <c r="U28" t="str">
        <f>WorkLocationCoefficients!C36</f>
        <v>Beta00026</v>
      </c>
      <c r="V28" s="35">
        <f>WorkLocationCoefficients!E36</f>
        <v>7.2028590735099998E-2</v>
      </c>
      <c r="W28" s="135">
        <f>_xlfn.IFNA(VLOOKUP(T28,$M$13:$Q$39,5,FALSE),_xlfn.IFNA(VLOOKUP(T28,calibration_flow!$AD$3:$AH$25,5,FALSE),V28))</f>
        <v>7.2028590735099998E-2</v>
      </c>
      <c r="X28">
        <f si="0" t="shared"/>
        <v>0</v>
      </c>
    </row>
    <row ht="14.65" r="29" spans="1:31" thickBot="1" x14ac:dyDescent="0.5">
      <c r="A29" t="s">
        <v>243</v>
      </c>
      <c r="G29" s="78" t="s">
        <v>243</v>
      </c>
      <c r="H29" s="78"/>
      <c r="I29" s="78"/>
      <c r="M29" s="9" t="s">
        <v>392</v>
      </c>
      <c r="T29">
        <f>WorkLocationCoefficients!B37</f>
        <v>27</v>
      </c>
      <c r="U29" t="str">
        <f>WorkLocationCoefficients!C37</f>
        <v>Beta00027</v>
      </c>
      <c r="V29" s="35">
        <f>WorkLocationCoefficients!E37</f>
        <v>-0.27934224041799999</v>
      </c>
      <c r="W29" s="135">
        <f>_xlfn.IFNA(VLOOKUP(T29,$M$13:$Q$39,5,FALSE),_xlfn.IFNA(VLOOKUP(T29,calibration_flow!$AD$3:$AH$25,5,FALSE),V29))</f>
        <v>-0.27934224041799999</v>
      </c>
      <c r="X29">
        <f si="0" t="shared"/>
        <v>0</v>
      </c>
    </row>
    <row ht="42.75" r="30" spans="1:31" x14ac:dyDescent="0.45">
      <c r="A30" s="5"/>
      <c r="B30" s="5" t="s">
        <v>203</v>
      </c>
      <c r="C30" s="5" t="s">
        <v>253</v>
      </c>
      <c r="D30" s="42" t="s">
        <v>404</v>
      </c>
      <c r="E30" s="42"/>
      <c r="G30" s="182"/>
      <c r="H30" s="182" t="str">
        <f>H25</f>
        <v>Survey</v>
      </c>
      <c r="I30" s="182" t="str">
        <f>I25</f>
        <v>DaySim</v>
      </c>
      <c r="J30" s="194" t="s">
        <v>432</v>
      </c>
      <c r="K30" s="194" t="s">
        <v>433</v>
      </c>
      <c r="M30" s="5" t="s">
        <v>225</v>
      </c>
      <c r="N30" s="5" t="s">
        <v>223</v>
      </c>
      <c r="O30" s="5" t="s">
        <v>221</v>
      </c>
      <c r="P30" s="5" t="s">
        <v>222</v>
      </c>
      <c r="Q30" s="5" t="s">
        <v>224</v>
      </c>
      <c r="R30" s="42" t="s">
        <v>268</v>
      </c>
      <c r="T30">
        <f>WorkLocationCoefficients!B38</f>
        <v>28</v>
      </c>
      <c r="U30" t="str">
        <f>WorkLocationCoefficients!C38</f>
        <v>Beta00028</v>
      </c>
      <c r="V30" s="35">
        <f>WorkLocationCoefficients!E38</f>
        <v>4.3626229225700003E-2</v>
      </c>
      <c r="W30" s="135">
        <f>_xlfn.IFNA(VLOOKUP(T30,$M$13:$Q$39,5,FALSE),_xlfn.IFNA(VLOOKUP(T30,calibration_flow!$AD$3:$AH$25,5,FALSE),V30))</f>
        <v>4.3626229225700003E-2</v>
      </c>
      <c r="X30">
        <f si="0" t="shared"/>
        <v>0</v>
      </c>
    </row>
    <row r="31" spans="1:31" x14ac:dyDescent="0.45">
      <c r="A31" s="39" t="s">
        <v>217</v>
      </c>
      <c r="B31" s="43">
        <f>B26/B27</f>
        <v>3.2374959822390838E-2</v>
      </c>
      <c r="C31" s="43">
        <f>C26/C27</f>
        <v>6.0956215639909224E-2</v>
      </c>
      <c r="D31" s="83">
        <f>C26/(K10+C26)</f>
        <v>6.8258596521261608E-2</v>
      </c>
      <c r="E31" s="10"/>
      <c r="G31" s="183" t="s">
        <v>425</v>
      </c>
      <c r="H31" s="187">
        <f>IFERROR(H26/H27,0)</f>
        <v>6.934656043236348E-2</v>
      </c>
      <c r="I31" s="187">
        <f>IFERROR(I26/I27,0)</f>
        <v>0.15674157637991315</v>
      </c>
      <c r="J31" s="195">
        <f>K31-C31</f>
        <v>0.15904378436009078</v>
      </c>
      <c r="K31" s="79">
        <v>0.22</v>
      </c>
      <c r="M31" s="6">
        <v>41</v>
      </c>
      <c r="N31" s="131">
        <f>V39</f>
        <v>-1.2033803293631999</v>
      </c>
      <c r="O31" s="12">
        <f>B31/C31</f>
        <v>0.53111827042613058</v>
      </c>
      <c r="P31" s="132">
        <f>R31*LN(O31)</f>
        <v>0</v>
      </c>
      <c r="Q31" s="133">
        <f>N31+P31</f>
        <v>-1.2033803293631999</v>
      </c>
      <c r="R31" s="73">
        <v>0</v>
      </c>
      <c r="T31">
        <f>WorkLocationCoefficients!B39</f>
        <v>29</v>
      </c>
      <c r="U31" t="str">
        <f>WorkLocationCoefficients!C39</f>
        <v>Beta00029</v>
      </c>
      <c r="V31" s="35">
        <f>WorkLocationCoefficients!E39</f>
        <v>-8.7886819411100006E-2</v>
      </c>
      <c r="W31" s="135">
        <f>_xlfn.IFNA(VLOOKUP(T31,$M$13:$Q$39,5,FALSE),_xlfn.IFNA(VLOOKUP(T31,calibration_flow!$AD$3:$AH$25,5,FALSE),V31))</f>
        <v>-8.7886819411100006E-2</v>
      </c>
      <c r="X31">
        <f si="0" t="shared"/>
        <v>0</v>
      </c>
    </row>
    <row ht="14.65" r="32" spans="1:31" thickBot="1" x14ac:dyDescent="0.5">
      <c r="A32" s="40" t="s">
        <v>3</v>
      </c>
      <c r="B32" s="41">
        <f>B27/B27</f>
        <v>1</v>
      </c>
      <c r="C32" s="41">
        <f>C27/C27</f>
        <v>1</v>
      </c>
      <c r="G32" s="185" t="s">
        <v>3</v>
      </c>
      <c r="H32" s="188">
        <f>IFERROR(H27/H27,0)</f>
        <v>1</v>
      </c>
      <c r="I32" s="188">
        <f>IFERROR(I27/I27,0)</f>
        <v>1</v>
      </c>
      <c r="T32">
        <f>WorkLocationCoefficients!B40</f>
        <v>30</v>
      </c>
      <c r="U32" t="str">
        <f>WorkLocationCoefficients!C40</f>
        <v>Beta00030</v>
      </c>
      <c r="V32" s="35">
        <f>WorkLocationCoefficients!E40</f>
        <v>-4.2894941477000001E-2</v>
      </c>
      <c r="W32" s="135">
        <f>_xlfn.IFNA(VLOOKUP(T32,$M$13:$Q$39,5,FALSE),_xlfn.IFNA(VLOOKUP(T32,calibration_flow!$AD$3:$AH$25,5,FALSE),V32))</f>
        <v>-4.2894941477000001E-2</v>
      </c>
      <c r="X32">
        <f si="0" t="shared"/>
        <v>0</v>
      </c>
    </row>
    <row r="33" spans="1:24" x14ac:dyDescent="0.45">
      <c r="T33">
        <f>WorkLocationCoefficients!B41</f>
        <v>31</v>
      </c>
      <c r="U33" t="str">
        <f>WorkLocationCoefficients!C41</f>
        <v>Beta00031</v>
      </c>
      <c r="V33" s="35">
        <f>WorkLocationCoefficients!E41</f>
        <v>-0.13045579928000001</v>
      </c>
      <c r="W33" s="135">
        <f>_xlfn.IFNA(VLOOKUP(T33,$M$13:$Q$39,5,FALSE),_xlfn.IFNA(VLOOKUP(T33,calibration_flow!$AD$3:$AH$25,5,FALSE),V33))</f>
        <v>-0.13045579928000001</v>
      </c>
      <c r="X33">
        <f si="0" t="shared"/>
        <v>0</v>
      </c>
    </row>
    <row ht="14.65" r="34" spans="1:24" thickBot="1" x14ac:dyDescent="0.5">
      <c r="A34" s="1"/>
      <c r="B34" s="1"/>
      <c r="C34" s="1"/>
      <c r="D34" s="1"/>
      <c r="E34" s="1"/>
      <c r="F34" s="1"/>
      <c r="G34" s="1"/>
      <c r="H34" s="1"/>
      <c r="T34">
        <f>WorkLocationCoefficients!B42</f>
        <v>32</v>
      </c>
      <c r="U34" t="str">
        <f>WorkLocationCoefficients!C42</f>
        <v>Beta00032</v>
      </c>
      <c r="V34" s="35">
        <f>WorkLocationCoefficients!E42</f>
        <v>0.18945088644899999</v>
      </c>
      <c r="W34" s="135">
        <f>_xlfn.IFNA(VLOOKUP(T34,$M$13:$Q$39,5,FALSE),_xlfn.IFNA(VLOOKUP(T34,calibration_flow!$AD$3:$AH$25,5,FALSE),V34))</f>
        <v>0.18945088644899999</v>
      </c>
      <c r="X34">
        <f si="0" t="shared"/>
        <v>0</v>
      </c>
    </row>
    <row r="35" spans="1:24" x14ac:dyDescent="0.45">
      <c r="C35" s="5" t="s">
        <v>9</v>
      </c>
      <c r="D35" s="5"/>
      <c r="E35" s="5" t="s">
        <v>10</v>
      </c>
      <c r="F35" s="5"/>
      <c r="G35" s="3" t="s">
        <v>269</v>
      </c>
      <c r="H35" s="3"/>
      <c r="M35" s="31"/>
      <c r="T35">
        <f>WorkLocationCoefficients!B43</f>
        <v>33</v>
      </c>
      <c r="U35" t="str">
        <f>WorkLocationCoefficients!C43</f>
        <v>Beta00033</v>
      </c>
      <c r="V35" s="35">
        <f>WorkLocationCoefficients!E43</f>
        <v>-0.179523169776</v>
      </c>
      <c r="W35" s="135">
        <f>_xlfn.IFNA(VLOOKUP(T35,$M$13:$Q$39,5,FALSE),_xlfn.IFNA(VLOOKUP(T35,calibration_flow!$AD$3:$AH$25,5,FALSE),V35))</f>
        <v>-0.179523169776</v>
      </c>
      <c r="X35">
        <f si="0" t="shared"/>
        <v>0</v>
      </c>
    </row>
    <row ht="14.65" r="36" spans="1:24" thickBot="1" x14ac:dyDescent="0.5">
      <c r="A36" s="6" t="s">
        <v>270</v>
      </c>
      <c r="B36" s="6" t="s">
        <v>271</v>
      </c>
      <c r="C36" s="6" t="s">
        <v>203</v>
      </c>
      <c r="D36" s="6" t="s">
        <v>219</v>
      </c>
      <c r="E36" s="6" t="s">
        <v>203</v>
      </c>
      <c r="F36" s="6" t="s">
        <v>219</v>
      </c>
      <c r="G36" s="65" t="s">
        <v>9</v>
      </c>
      <c r="H36" s="65" t="s">
        <v>10</v>
      </c>
      <c r="M36" s="9" t="s">
        <v>394</v>
      </c>
      <c r="T36">
        <f>WorkLocationCoefficients!B44</f>
        <v>34</v>
      </c>
      <c r="U36" t="str">
        <f>WorkLocationCoefficients!C44</f>
        <v>Beta00034</v>
      </c>
      <c r="V36" s="35">
        <f>WorkLocationCoefficients!E44</f>
        <v>0.17233347539499999</v>
      </c>
      <c r="W36" s="135">
        <f>_xlfn.IFNA(VLOOKUP(T36,$M$13:$Q$39,5,FALSE),_xlfn.IFNA(VLOOKUP(T36,calibration_flow!$AD$3:$AH$25,5,FALSE),V36))</f>
        <v>0.17233347539499999</v>
      </c>
      <c r="X36">
        <f si="0" t="shared"/>
        <v>0</v>
      </c>
    </row>
    <row r="37" spans="1:24" x14ac:dyDescent="0.45">
      <c r="A37">
        <f>TLFD!A11+0.5</f>
        <v>0.5</v>
      </c>
      <c r="B37" s="66">
        <f>LN(1+A37)</f>
        <v>0.40546510810816438</v>
      </c>
      <c r="C37" s="63">
        <f>TLFD!C11/SUM(TLFD!$C$11:$C$100)</f>
        <v>3.8974557477264138E-2</v>
      </c>
      <c r="D37" s="63">
        <f>TLFD!I11/SUM(TLFD!$I$11:$I$100)</f>
        <v>3.3606940109606548E-2</v>
      </c>
      <c r="E37" s="63">
        <f>TLFD!D11/SUM(TLFD!$D$11:$D$101)</f>
        <v>2.4485331414780317E-2</v>
      </c>
      <c r="F37" s="63">
        <f>TLFD!J11/SUM(TLFD!$J$11:$J$100)</f>
        <v>5.9413333333333332E-2</v>
      </c>
      <c r="G37" s="117">
        <f ref="G37:G100" si="3" t="shared">IF(AND(C37&gt;0, D37&gt;0),LN(C37/D37),0)</f>
        <v>0.14817646434274162</v>
      </c>
      <c r="H37" s="117">
        <f>IF(AND(E37&gt;0, F37&gt;0),LN(E37/F37),0)</f>
        <v>-0.88644444758724883</v>
      </c>
      <c r="M37" s="67" t="s">
        <v>272</v>
      </c>
      <c r="N37" s="67" t="s">
        <v>273</v>
      </c>
      <c r="O37" s="67" t="s">
        <v>222</v>
      </c>
      <c r="P37" s="67" t="s">
        <v>223</v>
      </c>
      <c r="Q37" s="67" t="s">
        <v>224</v>
      </c>
      <c r="R37" s="42" t="s">
        <v>268</v>
      </c>
      <c r="T37">
        <f>WorkLocationCoefficients!B45</f>
        <v>35</v>
      </c>
      <c r="U37" t="str">
        <f>WorkLocationCoefficients!C45</f>
        <v>Beta00035</v>
      </c>
      <c r="V37" s="35">
        <f>WorkLocationCoefficients!E45</f>
        <v>-0.194698386872</v>
      </c>
      <c r="W37" s="135">
        <f>_xlfn.IFNA(VLOOKUP(T37,$M$13:$Q$39,5,FALSE),_xlfn.IFNA(VLOOKUP(T37,calibration_flow!$AD$3:$AH$25,5,FALSE),V37))</f>
        <v>-0.194698386872</v>
      </c>
      <c r="X37">
        <f si="0" t="shared"/>
        <v>0</v>
      </c>
    </row>
    <row r="38" spans="1:24" x14ac:dyDescent="0.45">
      <c r="A38">
        <f>TLFD!A12+0.5</f>
        <v>1.5</v>
      </c>
      <c r="B38" s="66">
        <f ref="B38:B101" si="4" t="shared">LN(1+A38)</f>
        <v>0.91629073187415511</v>
      </c>
      <c r="C38" s="63">
        <f>TLFD!C12/SUM(TLFD!$C$11:$C$100)</f>
        <v>9.5771206309127235E-2</v>
      </c>
      <c r="D38" s="63">
        <f>TLFD!I12/SUM(TLFD!$I$11:$I$100)</f>
        <v>8.2069745152490728E-2</v>
      </c>
      <c r="E38" s="63">
        <f>TLFD!D12/SUM(TLFD!$D$11:$D$101)</f>
        <v>0.14576601693827673</v>
      </c>
      <c r="F38" s="63">
        <f>TLFD!J12/SUM(TLFD!$J$11:$J$100)</f>
        <v>0.10749333333333333</v>
      </c>
      <c r="G38" s="117">
        <f si="3" t="shared"/>
        <v>0.15439264296078353</v>
      </c>
      <c r="H38" s="117">
        <f ref="H38:H101" si="5" t="shared">IF(AND(E38&gt;0, F38&gt;0),LN(E38/F38),0)</f>
        <v>0.3045738822820116</v>
      </c>
      <c r="M38" s="74">
        <v>9</v>
      </c>
      <c r="N38" s="68"/>
      <c r="O38" s="134">
        <f>K64</f>
        <v>-2.3769499067547318E-2</v>
      </c>
      <c r="P38" s="134">
        <f>VLOOKUP(M38,$T:$W,3,FALSE)</f>
        <v>-2.1673496431996999</v>
      </c>
      <c r="Q38" s="134">
        <f>P38+O38*R38</f>
        <v>-2.1673496431996999</v>
      </c>
      <c r="R38" s="73">
        <v>0</v>
      </c>
      <c r="T38">
        <f>WorkLocationCoefficients!B46</f>
        <v>36</v>
      </c>
      <c r="U38" t="str">
        <f>WorkLocationCoefficients!C46</f>
        <v>Beta00036</v>
      </c>
      <c r="V38" s="35">
        <f>WorkLocationCoefficients!E46</f>
        <v>0.38785322122799998</v>
      </c>
      <c r="W38" s="135">
        <f>_xlfn.IFNA(VLOOKUP(T38,$M$13:$Q$39,5,FALSE),_xlfn.IFNA(VLOOKUP(T38,calibration_flow!$AD$3:$AH$25,5,FALSE),V38))</f>
        <v>0.38785322122799998</v>
      </c>
      <c r="X38">
        <f si="0" t="shared"/>
        <v>0</v>
      </c>
    </row>
    <row r="39" spans="1:24" x14ac:dyDescent="0.45">
      <c r="A39">
        <f>TLFD!A13+0.5</f>
        <v>2.5</v>
      </c>
      <c r="B39" s="66">
        <f si="4" t="shared"/>
        <v>1.2527629684953681</v>
      </c>
      <c r="C39" s="63">
        <f>TLFD!C13/SUM(TLFD!$C$11:$C$100)</f>
        <v>7.1907422183216593E-2</v>
      </c>
      <c r="D39" s="63">
        <f>TLFD!I13/SUM(TLFD!$I$11:$I$100)</f>
        <v>9.5266766606866379E-2</v>
      </c>
      <c r="E39" s="63">
        <f>TLFD!D13/SUM(TLFD!$D$11:$D$101)</f>
        <v>3.1224441352129154E-2</v>
      </c>
      <c r="F39" s="63">
        <f>TLFD!J13/SUM(TLFD!$J$11:$J$100)</f>
        <v>0.11834666666666667</v>
      </c>
      <c r="G39" s="117">
        <f si="3" t="shared"/>
        <v>-0.2813015372332891</v>
      </c>
      <c r="H39" s="117">
        <f si="5" t="shared"/>
        <v>-1.3324170057092821</v>
      </c>
      <c r="M39" s="75">
        <v>10</v>
      </c>
      <c r="N39" s="6"/>
      <c r="O39" s="132">
        <f>K90</f>
        <v>3.2297982090088391E-2</v>
      </c>
      <c r="P39" s="132">
        <f>VLOOKUP(M39,$T:$W,3,FALSE)</f>
        <v>-3.3544504276017002</v>
      </c>
      <c r="Q39" s="132">
        <f>P39+O39*R39</f>
        <v>-3.3544504276017002</v>
      </c>
      <c r="R39" s="73">
        <v>0</v>
      </c>
      <c r="T39" s="58">
        <f>WorkLocationCoefficients!B47</f>
        <v>41</v>
      </c>
      <c r="U39" s="58" t="str">
        <f>WorkLocationCoefficients!C47</f>
        <v>Beta00041</v>
      </c>
      <c r="V39" s="59">
        <f>WorkLocationCoefficients!E47</f>
        <v>-1.2033803293631999</v>
      </c>
      <c r="W39" s="135">
        <f>_xlfn.IFNA(VLOOKUP(T39,$M$13:$Q$39,5,FALSE),_xlfn.IFNA(VLOOKUP(T39,calibration_flow!$AD$3:$AH$25,5,FALSE),V39))</f>
        <v>-1.2033803293631999</v>
      </c>
      <c r="X39">
        <f si="0" t="shared"/>
        <v>0</v>
      </c>
    </row>
    <row r="40" spans="1:24" x14ac:dyDescent="0.45">
      <c r="A40">
        <f>TLFD!A14+0.5</f>
        <v>3.5</v>
      </c>
      <c r="B40" s="66">
        <f si="4" t="shared"/>
        <v>1.5040773967762742</v>
      </c>
      <c r="C40" s="63">
        <f>TLFD!C14/SUM(TLFD!$C$11:$C$100)</f>
        <v>8.1158691744466882E-2</v>
      </c>
      <c r="D40" s="63">
        <f>TLFD!I14/SUM(TLFD!$I$11:$I$100)</f>
        <v>9.2010518296429186E-2</v>
      </c>
      <c r="E40" s="63">
        <f>TLFD!D14/SUM(TLFD!$D$11:$D$101)</f>
        <v>0.120389112035319</v>
      </c>
      <c r="F40" s="63">
        <f>TLFD!J14/SUM(TLFD!$J$11:$J$100)</f>
        <v>0.11336</v>
      </c>
      <c r="G40" s="117">
        <f si="3" t="shared"/>
        <v>-0.12549650445722724</v>
      </c>
      <c r="H40" s="117">
        <f si="5" t="shared"/>
        <v>6.0160501802771389E-2</v>
      </c>
      <c r="T40">
        <f>WorkLocationCoefficients!B48</f>
        <v>42</v>
      </c>
      <c r="U40" t="str">
        <f>WorkLocationCoefficients!C48</f>
        <v>Beta00042</v>
      </c>
      <c r="V40" s="35">
        <f>WorkLocationCoefficients!E48</f>
        <v>5.07828619993</v>
      </c>
      <c r="W40" s="135">
        <f>_xlfn.IFNA(VLOOKUP(T40,$M$13:$Q$39,5,FALSE),_xlfn.IFNA(VLOOKUP(T40,calibration_flow!$AD$3:$AH$25,5,FALSE),V40))</f>
        <v>5.07828619993</v>
      </c>
      <c r="X40">
        <f si="0" t="shared"/>
        <v>0</v>
      </c>
    </row>
    <row r="41" spans="1:24" x14ac:dyDescent="0.45">
      <c r="A41">
        <f>TLFD!A15+0.5</f>
        <v>4.5</v>
      </c>
      <c r="B41" s="66">
        <f si="4" t="shared"/>
        <v>1.7047480922384253</v>
      </c>
      <c r="C41" s="63">
        <f>TLFD!C15/SUM(TLFD!$C$11:$C$100)</f>
        <v>5.7744464587229004E-2</v>
      </c>
      <c r="D41" s="63">
        <f>TLFD!I15/SUM(TLFD!$I$11:$I$100)</f>
        <v>8.5670049888181665E-2</v>
      </c>
      <c r="E41" s="63">
        <f>TLFD!D15/SUM(TLFD!$D$11:$D$101)</f>
        <v>8.8576816294646504E-2</v>
      </c>
      <c r="F41" s="63">
        <f>TLFD!J15/SUM(TLFD!$J$11:$J$100)</f>
        <v>9.2880000000000004E-2</v>
      </c>
      <c r="G41" s="117">
        <f si="3" t="shared"/>
        <v>-0.39447579480096012</v>
      </c>
      <c r="H41" s="117">
        <f si="5" t="shared"/>
        <v>-4.7438181122723223E-2</v>
      </c>
      <c r="T41">
        <f>WorkLocationCoefficients!B49</f>
        <v>43</v>
      </c>
      <c r="U41" t="str">
        <f>WorkLocationCoefficients!C49</f>
        <v>Beta00043</v>
      </c>
      <c r="V41" s="35">
        <f>WorkLocationCoefficients!E49</f>
        <v>-3.0390882271000002</v>
      </c>
      <c r="W41" s="135">
        <f>_xlfn.IFNA(VLOOKUP(T41,$M$13:$Q$39,5,FALSE),_xlfn.IFNA(VLOOKUP(T41,calibration_flow!$AD$3:$AH$25,5,FALSE),V41))</f>
        <v>-3.0390882271000002</v>
      </c>
      <c r="X41">
        <f si="0" t="shared"/>
        <v>0</v>
      </c>
    </row>
    <row r="42" spans="1:24" x14ac:dyDescent="0.45">
      <c r="A42">
        <f>TLFD!A16+0.5</f>
        <v>5.5</v>
      </c>
      <c r="B42" s="66">
        <f si="4" t="shared"/>
        <v>1.8718021769015913</v>
      </c>
      <c r="C42" s="63">
        <f>TLFD!C16/SUM(TLFD!$C$11:$C$100)</f>
        <v>5.1242850337627155E-2</v>
      </c>
      <c r="D42" s="63">
        <f>TLFD!I16/SUM(TLFD!$I$11:$I$100)</f>
        <v>7.4156447371654666E-2</v>
      </c>
      <c r="E42" s="63">
        <f>TLFD!D16/SUM(TLFD!$D$11:$D$101)</f>
        <v>0.12940087568443501</v>
      </c>
      <c r="F42" s="63">
        <f>TLFD!J16/SUM(TLFD!$J$11:$J$100)</f>
        <v>7.4426666666666669E-2</v>
      </c>
      <c r="G42" s="117">
        <f si="3" t="shared"/>
        <v>-0.36960091251772953</v>
      </c>
      <c r="H42" s="117">
        <f si="5" t="shared"/>
        <v>0.5531008487516037</v>
      </c>
      <c r="J42" t="s">
        <v>274</v>
      </c>
      <c r="T42">
        <f>WorkLocationCoefficients!B50</f>
        <v>44</v>
      </c>
      <c r="U42" t="str">
        <f>WorkLocationCoefficients!C50</f>
        <v>Beta00044</v>
      </c>
      <c r="V42" s="35">
        <f>WorkLocationCoefficients!E50</f>
        <v>-2.3320026601800001</v>
      </c>
      <c r="W42" s="135">
        <f>_xlfn.IFNA(VLOOKUP(T42,$M$13:$Q$39,5,FALSE),_xlfn.IFNA(VLOOKUP(T42,calibration_flow!$AD$3:$AH$25,5,FALSE),V42))</f>
        <v>-2.3320026601800001</v>
      </c>
      <c r="X42">
        <f si="0" t="shared"/>
        <v>0</v>
      </c>
    </row>
    <row r="43" spans="1:24" x14ac:dyDescent="0.45">
      <c r="A43">
        <f>TLFD!A17+0.5</f>
        <v>6.5</v>
      </c>
      <c r="B43" s="66">
        <f si="4" t="shared"/>
        <v>2.0149030205422647</v>
      </c>
      <c r="C43" s="63">
        <f>TLFD!C17/SUM(TLFD!$C$11:$C$100)</f>
        <v>6.4116033701630062E-2</v>
      </c>
      <c r="D43" s="63">
        <f>TLFD!I17/SUM(TLFD!$I$11:$I$100)</f>
        <v>6.2175911135140448E-2</v>
      </c>
      <c r="E43" s="63">
        <f>TLFD!D17/SUM(TLFD!$D$11:$D$101)</f>
        <v>3.7693760490288455E-2</v>
      </c>
      <c r="F43" s="63">
        <f>TLFD!J17/SUM(TLFD!$J$11:$J$100)</f>
        <v>6.0053333333333334E-2</v>
      </c>
      <c r="G43" s="117">
        <f si="3" t="shared"/>
        <v>3.0726824451713163E-2</v>
      </c>
      <c r="H43" s="117">
        <f si="5" t="shared"/>
        <v>-0.46573847976296873</v>
      </c>
      <c r="I43" s="70"/>
      <c r="T43">
        <f>WorkLocationCoefficients!B51</f>
        <v>50</v>
      </c>
      <c r="U43" t="str">
        <f>WorkLocationCoefficients!C51</f>
        <v>LSM_050</v>
      </c>
      <c r="V43" s="35">
        <f>WorkLocationCoefficients!E51</f>
        <v>0.33566647407</v>
      </c>
      <c r="W43" s="135">
        <f>_xlfn.IFNA(VLOOKUP(T43,$M$13:$Q$39,5,FALSE),_xlfn.IFNA(VLOOKUP(T43,calibration_flow!$AD$3:$AH$25,5,FALSE),V43))</f>
        <v>0.33566647407</v>
      </c>
      <c r="X43">
        <f si="0" t="shared"/>
        <v>0</v>
      </c>
    </row>
    <row r="44" spans="1:24" x14ac:dyDescent="0.45">
      <c r="A44">
        <f>TLFD!A18+0.5</f>
        <v>7.5</v>
      </c>
      <c r="B44" s="66">
        <f si="4" t="shared"/>
        <v>2.1400661634962708</v>
      </c>
      <c r="C44" s="63">
        <f>TLFD!C18/SUM(TLFD!$C$11:$C$100)</f>
        <v>8.1947931203981375E-2</v>
      </c>
      <c r="D44" s="63">
        <f>TLFD!I18/SUM(TLFD!$I$11:$I$100)</f>
        <v>5.2898675382762772E-2</v>
      </c>
      <c r="E44" s="63">
        <f>TLFD!D18/SUM(TLFD!$D$11:$D$101)</f>
        <v>3.4981618469079656E-2</v>
      </c>
      <c r="F44" s="63">
        <f>TLFD!J18/SUM(TLFD!$J$11:$J$100)</f>
        <v>5.1360000000000003E-2</v>
      </c>
      <c r="G44" s="117">
        <f si="3" t="shared"/>
        <v>0.43770576173103315</v>
      </c>
      <c r="H44" s="117">
        <f si="5" t="shared"/>
        <v>-0.38403692244880222</v>
      </c>
      <c r="T44">
        <f>WorkLocationCoefficients!B52</f>
        <v>51</v>
      </c>
      <c r="U44" t="str">
        <f>WorkLocationCoefficients!C52</f>
        <v>Gamma51</v>
      </c>
      <c r="V44" s="35">
        <f>WorkLocationCoefficients!E52</f>
        <v>-0.78911507665199998</v>
      </c>
      <c r="W44" s="135">
        <f>_xlfn.IFNA(VLOOKUP(T44,$M$13:$Q$39,5,FALSE),_xlfn.IFNA(VLOOKUP(T44,calibration_flow!$AD$3:$AH$25,5,FALSE),V44))</f>
        <v>-0.78911507665199998</v>
      </c>
      <c r="X44">
        <f si="0" t="shared"/>
        <v>0</v>
      </c>
    </row>
    <row r="45" spans="1:24" x14ac:dyDescent="0.45">
      <c r="A45">
        <f>TLFD!A19+0.5</f>
        <v>8.5</v>
      </c>
      <c r="B45" s="66">
        <f si="4" t="shared"/>
        <v>2.2512917986064953</v>
      </c>
      <c r="C45" s="63">
        <f>TLFD!C19/SUM(TLFD!$C$11:$C$100)</f>
        <v>5.1895818100729553E-2</v>
      </c>
      <c r="D45" s="63">
        <f>TLFD!I19/SUM(TLFD!$I$11:$I$100)</f>
        <v>4.5415448133493894E-2</v>
      </c>
      <c r="E45" s="63">
        <f>TLFD!D19/SUM(TLFD!$D$11:$D$101)</f>
        <v>5.635672655030774E-2</v>
      </c>
      <c r="F45" s="63">
        <f>TLFD!J19/SUM(TLFD!$J$11:$J$100)</f>
        <v>4.2746666666666669E-2</v>
      </c>
      <c r="G45" s="117">
        <f si="3" t="shared"/>
        <v>0.13338589640446954</v>
      </c>
      <c r="H45" s="117">
        <f si="5" t="shared"/>
        <v>0.27641038463010414</v>
      </c>
      <c r="J45" s="31" t="s">
        <v>9</v>
      </c>
      <c r="K45" t="s">
        <v>299</v>
      </c>
      <c r="T45">
        <f>WorkLocationCoefficients!B53</f>
        <v>52</v>
      </c>
      <c r="U45" t="str">
        <f>WorkLocationCoefficients!C53</f>
        <v>Gamma52</v>
      </c>
      <c r="V45" s="35">
        <f>WorkLocationCoefficients!E53</f>
        <v>0.56564055394500001</v>
      </c>
      <c r="W45" s="135">
        <f>_xlfn.IFNA(VLOOKUP(T45,$M$13:$Q$39,5,FALSE),_xlfn.IFNA(VLOOKUP(T45,calibration_flow!$AD$3:$AH$25,5,FALSE),V45))</f>
        <v>0.56564055394500001</v>
      </c>
      <c r="X45">
        <f si="0" t="shared"/>
        <v>0</v>
      </c>
    </row>
    <row r="46" spans="1:24" x14ac:dyDescent="0.45">
      <c r="A46">
        <f>TLFD!A20+0.5</f>
        <v>9.5</v>
      </c>
      <c r="B46" s="66">
        <f si="4" t="shared"/>
        <v>2.3513752571634776</v>
      </c>
      <c r="C46" s="63">
        <f>TLFD!C20/SUM(TLFD!$C$11:$C$100)</f>
        <v>3.2279061416242462E-2</v>
      </c>
      <c r="D46" s="63">
        <f>TLFD!I20/SUM(TLFD!$I$11:$I$100)</f>
        <v>4.2749010837777393E-2</v>
      </c>
      <c r="E46" s="63">
        <f>TLFD!D20/SUM(TLFD!$D$11:$D$101)</f>
        <v>3.4245929467994644E-2</v>
      </c>
      <c r="F46" s="63">
        <f>TLFD!J20/SUM(TLFD!$J$11:$J$100)</f>
        <v>3.8159999999999999E-2</v>
      </c>
      <c r="G46" s="117">
        <f si="3" t="shared"/>
        <v>-0.28092729016302925</v>
      </c>
      <c r="H46" s="117">
        <f si="5" t="shared"/>
        <v>-0.1082201365845844</v>
      </c>
      <c r="T46">
        <f>WorkLocationCoefficients!B54</f>
        <v>53</v>
      </c>
      <c r="U46" t="str">
        <f>WorkLocationCoefficients!C54</f>
        <v>Gamma53</v>
      </c>
      <c r="V46" s="35">
        <f>WorkLocationCoefficients!E54</f>
        <v>-1.85416848242</v>
      </c>
      <c r="W46" s="135">
        <f>_xlfn.IFNA(VLOOKUP(T46,$M$13:$Q$39,5,FALSE),_xlfn.IFNA(VLOOKUP(T46,calibration_flow!$AD$3:$AH$25,5,FALSE),V46))</f>
        <v>-1.85416848242</v>
      </c>
      <c r="X46">
        <f si="0" t="shared"/>
        <v>0</v>
      </c>
    </row>
    <row r="47" spans="1:24" x14ac:dyDescent="0.45">
      <c r="A47">
        <f>TLFD!A21+0.5</f>
        <v>10.5</v>
      </c>
      <c r="B47" s="66">
        <f si="4" t="shared"/>
        <v>2.4423470353692043</v>
      </c>
      <c r="C47" s="63">
        <f>TLFD!C21/SUM(TLFD!$C$11:$C$100)</f>
        <v>3.3129592216586658E-2</v>
      </c>
      <c r="D47" s="63">
        <f>TLFD!I21/SUM(TLFD!$I$11:$I$100)</f>
        <v>3.8816937406306061E-2</v>
      </c>
      <c r="E47" s="63">
        <f>TLFD!D21/SUM(TLFD!$D$11:$D$101)</f>
        <v>4.7997188994550466E-2</v>
      </c>
      <c r="F47" s="63">
        <f>TLFD!J21/SUM(TLFD!$J$11:$J$100)</f>
        <v>3.2239999999999998E-2</v>
      </c>
      <c r="G47" s="117">
        <f si="3" t="shared"/>
        <v>-0.15842977481632717</v>
      </c>
      <c r="H47" s="117">
        <f si="5" t="shared"/>
        <v>0.39793452894107467</v>
      </c>
      <c r="J47" t="s">
        <v>275</v>
      </c>
      <c r="T47">
        <f>WorkLocationCoefficients!B55</f>
        <v>54</v>
      </c>
      <c r="U47" t="str">
        <f>WorkLocationCoefficients!C55</f>
        <v>Gamma54</v>
      </c>
      <c r="V47" s="35">
        <f>WorkLocationCoefficients!E55</f>
        <v>0</v>
      </c>
      <c r="W47" s="135">
        <f>_xlfn.IFNA(VLOOKUP(T47,$M$13:$Q$39,5,FALSE),_xlfn.IFNA(VLOOKUP(T47,calibration_flow!$AD$3:$AH$25,5,FALSE),V47))</f>
        <v>0</v>
      </c>
      <c r="X47">
        <f si="0" t="shared"/>
        <v>0</v>
      </c>
    </row>
    <row ht="14.65" r="48" spans="1:24" thickBot="1" x14ac:dyDescent="0.5">
      <c r="A48">
        <f>TLFD!A22+0.5</f>
        <v>11.5</v>
      </c>
      <c r="B48" s="66">
        <f si="4" t="shared"/>
        <v>2.5257286443082556</v>
      </c>
      <c r="C48" s="63">
        <f>TLFD!C22/SUM(TLFD!$C$11:$C$100)</f>
        <v>6.6762006677210564E-2</v>
      </c>
      <c r="D48" s="63">
        <f>TLFD!I22/SUM(TLFD!$I$11:$I$100)</f>
        <v>3.6076773733749477E-2</v>
      </c>
      <c r="E48" s="63">
        <f>TLFD!D22/SUM(TLFD!$D$11:$D$101)</f>
        <v>3.1838820339672426E-2</v>
      </c>
      <c r="F48" s="63">
        <f>TLFD!J22/SUM(TLFD!$J$11:$J$100)</f>
        <v>3.048E-2</v>
      </c>
      <c r="G48" s="117">
        <f si="3" t="shared"/>
        <v>0.61548488501881615</v>
      </c>
      <c r="H48" s="117">
        <f si="5" t="shared"/>
        <v>4.361557983797832E-2</v>
      </c>
      <c r="T48">
        <f>WorkLocationCoefficients!B56</f>
        <v>55</v>
      </c>
      <c r="U48" t="str">
        <f>WorkLocationCoefficients!C56</f>
        <v>Gamma55</v>
      </c>
      <c r="V48" s="35">
        <f>WorkLocationCoefficients!E56</f>
        <v>-1.1156286956100001</v>
      </c>
      <c r="W48" s="135">
        <f>_xlfn.IFNA(VLOOKUP(T48,$M$13:$Q$39,5,FALSE),_xlfn.IFNA(VLOOKUP(T48,calibration_flow!$AD$3:$AH$25,5,FALSE),V48))</f>
        <v>-1.1156286956100001</v>
      </c>
      <c r="X48">
        <f si="0" t="shared"/>
        <v>0</v>
      </c>
    </row>
    <row r="49" spans="1:24" x14ac:dyDescent="0.45">
      <c r="A49">
        <f>TLFD!A23+0.5</f>
        <v>12.5</v>
      </c>
      <c r="B49" s="66">
        <f si="4" t="shared"/>
        <v>2.6026896854443837</v>
      </c>
      <c r="C49" s="63">
        <f>TLFD!C23/SUM(TLFD!$C$11:$C$100)</f>
        <v>3.3749251123266273E-2</v>
      </c>
      <c r="D49" s="63">
        <f>TLFD!I23/SUM(TLFD!$I$11:$I$100)</f>
        <v>3.2353591703325059E-2</v>
      </c>
      <c r="E49" s="63">
        <f>TLFD!D23/SUM(TLFD!$D$11:$D$101)</f>
        <v>4.6224430305383674E-2</v>
      </c>
      <c r="F49" s="63">
        <f>TLFD!J23/SUM(TLFD!$J$11:$J$100)</f>
        <v>2.4293333333333333E-2</v>
      </c>
      <c r="G49" s="117">
        <f si="3" t="shared"/>
        <v>4.2233186970264812E-2</v>
      </c>
      <c r="H49" s="117">
        <f si="5" t="shared"/>
        <v>0.64330648853038663</v>
      </c>
      <c r="J49" s="69" t="s">
        <v>276</v>
      </c>
      <c r="K49" s="69"/>
      <c r="T49">
        <f>WorkLocationCoefficients!B57</f>
        <v>56</v>
      </c>
      <c r="U49" t="str">
        <f>WorkLocationCoefficients!C57</f>
        <v>Gamma56</v>
      </c>
      <c r="V49" s="35">
        <f>WorkLocationCoefficients!E57</f>
        <v>-0.81792869186600003</v>
      </c>
      <c r="W49" s="135">
        <f>_xlfn.IFNA(VLOOKUP(T49,$M$13:$Q$39,5,FALSE),_xlfn.IFNA(VLOOKUP(T49,calibration_flow!$AD$3:$AH$25,5,FALSE),V49))</f>
        <v>-0.81792869186600003</v>
      </c>
      <c r="X49">
        <f si="0" t="shared"/>
        <v>0</v>
      </c>
    </row>
    <row r="50" spans="1:24" x14ac:dyDescent="0.45">
      <c r="A50">
        <f>TLFD!A24+0.5</f>
        <v>13.5</v>
      </c>
      <c r="B50" s="66">
        <f si="4" t="shared"/>
        <v>2.6741486494265287</v>
      </c>
      <c r="C50" s="63">
        <f>TLFD!C24/SUM(TLFD!$C$11:$C$100)</f>
        <v>2.8393230596119642E-2</v>
      </c>
      <c r="D50" s="63">
        <f>TLFD!I24/SUM(TLFD!$I$11:$I$100)</f>
        <v>2.640633063822467E-2</v>
      </c>
      <c r="E50" s="63">
        <f>TLFD!D24/SUM(TLFD!$D$11:$D$101)</f>
        <v>5.9804923850010029E-3</v>
      </c>
      <c r="F50" s="63">
        <f>TLFD!J24/SUM(TLFD!$J$11:$J$100)</f>
        <v>2.2693333333333333E-2</v>
      </c>
      <c r="G50" s="117">
        <f si="3" t="shared"/>
        <v>7.2546979155469107E-2</v>
      </c>
      <c r="H50" s="117">
        <f si="5" t="shared"/>
        <v>-1.3335682923951773</v>
      </c>
      <c r="J50" t="s">
        <v>277</v>
      </c>
      <c r="K50">
        <v>0.12440194136462766</v>
      </c>
      <c r="T50">
        <f>WorkLocationCoefficients!B58</f>
        <v>57</v>
      </c>
      <c r="U50" t="str">
        <f>WorkLocationCoefficients!C58</f>
        <v>Gamma57</v>
      </c>
      <c r="V50" s="35">
        <f>WorkLocationCoefficients!E58</f>
        <v>-1.04729487823</v>
      </c>
      <c r="W50" s="135">
        <f>_xlfn.IFNA(VLOOKUP(T50,$M$13:$Q$39,5,FALSE),_xlfn.IFNA(VLOOKUP(T50,calibration_flow!$AD$3:$AH$25,5,FALSE),V50))</f>
        <v>-1.04729487823</v>
      </c>
      <c r="X50">
        <f si="0" t="shared"/>
        <v>0</v>
      </c>
    </row>
    <row r="51" spans="1:24" x14ac:dyDescent="0.45">
      <c r="A51">
        <f>TLFD!A25+0.5</f>
        <v>14.5</v>
      </c>
      <c r="B51" s="66">
        <f si="4" t="shared"/>
        <v>2.7408400239252009</v>
      </c>
      <c r="C51" s="63">
        <f>TLFD!C25/SUM(TLFD!$C$11:$C$100)</f>
        <v>1.4468481154671631E-2</v>
      </c>
      <c r="D51" s="63">
        <f>TLFD!I25/SUM(TLFD!$I$11:$I$100)</f>
        <v>2.3051780492000688E-2</v>
      </c>
      <c r="E51" s="63">
        <f>TLFD!D25/SUM(TLFD!$D$11:$D$101)</f>
        <v>1.1510401211261553E-2</v>
      </c>
      <c r="F51" s="63">
        <f>TLFD!J25/SUM(TLFD!$J$11:$J$100)</f>
        <v>1.9493333333333335E-2</v>
      </c>
      <c r="G51" s="117">
        <f si="3" t="shared"/>
        <v>-0.46577044122042971</v>
      </c>
      <c r="H51" s="117">
        <f si="5" t="shared"/>
        <v>-0.52682144702232592</v>
      </c>
      <c r="I51" s="70"/>
      <c r="J51" t="s">
        <v>278</v>
      </c>
      <c r="K51">
        <v>1.547584301528826E-2</v>
      </c>
      <c r="T51">
        <f>WorkLocationCoefficients!B59</f>
        <v>58</v>
      </c>
      <c r="U51" t="str">
        <f>WorkLocationCoefficients!C59</f>
        <v>Gamma58</v>
      </c>
      <c r="V51" s="35">
        <f>WorkLocationCoefficients!E59</f>
        <v>-2.0228517391</v>
      </c>
      <c r="W51" s="135">
        <f>_xlfn.IFNA(VLOOKUP(T51,$M$13:$Q$39,5,FALSE),_xlfn.IFNA(VLOOKUP(T51,calibration_flow!$AD$3:$AH$25,5,FALSE),V51))</f>
        <v>-2.0228517391</v>
      </c>
      <c r="X51">
        <f si="0" t="shared"/>
        <v>0</v>
      </c>
    </row>
    <row r="52" spans="1:24" x14ac:dyDescent="0.45">
      <c r="A52">
        <f>TLFD!A26+0.5</f>
        <v>15.5</v>
      </c>
      <c r="B52" s="66">
        <f si="4" t="shared"/>
        <v>2.8033603809065348</v>
      </c>
      <c r="C52" s="63">
        <f>TLFD!C26/SUM(TLFD!$C$11:$C$100)</f>
        <v>1.9226605584103683E-2</v>
      </c>
      <c r="D52" s="63">
        <f>TLFD!I26/SUM(TLFD!$I$11:$I$100)</f>
        <v>2.1319210636258631E-2</v>
      </c>
      <c r="E52" s="63">
        <f>TLFD!D26/SUM(TLFD!$D$11:$D$101)</f>
        <v>1.3822591686516755E-2</v>
      </c>
      <c r="F52" s="63">
        <f>TLFD!J26/SUM(TLFD!$J$11:$J$100)</f>
        <v>1.6480000000000002E-2</v>
      </c>
      <c r="G52" s="117">
        <f si="3" t="shared"/>
        <v>-0.10331354671397902</v>
      </c>
      <c r="H52" s="117">
        <f si="5" t="shared"/>
        <v>-0.17584319213777941</v>
      </c>
      <c r="J52" t="s">
        <v>279</v>
      </c>
      <c r="K52">
        <v>4.2398879591084831E-3</v>
      </c>
      <c r="T52">
        <f>WorkLocationCoefficients!B60</f>
        <v>59</v>
      </c>
      <c r="U52" t="str">
        <f>WorkLocationCoefficients!C60</f>
        <v>Gamma59</v>
      </c>
      <c r="V52" s="35">
        <f>WorkLocationCoefficients!E60</f>
        <v>-1.2945321250099999</v>
      </c>
      <c r="W52" s="135">
        <f>_xlfn.IFNA(VLOOKUP(T52,$M$13:$Q$39,5,FALSE),_xlfn.IFNA(VLOOKUP(T52,calibration_flow!$AD$3:$AH$25,5,FALSE),V52))</f>
        <v>-1.2945321250099999</v>
      </c>
      <c r="X52">
        <f si="0" t="shared"/>
        <v>0</v>
      </c>
    </row>
    <row r="53" spans="1:24" x14ac:dyDescent="0.45">
      <c r="A53">
        <f>TLFD!A27+0.5</f>
        <v>16.5</v>
      </c>
      <c r="B53" s="66">
        <f si="4" t="shared"/>
        <v>2.8622008809294686</v>
      </c>
      <c r="C53" s="63">
        <f>TLFD!C27/SUM(TLFD!$C$11:$C$100)</f>
        <v>1.8726801619870892E-2</v>
      </c>
      <c r="D53" s="63">
        <f>TLFD!I27/SUM(TLFD!$I$11:$I$100)</f>
        <v>1.880022609422231E-2</v>
      </c>
      <c r="E53" s="63">
        <f>TLFD!D27/SUM(TLFD!$D$11:$D$101)</f>
        <v>6.9480934772651127E-3</v>
      </c>
      <c r="F53" s="63">
        <f>TLFD!J27/SUM(TLFD!$J$11:$J$100)</f>
        <v>1.3253333333333334E-2</v>
      </c>
      <c r="G53" s="117">
        <f si="3" t="shared"/>
        <v>-3.9131565977079241E-3</v>
      </c>
      <c r="H53" s="117">
        <f si="5" t="shared"/>
        <v>-0.64578179099409605</v>
      </c>
      <c r="J53" t="s">
        <v>280</v>
      </c>
      <c r="K53">
        <v>0.69923901473582173</v>
      </c>
      <c r="T53">
        <f>WorkLocationCoefficients!B61</f>
        <v>60</v>
      </c>
      <c r="U53" t="str">
        <f>WorkLocationCoefficients!C61</f>
        <v>Gamma60</v>
      </c>
      <c r="V53" s="35">
        <f>WorkLocationCoefficients!E61</f>
        <v>-0.66178028021599999</v>
      </c>
      <c r="W53" s="135">
        <f>_xlfn.IFNA(VLOOKUP(T53,$M$13:$Q$39,5,FALSE),_xlfn.IFNA(VLOOKUP(T53,calibration_flow!$AD$3:$AH$25,5,FALSE),V53))</f>
        <v>-0.66178028021599999</v>
      </c>
      <c r="X53">
        <f si="0" t="shared"/>
        <v>0</v>
      </c>
    </row>
    <row ht="14.65" r="54" spans="1:24" thickBot="1" x14ac:dyDescent="0.5">
      <c r="A54">
        <f>TLFD!A28+0.5</f>
        <v>17.5</v>
      </c>
      <c r="B54" s="66">
        <f si="4" t="shared"/>
        <v>2.917770732084279</v>
      </c>
      <c r="C54" s="63">
        <f>TLFD!C28/SUM(TLFD!$C$11:$C$100)</f>
        <v>1.3904093309958145E-2</v>
      </c>
      <c r="D54" s="63">
        <f>TLFD!I28/SUM(TLFD!$I$11:$I$100)</f>
        <v>1.6133788798505813E-2</v>
      </c>
      <c r="E54" s="63">
        <f>TLFD!D28/SUM(TLFD!$D$11:$D$101)</f>
        <v>1.7221151288857467E-3</v>
      </c>
      <c r="F54" s="63">
        <f>TLFD!J28/SUM(TLFD!$J$11:$J$100)</f>
        <v>1.1466666666666667E-2</v>
      </c>
      <c r="G54" s="117">
        <f si="3" t="shared"/>
        <v>-0.14873247645240489</v>
      </c>
      <c r="H54" s="117">
        <f si="5" t="shared"/>
        <v>-1.8958910142833494</v>
      </c>
      <c r="J54" s="1" t="s">
        <v>281</v>
      </c>
      <c r="K54" s="1">
        <v>90</v>
      </c>
      <c r="T54">
        <f>WorkLocationCoefficients!B62</f>
        <v>61</v>
      </c>
      <c r="U54" t="str">
        <f>WorkLocationCoefficients!C62</f>
        <v>Gamma61</v>
      </c>
      <c r="V54" s="35">
        <f>WorkLocationCoefficients!E62</f>
        <v>-0.55504741134900004</v>
      </c>
      <c r="W54" s="135">
        <f>_xlfn.IFNA(VLOOKUP(T54,$M$13:$Q$39,5,FALSE),_xlfn.IFNA(VLOOKUP(T54,calibration_flow!$AD$3:$AH$25,5,FALSE),V54))</f>
        <v>-0.55504741134900004</v>
      </c>
      <c r="X54">
        <f si="0" t="shared"/>
        <v>0</v>
      </c>
    </row>
    <row r="55" spans="1:24" x14ac:dyDescent="0.45">
      <c r="A55">
        <f>TLFD!A29+0.5</f>
        <v>18.5</v>
      </c>
      <c r="B55" s="66">
        <f si="4" t="shared"/>
        <v>2.9704144655697009</v>
      </c>
      <c r="C55" s="63">
        <f>TLFD!C29/SUM(TLFD!$C$11:$C$100)</f>
        <v>1.2708468819458696E-2</v>
      </c>
      <c r="D55" s="63">
        <f>TLFD!I29/SUM(TLFD!$I$11:$I$100)</f>
        <v>1.3835983386989752E-2</v>
      </c>
      <c r="E55" s="63">
        <f>TLFD!D29/SUM(TLFD!$D$11:$D$101)</f>
        <v>1.6268950777388918E-2</v>
      </c>
      <c r="F55" s="63">
        <f>TLFD!J29/SUM(TLFD!$J$11:$J$100)</f>
        <v>9.92E-3</v>
      </c>
      <c r="G55" s="117">
        <f si="3" t="shared"/>
        <v>-8.5004082959220559E-2</v>
      </c>
      <c r="H55" s="117">
        <f si="5" t="shared"/>
        <v>0.49470550967947774</v>
      </c>
      <c r="T55">
        <f>WorkLocationCoefficients!B63</f>
        <v>62</v>
      </c>
      <c r="U55" t="str">
        <f>WorkLocationCoefficients!C63</f>
        <v>Gamma62</v>
      </c>
      <c r="V55" s="35">
        <f>WorkLocationCoefficients!E63</f>
        <v>-1.7449233454799999</v>
      </c>
      <c r="W55" s="135">
        <f>_xlfn.IFNA(VLOOKUP(T55,$M$13:$Q$39,5,FALSE),_xlfn.IFNA(VLOOKUP(T55,calibration_flow!$AD$3:$AH$25,5,FALSE),V55))</f>
        <v>-1.7449233454799999</v>
      </c>
      <c r="X55">
        <f si="0" t="shared"/>
        <v>0</v>
      </c>
    </row>
    <row ht="14.65" r="56" spans="1:24" thickBot="1" x14ac:dyDescent="0.5">
      <c r="A56">
        <f>TLFD!A30+0.5</f>
        <v>19.5</v>
      </c>
      <c r="B56" s="66">
        <f si="4" t="shared"/>
        <v>3.0204248861443626</v>
      </c>
      <c r="C56" s="63">
        <f>TLFD!C30/SUM(TLFD!$C$11:$C$100)</f>
        <v>1.6450674230155619E-2</v>
      </c>
      <c r="D56" s="63">
        <f>TLFD!I30/SUM(TLFD!$I$11:$I$100)</f>
        <v>1.1673342999680519E-2</v>
      </c>
      <c r="E56" s="63">
        <f>TLFD!D30/SUM(TLFD!$D$11:$D$101)</f>
        <v>2.6074931587577049E-2</v>
      </c>
      <c r="F56" s="63">
        <f>TLFD!J30/SUM(TLFD!$J$11:$J$100)</f>
        <v>8.0266666666666663E-3</v>
      </c>
      <c r="G56" s="117">
        <f si="3" t="shared"/>
        <v>0.34305859674693734</v>
      </c>
      <c r="H56" s="117">
        <f si="5" t="shared"/>
        <v>1.1782050454321511</v>
      </c>
      <c r="J56" t="s">
        <v>282</v>
      </c>
      <c r="T56">
        <f>WorkLocationCoefficients!B64</f>
        <v>63</v>
      </c>
      <c r="U56" t="str">
        <f>WorkLocationCoefficients!C64</f>
        <v>Gamma63</v>
      </c>
      <c r="V56" s="35">
        <f>WorkLocationCoefficients!E64</f>
        <v>1.1995398853399999</v>
      </c>
      <c r="W56" s="135">
        <f>_xlfn.IFNA(VLOOKUP(T56,$M$13:$Q$39,5,FALSE),_xlfn.IFNA(VLOOKUP(T56,calibration_flow!$AD$3:$AH$25,5,FALSE),V56))</f>
        <v>1.1995398853399999</v>
      </c>
      <c r="X56">
        <f si="0" t="shared"/>
        <v>0</v>
      </c>
    </row>
    <row r="57" spans="1:24" x14ac:dyDescent="0.45">
      <c r="A57">
        <f>TLFD!A31+0.5</f>
        <v>20.5</v>
      </c>
      <c r="B57" s="66">
        <f si="4" t="shared"/>
        <v>3.068052935133617</v>
      </c>
      <c r="C57" s="63">
        <f>TLFD!C31/SUM(TLFD!$C$11:$C$100)</f>
        <v>2.2645494513742991E-2</v>
      </c>
      <c r="D57" s="63">
        <f>TLFD!I31/SUM(TLFD!$I$11:$I$100)</f>
        <v>1.0444570052345727E-2</v>
      </c>
      <c r="E57" s="63">
        <f>TLFD!D31/SUM(TLFD!$D$11:$D$101)</f>
        <v>0</v>
      </c>
      <c r="F57" s="63">
        <f>TLFD!J31/SUM(TLFD!$J$11:$J$100)</f>
        <v>6.7733333333333335E-3</v>
      </c>
      <c r="G57" s="117">
        <f si="3" t="shared"/>
        <v>0.77387868327685894</v>
      </c>
      <c r="H57" s="117">
        <f si="5" t="shared"/>
        <v>0</v>
      </c>
      <c r="J57" s="71"/>
      <c r="K57" s="71" t="s">
        <v>283</v>
      </c>
      <c r="L57" s="71" t="s">
        <v>284</v>
      </c>
      <c r="M57" s="71" t="s">
        <v>285</v>
      </c>
      <c r="N57" s="71" t="s">
        <v>94</v>
      </c>
      <c r="O57" s="71" t="s">
        <v>286</v>
      </c>
      <c r="T57">
        <f>WorkLocationCoefficients!B65</f>
        <v>64</v>
      </c>
      <c r="U57" t="str">
        <f>WorkLocationCoefficients!C65</f>
        <v>Gamma64</v>
      </c>
      <c r="V57" s="35">
        <f>WorkLocationCoefficients!E65</f>
        <v>0.19542046398099999</v>
      </c>
      <c r="W57" s="135">
        <f>_xlfn.IFNA(VLOOKUP(T57,$M$13:$Q$39,5,FALSE),_xlfn.IFNA(VLOOKUP(T57,calibration_flow!$AD$3:$AH$25,5,FALSE),V57))</f>
        <v>0.19542046398099999</v>
      </c>
      <c r="X57">
        <f si="0" t="shared"/>
        <v>0</v>
      </c>
    </row>
    <row r="58" spans="1:24" x14ac:dyDescent="0.45">
      <c r="A58">
        <f>TLFD!A32+0.5</f>
        <v>21.5</v>
      </c>
      <c r="B58" s="66">
        <f si="4" t="shared"/>
        <v>3.1135153092103742</v>
      </c>
      <c r="C58" s="63">
        <f>TLFD!C32/SUM(TLFD!$C$11:$C$100)</f>
        <v>1.1915102812552559E-2</v>
      </c>
      <c r="D58" s="63">
        <f>TLFD!I32/SUM(TLFD!$I$11:$I$100)</f>
        <v>1.0100513627091986E-2</v>
      </c>
      <c r="E58" s="63">
        <f>TLFD!D32/SUM(TLFD!$D$11:$D$101)</f>
        <v>1.1349845722941312E-2</v>
      </c>
      <c r="F58" s="63">
        <f>TLFD!J32/SUM(TLFD!$J$11:$J$100)</f>
        <v>5.3866666666666663E-3</v>
      </c>
      <c r="G58" s="117">
        <f si="3" t="shared"/>
        <v>0.16522046262538753</v>
      </c>
      <c r="H58" s="117">
        <f si="5" t="shared"/>
        <v>0.7452773867177952</v>
      </c>
      <c r="J58" t="s">
        <v>287</v>
      </c>
      <c r="K58">
        <v>1</v>
      </c>
      <c r="L58">
        <v>0.68402070831395179</v>
      </c>
      <c r="M58">
        <v>0.68402070831395179</v>
      </c>
      <c r="N58">
        <v>1.3990007442570487</v>
      </c>
      <c r="O58">
        <v>0.2400767404253939</v>
      </c>
      <c r="T58">
        <f>WorkLocationCoefficients!B66</f>
        <v>65</v>
      </c>
      <c r="U58" t="str">
        <f>WorkLocationCoefficients!C66</f>
        <v>Gamma65</v>
      </c>
      <c r="V58" s="35">
        <f>WorkLocationCoefficients!E66</f>
        <v>-0.90594458676599998</v>
      </c>
      <c r="W58" s="135">
        <f>_xlfn.IFNA(VLOOKUP(T58,$M$13:$Q$39,5,FALSE),_xlfn.IFNA(VLOOKUP(T58,calibration_flow!$AD$3:$AH$25,5,FALSE),V58))</f>
        <v>-0.90594458676599998</v>
      </c>
      <c r="X58">
        <f si="0" t="shared"/>
        <v>0</v>
      </c>
    </row>
    <row r="59" spans="1:24" x14ac:dyDescent="0.45">
      <c r="A59">
        <f>TLFD!A33+0.5</f>
        <v>22.5</v>
      </c>
      <c r="B59" s="66">
        <f si="4" t="shared"/>
        <v>3.1570004211501135</v>
      </c>
      <c r="C59" s="63">
        <f>TLFD!C33/SUM(TLFD!$C$11:$C$100)</f>
        <v>9.99527112237035E-3</v>
      </c>
      <c r="D59" s="63">
        <f>TLFD!I33/SUM(TLFD!$I$11:$I$100)</f>
        <v>8.4048069597699743E-3</v>
      </c>
      <c r="E59" s="63">
        <f>TLFD!D33/SUM(TLFD!$D$11:$D$101)</f>
        <v>0</v>
      </c>
      <c r="F59" s="63">
        <f>TLFD!J33/SUM(TLFD!$J$11:$J$100)</f>
        <v>4.9066666666666668E-3</v>
      </c>
      <c r="G59" s="117">
        <f si="3" t="shared"/>
        <v>0.17330829409632209</v>
      </c>
      <c r="H59" s="117">
        <f si="5" t="shared"/>
        <v>0</v>
      </c>
      <c r="J59" t="s">
        <v>288</v>
      </c>
      <c r="K59">
        <v>89</v>
      </c>
      <c r="L59">
        <v>43.515232775856319</v>
      </c>
      <c r="M59">
        <v>0.48893519972872268</v>
      </c>
      <c r="T59">
        <f>WorkLocationCoefficients!B67</f>
        <v>66</v>
      </c>
      <c r="U59" t="str">
        <f>WorkLocationCoefficients!C67</f>
        <v>Gamma66</v>
      </c>
      <c r="V59" s="35">
        <f>WorkLocationCoefficients!E67</f>
        <v>-2.05104130438</v>
      </c>
      <c r="W59" s="135">
        <f>_xlfn.IFNA(VLOOKUP(T59,$M$13:$Q$39,5,FALSE),_xlfn.IFNA(VLOOKUP(T59,calibration_flow!$AD$3:$AH$25,5,FALSE),V59))</f>
        <v>-2.05104130438</v>
      </c>
      <c r="X59">
        <f si="0" t="shared"/>
        <v>0</v>
      </c>
    </row>
    <row ht="14.65" r="60" spans="1:24" thickBot="1" x14ac:dyDescent="0.5">
      <c r="A60">
        <f>TLFD!A34+0.5</f>
        <v>23.5</v>
      </c>
      <c r="B60" s="66">
        <f si="4" t="shared"/>
        <v>3.1986731175506815</v>
      </c>
      <c r="C60" s="63">
        <f>TLFD!C34/SUM(TLFD!$C$11:$C$100)</f>
        <v>1.014599451121322E-2</v>
      </c>
      <c r="D60" s="63">
        <f>TLFD!I34/SUM(TLFD!$I$11:$I$100)</f>
        <v>7.5446658966356198E-3</v>
      </c>
      <c r="E60" s="63">
        <f>TLFD!D34/SUM(TLFD!$D$11:$D$101)</f>
        <v>1.9434264694504332E-3</v>
      </c>
      <c r="F60" s="63">
        <f>TLFD!J34/SUM(TLFD!$J$11:$J$100)</f>
        <v>4.1599999999999996E-3</v>
      </c>
      <c r="G60" s="117">
        <f si="3" t="shared"/>
        <v>0.29623818835131682</v>
      </c>
      <c r="H60" s="117">
        <f si="5" t="shared"/>
        <v>-0.76106243776652094</v>
      </c>
      <c r="J60" s="1" t="s">
        <v>3</v>
      </c>
      <c r="K60" s="1">
        <v>90</v>
      </c>
      <c r="L60" s="1">
        <v>44.199253484170271</v>
      </c>
      <c r="M60" s="1"/>
      <c r="N60" s="1"/>
      <c r="O60" s="1"/>
      <c r="T60">
        <f>WorkLocationCoefficients!B68</f>
        <v>67</v>
      </c>
      <c r="U60" t="str">
        <f>WorkLocationCoefficients!C68</f>
        <v>Gamma67</v>
      </c>
      <c r="V60" s="35">
        <f>WorkLocationCoefficients!E68</f>
        <v>-2.2381608455899999</v>
      </c>
      <c r="W60" s="135">
        <f>_xlfn.IFNA(VLOOKUP(T60,$M$13:$Q$39,5,FALSE),_xlfn.IFNA(VLOOKUP(T60,calibration_flow!$AD$3:$AH$25,5,FALSE),V60))</f>
        <v>-2.2381608455899999</v>
      </c>
      <c r="X60">
        <f si="0" t="shared"/>
        <v>0</v>
      </c>
    </row>
    <row ht="14.65" r="61" spans="1:24" thickBot="1" x14ac:dyDescent="0.5">
      <c r="A61">
        <f>TLFD!A35+0.5</f>
        <v>24.5</v>
      </c>
      <c r="B61" s="66">
        <f si="4" t="shared"/>
        <v>3.2386784521643803</v>
      </c>
      <c r="C61" s="63">
        <f>TLFD!C35/SUM(TLFD!$C$11:$C$100)</f>
        <v>5.7363533032195775E-3</v>
      </c>
      <c r="D61" s="63">
        <f>TLFD!I35/SUM(TLFD!$I$11:$I$100)</f>
        <v>7.3111990366420089E-3</v>
      </c>
      <c r="E61" s="63">
        <f>TLFD!D35/SUM(TLFD!$D$11:$D$101)</f>
        <v>1.0588096958583799E-2</v>
      </c>
      <c r="F61" s="63">
        <f>TLFD!J35/SUM(TLFD!$J$11:$J$100)</f>
        <v>4.5066666666666666E-3</v>
      </c>
      <c r="G61" s="117">
        <f si="3" t="shared"/>
        <v>-0.24258359180446878</v>
      </c>
      <c r="H61" s="117">
        <f si="5" t="shared"/>
        <v>0.85417265977929657</v>
      </c>
      <c r="T61">
        <f>WorkLocationCoefficients!B69</f>
        <v>68</v>
      </c>
      <c r="U61" t="str">
        <f>WorkLocationCoefficients!C69</f>
        <v>Gamma68</v>
      </c>
      <c r="V61" s="35">
        <f>WorkLocationCoefficients!E69</f>
        <v>-0.40946320528300001</v>
      </c>
      <c r="W61" s="135">
        <f>_xlfn.IFNA(VLOOKUP(T61,$M$13:$Q$39,5,FALSE),_xlfn.IFNA(VLOOKUP(T61,calibration_flow!$AD$3:$AH$25,5,FALSE),V61))</f>
        <v>-0.40946320528300001</v>
      </c>
      <c r="X61">
        <f si="0" t="shared"/>
        <v>0</v>
      </c>
    </row>
    <row r="62" spans="1:24" x14ac:dyDescent="0.45">
      <c r="A62">
        <f>TLFD!A36+0.5</f>
        <v>25.5</v>
      </c>
      <c r="B62" s="66">
        <f si="4" t="shared"/>
        <v>3.2771447329921766</v>
      </c>
      <c r="C62" s="63">
        <f>TLFD!C36/SUM(TLFD!$C$11:$C$100)</f>
        <v>1.6727658026749303E-3</v>
      </c>
      <c r="D62" s="63">
        <f>TLFD!I36/SUM(TLFD!$I$11:$I$100)</f>
        <v>6.5002088914010471E-3</v>
      </c>
      <c r="E62" s="63">
        <f>TLFD!D36/SUM(TLFD!$D$11:$D$101)</f>
        <v>0</v>
      </c>
      <c r="F62" s="63">
        <f>TLFD!J36/SUM(TLFD!$J$11:$J$100)</f>
        <v>3.4666666666666665E-3</v>
      </c>
      <c r="G62" s="117">
        <f si="3" t="shared"/>
        <v>-1.3573558877647023</v>
      </c>
      <c r="H62" s="117">
        <f si="5" t="shared"/>
        <v>0</v>
      </c>
      <c r="J62" s="71"/>
      <c r="K62" s="71" t="s">
        <v>289</v>
      </c>
      <c r="L62" s="71" t="s">
        <v>280</v>
      </c>
      <c r="M62" s="71" t="s">
        <v>290</v>
      </c>
      <c r="N62" s="71" t="s">
        <v>291</v>
      </c>
      <c r="O62" s="71" t="s">
        <v>292</v>
      </c>
      <c r="P62" s="71" t="s">
        <v>293</v>
      </c>
      <c r="Q62" s="71" t="s">
        <v>294</v>
      </c>
      <c r="R62" s="71" t="s">
        <v>295</v>
      </c>
      <c r="T62">
        <f>WorkLocationCoefficients!B70</f>
        <v>69</v>
      </c>
      <c r="U62" t="str">
        <f>WorkLocationCoefficients!C70</f>
        <v>Gamma69</v>
      </c>
      <c r="V62" s="35">
        <f>WorkLocationCoefficients!E70</f>
        <v>-1.1700902309500001</v>
      </c>
      <c r="W62" s="135">
        <f>_xlfn.IFNA(VLOOKUP(T62,$M$13:$Q$39,5,FALSE),_xlfn.IFNA(VLOOKUP(T62,calibration_flow!$AD$3:$AH$25,5,FALSE),V62))</f>
        <v>-1.1700902309500001</v>
      </c>
      <c r="X62">
        <f si="0" t="shared"/>
        <v>0</v>
      </c>
    </row>
    <row r="63" spans="1:24" x14ac:dyDescent="0.45">
      <c r="A63">
        <f>TLFD!A37+0.5</f>
        <v>26.5</v>
      </c>
      <c r="B63" s="66">
        <f si="4" t="shared"/>
        <v>3.3141860046725258</v>
      </c>
      <c r="C63" s="63">
        <f>TLFD!C37/SUM(TLFD!$C$11:$C$100)</f>
        <v>1.4104902641739202E-2</v>
      </c>
      <c r="D63" s="63">
        <f>TLFD!I37/SUM(TLFD!$I$11:$I$100)</f>
        <v>5.4066009682730825E-3</v>
      </c>
      <c r="E63" s="63">
        <f>TLFD!D37/SUM(TLFD!$D$11:$D$101)</f>
        <v>0</v>
      </c>
      <c r="F63" s="63">
        <f>TLFD!J37/SUM(TLFD!$J$11:$J$100)</f>
        <v>3.1466666666666665E-3</v>
      </c>
      <c r="G63" s="117">
        <f si="3" t="shared"/>
        <v>0.95890183345876923</v>
      </c>
      <c r="H63" s="117">
        <f si="5" t="shared"/>
        <v>0</v>
      </c>
      <c r="J63" t="s">
        <v>296</v>
      </c>
      <c r="K63">
        <v>0</v>
      </c>
      <c r="L63" t="e">
        <v>#N/A</v>
      </c>
      <c r="M63" t="e">
        <v>#N/A</v>
      </c>
      <c r="N63" t="e">
        <v>#N/A</v>
      </c>
      <c r="O63" t="e">
        <v>#N/A</v>
      </c>
      <c r="P63" t="e">
        <v>#N/A</v>
      </c>
      <c r="Q63" t="e">
        <v>#N/A</v>
      </c>
      <c r="R63" t="e">
        <v>#N/A</v>
      </c>
      <c r="T63">
        <f>WorkLocationCoefficients!B71</f>
        <v>70</v>
      </c>
      <c r="U63" t="str">
        <f>WorkLocationCoefficients!C71</f>
        <v>Gamma70</v>
      </c>
      <c r="V63" s="35">
        <f>WorkLocationCoefficients!E71</f>
        <v>1.8412445021999999</v>
      </c>
      <c r="W63" s="135">
        <f>_xlfn.IFNA(VLOOKUP(T63,$M$13:$Q$39,5,FALSE),_xlfn.IFNA(VLOOKUP(T63,calibration_flow!$AD$3:$AH$25,5,FALSE),V63))</f>
        <v>1.8412445021999999</v>
      </c>
      <c r="X63">
        <f si="0" t="shared"/>
        <v>0</v>
      </c>
    </row>
    <row ht="14.65" r="64" spans="1:24" thickBot="1" x14ac:dyDescent="0.5">
      <c r="A64">
        <f>TLFD!A38+0.5</f>
        <v>27.5</v>
      </c>
      <c r="B64" s="66">
        <f si="4" t="shared"/>
        <v>3.3499040872746049</v>
      </c>
      <c r="C64" s="63">
        <f>TLFD!C38/SUM(TLFD!$C$11:$C$100)</f>
        <v>7.3718874544496469E-3</v>
      </c>
      <c r="D64" s="63">
        <f>TLFD!I38/SUM(TLFD!$I$11:$I$100)</f>
        <v>4.8045022240790344E-3</v>
      </c>
      <c r="E64" s="63">
        <f>TLFD!D38/SUM(TLFD!$D$11:$D$101)</f>
        <v>0</v>
      </c>
      <c r="F64" s="63">
        <f>TLFD!J38/SUM(TLFD!$J$11:$J$100)</f>
        <v>3.4133333333333333E-3</v>
      </c>
      <c r="G64" s="117">
        <f si="3" t="shared"/>
        <v>0.42812033141638789</v>
      </c>
      <c r="H64" s="117">
        <f si="5" t="shared"/>
        <v>0</v>
      </c>
      <c r="J64" s="1" t="s">
        <v>297</v>
      </c>
      <c r="K64" s="1">
        <v>-2.3769499067547318E-2</v>
      </c>
      <c r="L64" s="1">
        <v>2.0096066374795992E-2</v>
      </c>
      <c r="M64" s="1">
        <v>-1.1827936186237151</v>
      </c>
      <c r="N64" s="1">
        <v>0.24004105373670998</v>
      </c>
      <c r="O64" s="1">
        <v>-6.3699954898131447E-2</v>
      </c>
      <c r="P64" s="1">
        <v>1.6160956763036808E-2</v>
      </c>
      <c r="Q64" s="1">
        <v>-6.3699954898131447E-2</v>
      </c>
      <c r="R64" s="1">
        <v>1.6160956763036808E-2</v>
      </c>
      <c r="T64">
        <f>WorkLocationCoefficients!B72</f>
        <v>71</v>
      </c>
      <c r="U64" t="str">
        <f>WorkLocationCoefficients!C72</f>
        <v>Gamma71</v>
      </c>
      <c r="V64" s="35">
        <f>WorkLocationCoefficients!E72</f>
        <v>0.71619685052500004</v>
      </c>
      <c r="W64" s="135">
        <f>_xlfn.IFNA(VLOOKUP(T64,$M$13:$Q$39,5,FALSE),_xlfn.IFNA(VLOOKUP(T64,calibration_flow!$AD$3:$AH$25,5,FALSE),V64))</f>
        <v>0.71619685052500004</v>
      </c>
      <c r="X64">
        <f si="0" t="shared"/>
        <v>0</v>
      </c>
    </row>
    <row r="65" spans="1:24" x14ac:dyDescent="0.45">
      <c r="A65">
        <f>TLFD!A39+0.5</f>
        <v>28.5</v>
      </c>
      <c r="B65" s="66">
        <f si="4" t="shared"/>
        <v>3.3843902633457743</v>
      </c>
      <c r="C65" s="63">
        <f>TLFD!C39/SUM(TLFD!$C$11:$C$100)</f>
        <v>1.1942790681050604E-3</v>
      </c>
      <c r="D65" s="63">
        <f>TLFD!I39/SUM(TLFD!$I$11:$I$100)</f>
        <v>4.2515543977783782E-3</v>
      </c>
      <c r="E65" s="63">
        <f>TLFD!D39/SUM(TLFD!$D$11:$D$101)</f>
        <v>9.9652196382421648E-3</v>
      </c>
      <c r="F65" s="63">
        <f>TLFD!J39/SUM(TLFD!$J$11:$J$100)</f>
        <v>2.32E-3</v>
      </c>
      <c r="G65" s="117">
        <f si="3" t="shared"/>
        <v>-1.2697419436812409</v>
      </c>
      <c r="H65" s="117">
        <f si="5" t="shared"/>
        <v>1.4575338087112439</v>
      </c>
      <c r="T65">
        <f>WorkLocationCoefficients!B73</f>
        <v>72</v>
      </c>
      <c r="U65" t="str">
        <f>WorkLocationCoefficients!C73</f>
        <v>Gamma72</v>
      </c>
      <c r="V65" s="35">
        <f>WorkLocationCoefficients!E73</f>
        <v>-0.101060642888</v>
      </c>
      <c r="W65" s="135">
        <f>_xlfn.IFNA(VLOOKUP(T65,$M$13:$Q$39,5,FALSE),_xlfn.IFNA(VLOOKUP(T65,calibration_flow!$AD$3:$AH$25,5,FALSE),V65))</f>
        <v>-0.101060642888</v>
      </c>
      <c r="X65">
        <f si="0" t="shared"/>
        <v>0</v>
      </c>
    </row>
    <row r="66" spans="1:24" x14ac:dyDescent="0.45">
      <c r="A66">
        <f>TLFD!A40+0.5</f>
        <v>29.5</v>
      </c>
      <c r="B66" s="66">
        <f si="4" t="shared"/>
        <v>3.417726683613366</v>
      </c>
      <c r="C66" s="63">
        <f>TLFD!C40/SUM(TLFD!$C$11:$C$100)</f>
        <v>2.7137483427822451E-3</v>
      </c>
      <c r="D66" s="63">
        <f>TLFD!I40/SUM(TLFD!$I$11:$I$100)</f>
        <v>4.1409648325182475E-3</v>
      </c>
      <c r="E66" s="63">
        <f>TLFD!D40/SUM(TLFD!$D$11:$D$101)</f>
        <v>0</v>
      </c>
      <c r="F66" s="63">
        <f>TLFD!J40/SUM(TLFD!$J$11:$J$100)</f>
        <v>2.3466666666666666E-3</v>
      </c>
      <c r="G66" s="117">
        <f si="3" t="shared"/>
        <v>-0.42259798048214919</v>
      </c>
      <c r="H66" s="117">
        <f si="5" t="shared"/>
        <v>0</v>
      </c>
      <c r="T66">
        <f>WorkLocationCoefficients!B74</f>
        <v>73</v>
      </c>
      <c r="U66" t="str">
        <f>WorkLocationCoefficients!C74</f>
        <v>Gamma73</v>
      </c>
      <c r="V66" s="35">
        <f>WorkLocationCoefficients!E74</f>
        <v>-0.34132571646100002</v>
      </c>
      <c r="W66" s="135">
        <f>_xlfn.IFNA(VLOOKUP(T66,$M$13:$Q$39,5,FALSE),_xlfn.IFNA(VLOOKUP(T66,calibration_flow!$AD$3:$AH$25,5,FALSE),V66))</f>
        <v>-0.34132571646100002</v>
      </c>
      <c r="X66">
        <f si="0" t="shared"/>
        <v>0</v>
      </c>
    </row>
    <row r="67" spans="1:24" x14ac:dyDescent="0.45">
      <c r="A67">
        <f>TLFD!A41+0.5</f>
        <v>30.5</v>
      </c>
      <c r="B67" s="66">
        <f si="4" t="shared"/>
        <v>3.4499875458315872</v>
      </c>
      <c r="C67" s="63">
        <f>TLFD!C41/SUM(TLFD!$C$11:$C$100)</f>
        <v>5.6809030549563252E-3</v>
      </c>
      <c r="D67" s="63">
        <f>TLFD!I41/SUM(TLFD!$I$11:$I$100)</f>
        <v>4.1778280209382908E-3</v>
      </c>
      <c r="E67" s="63">
        <f>TLFD!D41/SUM(TLFD!$D$11:$D$101)</f>
        <v>1.8464637214686888E-3</v>
      </c>
      <c r="F67" s="63">
        <f>TLFD!J41/SUM(TLFD!$J$11:$J$100)</f>
        <v>1.8400000000000001E-3</v>
      </c>
      <c r="G67" s="117">
        <f si="3" t="shared"/>
        <v>0.30731870936863409</v>
      </c>
      <c r="H67" s="117">
        <f si="5" t="shared"/>
        <v>3.5067363092987688E-3</v>
      </c>
      <c r="T67">
        <f>WorkLocationCoefficients!B75</f>
        <v>74</v>
      </c>
      <c r="U67" t="str">
        <f>WorkLocationCoefficients!C75</f>
        <v>Gamma74</v>
      </c>
      <c r="V67" s="35">
        <f>WorkLocationCoefficients!E75</f>
        <v>1.0486549950899999</v>
      </c>
      <c r="W67" s="135">
        <f>_xlfn.IFNA(VLOOKUP(T67,$M$13:$Q$39,5,FALSE),_xlfn.IFNA(VLOOKUP(T67,calibration_flow!$AD$3:$AH$25,5,FALSE),V67))</f>
        <v>1.0486549950899999</v>
      </c>
      <c r="X67">
        <f si="0" t="shared"/>
        <v>0</v>
      </c>
    </row>
    <row r="68" spans="1:24" x14ac:dyDescent="0.45">
      <c r="A68">
        <f>TLFD!A42+0.5</f>
        <v>31.5</v>
      </c>
      <c r="B68" s="66">
        <f si="4" t="shared"/>
        <v>3.4812400893356918</v>
      </c>
      <c r="C68" s="63">
        <f>TLFD!C42/SUM(TLFD!$C$11:$C$100)</f>
        <v>2.2760083457689815E-3</v>
      </c>
      <c r="D68" s="63">
        <f>TLFD!I42/SUM(TLFD!$I$11:$I$100)</f>
        <v>3.2439605809638497E-3</v>
      </c>
      <c r="E68" s="63">
        <f>TLFD!D42/SUM(TLFD!$D$11:$D$101)</f>
        <v>0</v>
      </c>
      <c r="F68" s="63">
        <f>TLFD!J42/SUM(TLFD!$J$11:$J$100)</f>
        <v>1.3866666666666667E-3</v>
      </c>
      <c r="G68" s="117">
        <f si="3" t="shared"/>
        <v>-0.35437180169640631</v>
      </c>
      <c r="H68" s="117">
        <f si="5" t="shared"/>
        <v>0</v>
      </c>
      <c r="T68">
        <f>WorkLocationCoefficients!B76</f>
        <v>75</v>
      </c>
      <c r="U68" t="str">
        <f>WorkLocationCoefficients!C76</f>
        <v>Gamma75</v>
      </c>
      <c r="V68" s="35">
        <f>WorkLocationCoefficients!E76</f>
        <v>-30</v>
      </c>
      <c r="W68" s="135">
        <f>_xlfn.IFNA(VLOOKUP(T68,$M$13:$Q$39,5,FALSE),_xlfn.IFNA(VLOOKUP(T68,calibration_flow!$AD$3:$AH$25,5,FALSE),V68))</f>
        <v>-30</v>
      </c>
      <c r="X68">
        <f ref="X68:X93" si="6" t="shared">IF(W68=V68,0,1)</f>
        <v>0</v>
      </c>
    </row>
    <row r="69" spans="1:24" x14ac:dyDescent="0.45">
      <c r="A69">
        <f>TLFD!A43+0.5</f>
        <v>32.5</v>
      </c>
      <c r="B69" s="66">
        <f si="4" t="shared"/>
        <v>3.5115454388310208</v>
      </c>
      <c r="C69" s="63">
        <f>TLFD!C43/SUM(TLFD!$C$11:$C$100)</f>
        <v>2.9533315967397943E-3</v>
      </c>
      <c r="D69" s="63">
        <f>TLFD!I43/SUM(TLFD!$I$11:$I$100)</f>
        <v>3.1333710157037181E-3</v>
      </c>
      <c r="E69" s="63">
        <f>TLFD!D43/SUM(TLFD!$D$11:$D$101)</f>
        <v>0</v>
      </c>
      <c r="F69" s="63">
        <f>TLFD!J43/SUM(TLFD!$J$11:$J$100)</f>
        <v>1.1199999999999999E-3</v>
      </c>
      <c r="G69" s="117">
        <f si="3" t="shared"/>
        <v>-5.917553888660327E-2</v>
      </c>
      <c r="H69" s="117">
        <f si="5" t="shared"/>
        <v>0</v>
      </c>
      <c r="T69">
        <f>WorkLocationCoefficients!B77</f>
        <v>76</v>
      </c>
      <c r="U69" t="str">
        <f>WorkLocationCoefficients!C77</f>
        <v>Gamma76</v>
      </c>
      <c r="V69" s="35">
        <f>WorkLocationCoefficients!E77</f>
        <v>0.91468797064200003</v>
      </c>
      <c r="W69" s="135">
        <f>_xlfn.IFNA(VLOOKUP(T69,$M$13:$Q$39,5,FALSE),_xlfn.IFNA(VLOOKUP(T69,calibration_flow!$AD$3:$AH$25,5,FALSE),V69))</f>
        <v>0.91468797064200003</v>
      </c>
      <c r="X69">
        <f si="6" t="shared"/>
        <v>0</v>
      </c>
    </row>
    <row r="70" spans="1:24" x14ac:dyDescent="0.45">
      <c r="A70">
        <f>TLFD!A44+0.5</f>
        <v>33.5</v>
      </c>
      <c r="B70" s="66">
        <f si="4" t="shared"/>
        <v>3.5409593240373143</v>
      </c>
      <c r="C70" s="63">
        <f>TLFD!C44/SUM(TLFD!$C$11:$C$100)</f>
        <v>8.3020642816033076E-4</v>
      </c>
      <c r="D70" s="63">
        <f>TLFD!I44/SUM(TLFD!$I$11:$I$100)</f>
        <v>2.5804231894030619E-3</v>
      </c>
      <c r="E70" s="63">
        <f>TLFD!D44/SUM(TLFD!$D$11:$D$101)</f>
        <v>5.0441190296011962E-2</v>
      </c>
      <c r="F70" s="63">
        <f>TLFD!J44/SUM(TLFD!$J$11:$J$100)</f>
        <v>1.3600000000000001E-3</v>
      </c>
      <c r="G70" s="117">
        <f si="3" t="shared"/>
        <v>-1.1340343128704489</v>
      </c>
      <c r="H70" s="117">
        <f si="5" t="shared"/>
        <v>3.6133234093259134</v>
      </c>
      <c r="J70" s="72" t="s">
        <v>10</v>
      </c>
      <c r="K70" t="s">
        <v>300</v>
      </c>
      <c r="T70">
        <f>WorkLocationCoefficients!B78</f>
        <v>77</v>
      </c>
      <c r="U70" t="str">
        <f>WorkLocationCoefficients!C78</f>
        <v>Gamma77</v>
      </c>
      <c r="V70" s="35">
        <f>WorkLocationCoefficients!E78</f>
        <v>-1.1830909132</v>
      </c>
      <c r="W70" s="135">
        <f>_xlfn.IFNA(VLOOKUP(T70,$M$13:$Q$39,5,FALSE),_xlfn.IFNA(VLOOKUP(T70,calibration_flow!$AD$3:$AH$25,5,FALSE),V70))</f>
        <v>-1.1830909132</v>
      </c>
      <c r="X70">
        <f si="6" t="shared"/>
        <v>0</v>
      </c>
    </row>
    <row r="71" spans="1:24" x14ac:dyDescent="0.45">
      <c r="A71">
        <f>TLFD!A45+0.5</f>
        <v>34.5</v>
      </c>
      <c r="B71" s="66">
        <f si="4" t="shared"/>
        <v>3.5695326964813701</v>
      </c>
      <c r="C71" s="63">
        <f>TLFD!C45/SUM(TLFD!$C$11:$C$100)</f>
        <v>3.6796313489112649E-3</v>
      </c>
      <c r="D71" s="63">
        <f>TLFD!I45/SUM(TLFD!$I$11:$I$100)</f>
        <v>1.9291735273156225E-3</v>
      </c>
      <c r="E71" s="63">
        <f>TLFD!D45/SUM(TLFD!$D$11:$D$101)</f>
        <v>1.0139076318953588E-3</v>
      </c>
      <c r="F71" s="63">
        <f>TLFD!J45/SUM(TLFD!$J$11:$J$100)</f>
        <v>1.0666666666666667E-3</v>
      </c>
      <c r="G71" s="117">
        <f si="3" t="shared"/>
        <v>0.64572088322267363</v>
      </c>
      <c r="H71" s="117">
        <f si="5" t="shared"/>
        <v>-5.0726712923147378E-2</v>
      </c>
      <c r="T71">
        <f>WorkLocationCoefficients!B79</f>
        <v>78</v>
      </c>
      <c r="U71" t="str">
        <f>WorkLocationCoefficients!C79</f>
        <v>Gamma78</v>
      </c>
      <c r="V71" s="35">
        <f>WorkLocationCoefficients!E79</f>
        <v>1.4576625009499999</v>
      </c>
      <c r="W71" s="135">
        <f>_xlfn.IFNA(VLOOKUP(T71,$M$13:$Q$39,5,FALSE),_xlfn.IFNA(VLOOKUP(T71,calibration_flow!$AD$3:$AH$25,5,FALSE),V71))</f>
        <v>1.4576625009499999</v>
      </c>
      <c r="X71">
        <f si="6" t="shared"/>
        <v>0</v>
      </c>
    </row>
    <row r="72" spans="1:24" x14ac:dyDescent="0.45">
      <c r="A72">
        <f>TLFD!A46+0.5</f>
        <v>35.5</v>
      </c>
      <c r="B72" s="66">
        <f si="4" t="shared"/>
        <v>3.597312260588446</v>
      </c>
      <c r="C72" s="63">
        <f>TLFD!C46/SUM(TLFD!$C$11:$C$100)</f>
        <v>2.0678584348070924E-3</v>
      </c>
      <c r="D72" s="63">
        <f>TLFD!I46/SUM(TLFD!$I$11:$I$100)</f>
        <v>1.6342680199552726E-3</v>
      </c>
      <c r="E72" s="63">
        <f>TLFD!D46/SUM(TLFD!$D$11:$D$101)</f>
        <v>0</v>
      </c>
      <c r="F72" s="63">
        <f>TLFD!J46/SUM(TLFD!$J$11:$J$100)</f>
        <v>9.0666666666666662E-4</v>
      </c>
      <c r="G72" s="117">
        <f si="3" t="shared"/>
        <v>0.23531848929344648</v>
      </c>
      <c r="H72" s="117">
        <f si="5" t="shared"/>
        <v>0</v>
      </c>
      <c r="T72">
        <f>WorkLocationCoefficients!B80</f>
        <v>79</v>
      </c>
      <c r="U72" t="str">
        <f>WorkLocationCoefficients!C80</f>
        <v>Gamma79</v>
      </c>
      <c r="V72" s="35">
        <f>WorkLocationCoefficients!E80</f>
        <v>-1.62636517084</v>
      </c>
      <c r="W72" s="135">
        <f>_xlfn.IFNA(VLOOKUP(T72,$M$13:$Q$39,5,FALSE),_xlfn.IFNA(VLOOKUP(T72,calibration_flow!$AD$3:$AH$25,5,FALSE),V72))</f>
        <v>-1.62636517084</v>
      </c>
      <c r="X72">
        <f si="6" t="shared"/>
        <v>0</v>
      </c>
    </row>
    <row r="73" spans="1:24" x14ac:dyDescent="0.45">
      <c r="A73">
        <f>TLFD!A47+0.5</f>
        <v>36.5</v>
      </c>
      <c r="B73" s="66">
        <f si="4" t="shared"/>
        <v>3.6243409329763652</v>
      </c>
      <c r="C73" s="63">
        <f>TLFD!C47/SUM(TLFD!$C$11:$C$100)</f>
        <v>5.4111073180252876E-3</v>
      </c>
      <c r="D73" s="63">
        <f>TLFD!I47/SUM(TLFD!$I$11:$I$100)</f>
        <v>1.4745275368017498E-3</v>
      </c>
      <c r="E73" s="63">
        <f>TLFD!D47/SUM(TLFD!$D$11:$D$101)</f>
        <v>0</v>
      </c>
      <c r="F73" s="63">
        <f>TLFD!J47/SUM(TLFD!$J$11:$J$100)</f>
        <v>1.0133333333333333E-3</v>
      </c>
      <c r="G73" s="117">
        <f si="3" t="shared"/>
        <v>1.3001161273235522</v>
      </c>
      <c r="H73" s="117">
        <f si="5" t="shared"/>
        <v>0</v>
      </c>
      <c r="J73" t="s">
        <v>275</v>
      </c>
      <c r="T73">
        <f>WorkLocationCoefficients!B81</f>
        <v>80</v>
      </c>
      <c r="U73" t="str">
        <f>WorkLocationCoefficients!C81</f>
        <v>Gamma80</v>
      </c>
      <c r="V73" s="35">
        <f>WorkLocationCoefficients!E81</f>
        <v>0</v>
      </c>
      <c r="W73" s="135">
        <f>_xlfn.IFNA(VLOOKUP(T73,$M$13:$Q$39,5,FALSE),_xlfn.IFNA(VLOOKUP(T73,calibration_flow!$AD$3:$AH$25,5,FALSE),V73))</f>
        <v>0</v>
      </c>
      <c r="X73">
        <f si="6" t="shared"/>
        <v>0</v>
      </c>
    </row>
    <row ht="14.65" r="74" spans="1:24" thickBot="1" x14ac:dyDescent="0.5">
      <c r="A74">
        <f>TLFD!A48+0.5</f>
        <v>37.5</v>
      </c>
      <c r="B74" s="66">
        <f si="4" t="shared"/>
        <v>3.6506582412937387</v>
      </c>
      <c r="C74" s="63">
        <f>TLFD!C48/SUM(TLFD!$C$11:$C$100)</f>
        <v>2.1502076769337052E-3</v>
      </c>
      <c r="D74" s="63">
        <f>TLFD!I48/SUM(TLFD!$I$11:$I$100)</f>
        <v>1.2287729473347915E-3</v>
      </c>
      <c r="E74" s="63">
        <f>TLFD!D48/SUM(TLFD!$D$11:$D$101)</f>
        <v>0</v>
      </c>
      <c r="F74" s="63">
        <f>TLFD!J48/SUM(TLFD!$J$11:$J$100)</f>
        <v>6.1333333333333335E-4</v>
      </c>
      <c r="G74" s="117">
        <f si="3" t="shared"/>
        <v>0.55954836374371308</v>
      </c>
      <c r="H74" s="117">
        <f si="5" t="shared"/>
        <v>0</v>
      </c>
      <c r="T74" s="58">
        <f>WorkLocationCoefficients!B82</f>
        <v>101</v>
      </c>
      <c r="U74" s="58" t="str">
        <f>WorkLocationCoefficients!C82</f>
        <v>DestD_1</v>
      </c>
      <c r="V74" s="59">
        <f>WorkLocationCoefficients!E82</f>
        <v>0</v>
      </c>
      <c r="W74" s="135">
        <f>_xlfn.IFNA(VLOOKUP(T74,$M$13:$Q$39,5,FALSE),_xlfn.IFNA(VLOOKUP(T74,calibration_flow!$AD$3:$AH$25,5,FALSE),V74))</f>
        <v>0</v>
      </c>
      <c r="X74">
        <f si="6" t="shared"/>
        <v>0</v>
      </c>
    </row>
    <row r="75" spans="1:24" x14ac:dyDescent="0.45">
      <c r="A75">
        <f>TLFD!A49+0.5</f>
        <v>38.5</v>
      </c>
      <c r="B75" s="66">
        <f si="4" t="shared"/>
        <v>3.6763006719070761</v>
      </c>
      <c r="C75" s="63">
        <f>TLFD!C49/SUM(TLFD!$C$11:$C$100)</f>
        <v>0</v>
      </c>
      <c r="D75" s="63">
        <f>TLFD!I49/SUM(TLFD!$I$11:$I$100)</f>
        <v>9.7073062839448526E-4</v>
      </c>
      <c r="E75" s="63">
        <f>TLFD!D49/SUM(TLFD!$D$11:$D$101)</f>
        <v>1.3432049706462485E-3</v>
      </c>
      <c r="F75" s="63">
        <f>TLFD!J49/SUM(TLFD!$J$11:$J$100)</f>
        <v>6.4000000000000005E-4</v>
      </c>
      <c r="G75" s="117">
        <f si="3" t="shared"/>
        <v>0</v>
      </c>
      <c r="H75" s="117">
        <f si="5" t="shared"/>
        <v>0.7413456300030109</v>
      </c>
      <c r="J75" s="69" t="s">
        <v>276</v>
      </c>
      <c r="K75" s="69"/>
      <c r="T75" s="58">
        <f>WorkLocationCoefficients!B83</f>
        <v>102</v>
      </c>
      <c r="U75" s="58" t="str">
        <f>WorkLocationCoefficients!C83</f>
        <v>DestD_2</v>
      </c>
      <c r="V75" s="59">
        <f>WorkLocationCoefficients!E83</f>
        <v>6.1585552388600001E-2</v>
      </c>
      <c r="W75" s="135">
        <f>_xlfn.IFNA(VLOOKUP(T75,$M$13:$Q$39,5,FALSE),_xlfn.IFNA(VLOOKUP(T75,calibration_flow!$AD$3:$AH$25,5,FALSE),V75))</f>
        <v>0.29661117280605609</v>
      </c>
      <c r="X75">
        <f si="6" t="shared"/>
        <v>1</v>
      </c>
    </row>
    <row r="76" spans="1:24" x14ac:dyDescent="0.45">
      <c r="A76">
        <f>TLFD!A50+0.5</f>
        <v>39.5</v>
      </c>
      <c r="B76" s="66">
        <f si="4" t="shared"/>
        <v>3.7013019741124933</v>
      </c>
      <c r="C76" s="63">
        <f>TLFD!C50/SUM(TLFD!$C$11:$C$100)</f>
        <v>0</v>
      </c>
      <c r="D76" s="63">
        <f>TLFD!I50/SUM(TLFD!$I$11:$I$100)</f>
        <v>8.9700425155439783E-4</v>
      </c>
      <c r="E76" s="63">
        <f>TLFD!D50/SUM(TLFD!$D$11:$D$101)</f>
        <v>0</v>
      </c>
      <c r="F76" s="63">
        <f>TLFD!J50/SUM(TLFD!$J$11:$J$100)</f>
        <v>5.0666666666666666E-4</v>
      </c>
      <c r="G76" s="117">
        <f si="3" t="shared"/>
        <v>0</v>
      </c>
      <c r="H76" s="117">
        <f si="5" t="shared"/>
        <v>0</v>
      </c>
      <c r="J76" t="s">
        <v>277</v>
      </c>
      <c r="K76">
        <v>0.15401022166034731</v>
      </c>
      <c r="T76" s="58">
        <f>WorkLocationCoefficients!B84</f>
        <v>103</v>
      </c>
      <c r="U76" s="58" t="str">
        <f>WorkLocationCoefficients!C84</f>
        <v>DestD_3</v>
      </c>
      <c r="V76" s="59">
        <f>WorkLocationCoefficients!E84</f>
        <v>-0.17738509358310001</v>
      </c>
      <c r="W76" s="135">
        <f>_xlfn.IFNA(VLOOKUP(T76,$M$13:$Q$39,5,FALSE),_xlfn.IFNA(VLOOKUP(T76,calibration_flow!$AD$3:$AH$25,5,FALSE),V76))</f>
        <v>7.8943514805084047E-2</v>
      </c>
      <c r="X76">
        <f si="6" t="shared"/>
        <v>1</v>
      </c>
    </row>
    <row r="77" spans="1:24" x14ac:dyDescent="0.45">
      <c r="A77">
        <f>TLFD!A51+0.5</f>
        <v>40.5</v>
      </c>
      <c r="B77" s="66">
        <f si="4" t="shared"/>
        <v>3.7256934272366524</v>
      </c>
      <c r="C77" s="63">
        <f>TLFD!C51/SUM(TLFD!$C$11:$C$100)</f>
        <v>0</v>
      </c>
      <c r="D77" s="63">
        <f>TLFD!I51/SUM(TLFD!$I$11:$I$100)</f>
        <v>9.5844289892113739E-4</v>
      </c>
      <c r="E77" s="63">
        <f>TLFD!D51/SUM(TLFD!$D$11:$D$101)</f>
        <v>0</v>
      </c>
      <c r="F77" s="63">
        <f>TLFD!J51/SUM(TLFD!$J$11:$J$100)</f>
        <v>4.0000000000000002E-4</v>
      </c>
      <c r="G77" s="117">
        <f si="3" t="shared"/>
        <v>0</v>
      </c>
      <c r="H77" s="117">
        <f si="5" t="shared"/>
        <v>0</v>
      </c>
      <c r="J77" t="s">
        <v>278</v>
      </c>
      <c r="K77">
        <v>2.371914837586931E-2</v>
      </c>
      <c r="T77" s="58">
        <f>WorkLocationCoefficients!B85</f>
        <v>104</v>
      </c>
      <c r="U77" s="58" t="str">
        <f>WorkLocationCoefficients!C85</f>
        <v>DestD_4</v>
      </c>
      <c r="V77" s="59">
        <f>WorkLocationCoefficients!E85</f>
        <v>0.2419007637824</v>
      </c>
      <c r="W77" s="135">
        <f>_xlfn.IFNA(VLOOKUP(T77,$M$13:$Q$39,5,FALSE),_xlfn.IFNA(VLOOKUP(T77,calibration_flow!$AD$3:$AH$25,5,FALSE),V77))</f>
        <v>0.57002274909694661</v>
      </c>
      <c r="X77">
        <f si="6" t="shared"/>
        <v>1</v>
      </c>
    </row>
    <row r="78" spans="1:24" x14ac:dyDescent="0.45">
      <c r="A78">
        <f>TLFD!A52+0.5</f>
        <v>41.5</v>
      </c>
      <c r="B78" s="66">
        <f si="4" t="shared"/>
        <v>3.7495040759303713</v>
      </c>
      <c r="C78" s="63">
        <f>TLFD!C52/SUM(TLFD!$C$11:$C$100)</f>
        <v>0</v>
      </c>
      <c r="D78" s="63">
        <f>TLFD!I52/SUM(TLFD!$I$11:$I$100)</f>
        <v>5.6523555577400405E-4</v>
      </c>
      <c r="E78" s="63">
        <f>TLFD!D52/SUM(TLFD!$D$11:$D$101)</f>
        <v>0</v>
      </c>
      <c r="F78" s="63">
        <f>TLFD!J52/SUM(TLFD!$J$11:$J$100)</f>
        <v>3.4666666666666667E-4</v>
      </c>
      <c r="G78" s="117">
        <f si="3" t="shared"/>
        <v>0</v>
      </c>
      <c r="H78" s="117">
        <f si="5" t="shared"/>
        <v>0</v>
      </c>
      <c r="J78" t="s">
        <v>279</v>
      </c>
      <c r="K78">
        <v>1.2483193319689537E-2</v>
      </c>
      <c r="T78" s="58">
        <f>WorkLocationCoefficients!B86</f>
        <v>105</v>
      </c>
      <c r="U78" s="58" t="str">
        <f>WorkLocationCoefficients!C86</f>
        <v>DestD_5</v>
      </c>
      <c r="V78" s="59">
        <f>WorkLocationCoefficients!E86</f>
        <v>-3.3705109193499998E-2</v>
      </c>
      <c r="W78" s="135">
        <f>_xlfn.IFNA(VLOOKUP(T78,$M$13:$Q$39,5,FALSE),_xlfn.IFNA(VLOOKUP(T78,calibration_flow!$AD$3:$AH$25,5,FALSE),V78))</f>
        <v>0.36274135042324906</v>
      </c>
      <c r="X78">
        <f si="6" t="shared"/>
        <v>1</v>
      </c>
    </row>
    <row r="79" spans="1:24" x14ac:dyDescent="0.45">
      <c r="A79">
        <f>TLFD!A53+0.5</f>
        <v>42.5</v>
      </c>
      <c r="B79" s="66">
        <f si="4" t="shared"/>
        <v>3.7727609380946383</v>
      </c>
      <c r="C79" s="63">
        <f>TLFD!C53/SUM(TLFD!$C$11:$C$100)</f>
        <v>4.3855659549884749E-4</v>
      </c>
      <c r="D79" s="63">
        <f>TLFD!I53/SUM(TLFD!$I$11:$I$100)</f>
        <v>6.5124966208743946E-4</v>
      </c>
      <c r="E79" s="63">
        <f>TLFD!D53/SUM(TLFD!$D$11:$D$101)</f>
        <v>0</v>
      </c>
      <c r="F79" s="63">
        <f>TLFD!J53/SUM(TLFD!$J$11:$J$100)</f>
        <v>2.9333333333333333E-4</v>
      </c>
      <c r="G79" s="117">
        <f si="3" t="shared"/>
        <v>-0.39540420458394437</v>
      </c>
      <c r="H79" s="117">
        <f si="5" t="shared"/>
        <v>0</v>
      </c>
      <c r="J79" t="s">
        <v>280</v>
      </c>
      <c r="K79">
        <v>0.76424537909254264</v>
      </c>
      <c r="T79" s="58">
        <f>WorkLocationCoefficients!B87</f>
        <v>106</v>
      </c>
      <c r="U79" s="58" t="str">
        <f>WorkLocationCoefficients!C87</f>
        <v>DestD_6</v>
      </c>
      <c r="V79" s="59">
        <f>WorkLocationCoefficients!E87</f>
        <v>0.1143372177009</v>
      </c>
      <c r="W79" s="135">
        <f>_xlfn.IFNA(VLOOKUP(T79,$M$13:$Q$39,5,FALSE),_xlfn.IFNA(VLOOKUP(T79,calibration_flow!$AD$3:$AH$25,5,FALSE),V79))</f>
        <v>0.28014395662109604</v>
      </c>
      <c r="X79">
        <f si="6" t="shared"/>
        <v>1</v>
      </c>
    </row>
    <row ht="14.65" r="80" spans="1:24" thickBot="1" x14ac:dyDescent="0.5">
      <c r="A80">
        <f>TLFD!A54+0.5</f>
        <v>43.5</v>
      </c>
      <c r="B80" s="66">
        <f si="4" t="shared"/>
        <v>3.7954891891721947</v>
      </c>
      <c r="C80" s="63">
        <f>TLFD!C54/SUM(TLFD!$C$11:$C$100)</f>
        <v>1.2340435841774245E-3</v>
      </c>
      <c r="D80" s="63">
        <f>TLFD!I54/SUM(TLFD!$I$11:$I$100)</f>
        <v>4.9150917893391662E-4</v>
      </c>
      <c r="E80" s="63">
        <f>TLFD!D54/SUM(TLFD!$D$11:$D$101)</f>
        <v>0</v>
      </c>
      <c r="F80" s="63">
        <f>TLFD!J54/SUM(TLFD!$J$11:$J$100)</f>
        <v>1.8666666666666666E-4</v>
      </c>
      <c r="G80" s="117">
        <f si="3" t="shared"/>
        <v>0.92057090851066736</v>
      </c>
      <c r="H80" s="117">
        <f si="5" t="shared"/>
        <v>0</v>
      </c>
      <c r="J80" s="1" t="s">
        <v>281</v>
      </c>
      <c r="K80" s="1">
        <v>90</v>
      </c>
      <c r="T80" s="58">
        <f>WorkLocationCoefficients!B88</f>
        <v>107</v>
      </c>
      <c r="U80" s="58" t="str">
        <f>WorkLocationCoefficients!C88</f>
        <v>DestD_7</v>
      </c>
      <c r="V80" s="59">
        <f>WorkLocationCoefficients!E88</f>
        <v>0.29549776405130002</v>
      </c>
      <c r="W80" s="135">
        <f>_xlfn.IFNA(VLOOKUP(T80,$M$13:$Q$39,5,FALSE),_xlfn.IFNA(VLOOKUP(T80,calibration_flow!$AD$3:$AH$25,5,FALSE),V80))</f>
        <v>0.35673034675789178</v>
      </c>
      <c r="X80">
        <f si="6" t="shared"/>
        <v>1</v>
      </c>
    </row>
    <row r="81" spans="1:24" x14ac:dyDescent="0.45">
      <c r="A81">
        <f>TLFD!A55+0.5</f>
        <v>44.5</v>
      </c>
      <c r="B81" s="66">
        <f si="4" t="shared"/>
        <v>3.8177123259569048</v>
      </c>
      <c r="C81" s="63">
        <f>TLFD!C55/SUM(TLFD!$C$11:$C$100)</f>
        <v>0</v>
      </c>
      <c r="D81" s="63">
        <f>TLFD!I55/SUM(TLFD!$I$11:$I$100)</f>
        <v>3.4405642525374159E-4</v>
      </c>
      <c r="E81" s="63">
        <f>TLFD!D55/SUM(TLFD!$D$11:$D$101)</f>
        <v>0</v>
      </c>
      <c r="F81" s="63">
        <f>TLFD!J55/SUM(TLFD!$J$11:$J$100)</f>
        <v>2.1333333333333333E-4</v>
      </c>
      <c r="G81" s="117">
        <f si="3" t="shared"/>
        <v>0</v>
      </c>
      <c r="H81" s="117">
        <f si="5" t="shared"/>
        <v>0</v>
      </c>
      <c r="T81" s="58">
        <f>WorkLocationCoefficients!B89</f>
        <v>108</v>
      </c>
      <c r="U81" s="58" t="str">
        <f>WorkLocationCoefficients!C89</f>
        <v>DestD_8</v>
      </c>
      <c r="V81" s="59">
        <f>WorkLocationCoefficients!E89</f>
        <v>-0.24958234591280001</v>
      </c>
      <c r="W81" s="135">
        <f>_xlfn.IFNA(VLOOKUP(T81,$M$13:$Q$39,5,FALSE),_xlfn.IFNA(VLOOKUP(T81,calibration_flow!$AD$3:$AH$25,5,FALSE),V81))</f>
        <v>0.57353773499469629</v>
      </c>
      <c r="X81">
        <f si="6" t="shared"/>
        <v>1</v>
      </c>
    </row>
    <row ht="14.65" r="82" spans="1:24" thickBot="1" x14ac:dyDescent="0.5">
      <c r="A82">
        <f>TLFD!A56+0.5</f>
        <v>45.5</v>
      </c>
      <c r="B82" s="66">
        <f si="4" t="shared"/>
        <v>3.8394523125933104</v>
      </c>
      <c r="C82" s="63">
        <f>TLFD!C56/SUM(TLFD!$C$11:$C$100)</f>
        <v>0</v>
      </c>
      <c r="D82" s="63">
        <f>TLFD!I56/SUM(TLFD!$I$11:$I$100)</f>
        <v>3.9320734314713329E-4</v>
      </c>
      <c r="E82" s="63">
        <f>TLFD!D56/SUM(TLFD!$D$11:$D$101)</f>
        <v>0</v>
      </c>
      <c r="F82" s="63">
        <f>TLFD!J56/SUM(TLFD!$J$11:$J$100)</f>
        <v>1.0666666666666667E-4</v>
      </c>
      <c r="G82" s="117">
        <f si="3" t="shared"/>
        <v>0</v>
      </c>
      <c r="H82" s="117">
        <f si="5" t="shared"/>
        <v>0</v>
      </c>
      <c r="J82" t="s">
        <v>282</v>
      </c>
      <c r="T82" s="58">
        <f>WorkLocationCoefficients!B90</f>
        <v>109</v>
      </c>
      <c r="U82" s="58" t="str">
        <f>WorkLocationCoefficients!C90</f>
        <v>DestD_9</v>
      </c>
      <c r="V82" s="59">
        <f>WorkLocationCoefficients!E90</f>
        <v>0.1613318461263</v>
      </c>
      <c r="W82" s="135">
        <f>_xlfn.IFNA(VLOOKUP(T82,$M$13:$Q$39,5,FALSE),_xlfn.IFNA(VLOOKUP(T82,calibration_flow!$AD$3:$AH$25,5,FALSE),V82))</f>
        <v>0.17183612268725507</v>
      </c>
      <c r="X82">
        <f si="6" t="shared"/>
        <v>1</v>
      </c>
    </row>
    <row r="83" spans="1:24" x14ac:dyDescent="0.45">
      <c r="A83">
        <f>TLFD!A57+0.5</f>
        <v>46.5</v>
      </c>
      <c r="B83" s="66">
        <f si="4" t="shared"/>
        <v>3.8607297110405954</v>
      </c>
      <c r="C83" s="63">
        <f>TLFD!C57/SUM(TLFD!$C$11:$C$100)</f>
        <v>0</v>
      </c>
      <c r="D83" s="63">
        <f>TLFD!I57/SUM(TLFD!$I$11:$I$100)</f>
        <v>1.9660367157356664E-4</v>
      </c>
      <c r="E83" s="63">
        <f>TLFD!D57/SUM(TLFD!$D$11:$D$101)</f>
        <v>0</v>
      </c>
      <c r="F83" s="63">
        <f>TLFD!J57/SUM(TLFD!$J$11:$J$100)</f>
        <v>1.8666666666666666E-4</v>
      </c>
      <c r="G83" s="117">
        <f si="3" t="shared"/>
        <v>0</v>
      </c>
      <c r="H83" s="117">
        <f si="5" t="shared"/>
        <v>0</v>
      </c>
      <c r="J83" s="71"/>
      <c r="K83" s="71" t="s">
        <v>283</v>
      </c>
      <c r="L83" s="71" t="s">
        <v>284</v>
      </c>
      <c r="M83" s="71" t="s">
        <v>285</v>
      </c>
      <c r="N83" s="71" t="s">
        <v>94</v>
      </c>
      <c r="O83" s="71" t="s">
        <v>286</v>
      </c>
      <c r="T83" s="58">
        <f>WorkLocationCoefficients!B91</f>
        <v>110</v>
      </c>
      <c r="U83" s="58" t="str">
        <f>WorkLocationCoefficients!C91</f>
        <v>DestD_10</v>
      </c>
      <c r="V83" s="59">
        <f>WorkLocationCoefficients!E91</f>
        <v>-4.5588844644699998E-2</v>
      </c>
      <c r="W83" s="135">
        <f>_xlfn.IFNA(VLOOKUP(T83,$M$13:$Q$39,5,FALSE),_xlfn.IFNA(VLOOKUP(T83,calibration_flow!$AD$3:$AH$25,5,FALSE),V83))</f>
        <v>0.19344305584836549</v>
      </c>
      <c r="X83">
        <f si="6" t="shared"/>
        <v>1</v>
      </c>
    </row>
    <row r="84" spans="1:24" x14ac:dyDescent="0.45">
      <c r="A84">
        <f>TLFD!A58+0.5</f>
        <v>47.5</v>
      </c>
      <c r="B84" s="66">
        <f si="4" t="shared"/>
        <v>3.8815637979434374</v>
      </c>
      <c r="C84" s="63">
        <f>TLFD!C58/SUM(TLFD!$C$11:$C$100)</f>
        <v>0</v>
      </c>
      <c r="D84" s="63">
        <f>TLFD!I58/SUM(TLFD!$I$11:$I$100)</f>
        <v>2.4575458946695831E-4</v>
      </c>
      <c r="E84" s="63">
        <f>TLFD!D58/SUM(TLFD!$D$11:$D$101)</f>
        <v>0</v>
      </c>
      <c r="F84" s="63">
        <f>TLFD!J58/SUM(TLFD!$J$11:$J$100)</f>
        <v>1.3333333333333334E-4</v>
      </c>
      <c r="G84" s="117">
        <f si="3" t="shared"/>
        <v>0</v>
      </c>
      <c r="H84" s="117">
        <f si="5" t="shared"/>
        <v>0</v>
      </c>
      <c r="J84" t="s">
        <v>287</v>
      </c>
      <c r="K84">
        <v>1</v>
      </c>
      <c r="L84">
        <v>1.2629320078343724</v>
      </c>
      <c r="M84">
        <v>1.2629320078343724</v>
      </c>
      <c r="N84">
        <v>2.1622919285372895</v>
      </c>
      <c r="O84">
        <v>0.14500021604772662</v>
      </c>
      <c r="T84" s="58">
        <f>WorkLocationCoefficients!B92</f>
        <v>111</v>
      </c>
      <c r="U84" s="58" t="str">
        <f>WorkLocationCoefficients!C92</f>
        <v>DestD_11</v>
      </c>
      <c r="V84" s="59">
        <f>WorkLocationCoefficients!E92</f>
        <v>-0.14910096747439999</v>
      </c>
      <c r="W84" s="135">
        <f>_xlfn.IFNA(VLOOKUP(T84,$M$13:$Q$39,5,FALSE),_xlfn.IFNA(VLOOKUP(T84,calibration_flow!$AD$3:$AH$25,5,FALSE),V84))</f>
        <v>0.11884553857128938</v>
      </c>
      <c r="X84">
        <f si="6" t="shared"/>
        <v>1</v>
      </c>
    </row>
    <row r="85" spans="1:24" x14ac:dyDescent="0.45">
      <c r="A85">
        <f>TLFD!A59+0.5</f>
        <v>48.5</v>
      </c>
      <c r="B85" s="66">
        <f si="4" t="shared"/>
        <v>3.9019726695746448</v>
      </c>
      <c r="C85" s="63">
        <f>TLFD!C59/SUM(TLFD!$C$11:$C$100)</f>
        <v>0</v>
      </c>
      <c r="D85" s="63">
        <f>TLFD!I59/SUM(TLFD!$I$11:$I$100)</f>
        <v>2.0889140104691454E-4</v>
      </c>
      <c r="E85" s="63">
        <f>TLFD!D59/SUM(TLFD!$D$11:$D$101)</f>
        <v>0</v>
      </c>
      <c r="F85" s="63">
        <f>TLFD!J59/SUM(TLFD!$J$11:$J$100)</f>
        <v>1.0666666666666667E-4</v>
      </c>
      <c r="G85" s="117">
        <f si="3" t="shared"/>
        <v>0</v>
      </c>
      <c r="H85" s="117">
        <f si="5" t="shared"/>
        <v>0</v>
      </c>
      <c r="J85" t="s">
        <v>288</v>
      </c>
      <c r="K85">
        <v>89</v>
      </c>
      <c r="L85">
        <v>51.982318952323077</v>
      </c>
      <c r="M85">
        <v>0.58407099946430419</v>
      </c>
      <c r="T85" s="58">
        <f>WorkLocationCoefficients!B93</f>
        <v>112</v>
      </c>
      <c r="U85" s="58" t="str">
        <f>WorkLocationCoefficients!C93</f>
        <v>DestD_12</v>
      </c>
      <c r="V85" s="59">
        <f>WorkLocationCoefficients!E93</f>
        <v>0.17468608903999999</v>
      </c>
      <c r="W85" s="135">
        <f>_xlfn.IFNA(VLOOKUP(T85,$M$13:$Q$39,5,FALSE),_xlfn.IFNA(VLOOKUP(T85,calibration_flow!$AD$3:$AH$25,5,FALSE),V85))</f>
        <v>0.1612454141311469</v>
      </c>
      <c r="X85">
        <f si="6" t="shared"/>
        <v>1</v>
      </c>
    </row>
    <row ht="14.65" r="86" spans="1:24" thickBot="1" x14ac:dyDescent="0.5">
      <c r="A86">
        <f>TLFD!A60+0.5</f>
        <v>49.5</v>
      </c>
      <c r="B86" s="66">
        <f si="4" t="shared"/>
        <v>3.9219733362813143</v>
      </c>
      <c r="C86" s="63">
        <f>TLFD!C60/SUM(TLFD!$C$11:$C$100)</f>
        <v>0</v>
      </c>
      <c r="D86" s="63">
        <f>TLFD!I60/SUM(TLFD!$I$11:$I$100)</f>
        <v>1.597404831535229E-4</v>
      </c>
      <c r="E86" s="63">
        <f>TLFD!D60/SUM(TLFD!$D$11:$D$101)</f>
        <v>0</v>
      </c>
      <c r="F86" s="63">
        <f>TLFD!J60/SUM(TLFD!$J$11:$J$100)</f>
        <v>1.3333333333333334E-4</v>
      </c>
      <c r="G86" s="117">
        <f si="3" t="shared"/>
        <v>0</v>
      </c>
      <c r="H86" s="117">
        <f si="5" t="shared"/>
        <v>0</v>
      </c>
      <c r="J86" s="1" t="s">
        <v>3</v>
      </c>
      <c r="K86" s="1">
        <v>90</v>
      </c>
      <c r="L86" s="1">
        <v>53.245250960157449</v>
      </c>
      <c r="M86" s="1"/>
      <c r="N86" s="1"/>
      <c r="O86" s="1"/>
      <c r="T86" s="58">
        <f>WorkLocationCoefficients!B94</f>
        <v>113</v>
      </c>
      <c r="U86" s="58" t="str">
        <f>WorkLocationCoefficients!C94</f>
        <v>DestD_13</v>
      </c>
      <c r="V86" s="59">
        <f>WorkLocationCoefficients!E94</f>
        <v>1.3048994599762</v>
      </c>
      <c r="W86" s="135">
        <f>_xlfn.IFNA(VLOOKUP(T86,$M$13:$Q$39,5,FALSE),_xlfn.IFNA(VLOOKUP(T86,calibration_flow!$AD$3:$AH$25,5,FALSE),V86))</f>
        <v>1.6113713451643688</v>
      </c>
      <c r="X86">
        <f si="6" t="shared"/>
        <v>1</v>
      </c>
    </row>
    <row ht="14.65" r="87" spans="1:24" thickBot="1" x14ac:dyDescent="0.5">
      <c r="A87">
        <f>TLFD!A61+0.5</f>
        <v>50.5</v>
      </c>
      <c r="B87" s="66">
        <f si="4" t="shared"/>
        <v>3.9415818076696905</v>
      </c>
      <c r="C87" s="63">
        <f>TLFD!C61/SUM(TLFD!$C$11:$C$100)</f>
        <v>0</v>
      </c>
      <c r="D87" s="63">
        <f>TLFD!I61/SUM(TLFD!$I$11:$I$100)</f>
        <v>1.720282126268708E-4</v>
      </c>
      <c r="E87" s="63">
        <f>TLFD!D61/SUM(TLFD!$D$11:$D$101)</f>
        <v>0</v>
      </c>
      <c r="F87" s="63">
        <f>TLFD!J61/SUM(TLFD!$J$11:$J$100)</f>
        <v>8.0000000000000007E-5</v>
      </c>
      <c r="G87" s="117">
        <f si="3" t="shared"/>
        <v>0</v>
      </c>
      <c r="H87" s="117">
        <f si="5" t="shared"/>
        <v>0</v>
      </c>
      <c r="T87" s="58">
        <f>WorkLocationCoefficients!B95</f>
        <v>114</v>
      </c>
      <c r="U87" s="58" t="str">
        <f>WorkLocationCoefficients!C95</f>
        <v>DestD_14</v>
      </c>
      <c r="V87" s="59">
        <f>WorkLocationCoefficients!E95</f>
        <v>4.9409553856600001E-2</v>
      </c>
      <c r="W87" s="135">
        <f>_xlfn.IFNA(VLOOKUP(T87,$M$13:$Q$39,5,FALSE),_xlfn.IFNA(VLOOKUP(T87,calibration_flow!$AD$3:$AH$25,5,FALSE),V87))</f>
        <v>0.15046567957297644</v>
      </c>
      <c r="X87">
        <f si="6" t="shared"/>
        <v>1</v>
      </c>
    </row>
    <row r="88" spans="1:24" x14ac:dyDescent="0.45">
      <c r="A88">
        <f>TLFD!A62+0.5</f>
        <v>51.5</v>
      </c>
      <c r="B88" s="66">
        <f si="4" t="shared"/>
        <v>3.9608131695975781</v>
      </c>
      <c r="C88" s="63">
        <f>TLFD!C62/SUM(TLFD!$C$11:$C$100)</f>
        <v>6.7285204529740693E-4</v>
      </c>
      <c r="D88" s="63">
        <f>TLFD!I62/SUM(TLFD!$I$11:$I$100)</f>
        <v>1.8431594210021872E-4</v>
      </c>
      <c r="E88" s="63">
        <f>TLFD!D62/SUM(TLFD!$D$11:$D$101)</f>
        <v>0</v>
      </c>
      <c r="F88" s="63">
        <f>TLFD!J62/SUM(TLFD!$J$11:$J$100)</f>
        <v>0</v>
      </c>
      <c r="G88" s="117">
        <f si="3" t="shared"/>
        <v>1.2948741001854622</v>
      </c>
      <c r="H88" s="117">
        <f si="5" t="shared"/>
        <v>0</v>
      </c>
      <c r="J88" s="71"/>
      <c r="K88" s="71" t="s">
        <v>289</v>
      </c>
      <c r="L88" s="71" t="s">
        <v>280</v>
      </c>
      <c r="M88" s="71" t="s">
        <v>290</v>
      </c>
      <c r="N88" s="71" t="s">
        <v>291</v>
      </c>
      <c r="O88" s="71" t="s">
        <v>292</v>
      </c>
      <c r="P88" s="71" t="s">
        <v>293</v>
      </c>
      <c r="Q88" s="71" t="s">
        <v>294</v>
      </c>
      <c r="R88" s="71" t="s">
        <v>295</v>
      </c>
      <c r="T88" s="58">
        <f>WorkLocationCoefficients!B96</f>
        <v>115</v>
      </c>
      <c r="U88" s="58" t="str">
        <f>WorkLocationCoefficients!C96</f>
        <v>DestD_15</v>
      </c>
      <c r="V88" s="59">
        <f>WorkLocationCoefficients!E96</f>
        <v>0.21697886195819999</v>
      </c>
      <c r="W88" s="135">
        <f>_xlfn.IFNA(VLOOKUP(T88,$M$13:$Q$39,5,FALSE),_xlfn.IFNA(VLOOKUP(T88,calibration_flow!$AD$3:$AH$25,5,FALSE),V88))</f>
        <v>0.44058443822171045</v>
      </c>
      <c r="X88">
        <f si="6" t="shared"/>
        <v>1</v>
      </c>
    </row>
    <row r="89" spans="1:24" x14ac:dyDescent="0.45">
      <c r="A89">
        <f>TLFD!A63+0.5</f>
        <v>52.5</v>
      </c>
      <c r="B89" s="66">
        <f si="4" t="shared"/>
        <v>3.9796816539019608</v>
      </c>
      <c r="C89" s="63">
        <f>TLFD!C63/SUM(TLFD!$C$11:$C$100)</f>
        <v>0</v>
      </c>
      <c r="D89" s="63">
        <f>TLFD!I63/SUM(TLFD!$I$11:$I$100)</f>
        <v>1.597404831535229E-4</v>
      </c>
      <c r="E89" s="63">
        <f>TLFD!D63/SUM(TLFD!$D$11:$D$101)</f>
        <v>0</v>
      </c>
      <c r="F89" s="63">
        <f>TLFD!J63/SUM(TLFD!$J$11:$J$100)</f>
        <v>2.6666666666666667E-5</v>
      </c>
      <c r="G89" s="117">
        <f si="3" t="shared"/>
        <v>0</v>
      </c>
      <c r="H89" s="117">
        <f si="5" t="shared"/>
        <v>0</v>
      </c>
      <c r="J89" t="s">
        <v>296</v>
      </c>
      <c r="K89">
        <v>0</v>
      </c>
      <c r="L89" t="e">
        <v>#N/A</v>
      </c>
      <c r="M89" t="e">
        <v>#N/A</v>
      </c>
      <c r="N89" t="e">
        <v>#N/A</v>
      </c>
      <c r="O89" t="e">
        <v>#N/A</v>
      </c>
      <c r="P89" t="e">
        <v>#N/A</v>
      </c>
      <c r="Q89" t="e">
        <v>#N/A</v>
      </c>
      <c r="R89" t="e">
        <v>#N/A</v>
      </c>
      <c r="T89" s="58">
        <f>WorkLocationCoefficients!B97</f>
        <v>116</v>
      </c>
      <c r="U89" s="58" t="str">
        <f>WorkLocationCoefficients!C97</f>
        <v>DestD_16</v>
      </c>
      <c r="V89" s="59">
        <f>WorkLocationCoefficients!E97</f>
        <v>-0.46096256471820002</v>
      </c>
      <c r="W89" s="135">
        <f>_xlfn.IFNA(VLOOKUP(T89,$M$13:$Q$39,5,FALSE),_xlfn.IFNA(VLOOKUP(T89,calibration_flow!$AD$3:$AH$25,5,FALSE),V89))</f>
        <v>-0.16877526119040043</v>
      </c>
      <c r="X89">
        <f si="6" t="shared"/>
        <v>1</v>
      </c>
    </row>
    <row ht="14.65" r="90" spans="1:24" thickBot="1" x14ac:dyDescent="0.5">
      <c r="A90">
        <f>TLFD!A64+0.5</f>
        <v>53.5</v>
      </c>
      <c r="B90" s="66">
        <f si="4" t="shared"/>
        <v>3.9982007016691985</v>
      </c>
      <c r="C90" s="63">
        <f>TLFD!C64/SUM(TLFD!$C$11:$C$100)</f>
        <v>0</v>
      </c>
      <c r="D90" s="63">
        <f>TLFD!I64/SUM(TLFD!$I$11:$I$100)</f>
        <v>1.4745275368017498E-4</v>
      </c>
      <c r="E90" s="63">
        <f>TLFD!D64/SUM(TLFD!$D$11:$D$101)</f>
        <v>0</v>
      </c>
      <c r="F90" s="63">
        <f>TLFD!J64/SUM(TLFD!$J$11:$J$100)</f>
        <v>8.0000000000000007E-5</v>
      </c>
      <c r="G90" s="117">
        <f si="3" t="shared"/>
        <v>0</v>
      </c>
      <c r="H90" s="117">
        <f si="5" t="shared"/>
        <v>0</v>
      </c>
      <c r="J90" s="1" t="s">
        <v>297</v>
      </c>
      <c r="K90" s="1">
        <v>3.2297982090088391E-2</v>
      </c>
      <c r="L90" s="1">
        <v>2.1964343437954996E-2</v>
      </c>
      <c r="M90" s="1">
        <v>1.4704733688636729</v>
      </c>
      <c r="N90" s="1">
        <v>0.14496023952276038</v>
      </c>
      <c r="O90" s="1">
        <v>-1.1344700469768834E-2</v>
      </c>
      <c r="P90" s="1">
        <v>7.5940664649945616E-2</v>
      </c>
      <c r="Q90" s="1">
        <v>-1.1344700469768834E-2</v>
      </c>
      <c r="R90" s="1">
        <v>7.5940664649945616E-2</v>
      </c>
      <c r="T90" s="58">
        <f>WorkLocationCoefficients!B98</f>
        <v>117</v>
      </c>
      <c r="U90" s="58" t="str">
        <f>WorkLocationCoefficients!C98</f>
        <v>DestD_17</v>
      </c>
      <c r="V90" s="59">
        <f>WorkLocationCoefficients!E98</f>
        <v>-6.5598826231399995E-2</v>
      </c>
      <c r="W90" s="135">
        <f>_xlfn.IFNA(VLOOKUP(T90,$M$13:$Q$39,5,FALSE),_xlfn.IFNA(VLOOKUP(T90,calibration_flow!$AD$3:$AH$25,5,FALSE),V90))</f>
        <v>2.8265690573430174E-2</v>
      </c>
      <c r="X90">
        <f si="6" t="shared"/>
        <v>1</v>
      </c>
    </row>
    <row r="91" spans="1:24" x14ac:dyDescent="0.45">
      <c r="A91">
        <f>TLFD!A65+0.5</f>
        <v>54.5</v>
      </c>
      <c r="B91" s="66">
        <f si="4" t="shared"/>
        <v>4.0163830207523885</v>
      </c>
      <c r="C91" s="63">
        <f>TLFD!C65/SUM(TLFD!$C$11:$C$100)</f>
        <v>0</v>
      </c>
      <c r="D91" s="63">
        <f>TLFD!I65/SUM(TLFD!$I$11:$I$100)</f>
        <v>9.8301835786783321E-5</v>
      </c>
      <c r="E91" s="63">
        <f>TLFD!D65/SUM(TLFD!$D$11:$D$101)</f>
        <v>0</v>
      </c>
      <c r="F91" s="63">
        <f>TLFD!J65/SUM(TLFD!$J$11:$J$100)</f>
        <v>0</v>
      </c>
      <c r="G91" s="117">
        <f si="3" t="shared"/>
        <v>0</v>
      </c>
      <c r="H91" s="117">
        <f si="5" t="shared"/>
        <v>0</v>
      </c>
      <c r="T91" s="58">
        <f>WorkLocationCoefficients!B99</f>
        <v>118</v>
      </c>
      <c r="U91" s="58" t="str">
        <f>WorkLocationCoefficients!C99</f>
        <v>DestD_18</v>
      </c>
      <c r="V91" s="59">
        <f>WorkLocationCoefficients!E99</f>
        <v>0.30646725571720002</v>
      </c>
      <c r="W91" s="135">
        <f>_xlfn.IFNA(VLOOKUP(T91,$M$13:$Q$39,5,FALSE),_xlfn.IFNA(VLOOKUP(T91,calibration_flow!$AD$3:$AH$25,5,FALSE),V91))</f>
        <v>0.38205848587538216</v>
      </c>
      <c r="X91">
        <f si="6" t="shared"/>
        <v>1</v>
      </c>
    </row>
    <row r="92" spans="1:24" x14ac:dyDescent="0.45">
      <c r="A92">
        <f>TLFD!A66+0.5</f>
        <v>55.5</v>
      </c>
      <c r="B92" s="66">
        <f si="4" t="shared"/>
        <v>4.0342406381523954</v>
      </c>
      <c r="C92" s="63">
        <f>TLFD!C66/SUM(TLFD!$C$11:$C$100)</f>
        <v>0</v>
      </c>
      <c r="D92" s="63">
        <f>TLFD!I66/SUM(TLFD!$I$11:$I$100)</f>
        <v>6.1438647366739577E-5</v>
      </c>
      <c r="E92" s="63">
        <f>TLFD!D66/SUM(TLFD!$D$11:$D$101)</f>
        <v>0</v>
      </c>
      <c r="F92" s="63">
        <f>TLFD!J66/SUM(TLFD!$J$11:$J$100)</f>
        <v>5.3333333333333333E-5</v>
      </c>
      <c r="G92" s="117">
        <f si="3" t="shared"/>
        <v>0</v>
      </c>
      <c r="H92" s="117">
        <f si="5" t="shared"/>
        <v>0</v>
      </c>
      <c r="T92" s="58">
        <f>WorkLocationCoefficients!B100</f>
        <v>119</v>
      </c>
      <c r="U92" s="58" t="str">
        <f>WorkLocationCoefficients!C100</f>
        <v>DestD_19</v>
      </c>
      <c r="V92" s="59">
        <f>WorkLocationCoefficients!E100</f>
        <v>0.1628137198364</v>
      </c>
      <c r="W92" s="135">
        <f>_xlfn.IFNA(VLOOKUP(T92,$M$13:$Q$39,5,FALSE),_xlfn.IFNA(VLOOKUP(T92,calibration_flow!$AD$3:$AH$25,5,FALSE),V92))</f>
        <v>0.50027860516500322</v>
      </c>
      <c r="X92">
        <f si="6" t="shared"/>
        <v>1</v>
      </c>
    </row>
    <row r="93" spans="1:24" x14ac:dyDescent="0.45">
      <c r="A93">
        <f>TLFD!A67+0.5</f>
        <v>56.5</v>
      </c>
      <c r="B93" s="66">
        <f si="4" t="shared"/>
        <v>4.0517849478033048</v>
      </c>
      <c r="C93" s="63">
        <f>TLFD!C67/SUM(TLFD!$C$11:$C$100)</f>
        <v>0</v>
      </c>
      <c r="D93" s="63">
        <f>TLFD!I67/SUM(TLFD!$I$11:$I$100)</f>
        <v>4.9150917893391661E-5</v>
      </c>
      <c r="E93" s="63">
        <f>TLFD!D67/SUM(TLFD!$D$11:$D$101)</f>
        <v>0</v>
      </c>
      <c r="F93" s="63">
        <f>TLFD!J67/SUM(TLFD!$J$11:$J$100)</f>
        <v>0</v>
      </c>
      <c r="G93" s="117">
        <f si="3" t="shared"/>
        <v>0</v>
      </c>
      <c r="H93" s="117">
        <f si="5" t="shared"/>
        <v>0</v>
      </c>
      <c r="T93" s="58">
        <f>WorkLocationCoefficients!B101</f>
        <v>120</v>
      </c>
      <c r="U93" s="58" t="str">
        <f>WorkLocationCoefficients!C101</f>
        <v>DestD_20</v>
      </c>
      <c r="V93" s="59">
        <f>WorkLocationCoefficients!E101</f>
        <v>-0.40270863939919999</v>
      </c>
      <c r="W93" s="135">
        <f>_xlfn.IFNA(VLOOKUP(T93,$M$13:$Q$39,5,FALSE),_xlfn.IFNA(VLOOKUP(T93,calibration_flow!$AD$3:$AH$25,5,FALSE),V93))</f>
        <v>-3.1661051776532001E-2</v>
      </c>
      <c r="X93">
        <f si="6" t="shared"/>
        <v>1</v>
      </c>
    </row>
    <row r="94" spans="1:24" x14ac:dyDescent="0.45">
      <c r="A94">
        <f>TLFD!A68+0.5</f>
        <v>57.5</v>
      </c>
      <c r="B94" s="66">
        <f si="4" t="shared"/>
        <v>4.0690267542378109</v>
      </c>
      <c r="C94" s="63">
        <f>TLFD!C68/SUM(TLFD!$C$11:$C$100)</f>
        <v>0</v>
      </c>
      <c r="D94" s="63">
        <f>TLFD!I68/SUM(TLFD!$I$11:$I$100)</f>
        <v>1.2287729473347915E-5</v>
      </c>
      <c r="E94" s="63">
        <f>TLFD!D68/SUM(TLFD!$D$11:$D$101)</f>
        <v>0</v>
      </c>
      <c r="F94" s="63">
        <f>TLFD!J68/SUM(TLFD!$J$11:$J$100)</f>
        <v>0</v>
      </c>
      <c r="G94" s="117">
        <f si="3" t="shared"/>
        <v>0</v>
      </c>
      <c r="H94" s="117">
        <f si="5" t="shared"/>
        <v>0</v>
      </c>
      <c r="T94" s="58">
        <f>WorkLocationCoefficients!B102</f>
        <v>121</v>
      </c>
      <c r="U94" s="58" t="str">
        <f>WorkLocationCoefficients!C102</f>
        <v>O12_D12</v>
      </c>
      <c r="V94" s="59">
        <f>WorkLocationCoefficients!E102</f>
        <v>-0.47819038789149998</v>
      </c>
      <c r="W94" s="135">
        <f>_xlfn.IFNA(VLOOKUP(T94,$M$13:$Q$39,5,FALSE),_xlfn.IFNA(VLOOKUP(T94,calibration_flow!$AD$3:$AH$25,5,FALSE),V94))</f>
        <v>-0.47819038789149998</v>
      </c>
      <c r="X94">
        <f>IF(W94=V94,0,1)</f>
        <v>0</v>
      </c>
    </row>
    <row r="95" spans="1:24" x14ac:dyDescent="0.45">
      <c r="A95">
        <f>TLFD!A69+0.5</f>
        <v>58.5</v>
      </c>
      <c r="B95" s="66">
        <f si="4" t="shared"/>
        <v>4.0859763125515842</v>
      </c>
      <c r="C95" s="63">
        <f>TLFD!C69/SUM(TLFD!$C$11:$C$100)</f>
        <v>0</v>
      </c>
      <c r="D95" s="63">
        <f>TLFD!I69/SUM(TLFD!$I$11:$I$100)</f>
        <v>7.3726376840087488E-5</v>
      </c>
      <c r="E95" s="63">
        <f>TLFD!D69/SUM(TLFD!$D$11:$D$101)</f>
        <v>0</v>
      </c>
      <c r="F95" s="63">
        <f>TLFD!J69/SUM(TLFD!$J$11:$J$100)</f>
        <v>5.3333333333333333E-5</v>
      </c>
      <c r="G95" s="117">
        <f si="3" t="shared"/>
        <v>0</v>
      </c>
      <c r="H95" s="117">
        <f si="5" t="shared"/>
        <v>0</v>
      </c>
      <c r="T95" s="58">
        <f>WorkLocationCoefficients!B103</f>
        <v>122</v>
      </c>
      <c r="U95" s="58" t="str">
        <f>WorkLocationCoefficients!C103</f>
        <v>O13_D13</v>
      </c>
      <c r="V95" s="59">
        <f>WorkLocationCoefficients!E103</f>
        <v>-1.0119832457914</v>
      </c>
      <c r="W95" s="135">
        <f>_xlfn.IFNA(VLOOKUP(T95,$M$13:$Q$39,5,FALSE),_xlfn.IFNA(VLOOKUP(T95,calibration_flow!$AD$3:$AH$25,5,FALSE),V95))</f>
        <v>-1.0119832457914</v>
      </c>
      <c r="X95">
        <f>IF(W95=V95,0,1)</f>
        <v>0</v>
      </c>
    </row>
    <row r="96" spans="1:24" x14ac:dyDescent="0.45">
      <c r="A96">
        <f>TLFD!A70+0.5</f>
        <v>59.5</v>
      </c>
      <c r="B96" s="66">
        <f si="4" t="shared"/>
        <v>4.1026433650367959</v>
      </c>
      <c r="C96" s="63">
        <f>TLFD!C70/SUM(TLFD!$C$11:$C$100)</f>
        <v>5.5225160495777444E-4</v>
      </c>
      <c r="D96" s="63">
        <f>TLFD!I70/SUM(TLFD!$I$11:$I$100)</f>
        <v>4.9150917893391661E-5</v>
      </c>
      <c r="E96" s="63">
        <f>TLFD!D70/SUM(TLFD!$D$11:$D$101)</f>
        <v>0</v>
      </c>
      <c r="F96" s="63">
        <f>TLFD!J70/SUM(TLFD!$J$11:$J$100)</f>
        <v>5.3333333333333333E-5</v>
      </c>
      <c r="G96" s="117">
        <f si="3" t="shared"/>
        <v>2.4191082267444268</v>
      </c>
      <c r="H96" s="117">
        <f si="5" t="shared"/>
        <v>0</v>
      </c>
    </row>
    <row r="97" spans="1:8" x14ac:dyDescent="0.45">
      <c r="A97">
        <f>TLFD!A71+0.5</f>
        <v>60.5</v>
      </c>
      <c r="B97" s="66">
        <f si="4" t="shared"/>
        <v>4.1190371748124726</v>
      </c>
      <c r="C97" s="63">
        <f>TLFD!C71/SUM(TLFD!$C$11:$C$100)</f>
        <v>0</v>
      </c>
      <c r="D97" s="63">
        <f>TLFD!I71/SUM(TLFD!$I$11:$I$100)</f>
        <v>3.6863188420043744E-5</v>
      </c>
      <c r="E97" s="63">
        <f>TLFD!D71/SUM(TLFD!$D$11:$D$101)</f>
        <v>0</v>
      </c>
      <c r="F97" s="63">
        <f>TLFD!J71/SUM(TLFD!$J$11:$J$100)</f>
        <v>0</v>
      </c>
      <c r="G97" s="117">
        <f si="3" t="shared"/>
        <v>0</v>
      </c>
      <c r="H97" s="117">
        <f si="5" t="shared"/>
        <v>0</v>
      </c>
    </row>
    <row r="98" spans="1:8" x14ac:dyDescent="0.45">
      <c r="A98">
        <f>TLFD!A72+0.5</f>
        <v>61.5</v>
      </c>
      <c r="B98" s="66">
        <f si="4" t="shared"/>
        <v>4.1351665567423561</v>
      </c>
      <c r="C98" s="63">
        <f>TLFD!C72/SUM(TLFD!$C$11:$C$100)</f>
        <v>0</v>
      </c>
      <c r="D98" s="63">
        <f>TLFD!I72/SUM(TLFD!$I$11:$I$100)</f>
        <v>1.2287729473347915E-5</v>
      </c>
      <c r="E98" s="63">
        <f>TLFD!D72/SUM(TLFD!$D$11:$D$101)</f>
        <v>0</v>
      </c>
      <c r="F98" s="63">
        <f>TLFD!J72/SUM(TLFD!$J$11:$J$100)</f>
        <v>2.6666666666666667E-5</v>
      </c>
      <c r="G98" s="117">
        <f si="3" t="shared"/>
        <v>0</v>
      </c>
      <c r="H98" s="117">
        <f si="5" t="shared"/>
        <v>0</v>
      </c>
    </row>
    <row r="99" spans="1:8" x14ac:dyDescent="0.45">
      <c r="A99">
        <f>TLFD!A73+0.5</f>
        <v>62.5</v>
      </c>
      <c r="B99" s="66">
        <f si="4" t="shared"/>
        <v>4.1510399058986458</v>
      </c>
      <c r="C99" s="63">
        <f>TLFD!C73/SUM(TLFD!$C$11:$C$100)</f>
        <v>0</v>
      </c>
      <c r="D99" s="63">
        <f>TLFD!I73/SUM(TLFD!$I$11:$I$100)</f>
        <v>1.2287729473347915E-5</v>
      </c>
      <c r="E99" s="63">
        <f>TLFD!D73/SUM(TLFD!$D$11:$D$101)</f>
        <v>0</v>
      </c>
      <c r="F99" s="63">
        <f>TLFD!J73/SUM(TLFD!$J$11:$J$100)</f>
        <v>2.6666666666666667E-5</v>
      </c>
      <c r="G99" s="117">
        <f si="3" t="shared"/>
        <v>0</v>
      </c>
      <c r="H99" s="117">
        <f si="5" t="shared"/>
        <v>0</v>
      </c>
    </row>
    <row r="100" spans="1:8" x14ac:dyDescent="0.45">
      <c r="A100">
        <f>TLFD!A74+0.5</f>
        <v>63.5</v>
      </c>
      <c r="B100" s="66">
        <f si="4" t="shared"/>
        <v>4.1666652238017265</v>
      </c>
      <c r="C100" s="63">
        <f>TLFD!C74/SUM(TLFD!$C$11:$C$100)</f>
        <v>0</v>
      </c>
      <c r="D100" s="63">
        <f>TLFD!I74/SUM(TLFD!$I$11:$I$100)</f>
        <v>3.6863188420043744E-5</v>
      </c>
      <c r="E100" s="63">
        <f>TLFD!D74/SUM(TLFD!$D$11:$D$101)</f>
        <v>0</v>
      </c>
      <c r="F100" s="63">
        <f>TLFD!J74/SUM(TLFD!$J$11:$J$100)</f>
        <v>0</v>
      </c>
      <c r="G100" s="117">
        <f si="3" t="shared"/>
        <v>0</v>
      </c>
      <c r="H100" s="117">
        <f si="5" t="shared"/>
        <v>0</v>
      </c>
    </row>
    <row r="101" spans="1:8" x14ac:dyDescent="0.45">
      <c r="A101">
        <f>TLFD!A75+0.5</f>
        <v>64.5</v>
      </c>
      <c r="B101" s="66">
        <f si="4" t="shared"/>
        <v>4.1820501426412067</v>
      </c>
      <c r="C101" s="63">
        <f>TLFD!C75/SUM(TLFD!$C$11:$C$100)</f>
        <v>0</v>
      </c>
      <c r="D101" s="63">
        <f>TLFD!I75/SUM(TLFD!$I$11:$I$100)</f>
        <v>0</v>
      </c>
      <c r="E101" s="63">
        <f>TLFD!D75/SUM(TLFD!$D$11:$D$101)</f>
        <v>0</v>
      </c>
      <c r="F101" s="63">
        <f>TLFD!J75/SUM(TLFD!$J$11:$J$100)</f>
        <v>0</v>
      </c>
      <c r="G101" s="117">
        <f ref="G101:G126" si="7" t="shared">IF(AND(C101&gt;0, D101&gt;0),LN(C101/D101),0)</f>
        <v>0</v>
      </c>
      <c r="H101" s="117">
        <f si="5" t="shared"/>
        <v>0</v>
      </c>
    </row>
    <row r="102" spans="1:8" x14ac:dyDescent="0.45">
      <c r="A102">
        <f>TLFD!A76+0.5</f>
        <v>65.5</v>
      </c>
      <c r="B102" s="66">
        <f ref="B102:B126" si="8" t="shared">LN(1+A102)</f>
        <v>4.1972019476618083</v>
      </c>
      <c r="C102" s="63">
        <f>TLFD!C76/SUM(TLFD!$C$11:$C$100)</f>
        <v>0</v>
      </c>
      <c r="D102" s="63">
        <f>TLFD!I76/SUM(TLFD!$I$11:$I$100)</f>
        <v>0</v>
      </c>
      <c r="E102" s="63">
        <f>TLFD!D76/SUM(TLFD!$D$11:$D$101)</f>
        <v>0</v>
      </c>
      <c r="F102" s="63">
        <f>TLFD!J76/SUM(TLFD!$J$11:$J$100)</f>
        <v>0</v>
      </c>
      <c r="G102" s="117">
        <f si="7" t="shared"/>
        <v>0</v>
      </c>
      <c r="H102" s="117">
        <f ref="H102:H126" si="9" t="shared">IF(AND(E102&gt;0, F102&gt;0),LN(E102/F102),0)</f>
        <v>0</v>
      </c>
    </row>
    <row r="103" spans="1:8" x14ac:dyDescent="0.45">
      <c r="A103">
        <f>TLFD!A77+0.5</f>
        <v>66.5</v>
      </c>
      <c r="B103" s="66">
        <f si="8" t="shared"/>
        <v>4.2121275978784842</v>
      </c>
      <c r="C103" s="63">
        <f>TLFD!C77/SUM(TLFD!$C$11:$C$100)</f>
        <v>0</v>
      </c>
      <c r="D103" s="63">
        <f>TLFD!I77/SUM(TLFD!$I$11:$I$100)</f>
        <v>0</v>
      </c>
      <c r="E103" s="63">
        <f>TLFD!D77/SUM(TLFD!$D$11:$D$101)</f>
        <v>0</v>
      </c>
      <c r="F103" s="63">
        <f>TLFD!J77/SUM(TLFD!$J$11:$J$100)</f>
        <v>2.6666666666666667E-5</v>
      </c>
      <c r="G103" s="117">
        <f si="7" t="shared"/>
        <v>0</v>
      </c>
      <c r="H103" s="117">
        <f si="9" t="shared"/>
        <v>0</v>
      </c>
    </row>
    <row r="104" spans="1:8" x14ac:dyDescent="0.45">
      <c r="A104">
        <f>TLFD!A78+0.5</f>
        <v>67.5</v>
      </c>
      <c r="B104" s="66">
        <f si="8" t="shared"/>
        <v>4.2268337452681797</v>
      </c>
      <c r="C104" s="63">
        <f>TLFD!C78/SUM(TLFD!$C$11:$C$100)</f>
        <v>0</v>
      </c>
      <c r="D104" s="63">
        <f>TLFD!I78/SUM(TLFD!$I$11:$I$100)</f>
        <v>0</v>
      </c>
      <c r="E104" s="63">
        <f>TLFD!D78/SUM(TLFD!$D$11:$D$101)</f>
        <v>0</v>
      </c>
      <c r="F104" s="63">
        <f>TLFD!J78/SUM(TLFD!$J$11:$J$100)</f>
        <v>0</v>
      </c>
      <c r="G104" s="117">
        <f si="7" t="shared"/>
        <v>0</v>
      </c>
      <c r="H104" s="117">
        <f si="9" t="shared"/>
        <v>0</v>
      </c>
    </row>
    <row r="105" spans="1:8" x14ac:dyDescent="0.45">
      <c r="A105">
        <f>TLFD!A79+0.5</f>
        <v>68.5</v>
      </c>
      <c r="B105" s="66">
        <f si="8" t="shared"/>
        <v>4.2413267525707461</v>
      </c>
      <c r="C105" s="63">
        <f>TLFD!C79/SUM(TLFD!$C$11:$C$100)</f>
        <v>0</v>
      </c>
      <c r="D105" s="63">
        <f>TLFD!I79/SUM(TLFD!$I$11:$I$100)</f>
        <v>0</v>
      </c>
      <c r="E105" s="63">
        <f>TLFD!D79/SUM(TLFD!$D$11:$D$101)</f>
        <v>0</v>
      </c>
      <c r="F105" s="63">
        <f>TLFD!J79/SUM(TLFD!$J$11:$J$100)</f>
        <v>0</v>
      </c>
      <c r="G105" s="117">
        <f si="7" t="shared"/>
        <v>0</v>
      </c>
      <c r="H105" s="117">
        <f si="9" t="shared"/>
        <v>0</v>
      </c>
    </row>
    <row r="106" spans="1:8" x14ac:dyDescent="0.45">
      <c r="A106">
        <f>TLFD!A80+0.5</f>
        <v>69.5</v>
      </c>
      <c r="B106" s="66">
        <f si="8" t="shared"/>
        <v>4.255612709818223</v>
      </c>
      <c r="C106" s="63">
        <f>TLFD!C80/SUM(TLFD!$C$11:$C$100)</f>
        <v>0</v>
      </c>
      <c r="D106" s="63">
        <f>TLFD!I80/SUM(TLFD!$I$11:$I$100)</f>
        <v>0</v>
      </c>
      <c r="E106" s="63">
        <f>TLFD!D80/SUM(TLFD!$D$11:$D$101)</f>
        <v>0</v>
      </c>
      <c r="F106" s="63">
        <f>TLFD!J80/SUM(TLFD!$J$11:$J$100)</f>
        <v>0</v>
      </c>
      <c r="G106" s="117">
        <f si="7" t="shared"/>
        <v>0</v>
      </c>
      <c r="H106" s="117">
        <f si="9" t="shared"/>
        <v>0</v>
      </c>
    </row>
    <row r="107" spans="1:8" x14ac:dyDescent="0.45">
      <c r="A107">
        <f>TLFD!A81+0.5</f>
        <v>70.5</v>
      </c>
      <c r="B107" s="66">
        <f si="8" t="shared"/>
        <v>4.2696974496999616</v>
      </c>
      <c r="C107" s="63">
        <f>TLFD!C81/SUM(TLFD!$C$11:$C$100)</f>
        <v>0</v>
      </c>
      <c r="D107" s="63">
        <f>TLFD!I81/SUM(TLFD!$I$11:$I$100)</f>
        <v>0</v>
      </c>
      <c r="E107" s="63">
        <f>TLFD!D81/SUM(TLFD!$D$11:$D$101)</f>
        <v>0</v>
      </c>
      <c r="F107" s="63">
        <f>TLFD!J81/SUM(TLFD!$J$11:$J$100)</f>
        <v>0</v>
      </c>
      <c r="G107" s="117">
        <f si="7" t="shared"/>
        <v>0</v>
      </c>
      <c r="H107" s="117">
        <f si="9" t="shared"/>
        <v>0</v>
      </c>
    </row>
    <row r="108" spans="1:8" x14ac:dyDescent="0.45">
      <c r="A108">
        <f>TLFD!A82+0.5</f>
        <v>71.5</v>
      </c>
      <c r="B108" s="66">
        <f si="8" t="shared"/>
        <v>4.2835865618606288</v>
      </c>
      <c r="C108" s="63">
        <f>TLFD!C82/SUM(TLFD!$C$11:$C$100)</f>
        <v>0</v>
      </c>
      <c r="D108" s="63">
        <f>TLFD!I82/SUM(TLFD!$I$11:$I$100)</f>
        <v>0</v>
      </c>
      <c r="E108" s="63">
        <f>TLFD!D82/SUM(TLFD!$D$11:$D$101)</f>
        <v>0</v>
      </c>
      <c r="F108" s="63">
        <f>TLFD!J82/SUM(TLFD!$J$11:$J$100)</f>
        <v>0</v>
      </c>
      <c r="G108" s="117">
        <f si="7" t="shared"/>
        <v>0</v>
      </c>
      <c r="H108" s="117">
        <f si="9" t="shared"/>
        <v>0</v>
      </c>
    </row>
    <row r="109" spans="1:8" x14ac:dyDescent="0.45">
      <c r="A109">
        <f>TLFD!A83+0.5</f>
        <v>72.5</v>
      </c>
      <c r="B109" s="66">
        <f si="8" t="shared"/>
        <v>4.2972854062187906</v>
      </c>
      <c r="C109" s="63">
        <f>TLFD!C83/SUM(TLFD!$C$11:$C$100)</f>
        <v>0</v>
      </c>
      <c r="D109" s="63">
        <f>TLFD!I83/SUM(TLFD!$I$11:$I$100)</f>
        <v>0</v>
      </c>
      <c r="E109" s="63">
        <f>TLFD!D83/SUM(TLFD!$D$11:$D$101)</f>
        <v>0</v>
      </c>
      <c r="F109" s="63">
        <f>TLFD!J83/SUM(TLFD!$J$11:$J$100)</f>
        <v>0</v>
      </c>
      <c r="G109" s="117">
        <f si="7" t="shared"/>
        <v>0</v>
      </c>
      <c r="H109" s="117">
        <f si="9" t="shared"/>
        <v>0</v>
      </c>
    </row>
    <row r="110" spans="1:8" x14ac:dyDescent="0.45">
      <c r="A110">
        <f>TLFD!A84+0.5</f>
        <v>73.5</v>
      </c>
      <c r="B110" s="66">
        <f si="8" t="shared"/>
        <v>4.3107991253855138</v>
      </c>
      <c r="C110" s="63">
        <f>TLFD!C84/SUM(TLFD!$C$11:$C$100)</f>
        <v>0</v>
      </c>
      <c r="D110" s="63">
        <f>TLFD!I84/SUM(TLFD!$I$11:$I$100)</f>
        <v>0</v>
      </c>
      <c r="E110" s="63">
        <f>TLFD!D84/SUM(TLFD!$D$11:$D$101)</f>
        <v>0</v>
      </c>
      <c r="F110" s="63">
        <f>TLFD!J84/SUM(TLFD!$J$11:$J$100)</f>
        <v>0</v>
      </c>
      <c r="G110" s="117">
        <f si="7" t="shared"/>
        <v>0</v>
      </c>
      <c r="H110" s="117">
        <f si="9" t="shared"/>
        <v>0</v>
      </c>
    </row>
    <row r="111" spans="1:8" x14ac:dyDescent="0.45">
      <c r="A111">
        <f>TLFD!A85+0.5</f>
        <v>74.5</v>
      </c>
      <c r="B111" s="66">
        <f si="8" t="shared"/>
        <v>4.3241326562549789</v>
      </c>
      <c r="C111" s="63">
        <f>TLFD!C85/SUM(TLFD!$C$11:$C$100)</f>
        <v>0</v>
      </c>
      <c r="D111" s="63">
        <f>TLFD!I85/SUM(TLFD!$I$11:$I$100)</f>
        <v>0</v>
      </c>
      <c r="E111" s="63">
        <f>TLFD!D85/SUM(TLFD!$D$11:$D$101)</f>
        <v>0</v>
      </c>
      <c r="F111" s="63">
        <f>TLFD!J85/SUM(TLFD!$J$11:$J$100)</f>
        <v>0</v>
      </c>
      <c r="G111" s="117">
        <f si="7" t="shared"/>
        <v>0</v>
      </c>
      <c r="H111" s="117">
        <f si="9" t="shared"/>
        <v>0</v>
      </c>
    </row>
    <row r="112" spans="1:8" x14ac:dyDescent="0.45">
      <c r="A112">
        <f>TLFD!A86+0.5</f>
        <v>75.5</v>
      </c>
      <c r="B112" s="66">
        <f si="8" t="shared"/>
        <v>4.3372907408324899</v>
      </c>
      <c r="C112" s="63">
        <f>TLFD!C86/SUM(TLFD!$C$11:$C$100)</f>
        <v>0</v>
      </c>
      <c r="D112" s="63">
        <f>TLFD!I86/SUM(TLFD!$I$11:$I$100)</f>
        <v>0</v>
      </c>
      <c r="E112" s="63">
        <f>TLFD!D86/SUM(TLFD!$D$11:$D$101)</f>
        <v>0</v>
      </c>
      <c r="F112" s="63">
        <f>TLFD!J86/SUM(TLFD!$J$11:$J$100)</f>
        <v>0</v>
      </c>
      <c r="G112" s="117">
        <f si="7" t="shared"/>
        <v>0</v>
      </c>
      <c r="H112" s="117">
        <f si="9" t="shared"/>
        <v>0</v>
      </c>
    </row>
    <row r="113" spans="1:8" x14ac:dyDescent="0.45">
      <c r="A113">
        <f>TLFD!A87+0.5</f>
        <v>76.5</v>
      </c>
      <c r="B113" s="66">
        <f si="8" t="shared"/>
        <v>4.3502779363593014</v>
      </c>
      <c r="C113" s="63">
        <f>TLFD!C87/SUM(TLFD!$C$11:$C$100)</f>
        <v>0</v>
      </c>
      <c r="D113" s="63">
        <f>TLFD!I87/SUM(TLFD!$I$11:$I$100)</f>
        <v>0</v>
      </c>
      <c r="E113" s="63">
        <f>TLFD!D87/SUM(TLFD!$D$11:$D$101)</f>
        <v>0</v>
      </c>
      <c r="F113" s="63">
        <f>TLFD!J87/SUM(TLFD!$J$11:$J$100)</f>
        <v>0</v>
      </c>
      <c r="G113" s="117">
        <f si="7" t="shared"/>
        <v>0</v>
      </c>
      <c r="H113" s="117">
        <f si="9" t="shared"/>
        <v>0</v>
      </c>
    </row>
    <row r="114" spans="1:8" x14ac:dyDescent="0.45">
      <c r="A114">
        <f>TLFD!A88+0.5</f>
        <v>77.5</v>
      </c>
      <c r="B114" s="66">
        <f si="8" t="shared"/>
        <v>4.3630986247883632</v>
      </c>
      <c r="C114" s="63">
        <f>TLFD!C88/SUM(TLFD!$C$11:$C$100)</f>
        <v>0</v>
      </c>
      <c r="D114" s="63">
        <f>TLFD!I88/SUM(TLFD!$I$11:$I$100)</f>
        <v>0</v>
      </c>
      <c r="E114" s="63">
        <f>TLFD!D88/SUM(TLFD!$D$11:$D$101)</f>
        <v>0</v>
      </c>
      <c r="F114" s="63">
        <f>TLFD!J88/SUM(TLFD!$J$11:$J$100)</f>
        <v>0</v>
      </c>
      <c r="G114" s="117">
        <f si="7" t="shared"/>
        <v>0</v>
      </c>
      <c r="H114" s="117">
        <f si="9" t="shared"/>
        <v>0</v>
      </c>
    </row>
    <row r="115" spans="1:8" x14ac:dyDescent="0.45">
      <c r="A115">
        <f>TLFD!A89+0.5</f>
        <v>78.5</v>
      </c>
      <c r="B115" s="66">
        <f si="8" t="shared"/>
        <v>4.3757570216602861</v>
      </c>
      <c r="C115" s="63">
        <f>TLFD!C89/SUM(TLFD!$C$11:$C$100)</f>
        <v>0</v>
      </c>
      <c r="D115" s="63">
        <f>TLFD!I89/SUM(TLFD!$I$11:$I$100)</f>
        <v>0</v>
      </c>
      <c r="E115" s="63">
        <f>TLFD!D89/SUM(TLFD!$D$11:$D$101)</f>
        <v>0</v>
      </c>
      <c r="F115" s="63">
        <f>TLFD!J89/SUM(TLFD!$J$11:$J$100)</f>
        <v>0</v>
      </c>
      <c r="G115" s="117">
        <f si="7" t="shared"/>
        <v>0</v>
      </c>
      <c r="H115" s="117">
        <f si="9" t="shared"/>
        <v>0</v>
      </c>
    </row>
    <row r="116" spans="1:8" x14ac:dyDescent="0.45">
      <c r="A116">
        <f>TLFD!A90+0.5</f>
        <v>79.5</v>
      </c>
      <c r="B116" s="66">
        <f si="8" t="shared"/>
        <v>4.3882571844245177</v>
      </c>
      <c r="C116" s="63">
        <f>TLFD!C90/SUM(TLFD!$C$11:$C$100)</f>
        <v>0</v>
      </c>
      <c r="D116" s="63">
        <f>TLFD!I90/SUM(TLFD!$I$11:$I$100)</f>
        <v>0</v>
      </c>
      <c r="E116" s="63">
        <f>TLFD!D90/SUM(TLFD!$D$11:$D$101)</f>
        <v>0</v>
      </c>
      <c r="F116" s="63">
        <f>TLFD!J90/SUM(TLFD!$J$11:$J$100)</f>
        <v>0</v>
      </c>
      <c r="G116" s="117">
        <f si="7" t="shared"/>
        <v>0</v>
      </c>
      <c r="H116" s="117">
        <f si="9" t="shared"/>
        <v>0</v>
      </c>
    </row>
    <row r="117" spans="1:8" x14ac:dyDescent="0.45">
      <c r="A117">
        <f>TLFD!A91+0.5</f>
        <v>80.5</v>
      </c>
      <c r="B117" s="66">
        <f si="8" t="shared"/>
        <v>4.4006030202468169</v>
      </c>
      <c r="C117" s="63">
        <f>TLFD!C91/SUM(TLFD!$C$11:$C$100)</f>
        <v>0</v>
      </c>
      <c r="D117" s="63">
        <f>TLFD!I91/SUM(TLFD!$I$11:$I$100)</f>
        <v>1.2287729473347915E-5</v>
      </c>
      <c r="E117" s="63">
        <f>TLFD!D91/SUM(TLFD!$D$11:$D$101)</f>
        <v>0</v>
      </c>
      <c r="F117" s="63">
        <f>TLFD!J91/SUM(TLFD!$J$11:$J$100)</f>
        <v>0</v>
      </c>
      <c r="G117" s="117">
        <f si="7" t="shared"/>
        <v>0</v>
      </c>
      <c r="H117" s="117">
        <f si="9" t="shared"/>
        <v>0</v>
      </c>
    </row>
    <row r="118" spans="1:8" x14ac:dyDescent="0.45">
      <c r="A118">
        <f>TLFD!A92+0.5</f>
        <v>81.5</v>
      </c>
      <c r="B118" s="66">
        <f si="8" t="shared"/>
        <v>4.4127982933406349</v>
      </c>
      <c r="C118" s="63">
        <f>TLFD!C92/SUM(TLFD!$C$11:$C$100)</f>
        <v>0</v>
      </c>
      <c r="D118" s="63">
        <f>TLFD!I92/SUM(TLFD!$I$11:$I$100)</f>
        <v>0</v>
      </c>
      <c r="E118" s="63">
        <f>TLFD!D92/SUM(TLFD!$D$11:$D$101)</f>
        <v>0</v>
      </c>
      <c r="F118" s="63">
        <f>TLFD!J92/SUM(TLFD!$J$11:$J$100)</f>
        <v>0</v>
      </c>
      <c r="G118" s="117">
        <f si="7" t="shared"/>
        <v>0</v>
      </c>
      <c r="H118" s="117">
        <f si="9" t="shared"/>
        <v>0</v>
      </c>
    </row>
    <row r="119" spans="1:8" x14ac:dyDescent="0.45">
      <c r="A119">
        <f>TLFD!A93+0.5</f>
        <v>82.5</v>
      </c>
      <c r="B119" s="66">
        <f si="8" t="shared"/>
        <v>4.42484663185681</v>
      </c>
      <c r="C119" s="63">
        <f>TLFD!C93/SUM(TLFD!$C$11:$C$100)</f>
        <v>0</v>
      </c>
      <c r="D119" s="63">
        <f>TLFD!I93/SUM(TLFD!$I$11:$I$100)</f>
        <v>0</v>
      </c>
      <c r="E119" s="63">
        <f>TLFD!D93/SUM(TLFD!$D$11:$D$101)</f>
        <v>0</v>
      </c>
      <c r="F119" s="63">
        <f>TLFD!J93/SUM(TLFD!$J$11:$J$100)</f>
        <v>0</v>
      </c>
      <c r="G119" s="117">
        <f si="7" t="shared"/>
        <v>0</v>
      </c>
      <c r="H119" s="117">
        <f si="9" t="shared"/>
        <v>0</v>
      </c>
    </row>
    <row r="120" spans="1:8" x14ac:dyDescent="0.45">
      <c r="A120">
        <f>TLFD!A94+0.5</f>
        <v>83.5</v>
      </c>
      <c r="B120" s="66">
        <f si="8" t="shared"/>
        <v>4.4367515343631281</v>
      </c>
      <c r="C120" s="63">
        <f>TLFD!C94/SUM(TLFD!$C$11:$C$100)</f>
        <v>0</v>
      </c>
      <c r="D120" s="63">
        <f>TLFD!I94/SUM(TLFD!$I$11:$I$100)</f>
        <v>0</v>
      </c>
      <c r="E120" s="63">
        <f>TLFD!D94/SUM(TLFD!$D$11:$D$101)</f>
        <v>0</v>
      </c>
      <c r="F120" s="63">
        <f>TLFD!J94/SUM(TLFD!$J$11:$J$100)</f>
        <v>0</v>
      </c>
      <c r="G120" s="117">
        <f si="7" t="shared"/>
        <v>0</v>
      </c>
      <c r="H120" s="117">
        <f si="9" t="shared"/>
        <v>0</v>
      </c>
    </row>
    <row r="121" spans="1:8" x14ac:dyDescent="0.45">
      <c r="A121">
        <f>TLFD!A95+0.5</f>
        <v>84.5</v>
      </c>
      <c r="B121" s="66">
        <f si="8" t="shared"/>
        <v>4.4485163759427149</v>
      </c>
      <c r="C121" s="63">
        <f>TLFD!C95/SUM(TLFD!$C$11:$C$100)</f>
        <v>0</v>
      </c>
      <c r="D121" s="63">
        <f>TLFD!I95/SUM(TLFD!$I$11:$I$100)</f>
        <v>0</v>
      </c>
      <c r="E121" s="63">
        <f>TLFD!D95/SUM(TLFD!$D$11:$D$101)</f>
        <v>0</v>
      </c>
      <c r="F121" s="63">
        <f>TLFD!J95/SUM(TLFD!$J$11:$J$100)</f>
        <v>0</v>
      </c>
      <c r="G121" s="117">
        <f si="7" t="shared"/>
        <v>0</v>
      </c>
      <c r="H121" s="117">
        <f si="9" t="shared"/>
        <v>0</v>
      </c>
    </row>
    <row r="122" spans="1:8" x14ac:dyDescent="0.45">
      <c r="A122">
        <f>TLFD!A96+0.5</f>
        <v>85.5</v>
      </c>
      <c r="B122" s="66">
        <f si="8" t="shared"/>
        <v>4.4601444139378339</v>
      </c>
      <c r="C122" s="63">
        <f>TLFD!C96/SUM(TLFD!$C$11:$C$100)</f>
        <v>0</v>
      </c>
      <c r="D122" s="63">
        <f>TLFD!I96/SUM(TLFD!$I$11:$I$100)</f>
        <v>0</v>
      </c>
      <c r="E122" s="63">
        <f>TLFD!D96/SUM(TLFD!$D$11:$D$101)</f>
        <v>0</v>
      </c>
      <c r="F122" s="63">
        <f>TLFD!J96/SUM(TLFD!$J$11:$J$100)</f>
        <v>0</v>
      </c>
      <c r="G122" s="117">
        <f si="7" t="shared"/>
        <v>0</v>
      </c>
      <c r="H122" s="117">
        <f si="9" t="shared"/>
        <v>0</v>
      </c>
    </row>
    <row r="123" spans="1:8" x14ac:dyDescent="0.45">
      <c r="A123">
        <f>TLFD!A97+0.5</f>
        <v>86.5</v>
      </c>
      <c r="B123" s="66">
        <f si="8" t="shared"/>
        <v>4.4716387933635691</v>
      </c>
      <c r="C123" s="63">
        <f>TLFD!C97/SUM(TLFD!$C$11:$C$100)</f>
        <v>0</v>
      </c>
      <c r="D123" s="63">
        <f>TLFD!I97/SUM(TLFD!$I$11:$I$100)</f>
        <v>0</v>
      </c>
      <c r="E123" s="63">
        <f>TLFD!D97/SUM(TLFD!$D$11:$D$101)</f>
        <v>0</v>
      </c>
      <c r="F123" s="63">
        <f>TLFD!J97/SUM(TLFD!$J$11:$J$100)</f>
        <v>0</v>
      </c>
      <c r="G123" s="117">
        <f si="7" t="shared"/>
        <v>0</v>
      </c>
      <c r="H123" s="117">
        <f si="9" t="shared"/>
        <v>0</v>
      </c>
    </row>
    <row r="124" spans="1:8" x14ac:dyDescent="0.45">
      <c r="A124">
        <f>TLFD!A98+0.5</f>
        <v>87.5</v>
      </c>
      <c r="B124" s="66">
        <f si="8" t="shared"/>
        <v>4.4830025520138834</v>
      </c>
      <c r="C124" s="63">
        <f>TLFD!C98/SUM(TLFD!$C$11:$C$100)</f>
        <v>0</v>
      </c>
      <c r="D124" s="63">
        <f>TLFD!I98/SUM(TLFD!$I$11:$I$100)</f>
        <v>0</v>
      </c>
      <c r="E124" s="63">
        <f>TLFD!D98/SUM(TLFD!$D$11:$D$101)</f>
        <v>0</v>
      </c>
      <c r="F124" s="63">
        <f>TLFD!J98/SUM(TLFD!$J$11:$J$100)</f>
        <v>0</v>
      </c>
      <c r="G124" s="117">
        <f si="7" t="shared"/>
        <v>0</v>
      </c>
      <c r="H124" s="117">
        <f si="9" t="shared"/>
        <v>0</v>
      </c>
    </row>
    <row r="125" spans="1:8" x14ac:dyDescent="0.45">
      <c r="A125">
        <f>TLFD!A99+0.5</f>
        <v>88.5</v>
      </c>
      <c r="B125" s="66">
        <f si="8" t="shared"/>
        <v>4.4942386252808095</v>
      </c>
      <c r="C125" s="63">
        <f>TLFD!C99/SUM(TLFD!$C$11:$C$100)</f>
        <v>0</v>
      </c>
      <c r="D125" s="63">
        <f>TLFD!I99/SUM(TLFD!$I$11:$I$100)</f>
        <v>0</v>
      </c>
      <c r="E125" s="63">
        <f>TLFD!D99/SUM(TLFD!$D$11:$D$101)</f>
        <v>0</v>
      </c>
      <c r="F125" s="63">
        <f>TLFD!J99/SUM(TLFD!$J$11:$J$100)</f>
        <v>0</v>
      </c>
      <c r="G125" s="117">
        <f si="7" t="shared"/>
        <v>0</v>
      </c>
      <c r="H125" s="117">
        <f si="9" t="shared"/>
        <v>0</v>
      </c>
    </row>
    <row r="126" spans="1:8" x14ac:dyDescent="0.45">
      <c r="A126">
        <f>TLFD!A100+0.5</f>
        <v>89.5</v>
      </c>
      <c r="B126" s="66">
        <f si="8" t="shared"/>
        <v>4.5053498507058807</v>
      </c>
      <c r="C126" s="63">
        <f>TLFD!C100/SUM(TLFD!$C$11:$C$100)</f>
        <v>0</v>
      </c>
      <c r="D126" s="63">
        <f>TLFD!I100/SUM(TLFD!$I$11:$I$100)</f>
        <v>0</v>
      </c>
      <c r="E126" s="63">
        <f>TLFD!D100/SUM(TLFD!$D$11:$D$101)</f>
        <v>0</v>
      </c>
      <c r="F126" s="63">
        <f>TLFD!J100/SUM(TLFD!$J$11:$J$100)</f>
        <v>0</v>
      </c>
      <c r="G126" s="117">
        <f si="7" t="shared"/>
        <v>0</v>
      </c>
      <c r="H126" s="117">
        <f si="9" t="shared"/>
        <v>0</v>
      </c>
    </row>
    <row r="127" spans="1:8" x14ac:dyDescent="0.45">
      <c r="D127" s="66"/>
      <c r="E127" s="63"/>
      <c r="F127" s="63"/>
      <c r="G127" s="63"/>
      <c r="H127" s="63"/>
    </row>
  </sheetData>
  <conditionalFormatting sqref="X3:X95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drawing r:id="rId2"/>
</worksheet>
</file>

<file path=customXml/_rels/item1.xml.rels><?xml version="1.0" encoding="UTF-8" standalone="no"?>
<Relationships xmlns="http://schemas.openxmlformats.org/package/2006/relationships">
    <Relationship Id="rId1" Target="itemProps1.xml" Type="http://schemas.openxmlformats.org/officeDocument/2006/relationships/customXmlProps"/>
</Relationships>

</file>

<file path=customXml/_rels/item2.xml.rels><?xml version="1.0" encoding="UTF-8" standalone="no"?>
<Relationships xmlns="http://schemas.openxmlformats.org/package/2006/relationships">
    <Relationship Id="rId1" Target="itemProps2.xml" Type="http://schemas.openxmlformats.org/officeDocument/2006/relationships/customXmlProps"/>
</Relationships>

</file>

<file path=customXml/_rels/item3.xml.rels><?xml version="1.0" encoding="UTF-8" standalone="no"?>
<Relationships xmlns="http://schemas.openxmlformats.org/package/2006/relationships">
    <Relationship Id="rId1" Target="itemProps3.xml" Type="http://schemas.openxmlformats.org/officeDocument/2006/relationships/customXmlProps"/>
</Relationships>
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EC200B76941EF47BE5CA08FE1EDF5B8" ma:contentTypeVersion="21" ma:contentTypeDescription="Create a new document." ma:contentTypeScope="" ma:versionID="20b35a7a9486f5f4d27606ae1c9cf73d">
  <xsd:schema xmlns:xsd="http://www.w3.org/2001/XMLSchema" xmlns:xs="http://www.w3.org/2001/XMLSchema" xmlns:p="http://schemas.microsoft.com/office/2006/metadata/properties" xmlns:ns1="http://schemas.microsoft.com/sharepoint/v3" xmlns:ns2="cf545ad6-a3c6-4540-830c-1f5406d983a4" xmlns:ns3="7951b85e-be0d-4c41-882e-3c5d0d27638c" targetNamespace="http://schemas.microsoft.com/office/2006/metadata/properties" ma:root="true" ma:fieldsID="e369b380847810c977a0ce39987cb023" ns1:_="" ns2:_="" ns3:_="">
    <xsd:import namespace="http://schemas.microsoft.com/sharepoint/v3"/>
    <xsd:import namespace="cf545ad6-a3c6-4540-830c-1f5406d983a4"/>
    <xsd:import namespace="7951b85e-be0d-4c41-882e-3c5d0d2763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lcf76f155ced4ddcb4097134ff3c332f" minOccurs="0"/>
                <xsd:element ref="ns2:MediaServiceObjectDetectorVersions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f545ad6-a3c6-4540-830c-1f5406d983a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d1770257-8aa5-473d-8b97-0f0439c117c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51b85e-be0d-4c41-882e-3c5d0d27638c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6" nillable="true" ma:displayName="Taxonomy Catch All Column" ma:hidden="true" ma:list="{c3fe307b-a16f-4418-9096-0b221d147632}" ma:internalName="TaxCatchAll" ma:showField="CatchAllData" ma:web="7951b85e-be0d-4c41-882e-3c5d0d2763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951b85e-be0d-4c41-882e-3c5d0d27638c" xsi:nil="true"/>
    <_ip_UnifiedCompliancePolicyUIAction xmlns="http://schemas.microsoft.com/sharepoint/v3" xsi:nil="true"/>
    <lcf76f155ced4ddcb4097134ff3c332f xmlns="cf545ad6-a3c6-4540-830c-1f5406d983a4">
      <Terms xmlns="http://schemas.microsoft.com/office/infopath/2007/PartnerControls"/>
    </lcf76f155ced4ddcb4097134ff3c332f>
    <_ip_UnifiedCompliancePolicyProperties xmlns="http://schemas.microsoft.com/sharepoint/v3" xsi:nil="true"/>
  </documentManagement>
</p:properties>
</file>

<file path=customXml/itemProps1.xml><?xml version="1.0" encoding="utf-8"?>
<ds:datastoreItem xmlns:ds="http://schemas.openxmlformats.org/officeDocument/2006/customXml" ds:itemID="{562216D8-37EC-41D2-86BC-02919880473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f545ad6-a3c6-4540-830c-1f5406d983a4"/>
    <ds:schemaRef ds:uri="7951b85e-be0d-4c41-882e-3c5d0d2763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D5726B9-D42B-49F3-B46F-50AB08F08C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21D156-FD2D-4E46-9103-D254557E8CC4}">
  <ds:schemaRefs>
    <ds:schemaRef ds:uri="http://schemas.microsoft.com/office/2006/metadata/properties"/>
    <ds:schemaRef ds:uri="http://schemas.microsoft.com/office/infopath/2007/PartnerControls"/>
    <ds:schemaRef ds:uri="7951b85e-be0d-4c41-882e-3c5d0d27638c"/>
    <ds:schemaRef ds:uri="http://schemas.microsoft.com/sharepoint/v3"/>
    <ds:schemaRef ds:uri="cf545ad6-a3c6-4540-830c-1f5406d983a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13</vt:i4>
      </vt:variant>
      <vt:variant>
        <vt:lpstr>Named Ranges</vt:lpstr>
      </vt:variant>
      <vt:variant>
        <vt:i4>37</vt:i4>
      </vt:variant>
    </vt:vector>
  </HeadingPairs>
  <TitlesOfParts>
    <vt:vector baseType="lpstr" size="50">
      <vt:lpstr>TLFD</vt:lpstr>
      <vt:lpstr>TDFD</vt:lpstr>
      <vt:lpstr>TDFD_Agg</vt:lpstr>
      <vt:lpstr>County_Flow</vt:lpstr>
      <vt:lpstr>Flow_ODData</vt:lpstr>
      <vt:lpstr>WorkAtHome</vt:lpstr>
      <vt:lpstr>Telecommute</vt:lpstr>
      <vt:lpstr>Documentation</vt:lpstr>
      <vt:lpstr>CoeffDef</vt:lpstr>
      <vt:lpstr>County Codes</vt:lpstr>
      <vt:lpstr>WorkLocationCoefficients</vt:lpstr>
      <vt:lpstr>calibration_flow</vt:lpstr>
      <vt:lpstr>calibration_dist</vt:lpstr>
      <vt:lpstr>athm</vt:lpstr>
      <vt:lpstr>avgdist</vt:lpstr>
      <vt:lpstr>avgtime</vt:lpstr>
      <vt:lpstr>flows</vt:lpstr>
      <vt:lpstr>out_1</vt:lpstr>
      <vt:lpstr>out_10</vt:lpstr>
      <vt:lpstr>out_11</vt:lpstr>
      <vt:lpstr>out_12</vt:lpstr>
      <vt:lpstr>out_13</vt:lpstr>
      <vt:lpstr>out_14</vt:lpstr>
      <vt:lpstr>out_16</vt:lpstr>
      <vt:lpstr>out_18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tot</vt:lpstr>
      <vt:lpstr>Wrk_dist</vt:lpstr>
      <vt:lpstr>Wrk_time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2025-04-12T18:04:15Z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ContentTypeId" pid="2">
    <vt:lpwstr>0x010100BEC200B76941EF47BE5CA08FE1EDF5B8</vt:lpwstr>
  </property>
</Properties>
</file>