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E0173EEC-B26D-4BC2-9F5A-0587A893A640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Work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6" l="1" r="I12"/>
  <c i="6" l="1" r="P34"/>
  <c i="6" r="O34"/>
  <c i="6" r="N34"/>
  <c i="6" r="P33"/>
  <c i="6" r="O33"/>
  <c i="6" r="N33"/>
  <c i="6" r="P32"/>
  <c i="6" r="O32"/>
  <c i="6" r="N32"/>
  <c i="6" r="P31"/>
  <c i="6" r="O31"/>
  <c i="6" r="N31"/>
  <c i="6" r="P30"/>
  <c i="6" r="O30"/>
  <c i="6" r="N30"/>
  <c i="6" r="P29"/>
  <c i="6" r="O29"/>
  <c i="6" r="N29"/>
  <c i="6" r="P28"/>
  <c i="6" r="O28"/>
  <c i="6" r="N28"/>
  <c i="6" r="P27"/>
  <c i="6" r="O27"/>
  <c i="6" r="N27"/>
  <c i="6" r="P26"/>
  <c i="6" r="O26"/>
  <c i="6" r="N26"/>
  <c i="6" r="P25"/>
  <c i="6" r="O25"/>
  <c i="6" r="N25"/>
  <c i="6" r="P24"/>
  <c i="6" r="O24"/>
  <c i="6" r="N24"/>
  <c i="6" r="P23"/>
  <c i="6" r="O23"/>
  <c i="6" r="N23"/>
  <c i="6" r="P22"/>
  <c i="6" r="O22"/>
  <c i="6" r="N22"/>
  <c i="6" r="P21"/>
  <c i="6" r="O21"/>
  <c i="6" r="N21"/>
  <c i="6" r="P20"/>
  <c i="6" r="O20"/>
  <c i="6" r="N20"/>
  <c i="6" r="P19"/>
  <c i="6" r="O19"/>
  <c i="6" r="N19"/>
  <c i="6" r="P18"/>
  <c i="6" r="O18"/>
  <c i="6" r="N18"/>
  <c i="6" r="P17"/>
  <c i="6" r="O17"/>
  <c i="6" r="N17"/>
  <c i="6" r="P16"/>
  <c i="6" r="O16"/>
  <c i="6" r="N16"/>
  <c i="6" r="P15"/>
  <c i="6" r="O15"/>
  <c i="6" r="N15"/>
  <c i="6" r="P14"/>
  <c i="6" r="O14"/>
  <c i="6" r="N14"/>
  <c i="6" r="P13"/>
  <c i="6" r="O13"/>
  <c i="6" r="N13"/>
  <c i="6" r="P12"/>
  <c i="6" r="O12"/>
  <c i="6" r="N12"/>
  <c i="6" r="P11"/>
  <c i="6" r="O11"/>
  <c i="6" r="N11"/>
  <c i="6" r="P10"/>
  <c i="6" r="O10"/>
  <c i="6" r="N10"/>
  <c i="6" r="P9"/>
  <c i="6" r="O9"/>
  <c i="6" r="N9"/>
  <c i="6" r="P8"/>
  <c i="6" r="O8"/>
  <c i="6" r="N8"/>
  <c i="6" r="P7"/>
  <c i="6" r="O7"/>
  <c i="6" r="N7"/>
  <c i="6" r="P6"/>
  <c i="6" r="O6"/>
  <c i="6" r="N6"/>
  <c i="6" r="P5"/>
  <c i="6" r="O5"/>
  <c i="6" r="N5"/>
  <c i="6" r="P4"/>
  <c i="6" r="O4"/>
  <c i="6" r="N4"/>
  <c i="6" r="P3"/>
  <c i="6" r="O3"/>
  <c i="6" r="N3"/>
  <c i="6" r="B33"/>
  <c i="6" r="B43" s="1"/>
  <c i="6" l="1" r="Q4"/>
  <c i="6" r="R4" s="1"/>
  <c i="6" r="Q11"/>
  <c i="6" r="R11" s="1"/>
  <c i="6" r="Q12"/>
  <c i="6" r="R12" s="1"/>
  <c i="6" r="Q28"/>
  <c i="6" r="R28" s="1"/>
  <c i="6" r="Q13"/>
  <c i="6" r="R13" s="1"/>
  <c i="6" r="Q14"/>
  <c i="6" r="R14" s="1"/>
  <c i="6" r="Q22"/>
  <c i="6" r="R22" s="1"/>
  <c i="6" r="Q17"/>
  <c i="6" r="R17" s="1"/>
  <c i="6" r="Q16"/>
  <c i="6" r="R16" s="1"/>
  <c i="6" r="Q18"/>
  <c i="6" r="R18" s="1"/>
  <c i="6" r="Q10"/>
  <c i="6" r="R10" s="1"/>
  <c i="6" r="Q6"/>
  <c i="6" r="R6" s="1"/>
  <c i="6" r="Q8"/>
  <c i="6" r="R8" s="1"/>
  <c i="6" r="Q7"/>
  <c i="6" r="R7" s="1"/>
  <c i="6" r="Q9"/>
  <c i="6" r="R9" s="1"/>
  <c i="6" r="Q29"/>
  <c i="6" r="R29" s="1"/>
  <c i="6" r="Q21"/>
  <c i="6" r="R21" s="1"/>
  <c i="6" r="Q26"/>
  <c i="6" r="R26" s="1"/>
  <c i="6" r="Q27"/>
  <c i="6" r="R27" s="1"/>
  <c i="6" r="Q20"/>
  <c i="6" r="R20" s="1"/>
  <c i="6" r="Q23"/>
  <c i="6" r="R23" s="1"/>
  <c i="6" r="Q30"/>
  <c i="6" r="R30" s="1"/>
  <c i="6" r="Q31"/>
  <c i="6" r="R31" s="1"/>
  <c i="6" r="Q19"/>
  <c i="6" r="R19" s="1"/>
  <c i="6" r="Q33"/>
  <c i="6" r="R33" s="1"/>
  <c i="6" r="Q25"/>
  <c i="6" r="R25" s="1"/>
  <c i="6" r="Q32"/>
  <c i="6" r="R32" s="1"/>
  <c i="6" r="Q34"/>
  <c i="6" r="R34" s="1"/>
  <c i="6" r="Q3"/>
  <c i="6" r="R3" s="1"/>
  <c i="6" r="Q24"/>
  <c i="6" r="R24" s="1"/>
  <c i="6" r="Q5"/>
  <c i="6" r="R5" s="1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6"/>
  <c i="6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G13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D14"/>
  <c i="6" r="D12"/>
  <c i="6" r="J12" s="1"/>
  <c i="6" r="K12" s="1"/>
  <c i="6" r="D33" s="1"/>
  <c i="6" r="D43" s="1"/>
  <c i="6" r="Q15" s="1"/>
  <c i="6" r="R15" s="1"/>
  <c i="6" r="D13"/>
  <c i="6" r="D15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<sst xmlns="http://schemas.openxmlformats.org/spreadsheetml/2006/main" count="585" uniqueCount="301">
  <si>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</si>
  <si>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</si>
  <si>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</si>
  <si>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</si>
  <si>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</si>
  <si>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</si>
  <si>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</si>
  <si>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</si>
  <si>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</si>
  <si>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</si>
  <si>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</si>
  <si>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</si>
  <si>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</si>
  <si>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</si>
  <si>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</si>
  <si>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</si>
  <si>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</si>
  <si>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</si>
  <si>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</si>
  <si>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</si>
  <si>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</si>
  <si>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</si>
  <si>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</si>
  <si>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</si>
  <si>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</si>
  <si>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</si>
  <si>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</si>
  <si>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</si>
  <si>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</si>
  <si>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</si>
  <si>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</si>
  <si>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</si>
  <si>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</si>
  <si>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</si>
  <si>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</si>
  <si>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</si>
  <si>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</si>
  <si>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</si>
  <si>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</si>
  <si>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</si>
  <si>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</si>
  <si>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</si>
  <si>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</si>
  <si>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</si>
  <si>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</si>
  <si>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</si>
  <si>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</si>
  <si>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</si>
  <si>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</si>
  <si>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</si>
  <si>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</si>
  <si>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</si>
  <si>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</si>
  <si>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</si>
  <si>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</si>
  <si>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</si>
  <si>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</si>
  <si>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</si>
  <si>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</si>
  <si>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</si>
  <si>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</si>
  <si>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</si>
  <si>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</si>
  <si>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</si>
  <si>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</si>
  <si>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</si>
  <si>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</si>
  <si>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</si>
  <si>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</si>
  <si>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</si>
  <si>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</si>
  <si>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</si>
  <si>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</si>
  <si>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</si>
  <si>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</si>
  <si>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</si>
  <si>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</si>
  <si>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</si>
  <si>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</si>
  <si>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</si>
  <si>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</si>
  <si>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</si>
  <si>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</si>
  <si>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</si>
  <si>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</si>
  <si>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</si>
  <si>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</si>
  <si>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</si>
  <si>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</si>
  <si>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</si>
  <si>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</si>
  <si>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</si>
  <si>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</si>
  <si>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</si>
  <si>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</si>
  <si>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</si>
  <si>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</si>
  <si>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</si>
  <si>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</si>
  <si>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</si>
  <si>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</si>
  <si>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</si>
  <si>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</si>
  <si>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</si>
  <si>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</si>
  <si>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</si>
  <si>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</si>
  <si>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</si>
  <si>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</si>
  <si>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</si>
  <si>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</si>
  <si>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</si>
  <si>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</si>
  <si>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</si>
  <si>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</si>
  <si>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</si>
  <si>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</si>
  <si>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</si>
  <si>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</si>
  <si>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</si>
  <si>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</si>
  <si>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</si>
  <si>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</si>
  <si>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</si>
  <si>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</si>
  <si>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</si>
  <si>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</si>
  <si>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</si>
  <si>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</si>
  <si>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</si>
  <si>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</si>
  <si>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</si>
  <si>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</si>
  <si>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</si>
  <si>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</si>
  <si>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</si>
  <si>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</si>
  <si>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</si>
  <si>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</si>
  <si>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</si>
  <si>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</si>
  <si>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</si>
  <si>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</si>
  <si>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</si>
  <si>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</si>
  <si>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</si>
  <si>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</si>
  <si>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</si>
  <si>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</si>
  <si>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</si>
  <si>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</si>
  <si>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</si>
  <si>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</si>
  <si>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</si>
  <si>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</si>
  <si>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</si>
  <si>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</si>
  <si>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</si>
  <si>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</si>
  <si>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</si>
  <si>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</si>
  <si>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</si>
  <si>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</si>
  <si>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</si>
  <si>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</si>
  <si>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</si>
  <si>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</si>
  <si>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</si>
  <si>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</si>
  <si>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</si>
  <si>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</si>
  <si>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</si>
  <si>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</si>
  <si>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</si>
  <si>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</si>
  <si>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</si>
  <si>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</si>
  <si>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</si>
  <si>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</si>
  <si>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</si>
  <si>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</si>
  <si>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</si>
  <si>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</si>
  <si>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</si>
  <si>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</si>
  <si>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</si>
  <si>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</si>
  <si>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</si>
  <si>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</si>
  <si>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</si>
  <si>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</si>
  <si>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</si>
  <si>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</si>
  <si>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</si>
  <si>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</si>
  <si>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</si>
  <si>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</si>
  <si>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</si>
  <si>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</si>
  <si>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</si>
  <si>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</si>
  <si>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</si>
  <si>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</si>
  <si>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</si>
  <si>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</si>
  <si>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</si>
  <si>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</si>
  <si>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</si>
  <si>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</si>
  <si>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</si>
  <si>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</si>
  <si>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</si>
  <si>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</si>
  <si>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</si>
  <si>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</si>
  <si>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</si>
  <si>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</si>
  <si>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</si>
  <si>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</si>
  <si>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</si>
  <si>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</si>
  <si>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</si>
  <si>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</si>
  <si>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</si>
  <si>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</si>
  <si>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</si>
  <si>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</si>
  <si>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</si>
  <si>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</si>
  <si>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</si>
  <si>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</si>
  <si>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</si>
  <si>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</si>
  <si>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</si>
  <si>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</si>
  <si>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</si>
  <si>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</si>
  <si>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</si>
  <si>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</si>
  <si>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</si>
  <si>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</si>
  <si>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</si>
  <si>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</si>
  <si>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</si>
  <si>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</si>
  <si>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</si>
  <si>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</si>
  <si>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</si>
  <si>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</si>
  <si>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</si>
  <si>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</si>
  <si>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</si>
  <si>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</si>
  <si>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</si>
  <si>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</si>
  <si>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</si>
  <si>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</si>
  <si>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</si>
  <si>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</si>
  <si>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</si>
  <si>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</si>
  <si>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</si>
  <si>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</si>
  <si>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</si>
  <si>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</si>
  <si>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</si>
  <si>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</si>
  <si>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</si>
  <si>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</si>
  <si>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</si>
  <si>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</si>
  <si>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</si>
  <si>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</si>
  <si>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</si>
  <si>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</si>
  <si>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</si>
  <si>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</si>
  <si>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</si>
  <si>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</si>
  <si>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</si>
  <si>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</si>
  <si>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</si>
  <si>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</si>
  <si>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</si>
  <si>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Diff</t>
  </si>
  <si>
    <t>May</t>
  </si>
  <si>
    <t>LSM_0039</t>
  </si>
  <si>
    <t>Gamma040</t>
  </si>
  <si>
    <t>Gamma041</t>
  </si>
  <si>
    <t>Gamma042</t>
  </si>
  <si>
    <t>Gamma043</t>
  </si>
  <si>
    <t>Gamma044</t>
  </si>
  <si>
    <t>Gamma045</t>
  </si>
  <si>
    <t>Gamma046</t>
  </si>
  <si>
    <t>Gamma047</t>
  </si>
  <si>
    <t>Gamma048</t>
  </si>
  <si>
    <t>Gamma049</t>
  </si>
  <si>
    <t>Gamma050</t>
  </si>
  <si>
    <t>LSUvsN</t>
  </si>
  <si>
    <t>017:47:55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</si>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</sst>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Font="1" borderId="0" fillId="0" fontId="4" numFmtId="0" xfId="0"/>
    <xf applyAlignment="1" applyNumberFormat="1" borderId="0" fillId="0" fontId="0" numFmtId="1" xfId="0">
      <alignment horizontal="right"/>
    </xf>
    <xf applyFont="1" borderId="0" fillId="0" fontId="5" numFmtId="0" xfId="0"/>
    <xf applyNumberFormat="1" borderId="0" fillId="0" fontId="0" numFmtId="166" xfId="0"/>
    <xf applyAlignment="1" applyFont="1" borderId="0" fillId="0" fontId="1" numFmtId="0" xfId="0">
      <alignment horizontal="right"/>
    </xf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Border="1" applyNumberFormat="1" borderId="4" fillId="0" fontId="0" numFmtId="3" xfId="0"/>
    <xf applyAlignment="1" applyBorder="1" applyNumberFormat="1" borderId="4" fillId="0" fontId="0" numFmtId="3" xfId="0">
      <alignment horizontal="right"/>
    </xf>
    <xf applyFont="1" applyNumberFormat="1" borderId="0" fillId="0" fontId="5" numFmtId="3" xfId="0"/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NumberFormat="1" borderId="0" fillId="0" fontId="0" numFmtId="1" xfId="0">
      <alignment horizontal="center" vertical="top"/>
    </xf>
    <xf applyAlignment="1" applyBorder="1" applyFont="1" borderId="2" fillId="0" fontId="1" numFmtId="0" xfId="0">
      <alignment horizontal="left"/>
    </xf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borderId="12" fillId="0" fontId="0" numFmtId="0" xfId="0">
      <alignment horizontal="left"/>
    </xf>
    <xf applyAlignment="1" applyFill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NumberFormat="1" borderId="1" fillId="0" fontId="0" numFmtId="1" xfId="0">
      <alignment horizontal="right"/>
    </xf>
    <xf applyAlignment="1" applyNumberFormat="1" borderId="0" fillId="0" fontId="0" numFmtId="2" xfId="0">
      <alignment horizontal="right" vertical="top"/>
    </xf>
    <xf applyAlignment="1" applyNumberFormat="1" borderId="0" fillId="0" fontId="0" numFmtId="171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71" xfId="0">
      <alignment horizontal="right" vertical="top"/>
    </xf>
    <xf applyAlignment="1" applyNumberFormat="1" borderId="0" fillId="0" fontId="0" numFmtId="2" xfId="0">
      <alignment horizontal="right"/>
    </xf>
    <xf applyAlignme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NumberFormat="1" borderId="0" fillId="3" fontId="0" numFmtId="167" xfId="0"/>
    <xf applyFont="1" borderId="0" fillId="0" fontId="8" numFmtId="0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0.26049553737313025</c:v>
                </c:pt>
                <c:pt idx="1">
                  <c:v>0.24225341227591449</c:v>
                </c:pt>
                <c:pt idx="2">
                  <c:v>0.17090534195682996</c:v>
                </c:pt>
                <c:pt idx="3">
                  <c:v>6.3628319872703745E-2</c:v>
                </c:pt>
                <c:pt idx="4">
                  <c:v>4.0128039944801117E-2</c:v>
                </c:pt>
                <c:pt idx="5">
                  <c:v>2.8471766290293302E-2</c:v>
                </c:pt>
                <c:pt idx="6">
                  <c:v>3.4581800747773839E-2</c:v>
                </c:pt>
                <c:pt idx="7">
                  <c:v>3.6303637570588666E-2</c:v>
                </c:pt>
                <c:pt idx="8">
                  <c:v>2.5895459805509561E-2</c:v>
                </c:pt>
                <c:pt idx="9">
                  <c:v>1.7533406202412009E-2</c:v>
                </c:pt>
                <c:pt idx="10">
                  <c:v>1.9087238514499758E-2</c:v>
                </c:pt>
                <c:pt idx="11">
                  <c:v>9.3727263592400471E-3</c:v>
                </c:pt>
                <c:pt idx="12">
                  <c:v>5.6860725766616511E-3</c:v>
                </c:pt>
                <c:pt idx="13">
                  <c:v>8.2958194811642086E-3</c:v>
                </c:pt>
                <c:pt idx="14">
                  <c:v>9.9107619225577825E-3</c:v>
                </c:pt>
                <c:pt idx="15">
                  <c:v>8.4301765056377662E-4</c:v>
                </c:pt>
                <c:pt idx="16">
                  <c:v>3.8626460901187384E-3</c:v>
                </c:pt>
                <c:pt idx="17">
                  <c:v>2.1912596313076373E-3</c:v>
                </c:pt>
                <c:pt idx="18">
                  <c:v>5.920657907947808E-4</c:v>
                </c:pt>
                <c:pt idx="19">
                  <c:v>0</c:v>
                </c:pt>
                <c:pt idx="20">
                  <c:v>0</c:v>
                </c:pt>
                <c:pt idx="21">
                  <c:v>3.8164759713392956E-3</c:v>
                </c:pt>
                <c:pt idx="22">
                  <c:v>3.5868756689471347E-4</c:v>
                </c:pt>
                <c:pt idx="23">
                  <c:v>0</c:v>
                </c:pt>
                <c:pt idx="24">
                  <c:v>0</c:v>
                </c:pt>
                <c:pt idx="25">
                  <c:v>3.8790788840185175E-3</c:v>
                </c:pt>
                <c:pt idx="26">
                  <c:v>0</c:v>
                </c:pt>
                <c:pt idx="27">
                  <c:v>5.7060517903041979E-4</c:v>
                </c:pt>
                <c:pt idx="28">
                  <c:v>7.9761225830454075E-3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5.9065175657821737E-4</c:v>
                </c:pt>
                <c:pt idx="34">
                  <c:v>0</c:v>
                </c:pt>
                <c:pt idx="35">
                  <c:v>9.2805400897834605E-4</c:v>
                </c:pt>
                <c:pt idx="36">
                  <c:v>0</c:v>
                </c:pt>
                <c:pt idx="37">
                  <c:v>3.8914969046028312E-4</c:v>
                </c:pt>
                <c:pt idx="38">
                  <c:v>0</c:v>
                </c:pt>
                <c:pt idx="39">
                  <c:v>9.8101230037580959E-4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4.7183200241343761E-4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0.22873248571673835</c:v>
                </c:pt>
                <c:pt idx="1">
                  <c:v>0.14388180422155031</c:v>
                </c:pt>
                <c:pt idx="2">
                  <c:v>0.13297025075589214</c:v>
                </c:pt>
                <c:pt idx="3">
                  <c:v>0.11157635702908159</c:v>
                </c:pt>
                <c:pt idx="4">
                  <c:v>7.4959701649132515E-2</c:v>
                </c:pt>
                <c:pt idx="5">
                  <c:v>5.748595519014145E-2</c:v>
                </c:pt>
                <c:pt idx="6">
                  <c:v>3.9077477752448901E-2</c:v>
                </c:pt>
                <c:pt idx="7">
                  <c:v>2.974924410785651E-2</c:v>
                </c:pt>
                <c:pt idx="8">
                  <c:v>2.2280934349455852E-2</c:v>
                </c:pt>
                <c:pt idx="9">
                  <c:v>1.6539015480289576E-2</c:v>
                </c:pt>
                <c:pt idx="10">
                  <c:v>1.3639441832072718E-2</c:v>
                </c:pt>
                <c:pt idx="11">
                  <c:v>1.2218269221598008E-2</c:v>
                </c:pt>
                <c:pt idx="12">
                  <c:v>9.3377717158036298E-3</c:v>
                </c:pt>
                <c:pt idx="13">
                  <c:v>8.2599696689335481E-3</c:v>
                </c:pt>
                <c:pt idx="14">
                  <c:v>7.2393960493309043E-3</c:v>
                </c:pt>
                <c:pt idx="15">
                  <c:v>7.1154011235847886E-3</c:v>
                </c:pt>
                <c:pt idx="16">
                  <c:v>5.980370649447269E-3</c:v>
                </c:pt>
                <c:pt idx="17">
                  <c:v>6.457274210009252E-3</c:v>
                </c:pt>
                <c:pt idx="18">
                  <c:v>4.6736548935074349E-3</c:v>
                </c:pt>
                <c:pt idx="19">
                  <c:v>3.5958528466373532E-3</c:v>
                </c:pt>
                <c:pt idx="20">
                  <c:v>4.2730559026353688E-3</c:v>
                </c:pt>
                <c:pt idx="21">
                  <c:v>3.9487614814532205E-3</c:v>
                </c:pt>
                <c:pt idx="22">
                  <c:v>3.0998731436528903E-3</c:v>
                </c:pt>
                <c:pt idx="23">
                  <c:v>3.7198477723834685E-3</c:v>
                </c:pt>
                <c:pt idx="24">
                  <c:v>2.6038934406684279E-3</c:v>
                </c:pt>
                <c:pt idx="25">
                  <c:v>2.7565025800482625E-3</c:v>
                </c:pt>
                <c:pt idx="26">
                  <c:v>2.1365279513176844E-3</c:v>
                </c:pt>
                <c:pt idx="27">
                  <c:v>1.8790000286142137E-3</c:v>
                </c:pt>
                <c:pt idx="28">
                  <c:v>3.5672386330036338E-3</c:v>
                </c:pt>
                <c:pt idx="29">
                  <c:v>2.8232690785269404E-3</c:v>
                </c:pt>
                <c:pt idx="30">
                  <c:v>3.1952538557652871E-3</c:v>
                </c:pt>
                <c:pt idx="31">
                  <c:v>1.9457665270928913E-3</c:v>
                </c:pt>
                <c:pt idx="32">
                  <c:v>4.2921320450578487E-3</c:v>
                </c:pt>
                <c:pt idx="33">
                  <c:v>2.8328071497381799E-3</c:v>
                </c:pt>
                <c:pt idx="34">
                  <c:v>1.2399492574611563E-3</c:v>
                </c:pt>
                <c:pt idx="35">
                  <c:v>9.1565483627900764E-4</c:v>
                </c:pt>
                <c:pt idx="36">
                  <c:v>3.2810964966664439E-3</c:v>
                </c:pt>
                <c:pt idx="37">
                  <c:v>5.5320813025190043E-4</c:v>
                </c:pt>
                <c:pt idx="38">
                  <c:v>4.2921320450578482E-4</c:v>
                </c:pt>
                <c:pt idx="39">
                  <c:v>1.3257918983623131E-3</c:v>
                </c:pt>
                <c:pt idx="40">
                  <c:v>2.5752792270347088E-4</c:v>
                </c:pt>
                <c:pt idx="41">
                  <c:v>1.020573619602644E-3</c:v>
                </c:pt>
                <c:pt idx="42">
                  <c:v>3.9106091966082621E-4</c:v>
                </c:pt>
                <c:pt idx="43">
                  <c:v>6.0089848630809882E-4</c:v>
                </c:pt>
                <c:pt idx="44">
                  <c:v>5.1505584540694177E-4</c:v>
                </c:pt>
                <c:pt idx="45">
                  <c:v>2.7660406512595022E-4</c:v>
                </c:pt>
                <c:pt idx="46">
                  <c:v>6.3905077115305748E-4</c:v>
                </c:pt>
                <c:pt idx="47">
                  <c:v>1.2399492574611561E-4</c:v>
                </c:pt>
                <c:pt idx="48">
                  <c:v>3.0617208588079319E-3</c:v>
                </c:pt>
                <c:pt idx="49">
                  <c:v>6.6766498478677637E-5</c:v>
                </c:pt>
                <c:pt idx="50">
                  <c:v>9.5380712112396636E-5</c:v>
                </c:pt>
                <c:pt idx="51">
                  <c:v>2.8614213633718989E-5</c:v>
                </c:pt>
                <c:pt idx="52">
                  <c:v>6.1997462873057815E-4</c:v>
                </c:pt>
                <c:pt idx="53">
                  <c:v>1.4307106816859494E-4</c:v>
                </c:pt>
                <c:pt idx="54">
                  <c:v>3.8152284844958652E-5</c:v>
                </c:pt>
                <c:pt idx="55">
                  <c:v>1.9076142422479326E-5</c:v>
                </c:pt>
                <c:pt idx="56">
                  <c:v>1.0491878332363629E-4</c:v>
                </c:pt>
                <c:pt idx="57">
                  <c:v>1.2017969726161976E-3</c:v>
                </c:pt>
                <c:pt idx="58">
                  <c:v>4.7690356056198318E-5</c:v>
                </c:pt>
                <c:pt idx="59">
                  <c:v>5.6274620146314015E-4</c:v>
                </c:pt>
                <c:pt idx="60">
                  <c:v>1.9076142422479326E-5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4.0345325866553844E-3</c:v>
                </c:pt>
                <c:pt idx="3">
                  <c:v>8.0956404232851623E-2</c:v>
                </c:pt>
                <c:pt idx="4">
                  <c:v>6.2252745002092588E-2</c:v>
                </c:pt>
                <c:pt idx="5">
                  <c:v>0.18935472597182113</c:v>
                </c:pt>
                <c:pt idx="6">
                  <c:v>0.14934879210986116</c:v>
                </c:pt>
                <c:pt idx="7">
                  <c:v>8.5727411090488814E-2</c:v>
                </c:pt>
                <c:pt idx="8">
                  <c:v>8.206130738843008E-2</c:v>
                </c:pt>
                <c:pt idx="9">
                  <c:v>3.5870946901354728E-2</c:v>
                </c:pt>
                <c:pt idx="10">
                  <c:v>3.2312000414591049E-2</c:v>
                </c:pt>
                <c:pt idx="11">
                  <c:v>2.7517671223515505E-2</c:v>
                </c:pt>
                <c:pt idx="12">
                  <c:v>1.4795881407730299E-2</c:v>
                </c:pt>
                <c:pt idx="13">
                  <c:v>3.227313987282656E-2</c:v>
                </c:pt>
                <c:pt idx="14">
                  <c:v>1.8724053667369869E-2</c:v>
                </c:pt>
                <c:pt idx="15">
                  <c:v>2.0409582594437335E-2</c:v>
                </c:pt>
                <c:pt idx="16">
                  <c:v>8.9909840546258512E-3</c:v>
                </c:pt>
                <c:pt idx="17">
                  <c:v>2.1106250154345675E-2</c:v>
                </c:pt>
                <c:pt idx="18">
                  <c:v>1.1847221812941598E-2</c:v>
                </c:pt>
                <c:pt idx="19">
                  <c:v>2.307394875081218E-2</c:v>
                </c:pt>
                <c:pt idx="20">
                  <c:v>5.8241652169666426E-3</c:v>
                </c:pt>
                <c:pt idx="21">
                  <c:v>2.0756793217233768E-2</c:v>
                </c:pt>
                <c:pt idx="22">
                  <c:v>9.08228210914893E-3</c:v>
                </c:pt>
                <c:pt idx="23">
                  <c:v>4.2824371209653289E-3</c:v>
                </c:pt>
                <c:pt idx="24">
                  <c:v>7.082351222760924E-3</c:v>
                </c:pt>
                <c:pt idx="25">
                  <c:v>9.1034327052800287E-3</c:v>
                </c:pt>
                <c:pt idx="26">
                  <c:v>8.1332770895604437E-3</c:v>
                </c:pt>
                <c:pt idx="27">
                  <c:v>1.6795137317365605E-3</c:v>
                </c:pt>
                <c:pt idx="28">
                  <c:v>0</c:v>
                </c:pt>
                <c:pt idx="29">
                  <c:v>8.2442777291206006E-4</c:v>
                </c:pt>
                <c:pt idx="30">
                  <c:v>2.1186492473444828E-3</c:v>
                </c:pt>
                <c:pt idx="31">
                  <c:v>4.1076337734222786E-4</c:v>
                </c:pt>
                <c:pt idx="32">
                  <c:v>0</c:v>
                </c:pt>
                <c:pt idx="33">
                  <c:v>4.5320036295852292E-3</c:v>
                </c:pt>
                <c:pt idx="34">
                  <c:v>3.5960527231622564E-3</c:v>
                </c:pt>
                <c:pt idx="35">
                  <c:v>1.0035930966764558E-3</c:v>
                </c:pt>
                <c:pt idx="36">
                  <c:v>3.2593696222650193E-3</c:v>
                </c:pt>
                <c:pt idx="37">
                  <c:v>0</c:v>
                </c:pt>
                <c:pt idx="38">
                  <c:v>3.6464782754122316E-4</c:v>
                </c:pt>
                <c:pt idx="39">
                  <c:v>0</c:v>
                </c:pt>
                <c:pt idx="40">
                  <c:v>1.1807010435405958E-3</c:v>
                </c:pt>
                <c:pt idx="41">
                  <c:v>5.8028889176222759E-3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9.507533576894946E-4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5.7060517903042001E-4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1.5187057655565641E-3</c:v>
                </c:pt>
                <c:pt idx="56">
                  <c:v>0</c:v>
                </c:pt>
                <c:pt idx="57">
                  <c:v>2.7246149556003278E-3</c:v>
                </c:pt>
                <c:pt idx="58">
                  <c:v>0</c:v>
                </c:pt>
                <c:pt idx="59">
                  <c:v>2.698377840477923E-3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6.8597808151235659E-2</c:v>
                </c:pt>
                <c:pt idx="1">
                  <c:v>1.8732771858874699E-2</c:v>
                </c:pt>
                <c:pt idx="2">
                  <c:v>2.4608223724998331E-2</c:v>
                </c:pt>
                <c:pt idx="3">
                  <c:v>3.288726953635436E-2</c:v>
                </c:pt>
                <c:pt idx="4">
                  <c:v>4.988411243478344E-2</c:v>
                </c:pt>
                <c:pt idx="5">
                  <c:v>6.5001955304598305E-2</c:v>
                </c:pt>
                <c:pt idx="6">
                  <c:v>6.95230010587259E-2</c:v>
                </c:pt>
                <c:pt idx="7">
                  <c:v>7.2155508713028046E-2</c:v>
                </c:pt>
                <c:pt idx="8">
                  <c:v>6.2493442576042273E-2</c:v>
                </c:pt>
                <c:pt idx="9">
                  <c:v>5.3508579495054512E-2</c:v>
                </c:pt>
                <c:pt idx="10">
                  <c:v>5.238308709212823E-2</c:v>
                </c:pt>
                <c:pt idx="11">
                  <c:v>4.8606010892477326E-2</c:v>
                </c:pt>
                <c:pt idx="12">
                  <c:v>4.8606010892477326E-2</c:v>
                </c:pt>
                <c:pt idx="13">
                  <c:v>3.9077477752448901E-2</c:v>
                </c:pt>
                <c:pt idx="14">
                  <c:v>3.5701000543670057E-2</c:v>
                </c:pt>
                <c:pt idx="15">
                  <c:v>2.7307497877779155E-2</c:v>
                </c:pt>
                <c:pt idx="16">
                  <c:v>2.4016863309901472E-2</c:v>
                </c:pt>
                <c:pt idx="17">
                  <c:v>1.8952147496733209E-2</c:v>
                </c:pt>
                <c:pt idx="18">
                  <c:v>1.6624858121190734E-2</c:v>
                </c:pt>
                <c:pt idx="19">
                  <c:v>1.3782512900241314E-2</c:v>
                </c:pt>
                <c:pt idx="20">
                  <c:v>1.1569680379233711E-2</c:v>
                </c:pt>
                <c:pt idx="21">
                  <c:v>9.8528275612105726E-3</c:v>
                </c:pt>
                <c:pt idx="22">
                  <c:v>9.232852932479994E-3</c:v>
                </c:pt>
                <c:pt idx="23">
                  <c:v>7.4969239720343748E-3</c:v>
                </c:pt>
                <c:pt idx="24">
                  <c:v>6.3905077115305742E-3</c:v>
                </c:pt>
                <c:pt idx="25">
                  <c:v>5.3222437358717324E-3</c:v>
                </c:pt>
                <c:pt idx="26">
                  <c:v>4.4924315404938813E-3</c:v>
                </c:pt>
                <c:pt idx="27">
                  <c:v>4.0441421935656172E-3</c:v>
                </c:pt>
                <c:pt idx="28">
                  <c:v>3.5863147754261132E-3</c:v>
                </c:pt>
                <c:pt idx="29">
                  <c:v>3.6053909178485927E-3</c:v>
                </c:pt>
                <c:pt idx="30">
                  <c:v>2.6801980103583452E-3</c:v>
                </c:pt>
                <c:pt idx="31">
                  <c:v>2.5943553694571884E-3</c:v>
                </c:pt>
                <c:pt idx="32">
                  <c:v>2.2032944497963622E-3</c:v>
                </c:pt>
                <c:pt idx="33">
                  <c:v>2.5085127285560315E-3</c:v>
                </c:pt>
                <c:pt idx="34">
                  <c:v>2.0602233816277671E-3</c:v>
                </c:pt>
                <c:pt idx="35">
                  <c:v>1.6023959634882633E-3</c:v>
                </c:pt>
                <c:pt idx="36">
                  <c:v>1.6691624619669411E-3</c:v>
                </c:pt>
                <c:pt idx="37">
                  <c:v>1.5547056074320651E-3</c:v>
                </c:pt>
                <c:pt idx="38">
                  <c:v>1.2876396135173545E-3</c:v>
                </c:pt>
                <c:pt idx="39">
                  <c:v>1.3925583968409907E-3</c:v>
                </c:pt>
                <c:pt idx="40">
                  <c:v>1.1445685453487595E-3</c:v>
                </c:pt>
                <c:pt idx="41">
                  <c:v>8.870406226452887E-4</c:v>
                </c:pt>
                <c:pt idx="42">
                  <c:v>9.442690499127267E-4</c:v>
                </c:pt>
                <c:pt idx="43">
                  <c:v>9.5380712112396631E-4</c:v>
                </c:pt>
                <c:pt idx="44">
                  <c:v>1.0968781892925614E-3</c:v>
                </c:pt>
                <c:pt idx="45">
                  <c:v>6.2951269994181776E-4</c:v>
                </c:pt>
                <c:pt idx="46">
                  <c:v>7.9165991053289204E-4</c:v>
                </c:pt>
                <c:pt idx="47">
                  <c:v>7.5350762568793337E-4</c:v>
                </c:pt>
                <c:pt idx="48">
                  <c:v>5.341319878294211E-4</c:v>
                </c:pt>
                <c:pt idx="49">
                  <c:v>9.8242133475768536E-4</c:v>
                </c:pt>
                <c:pt idx="50">
                  <c:v>4.8644163177322282E-4</c:v>
                </c:pt>
                <c:pt idx="51">
                  <c:v>7.3443148326545404E-4</c:v>
                </c:pt>
                <c:pt idx="52">
                  <c:v>4.2921320450578482E-4</c:v>
                </c:pt>
                <c:pt idx="53">
                  <c:v>3.3383249239338821E-4</c:v>
                </c:pt>
                <c:pt idx="54">
                  <c:v>1.020573619602644E-3</c:v>
                </c:pt>
                <c:pt idx="55">
                  <c:v>4.9597970298446243E-4</c:v>
                </c:pt>
                <c:pt idx="56">
                  <c:v>3.4337056360462788E-4</c:v>
                </c:pt>
                <c:pt idx="57">
                  <c:v>3.9106091966082621E-4</c:v>
                </c:pt>
                <c:pt idx="58">
                  <c:v>2.8614213633718988E-4</c:v>
                </c:pt>
                <c:pt idx="59">
                  <c:v>8.870406226452887E-4</c:v>
                </c:pt>
                <c:pt idx="60">
                  <c:v>2.6706599391471055E-4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2"/>
  <sheetViews>
    <sheetView tabSelected="1" topLeftCell="E1" workbookViewId="0">
      <selection activeCell="S11" sqref="S1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265625" collapsed="true"/>
    <col min="5" max="5" bestFit="true" customWidth="true" width="10.59765625" collapsed="true"/>
    <col min="9" max="9" bestFit="true" customWidth="true" width="10.59765625" collapsed="true"/>
    <col min="10" max="11" bestFit="true" customWidth="true" width="9.59765625" collapsed="true"/>
    <col min="12" max="12" bestFit="true" customWidth="true" width="10.59765625" collapsed="true"/>
  </cols>
  <sheetData>
    <row r="1" spans="1:18" x14ac:dyDescent="0.45">
      <c r="A1" t="s">
        <v>1</v>
      </c>
    </row>
    <row r="2" spans="1:18" x14ac:dyDescent="0.45">
      <c r="A2" t="s">
        <v>246</v>
      </c>
    </row>
    <row r="3" spans="1:18" x14ac:dyDescent="0.45">
      <c r="A3" t="s">
        <v>247</v>
      </c>
    </row>
    <row r="4" spans="1:18" x14ac:dyDescent="0.45">
      <c r="A4" t="s">
        <v>5</v>
      </c>
    </row>
    <row r="5" spans="1:18" x14ac:dyDescent="0.45">
      <c r="A5" t="s">
        <v>6</v>
      </c>
    </row>
    <row r="7" spans="1:18" x14ac:dyDescent="0.45">
      <c r="A7" t="s">
        <v>12</v>
      </c>
    </row>
    <row ht="14.65" r="9" spans="1:18" thickBot="1" x14ac:dyDescent="0.5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9" t="s">
        <v>20</v>
      </c>
    </row>
    <row r="10" spans="1:18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18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18" t="s">
        <v>300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56" t="n">
        <v>31074.260037956865</v>
      </c>
      <c r="C11" s="56" t="n">
        <v>370.1676191422783</v>
      </c>
      <c r="D11" s="56" t="n">
        <v>69.4441694133566</v>
      </c>
      <c r="E11" s="56">
        <f>SUM(B11:D11)</f>
        <v>31513.871826512499</v>
      </c>
      <c r="F11" s="19">
        <f>E11/$E$102</f>
        <v>0.26049553737313025</v>
      </c>
      <c r="H11" s="20">
        <v>0</v>
      </c>
      <c r="I11" s="58" t="n">
        <v>22023.0</v>
      </c>
      <c r="J11" s="58" t="n">
        <v>1504.0</v>
      </c>
      <c r="K11" s="58" t="n">
        <v>382.0</v>
      </c>
      <c r="L11" s="56">
        <f>SUM(I11:K11)</f>
        <v>23981</v>
      </c>
      <c r="M11" s="19">
        <f>L11/$L$102</f>
        <v>0.22873248571673835</v>
      </c>
      <c r="P11" t="s">
        <v>9</v>
      </c>
      <c r="Q11" s="7" t="n">
        <v>3.6313229755365564</v>
      </c>
      <c r="R11" s="7" t="n">
        <v>5.739589070123093</v>
      </c>
    </row>
    <row r="12" spans="1:18" x14ac:dyDescent="0.45">
      <c r="A12">
        <v>1</v>
      </c>
      <c r="B12" s="56" t="n">
        <v>27907.12305885293</v>
      </c>
      <c r="C12" s="56" t="n">
        <v>1399.8779784167784</v>
      </c>
      <c r="D12" s="56" t="n">
        <v>0.0</v>
      </c>
      <c r="E12" s="56">
        <f ref="E12:E75" si="0" t="shared">SUM(B12:D12)</f>
        <v>29307.001037269707</v>
      </c>
      <c r="F12" s="19">
        <f ref="F12:F75" si="1" t="shared">E12/$E$102</f>
        <v>0.24225341227591449</v>
      </c>
      <c r="H12" s="20">
        <v>1</v>
      </c>
      <c r="I12" s="58" t="n">
        <v>13450.0</v>
      </c>
      <c r="J12" s="58" t="n">
        <v>927.0</v>
      </c>
      <c r="K12" s="58" t="n">
        <v>196.0</v>
      </c>
      <c r="L12" s="56">
        <f ref="L12:L75" si="2" t="shared">SUM(I12:K12)</f>
        <v>15085</v>
      </c>
      <c r="M12" s="19">
        <f ref="M12:M75" si="3" t="shared">L12/$L$102</f>
        <v>0.14388180422155031</v>
      </c>
      <c r="P12" t="s">
        <v>10</v>
      </c>
      <c r="Q12" s="7" t="n">
        <v>4.452549096004291</v>
      </c>
      <c r="R12" s="7" t="n">
        <v>5.709260283761006</v>
      </c>
    </row>
    <row r="13" spans="1:18" x14ac:dyDescent="0.45">
      <c r="A13">
        <v>2</v>
      </c>
      <c r="B13" s="56" t="n">
        <v>19283.584503953378</v>
      </c>
      <c r="C13" s="56" t="n">
        <v>1227.6095833588158</v>
      </c>
      <c r="D13" s="56" t="n">
        <v>164.357959397744</v>
      </c>
      <c r="E13" s="56">
        <f si="0" t="shared"/>
        <v>20675.552046709938</v>
      </c>
      <c r="F13" s="19">
        <f si="1" t="shared"/>
        <v>0.17090534195682996</v>
      </c>
      <c r="H13" s="20">
        <v>2</v>
      </c>
      <c r="I13" s="58" t="n">
        <v>12671.0</v>
      </c>
      <c r="J13" s="58" t="n">
        <v>829.0</v>
      </c>
      <c r="K13" s="58" t="n">
        <v>235.0</v>
      </c>
      <c r="L13" s="56">
        <f si="2" t="shared"/>
        <v>13941</v>
      </c>
      <c r="M13" s="19">
        <f si="3" t="shared"/>
        <v>0.13297025075589214</v>
      </c>
      <c r="P13" s="6" t="s">
        <v>11</v>
      </c>
      <c r="Q13" s="10" t="n">
        <v>2.0643624504025366</v>
      </c>
      <c r="R13" s="10" t="n">
        <v>6.230236265715904</v>
      </c>
    </row>
    <row ht="14.65" r="14" spans="1:18" thickBot="1" x14ac:dyDescent="0.5">
      <c r="A14">
        <v>3</v>
      </c>
      <c r="B14" s="56" t="n">
        <v>7149.756705037677</v>
      </c>
      <c r="C14" s="56" t="n">
        <v>521.261200484383</v>
      </c>
      <c r="D14" s="56" t="n">
        <v>26.5217038899</v>
      </c>
      <c r="E14" s="56">
        <f si="0" t="shared"/>
        <v>7697.5396094119606</v>
      </c>
      <c r="F14" s="19">
        <f si="1" t="shared"/>
        <v>6.3628319872703745E-2</v>
      </c>
      <c r="H14" s="20">
        <v>3</v>
      </c>
      <c r="I14" s="58" t="n">
        <v>10860.0</v>
      </c>
      <c r="J14" s="58" t="n">
        <v>693.0</v>
      </c>
      <c r="K14" s="58" t="n">
        <v>174.0</v>
      </c>
      <c r="L14" s="56">
        <f si="2" t="shared"/>
        <v>11698</v>
      </c>
      <c r="M14" s="19">
        <f si="3" t="shared"/>
        <v>0.11157635702908159</v>
      </c>
      <c r="P14" s="1" t="s">
        <v>4</v>
      </c>
      <c r="Q14" s="8" t="n">
        <v>3.6662541670004076</v>
      </c>
      <c r="R14" s="8" t="n">
        <v>5.745036384166349</v>
      </c>
    </row>
    <row r="15" spans="1:18" x14ac:dyDescent="0.45">
      <c r="A15">
        <v>4</v>
      </c>
      <c r="B15" s="56" t="n">
        <v>4346.673185888759</v>
      </c>
      <c r="C15" s="56" t="n">
        <v>507.8817912210971</v>
      </c>
      <c r="D15" s="56" t="n">
        <v>0.0</v>
      </c>
      <c r="E15" s="56">
        <f si="0" t="shared"/>
        <v>4854.5549771098558</v>
      </c>
      <c r="F15" s="19">
        <f si="1" t="shared"/>
        <v>4.0128039944801117E-2</v>
      </c>
      <c r="H15" s="20">
        <v>4</v>
      </c>
      <c r="I15" s="58" t="n">
        <v>7395.0</v>
      </c>
      <c r="J15" s="58" t="n">
        <v>507.0</v>
      </c>
      <c r="K15" s="58" t="n">
        <v>105.0</v>
      </c>
      <c r="L15" s="56">
        <f si="2" t="shared"/>
        <v>7859</v>
      </c>
      <c r="M15" s="19">
        <f si="3" t="shared"/>
        <v>7.4959701649132515E-2</v>
      </c>
    </row>
    <row r="16" spans="1:18" x14ac:dyDescent="0.45">
      <c r="A16">
        <v>5</v>
      </c>
      <c r="B16" s="56" t="n">
        <v>3200.691826432928</v>
      </c>
      <c r="C16" s="56" t="n">
        <v>243.72646416337352</v>
      </c>
      <c r="D16" s="56" t="n">
        <v>0.0</v>
      </c>
      <c r="E16" s="56">
        <f si="0" t="shared"/>
        <v>3444.4182905963016</v>
      </c>
      <c r="F16" s="19">
        <f si="1" t="shared"/>
        <v>2.8471766290293302E-2</v>
      </c>
      <c r="H16" s="20">
        <v>5</v>
      </c>
      <c r="I16" s="58" t="n">
        <v>5669.0</v>
      </c>
      <c r="J16" s="58" t="n">
        <v>349.0</v>
      </c>
      <c r="K16" s="58" t="n">
        <v>76.0</v>
      </c>
      <c r="L16" s="56">
        <f si="2" t="shared"/>
        <v>6027</v>
      </c>
      <c r="M16" s="19">
        <f si="3" t="shared"/>
        <v>5.748595519014145E-2</v>
      </c>
    </row>
    <row r="17" spans="1:13" x14ac:dyDescent="0.45">
      <c r="A17">
        <v>6</v>
      </c>
      <c r="B17" s="56" t="n">
        <v>4130.252631061202</v>
      </c>
      <c r="C17" s="56" t="n">
        <v>53.3370276526632</v>
      </c>
      <c r="D17" s="56" t="n">
        <v>0.0</v>
      </c>
      <c r="E17" s="56">
        <f si="0" t="shared"/>
        <v>4183.589658713865</v>
      </c>
      <c r="F17" s="19">
        <f si="1" t="shared"/>
        <v>3.4581800747773839E-2</v>
      </c>
      <c r="H17" s="20">
        <v>6</v>
      </c>
      <c r="I17" s="58" t="n">
        <v>3797.0</v>
      </c>
      <c r="J17" s="58" t="n">
        <v>242.0</v>
      </c>
      <c r="K17" s="58" t="n">
        <v>46.0</v>
      </c>
      <c r="L17" s="56">
        <f si="2" t="shared"/>
        <v>4097</v>
      </c>
      <c r="M17" s="19">
        <f si="3" t="shared"/>
        <v>3.9077477752448901E-2</v>
      </c>
    </row>
    <row r="18" spans="1:13" x14ac:dyDescent="0.45">
      <c r="A18">
        <v>7</v>
      </c>
      <c r="B18" s="56" t="n">
        <v>4216.978973445805</v>
      </c>
      <c r="C18" s="56" t="n">
        <v>174.912698759493</v>
      </c>
      <c r="D18" s="56" t="n">
        <v>0.0</v>
      </c>
      <c r="E18" s="56">
        <f si="0" t="shared"/>
        <v>4391.8916722052982</v>
      </c>
      <c r="F18" s="19">
        <f si="1" t="shared"/>
        <v>3.6303637570588666E-2</v>
      </c>
      <c r="H18" s="20">
        <v>7</v>
      </c>
      <c r="I18" s="58" t="n">
        <v>2968.0</v>
      </c>
      <c r="J18" s="58" t="n">
        <v>156.0</v>
      </c>
      <c r="K18" s="58" t="n">
        <v>42.0</v>
      </c>
      <c r="L18" s="56">
        <f si="2" t="shared"/>
        <v>3119</v>
      </c>
      <c r="M18" s="19">
        <f si="3" t="shared"/>
        <v>2.974924410785651E-2</v>
      </c>
    </row>
    <row r="19" spans="1:13" x14ac:dyDescent="0.45">
      <c r="A19">
        <v>8</v>
      </c>
      <c r="B19" s="56" t="n">
        <v>2691.2755694757143</v>
      </c>
      <c r="C19" s="56" t="n">
        <v>441.4698488479492</v>
      </c>
      <c r="D19" s="56" t="n">
        <v>0.0</v>
      </c>
      <c r="E19" s="56">
        <f si="0" t="shared"/>
        <v>3132.7454183236637</v>
      </c>
      <c r="F19" s="19">
        <f si="1" t="shared"/>
        <v>2.5895459805509561E-2</v>
      </c>
      <c r="H19" s="20">
        <v>8</v>
      </c>
      <c r="I19" s="58" t="n">
        <v>2078.0</v>
      </c>
      <c r="J19" s="58" t="n">
        <v>126.0</v>
      </c>
      <c r="K19" s="58" t="n">
        <v>31.0</v>
      </c>
      <c r="L19" s="56">
        <f si="2" t="shared"/>
        <v>2336</v>
      </c>
      <c r="M19" s="19">
        <f si="3" t="shared"/>
        <v>2.2280934349455852E-2</v>
      </c>
    </row>
    <row r="20" spans="1:13" x14ac:dyDescent="0.45">
      <c r="A20">
        <v>9</v>
      </c>
      <c r="B20" s="56" t="n">
        <v>2121.1323668609825</v>
      </c>
      <c r="C20" s="56" t="n">
        <v>0.0</v>
      </c>
      <c r="D20" s="56" t="n">
        <v>0.0</v>
      </c>
      <c r="E20" s="56">
        <f si="0" t="shared"/>
        <v>2121.1323668609825</v>
      </c>
      <c r="F20" s="19">
        <f si="1" t="shared"/>
        <v>1.7533406202412009E-2</v>
      </c>
      <c r="H20" s="20">
        <v>9</v>
      </c>
      <c r="I20" s="58" t="n">
        <v>1599.0</v>
      </c>
      <c r="J20" s="58" t="n">
        <v>82.0</v>
      </c>
      <c r="K20" s="58" t="n">
        <v>29.0</v>
      </c>
      <c r="L20" s="56">
        <f si="2" t="shared"/>
        <v>1734</v>
      </c>
      <c r="M20" s="19">
        <f si="3" t="shared"/>
        <v>1.6539015480289576E-2</v>
      </c>
    </row>
    <row r="21" spans="1:13" x14ac:dyDescent="0.45">
      <c r="A21">
        <v>10</v>
      </c>
      <c r="B21" s="56" t="n">
        <v>2309.1097610874594</v>
      </c>
      <c r="C21" s="56" t="n">
        <v>0.0</v>
      </c>
      <c r="D21" s="56" t="n">
        <v>0.0</v>
      </c>
      <c r="E21" s="56">
        <f si="0" t="shared"/>
        <v>2309.1097610874594</v>
      </c>
      <c r="F21" s="19">
        <f si="1" t="shared"/>
        <v>1.9087238514499758E-2</v>
      </c>
      <c r="H21" s="20">
        <v>10</v>
      </c>
      <c r="I21" s="58" t="n">
        <v>1271.0</v>
      </c>
      <c r="J21" s="58" t="n">
        <v>72.0</v>
      </c>
      <c r="K21" s="58" t="n">
        <v>12.0</v>
      </c>
      <c r="L21" s="56">
        <f si="2" t="shared"/>
        <v>1430</v>
      </c>
      <c r="M21" s="19">
        <f si="3" t="shared"/>
        <v>1.3639441832072718E-2</v>
      </c>
    </row>
    <row r="22" spans="1:13" x14ac:dyDescent="0.45">
      <c r="A22">
        <v>11</v>
      </c>
      <c r="B22" s="56" t="n">
        <v>972.4986495678727</v>
      </c>
      <c r="C22" s="56" t="n">
        <v>161.382184355899</v>
      </c>
      <c r="D22" s="56" t="n">
        <v>0.0</v>
      </c>
      <c r="E22" s="56">
        <f si="0" t="shared"/>
        <v>1133.8808339237717</v>
      </c>
      <c r="F22" s="19">
        <f si="1" t="shared"/>
        <v>9.3727263592400471E-3</v>
      </c>
      <c r="H22" s="20">
        <v>11</v>
      </c>
      <c r="I22" s="58" t="n">
        <v>1144.0</v>
      </c>
      <c r="J22" s="58" t="n">
        <v>60.0</v>
      </c>
      <c r="K22" s="58" t="n">
        <v>11.0</v>
      </c>
      <c r="L22" s="56">
        <f si="2" t="shared"/>
        <v>1281</v>
      </c>
      <c r="M22" s="19">
        <f si="3" t="shared"/>
        <v>1.2218269221598008E-2</v>
      </c>
    </row>
    <row r="23" spans="1:13" x14ac:dyDescent="0.45">
      <c r="A23">
        <v>12</v>
      </c>
      <c r="B23" s="56" t="n">
        <v>239.6670097529352</v>
      </c>
      <c r="C23" s="56" t="n">
        <v>448.214879450001</v>
      </c>
      <c r="D23" s="56" t="n">
        <v>0.0</v>
      </c>
      <c r="E23" s="56">
        <f si="0" t="shared"/>
        <v>687.88188920293624</v>
      </c>
      <c r="F23" s="19">
        <f si="1" t="shared"/>
        <v>5.6860725766616511E-3</v>
      </c>
      <c r="H23" s="20">
        <v>12</v>
      </c>
      <c r="I23" s="58" t="n">
        <v>911.0</v>
      </c>
      <c r="J23" s="58" t="n">
        <v>52.0</v>
      </c>
      <c r="K23" s="58" t="n">
        <v>13.0</v>
      </c>
      <c r="L23" s="56">
        <f si="2" t="shared"/>
        <v>979</v>
      </c>
      <c r="M23" s="19">
        <f si="3" t="shared"/>
        <v>9.3377717158036298E-3</v>
      </c>
    </row>
    <row r="24" spans="1:13" x14ac:dyDescent="0.45">
      <c r="A24">
        <v>13</v>
      </c>
      <c r="B24" s="56" t="n">
        <v>1003.6002707056768</v>
      </c>
      <c r="C24" s="56" t="n">
        <v>0.0</v>
      </c>
      <c r="D24" s="56" t="n">
        <v>0.0</v>
      </c>
      <c r="E24" s="56">
        <f si="0" t="shared"/>
        <v>1003.6002707056768</v>
      </c>
      <c r="F24" s="19">
        <f si="1" t="shared"/>
        <v>8.2958194811642086E-3</v>
      </c>
      <c r="H24" s="20">
        <v>13</v>
      </c>
      <c r="I24" s="58" t="n">
        <v>850.0</v>
      </c>
      <c r="J24" s="58" t="n">
        <v>58.0</v>
      </c>
      <c r="K24" s="58" t="n">
        <v>6.0</v>
      </c>
      <c r="L24" s="56">
        <f si="2" t="shared"/>
        <v>866</v>
      </c>
      <c r="M24" s="19">
        <f si="3" t="shared"/>
        <v>8.2599696689335481E-3</v>
      </c>
    </row>
    <row r="25" spans="1:13" x14ac:dyDescent="0.45">
      <c r="A25">
        <v>14</v>
      </c>
      <c r="B25" s="56" t="n">
        <v>1149.696669451954</v>
      </c>
      <c r="C25" s="56" t="n">
        <v>49.273892885144</v>
      </c>
      <c r="D25" s="56" t="n">
        <v>0.0</v>
      </c>
      <c r="E25" s="56">
        <f si="0" t="shared"/>
        <v>1198.970562337098</v>
      </c>
      <c r="F25" s="19">
        <f si="1" t="shared"/>
        <v>9.9107619225577825E-3</v>
      </c>
      <c r="H25" s="20">
        <v>14</v>
      </c>
      <c r="I25" s="58" t="n">
        <v>662.0</v>
      </c>
      <c r="J25" s="58" t="n">
        <v>37.0</v>
      </c>
      <c r="K25" s="58" t="n">
        <v>6.0</v>
      </c>
      <c r="L25" s="56">
        <f si="2" t="shared"/>
        <v>759</v>
      </c>
      <c r="M25" s="19">
        <f si="3" t="shared"/>
        <v>7.2393960493309043E-3</v>
      </c>
    </row>
    <row r="26" spans="1:13" x14ac:dyDescent="0.45">
      <c r="A26">
        <v>15</v>
      </c>
      <c r="B26" s="56" t="n">
        <v>101.9854330529306</v>
      </c>
      <c r="C26" s="56" t="n">
        <v>0.0</v>
      </c>
      <c r="D26" s="56" t="n">
        <v>0.0</v>
      </c>
      <c r="E26" s="56">
        <f si="0" t="shared"/>
        <v>101.9854330529306</v>
      </c>
      <c r="F26" s="19">
        <f si="1" t="shared"/>
        <v>8.4301765056377662E-4</v>
      </c>
      <c r="H26" s="20">
        <v>15</v>
      </c>
      <c r="I26" s="58" t="n">
        <v>678.0</v>
      </c>
      <c r="J26" s="58" t="n">
        <v>36.0</v>
      </c>
      <c r="K26" s="58" t="n">
        <v>12.0</v>
      </c>
      <c r="L26" s="56">
        <f si="2" t="shared"/>
        <v>746</v>
      </c>
      <c r="M26" s="19">
        <f si="3" t="shared"/>
        <v>7.1154011235847886E-3</v>
      </c>
    </row>
    <row r="27" spans="1:13" x14ac:dyDescent="0.45">
      <c r="A27">
        <v>16</v>
      </c>
      <c r="B27" s="56" t="n">
        <v>467.28990071266196</v>
      </c>
      <c r="C27" s="56" t="n">
        <v>0.0</v>
      </c>
      <c r="D27" s="56" t="n">
        <v>0.0</v>
      </c>
      <c r="E27" s="56">
        <f si="0" t="shared"/>
        <v>467.28990071266196</v>
      </c>
      <c r="F27" s="19">
        <f si="1" t="shared"/>
        <v>3.8626460901187384E-3</v>
      </c>
      <c r="H27" s="20">
        <v>16</v>
      </c>
      <c r="I27" s="58" t="n">
        <v>594.0</v>
      </c>
      <c r="J27" s="58" t="n">
        <v>32.0</v>
      </c>
      <c r="K27" s="58" t="n">
        <v>5.0</v>
      </c>
      <c r="L27" s="56">
        <f si="2" t="shared"/>
        <v>627</v>
      </c>
      <c r="M27" s="19">
        <f si="3" t="shared"/>
        <v>5.980370649447269E-3</v>
      </c>
    </row>
    <row r="28" spans="1:13" x14ac:dyDescent="0.45">
      <c r="A28">
        <v>17</v>
      </c>
      <c r="B28" s="56" t="n">
        <v>265.0912021603133</v>
      </c>
      <c r="C28" s="56" t="n">
        <v>0.0</v>
      </c>
      <c r="D28" s="56" t="n">
        <v>0.0</v>
      </c>
      <c r="E28" s="56">
        <f si="0" t="shared"/>
        <v>265.09120216031329</v>
      </c>
      <c r="F28" s="19">
        <f si="1" t="shared"/>
        <v>2.1912596313076373E-3</v>
      </c>
      <c r="H28" s="20">
        <v>17</v>
      </c>
      <c r="I28" s="58" t="n">
        <v>598.0</v>
      </c>
      <c r="J28" s="58" t="n">
        <v>38.0</v>
      </c>
      <c r="K28" s="58" t="n">
        <v>14.0</v>
      </c>
      <c r="L28" s="56">
        <f si="2" t="shared"/>
        <v>677</v>
      </c>
      <c r="M28" s="19">
        <f si="3" t="shared"/>
        <v>6.457274210009252E-3</v>
      </c>
    </row>
    <row r="29" spans="1:13" x14ac:dyDescent="0.45">
      <c r="A29">
        <v>18</v>
      </c>
      <c r="B29" s="56" t="n">
        <v>71.6261231655712</v>
      </c>
      <c r="C29" s="56" t="n">
        <v>0.0</v>
      </c>
      <c r="D29" s="56" t="n">
        <v>0.0</v>
      </c>
      <c r="E29" s="56">
        <f si="0" t="shared"/>
        <v>71.626123165571201</v>
      </c>
      <c r="F29" s="19">
        <f si="1" t="shared"/>
        <v>5.920657907947808E-4</v>
      </c>
      <c r="H29" s="20">
        <v>18</v>
      </c>
      <c r="I29" s="58" t="n">
        <v>495.0</v>
      </c>
      <c r="J29" s="58" t="n">
        <v>19.0</v>
      </c>
      <c r="K29" s="58" t="n">
        <v>7.0</v>
      </c>
      <c r="L29" s="56">
        <f si="2" t="shared"/>
        <v>490</v>
      </c>
      <c r="M29" s="19">
        <f si="3" t="shared"/>
        <v>4.6736548935074349E-3</v>
      </c>
    </row>
    <row r="30" spans="1:13" x14ac:dyDescent="0.45">
      <c r="A30">
        <v>19</v>
      </c>
      <c r="B30" s="56" t="n">
        <v>0.0</v>
      </c>
      <c r="C30" s="56" t="n">
        <v>0.0</v>
      </c>
      <c r="D30" s="56" t="n">
        <v>0.0</v>
      </c>
      <c r="E30" s="56">
        <f si="0" t="shared"/>
        <v>0</v>
      </c>
      <c r="F30" s="19">
        <f si="1" t="shared"/>
        <v>0</v>
      </c>
      <c r="H30" s="20">
        <v>19</v>
      </c>
      <c r="I30" s="58" t="n">
        <v>352.0</v>
      </c>
      <c r="J30" s="58" t="n">
        <v>27.0</v>
      </c>
      <c r="K30" s="58" t="n">
        <v>4.0</v>
      </c>
      <c r="L30" s="56">
        <f si="2" t="shared"/>
        <v>377</v>
      </c>
      <c r="M30" s="19">
        <f si="3" t="shared"/>
        <v>3.5958528466373532E-3</v>
      </c>
    </row>
    <row r="31" spans="1:13" x14ac:dyDescent="0.45">
      <c r="A31">
        <v>20</v>
      </c>
      <c r="B31" s="56" t="n">
        <v>0.0</v>
      </c>
      <c r="C31" s="56" t="n">
        <v>0.0</v>
      </c>
      <c r="D31" s="56" t="n">
        <v>0.0</v>
      </c>
      <c r="E31" s="56">
        <f si="0" t="shared"/>
        <v>0</v>
      </c>
      <c r="F31" s="19">
        <f si="1" t="shared"/>
        <v>0</v>
      </c>
      <c r="H31" s="20">
        <v>20</v>
      </c>
      <c r="I31" s="58" t="n">
        <v>433.0</v>
      </c>
      <c r="J31" s="58" t="n">
        <v>32.0</v>
      </c>
      <c r="K31" s="58" t="n">
        <v>7.0</v>
      </c>
      <c r="L31" s="56">
        <f si="2" t="shared"/>
        <v>448</v>
      </c>
      <c r="M31" s="19">
        <f si="3" t="shared"/>
        <v>4.2730559026353688E-3</v>
      </c>
    </row>
    <row r="32" spans="1:13" x14ac:dyDescent="0.45">
      <c r="A32">
        <v>21</v>
      </c>
      <c r="B32" s="56" t="n">
        <v>461.7043954095669</v>
      </c>
      <c r="C32" s="56" t="n">
        <v>0.0</v>
      </c>
      <c r="D32" s="56" t="n">
        <v>0.0</v>
      </c>
      <c r="E32" s="56">
        <f si="0" t="shared"/>
        <v>461.70439540956693</v>
      </c>
      <c r="F32" s="19">
        <f si="1" t="shared"/>
        <v>3.8164759713392956E-3</v>
      </c>
      <c r="H32" s="20">
        <v>21</v>
      </c>
      <c r="I32" s="58" t="n">
        <v>354.0</v>
      </c>
      <c r="J32" s="58" t="n">
        <v>34.0</v>
      </c>
      <c r="K32" s="58" t="n">
        <v>3.0</v>
      </c>
      <c r="L32" s="56">
        <f si="2" t="shared"/>
        <v>414</v>
      </c>
      <c r="M32" s="19">
        <f si="3" t="shared"/>
        <v>3.9487614814532205E-3</v>
      </c>
    </row>
    <row r="33" spans="1:13" x14ac:dyDescent="0.45">
      <c r="A33">
        <v>22</v>
      </c>
      <c r="B33" s="56" t="n">
        <v>0.0</v>
      </c>
      <c r="C33" s="56" t="n">
        <v>43.3928124944899</v>
      </c>
      <c r="D33" s="56" t="n">
        <v>0.0</v>
      </c>
      <c r="E33" s="56">
        <f si="0" t="shared"/>
        <v>43.392812494489903</v>
      </c>
      <c r="F33" s="19">
        <f si="1" t="shared"/>
        <v>3.5868756689471347E-4</v>
      </c>
      <c r="H33" s="20">
        <v>22</v>
      </c>
      <c r="I33" s="58" t="n">
        <v>303.0</v>
      </c>
      <c r="J33" s="58" t="n">
        <v>18.0</v>
      </c>
      <c r="K33" s="58" t="n">
        <v>5.0</v>
      </c>
      <c r="L33" s="56">
        <f si="2" t="shared"/>
        <v>325</v>
      </c>
      <c r="M33" s="19">
        <f si="3" t="shared"/>
        <v>3.0998731436528903E-3</v>
      </c>
    </row>
    <row r="34" spans="1:13" x14ac:dyDescent="0.45">
      <c r="A34">
        <v>23</v>
      </c>
      <c r="B34" s="56" t="n">
        <v>0.0</v>
      </c>
      <c r="C34" s="56" t="n">
        <v>0.0</v>
      </c>
      <c r="D34" s="56" t="n">
        <v>0.0</v>
      </c>
      <c r="E34" s="56">
        <f si="0" t="shared"/>
        <v>0</v>
      </c>
      <c r="F34" s="19">
        <f si="1" t="shared"/>
        <v>0</v>
      </c>
      <c r="H34" s="20">
        <v>23</v>
      </c>
      <c r="I34" s="58" t="n">
        <v>368.0</v>
      </c>
      <c r="J34" s="58" t="n">
        <v>25.0</v>
      </c>
      <c r="K34" s="58" t="n">
        <v>22.0</v>
      </c>
      <c r="L34" s="56">
        <f si="2" t="shared"/>
        <v>390</v>
      </c>
      <c r="M34" s="19">
        <f si="3" t="shared"/>
        <v>3.7198477723834685E-3</v>
      </c>
    </row>
    <row r="35" spans="1:13" x14ac:dyDescent="0.45">
      <c r="A35">
        <v>24</v>
      </c>
      <c r="B35" s="56" t="n">
        <v>0.0</v>
      </c>
      <c r="C35" s="56" t="n">
        <v>0.0</v>
      </c>
      <c r="D35" s="56" t="n">
        <v>0.0</v>
      </c>
      <c r="E35" s="56">
        <f si="0" t="shared"/>
        <v>0</v>
      </c>
      <c r="F35" s="19">
        <f si="1" t="shared"/>
        <v>0</v>
      </c>
      <c r="H35" s="20">
        <v>24</v>
      </c>
      <c r="I35" s="58" t="n">
        <v>247.0</v>
      </c>
      <c r="J35" s="58" t="n">
        <v>19.0</v>
      </c>
      <c r="K35" s="58" t="n">
        <v>1.0</v>
      </c>
      <c r="L35" s="56">
        <f si="2" t="shared"/>
        <v>273</v>
      </c>
      <c r="M35" s="19">
        <f si="3" t="shared"/>
        <v>2.6038934406684279E-3</v>
      </c>
    </row>
    <row r="36" spans="1:13" x14ac:dyDescent="0.45">
      <c r="A36">
        <v>25</v>
      </c>
      <c r="B36" s="56" t="n">
        <v>469.27788471396696</v>
      </c>
      <c r="C36" s="56" t="n">
        <v>0.0</v>
      </c>
      <c r="D36" s="56" t="n">
        <v>0.0</v>
      </c>
      <c r="E36" s="56">
        <f si="0" t="shared"/>
        <v>469.27788471396696</v>
      </c>
      <c r="F36" s="19">
        <f si="1" t="shared"/>
        <v>3.8790788840185175E-3</v>
      </c>
      <c r="H36" s="20">
        <v>25</v>
      </c>
      <c r="I36" s="58" t="n">
        <v>303.0</v>
      </c>
      <c r="J36" s="58" t="n">
        <v>21.0</v>
      </c>
      <c r="K36" s="58" t="n">
        <v>3.0</v>
      </c>
      <c r="L36" s="56">
        <f si="2" t="shared"/>
        <v>289</v>
      </c>
      <c r="M36" s="19">
        <f si="3" t="shared"/>
        <v>2.7565025800482625E-3</v>
      </c>
    </row>
    <row r="37" spans="1:13" x14ac:dyDescent="0.45">
      <c r="A37">
        <v>26</v>
      </c>
      <c r="B37" s="56" t="n">
        <v>0.0</v>
      </c>
      <c r="C37" s="56" t="n">
        <v>0.0</v>
      </c>
      <c r="D37" s="56" t="n">
        <v>0.0</v>
      </c>
      <c r="E37" s="56">
        <f si="0" t="shared"/>
        <v>0</v>
      </c>
      <c r="F37" s="19">
        <f si="1" t="shared"/>
        <v>0</v>
      </c>
      <c r="H37" s="20">
        <v>26</v>
      </c>
      <c r="I37" s="58" t="n">
        <v>196.0</v>
      </c>
      <c r="J37" s="58" t="n">
        <v>7.0</v>
      </c>
      <c r="K37" s="58" t="n">
        <v>7.0</v>
      </c>
      <c r="L37" s="56">
        <f si="2" t="shared"/>
        <v>224</v>
      </c>
      <c r="M37" s="19">
        <f si="3" t="shared"/>
        <v>2.1365279513176844E-3</v>
      </c>
    </row>
    <row r="38" spans="1:13" x14ac:dyDescent="0.45">
      <c r="A38">
        <v>27</v>
      </c>
      <c r="B38" s="56" t="n">
        <v>69.0298907107638</v>
      </c>
      <c r="C38" s="56" t="n">
        <v>0.0</v>
      </c>
      <c r="D38" s="56" t="n">
        <v>0.0</v>
      </c>
      <c r="E38" s="56">
        <f si="0" t="shared"/>
        <v>69.029890710763794</v>
      </c>
      <c r="F38" s="19">
        <f si="1" t="shared"/>
        <v>5.7060517903041979E-4</v>
      </c>
      <c r="H38" s="20">
        <v>27</v>
      </c>
      <c r="I38" s="58" t="n">
        <v>200.0</v>
      </c>
      <c r="J38" s="58" t="n">
        <v>17.0</v>
      </c>
      <c r="K38" s="58" t="n">
        <v>8.0</v>
      </c>
      <c r="L38" s="56">
        <f si="2" t="shared"/>
        <v>197</v>
      </c>
      <c r="M38" s="19">
        <f si="3" t="shared"/>
        <v>1.8790000286142137E-3</v>
      </c>
    </row>
    <row r="39" spans="1:13" x14ac:dyDescent="0.45">
      <c r="A39">
        <v>28</v>
      </c>
      <c r="B39" s="56" t="n">
        <v>964.924417859037</v>
      </c>
      <c r="C39" s="56" t="n">
        <v>0.0</v>
      </c>
      <c r="D39" s="56" t="n">
        <v>0.0</v>
      </c>
      <c r="E39" s="56">
        <f si="0" t="shared"/>
        <v>964.92441785903702</v>
      </c>
      <c r="F39" s="19">
        <f si="1" t="shared"/>
        <v>7.9761225830454075E-3</v>
      </c>
      <c r="H39" s="20">
        <v>28</v>
      </c>
      <c r="I39" s="58" t="n">
        <v>280.0</v>
      </c>
      <c r="J39" s="58" t="n">
        <v>28.0</v>
      </c>
      <c r="K39" s="58" t="n">
        <v>9.0</v>
      </c>
      <c r="L39" s="56">
        <f si="2" t="shared"/>
        <v>374</v>
      </c>
      <c r="M39" s="19">
        <f si="3" t="shared"/>
        <v>3.5672386330036338E-3</v>
      </c>
    </row>
    <row r="40" spans="1:13" x14ac:dyDescent="0.45">
      <c r="A40">
        <v>29</v>
      </c>
      <c r="B40" s="56" t="n">
        <v>0.0</v>
      </c>
      <c r="C40" s="56" t="n">
        <v>0.0</v>
      </c>
      <c r="D40" s="56" t="n">
        <v>0.0</v>
      </c>
      <c r="E40" s="56">
        <f si="0" t="shared"/>
        <v>0</v>
      </c>
      <c r="F40" s="19">
        <f si="1" t="shared"/>
        <v>0</v>
      </c>
      <c r="H40" s="20">
        <v>29</v>
      </c>
      <c r="I40" s="58" t="n">
        <v>234.0</v>
      </c>
      <c r="J40" s="58" t="n">
        <v>12.0</v>
      </c>
      <c r="K40" s="58" t="n">
        <v>0.0</v>
      </c>
      <c r="L40" s="56">
        <f si="2" t="shared"/>
        <v>296</v>
      </c>
      <c r="M40" s="19">
        <f si="3" t="shared"/>
        <v>2.8232690785269404E-3</v>
      </c>
    </row>
    <row r="41" spans="1:13" x14ac:dyDescent="0.45">
      <c r="A41">
        <v>30</v>
      </c>
      <c r="B41" s="56" t="n">
        <v>0.0</v>
      </c>
      <c r="C41" s="56" t="n">
        <v>0.0</v>
      </c>
      <c r="D41" s="56" t="n">
        <v>0.0</v>
      </c>
      <c r="E41" s="56">
        <f si="0" t="shared"/>
        <v>0</v>
      </c>
      <c r="F41" s="19">
        <f si="1" t="shared"/>
        <v>0</v>
      </c>
      <c r="H41" s="20">
        <v>30</v>
      </c>
      <c r="I41" s="58" t="n">
        <v>276.0</v>
      </c>
      <c r="J41" s="58" t="n">
        <v>19.0</v>
      </c>
      <c r="K41" s="58" t="n">
        <v>2.0</v>
      </c>
      <c r="L41" s="56">
        <f si="2" t="shared"/>
        <v>335</v>
      </c>
      <c r="M41" s="19">
        <f si="3" t="shared"/>
        <v>3.1952538557652871E-3</v>
      </c>
    </row>
    <row r="42" spans="1:13" x14ac:dyDescent="0.45">
      <c r="A42">
        <v>31</v>
      </c>
      <c r="B42" s="56" t="n">
        <v>0.0</v>
      </c>
      <c r="C42" s="56" t="n">
        <v>0.0</v>
      </c>
      <c r="D42" s="56" t="n">
        <v>0.0</v>
      </c>
      <c r="E42" s="56">
        <f si="0" t="shared"/>
        <v>0</v>
      </c>
      <c r="F42" s="19">
        <f si="1" t="shared"/>
        <v>0</v>
      </c>
      <c r="H42" s="20">
        <v>31</v>
      </c>
      <c r="I42" s="58" t="n">
        <v>185.0</v>
      </c>
      <c r="J42" s="58" t="n">
        <v>13.0</v>
      </c>
      <c r="K42" s="58" t="n">
        <v>0.0</v>
      </c>
      <c r="L42" s="56">
        <f si="2" t="shared"/>
        <v>204</v>
      </c>
      <c r="M42" s="19">
        <f si="3" t="shared"/>
        <v>1.9457665270928913E-3</v>
      </c>
    </row>
    <row r="43" spans="1:13" x14ac:dyDescent="0.45">
      <c r="A43">
        <v>32</v>
      </c>
      <c r="B43" s="56" t="n">
        <v>0.0</v>
      </c>
      <c r="C43" s="56" t="n">
        <v>0.0</v>
      </c>
      <c r="D43" s="56" t="n">
        <v>0.0</v>
      </c>
      <c r="E43" s="56">
        <f si="0" t="shared"/>
        <v>0</v>
      </c>
      <c r="F43" s="19">
        <f si="1" t="shared"/>
        <v>0</v>
      </c>
      <c r="H43" s="20">
        <v>32</v>
      </c>
      <c r="I43" s="58" t="n">
        <v>418.0</v>
      </c>
      <c r="J43" s="58" t="n">
        <v>32.0</v>
      </c>
      <c r="K43" s="58" t="n">
        <v>10.0</v>
      </c>
      <c r="L43" s="56">
        <f si="2" t="shared"/>
        <v>450</v>
      </c>
      <c r="M43" s="19">
        <f si="3" t="shared"/>
        <v>4.2921320450578487E-3</v>
      </c>
    </row>
    <row r="44" spans="1:13" x14ac:dyDescent="0.45">
      <c r="A44">
        <v>33</v>
      </c>
      <c r="B44" s="56" t="n">
        <v>71.455058073599</v>
      </c>
      <c r="C44" s="56" t="n">
        <v>0.0</v>
      </c>
      <c r="D44" s="56" t="n">
        <v>0.0</v>
      </c>
      <c r="E44" s="56">
        <f si="0" t="shared"/>
        <v>71.455058073599005</v>
      </c>
      <c r="F44" s="19">
        <f si="1" t="shared"/>
        <v>5.9065175657821737E-4</v>
      </c>
      <c r="H44" s="20">
        <v>33</v>
      </c>
      <c r="I44" s="58" t="n">
        <v>272.0</v>
      </c>
      <c r="J44" s="58" t="n">
        <v>20.0</v>
      </c>
      <c r="K44" s="58" t="n">
        <v>4.0</v>
      </c>
      <c r="L44" s="56">
        <f si="2" t="shared"/>
        <v>297</v>
      </c>
      <c r="M44" s="19">
        <f si="3" t="shared"/>
        <v>2.8328071497381799E-3</v>
      </c>
    </row>
    <row r="45" spans="1:13" x14ac:dyDescent="0.45">
      <c r="A45">
        <v>34</v>
      </c>
      <c r="B45" s="56" t="n">
        <v>0.0</v>
      </c>
      <c r="C45" s="56" t="n">
        <v>0.0</v>
      </c>
      <c r="D45" s="56" t="n">
        <v>0.0</v>
      </c>
      <c r="E45" s="56">
        <f si="0" t="shared"/>
        <v>0</v>
      </c>
      <c r="F45" s="19">
        <f si="1" t="shared"/>
        <v>0</v>
      </c>
      <c r="H45" s="20">
        <v>34</v>
      </c>
      <c r="I45" s="58" t="n">
        <v>133.0</v>
      </c>
      <c r="J45" s="58" t="n">
        <v>11.0</v>
      </c>
      <c r="K45" s="58" t="n">
        <v>3.0</v>
      </c>
      <c r="L45" s="56">
        <f si="2" t="shared"/>
        <v>130</v>
      </c>
      <c r="M45" s="19">
        <f si="3" t="shared"/>
        <v>1.2399492574611563E-3</v>
      </c>
    </row>
    <row r="46" spans="1:13" x14ac:dyDescent="0.45">
      <c r="A46">
        <v>35</v>
      </c>
      <c r="B46" s="56" t="n">
        <v>112.272844985948</v>
      </c>
      <c r="C46" s="56" t="n">
        <v>0.0</v>
      </c>
      <c r="D46" s="56" t="n">
        <v>0.0</v>
      </c>
      <c r="E46" s="56">
        <f si="0" t="shared"/>
        <v>112.272844985948</v>
      </c>
      <c r="F46" s="19">
        <f si="1" t="shared"/>
        <v>9.2805400897834605E-4</v>
      </c>
      <c r="H46" s="20">
        <v>35</v>
      </c>
      <c r="I46" s="58" t="n">
        <v>89.0</v>
      </c>
      <c r="J46" s="58" t="n">
        <v>6.0</v>
      </c>
      <c r="K46" s="58" t="n">
        <v>4.0</v>
      </c>
      <c r="L46" s="56">
        <f si="2" t="shared"/>
        <v>96</v>
      </c>
      <c r="M46" s="19">
        <f si="3" t="shared"/>
        <v>9.1565483627900764E-4</v>
      </c>
    </row>
    <row r="47" spans="1:13" x14ac:dyDescent="0.45">
      <c r="A47">
        <v>36</v>
      </c>
      <c r="B47" s="56" t="n">
        <v>0.0</v>
      </c>
      <c r="C47" s="56" t="n">
        <v>0.0</v>
      </c>
      <c r="D47" s="56" t="n">
        <v>0.0</v>
      </c>
      <c r="E47" s="56">
        <f si="0" t="shared"/>
        <v>0</v>
      </c>
      <c r="F47" s="19">
        <f si="1" t="shared"/>
        <v>0</v>
      </c>
      <c r="H47" s="20">
        <v>36</v>
      </c>
      <c r="I47" s="58" t="n">
        <v>324.0</v>
      </c>
      <c r="J47" s="58" t="n">
        <v>31.0</v>
      </c>
      <c r="K47" s="58" t="n">
        <v>11.0</v>
      </c>
      <c r="L47" s="56">
        <f si="2" t="shared"/>
        <v>344</v>
      </c>
      <c r="M47" s="19">
        <f si="3" t="shared"/>
        <v>3.2810964966664439E-3</v>
      </c>
    </row>
    <row r="48" spans="1:13" x14ac:dyDescent="0.45">
      <c r="A48">
        <v>37</v>
      </c>
      <c r="B48" s="56" t="n">
        <v>47.0780174975748</v>
      </c>
      <c r="C48" s="56" t="n">
        <v>0.0</v>
      </c>
      <c r="D48" s="56" t="n">
        <v>0.0</v>
      </c>
      <c r="E48" s="56">
        <f si="0" t="shared"/>
        <v>47.078017497574798</v>
      </c>
      <c r="F48" s="19">
        <f si="1" t="shared"/>
        <v>3.8914969046028312E-4</v>
      </c>
      <c r="H48" s="20">
        <v>37</v>
      </c>
      <c r="I48" s="58" t="n">
        <v>60.0</v>
      </c>
      <c r="J48" s="58" t="n">
        <v>4.0</v>
      </c>
      <c r="K48" s="58" t="n">
        <v>1.0</v>
      </c>
      <c r="L48" s="56">
        <f si="2" t="shared"/>
        <v>58</v>
      </c>
      <c r="M48" s="19">
        <f si="3" t="shared"/>
        <v>5.5320813025190043E-4</v>
      </c>
    </row>
    <row r="49" spans="1:13" x14ac:dyDescent="0.45">
      <c r="A49">
        <v>38</v>
      </c>
      <c r="B49" s="56" t="n">
        <v>0.0</v>
      </c>
      <c r="C49" s="56" t="n">
        <v>0.0</v>
      </c>
      <c r="D49" s="56" t="n">
        <v>0.0</v>
      </c>
      <c r="E49" s="56">
        <f si="0" t="shared"/>
        <v>0</v>
      </c>
      <c r="F49" s="19">
        <f si="1" t="shared"/>
        <v>0</v>
      </c>
      <c r="H49" s="20">
        <v>38</v>
      </c>
      <c r="I49" s="58" t="n">
        <v>38.0</v>
      </c>
      <c r="J49" s="58" t="n">
        <v>1.0</v>
      </c>
      <c r="K49" s="58" t="n">
        <v>0.0</v>
      </c>
      <c r="L49" s="56">
        <f si="2" t="shared"/>
        <v>45</v>
      </c>
      <c r="M49" s="19">
        <f si="3" t="shared"/>
        <v>4.2921320450578482E-4</v>
      </c>
    </row>
    <row r="50" spans="1:13" x14ac:dyDescent="0.45">
      <c r="A50">
        <v>39</v>
      </c>
      <c r="B50" s="56" t="n">
        <v>118.679560525417</v>
      </c>
      <c r="C50" s="56" t="n">
        <v>0.0</v>
      </c>
      <c r="D50" s="56" t="n">
        <v>0.0</v>
      </c>
      <c r="E50" s="56">
        <f si="0" t="shared"/>
        <v>118.679560525417</v>
      </c>
      <c r="F50" s="19">
        <f si="1" t="shared"/>
        <v>9.8101230037580959E-4</v>
      </c>
      <c r="H50" s="20">
        <v>39</v>
      </c>
      <c r="I50" s="58" t="n">
        <v>134.0</v>
      </c>
      <c r="J50" s="58" t="n">
        <v>3.0</v>
      </c>
      <c r="K50" s="58" t="n">
        <v>4.0</v>
      </c>
      <c r="L50" s="56">
        <f si="2" t="shared"/>
        <v>139</v>
      </c>
      <c r="M50" s="19">
        <f si="3" t="shared"/>
        <v>1.3257918983623131E-3</v>
      </c>
    </row>
    <row r="51" spans="1:13" x14ac:dyDescent="0.45">
      <c r="A51">
        <v>40</v>
      </c>
      <c r="B51" s="56" t="n">
        <v>0.0</v>
      </c>
      <c r="C51" s="56" t="n">
        <v>0.0</v>
      </c>
      <c r="D51" s="56" t="n">
        <v>0.0</v>
      </c>
      <c r="E51" s="56">
        <f si="0" t="shared"/>
        <v>0</v>
      </c>
      <c r="F51" s="19">
        <f si="1" t="shared"/>
        <v>0</v>
      </c>
      <c r="H51" s="20">
        <v>40</v>
      </c>
      <c r="I51" s="58" t="n">
        <v>30.0</v>
      </c>
      <c r="J51" s="58" t="n">
        <v>2.0</v>
      </c>
      <c r="K51" s="58" t="n">
        <v>0.0</v>
      </c>
      <c r="L51" s="56">
        <f si="2" t="shared"/>
        <v>27</v>
      </c>
      <c r="M51" s="19">
        <f si="3" t="shared"/>
        <v>2.5752792270347088E-4</v>
      </c>
    </row>
    <row r="52" spans="1:13" x14ac:dyDescent="0.45">
      <c r="A52">
        <v>41</v>
      </c>
      <c r="B52" s="56" t="n">
        <v>0.0</v>
      </c>
      <c r="C52" s="56" t="n">
        <v>0.0</v>
      </c>
      <c r="D52" s="56" t="n">
        <v>0.0</v>
      </c>
      <c r="E52" s="56">
        <f si="0" t="shared"/>
        <v>0</v>
      </c>
      <c r="F52" s="19">
        <f si="1" t="shared"/>
        <v>0</v>
      </c>
      <c r="H52" s="20">
        <v>41</v>
      </c>
      <c r="I52" s="58" t="n">
        <v>100.0</v>
      </c>
      <c r="J52" s="58" t="n">
        <v>5.0</v>
      </c>
      <c r="K52" s="58" t="n">
        <v>5.0</v>
      </c>
      <c r="L52" s="56">
        <f si="2" t="shared"/>
        <v>107</v>
      </c>
      <c r="M52" s="19">
        <f si="3" t="shared"/>
        <v>1.020573619602644E-3</v>
      </c>
    </row>
    <row r="53" spans="1:13" x14ac:dyDescent="0.45">
      <c r="A53">
        <v>42</v>
      </c>
      <c r="B53" s="56" t="n">
        <v>0.0</v>
      </c>
      <c r="C53" s="56" t="n">
        <v>0.0</v>
      </c>
      <c r="D53" s="56" t="n">
        <v>0.0</v>
      </c>
      <c r="E53" s="56">
        <f si="0" t="shared"/>
        <v>0</v>
      </c>
      <c r="F53" s="19">
        <f si="1" t="shared"/>
        <v>0</v>
      </c>
      <c r="H53" s="20">
        <v>42</v>
      </c>
      <c r="I53" s="58" t="n">
        <v>29.0</v>
      </c>
      <c r="J53" s="58" t="n">
        <v>2.0</v>
      </c>
      <c r="K53" s="58" t="n">
        <v>2.0</v>
      </c>
      <c r="L53" s="56">
        <f si="2" t="shared"/>
        <v>41</v>
      </c>
      <c r="M53" s="19">
        <f si="3" t="shared"/>
        <v>3.9106091966082621E-4</v>
      </c>
    </row>
    <row r="54" spans="1:13" x14ac:dyDescent="0.45">
      <c r="A54">
        <v>43</v>
      </c>
      <c r="B54" s="56" t="n">
        <v>0.0</v>
      </c>
      <c r="C54" s="56" t="n">
        <v>0.0</v>
      </c>
      <c r="D54" s="56" t="n">
        <v>0.0</v>
      </c>
      <c r="E54" s="56">
        <f si="0" t="shared"/>
        <v>0</v>
      </c>
      <c r="F54" s="19">
        <f si="1" t="shared"/>
        <v>0</v>
      </c>
      <c r="H54" s="20">
        <v>43</v>
      </c>
      <c r="I54" s="58" t="n">
        <v>58.0</v>
      </c>
      <c r="J54" s="58" t="n">
        <v>4.0</v>
      </c>
      <c r="K54" s="58" t="n">
        <v>1.0</v>
      </c>
      <c r="L54" s="56">
        <f si="2" t="shared"/>
        <v>63</v>
      </c>
      <c r="M54" s="19">
        <f si="3" t="shared"/>
        <v>6.0089848630809882E-4</v>
      </c>
    </row>
    <row r="55" spans="1:13" x14ac:dyDescent="0.45">
      <c r="A55">
        <v>44</v>
      </c>
      <c r="B55" s="56" t="n">
        <v>0.0</v>
      </c>
      <c r="C55" s="56" t="n">
        <v>0.0</v>
      </c>
      <c r="D55" s="56" t="n">
        <v>0.0</v>
      </c>
      <c r="E55" s="56">
        <f si="0" t="shared"/>
        <v>0</v>
      </c>
      <c r="F55" s="19">
        <f si="1" t="shared"/>
        <v>0</v>
      </c>
      <c r="H55" s="20">
        <v>44</v>
      </c>
      <c r="I55" s="58" t="n">
        <v>41.0</v>
      </c>
      <c r="J55" s="58" t="n">
        <v>4.0</v>
      </c>
      <c r="K55" s="58" t="n">
        <v>1.0</v>
      </c>
      <c r="L55" s="56">
        <f si="2" t="shared"/>
        <v>54</v>
      </c>
      <c r="M55" s="19">
        <f si="3" t="shared"/>
        <v>5.1505584540694177E-4</v>
      </c>
    </row>
    <row r="56" spans="1:13" x14ac:dyDescent="0.45">
      <c r="A56">
        <v>45</v>
      </c>
      <c r="B56" s="56" t="n">
        <v>0.0</v>
      </c>
      <c r="C56" s="56" t="n">
        <v>0.0</v>
      </c>
      <c r="D56" s="56" t="n">
        <v>0.0</v>
      </c>
      <c r="E56" s="56">
        <f si="0" t="shared"/>
        <v>0</v>
      </c>
      <c r="F56" s="19">
        <f si="1" t="shared"/>
        <v>0</v>
      </c>
      <c r="H56" s="20">
        <v>45</v>
      </c>
      <c r="I56" s="58" t="n">
        <v>21.0</v>
      </c>
      <c r="J56" s="58" t="n">
        <v>1.0</v>
      </c>
      <c r="K56" s="58" t="n">
        <v>1.0</v>
      </c>
      <c r="L56" s="56">
        <f si="2" t="shared"/>
        <v>29</v>
      </c>
      <c r="M56" s="19">
        <f si="3" t="shared"/>
        <v>2.7660406512595022E-4</v>
      </c>
    </row>
    <row r="57" spans="1:13" x14ac:dyDescent="0.45">
      <c r="A57">
        <v>46</v>
      </c>
      <c r="B57" s="56" t="n">
        <v>0.0</v>
      </c>
      <c r="C57" s="56" t="n">
        <v>0.0</v>
      </c>
      <c r="D57" s="56" t="n">
        <v>0.0</v>
      </c>
      <c r="E57" s="56">
        <f si="0" t="shared"/>
        <v>0</v>
      </c>
      <c r="F57" s="19">
        <f si="1" t="shared"/>
        <v>0</v>
      </c>
      <c r="H57" s="20">
        <v>46</v>
      </c>
      <c r="I57" s="58" t="n">
        <v>37.0</v>
      </c>
      <c r="J57" s="58" t="n">
        <v>2.0</v>
      </c>
      <c r="K57" s="58" t="n">
        <v>0.0</v>
      </c>
      <c r="L57" s="56">
        <f si="2" t="shared"/>
        <v>67</v>
      </c>
      <c r="M57" s="19">
        <f si="3" t="shared"/>
        <v>6.3905077115305748E-4</v>
      </c>
    </row>
    <row r="58" spans="1:13" x14ac:dyDescent="0.45">
      <c r="A58">
        <v>47</v>
      </c>
      <c r="B58" s="56" t="n">
        <v>0.0</v>
      </c>
      <c r="C58" s="56" t="n">
        <v>0.0</v>
      </c>
      <c r="D58" s="56" t="n">
        <v>0.0</v>
      </c>
      <c r="E58" s="56">
        <f si="0" t="shared"/>
        <v>0</v>
      </c>
      <c r="F58" s="19">
        <f si="1" t="shared"/>
        <v>0</v>
      </c>
      <c r="H58" s="20">
        <v>47</v>
      </c>
      <c r="I58" s="58" t="n">
        <v>18.0</v>
      </c>
      <c r="J58" s="58" t="n">
        <v>1.0</v>
      </c>
      <c r="K58" s="58" t="n">
        <v>0.0</v>
      </c>
      <c r="L58" s="56">
        <f si="2" t="shared"/>
        <v>13</v>
      </c>
      <c r="M58" s="19">
        <f si="3" t="shared"/>
        <v>1.2399492574611561E-4</v>
      </c>
    </row>
    <row r="59" spans="1:13" x14ac:dyDescent="0.45">
      <c r="A59">
        <v>48</v>
      </c>
      <c r="B59" s="56" t="n">
        <v>0.0</v>
      </c>
      <c r="C59" s="56" t="n">
        <v>0.0</v>
      </c>
      <c r="D59" s="56" t="n">
        <v>0.0</v>
      </c>
      <c r="E59" s="56">
        <f si="0" t="shared"/>
        <v>0</v>
      </c>
      <c r="F59" s="19">
        <f si="1" t="shared"/>
        <v>0</v>
      </c>
      <c r="H59" s="20">
        <v>48</v>
      </c>
      <c r="I59" s="58" t="n">
        <v>317.0</v>
      </c>
      <c r="J59" s="58" t="n">
        <v>17.0</v>
      </c>
      <c r="K59" s="58" t="n">
        <v>14.0</v>
      </c>
      <c r="L59" s="56">
        <f si="2" t="shared"/>
        <v>321</v>
      </c>
      <c r="M59" s="19">
        <f si="3" t="shared"/>
        <v>3.0617208588079319E-3</v>
      </c>
    </row>
    <row r="60" spans="1:13" x14ac:dyDescent="0.45">
      <c r="A60">
        <v>49</v>
      </c>
      <c r="B60" s="56" t="n">
        <v>0.0</v>
      </c>
      <c r="C60" s="56" t="n">
        <v>0.0</v>
      </c>
      <c r="D60" s="56" t="n">
        <v>0.0</v>
      </c>
      <c r="E60" s="56">
        <f si="0" t="shared"/>
        <v>0</v>
      </c>
      <c r="F60" s="19">
        <f si="1" t="shared"/>
        <v>0</v>
      </c>
      <c r="H60" s="20">
        <v>49</v>
      </c>
      <c r="I60" s="58" t="n">
        <v>12.0</v>
      </c>
      <c r="J60" s="58" t="n">
        <v>1.0</v>
      </c>
      <c r="K60" s="58" t="n">
        <v>0.0</v>
      </c>
      <c r="L60" s="56">
        <f si="2" t="shared"/>
        <v>7</v>
      </c>
      <c r="M60" s="19">
        <f si="3" t="shared"/>
        <v>6.6766498478677637E-5</v>
      </c>
    </row>
    <row r="61" spans="1:13" x14ac:dyDescent="0.45">
      <c r="A61">
        <v>50</v>
      </c>
      <c r="B61" s="56" t="n">
        <v>0.0</v>
      </c>
      <c r="C61" s="56" t="n">
        <v>0.0</v>
      </c>
      <c r="D61" s="56" t="n">
        <v>0.0</v>
      </c>
      <c r="E61" s="56">
        <f si="0" t="shared"/>
        <v>0</v>
      </c>
      <c r="F61" s="19">
        <f si="1" t="shared"/>
        <v>0</v>
      </c>
      <c r="H61" s="20">
        <v>50</v>
      </c>
      <c r="I61" s="58" t="n">
        <v>8.0</v>
      </c>
      <c r="J61" s="58" t="n">
        <v>1.0</v>
      </c>
      <c r="K61" s="58" t="n">
        <v>0.0</v>
      </c>
      <c r="L61" s="56">
        <f si="2" t="shared"/>
        <v>10</v>
      </c>
      <c r="M61" s="19">
        <f si="3" t="shared"/>
        <v>9.5380712112396636E-5</v>
      </c>
    </row>
    <row r="62" spans="1:13" x14ac:dyDescent="0.45">
      <c r="A62">
        <v>51</v>
      </c>
      <c r="B62" s="56" t="n">
        <v>57.0806448265764</v>
      </c>
      <c r="C62" s="56" t="n">
        <v>0.0</v>
      </c>
      <c r="D62" s="56" t="n">
        <v>0.0</v>
      </c>
      <c r="E62" s="56">
        <f si="0" t="shared"/>
        <v>57.080644826576403</v>
      </c>
      <c r="F62" s="19">
        <f si="1" t="shared"/>
        <v>4.7183200241343761E-4</v>
      </c>
      <c r="H62" s="20">
        <v>51</v>
      </c>
      <c r="I62" s="58" t="n">
        <v>5.0</v>
      </c>
      <c r="J62" s="58" t="n">
        <v>0.0</v>
      </c>
      <c r="K62" s="58" t="n">
        <v>0.0</v>
      </c>
      <c r="L62" s="56">
        <f si="2" t="shared"/>
        <v>3</v>
      </c>
      <c r="M62" s="19">
        <f si="3" t="shared"/>
        <v>2.8614213633718989E-5</v>
      </c>
    </row>
    <row r="63" spans="1:13" x14ac:dyDescent="0.45">
      <c r="A63">
        <v>52</v>
      </c>
      <c r="B63" s="56" t="n">
        <v>0.0</v>
      </c>
      <c r="C63" s="56" t="n">
        <v>0.0</v>
      </c>
      <c r="D63" s="56" t="n">
        <v>0.0</v>
      </c>
      <c r="E63" s="56">
        <f si="0" t="shared"/>
        <v>0</v>
      </c>
      <c r="F63" s="19">
        <f si="1" t="shared"/>
        <v>0</v>
      </c>
      <c r="H63" s="20">
        <v>52</v>
      </c>
      <c r="I63" s="58" t="n">
        <v>51.0</v>
      </c>
      <c r="J63" s="58" t="n">
        <v>6.0</v>
      </c>
      <c r="K63" s="58" t="n">
        <v>1.0</v>
      </c>
      <c r="L63" s="56">
        <f si="2" t="shared"/>
        <v>65</v>
      </c>
      <c r="M63" s="19">
        <f si="3" t="shared"/>
        <v>6.1997462873057815E-4</v>
      </c>
    </row>
    <row r="64" spans="1:13" x14ac:dyDescent="0.45">
      <c r="A64">
        <v>53</v>
      </c>
      <c r="B64" s="56" t="n">
        <v>0.0</v>
      </c>
      <c r="C64" s="56" t="n">
        <v>0.0</v>
      </c>
      <c r="D64" s="56" t="n">
        <v>0.0</v>
      </c>
      <c r="E64" s="56">
        <f si="0" t="shared"/>
        <v>0</v>
      </c>
      <c r="F64" s="19">
        <f si="1" t="shared"/>
        <v>0</v>
      </c>
      <c r="H64" s="20">
        <v>53</v>
      </c>
      <c r="I64" s="58" t="n">
        <v>20.0</v>
      </c>
      <c r="J64" s="58" t="n">
        <v>2.0</v>
      </c>
      <c r="K64" s="58" t="n">
        <v>0.0</v>
      </c>
      <c r="L64" s="56">
        <f si="2" t="shared"/>
        <v>15</v>
      </c>
      <c r="M64" s="19">
        <f si="3" t="shared"/>
        <v>1.4307106816859494E-4</v>
      </c>
    </row>
    <row r="65" spans="1:13" x14ac:dyDescent="0.45">
      <c r="A65">
        <v>54</v>
      </c>
      <c r="B65" s="56" t="n">
        <v>0.0</v>
      </c>
      <c r="C65" s="56" t="n">
        <v>0.0</v>
      </c>
      <c r="D65" s="56" t="n">
        <v>0.0</v>
      </c>
      <c r="E65" s="56">
        <f si="0" t="shared"/>
        <v>0</v>
      </c>
      <c r="F65" s="19">
        <f si="1" t="shared"/>
        <v>0</v>
      </c>
      <c r="H65" s="20">
        <v>54</v>
      </c>
      <c r="I65" s="58" t="n">
        <v>5.0</v>
      </c>
      <c r="J65" s="58" t="n">
        <v>1.0</v>
      </c>
      <c r="K65" s="58" t="n">
        <v>0.0</v>
      </c>
      <c r="L65" s="56">
        <f si="2" t="shared"/>
        <v>4</v>
      </c>
      <c r="M65" s="19">
        <f si="3" t="shared"/>
        <v>3.8152284844958652E-5</v>
      </c>
    </row>
    <row r="66" spans="1:13" x14ac:dyDescent="0.45">
      <c r="A66">
        <v>55</v>
      </c>
      <c r="B66" s="56" t="n">
        <v>0.0</v>
      </c>
      <c r="C66" s="56" t="n">
        <v>0.0</v>
      </c>
      <c r="D66" s="56" t="n">
        <v>0.0</v>
      </c>
      <c r="E66" s="56">
        <f si="0" t="shared"/>
        <v>0</v>
      </c>
      <c r="F66" s="19">
        <f si="1" t="shared"/>
        <v>0</v>
      </c>
      <c r="H66" s="20">
        <v>55</v>
      </c>
      <c r="I66" s="58" t="n">
        <v>10.0</v>
      </c>
      <c r="J66" s="58" t="n">
        <v>0.0</v>
      </c>
      <c r="K66" s="58" t="n">
        <v>0.0</v>
      </c>
      <c r="L66" s="56">
        <f si="2" t="shared"/>
        <v>2</v>
      </c>
      <c r="M66" s="19">
        <f si="3" t="shared"/>
        <v>1.9076142422479326E-5</v>
      </c>
    </row>
    <row r="67" spans="1:13" x14ac:dyDescent="0.45">
      <c r="A67">
        <v>56</v>
      </c>
      <c r="B67" s="56" t="n">
        <v>0.0</v>
      </c>
      <c r="C67" s="56" t="n">
        <v>0.0</v>
      </c>
      <c r="D67" s="56" t="n">
        <v>0.0</v>
      </c>
      <c r="E67" s="56">
        <f si="0" t="shared"/>
        <v>0</v>
      </c>
      <c r="F67" s="19">
        <f si="1" t="shared"/>
        <v>0</v>
      </c>
      <c r="H67" s="20">
        <v>56</v>
      </c>
      <c r="I67" s="58" t="n">
        <v>7.0</v>
      </c>
      <c r="J67" s="58" t="n">
        <v>0.0</v>
      </c>
      <c r="K67" s="58" t="n">
        <v>0.0</v>
      </c>
      <c r="L67" s="56">
        <f si="2" t="shared"/>
        <v>11</v>
      </c>
      <c r="M67" s="19">
        <f si="3" t="shared"/>
        <v>1.0491878332363629E-4</v>
      </c>
    </row>
    <row r="68" spans="1:13" x14ac:dyDescent="0.45">
      <c r="A68">
        <v>57</v>
      </c>
      <c r="B68" s="56" t="n">
        <v>0.0</v>
      </c>
      <c r="C68" s="56" t="n">
        <v>0.0</v>
      </c>
      <c r="D68" s="56" t="n">
        <v>0.0</v>
      </c>
      <c r="E68" s="56">
        <f si="0" t="shared"/>
        <v>0</v>
      </c>
      <c r="F68" s="19">
        <f si="1" t="shared"/>
        <v>0</v>
      </c>
      <c r="H68" s="20">
        <v>57</v>
      </c>
      <c r="I68" s="58" t="n">
        <v>102.0</v>
      </c>
      <c r="J68" s="58" t="n">
        <v>8.0</v>
      </c>
      <c r="K68" s="58" t="n">
        <v>1.0</v>
      </c>
      <c r="L68" s="56">
        <f si="2" t="shared"/>
        <v>126</v>
      </c>
      <c r="M68" s="19">
        <f si="3" t="shared"/>
        <v>1.2017969726161976E-3</v>
      </c>
    </row>
    <row r="69" spans="1:13" x14ac:dyDescent="0.45">
      <c r="A69">
        <v>58</v>
      </c>
      <c r="B69" s="56" t="n">
        <v>0.0</v>
      </c>
      <c r="C69" s="56" t="n">
        <v>0.0</v>
      </c>
      <c r="D69" s="56" t="n">
        <v>0.0</v>
      </c>
      <c r="E69" s="56">
        <f si="0" t="shared"/>
        <v>0</v>
      </c>
      <c r="F69" s="19">
        <f si="1" t="shared"/>
        <v>0</v>
      </c>
      <c r="H69" s="20">
        <v>58</v>
      </c>
      <c r="I69" s="58" t="n">
        <v>6.0</v>
      </c>
      <c r="J69" s="58" t="n">
        <v>2.0</v>
      </c>
      <c r="K69" s="58" t="n">
        <v>0.0</v>
      </c>
      <c r="L69" s="56">
        <f si="2" t="shared"/>
        <v>5</v>
      </c>
      <c r="M69" s="19">
        <f si="3" t="shared"/>
        <v>4.7690356056198318E-5</v>
      </c>
    </row>
    <row r="70" spans="1:13" x14ac:dyDescent="0.45">
      <c r="A70">
        <v>59</v>
      </c>
      <c r="B70" s="56" t="n">
        <v>0.0</v>
      </c>
      <c r="C70" s="56" t="n">
        <v>0.0</v>
      </c>
      <c r="D70" s="56" t="n">
        <v>0.0</v>
      </c>
      <c r="E70" s="56">
        <f si="0" t="shared"/>
        <v>0</v>
      </c>
      <c r="F70" s="19">
        <f si="1" t="shared"/>
        <v>0</v>
      </c>
      <c r="H70" s="20">
        <v>59</v>
      </c>
      <c r="I70" s="58" t="n">
        <v>49.0</v>
      </c>
      <c r="J70" s="58" t="n">
        <v>0.0</v>
      </c>
      <c r="K70" s="58" t="n">
        <v>0.0</v>
      </c>
      <c r="L70" s="56">
        <f si="2" t="shared"/>
        <v>59</v>
      </c>
      <c r="M70" s="19">
        <f si="3" t="shared"/>
        <v>5.6274620146314015E-4</v>
      </c>
    </row>
    <row r="71" spans="1:13" x14ac:dyDescent="0.45">
      <c r="A71">
        <v>60</v>
      </c>
      <c r="B71" s="56" t="n">
        <v>0.0</v>
      </c>
      <c r="C71" s="56" t="n">
        <v>0.0</v>
      </c>
      <c r="D71" s="56" t="n">
        <v>0.0</v>
      </c>
      <c r="E71" s="56">
        <f si="0" t="shared"/>
        <v>0</v>
      </c>
      <c r="F71" s="19">
        <f si="1" t="shared"/>
        <v>0</v>
      </c>
      <c r="H71" s="20">
        <v>60</v>
      </c>
      <c r="I71" s="58" t="n">
        <v>3.0</v>
      </c>
      <c r="J71" s="58" t="n">
        <v>0.0</v>
      </c>
      <c r="K71" s="58" t="n">
        <v>0.0</v>
      </c>
      <c r="L71" s="56">
        <f si="2" t="shared"/>
        <v>2</v>
      </c>
      <c r="M71" s="19">
        <f si="3" t="shared"/>
        <v>1.9076142422479326E-5</v>
      </c>
    </row>
    <row r="72" spans="1:13" x14ac:dyDescent="0.45">
      <c r="A72">
        <v>61</v>
      </c>
      <c r="B72" s="56" t="n">
        <v>0.0</v>
      </c>
      <c r="C72" s="56" t="n">
        <v>0.0</v>
      </c>
      <c r="D72" s="56" t="n">
        <v>0.0</v>
      </c>
      <c r="E72" s="56">
        <f si="0" t="shared"/>
        <v>0</v>
      </c>
      <c r="F72" s="19">
        <f si="1" t="shared"/>
        <v>0</v>
      </c>
      <c r="H72" s="20">
        <v>61</v>
      </c>
      <c r="I72" s="58" t="n">
        <v>14.0</v>
      </c>
      <c r="J72" s="58" t="n">
        <v>1.0</v>
      </c>
      <c r="K72" s="58" t="n">
        <v>1.0</v>
      </c>
      <c r="L72" s="56">
        <f si="2" t="shared"/>
        <v>15</v>
      </c>
      <c r="M72" s="19">
        <f si="3" t="shared"/>
        <v>1.4307106816859494E-4</v>
      </c>
    </row>
    <row r="73" spans="1:13" x14ac:dyDescent="0.45">
      <c r="A73">
        <v>62</v>
      </c>
      <c r="B73" s="56" t="n">
        <v>0.0</v>
      </c>
      <c r="C73" s="56" t="n">
        <v>0.0</v>
      </c>
      <c r="D73" s="56" t="n">
        <v>0.0</v>
      </c>
      <c r="E73" s="56">
        <f si="0" t="shared"/>
        <v>0</v>
      </c>
      <c r="F73" s="19">
        <f si="1" t="shared"/>
        <v>0</v>
      </c>
      <c r="H73" s="20">
        <v>62</v>
      </c>
      <c r="I73" s="58" t="n">
        <v>55.0</v>
      </c>
      <c r="J73" s="58" t="n">
        <v>3.0</v>
      </c>
      <c r="K73" s="58" t="n">
        <v>1.0</v>
      </c>
      <c r="L73" s="56">
        <f si="2" t="shared"/>
        <v>80</v>
      </c>
      <c r="M73" s="19">
        <f si="3" t="shared"/>
        <v>7.6304569689917309E-4</v>
      </c>
    </row>
    <row r="74" spans="1:13" x14ac:dyDescent="0.45">
      <c r="A74">
        <v>63</v>
      </c>
      <c r="B74" s="56" t="n">
        <v>0.0</v>
      </c>
      <c r="C74" s="56" t="n">
        <v>0.0</v>
      </c>
      <c r="D74" s="56" t="n">
        <v>0.0</v>
      </c>
      <c r="E74" s="56">
        <f si="0" t="shared"/>
        <v>0</v>
      </c>
      <c r="F74" s="19">
        <f si="1" t="shared"/>
        <v>0</v>
      </c>
      <c r="H74" s="20">
        <v>63</v>
      </c>
      <c r="I74" s="58" t="n">
        <v>6.0</v>
      </c>
      <c r="J74" s="58" t="n">
        <v>1.0</v>
      </c>
      <c r="K74" s="58" t="n">
        <v>0.0</v>
      </c>
      <c r="L74" s="56">
        <f si="2" t="shared"/>
        <v>5</v>
      </c>
      <c r="M74" s="19">
        <f si="3" t="shared"/>
        <v>4.7690356056198318E-5</v>
      </c>
    </row>
    <row r="75" spans="1:13" x14ac:dyDescent="0.45">
      <c r="A75">
        <v>64</v>
      </c>
      <c r="B75" s="56" t="n">
        <v>0.0</v>
      </c>
      <c r="C75" s="56" t="n">
        <v>0.0</v>
      </c>
      <c r="D75" s="56" t="n">
        <v>0.0</v>
      </c>
      <c r="E75" s="56">
        <f si="0" t="shared"/>
        <v>0</v>
      </c>
      <c r="F75" s="19">
        <f si="1" t="shared"/>
        <v>0</v>
      </c>
      <c r="H75" s="20">
        <v>64</v>
      </c>
      <c r="I75" s="58" t="n">
        <v>2.0</v>
      </c>
      <c r="J75" s="58" t="n">
        <v>0.0</v>
      </c>
      <c r="K75" s="58" t="n">
        <v>0.0</v>
      </c>
      <c r="L75" s="56">
        <f si="2" t="shared"/>
        <v>1</v>
      </c>
      <c r="M75" s="19">
        <f si="3" t="shared"/>
        <v>9.538071211239663E-6</v>
      </c>
    </row>
    <row r="76" spans="1:13" x14ac:dyDescent="0.45">
      <c r="A76">
        <v>65</v>
      </c>
      <c r="B76" s="56" t="n">
        <v>0.0</v>
      </c>
      <c r="C76" s="56" t="n">
        <v>0.0</v>
      </c>
      <c r="D76" s="56" t="n">
        <v>0.0</v>
      </c>
      <c r="E76" s="56">
        <f ref="E76:E101" si="4" t="shared">SUM(B76:D76)</f>
        <v>0</v>
      </c>
      <c r="F76" s="19">
        <f ref="F76:F102" si="5" t="shared">E76/$E$102</f>
        <v>0</v>
      </c>
      <c r="H76" s="20">
        <v>65</v>
      </c>
      <c r="I76" s="58" t="n">
        <v>1.0</v>
      </c>
      <c r="J76" s="58" t="n">
        <v>2.0</v>
      </c>
      <c r="K76" s="58" t="n">
        <v>0.0</v>
      </c>
      <c r="L76" s="56">
        <f ref="L76:L101" si="6" t="shared">SUM(I76:K76)</f>
        <v>2</v>
      </c>
      <c r="M76" s="19">
        <f ref="M76:M102" si="7" t="shared">L76/$L$102</f>
        <v>1.9076142422479326E-5</v>
      </c>
    </row>
    <row r="77" spans="1:13" x14ac:dyDescent="0.45">
      <c r="A77">
        <v>66</v>
      </c>
      <c r="B77" s="56" t="n">
        <v>0.0</v>
      </c>
      <c r="C77" s="56" t="n">
        <v>0.0</v>
      </c>
      <c r="D77" s="56" t="n">
        <v>0.0</v>
      </c>
      <c r="E77" s="56">
        <f si="4" t="shared"/>
        <v>0</v>
      </c>
      <c r="F77" s="19">
        <f si="5" t="shared"/>
        <v>0</v>
      </c>
      <c r="H77" s="20">
        <v>66</v>
      </c>
      <c r="I77" s="58" t="n">
        <v>1.0</v>
      </c>
      <c r="J77" s="58" t="n">
        <v>0.0</v>
      </c>
      <c r="K77" s="58" t="n">
        <v>0.0</v>
      </c>
      <c r="L77" s="56">
        <f si="6" t="shared"/>
        <v>0</v>
      </c>
      <c r="M77" s="19">
        <f si="7" t="shared"/>
        <v>0</v>
      </c>
    </row>
    <row r="78" spans="1:13" x14ac:dyDescent="0.45">
      <c r="A78">
        <v>67</v>
      </c>
      <c r="B78" s="56" t="n">
        <v>0.0</v>
      </c>
      <c r="C78" s="56" t="n">
        <v>0.0</v>
      </c>
      <c r="D78" s="56" t="n">
        <v>0.0</v>
      </c>
      <c r="E78" s="56">
        <f si="4" t="shared"/>
        <v>0</v>
      </c>
      <c r="F78" s="19">
        <f si="5" t="shared"/>
        <v>0</v>
      </c>
      <c r="H78" s="20">
        <v>67</v>
      </c>
      <c r="I78" s="58" t="n">
        <v>44.0</v>
      </c>
      <c r="J78" s="58" t="n">
        <v>6.0</v>
      </c>
      <c r="K78" s="58" t="n">
        <v>0.0</v>
      </c>
      <c r="L78" s="56">
        <f si="6" t="shared"/>
        <v>53</v>
      </c>
      <c r="M78" s="19">
        <f si="7" t="shared"/>
        <v>5.0551777419570215E-4</v>
      </c>
    </row>
    <row r="79" spans="1:13" x14ac:dyDescent="0.45">
      <c r="A79">
        <v>68</v>
      </c>
      <c r="B79" s="56" t="n">
        <v>0.0</v>
      </c>
      <c r="C79" s="56" t="n">
        <v>0.0</v>
      </c>
      <c r="D79" s="56" t="n">
        <v>0.0</v>
      </c>
      <c r="E79" s="56">
        <f si="4" t="shared"/>
        <v>0</v>
      </c>
      <c r="F79" s="19">
        <f si="5" t="shared"/>
        <v>0</v>
      </c>
      <c r="H79" s="20">
        <v>68</v>
      </c>
      <c r="I79" s="58" t="n">
        <v>152.0</v>
      </c>
      <c r="J79" s="58" t="n">
        <v>5.0</v>
      </c>
      <c r="K79" s="58" t="n">
        <v>4.0</v>
      </c>
      <c r="L79" s="56">
        <f si="6" t="shared"/>
        <v>153</v>
      </c>
      <c r="M79" s="19">
        <f si="7" t="shared"/>
        <v>1.4593248953196684E-3</v>
      </c>
    </row>
    <row r="80" spans="1:13" x14ac:dyDescent="0.45">
      <c r="A80">
        <v>69</v>
      </c>
      <c r="B80" s="56" t="n">
        <v>0.0</v>
      </c>
      <c r="C80" s="56" t="n">
        <v>0.0</v>
      </c>
      <c r="D80" s="56" t="n">
        <v>0.0</v>
      </c>
      <c r="E80" s="56">
        <f si="4" t="shared"/>
        <v>0</v>
      </c>
      <c r="F80" s="19">
        <f si="5" t="shared"/>
        <v>0</v>
      </c>
      <c r="H80" s="20">
        <v>69</v>
      </c>
      <c r="I80" s="58" t="n">
        <v>10.0</v>
      </c>
      <c r="J80" s="58" t="n">
        <v>3.0</v>
      </c>
      <c r="K80" s="58" t="n">
        <v>0.0</v>
      </c>
      <c r="L80" s="56">
        <f si="6" t="shared"/>
        <v>15</v>
      </c>
      <c r="M80" s="19">
        <f si="7" t="shared"/>
        <v>1.4307106816859494E-4</v>
      </c>
    </row>
    <row r="81" spans="1:13" x14ac:dyDescent="0.45">
      <c r="A81">
        <v>70</v>
      </c>
      <c r="B81" s="56" t="n">
        <v>0.0</v>
      </c>
      <c r="C81" s="56" t="n">
        <v>0.0</v>
      </c>
      <c r="D81" s="56" t="n">
        <v>0.0</v>
      </c>
      <c r="E81" s="56">
        <f si="4" t="shared"/>
        <v>0</v>
      </c>
      <c r="F81" s="19">
        <f si="5" t="shared"/>
        <v>0</v>
      </c>
      <c r="H81" s="20">
        <v>70</v>
      </c>
      <c r="I81" s="58" t="n">
        <v>0.0</v>
      </c>
      <c r="J81" s="58" t="n">
        <v>0.0</v>
      </c>
      <c r="K81" s="58" t="n">
        <v>0.0</v>
      </c>
      <c r="L81" s="56">
        <f si="6" t="shared"/>
        <v>1</v>
      </c>
      <c r="M81" s="19">
        <f si="7" t="shared"/>
        <v>9.538071211239663E-6</v>
      </c>
    </row>
    <row r="82" spans="1:13" x14ac:dyDescent="0.45">
      <c r="A82">
        <v>71</v>
      </c>
      <c r="B82" s="56" t="n">
        <v>0.0</v>
      </c>
      <c r="C82" s="56" t="n">
        <v>0.0</v>
      </c>
      <c r="D82" s="56" t="n">
        <v>0.0</v>
      </c>
      <c r="E82" s="56">
        <f si="4" t="shared"/>
        <v>0</v>
      </c>
      <c r="F82" s="19">
        <f si="5" t="shared"/>
        <v>0</v>
      </c>
      <c r="H82" s="20">
        <v>71</v>
      </c>
      <c r="I82" s="58" t="n">
        <v>0.0</v>
      </c>
      <c r="J82" s="58" t="n">
        <v>0.0</v>
      </c>
      <c r="K82" s="58" t="n">
        <v>0.0</v>
      </c>
      <c r="L82" s="56">
        <f si="6" t="shared"/>
        <v>0</v>
      </c>
      <c r="M82" s="19">
        <f si="7" t="shared"/>
        <v>0</v>
      </c>
    </row>
    <row r="83" spans="1:13" x14ac:dyDescent="0.45">
      <c r="A83">
        <v>72</v>
      </c>
      <c r="B83" s="56" t="n">
        <v>0.0</v>
      </c>
      <c r="C83" s="56" t="n">
        <v>0.0</v>
      </c>
      <c r="D83" s="56" t="n">
        <v>0.0</v>
      </c>
      <c r="E83" s="56">
        <f si="4" t="shared"/>
        <v>0</v>
      </c>
      <c r="F83" s="19">
        <f si="5" t="shared"/>
        <v>0</v>
      </c>
      <c r="H83" s="20">
        <v>72</v>
      </c>
      <c r="I83" s="58" t="n">
        <v>1.0</v>
      </c>
      <c r="J83" s="58" t="n">
        <v>1.0</v>
      </c>
      <c r="K83" s="58" t="n">
        <v>0.0</v>
      </c>
      <c r="L83" s="56">
        <f si="6" t="shared"/>
        <v>0</v>
      </c>
      <c r="M83" s="19">
        <f si="7" t="shared"/>
        <v>0</v>
      </c>
    </row>
    <row r="84" spans="1:13" x14ac:dyDescent="0.45">
      <c r="A84">
        <v>73</v>
      </c>
      <c r="B84" s="56" t="n">
        <v>0.0</v>
      </c>
      <c r="C84" s="56" t="n">
        <v>0.0</v>
      </c>
      <c r="D84" s="56" t="n">
        <v>0.0</v>
      </c>
      <c r="E84" s="56">
        <f si="4" t="shared"/>
        <v>0</v>
      </c>
      <c r="F84" s="19">
        <f si="5" t="shared"/>
        <v>0</v>
      </c>
      <c r="H84" s="20">
        <v>73</v>
      </c>
      <c r="I84" s="58" t="n">
        <v>8.0</v>
      </c>
      <c r="J84" s="58" t="n">
        <v>0.0</v>
      </c>
      <c r="K84" s="58" t="n">
        <v>0.0</v>
      </c>
      <c r="L84" s="56">
        <f si="6" t="shared"/>
        <v>5</v>
      </c>
      <c r="M84" s="19">
        <f si="7" t="shared"/>
        <v>4.7690356056198318E-5</v>
      </c>
    </row>
    <row r="85" spans="1:13" x14ac:dyDescent="0.45">
      <c r="A85">
        <v>74</v>
      </c>
      <c r="B85" s="56" t="n">
        <v>0.0</v>
      </c>
      <c r="C85" s="56" t="n">
        <v>0.0</v>
      </c>
      <c r="D85" s="56" t="n">
        <v>0.0</v>
      </c>
      <c r="E85" s="56">
        <f si="4" t="shared"/>
        <v>0</v>
      </c>
      <c r="F85" s="19">
        <f si="5" t="shared"/>
        <v>0</v>
      </c>
      <c r="H85" s="20">
        <v>74</v>
      </c>
      <c r="I85" s="58" t="n">
        <v>9.0</v>
      </c>
      <c r="J85" s="58" t="n">
        <v>1.0</v>
      </c>
      <c r="K85" s="58" t="n">
        <v>0.0</v>
      </c>
      <c r="L85" s="56">
        <f si="6" t="shared"/>
        <v>12</v>
      </c>
      <c r="M85" s="19">
        <f si="7" t="shared"/>
        <v>1.1445685453487596E-4</v>
      </c>
    </row>
    <row r="86" spans="1:13" x14ac:dyDescent="0.45">
      <c r="A86">
        <v>75</v>
      </c>
      <c r="B86" s="56" t="n">
        <v>0.0</v>
      </c>
      <c r="C86" s="56" t="n">
        <v>0.0</v>
      </c>
      <c r="D86" s="56" t="n">
        <v>0.0</v>
      </c>
      <c r="E86" s="56">
        <f si="4" t="shared"/>
        <v>0</v>
      </c>
      <c r="F86" s="19">
        <f si="5" t="shared"/>
        <v>0</v>
      </c>
      <c r="H86" s="20">
        <v>75</v>
      </c>
      <c r="I86" s="58" t="n">
        <v>0.0</v>
      </c>
      <c r="J86" s="58" t="n">
        <v>0.0</v>
      </c>
      <c r="K86" s="58" t="n">
        <v>0.0</v>
      </c>
      <c r="L86" s="56">
        <f si="6" t="shared"/>
        <v>1</v>
      </c>
      <c r="M86" s="19">
        <f si="7" t="shared"/>
        <v>9.538071211239663E-6</v>
      </c>
    </row>
    <row r="87" spans="1:13" x14ac:dyDescent="0.45">
      <c r="A87">
        <v>76</v>
      </c>
      <c r="B87" s="56" t="n">
        <v>0.0</v>
      </c>
      <c r="C87" s="56" t="n">
        <v>0.0</v>
      </c>
      <c r="D87" s="56" t="n">
        <v>0.0</v>
      </c>
      <c r="E87" s="56">
        <f si="4" t="shared"/>
        <v>0</v>
      </c>
      <c r="F87" s="19">
        <f si="5" t="shared"/>
        <v>0</v>
      </c>
      <c r="H87" s="20">
        <v>76</v>
      </c>
      <c r="I87" s="58" t="n">
        <v>2.0</v>
      </c>
      <c r="J87" s="58" t="n">
        <v>1.0</v>
      </c>
      <c r="K87" s="58" t="n">
        <v>0.0</v>
      </c>
      <c r="L87" s="56">
        <f si="6" t="shared"/>
        <v>0</v>
      </c>
      <c r="M87" s="19">
        <f si="7" t="shared"/>
        <v>0</v>
      </c>
    </row>
    <row r="88" spans="1:13" x14ac:dyDescent="0.45">
      <c r="A88">
        <v>77</v>
      </c>
      <c r="B88" s="56" t="n">
        <v>0.0</v>
      </c>
      <c r="C88" s="56" t="n">
        <v>0.0</v>
      </c>
      <c r="D88" s="56" t="n">
        <v>0.0</v>
      </c>
      <c r="E88" s="56">
        <f si="4" t="shared"/>
        <v>0</v>
      </c>
      <c r="F88" s="19">
        <f si="5" t="shared"/>
        <v>0</v>
      </c>
      <c r="H88" s="20">
        <v>77</v>
      </c>
      <c r="I88" s="58" t="n">
        <v>0.0</v>
      </c>
      <c r="J88" s="58" t="n">
        <v>0.0</v>
      </c>
      <c r="K88" s="58" t="n">
        <v>0.0</v>
      </c>
      <c r="L88" s="56">
        <f si="6" t="shared"/>
        <v>4</v>
      </c>
      <c r="M88" s="19">
        <f si="7" t="shared"/>
        <v>3.8152284844958652E-5</v>
      </c>
    </row>
    <row r="89" spans="1:13" x14ac:dyDescent="0.45">
      <c r="A89">
        <v>78</v>
      </c>
      <c r="B89" s="56" t="n">
        <v>0.0</v>
      </c>
      <c r="C89" s="56" t="n">
        <v>0.0</v>
      </c>
      <c r="D89" s="56" t="n">
        <v>0.0</v>
      </c>
      <c r="E89" s="56">
        <f si="4" t="shared"/>
        <v>0</v>
      </c>
      <c r="F89" s="19">
        <f si="5" t="shared"/>
        <v>0</v>
      </c>
      <c r="H89" s="20">
        <v>78</v>
      </c>
      <c r="I89" s="58" t="n">
        <v>1.0</v>
      </c>
      <c r="J89" s="58" t="n">
        <v>0.0</v>
      </c>
      <c r="K89" s="58" t="n">
        <v>0.0</v>
      </c>
      <c r="L89" s="56">
        <f si="6" t="shared"/>
        <v>1</v>
      </c>
      <c r="M89" s="19">
        <f si="7" t="shared"/>
        <v>9.538071211239663E-6</v>
      </c>
    </row>
    <row r="90" spans="1:13" x14ac:dyDescent="0.45">
      <c r="A90">
        <v>79</v>
      </c>
      <c r="B90" s="56" t="n">
        <v>0.0</v>
      </c>
      <c r="C90" s="56" t="n">
        <v>0.0</v>
      </c>
      <c r="D90" s="56" t="n">
        <v>0.0</v>
      </c>
      <c r="E90" s="56">
        <f si="4" t="shared"/>
        <v>0</v>
      </c>
      <c r="F90" s="19">
        <f si="5" t="shared"/>
        <v>0</v>
      </c>
      <c r="H90" s="20">
        <v>79</v>
      </c>
      <c r="I90" s="58" t="n">
        <v>0.0</v>
      </c>
      <c r="J90" s="58" t="n">
        <v>0.0</v>
      </c>
      <c r="K90" s="58" t="n">
        <v>0.0</v>
      </c>
      <c r="L90" s="56">
        <f si="6" t="shared"/>
        <v>1</v>
      </c>
      <c r="M90" s="19">
        <f si="7" t="shared"/>
        <v>9.538071211239663E-6</v>
      </c>
    </row>
    <row r="91" spans="1:13" x14ac:dyDescent="0.45">
      <c r="A91">
        <v>80</v>
      </c>
      <c r="B91" s="56" t="n">
        <v>0.0</v>
      </c>
      <c r="C91" s="56" t="n">
        <v>0.0</v>
      </c>
      <c r="D91" s="56" t="n">
        <v>0.0</v>
      </c>
      <c r="E91" s="56">
        <f si="4" t="shared"/>
        <v>0</v>
      </c>
      <c r="F91" s="19">
        <f si="5" t="shared"/>
        <v>0</v>
      </c>
      <c r="H91" s="20">
        <v>80</v>
      </c>
      <c r="I91" s="58" t="n">
        <v>0.0</v>
      </c>
      <c r="J91" s="58" t="n">
        <v>0.0</v>
      </c>
      <c r="K91" s="58" t="n">
        <v>0.0</v>
      </c>
      <c r="L91" s="56">
        <f si="6" t="shared"/>
        <v>0</v>
      </c>
      <c r="M91" s="19">
        <f si="7" t="shared"/>
        <v>0</v>
      </c>
    </row>
    <row r="92" spans="1:13" x14ac:dyDescent="0.45">
      <c r="A92">
        <v>81</v>
      </c>
      <c r="B92" s="56" t="n">
        <v>0.0</v>
      </c>
      <c r="C92" s="56" t="n">
        <v>0.0</v>
      </c>
      <c r="D92" s="56" t="n">
        <v>0.0</v>
      </c>
      <c r="E92" s="56">
        <f si="4" t="shared"/>
        <v>0</v>
      </c>
      <c r="F92" s="19">
        <f si="5" t="shared"/>
        <v>0</v>
      </c>
      <c r="H92" s="20">
        <v>81</v>
      </c>
      <c r="I92" s="58" t="n">
        <v>0.0</v>
      </c>
      <c r="J92" s="58" t="n">
        <v>0.0</v>
      </c>
      <c r="K92" s="58" t="n">
        <v>0.0</v>
      </c>
      <c r="L92" s="56">
        <f si="6" t="shared"/>
        <v>1</v>
      </c>
      <c r="M92" s="19">
        <f si="7" t="shared"/>
        <v>9.538071211239663E-6</v>
      </c>
    </row>
    <row r="93" spans="1:13" x14ac:dyDescent="0.45">
      <c r="A93">
        <v>82</v>
      </c>
      <c r="B93" s="56" t="n">
        <v>0.0</v>
      </c>
      <c r="C93" s="56" t="n">
        <v>0.0</v>
      </c>
      <c r="D93" s="56" t="n">
        <v>0.0</v>
      </c>
      <c r="E93" s="56">
        <f si="4" t="shared"/>
        <v>0</v>
      </c>
      <c r="F93" s="19">
        <f si="5" t="shared"/>
        <v>0</v>
      </c>
      <c r="H93" s="20">
        <v>82</v>
      </c>
      <c r="I93" s="58" t="n">
        <v>4.0</v>
      </c>
      <c r="J93" s="58" t="n">
        <v>0.0</v>
      </c>
      <c r="K93" s="58" t="n">
        <v>0.0</v>
      </c>
      <c r="L93" s="56">
        <f si="6" t="shared"/>
        <v>3</v>
      </c>
      <c r="M93" s="19">
        <f si="7" t="shared"/>
        <v>2.8614213633718989E-5</v>
      </c>
    </row>
    <row r="94" spans="1:13" x14ac:dyDescent="0.45">
      <c r="A94">
        <v>83</v>
      </c>
      <c r="B94" s="56" t="n">
        <v>0.0</v>
      </c>
      <c r="C94" s="56" t="n">
        <v>0.0</v>
      </c>
      <c r="D94" s="56" t="n">
        <v>0.0</v>
      </c>
      <c r="E94" s="56">
        <f si="4" t="shared"/>
        <v>0</v>
      </c>
      <c r="F94" s="19">
        <f si="5" t="shared"/>
        <v>0</v>
      </c>
      <c r="H94" s="20">
        <v>83</v>
      </c>
      <c r="I94" s="58" t="n">
        <v>0.0</v>
      </c>
      <c r="J94" s="58" t="n">
        <v>0.0</v>
      </c>
      <c r="K94" s="58" t="n">
        <v>0.0</v>
      </c>
      <c r="L94" s="56">
        <f si="6" t="shared"/>
        <v>0</v>
      </c>
      <c r="M94" s="19">
        <f si="7" t="shared"/>
        <v>0</v>
      </c>
    </row>
    <row r="95" spans="1:13" x14ac:dyDescent="0.45">
      <c r="A95">
        <v>84</v>
      </c>
      <c r="B95" s="56" t="n">
        <v>0.0</v>
      </c>
      <c r="C95" s="56" t="n">
        <v>0.0</v>
      </c>
      <c r="D95" s="56" t="n">
        <v>0.0</v>
      </c>
      <c r="E95" s="56">
        <f si="4" t="shared"/>
        <v>0</v>
      </c>
      <c r="F95" s="19">
        <f si="5" t="shared"/>
        <v>0</v>
      </c>
      <c r="H95" s="20">
        <v>84</v>
      </c>
      <c r="I95" s="58" t="n">
        <v>0.0</v>
      </c>
      <c r="J95" s="58" t="n">
        <v>0.0</v>
      </c>
      <c r="K95" s="58" t="n">
        <v>0.0</v>
      </c>
      <c r="L95" s="56">
        <f si="6" t="shared"/>
        <v>0</v>
      </c>
      <c r="M95" s="19">
        <f si="7" t="shared"/>
        <v>0</v>
      </c>
    </row>
    <row r="96" spans="1:13" x14ac:dyDescent="0.45">
      <c r="A96">
        <v>85</v>
      </c>
      <c r="B96" s="56" t="n">
        <v>0.0</v>
      </c>
      <c r="C96" s="56" t="n">
        <v>0.0</v>
      </c>
      <c r="D96" s="56" t="n">
        <v>0.0</v>
      </c>
      <c r="E96" s="56">
        <f si="4" t="shared"/>
        <v>0</v>
      </c>
      <c r="F96" s="19">
        <f si="5" t="shared"/>
        <v>0</v>
      </c>
      <c r="H96" s="20">
        <v>85</v>
      </c>
      <c r="I96" s="58" t="n">
        <v>1.0</v>
      </c>
      <c r="J96" s="58" t="n">
        <v>0.0</v>
      </c>
      <c r="K96" s="58" t="n">
        <v>0.0</v>
      </c>
      <c r="L96" s="56">
        <f si="6" t="shared"/>
        <v>2</v>
      </c>
      <c r="M96" s="19">
        <f si="7" t="shared"/>
        <v>1.9076142422479326E-5</v>
      </c>
    </row>
    <row r="97" spans="1:13" x14ac:dyDescent="0.45">
      <c r="A97">
        <v>86</v>
      </c>
      <c r="B97" s="56" t="n">
        <v>0.0</v>
      </c>
      <c r="C97" s="56" t="n">
        <v>0.0</v>
      </c>
      <c r="D97" s="56" t="n">
        <v>0.0</v>
      </c>
      <c r="E97" s="56">
        <f si="4" t="shared"/>
        <v>0</v>
      </c>
      <c r="F97" s="19">
        <f si="5" t="shared"/>
        <v>0</v>
      </c>
      <c r="H97" s="20">
        <v>86</v>
      </c>
      <c r="I97" s="58" t="n">
        <v>0.0</v>
      </c>
      <c r="J97" s="58" t="n">
        <v>0.0</v>
      </c>
      <c r="K97" s="58" t="n">
        <v>0.0</v>
      </c>
      <c r="L97" s="56">
        <f si="6" t="shared"/>
        <v>0</v>
      </c>
      <c r="M97" s="19">
        <f si="7" t="shared"/>
        <v>0</v>
      </c>
    </row>
    <row r="98" spans="1:13" x14ac:dyDescent="0.45">
      <c r="A98">
        <v>87</v>
      </c>
      <c r="B98" s="56" t="n">
        <v>0.0</v>
      </c>
      <c r="C98" s="56" t="n">
        <v>0.0</v>
      </c>
      <c r="D98" s="56" t="n">
        <v>0.0</v>
      </c>
      <c r="E98" s="56">
        <f si="4" t="shared"/>
        <v>0</v>
      </c>
      <c r="F98" s="19">
        <f si="5" t="shared"/>
        <v>0</v>
      </c>
      <c r="H98" s="20">
        <v>87</v>
      </c>
      <c r="I98" s="58" t="n">
        <v>0.0</v>
      </c>
      <c r="J98" s="58" t="n">
        <v>0.0</v>
      </c>
      <c r="K98" s="58" t="n">
        <v>0.0</v>
      </c>
      <c r="L98" s="56">
        <f si="6" t="shared"/>
        <v>0</v>
      </c>
      <c r="M98" s="19">
        <f si="7" t="shared"/>
        <v>0</v>
      </c>
    </row>
    <row r="99" spans="1:13" x14ac:dyDescent="0.45">
      <c r="A99">
        <v>88</v>
      </c>
      <c r="B99" s="56" t="n">
        <v>0.0</v>
      </c>
      <c r="C99" s="56" t="n">
        <v>0.0</v>
      </c>
      <c r="D99" s="56" t="n">
        <v>0.0</v>
      </c>
      <c r="E99" s="56">
        <f si="4" t="shared"/>
        <v>0</v>
      </c>
      <c r="F99" s="19">
        <f si="5" t="shared"/>
        <v>0</v>
      </c>
      <c r="H99" s="20">
        <v>88</v>
      </c>
      <c r="I99" s="58" t="n">
        <v>1.0</v>
      </c>
      <c r="J99" s="58" t="n">
        <v>0.0</v>
      </c>
      <c r="K99" s="58" t="n">
        <v>0.0</v>
      </c>
      <c r="L99" s="56">
        <f si="6" t="shared"/>
        <v>0</v>
      </c>
      <c r="M99" s="19">
        <f si="7" t="shared"/>
        <v>0</v>
      </c>
    </row>
    <row r="100" spans="1:13" x14ac:dyDescent="0.45">
      <c r="A100">
        <v>89</v>
      </c>
      <c r="B100" s="56" t="n">
        <v>0.0</v>
      </c>
      <c r="C100" s="56" t="n">
        <v>0.0</v>
      </c>
      <c r="D100" s="56" t="n">
        <v>0.0</v>
      </c>
      <c r="E100" s="56">
        <f si="4" t="shared"/>
        <v>0</v>
      </c>
      <c r="F100" s="19">
        <f si="5" t="shared"/>
        <v>0</v>
      </c>
      <c r="H100" s="20">
        <v>89</v>
      </c>
      <c r="I100" s="58" t="n">
        <v>0.0</v>
      </c>
      <c r="J100" s="58" t="n">
        <v>0.0</v>
      </c>
      <c r="K100" s="58" t="n">
        <v>0.0</v>
      </c>
      <c r="L100" s="56">
        <f si="6" t="shared"/>
        <v>0</v>
      </c>
      <c r="M100" s="19">
        <f si="7" t="shared"/>
        <v>0</v>
      </c>
    </row>
    <row ht="14.65" r="101" spans="1:13" thickBot="1" x14ac:dyDescent="0.5">
      <c r="A101" s="1">
        <v>90</v>
      </c>
      <c r="B101" s="57" t="n">
        <v>0.0</v>
      </c>
      <c r="C101" s="57" t="n">
        <v>0.0</v>
      </c>
      <c r="D101" s="57" t="n">
        <v>0.0</v>
      </c>
      <c r="E101" s="57">
        <f si="4" t="shared"/>
        <v>0</v>
      </c>
      <c r="F101" s="19">
        <f si="5" t="shared"/>
        <v>0</v>
      </c>
      <c r="H101" s="21">
        <v>90</v>
      </c>
      <c r="I101" s="57" t="n">
        <v>13.0</v>
      </c>
      <c r="J101" s="57" t="n">
        <v>2.0</v>
      </c>
      <c r="K101" s="57" t="n">
        <v>1.0</v>
      </c>
      <c r="L101" s="57">
        <f si="6" t="shared"/>
        <v>20</v>
      </c>
      <c r="M101" s="19">
        <f si="7" t="shared"/>
        <v>1.9076142422479327E-4</v>
      </c>
    </row>
    <row r="102" spans="1:13" x14ac:dyDescent="0.45">
      <c r="B102" s="56"/>
      <c r="C102" s="56"/>
      <c r="D102" s="56"/>
      <c r="E102" s="56">
        <f>SUM(E11:E101)</f>
        <v>120976.62840715946</v>
      </c>
      <c r="F102" s="19">
        <f si="5" t="shared"/>
        <v>1</v>
      </c>
      <c r="I102" s="56"/>
      <c r="J102" s="56"/>
      <c r="K102" s="56"/>
      <c r="L102" s="56">
        <f>SUM(L11:L101)</f>
        <v>104843</v>
      </c>
      <c r="M102" s="1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2"/>
  <sheetViews>
    <sheetView workbookViewId="0">
      <selection activeCell="T11" sqref="T11"/>
    </sheetView>
  </sheetViews>
  <sheetFormatPr defaultRowHeight="14.25" x14ac:dyDescent="0.45"/>
  <cols>
    <col min="13" max="13" bestFit="true" customWidth="true" width="10.1328125" collapsed="true"/>
  </cols>
  <sheetData>
    <row r="1" spans="1:18" x14ac:dyDescent="0.45">
      <c r="A1" t="s">
        <v>0</v>
      </c>
    </row>
    <row r="2" spans="1:18" x14ac:dyDescent="0.45">
      <c r="A2" t="s">
        <v>246</v>
      </c>
    </row>
    <row r="3" spans="1:18" x14ac:dyDescent="0.45">
      <c r="A3" t="s">
        <v>248</v>
      </c>
    </row>
    <row r="4" spans="1:18" x14ac:dyDescent="0.45">
      <c r="A4" t="s">
        <v>7</v>
      </c>
    </row>
    <row r="5" spans="1:18" x14ac:dyDescent="0.45">
      <c r="A5" t="s">
        <v>8</v>
      </c>
    </row>
    <row r="7" spans="1:18" x14ac:dyDescent="0.45">
      <c r="A7" t="s">
        <v>12</v>
      </c>
    </row>
    <row ht="14.65" r="9" spans="1:18" thickBot="1" x14ac:dyDescent="0.5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9" t="s">
        <v>21</v>
      </c>
    </row>
    <row r="10" spans="1:18" x14ac:dyDescent="0.4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18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18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7" t="n">
        <v>0.0</v>
      </c>
      <c r="C11" s="7" t="n">
        <v>0.0</v>
      </c>
      <c r="D11" s="7" t="n">
        <v>0.0</v>
      </c>
      <c r="E11" s="7">
        <f>SUM(B11:D11)</f>
        <v>0</v>
      </c>
      <c r="F11" s="19">
        <f>E11/$E$102</f>
        <v>0</v>
      </c>
      <c r="H11" s="20">
        <v>0</v>
      </c>
      <c r="I11" s="20" t="n">
        <v>6376.0</v>
      </c>
      <c r="J11" s="20" t="n">
        <v>493.0</v>
      </c>
      <c r="K11" s="20" t="n">
        <v>140.0</v>
      </c>
      <c r="L11">
        <f>SUM(I11:K11)</f>
        <v>7192</v>
      </c>
      <c r="M11" s="19">
        <f>L11/$L$102</f>
        <v>6.8597808151235659E-2</v>
      </c>
      <c r="P11" t="s">
        <v>9</v>
      </c>
      <c r="Q11" s="7" t="n">
        <v>10.240758606527026</v>
      </c>
      <c r="R11" s="7" t="n">
        <v>17.490372613261158</v>
      </c>
    </row>
    <row r="12" spans="1:18" x14ac:dyDescent="0.45">
      <c r="A12">
        <v>1</v>
      </c>
      <c r="B12" s="7" t="n">
        <v>0.0</v>
      </c>
      <c r="C12" s="7" t="n">
        <v>0.0</v>
      </c>
      <c r="D12" s="7" t="n">
        <v>0.0</v>
      </c>
      <c r="E12" s="7">
        <f ref="E12:E75" si="0" t="shared">SUM(B12:D12)</f>
        <v>0</v>
      </c>
      <c r="F12" s="19">
        <f ref="F12:F75" si="1" t="shared">E12/$E$102</f>
        <v>0</v>
      </c>
      <c r="H12" s="20">
        <v>1</v>
      </c>
      <c r="I12" s="20" t="n">
        <v>1891.0</v>
      </c>
      <c r="J12" s="20" t="n">
        <v>131.0</v>
      </c>
      <c r="K12" s="20" t="n">
        <v>24.0</v>
      </c>
      <c r="L12">
        <f ref="L12:L75" si="2" t="shared">SUM(I12:K12)</f>
        <v>1964</v>
      </c>
      <c r="M12" s="19">
        <f ref="M12:M75" si="3" t="shared">L12/$L$102</f>
        <v>1.8732771858874699E-2</v>
      </c>
      <c r="P12" t="s">
        <v>10</v>
      </c>
      <c r="Q12" s="7" t="n">
        <v>11.970735893438508</v>
      </c>
      <c r="R12" s="7" t="n">
        <v>18.219508376567557</v>
      </c>
    </row>
    <row r="13" spans="1:18" x14ac:dyDescent="0.45">
      <c r="A13">
        <v>2</v>
      </c>
      <c r="B13" s="7" t="n">
        <v>418.63998011902754</v>
      </c>
      <c r="C13" s="7" t="n">
        <v>0.0</v>
      </c>
      <c r="D13" s="7" t="n">
        <v>69.4441694133566</v>
      </c>
      <c r="E13" s="7">
        <f si="0" t="shared"/>
        <v>488.08414953238412</v>
      </c>
      <c r="F13" s="19">
        <f si="1" t="shared"/>
        <v>4.0345325866553844E-3</v>
      </c>
      <c r="H13" s="20">
        <v>2</v>
      </c>
      <c r="I13" s="20" t="n">
        <v>2366.0</v>
      </c>
      <c r="J13" s="20" t="n">
        <v>160.0</v>
      </c>
      <c r="K13" s="20" t="n">
        <v>45.0</v>
      </c>
      <c r="L13">
        <f si="2" t="shared"/>
        <v>2580</v>
      </c>
      <c r="M13" s="19">
        <f si="3" t="shared"/>
        <v>2.4608223724998331E-2</v>
      </c>
      <c r="P13" s="6" t="s">
        <v>11</v>
      </c>
      <c r="Q13" s="10" t="n">
        <v>6.5367915608296085</v>
      </c>
      <c r="R13" s="7" t="n">
        <v>22.722333117517294</v>
      </c>
    </row>
    <row ht="14.65" r="14" spans="1:18" thickBot="1" x14ac:dyDescent="0.5">
      <c r="A14">
        <v>3</v>
      </c>
      <c r="B14" s="7" t="n">
        <v>9578.182796351148</v>
      </c>
      <c r="C14" s="7" t="n">
        <v>215.6500357063297</v>
      </c>
      <c r="D14" s="7" t="n">
        <v>0.0</v>
      </c>
      <c r="E14" s="7">
        <f si="0" t="shared"/>
        <v>9793.8328320574783</v>
      </c>
      <c r="F14" s="19">
        <f si="1" t="shared"/>
        <v>8.0956404232851623E-2</v>
      </c>
      <c r="H14" s="20">
        <v>3</v>
      </c>
      <c r="I14" s="20" t="n">
        <v>3287.0</v>
      </c>
      <c r="J14" s="20" t="n">
        <v>269.0</v>
      </c>
      <c r="K14" s="20" t="n">
        <v>50.0</v>
      </c>
      <c r="L14">
        <f si="2" t="shared"/>
        <v>3448</v>
      </c>
      <c r="M14" s="19">
        <f si="3" t="shared"/>
        <v>3.288726953635436E-2</v>
      </c>
      <c r="P14" s="1" t="s">
        <v>4</v>
      </c>
      <c r="Q14" s="11" t="n">
        <v>10.313476617162989</v>
      </c>
      <c r="R14" s="11" t="n">
        <v>17.612061613431216</v>
      </c>
    </row>
    <row r="15" spans="1:18" x14ac:dyDescent="0.45">
      <c r="A15">
        <v>4</v>
      </c>
      <c r="B15" s="7" t="n">
        <v>7356.214500684313</v>
      </c>
      <c r="C15" s="7" t="n">
        <v>174.912698759493</v>
      </c>
      <c r="D15" s="7" t="n">
        <v>0.0</v>
      </c>
      <c r="E15" s="7">
        <f si="0" t="shared"/>
        <v>7531.1271994438057</v>
      </c>
      <c r="F15" s="19">
        <f si="1" t="shared"/>
        <v>6.2252745002092588E-2</v>
      </c>
      <c r="H15" s="20">
        <v>4</v>
      </c>
      <c r="I15" s="20" t="n">
        <v>4776.0</v>
      </c>
      <c r="J15" s="20" t="n">
        <v>345.0</v>
      </c>
      <c r="K15" s="20" t="n">
        <v>82.0</v>
      </c>
      <c r="L15">
        <f si="2" t="shared"/>
        <v>5230</v>
      </c>
      <c r="M15" s="19">
        <f si="3" t="shared"/>
        <v>4.988411243478344E-2</v>
      </c>
    </row>
    <row r="16" spans="1:18" x14ac:dyDescent="0.45">
      <c r="A16">
        <v>5</v>
      </c>
      <c r="B16" s="7" t="n">
        <v>22071.270533158524</v>
      </c>
      <c r="C16" s="7" t="n">
        <v>836.2257878739757</v>
      </c>
      <c r="D16" s="7" t="n">
        <v>0.0</v>
      </c>
      <c r="E16" s="7">
        <f si="0" t="shared"/>
        <v>22907.4963210325</v>
      </c>
      <c r="F16" s="19">
        <f si="1" t="shared"/>
        <v>0.18935472597182113</v>
      </c>
      <c r="H16" s="20">
        <v>5</v>
      </c>
      <c r="I16" s="20" t="n">
        <v>6049.0</v>
      </c>
      <c r="J16" s="20" t="n">
        <v>425.0</v>
      </c>
      <c r="K16" s="20" t="n">
        <v>75.0</v>
      </c>
      <c r="L16">
        <f si="2" t="shared"/>
        <v>6815</v>
      </c>
      <c r="M16" s="19">
        <f si="3" t="shared"/>
        <v>6.5001955304598305E-2</v>
      </c>
    </row>
    <row r="17" spans="1:13" x14ac:dyDescent="0.45">
      <c r="A17">
        <v>6</v>
      </c>
      <c r="B17" s="7" t="n">
        <v>17190.090582619858</v>
      </c>
      <c r="C17" s="7" t="n">
        <v>877.6227435129202</v>
      </c>
      <c r="D17" s="7" t="n">
        <v>0.0</v>
      </c>
      <c r="E17" s="7">
        <f si="0" t="shared"/>
        <v>18067.713326132776</v>
      </c>
      <c r="F17" s="19">
        <f si="1" t="shared"/>
        <v>0.14934879210986116</v>
      </c>
      <c r="H17" s="20">
        <v>6</v>
      </c>
      <c r="I17" s="20" t="n">
        <v>6592.0</v>
      </c>
      <c r="J17" s="20" t="n">
        <v>443.0</v>
      </c>
      <c r="K17" s="20" t="n">
        <v>88.0</v>
      </c>
      <c r="L17">
        <f si="2" t="shared"/>
        <v>7289</v>
      </c>
      <c r="M17" s="19">
        <f si="3" t="shared"/>
        <v>6.95230010587259E-2</v>
      </c>
    </row>
    <row r="18" spans="1:13" x14ac:dyDescent="0.45">
      <c r="A18">
        <v>7</v>
      </c>
      <c r="B18" s="7" t="n">
        <v>9723.215734277148</v>
      </c>
      <c r="C18" s="7" t="n">
        <v>548.6857274171492</v>
      </c>
      <c r="D18" s="7" t="n">
        <v>99.1116941075647</v>
      </c>
      <c r="E18" s="7">
        <f si="0" t="shared"/>
        <v>10371.013155801862</v>
      </c>
      <c r="F18" s="19">
        <f si="1" t="shared"/>
        <v>8.5727411090488814E-2</v>
      </c>
      <c r="H18" s="20">
        <v>7</v>
      </c>
      <c r="I18" s="20" t="n">
        <v>6688.0</v>
      </c>
      <c r="J18" s="20" t="n">
        <v>434.0</v>
      </c>
      <c r="K18" s="20" t="n">
        <v>111.0</v>
      </c>
      <c r="L18">
        <f si="2" t="shared"/>
        <v>7565</v>
      </c>
      <c r="M18" s="19">
        <f si="3" t="shared"/>
        <v>7.2155508713028046E-2</v>
      </c>
    </row>
    <row r="19" spans="1:13" x14ac:dyDescent="0.45">
      <c r="A19">
        <v>8</v>
      </c>
      <c r="B19" s="7" t="n">
        <v>9554.918892359432</v>
      </c>
      <c r="C19" s="7" t="n">
        <v>307.3351328861782</v>
      </c>
      <c r="D19" s="7" t="n">
        <v>65.2462652901793</v>
      </c>
      <c r="E19" s="7">
        <f si="0" t="shared"/>
        <v>9927.5002905357906</v>
      </c>
      <c r="F19" s="19">
        <f si="1" t="shared"/>
        <v>8.206130738843008E-2</v>
      </c>
      <c r="H19" s="20">
        <v>8</v>
      </c>
      <c r="I19" s="20" t="n">
        <v>5889.0</v>
      </c>
      <c r="J19" s="20" t="n">
        <v>381.0</v>
      </c>
      <c r="K19" s="20" t="n">
        <v>107.0</v>
      </c>
      <c r="L19">
        <f si="2" t="shared"/>
        <v>6552</v>
      </c>
      <c r="M19" s="19">
        <f si="3" t="shared"/>
        <v>6.2493442576042273E-2</v>
      </c>
    </row>
    <row r="20" spans="1:13" x14ac:dyDescent="0.45">
      <c r="A20">
        <v>9</v>
      </c>
      <c r="B20" s="7" t="n">
        <v>4118.065400543833</v>
      </c>
      <c r="C20" s="7" t="n">
        <v>194.9591094644044</v>
      </c>
      <c r="D20" s="7" t="n">
        <v>26.5217038899</v>
      </c>
      <c r="E20" s="7">
        <f si="0" t="shared"/>
        <v>4339.5462138981375</v>
      </c>
      <c r="F20" s="19">
        <f si="1" t="shared"/>
        <v>3.5870946901354728E-2</v>
      </c>
      <c r="H20" s="20">
        <v>9</v>
      </c>
      <c r="I20" s="20" t="n">
        <v>5265.0</v>
      </c>
      <c r="J20" s="20" t="n">
        <v>336.0</v>
      </c>
      <c r="K20" s="20" t="n">
        <v>78.0</v>
      </c>
      <c r="L20">
        <f si="2" t="shared"/>
        <v>5610</v>
      </c>
      <c r="M20" s="19">
        <f si="3" t="shared"/>
        <v>5.3508579495054512E-2</v>
      </c>
    </row>
    <row r="21" spans="1:13" x14ac:dyDescent="0.45">
      <c r="A21">
        <v>10</v>
      </c>
      <c r="B21" s="7" t="n">
        <v>3672.6672238052647</v>
      </c>
      <c r="C21" s="7" t="n">
        <v>236.329643442698</v>
      </c>
      <c r="D21" s="7" t="n">
        <v>0.0</v>
      </c>
      <c r="E21" s="7">
        <f si="0" t="shared"/>
        <v>3908.9968672479627</v>
      </c>
      <c r="F21" s="19">
        <f si="1" t="shared"/>
        <v>3.2312000414591049E-2</v>
      </c>
      <c r="H21" s="20">
        <v>10</v>
      </c>
      <c r="I21" s="20" t="n">
        <v>5258.0</v>
      </c>
      <c r="J21" s="20" t="n">
        <v>319.0</v>
      </c>
      <c r="K21" s="20" t="n">
        <v>76.0</v>
      </c>
      <c r="L21">
        <f si="2" t="shared"/>
        <v>5492</v>
      </c>
      <c r="M21" s="19">
        <f si="3" t="shared"/>
        <v>5.238308709212823E-2</v>
      </c>
    </row>
    <row r="22" spans="1:13" x14ac:dyDescent="0.45">
      <c r="A22">
        <v>11</v>
      </c>
      <c r="B22" s="7" t="n">
        <v>2874.301587010996</v>
      </c>
      <c r="C22" s="7" t="n">
        <v>454.693499226623</v>
      </c>
      <c r="D22" s="7" t="n">
        <v>0.0</v>
      </c>
      <c r="E22" s="7">
        <f si="0" t="shared"/>
        <v>3328.995086237619</v>
      </c>
      <c r="F22" s="19">
        <f si="1" t="shared"/>
        <v>2.7517671223515505E-2</v>
      </c>
      <c r="H22" s="20">
        <v>11</v>
      </c>
      <c r="I22" s="20" t="n">
        <v>4831.0</v>
      </c>
      <c r="J22" s="20" t="n">
        <v>313.0</v>
      </c>
      <c r="K22" s="20" t="n">
        <v>77.0</v>
      </c>
      <c r="L22">
        <f si="2" t="shared"/>
        <v>5096</v>
      </c>
      <c r="M22" s="19">
        <f si="3" t="shared"/>
        <v>4.8606010892477326E-2</v>
      </c>
    </row>
    <row r="23" spans="1:13" x14ac:dyDescent="0.45">
      <c r="A23">
        <v>12</v>
      </c>
      <c r="B23" s="7" t="n">
        <v>1583.00149083178</v>
      </c>
      <c r="C23" s="7" t="n">
        <v>206.9543561876072</v>
      </c>
      <c r="D23" s="7" t="n">
        <v>0.0</v>
      </c>
      <c r="E23" s="7">
        <f si="0" t="shared"/>
        <v>1789.9558470193872</v>
      </c>
      <c r="F23" s="19">
        <f si="1" t="shared"/>
        <v>1.4795881407730299E-2</v>
      </c>
      <c r="H23" s="20">
        <v>12</v>
      </c>
      <c r="I23" s="20" t="n">
        <v>4656.0</v>
      </c>
      <c r="J23" s="20" t="n">
        <v>256.0</v>
      </c>
      <c r="K23" s="20" t="n">
        <v>72.0</v>
      </c>
      <c r="L23">
        <f si="2" t="shared"/>
        <v>5096</v>
      </c>
      <c r="M23" s="19">
        <f si="3" t="shared"/>
        <v>4.8606010892477326E-2</v>
      </c>
    </row>
    <row r="24" spans="1:13" x14ac:dyDescent="0.45">
      <c r="A24">
        <v>13</v>
      </c>
      <c r="B24" s="7" t="n">
        <v>3803.0762941530193</v>
      </c>
      <c r="C24" s="7" t="n">
        <v>101.2193557741993</v>
      </c>
      <c r="D24" s="7" t="n">
        <v>0.0</v>
      </c>
      <c r="E24" s="7">
        <f si="0" t="shared"/>
        <v>3904.2956499272186</v>
      </c>
      <c r="F24" s="19">
        <f si="1" t="shared"/>
        <v>3.227313987282656E-2</v>
      </c>
      <c r="H24" s="20">
        <v>13</v>
      </c>
      <c r="I24" s="20" t="n">
        <v>3925.0</v>
      </c>
      <c r="J24" s="20" t="n">
        <v>225.0</v>
      </c>
      <c r="K24" s="20" t="n">
        <v>54.0</v>
      </c>
      <c r="L24">
        <f si="2" t="shared"/>
        <v>4097</v>
      </c>
      <c r="M24" s="19">
        <f si="3" t="shared"/>
        <v>3.9077477752448901E-2</v>
      </c>
    </row>
    <row r="25" spans="1:13" x14ac:dyDescent="0.45">
      <c r="A25">
        <v>14</v>
      </c>
      <c r="B25" s="7" t="n">
        <v>2095.8993086053038</v>
      </c>
      <c r="C25" s="7" t="n">
        <v>169.2735741878113</v>
      </c>
      <c r="D25" s="7" t="n">
        <v>0.0</v>
      </c>
      <c r="E25" s="7">
        <f si="0" t="shared"/>
        <v>2265.1728827931151</v>
      </c>
      <c r="F25" s="19">
        <f si="1" t="shared"/>
        <v>1.8724053667369869E-2</v>
      </c>
      <c r="H25" s="20">
        <v>14</v>
      </c>
      <c r="I25" s="20" t="n">
        <v>3387.0</v>
      </c>
      <c r="J25" s="20" t="n">
        <v>201.0</v>
      </c>
      <c r="K25" s="20" t="n">
        <v>55.0</v>
      </c>
      <c r="L25">
        <f si="2" t="shared"/>
        <v>3743</v>
      </c>
      <c r="M25" s="19">
        <f si="3" t="shared"/>
        <v>3.5701000543670057E-2</v>
      </c>
    </row>
    <row r="26" spans="1:13" x14ac:dyDescent="0.45">
      <c r="A26">
        <v>15</v>
      </c>
      <c r="B26" s="7" t="n">
        <v>2469.082489472474</v>
      </c>
      <c r="C26" s="7" t="n">
        <v>0.0</v>
      </c>
      <c r="D26" s="7" t="n">
        <v>0.0</v>
      </c>
      <c r="E26" s="7">
        <f si="0" t="shared"/>
        <v>2469.0824894724742</v>
      </c>
      <c r="F26" s="19">
        <f si="1" t="shared"/>
        <v>2.0409582594437335E-2</v>
      </c>
      <c r="H26" s="20">
        <v>15</v>
      </c>
      <c r="I26" s="20" t="n">
        <v>2691.0</v>
      </c>
      <c r="J26" s="20" t="n">
        <v>160.0</v>
      </c>
      <c r="K26" s="20" t="n">
        <v>35.0</v>
      </c>
      <c r="L26">
        <f si="2" t="shared"/>
        <v>2863</v>
      </c>
      <c r="M26" s="19">
        <f si="3" t="shared"/>
        <v>2.7307497877779155E-2</v>
      </c>
    </row>
    <row r="27" spans="1:13" x14ac:dyDescent="0.45">
      <c r="A27">
        <v>16</v>
      </c>
      <c r="B27" s="7" t="n">
        <v>1087.698936991167</v>
      </c>
      <c r="C27" s="7" t="n">
        <v>0.0</v>
      </c>
      <c r="D27" s="7" t="n">
        <v>0.0</v>
      </c>
      <c r="E27" s="7">
        <f si="0" t="shared"/>
        <v>1087.6989369911671</v>
      </c>
      <c r="F27" s="19">
        <f si="1" t="shared"/>
        <v>8.9909840546258512E-3</v>
      </c>
      <c r="H27" s="20">
        <v>16</v>
      </c>
      <c r="I27" s="20" t="n">
        <v>2233.0</v>
      </c>
      <c r="J27" s="20" t="n">
        <v>137.0</v>
      </c>
      <c r="K27" s="20" t="n">
        <v>32.0</v>
      </c>
      <c r="L27">
        <f si="2" t="shared"/>
        <v>2518</v>
      </c>
      <c r="M27" s="19">
        <f si="3" t="shared"/>
        <v>2.4016863309901472E-2</v>
      </c>
    </row>
    <row r="28" spans="1:13" x14ac:dyDescent="0.45">
      <c r="A28">
        <v>17</v>
      </c>
      <c r="B28" s="7" t="n">
        <v>2378.4502832313347</v>
      </c>
      <c r="C28" s="7" t="n">
        <v>174.912698759493</v>
      </c>
      <c r="D28" s="7" t="n">
        <v>0.0</v>
      </c>
      <c r="E28" s="7">
        <f si="0" t="shared"/>
        <v>2553.3629819908278</v>
      </c>
      <c r="F28" s="19">
        <f si="1" t="shared"/>
        <v>2.1106250154345675E-2</v>
      </c>
      <c r="H28" s="20">
        <v>17</v>
      </c>
      <c r="I28" s="20" t="n">
        <v>1920.0</v>
      </c>
      <c r="J28" s="20" t="n">
        <v>106.0</v>
      </c>
      <c r="K28" s="20" t="n">
        <v>17.0</v>
      </c>
      <c r="L28">
        <f si="2" t="shared"/>
        <v>1987</v>
      </c>
      <c r="M28" s="19">
        <f si="3" t="shared"/>
        <v>1.8952147496733209E-2</v>
      </c>
    </row>
    <row r="29" spans="1:13" x14ac:dyDescent="0.45">
      <c r="A29">
        <v>18</v>
      </c>
      <c r="B29" s="7" t="n">
        <v>1433.236950921429</v>
      </c>
      <c r="C29" s="7" t="n">
        <v>0.0</v>
      </c>
      <c r="D29" s="7" t="n">
        <v>0.0</v>
      </c>
      <c r="E29" s="7">
        <f si="0" t="shared"/>
        <v>1433.2369509214291</v>
      </c>
      <c r="F29" s="19">
        <f si="1" t="shared"/>
        <v>1.1847221812941598E-2</v>
      </c>
      <c r="H29" s="20">
        <v>18</v>
      </c>
      <c r="I29" s="20" t="n">
        <v>1584.0</v>
      </c>
      <c r="J29" s="20" t="n">
        <v>105.0</v>
      </c>
      <c r="K29" s="20" t="n">
        <v>18.0</v>
      </c>
      <c r="L29">
        <f si="2" t="shared"/>
        <v>1743</v>
      </c>
      <c r="M29" s="19">
        <f si="3" t="shared"/>
        <v>1.6624858121190734E-2</v>
      </c>
    </row>
    <row r="30" spans="1:13" x14ac:dyDescent="0.45">
      <c r="A30">
        <v>19</v>
      </c>
      <c r="B30" s="7" t="n">
        <v>2722.971254216981</v>
      </c>
      <c r="C30" s="7" t="n">
        <v>68.4372696958642</v>
      </c>
      <c r="D30" s="7" t="n">
        <v>0.0</v>
      </c>
      <c r="E30" s="7">
        <f si="0" t="shared"/>
        <v>2791.4085239128453</v>
      </c>
      <c r="F30" s="19">
        <f si="1" t="shared"/>
        <v>2.307394875081218E-2</v>
      </c>
      <c r="H30" s="20">
        <v>19</v>
      </c>
      <c r="I30" s="20" t="n">
        <v>1316.0</v>
      </c>
      <c r="J30" s="20" t="n">
        <v>74.0</v>
      </c>
      <c r="K30" s="20" t="n">
        <v>18.0</v>
      </c>
      <c r="L30">
        <f si="2" t="shared"/>
        <v>1445</v>
      </c>
      <c r="M30" s="19">
        <f si="3" t="shared"/>
        <v>1.3782512900241314E-2</v>
      </c>
    </row>
    <row r="31" spans="1:13" x14ac:dyDescent="0.45">
      <c r="A31">
        <v>20</v>
      </c>
      <c r="B31" s="7" t="n">
        <v>704.5878712348765</v>
      </c>
      <c r="C31" s="7" t="n">
        <v>0.0</v>
      </c>
      <c r="D31" s="7" t="n">
        <v>0.0</v>
      </c>
      <c r="E31" s="7">
        <f si="0" t="shared"/>
        <v>704.5878712348765</v>
      </c>
      <c r="F31" s="19">
        <f si="1" t="shared"/>
        <v>5.8241652169666426E-3</v>
      </c>
      <c r="H31" s="20">
        <v>20</v>
      </c>
      <c r="I31" s="20" t="n">
        <v>1134.0</v>
      </c>
      <c r="J31" s="20" t="n">
        <v>42.0</v>
      </c>
      <c r="K31" s="20" t="n">
        <v>14.0</v>
      </c>
      <c r="L31">
        <f si="2" t="shared"/>
        <v>1213</v>
      </c>
      <c r="M31" s="19">
        <f si="3" t="shared"/>
        <v>1.1569680379233711E-2</v>
      </c>
    </row>
    <row r="32" spans="1:13" x14ac:dyDescent="0.45">
      <c r="A32">
        <v>21</v>
      </c>
      <c r="B32" s="7" t="n">
        <v>2511.0868599655364</v>
      </c>
      <c r="C32" s="7" t="n">
        <v>0.0</v>
      </c>
      <c r="D32" s="7" t="n">
        <v>0.0</v>
      </c>
      <c r="E32" s="7">
        <f si="0" t="shared"/>
        <v>2511.0868599655364</v>
      </c>
      <c r="F32" s="19">
        <f si="1" t="shared"/>
        <v>2.0756793217233768E-2</v>
      </c>
      <c r="H32" s="20">
        <v>21</v>
      </c>
      <c r="I32" s="20" t="n">
        <v>1054.0</v>
      </c>
      <c r="J32" s="20" t="n">
        <v>50.0</v>
      </c>
      <c r="K32" s="20" t="n">
        <v>14.0</v>
      </c>
      <c r="L32">
        <f si="2" t="shared"/>
        <v>1033</v>
      </c>
      <c r="M32" s="19">
        <f si="3" t="shared"/>
        <v>9.8528275612105726E-3</v>
      </c>
    </row>
    <row r="33" spans="1:13" x14ac:dyDescent="0.45">
      <c r="A33">
        <v>22</v>
      </c>
      <c r="B33" s="7" t="n">
        <v>725.7112886554171</v>
      </c>
      <c r="C33" s="7" t="n">
        <v>373.032579152085</v>
      </c>
      <c r="D33" s="7" t="n">
        <v>0.0</v>
      </c>
      <c r="E33" s="7">
        <f si="0" t="shared"/>
        <v>1098.7438678075021</v>
      </c>
      <c r="F33" s="19">
        <f si="1" t="shared"/>
        <v>9.08228210914893E-3</v>
      </c>
      <c r="H33" s="20">
        <v>22</v>
      </c>
      <c r="I33" s="20" t="n">
        <v>831.0</v>
      </c>
      <c r="J33" s="20" t="n">
        <v>61.0</v>
      </c>
      <c r="K33" s="20" t="n">
        <v>12.0</v>
      </c>
      <c r="L33">
        <f si="2" t="shared"/>
        <v>968</v>
      </c>
      <c r="M33" s="19">
        <f si="3" t="shared"/>
        <v>9.232852932479994E-3</v>
      </c>
    </row>
    <row r="34" spans="1:13" x14ac:dyDescent="0.45">
      <c r="A34">
        <v>23</v>
      </c>
      <c r="B34" s="7" t="n">
        <v>518.0748042600482</v>
      </c>
      <c r="C34" s="7" t="n">
        <v>0.0</v>
      </c>
      <c r="D34" s="7" t="n">
        <v>0.0</v>
      </c>
      <c r="E34" s="7">
        <f si="0" t="shared"/>
        <v>518.07480426004815</v>
      </c>
      <c r="F34" s="19">
        <f si="1" t="shared"/>
        <v>4.2824371209653289E-3</v>
      </c>
      <c r="H34" s="20">
        <v>23</v>
      </c>
      <c r="I34" s="20" t="n">
        <v>734.0</v>
      </c>
      <c r="J34" s="20" t="n">
        <v>43.0</v>
      </c>
      <c r="K34" s="20" t="n">
        <v>10.0</v>
      </c>
      <c r="L34">
        <f si="2" t="shared"/>
        <v>786</v>
      </c>
      <c r="M34" s="19">
        <f si="3" t="shared"/>
        <v>7.4969239720343748E-3</v>
      </c>
    </row>
    <row r="35" spans="1:13" x14ac:dyDescent="0.45">
      <c r="A35">
        <v>24</v>
      </c>
      <c r="B35" s="7" t="n">
        <v>856.7989721249394</v>
      </c>
      <c r="C35" s="7" t="n">
        <v>0.0</v>
      </c>
      <c r="D35" s="7" t="n">
        <v>0.0</v>
      </c>
      <c r="E35" s="7">
        <f si="0" t="shared"/>
        <v>856.79897212493938</v>
      </c>
      <c r="F35" s="19">
        <f si="1" t="shared"/>
        <v>7.082351222760924E-3</v>
      </c>
      <c r="H35" s="20">
        <v>24</v>
      </c>
      <c r="I35" s="20" t="n">
        <v>594.0</v>
      </c>
      <c r="J35" s="20" t="n">
        <v>30.0</v>
      </c>
      <c r="K35" s="20" t="n">
        <v>12.0</v>
      </c>
      <c r="L35">
        <f si="2" t="shared"/>
        <v>670</v>
      </c>
      <c r="M35" s="19">
        <f si="3" t="shared"/>
        <v>6.3905077115305742E-3</v>
      </c>
    </row>
    <row r="36" spans="1:13" x14ac:dyDescent="0.45">
      <c r="A36">
        <v>25</v>
      </c>
      <c r="B36" s="7" t="n">
        <v>1101.302595616244</v>
      </c>
      <c r="C36" s="7" t="n">
        <v>0.0</v>
      </c>
      <c r="D36" s="7" t="n">
        <v>0.0</v>
      </c>
      <c r="E36" s="7">
        <f si="0" t="shared"/>
        <v>1101.3025956162439</v>
      </c>
      <c r="F36" s="19">
        <f si="1" t="shared"/>
        <v>9.1034327052800287E-3</v>
      </c>
      <c r="H36" s="20">
        <v>25</v>
      </c>
      <c r="I36" s="20" t="n">
        <v>558.0</v>
      </c>
      <c r="J36" s="20" t="n">
        <v>29.0</v>
      </c>
      <c r="K36" s="20" t="n">
        <v>9.0</v>
      </c>
      <c r="L36">
        <f si="2" t="shared"/>
        <v>558</v>
      </c>
      <c r="M36" s="19">
        <f si="3" t="shared"/>
        <v>5.3222437358717324E-3</v>
      </c>
    </row>
    <row r="37" spans="1:13" x14ac:dyDescent="0.45">
      <c r="A37">
        <v>26</v>
      </c>
      <c r="B37" s="7" t="n">
        <v>535.7215607462158</v>
      </c>
      <c r="C37" s="7" t="n">
        <v>448.214879450001</v>
      </c>
      <c r="D37" s="7" t="n">
        <v>0.0</v>
      </c>
      <c r="E37" s="7">
        <f si="0" t="shared"/>
        <v>983.93644019621684</v>
      </c>
      <c r="F37" s="19">
        <f si="1" t="shared"/>
        <v>8.1332770895604437E-3</v>
      </c>
      <c r="H37" s="20">
        <v>26</v>
      </c>
      <c r="I37" s="20" t="n">
        <v>457.0</v>
      </c>
      <c r="J37" s="20" t="n">
        <v>28.0</v>
      </c>
      <c r="K37" s="20" t="n">
        <v>7.0</v>
      </c>
      <c r="L37">
        <f si="2" t="shared"/>
        <v>471</v>
      </c>
      <c r="M37" s="19">
        <f si="3" t="shared"/>
        <v>4.4924315404938813E-3</v>
      </c>
    </row>
    <row r="38" spans="1:13" x14ac:dyDescent="0.45">
      <c r="A38">
        <v>27</v>
      </c>
      <c r="B38" s="7" t="n">
        <v>41.7997242731165</v>
      </c>
      <c r="C38" s="7" t="n">
        <v>161.382184355899</v>
      </c>
      <c r="D38" s="7" t="n">
        <v>0.0</v>
      </c>
      <c r="E38" s="7">
        <f si="0" t="shared"/>
        <v>203.18190862901551</v>
      </c>
      <c r="F38" s="19">
        <f si="1" t="shared"/>
        <v>1.6795137317365605E-3</v>
      </c>
      <c r="H38" s="20">
        <v>27</v>
      </c>
      <c r="I38" s="20" t="n">
        <v>393.0</v>
      </c>
      <c r="J38" s="20" t="n">
        <v>18.0</v>
      </c>
      <c r="K38" s="20" t="n">
        <v>8.0</v>
      </c>
      <c r="L38">
        <f si="2" t="shared"/>
        <v>424</v>
      </c>
      <c r="M38" s="19">
        <f si="3" t="shared"/>
        <v>4.0441421935656172E-3</v>
      </c>
    </row>
    <row r="39" spans="1:13" x14ac:dyDescent="0.45">
      <c r="A39">
        <v>28</v>
      </c>
      <c r="B39" s="7" t="n">
        <v>0.0</v>
      </c>
      <c r="C39" s="7" t="n">
        <v>0.0</v>
      </c>
      <c r="D39" s="7" t="n">
        <v>0.0</v>
      </c>
      <c r="E39" s="7">
        <f si="0" t="shared"/>
        <v>0</v>
      </c>
      <c r="F39" s="19">
        <f si="1" t="shared"/>
        <v>0</v>
      </c>
      <c r="H39" s="20">
        <v>28</v>
      </c>
      <c r="I39" s="20" t="n">
        <v>321.0</v>
      </c>
      <c r="J39" s="20" t="n">
        <v>14.0</v>
      </c>
      <c r="K39" s="20" t="n">
        <v>1.0</v>
      </c>
      <c r="L39">
        <f si="2" t="shared"/>
        <v>376</v>
      </c>
      <c r="M39" s="19">
        <f si="3" t="shared"/>
        <v>3.5863147754261132E-3</v>
      </c>
    </row>
    <row r="40" spans="1:13" x14ac:dyDescent="0.45">
      <c r="A40">
        <v>29</v>
      </c>
      <c r="B40" s="7" t="n">
        <v>99.7364923321243</v>
      </c>
      <c r="C40" s="7" t="n">
        <v>0.0</v>
      </c>
      <c r="D40" s="7" t="n">
        <v>0.0</v>
      </c>
      <c r="E40" s="7">
        <f si="0" t="shared"/>
        <v>99.7364923321243</v>
      </c>
      <c r="F40" s="19">
        <f si="1" t="shared"/>
        <v>8.2442777291206006E-4</v>
      </c>
      <c r="H40" s="20">
        <v>29</v>
      </c>
      <c r="I40" s="20" t="n">
        <v>329.0</v>
      </c>
      <c r="J40" s="20" t="n">
        <v>20.0</v>
      </c>
      <c r="K40" s="20" t="n">
        <v>3.0</v>
      </c>
      <c r="L40">
        <f si="2" t="shared"/>
        <v>378</v>
      </c>
      <c r="M40" s="19">
        <f si="3" t="shared"/>
        <v>3.6053909178485927E-3</v>
      </c>
    </row>
    <row r="41" spans="1:13" x14ac:dyDescent="0.45">
      <c r="A41">
        <v>30</v>
      </c>
      <c r="B41" s="7" t="n">
        <v>256.3070427211015</v>
      </c>
      <c r="C41" s="7" t="n">
        <v>0.0</v>
      </c>
      <c r="D41" s="7" t="n">
        <v>0.0</v>
      </c>
      <c r="E41" s="7">
        <f si="0" t="shared"/>
        <v>256.30704272110148</v>
      </c>
      <c r="F41" s="19">
        <f si="1" t="shared"/>
        <v>2.1186492473444828E-3</v>
      </c>
      <c r="H41" s="20">
        <v>30</v>
      </c>
      <c r="I41" s="20" t="n">
        <v>277.0</v>
      </c>
      <c r="J41" s="20" t="n">
        <v>13.0</v>
      </c>
      <c r="K41" s="20" t="n">
        <v>1.0</v>
      </c>
      <c r="L41">
        <f si="2" t="shared"/>
        <v>281</v>
      </c>
      <c r="M41" s="19">
        <f si="3" t="shared"/>
        <v>2.6801980103583452E-3</v>
      </c>
    </row>
    <row r="42" spans="1:13" x14ac:dyDescent="0.45">
      <c r="A42">
        <v>31</v>
      </c>
      <c r="B42" s="7" t="n">
        <v>49.6927684640005</v>
      </c>
      <c r="C42" s="7" t="n">
        <v>0.0</v>
      </c>
      <c r="D42" s="7" t="n">
        <v>0.0</v>
      </c>
      <c r="E42" s="7">
        <f si="0" t="shared"/>
        <v>49.692768464000501</v>
      </c>
      <c r="F42" s="19">
        <f si="1" t="shared"/>
        <v>4.1076337734222786E-4</v>
      </c>
      <c r="H42" s="20">
        <v>31</v>
      </c>
      <c r="I42" s="20" t="n">
        <v>227.0</v>
      </c>
      <c r="J42" s="20" t="n">
        <v>11.0</v>
      </c>
      <c r="K42" s="20" t="n">
        <v>1.0</v>
      </c>
      <c r="L42">
        <f si="2" t="shared"/>
        <v>272</v>
      </c>
      <c r="M42" s="19">
        <f si="3" t="shared"/>
        <v>2.5943553694571884E-3</v>
      </c>
    </row>
    <row r="43" spans="1:13" x14ac:dyDescent="0.45">
      <c r="A43">
        <v>32</v>
      </c>
      <c r="B43" s="7" t="n">
        <v>0.0</v>
      </c>
      <c r="C43" s="7" t="n">
        <v>0.0</v>
      </c>
      <c r="D43" s="7" t="n">
        <v>0.0</v>
      </c>
      <c r="E43" s="7">
        <f si="0" t="shared"/>
        <v>0</v>
      </c>
      <c r="F43" s="19">
        <f si="1" t="shared"/>
        <v>0</v>
      </c>
      <c r="H43" s="20">
        <v>32</v>
      </c>
      <c r="I43" s="20" t="n">
        <v>270.0</v>
      </c>
      <c r="J43" s="20" t="n">
        <v>15.0</v>
      </c>
      <c r="K43" s="20" t="n">
        <v>4.0</v>
      </c>
      <c r="L43">
        <f si="2" t="shared"/>
        <v>231</v>
      </c>
      <c r="M43" s="19">
        <f si="3" t="shared"/>
        <v>2.2032944497963622E-3</v>
      </c>
    </row>
    <row r="44" spans="1:13" x14ac:dyDescent="0.45">
      <c r="A44">
        <v>33</v>
      </c>
      <c r="B44" s="7" t="n">
        <v>548.26651903623</v>
      </c>
      <c r="C44" s="7" t="n">
        <v>0.0</v>
      </c>
      <c r="D44" s="7" t="n">
        <v>0.0</v>
      </c>
      <c r="E44" s="7">
        <f si="0" t="shared"/>
        <v>548.26651903622997</v>
      </c>
      <c r="F44" s="19">
        <f si="1" t="shared"/>
        <v>4.5320036295852292E-3</v>
      </c>
      <c r="H44" s="20">
        <v>33</v>
      </c>
      <c r="I44" s="20" t="n">
        <v>221.0</v>
      </c>
      <c r="J44" s="20" t="n">
        <v>14.0</v>
      </c>
      <c r="K44" s="20" t="n">
        <v>2.0</v>
      </c>
      <c r="L44">
        <f si="2" t="shared"/>
        <v>263</v>
      </c>
      <c r="M44" s="19">
        <f si="3" t="shared"/>
        <v>2.5085127285560315E-3</v>
      </c>
    </row>
    <row r="45" spans="1:13" x14ac:dyDescent="0.45">
      <c r="A45">
        <v>34</v>
      </c>
      <c r="B45" s="7" t="n">
        <v>435.038334022554</v>
      </c>
      <c r="C45" s="7" t="n">
        <v>0.0</v>
      </c>
      <c r="D45" s="7" t="n">
        <v>0.0</v>
      </c>
      <c r="E45" s="7">
        <f si="0" t="shared"/>
        <v>435.03833402255401</v>
      </c>
      <c r="F45" s="19">
        <f si="1" t="shared"/>
        <v>3.5960527231622564E-3</v>
      </c>
      <c r="H45" s="20">
        <v>34</v>
      </c>
      <c r="I45" s="20" t="n">
        <v>178.0</v>
      </c>
      <c r="J45" s="20" t="n">
        <v>8.0</v>
      </c>
      <c r="K45" s="20" t="n">
        <v>1.0</v>
      </c>
      <c r="L45">
        <f si="2" t="shared"/>
        <v>216</v>
      </c>
      <c r="M45" s="19">
        <f si="3" t="shared"/>
        <v>2.0602233816277671E-3</v>
      </c>
    </row>
    <row r="46" spans="1:13" x14ac:dyDescent="0.45">
      <c r="A46">
        <v>35</v>
      </c>
      <c r="B46" s="7" t="n">
        <v>121.411309128618</v>
      </c>
      <c r="C46" s="7" t="n">
        <v>0.0</v>
      </c>
      <c r="D46" s="7" t="n">
        <v>0.0</v>
      </c>
      <c r="E46" s="7">
        <f si="0" t="shared"/>
        <v>121.411309128618</v>
      </c>
      <c r="F46" s="19">
        <f si="1" t="shared"/>
        <v>1.0035930966764558E-3</v>
      </c>
      <c r="H46" s="20">
        <v>35</v>
      </c>
      <c r="I46" s="20" t="n">
        <v>176.0</v>
      </c>
      <c r="J46" s="20" t="n">
        <v>6.0</v>
      </c>
      <c r="K46" s="20" t="n">
        <v>1.0</v>
      </c>
      <c r="L46">
        <f si="2" t="shared"/>
        <v>168</v>
      </c>
      <c r="M46" s="19">
        <f si="3" t="shared"/>
        <v>1.6023959634882633E-3</v>
      </c>
    </row>
    <row r="47" spans="1:13" x14ac:dyDescent="0.45">
      <c r="A47">
        <v>36</v>
      </c>
      <c r="B47" s="7" t="n">
        <v>345.0336547491948</v>
      </c>
      <c r="C47" s="7" t="n">
        <v>49.273892885144</v>
      </c>
      <c r="D47" s="7" t="n">
        <v>0.0</v>
      </c>
      <c r="E47" s="7">
        <f si="0" t="shared"/>
        <v>394.30754763433879</v>
      </c>
      <c r="F47" s="19">
        <f si="1" t="shared"/>
        <v>3.2593696222650193E-3</v>
      </c>
      <c r="H47" s="20">
        <v>36</v>
      </c>
      <c r="I47" s="20" t="n">
        <v>176.0</v>
      </c>
      <c r="J47" s="20" t="n">
        <v>7.0</v>
      </c>
      <c r="K47" s="20" t="n">
        <v>2.0</v>
      </c>
      <c r="L47">
        <f si="2" t="shared"/>
        <v>175</v>
      </c>
      <c r="M47" s="19">
        <f si="3" t="shared"/>
        <v>1.6691624619669411E-3</v>
      </c>
    </row>
    <row r="48" spans="1:13" x14ac:dyDescent="0.45">
      <c r="A48">
        <v>37</v>
      </c>
      <c r="B48" s="7" t="n">
        <v>0.0</v>
      </c>
      <c r="C48" s="7" t="n">
        <v>0.0</v>
      </c>
      <c r="D48" s="7" t="n">
        <v>0.0</v>
      </c>
      <c r="E48" s="7">
        <f si="0" t="shared"/>
        <v>0</v>
      </c>
      <c r="F48" s="19">
        <f si="1" t="shared"/>
        <v>0</v>
      </c>
      <c r="H48" s="20">
        <v>37</v>
      </c>
      <c r="I48" s="20" t="n">
        <v>142.0</v>
      </c>
      <c r="J48" s="20" t="n">
        <v>7.0</v>
      </c>
      <c r="K48" s="20" t="n">
        <v>2.0</v>
      </c>
      <c r="L48">
        <f si="2" t="shared"/>
        <v>163</v>
      </c>
      <c r="M48" s="19">
        <f si="3" t="shared"/>
        <v>1.5547056074320651E-3</v>
      </c>
    </row>
    <row r="49" spans="1:13" x14ac:dyDescent="0.45">
      <c r="A49">
        <v>38</v>
      </c>
      <c r="B49" s="7" t="n">
        <v>44.1138647319325</v>
      </c>
      <c r="C49" s="7" t="n">
        <v>0.0</v>
      </c>
      <c r="D49" s="7" t="n">
        <v>0.0</v>
      </c>
      <c r="E49" s="7">
        <f si="0" t="shared"/>
        <v>44.113864731932502</v>
      </c>
      <c r="F49" s="19">
        <f si="1" t="shared"/>
        <v>3.6464782754122316E-4</v>
      </c>
      <c r="H49" s="20">
        <v>38</v>
      </c>
      <c r="I49" s="20" t="n">
        <v>120.0</v>
      </c>
      <c r="J49" s="20" t="n">
        <v>5.0</v>
      </c>
      <c r="K49" s="20" t="n">
        <v>3.0</v>
      </c>
      <c r="L49">
        <f si="2" t="shared"/>
        <v>135</v>
      </c>
      <c r="M49" s="19">
        <f si="3" t="shared"/>
        <v>1.2876396135173545E-3</v>
      </c>
    </row>
    <row r="50" spans="1:13" x14ac:dyDescent="0.45">
      <c r="A50">
        <v>39</v>
      </c>
      <c r="B50" s="7" t="n">
        <v>0.0</v>
      </c>
      <c r="C50" s="7" t="n">
        <v>0.0</v>
      </c>
      <c r="D50" s="7" t="n">
        <v>0.0</v>
      </c>
      <c r="E50" s="7">
        <f si="0" t="shared"/>
        <v>0</v>
      </c>
      <c r="F50" s="19">
        <f si="1" t="shared"/>
        <v>0</v>
      </c>
      <c r="H50" s="20">
        <v>39</v>
      </c>
      <c r="I50" s="20" t="n">
        <v>125.0</v>
      </c>
      <c r="J50" s="20" t="n">
        <v>8.0</v>
      </c>
      <c r="K50" s="20" t="n">
        <v>1.0</v>
      </c>
      <c r="L50">
        <f si="2" t="shared"/>
        <v>146</v>
      </c>
      <c r="M50" s="19">
        <f si="3" t="shared"/>
        <v>1.3925583968409907E-3</v>
      </c>
    </row>
    <row r="51" spans="1:13" x14ac:dyDescent="0.45">
      <c r="A51">
        <v>40</v>
      </c>
      <c r="B51" s="7" t="n">
        <v>142.837231404356</v>
      </c>
      <c r="C51" s="7" t="n">
        <v>0.0</v>
      </c>
      <c r="D51" s="7" t="n">
        <v>0.0</v>
      </c>
      <c r="E51" s="7">
        <f si="0" t="shared"/>
        <v>142.837231404356</v>
      </c>
      <c r="F51" s="19">
        <f si="1" t="shared"/>
        <v>1.1807010435405958E-3</v>
      </c>
      <c r="H51" s="20">
        <v>40</v>
      </c>
      <c r="I51" s="20" t="n">
        <v>125.0</v>
      </c>
      <c r="J51" s="20" t="n">
        <v>7.0</v>
      </c>
      <c r="K51" s="20" t="n">
        <v>0.0</v>
      </c>
      <c r="L51">
        <f si="2" t="shared"/>
        <v>120</v>
      </c>
      <c r="M51" s="19">
        <f si="3" t="shared"/>
        <v>1.1445685453487595E-3</v>
      </c>
    </row>
    <row r="52" spans="1:13" x14ac:dyDescent="0.45">
      <c r="A52">
        <v>41</v>
      </c>
      <c r="B52" s="7" t="n">
        <v>702.0139362752136</v>
      </c>
      <c r="C52" s="7" t="n">
        <v>0.0</v>
      </c>
      <c r="D52" s="7" t="n">
        <v>0.0</v>
      </c>
      <c r="E52" s="7">
        <f si="0" t="shared"/>
        <v>702.01393627521361</v>
      </c>
      <c r="F52" s="19">
        <f si="1" t="shared"/>
        <v>5.8028889176222759E-3</v>
      </c>
      <c r="H52" s="20">
        <v>41</v>
      </c>
      <c r="I52" s="20" t="n">
        <v>106.0</v>
      </c>
      <c r="J52" s="20" t="n">
        <v>6.0</v>
      </c>
      <c r="K52" s="20" t="n">
        <v>0.0</v>
      </c>
      <c r="L52">
        <f si="2" t="shared"/>
        <v>93</v>
      </c>
      <c r="M52" s="19">
        <f si="3" t="shared"/>
        <v>8.870406226452887E-4</v>
      </c>
    </row>
    <row r="53" spans="1:13" x14ac:dyDescent="0.45">
      <c r="A53">
        <v>42</v>
      </c>
      <c r="B53" s="7" t="n">
        <v>0.0</v>
      </c>
      <c r="C53" s="7" t="n">
        <v>0.0</v>
      </c>
      <c r="D53" s="7" t="n">
        <v>0.0</v>
      </c>
      <c r="E53" s="7">
        <f si="0" t="shared"/>
        <v>0</v>
      </c>
      <c r="F53" s="19">
        <f si="1" t="shared"/>
        <v>0</v>
      </c>
      <c r="H53" s="20">
        <v>42</v>
      </c>
      <c r="I53" s="20" t="n">
        <v>106.0</v>
      </c>
      <c r="J53" s="20" t="n">
        <v>5.0</v>
      </c>
      <c r="K53" s="20" t="n">
        <v>2.0</v>
      </c>
      <c r="L53">
        <f si="2" t="shared"/>
        <v>99</v>
      </c>
      <c r="M53" s="19">
        <f si="3" t="shared"/>
        <v>9.442690499127267E-4</v>
      </c>
    </row>
    <row r="54" spans="1:13" x14ac:dyDescent="0.45">
      <c r="A54">
        <v>43</v>
      </c>
      <c r="B54" s="7" t="n">
        <v>0.0</v>
      </c>
      <c r="C54" s="7" t="n">
        <v>0.0</v>
      </c>
      <c r="D54" s="7" t="n">
        <v>0.0</v>
      </c>
      <c r="E54" s="7">
        <f si="0" t="shared"/>
        <v>0</v>
      </c>
      <c r="F54" s="19">
        <f si="1" t="shared"/>
        <v>0</v>
      </c>
      <c r="H54" s="20">
        <v>43</v>
      </c>
      <c r="I54" s="20" t="n">
        <v>79.0</v>
      </c>
      <c r="J54" s="20" t="n">
        <v>4.0</v>
      </c>
      <c r="K54" s="20" t="n">
        <v>1.0</v>
      </c>
      <c r="L54">
        <f si="2" t="shared"/>
        <v>100</v>
      </c>
      <c r="M54" s="19">
        <f si="3" t="shared"/>
        <v>9.5380712112396631E-4</v>
      </c>
    </row>
    <row r="55" spans="1:13" x14ac:dyDescent="0.45">
      <c r="A55">
        <v>44</v>
      </c>
      <c r="B55" s="7" t="n">
        <v>0.0</v>
      </c>
      <c r="C55" s="7" t="n">
        <v>0.0</v>
      </c>
      <c r="D55" s="7" t="n">
        <v>0.0</v>
      </c>
      <c r="E55" s="7">
        <f si="0" t="shared"/>
        <v>0</v>
      </c>
      <c r="F55" s="19">
        <f si="1" t="shared"/>
        <v>0</v>
      </c>
      <c r="H55" s="20">
        <v>44</v>
      </c>
      <c r="I55" s="20" t="n">
        <v>95.0</v>
      </c>
      <c r="J55" s="20" t="n">
        <v>3.0</v>
      </c>
      <c r="K55" s="20" t="n">
        <v>4.0</v>
      </c>
      <c r="L55">
        <f si="2" t="shared"/>
        <v>115</v>
      </c>
      <c r="M55" s="19">
        <f si="3" t="shared"/>
        <v>1.0968781892925614E-3</v>
      </c>
    </row>
    <row r="56" spans="1:13" x14ac:dyDescent="0.45">
      <c r="A56">
        <v>45</v>
      </c>
      <c r="B56" s="7" t="n">
        <v>71.6261231655712</v>
      </c>
      <c r="C56" s="7" t="n">
        <v>43.3928124944899</v>
      </c>
      <c r="D56" s="7" t="n">
        <v>0.0</v>
      </c>
      <c r="E56" s="7">
        <f si="0" t="shared"/>
        <v>115.0189356600611</v>
      </c>
      <c r="F56" s="19">
        <f si="1" t="shared"/>
        <v>9.507533576894946E-4</v>
      </c>
      <c r="H56" s="20">
        <v>45</v>
      </c>
      <c r="I56" s="20" t="n">
        <v>66.0</v>
      </c>
      <c r="J56" s="20" t="n">
        <v>2.0</v>
      </c>
      <c r="K56" s="20" t="n">
        <v>3.0</v>
      </c>
      <c r="L56">
        <f si="2" t="shared"/>
        <v>66</v>
      </c>
      <c r="M56" s="19">
        <f si="3" t="shared"/>
        <v>6.2951269994181776E-4</v>
      </c>
    </row>
    <row r="57" spans="1:13" x14ac:dyDescent="0.45">
      <c r="A57">
        <v>46</v>
      </c>
      <c r="B57" s="7" t="n">
        <v>0.0</v>
      </c>
      <c r="C57" s="7" t="n">
        <v>0.0</v>
      </c>
      <c r="D57" s="7" t="n">
        <v>0.0</v>
      </c>
      <c r="E57" s="7">
        <f si="0" t="shared"/>
        <v>0</v>
      </c>
      <c r="F57" s="19">
        <f si="1" t="shared"/>
        <v>0</v>
      </c>
      <c r="H57" s="20">
        <v>46</v>
      </c>
      <c r="I57" s="20" t="n">
        <v>60.0</v>
      </c>
      <c r="J57" s="20" t="n">
        <v>5.0</v>
      </c>
      <c r="K57" s="20" t="n">
        <v>1.0</v>
      </c>
      <c r="L57">
        <f si="2" t="shared"/>
        <v>83</v>
      </c>
      <c r="M57" s="19">
        <f si="3" t="shared"/>
        <v>7.9165991053289204E-4</v>
      </c>
    </row>
    <row r="58" spans="1:13" x14ac:dyDescent="0.45">
      <c r="A58">
        <v>47</v>
      </c>
      <c r="B58" s="7" t="n">
        <v>0.0</v>
      </c>
      <c r="C58" s="7" t="n">
        <v>0.0</v>
      </c>
      <c r="D58" s="7" t="n">
        <v>0.0</v>
      </c>
      <c r="E58" s="7">
        <f si="0" t="shared"/>
        <v>0</v>
      </c>
      <c r="F58" s="19">
        <f si="1" t="shared"/>
        <v>0</v>
      </c>
      <c r="H58" s="20">
        <v>47</v>
      </c>
      <c r="I58" s="20" t="n">
        <v>78.0</v>
      </c>
      <c r="J58" s="20" t="n">
        <v>3.0</v>
      </c>
      <c r="K58" s="20" t="n">
        <v>1.0</v>
      </c>
      <c r="L58">
        <f si="2" t="shared"/>
        <v>79</v>
      </c>
      <c r="M58" s="19">
        <f si="3" t="shared"/>
        <v>7.5350762568793337E-4</v>
      </c>
    </row>
    <row r="59" spans="1:13" x14ac:dyDescent="0.45">
      <c r="A59">
        <v>48</v>
      </c>
      <c r="B59" s="7" t="n">
        <v>0.0</v>
      </c>
      <c r="C59" s="7" t="n">
        <v>0.0</v>
      </c>
      <c r="D59" s="7" t="n">
        <v>0.0</v>
      </c>
      <c r="E59" s="7">
        <f si="0" t="shared"/>
        <v>0</v>
      </c>
      <c r="F59" s="19">
        <f si="1" t="shared"/>
        <v>0</v>
      </c>
      <c r="H59" s="20">
        <v>48</v>
      </c>
      <c r="I59" s="20" t="n">
        <v>57.0</v>
      </c>
      <c r="J59" s="20" t="n">
        <v>2.0</v>
      </c>
      <c r="K59" s="20" t="n">
        <v>0.0</v>
      </c>
      <c r="L59">
        <f si="2" t="shared"/>
        <v>56</v>
      </c>
      <c r="M59" s="19">
        <f si="3" t="shared"/>
        <v>5.341319878294211E-4</v>
      </c>
    </row>
    <row r="60" spans="1:13" x14ac:dyDescent="0.45">
      <c r="A60">
        <v>49</v>
      </c>
      <c r="B60" s="7" t="n">
        <v>0.0</v>
      </c>
      <c r="C60" s="7" t="n">
        <v>0.0</v>
      </c>
      <c r="D60" s="7" t="n">
        <v>0.0</v>
      </c>
      <c r="E60" s="7">
        <f si="0" t="shared"/>
        <v>0</v>
      </c>
      <c r="F60" s="19">
        <f si="1" t="shared"/>
        <v>0</v>
      </c>
      <c r="H60" s="20">
        <v>49</v>
      </c>
      <c r="I60" s="20" t="n">
        <v>54.0</v>
      </c>
      <c r="J60" s="20" t="n">
        <v>1.0</v>
      </c>
      <c r="K60" s="20" t="n">
        <v>0.0</v>
      </c>
      <c r="L60">
        <f si="2" t="shared"/>
        <v>103</v>
      </c>
      <c r="M60" s="19">
        <f si="3" t="shared"/>
        <v>9.8242133475768536E-4</v>
      </c>
    </row>
    <row r="61" spans="1:13" x14ac:dyDescent="0.45">
      <c r="A61">
        <v>50</v>
      </c>
      <c r="B61" s="7" t="n">
        <v>69.0298907107638</v>
      </c>
      <c r="C61" s="7" t="n">
        <v>0.0</v>
      </c>
      <c r="D61" s="7" t="n">
        <v>0.0</v>
      </c>
      <c r="E61" s="7">
        <f si="0" t="shared"/>
        <v>69.029890710763794</v>
      </c>
      <c r="F61" s="19">
        <f si="1" t="shared"/>
        <v>5.7060517903042001E-4</v>
      </c>
      <c r="H61" s="20">
        <v>50</v>
      </c>
      <c r="I61" s="20" t="n">
        <v>61.0</v>
      </c>
      <c r="J61" s="20" t="n">
        <v>6.0</v>
      </c>
      <c r="K61" s="20" t="n">
        <v>0.0</v>
      </c>
      <c r="L61">
        <f si="2" t="shared"/>
        <v>51</v>
      </c>
      <c r="M61" s="19">
        <f si="3" t="shared"/>
        <v>4.8644163177322282E-4</v>
      </c>
    </row>
    <row r="62" spans="1:13" x14ac:dyDescent="0.45">
      <c r="A62">
        <v>51</v>
      </c>
      <c r="B62" s="7" t="n">
        <v>0.0</v>
      </c>
      <c r="C62" s="7" t="n">
        <v>0.0</v>
      </c>
      <c r="D62" s="7" t="n">
        <v>0.0</v>
      </c>
      <c r="E62" s="7">
        <f si="0" t="shared"/>
        <v>0</v>
      </c>
      <c r="F62" s="19">
        <f si="1" t="shared"/>
        <v>0</v>
      </c>
      <c r="H62" s="20">
        <v>51</v>
      </c>
      <c r="I62" s="20" t="n">
        <v>76.0</v>
      </c>
      <c r="J62" s="20" t="n">
        <v>6.0</v>
      </c>
      <c r="K62" s="20" t="n">
        <v>1.0</v>
      </c>
      <c r="L62">
        <f si="2" t="shared"/>
        <v>77</v>
      </c>
      <c r="M62" s="19">
        <f si="3" t="shared"/>
        <v>7.3443148326545404E-4</v>
      </c>
    </row>
    <row r="63" spans="1:13" x14ac:dyDescent="0.45">
      <c r="A63">
        <v>52</v>
      </c>
      <c r="B63" s="7" t="n">
        <v>0.0</v>
      </c>
      <c r="C63" s="7" t="n">
        <v>0.0</v>
      </c>
      <c r="D63" s="7" t="n">
        <v>0.0</v>
      </c>
      <c r="E63" s="7">
        <f si="0" t="shared"/>
        <v>0</v>
      </c>
      <c r="F63" s="19">
        <f si="1" t="shared"/>
        <v>0</v>
      </c>
      <c r="H63" s="20">
        <v>52</v>
      </c>
      <c r="I63" s="20" t="n">
        <v>42.0</v>
      </c>
      <c r="J63" s="20" t="n">
        <v>4.0</v>
      </c>
      <c r="K63" s="20" t="n">
        <v>0.0</v>
      </c>
      <c r="L63">
        <f si="2" t="shared"/>
        <v>45</v>
      </c>
      <c r="M63" s="19">
        <f si="3" t="shared"/>
        <v>4.2921320450578482E-4</v>
      </c>
    </row>
    <row r="64" spans="1:13" x14ac:dyDescent="0.45">
      <c r="A64">
        <v>53</v>
      </c>
      <c r="B64" s="7" t="n">
        <v>0.0</v>
      </c>
      <c r="C64" s="7" t="n">
        <v>0.0</v>
      </c>
      <c r="D64" s="7" t="n">
        <v>0.0</v>
      </c>
      <c r="E64" s="7">
        <f si="0" t="shared"/>
        <v>0</v>
      </c>
      <c r="F64" s="19">
        <f si="1" t="shared"/>
        <v>0</v>
      </c>
      <c r="H64" s="20">
        <v>53</v>
      </c>
      <c r="I64" s="20" t="n">
        <v>44.0</v>
      </c>
      <c r="J64" s="20" t="n">
        <v>6.0</v>
      </c>
      <c r="K64" s="20" t="n">
        <v>4.0</v>
      </c>
      <c r="L64">
        <f si="2" t="shared"/>
        <v>35</v>
      </c>
      <c r="M64" s="19">
        <f si="3" t="shared"/>
        <v>3.3383249239338821E-4</v>
      </c>
    </row>
    <row r="65" spans="1:13" x14ac:dyDescent="0.45">
      <c r="A65">
        <v>54</v>
      </c>
      <c r="B65" s="7" t="n">
        <v>0.0</v>
      </c>
      <c r="C65" s="7" t="n">
        <v>0.0</v>
      </c>
      <c r="D65" s="7" t="n">
        <v>0.0</v>
      </c>
      <c r="E65" s="7">
        <f si="0" t="shared"/>
        <v>0</v>
      </c>
      <c r="F65" s="19">
        <f si="1" t="shared"/>
        <v>0</v>
      </c>
      <c r="H65" s="20">
        <v>54</v>
      </c>
      <c r="I65" s="20" t="n">
        <v>113.0</v>
      </c>
      <c r="J65" s="20" t="n">
        <v>11.0</v>
      </c>
      <c r="K65" s="20" t="n">
        <v>0.0</v>
      </c>
      <c r="L65">
        <f si="2" t="shared"/>
        <v>107</v>
      </c>
      <c r="M65" s="19">
        <f si="3" t="shared"/>
        <v>1.020573619602644E-3</v>
      </c>
    </row>
    <row r="66" spans="1:13" x14ac:dyDescent="0.45">
      <c r="A66">
        <v>55</v>
      </c>
      <c r="B66" s="7" t="n">
        <v>183.727903059547</v>
      </c>
      <c r="C66" s="7" t="n">
        <v>0.0</v>
      </c>
      <c r="D66" s="7" t="n">
        <v>0.0</v>
      </c>
      <c r="E66" s="7">
        <f si="0" t="shared"/>
        <v>183.727903059547</v>
      </c>
      <c r="F66" s="19">
        <f si="1" t="shared"/>
        <v>1.5187057655565641E-3</v>
      </c>
      <c r="H66" s="20">
        <v>55</v>
      </c>
      <c r="I66" s="20" t="n">
        <v>51.0</v>
      </c>
      <c r="J66" s="20" t="n">
        <v>3.0</v>
      </c>
      <c r="K66" s="20" t="n">
        <v>1.0</v>
      </c>
      <c r="L66">
        <f si="2" t="shared"/>
        <v>52</v>
      </c>
      <c r="M66" s="19">
        <f si="3" t="shared"/>
        <v>4.9597970298446243E-4</v>
      </c>
    </row>
    <row r="67" spans="1:13" x14ac:dyDescent="0.45">
      <c r="A67">
        <v>56</v>
      </c>
      <c r="B67" s="7" t="n">
        <v>0.0</v>
      </c>
      <c r="C67" s="7" t="n">
        <v>0.0</v>
      </c>
      <c r="D67" s="7" t="n">
        <v>0.0</v>
      </c>
      <c r="E67" s="7">
        <f si="0" t="shared"/>
        <v>0</v>
      </c>
      <c r="F67" s="19">
        <f si="1" t="shared"/>
        <v>0</v>
      </c>
      <c r="H67" s="20">
        <v>56</v>
      </c>
      <c r="I67" s="20" t="n">
        <v>32.0</v>
      </c>
      <c r="J67" s="20" t="n">
        <v>1.0</v>
      </c>
      <c r="K67" s="20" t="n">
        <v>1.0</v>
      </c>
      <c r="L67">
        <f si="2" t="shared"/>
        <v>36</v>
      </c>
      <c r="M67" s="19">
        <f si="3" t="shared"/>
        <v>3.4337056360462788E-4</v>
      </c>
    </row>
    <row r="68" spans="1:13" x14ac:dyDescent="0.45">
      <c r="A68">
        <v>57</v>
      </c>
      <c r="B68" s="7" t="n">
        <v>329.61473103625</v>
      </c>
      <c r="C68" s="7" t="n">
        <v>0.0</v>
      </c>
      <c r="D68" s="7" t="n">
        <v>0.0</v>
      </c>
      <c r="E68" s="7">
        <f si="0" t="shared"/>
        <v>329.61473103625002</v>
      </c>
      <c r="F68" s="19">
        <f si="1" t="shared"/>
        <v>2.7246149556003278E-3</v>
      </c>
      <c r="H68" s="20">
        <v>57</v>
      </c>
      <c r="I68" s="20" t="n">
        <v>62.0</v>
      </c>
      <c r="J68" s="20" t="n">
        <v>4.0</v>
      </c>
      <c r="K68" s="20" t="n">
        <v>1.0</v>
      </c>
      <c r="L68">
        <f si="2" t="shared"/>
        <v>41</v>
      </c>
      <c r="M68" s="19">
        <f si="3" t="shared"/>
        <v>3.9106091966082621E-4</v>
      </c>
    </row>
    <row r="69" spans="1:13" x14ac:dyDescent="0.45">
      <c r="A69">
        <v>58</v>
      </c>
      <c r="B69" s="7" t="n">
        <v>0.0</v>
      </c>
      <c r="C69" s="7" t="n">
        <v>0.0</v>
      </c>
      <c r="D69" s="7" t="n">
        <v>0.0</v>
      </c>
      <c r="E69" s="7">
        <f si="0" t="shared"/>
        <v>0</v>
      </c>
      <c r="F69" s="19">
        <f si="1" t="shared"/>
        <v>0</v>
      </c>
      <c r="H69" s="20">
        <v>58</v>
      </c>
      <c r="I69" s="20" t="n">
        <v>29.0</v>
      </c>
      <c r="J69" s="20" t="n">
        <v>3.0</v>
      </c>
      <c r="K69" s="20" t="n">
        <v>2.0</v>
      </c>
      <c r="L69">
        <f si="2" t="shared"/>
        <v>30</v>
      </c>
      <c r="M69" s="19">
        <f si="3" t="shared"/>
        <v>2.8614213633718988E-4</v>
      </c>
    </row>
    <row r="70" spans="1:13" x14ac:dyDescent="0.45">
      <c r="A70">
        <v>59</v>
      </c>
      <c r="B70" s="7" t="n">
        <v>326.440653309611</v>
      </c>
      <c r="C70" s="7" t="n">
        <v>0.0</v>
      </c>
      <c r="D70" s="7" t="n">
        <v>0.0</v>
      </c>
      <c r="E70" s="7">
        <f si="0" t="shared"/>
        <v>326.44065330961098</v>
      </c>
      <c r="F70" s="19">
        <f si="1" t="shared"/>
        <v>2.698377840477923E-3</v>
      </c>
      <c r="H70" s="20">
        <v>59</v>
      </c>
      <c r="I70" s="20" t="n">
        <v>78.0</v>
      </c>
      <c r="J70" s="20" t="n">
        <v>8.0</v>
      </c>
      <c r="K70" s="20" t="n">
        <v>2.0</v>
      </c>
      <c r="L70">
        <f si="2" t="shared"/>
        <v>93</v>
      </c>
      <c r="M70" s="19">
        <f si="3" t="shared"/>
        <v>8.870406226452887E-4</v>
      </c>
    </row>
    <row r="71" spans="1:13" x14ac:dyDescent="0.45">
      <c r="A71">
        <v>60</v>
      </c>
      <c r="B71" s="7" t="n">
        <v>0.0</v>
      </c>
      <c r="C71" s="7" t="n">
        <v>0.0</v>
      </c>
      <c r="D71" s="7" t="n">
        <v>0.0</v>
      </c>
      <c r="E71" s="7">
        <f si="0" t="shared"/>
        <v>0</v>
      </c>
      <c r="F71" s="19">
        <f si="1" t="shared"/>
        <v>0</v>
      </c>
      <c r="H71" s="20">
        <v>60</v>
      </c>
      <c r="I71" s="20" t="n">
        <v>18.0</v>
      </c>
      <c r="J71" s="20" t="n">
        <v>2.0</v>
      </c>
      <c r="K71" s="20" t="n">
        <v>1.0</v>
      </c>
      <c r="L71">
        <f si="2" t="shared"/>
        <v>28</v>
      </c>
      <c r="M71" s="19">
        <f si="3" t="shared"/>
        <v>2.6706599391471055E-4</v>
      </c>
    </row>
    <row r="72" spans="1:13" x14ac:dyDescent="0.45">
      <c r="A72">
        <v>61</v>
      </c>
      <c r="B72" s="7" t="n">
        <v>0.0</v>
      </c>
      <c r="C72" s="7" t="n">
        <v>0.0</v>
      </c>
      <c r="D72" s="7" t="n">
        <v>0.0</v>
      </c>
      <c r="E72" s="7">
        <f si="0" t="shared"/>
        <v>0</v>
      </c>
      <c r="F72" s="19">
        <f si="1" t="shared"/>
        <v>0</v>
      </c>
      <c r="H72" s="20">
        <v>61</v>
      </c>
      <c r="I72" s="20" t="n">
        <v>71.0</v>
      </c>
      <c r="J72" s="20" t="n">
        <v>10.0</v>
      </c>
      <c r="K72" s="20" t="n">
        <v>2.0</v>
      </c>
      <c r="L72">
        <f si="2" t="shared"/>
        <v>67</v>
      </c>
      <c r="M72" s="19">
        <f si="3" t="shared"/>
        <v>6.3905077115305748E-4</v>
      </c>
    </row>
    <row r="73" spans="1:13" x14ac:dyDescent="0.45">
      <c r="A73">
        <v>62</v>
      </c>
      <c r="B73" s="7" t="n">
        <v>0.0</v>
      </c>
      <c r="C73" s="7" t="n">
        <v>0.0</v>
      </c>
      <c r="D73" s="7" t="n">
        <v>0.0</v>
      </c>
      <c r="E73" s="7">
        <f si="0" t="shared"/>
        <v>0</v>
      </c>
      <c r="F73" s="19">
        <f si="1" t="shared"/>
        <v>0</v>
      </c>
      <c r="H73" s="20">
        <v>62</v>
      </c>
      <c r="I73" s="20" t="n">
        <v>13.0</v>
      </c>
      <c r="J73" s="20" t="n">
        <v>4.0</v>
      </c>
      <c r="K73" s="20" t="n">
        <v>1.0</v>
      </c>
      <c r="L73">
        <f si="2" t="shared"/>
        <v>21</v>
      </c>
      <c r="M73" s="19">
        <f si="3" t="shared"/>
        <v>2.0029949543603291E-4</v>
      </c>
    </row>
    <row r="74" spans="1:13" x14ac:dyDescent="0.45">
      <c r="A74">
        <v>63</v>
      </c>
      <c r="B74" s="7" t="n">
        <v>0.0</v>
      </c>
      <c r="C74" s="7" t="n">
        <v>0.0</v>
      </c>
      <c r="D74" s="7" t="n">
        <v>0.0</v>
      </c>
      <c r="E74" s="7">
        <f si="0" t="shared"/>
        <v>0</v>
      </c>
      <c r="F74" s="19">
        <f si="1" t="shared"/>
        <v>0</v>
      </c>
      <c r="H74" s="20">
        <v>63</v>
      </c>
      <c r="I74" s="20" t="n">
        <v>28.0</v>
      </c>
      <c r="J74" s="20" t="n">
        <v>3.0</v>
      </c>
      <c r="K74" s="20" t="n">
        <v>1.0</v>
      </c>
      <c r="L74">
        <f si="2" t="shared"/>
        <v>37</v>
      </c>
      <c r="M74" s="19">
        <f si="3" t="shared"/>
        <v>3.5290863481586755E-4</v>
      </c>
    </row>
    <row r="75" spans="1:13" x14ac:dyDescent="0.45">
      <c r="A75">
        <v>64</v>
      </c>
      <c r="B75" s="7" t="n">
        <v>47.0780174975748</v>
      </c>
      <c r="C75" s="7" t="n">
        <v>0.0</v>
      </c>
      <c r="D75" s="7" t="n">
        <v>0.0</v>
      </c>
      <c r="E75" s="7">
        <f si="0" t="shared"/>
        <v>47.078017497574798</v>
      </c>
      <c r="F75" s="19">
        <f si="1" t="shared"/>
        <v>3.8914969046028328E-4</v>
      </c>
      <c r="H75" s="20">
        <v>64</v>
      </c>
      <c r="I75" s="20" t="n">
        <v>29.0</v>
      </c>
      <c r="J75" s="20" t="n">
        <v>2.0</v>
      </c>
      <c r="K75" s="20" t="n">
        <v>2.0</v>
      </c>
      <c r="L75">
        <f si="2" t="shared"/>
        <v>35</v>
      </c>
      <c r="M75" s="19">
        <f si="3" t="shared"/>
        <v>3.3383249239338821E-4</v>
      </c>
    </row>
    <row r="76" spans="1:13" x14ac:dyDescent="0.45">
      <c r="A76">
        <v>65</v>
      </c>
      <c r="B76" s="7" t="n">
        <v>0.0</v>
      </c>
      <c r="C76" s="7" t="n">
        <v>0.0</v>
      </c>
      <c r="D76" s="7" t="n">
        <v>0.0</v>
      </c>
      <c r="E76" s="7">
        <f ref="E76:E101" si="4" t="shared">SUM(B76:D76)</f>
        <v>0</v>
      </c>
      <c r="F76" s="19">
        <f ref="F76:F102" si="5" t="shared">E76/$E$102</f>
        <v>0</v>
      </c>
      <c r="H76" s="20">
        <v>65</v>
      </c>
      <c r="I76" s="20" t="n">
        <v>29.0</v>
      </c>
      <c r="J76" s="20" t="n">
        <v>4.0</v>
      </c>
      <c r="K76" s="20" t="n">
        <v>0.0</v>
      </c>
      <c r="L76">
        <f ref="L76:L101" si="6" t="shared">SUM(I76:K76)</f>
        <v>23</v>
      </c>
      <c r="M76" s="19">
        <f ref="M76:M102" si="7" t="shared">L76/$L$102</f>
        <v>2.1937563785851224E-4</v>
      </c>
    </row>
    <row r="77" spans="1:13" x14ac:dyDescent="0.45">
      <c r="A77">
        <v>66</v>
      </c>
      <c r="B77" s="7" t="n">
        <v>0.0</v>
      </c>
      <c r="C77" s="7" t="n">
        <v>0.0</v>
      </c>
      <c r="D77" s="7" t="n">
        <v>0.0</v>
      </c>
      <c r="E77" s="7">
        <f si="4" t="shared"/>
        <v>0</v>
      </c>
      <c r="F77" s="19">
        <f si="5" t="shared"/>
        <v>0</v>
      </c>
      <c r="H77" s="20">
        <v>66</v>
      </c>
      <c r="I77" s="20" t="n">
        <v>95.0</v>
      </c>
      <c r="J77" s="20" t="n">
        <v>2.0</v>
      </c>
      <c r="K77" s="20" t="n">
        <v>0.0</v>
      </c>
      <c r="L77">
        <f si="6" t="shared"/>
        <v>128</v>
      </c>
      <c r="M77" s="19">
        <f si="7" t="shared"/>
        <v>1.2208731150386769E-3</v>
      </c>
    </row>
    <row r="78" spans="1:13" x14ac:dyDescent="0.45">
      <c r="A78">
        <v>67</v>
      </c>
      <c r="B78" s="7" t="n">
        <v>0.0</v>
      </c>
      <c r="C78" s="7" t="n">
        <v>0.0</v>
      </c>
      <c r="D78" s="7" t="n">
        <v>0.0</v>
      </c>
      <c r="E78" s="7">
        <f si="4" t="shared"/>
        <v>0</v>
      </c>
      <c r="F78" s="19">
        <f si="5" t="shared"/>
        <v>0</v>
      </c>
      <c r="H78" s="20">
        <v>67</v>
      </c>
      <c r="I78" s="20" t="n">
        <v>52.0</v>
      </c>
      <c r="J78" s="20" t="n">
        <v>6.0</v>
      </c>
      <c r="K78" s="20" t="n">
        <v>2.0</v>
      </c>
      <c r="L78">
        <f si="6" t="shared"/>
        <v>94</v>
      </c>
      <c r="M78" s="19">
        <f si="7" t="shared"/>
        <v>8.9657869385652831E-4</v>
      </c>
    </row>
    <row r="79" spans="1:13" x14ac:dyDescent="0.45">
      <c r="A79">
        <v>68</v>
      </c>
      <c r="B79" s="7" t="n">
        <v>0.0</v>
      </c>
      <c r="C79" s="7" t="n">
        <v>0.0</v>
      </c>
      <c r="D79" s="7" t="n">
        <v>0.0</v>
      </c>
      <c r="E79" s="7">
        <f si="4" t="shared"/>
        <v>0</v>
      </c>
      <c r="F79" s="19">
        <f si="5" t="shared"/>
        <v>0</v>
      </c>
      <c r="H79" s="20">
        <v>68</v>
      </c>
      <c r="I79" s="20" t="n">
        <v>29.0</v>
      </c>
      <c r="J79" s="20" t="n">
        <v>1.0</v>
      </c>
      <c r="K79" s="20" t="n">
        <v>2.0</v>
      </c>
      <c r="L79">
        <f si="6" t="shared"/>
        <v>50</v>
      </c>
      <c r="M79" s="19">
        <f si="7" t="shared"/>
        <v>4.7690356056198315E-4</v>
      </c>
    </row>
    <row r="80" spans="1:13" x14ac:dyDescent="0.45">
      <c r="A80">
        <v>69</v>
      </c>
      <c r="B80" s="7" t="n">
        <v>0.0</v>
      </c>
      <c r="C80" s="7" t="n">
        <v>0.0</v>
      </c>
      <c r="D80" s="7" t="n">
        <v>0.0</v>
      </c>
      <c r="E80" s="7">
        <f si="4" t="shared"/>
        <v>0</v>
      </c>
      <c r="F80" s="19">
        <f si="5" t="shared"/>
        <v>0</v>
      </c>
      <c r="H80" s="20">
        <v>69</v>
      </c>
      <c r="I80" s="20" t="n">
        <v>19.0</v>
      </c>
      <c r="J80" s="20" t="n">
        <v>4.0</v>
      </c>
      <c r="K80" s="20" t="n">
        <v>1.0</v>
      </c>
      <c r="L80">
        <f si="6" t="shared"/>
        <v>28</v>
      </c>
      <c r="M80" s="19">
        <f si="7" t="shared"/>
        <v>2.6706599391471055E-4</v>
      </c>
    </row>
    <row r="81" spans="1:13" x14ac:dyDescent="0.45">
      <c r="A81">
        <v>70</v>
      </c>
      <c r="B81" s="7" t="n">
        <v>0.0</v>
      </c>
      <c r="C81" s="7" t="n">
        <v>0.0</v>
      </c>
      <c r="D81" s="7" t="n">
        <v>0.0</v>
      </c>
      <c r="E81" s="7">
        <f si="4" t="shared"/>
        <v>0</v>
      </c>
      <c r="F81" s="19">
        <f si="5" t="shared"/>
        <v>0</v>
      </c>
      <c r="H81" s="20">
        <v>70</v>
      </c>
      <c r="I81" s="20" t="n">
        <v>64.0</v>
      </c>
      <c r="J81" s="20" t="n">
        <v>4.0</v>
      </c>
      <c r="K81" s="20" t="n">
        <v>1.0</v>
      </c>
      <c r="L81">
        <f si="6" t="shared"/>
        <v>79</v>
      </c>
      <c r="M81" s="19">
        <f si="7" t="shared"/>
        <v>7.5350762568793337E-4</v>
      </c>
    </row>
    <row r="82" spans="1:13" x14ac:dyDescent="0.45">
      <c r="A82">
        <v>71</v>
      </c>
      <c r="B82" s="7" t="n">
        <v>0.0</v>
      </c>
      <c r="C82" s="7" t="n">
        <v>0.0</v>
      </c>
      <c r="D82" s="7" t="n">
        <v>0.0</v>
      </c>
      <c r="E82" s="7">
        <f si="4" t="shared"/>
        <v>0</v>
      </c>
      <c r="F82" s="19">
        <f si="5" t="shared"/>
        <v>0</v>
      </c>
      <c r="H82" s="20">
        <v>71</v>
      </c>
      <c r="I82" s="20" t="n">
        <v>51.0</v>
      </c>
      <c r="J82" s="20" t="n">
        <v>4.0</v>
      </c>
      <c r="K82" s="20" t="n">
        <v>2.0</v>
      </c>
      <c r="L82">
        <f si="6" t="shared"/>
        <v>56</v>
      </c>
      <c r="M82" s="19">
        <f si="7" t="shared"/>
        <v>5.341319878294211E-4</v>
      </c>
    </row>
    <row r="83" spans="1:13" x14ac:dyDescent="0.45">
      <c r="A83">
        <v>72</v>
      </c>
      <c r="B83" s="7" t="n">
        <v>0.0</v>
      </c>
      <c r="C83" s="7" t="n">
        <v>0.0</v>
      </c>
      <c r="D83" s="7" t="n">
        <v>0.0</v>
      </c>
      <c r="E83" s="7">
        <f si="4" t="shared"/>
        <v>0</v>
      </c>
      <c r="F83" s="19">
        <f si="5" t="shared"/>
        <v>0</v>
      </c>
      <c r="H83" s="20">
        <v>72</v>
      </c>
      <c r="I83" s="20" t="n">
        <v>46.0</v>
      </c>
      <c r="J83" s="20" t="n">
        <v>3.0</v>
      </c>
      <c r="K83" s="20" t="n">
        <v>2.0</v>
      </c>
      <c r="L83">
        <f si="6" t="shared"/>
        <v>57</v>
      </c>
      <c r="M83" s="19">
        <f si="7" t="shared"/>
        <v>5.4367005904066082E-4</v>
      </c>
    </row>
    <row r="84" spans="1:13" x14ac:dyDescent="0.45">
      <c r="A84">
        <v>73</v>
      </c>
      <c r="B84" s="7" t="n">
        <v>0.0</v>
      </c>
      <c r="C84" s="7" t="n">
        <v>0.0</v>
      </c>
      <c r="D84" s="7" t="n">
        <v>0.0</v>
      </c>
      <c r="E84" s="7">
        <f si="4" t="shared"/>
        <v>0</v>
      </c>
      <c r="F84" s="19">
        <f si="5" t="shared"/>
        <v>0</v>
      </c>
      <c r="H84" s="20">
        <v>73</v>
      </c>
      <c r="I84" s="20" t="n">
        <v>66.0</v>
      </c>
      <c r="J84" s="20" t="n">
        <v>7.0</v>
      </c>
      <c r="K84" s="20" t="n">
        <v>0.0</v>
      </c>
      <c r="L84">
        <f si="6" t="shared"/>
        <v>56</v>
      </c>
      <c r="M84" s="19">
        <f si="7" t="shared"/>
        <v>5.341319878294211E-4</v>
      </c>
    </row>
    <row r="85" spans="1:13" x14ac:dyDescent="0.45">
      <c r="A85">
        <v>74</v>
      </c>
      <c r="B85" s="7" t="n">
        <v>0.0</v>
      </c>
      <c r="C85" s="7" t="n">
        <v>0.0</v>
      </c>
      <c r="D85" s="7" t="n">
        <v>0.0</v>
      </c>
      <c r="E85" s="7">
        <f si="4" t="shared"/>
        <v>0</v>
      </c>
      <c r="F85" s="19">
        <f si="5" t="shared"/>
        <v>0</v>
      </c>
      <c r="H85" s="20">
        <v>74</v>
      </c>
      <c r="I85" s="20" t="n">
        <v>33.0</v>
      </c>
      <c r="J85" s="20" t="n">
        <v>4.0</v>
      </c>
      <c r="K85" s="20" t="n">
        <v>0.0</v>
      </c>
      <c r="L85">
        <f si="6" t="shared"/>
        <v>24</v>
      </c>
      <c r="M85" s="19">
        <f si="7" t="shared"/>
        <v>2.2891370906975191E-4</v>
      </c>
    </row>
    <row r="86" spans="1:13" x14ac:dyDescent="0.45">
      <c r="A86">
        <v>75</v>
      </c>
      <c r="B86" s="7" t="n">
        <v>0.0</v>
      </c>
      <c r="C86" s="7" t="n">
        <v>0.0</v>
      </c>
      <c r="D86" s="7" t="n">
        <v>0.0</v>
      </c>
      <c r="E86" s="7">
        <f si="4" t="shared"/>
        <v>0</v>
      </c>
      <c r="F86" s="19">
        <f si="5" t="shared"/>
        <v>0</v>
      </c>
      <c r="H86" s="20">
        <v>75</v>
      </c>
      <c r="I86" s="20" t="n">
        <v>48.0</v>
      </c>
      <c r="J86" s="20" t="n">
        <v>7.0</v>
      </c>
      <c r="K86" s="20" t="n">
        <v>0.0</v>
      </c>
      <c r="L86">
        <f si="6" t="shared"/>
        <v>39</v>
      </c>
      <c r="M86" s="19">
        <f si="7" t="shared"/>
        <v>3.7198477723834688E-4</v>
      </c>
    </row>
    <row r="87" spans="1:13" x14ac:dyDescent="0.45">
      <c r="A87">
        <v>76</v>
      </c>
      <c r="B87" s="7" t="n">
        <v>0.0</v>
      </c>
      <c r="C87" s="7" t="n">
        <v>0.0</v>
      </c>
      <c r="D87" s="7" t="n">
        <v>0.0</v>
      </c>
      <c r="E87" s="7">
        <f si="4" t="shared"/>
        <v>0</v>
      </c>
      <c r="F87" s="19">
        <f si="5" t="shared"/>
        <v>0</v>
      </c>
      <c r="H87" s="20">
        <v>76</v>
      </c>
      <c r="I87" s="20" t="n">
        <v>27.0</v>
      </c>
      <c r="J87" s="20" t="n">
        <v>1.0</v>
      </c>
      <c r="K87" s="20" t="n">
        <v>1.0</v>
      </c>
      <c r="L87">
        <f si="6" t="shared"/>
        <v>14</v>
      </c>
      <c r="M87" s="19">
        <f si="7" t="shared"/>
        <v>1.3353299695735527E-4</v>
      </c>
    </row>
    <row r="88" spans="1:13" x14ac:dyDescent="0.45">
      <c r="A88">
        <v>77</v>
      </c>
      <c r="B88" s="7" t="n">
        <v>0.0</v>
      </c>
      <c r="C88" s="7" t="n">
        <v>0.0</v>
      </c>
      <c r="D88" s="7" t="n">
        <v>0.0</v>
      </c>
      <c r="E88" s="7">
        <f si="4" t="shared"/>
        <v>0</v>
      </c>
      <c r="F88" s="19">
        <f si="5" t="shared"/>
        <v>0</v>
      </c>
      <c r="H88" s="20">
        <v>77</v>
      </c>
      <c r="I88" s="20" t="n">
        <v>60.0</v>
      </c>
      <c r="J88" s="20" t="n">
        <v>4.0</v>
      </c>
      <c r="K88" s="20" t="n">
        <v>2.0</v>
      </c>
      <c r="L88">
        <f si="6" t="shared"/>
        <v>45</v>
      </c>
      <c r="M88" s="19">
        <f si="7" t="shared"/>
        <v>4.2921320450578482E-4</v>
      </c>
    </row>
    <row r="89" spans="1:13" x14ac:dyDescent="0.45">
      <c r="A89">
        <v>78</v>
      </c>
      <c r="B89" s="7" t="n">
        <v>118.679560525417</v>
      </c>
      <c r="C89" s="7" t="n">
        <v>0.0</v>
      </c>
      <c r="D89" s="7" t="n">
        <v>0.0</v>
      </c>
      <c r="E89" s="7">
        <f si="4" t="shared"/>
        <v>118.679560525417</v>
      </c>
      <c r="F89" s="19">
        <f si="5" t="shared"/>
        <v>9.810123003758098E-4</v>
      </c>
      <c r="H89" s="20">
        <v>78</v>
      </c>
      <c r="I89" s="20" t="n">
        <v>38.0</v>
      </c>
      <c r="J89" s="20" t="n">
        <v>7.0</v>
      </c>
      <c r="K89" s="20" t="n">
        <v>1.0</v>
      </c>
      <c r="L89">
        <f si="6" t="shared"/>
        <v>40</v>
      </c>
      <c r="M89" s="19">
        <f si="7" t="shared"/>
        <v>3.8152284844958655E-4</v>
      </c>
    </row>
    <row r="90" spans="1:13" x14ac:dyDescent="0.45">
      <c r="A90">
        <v>79</v>
      </c>
      <c r="B90" s="7" t="n">
        <v>0.0</v>
      </c>
      <c r="C90" s="7" t="n">
        <v>0.0</v>
      </c>
      <c r="D90" s="7" t="n">
        <v>0.0</v>
      </c>
      <c r="E90" s="7">
        <f si="4" t="shared"/>
        <v>0</v>
      </c>
      <c r="F90" s="19">
        <f si="5" t="shared"/>
        <v>0</v>
      </c>
      <c r="H90" s="20">
        <v>79</v>
      </c>
      <c r="I90" s="20" t="n">
        <v>42.0</v>
      </c>
      <c r="J90" s="20" t="n">
        <v>1.0</v>
      </c>
      <c r="K90" s="20" t="n">
        <v>1.0</v>
      </c>
      <c r="L90">
        <f si="6" t="shared"/>
        <v>14</v>
      </c>
      <c r="M90" s="19">
        <f si="7" t="shared"/>
        <v>1.3353299695735527E-4</v>
      </c>
    </row>
    <row r="91" spans="1:13" x14ac:dyDescent="0.45">
      <c r="A91">
        <v>80</v>
      </c>
      <c r="B91" s="7" t="n">
        <v>0.0</v>
      </c>
      <c r="C91" s="7" t="n">
        <v>0.0</v>
      </c>
      <c r="D91" s="7" t="n">
        <v>0.0</v>
      </c>
      <c r="E91" s="7">
        <f si="4" t="shared"/>
        <v>0</v>
      </c>
      <c r="F91" s="19">
        <f si="5" t="shared"/>
        <v>0</v>
      </c>
      <c r="H91" s="20">
        <v>80</v>
      </c>
      <c r="I91" s="20" t="n">
        <v>33.0</v>
      </c>
      <c r="J91" s="20" t="n">
        <v>5.0</v>
      </c>
      <c r="K91" s="20" t="n">
        <v>1.0</v>
      </c>
      <c r="L91">
        <f si="6" t="shared"/>
        <v>37</v>
      </c>
      <c r="M91" s="19">
        <f si="7" t="shared"/>
        <v>3.5290863481586755E-4</v>
      </c>
    </row>
    <row r="92" spans="1:13" x14ac:dyDescent="0.45">
      <c r="A92">
        <v>81</v>
      </c>
      <c r="B92" s="7" t="n">
        <v>0.0</v>
      </c>
      <c r="C92" s="7" t="n">
        <v>0.0</v>
      </c>
      <c r="D92" s="7" t="n">
        <v>0.0</v>
      </c>
      <c r="E92" s="7">
        <f si="4" t="shared"/>
        <v>0</v>
      </c>
      <c r="F92" s="19">
        <f si="5" t="shared"/>
        <v>0</v>
      </c>
      <c r="H92" s="20">
        <v>81</v>
      </c>
      <c r="I92" s="20" t="n">
        <v>53.0</v>
      </c>
      <c r="J92" s="20" t="n">
        <v>4.0</v>
      </c>
      <c r="K92" s="20" t="n">
        <v>1.0</v>
      </c>
      <c r="L92">
        <f si="6" t="shared"/>
        <v>69</v>
      </c>
      <c r="M92" s="19">
        <f si="7" t="shared"/>
        <v>6.5812691357553671E-4</v>
      </c>
    </row>
    <row r="93" spans="1:13" x14ac:dyDescent="0.45">
      <c r="A93">
        <v>82</v>
      </c>
      <c r="B93" s="7" t="n">
        <v>0.0</v>
      </c>
      <c r="C93" s="7" t="n">
        <v>0.0</v>
      </c>
      <c r="D93" s="7" t="n">
        <v>0.0</v>
      </c>
      <c r="E93" s="7">
        <f si="4" t="shared"/>
        <v>0</v>
      </c>
      <c r="F93" s="19">
        <f si="5" t="shared"/>
        <v>0</v>
      </c>
      <c r="H93" s="20">
        <v>82</v>
      </c>
      <c r="I93" s="20" t="n">
        <v>25.0</v>
      </c>
      <c r="J93" s="20" t="n">
        <v>3.0</v>
      </c>
      <c r="K93" s="20" t="n">
        <v>1.0</v>
      </c>
      <c r="L93">
        <f si="6" t="shared"/>
        <v>22</v>
      </c>
      <c r="M93" s="19">
        <f si="7" t="shared"/>
        <v>2.0983756664727258E-4</v>
      </c>
    </row>
    <row r="94" spans="1:13" x14ac:dyDescent="0.45">
      <c r="A94">
        <v>83</v>
      </c>
      <c r="B94" s="7" t="n">
        <v>0.0</v>
      </c>
      <c r="C94" s="7" t="n">
        <v>0.0</v>
      </c>
      <c r="D94" s="7" t="n">
        <v>0.0</v>
      </c>
      <c r="E94" s="7">
        <f si="4" t="shared"/>
        <v>0</v>
      </c>
      <c r="F94" s="19">
        <f si="5" t="shared"/>
        <v>0</v>
      </c>
      <c r="H94" s="20">
        <v>83</v>
      </c>
      <c r="I94" s="20" t="n">
        <v>31.0</v>
      </c>
      <c r="J94" s="20" t="n">
        <v>3.0</v>
      </c>
      <c r="K94" s="20" t="n">
        <v>0.0</v>
      </c>
      <c r="L94">
        <f si="6" t="shared"/>
        <v>30</v>
      </c>
      <c r="M94" s="19">
        <f si="7" t="shared"/>
        <v>2.8614213633718988E-4</v>
      </c>
    </row>
    <row r="95" spans="1:13" x14ac:dyDescent="0.45">
      <c r="A95">
        <v>84</v>
      </c>
      <c r="B95" s="7" t="n">
        <v>57.0806448265764</v>
      </c>
      <c r="C95" s="7" t="n">
        <v>0.0</v>
      </c>
      <c r="D95" s="7" t="n">
        <v>0.0</v>
      </c>
      <c r="E95" s="7">
        <f si="4" t="shared"/>
        <v>57.080644826576403</v>
      </c>
      <c r="F95" s="19">
        <f si="5" t="shared"/>
        <v>4.7183200241343777E-4</v>
      </c>
      <c r="H95" s="20">
        <v>84</v>
      </c>
      <c r="I95" s="20" t="n">
        <v>17.0</v>
      </c>
      <c r="J95" s="20" t="n">
        <v>2.0</v>
      </c>
      <c r="K95" s="20" t="n">
        <v>0.0</v>
      </c>
      <c r="L95">
        <f si="6" t="shared"/>
        <v>25</v>
      </c>
      <c r="M95" s="19">
        <f si="7" t="shared"/>
        <v>2.3845178028099158E-4</v>
      </c>
    </row>
    <row r="96" spans="1:13" x14ac:dyDescent="0.45">
      <c r="A96">
        <v>85</v>
      </c>
      <c r="B96" s="7" t="n">
        <v>0.0</v>
      </c>
      <c r="C96" s="7" t="n">
        <v>0.0</v>
      </c>
      <c r="D96" s="7" t="n">
        <v>0.0</v>
      </c>
      <c r="E96" s="7">
        <f si="4" t="shared"/>
        <v>0</v>
      </c>
      <c r="F96" s="19">
        <f si="5" t="shared"/>
        <v>0</v>
      </c>
      <c r="H96" s="20">
        <v>85</v>
      </c>
      <c r="I96" s="20" t="n">
        <v>13.0</v>
      </c>
      <c r="J96" s="20" t="n">
        <v>5.0</v>
      </c>
      <c r="K96" s="20" t="n">
        <v>0.0</v>
      </c>
      <c r="L96">
        <f si="6" t="shared"/>
        <v>12</v>
      </c>
      <c r="M96" s="19">
        <f si="7" t="shared"/>
        <v>1.1445685453487596E-4</v>
      </c>
    </row>
    <row r="97" spans="1:13" x14ac:dyDescent="0.45">
      <c r="A97">
        <v>86</v>
      </c>
      <c r="B97" s="7" t="n">
        <v>0.0</v>
      </c>
      <c r="C97" s="7" t="n">
        <v>0.0</v>
      </c>
      <c r="D97" s="7" t="n">
        <v>0.0</v>
      </c>
      <c r="E97" s="7">
        <f si="4" t="shared"/>
        <v>0</v>
      </c>
      <c r="F97" s="19">
        <f si="5" t="shared"/>
        <v>0</v>
      </c>
      <c r="H97" s="20">
        <v>86</v>
      </c>
      <c r="I97" s="20" t="n">
        <v>24.0</v>
      </c>
      <c r="J97" s="20" t="n">
        <v>5.0</v>
      </c>
      <c r="K97" s="20" t="n">
        <v>1.0</v>
      </c>
      <c r="L97">
        <f si="6" t="shared"/>
        <v>39</v>
      </c>
      <c r="M97" s="19">
        <f si="7" t="shared"/>
        <v>3.7198477723834688E-4</v>
      </c>
    </row>
    <row r="98" spans="1:13" x14ac:dyDescent="0.45">
      <c r="A98">
        <v>87</v>
      </c>
      <c r="B98" s="7" t="n">
        <v>0.0</v>
      </c>
      <c r="C98" s="7" t="n">
        <v>0.0</v>
      </c>
      <c r="D98" s="7" t="n">
        <v>0.0</v>
      </c>
      <c r="E98" s="7">
        <f si="4" t="shared"/>
        <v>0</v>
      </c>
      <c r="F98" s="19">
        <f si="5" t="shared"/>
        <v>0</v>
      </c>
      <c r="H98" s="20">
        <v>87</v>
      </c>
      <c r="I98" s="20" t="n">
        <v>27.0</v>
      </c>
      <c r="J98" s="20" t="n">
        <v>6.0</v>
      </c>
      <c r="K98" s="20" t="n">
        <v>0.0</v>
      </c>
      <c r="L98">
        <f si="6" t="shared"/>
        <v>16</v>
      </c>
      <c r="M98" s="19">
        <f si="7" t="shared"/>
        <v>1.5260913937983461E-4</v>
      </c>
    </row>
    <row r="99" spans="1:13" x14ac:dyDescent="0.45">
      <c r="A99">
        <v>88</v>
      </c>
      <c r="B99" s="7" t="n">
        <v>0.0</v>
      </c>
      <c r="C99" s="7" t="n">
        <v>0.0</v>
      </c>
      <c r="D99" s="7" t="n">
        <v>0.0</v>
      </c>
      <c r="E99" s="7">
        <f si="4" t="shared"/>
        <v>0</v>
      </c>
      <c r="F99" s="19">
        <f si="5" t="shared"/>
        <v>0</v>
      </c>
      <c r="H99" s="20">
        <v>88</v>
      </c>
      <c r="I99" s="20" t="n">
        <v>43.0</v>
      </c>
      <c r="J99" s="20" t="n">
        <v>4.0</v>
      </c>
      <c r="K99" s="20" t="n">
        <v>3.0</v>
      </c>
      <c r="L99">
        <f si="6" t="shared"/>
        <v>59</v>
      </c>
      <c r="M99" s="19">
        <f si="7" t="shared"/>
        <v>5.6274620146314015E-4</v>
      </c>
    </row>
    <row r="100" spans="1:13" x14ac:dyDescent="0.45">
      <c r="A100">
        <v>89</v>
      </c>
      <c r="B100" s="7" t="n">
        <v>0.0</v>
      </c>
      <c r="C100" s="7" t="n">
        <v>0.0</v>
      </c>
      <c r="D100" s="7" t="n">
        <v>0.0</v>
      </c>
      <c r="E100" s="7">
        <f si="4" t="shared"/>
        <v>0</v>
      </c>
      <c r="F100" s="19">
        <f si="5" t="shared"/>
        <v>0</v>
      </c>
      <c r="H100" s="20">
        <v>89</v>
      </c>
      <c r="I100" s="20" t="n">
        <v>31.0</v>
      </c>
      <c r="J100" s="20" t="n">
        <v>4.0</v>
      </c>
      <c r="K100" s="20" t="n">
        <v>0.0</v>
      </c>
      <c r="L100">
        <f si="6" t="shared"/>
        <v>40</v>
      </c>
      <c r="M100" s="19">
        <f si="7" t="shared"/>
        <v>3.8152284844958655E-4</v>
      </c>
    </row>
    <row ht="14.65" r="101" spans="1:13" thickBot="1" x14ac:dyDescent="0.5">
      <c r="A101" s="1">
        <v>90</v>
      </c>
      <c r="B101" s="8" t="n">
        <v>0.0</v>
      </c>
      <c r="C101" s="8" t="n">
        <v>0.0</v>
      </c>
      <c r="D101" s="8" t="n">
        <v>0.0</v>
      </c>
      <c r="E101" s="8">
        <f si="4" t="shared"/>
        <v>0</v>
      </c>
      <c r="F101" s="19">
        <f si="5" t="shared"/>
        <v>0</v>
      </c>
      <c r="H101" s="22">
        <v>90</v>
      </c>
      <c r="I101" s="22" t="n">
        <v>4300.0</v>
      </c>
      <c r="J101" s="22" t="n">
        <v>331.0</v>
      </c>
      <c r="K101" s="22" t="n">
        <v>128.0</v>
      </c>
      <c r="L101" s="1">
        <f si="6" t="shared"/>
        <v>4826</v>
      </c>
      <c r="M101" s="19">
        <f si="7" t="shared"/>
        <v>4.6030731665442616E-2</v>
      </c>
    </row>
    <row r="102" spans="1:13" x14ac:dyDescent="0.45">
      <c r="E102" s="7">
        <f>SUM(E11:E101)</f>
        <v>120976.62840715941</v>
      </c>
      <c r="F102" s="19">
        <f si="5" t="shared"/>
        <v>1</v>
      </c>
      <c r="L102">
        <f>SUM(L11:L101)</f>
        <v>104843</v>
      </c>
      <c r="M102" s="19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workbookViewId="0">
      <selection activeCell="N10" sqref="N10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6" bestFit="true" customWidth="true" width="10.59765625" collapsed="true"/>
    <col min="17" max="17" bestFit="true" customWidth="true" width="11.59765625" collapsed="true"/>
    <col min="18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246</v>
      </c>
    </row>
    <row r="3" spans="1:21" x14ac:dyDescent="0.45">
      <c r="A3" t="s">
        <v>17</v>
      </c>
    </row>
    <row ht="14.65" r="5" spans="1:21" thickBot="1" x14ac:dyDescent="0.5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45">
      <c r="A7" s="23" t="s">
        <v>251</v>
      </c>
      <c r="B7" s="12" t="n">
        <v>67899.73597284393</v>
      </c>
      <c r="C7" s="12" t="n">
        <v>0.0</v>
      </c>
      <c r="D7" s="12" t="n">
        <v>519.6699375236</v>
      </c>
      <c r="E7" s="12" t="n">
        <v>1186.18892332056</v>
      </c>
      <c r="F7" s="12" t="n">
        <v>1309.9158431855772</v>
      </c>
      <c r="G7" s="12" t="n">
        <v>2302.802225075192</v>
      </c>
      <c r="H7" s="12" t="n">
        <v>490.99691539214905</v>
      </c>
      <c r="I7" s="12"/>
      <c r="J7" s="12">
        <f>SUM(B7:I7)</f>
        <v>73709.309817341025</v>
      </c>
      <c r="K7" s="12"/>
      <c r="L7" t="str">
        <f>$A$7</f>
        <v>Bellevue</v>
      </c>
      <c r="M7" s="58" t="n">
        <v>48578.0</v>
      </c>
      <c r="N7" s="58" t="n">
        <v>11.0</v>
      </c>
      <c r="O7" s="58" t="n">
        <v>46.0</v>
      </c>
      <c r="P7" s="58" t="n">
        <v>586.0</v>
      </c>
      <c r="Q7" s="58" t="n">
        <v>299.0</v>
      </c>
      <c r="R7" s="58" t="n">
        <v>1054.0</v>
      </c>
      <c r="S7" s="58" t="n">
        <v>294.0</v>
      </c>
      <c r="T7" s="20"/>
      <c r="U7" s="12">
        <f>SUM(M7:T7)</f>
        <v>50483</v>
      </c>
    </row>
    <row r="8" spans="1:21" x14ac:dyDescent="0.45">
      <c r="A8" t="s">
        <v>252</v>
      </c>
      <c r="B8" s="12" t="n">
        <v>0.0</v>
      </c>
      <c r="C8" s="12" t="n">
        <v>3263.383732112435</v>
      </c>
      <c r="D8" s="12" t="n">
        <v>0.0</v>
      </c>
      <c r="E8" s="12" t="n">
        <v>0.0</v>
      </c>
      <c r="F8" s="12" t="n">
        <v>0.0</v>
      </c>
      <c r="G8" s="12" t="n">
        <v>157.736054702578</v>
      </c>
      <c r="H8" s="12" t="n">
        <v>0.0</v>
      </c>
      <c r="I8" s="12"/>
      <c r="J8" s="12">
        <f ref="J8:J14" si="0" t="shared">SUM(B8:I8)</f>
        <v>3421.119786815013</v>
      </c>
      <c r="K8" s="12"/>
      <c r="L8" t="str">
        <f>$A$8</f>
        <v>Bellevue Downtown</v>
      </c>
      <c r="M8" s="58" t="n">
        <v>62.0</v>
      </c>
      <c r="N8" s="58" t="n">
        <v>4167.0</v>
      </c>
      <c r="O8" s="58" t="n">
        <v>1.0</v>
      </c>
      <c r="P8" s="58" t="n">
        <v>25.0</v>
      </c>
      <c r="Q8" s="58" t="n">
        <v>0.0</v>
      </c>
      <c r="R8" s="58" t="n">
        <v>374.0</v>
      </c>
      <c r="S8" s="58" t="n">
        <v>1.0</v>
      </c>
      <c r="T8" s="20"/>
      <c r="U8" s="12">
        <f ref="U8:U14" si="1" t="shared">SUM(M8:T8)</f>
        <v>4844</v>
      </c>
    </row>
    <row r="9" spans="1:21" x14ac:dyDescent="0.45">
      <c r="A9" t="s">
        <v>253</v>
      </c>
      <c r="B9" s="12" t="n">
        <v>87.3362131940609</v>
      </c>
      <c r="C9" s="12" t="n">
        <v>0.0</v>
      </c>
      <c r="D9" s="12" t="n">
        <v>2075.9303336651446</v>
      </c>
      <c r="E9" s="12" t="n">
        <v>0.0</v>
      </c>
      <c r="F9" s="12" t="n">
        <v>391.094933322983</v>
      </c>
      <c r="G9" s="12" t="n">
        <v>0.0</v>
      </c>
      <c r="H9" s="12" t="n">
        <v>0.0</v>
      </c>
      <c r="I9" s="12"/>
      <c r="J9" s="12">
        <f si="0" t="shared"/>
        <v>2554.3614801821886</v>
      </c>
      <c r="K9" s="12"/>
      <c r="L9" t="str">
        <f>$A$9</f>
        <v>Kirkland</v>
      </c>
      <c r="M9" s="58" t="n">
        <v>260.0</v>
      </c>
      <c r="N9" s="58" t="n">
        <v>0.0</v>
      </c>
      <c r="O9" s="58" t="n">
        <v>2277.0</v>
      </c>
      <c r="P9" s="58" t="n">
        <v>4.0</v>
      </c>
      <c r="Q9" s="58" t="n">
        <v>219.0</v>
      </c>
      <c r="R9" s="58" t="n">
        <v>6.0</v>
      </c>
      <c r="S9" s="58" t="n">
        <v>9.0</v>
      </c>
      <c r="T9" s="20"/>
      <c r="U9" s="12">
        <f si="1" t="shared"/>
        <v>2780</v>
      </c>
    </row>
    <row r="10" spans="1:21" x14ac:dyDescent="0.45">
      <c r="A10" t="s">
        <v>254</v>
      </c>
      <c r="B10" s="12" t="n">
        <v>485.843477127724</v>
      </c>
      <c r="C10" s="12" t="n">
        <v>0.0</v>
      </c>
      <c r="D10" s="12" t="n">
        <v>0.0</v>
      </c>
      <c r="E10" s="12" t="n">
        <v>12814.420992365203</v>
      </c>
      <c r="F10" s="12" t="n">
        <v>0.0</v>
      </c>
      <c r="G10" s="12" t="n">
        <v>0.0</v>
      </c>
      <c r="H10" s="12" t="n">
        <v>142.837231404356</v>
      </c>
      <c r="I10" s="12"/>
      <c r="J10" s="12">
        <f si="0" t="shared"/>
        <v>13443.101700897283</v>
      </c>
      <c r="K10" s="12"/>
      <c r="L10" t="str">
        <f>$A$10</f>
        <v>Redmond</v>
      </c>
      <c r="M10" s="58" t="n">
        <v>941.0</v>
      </c>
      <c r="N10" s="58" t="n">
        <v>8.0</v>
      </c>
      <c r="O10" s="58" t="n">
        <v>1.0</v>
      </c>
      <c r="P10" s="58" t="n">
        <v>16006.0</v>
      </c>
      <c r="Q10" s="58" t="n">
        <v>6.0</v>
      </c>
      <c r="R10" s="58" t="n">
        <v>132.0</v>
      </c>
      <c r="S10" s="58" t="n">
        <v>65.0</v>
      </c>
      <c r="T10" s="20"/>
      <c r="U10" s="12">
        <f si="1" t="shared"/>
        <v>17715</v>
      </c>
    </row>
    <row r="11" spans="1:21" x14ac:dyDescent="0.45">
      <c r="A11" t="s">
        <v>250</v>
      </c>
      <c r="B11" s="12" t="n">
        <v>511.3971638735674</v>
      </c>
      <c r="C11" s="12" t="n">
        <v>0.0</v>
      </c>
      <c r="D11" s="12" t="n">
        <v>376.996139285555</v>
      </c>
      <c r="E11" s="12" t="n">
        <v>0.0</v>
      </c>
      <c r="F11" s="12" t="n">
        <v>2476.6800129678895</v>
      </c>
      <c r="G11" s="12" t="n">
        <v>0.0</v>
      </c>
      <c r="H11" s="12" t="n">
        <v>0.0</v>
      </c>
      <c r="I11" s="12"/>
      <c r="J11" s="12">
        <f si="0" t="shared"/>
        <v>3365.0733161270118</v>
      </c>
      <c r="K11" s="12"/>
      <c r="L11" t="str">
        <f>$A$11</f>
        <v>Seattle</v>
      </c>
      <c r="M11" s="58" t="n">
        <v>988.0</v>
      </c>
      <c r="N11" s="58" t="n">
        <v>1.0</v>
      </c>
      <c r="O11" s="58" t="n">
        <v>157.0</v>
      </c>
      <c r="P11" s="58" t="n">
        <v>27.0</v>
      </c>
      <c r="Q11" s="58" t="n">
        <v>7096.0</v>
      </c>
      <c r="R11" s="58" t="n">
        <v>17.0</v>
      </c>
      <c r="S11" s="58" t="n">
        <v>90.0</v>
      </c>
      <c r="T11" s="20"/>
      <c r="U11" s="12">
        <f si="1" t="shared"/>
        <v>8643</v>
      </c>
    </row>
    <row r="12" spans="1:21" x14ac:dyDescent="0.45">
      <c r="A12" t="s">
        <v>255</v>
      </c>
      <c r="B12" s="12" t="n">
        <v>4371.002067210385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17921.464564837195</v>
      </c>
      <c r="H12" s="12" t="n">
        <v>169.3534898125244</v>
      </c>
      <c r="I12" s="12"/>
      <c r="J12" s="12">
        <f si="0" t="shared"/>
        <v>22461.820121860106</v>
      </c>
      <c r="K12" s="12"/>
      <c r="L12" t="str">
        <f>$A$12</f>
        <v>Seattle Downtown</v>
      </c>
      <c r="M12" s="58" t="n">
        <v>2015.0</v>
      </c>
      <c r="N12" s="58" t="n">
        <v>174.0</v>
      </c>
      <c r="O12" s="58" t="n">
        <v>2.0</v>
      </c>
      <c r="P12" s="58" t="n">
        <v>162.0</v>
      </c>
      <c r="Q12" s="58" t="n">
        <v>11.0</v>
      </c>
      <c r="R12" s="58" t="n">
        <v>11337.0</v>
      </c>
      <c r="S12" s="58" t="n">
        <v>13.0</v>
      </c>
      <c r="T12" s="20"/>
      <c r="U12" s="12">
        <f si="1" t="shared"/>
        <v>13839</v>
      </c>
    </row>
    <row r="13" spans="1:21" x14ac:dyDescent="0.45">
      <c r="A13" t="s">
        <v>256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2021.8421839368143</v>
      </c>
      <c r="I13" s="12"/>
      <c r="J13" s="12">
        <f si="0" t="shared"/>
        <v>2021.8421839368143</v>
      </c>
      <c r="K13" s="12"/>
      <c r="L13" t="str">
        <f>$A$13</f>
        <v>Rest</v>
      </c>
      <c r="M13" s="58" t="n">
        <v>592.0</v>
      </c>
      <c r="N13" s="58" t="n">
        <v>2.0</v>
      </c>
      <c r="O13" s="58" t="n">
        <v>4.0</v>
      </c>
      <c r="P13" s="58" t="n">
        <v>158.0</v>
      </c>
      <c r="Q13" s="58" t="n">
        <v>37.0</v>
      </c>
      <c r="R13" s="58" t="n">
        <v>19.0</v>
      </c>
      <c r="S13" s="58" t="n">
        <v>5659.0</v>
      </c>
      <c r="T13" s="20"/>
      <c r="U13" s="12">
        <f si="1" t="shared"/>
        <v>6539</v>
      </c>
    </row>
    <row r="14" spans="1:21" x14ac:dyDescent="0.45">
      <c r="A14" t="s">
        <v>16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2"/>
      <c r="L14" s="13" t="s">
        <v>16</v>
      </c>
      <c r="M14" s="13"/>
      <c r="N14" s="13"/>
      <c r="O14" s="13"/>
      <c r="P14" s="13"/>
      <c r="Q14" s="13"/>
      <c r="R14" s="13"/>
      <c r="S14" s="13"/>
      <c r="T14" s="13"/>
      <c r="U14" s="13">
        <f si="1" t="shared"/>
        <v>0</v>
      </c>
    </row>
    <row ht="14.65" r="15" spans="1:21" thickBot="1" x14ac:dyDescent="0.5">
      <c r="A15" s="1" t="s">
        <v>4</v>
      </c>
      <c r="B15" s="14">
        <f ref="B15:J15" si="2" t="shared">SUM(B7:B14)</f>
        <v>73355.314894249677</v>
      </c>
      <c r="C15" s="14">
        <f si="2" t="shared"/>
        <v>3263.3837321124352</v>
      </c>
      <c r="D15" s="14">
        <f si="2" t="shared"/>
        <v>2972.5964104742993</v>
      </c>
      <c r="E15" s="14">
        <f si="2" t="shared"/>
        <v>14000.609915685764</v>
      </c>
      <c r="F15" s="14">
        <f si="2" t="shared"/>
        <v>4177.6907894764499</v>
      </c>
      <c r="G15" s="14">
        <f si="2" t="shared"/>
        <v>20382.002844614966</v>
      </c>
      <c r="H15" s="14">
        <f si="2" t="shared"/>
        <v>2825.0298205458439</v>
      </c>
      <c r="I15" s="14">
        <f si="2" t="shared"/>
        <v>0</v>
      </c>
      <c r="J15" s="14">
        <f si="2" t="shared"/>
        <v>120976.62840715944</v>
      </c>
      <c r="K15" s="12"/>
      <c r="L15" s="14" t="s">
        <v>4</v>
      </c>
      <c r="M15" s="14">
        <f ref="M15:U15" si="3" t="shared">SUM(M7:M14)</f>
        <v>52232</v>
      </c>
      <c r="N15" s="14">
        <f si="3" t="shared"/>
        <v>4549</v>
      </c>
      <c r="O15" s="14">
        <f si="3" t="shared"/>
        <v>2459</v>
      </c>
      <c r="P15" s="14">
        <f si="3" t="shared"/>
        <v>17543</v>
      </c>
      <c r="Q15" s="14">
        <f si="3" t="shared"/>
        <v>7958</v>
      </c>
      <c r="R15" s="14">
        <f si="3" t="shared"/>
        <v>13873</v>
      </c>
      <c r="S15" s="14">
        <f si="3" t="shared"/>
        <v>6229</v>
      </c>
      <c r="T15" s="14">
        <f si="3" t="shared"/>
        <v>0</v>
      </c>
      <c r="U15" s="14">
        <f si="3" t="shared"/>
        <v>104843</v>
      </c>
    </row>
    <row ht="14.65" r="18" spans="1:32" thickBot="1" x14ac:dyDescent="0.5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45">
      <c r="A20" t="str">
        <f>$A$7</f>
        <v>Bellevue</v>
      </c>
      <c r="B20" s="12">
        <f ref="B20:G20" si="4" t="shared">($U7/$J7)*B7</f>
        <v>46504.062778656655</v>
      </c>
      <c r="C20" s="12">
        <f si="4" t="shared"/>
        <v>0</v>
      </c>
      <c r="D20" s="12">
        <f si="4" t="shared"/>
        <v>355.91837070535024</v>
      </c>
      <c r="E20" s="12">
        <f si="4" t="shared"/>
        <v>812.41264589759805</v>
      </c>
      <c r="F20" s="12">
        <f si="4" t="shared"/>
        <v>897.15236345870585</v>
      </c>
      <c r="G20" s="12">
        <f si="4" t="shared"/>
        <v>1577.1734264851455</v>
      </c>
      <c r="H20" s="12">
        <f ref="H20" si="5" t="shared">($U7/$J7)*H7</f>
        <v>336.28041479653649</v>
      </c>
      <c r="I20" s="12"/>
      <c r="J20" s="12">
        <f>SUM(B20:I20)</f>
        <v>50482.999999999993</v>
      </c>
      <c r="K20" s="12"/>
      <c r="L20" t="str">
        <f>$A$7</f>
        <v>Bellevue</v>
      </c>
      <c r="M20" s="12">
        <f ref="M20:M26" si="6" t="shared">M7</f>
        <v>47837</v>
      </c>
      <c r="N20" s="12">
        <f ref="N20:U20" si="7" t="shared">N7</f>
        <v>11</v>
      </c>
      <c r="O20" s="12">
        <f si="7" t="shared"/>
        <v>43</v>
      </c>
      <c r="P20" s="12">
        <f si="7" t="shared"/>
        <v>559</v>
      </c>
      <c r="Q20" s="12">
        <f si="7" t="shared"/>
        <v>289</v>
      </c>
      <c r="R20" s="12">
        <f si="7" t="shared"/>
        <v>1443</v>
      </c>
      <c r="S20" s="12">
        <f ref="S20" si="8" t="shared">S7</f>
        <v>301</v>
      </c>
      <c r="T20" s="12"/>
      <c r="U20" s="12">
        <f si="7" t="shared"/>
        <v>50483</v>
      </c>
    </row>
    <row r="21" spans="1:32" x14ac:dyDescent="0.45">
      <c r="A21" t="str">
        <f>$A$8</f>
        <v>Bellevue Downtown</v>
      </c>
      <c r="B21" s="12">
        <f ref="B21:G26" si="9" t="shared">($U8/$J8)*B8</f>
        <v>0</v>
      </c>
      <c r="C21" s="12">
        <f si="9" t="shared"/>
        <v>4620.6598375409058</v>
      </c>
      <c r="D21" s="12">
        <f si="9" t="shared"/>
        <v>0</v>
      </c>
      <c r="E21" s="12">
        <f si="9" t="shared"/>
        <v>0</v>
      </c>
      <c r="F21" s="12">
        <f si="9" t="shared"/>
        <v>0</v>
      </c>
      <c r="G21" s="12">
        <f si="9" t="shared"/>
        <v>223.34016245909453</v>
      </c>
      <c r="H21" s="12">
        <f ref="H21" si="10" t="shared">($U8/$J8)*H8</f>
        <v>0</v>
      </c>
      <c r="I21" s="12"/>
      <c r="J21" s="12">
        <f ref="J21:J27" si="11" t="shared">SUM(B21:I21)</f>
        <v>4844</v>
      </c>
      <c r="K21" s="12"/>
      <c r="L21" t="str">
        <f>$A$8</f>
        <v>Bellevue Downtown</v>
      </c>
      <c r="M21" s="12">
        <f si="6" t="shared"/>
        <v>71</v>
      </c>
      <c r="N21" s="12">
        <f ref="N21:R26" si="12" t="shared">N8</f>
        <v>4330</v>
      </c>
      <c r="O21" s="12">
        <f si="12" t="shared"/>
        <v>0</v>
      </c>
      <c r="P21" s="12">
        <f si="12" t="shared"/>
        <v>25</v>
      </c>
      <c r="Q21" s="12">
        <f si="12" t="shared"/>
        <v>0</v>
      </c>
      <c r="R21" s="12">
        <f si="12" t="shared"/>
        <v>416</v>
      </c>
      <c r="S21" s="12">
        <f ref="S21" si="13" t="shared">S8</f>
        <v>2</v>
      </c>
      <c r="T21" s="12"/>
      <c r="U21" s="12">
        <f ref="U21:U26" si="14" t="shared">U8</f>
        <v>4844</v>
      </c>
    </row>
    <row r="22" spans="1:32" x14ac:dyDescent="0.45">
      <c r="A22" t="str">
        <f>$A$9</f>
        <v>Kirkland</v>
      </c>
      <c r="B22" s="12">
        <f si="9" t="shared"/>
        <v>95.051023343090847</v>
      </c>
      <c r="C22" s="12">
        <f si="9" t="shared"/>
        <v>0</v>
      </c>
      <c r="D22" s="12">
        <f si="9" t="shared"/>
        <v>2259.3068257424088</v>
      </c>
      <c r="E22" s="12">
        <f si="9" t="shared"/>
        <v>0</v>
      </c>
      <c r="F22" s="12">
        <f si="9" t="shared"/>
        <v>425.64215091450001</v>
      </c>
      <c r="G22" s="12">
        <f si="9" t="shared"/>
        <v>0</v>
      </c>
      <c r="H22" s="12">
        <f ref="H22" si="15" t="shared">($U9/$J9)*H9</f>
        <v>0</v>
      </c>
      <c r="I22" s="12"/>
      <c r="J22" s="12">
        <f si="11" t="shared"/>
        <v>2780</v>
      </c>
      <c r="K22" s="12"/>
      <c r="L22" t="str">
        <f>$A$9</f>
        <v>Kirkland</v>
      </c>
      <c r="M22" s="12">
        <f si="6" t="shared"/>
        <v>269</v>
      </c>
      <c r="N22" s="12">
        <f si="12" t="shared"/>
        <v>0</v>
      </c>
      <c r="O22" s="12">
        <f si="12" t="shared"/>
        <v>2251</v>
      </c>
      <c r="P22" s="12">
        <f si="12" t="shared"/>
        <v>3</v>
      </c>
      <c r="Q22" s="12">
        <f si="12" t="shared"/>
        <v>249</v>
      </c>
      <c r="R22" s="12">
        <f si="12" t="shared"/>
        <v>5</v>
      </c>
      <c r="S22" s="12">
        <f ref="S22" si="16" t="shared">S9</f>
        <v>3</v>
      </c>
      <c r="T22" s="12"/>
      <c r="U22" s="12">
        <f si="14" t="shared"/>
        <v>2780</v>
      </c>
    </row>
    <row r="23" spans="1:32" x14ac:dyDescent="0.45">
      <c r="A23" t="str">
        <f>$A$10</f>
        <v>Redmond</v>
      </c>
      <c r="B23" s="12">
        <f si="9" t="shared"/>
        <v>640.23299003556303</v>
      </c>
      <c r="C23" s="12">
        <f si="9" t="shared"/>
        <v>0</v>
      </c>
      <c r="D23" s="12">
        <f si="9" t="shared"/>
        <v>0</v>
      </c>
      <c r="E23" s="12">
        <f si="9" t="shared"/>
        <v>16886.539500374201</v>
      </c>
      <c r="F23" s="12">
        <f si="9" t="shared"/>
        <v>0</v>
      </c>
      <c r="G23" s="12">
        <f si="9" t="shared"/>
        <v>0</v>
      </c>
      <c r="H23" s="12">
        <f ref="H23" si="17" t="shared">($U10/$J10)*H10</f>
        <v>188.22750959023639</v>
      </c>
      <c r="I23" s="12"/>
      <c r="J23" s="12">
        <f>SUM(B23:I23)</f>
        <v>17715</v>
      </c>
      <c r="K23" s="12"/>
      <c r="L23" t="str">
        <f>$A$10</f>
        <v>Redmond</v>
      </c>
      <c r="M23" s="12">
        <f si="6" t="shared"/>
        <v>882</v>
      </c>
      <c r="N23" s="12">
        <f si="12" t="shared"/>
        <v>4</v>
      </c>
      <c r="O23" s="12">
        <f si="12" t="shared"/>
        <v>1</v>
      </c>
      <c r="P23" s="12">
        <f si="12" t="shared"/>
        <v>16616</v>
      </c>
      <c r="Q23" s="12">
        <f si="12" t="shared"/>
        <v>6</v>
      </c>
      <c r="R23" s="12">
        <f si="12" t="shared"/>
        <v>139</v>
      </c>
      <c r="S23" s="12">
        <f ref="S23" si="18" t="shared">S10</f>
        <v>67</v>
      </c>
      <c r="T23" s="12"/>
      <c r="U23" s="12">
        <f si="14" t="shared"/>
        <v>17715</v>
      </c>
    </row>
    <row r="24" spans="1:32" x14ac:dyDescent="0.45">
      <c r="A24" t="str">
        <f>$A$11</f>
        <v>Seattle</v>
      </c>
      <c r="B24" s="12">
        <f si="9" t="shared"/>
        <v>1313.494617242513</v>
      </c>
      <c r="C24" s="12">
        <f si="9" t="shared"/>
        <v>0</v>
      </c>
      <c r="D24" s="12">
        <f si="9" t="shared"/>
        <v>968.29320663813644</v>
      </c>
      <c r="E24" s="12">
        <f si="9" t="shared"/>
        <v>0</v>
      </c>
      <c r="F24" s="12">
        <f si="9" t="shared"/>
        <v>6361.2121761193503</v>
      </c>
      <c r="G24" s="12">
        <f si="9" t="shared"/>
        <v>0</v>
      </c>
      <c r="H24" s="12">
        <f ref="H24" si="19" t="shared">($U11/$J11)*H11</f>
        <v>0</v>
      </c>
      <c r="I24" s="12"/>
      <c r="J24" s="12">
        <f si="11" t="shared"/>
        <v>8643</v>
      </c>
      <c r="K24" s="12"/>
      <c r="L24" t="str">
        <f>$A$11</f>
        <v>Seattle</v>
      </c>
      <c r="M24" s="12">
        <f si="6" t="shared"/>
        <v>1004</v>
      </c>
      <c r="N24" s="12">
        <f si="12" t="shared"/>
        <v>0</v>
      </c>
      <c r="O24" s="12">
        <f si="12" t="shared"/>
        <v>155</v>
      </c>
      <c r="P24" s="12">
        <f si="12" t="shared"/>
        <v>12</v>
      </c>
      <c r="Q24" s="12">
        <f si="12" t="shared"/>
        <v>7360</v>
      </c>
      <c r="R24" s="12">
        <f si="12" t="shared"/>
        <v>18</v>
      </c>
      <c r="S24" s="12">
        <f ref="S24" si="20" t="shared">S11</f>
        <v>94</v>
      </c>
      <c r="T24" s="12"/>
      <c r="U24" s="12">
        <f si="14" t="shared"/>
        <v>8643</v>
      </c>
    </row>
    <row r="25" spans="1:32" x14ac:dyDescent="0.45">
      <c r="A25" t="str">
        <f>$A$12</f>
        <v>Seattle Downtown</v>
      </c>
      <c r="B25" s="12">
        <f si="9" t="shared"/>
        <v>2693.0274252020499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0</v>
      </c>
      <c r="G25" s="12">
        <f si="9" t="shared"/>
        <v>11041.631834252414</v>
      </c>
      <c r="H25" s="12">
        <f ref="H25" si="21" t="shared">($U12/$J12)*H12</f>
        <v>104.3407405455369</v>
      </c>
      <c r="I25" s="12"/>
      <c r="J25" s="12">
        <f si="11" t="shared"/>
        <v>13839</v>
      </c>
      <c r="K25" s="12"/>
      <c r="L25" t="str">
        <f>$A$12</f>
        <v>Seattle Downtown</v>
      </c>
      <c r="M25" s="12">
        <f si="6" t="shared"/>
        <v>1628</v>
      </c>
      <c r="N25" s="12">
        <f si="12" t="shared"/>
        <v>204</v>
      </c>
      <c r="O25" s="12">
        <f si="12" t="shared"/>
        <v>6</v>
      </c>
      <c r="P25" s="12">
        <f si="12" t="shared"/>
        <v>150</v>
      </c>
      <c r="Q25" s="12">
        <f si="12" t="shared"/>
        <v>7</v>
      </c>
      <c r="R25" s="12">
        <f si="12" t="shared"/>
        <v>11833</v>
      </c>
      <c r="S25" s="12">
        <f ref="S25:S26" si="22" t="shared">S12</f>
        <v>11</v>
      </c>
      <c r="T25" s="12"/>
      <c r="U25" s="12">
        <f si="14" t="shared"/>
        <v>13839</v>
      </c>
    </row>
    <row r="26" spans="1:32" x14ac:dyDescent="0.45">
      <c r="A26" t="str">
        <f>$A$13</f>
        <v>Rest</v>
      </c>
      <c r="B26" s="12">
        <f si="9" t="shared"/>
        <v>0</v>
      </c>
      <c r="C26" s="12">
        <f si="9" t="shared"/>
        <v>0</v>
      </c>
      <c r="D26" s="12">
        <f si="9" t="shared"/>
        <v>0</v>
      </c>
      <c r="E26" s="12">
        <f si="9" t="shared"/>
        <v>0</v>
      </c>
      <c r="F26" s="12">
        <f si="9" t="shared"/>
        <v>0</v>
      </c>
      <c r="G26" s="12">
        <f si="9" t="shared"/>
        <v>0</v>
      </c>
      <c r="H26" s="12">
        <f ref="H26" si="23" t="shared">($U13/$J13)*H13</f>
        <v>6539</v>
      </c>
      <c r="I26" s="12"/>
      <c r="J26" s="12">
        <f si="11" t="shared"/>
        <v>6539</v>
      </c>
      <c r="K26" s="12"/>
      <c r="L26" t="str">
        <f>$A$13</f>
        <v>Rest</v>
      </c>
      <c r="M26" s="12">
        <f si="6" t="shared"/>
        <v>541</v>
      </c>
      <c r="N26" s="12">
        <f si="12" t="shared"/>
        <v>0</v>
      </c>
      <c r="O26" s="12">
        <f si="12" t="shared"/>
        <v>3</v>
      </c>
      <c r="P26" s="12">
        <f si="12" t="shared"/>
        <v>178</v>
      </c>
      <c r="Q26" s="12">
        <f si="12" t="shared"/>
        <v>47</v>
      </c>
      <c r="R26" s="12">
        <f si="12" t="shared"/>
        <v>19</v>
      </c>
      <c r="S26" s="12">
        <f si="22" t="shared"/>
        <v>5751</v>
      </c>
      <c r="T26" s="12"/>
      <c r="U26" s="12">
        <f si="14" t="shared"/>
        <v>6539</v>
      </c>
    </row>
    <row r="27" spans="1:32" x14ac:dyDescent="0.45">
      <c r="A27" s="6" t="s">
        <v>16</v>
      </c>
      <c r="B27" s="13"/>
      <c r="C27" s="13"/>
      <c r="D27" s="13"/>
      <c r="E27" s="13"/>
      <c r="F27" s="13"/>
      <c r="G27" s="13"/>
      <c r="H27" s="13"/>
      <c r="I27" s="13"/>
      <c r="J27" s="13">
        <f si="11" t="shared"/>
        <v>0</v>
      </c>
      <c r="K27" s="12"/>
      <c r="L27" s="13" t="s">
        <v>16</v>
      </c>
      <c r="M27" s="13"/>
      <c r="N27" s="13"/>
      <c r="O27" s="13"/>
      <c r="P27" s="13"/>
      <c r="Q27" s="13"/>
      <c r="R27" s="13"/>
      <c r="S27" s="13"/>
      <c r="T27" s="13"/>
      <c r="U27" s="13"/>
    </row>
    <row ht="14.65" r="28" spans="1:32" thickBot="1" x14ac:dyDescent="0.5">
      <c r="A28" s="1" t="s">
        <v>4</v>
      </c>
      <c r="B28" s="14">
        <f ref="B28:J28" si="24" t="shared">SUM(B20:B27)</f>
        <v>51245.868834479872</v>
      </c>
      <c r="C28" s="14">
        <f si="24" t="shared"/>
        <v>4620.6598375409058</v>
      </c>
      <c r="D28" s="14">
        <f si="24" t="shared"/>
        <v>3583.5184030858954</v>
      </c>
      <c r="E28" s="14">
        <f si="24" t="shared"/>
        <v>17698.9521462718</v>
      </c>
      <c r="F28" s="14">
        <f si="24" t="shared"/>
        <v>7684.0066904925561</v>
      </c>
      <c r="G28" s="14">
        <f si="24" t="shared"/>
        <v>12842.145423196653</v>
      </c>
      <c r="H28" s="14">
        <f si="24" t="shared"/>
        <v>7167.8486649323095</v>
      </c>
      <c r="I28" s="14">
        <f si="24" t="shared"/>
        <v>0</v>
      </c>
      <c r="J28" s="14">
        <f si="24" t="shared"/>
        <v>104843</v>
      </c>
      <c r="K28" s="12"/>
      <c r="L28" s="14" t="s">
        <v>4</v>
      </c>
      <c r="M28" s="14">
        <f ref="M28:U28" si="25" t="shared">M15</f>
        <v>52232</v>
      </c>
      <c r="N28" s="14">
        <f si="25" t="shared"/>
        <v>4549</v>
      </c>
      <c r="O28" s="14">
        <f si="25" t="shared"/>
        <v>2459</v>
      </c>
      <c r="P28" s="14">
        <f si="25" t="shared"/>
        <v>17543</v>
      </c>
      <c r="Q28" s="14">
        <f si="25" t="shared"/>
        <v>7958</v>
      </c>
      <c r="R28" s="14">
        <f si="25" t="shared"/>
        <v>13873</v>
      </c>
      <c r="S28" s="14">
        <f si="25" t="shared"/>
        <v>6229</v>
      </c>
      <c r="T28" s="14"/>
      <c r="U28" s="14">
        <f si="25" t="shared"/>
        <v>104843</v>
      </c>
    </row>
    <row ht="14.65" r="31" spans="1:32" thickBot="1" x14ac:dyDescent="0.5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45">
      <c r="A33" t="str">
        <f>$A$7</f>
        <v>Bellevue</v>
      </c>
      <c r="B33" s="15">
        <f ref="B33:G33" si="26" t="shared">B20/$J$28</f>
        <v>0.44355906239478698</v>
      </c>
      <c r="C33" s="15">
        <f si="26" t="shared"/>
        <v>0</v>
      </c>
      <c r="D33" s="15">
        <f si="26" t="shared"/>
        <v>3.3947747651760273E-3</v>
      </c>
      <c r="E33" s="15">
        <f si="26" t="shared"/>
        <v>7.7488496694829226E-3</v>
      </c>
      <c r="F33" s="15">
        <f si="26" t="shared"/>
        <v>8.5571031300011053E-3</v>
      </c>
      <c r="G33" s="15">
        <f si="26" t="shared"/>
        <v>1.504319245429018E-2</v>
      </c>
      <c r="H33" s="15">
        <f ref="H33" si="27" t="shared">H20/$J$28</f>
        <v>3.2074665432745772E-3</v>
      </c>
      <c r="I33" s="12"/>
      <c r="J33" s="15">
        <f ref="J33:J39" si="28" t="shared">J20/$J$28</f>
        <v>0.48151044895701184</v>
      </c>
      <c r="K33" s="12"/>
      <c r="L33" t="str">
        <f>$A$7</f>
        <v>Bellevue</v>
      </c>
      <c r="M33" s="15">
        <f ref="M33:R33" si="29" t="shared">M20/$U$28</f>
        <v>0.45627271253207174</v>
      </c>
      <c r="N33" s="15">
        <f si="29" t="shared"/>
        <v>1.0491878332363629E-4</v>
      </c>
      <c r="O33" s="15">
        <f si="29" t="shared"/>
        <v>4.1013706208330549E-4</v>
      </c>
      <c r="P33" s="15">
        <f si="29" t="shared"/>
        <v>5.3317818070829715E-3</v>
      </c>
      <c r="Q33" s="15">
        <f si="29" t="shared"/>
        <v>2.7565025800482625E-3</v>
      </c>
      <c r="R33" s="15">
        <f si="29" t="shared"/>
        <v>1.3763436757818834E-2</v>
      </c>
      <c r="S33" s="15">
        <f ref="S33" si="30" t="shared">S20/$U$28</f>
        <v>2.8709594345831388E-3</v>
      </c>
      <c r="T33" s="15"/>
      <c r="U33" s="15">
        <f ref="U33:U39" si="31" t="shared">U20/$U$28</f>
        <v>0.48151044895701189</v>
      </c>
      <c r="W33" t="str">
        <f>$A$7</f>
        <v>Bellevue</v>
      </c>
      <c r="X33" s="15">
        <f ref="X33:AD33" si="32" t="shared">M33-B33</f>
        <v>1.271365013728476E-2</v>
      </c>
      <c r="Y33" s="15">
        <f si="32" t="shared"/>
        <v>1.0491878332363629E-4</v>
      </c>
      <c r="Z33" s="15">
        <f si="32" t="shared"/>
        <v>-2.9846377030927217E-3</v>
      </c>
      <c r="AA33" s="15">
        <f si="32" t="shared"/>
        <v>-2.4170678623999511E-3</v>
      </c>
      <c r="AB33" s="15">
        <f si="32" t="shared"/>
        <v>-5.8006005499528432E-3</v>
      </c>
      <c r="AC33" s="15">
        <f si="32" t="shared"/>
        <v>-1.2797556964713463E-3</v>
      </c>
      <c r="AD33" s="15">
        <f si="32" t="shared"/>
        <v>-3.3650710869143844E-4</v>
      </c>
      <c r="AE33" s="15"/>
      <c r="AF33" s="15">
        <f ref="AF33:AF39" si="33" t="shared">U33-J33</f>
        <v>0</v>
      </c>
    </row>
    <row r="34" spans="1:32" x14ac:dyDescent="0.45">
      <c r="A34" t="str">
        <f>$A$8</f>
        <v>Bellevue Downtown</v>
      </c>
      <c r="B34" s="15">
        <f ref="B34:G39" si="34" t="shared">B21/$J$28</f>
        <v>0</v>
      </c>
      <c r="C34" s="15">
        <f si="34" t="shared"/>
        <v>4.4072182573380254E-2</v>
      </c>
      <c r="D34" s="15">
        <f si="34" t="shared"/>
        <v>0</v>
      </c>
      <c r="E34" s="15">
        <f si="34" t="shared"/>
        <v>0</v>
      </c>
      <c r="F34" s="15">
        <f si="34" t="shared"/>
        <v>0</v>
      </c>
      <c r="G34" s="15">
        <f si="34" t="shared"/>
        <v>2.1302343738646787E-3</v>
      </c>
      <c r="H34" s="15">
        <f ref="H34" si="35" t="shared">H21/$J$28</f>
        <v>0</v>
      </c>
      <c r="I34" s="12"/>
      <c r="J34" s="15">
        <f si="28" t="shared"/>
        <v>4.6202416947244931E-2</v>
      </c>
      <c r="K34" s="12"/>
      <c r="L34" t="str">
        <f>$A$8</f>
        <v>Bellevue Downtown</v>
      </c>
      <c r="M34" s="15">
        <f ref="M34:R39" si="36" t="shared">M21/$U$28</f>
        <v>6.7720305599801604E-4</v>
      </c>
      <c r="N34" s="15">
        <f si="36" t="shared"/>
        <v>4.1299848344667739E-2</v>
      </c>
      <c r="O34" s="15">
        <f si="36" t="shared"/>
        <v>0</v>
      </c>
      <c r="P34" s="15">
        <f si="36" t="shared"/>
        <v>2.3845178028099158E-4</v>
      </c>
      <c r="Q34" s="15">
        <f si="36" t="shared"/>
        <v>0</v>
      </c>
      <c r="R34" s="15">
        <f si="36" t="shared"/>
        <v>3.9678376238756995E-3</v>
      </c>
      <c r="S34" s="15">
        <f ref="S34" si="37" t="shared">S21/$U$28</f>
        <v>1.9076142422479326E-5</v>
      </c>
      <c r="T34" s="15"/>
      <c r="U34" s="15">
        <f si="31" t="shared"/>
        <v>4.6202416947244931E-2</v>
      </c>
      <c r="W34" t="str">
        <f>$A$8</f>
        <v>Bellevue Downtown</v>
      </c>
      <c r="X34" s="15">
        <f ref="X34:X38" si="38" t="shared">M34-B34</f>
        <v>6.7720305599801604E-4</v>
      </c>
      <c r="Y34" s="15">
        <f ref="Y34:AD38" si="39" t="shared">N34-C34</f>
        <v>-2.7723342287125155E-3</v>
      </c>
      <c r="Z34" s="15">
        <f si="39" t="shared"/>
        <v>0</v>
      </c>
      <c r="AA34" s="15">
        <f si="39" t="shared"/>
        <v>2.3845178028099158E-4</v>
      </c>
      <c r="AB34" s="15">
        <f si="39" t="shared"/>
        <v>0</v>
      </c>
      <c r="AC34" s="15">
        <f si="39" t="shared"/>
        <v>1.8376032500110207E-3</v>
      </c>
      <c r="AD34" s="15">
        <f si="39" t="shared"/>
        <v>1.9076142422479326E-5</v>
      </c>
      <c r="AE34" s="15"/>
      <c r="AF34" s="15">
        <f si="33" t="shared"/>
        <v>0</v>
      </c>
    </row>
    <row r="35" spans="1:32" x14ac:dyDescent="0.45">
      <c r="A35" t="str">
        <f>$A$9</f>
        <v>Kirkland</v>
      </c>
      <c r="B35" s="15">
        <f si="34" t="shared"/>
        <v>9.0660342934760399E-4</v>
      </c>
      <c r="C35" s="15">
        <f si="34" t="shared"/>
        <v>0</v>
      </c>
      <c r="D35" s="15">
        <f si="34" t="shared"/>
        <v>2.1549429391970937E-2</v>
      </c>
      <c r="E35" s="15">
        <f si="34" t="shared"/>
        <v>0</v>
      </c>
      <c r="F35" s="15">
        <f si="34" t="shared"/>
        <v>4.059805145927721E-3</v>
      </c>
      <c r="G35" s="15">
        <f si="34" t="shared"/>
        <v>0</v>
      </c>
      <c r="H35" s="15">
        <f ref="H35" si="40" t="shared">H22/$J$28</f>
        <v>0</v>
      </c>
      <c r="I35" s="12"/>
      <c r="J35" s="15">
        <f si="28" t="shared"/>
        <v>2.6515837967246263E-2</v>
      </c>
      <c r="K35" s="12"/>
      <c r="L35" t="str">
        <f>$A$9</f>
        <v>Kirkland</v>
      </c>
      <c r="M35" s="15">
        <f si="36" t="shared"/>
        <v>2.5657411558234694E-3</v>
      </c>
      <c r="N35" s="15">
        <f si="36" t="shared"/>
        <v>0</v>
      </c>
      <c r="O35" s="15">
        <f si="36" t="shared"/>
        <v>2.1470198296500483E-2</v>
      </c>
      <c r="P35" s="15">
        <f si="36" t="shared"/>
        <v>2.8614213633718989E-5</v>
      </c>
      <c r="Q35" s="15">
        <f si="36" t="shared"/>
        <v>2.3749797315986763E-3</v>
      </c>
      <c r="R35" s="15">
        <f si="36" t="shared"/>
        <v>4.7690356056198318E-5</v>
      </c>
      <c r="S35" s="15">
        <f ref="S35" si="41" t="shared">S22/$U$28</f>
        <v>2.8614213633718989E-5</v>
      </c>
      <c r="T35" s="15"/>
      <c r="U35" s="15">
        <f si="31" t="shared"/>
        <v>2.6515837967246263E-2</v>
      </c>
      <c r="W35" t="str">
        <f>$A$9</f>
        <v>Kirkland</v>
      </c>
      <c r="X35" s="15">
        <f si="38" t="shared"/>
        <v>1.6591377264758653E-3</v>
      </c>
      <c r="Y35" s="15">
        <f si="39" t="shared"/>
        <v>0</v>
      </c>
      <c r="Z35" s="15">
        <f si="39" t="shared"/>
        <v>-7.9231095470453511E-5</v>
      </c>
      <c r="AA35" s="15">
        <f si="39" t="shared"/>
        <v>2.8614213633718989E-5</v>
      </c>
      <c r="AB35" s="15">
        <f si="39" t="shared"/>
        <v>-1.6848254143290446E-3</v>
      </c>
      <c r="AC35" s="15">
        <f si="39" t="shared"/>
        <v>4.7690356056198318E-5</v>
      </c>
      <c r="AD35" s="15">
        <f si="39" t="shared"/>
        <v>2.8614213633718989E-5</v>
      </c>
      <c r="AE35" s="15"/>
      <c r="AF35" s="15">
        <f si="33" t="shared"/>
        <v>0</v>
      </c>
    </row>
    <row r="36" spans="1:32" x14ac:dyDescent="0.45">
      <c r="A36" t="str">
        <f>$A$10</f>
        <v>Redmond</v>
      </c>
      <c r="B36" s="15">
        <f si="34" t="shared"/>
        <v>6.1065878507440942E-3</v>
      </c>
      <c r="C36" s="15">
        <f si="34" t="shared"/>
        <v>0</v>
      </c>
      <c r="D36" s="15">
        <f si="34" t="shared"/>
        <v>0</v>
      </c>
      <c r="E36" s="15">
        <f si="34" t="shared"/>
        <v>0.16106501626598058</v>
      </c>
      <c r="F36" s="15">
        <f si="34" t="shared"/>
        <v>0</v>
      </c>
      <c r="G36" s="15">
        <f si="34" t="shared"/>
        <v>0</v>
      </c>
      <c r="H36" s="15">
        <f ref="H36" si="42" t="shared">H23/$J$28</f>
        <v>1.7953273903859714E-3</v>
      </c>
      <c r="I36" s="12"/>
      <c r="J36" s="15">
        <f si="28" t="shared"/>
        <v>0.16896693150711065</v>
      </c>
      <c r="K36" s="12"/>
      <c r="L36" t="str">
        <f>$A$10</f>
        <v>Redmond</v>
      </c>
      <c r="M36" s="15">
        <f si="36" t="shared"/>
        <v>8.4125788083133837E-3</v>
      </c>
      <c r="N36" s="15">
        <f si="36" t="shared"/>
        <v>3.8152284844958652E-5</v>
      </c>
      <c r="O36" s="15">
        <f si="36" t="shared"/>
        <v>9.538071211239663E-6</v>
      </c>
      <c r="P36" s="15">
        <f si="36" t="shared"/>
        <v>0.15848459124595823</v>
      </c>
      <c r="Q36" s="15">
        <f si="36" t="shared"/>
        <v>5.7228427267437978E-5</v>
      </c>
      <c r="R36" s="15">
        <f si="36" t="shared"/>
        <v>1.3257918983623131E-3</v>
      </c>
      <c r="S36" s="15">
        <f ref="S36" si="43" t="shared">S23/$U$28</f>
        <v>6.3905077115305748E-4</v>
      </c>
      <c r="T36" s="15"/>
      <c r="U36" s="15">
        <f si="31" t="shared"/>
        <v>0.16896693150711065</v>
      </c>
      <c r="W36" t="str">
        <f>$A$10</f>
        <v>Redmond</v>
      </c>
      <c r="X36" s="15">
        <f si="38" t="shared"/>
        <v>2.3059909575692894E-3</v>
      </c>
      <c r="Y36" s="15">
        <f si="39" t="shared"/>
        <v>3.8152284844958652E-5</v>
      </c>
      <c r="Z36" s="15">
        <f si="39" t="shared"/>
        <v>9.538071211239663E-6</v>
      </c>
      <c r="AA36" s="15">
        <f si="39" t="shared"/>
        <v>-2.5804250200223422E-3</v>
      </c>
      <c r="AB36" s="15">
        <f si="39" t="shared"/>
        <v>5.7228427267437978E-5</v>
      </c>
      <c r="AC36" s="15">
        <f si="39" t="shared"/>
        <v>1.3257918983623131E-3</v>
      </c>
      <c r="AD36" s="15">
        <f si="39" t="shared"/>
        <v>-1.156276619232914E-3</v>
      </c>
      <c r="AE36" s="15"/>
      <c r="AF36" s="15">
        <f si="33" t="shared"/>
        <v>0</v>
      </c>
    </row>
    <row r="37" spans="1:32" x14ac:dyDescent="0.45">
      <c r="A37" t="str">
        <f>$A$11</f>
        <v>Seattle</v>
      </c>
      <c r="B37" s="15">
        <f si="34" t="shared"/>
        <v>1.2528205194839073E-2</v>
      </c>
      <c r="C37" s="15">
        <f si="34" t="shared"/>
        <v>0</v>
      </c>
      <c r="D37" s="15">
        <f si="34" t="shared"/>
        <v>9.2356495582741477E-3</v>
      </c>
      <c r="E37" s="15">
        <f si="34" t="shared"/>
        <v>0</v>
      </c>
      <c r="F37" s="15">
        <f si="34" t="shared"/>
        <v>6.0673694725631187E-2</v>
      </c>
      <c r="G37" s="15">
        <f si="34" t="shared"/>
        <v>0</v>
      </c>
      <c r="H37" s="15">
        <f ref="H37" si="44" t="shared">H24/$J$28</f>
        <v>0</v>
      </c>
      <c r="I37" s="12"/>
      <c r="J37" s="15">
        <f si="28" t="shared"/>
        <v>8.2437549478744404E-2</v>
      </c>
      <c r="K37" s="12"/>
      <c r="L37" t="str">
        <f>$A$11</f>
        <v>Seattle</v>
      </c>
      <c r="M37" s="15">
        <f si="36" t="shared"/>
        <v>9.5762234960846213E-3</v>
      </c>
      <c r="N37" s="15">
        <f si="36" t="shared"/>
        <v>0</v>
      </c>
      <c r="O37" s="15">
        <f si="36" t="shared"/>
        <v>1.4784010377421478E-3</v>
      </c>
      <c r="P37" s="15">
        <f si="36" t="shared"/>
        <v>1.1445685453487596E-4</v>
      </c>
      <c r="Q37" s="15">
        <f si="36" t="shared"/>
        <v>7.0200204114723927E-2</v>
      </c>
      <c r="R37" s="15">
        <f si="36" t="shared"/>
        <v>1.7168528180231394E-4</v>
      </c>
      <c r="S37" s="15">
        <f ref="S37" si="45" t="shared">S24/$U$28</f>
        <v>8.9657869385652831E-4</v>
      </c>
      <c r="T37" s="15"/>
      <c r="U37" s="15">
        <f si="31" t="shared"/>
        <v>8.2437549478744404E-2</v>
      </c>
      <c r="W37" t="str">
        <f>$A$11</f>
        <v>Seattle</v>
      </c>
      <c r="X37" s="15">
        <f si="38" t="shared"/>
        <v>-2.9519816987544512E-3</v>
      </c>
      <c r="Y37" s="15">
        <f si="39" t="shared"/>
        <v>0</v>
      </c>
      <c r="Z37" s="15">
        <f si="39" t="shared"/>
        <v>-7.7572485205319999E-3</v>
      </c>
      <c r="AA37" s="15">
        <f si="39" t="shared"/>
        <v>1.1445685453487596E-4</v>
      </c>
      <c r="AB37" s="15">
        <f si="39" t="shared"/>
        <v>9.5265093890927396E-3</v>
      </c>
      <c r="AC37" s="15">
        <f si="39" t="shared"/>
        <v>1.7168528180231394E-4</v>
      </c>
      <c r="AD37" s="15">
        <f si="39" t="shared"/>
        <v>8.9657869385652831E-4</v>
      </c>
      <c r="AE37" s="15"/>
      <c r="AF37" s="15">
        <f si="33" t="shared"/>
        <v>0</v>
      </c>
    </row>
    <row r="38" spans="1:32" x14ac:dyDescent="0.45">
      <c r="A38" t="str">
        <f>$A$12</f>
        <v>Seattle Downtown</v>
      </c>
      <c r="B38" s="15">
        <f si="34" t="shared"/>
        <v>2.5686287355398546E-2</v>
      </c>
      <c r="C38" s="15">
        <f si="34" t="shared"/>
        <v>0</v>
      </c>
      <c r="D38" s="15">
        <f si="34" t="shared"/>
        <v>0</v>
      </c>
      <c r="E38" s="15">
        <f si="34" t="shared"/>
        <v>0</v>
      </c>
      <c r="F38" s="15">
        <f si="34" t="shared"/>
        <v>0</v>
      </c>
      <c r="G38" s="15">
        <f si="34" t="shared"/>
        <v>0.10531587072339034</v>
      </c>
      <c r="H38" s="15">
        <f ref="H38:H39" si="46" t="shared">H25/$J$28</f>
        <v>9.9520941355681265E-4</v>
      </c>
      <c r="I38" s="12"/>
      <c r="J38" s="15">
        <f si="28" t="shared"/>
        <v>0.1319973674923457</v>
      </c>
      <c r="K38" s="12"/>
      <c r="L38" t="str">
        <f>$A$12</f>
        <v>Seattle Downtown</v>
      </c>
      <c r="M38" s="15">
        <f si="36" t="shared"/>
        <v>1.5527979931898172E-2</v>
      </c>
      <c r="N38" s="15">
        <f si="36" t="shared"/>
        <v>1.9457665270928913E-3</v>
      </c>
      <c r="O38" s="15">
        <f si="36" t="shared"/>
        <v>5.7228427267437978E-5</v>
      </c>
      <c r="P38" s="15">
        <f si="36" t="shared"/>
        <v>1.4307106816859494E-3</v>
      </c>
      <c r="Q38" s="15">
        <f si="36" t="shared"/>
        <v>6.6766498478677637E-5</v>
      </c>
      <c r="R38" s="15">
        <f si="36" t="shared"/>
        <v>0.11286399664259894</v>
      </c>
      <c r="S38" s="15">
        <f ref="S38" si="47" t="shared">S25/$U$28</f>
        <v>1.0491878332363629E-4</v>
      </c>
      <c r="T38" s="15"/>
      <c r="U38" s="15">
        <f si="31" t="shared"/>
        <v>0.1319973674923457</v>
      </c>
      <c r="W38" t="str">
        <f>$A$12</f>
        <v>Seattle Downtown</v>
      </c>
      <c r="X38" s="15">
        <f si="38" t="shared"/>
        <v>-1.0158307423500374E-2</v>
      </c>
      <c r="Y38" s="15">
        <f si="39" t="shared"/>
        <v>1.9457665270928913E-3</v>
      </c>
      <c r="Z38" s="15">
        <f si="39" t="shared"/>
        <v>5.7228427267437978E-5</v>
      </c>
      <c r="AA38" s="15">
        <f si="39" t="shared"/>
        <v>1.4307106816859494E-3</v>
      </c>
      <c r="AB38" s="15">
        <f si="39" t="shared"/>
        <v>6.6766498478677637E-5</v>
      </c>
      <c r="AC38" s="15">
        <f si="39" t="shared"/>
        <v>7.5481259192086009E-3</v>
      </c>
      <c r="AD38" s="15">
        <f si="39" t="shared"/>
        <v>-8.9029063023317637E-4</v>
      </c>
      <c r="AE38" s="15"/>
      <c r="AF38" s="15">
        <f si="33" t="shared"/>
        <v>0</v>
      </c>
    </row>
    <row r="39" spans="1:32" x14ac:dyDescent="0.45">
      <c r="A39" t="str">
        <f>$A$13</f>
        <v>Rest</v>
      </c>
      <c r="B39" s="15">
        <f si="34" t="shared"/>
        <v>0</v>
      </c>
      <c r="C39" s="15">
        <f si="34" t="shared"/>
        <v>0</v>
      </c>
      <c r="D39" s="15">
        <f si="34" t="shared"/>
        <v>0</v>
      </c>
      <c r="E39" s="15">
        <f si="34" t="shared"/>
        <v>0</v>
      </c>
      <c r="F39" s="15">
        <f si="34" t="shared"/>
        <v>0</v>
      </c>
      <c r="G39" s="15">
        <f si="34" t="shared"/>
        <v>0</v>
      </c>
      <c r="H39" s="15">
        <f si="46" t="shared"/>
        <v>6.2369447650296159E-2</v>
      </c>
      <c r="I39" s="12"/>
      <c r="J39" s="15">
        <f si="28" t="shared"/>
        <v>6.2369447650296159E-2</v>
      </c>
      <c r="K39" s="12"/>
      <c r="L39" t="str">
        <f>$A$13</f>
        <v>Rest</v>
      </c>
      <c r="M39" s="15">
        <f si="36" t="shared"/>
        <v>5.1600965252806578E-3</v>
      </c>
      <c r="N39" s="15">
        <f si="36" t="shared"/>
        <v>0</v>
      </c>
      <c r="O39" s="15">
        <f si="36" t="shared"/>
        <v>2.8614213633718989E-5</v>
      </c>
      <c r="P39" s="15">
        <f si="36" t="shared"/>
        <v>1.6977766756006601E-3</v>
      </c>
      <c r="Q39" s="15">
        <f si="36" t="shared"/>
        <v>4.4828934692826416E-4</v>
      </c>
      <c r="R39" s="15">
        <f si="36" t="shared"/>
        <v>1.8122335301355361E-4</v>
      </c>
      <c r="S39" s="15">
        <f ref="S39" si="48" t="shared">S26/$U$28</f>
        <v>5.4853447535839303E-2</v>
      </c>
      <c r="T39" s="15"/>
      <c r="U39" s="15">
        <f si="31" t="shared"/>
        <v>6.2369447650296159E-2</v>
      </c>
      <c r="W39" t="str">
        <f>$A$13</f>
        <v>Rest</v>
      </c>
      <c r="X39" s="15">
        <f ref="X39" si="49" t="shared">M39-B39</f>
        <v>5.1600965252806578E-3</v>
      </c>
      <c r="Y39" s="15">
        <f ref="Y39" si="50" t="shared">N39-C39</f>
        <v>0</v>
      </c>
      <c r="Z39" s="15">
        <f ref="Z39" si="51" t="shared">O39-D39</f>
        <v>2.8614213633718989E-5</v>
      </c>
      <c r="AA39" s="15">
        <f ref="AA39" si="52" t="shared">P39-E39</f>
        <v>1.6977766756006601E-3</v>
      </c>
      <c r="AB39" s="15">
        <f ref="AB39" si="53" t="shared">Q39-F39</f>
        <v>4.4828934692826416E-4</v>
      </c>
      <c r="AC39" s="15">
        <f ref="AC39" si="54" t="shared">R39-G39</f>
        <v>1.8122335301355361E-4</v>
      </c>
      <c r="AD39" s="15">
        <f ref="AD39" si="55" t="shared">S39-H39</f>
        <v>-7.5160001144568556E-3</v>
      </c>
      <c r="AE39" s="15"/>
      <c r="AF39" s="15">
        <f si="33" t="shared"/>
        <v>0</v>
      </c>
    </row>
    <row r="40" spans="1:32" x14ac:dyDescent="0.45">
      <c r="A40" s="6" t="s">
        <v>16</v>
      </c>
      <c r="B40" s="13"/>
      <c r="C40" s="13"/>
      <c r="D40" s="13"/>
      <c r="E40" s="13"/>
      <c r="F40" s="13"/>
      <c r="G40" s="13"/>
      <c r="H40" s="13"/>
      <c r="I40" s="13"/>
      <c r="J40" s="16"/>
      <c r="K40" s="12"/>
      <c r="L40" s="13" t="s">
        <v>16</v>
      </c>
      <c r="M40" s="16"/>
      <c r="N40" s="16"/>
      <c r="O40" s="16"/>
      <c r="P40" s="16"/>
      <c r="Q40" s="16"/>
      <c r="R40" s="16"/>
      <c r="S40" s="16"/>
      <c r="T40" s="16"/>
      <c r="U40" s="16"/>
      <c r="W40" s="13" t="s">
        <v>16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4.65" r="41" spans="1:32" thickBot="1" x14ac:dyDescent="0.5">
      <c r="A41" s="1" t="s">
        <v>4</v>
      </c>
      <c r="B41" s="17">
        <f ref="B41:G41" si="56" t="shared">B28/$J$28</f>
        <v>0.48878674622511631</v>
      </c>
      <c r="C41" s="17">
        <f si="56" t="shared"/>
        <v>4.4072182573380254E-2</v>
      </c>
      <c r="D41" s="17">
        <f si="56" t="shared"/>
        <v>3.4179853715421107E-2</v>
      </c>
      <c r="E41" s="17">
        <f si="56" t="shared"/>
        <v>0.16881386593546349</v>
      </c>
      <c r="F41" s="17">
        <f si="56" t="shared"/>
        <v>7.3290603001560012E-2</v>
      </c>
      <c r="G41" s="17">
        <f si="56" t="shared"/>
        <v>0.1224892975515452</v>
      </c>
      <c r="H41" s="17"/>
      <c r="I41" s="17">
        <f>I28/$J$28</f>
        <v>0</v>
      </c>
      <c r="J41" s="17">
        <f>J28/$J$28</f>
        <v>1</v>
      </c>
      <c r="K41" s="12"/>
      <c r="L41" s="14" t="s">
        <v>4</v>
      </c>
      <c r="M41" s="17">
        <f>M28/$U$28</f>
        <v>0.4981925355054701</v>
      </c>
      <c r="N41" s="17">
        <f>N28/$U$28</f>
        <v>4.3388685939929228E-2</v>
      </c>
      <c r="O41" s="17">
        <f>O28/$U$28</f>
        <v>2.3454117108438331E-2</v>
      </c>
      <c r="P41" s="17">
        <f>P28/$U$28</f>
        <v>0.16732638325877741</v>
      </c>
      <c r="Q41" s="17">
        <f ref="Q41:S41" si="57" t="shared">Q28/$U$28</f>
        <v>7.590397069904524E-2</v>
      </c>
      <c r="R41" s="17">
        <f si="57" t="shared"/>
        <v>0.13232166191352784</v>
      </c>
      <c r="S41" s="17">
        <f si="57" t="shared"/>
        <v>5.9412645574811865E-2</v>
      </c>
      <c r="T41" s="17">
        <f>T28/$U$28</f>
        <v>0</v>
      </c>
      <c r="U41" s="17">
        <f>U28/$U$28</f>
        <v>1</v>
      </c>
      <c r="W41" s="14" t="s">
        <v>4</v>
      </c>
      <c r="X41" s="17">
        <f ref="X41:AD41" si="58" t="shared">M41-B41</f>
        <v>9.4057892803537935E-3</v>
      </c>
      <c r="Y41" s="17">
        <f si="58" t="shared"/>
        <v>-6.8349663345102646E-4</v>
      </c>
      <c r="Z41" s="17">
        <f si="58" t="shared"/>
        <v>-1.0725736606982776E-2</v>
      </c>
      <c r="AA41" s="17">
        <f si="58" t="shared"/>
        <v>-1.4874826766860805E-3</v>
      </c>
      <c r="AB41" s="17">
        <f si="58" t="shared"/>
        <v>2.6133676974852277E-3</v>
      </c>
      <c r="AC41" s="17">
        <f si="58" t="shared"/>
        <v>9.8323643619826484E-3</v>
      </c>
      <c r="AD41" s="17">
        <f si="58" t="shared"/>
        <v>5.9412645574811865E-2</v>
      </c>
      <c r="AE41" s="17">
        <f>T41-I41</f>
        <v>0</v>
      </c>
      <c r="AF41" s="17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9" t="s">
        <v>22</v>
      </c>
    </row>
    <row r="2" spans="1:3" x14ac:dyDescent="0.45">
      <c r="A2">
        <v>1</v>
      </c>
      <c r="B2" t="s">
        <v>249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workbookViewId="0">
      <selection activeCell="J50" sqref="J50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5" t="s">
        <v>46</v>
      </c>
    </row>
    <row r="2" spans="1:4" x14ac:dyDescent="0.45">
      <c r="A2" t="s">
        <v>257</v>
      </c>
      <c r="B2" t="s">
        <v>258</v>
      </c>
      <c r="C2" t="s">
        <v>95</v>
      </c>
      <c r="D2" t="s">
        <v>259</v>
      </c>
    </row>
    <row r="3" spans="1:4" x14ac:dyDescent="0.45">
      <c r="A3">
        <v>1</v>
      </c>
      <c r="B3" t="s">
        <v>49</v>
      </c>
      <c r="C3" t="s">
        <v>260</v>
      </c>
      <c r="D3" t="s">
        <v>50</v>
      </c>
    </row>
    <row r="4" spans="1:4" x14ac:dyDescent="0.45">
      <c r="A4">
        <v>2</v>
      </c>
      <c r="B4" t="s">
        <v>52</v>
      </c>
      <c r="C4" t="s">
        <v>260</v>
      </c>
      <c r="D4" t="s">
        <v>53</v>
      </c>
    </row>
    <row r="5" spans="1:4" x14ac:dyDescent="0.45">
      <c r="A5">
        <v>3</v>
      </c>
      <c r="B5" t="s">
        <v>55</v>
      </c>
      <c r="C5" t="s">
        <v>260</v>
      </c>
      <c r="D5" t="s">
        <v>56</v>
      </c>
    </row>
    <row r="6" spans="1:4" x14ac:dyDescent="0.45">
      <c r="A6">
        <v>4</v>
      </c>
      <c r="B6" t="s">
        <v>58</v>
      </c>
      <c r="C6" t="s">
        <v>260</v>
      </c>
      <c r="D6" t="s">
        <v>59</v>
      </c>
    </row>
    <row r="7" spans="1:4" x14ac:dyDescent="0.45">
      <c r="A7">
        <v>5</v>
      </c>
      <c r="B7" t="s">
        <v>61</v>
      </c>
      <c r="C7" t="s">
        <v>260</v>
      </c>
      <c r="D7" t="s">
        <v>62</v>
      </c>
    </row>
    <row r="8" spans="1:4" x14ac:dyDescent="0.45">
      <c r="A8">
        <v>6</v>
      </c>
      <c r="B8" t="s">
        <v>63</v>
      </c>
      <c r="C8" t="s">
        <v>260</v>
      </c>
      <c r="D8" t="s">
        <v>64</v>
      </c>
    </row>
    <row r="9" spans="1:4" x14ac:dyDescent="0.45">
      <c r="A9">
        <v>7</v>
      </c>
      <c r="B9" t="s">
        <v>65</v>
      </c>
      <c r="C9" t="s">
        <v>260</v>
      </c>
      <c r="D9" t="s">
        <v>66</v>
      </c>
    </row>
    <row r="10" spans="1:4" x14ac:dyDescent="0.45">
      <c r="A10">
        <v>8</v>
      </c>
      <c r="B10" t="s">
        <v>68</v>
      </c>
      <c r="C10" t="s">
        <v>260</v>
      </c>
      <c r="D10" t="s">
        <v>69</v>
      </c>
    </row>
    <row r="11" spans="1:4" x14ac:dyDescent="0.45">
      <c r="A11">
        <v>9</v>
      </c>
      <c r="B11" t="s">
        <v>70</v>
      </c>
      <c r="C11" t="s">
        <v>260</v>
      </c>
      <c r="D11" t="s">
        <v>71</v>
      </c>
    </row>
    <row r="12" spans="1:4" x14ac:dyDescent="0.45">
      <c r="A12">
        <v>10</v>
      </c>
      <c r="B12" t="s">
        <v>72</v>
      </c>
      <c r="C12" t="s">
        <v>260</v>
      </c>
      <c r="D12" t="s">
        <v>73</v>
      </c>
    </row>
    <row r="13" spans="1:4" x14ac:dyDescent="0.45">
      <c r="A13">
        <v>11</v>
      </c>
      <c r="B13" t="s">
        <v>74</v>
      </c>
      <c r="C13" t="s">
        <v>260</v>
      </c>
      <c r="D13" t="s">
        <v>75</v>
      </c>
    </row>
    <row r="14" spans="1:4" x14ac:dyDescent="0.45">
      <c r="A14">
        <v>12</v>
      </c>
      <c r="B14" t="s">
        <v>76</v>
      </c>
      <c r="C14" t="s">
        <v>260</v>
      </c>
      <c r="D14" t="s">
        <v>77</v>
      </c>
    </row>
    <row r="15" spans="1:4" x14ac:dyDescent="0.45">
      <c r="A15">
        <v>13</v>
      </c>
      <c r="B15" t="s">
        <v>78</v>
      </c>
      <c r="C15" t="s">
        <v>260</v>
      </c>
      <c r="D15" t="s">
        <v>79</v>
      </c>
    </row>
    <row r="16" spans="1:4" x14ac:dyDescent="0.45">
      <c r="A16">
        <v>14</v>
      </c>
      <c r="B16" t="s">
        <v>80</v>
      </c>
      <c r="C16" t="s">
        <v>260</v>
      </c>
      <c r="D16" t="s">
        <v>81</v>
      </c>
    </row>
    <row r="17" spans="1:4" x14ac:dyDescent="0.45">
      <c r="A17">
        <v>15</v>
      </c>
      <c r="B17" t="s">
        <v>82</v>
      </c>
      <c r="C17" t="s">
        <v>260</v>
      </c>
      <c r="D17" t="s">
        <v>83</v>
      </c>
    </row>
    <row r="18" spans="1:4" x14ac:dyDescent="0.45">
      <c r="A18">
        <v>16</v>
      </c>
      <c r="B18" t="s">
        <v>84</v>
      </c>
      <c r="C18" t="s">
        <v>260</v>
      </c>
      <c r="D18" t="s">
        <v>85</v>
      </c>
    </row>
    <row r="19" spans="1:4" x14ac:dyDescent="0.45">
      <c r="A19">
        <v>17</v>
      </c>
      <c r="B19" t="s">
        <v>87</v>
      </c>
      <c r="C19" t="s">
        <v>260</v>
      </c>
      <c r="D19" t="s">
        <v>88</v>
      </c>
    </row>
    <row r="20" spans="1:4" x14ac:dyDescent="0.45">
      <c r="A20">
        <v>18</v>
      </c>
      <c r="B20" t="s">
        <v>90</v>
      </c>
      <c r="C20" t="s">
        <v>260</v>
      </c>
      <c r="D20" t="s">
        <v>91</v>
      </c>
    </row>
    <row r="21" spans="1:4" x14ac:dyDescent="0.45">
      <c r="A21">
        <v>19</v>
      </c>
      <c r="B21" t="s">
        <v>93</v>
      </c>
      <c r="C21" t="s">
        <v>260</v>
      </c>
      <c r="D21" t="s">
        <v>94</v>
      </c>
    </row>
    <row r="22" spans="1:4" x14ac:dyDescent="0.45">
      <c r="A22">
        <v>20</v>
      </c>
      <c r="B22" t="s">
        <v>96</v>
      </c>
      <c r="C22" t="s">
        <v>92</v>
      </c>
      <c r="D22" t="s">
        <v>97</v>
      </c>
    </row>
    <row r="23" spans="1:4" x14ac:dyDescent="0.45">
      <c r="A23">
        <v>21</v>
      </c>
      <c r="B23" t="s">
        <v>98</v>
      </c>
      <c r="C23" t="s">
        <v>92</v>
      </c>
      <c r="D23" t="s">
        <v>99</v>
      </c>
    </row>
    <row r="24" spans="1:4" x14ac:dyDescent="0.45">
      <c r="A24">
        <v>22</v>
      </c>
      <c r="B24" t="s">
        <v>100</v>
      </c>
      <c r="C24" t="s">
        <v>92</v>
      </c>
      <c r="D24" t="s">
        <v>101</v>
      </c>
    </row>
    <row r="25" spans="1:4" x14ac:dyDescent="0.45">
      <c r="A25">
        <v>23</v>
      </c>
      <c r="B25" t="s">
        <v>102</v>
      </c>
      <c r="C25" t="s">
        <v>92</v>
      </c>
      <c r="D25" t="s">
        <v>103</v>
      </c>
    </row>
    <row r="26" spans="1:4" x14ac:dyDescent="0.45">
      <c r="A26">
        <v>24</v>
      </c>
      <c r="B26" t="s">
        <v>104</v>
      </c>
      <c r="C26" t="s">
        <v>92</v>
      </c>
      <c r="D26" t="s">
        <v>105</v>
      </c>
    </row>
    <row r="27" spans="1:4" x14ac:dyDescent="0.45">
      <c r="A27">
        <v>25</v>
      </c>
      <c r="B27" t="s">
        <v>107</v>
      </c>
      <c r="C27" t="s">
        <v>92</v>
      </c>
      <c r="D27" t="s">
        <v>108</v>
      </c>
    </row>
    <row r="28" spans="1:4" x14ac:dyDescent="0.45">
      <c r="A28">
        <v>26</v>
      </c>
      <c r="B28" t="s">
        <v>109</v>
      </c>
      <c r="C28" t="s">
        <v>106</v>
      </c>
      <c r="D28" t="s">
        <v>97</v>
      </c>
    </row>
    <row r="29" spans="1:4" x14ac:dyDescent="0.45">
      <c r="A29">
        <v>27</v>
      </c>
      <c r="B29" t="s">
        <v>110</v>
      </c>
      <c r="C29" t="s">
        <v>106</v>
      </c>
      <c r="D29" t="s">
        <v>99</v>
      </c>
    </row>
    <row r="30" spans="1:4" x14ac:dyDescent="0.45">
      <c r="A30">
        <v>28</v>
      </c>
      <c r="B30" t="s">
        <v>112</v>
      </c>
      <c r="C30" t="s">
        <v>106</v>
      </c>
      <c r="D30" t="s">
        <v>101</v>
      </c>
    </row>
    <row r="31" spans="1:4" x14ac:dyDescent="0.45">
      <c r="A31">
        <v>29</v>
      </c>
      <c r="B31" t="s">
        <v>113</v>
      </c>
      <c r="C31" t="s">
        <v>106</v>
      </c>
      <c r="D31" t="s">
        <v>103</v>
      </c>
    </row>
    <row r="32" spans="1:4" x14ac:dyDescent="0.45">
      <c r="A32">
        <v>30</v>
      </c>
      <c r="B32" t="s">
        <v>114</v>
      </c>
      <c r="C32" t="s">
        <v>106</v>
      </c>
      <c r="D32" t="s">
        <v>115</v>
      </c>
    </row>
    <row r="33" spans="1:4" x14ac:dyDescent="0.45">
      <c r="A33">
        <v>31</v>
      </c>
      <c r="B33" t="s">
        <v>116</v>
      </c>
      <c r="C33" t="s">
        <v>106</v>
      </c>
      <c r="D33" t="s">
        <v>117</v>
      </c>
    </row>
    <row r="34" spans="1:4" x14ac:dyDescent="0.45">
      <c r="A34">
        <v>32</v>
      </c>
      <c r="B34" t="s">
        <v>118</v>
      </c>
      <c r="C34" t="s">
        <v>106</v>
      </c>
      <c r="D34" t="s">
        <v>119</v>
      </c>
    </row>
    <row r="35" spans="1:4" x14ac:dyDescent="0.45">
      <c r="A35">
        <v>33</v>
      </c>
      <c r="B35" t="s">
        <v>120</v>
      </c>
      <c r="C35" t="s">
        <v>106</v>
      </c>
      <c r="D35" t="s">
        <v>121</v>
      </c>
    </row>
    <row r="36" spans="1:4" x14ac:dyDescent="0.45">
      <c r="A36">
        <v>34</v>
      </c>
      <c r="B36" t="s">
        <v>122</v>
      </c>
      <c r="C36" t="s">
        <v>106</v>
      </c>
      <c r="D36" t="s">
        <v>123</v>
      </c>
    </row>
    <row r="37" spans="1:4" x14ac:dyDescent="0.45">
      <c r="A37">
        <v>35</v>
      </c>
      <c r="B37" t="s">
        <v>125</v>
      </c>
      <c r="C37" t="s">
        <v>106</v>
      </c>
      <c r="D37" t="s">
        <v>126</v>
      </c>
    </row>
    <row r="38" spans="1:4" x14ac:dyDescent="0.45">
      <c r="A38">
        <v>36</v>
      </c>
      <c r="B38" t="s">
        <v>127</v>
      </c>
      <c r="C38" t="s">
        <v>124</v>
      </c>
      <c r="D38" t="s">
        <v>97</v>
      </c>
    </row>
    <row r="39" spans="1:4" x14ac:dyDescent="0.45">
      <c r="A39">
        <v>37</v>
      </c>
      <c r="B39" t="s">
        <v>128</v>
      </c>
      <c r="C39" t="s">
        <v>124</v>
      </c>
      <c r="D39" t="s">
        <v>99</v>
      </c>
    </row>
    <row r="40" spans="1:4" x14ac:dyDescent="0.45">
      <c r="A40">
        <v>38</v>
      </c>
      <c r="B40" t="s">
        <v>130</v>
      </c>
      <c r="C40" t="s">
        <v>124</v>
      </c>
      <c r="D40" t="s">
        <v>101</v>
      </c>
    </row>
    <row r="41" spans="1:4" x14ac:dyDescent="0.45">
      <c r="A41">
        <v>39</v>
      </c>
      <c r="B41" t="s">
        <v>131</v>
      </c>
      <c r="C41" t="s">
        <v>124</v>
      </c>
      <c r="D41" t="s">
        <v>103</v>
      </c>
    </row>
    <row r="42" spans="1:4" x14ac:dyDescent="0.45">
      <c r="A42">
        <v>40</v>
      </c>
      <c r="B42" t="s">
        <v>132</v>
      </c>
      <c r="C42" t="s">
        <v>124</v>
      </c>
      <c r="D42" t="s">
        <v>115</v>
      </c>
    </row>
    <row r="43" spans="1:4" x14ac:dyDescent="0.45">
      <c r="A43">
        <v>41</v>
      </c>
      <c r="B43" t="s">
        <v>133</v>
      </c>
      <c r="C43" t="s">
        <v>124</v>
      </c>
      <c r="D43" t="s">
        <v>117</v>
      </c>
    </row>
    <row r="44" spans="1:4" x14ac:dyDescent="0.45">
      <c r="A44">
        <v>42</v>
      </c>
      <c r="B44" t="s">
        <v>135</v>
      </c>
      <c r="C44" t="s">
        <v>124</v>
      </c>
      <c r="D44" t="s">
        <v>136</v>
      </c>
    </row>
    <row r="45" spans="1:4" x14ac:dyDescent="0.45">
      <c r="A45">
        <v>43</v>
      </c>
      <c r="B45" t="s">
        <v>137</v>
      </c>
      <c r="C45" t="s">
        <v>134</v>
      </c>
      <c r="D45" t="s">
        <v>97</v>
      </c>
    </row>
    <row r="46" spans="1:4" x14ac:dyDescent="0.45">
      <c r="A46">
        <v>44</v>
      </c>
      <c r="B46" t="s">
        <v>138</v>
      </c>
      <c r="C46" t="s">
        <v>134</v>
      </c>
      <c r="D46" t="s">
        <v>139</v>
      </c>
    </row>
    <row r="47" spans="1:4" x14ac:dyDescent="0.45">
      <c r="A47">
        <v>45</v>
      </c>
      <c r="B47" t="s">
        <v>140</v>
      </c>
      <c r="C47" t="s">
        <v>134</v>
      </c>
      <c r="D47" t="s">
        <v>141</v>
      </c>
    </row>
    <row r="48" spans="1:4" x14ac:dyDescent="0.45">
      <c r="A48">
        <v>46</v>
      </c>
      <c r="B48" t="s">
        <v>142</v>
      </c>
      <c r="C48" t="s">
        <v>134</v>
      </c>
      <c r="D48" t="s">
        <v>143</v>
      </c>
    </row>
    <row r="49" spans="1:4" x14ac:dyDescent="0.45">
      <c r="A49">
        <v>47</v>
      </c>
      <c r="B49" t="s">
        <v>144</v>
      </c>
      <c r="C49" t="s">
        <v>134</v>
      </c>
      <c r="D49" t="s">
        <v>145</v>
      </c>
    </row>
    <row r="50" spans="1:4" x14ac:dyDescent="0.45">
      <c r="A50">
        <v>48</v>
      </c>
      <c r="B50" t="s">
        <v>147</v>
      </c>
      <c r="C50" t="s">
        <v>134</v>
      </c>
      <c r="D50" t="s">
        <v>148</v>
      </c>
    </row>
    <row r="51" spans="1:4" x14ac:dyDescent="0.45">
      <c r="A51">
        <v>49</v>
      </c>
      <c r="B51" t="s">
        <v>149</v>
      </c>
      <c r="C51" t="s">
        <v>146</v>
      </c>
      <c r="D51" t="s">
        <v>97</v>
      </c>
    </row>
    <row r="52" spans="1:4" x14ac:dyDescent="0.45">
      <c r="A52">
        <v>50</v>
      </c>
      <c r="B52" t="s">
        <v>150</v>
      </c>
      <c r="C52" t="s">
        <v>146</v>
      </c>
      <c r="D52" t="s">
        <v>99</v>
      </c>
    </row>
    <row r="53" spans="1:4" x14ac:dyDescent="0.45">
      <c r="A53">
        <v>51</v>
      </c>
      <c r="B53" t="s">
        <v>151</v>
      </c>
      <c r="C53" t="s">
        <v>146</v>
      </c>
      <c r="D53" t="s">
        <v>101</v>
      </c>
    </row>
    <row r="54" spans="1:4" x14ac:dyDescent="0.45">
      <c r="A54">
        <v>52</v>
      </c>
      <c r="B54" t="s">
        <v>152</v>
      </c>
      <c r="C54" t="s">
        <v>146</v>
      </c>
      <c r="D54" t="s">
        <v>103</v>
      </c>
    </row>
    <row r="55" spans="1:4" x14ac:dyDescent="0.45">
      <c r="A55">
        <v>53</v>
      </c>
      <c r="B55" t="s">
        <v>153</v>
      </c>
      <c r="C55" t="s">
        <v>146</v>
      </c>
      <c r="D55" t="s">
        <v>115</v>
      </c>
    </row>
    <row r="56" spans="1:4" x14ac:dyDescent="0.45">
      <c r="A56">
        <v>54</v>
      </c>
      <c r="B56" t="s">
        <v>154</v>
      </c>
      <c r="C56" t="s">
        <v>146</v>
      </c>
      <c r="D56" t="s">
        <v>155</v>
      </c>
    </row>
    <row r="57" spans="1:4" x14ac:dyDescent="0.45">
      <c r="A57">
        <v>55</v>
      </c>
      <c r="B57" t="s">
        <v>156</v>
      </c>
      <c r="C57" t="s">
        <v>146</v>
      </c>
      <c r="D57" t="s">
        <v>119</v>
      </c>
    </row>
    <row r="58" spans="1:4" x14ac:dyDescent="0.45">
      <c r="A58">
        <v>56</v>
      </c>
      <c r="B58" t="s">
        <v>157</v>
      </c>
      <c r="C58" t="s">
        <v>146</v>
      </c>
      <c r="D58" t="s">
        <v>123</v>
      </c>
    </row>
    <row r="59" spans="1:4" x14ac:dyDescent="0.45">
      <c r="A59">
        <v>57</v>
      </c>
      <c r="B59" t="s">
        <v>158</v>
      </c>
      <c r="C59" t="s">
        <v>146</v>
      </c>
      <c r="D59" t="s">
        <v>126</v>
      </c>
    </row>
    <row r="60" spans="1:4" x14ac:dyDescent="0.45">
      <c r="A60">
        <v>118</v>
      </c>
      <c r="B60" t="s">
        <v>261</v>
      </c>
    </row>
    <row r="61" spans="1:4" x14ac:dyDescent="0.45">
      <c r="A61">
        <v>70</v>
      </c>
      <c r="B61" t="s">
        <v>159</v>
      </c>
      <c r="C61" t="s">
        <v>92</v>
      </c>
    </row>
    <row r="62" spans="1:4" x14ac:dyDescent="0.45">
      <c r="A62">
        <v>71</v>
      </c>
      <c r="B62" t="s">
        <v>160</v>
      </c>
      <c r="C62" t="s">
        <v>92</v>
      </c>
      <c r="D62" t="s">
        <v>161</v>
      </c>
    </row>
    <row r="63" spans="1:4" x14ac:dyDescent="0.45">
      <c r="A63">
        <v>72</v>
      </c>
      <c r="B63" t="s">
        <v>162</v>
      </c>
      <c r="C63" t="s">
        <v>92</v>
      </c>
      <c r="D63" t="s">
        <v>163</v>
      </c>
    </row>
    <row r="64" spans="1:4" x14ac:dyDescent="0.45">
      <c r="A64">
        <v>73</v>
      </c>
      <c r="B64" t="s">
        <v>164</v>
      </c>
      <c r="C64" t="s">
        <v>92</v>
      </c>
      <c r="D64" t="s">
        <v>165</v>
      </c>
    </row>
    <row r="65" spans="1:4" x14ac:dyDescent="0.45">
      <c r="A65">
        <v>74</v>
      </c>
      <c r="B65" t="s">
        <v>166</v>
      </c>
      <c r="C65" t="s">
        <v>92</v>
      </c>
      <c r="D65" t="s">
        <v>167</v>
      </c>
    </row>
    <row r="66" spans="1:4" x14ac:dyDescent="0.45">
      <c r="A66">
        <v>75</v>
      </c>
      <c r="B66" t="s">
        <v>168</v>
      </c>
      <c r="C66" t="s">
        <v>92</v>
      </c>
      <c r="D66" t="s">
        <v>169</v>
      </c>
    </row>
    <row r="67" spans="1:4" x14ac:dyDescent="0.45">
      <c r="A67">
        <v>76</v>
      </c>
      <c r="B67" t="s">
        <v>170</v>
      </c>
      <c r="C67" t="s">
        <v>92</v>
      </c>
      <c r="D67" t="s">
        <v>171</v>
      </c>
    </row>
    <row r="68" spans="1:4" x14ac:dyDescent="0.45">
      <c r="A68">
        <v>77</v>
      </c>
      <c r="B68" t="s">
        <v>172</v>
      </c>
      <c r="C68" t="s">
        <v>92</v>
      </c>
      <c r="D68" t="s">
        <v>173</v>
      </c>
    </row>
    <row r="69" spans="1:4" x14ac:dyDescent="0.45">
      <c r="A69">
        <v>78</v>
      </c>
      <c r="B69" t="s">
        <v>174</v>
      </c>
      <c r="C69" t="s">
        <v>92</v>
      </c>
      <c r="D69" t="s">
        <v>175</v>
      </c>
    </row>
    <row r="70" spans="1:4" x14ac:dyDescent="0.45">
      <c r="A70">
        <v>79</v>
      </c>
      <c r="B70" t="s">
        <v>176</v>
      </c>
      <c r="C70" t="s">
        <v>92</v>
      </c>
      <c r="D70" t="s">
        <v>177</v>
      </c>
    </row>
    <row r="71" spans="1:4" x14ac:dyDescent="0.45">
      <c r="A71">
        <v>80</v>
      </c>
      <c r="B71" t="s">
        <v>178</v>
      </c>
      <c r="C71" t="s">
        <v>92</v>
      </c>
      <c r="D71" t="s">
        <v>179</v>
      </c>
    </row>
    <row r="72" spans="1:4" x14ac:dyDescent="0.45">
      <c r="A72">
        <v>81</v>
      </c>
      <c r="B72" t="s">
        <v>180</v>
      </c>
      <c r="C72" t="s">
        <v>92</v>
      </c>
      <c r="D72" t="s">
        <v>181</v>
      </c>
    </row>
    <row r="73" spans="1:4" x14ac:dyDescent="0.45">
      <c r="A73">
        <v>82</v>
      </c>
      <c r="B73" t="s">
        <v>182</v>
      </c>
      <c r="C73" t="s">
        <v>92</v>
      </c>
      <c r="D73" t="s">
        <v>181</v>
      </c>
    </row>
    <row r="74" spans="1:4" x14ac:dyDescent="0.45">
      <c r="A74">
        <v>83</v>
      </c>
      <c r="B74" t="s">
        <v>183</v>
      </c>
      <c r="C74" t="s">
        <v>92</v>
      </c>
      <c r="D74" t="s">
        <v>184</v>
      </c>
    </row>
    <row r="75" spans="1:4" x14ac:dyDescent="0.45">
      <c r="A75">
        <v>84</v>
      </c>
      <c r="B75" t="s">
        <v>185</v>
      </c>
      <c r="C75" t="s">
        <v>92</v>
      </c>
      <c r="D75" t="s">
        <v>186</v>
      </c>
    </row>
    <row r="76" spans="1:4" x14ac:dyDescent="0.45">
      <c r="A76">
        <v>85</v>
      </c>
      <c r="B76" t="s">
        <v>187</v>
      </c>
      <c r="C76" t="s">
        <v>92</v>
      </c>
      <c r="D76" t="s">
        <v>188</v>
      </c>
    </row>
    <row r="77" spans="1:4" x14ac:dyDescent="0.45">
      <c r="A77">
        <v>86</v>
      </c>
      <c r="B77" t="s">
        <v>189</v>
      </c>
      <c r="C77" t="s">
        <v>92</v>
      </c>
      <c r="D77" t="s">
        <v>190</v>
      </c>
    </row>
    <row r="78" spans="1:4" x14ac:dyDescent="0.45">
      <c r="A78">
        <v>87</v>
      </c>
      <c r="B78" t="s">
        <v>191</v>
      </c>
      <c r="C78" t="s">
        <v>92</v>
      </c>
      <c r="D78" t="s">
        <v>192</v>
      </c>
    </row>
    <row r="79" spans="1:4" x14ac:dyDescent="0.45">
      <c r="A79">
        <v>88</v>
      </c>
      <c r="B79" t="s">
        <v>193</v>
      </c>
      <c r="C79" t="s">
        <v>92</v>
      </c>
      <c r="D79" t="s">
        <v>194</v>
      </c>
    </row>
    <row r="80" spans="1:4" x14ac:dyDescent="0.45">
      <c r="A80">
        <v>89</v>
      </c>
      <c r="B80" t="s">
        <v>195</v>
      </c>
      <c r="C80" t="s">
        <v>106</v>
      </c>
      <c r="D80" t="s">
        <v>196</v>
      </c>
    </row>
    <row r="81" spans="1:4" x14ac:dyDescent="0.45">
      <c r="A81">
        <v>90</v>
      </c>
      <c r="B81" t="s">
        <v>197</v>
      </c>
      <c r="C81" t="s">
        <v>106</v>
      </c>
      <c r="D81" t="s">
        <v>198</v>
      </c>
    </row>
    <row r="82" spans="1:4" x14ac:dyDescent="0.45">
      <c r="A82">
        <v>91</v>
      </c>
      <c r="B82" t="s">
        <v>199</v>
      </c>
      <c r="C82" t="s">
        <v>106</v>
      </c>
      <c r="D82" t="s">
        <v>200</v>
      </c>
    </row>
    <row r="83" spans="1:4" x14ac:dyDescent="0.45">
      <c r="A83">
        <v>92</v>
      </c>
      <c r="B83" t="s">
        <v>201</v>
      </c>
      <c r="C83" t="s">
        <v>106</v>
      </c>
      <c r="D83" t="s">
        <v>202</v>
      </c>
    </row>
    <row r="84" spans="1:4" x14ac:dyDescent="0.45">
      <c r="A84">
        <v>93</v>
      </c>
      <c r="B84" t="s">
        <v>203</v>
      </c>
      <c r="C84" t="s">
        <v>106</v>
      </c>
      <c r="D84" t="s">
        <v>204</v>
      </c>
    </row>
    <row r="85" spans="1:4" x14ac:dyDescent="0.45">
      <c r="A85">
        <v>94</v>
      </c>
      <c r="B85" t="s">
        <v>205</v>
      </c>
      <c r="C85" t="s">
        <v>106</v>
      </c>
      <c r="D85" t="s">
        <v>206</v>
      </c>
    </row>
    <row r="86" spans="1:4" x14ac:dyDescent="0.45">
      <c r="A86">
        <v>95</v>
      </c>
      <c r="B86" t="s">
        <v>207</v>
      </c>
      <c r="C86" t="s">
        <v>106</v>
      </c>
      <c r="D86" t="s">
        <v>208</v>
      </c>
    </row>
    <row r="87" spans="1:4" x14ac:dyDescent="0.45">
      <c r="A87">
        <v>96</v>
      </c>
      <c r="B87" t="s">
        <v>209</v>
      </c>
      <c r="C87" t="s">
        <v>106</v>
      </c>
      <c r="D87" t="s">
        <v>210</v>
      </c>
    </row>
    <row r="88" spans="1:4" x14ac:dyDescent="0.45">
      <c r="A88">
        <v>97</v>
      </c>
      <c r="B88" t="s">
        <v>211</v>
      </c>
      <c r="C88" t="s">
        <v>106</v>
      </c>
      <c r="D88" t="s">
        <v>212</v>
      </c>
    </row>
    <row r="89" spans="1:4" x14ac:dyDescent="0.45">
      <c r="A89">
        <v>98</v>
      </c>
      <c r="B89" t="s">
        <v>213</v>
      </c>
      <c r="C89" t="s">
        <v>124</v>
      </c>
      <c r="D89" t="s">
        <v>198</v>
      </c>
    </row>
    <row r="90" spans="1:4" x14ac:dyDescent="0.45">
      <c r="A90">
        <v>99</v>
      </c>
      <c r="B90" t="s">
        <v>214</v>
      </c>
      <c r="C90" t="s">
        <v>124</v>
      </c>
      <c r="D90" t="s">
        <v>200</v>
      </c>
    </row>
    <row r="91" spans="1:4" x14ac:dyDescent="0.45">
      <c r="A91">
        <v>100</v>
      </c>
      <c r="B91" t="s">
        <v>215</v>
      </c>
      <c r="C91" t="s">
        <v>124</v>
      </c>
      <c r="D91" t="s">
        <v>202</v>
      </c>
    </row>
    <row r="92" spans="1:4" x14ac:dyDescent="0.45">
      <c r="A92">
        <v>101</v>
      </c>
      <c r="B92" t="s">
        <v>216</v>
      </c>
      <c r="C92" t="s">
        <v>124</v>
      </c>
      <c r="D92" t="s">
        <v>204</v>
      </c>
    </row>
    <row r="93" spans="1:4" x14ac:dyDescent="0.45">
      <c r="A93">
        <v>102</v>
      </c>
      <c r="B93" t="s">
        <v>217</v>
      </c>
      <c r="C93" t="s">
        <v>134</v>
      </c>
      <c r="D93" t="s">
        <v>198</v>
      </c>
    </row>
    <row r="94" spans="1:4" x14ac:dyDescent="0.45">
      <c r="A94">
        <v>103</v>
      </c>
      <c r="B94" t="s">
        <v>218</v>
      </c>
      <c r="C94" t="s">
        <v>134</v>
      </c>
      <c r="D94" t="s">
        <v>200</v>
      </c>
    </row>
    <row r="95" spans="1:4" x14ac:dyDescent="0.45">
      <c r="A95">
        <v>104</v>
      </c>
      <c r="B95" t="s">
        <v>219</v>
      </c>
      <c r="C95" t="s">
        <v>134</v>
      </c>
      <c r="D95" t="s">
        <v>202</v>
      </c>
    </row>
    <row r="96" spans="1:4" x14ac:dyDescent="0.45">
      <c r="A96">
        <v>105</v>
      </c>
      <c r="B96" t="s">
        <v>220</v>
      </c>
      <c r="C96" t="s">
        <v>134</v>
      </c>
      <c r="D96" t="s">
        <v>204</v>
      </c>
    </row>
    <row r="97" spans="1:4" x14ac:dyDescent="0.45">
      <c r="A97">
        <v>106</v>
      </c>
      <c r="B97" t="s">
        <v>221</v>
      </c>
      <c r="C97" t="s">
        <v>146</v>
      </c>
      <c r="D97" t="s">
        <v>198</v>
      </c>
    </row>
    <row r="98" spans="1:4" x14ac:dyDescent="0.45">
      <c r="A98">
        <v>107</v>
      </c>
      <c r="B98" t="s">
        <v>222</v>
      </c>
      <c r="C98" t="s">
        <v>146</v>
      </c>
      <c r="D98" t="s">
        <v>223</v>
      </c>
    </row>
    <row r="99" spans="1:4" x14ac:dyDescent="0.45">
      <c r="A99">
        <v>108</v>
      </c>
      <c r="B99" t="s">
        <v>224</v>
      </c>
      <c r="C99" t="s">
        <v>146</v>
      </c>
      <c r="D99" t="s">
        <v>200</v>
      </c>
    </row>
    <row r="100" spans="1:4" x14ac:dyDescent="0.45">
      <c r="A100">
        <v>109</v>
      </c>
      <c r="B100" t="s">
        <v>225</v>
      </c>
      <c r="C100" t="s">
        <v>146</v>
      </c>
      <c r="D100" t="s">
        <v>202</v>
      </c>
    </row>
    <row r="101" spans="1:4" x14ac:dyDescent="0.45">
      <c r="A101">
        <v>110</v>
      </c>
      <c r="B101" t="s">
        <v>226</v>
      </c>
      <c r="C101" t="s">
        <v>146</v>
      </c>
      <c r="D101" t="s">
        <v>204</v>
      </c>
    </row>
    <row r="102" spans="1:4" x14ac:dyDescent="0.45">
      <c r="A102">
        <v>111</v>
      </c>
      <c r="B102" t="s">
        <v>227</v>
      </c>
      <c r="C102" t="s">
        <v>146</v>
      </c>
      <c r="D102" t="s">
        <v>210</v>
      </c>
    </row>
    <row r="103" spans="1:4" x14ac:dyDescent="0.45">
      <c r="A103">
        <v>112</v>
      </c>
      <c r="B103" t="s">
        <v>228</v>
      </c>
      <c r="C103" t="s">
        <v>146</v>
      </c>
      <c r="D103" t="s">
        <v>229</v>
      </c>
    </row>
    <row r="104" spans="1:4" x14ac:dyDescent="0.4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114"/>
  <sheetViews>
    <sheetView workbookViewId="0">
      <selection activeCell="A8" sqref="A8:K95"/>
    </sheetView>
  </sheetViews>
  <sheetFormatPr defaultRowHeight="14.25" x14ac:dyDescent="0.45"/>
  <sheetData>
    <row r="1" spans="1:11" x14ac:dyDescent="0.45">
      <c r="A1" s="59" t="s">
        <v>231</v>
      </c>
      <c r="B1" s="60"/>
      <c r="C1" s="60"/>
      <c r="D1" s="60"/>
      <c r="E1" s="60"/>
      <c r="F1" s="60"/>
      <c r="G1" s="60"/>
      <c r="H1" s="60" t="s">
        <v>232</v>
      </c>
      <c r="I1" s="60"/>
      <c r="J1" s="60"/>
      <c r="K1" s="61"/>
    </row>
    <row r="2" spans="1:11" x14ac:dyDescent="0.45">
      <c r="A2" s="62">
        <v>1</v>
      </c>
      <c r="B2" s="63" t="s">
        <v>262</v>
      </c>
      <c r="C2" s="63"/>
      <c r="D2" s="63"/>
      <c r="E2" s="63"/>
      <c r="F2" s="63"/>
      <c r="G2" s="63"/>
      <c r="H2" s="63"/>
      <c r="I2" s="63"/>
      <c r="J2" s="63"/>
      <c r="K2" s="64"/>
    </row>
    <row r="3" spans="1:11" x14ac:dyDescent="0.45">
      <c r="A3" s="62">
        <v>2</v>
      </c>
      <c r="B3" s="63" t="s">
        <v>233</v>
      </c>
      <c r="C3" s="63"/>
      <c r="D3" s="63"/>
      <c r="E3" s="63"/>
      <c r="F3" s="63"/>
      <c r="G3" s="63"/>
      <c r="H3" s="63"/>
      <c r="I3" s="63"/>
      <c r="J3" s="63"/>
      <c r="K3" s="64"/>
    </row>
    <row r="4" spans="1:11" x14ac:dyDescent="0.45">
      <c r="A4" s="62">
        <v>3</v>
      </c>
      <c r="B4" s="63" t="s">
        <v>234</v>
      </c>
      <c r="C4" s="63"/>
      <c r="D4" s="63"/>
      <c r="E4" s="63"/>
      <c r="F4" s="63"/>
      <c r="G4" s="63"/>
      <c r="H4" s="63"/>
      <c r="I4" s="63"/>
      <c r="J4" s="63"/>
      <c r="K4" s="64"/>
    </row>
    <row r="5" spans="1:11" x14ac:dyDescent="0.45">
      <c r="A5" s="65">
        <v>4</v>
      </c>
      <c r="B5" s="66" t="s">
        <v>235</v>
      </c>
      <c r="C5" s="66"/>
      <c r="D5" s="66"/>
      <c r="E5" s="66"/>
      <c r="F5" s="66"/>
      <c r="G5" s="66"/>
      <c r="H5" s="66"/>
      <c r="I5" s="66"/>
      <c r="J5" s="66"/>
      <c r="K5" s="67"/>
    </row>
    <row r="8" spans="1:11" x14ac:dyDescent="0.45">
      <c r="B8" t="s">
        <v>236</v>
      </c>
      <c r="C8" t="s">
        <v>237</v>
      </c>
    </row>
    <row r="9" spans="1:11" x14ac:dyDescent="0.45">
      <c r="A9" t="s">
        <v>238</v>
      </c>
      <c r="B9" t="s">
        <v>239</v>
      </c>
      <c r="C9" t="s">
        <v>240</v>
      </c>
      <c r="D9" t="s">
        <v>241</v>
      </c>
      <c r="E9">
        <v>4</v>
      </c>
      <c r="F9" s="54">
        <v>0.74160879629629628</v>
      </c>
      <c r="G9" t="s">
        <v>242</v>
      </c>
      <c r="H9">
        <v>24</v>
      </c>
      <c r="I9" t="s">
        <v>285</v>
      </c>
      <c r="J9">
        <v>12</v>
      </c>
    </row>
    <row r="10" spans="1:11" x14ac:dyDescent="0.45">
      <c r="A10" t="s">
        <v>243</v>
      </c>
    </row>
    <row r="11" spans="1:11" x14ac:dyDescent="0.45">
      <c r="B11">
        <v>1</v>
      </c>
      <c r="C11" t="s">
        <v>49</v>
      </c>
      <c r="D11" t="s">
        <v>245</v>
      </c>
      <c r="E11">
        <v>50.6135333884</v>
      </c>
    </row>
    <row r="12" spans="1:11" x14ac:dyDescent="0.45">
      <c r="B12">
        <v>2</v>
      </c>
      <c r="C12" t="s">
        <v>52</v>
      </c>
      <c r="D12" t="s">
        <v>245</v>
      </c>
      <c r="E12">
        <v>-9.1355871541399996</v>
      </c>
    </row>
    <row r="13" spans="1:11" x14ac:dyDescent="0.45">
      <c r="B13">
        <v>3</v>
      </c>
      <c r="C13" t="s">
        <v>55</v>
      </c>
      <c r="D13" t="s">
        <v>245</v>
      </c>
      <c r="E13" s="55">
        <v>-10.2481134968</v>
      </c>
    </row>
    <row r="14" spans="1:11" x14ac:dyDescent="0.45">
      <c r="B14">
        <v>4</v>
      </c>
      <c r="C14" t="s">
        <v>58</v>
      </c>
      <c r="D14" t="s">
        <v>245</v>
      </c>
      <c r="E14" s="55">
        <v>-6.5331469249699996</v>
      </c>
    </row>
    <row r="15" spans="1:11" x14ac:dyDescent="0.45">
      <c r="B15">
        <v>5</v>
      </c>
      <c r="C15" t="s">
        <v>61</v>
      </c>
      <c r="D15" t="s">
        <v>245</v>
      </c>
      <c r="E15" s="55">
        <v>-28.327910272099999</v>
      </c>
    </row>
    <row r="16" spans="1:11" x14ac:dyDescent="0.45">
      <c r="B16">
        <v>6</v>
      </c>
      <c r="C16" t="s">
        <v>63</v>
      </c>
      <c r="D16" t="s">
        <v>245</v>
      </c>
      <c r="E16" s="55">
        <v>-12.9207166605</v>
      </c>
      <c r="F16" s="55"/>
    </row>
    <row r="17" spans="2:6" x14ac:dyDescent="0.45">
      <c r="B17">
        <v>11</v>
      </c>
      <c r="C17" t="s">
        <v>74</v>
      </c>
      <c r="D17" t="s">
        <v>244</v>
      </c>
      <c r="E17">
        <v>1</v>
      </c>
    </row>
    <row r="18" spans="2:6" x14ac:dyDescent="0.45">
      <c r="B18">
        <v>12</v>
      </c>
      <c r="C18" t="s">
        <v>76</v>
      </c>
      <c r="D18" t="s">
        <v>244</v>
      </c>
      <c r="E18" s="55">
        <v>25.5851730473</v>
      </c>
    </row>
    <row r="19" spans="2:6" x14ac:dyDescent="0.45">
      <c r="B19">
        <v>13</v>
      </c>
      <c r="C19" t="s">
        <v>78</v>
      </c>
      <c r="D19" t="s">
        <v>244</v>
      </c>
      <c r="E19" s="55">
        <v>0.62661796638099998</v>
      </c>
    </row>
    <row r="20" spans="2:6" x14ac:dyDescent="0.45">
      <c r="B20">
        <v>14</v>
      </c>
      <c r="C20" t="s">
        <v>80</v>
      </c>
      <c r="D20" t="s">
        <v>244</v>
      </c>
      <c r="E20">
        <v>1.20261129454</v>
      </c>
    </row>
    <row r="21" spans="2:6" x14ac:dyDescent="0.45">
      <c r="B21">
        <v>15</v>
      </c>
      <c r="C21" t="s">
        <v>82</v>
      </c>
      <c r="D21" t="s">
        <v>244</v>
      </c>
      <c r="E21">
        <v>1.7752110558500001</v>
      </c>
    </row>
    <row r="22" spans="2:6" x14ac:dyDescent="0.45">
      <c r="B22">
        <v>16</v>
      </c>
      <c r="C22" t="s">
        <v>84</v>
      </c>
      <c r="D22" t="s">
        <v>244</v>
      </c>
      <c r="E22">
        <v>-3.8876923697499999</v>
      </c>
    </row>
    <row r="23" spans="2:6" x14ac:dyDescent="0.45">
      <c r="B23">
        <v>17</v>
      </c>
      <c r="C23" t="s">
        <v>87</v>
      </c>
      <c r="D23" t="s">
        <v>244</v>
      </c>
      <c r="E23">
        <v>-2.0840829429199998</v>
      </c>
    </row>
    <row r="24" spans="2:6" x14ac:dyDescent="0.45">
      <c r="B24">
        <v>18</v>
      </c>
      <c r="C24" t="s">
        <v>90</v>
      </c>
      <c r="D24" t="s">
        <v>244</v>
      </c>
      <c r="E24">
        <v>-2.1522976888600001</v>
      </c>
      <c r="F24" s="55"/>
    </row>
    <row r="25" spans="2:6" x14ac:dyDescent="0.45">
      <c r="B25">
        <v>19</v>
      </c>
      <c r="C25" t="s">
        <v>93</v>
      </c>
      <c r="D25" t="s">
        <v>244</v>
      </c>
      <c r="E25">
        <v>0.88930552872000002</v>
      </c>
    </row>
    <row r="26" spans="2:6" x14ac:dyDescent="0.45">
      <c r="B26">
        <v>31</v>
      </c>
      <c r="C26" t="s">
        <v>116</v>
      </c>
      <c r="D26" t="s">
        <v>244</v>
      </c>
      <c r="E26">
        <v>0.15404102534</v>
      </c>
    </row>
    <row r="27" spans="2:6" x14ac:dyDescent="0.45">
      <c r="B27">
        <v>32</v>
      </c>
      <c r="C27" t="s">
        <v>118</v>
      </c>
      <c r="D27" t="s">
        <v>244</v>
      </c>
      <c r="E27" s="55">
        <v>7.8505405766500003E-2</v>
      </c>
    </row>
    <row r="28" spans="2:6" x14ac:dyDescent="0.45">
      <c r="B28">
        <v>33</v>
      </c>
      <c r="C28" t="s">
        <v>120</v>
      </c>
      <c r="D28" t="s">
        <v>244</v>
      </c>
      <c r="E28">
        <v>-0.124122638562</v>
      </c>
    </row>
    <row r="29" spans="2:6" x14ac:dyDescent="0.45">
      <c r="B29">
        <v>34</v>
      </c>
      <c r="C29" t="s">
        <v>122</v>
      </c>
      <c r="D29" t="s">
        <v>244</v>
      </c>
      <c r="E29" s="55">
        <v>-8.8006887167800002E-2</v>
      </c>
    </row>
    <row r="30" spans="2:6" x14ac:dyDescent="0.45">
      <c r="B30">
        <v>39</v>
      </c>
      <c r="C30" t="s">
        <v>286</v>
      </c>
      <c r="D30" t="s">
        <v>244</v>
      </c>
      <c r="E30">
        <v>0.21805149517</v>
      </c>
      <c r="F30" s="55"/>
    </row>
    <row r="31" spans="2:6" x14ac:dyDescent="0.45">
      <c r="B31">
        <v>40</v>
      </c>
      <c r="C31" t="s">
        <v>287</v>
      </c>
      <c r="D31" t="s">
        <v>244</v>
      </c>
      <c r="E31">
        <v>-1.2010802918900001</v>
      </c>
    </row>
    <row r="32" spans="2:6" x14ac:dyDescent="0.45">
      <c r="B32">
        <v>41</v>
      </c>
      <c r="C32" t="s">
        <v>288</v>
      </c>
      <c r="D32" t="s">
        <v>244</v>
      </c>
      <c r="E32">
        <v>-4.2061803481000002</v>
      </c>
    </row>
    <row r="33" spans="2:11" x14ac:dyDescent="0.45">
      <c r="B33">
        <v>42</v>
      </c>
      <c r="C33" t="s">
        <v>289</v>
      </c>
      <c r="D33" t="s">
        <v>244</v>
      </c>
      <c r="E33">
        <v>0</v>
      </c>
    </row>
    <row r="34" spans="2:11" x14ac:dyDescent="0.45">
      <c r="B34">
        <v>43</v>
      </c>
      <c r="C34" t="s">
        <v>290</v>
      </c>
      <c r="D34" t="s">
        <v>244</v>
      </c>
      <c r="E34">
        <v>-3.6496161888600001</v>
      </c>
      <c r="F34" s="55"/>
    </row>
    <row r="35" spans="2:11" x14ac:dyDescent="0.45">
      <c r="B35">
        <v>44</v>
      </c>
      <c r="C35" t="s">
        <v>291</v>
      </c>
      <c r="D35" t="s">
        <v>244</v>
      </c>
      <c r="E35">
        <v>-3.9802023989799999</v>
      </c>
      <c r="F35" s="55"/>
    </row>
    <row r="36" spans="2:11" x14ac:dyDescent="0.45">
      <c r="B36">
        <v>45</v>
      </c>
      <c r="C36" t="s">
        <v>292</v>
      </c>
      <c r="D36" t="s">
        <v>244</v>
      </c>
      <c r="E36">
        <v>-4.4159067408599997</v>
      </c>
      <c r="F36" s="55"/>
    </row>
    <row r="37" spans="2:11" x14ac:dyDescent="0.45">
      <c r="B37">
        <v>46</v>
      </c>
      <c r="C37" t="s">
        <v>293</v>
      </c>
      <c r="D37" t="s">
        <v>244</v>
      </c>
      <c r="E37">
        <v>-4.7397273603999999</v>
      </c>
    </row>
    <row r="38" spans="2:11" x14ac:dyDescent="0.45">
      <c r="B38">
        <v>47</v>
      </c>
      <c r="C38" t="s">
        <v>294</v>
      </c>
      <c r="D38" t="s">
        <v>244</v>
      </c>
      <c r="E38">
        <v>-4.5913043025100002</v>
      </c>
    </row>
    <row r="39" spans="2:11" x14ac:dyDescent="0.45">
      <c r="B39">
        <v>48</v>
      </c>
      <c r="C39" t="s">
        <v>295</v>
      </c>
      <c r="D39" t="s">
        <v>244</v>
      </c>
      <c r="E39">
        <v>-80</v>
      </c>
    </row>
    <row r="40" spans="2:11" x14ac:dyDescent="0.45">
      <c r="B40">
        <v>49</v>
      </c>
      <c r="C40" t="s">
        <v>296</v>
      </c>
      <c r="D40" t="s">
        <v>244</v>
      </c>
      <c r="E40">
        <v>2.4007960989599999</v>
      </c>
      <c r="F40" s="55"/>
    </row>
    <row r="41" spans="2:11" x14ac:dyDescent="0.45">
      <c r="B41">
        <v>50</v>
      </c>
      <c r="C41" t="s">
        <v>297</v>
      </c>
      <c r="D41" t="s">
        <v>244</v>
      </c>
      <c r="E41" s="55">
        <v>0</v>
      </c>
      <c r="F41" s="55"/>
    </row>
    <row r="42" spans="2:11" x14ac:dyDescent="0.45">
      <c r="B42">
        <v>60</v>
      </c>
      <c r="C42" t="s">
        <v>298</v>
      </c>
      <c r="D42" t="s">
        <v>245</v>
      </c>
      <c r="E42" s="55">
        <v>9.3479808750599996E-2</v>
      </c>
      <c r="F42" s="55"/>
    </row>
    <row r="43" spans="2:11" x14ac:dyDescent="0.45">
      <c r="B43">
        <v>-1</v>
      </c>
      <c r="E43" s="55"/>
      <c r="F43" s="55"/>
    </row>
    <row r="44" spans="2:11" x14ac:dyDescent="0.45">
      <c r="B44">
        <v>3339</v>
      </c>
      <c r="C44" s="55">
        <v>-1469.0867639099999</v>
      </c>
      <c r="D44" s="55">
        <v>-12999.790514800001</v>
      </c>
      <c r="E44" s="55">
        <v>-1828.88959914</v>
      </c>
      <c r="F44" s="55"/>
    </row>
    <row r="45" spans="2:11" x14ac:dyDescent="0.45">
      <c r="B45">
        <v>31</v>
      </c>
      <c r="C45" t="s">
        <v>299</v>
      </c>
      <c r="D45" t="s">
        <v>242</v>
      </c>
      <c r="E45" s="55">
        <v>24</v>
      </c>
      <c r="F45" s="55" t="s">
        <v>285</v>
      </c>
      <c r="G45">
        <v>12</v>
      </c>
    </row>
    <row r="46" spans="2:11" x14ac:dyDescent="0.45">
      <c r="B46">
        <v>-96370</v>
      </c>
      <c r="C46">
        <v>-91747</v>
      </c>
      <c r="D46">
        <v>89560</v>
      </c>
      <c r="E46" s="55">
        <v>-86830</v>
      </c>
      <c r="F46" s="55">
        <v>83470</v>
      </c>
      <c r="G46">
        <v>79444</v>
      </c>
      <c r="H46">
        <v>-99748</v>
      </c>
      <c r="I46">
        <v>95771</v>
      </c>
      <c r="J46">
        <v>91214</v>
      </c>
      <c r="K46">
        <v>85851</v>
      </c>
    </row>
    <row r="47" spans="2:11" x14ac:dyDescent="0.45">
      <c r="B47">
        <v>-95306</v>
      </c>
      <c r="C47">
        <v>92890</v>
      </c>
      <c r="D47">
        <v>88293</v>
      </c>
      <c r="E47">
        <v>84193</v>
      </c>
      <c r="F47">
        <v>94495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2:11" x14ac:dyDescent="0.45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2:11" x14ac:dyDescent="0.45"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2:11" x14ac:dyDescent="0.45"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2:11" x14ac:dyDescent="0.45">
      <c r="B51">
        <v>0</v>
      </c>
      <c r="C51">
        <v>0</v>
      </c>
      <c r="D51">
        <v>0</v>
      </c>
      <c r="E51">
        <v>0</v>
      </c>
      <c r="F51" s="55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2:11" x14ac:dyDescent="0.45">
      <c r="B52">
        <v>0</v>
      </c>
      <c r="C52">
        <v>0</v>
      </c>
      <c r="D52">
        <v>0</v>
      </c>
      <c r="E52">
        <v>0</v>
      </c>
      <c r="F52" s="55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2:11" x14ac:dyDescent="0.45">
      <c r="B53">
        <v>0</v>
      </c>
      <c r="C53">
        <v>0</v>
      </c>
      <c r="D53">
        <v>0</v>
      </c>
      <c r="E53">
        <v>0</v>
      </c>
      <c r="F53" s="55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2:11" x14ac:dyDescent="0.45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2:11" x14ac:dyDescent="0.4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2:11" x14ac:dyDescent="0.4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2:11" x14ac:dyDescent="0.4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2:11" x14ac:dyDescent="0.45">
      <c r="B58">
        <v>0</v>
      </c>
      <c r="C58">
        <v>0</v>
      </c>
      <c r="D58">
        <v>0</v>
      </c>
      <c r="E58">
        <v>0</v>
      </c>
      <c r="F58" s="55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2:11" x14ac:dyDescent="0.45">
      <c r="B59">
        <v>0</v>
      </c>
      <c r="C59">
        <v>0</v>
      </c>
      <c r="D59">
        <v>0</v>
      </c>
      <c r="E59">
        <v>0</v>
      </c>
      <c r="F59" s="55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2:11" x14ac:dyDescent="0.4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2:11" x14ac:dyDescent="0.4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2:11" x14ac:dyDescent="0.4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2:11" x14ac:dyDescent="0.4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2:11" x14ac:dyDescent="0.45">
      <c r="B64">
        <v>0</v>
      </c>
      <c r="C64">
        <v>0</v>
      </c>
      <c r="D64">
        <v>0</v>
      </c>
      <c r="E64">
        <v>0</v>
      </c>
      <c r="F64" s="55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2:11" x14ac:dyDescent="0.45">
      <c r="B65">
        <v>0</v>
      </c>
      <c r="C65">
        <v>0</v>
      </c>
      <c r="D65">
        <v>0</v>
      </c>
      <c r="E65">
        <v>0</v>
      </c>
      <c r="F65" s="5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2:11" x14ac:dyDescent="0.45">
      <c r="B66">
        <v>0</v>
      </c>
      <c r="C66">
        <v>0</v>
      </c>
      <c r="D66">
        <v>0</v>
      </c>
      <c r="E66" s="55">
        <v>0</v>
      </c>
      <c r="F66" s="55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2:11" x14ac:dyDescent="0.45">
      <c r="B67">
        <v>0</v>
      </c>
      <c r="C67">
        <v>0</v>
      </c>
      <c r="D67">
        <v>0</v>
      </c>
      <c r="E67" s="55">
        <v>0</v>
      </c>
      <c r="F67" s="55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2:11" x14ac:dyDescent="0.45">
      <c r="B68">
        <v>0</v>
      </c>
      <c r="C68">
        <v>0</v>
      </c>
      <c r="D68">
        <v>0</v>
      </c>
      <c r="E68" s="55">
        <v>0</v>
      </c>
      <c r="F68" s="55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2:11" x14ac:dyDescent="0.45">
      <c r="B69">
        <v>0</v>
      </c>
      <c r="C69">
        <v>0</v>
      </c>
      <c r="D69">
        <v>0</v>
      </c>
      <c r="E69">
        <v>0</v>
      </c>
      <c r="F69" s="55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2:11" x14ac:dyDescent="0.4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2:11" x14ac:dyDescent="0.4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2:11" x14ac:dyDescent="0.4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2:11" x14ac:dyDescent="0.4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-99871</v>
      </c>
      <c r="H92">
        <v>95738</v>
      </c>
      <c r="I92">
        <v>91223</v>
      </c>
      <c r="J92">
        <v>86268</v>
      </c>
      <c r="K92">
        <v>99610</v>
      </c>
    </row>
    <row r="93" spans="2:11" x14ac:dyDescent="0.45">
      <c r="B93">
        <v>94875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113" spans="3:5" x14ac:dyDescent="0.45">
      <c r="C113" s="55"/>
      <c r="D113" s="55"/>
      <c r="E113" s="55"/>
    </row>
    <row r="114" spans="3:5" x14ac:dyDescent="0.45">
      <c r="C114" s="55"/>
      <c r="D114" s="55"/>
      <c r="E114" s="55"/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47"/>
  <sheetViews>
    <sheetView workbookViewId="0">
      <selection activeCell="P33" sqref="P33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4" width="18.86328125" collapsed="true"/>
    <col min="5" max="5" customWidth="true" width="6.73046875" collapsed="true"/>
    <col min="6" max="6" customWidth="true" width="12.73046875" collapsed="true"/>
    <col min="7" max="8" customWidth="true" style="24" width="18.86328125" collapsed="true"/>
    <col min="9" max="9" customWidth="true" style="24" width="6.59765625" collapsed="true"/>
    <col min="10" max="10" customWidth="true" style="24" width="10.1328125" collapsed="true"/>
    <col min="11" max="11" customWidth="true" style="24" width="9.86328125" collapsed="true"/>
    <col min="12" max="14" width="9.1328125" collapsed="true"/>
    <col min="15" max="15" customWidth="true" width="13.0" collapsed="true"/>
    <col min="16" max="16" customWidth="true" style="26" width="19.59765625" collapsed="true"/>
    <col min="17" max="17" customWidth="true" style="87" width="19.59765625" collapsed="true"/>
    <col min="18" max="16384" width="9.1328125" collapsed="true"/>
  </cols>
  <sheetData>
    <row r="1" spans="3:23" x14ac:dyDescent="0.45">
      <c r="C1" s="9" t="s">
        <v>44</v>
      </c>
      <c r="F1" s="9" t="s">
        <v>45</v>
      </c>
      <c r="N1" s="25" t="s">
        <v>268</v>
      </c>
      <c r="S1" s="25"/>
      <c r="T1" s="25" t="s">
        <v>268</v>
      </c>
      <c r="U1" s="43"/>
    </row>
    <row ht="14.65" r="2" spans="3:23" thickBot="1" x14ac:dyDescent="0.5">
      <c r="C2" s="25" t="s">
        <v>47</v>
      </c>
      <c r="M2" s="9"/>
      <c r="N2" s="9" t="s">
        <v>257</v>
      </c>
      <c r="O2" s="9" t="s">
        <v>258</v>
      </c>
      <c r="P2" s="88" t="s">
        <v>269</v>
      </c>
      <c r="Q2" s="89" t="s">
        <v>270</v>
      </c>
      <c r="R2" s="27" t="s">
        <v>284</v>
      </c>
      <c r="T2" s="43"/>
      <c r="U2" s="25" t="s">
        <v>271</v>
      </c>
      <c r="V2" s="27"/>
      <c r="W2" s="27"/>
    </row>
    <row r="3" spans="3:23" x14ac:dyDescent="0.45">
      <c r="C3" s="5" t="s">
        <v>3</v>
      </c>
      <c r="D3" s="28" t="s">
        <v>48</v>
      </c>
      <c r="F3" s="5" t="s">
        <v>3</v>
      </c>
      <c r="G3" s="28" t="s">
        <v>48</v>
      </c>
      <c r="H3" s="68"/>
      <c r="I3" s="68"/>
      <c r="J3" s="68"/>
      <c r="K3" s="68"/>
      <c r="L3" s="29"/>
      <c r="N3">
        <f>WorkTourDestination!B11</f>
        <v>1</v>
      </c>
      <c r="O3" t="str">
        <f>WorkTourDestination!C11</f>
        <v>Beta00001</v>
      </c>
      <c r="P3" s="26">
        <f>WorkTourDestination!E11</f>
        <v>50.6135333884</v>
      </c>
      <c r="Q3" s="90">
        <f>_xlfn.IFNA(VLOOKUP(N3,$B$43:$D$46,3,FALSE),P3)</f>
        <v>50.6135333884</v>
      </c>
      <c r="R3">
        <f>IF(P3=Q3,0,1)</f>
        <v>0</v>
      </c>
      <c r="T3">
        <v>1</v>
      </c>
      <c r="U3" s="23" t="s">
        <v>272</v>
      </c>
    </row>
    <row r="4" spans="3:23" x14ac:dyDescent="0.45">
      <c r="C4" s="30" t="s">
        <v>51</v>
      </c>
      <c r="D4" s="31">
        <f>TLFD!E11</f>
        <v>31513.871826512499</v>
      </c>
      <c r="F4" s="30" t="s">
        <v>51</v>
      </c>
      <c r="G4" s="31">
        <f>TLFD!L11</f>
        <v>23981</v>
      </c>
      <c r="H4" s="31"/>
      <c r="I4" s="31"/>
      <c r="J4" s="31"/>
      <c r="K4" s="31"/>
      <c r="L4" s="32"/>
      <c r="N4">
        <f>WorkTourDestination!B12</f>
        <v>2</v>
      </c>
      <c r="O4" t="str">
        <f>WorkTourDestination!C12</f>
        <v>Beta00002</v>
      </c>
      <c r="P4" s="26">
        <f>WorkTourDestination!E12</f>
        <v>-9.1355871541399996</v>
      </c>
      <c r="Q4" s="90">
        <f>_xlfn.IFNA(VLOOKUP(N4,$B$43:$D$46,3,FALSE),P4)</f>
        <v>-9.1355871541399996</v>
      </c>
      <c r="R4">
        <f ref="R4:R34" si="0" t="shared">IF(P4=Q4,0,1)</f>
        <v>0</v>
      </c>
      <c r="T4">
        <v>2</v>
      </c>
      <c r="U4" s="23" t="s">
        <v>273</v>
      </c>
    </row>
    <row r="5" spans="3:23" x14ac:dyDescent="0.45">
      <c r="C5" s="12" t="s">
        <v>54</v>
      </c>
      <c r="D5" s="33">
        <f>TLFD!E12+TLFD!E13+(TLFD!E14/2)</f>
        <v>53831.322888685623</v>
      </c>
      <c r="F5" s="12" t="s">
        <v>54</v>
      </c>
      <c r="G5" s="33">
        <f>TLFD!L12+TLFD!L13+(TLFD!L14/2)</f>
        <v>34875</v>
      </c>
      <c r="H5" s="33"/>
      <c r="I5" s="33"/>
      <c r="J5" s="33"/>
      <c r="K5" s="33"/>
      <c r="L5" s="32"/>
      <c r="N5">
        <f>WorkTourDestination!B13</f>
        <v>3</v>
      </c>
      <c r="O5" t="str">
        <f>WorkTourDestination!C13</f>
        <v>Beta00003</v>
      </c>
      <c r="P5" s="26">
        <f>WorkTourDestination!E13</f>
        <v>-10.2481134968</v>
      </c>
      <c r="Q5" s="90">
        <f ref="Q5:Q34" si="1" t="shared">_xlfn.IFNA(VLOOKUP(N5,$B$43:$D$46,3,FALSE),P5)</f>
        <v>-10.2481134968</v>
      </c>
      <c r="R5">
        <f si="0" t="shared"/>
        <v>0</v>
      </c>
      <c r="T5">
        <v>3</v>
      </c>
      <c r="U5" s="43" t="s">
        <v>274</v>
      </c>
    </row>
    <row r="6" spans="3:23" x14ac:dyDescent="0.45">
      <c r="C6" s="12" t="s">
        <v>57</v>
      </c>
      <c r="D6" s="33">
        <f>(TLFD!E14/2)+SUM(TLFD!E15:E20)</f>
        <v>25977.10218851595</v>
      </c>
      <c r="F6" s="12" t="s">
        <v>57</v>
      </c>
      <c r="G6" s="33">
        <f>(TLFD!L14/2)+SUM(TLFD!L15:L20)</f>
        <v>31021</v>
      </c>
      <c r="H6" s="33"/>
      <c r="I6" s="33"/>
      <c r="J6" s="33"/>
      <c r="K6" s="33"/>
      <c r="L6" s="32"/>
      <c r="N6">
        <f>WorkTourDestination!B14</f>
        <v>4</v>
      </c>
      <c r="O6" t="str">
        <f>WorkTourDestination!C14</f>
        <v>Beta00004</v>
      </c>
      <c r="P6" s="26">
        <f>WorkTourDestination!E14</f>
        <v>-6.5331469249699996</v>
      </c>
      <c r="Q6" s="90">
        <f si="1" t="shared"/>
        <v>-6.5331469249699996</v>
      </c>
      <c r="R6">
        <f si="0" t="shared"/>
        <v>0</v>
      </c>
      <c r="T6">
        <v>4</v>
      </c>
      <c r="U6" s="43" t="s">
        <v>275</v>
      </c>
    </row>
    <row r="7" spans="3:23" x14ac:dyDescent="0.45">
      <c r="C7" s="13" t="s">
        <v>60</v>
      </c>
      <c r="D7" s="34">
        <f>SUM(TLFD!E21:E101)</f>
        <v>9654.3315034453608</v>
      </c>
      <c r="F7" s="13" t="s">
        <v>60</v>
      </c>
      <c r="G7" s="34">
        <f>SUM(TLFD!L21:L101)</f>
        <v>14966</v>
      </c>
      <c r="H7" s="33"/>
      <c r="I7" s="33"/>
      <c r="J7" s="33"/>
      <c r="K7" s="33"/>
      <c r="L7" s="32"/>
      <c r="N7">
        <f>WorkTourDestination!B15</f>
        <v>5</v>
      </c>
      <c r="O7" t="str">
        <f>WorkTourDestination!C15</f>
        <v>Beta00005</v>
      </c>
      <c r="P7" s="26">
        <f>WorkTourDestination!E15</f>
        <v>-28.327910272099999</v>
      </c>
      <c r="Q7" s="90">
        <f si="1" t="shared"/>
        <v>-28.327910272099999</v>
      </c>
      <c r="R7">
        <f si="0" t="shared"/>
        <v>0</v>
      </c>
      <c r="T7" s="43">
        <v>5</v>
      </c>
      <c r="U7" s="43" t="s">
        <v>276</v>
      </c>
    </row>
    <row ht="14.65" r="8" spans="3:23" thickBot="1" x14ac:dyDescent="0.5">
      <c r="C8" s="35" t="s">
        <v>4</v>
      </c>
      <c r="D8" s="36">
        <f>SUM(D4:D7)</f>
        <v>120976.62840715943</v>
      </c>
      <c r="F8" s="35" t="s">
        <v>4</v>
      </c>
      <c r="G8" s="36">
        <f>SUM(G4:G7)</f>
        <v>104843</v>
      </c>
      <c r="H8" s="33"/>
      <c r="I8" s="33"/>
      <c r="J8" s="33" t="s">
        <v>263</v>
      </c>
      <c r="K8" s="73">
        <v>1</v>
      </c>
      <c r="N8">
        <f>WorkTourDestination!B16</f>
        <v>6</v>
      </c>
      <c r="O8" t="str">
        <f>WorkTourDestination!C16</f>
        <v>Beta00006</v>
      </c>
      <c r="P8" s="26">
        <f>WorkTourDestination!E16</f>
        <v>-12.9207166605</v>
      </c>
      <c r="Q8" s="90">
        <f si="1" t="shared"/>
        <v>-12.9207166605</v>
      </c>
      <c r="R8">
        <f si="0" t="shared"/>
        <v>0</v>
      </c>
      <c r="T8" s="43"/>
      <c r="U8" s="43"/>
    </row>
    <row r="9" spans="3:23" x14ac:dyDescent="0.45">
      <c r="N9">
        <f>WorkTourDestination!B17</f>
        <v>11</v>
      </c>
      <c r="O9" t="str">
        <f>WorkTourDestination!C17</f>
        <v>Beta00011</v>
      </c>
      <c r="P9" s="26">
        <f>WorkTourDestination!E17</f>
        <v>1</v>
      </c>
      <c r="Q9" s="90">
        <f si="1" t="shared"/>
        <v>1</v>
      </c>
      <c r="R9">
        <f si="0" t="shared"/>
        <v>0</v>
      </c>
      <c r="T9" s="43"/>
      <c r="U9" s="91" t="s">
        <v>277</v>
      </c>
    </row>
    <row ht="14.65" r="10" spans="3:23" thickBot="1" x14ac:dyDescent="0.5">
      <c r="C10" s="37" t="s">
        <v>67</v>
      </c>
      <c r="I10" s="74" t="s">
        <v>264</v>
      </c>
      <c r="J10" s="75"/>
      <c r="K10" s="75"/>
      <c r="L10" s="29"/>
      <c r="N10">
        <f>WorkTourDestination!B18</f>
        <v>12</v>
      </c>
      <c r="O10" t="str">
        <f>WorkTourDestination!C18</f>
        <v>Beta00012</v>
      </c>
      <c r="P10" s="26">
        <f>WorkTourDestination!E18</f>
        <v>25.5851730473</v>
      </c>
      <c r="Q10" s="90">
        <f si="1" t="shared"/>
        <v>25.5851730473</v>
      </c>
      <c r="R10">
        <f si="0" t="shared"/>
        <v>0</v>
      </c>
      <c r="T10" s="43">
        <v>1</v>
      </c>
      <c r="U10" s="23" t="s">
        <v>272</v>
      </c>
    </row>
    <row r="11" spans="3:23" x14ac:dyDescent="0.45">
      <c r="C11" s="5" t="s">
        <v>3</v>
      </c>
      <c r="D11" s="28" t="s">
        <v>48</v>
      </c>
      <c r="F11" s="5" t="s">
        <v>3</v>
      </c>
      <c r="G11" s="28" t="s">
        <v>48</v>
      </c>
      <c r="H11" s="68"/>
      <c r="I11" s="28" t="s">
        <v>265</v>
      </c>
      <c r="J11" s="28" t="s">
        <v>266</v>
      </c>
      <c r="K11" s="28" t="s">
        <v>267</v>
      </c>
      <c r="L11" s="38"/>
      <c r="N11">
        <f>WorkTourDestination!B19</f>
        <v>13</v>
      </c>
      <c r="O11" t="str">
        <f>WorkTourDestination!C19</f>
        <v>Beta00013</v>
      </c>
      <c r="P11" s="26">
        <f>WorkTourDestination!E19</f>
        <v>0.62661796638099998</v>
      </c>
      <c r="Q11" s="90">
        <f si="1" t="shared"/>
        <v>0.62661796638099998</v>
      </c>
      <c r="R11">
        <f si="0" t="shared"/>
        <v>0</v>
      </c>
      <c r="T11" s="43">
        <v>2</v>
      </c>
      <c r="U11" s="43" t="s">
        <v>278</v>
      </c>
    </row>
    <row r="12" spans="3:23" x14ac:dyDescent="0.45">
      <c r="C12" s="30" t="s">
        <v>51</v>
      </c>
      <c r="D12" s="39">
        <f>D4/D$8</f>
        <v>0.2604955373731303</v>
      </c>
      <c r="F12" s="30" t="s">
        <v>51</v>
      </c>
      <c r="G12" s="39">
        <f>G4/G$8</f>
        <v>0.22873248571673835</v>
      </c>
      <c r="H12" s="39"/>
      <c r="I12" s="76">
        <f>TLFD!Q14/TLFD!R14</f>
        <v>0.63739456813567019</v>
      </c>
      <c r="J12" s="77">
        <f>LN(I12)</f>
        <v>-0.45036639894348035</v>
      </c>
      <c r="K12" s="77">
        <f>K8*J12</f>
        <v>-0.45036639894348035</v>
      </c>
      <c r="L12" s="38"/>
      <c r="N12">
        <f>WorkTourDestination!B20</f>
        <v>14</v>
      </c>
      <c r="O12" t="str">
        <f>WorkTourDestination!C20</f>
        <v>Beta00014</v>
      </c>
      <c r="P12" s="26">
        <f>WorkTourDestination!E20</f>
        <v>1.20261129454</v>
      </c>
      <c r="Q12" s="90">
        <f si="1" t="shared"/>
        <v>1.20261129454</v>
      </c>
      <c r="R12">
        <f si="0" t="shared"/>
        <v>0</v>
      </c>
      <c r="T12" s="43">
        <v>3</v>
      </c>
      <c r="U12" s="43" t="s">
        <v>279</v>
      </c>
    </row>
    <row r="13" spans="3:23" x14ac:dyDescent="0.45">
      <c r="C13" s="12" t="s">
        <v>54</v>
      </c>
      <c r="D13" s="40">
        <f ref="D13:D16" si="2" t="shared">D5/D$8</f>
        <v>0.4449729141690964</v>
      </c>
      <c r="F13" s="12" t="s">
        <v>54</v>
      </c>
      <c r="G13" s="40">
        <f ref="G13:G16" si="3" t="shared">G5/G$8</f>
        <v>0.33264023349198324</v>
      </c>
      <c r="H13" s="40"/>
      <c r="I13" s="76"/>
      <c r="J13" s="77"/>
      <c r="K13" s="77"/>
      <c r="L13" s="38"/>
      <c r="N13">
        <f>WorkTourDestination!B21</f>
        <v>15</v>
      </c>
      <c r="O13" t="str">
        <f>WorkTourDestination!C21</f>
        <v>Beta00015</v>
      </c>
      <c r="P13" s="26">
        <f>WorkTourDestination!E21</f>
        <v>1.7752110558500001</v>
      </c>
      <c r="Q13" s="90">
        <f si="1" t="shared"/>
        <v>1.7752110558500001</v>
      </c>
      <c r="R13">
        <f si="0" t="shared"/>
        <v>0</v>
      </c>
      <c r="T13" s="43">
        <v>4</v>
      </c>
      <c r="U13" s="43" t="s">
        <v>280</v>
      </c>
    </row>
    <row r="14" spans="3:23" x14ac:dyDescent="0.45">
      <c r="C14" s="12" t="s">
        <v>57</v>
      </c>
      <c r="D14" s="40">
        <f si="2" t="shared"/>
        <v>0.21472827049773044</v>
      </c>
      <c r="F14" s="12" t="s">
        <v>57</v>
      </c>
      <c r="G14" s="40">
        <f si="3" t="shared"/>
        <v>0.29588050704386559</v>
      </c>
      <c r="H14" s="40"/>
      <c r="I14" s="76"/>
      <c r="J14" s="77"/>
      <c r="K14" s="77"/>
      <c r="L14" s="38"/>
      <c r="N14">
        <f>WorkTourDestination!B22</f>
        <v>16</v>
      </c>
      <c r="O14" t="str">
        <f>WorkTourDestination!C22</f>
        <v>Beta00016</v>
      </c>
      <c r="P14" s="26">
        <f>WorkTourDestination!E22</f>
        <v>-3.8876923697499999</v>
      </c>
      <c r="Q14" s="90">
        <f si="1" t="shared"/>
        <v>-3.8876923697499999</v>
      </c>
      <c r="R14">
        <f si="0" t="shared"/>
        <v>0</v>
      </c>
      <c r="T14" s="43">
        <v>5</v>
      </c>
      <c r="U14" s="23" t="s">
        <v>281</v>
      </c>
    </row>
    <row ht="14.65" r="15" spans="3:23" thickBot="1" x14ac:dyDescent="0.5">
      <c r="C15" s="13" t="s">
        <v>60</v>
      </c>
      <c r="D15" s="40">
        <f si="2" t="shared"/>
        <v>7.9803277960042857E-2</v>
      </c>
      <c r="F15" s="13" t="s">
        <v>60</v>
      </c>
      <c r="G15" s="40">
        <f si="3" t="shared"/>
        <v>0.14274677374741279</v>
      </c>
      <c r="H15" s="40"/>
      <c r="I15" s="78"/>
      <c r="J15" s="79"/>
      <c r="K15" s="79"/>
      <c r="N15">
        <f>WorkTourDestination!B23</f>
        <v>17</v>
      </c>
      <c r="O15" t="str">
        <f>WorkTourDestination!C23</f>
        <v>Beta00017</v>
      </c>
      <c r="P15" s="26">
        <f>WorkTourDestination!E23</f>
        <v>-2.0840829429199998</v>
      </c>
      <c r="Q15" s="90">
        <f si="1" t="shared"/>
        <v>-2.5344493418634801</v>
      </c>
      <c r="R15">
        <f si="0" t="shared"/>
        <v>1</v>
      </c>
      <c r="T15" s="43">
        <v>6</v>
      </c>
      <c r="U15" s="43" t="s">
        <v>282</v>
      </c>
    </row>
    <row ht="14.65" r="16" spans="3:23" thickBot="1" x14ac:dyDescent="0.5">
      <c r="C16" s="35" t="s">
        <v>4</v>
      </c>
      <c r="D16" s="41">
        <f si="2" t="shared"/>
        <v>1</v>
      </c>
      <c r="F16" s="35" t="s">
        <v>4</v>
      </c>
      <c r="G16" s="41">
        <f si="3" t="shared"/>
        <v>1</v>
      </c>
      <c r="H16" s="40"/>
      <c r="I16" s="76"/>
      <c r="J16" s="76"/>
      <c r="K16" s="76"/>
      <c r="N16">
        <f>WorkTourDestination!B24</f>
        <v>18</v>
      </c>
      <c r="O16" t="str">
        <f>WorkTourDestination!C24</f>
        <v>Beta00018</v>
      </c>
      <c r="P16" s="26">
        <f>WorkTourDestination!E24</f>
        <v>-2.1522976888600001</v>
      </c>
      <c r="Q16" s="90">
        <f si="1" t="shared"/>
        <v>-2.1522976888600001</v>
      </c>
      <c r="R16">
        <f si="0" t="shared"/>
        <v>0</v>
      </c>
      <c r="T16" s="43">
        <v>7</v>
      </c>
      <c r="U16" s="43" t="s">
        <v>275</v>
      </c>
    </row>
    <row r="17" spans="2:21" x14ac:dyDescent="0.45">
      <c r="N17">
        <f>WorkTourDestination!B25</f>
        <v>19</v>
      </c>
      <c r="O17" t="str">
        <f>WorkTourDestination!C25</f>
        <v>Beta00019</v>
      </c>
      <c r="P17" s="26">
        <f>WorkTourDestination!E25</f>
        <v>0.88930552872000002</v>
      </c>
      <c r="Q17" s="90">
        <f si="1" t="shared"/>
        <v>0.88930552872000002</v>
      </c>
      <c r="R17">
        <f si="0" t="shared"/>
        <v>0</v>
      </c>
      <c r="T17" s="43">
        <v>8</v>
      </c>
      <c r="U17" s="43" t="s">
        <v>283</v>
      </c>
    </row>
    <row r="18" spans="2:21" x14ac:dyDescent="0.45">
      <c r="I18" s="80"/>
      <c r="J18" s="80"/>
      <c r="K18" s="77"/>
      <c r="N18">
        <f>WorkTourDestination!B26</f>
        <v>31</v>
      </c>
      <c r="O18" t="str">
        <f>WorkTourDestination!C26</f>
        <v>Beta00031</v>
      </c>
      <c r="P18" s="26">
        <f>WorkTourDestination!E26</f>
        <v>0.15404102534</v>
      </c>
      <c r="Q18" s="90">
        <f si="1" t="shared"/>
        <v>0.15404102534</v>
      </c>
      <c r="R18">
        <f si="0" t="shared"/>
        <v>0</v>
      </c>
    </row>
    <row r="19" spans="2:21" x14ac:dyDescent="0.45">
      <c r="C19" s="42" t="s">
        <v>86</v>
      </c>
      <c r="I19" s="80"/>
      <c r="J19" s="80"/>
      <c r="K19" s="77"/>
      <c r="N19">
        <f>WorkTourDestination!B27</f>
        <v>32</v>
      </c>
      <c r="O19" t="str">
        <f>WorkTourDestination!C27</f>
        <v>Beta00032</v>
      </c>
      <c r="P19" s="26">
        <f>WorkTourDestination!E27</f>
        <v>7.8505405766500003E-2</v>
      </c>
      <c r="Q19" s="90">
        <f si="1" t="shared"/>
        <v>7.8505405766500003E-2</v>
      </c>
      <c r="R19">
        <f si="0" t="shared"/>
        <v>0</v>
      </c>
    </row>
    <row r="20" spans="2:21" x14ac:dyDescent="0.45">
      <c r="C20" s="42" t="s">
        <v>89</v>
      </c>
      <c r="I20" s="80"/>
      <c r="J20" s="80"/>
      <c r="K20" s="77"/>
      <c r="N20">
        <f>WorkTourDestination!B28</f>
        <v>33</v>
      </c>
      <c r="O20" t="str">
        <f>WorkTourDestination!C28</f>
        <v>Beta00033</v>
      </c>
      <c r="P20" s="26">
        <f>WorkTourDestination!E28</f>
        <v>-0.124122638562</v>
      </c>
      <c r="Q20" s="90">
        <f si="1" t="shared"/>
        <v>-0.124122638562</v>
      </c>
      <c r="R20">
        <f si="0" t="shared"/>
        <v>0</v>
      </c>
    </row>
    <row ht="14.65" r="21" spans="2:21" thickBot="1" x14ac:dyDescent="0.5">
      <c r="C21" s="43"/>
      <c r="I21" s="80"/>
      <c r="J21" s="80"/>
      <c r="K21" s="77"/>
      <c r="N21">
        <f>WorkTourDestination!B29</f>
        <v>34</v>
      </c>
      <c r="O21" t="str">
        <f>WorkTourDestination!C29</f>
        <v>Beta00034</v>
      </c>
      <c r="P21" s="26">
        <f>WorkTourDestination!E29</f>
        <v>-8.8006887167800002E-2</v>
      </c>
      <c r="Q21" s="90">
        <f si="1" t="shared"/>
        <v>-8.8006887167800002E-2</v>
      </c>
      <c r="R21">
        <f si="0" t="shared"/>
        <v>0</v>
      </c>
    </row>
    <row r="22" spans="2:21" x14ac:dyDescent="0.45">
      <c r="B22" s="69" t="s">
        <v>257</v>
      </c>
      <c r="C22" s="44" t="s">
        <v>95</v>
      </c>
      <c r="D22" s="45"/>
      <c r="N22">
        <f>WorkTourDestination!B30</f>
        <v>39</v>
      </c>
      <c r="O22" t="str">
        <f>WorkTourDestination!C30</f>
        <v>LSM_0039</v>
      </c>
      <c r="P22" s="26">
        <f>WorkTourDestination!E30</f>
        <v>0.21805149517</v>
      </c>
      <c r="Q22" s="90">
        <f si="1" t="shared"/>
        <v>0.21805149517</v>
      </c>
      <c r="R22">
        <f si="0" t="shared"/>
        <v>0</v>
      </c>
    </row>
    <row r="23" spans="2:21" x14ac:dyDescent="0.45">
      <c r="B23" s="70">
        <v>17</v>
      </c>
      <c r="C23" s="30" t="s">
        <v>51</v>
      </c>
      <c r="D23" s="82">
        <f>VLOOKUP($B23,$N:$P,3,FALSE)</f>
        <v>-2.0840829429199998</v>
      </c>
      <c r="I23" s="81"/>
      <c r="J23" s="81"/>
      <c r="K23" s="81"/>
      <c r="N23">
        <f>WorkTourDestination!B31</f>
        <v>40</v>
      </c>
      <c r="O23" t="str">
        <f>WorkTourDestination!C31</f>
        <v>Gamma040</v>
      </c>
      <c r="P23" s="26">
        <f>WorkTourDestination!E31</f>
        <v>-1.2010802918900001</v>
      </c>
      <c r="Q23" s="90">
        <f si="1" t="shared"/>
        <v>-1.2010802918900001</v>
      </c>
      <c r="R23">
        <f si="0" t="shared"/>
        <v>0</v>
      </c>
    </row>
    <row r="24" spans="2:21" x14ac:dyDescent="0.45">
      <c r="B24" s="70"/>
      <c r="C24" s="12"/>
      <c r="D24" s="82"/>
      <c r="N24">
        <f>WorkTourDestination!B32</f>
        <v>41</v>
      </c>
      <c r="O24" t="str">
        <f>WorkTourDestination!C32</f>
        <v>Gamma041</v>
      </c>
      <c r="P24" s="26">
        <f>WorkTourDestination!E32</f>
        <v>-4.2061803481000002</v>
      </c>
      <c r="Q24" s="90">
        <f si="1" t="shared"/>
        <v>-4.2061803481000002</v>
      </c>
      <c r="R24">
        <f si="0" t="shared"/>
        <v>0</v>
      </c>
    </row>
    <row r="25" spans="2:21" x14ac:dyDescent="0.45">
      <c r="B25" s="70"/>
      <c r="C25" s="12"/>
      <c r="D25" s="82"/>
      <c r="N25">
        <f>WorkTourDestination!B33</f>
        <v>42</v>
      </c>
      <c r="O25" t="str">
        <f>WorkTourDestination!C33</f>
        <v>Gamma042</v>
      </c>
      <c r="P25" s="26">
        <f>WorkTourDestination!E33</f>
        <v>0</v>
      </c>
      <c r="Q25" s="90">
        <f si="1" t="shared"/>
        <v>0</v>
      </c>
      <c r="R25">
        <f si="0" t="shared"/>
        <v>0</v>
      </c>
    </row>
    <row ht="14.65" r="26" spans="2:21" thickBot="1" x14ac:dyDescent="0.5">
      <c r="B26" s="71"/>
      <c r="C26" s="14"/>
      <c r="D26" s="83"/>
      <c r="N26">
        <f>WorkTourDestination!B34</f>
        <v>43</v>
      </c>
      <c r="O26" t="str">
        <f>WorkTourDestination!C34</f>
        <v>Gamma043</v>
      </c>
      <c r="P26" s="26">
        <f>WorkTourDestination!E34</f>
        <v>-3.6496161888600001</v>
      </c>
      <c r="Q26" s="90">
        <f si="1" t="shared"/>
        <v>-3.6496161888600001</v>
      </c>
      <c r="R26">
        <f si="0" t="shared"/>
        <v>0</v>
      </c>
    </row>
    <row r="27" spans="2:21" x14ac:dyDescent="0.45">
      <c r="C27" s="43"/>
      <c r="D27" s="48"/>
      <c r="N27">
        <f>WorkTourDestination!B35</f>
        <v>44</v>
      </c>
      <c r="O27" t="str">
        <f>WorkTourDestination!C35</f>
        <v>Gamma044</v>
      </c>
      <c r="P27" s="26">
        <f>WorkTourDestination!E35</f>
        <v>-3.9802023989799999</v>
      </c>
      <c r="Q27" s="90">
        <f si="1" t="shared"/>
        <v>-3.9802023989799999</v>
      </c>
      <c r="R27">
        <f si="0" t="shared"/>
        <v>0</v>
      </c>
    </row>
    <row r="28" spans="2:21" x14ac:dyDescent="0.45">
      <c r="C28" s="43"/>
      <c r="D28" s="48"/>
      <c r="N28">
        <f>WorkTourDestination!B36</f>
        <v>45</v>
      </c>
      <c r="O28" t="str">
        <f>WorkTourDestination!C36</f>
        <v>Gamma045</v>
      </c>
      <c r="P28" s="26">
        <f>WorkTourDestination!E36</f>
        <v>-4.4159067408599997</v>
      </c>
      <c r="Q28" s="90">
        <f si="1" t="shared"/>
        <v>-4.4159067408599997</v>
      </c>
      <c r="R28">
        <f si="0" t="shared"/>
        <v>0</v>
      </c>
    </row>
    <row r="29" spans="2:21" x14ac:dyDescent="0.45">
      <c r="C29" s="42" t="s">
        <v>86</v>
      </c>
      <c r="D29" s="49"/>
      <c r="N29">
        <f>WorkTourDestination!B37</f>
        <v>46</v>
      </c>
      <c r="O29" t="str">
        <f>WorkTourDestination!C37</f>
        <v>Gamma046</v>
      </c>
      <c r="P29" s="26">
        <f>WorkTourDestination!E37</f>
        <v>-4.7397273603999999</v>
      </c>
      <c r="Q29" s="90">
        <f si="1" t="shared"/>
        <v>-4.7397273603999999</v>
      </c>
      <c r="R29">
        <f si="0" t="shared"/>
        <v>0</v>
      </c>
    </row>
    <row r="30" spans="2:21" x14ac:dyDescent="0.45">
      <c r="C30" s="42" t="s">
        <v>111</v>
      </c>
      <c r="D30" s="49"/>
      <c r="N30">
        <f>WorkTourDestination!B38</f>
        <v>47</v>
      </c>
      <c r="O30" t="str">
        <f>WorkTourDestination!C38</f>
        <v>Gamma047</v>
      </c>
      <c r="P30" s="26">
        <f>WorkTourDestination!E38</f>
        <v>-4.5913043025100002</v>
      </c>
      <c r="Q30" s="90">
        <f si="1" t="shared"/>
        <v>-4.5913043025100002</v>
      </c>
      <c r="R30">
        <f si="0" t="shared"/>
        <v>0</v>
      </c>
    </row>
    <row ht="14.65" r="31" spans="2:21" thickBot="1" x14ac:dyDescent="0.5">
      <c r="C31" s="43"/>
      <c r="D31" s="48"/>
      <c r="N31">
        <f>WorkTourDestination!B39</f>
        <v>48</v>
      </c>
      <c r="O31" t="str">
        <f>WorkTourDestination!C39</f>
        <v>Gamma048</v>
      </c>
      <c r="P31" s="26">
        <f>WorkTourDestination!E39</f>
        <v>-80</v>
      </c>
      <c r="Q31" s="90">
        <f si="1" t="shared"/>
        <v>-80</v>
      </c>
      <c r="R31">
        <f si="0" t="shared"/>
        <v>0</v>
      </c>
    </row>
    <row r="32" spans="2:21" x14ac:dyDescent="0.45">
      <c r="B32" s="69" t="s">
        <v>257</v>
      </c>
      <c r="C32" s="44" t="s">
        <v>95</v>
      </c>
      <c r="D32" s="45"/>
      <c r="N32">
        <f>WorkTourDestination!B40</f>
        <v>49</v>
      </c>
      <c r="O32" t="str">
        <f>WorkTourDestination!C40</f>
        <v>Gamma049</v>
      </c>
      <c r="P32" s="26">
        <f>WorkTourDestination!E40</f>
        <v>2.4007960989599999</v>
      </c>
      <c r="Q32" s="90">
        <f si="1" t="shared"/>
        <v>2.4007960989599999</v>
      </c>
      <c r="R32">
        <f si="0" t="shared"/>
        <v>0</v>
      </c>
    </row>
    <row r="33" spans="2:18" x14ac:dyDescent="0.45">
      <c r="B33" s="70">
        <f>B23</f>
        <v>17</v>
      </c>
      <c r="C33" s="30" t="s">
        <v>51</v>
      </c>
      <c r="D33" s="84">
        <f>K12</f>
        <v>-0.45036639894348035</v>
      </c>
      <c r="N33">
        <f>WorkTourDestination!B41</f>
        <v>50</v>
      </c>
      <c r="O33" t="str">
        <f>WorkTourDestination!C41</f>
        <v>Gamma050</v>
      </c>
      <c r="P33" s="26">
        <f>WorkTourDestination!E41</f>
        <v>0</v>
      </c>
      <c r="Q33" s="90">
        <f si="1" t="shared"/>
        <v>0</v>
      </c>
      <c r="R33">
        <f si="0" t="shared"/>
        <v>0</v>
      </c>
    </row>
    <row r="34" spans="2:18" x14ac:dyDescent="0.45">
      <c r="B34" s="70"/>
      <c r="C34" s="12"/>
      <c r="D34" s="46"/>
      <c r="N34">
        <f>WorkTourDestination!B42</f>
        <v>60</v>
      </c>
      <c r="O34" t="str">
        <f>WorkTourDestination!C42</f>
        <v>LSUvsN</v>
      </c>
      <c r="P34" s="26">
        <f>WorkTourDestination!E42</f>
        <v>9.3479808750599996E-2</v>
      </c>
      <c r="Q34" s="90">
        <f si="1" t="shared"/>
        <v>9.3479808750599996E-2</v>
      </c>
      <c r="R34">
        <f si="0" t="shared"/>
        <v>0</v>
      </c>
    </row>
    <row r="35" spans="2:18" x14ac:dyDescent="0.45">
      <c r="B35" s="70"/>
      <c r="C35" s="12"/>
      <c r="D35" s="46"/>
      <c r="G35" s="50"/>
      <c r="H35" s="50"/>
      <c r="I35" s="50"/>
      <c r="J35" s="50"/>
      <c r="K35" s="50"/>
    </row>
    <row ht="14.65" r="36" spans="2:18" thickBot="1" x14ac:dyDescent="0.5">
      <c r="B36" s="72"/>
      <c r="C36" s="14"/>
      <c r="D36" s="47"/>
      <c r="G36" s="51"/>
      <c r="H36" s="51"/>
      <c r="I36" s="51"/>
      <c r="J36" s="51"/>
      <c r="K36" s="51"/>
    </row>
    <row ht="14.65" r="37" spans="2:18" thickTop="1" x14ac:dyDescent="0.45">
      <c r="C37" s="43"/>
      <c r="D37" s="46"/>
    </row>
    <row r="38" spans="2:18" x14ac:dyDescent="0.45">
      <c r="C38" s="43"/>
      <c r="D38" s="46"/>
    </row>
    <row r="39" spans="2:18" x14ac:dyDescent="0.45">
      <c r="C39" s="42" t="s">
        <v>86</v>
      </c>
      <c r="D39" s="52"/>
    </row>
    <row r="40" spans="2:18" x14ac:dyDescent="0.45">
      <c r="C40" s="42" t="s">
        <v>129</v>
      </c>
      <c r="D40" s="52"/>
    </row>
    <row ht="14.65" r="41" spans="2:18" thickBot="1" x14ac:dyDescent="0.5">
      <c r="B41" s="1"/>
      <c r="C41" s="43"/>
      <c r="D41" s="46"/>
    </row>
    <row r="42" spans="2:18" x14ac:dyDescent="0.45">
      <c r="B42" s="69" t="s">
        <v>257</v>
      </c>
      <c r="C42" s="44" t="s">
        <v>95</v>
      </c>
      <c r="D42" s="53"/>
    </row>
    <row r="43" spans="2:18" x14ac:dyDescent="0.45">
      <c r="B43" s="70">
        <f>B33</f>
        <v>17</v>
      </c>
      <c r="C43" s="30" t="s">
        <v>51</v>
      </c>
      <c r="D43" s="85">
        <f>D23+D33</f>
        <v>-2.5344493418634801</v>
      </c>
    </row>
    <row r="44" spans="2:18" x14ac:dyDescent="0.45">
      <c r="B44" s="70"/>
      <c r="C44" s="12"/>
      <c r="D44" s="85"/>
    </row>
    <row r="45" spans="2:18" x14ac:dyDescent="0.45">
      <c r="B45" s="70"/>
      <c r="C45" s="12"/>
      <c r="D45" s="85"/>
    </row>
    <row ht="14.65" r="46" spans="2:18" thickBot="1" x14ac:dyDescent="0.5">
      <c r="B46" s="72"/>
      <c r="C46" s="14"/>
      <c r="D46" s="86"/>
    </row>
    <row ht="14.65" r="47" spans="2:18" thickTop="1" x14ac:dyDescent="0.45"/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FAE77C-A10A-4310-93EA-0863C6244825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2.xml><?xml version="1.0" encoding="utf-8"?>
<ds:datastoreItem xmlns:ds="http://schemas.openxmlformats.org/officeDocument/2006/customXml" ds:itemID="{E43BE4AC-CFD5-4124-8E1D-B74A7F7C9C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8FC4D0-54D8-4AAE-B2AE-FD915B55F1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WorkTourDestination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