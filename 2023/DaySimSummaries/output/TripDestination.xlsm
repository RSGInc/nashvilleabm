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D6A5CD4D-7A06-4630-B31B-0C909854612D}" revIDLastSave="0" xr10:uidLastSave="{00000000-0000-0000-0000-000000000000}" xr6:coauthVersionLast="47" xr6:coauthVersionMax="47"/>
  <bookViews>
    <workbookView activeTab="1" firstSheet="9" windowHeight="11596" windowWidth="19396" xWindow="-98" xr2:uid="{00000000-000D-0000-FFFF-FFFF00000000}" yWindow="-98"/>
  </bookViews>
  <sheets>
    <sheet name="IntermediateStopLocation" r:id="rId1" sheetId="24"/>
    <sheet name="calibration" r:id="rId2" sheetId="23"/>
    <sheet name="TLFD_Home" r:id="rId3" sheetId="3"/>
    <sheet name="TDFD_Home" r:id="rId4" sheetId="4"/>
    <sheet name="TLFD_Work" r:id="rId5" sheetId="8"/>
    <sheet name="TDFD_Work" r:id="rId6" sheetId="9"/>
    <sheet name="TLFD_School" r:id="rId7" sheetId="11"/>
    <sheet name="TDFD_School" r:id="rId8" sheetId="12"/>
    <sheet name="TLFD_Escort" r:id="rId9" sheetId="13"/>
    <sheet name="TDFD_Escort" r:id="rId10" sheetId="14"/>
    <sheet name="TLFD_PerBus" r:id="rId11" sheetId="15"/>
    <sheet name="TDFD_PerBus" r:id="rId12" sheetId="16"/>
    <sheet name="TLFD_Shop" r:id="rId13" sheetId="17"/>
    <sheet name="TDFD_Shop" r:id="rId14" sheetId="18"/>
    <sheet name="TLFD_Meal" r:id="rId15" sheetId="19"/>
    <sheet name="TDFD_Meal" r:id="rId16" sheetId="20"/>
    <sheet name="TLFD_SocRec" r:id="rId17" sheetId="21"/>
    <sheet name="TDFD_SocRec" r:id="rId18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23" l="1" r="X4"/>
  <c i="23" r="X5"/>
  <c i="23" r="X6"/>
  <c i="23" r="X7"/>
  <c i="23" r="X8"/>
  <c i="23" r="X9"/>
  <c i="23" r="X10"/>
  <c i="23" r="X11"/>
  <c i="23" r="X12"/>
  <c i="23" r="X13"/>
  <c i="23" r="X14"/>
  <c i="23" r="X15"/>
  <c i="23" r="X16"/>
  <c i="23" r="X17"/>
  <c i="23" r="X18"/>
  <c i="23" r="X19"/>
  <c i="23" r="X20"/>
  <c i="23" r="X21"/>
  <c i="23" r="X22"/>
  <c i="23" r="X23"/>
  <c i="23" r="X24"/>
  <c i="23" r="X25"/>
  <c i="23" r="X26"/>
  <c i="23" r="X27"/>
  <c i="23" r="X28"/>
  <c i="23" r="X29"/>
  <c i="23" r="X30"/>
  <c i="23" r="X31"/>
  <c i="23" r="X32"/>
  <c i="23" r="X33"/>
  <c i="23" r="X34"/>
  <c i="23" r="X35"/>
  <c i="23" r="X36"/>
  <c i="23" r="X37"/>
  <c i="23" r="X38"/>
  <c i="23" r="X39"/>
  <c i="23" r="X40"/>
  <c i="23" r="X41"/>
  <c i="23" r="X42"/>
  <c i="23" r="X43"/>
  <c i="23" r="X44"/>
  <c i="23" r="X45"/>
  <c i="23" r="X46"/>
  <c i="23" r="X47"/>
  <c i="23" r="X48"/>
  <c i="23" r="X49"/>
  <c i="23" r="X50"/>
  <c i="23" r="X51"/>
  <c i="23" r="X52"/>
  <c i="23" r="X53"/>
  <c i="23" r="X54"/>
  <c i="23" r="X55"/>
  <c i="23" r="X56"/>
  <c i="23" r="X57"/>
  <c i="23" r="X58"/>
  <c i="23" r="X59"/>
  <c i="23" r="X60"/>
  <c i="23" r="X61"/>
  <c i="23" r="X62"/>
  <c i="23" r="X63"/>
  <c i="23" r="X64"/>
  <c i="23" r="X65"/>
  <c i="23" r="X66"/>
  <c i="23" r="X67"/>
  <c i="23" r="X68"/>
  <c i="23" r="X69"/>
  <c i="23" r="X70"/>
  <c i="23" r="X71"/>
  <c i="23" r="X72"/>
  <c i="23" r="X73"/>
  <c i="23" r="X74"/>
  <c i="23" r="X75"/>
  <c i="23" r="X76"/>
  <c i="23" r="X77"/>
  <c i="23" r="X78"/>
  <c i="23" r="X79"/>
  <c i="23" r="X80"/>
  <c i="23" r="X81"/>
  <c i="23" r="X82"/>
  <c i="23" r="X83"/>
  <c i="23" r="X84"/>
  <c i="23" r="X85"/>
  <c i="23" r="X86"/>
  <c i="23" r="X87"/>
  <c i="23" r="X88"/>
  <c i="23" r="X89"/>
  <c i="23" r="X90"/>
  <c i="23" r="X91"/>
  <c i="23" r="X92"/>
  <c i="23" r="X93"/>
  <c i="23" r="X94"/>
  <c i="23" r="X3"/>
  <c i="23" r="V4"/>
  <c i="23" r="W4"/>
  <c i="23" r="V5"/>
  <c i="23" r="W5"/>
  <c i="23" r="V6"/>
  <c i="23" r="W6"/>
  <c i="23" r="V7"/>
  <c i="23" r="W7"/>
  <c i="23" r="V8"/>
  <c i="23" r="W8"/>
  <c i="23" r="V9"/>
  <c i="23" r="W9"/>
  <c i="23" r="V10"/>
  <c i="23" r="W10"/>
  <c i="23" r="V11"/>
  <c i="23" r="W11"/>
  <c i="23" r="V12"/>
  <c i="23" r="W12"/>
  <c i="23" r="V13"/>
  <c i="23" r="W13"/>
  <c i="23" r="V14"/>
  <c i="23" r="W14"/>
  <c i="23" r="V15"/>
  <c i="23" r="W15"/>
  <c i="23" r="V16"/>
  <c i="23" r="W16"/>
  <c i="23" r="V17"/>
  <c i="23" r="W17"/>
  <c i="23" r="V18"/>
  <c i="23" r="W18"/>
  <c i="23" r="V19"/>
  <c i="23" r="W19"/>
  <c i="23" r="V20"/>
  <c i="23" r="W20"/>
  <c i="23" r="V21"/>
  <c i="23" r="W21"/>
  <c i="23" r="V22"/>
  <c i="23" r="W22"/>
  <c i="23" r="V23"/>
  <c i="23" r="W23"/>
  <c i="23" r="V24"/>
  <c i="23" r="W24"/>
  <c i="23" r="V25"/>
  <c i="23" r="W25"/>
  <c i="23" r="V26"/>
  <c i="23" r="W26"/>
  <c i="23" r="V27"/>
  <c i="23" r="W27"/>
  <c i="23" r="V28"/>
  <c i="23" r="W28"/>
  <c i="23" r="V29"/>
  <c i="23" r="W29"/>
  <c i="23" r="V30"/>
  <c i="23" r="W30"/>
  <c i="23" r="V31"/>
  <c i="23" r="W31"/>
  <c i="23" r="V32"/>
  <c i="23" r="W32"/>
  <c i="23" r="V33"/>
  <c i="23" r="W33"/>
  <c i="23" r="V34"/>
  <c i="23" r="W34"/>
  <c i="23" r="V35"/>
  <c i="23" r="Y35" s="1"/>
  <c i="23" r="W35"/>
  <c i="23" r="V36"/>
  <c i="23" r="Y36" s="1"/>
  <c i="23" r="W36"/>
  <c i="23" r="V37"/>
  <c i="23" r="W37"/>
  <c i="23" r="V38"/>
  <c i="23" r="W38"/>
  <c i="23" r="V39"/>
  <c i="23" r="W39"/>
  <c i="23" r="V40"/>
  <c i="23" r="W40"/>
  <c i="23" r="V41"/>
  <c i="23" r="W41"/>
  <c i="23" r="V42"/>
  <c i="23" r="W42"/>
  <c i="23" r="V43"/>
  <c i="23" r="W43"/>
  <c i="23" r="V44"/>
  <c i="23" r="W44"/>
  <c i="23" r="V45"/>
  <c i="23" r="W45"/>
  <c i="23" r="V46"/>
  <c i="23" r="W46"/>
  <c i="23" r="V47"/>
  <c i="23" r="W47"/>
  <c i="23" r="V48"/>
  <c i="23" r="W48"/>
  <c i="23" r="V49"/>
  <c i="23" r="W49"/>
  <c i="23" r="V50"/>
  <c i="23" r="W50"/>
  <c i="23" r="V51"/>
  <c i="23" r="W51"/>
  <c i="23" r="V52"/>
  <c i="23" r="W52"/>
  <c i="23" r="V53"/>
  <c i="23" r="W53"/>
  <c i="23" r="V54"/>
  <c i="23" r="W54"/>
  <c i="23" r="V55"/>
  <c i="23" r="W55"/>
  <c i="23" r="V56"/>
  <c i="23" r="W56"/>
  <c i="23" r="V57"/>
  <c i="23" r="W57"/>
  <c i="23" r="V58"/>
  <c i="23" r="W58"/>
  <c i="23" r="V59"/>
  <c i="23" r="W59"/>
  <c i="23" r="V60"/>
  <c i="23" r="W60"/>
  <c i="23" r="V61"/>
  <c i="23" r="W61"/>
  <c i="23" r="V62"/>
  <c i="23" r="W62"/>
  <c i="23" r="V63"/>
  <c i="23" r="W63"/>
  <c i="23" r="V64"/>
  <c i="23" r="W64"/>
  <c i="23" r="V65"/>
  <c i="23" r="W65"/>
  <c i="23" r="V66"/>
  <c i="23" r="W66"/>
  <c i="23" r="V67"/>
  <c i="23" r="W67"/>
  <c i="23" r="V68"/>
  <c i="23" r="W68"/>
  <c i="23" r="V69"/>
  <c i="23" r="W69"/>
  <c i="23" r="V70"/>
  <c i="23" r="W70"/>
  <c i="23" r="V71"/>
  <c i="23" r="W71"/>
  <c i="23" r="V72"/>
  <c i="23" r="Y72" s="1"/>
  <c i="23" r="W72"/>
  <c i="23" r="V73"/>
  <c i="23" r="Y73" s="1"/>
  <c i="23" r="W73"/>
  <c i="23" r="V74"/>
  <c i="23" r="W74"/>
  <c i="23" r="V75"/>
  <c i="23" r="Y75" s="1"/>
  <c i="23" r="W75"/>
  <c i="23" r="V76"/>
  <c i="23" r="Y76" s="1"/>
  <c i="23" r="W76"/>
  <c i="23" r="V77"/>
  <c i="23" r="W77"/>
  <c i="23" r="V78"/>
  <c i="23" r="W78"/>
  <c i="23" r="V79"/>
  <c i="23" r="W79"/>
  <c i="23" r="V80"/>
  <c i="23" r="W80"/>
  <c i="23" r="V81"/>
  <c i="23" r="W81"/>
  <c i="23" r="V82"/>
  <c i="23" r="W82"/>
  <c i="23" r="V83"/>
  <c i="23" r="W83"/>
  <c i="23" r="V84"/>
  <c i="23" r="W84"/>
  <c i="23" r="V85"/>
  <c i="23" r="W85"/>
  <c i="23" r="V86"/>
  <c i="23" r="W86"/>
  <c i="23" r="V87"/>
  <c i="23" r="W87"/>
  <c i="23" r="V88"/>
  <c i="23" r="W88"/>
  <c i="23" r="V89"/>
  <c i="23" r="W89"/>
  <c i="23" r="V90"/>
  <c i="23" r="W90"/>
  <c i="23" r="V91"/>
  <c i="23" r="W91"/>
  <c i="23" r="V92"/>
  <c i="23" r="W92"/>
  <c i="23" r="V93"/>
  <c i="23" r="W93"/>
  <c i="23" r="V94"/>
  <c i="23" r="W94"/>
  <c i="23" r="W3"/>
  <c i="23" r="V3"/>
  <c i="23" l="1" r="Y37"/>
  <c i="23" r="Z37" s="1"/>
  <c i="23" r="Y77"/>
  <c i="23" r="Y74"/>
  <c i="23" r="Y31"/>
  <c i="23" r="Y33"/>
  <c i="23" r="Z33" s="1"/>
  <c i="23" r="Y71"/>
  <c i="23" r="Y70"/>
  <c i="23" r="Z70" s="1"/>
  <c i="23" r="Y69"/>
  <c i="23" r="Y66"/>
  <c i="23" r="Z66" s="1"/>
  <c i="23" r="Y82"/>
  <c i="23" r="Z82" s="1"/>
  <c i="23" r="Y42"/>
  <c i="23" r="Y65"/>
  <c i="23" r="Y41"/>
  <c i="23" r="Z41" s="1"/>
  <c i="23" r="Y68"/>
  <c i="23" r="Y67"/>
  <c i="23" r="Z67" s="1"/>
  <c i="23" r="Y80"/>
  <c i="23" r="Z80" s="1"/>
  <c i="23" r="Y40"/>
  <c i="23" r="Z40" s="1"/>
  <c i="23" r="Y29"/>
  <c i="23" r="Z29" s="1"/>
  <c i="23" r="Y39"/>
  <c i="23" r="Z39" s="1"/>
  <c i="23" r="Y81"/>
  <c i="23" r="Y79"/>
  <c i="23" r="Z79" s="1"/>
  <c i="23" r="Y78"/>
  <c i="23" r="Z78" s="1"/>
  <c i="23" r="Y26"/>
  <c i="23" r="Z26" s="1"/>
  <c i="23" r="Y64"/>
  <c i="23" r="Z64" s="1"/>
  <c i="23" r="Y24"/>
  <c i="23" r="Z24" s="1"/>
  <c i="23" r="Y27"/>
  <c i="23" r="Z27" s="1"/>
  <c i="23" r="Y61"/>
  <c i="23" r="Z61" s="1"/>
  <c i="23" r="Y58"/>
  <c i="23" r="Z58" s="1"/>
  <c i="23" r="Y18"/>
  <c i="23" r="Z18" s="1"/>
  <c i="23" r="Y28"/>
  <c i="23" r="Z28" s="1"/>
  <c i="23" r="Y19"/>
  <c i="23" r="Z19" s="1"/>
  <c i="23" r="Y21"/>
  <c i="23" r="Z21" s="1"/>
  <c i="23" r="Y57"/>
  <c i="23" r="Z57" s="1"/>
  <c i="23" r="Y20"/>
  <c i="23" r="Z20" s="1"/>
  <c i="23" r="Y16"/>
  <c i="23" r="Z16" s="1"/>
  <c i="23" r="Y32"/>
  <c i="23" r="Z32" s="1"/>
  <c i="23" r="Y30"/>
  <c i="23" r="Z30" s="1"/>
  <c i="23" r="Y22"/>
  <c i="23" r="Z22" s="1"/>
  <c i="23" r="Y23"/>
  <c i="23" r="Z23" s="1"/>
  <c i="23" r="Y25"/>
  <c i="23" r="Z25" s="1"/>
  <c i="23" r="Y63"/>
  <c i="23" r="Z63" s="1"/>
  <c i="23" r="Y62"/>
  <c i="23" r="Z62" s="1"/>
  <c i="23" r="Y59"/>
  <c i="23" r="Z59" s="1"/>
  <c i="23" r="Y14"/>
  <c i="23" r="Z14" s="1"/>
  <c i="23" r="Y15"/>
  <c i="23" r="Z15" s="1"/>
  <c i="23" r="Y60"/>
  <c i="23" r="Z60" s="1"/>
  <c i="23" r="Y93"/>
  <c i="23" r="Z93" s="1"/>
  <c i="23" r="Y10"/>
  <c i="23" r="Z10" s="1"/>
  <c i="23" r="Y9"/>
  <c i="23" r="Z9" s="1"/>
  <c i="23" r="Y53"/>
  <c i="23" r="Z53" s="1"/>
  <c i="23" r="Y89"/>
  <c i="23" r="Z89" s="1"/>
  <c i="23" r="Y13"/>
  <c i="23" r="Z13" s="1"/>
  <c i="23" r="Y92"/>
  <c i="23" r="Z92" s="1"/>
  <c i="23" r="Y87"/>
  <c i="23" r="Z87" s="1"/>
  <c i="23" r="P8"/>
  <c i="23" r="Y51"/>
  <c i="23" r="Z51" s="1"/>
  <c i="23" r="Y46"/>
  <c i="23" r="Z46" s="1"/>
  <c i="23" r="Y6"/>
  <c i="23" r="Z6" s="1"/>
  <c i="23" r="Y86"/>
  <c i="23" r="Z86" s="1"/>
  <c i="23" r="Y12"/>
  <c i="23" r="Z12" s="1"/>
  <c i="23" r="Y85"/>
  <c i="23" r="Z85" s="1"/>
  <c i="23" r="Y5"/>
  <c i="23" r="Z5" s="1"/>
  <c i="23" r="Y45"/>
  <c i="23" r="Z45" s="1"/>
  <c i="23" r="Y84"/>
  <c i="23" r="Z84" s="1"/>
  <c i="23" r="Y4"/>
  <c i="23" r="Z4" s="1"/>
  <c i="23" r="Y44"/>
  <c i="23" r="Z44" s="1"/>
  <c i="23" r="Y83"/>
  <c i="23" r="Z83" s="1"/>
  <c i="23" r="Y43"/>
  <c i="23" r="Z43" s="1"/>
  <c i="23" r="P6"/>
  <c i="23" r="Y55"/>
  <c i="23" r="Z55" s="1"/>
  <c i="23" r="P10"/>
  <c i="23" r="Y94"/>
  <c i="23" r="Z94" s="1"/>
  <c i="23" r="Y91"/>
  <c i="23" r="Z91" s="1"/>
  <c i="23" r="Y11"/>
  <c i="23" r="Z11" s="1"/>
  <c i="23" r="Y90"/>
  <c i="23" r="Z90" s="1"/>
  <c i="23" r="Y50"/>
  <c i="23" r="Z50" s="1"/>
  <c i="23" r="Y17"/>
  <c i="23" r="Z17" s="1"/>
  <c i="23" r="Y3"/>
  <c i="23" r="Z3" s="1"/>
  <c i="23" r="Y88"/>
  <c i="23" r="Z88" s="1"/>
  <c i="23" r="Y48"/>
  <c i="23" r="Z48" s="1"/>
  <c i="23" r="Y8"/>
  <c i="23" r="Z8" s="1"/>
  <c i="23" r="Y47"/>
  <c i="23" r="Z47" s="1"/>
  <c i="23" r="Y7"/>
  <c i="23" r="Z7" s="1"/>
  <c i="23" r="P11"/>
  <c i="23" r="Y56"/>
  <c i="23" r="Z56" s="1"/>
  <c i="23" r="P12"/>
  <c i="23" r="Z74"/>
  <c i="23" r="Z72"/>
  <c i="23" r="Z73"/>
  <c i="23" r="Z71"/>
  <c i="23" r="Z69"/>
  <c i="23" r="Z31"/>
  <c i="23" r="Z42"/>
  <c i="23" r="Z77"/>
  <c i="23" r="Z75"/>
  <c i="23" r="Z68"/>
  <c i="23" r="Z65"/>
  <c i="23" r="Z81"/>
  <c i="23" r="Z36"/>
  <c i="23" r="Z76"/>
  <c i="23" r="Z35"/>
  <c i="4" l="1" r="Z17"/>
  <c i="23" r="H12" s="1"/>
  <c i="4" r="V17"/>
  <c i="23" r="G12" s="1"/>
  <c i="4" r="Z16"/>
  <c i="4" r="V16"/>
  <c i="23" r="G11" s="1"/>
  <c i="4" r="Z15"/>
  <c i="23" r="H10" s="1"/>
  <c i="4" r="V15"/>
  <c i="23" r="G10" s="1"/>
  <c i="4" r="Z14"/>
  <c i="23" r="H9" s="1"/>
  <c i="4" r="V14"/>
  <c i="23" r="G9" s="1"/>
  <c i="4" r="Z13"/>
  <c i="23" r="H8" s="1"/>
  <c i="4" r="V13"/>
  <c i="23" r="G8" s="1"/>
  <c i="4" r="Z12"/>
  <c i="23" r="H7" s="1"/>
  <c i="4" r="V12"/>
  <c i="23" r="G7" s="1"/>
  <c i="4" r="Z11"/>
  <c i="23" r="H6" s="1"/>
  <c i="4" r="V11"/>
  <c i="23" r="G6" s="1"/>
  <c i="4" r="Z10"/>
  <c i="4" r="V10"/>
  <c i="23" r="G5" s="1"/>
  <c i="23" r="C6"/>
  <c i="23" r="C7"/>
  <c i="23" r="C8"/>
  <c i="23" r="C9"/>
  <c i="23" r="C10"/>
  <c i="23" r="C11"/>
  <c i="23" r="C12"/>
  <c i="23" r="C5"/>
  <c i="4" l="1" r="AB15"/>
  <c i="4" r="AC15" s="1"/>
  <c i="4" r="AB14"/>
  <c i="4" r="AC14" s="1"/>
  <c i="23" r="I6"/>
  <c i="23" r="K8"/>
  <c i="23" r="M8" s="1"/>
  <c i="23" r="Q8" s="1"/>
  <c i="23" r="Y38" s="1"/>
  <c i="23" r="Z38" s="1"/>
  <c i="23" r="K10"/>
  <c i="23" r="M10" s="1"/>
  <c i="23" r="Q10" s="1"/>
  <c i="23" r="Y49" s="1"/>
  <c i="23" r="Z49" s="1"/>
  <c i="23" r="I7"/>
  <c i="4" r="AB16"/>
  <c i="4" r="AC16" s="1"/>
  <c i="23" r="I10"/>
  <c i="23" r="I9"/>
  <c i="23" r="I8"/>
  <c i="23" r="I12"/>
  <c i="23" r="K7"/>
  <c i="23" r="M7" s="1"/>
  <c i="23" r="K9"/>
  <c i="23" r="M9" s="1"/>
  <c i="23" r="K6"/>
  <c i="23" r="M6" s="1"/>
  <c i="23" r="Q6" s="1"/>
  <c i="23" r="Y34" s="1"/>
  <c i="23" r="Z34" s="1"/>
  <c i="23" r="K12"/>
  <c i="23" r="M12" s="1"/>
  <c i="23" r="Q12" s="1"/>
  <c i="23" r="Y54" s="1"/>
  <c i="23" r="Z54" s="1"/>
  <c i="23" r="H11"/>
  <c i="4" r="AB17"/>
  <c i="4" r="AC17" s="1"/>
  <c i="4" r="AB11"/>
  <c i="4" r="AC11" s="1"/>
  <c i="4" r="AB10"/>
  <c i="4" r="AC10" s="1"/>
  <c i="23" r="H5"/>
  <c i="4" r="AB12"/>
  <c i="4" r="AC12" s="1"/>
  <c i="4" r="AB13"/>
  <c i="4" r="AC13" s="1"/>
  <c i="23" l="1" r="K5"/>
  <c i="23" r="M5" s="1"/>
  <c i="23" r="I5"/>
  <c i="23" r="K11"/>
  <c i="23" r="M11" s="1"/>
  <c i="23" r="Q11" s="1"/>
  <c i="23" r="Y52" s="1"/>
  <c i="23" r="Z52" s="1"/>
  <c i="23" r="I11"/>
  <c i="3" r="Z16"/>
  <c i="23" r="E11" s="1"/>
  <c i="3" r="V16"/>
  <c i="23" r="D11" s="1"/>
  <c i="23" r="J11" s="1"/>
  <c i="23" r="L11" s="1"/>
  <c i="3" r="Z17"/>
  <c i="23" r="E12" s="1"/>
  <c i="3" r="V17"/>
  <c i="23" r="D12" s="1"/>
  <c i="3" r="Z15"/>
  <c i="23" r="E10" s="1"/>
  <c i="3" r="V15"/>
  <c i="23" r="D10" s="1"/>
  <c i="3" r="Z14"/>
  <c i="23" r="E9" s="1"/>
  <c i="3" r="V14"/>
  <c i="23" r="D9" s="1"/>
  <c i="3" r="Z13"/>
  <c i="23" r="E8" s="1"/>
  <c i="3" r="V13"/>
  <c i="23" r="D8" s="1"/>
  <c i="3" r="Z12"/>
  <c i="23" r="E7" s="1"/>
  <c i="3" r="V12"/>
  <c i="23" r="D7" s="1"/>
  <c i="3" r="Z11"/>
  <c i="23" r="E6" s="1"/>
  <c i="3" r="V11"/>
  <c i="23" r="D6" s="1"/>
  <c i="3" r="Z10"/>
  <c i="23" r="E5" s="1"/>
  <c i="3" r="V10"/>
  <c i="23" r="D5" s="1"/>
  <c i="23" l="1" r="J6"/>
  <c i="23" r="L6" s="1"/>
  <c i="23" r="J8"/>
  <c i="23" r="L8" s="1"/>
  <c i="23" r="F7"/>
  <c i="23" r="F5"/>
  <c i="23" r="J9"/>
  <c i="23" r="L9" s="1"/>
  <c i="23" r="F9"/>
  <c i="23" r="J7"/>
  <c i="23" r="L7" s="1"/>
  <c i="23" r="F6"/>
  <c i="23" r="F8"/>
  <c i="23" r="F12"/>
  <c i="23" r="F10"/>
  <c i="23" r="F11"/>
  <c i="23" r="J5"/>
  <c i="23" r="L5" s="1"/>
  <c i="23" r="J10"/>
  <c i="23" r="L10" s="1"/>
  <c i="23" r="J12"/>
  <c i="23" r="L12" s="1"/>
  <c i="3" r="AB12"/>
  <c i="3" r="AC12" s="1"/>
  <c i="3" r="AB10"/>
  <c i="3" r="AC10" s="1"/>
  <c i="3" r="AB17"/>
  <c i="3" r="AC17" s="1"/>
  <c i="3" r="AB16"/>
  <c i="3" r="AC16" s="1"/>
  <c i="3" r="AB14"/>
  <c i="3" r="AC14" s="1"/>
  <c i="3" r="AB11"/>
  <c i="3" r="AC11" s="1"/>
  <c i="3" r="AB13"/>
  <c i="3" r="AC13" s="1"/>
  <c i="3" r="AB15"/>
  <c i="3" r="AC15" s="1"/>
  <c i="22" r="F102"/>
  <c i="22" r="B102"/>
  <c i="21" r="F102"/>
  <c i="21" r="B102"/>
  <c i="20" r="F102"/>
  <c i="20" r="B102"/>
  <c i="19" r="F102"/>
  <c i="19" r="B102"/>
  <c i="18" r="F102"/>
  <c i="18" r="B102"/>
  <c i="17" r="F102"/>
  <c i="17" r="B102"/>
  <c i="16" r="F102"/>
  <c i="16" r="B102"/>
  <c i="15" r="F102"/>
  <c i="15" r="B102"/>
  <c i="14" r="F102"/>
  <c i="14" r="B102"/>
  <c i="13" r="F102"/>
  <c i="13" r="B102"/>
  <c i="12" r="F102"/>
  <c i="12" r="B102"/>
  <c i="11" r="F102"/>
  <c i="11" r="B102"/>
  <c i="9" r="F102"/>
  <c i="9" r="B102"/>
  <c i="8" r="F102"/>
  <c i="8" r="B102"/>
  <c i="12" l="1" r="C34"/>
  <c i="4" r="U12"/>
  <c i="4" r="W12" s="1"/>
  <c i="14" r="C34"/>
  <c i="4" r="U13"/>
  <c i="4" r="W13" s="1"/>
  <c i="9" r="G78"/>
  <c i="4" r="Y11"/>
  <c i="4" r="AA11" s="1"/>
  <c i="9" r="C61"/>
  <c i="4" r="U11"/>
  <c i="4" r="W11" s="1"/>
  <c i="14" r="G65"/>
  <c i="4" r="Y13"/>
  <c i="4" r="AA13" s="1"/>
  <c i="16" r="C37"/>
  <c i="4" r="U14"/>
  <c i="4" r="W14" s="1"/>
  <c i="20" r="G102"/>
  <c i="4" r="Y16"/>
  <c i="4" r="AA16" s="1"/>
  <c i="12" r="G102"/>
  <c i="4" r="Y12"/>
  <c i="4" r="AA12" s="1"/>
  <c i="16" r="G89"/>
  <c i="4" r="Y14"/>
  <c i="4" r="AA14" s="1"/>
  <c i="20" r="C101"/>
  <c i="4" r="U16"/>
  <c i="4" r="W16" s="1"/>
  <c i="18" r="C93"/>
  <c i="4" r="U15"/>
  <c i="4" r="W15" s="1"/>
  <c i="22" r="C65"/>
  <c i="4" r="U17"/>
  <c i="4" r="W17" s="1"/>
  <c i="22" r="G102"/>
  <c i="4" r="Y17"/>
  <c i="4" r="AA17" s="1"/>
  <c i="18" r="G48"/>
  <c i="4" r="Y15"/>
  <c i="4" r="AA15" s="1"/>
  <c i="22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22" r="C40"/>
  <c i="19" r="C100"/>
  <c i="3" r="U16"/>
  <c i="3" r="W16" s="1"/>
  <c i="8" r="G51"/>
  <c i="3" r="Y1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B102"/>
  <c i="3" r="F102"/>
  <c i="3" r="B102"/>
  <c i="4" l="1" r="C100"/>
  <c i="4" r="U10"/>
  <c i="4" r="G101"/>
  <c i="4" r="Y10"/>
  <c i="3" r="AA11"/>
  <c i="3" r="W11"/>
  <c i="3" r="C13"/>
  <c i="3" r="U10"/>
  <c i="3" r="W10" s="1"/>
  <c i="3" r="G102"/>
  <c i="3" r="Y10"/>
  <c i="3" r="AA10" s="1"/>
  <c i="3" r="AA17"/>
  <c i="3" r="W17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W18"/>
  <c i="3" r="V18" s="1"/>
  <c i="3" r="U18"/>
  <c i="3" r="U19" s="1"/>
  <c i="4" r="AA10"/>
  <c i="4" r="AA18" s="1"/>
  <c i="4" r="Y18"/>
  <c i="4" r="Y19" s="1"/>
  <c i="4" r="W10"/>
  <c i="4" r="W18" s="1"/>
  <c i="4" r="U18"/>
  <c i="4" r="U19" s="1"/>
  <c i="3" r="AA18"/>
  <c i="3" r="AA19" s="1"/>
  <c i="3" r="Y18"/>
  <c i="3" r="Y19" s="1"/>
  <c i="3" l="1" r="W19"/>
  <c i="3" r="V19"/>
  <c i="23" r="D13" s="1"/>
  <c i="4" r="W19"/>
  <c i="4" r="V19" s="1"/>
  <c i="23" r="G13" s="1"/>
  <c i="4" r="V18"/>
  <c i="4" r="Z18"/>
  <c i="4" r="AA19"/>
  <c i="4" r="Z19" s="1"/>
  <c i="3" r="Z18"/>
  <c i="3" r="Z19"/>
  <c i="23" l="1" r="H13"/>
  <c i="23" r="I13" s="1"/>
  <c i="4" r="AB19"/>
  <c i="4" r="AC19" s="1"/>
  <c i="3" r="AB19"/>
  <c i="3" r="AC19" s="1"/>
  <c i="23" r="E13"/>
  <c i="23" r="K13"/>
  <c i="23" l="1" r="J13"/>
  <c i="23" r="F13"/>
</calcChain>
</file>

<file path=xl/sharedStrings.xml><?xml version="1.0" encoding="utf-8"?>
<sst xmlns="http://schemas.openxmlformats.org/spreadsheetml/2006/main" count="575" uniqueCount="184">
  <si>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</si>
  <si>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</si>
  <si>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</si>
  <si>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</si>
  <si>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</si>
  <si>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</si>
  <si>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</si>
  <si>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</si>
  <si>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</si>
  <si>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</si>
  <si>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</si>
  <si>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</si>
  <si>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</si>
  <si>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</si>
  <si>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</si>
  <si>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</si>
  <si>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</si>
  <si>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</si>
  <si>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</si>
  <si>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</si>
  <si>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</si>
  <si>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</si>
  <si>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</si>
  <si>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</si>
  <si>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</si>
  <si>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</si>
  <si>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</si>
  <si>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</si>
  <si>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</si>
  <si>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</si>
  <si>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</si>
  <si>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</si>
  <si>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</si>
  <si>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</si>
  <si>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</si>
  <si>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</si>
  <si>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</si>
  <si>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</si>
  <si>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</si>
  <si>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</si>
  <si>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</si>
  <si>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</si>
  <si>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</si>
  <si>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</si>
  <si>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</si>
  <si>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</si>
  <si>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</si>
  <si>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</si>
  <si>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</si>
  <si>
    <t>CHTS_Fresno</t>
  </si>
  <si>
    <t>TOTAL</t>
  </si>
  <si>
    <t>Avg. Time</t>
  </si>
  <si>
    <t>RATIO</t>
  </si>
  <si>
    <t>Time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</si>
  <si>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</si>
  <si>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</si>
  <si>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</si>
  <si>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</si>
  <si>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</si>
  <si>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</si>
  <si>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Created</t>
  </si>
  <si>
    <t>by</t>
  </si>
  <si>
    <t>ALOGIT</t>
  </si>
  <si>
    <t>version</t>
  </si>
  <si>
    <t>on</t>
  </si>
  <si>
    <t>END</t>
  </si>
  <si>
    <t>F</t>
  </si>
  <si>
    <t>T</t>
  </si>
  <si>
    <t>Open "IntermediateStopLocationCoefficients_SACOG-v1.8.F12" ini Notepad+</t>
  </si>
  <si>
    <t>Intermediate</t>
  </si>
  <si>
    <t>Stop</t>
  </si>
  <si>
    <t>Location</t>
  </si>
  <si>
    <t>Model</t>
  </si>
  <si>
    <t>(SACOG2000</t>
  </si>
  <si>
    <t>v2301</t>
  </si>
  <si>
    <t>data,</t>
  </si>
  <si>
    <t>alo</t>
  </si>
  <si>
    <t>&amp;</t>
  </si>
  <si>
    <t>coeffs)</t>
  </si>
  <si>
    <t>May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</si>
  <si>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</si>
  <si>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</si>
  <si>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</si>
  <si>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</si>
  <si>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</si>
  <si>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</si>
  <si>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</si>
  <si>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</si>
  <si>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</si>
  <si>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</si>
  <si>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</si>
  <si>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</si>
  <si>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</si>
  <si>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</si>
  <si>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</si>
  <si>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</si>
  <si>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</si>
  <si>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</si>
  <si>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</si>
  <si>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</si>
  <si>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</si>
  <si>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</si>
  <si>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</si>
  <si>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</si>
  <si>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</si>
  <si>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</si>
  <si>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</si>
  <si>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</si>
  <si>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</si>
  <si>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</si>
  <si>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</si>
  <si>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</si>
  <si>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</si>
  <si>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</si>
  <si>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</si>
  <si>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</si>
  <si>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</si>
  <si>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</si>
  <si>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</si>
  <si>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</si>
  <si>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</si>
  <si>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</si>
  <si>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</si>
  <si>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</si>
  <si>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</si>
  <si>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</si>
  <si>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</si>
  <si>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</si>
  <si>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</si>
  <si>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</si>
  <si>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</si>
  <si>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</si>
  <si>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</si>
  <si>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</si>
  <si>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</si>
  <si>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</si>
  <si>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</si>
  <si>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LSM_300</t>
  </si>
  <si>
    <t>Gamma061</t>
  </si>
  <si>
    <t>Gamma062</t>
  </si>
  <si>
    <t>Gamma063</t>
  </si>
  <si>
    <t>Gamma064</t>
  </si>
  <si>
    <t>Gamma065</t>
  </si>
  <si>
    <t>Gamma066</t>
  </si>
  <si>
    <t>Gamma067</t>
  </si>
  <si>
    <t>Gamma068</t>
  </si>
  <si>
    <t>Gamma069</t>
  </si>
  <si>
    <t>Gamma070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</si>
  <si>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</si>
  <si>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</si>
  <si>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</si>
  <si>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</si>
  <si>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</si>
  <si>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</si>
  <si>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</si>
  <si>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</si>
  <si>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</si>
  <si>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</si>
  <si>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</si>
  <si>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</si>
  <si>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</si>
  <si>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</si>
  <si>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</si>
  <si>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</si>
  <si>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</si>
  <si>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</si>
  <si>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</si>
  <si>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</si>
  <si>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</si>
  <si>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</si>
  <si>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</si>
  <si>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</si>
  <si>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018:31:50</t>
  </si>
  <si>
    <t>Old</t>
  </si>
  <si>
    <t>New</t>
  </si>
  <si>
    <t>Diff</t>
  </si>
  <si>
    <t>IntermediateStopLocationCoefficients_SACOG-v1.8.F12</t>
  </si>
  <si>
    <t>% Diff</t>
  </si>
  <si>
    <t>Coeff Index</t>
  </si>
  <si>
    <t>Old Coeff</t>
  </si>
  <si>
    <t>New Coeff</t>
  </si>
  <si>
    <t>damp</t>
  </si>
  <si>
    <t>same index as work purpose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</si>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</sst>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00000000000"/>
    <numFmt numFmtId="167" formatCode="0.0000"/>
    <numFmt numFmtId="168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77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43" xfId="0"/>
    <xf applyBorder="1" applyFont="1" applyNumberFormat="1" borderId="3" fillId="0" fontId="1" numFmtId="165" xfId="0"/>
    <xf applyFont="1" borderId="0" fillId="0" fontId="0" numFmtId="9" xfId="9"/>
    <xf applyNumberFormat="1" borderId="0" fillId="0" fontId="0" numFmtId="165" xfId="0"/>
    <xf applyBorder="1" applyFont="1" applyNumberFormat="1" borderId="0" fillId="0" fontId="0" numFmtId="165" xfId="8"/>
    <xf applyBorder="1" applyFont="1" borderId="0" fillId="0" fontId="0" numFmtId="9" xfId="9"/>
    <xf applyBorder="1" applyFont="1" applyNumberFormat="1" borderId="0" fillId="0" fontId="1" numFmtId="165" xfId="8"/>
    <xf applyFont="1" applyNumberFormat="1" borderId="0" fillId="0" fontId="1" numFmtId="2" xfId="0"/>
    <xf applyFont="1" applyNumberFormat="1" borderId="0" fillId="0" fontId="1" numFmtId="43" xfId="0"/>
    <xf applyFont="1" applyNumberFormat="1" borderId="0" fillId="0" fontId="1" numFmtId="165" xfId="0"/>
    <xf applyFill="1" borderId="0" fillId="3" fontId="0" numFmtId="0" xfId="0"/>
    <xf applyFill="1" applyFont="1" borderId="0" fillId="3" fontId="1" numFmtId="0" xfId="0"/>
    <xf applyBorder="1" applyFill="1" borderId="4" fillId="3" fontId="0" numFmtId="0" xfId="0"/>
    <xf applyBorder="1" applyFill="1" applyNumberFormat="1" borderId="4" fillId="3" fontId="0" numFmtId="2" xfId="0"/>
    <xf applyFill="1" applyFont="1" borderId="0" fillId="4" fontId="4" numFmtId="0" xfId="0"/>
    <xf applyFill="1" borderId="0" fillId="4" fontId="0" numFmtId="0" xfId="0"/>
    <xf applyNumberFormat="1" borderId="0" fillId="0" fontId="0" numFmtId="21" xfId="0"/>
    <xf applyNumberFormat="1" borderId="0" fillId="0" fontId="0" numFmtId="11" xfId="0"/>
    <xf applyFont="1" borderId="0" fillId="0" fontId="4" numFmtId="0" xfId="0"/>
    <xf applyAlignment="1" applyFont="1" borderId="0" fillId="0" fontId="1" numFmtId="0" xfId="0">
      <alignment horizontal="right"/>
    </xf>
    <xf applyFill="1" applyNumberFormat="1" borderId="0" fillId="5" fontId="0" numFmtId="166" xfId="0"/>
    <xf applyFill="1" applyNumberFormat="1" borderId="0" fillId="3" fontId="0" numFmtId="2" xfId="0"/>
    <xf applyAlignment="1" applyBorder="1" applyFill="1" borderId="4" fillId="3" fontId="0" numFmtId="0" xfId="0">
      <alignment horizontal="right"/>
    </xf>
    <xf applyFill="1" applyFont="1" applyNumberFormat="1" borderId="0" fillId="3" fontId="0" numFmtId="167" xfId="8"/>
    <xf applyAlignment="1" applyBorder="1" applyFill="1" applyFont="1" borderId="4" fillId="3" fontId="1" numFmtId="0" xfId="0">
      <alignment horizontal="right"/>
    </xf>
    <xf applyBorder="1" applyFill="1" applyFont="1" applyNumberFormat="1" borderId="4" fillId="3" fontId="0" numFmtId="167" xfId="8"/>
    <xf applyFill="1" borderId="0" fillId="6" fontId="0" numFmtId="0" xfId="0"/>
    <xf applyFill="1" applyFont="1" applyNumberFormat="1" borderId="0" fillId="6" fontId="0" numFmtId="167" xfId="8"/>
    <xf applyBorder="1" applyFill="1" applyFont="1" borderId="4" fillId="3" fontId="0" numFmtId="9" xfId="9"/>
    <xf applyBorder="1" applyFill="1" applyFont="1" applyNumberFormat="1" borderId="0" fillId="3" fontId="0" numFmtId="167" xfId="8"/>
    <xf applyBorder="1" applyFill="1" applyFont="1" applyNumberFormat="1" borderId="0" fillId="6" fontId="0" numFmtId="167" xfId="8"/>
    <xf applyFill="1" borderId="0" fillId="7" fontId="0" numFmtId="0" xfId="0"/>
    <xf applyAlignment="1" borderId="0" fillId="0" fontId="0" numFmtId="0" xfId="0">
      <alignment horizontal="right"/>
    </xf>
    <xf applyBorder="1" applyFill="1" applyFont="1" borderId="4" fillId="3" fontId="0" numFmtId="43" xfId="8"/>
    <xf applyBorder="1" applyFill="1" borderId="6" fillId="3" fontId="0" numFmtId="0" xfId="0"/>
    <xf applyBorder="1" applyFill="1" applyNumberFormat="1" borderId="5" fillId="3" fontId="0" numFmtId="2" xfId="0"/>
    <xf applyBorder="1" applyFill="1" applyFont="1" borderId="0" fillId="3" fontId="0" numFmtId="9" xfId="9"/>
    <xf applyBorder="1" applyFill="1" applyNumberFormat="1" borderId="6" fillId="3" fontId="0" numFmtId="2" xfId="0"/>
    <xf applyBorder="1" applyFill="1" applyFont="1" applyNumberFormat="1" borderId="5" fillId="3" fontId="1" numFmtId="2" xfId="0"/>
    <xf applyFill="1" applyFont="1" applyNumberFormat="1" borderId="0" fillId="3" fontId="1" numFmtId="2" xfId="0"/>
    <xf applyBorder="1" applyFill="1" applyFont="1" borderId="0" fillId="3" fontId="1" numFmtId="9" xfId="9"/>
    <xf applyAlignment="1" applyBorder="1" applyFill="1" borderId="6" fillId="3" fontId="0" numFmtId="0" xfId="0">
      <alignment horizontal="right"/>
    </xf>
    <xf applyBorder="1" applyFill="1" applyFont="1" borderId="5" fillId="3" fontId="0" numFmtId="43" xfId="8"/>
    <xf applyBorder="1" applyFill="1" applyFont="1" borderId="0" fillId="3" fontId="0" numFmtId="43" xfId="8"/>
    <xf applyBorder="1" applyFill="1" applyFont="1" borderId="6" fillId="3" fontId="0" numFmtId="43" xfId="8"/>
    <xf applyBorder="1" applyFill="1" applyFont="1" borderId="5" fillId="3" fontId="1" numFmtId="43" xfId="8"/>
    <xf applyBorder="1" applyFill="1" applyFont="1" borderId="0" fillId="3" fontId="1" numFmtId="43" xfId="8"/>
    <xf applyAlignment="1" applyBorder="1" applyFill="1" borderId="7" fillId="3" fontId="0" numFmtId="0" xfId="0">
      <alignment horizontal="right"/>
    </xf>
    <xf applyBorder="1" applyFill="1" applyFont="1" borderId="8" fillId="3" fontId="0" numFmtId="9" xfId="9"/>
    <xf applyBorder="1" applyFill="1" applyFont="1" borderId="7" fillId="3" fontId="0" numFmtId="9" xfId="9"/>
    <xf applyBorder="1" applyFill="1" applyFont="1" borderId="8" fillId="3" fontId="1" numFmtId="9" xfId="9"/>
    <xf applyBorder="1" applyFill="1" applyFont="1" borderId="5" fillId="3" fontId="1" numFmtId="0" xfId="0"/>
    <xf applyBorder="1" applyFill="1" applyNumberFormat="1" borderId="5" fillId="3" fontId="0" numFmtId="168" xfId="0"/>
    <xf applyFill="1" applyNumberFormat="1" borderId="0" fillId="3" fontId="0" numFmtId="168" xfId="0"/>
    <xf applyBorder="1" applyFill="1" applyNumberFormat="1" borderId="6" fillId="3" fontId="0" numFmtId="168" xfId="0"/>
    <xf applyBorder="1" applyFill="1" applyNumberFormat="1" borderId="4" fillId="3" fontId="0" numFmtId="168" xfId="0"/>
    <xf applyAlignment="1" applyBorder="1" applyFill="1" applyFont="1" borderId="6" fillId="3" fontId="1" numFmtId="0" xfId="0">
      <alignment horizontal="center"/>
    </xf>
    <xf applyAlignment="1" applyBorder="1" applyFill="1" applyFont="1" borderId="4" fillId="3" fontId="1" numFmtId="0" xfId="0">
      <alignment horizontal="center"/>
    </xf>
    <xf applyAlignment="1" applyBorder="1" applyFill="1" borderId="6" fillId="3" fontId="0" numFmtId="0" xfId="0">
      <alignment horizontal="center"/>
    </xf>
    <xf applyAlignment="1" applyBorder="1" applyFill="1" borderId="4" fillId="3" fontId="0" numFmtId="0" xfId="0">
      <alignment horizontal="center"/>
    </xf>
    <xf applyAlignment="1" applyBorder="1" applyFill="1" borderId="7" fillId="3" fontId="0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 xr:uid="{00000000-0005-0000-0000-000003000000}"/>
    <cellStyle name="XLConnect.Date" xfId="3" xr:uid="{00000000-0005-0000-0000-000004000000}"/>
    <cellStyle name="XLConnect.DateTime" xfId="7" xr:uid="{00000000-0005-0000-0000-000005000000}"/>
    <cellStyle name="XLConnect.General" xfId="1" xr:uid="{00000000-0005-0000-0000-000006000000}"/>
    <cellStyle name="XLConnect.Header" xfId="2" xr:uid="{00000000-0005-0000-0000-000007000000}"/>
    <cellStyle name="XLConnect.Numeric" xfId="5" xr:uid="{00000000-0005-0000-0000-000008000000}"/>
    <cellStyle name="XLConnect.String" xfId="4" xr:uid="{00000000-0005-0000-0000-000009000000}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theme/theme1.xml" Type="http://schemas.openxmlformats.org/officeDocument/2006/relationships/theme"/>
    <Relationship Id="rId2" Target="worksheets/sheet2.xml" Type="http://schemas.openxmlformats.org/officeDocument/2006/relationships/worksheet"/>
    <Relationship Id="rId20" Target="styles.xml" Type="http://schemas.openxmlformats.org/officeDocument/2006/relationships/styles"/>
    <Relationship Id="rId21" Target="sharedStrings.xml" Type="http://schemas.openxmlformats.org/officeDocument/2006/relationships/sharedStrings"/>
    <Relationship Id="rId22" Target="calcChain.xml" Type="http://schemas.openxmlformats.org/officeDocument/2006/relationships/calcChain"/>
    <Relationship Id="rId23" Target="../customXml/item1.xml" Type="http://schemas.openxmlformats.org/officeDocument/2006/relationships/customXml"/>
    <Relationship Id="rId24" Target="../customXml/item2.xml" Type="http://schemas.openxmlformats.org/officeDocument/2006/relationships/customXml"/>
    <Relationship Id="rId25" Target="../customXml/item3.xml" Type="http://schemas.openxmlformats.org/officeDocument/2006/relationships/customXml"/>
    <Relationship Id="rId26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Lengths</a:t>
            </a:r>
            <a:r>
              <a:rPr baseline="0" lang="en-US"/>
              <a:t> (miles) by Purpose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calibration!$D$4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calibration!$C$5:$C$12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calibration!$D$5:$D$12</c:f>
              <c:numCache>
                <c:formatCode>0.00</c:formatCode>
                <c:ptCount val="8"/>
                <c:pt idx="0">
                  <c:v>7.5236284394369513</c:v>
                </c:pt>
                <c:pt idx="1">
                  <c:v>9.9279280774365439</c:v>
                </c:pt>
                <c:pt idx="2">
                  <c:v>5.2072789452425852</c:v>
                </c:pt>
                <c:pt idx="3">
                  <c:v>6.28230794215618</c:v>
                </c:pt>
                <c:pt idx="4">
                  <c:v>5.6343577157291937</c:v>
                </c:pt>
                <c:pt idx="5">
                  <c:v>4.8090784898811325</c:v>
                </c:pt>
                <c:pt idx="6">
                  <c:v>4.94352974894616</c:v>
                </c:pt>
                <c:pt idx="7">
                  <c:v>6.507052184410715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85-4CBB-A699-0288904F96AF}"/>
            </c:ext>
          </c:extLst>
        </c:ser>
        <c:ser>
          <c:idx val="1"/>
          <c:order val="1"/>
          <c:tx>
            <c:strRef>
              <c:f>calibration!$E$4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strRef>
              <c:f>calibration!$C$5:$C$12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calibration!$E$5:$E$12</c:f>
              <c:numCache>
                <c:formatCode>0.00</c:formatCode>
                <c:ptCount val="8"/>
                <c:pt idx="0">
                  <c:v>7.4823969753212678</c:v>
                </c:pt>
                <c:pt idx="1">
                  <c:v>8.931558538831764</c:v>
                </c:pt>
                <c:pt idx="2">
                  <c:v>5.1619635597198386</c:v>
                </c:pt>
                <c:pt idx="3">
                  <c:v>5.9886887831969773</c:v>
                </c:pt>
                <c:pt idx="4">
                  <c:v>5.5129511710556089</c:v>
                </c:pt>
                <c:pt idx="5">
                  <c:v>4.5897280975071668</c:v>
                </c:pt>
                <c:pt idx="6">
                  <c:v>4.8701239894685555</c:v>
                </c:pt>
                <c:pt idx="7">
                  <c:v>5.4981846696413568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85-4CBB-A699-0288904F9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5126063"/>
        <c:axId val="1455126543"/>
      </c:barChart>
      <c:catAx>
        <c:axId val="1455126063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Destination</a:t>
                </a:r>
                <a:r>
                  <a:rPr baseline="0" lang="en-US"/>
                  <a:t> Purpose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126543"/>
        <c:crosses val="autoZero"/>
        <c:auto val="1"/>
        <c:lblAlgn val="ctr"/>
        <c:lblOffset val="100"/>
        <c:noMultiLvlLbl val="0"/>
      </c:catAx>
      <c:valAx>
        <c:axId val="1455126543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Avg. Trip Length (mile)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12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5.9834327097720914E-2</c:v>
                </c:pt>
                <c:pt idx="1">
                  <c:v>0.14030395612312194</c:v>
                </c:pt>
                <c:pt idx="2">
                  <c:v>0.13017559121754096</c:v>
                </c:pt>
                <c:pt idx="3">
                  <c:v>0.10961767264015335</c:v>
                </c:pt>
                <c:pt idx="4">
                  <c:v>8.1231050197588556E-2</c:v>
                </c:pt>
                <c:pt idx="5">
                  <c:v>5.8604602110474142E-2</c:v>
                </c:pt>
                <c:pt idx="6">
                  <c:v>6.491410808875582E-2</c:v>
                </c:pt>
                <c:pt idx="7">
                  <c:v>4.2427986022162981E-2</c:v>
                </c:pt>
                <c:pt idx="8">
                  <c:v>3.6469080010636194E-2</c:v>
                </c:pt>
                <c:pt idx="9">
                  <c:v>2.8228667748568706E-2</c:v>
                </c:pt>
                <c:pt idx="10">
                  <c:v>2.7566216985943817E-2</c:v>
                </c:pt>
                <c:pt idx="11">
                  <c:v>2.7110825861170283E-2</c:v>
                </c:pt>
                <c:pt idx="12">
                  <c:v>2.3294006937449291E-2</c:v>
                </c:pt>
                <c:pt idx="13">
                  <c:v>1.867100580828869E-2</c:v>
                </c:pt>
                <c:pt idx="14">
                  <c:v>1.7361935174422843E-2</c:v>
                </c:pt>
                <c:pt idx="15">
                  <c:v>1.7216658936642846E-2</c:v>
                </c:pt>
                <c:pt idx="16">
                  <c:v>1.0826447861445361E-2</c:v>
                </c:pt>
                <c:pt idx="17">
                  <c:v>9.2876388478185471E-3</c:v>
                </c:pt>
                <c:pt idx="18">
                  <c:v>1.0731936293011222E-2</c:v>
                </c:pt>
                <c:pt idx="19">
                  <c:v>8.7328187700930621E-3</c:v>
                </c:pt>
                <c:pt idx="20">
                  <c:v>6.5257294272069435E-3</c:v>
                </c:pt>
                <c:pt idx="21">
                  <c:v>8.6750400421307279E-3</c:v>
                </c:pt>
                <c:pt idx="22">
                  <c:v>5.9120340542803684E-3</c:v>
                </c:pt>
                <c:pt idx="23">
                  <c:v>6.301270937066881E-3</c:v>
                </c:pt>
                <c:pt idx="24">
                  <c:v>4.5801838142313419E-3</c:v>
                </c:pt>
                <c:pt idx="25">
                  <c:v>4.3369930290453468E-3</c:v>
                </c:pt>
                <c:pt idx="26">
                  <c:v>3.930672080790054E-3</c:v>
                </c:pt>
                <c:pt idx="27">
                  <c:v>4.1376909799646635E-3</c:v>
                </c:pt>
                <c:pt idx="28">
                  <c:v>3.1864034780066932E-3</c:v>
                </c:pt>
                <c:pt idx="29">
                  <c:v>3.4970953663571139E-3</c:v>
                </c:pt>
                <c:pt idx="30">
                  <c:v>2.6428326774505058E-3</c:v>
                </c:pt>
                <c:pt idx="31">
                  <c:v>4.6510446185218483E-3</c:v>
                </c:pt>
                <c:pt idx="32">
                  <c:v>2.8096530439288983E-3</c:v>
                </c:pt>
                <c:pt idx="33">
                  <c:v>1.5120861458685457E-3</c:v>
                </c:pt>
                <c:pt idx="34">
                  <c:v>1.836060399132262E-3</c:v>
                </c:pt>
                <c:pt idx="35">
                  <c:v>1.4361449491205052E-3</c:v>
                </c:pt>
                <c:pt idx="36">
                  <c:v>2.7756260395200897E-3</c:v>
                </c:pt>
                <c:pt idx="37">
                  <c:v>7.6168106559800928E-4</c:v>
                </c:pt>
                <c:pt idx="38">
                  <c:v>4.4206567561041972E-4</c:v>
                </c:pt>
                <c:pt idx="39">
                  <c:v>8.9755161721439625E-4</c:v>
                </c:pt>
                <c:pt idx="40">
                  <c:v>1.145457630651597E-3</c:v>
                </c:pt>
                <c:pt idx="41">
                  <c:v>8.7344018675373049E-4</c:v>
                </c:pt>
                <c:pt idx="42">
                  <c:v>3.3826910699501672E-4</c:v>
                </c:pt>
                <c:pt idx="43">
                  <c:v>9.4332409549638071E-4</c:v>
                </c:pt>
                <c:pt idx="44">
                  <c:v>3.3131206435016452E-4</c:v>
                </c:pt>
                <c:pt idx="45">
                  <c:v>4.2162425240991637E-4</c:v>
                </c:pt>
                <c:pt idx="46">
                  <c:v>3.82447504889243E-4</c:v>
                </c:pt>
                <c:pt idx="47">
                  <c:v>1.3216291336152685E-5</c:v>
                </c:pt>
                <c:pt idx="48">
                  <c:v>6.6981503301787211E-4</c:v>
                </c:pt>
                <c:pt idx="49">
                  <c:v>5.6448543468195704E-5</c:v>
                </c:pt>
                <c:pt idx="50">
                  <c:v>2.4969419684176171E-4</c:v>
                </c:pt>
                <c:pt idx="51">
                  <c:v>1.781385463164796E-4</c:v>
                </c:pt>
                <c:pt idx="52">
                  <c:v>3.2255929220494285E-4</c:v>
                </c:pt>
                <c:pt idx="53">
                  <c:v>6.3696078498955255E-5</c:v>
                </c:pt>
                <c:pt idx="54">
                  <c:v>0</c:v>
                </c:pt>
                <c:pt idx="55">
                  <c:v>2.7823932659246775E-4</c:v>
                </c:pt>
                <c:pt idx="56">
                  <c:v>2.0146886833742256E-4</c:v>
                </c:pt>
                <c:pt idx="57">
                  <c:v>0</c:v>
                </c:pt>
                <c:pt idx="58">
                  <c:v>1.9917648988261009E-5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9.2999795157149845E-2</c:v>
                </c:pt>
                <c:pt idx="1">
                  <c:v>0.11692932008720942</c:v>
                </c:pt>
                <c:pt idx="2">
                  <c:v>0.11265044394980381</c:v>
                </c:pt>
                <c:pt idx="3">
                  <c:v>9.9197575208423316E-2</c:v>
                </c:pt>
                <c:pt idx="4">
                  <c:v>8.0459304458669959E-2</c:v>
                </c:pt>
                <c:pt idx="5">
                  <c:v>6.6597320609872515E-2</c:v>
                </c:pt>
                <c:pt idx="6">
                  <c:v>5.2795819608196681E-2</c:v>
                </c:pt>
                <c:pt idx="7">
                  <c:v>4.3566479493176567E-2</c:v>
                </c:pt>
                <c:pt idx="8">
                  <c:v>3.8076234634646516E-2</c:v>
                </c:pt>
                <c:pt idx="9">
                  <c:v>3.4669224444427958E-2</c:v>
                </c:pt>
                <c:pt idx="10">
                  <c:v>3.1766618375487783E-2</c:v>
                </c:pt>
                <c:pt idx="11">
                  <c:v>2.8400120280982766E-2</c:v>
                </c:pt>
                <c:pt idx="12">
                  <c:v>2.5845575879440568E-2</c:v>
                </c:pt>
                <c:pt idx="13">
                  <c:v>2.1519911124450303E-2</c:v>
                </c:pt>
                <c:pt idx="14">
                  <c:v>1.8911730990554976E-2</c:v>
                </c:pt>
                <c:pt idx="15">
                  <c:v>1.6552899952811968E-2</c:v>
                </c:pt>
                <c:pt idx="16">
                  <c:v>1.4566095484156633E-2</c:v>
                </c:pt>
                <c:pt idx="17">
                  <c:v>1.2460607692847561E-2</c:v>
                </c:pt>
                <c:pt idx="18">
                  <c:v>1.0920006869938484E-2</c:v>
                </c:pt>
                <c:pt idx="19">
                  <c:v>9.5688428889574868E-3</c:v>
                </c:pt>
                <c:pt idx="20">
                  <c:v>8.2895736130455793E-3</c:v>
                </c:pt>
                <c:pt idx="21">
                  <c:v>7.5945914640443736E-3</c:v>
                </c:pt>
                <c:pt idx="22">
                  <c:v>6.6862075714253927E-3</c:v>
                </c:pt>
                <c:pt idx="23">
                  <c:v>5.9883724579373179E-3</c:v>
                </c:pt>
                <c:pt idx="24">
                  <c:v>5.3692791642868188E-3</c:v>
                </c:pt>
                <c:pt idx="25">
                  <c:v>4.7906979663498543E-3</c:v>
                </c:pt>
                <c:pt idx="26">
                  <c:v>4.2982762959163237E-3</c:v>
                </c:pt>
                <c:pt idx="27">
                  <c:v>3.7613483794876417E-3</c:v>
                </c:pt>
                <c:pt idx="28">
                  <c:v>3.4167102694739075E-3</c:v>
                </c:pt>
                <c:pt idx="29">
                  <c:v>3.0680780091785573E-3</c:v>
                </c:pt>
                <c:pt idx="30">
                  <c:v>2.8078876479761357E-3</c:v>
                </c:pt>
                <c:pt idx="31">
                  <c:v>2.3913548328933112E-3</c:v>
                </c:pt>
                <c:pt idx="32">
                  <c:v>2.0838052612088694E-3</c:v>
                </c:pt>
                <c:pt idx="33">
                  <c:v>1.7414495227846302E-3</c:v>
                </c:pt>
                <c:pt idx="34">
                  <c:v>1.4287646150238252E-3</c:v>
                </c:pt>
                <c:pt idx="35">
                  <c:v>1.2222099861745341E-3</c:v>
                </c:pt>
                <c:pt idx="36">
                  <c:v>9.6487258945898095E-4</c:v>
                </c:pt>
                <c:pt idx="37">
                  <c:v>8.3934215203675989E-4</c:v>
                </c:pt>
                <c:pt idx="38">
                  <c:v>6.7786436207999373E-4</c:v>
                </c:pt>
                <c:pt idx="39">
                  <c:v>6.1738151495837809E-4</c:v>
                </c:pt>
                <c:pt idx="40">
                  <c:v>5.7173408316847955E-4</c:v>
                </c:pt>
                <c:pt idx="41">
                  <c:v>4.393565309777737E-4</c:v>
                </c:pt>
                <c:pt idx="42">
                  <c:v>3.8857376311151156E-4</c:v>
                </c:pt>
                <c:pt idx="43">
                  <c:v>3.046966071975729E-4</c:v>
                </c:pt>
                <c:pt idx="44">
                  <c:v>2.8244348419999738E-4</c:v>
                </c:pt>
                <c:pt idx="45">
                  <c:v>2.3223130923110896E-4</c:v>
                </c:pt>
                <c:pt idx="46">
                  <c:v>1.8886624903070531E-4</c:v>
                </c:pt>
                <c:pt idx="47">
                  <c:v>1.7003668341737216E-4</c:v>
                </c:pt>
                <c:pt idx="48">
                  <c:v>1.2952458770383718E-4</c:v>
                </c:pt>
                <c:pt idx="49">
                  <c:v>1.1468917237212014E-4</c:v>
                </c:pt>
                <c:pt idx="50">
                  <c:v>1.1525976526949388E-4</c:v>
                </c:pt>
                <c:pt idx="51">
                  <c:v>8.3877155913938617E-5</c:v>
                </c:pt>
                <c:pt idx="52">
                  <c:v>7.8171226940201299E-5</c:v>
                </c:pt>
                <c:pt idx="53">
                  <c:v>6.4476997403231727E-5</c:v>
                </c:pt>
                <c:pt idx="54">
                  <c:v>5.7629882634746941E-5</c:v>
                </c:pt>
                <c:pt idx="55">
                  <c:v>5.6488696839999473E-5</c:v>
                </c:pt>
                <c:pt idx="56">
                  <c:v>4.9070989174140956E-5</c:v>
                </c:pt>
                <c:pt idx="57">
                  <c:v>3.4235573842423923E-5</c:v>
                </c:pt>
                <c:pt idx="58">
                  <c:v>3.1382609355555264E-5</c:v>
                </c:pt>
                <c:pt idx="59">
                  <c:v>2.2253122997575549E-5</c:v>
                </c:pt>
                <c:pt idx="60">
                  <c:v>2.1111937202828085E-5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7404162507855534"/>
          <c:y val="7.8319845435987162E-2"/>
          <c:w val="0.20034046800487967"/>
          <c:h val="0.12113808690580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4.3644348800675175E-3</c:v>
                </c:pt>
                <c:pt idx="3">
                  <c:v>3.9861632558120294E-2</c:v>
                </c:pt>
                <c:pt idx="4">
                  <c:v>5.2853010099892898E-2</c:v>
                </c:pt>
                <c:pt idx="5">
                  <c:v>6.2493789789090003E-2</c:v>
                </c:pt>
                <c:pt idx="6">
                  <c:v>7.2586861094057806E-2</c:v>
                </c:pt>
                <c:pt idx="7">
                  <c:v>6.4155981347881308E-2</c:v>
                </c:pt>
                <c:pt idx="8">
                  <c:v>6.5133658351509402E-2</c:v>
                </c:pt>
                <c:pt idx="9">
                  <c:v>5.7982513052520453E-2</c:v>
                </c:pt>
                <c:pt idx="10">
                  <c:v>5.1525675466375924E-2</c:v>
                </c:pt>
                <c:pt idx="11">
                  <c:v>4.1589119404889761E-2</c:v>
                </c:pt>
                <c:pt idx="12">
                  <c:v>4.2495613064454867E-2</c:v>
                </c:pt>
                <c:pt idx="13">
                  <c:v>3.4078898640395185E-2</c:v>
                </c:pt>
                <c:pt idx="14">
                  <c:v>2.6143955107541174E-2</c:v>
                </c:pt>
                <c:pt idx="15">
                  <c:v>2.9032872304070294E-2</c:v>
                </c:pt>
                <c:pt idx="16">
                  <c:v>2.6219969572899689E-2</c:v>
                </c:pt>
                <c:pt idx="17">
                  <c:v>2.6466237835367494E-2</c:v>
                </c:pt>
                <c:pt idx="18">
                  <c:v>2.2805462540646013E-2</c:v>
                </c:pt>
                <c:pt idx="19">
                  <c:v>1.8220461507784058E-2</c:v>
                </c:pt>
                <c:pt idx="20">
                  <c:v>1.4256143709025854E-2</c:v>
                </c:pt>
                <c:pt idx="21">
                  <c:v>1.6176984617894987E-2</c:v>
                </c:pt>
                <c:pt idx="22">
                  <c:v>1.3889213907181048E-2</c:v>
                </c:pt>
                <c:pt idx="23">
                  <c:v>1.4530587885117192E-2</c:v>
                </c:pt>
                <c:pt idx="24">
                  <c:v>1.2651363639413665E-2</c:v>
                </c:pt>
                <c:pt idx="25">
                  <c:v>1.1496451520932816E-2</c:v>
                </c:pt>
                <c:pt idx="26">
                  <c:v>1.4394331381385888E-2</c:v>
                </c:pt>
                <c:pt idx="27">
                  <c:v>8.5681563672490423E-3</c:v>
                </c:pt>
                <c:pt idx="28">
                  <c:v>9.567062704149757E-3</c:v>
                </c:pt>
                <c:pt idx="29">
                  <c:v>1.0599616295034156E-2</c:v>
                </c:pt>
                <c:pt idx="30">
                  <c:v>1.0511906994741136E-2</c:v>
                </c:pt>
                <c:pt idx="31">
                  <c:v>7.6965509302416519E-3</c:v>
                </c:pt>
                <c:pt idx="32">
                  <c:v>6.3556441471792095E-3</c:v>
                </c:pt>
                <c:pt idx="33">
                  <c:v>5.8401139618952155E-3</c:v>
                </c:pt>
                <c:pt idx="34">
                  <c:v>5.6439106838732152E-3</c:v>
                </c:pt>
                <c:pt idx="35">
                  <c:v>4.9373751806978282E-3</c:v>
                </c:pt>
                <c:pt idx="36">
                  <c:v>4.3770476746638944E-3</c:v>
                </c:pt>
                <c:pt idx="37">
                  <c:v>5.0465844930599876E-3</c:v>
                </c:pt>
                <c:pt idx="38">
                  <c:v>5.4419140831748576E-3</c:v>
                </c:pt>
                <c:pt idx="39">
                  <c:v>5.2925945913055526E-3</c:v>
                </c:pt>
                <c:pt idx="40">
                  <c:v>5.0120903682912242E-3</c:v>
                </c:pt>
                <c:pt idx="41">
                  <c:v>4.0690240552395647E-3</c:v>
                </c:pt>
                <c:pt idx="42">
                  <c:v>5.6998751213058986E-3</c:v>
                </c:pt>
                <c:pt idx="43">
                  <c:v>4.0829716004978272E-3</c:v>
                </c:pt>
                <c:pt idx="44">
                  <c:v>4.2856701193404109E-3</c:v>
                </c:pt>
                <c:pt idx="45">
                  <c:v>3.3996947626971983E-3</c:v>
                </c:pt>
                <c:pt idx="46">
                  <c:v>3.3049343846835513E-3</c:v>
                </c:pt>
                <c:pt idx="47">
                  <c:v>2.6738477427473823E-3</c:v>
                </c:pt>
                <c:pt idx="48">
                  <c:v>2.0795137309858511E-3</c:v>
                </c:pt>
                <c:pt idx="49">
                  <c:v>1.5120604436686582E-3</c:v>
                </c:pt>
                <c:pt idx="50">
                  <c:v>3.8596630455344223E-3</c:v>
                </c:pt>
                <c:pt idx="51">
                  <c:v>1.1931095813565876E-3</c:v>
                </c:pt>
                <c:pt idx="52">
                  <c:v>1.7851549856335938E-3</c:v>
                </c:pt>
                <c:pt idx="53">
                  <c:v>1.0001512942178327E-3</c:v>
                </c:pt>
                <c:pt idx="54">
                  <c:v>2.6239936254081218E-3</c:v>
                </c:pt>
                <c:pt idx="55">
                  <c:v>1.3863544303938837E-3</c:v>
                </c:pt>
                <c:pt idx="56">
                  <c:v>1.3358160287696888E-3</c:v>
                </c:pt>
                <c:pt idx="57">
                  <c:v>1.5094942208063635E-3</c:v>
                </c:pt>
                <c:pt idx="58">
                  <c:v>1.9006920098595115E-3</c:v>
                </c:pt>
                <c:pt idx="59">
                  <c:v>1.0751898475823544E-3</c:v>
                </c:pt>
                <c:pt idx="60">
                  <c:v>5.8930498366492395E-4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3.4612165154690585E-3</c:v>
                </c:pt>
                <c:pt idx="1">
                  <c:v>2.4880132697084213E-2</c:v>
                </c:pt>
                <c:pt idx="2">
                  <c:v>1.0519450655982124E-2</c:v>
                </c:pt>
                <c:pt idx="3">
                  <c:v>1.8782206402851137E-2</c:v>
                </c:pt>
                <c:pt idx="4">
                  <c:v>3.2338352458656267E-2</c:v>
                </c:pt>
                <c:pt idx="5">
                  <c:v>4.5050591619245642E-2</c:v>
                </c:pt>
                <c:pt idx="6">
                  <c:v>5.3307641437140917E-2</c:v>
                </c:pt>
                <c:pt idx="7">
                  <c:v>5.5759479117155848E-2</c:v>
                </c:pt>
                <c:pt idx="8">
                  <c:v>5.3242023253942942E-2</c:v>
                </c:pt>
                <c:pt idx="9">
                  <c:v>5.0605313475178923E-2</c:v>
                </c:pt>
                <c:pt idx="10">
                  <c:v>4.5492230521812914E-2</c:v>
                </c:pt>
                <c:pt idx="11">
                  <c:v>4.1874100959566077E-2</c:v>
                </c:pt>
                <c:pt idx="12">
                  <c:v>3.8874494098072365E-2</c:v>
                </c:pt>
                <c:pt idx="13">
                  <c:v>3.4943679628064724E-2</c:v>
                </c:pt>
                <c:pt idx="14">
                  <c:v>3.2073026761377479E-2</c:v>
                </c:pt>
                <c:pt idx="15">
                  <c:v>2.9313068916780739E-2</c:v>
                </c:pt>
                <c:pt idx="16">
                  <c:v>2.7241816699314091E-2</c:v>
                </c:pt>
                <c:pt idx="17">
                  <c:v>2.5132334757723404E-2</c:v>
                </c:pt>
                <c:pt idx="18">
                  <c:v>2.3190607127960592E-2</c:v>
                </c:pt>
                <c:pt idx="19">
                  <c:v>2.2177804735122219E-2</c:v>
                </c:pt>
                <c:pt idx="20">
                  <c:v>2.0379295922600214E-2</c:v>
                </c:pt>
                <c:pt idx="21">
                  <c:v>1.9630107448348505E-2</c:v>
                </c:pt>
                <c:pt idx="22">
                  <c:v>1.8277231688675386E-2</c:v>
                </c:pt>
                <c:pt idx="23">
                  <c:v>1.726557048163176E-2</c:v>
                </c:pt>
                <c:pt idx="24">
                  <c:v>1.6179732197929547E-2</c:v>
                </c:pt>
                <c:pt idx="25">
                  <c:v>1.4849680154151378E-2</c:v>
                </c:pt>
                <c:pt idx="26">
                  <c:v>1.4261398876959059E-2</c:v>
                </c:pt>
                <c:pt idx="27">
                  <c:v>1.340836249538533E-2</c:v>
                </c:pt>
                <c:pt idx="28">
                  <c:v>1.2647762163186145E-2</c:v>
                </c:pt>
                <c:pt idx="29">
                  <c:v>1.1792443410022922E-2</c:v>
                </c:pt>
                <c:pt idx="30">
                  <c:v>1.1182479602730401E-2</c:v>
                </c:pt>
                <c:pt idx="31">
                  <c:v>1.0522303620468992E-2</c:v>
                </c:pt>
                <c:pt idx="32">
                  <c:v>9.8969338049473832E-3</c:v>
                </c:pt>
                <c:pt idx="33">
                  <c:v>9.5380308724993049E-3</c:v>
                </c:pt>
                <c:pt idx="34">
                  <c:v>8.6758650045675959E-3</c:v>
                </c:pt>
                <c:pt idx="35">
                  <c:v>8.042506888482754E-3</c:v>
                </c:pt>
                <c:pt idx="36">
                  <c:v>7.8057108360726551E-3</c:v>
                </c:pt>
                <c:pt idx="37">
                  <c:v>7.2442474250569025E-3</c:v>
                </c:pt>
                <c:pt idx="38">
                  <c:v>6.7261490742415537E-3</c:v>
                </c:pt>
                <c:pt idx="39">
                  <c:v>6.3564048767433753E-3</c:v>
                </c:pt>
                <c:pt idx="40">
                  <c:v>6.0671142777748927E-3</c:v>
                </c:pt>
                <c:pt idx="41">
                  <c:v>5.6083575882864122E-3</c:v>
                </c:pt>
                <c:pt idx="42">
                  <c:v>5.2677136285542948E-3</c:v>
                </c:pt>
                <c:pt idx="43">
                  <c:v>4.849469034779349E-3</c:v>
                </c:pt>
                <c:pt idx="44">
                  <c:v>4.5133898182262207E-3</c:v>
                </c:pt>
                <c:pt idx="45">
                  <c:v>4.2029872820549107E-3</c:v>
                </c:pt>
                <c:pt idx="46">
                  <c:v>4.0249622980743057E-3</c:v>
                </c:pt>
                <c:pt idx="47">
                  <c:v>3.6363885349627945E-3</c:v>
                </c:pt>
                <c:pt idx="48">
                  <c:v>3.4315456848056248E-3</c:v>
                </c:pt>
                <c:pt idx="49">
                  <c:v>3.1068783261999711E-3</c:v>
                </c:pt>
                <c:pt idx="50">
                  <c:v>2.8529644868686603E-3</c:v>
                </c:pt>
                <c:pt idx="51">
                  <c:v>2.7588166588019946E-3</c:v>
                </c:pt>
                <c:pt idx="52">
                  <c:v>2.5317206856472494E-3</c:v>
                </c:pt>
                <c:pt idx="53">
                  <c:v>2.3223130923110897E-3</c:v>
                </c:pt>
                <c:pt idx="54">
                  <c:v>2.2686773599579586E-3</c:v>
                </c:pt>
                <c:pt idx="55">
                  <c:v>2.0906523759773544E-3</c:v>
                </c:pt>
                <c:pt idx="56">
                  <c:v>1.9771043893999818E-3</c:v>
                </c:pt>
                <c:pt idx="57">
                  <c:v>1.7494378233478625E-3</c:v>
                </c:pt>
                <c:pt idx="58">
                  <c:v>1.6336074651809949E-3</c:v>
                </c:pt>
                <c:pt idx="59">
                  <c:v>1.5485891234723089E-3</c:v>
                </c:pt>
                <c:pt idx="60">
                  <c:v>1.4972357627086729E-3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8.0912727879091859E-2</c:v>
                </c:pt>
                <c:pt idx="1">
                  <c:v>9.1303127978166226E-2</c:v>
                </c:pt>
                <c:pt idx="2">
                  <c:v>8.6706750476409508E-2</c:v>
                </c:pt>
                <c:pt idx="3">
                  <c:v>7.5905497949717585E-2</c:v>
                </c:pt>
                <c:pt idx="4">
                  <c:v>6.4167996250330803E-2</c:v>
                </c:pt>
                <c:pt idx="5">
                  <c:v>5.2036889331245992E-2</c:v>
                </c:pt>
                <c:pt idx="6">
                  <c:v>4.4621435091380113E-2</c:v>
                </c:pt>
                <c:pt idx="7">
                  <c:v>4.4477058463046108E-2</c:v>
                </c:pt>
                <c:pt idx="8">
                  <c:v>4.3245859156832663E-2</c:v>
                </c:pt>
                <c:pt idx="9">
                  <c:v>3.4026583671781234E-2</c:v>
                </c:pt>
                <c:pt idx="10">
                  <c:v>3.5009658493792117E-2</c:v>
                </c:pt>
                <c:pt idx="11">
                  <c:v>4.0050703933183968E-2</c:v>
                </c:pt>
                <c:pt idx="12">
                  <c:v>2.8866366031972273E-2</c:v>
                </c:pt>
                <c:pt idx="13">
                  <c:v>2.580716704165038E-2</c:v>
                </c:pt>
                <c:pt idx="14">
                  <c:v>2.6516295461766592E-2</c:v>
                </c:pt>
                <c:pt idx="15">
                  <c:v>2.0227806959204602E-2</c:v>
                </c:pt>
                <c:pt idx="16">
                  <c:v>1.8851430451695649E-2</c:v>
                </c:pt>
                <c:pt idx="17">
                  <c:v>1.2939894027461821E-2</c:v>
                </c:pt>
                <c:pt idx="18">
                  <c:v>2.2310136942476542E-2</c:v>
                </c:pt>
                <c:pt idx="19">
                  <c:v>1.3845289561729443E-2</c:v>
                </c:pt>
                <c:pt idx="20">
                  <c:v>1.0962317479190109E-2</c:v>
                </c:pt>
                <c:pt idx="21">
                  <c:v>1.5298868486845018E-2</c:v>
                </c:pt>
                <c:pt idx="22">
                  <c:v>9.3395473420575924E-3</c:v>
                </c:pt>
                <c:pt idx="23">
                  <c:v>7.891797692759368E-3</c:v>
                </c:pt>
                <c:pt idx="24">
                  <c:v>1.2123084813101417E-2</c:v>
                </c:pt>
                <c:pt idx="25">
                  <c:v>6.9154614967849547E-3</c:v>
                </c:pt>
                <c:pt idx="26">
                  <c:v>9.7378754777342844E-3</c:v>
                </c:pt>
                <c:pt idx="27">
                  <c:v>7.4765873033323018E-3</c:v>
                </c:pt>
                <c:pt idx="28">
                  <c:v>8.9860416499755302E-3</c:v>
                </c:pt>
                <c:pt idx="29">
                  <c:v>5.8155838406954725E-3</c:v>
                </c:pt>
                <c:pt idx="30">
                  <c:v>4.710842821646289E-3</c:v>
                </c:pt>
                <c:pt idx="31">
                  <c:v>6.677349675166624E-3</c:v>
                </c:pt>
                <c:pt idx="32">
                  <c:v>4.7597291719255058E-3</c:v>
                </c:pt>
                <c:pt idx="33">
                  <c:v>2.1325319835676921E-3</c:v>
                </c:pt>
                <c:pt idx="34">
                  <c:v>3.5626824693750238E-3</c:v>
                </c:pt>
                <c:pt idx="35">
                  <c:v>3.1249528050200357E-3</c:v>
                </c:pt>
                <c:pt idx="36">
                  <c:v>3.301975181079718E-3</c:v>
                </c:pt>
                <c:pt idx="37">
                  <c:v>8.5096405092770883E-4</c:v>
                </c:pt>
                <c:pt idx="38">
                  <c:v>1.3898815943348059E-3</c:v>
                </c:pt>
                <c:pt idx="39">
                  <c:v>1.3911076324033458E-3</c:v>
                </c:pt>
                <c:pt idx="40">
                  <c:v>1.6853015173307526E-3</c:v>
                </c:pt>
                <c:pt idx="41">
                  <c:v>9.8674976368079989E-4</c:v>
                </c:pt>
                <c:pt idx="42">
                  <c:v>1.052793547175569E-3</c:v>
                </c:pt>
                <c:pt idx="43">
                  <c:v>1.3330096975362269E-3</c:v>
                </c:pt>
                <c:pt idx="44">
                  <c:v>6.735012574026817E-4</c:v>
                </c:pt>
                <c:pt idx="45">
                  <c:v>1.1462896329019413E-3</c:v>
                </c:pt>
                <c:pt idx="46">
                  <c:v>5.7250958329862242E-4</c:v>
                </c:pt>
                <c:pt idx="47">
                  <c:v>6.9027393167036709E-4</c:v>
                </c:pt>
                <c:pt idx="48">
                  <c:v>5.4604178617758358E-4</c:v>
                </c:pt>
                <c:pt idx="49">
                  <c:v>3.7415925808742306E-4</c:v>
                </c:pt>
                <c:pt idx="50">
                  <c:v>4.8027068012665447E-4</c:v>
                </c:pt>
                <c:pt idx="51">
                  <c:v>1.1123009380249876E-3</c:v>
                </c:pt>
                <c:pt idx="52">
                  <c:v>0</c:v>
                </c:pt>
                <c:pt idx="53">
                  <c:v>5.0574382146195466E-5</c:v>
                </c:pt>
                <c:pt idx="54">
                  <c:v>3.0317288067595891E-5</c:v>
                </c:pt>
                <c:pt idx="55">
                  <c:v>4.8849889507281662E-4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3.8310312963253387E-5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8.6994824713041444E-2</c:v>
                </c:pt>
                <c:pt idx="1">
                  <c:v>9.1885755245303027E-2</c:v>
                </c:pt>
                <c:pt idx="2">
                  <c:v>8.6792019563722123E-2</c:v>
                </c:pt>
                <c:pt idx="3">
                  <c:v>7.407323948498222E-2</c:v>
                </c:pt>
                <c:pt idx="4">
                  <c:v>6.40703315381322E-2</c:v>
                </c:pt>
                <c:pt idx="5">
                  <c:v>5.7791956254178163E-2</c:v>
                </c:pt>
                <c:pt idx="6">
                  <c:v>4.9102453083872268E-2</c:v>
                </c:pt>
                <c:pt idx="7">
                  <c:v>4.4929388397613984E-2</c:v>
                </c:pt>
                <c:pt idx="8">
                  <c:v>4.2909921249365567E-2</c:v>
                </c:pt>
                <c:pt idx="9">
                  <c:v>4.320930027931312E-2</c:v>
                </c:pt>
                <c:pt idx="10">
                  <c:v>4.1759619026771354E-2</c:v>
                </c:pt>
                <c:pt idx="11">
                  <c:v>3.7406283096673675E-2</c:v>
                </c:pt>
                <c:pt idx="12">
                  <c:v>3.4638904895115404E-2</c:v>
                </c:pt>
                <c:pt idx="13">
                  <c:v>2.9755485664680465E-2</c:v>
                </c:pt>
                <c:pt idx="14">
                  <c:v>2.6315309428078748E-2</c:v>
                </c:pt>
                <c:pt idx="15">
                  <c:v>2.3440626914711313E-2</c:v>
                </c:pt>
                <c:pt idx="16">
                  <c:v>2.0979066001809151E-2</c:v>
                </c:pt>
                <c:pt idx="17">
                  <c:v>1.8030343513293395E-2</c:v>
                </c:pt>
                <c:pt idx="18">
                  <c:v>1.6076331995248563E-2</c:v>
                </c:pt>
                <c:pt idx="19">
                  <c:v>1.3497809382474416E-2</c:v>
                </c:pt>
                <c:pt idx="20">
                  <c:v>1.1572770028618061E-2</c:v>
                </c:pt>
                <c:pt idx="21">
                  <c:v>1.0166010500799953E-2</c:v>
                </c:pt>
                <c:pt idx="22">
                  <c:v>9.0425343561580333E-3</c:v>
                </c:pt>
                <c:pt idx="23">
                  <c:v>7.7795626061642033E-3</c:v>
                </c:pt>
                <c:pt idx="24">
                  <c:v>7.0960341399398455E-3</c:v>
                </c:pt>
                <c:pt idx="25">
                  <c:v>6.5359056322960227E-3</c:v>
                </c:pt>
                <c:pt idx="26">
                  <c:v>5.9714849521798332E-3</c:v>
                </c:pt>
                <c:pt idx="27">
                  <c:v>5.555144222360287E-3</c:v>
                </c:pt>
                <c:pt idx="28">
                  <c:v>4.9177566102138678E-3</c:v>
                </c:pt>
                <c:pt idx="29">
                  <c:v>4.5572141225350858E-3</c:v>
                </c:pt>
                <c:pt idx="30">
                  <c:v>4.0206925634892789E-3</c:v>
                </c:pt>
                <c:pt idx="31">
                  <c:v>3.4895362200339296E-3</c:v>
                </c:pt>
                <c:pt idx="32">
                  <c:v>2.9540877041062141E-3</c:v>
                </c:pt>
                <c:pt idx="33">
                  <c:v>2.3639139891558263E-3</c:v>
                </c:pt>
                <c:pt idx="34">
                  <c:v>1.9540115180448295E-3</c:v>
                </c:pt>
                <c:pt idx="35">
                  <c:v>1.5226481845720006E-3</c:v>
                </c:pt>
                <c:pt idx="36">
                  <c:v>1.1610326537751267E-3</c:v>
                </c:pt>
                <c:pt idx="37">
                  <c:v>1.0129527034784839E-3</c:v>
                </c:pt>
                <c:pt idx="38">
                  <c:v>7.8654060556115327E-4</c:v>
                </c:pt>
                <c:pt idx="39">
                  <c:v>6.4167978461878534E-4</c:v>
                </c:pt>
                <c:pt idx="40">
                  <c:v>6.3524152591023565E-4</c:v>
                </c:pt>
                <c:pt idx="41">
                  <c:v>4.592624545432109E-4</c:v>
                </c:pt>
                <c:pt idx="42">
                  <c:v>3.7771117756824822E-4</c:v>
                </c:pt>
                <c:pt idx="43">
                  <c:v>2.9723294371137714E-4</c:v>
                </c:pt>
                <c:pt idx="44">
                  <c:v>2.6289556393244552E-4</c:v>
                </c:pt>
                <c:pt idx="45">
                  <c:v>2.3606948598015514E-4</c:v>
                </c:pt>
                <c:pt idx="46">
                  <c:v>1.7061385577656668E-4</c:v>
                </c:pt>
                <c:pt idx="47">
                  <c:v>1.6417559706801698E-4</c:v>
                </c:pt>
                <c:pt idx="48">
                  <c:v>9.3354751273970444E-5</c:v>
                </c:pt>
                <c:pt idx="49">
                  <c:v>8.4770406329237526E-5</c:v>
                </c:pt>
                <c:pt idx="50">
                  <c:v>7.5113018266412997E-5</c:v>
                </c:pt>
                <c:pt idx="51">
                  <c:v>8.4770406329237526E-5</c:v>
                </c:pt>
                <c:pt idx="52">
                  <c:v>5.2579112786489098E-5</c:v>
                </c:pt>
                <c:pt idx="53">
                  <c:v>4.0775638487481339E-5</c:v>
                </c:pt>
                <c:pt idx="54">
                  <c:v>3.7556509133206498E-5</c:v>
                </c:pt>
                <c:pt idx="55">
                  <c:v>3.2191293542748428E-5</c:v>
                </c:pt>
                <c:pt idx="56">
                  <c:v>2.8972164188473584E-5</c:v>
                </c:pt>
                <c:pt idx="57">
                  <c:v>2.4679991716107129E-5</c:v>
                </c:pt>
                <c:pt idx="58">
                  <c:v>1.5022603653282599E-5</c:v>
                </c:pt>
                <c:pt idx="59">
                  <c:v>1.1803474299007757E-5</c:v>
                </c:pt>
                <c:pt idx="60">
                  <c:v>1.5022603653282599E-5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760970019592622"/>
          <c:y val="7.8319845435987162E-2"/>
          <c:w val="0.1979930501645040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2.3145538188769402E-3</c:v>
                </c:pt>
                <c:pt idx="3">
                  <c:v>3.2150699549957737E-2</c:v>
                </c:pt>
                <c:pt idx="4">
                  <c:v>2.7788623719848304E-2</c:v>
                </c:pt>
                <c:pt idx="5">
                  <c:v>4.9894351574052878E-2</c:v>
                </c:pt>
                <c:pt idx="6">
                  <c:v>5.8667883876028844E-2</c:v>
                </c:pt>
                <c:pt idx="7">
                  <c:v>4.2152998686408934E-2</c:v>
                </c:pt>
                <c:pt idx="8">
                  <c:v>4.4658586405595689E-2</c:v>
                </c:pt>
                <c:pt idx="9">
                  <c:v>3.2534472826645469E-2</c:v>
                </c:pt>
                <c:pt idx="10">
                  <c:v>3.6248107716940661E-2</c:v>
                </c:pt>
                <c:pt idx="11">
                  <c:v>3.97871232479775E-2</c:v>
                </c:pt>
                <c:pt idx="12">
                  <c:v>3.0576189957803153E-2</c:v>
                </c:pt>
                <c:pt idx="13">
                  <c:v>3.2449283486448481E-2</c:v>
                </c:pt>
                <c:pt idx="14">
                  <c:v>2.8468256839609234E-2</c:v>
                </c:pt>
                <c:pt idx="15">
                  <c:v>2.2909063404610845E-2</c:v>
                </c:pt>
                <c:pt idx="16">
                  <c:v>2.5639988074578665E-2</c:v>
                </c:pt>
                <c:pt idx="17">
                  <c:v>2.5112137853443597E-2</c:v>
                </c:pt>
                <c:pt idx="18">
                  <c:v>2.338198233243469E-2</c:v>
                </c:pt>
                <c:pt idx="19">
                  <c:v>2.9143286441596649E-2</c:v>
                </c:pt>
                <c:pt idx="20">
                  <c:v>2.3418835670391942E-2</c:v>
                </c:pt>
                <c:pt idx="21">
                  <c:v>2.2562467427234792E-2</c:v>
                </c:pt>
                <c:pt idx="22">
                  <c:v>1.9490430132834566E-2</c:v>
                </c:pt>
                <c:pt idx="23">
                  <c:v>1.4569561242574667E-2</c:v>
                </c:pt>
                <c:pt idx="24">
                  <c:v>1.5184132508564874E-2</c:v>
                </c:pt>
                <c:pt idx="25">
                  <c:v>1.8998893807025657E-2</c:v>
                </c:pt>
                <c:pt idx="26">
                  <c:v>1.6643997236511745E-2</c:v>
                </c:pt>
                <c:pt idx="27">
                  <c:v>1.7598625684040296E-2</c:v>
                </c:pt>
                <c:pt idx="28">
                  <c:v>9.4137015071566743E-3</c:v>
                </c:pt>
                <c:pt idx="29">
                  <c:v>1.2454997641757797E-2</c:v>
                </c:pt>
                <c:pt idx="30">
                  <c:v>1.1655680217877931E-2</c:v>
                </c:pt>
                <c:pt idx="31">
                  <c:v>1.4737777212300051E-2</c:v>
                </c:pt>
                <c:pt idx="32">
                  <c:v>7.7368854905781534E-3</c:v>
                </c:pt>
                <c:pt idx="33">
                  <c:v>1.6406806665283508E-2</c:v>
                </c:pt>
                <c:pt idx="34">
                  <c:v>7.4948835219828354E-3</c:v>
                </c:pt>
                <c:pt idx="35">
                  <c:v>1.2071128044300392E-2</c:v>
                </c:pt>
                <c:pt idx="36">
                  <c:v>8.4741361146499963E-3</c:v>
                </c:pt>
                <c:pt idx="37">
                  <c:v>8.3796138469923141E-3</c:v>
                </c:pt>
                <c:pt idx="38">
                  <c:v>8.0314753301420176E-3</c:v>
                </c:pt>
                <c:pt idx="39">
                  <c:v>1.0943858127958148E-2</c:v>
                </c:pt>
                <c:pt idx="40">
                  <c:v>9.0551020142309851E-3</c:v>
                </c:pt>
                <c:pt idx="41">
                  <c:v>7.4546575834919726E-3</c:v>
                </c:pt>
                <c:pt idx="42">
                  <c:v>1.1274921863920359E-2</c:v>
                </c:pt>
                <c:pt idx="43">
                  <c:v>7.4349877455149619E-3</c:v>
                </c:pt>
                <c:pt idx="44">
                  <c:v>6.688718574253137E-3</c:v>
                </c:pt>
                <c:pt idx="45">
                  <c:v>6.6022045655899867E-3</c:v>
                </c:pt>
                <c:pt idx="46">
                  <c:v>5.5762886273494402E-3</c:v>
                </c:pt>
                <c:pt idx="47">
                  <c:v>5.2030864891688599E-3</c:v>
                </c:pt>
                <c:pt idx="48">
                  <c:v>3.285258957465181E-3</c:v>
                </c:pt>
                <c:pt idx="49">
                  <c:v>5.260813649794153E-3</c:v>
                </c:pt>
                <c:pt idx="50">
                  <c:v>8.4919743243764591E-3</c:v>
                </c:pt>
                <c:pt idx="51">
                  <c:v>3.109313483864447E-3</c:v>
                </c:pt>
                <c:pt idx="52">
                  <c:v>3.0856534564588311E-3</c:v>
                </c:pt>
                <c:pt idx="53">
                  <c:v>3.4833161368624087E-3</c:v>
                </c:pt>
                <c:pt idx="54">
                  <c:v>3.0629542710287824E-3</c:v>
                </c:pt>
                <c:pt idx="55">
                  <c:v>2.6509851871836447E-3</c:v>
                </c:pt>
                <c:pt idx="56">
                  <c:v>1.7288929721671299E-3</c:v>
                </c:pt>
                <c:pt idx="57">
                  <c:v>4.2526699730927823E-3</c:v>
                </c:pt>
                <c:pt idx="58">
                  <c:v>1.5236197734707542E-3</c:v>
                </c:pt>
                <c:pt idx="59">
                  <c:v>2.4475967326195286E-3</c:v>
                </c:pt>
                <c:pt idx="60">
                  <c:v>3.6112350884513226E-3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9.1315969349596376E-4</c:v>
                </c:pt>
                <c:pt idx="1">
                  <c:v>2.2205554285787864E-2</c:v>
                </c:pt>
                <c:pt idx="2">
                  <c:v>8.537131047536884E-3</c:v>
                </c:pt>
                <c:pt idx="3">
                  <c:v>1.3587945004394112E-2</c:v>
                </c:pt>
                <c:pt idx="4">
                  <c:v>2.3051112262844058E-2</c:v>
                </c:pt>
                <c:pt idx="5">
                  <c:v>3.0582801908729099E-2</c:v>
                </c:pt>
                <c:pt idx="6">
                  <c:v>3.7164848395103062E-2</c:v>
                </c:pt>
                <c:pt idx="7">
                  <c:v>3.8339830609413379E-2</c:v>
                </c:pt>
                <c:pt idx="8">
                  <c:v>3.6841862416557486E-2</c:v>
                </c:pt>
                <c:pt idx="9">
                  <c:v>3.4621736205225934E-2</c:v>
                </c:pt>
                <c:pt idx="10">
                  <c:v>3.3719306942910886E-2</c:v>
                </c:pt>
                <c:pt idx="11">
                  <c:v>3.2459554322271329E-2</c:v>
                </c:pt>
                <c:pt idx="12">
                  <c:v>3.1723446743260483E-2</c:v>
                </c:pt>
                <c:pt idx="13">
                  <c:v>2.9882104752615275E-2</c:v>
                </c:pt>
                <c:pt idx="14">
                  <c:v>2.9411038823773057E-2</c:v>
                </c:pt>
                <c:pt idx="15">
                  <c:v>2.8261809644296938E-2</c:v>
                </c:pt>
                <c:pt idx="16">
                  <c:v>2.7088973516222803E-2</c:v>
                </c:pt>
                <c:pt idx="17">
                  <c:v>2.6483777197619133E-2</c:v>
                </c:pt>
                <c:pt idx="18">
                  <c:v>2.5771276567206299E-2</c:v>
                </c:pt>
                <c:pt idx="19">
                  <c:v>2.4611316956549265E-2</c:v>
                </c:pt>
                <c:pt idx="20">
                  <c:v>2.4311937926601704E-2</c:v>
                </c:pt>
                <c:pt idx="21">
                  <c:v>2.3338687818492611E-2</c:v>
                </c:pt>
                <c:pt idx="22">
                  <c:v>2.2957757511570087E-2</c:v>
                </c:pt>
                <c:pt idx="23">
                  <c:v>2.1984507403460994E-2</c:v>
                </c:pt>
                <c:pt idx="24">
                  <c:v>2.1103539003507778E-2</c:v>
                </c:pt>
                <c:pt idx="25">
                  <c:v>1.9810522046207382E-2</c:v>
                </c:pt>
                <c:pt idx="26">
                  <c:v>1.8702068505218744E-2</c:v>
                </c:pt>
                <c:pt idx="27">
                  <c:v>1.7771740121833315E-2</c:v>
                </c:pt>
                <c:pt idx="28">
                  <c:v>1.6738399599111092E-2</c:v>
                </c:pt>
                <c:pt idx="29">
                  <c:v>1.6540959665382233E-2</c:v>
                </c:pt>
                <c:pt idx="30">
                  <c:v>1.563316518747673E-2</c:v>
                </c:pt>
                <c:pt idx="31">
                  <c:v>1.4758635046232062E-2</c:v>
                </c:pt>
                <c:pt idx="32">
                  <c:v>1.4217821314713889E-2</c:v>
                </c:pt>
                <c:pt idx="33">
                  <c:v>1.3317538138635026E-2</c:v>
                </c:pt>
                <c:pt idx="34">
                  <c:v>1.2864713942800364E-2</c:v>
                </c:pt>
                <c:pt idx="35">
                  <c:v>1.2309950650747E-2</c:v>
                </c:pt>
                <c:pt idx="36">
                  <c:v>1.1562039597437145E-2</c:v>
                </c:pt>
                <c:pt idx="37">
                  <c:v>1.0632784257169806E-2</c:v>
                </c:pt>
                <c:pt idx="38">
                  <c:v>1.0368815650119269E-2</c:v>
                </c:pt>
                <c:pt idx="39">
                  <c:v>9.6455845885255204E-3</c:v>
                </c:pt>
                <c:pt idx="40">
                  <c:v>8.7528127142732972E-3</c:v>
                </c:pt>
                <c:pt idx="41">
                  <c:v>8.1529816112600861E-3</c:v>
                </c:pt>
                <c:pt idx="42">
                  <c:v>7.6905000273625995E-3</c:v>
                </c:pt>
                <c:pt idx="43">
                  <c:v>7.3042045048496186E-3</c:v>
                </c:pt>
                <c:pt idx="44">
                  <c:v>6.8299194466531245E-3</c:v>
                </c:pt>
                <c:pt idx="45">
                  <c:v>6.3545613453385398E-3</c:v>
                </c:pt>
                <c:pt idx="46">
                  <c:v>6.0305023236748726E-3</c:v>
                </c:pt>
                <c:pt idx="47">
                  <c:v>5.8738380284334962E-3</c:v>
                </c:pt>
                <c:pt idx="48">
                  <c:v>5.1860173897367717E-3</c:v>
                </c:pt>
                <c:pt idx="49">
                  <c:v>4.7686036167991341E-3</c:v>
                </c:pt>
                <c:pt idx="50">
                  <c:v>4.7417775388468439E-3</c:v>
                </c:pt>
                <c:pt idx="51">
                  <c:v>4.4649324143792067E-3</c:v>
                </c:pt>
                <c:pt idx="52">
                  <c:v>4.1054629698185161E-3</c:v>
                </c:pt>
                <c:pt idx="53">
                  <c:v>3.7674543876196577E-3</c:v>
                </c:pt>
                <c:pt idx="54">
                  <c:v>3.6440544290391222E-3</c:v>
                </c:pt>
                <c:pt idx="55">
                  <c:v>3.3790127788704935E-3</c:v>
                </c:pt>
                <c:pt idx="56">
                  <c:v>3.1590389396617125E-3</c:v>
                </c:pt>
                <c:pt idx="57">
                  <c:v>2.8575138234779689E-3</c:v>
                </c:pt>
                <c:pt idx="58">
                  <c:v>2.6450512860958291E-3</c:v>
                </c:pt>
                <c:pt idx="59">
                  <c:v>2.6171521650254471E-3</c:v>
                </c:pt>
                <c:pt idx="60">
                  <c:v>2.2533905479923898E-3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8.7842109656183401E-2</c:v>
                </c:pt>
                <c:pt idx="1">
                  <c:v>0.16611085873738229</c:v>
                </c:pt>
                <c:pt idx="2">
                  <c:v>0.16719356717711145</c:v>
                </c:pt>
                <c:pt idx="3">
                  <c:v>0.11567569759573523</c:v>
                </c:pt>
                <c:pt idx="4">
                  <c:v>0.10556044671312723</c:v>
                </c:pt>
                <c:pt idx="5">
                  <c:v>7.3291932515096955E-2</c:v>
                </c:pt>
                <c:pt idx="6">
                  <c:v>5.9459225336464631E-2</c:v>
                </c:pt>
                <c:pt idx="7">
                  <c:v>5.424893892329969E-2</c:v>
                </c:pt>
                <c:pt idx="8">
                  <c:v>2.4064385762853361E-2</c:v>
                </c:pt>
                <c:pt idx="9">
                  <c:v>2.1251793157441516E-2</c:v>
                </c:pt>
                <c:pt idx="10">
                  <c:v>1.7769470478229722E-2</c:v>
                </c:pt>
                <c:pt idx="11">
                  <c:v>2.1191814822605133E-2</c:v>
                </c:pt>
                <c:pt idx="12">
                  <c:v>8.4419480549545924E-3</c:v>
                </c:pt>
                <c:pt idx="13">
                  <c:v>6.488227258107852E-3</c:v>
                </c:pt>
                <c:pt idx="14">
                  <c:v>1.6631591215864539E-2</c:v>
                </c:pt>
                <c:pt idx="15">
                  <c:v>1.191585137786599E-2</c:v>
                </c:pt>
                <c:pt idx="16">
                  <c:v>5.3492929579783792E-3</c:v>
                </c:pt>
                <c:pt idx="17">
                  <c:v>8.3967300645782627E-3</c:v>
                </c:pt>
                <c:pt idx="18">
                  <c:v>1.8604936215531225E-3</c:v>
                </c:pt>
                <c:pt idx="19">
                  <c:v>1.8489976972510687E-3</c:v>
                </c:pt>
                <c:pt idx="20">
                  <c:v>4.1171775354502489E-3</c:v>
                </c:pt>
                <c:pt idx="21">
                  <c:v>1.1511961388212708E-3</c:v>
                </c:pt>
                <c:pt idx="22">
                  <c:v>2.6112123217140351E-3</c:v>
                </c:pt>
                <c:pt idx="23">
                  <c:v>4.1666406940727238E-4</c:v>
                </c:pt>
                <c:pt idx="24">
                  <c:v>1.2487455247150196E-3</c:v>
                </c:pt>
                <c:pt idx="25">
                  <c:v>3.5296426235486584E-3</c:v>
                </c:pt>
                <c:pt idx="26">
                  <c:v>5.223146706393139E-4</c:v>
                </c:pt>
                <c:pt idx="27">
                  <c:v>2.073101339982922E-3</c:v>
                </c:pt>
                <c:pt idx="28">
                  <c:v>7.668684648646654E-4</c:v>
                </c:pt>
                <c:pt idx="29">
                  <c:v>1.9115701589333986E-3</c:v>
                </c:pt>
                <c:pt idx="30">
                  <c:v>3.8254797336775958E-3</c:v>
                </c:pt>
                <c:pt idx="31">
                  <c:v>1.4573776298674508E-4</c:v>
                </c:pt>
                <c:pt idx="32">
                  <c:v>0</c:v>
                </c:pt>
                <c:pt idx="33">
                  <c:v>4.2905449049284046E-4</c:v>
                </c:pt>
                <c:pt idx="34">
                  <c:v>2.6090846210822372E-4</c:v>
                </c:pt>
                <c:pt idx="35">
                  <c:v>2.6490958559066609E-4</c:v>
                </c:pt>
                <c:pt idx="36">
                  <c:v>1.5083566393286089E-3</c:v>
                </c:pt>
                <c:pt idx="37">
                  <c:v>2.3137462189297753E-4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1.4716156401389866E-4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2.4515116814711725E-4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0.14566402503659584</c:v>
                </c:pt>
                <c:pt idx="1">
                  <c:v>0.20735954772601081</c:v>
                </c:pt>
                <c:pt idx="2">
                  <c:v>0.15489711103259132</c:v>
                </c:pt>
                <c:pt idx="3">
                  <c:v>9.8665724429189167E-2</c:v>
                </c:pt>
                <c:pt idx="4">
                  <c:v>6.4101593390877121E-2</c:v>
                </c:pt>
                <c:pt idx="5">
                  <c:v>4.7982602258004811E-2</c:v>
                </c:pt>
                <c:pt idx="6">
                  <c:v>3.9136506654552185E-2</c:v>
                </c:pt>
                <c:pt idx="7">
                  <c:v>3.2919421870004878E-2</c:v>
                </c:pt>
                <c:pt idx="8">
                  <c:v>2.9049517944576244E-2</c:v>
                </c:pt>
                <c:pt idx="9">
                  <c:v>2.5524540238587991E-2</c:v>
                </c:pt>
                <c:pt idx="10">
                  <c:v>2.1768209580536067E-2</c:v>
                </c:pt>
                <c:pt idx="11">
                  <c:v>1.9193882186663975E-2</c:v>
                </c:pt>
                <c:pt idx="12">
                  <c:v>1.6981306681473254E-2</c:v>
                </c:pt>
                <c:pt idx="13">
                  <c:v>1.4402772870290915E-2</c:v>
                </c:pt>
                <c:pt idx="14">
                  <c:v>1.1971463664967274E-2</c:v>
                </c:pt>
                <c:pt idx="15">
                  <c:v>1.0726364141133713E-2</c:v>
                </c:pt>
                <c:pt idx="16">
                  <c:v>9.1110998939982844E-3</c:v>
                </c:pt>
                <c:pt idx="17">
                  <c:v>7.8744132047852203E-3</c:v>
                </c:pt>
                <c:pt idx="18">
                  <c:v>6.5115339962647017E-3</c:v>
                </c:pt>
                <c:pt idx="19">
                  <c:v>5.5608836841485373E-3</c:v>
                </c:pt>
                <c:pt idx="20">
                  <c:v>4.8289670721652954E-3</c:v>
                </c:pt>
                <c:pt idx="21">
                  <c:v>4.0886376255615565E-3</c:v>
                </c:pt>
                <c:pt idx="22">
                  <c:v>3.5165648713677586E-3</c:v>
                </c:pt>
                <c:pt idx="23">
                  <c:v>2.8729830228997359E-3</c:v>
                </c:pt>
                <c:pt idx="24">
                  <c:v>2.2041626705702221E-3</c:v>
                </c:pt>
                <c:pt idx="25">
                  <c:v>1.8970942069220804E-3</c:v>
                </c:pt>
                <c:pt idx="26">
                  <c:v>1.640502750996921E-3</c:v>
                </c:pt>
                <c:pt idx="27">
                  <c:v>1.3124022007975366E-3</c:v>
                </c:pt>
                <c:pt idx="28">
                  <c:v>1.257718775764306E-3</c:v>
                </c:pt>
                <c:pt idx="29">
                  <c:v>1.1483519256978447E-3</c:v>
                </c:pt>
                <c:pt idx="30">
                  <c:v>9.6326956404690998E-4</c:v>
                </c:pt>
                <c:pt idx="31">
                  <c:v>7.6977436777547824E-4</c:v>
                </c:pt>
                <c:pt idx="32">
                  <c:v>7.0247169081150205E-4</c:v>
                </c:pt>
                <c:pt idx="33">
                  <c:v>5.5524708495280405E-4</c:v>
                </c:pt>
                <c:pt idx="34">
                  <c:v>5.5945350226305256E-4</c:v>
                </c:pt>
                <c:pt idx="35">
                  <c:v>3.7016472330186933E-4</c:v>
                </c:pt>
                <c:pt idx="36">
                  <c:v>3.0286204633789309E-4</c:v>
                </c:pt>
                <c:pt idx="37">
                  <c:v>2.6079787323540792E-4</c:v>
                </c:pt>
                <c:pt idx="38">
                  <c:v>1.977016135816802E-4</c:v>
                </c:pt>
                <c:pt idx="39">
                  <c:v>2.0190803089192874E-4</c:v>
                </c:pt>
                <c:pt idx="40">
                  <c:v>1.3881177123820101E-4</c:v>
                </c:pt>
                <c:pt idx="41">
                  <c:v>1.0936685006646139E-4</c:v>
                </c:pt>
                <c:pt idx="42">
                  <c:v>8.8334763515218821E-5</c:v>
                </c:pt>
                <c:pt idx="43">
                  <c:v>8.4128346204970309E-5</c:v>
                </c:pt>
                <c:pt idx="44">
                  <c:v>9.6747598135715843E-5</c:v>
                </c:pt>
                <c:pt idx="45">
                  <c:v>5.8889842343479214E-5</c:v>
                </c:pt>
                <c:pt idx="46">
                  <c:v>5.8889842343479214E-5</c:v>
                </c:pt>
                <c:pt idx="47">
                  <c:v>5.4683425033230696E-5</c:v>
                </c:pt>
                <c:pt idx="48">
                  <c:v>4.6270590412733666E-5</c:v>
                </c:pt>
                <c:pt idx="49">
                  <c:v>2.5238503861491092E-5</c:v>
                </c:pt>
                <c:pt idx="50">
                  <c:v>2.5238503861491092E-5</c:v>
                </c:pt>
                <c:pt idx="51">
                  <c:v>3.3651338481988118E-5</c:v>
                </c:pt>
                <c:pt idx="52">
                  <c:v>8.4128346204970296E-6</c:v>
                </c:pt>
                <c:pt idx="53">
                  <c:v>2.1032086551242577E-5</c:v>
                </c:pt>
                <c:pt idx="54">
                  <c:v>3.3651338481988118E-5</c:v>
                </c:pt>
                <c:pt idx="55">
                  <c:v>4.2064173102485148E-6</c:v>
                </c:pt>
                <c:pt idx="56">
                  <c:v>2.1032086551242577E-5</c:v>
                </c:pt>
                <c:pt idx="57">
                  <c:v>8.4128346204970296E-6</c:v>
                </c:pt>
                <c:pt idx="58">
                  <c:v>8.4128346204970296E-6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3648293963254596"/>
          <c:y val="7.8319845435987162E-2"/>
          <c:w val="0.21911981072788436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7.7957205832716965E-3</c:v>
                </c:pt>
                <c:pt idx="3">
                  <c:v>5.9669778598662231E-2</c:v>
                </c:pt>
                <c:pt idx="4">
                  <c:v>7.3012370723250883E-2</c:v>
                </c:pt>
                <c:pt idx="5">
                  <c:v>9.0934661973854677E-2</c:v>
                </c:pt>
                <c:pt idx="6">
                  <c:v>0.10101360914631202</c:v>
                </c:pt>
                <c:pt idx="7">
                  <c:v>7.8513213771227899E-2</c:v>
                </c:pt>
                <c:pt idx="8">
                  <c:v>5.9313702729811908E-2</c:v>
                </c:pt>
                <c:pt idx="9">
                  <c:v>6.3863055338697447E-2</c:v>
                </c:pt>
                <c:pt idx="10">
                  <c:v>6.4151368927675298E-2</c:v>
                </c:pt>
                <c:pt idx="11">
                  <c:v>5.8898729589900008E-2</c:v>
                </c:pt>
                <c:pt idx="12">
                  <c:v>4.3700588572278647E-2</c:v>
                </c:pt>
                <c:pt idx="13">
                  <c:v>3.8424891106498923E-2</c:v>
                </c:pt>
                <c:pt idx="14">
                  <c:v>3.7459213459468434E-2</c:v>
                </c:pt>
                <c:pt idx="15">
                  <c:v>3.4417717329862027E-2</c:v>
                </c:pt>
                <c:pt idx="16">
                  <c:v>1.4284926616702892E-2</c:v>
                </c:pt>
                <c:pt idx="17">
                  <c:v>2.7372076569827791E-2</c:v>
                </c:pt>
                <c:pt idx="18">
                  <c:v>1.1248665846075862E-2</c:v>
                </c:pt>
                <c:pt idx="19">
                  <c:v>7.2829531191929541E-3</c:v>
                </c:pt>
                <c:pt idx="20">
                  <c:v>7.6041056274428424E-3</c:v>
                </c:pt>
                <c:pt idx="21">
                  <c:v>5.9069593493920455E-3</c:v>
                </c:pt>
                <c:pt idx="22">
                  <c:v>6.5217413169932105E-3</c:v>
                </c:pt>
                <c:pt idx="23">
                  <c:v>9.0434849719388758E-3</c:v>
                </c:pt>
                <c:pt idx="24">
                  <c:v>7.6314604314518739E-3</c:v>
                </c:pt>
                <c:pt idx="25">
                  <c:v>9.9571258662470522E-3</c:v>
                </c:pt>
                <c:pt idx="26">
                  <c:v>7.889897902235021E-3</c:v>
                </c:pt>
                <c:pt idx="27">
                  <c:v>7.0973704382769846E-3</c:v>
                </c:pt>
                <c:pt idx="28">
                  <c:v>9.532902970111716E-3</c:v>
                </c:pt>
                <c:pt idx="29">
                  <c:v>2.5452408774817616E-3</c:v>
                </c:pt>
                <c:pt idx="30">
                  <c:v>4.7418825619433627E-3</c:v>
                </c:pt>
                <c:pt idx="31">
                  <c:v>1.563946051566875E-3</c:v>
                </c:pt>
                <c:pt idx="32">
                  <c:v>4.4455500768982061E-3</c:v>
                </c:pt>
                <c:pt idx="33">
                  <c:v>6.8908099391718318E-3</c:v>
                </c:pt>
                <c:pt idx="34">
                  <c:v>2.8703690744843976E-3</c:v>
                </c:pt>
                <c:pt idx="35">
                  <c:v>1.9368605515356166E-4</c:v>
                </c:pt>
                <c:pt idx="36">
                  <c:v>0</c:v>
                </c:pt>
                <c:pt idx="37">
                  <c:v>6.1888288604473245E-4</c:v>
                </c:pt>
                <c:pt idx="38">
                  <c:v>1.046686773972641E-3</c:v>
                </c:pt>
                <c:pt idx="39">
                  <c:v>2.9728717200096719E-3</c:v>
                </c:pt>
                <c:pt idx="40">
                  <c:v>3.1574627037686438E-3</c:v>
                </c:pt>
                <c:pt idx="41">
                  <c:v>3.088217073638877E-3</c:v>
                </c:pt>
                <c:pt idx="42">
                  <c:v>4.5967644933799163E-4</c:v>
                </c:pt>
                <c:pt idx="43">
                  <c:v>3.3828346251828251E-3</c:v>
                </c:pt>
                <c:pt idx="44">
                  <c:v>4.8261947291490336E-4</c:v>
                </c:pt>
                <c:pt idx="45">
                  <c:v>0</c:v>
                </c:pt>
                <c:pt idx="46">
                  <c:v>0</c:v>
                </c:pt>
                <c:pt idx="47">
                  <c:v>1.4114834497828431E-4</c:v>
                </c:pt>
                <c:pt idx="48">
                  <c:v>1.9576288652488434E-3</c:v>
                </c:pt>
                <c:pt idx="49">
                  <c:v>2.4915513005738222E-4</c:v>
                </c:pt>
                <c:pt idx="50">
                  <c:v>5.2231467063931412E-4</c:v>
                </c:pt>
                <c:pt idx="51">
                  <c:v>3.9664774643101263E-3</c:v>
                </c:pt>
                <c:pt idx="52">
                  <c:v>0</c:v>
                </c:pt>
                <c:pt idx="53">
                  <c:v>0</c:v>
                </c:pt>
                <c:pt idx="54">
                  <c:v>1.9674266280559115E-3</c:v>
                </c:pt>
                <c:pt idx="55">
                  <c:v>4.0158793650533174E-3</c:v>
                </c:pt>
                <c:pt idx="56">
                  <c:v>0</c:v>
                </c:pt>
                <c:pt idx="57">
                  <c:v>0</c:v>
                </c:pt>
                <c:pt idx="58">
                  <c:v>1.4573776298674513E-4</c:v>
                </c:pt>
                <c:pt idx="59">
                  <c:v>2.6242163902700246E-3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1.0516043275621287E-3</c:v>
                </c:pt>
                <c:pt idx="1">
                  <c:v>2.0607238402907475E-2</c:v>
                </c:pt>
                <c:pt idx="2">
                  <c:v>2.1654636313159357E-2</c:v>
                </c:pt>
                <c:pt idx="3">
                  <c:v>3.9287937677721131E-2</c:v>
                </c:pt>
                <c:pt idx="4">
                  <c:v>6.2713475678495112E-2</c:v>
                </c:pt>
                <c:pt idx="5">
                  <c:v>8.0266855114162164E-2</c:v>
                </c:pt>
                <c:pt idx="6">
                  <c:v>8.4666767620682107E-2</c:v>
                </c:pt>
                <c:pt idx="7">
                  <c:v>7.2968721080880997E-2</c:v>
                </c:pt>
                <c:pt idx="8">
                  <c:v>6.187219221644541E-2</c:v>
                </c:pt>
                <c:pt idx="9">
                  <c:v>5.408190735786516E-2</c:v>
                </c:pt>
                <c:pt idx="10">
                  <c:v>4.1912742079316202E-2</c:v>
                </c:pt>
                <c:pt idx="11">
                  <c:v>3.5712482964009896E-2</c:v>
                </c:pt>
                <c:pt idx="12">
                  <c:v>2.8595224875069405E-2</c:v>
                </c:pt>
                <c:pt idx="13">
                  <c:v>2.7652987397573738E-2</c:v>
                </c:pt>
                <c:pt idx="14">
                  <c:v>2.4796830043914996E-2</c:v>
                </c:pt>
                <c:pt idx="15">
                  <c:v>2.2108929382666197E-2</c:v>
                </c:pt>
                <c:pt idx="16">
                  <c:v>1.9673413760032305E-2</c:v>
                </c:pt>
                <c:pt idx="17">
                  <c:v>1.8928877896118319E-2</c:v>
                </c:pt>
                <c:pt idx="18">
                  <c:v>1.6951861760301515E-2</c:v>
                </c:pt>
                <c:pt idx="19">
                  <c:v>1.5429138693991554E-2</c:v>
                </c:pt>
                <c:pt idx="20">
                  <c:v>1.4659364326216076E-2</c:v>
                </c:pt>
                <c:pt idx="21">
                  <c:v>1.4019988895058301E-2</c:v>
                </c:pt>
                <c:pt idx="22">
                  <c:v>1.3119815590665119E-2</c:v>
                </c:pt>
                <c:pt idx="23">
                  <c:v>1.2493059411438089E-2</c:v>
                </c:pt>
                <c:pt idx="24">
                  <c:v>1.2110275436205475E-2</c:v>
                </c:pt>
                <c:pt idx="25">
                  <c:v>1.1491932091598944E-2</c:v>
                </c:pt>
                <c:pt idx="26">
                  <c:v>1.1239547052984033E-2</c:v>
                </c:pt>
                <c:pt idx="27">
                  <c:v>1.0103814379216933E-2</c:v>
                </c:pt>
                <c:pt idx="28">
                  <c:v>9.2330859959954912E-3</c:v>
                </c:pt>
                <c:pt idx="29">
                  <c:v>9.1279255632392784E-3</c:v>
                </c:pt>
                <c:pt idx="30">
                  <c:v>8.6231554860094553E-3</c:v>
                </c:pt>
                <c:pt idx="31">
                  <c:v>8.2866421011895744E-3</c:v>
                </c:pt>
                <c:pt idx="32">
                  <c:v>7.4916292295526057E-3</c:v>
                </c:pt>
                <c:pt idx="33">
                  <c:v>7.1256709235609844E-3</c:v>
                </c:pt>
                <c:pt idx="34">
                  <c:v>6.5157404135749502E-3</c:v>
                </c:pt>
                <c:pt idx="35">
                  <c:v>6.1624013595140744E-3</c:v>
                </c:pt>
                <c:pt idx="36">
                  <c:v>5.9058099035889152E-3</c:v>
                </c:pt>
                <c:pt idx="37">
                  <c:v>5.6029478572510224E-3</c:v>
                </c:pt>
                <c:pt idx="38">
                  <c:v>5.220163882018407E-3</c:v>
                </c:pt>
                <c:pt idx="39">
                  <c:v>5.236989551259401E-3</c:v>
                </c:pt>
                <c:pt idx="40">
                  <c:v>4.3620547507277098E-3</c:v>
                </c:pt>
                <c:pt idx="41">
                  <c:v>4.1012568774923021E-3</c:v>
                </c:pt>
                <c:pt idx="42">
                  <c:v>3.9372066023926101E-3</c:v>
                </c:pt>
                <c:pt idx="43">
                  <c:v>3.5123584540575101E-3</c:v>
                </c:pt>
                <c:pt idx="44">
                  <c:v>3.4997392021267645E-3</c:v>
                </c:pt>
                <c:pt idx="45">
                  <c:v>3.2810055019938419E-3</c:v>
                </c:pt>
                <c:pt idx="46">
                  <c:v>2.9823498729661972E-3</c:v>
                </c:pt>
                <c:pt idx="47">
                  <c:v>2.7678225901435231E-3</c:v>
                </c:pt>
                <c:pt idx="48">
                  <c:v>2.4439284572543873E-3</c:v>
                </c:pt>
                <c:pt idx="49">
                  <c:v>2.4060707014621507E-3</c:v>
                </c:pt>
                <c:pt idx="50">
                  <c:v>2.2041626705702221E-3</c:v>
                </c:pt>
                <c:pt idx="51">
                  <c:v>1.8718557030605893E-3</c:v>
                </c:pt>
                <c:pt idx="52">
                  <c:v>1.7162182625813942E-3</c:v>
                </c:pt>
                <c:pt idx="53">
                  <c:v>1.9938418050577961E-3</c:v>
                </c:pt>
                <c:pt idx="54">
                  <c:v>1.640502750996921E-3</c:v>
                </c:pt>
                <c:pt idx="55">
                  <c:v>1.560580822102199E-3</c:v>
                </c:pt>
                <c:pt idx="56">
                  <c:v>1.4680396412767318E-3</c:v>
                </c:pt>
                <c:pt idx="57">
                  <c:v>1.2366866892130634E-3</c:v>
                </c:pt>
                <c:pt idx="58">
                  <c:v>1.0389850756313832E-3</c:v>
                </c:pt>
                <c:pt idx="59">
                  <c:v>1.0137465717698921E-3</c:v>
                </c:pt>
                <c:pt idx="60">
                  <c:v>1.0389850756313832E-3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6.2356177382068473E-2</c:v>
                </c:pt>
                <c:pt idx="1">
                  <c:v>0.15369868724475602</c:v>
                </c:pt>
                <c:pt idx="2">
                  <c:v>0.15887904917724982</c:v>
                </c:pt>
                <c:pt idx="3">
                  <c:v>0.12896772116079788</c:v>
                </c:pt>
                <c:pt idx="4">
                  <c:v>8.007372197104605E-2</c:v>
                </c:pt>
                <c:pt idx="5">
                  <c:v>6.0805203562569979E-2</c:v>
                </c:pt>
                <c:pt idx="6">
                  <c:v>5.5620268191252882E-2</c:v>
                </c:pt>
                <c:pt idx="7">
                  <c:v>2.9626335144450049E-2</c:v>
                </c:pt>
                <c:pt idx="8">
                  <c:v>3.3378455441901017E-2</c:v>
                </c:pt>
                <c:pt idx="9">
                  <c:v>3.8434600274968707E-2</c:v>
                </c:pt>
                <c:pt idx="10">
                  <c:v>3.1341091316771409E-2</c:v>
                </c:pt>
                <c:pt idx="11">
                  <c:v>1.825898062080963E-2</c:v>
                </c:pt>
                <c:pt idx="12">
                  <c:v>2.3626216471532641E-2</c:v>
                </c:pt>
                <c:pt idx="13">
                  <c:v>1.8121412576621785E-2</c:v>
                </c:pt>
                <c:pt idx="14">
                  <c:v>1.7755543472282191E-2</c:v>
                </c:pt>
                <c:pt idx="15">
                  <c:v>1.7648934193266089E-2</c:v>
                </c:pt>
                <c:pt idx="16">
                  <c:v>1.463460878958742E-2</c:v>
                </c:pt>
                <c:pt idx="17">
                  <c:v>1.0315355582762599E-2</c:v>
                </c:pt>
                <c:pt idx="18">
                  <c:v>3.8312867090274632E-3</c:v>
                </c:pt>
                <c:pt idx="19">
                  <c:v>4.9071751434422882E-3</c:v>
                </c:pt>
                <c:pt idx="20">
                  <c:v>6.3903583583625962E-3</c:v>
                </c:pt>
                <c:pt idx="21">
                  <c:v>2.3669563907263869E-3</c:v>
                </c:pt>
                <c:pt idx="22">
                  <c:v>2.8229687558671587E-3</c:v>
                </c:pt>
                <c:pt idx="23">
                  <c:v>2.6128483626640308E-3</c:v>
                </c:pt>
                <c:pt idx="24">
                  <c:v>3.4282135092621176E-3</c:v>
                </c:pt>
                <c:pt idx="25">
                  <c:v>2.2534372340592539E-4</c:v>
                </c:pt>
                <c:pt idx="26">
                  <c:v>1.7103259012510527E-3</c:v>
                </c:pt>
                <c:pt idx="27">
                  <c:v>2.2521443183538938E-3</c:v>
                </c:pt>
                <c:pt idx="28">
                  <c:v>1.0336166894435409E-3</c:v>
                </c:pt>
                <c:pt idx="29">
                  <c:v>2.9154022730636798E-3</c:v>
                </c:pt>
                <c:pt idx="30">
                  <c:v>6.5796467113056435E-4</c:v>
                </c:pt>
                <c:pt idx="31">
                  <c:v>3.496546873778851E-4</c:v>
                </c:pt>
                <c:pt idx="32">
                  <c:v>1.8786819295186156E-3</c:v>
                </c:pt>
                <c:pt idx="33">
                  <c:v>1.711938327157227E-3</c:v>
                </c:pt>
                <c:pt idx="34">
                  <c:v>2.5926296564539632E-3</c:v>
                </c:pt>
                <c:pt idx="35">
                  <c:v>9.5523487697984682E-4</c:v>
                </c:pt>
                <c:pt idx="36">
                  <c:v>4.324745756291758E-4</c:v>
                </c:pt>
                <c:pt idx="37">
                  <c:v>3.071583014638757E-4</c:v>
                </c:pt>
                <c:pt idx="38">
                  <c:v>0</c:v>
                </c:pt>
                <c:pt idx="39">
                  <c:v>7.4679616623538221E-4</c:v>
                </c:pt>
                <c:pt idx="40">
                  <c:v>0</c:v>
                </c:pt>
                <c:pt idx="41">
                  <c:v>7.7700629648273008E-4</c:v>
                </c:pt>
                <c:pt idx="42">
                  <c:v>0</c:v>
                </c:pt>
                <c:pt idx="43">
                  <c:v>8.4251834572361702E-5</c:v>
                </c:pt>
                <c:pt idx="44">
                  <c:v>8.9322374523520792E-4</c:v>
                </c:pt>
                <c:pt idx="45">
                  <c:v>8.5074942091959151E-5</c:v>
                </c:pt>
                <c:pt idx="46">
                  <c:v>3.6369795033152702E-4</c:v>
                </c:pt>
                <c:pt idx="47">
                  <c:v>0</c:v>
                </c:pt>
                <c:pt idx="48">
                  <c:v>0</c:v>
                </c:pt>
                <c:pt idx="49">
                  <c:v>1.2520932977465153E-4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0.12602263006928419</c:v>
                </c:pt>
                <c:pt idx="1">
                  <c:v>0.14481197253977809</c:v>
                </c:pt>
                <c:pt idx="2">
                  <c:v>0.13590226617504064</c:v>
                </c:pt>
                <c:pt idx="3">
                  <c:v>0.12039801237513373</c:v>
                </c:pt>
                <c:pt idx="4">
                  <c:v>9.2562491013527842E-2</c:v>
                </c:pt>
                <c:pt idx="5">
                  <c:v>7.0188307716302856E-2</c:v>
                </c:pt>
                <c:pt idx="6">
                  <c:v>4.9922137549684532E-2</c:v>
                </c:pt>
                <c:pt idx="7">
                  <c:v>3.8402394118034117E-2</c:v>
                </c:pt>
                <c:pt idx="8">
                  <c:v>2.9392770367915308E-2</c:v>
                </c:pt>
                <c:pt idx="9">
                  <c:v>2.4279924647669367E-2</c:v>
                </c:pt>
                <c:pt idx="10">
                  <c:v>2.019062287523243E-2</c:v>
                </c:pt>
                <c:pt idx="11">
                  <c:v>1.8180090120607596E-2</c:v>
                </c:pt>
                <c:pt idx="12">
                  <c:v>1.5879553247436874E-2</c:v>
                </c:pt>
                <c:pt idx="13">
                  <c:v>1.3208590945535278E-2</c:v>
                </c:pt>
                <c:pt idx="14">
                  <c:v>1.1619660817031771E-2</c:v>
                </c:pt>
                <c:pt idx="15">
                  <c:v>1.0250061534487339E-2</c:v>
                </c:pt>
                <c:pt idx="16">
                  <c:v>8.6660054247829233E-3</c:v>
                </c:pt>
                <c:pt idx="17">
                  <c:v>7.8666663417320797E-3</c:v>
                </c:pt>
                <c:pt idx="18">
                  <c:v>6.9990909954939697E-3</c:v>
                </c:pt>
                <c:pt idx="19">
                  <c:v>5.736720126529528E-3</c:v>
                </c:pt>
                <c:pt idx="20">
                  <c:v>5.0836016074514E-3</c:v>
                </c:pt>
                <c:pt idx="21">
                  <c:v>4.6912430941246138E-3</c:v>
                </c:pt>
                <c:pt idx="22">
                  <c:v>4.2306483176105612E-3</c:v>
                </c:pt>
                <c:pt idx="23">
                  <c:v>3.7091283061078768E-3</c:v>
                </c:pt>
                <c:pt idx="24">
                  <c:v>3.3923170841669934E-3</c:v>
                </c:pt>
                <c:pt idx="25">
                  <c:v>3.1291200690161062E-3</c:v>
                </c:pt>
                <c:pt idx="26">
                  <c:v>2.6685252925020531E-3</c:v>
                </c:pt>
                <c:pt idx="27">
                  <c:v>2.4784385593375233E-3</c:v>
                </c:pt>
                <c:pt idx="28">
                  <c:v>2.3175959389675365E-3</c:v>
                </c:pt>
                <c:pt idx="29">
                  <c:v>2.0154067734239251E-3</c:v>
                </c:pt>
                <c:pt idx="30">
                  <c:v>1.813134993261669E-3</c:v>
                </c:pt>
                <c:pt idx="31">
                  <c:v>1.6766624668871348E-3</c:v>
                </c:pt>
                <c:pt idx="32">
                  <c:v>1.4085914329371569E-3</c:v>
                </c:pt>
                <c:pt idx="33">
                  <c:v>1.208756662174446E-3</c:v>
                </c:pt>
                <c:pt idx="34">
                  <c:v>1.1624534835830863E-3</c:v>
                </c:pt>
                <c:pt idx="35">
                  <c:v>9.8211478801673744E-4</c:v>
                </c:pt>
                <c:pt idx="36">
                  <c:v>7.6522095145720973E-4</c:v>
                </c:pt>
                <c:pt idx="37">
                  <c:v>7.0916973526766896E-4</c:v>
                </c:pt>
                <c:pt idx="38">
                  <c:v>5.9950431228813247E-4</c:v>
                </c:pt>
                <c:pt idx="39">
                  <c:v>5.5807515249586316E-4</c:v>
                </c:pt>
                <c:pt idx="40">
                  <c:v>5.5807515249586316E-4</c:v>
                </c:pt>
                <c:pt idx="41">
                  <c:v>4.6790580471268875E-4</c:v>
                </c:pt>
                <c:pt idx="42">
                  <c:v>4.6790580471268875E-4</c:v>
                </c:pt>
                <c:pt idx="43">
                  <c:v>4.3866169191814574E-4</c:v>
                </c:pt>
                <c:pt idx="44">
                  <c:v>3.9479552272633116E-4</c:v>
                </c:pt>
                <c:pt idx="45">
                  <c:v>3.16811221940883E-4</c:v>
                </c:pt>
                <c:pt idx="46">
                  <c:v>3.0706318434270202E-4</c:v>
                </c:pt>
                <c:pt idx="47">
                  <c:v>2.3151589295679914E-4</c:v>
                </c:pt>
                <c:pt idx="48">
                  <c:v>2.3395290235634438E-4</c:v>
                </c:pt>
                <c:pt idx="49">
                  <c:v>2.0227178016225608E-4</c:v>
                </c:pt>
                <c:pt idx="50">
                  <c:v>2.1445682715998235E-4</c:v>
                </c:pt>
                <c:pt idx="51">
                  <c:v>1.0722841357999117E-4</c:v>
                </c:pt>
                <c:pt idx="52">
                  <c:v>1.3159850757544372E-4</c:v>
                </c:pt>
                <c:pt idx="53">
                  <c:v>1.3159850757544372E-4</c:v>
                </c:pt>
                <c:pt idx="54">
                  <c:v>1.1697645117817219E-4</c:v>
                </c:pt>
                <c:pt idx="55">
                  <c:v>1.0235439478090067E-4</c:v>
                </c:pt>
                <c:pt idx="56">
                  <c:v>8.7732338383629148E-5</c:v>
                </c:pt>
                <c:pt idx="57">
                  <c:v>9.0169347783174394E-5</c:v>
                </c:pt>
                <c:pt idx="58">
                  <c:v>4.874018799090508E-5</c:v>
                </c:pt>
                <c:pt idx="59">
                  <c:v>5.8488225589086094E-5</c:v>
                </c:pt>
                <c:pt idx="60">
                  <c:v>2.6807103394997794E-5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822002883442396"/>
          <c:y val="7.8319845435987162E-2"/>
          <c:w val="0.2073827215260064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6.8825570842608519E-3</c:v>
                </c:pt>
                <c:pt idx="3">
                  <c:v>4.7108580786604286E-2</c:v>
                </c:pt>
                <c:pt idx="4">
                  <c:v>5.4829747308180868E-2</c:v>
                </c:pt>
                <c:pt idx="5">
                  <c:v>7.4820485217556645E-2</c:v>
                </c:pt>
                <c:pt idx="6">
                  <c:v>6.9673507386981692E-2</c:v>
                </c:pt>
                <c:pt idx="7">
                  <c:v>7.8781368164977064E-2</c:v>
                </c:pt>
                <c:pt idx="8">
                  <c:v>8.034471325443851E-2</c:v>
                </c:pt>
                <c:pt idx="9">
                  <c:v>6.3690255123023273E-2</c:v>
                </c:pt>
                <c:pt idx="10">
                  <c:v>5.0856049020503356E-2</c:v>
                </c:pt>
                <c:pt idx="11">
                  <c:v>5.4357524827178663E-2</c:v>
                </c:pt>
                <c:pt idx="12">
                  <c:v>2.823982696589292E-2</c:v>
                </c:pt>
                <c:pt idx="13">
                  <c:v>3.2560554473699099E-2</c:v>
                </c:pt>
                <c:pt idx="14">
                  <c:v>3.2400139020728996E-2</c:v>
                </c:pt>
                <c:pt idx="15">
                  <c:v>2.742250803252088E-2</c:v>
                </c:pt>
                <c:pt idx="16">
                  <c:v>2.0858735817106743E-2</c:v>
                </c:pt>
                <c:pt idx="17">
                  <c:v>2.3100363381721167E-2</c:v>
                </c:pt>
                <c:pt idx="18">
                  <c:v>2.1118854960176833E-2</c:v>
                </c:pt>
                <c:pt idx="19">
                  <c:v>1.7312274379598525E-2</c:v>
                </c:pt>
                <c:pt idx="20">
                  <c:v>1.249712288343033E-2</c:v>
                </c:pt>
                <c:pt idx="21">
                  <c:v>1.3913734845176219E-2</c:v>
                </c:pt>
                <c:pt idx="22">
                  <c:v>1.8049059147713899E-2</c:v>
                </c:pt>
                <c:pt idx="23">
                  <c:v>7.7435820354666294E-3</c:v>
                </c:pt>
                <c:pt idx="24">
                  <c:v>1.4572606354690749E-2</c:v>
                </c:pt>
                <c:pt idx="25">
                  <c:v>2.1169875576935924E-2</c:v>
                </c:pt>
                <c:pt idx="26">
                  <c:v>7.6206338576802618E-3</c:v>
                </c:pt>
                <c:pt idx="27">
                  <c:v>8.3896330069438193E-3</c:v>
                </c:pt>
                <c:pt idx="28">
                  <c:v>6.2748932208655343E-3</c:v>
                </c:pt>
                <c:pt idx="29">
                  <c:v>8.0662617067393163E-3</c:v>
                </c:pt>
                <c:pt idx="30">
                  <c:v>5.3317345281306792E-3</c:v>
                </c:pt>
                <c:pt idx="31">
                  <c:v>8.060270637543155E-3</c:v>
                </c:pt>
                <c:pt idx="32">
                  <c:v>5.1662062938592889E-3</c:v>
                </c:pt>
                <c:pt idx="33">
                  <c:v>9.6756359001688181E-3</c:v>
                </c:pt>
                <c:pt idx="34">
                  <c:v>3.1706674860157965E-3</c:v>
                </c:pt>
                <c:pt idx="35">
                  <c:v>3.4998420199814141E-3</c:v>
                </c:pt>
                <c:pt idx="36">
                  <c:v>2.5861304167450632E-3</c:v>
                </c:pt>
                <c:pt idx="37">
                  <c:v>2.6252920967055689E-3</c:v>
                </c:pt>
                <c:pt idx="38">
                  <c:v>7.4039006865170781E-3</c:v>
                </c:pt>
                <c:pt idx="39">
                  <c:v>6.6685278339488965E-3</c:v>
                </c:pt>
                <c:pt idx="40">
                  <c:v>4.0524861861413151E-3</c:v>
                </c:pt>
                <c:pt idx="41">
                  <c:v>7.373793814308114E-3</c:v>
                </c:pt>
                <c:pt idx="42">
                  <c:v>2.716036714988795E-3</c:v>
                </c:pt>
                <c:pt idx="43">
                  <c:v>3.5783804128952878E-3</c:v>
                </c:pt>
                <c:pt idx="44">
                  <c:v>2.1791587057830766E-3</c:v>
                </c:pt>
                <c:pt idx="45">
                  <c:v>5.1867496522501764E-4</c:v>
                </c:pt>
                <c:pt idx="46">
                  <c:v>9.0647127654235157E-4</c:v>
                </c:pt>
                <c:pt idx="47">
                  <c:v>1.0783302162227441E-3</c:v>
                </c:pt>
                <c:pt idx="48">
                  <c:v>2.0118746602302228E-3</c:v>
                </c:pt>
                <c:pt idx="49">
                  <c:v>5.6888400445784932E-4</c:v>
                </c:pt>
                <c:pt idx="50">
                  <c:v>3.1908246591108303E-4</c:v>
                </c:pt>
                <c:pt idx="51">
                  <c:v>3.6599939176413698E-3</c:v>
                </c:pt>
                <c:pt idx="52">
                  <c:v>1.5287826799673448E-3</c:v>
                </c:pt>
                <c:pt idx="53">
                  <c:v>7.0968200731981617E-5</c:v>
                </c:pt>
                <c:pt idx="54">
                  <c:v>8.4996885515182814E-4</c:v>
                </c:pt>
                <c:pt idx="55">
                  <c:v>6.3091392726860606E-4</c:v>
                </c:pt>
                <c:pt idx="56">
                  <c:v>1.1878324548440392E-3</c:v>
                </c:pt>
                <c:pt idx="57">
                  <c:v>7.1697248757025627E-4</c:v>
                </c:pt>
                <c:pt idx="58">
                  <c:v>2.5690489141216914E-4</c:v>
                </c:pt>
                <c:pt idx="59">
                  <c:v>8.8469099566066705E-5</c:v>
                </c:pt>
                <c:pt idx="60">
                  <c:v>1.5791097154018712E-4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8.5075998138124821E-3</c:v>
                </c:pt>
                <c:pt idx="1">
                  <c:v>3.0109251131381614E-2</c:v>
                </c:pt>
                <c:pt idx="2">
                  <c:v>1.7636637024509003E-2</c:v>
                </c:pt>
                <c:pt idx="3">
                  <c:v>2.8015860057172239E-2</c:v>
                </c:pt>
                <c:pt idx="4">
                  <c:v>4.2425896636683329E-2</c:v>
                </c:pt>
                <c:pt idx="5">
                  <c:v>5.6684838633422607E-2</c:v>
                </c:pt>
                <c:pt idx="6">
                  <c:v>6.5826060891116853E-2</c:v>
                </c:pt>
                <c:pt idx="7">
                  <c:v>6.7480790273408087E-2</c:v>
                </c:pt>
                <c:pt idx="8">
                  <c:v>6.5404458264995524E-2</c:v>
                </c:pt>
                <c:pt idx="9">
                  <c:v>6.1212802097777692E-2</c:v>
                </c:pt>
                <c:pt idx="10">
                  <c:v>5.4947250931546843E-2</c:v>
                </c:pt>
                <c:pt idx="11">
                  <c:v>4.838194760917193E-2</c:v>
                </c:pt>
                <c:pt idx="12">
                  <c:v>4.3573728063869145E-2</c:v>
                </c:pt>
                <c:pt idx="13">
                  <c:v>3.8061212802097781E-2</c:v>
                </c:pt>
                <c:pt idx="14">
                  <c:v>3.3379717745571344E-2</c:v>
                </c:pt>
                <c:pt idx="15">
                  <c:v>2.988992028542254E-2</c:v>
                </c:pt>
                <c:pt idx="16">
                  <c:v>2.6300205439892383E-2</c:v>
                </c:pt>
                <c:pt idx="17">
                  <c:v>2.2744608725955857E-2</c:v>
                </c:pt>
                <c:pt idx="18">
                  <c:v>2.0592729426157398E-2</c:v>
                </c:pt>
                <c:pt idx="19">
                  <c:v>1.9069598551441611E-2</c:v>
                </c:pt>
                <c:pt idx="20">
                  <c:v>1.6873853082451339E-2</c:v>
                </c:pt>
                <c:pt idx="21">
                  <c:v>1.5182568559166932E-2</c:v>
                </c:pt>
                <c:pt idx="22">
                  <c:v>1.4046922178978844E-2</c:v>
                </c:pt>
                <c:pt idx="23">
                  <c:v>1.2579842520452602E-2</c:v>
                </c:pt>
                <c:pt idx="24">
                  <c:v>1.1790251474999939E-2</c:v>
                </c:pt>
                <c:pt idx="25">
                  <c:v>1.079838864938502E-2</c:v>
                </c:pt>
                <c:pt idx="26">
                  <c:v>9.7236675041855632E-3</c:v>
                </c:pt>
                <c:pt idx="27">
                  <c:v>9.255761699472875E-3</c:v>
                </c:pt>
                <c:pt idx="28">
                  <c:v>8.4052454190315807E-3</c:v>
                </c:pt>
                <c:pt idx="29">
                  <c:v>7.9641467177138901E-3</c:v>
                </c:pt>
                <c:pt idx="30">
                  <c:v>7.2111108132544071E-3</c:v>
                </c:pt>
                <c:pt idx="31">
                  <c:v>6.8114412717289853E-3</c:v>
                </c:pt>
                <c:pt idx="32">
                  <c:v>6.0315982638745038E-3</c:v>
                </c:pt>
                <c:pt idx="33">
                  <c:v>5.8805036811026981E-3</c:v>
                </c:pt>
                <c:pt idx="34">
                  <c:v>5.4345309609859166E-3</c:v>
                </c:pt>
                <c:pt idx="35">
                  <c:v>4.9422550622777754E-3</c:v>
                </c:pt>
                <c:pt idx="36">
                  <c:v>4.5937627181428043E-3</c:v>
                </c:pt>
                <c:pt idx="37">
                  <c:v>4.1648490638228394E-3</c:v>
                </c:pt>
                <c:pt idx="38">
                  <c:v>4.0356875656469404E-3</c:v>
                </c:pt>
                <c:pt idx="39">
                  <c:v>3.9698883118592185E-3</c:v>
                </c:pt>
                <c:pt idx="40">
                  <c:v>3.3776950277697223E-3</c:v>
                </c:pt>
                <c:pt idx="41">
                  <c:v>3.2729036235892763E-3</c:v>
                </c:pt>
                <c:pt idx="42">
                  <c:v>2.9439073546506669E-3</c:v>
                </c:pt>
                <c:pt idx="43">
                  <c:v>2.6149110857120574E-3</c:v>
                </c:pt>
                <c:pt idx="44">
                  <c:v>2.4954976251343403E-3</c:v>
                </c:pt>
                <c:pt idx="45">
                  <c:v>2.1518792997984593E-3</c:v>
                </c:pt>
                <c:pt idx="46">
                  <c:v>2.1567533185975498E-3</c:v>
                </c:pt>
                <c:pt idx="47">
                  <c:v>1.9496075196362033E-3</c:v>
                </c:pt>
                <c:pt idx="48">
                  <c:v>1.9349854632389318E-3</c:v>
                </c:pt>
                <c:pt idx="49">
                  <c:v>1.6815364856862254E-3</c:v>
                </c:pt>
                <c:pt idx="50">
                  <c:v>1.5133828371176028E-3</c:v>
                </c:pt>
                <c:pt idx="51">
                  <c:v>1.5743080721062341E-3</c:v>
                </c:pt>
                <c:pt idx="52">
                  <c:v>1.4841387243230597E-3</c:v>
                </c:pt>
                <c:pt idx="53">
                  <c:v>1.372036291943978E-3</c:v>
                </c:pt>
                <c:pt idx="54">
                  <c:v>1.2891779723594394E-3</c:v>
                </c:pt>
                <c:pt idx="55">
                  <c:v>1.1843865681789934E-3</c:v>
                </c:pt>
                <c:pt idx="56">
                  <c:v>1.1234613331903621E-3</c:v>
                </c:pt>
                <c:pt idx="57">
                  <c:v>1.0308549760076424E-3</c:v>
                </c:pt>
                <c:pt idx="58">
                  <c:v>9.5287067522219432E-4</c:v>
                </c:pt>
                <c:pt idx="59">
                  <c:v>8.2614618644584112E-4</c:v>
                </c:pt>
                <c:pt idx="60">
                  <c:v>6.9942169766948792E-4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0.12374388965983114</c:v>
                </c:pt>
                <c:pt idx="1">
                  <c:v>0.20001804544661503</c:v>
                </c:pt>
                <c:pt idx="2">
                  <c:v>0.13966810962047779</c:v>
                </c:pt>
                <c:pt idx="3">
                  <c:v>0.10904915992103197</c:v>
                </c:pt>
                <c:pt idx="4">
                  <c:v>8.2578304296189176E-2</c:v>
                </c:pt>
                <c:pt idx="5">
                  <c:v>4.8018814011497574E-2</c:v>
                </c:pt>
                <c:pt idx="6">
                  <c:v>4.9404696243782791E-2</c:v>
                </c:pt>
                <c:pt idx="7">
                  <c:v>3.6412483092079978E-2</c:v>
                </c:pt>
                <c:pt idx="8">
                  <c:v>3.1875632243596935E-2</c:v>
                </c:pt>
                <c:pt idx="9">
                  <c:v>2.3681325063731298E-2</c:v>
                </c:pt>
                <c:pt idx="10">
                  <c:v>2.2717379655685512E-2</c:v>
                </c:pt>
                <c:pt idx="11">
                  <c:v>9.1458604910006659E-3</c:v>
                </c:pt>
                <c:pt idx="12">
                  <c:v>1.418498751885033E-2</c:v>
                </c:pt>
                <c:pt idx="13">
                  <c:v>1.5081067759042516E-2</c:v>
                </c:pt>
                <c:pt idx="14">
                  <c:v>1.1567782135103778E-2</c:v>
                </c:pt>
                <c:pt idx="15">
                  <c:v>1.1900161572931969E-2</c:v>
                </c:pt>
                <c:pt idx="16">
                  <c:v>5.637305826362419E-3</c:v>
                </c:pt>
                <c:pt idx="17">
                  <c:v>8.5386134969895524E-3</c:v>
                </c:pt>
                <c:pt idx="18">
                  <c:v>8.0536395120142431E-3</c:v>
                </c:pt>
                <c:pt idx="19">
                  <c:v>3.9172402350533099E-3</c:v>
                </c:pt>
                <c:pt idx="20">
                  <c:v>4.0656292092455405E-3</c:v>
                </c:pt>
                <c:pt idx="21">
                  <c:v>4.1764330193737606E-3</c:v>
                </c:pt>
                <c:pt idx="22">
                  <c:v>2.9572936279951118E-3</c:v>
                </c:pt>
                <c:pt idx="23">
                  <c:v>1.3758917800375694E-3</c:v>
                </c:pt>
                <c:pt idx="24">
                  <c:v>1.62700005445525E-3</c:v>
                </c:pt>
                <c:pt idx="25">
                  <c:v>1.6299449248258595E-3</c:v>
                </c:pt>
                <c:pt idx="26">
                  <c:v>4.0305674283019031E-3</c:v>
                </c:pt>
                <c:pt idx="27">
                  <c:v>3.3724095967206142E-3</c:v>
                </c:pt>
                <c:pt idx="28">
                  <c:v>5.5401724199585873E-3</c:v>
                </c:pt>
                <c:pt idx="29">
                  <c:v>2.1418027520991828E-3</c:v>
                </c:pt>
                <c:pt idx="30">
                  <c:v>1.8742966359016659E-3</c:v>
                </c:pt>
                <c:pt idx="31">
                  <c:v>1.3065096973089217E-3</c:v>
                </c:pt>
                <c:pt idx="32">
                  <c:v>3.2792784669283376E-3</c:v>
                </c:pt>
                <c:pt idx="33">
                  <c:v>7.5758818489489693E-4</c:v>
                </c:pt>
                <c:pt idx="34">
                  <c:v>6.2212483192483441E-4</c:v>
                </c:pt>
                <c:pt idx="35">
                  <c:v>9.8169754629204883E-4</c:v>
                </c:pt>
                <c:pt idx="36">
                  <c:v>6.433616113596457E-4</c:v>
                </c:pt>
                <c:pt idx="37">
                  <c:v>4.3534628162039354E-4</c:v>
                </c:pt>
                <c:pt idx="38">
                  <c:v>2.4122516311252885E-4</c:v>
                </c:pt>
                <c:pt idx="39">
                  <c:v>0</c:v>
                </c:pt>
                <c:pt idx="40">
                  <c:v>1.799971260876257E-3</c:v>
                </c:pt>
                <c:pt idx="41">
                  <c:v>0</c:v>
                </c:pt>
                <c:pt idx="42">
                  <c:v>0</c:v>
                </c:pt>
                <c:pt idx="43">
                  <c:v>7.2266936193993462E-4</c:v>
                </c:pt>
                <c:pt idx="44">
                  <c:v>7.0999097231160934E-4</c:v>
                </c:pt>
                <c:pt idx="45">
                  <c:v>6.3124912937538555E-5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2.802337178273444E-4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1.7093873988300535E-4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0.17124638433415165</c:v>
                </c:pt>
                <c:pt idx="1">
                  <c:v>0.15995539735733869</c:v>
                </c:pt>
                <c:pt idx="2">
                  <c:v>0.13444316859829103</c:v>
                </c:pt>
                <c:pt idx="3">
                  <c:v>0.10390635255703208</c:v>
                </c:pt>
                <c:pt idx="4">
                  <c:v>7.9150075217920723E-2</c:v>
                </c:pt>
                <c:pt idx="5">
                  <c:v>6.0144158879562301E-2</c:v>
                </c:pt>
                <c:pt idx="6">
                  <c:v>4.4397434291827423E-2</c:v>
                </c:pt>
                <c:pt idx="7">
                  <c:v>3.4029884977691133E-2</c:v>
                </c:pt>
                <c:pt idx="8">
                  <c:v>2.7589963500070164E-2</c:v>
                </c:pt>
                <c:pt idx="9">
                  <c:v>2.3451091753792206E-2</c:v>
                </c:pt>
                <c:pt idx="10">
                  <c:v>2.0253764291027716E-2</c:v>
                </c:pt>
                <c:pt idx="11">
                  <c:v>1.814434296354081E-2</c:v>
                </c:pt>
                <c:pt idx="12">
                  <c:v>1.5891577554429256E-2</c:v>
                </c:pt>
                <c:pt idx="13">
                  <c:v>1.3498485833832523E-2</c:v>
                </c:pt>
                <c:pt idx="14">
                  <c:v>1.1461490989692806E-2</c:v>
                </c:pt>
                <c:pt idx="15">
                  <c:v>1.0218169692232713E-2</c:v>
                </c:pt>
                <c:pt idx="16">
                  <c:v>9.0502926482592741E-3</c:v>
                </c:pt>
                <c:pt idx="17">
                  <c:v>7.5821474754089457E-3</c:v>
                </c:pt>
                <c:pt idx="18">
                  <c:v>6.7281185259399981E-3</c:v>
                </c:pt>
                <c:pt idx="19">
                  <c:v>5.6145613444769527E-3</c:v>
                </c:pt>
                <c:pt idx="20">
                  <c:v>5.0955048804887581E-3</c:v>
                </c:pt>
                <c:pt idx="21">
                  <c:v>4.4481931855732482E-3</c:v>
                </c:pt>
                <c:pt idx="22">
                  <c:v>3.9864743542349125E-3</c:v>
                </c:pt>
                <c:pt idx="23">
                  <c:v>3.6605551791725577E-3</c:v>
                </c:pt>
                <c:pt idx="24">
                  <c:v>3.2938961072274085E-3</c:v>
                </c:pt>
                <c:pt idx="25">
                  <c:v>2.9649591620255875E-3</c:v>
                </c:pt>
                <c:pt idx="26">
                  <c:v>2.6556377227302972E-3</c:v>
                </c:pt>
                <c:pt idx="27">
                  <c:v>2.3161385820403444E-3</c:v>
                </c:pt>
                <c:pt idx="28">
                  <c:v>2.026432648651585E-3</c:v>
                </c:pt>
                <c:pt idx="29">
                  <c:v>1.7804843822850857E-3</c:v>
                </c:pt>
                <c:pt idx="30">
                  <c:v>1.5964004037776446E-3</c:v>
                </c:pt>
                <c:pt idx="31">
                  <c:v>1.3700676433176762E-3</c:v>
                </c:pt>
                <c:pt idx="32">
                  <c:v>1.2433212974600938E-3</c:v>
                </c:pt>
                <c:pt idx="33">
                  <c:v>9.9888191616332779E-4</c:v>
                </c:pt>
                <c:pt idx="34">
                  <c:v>8.9175107621227595E-4</c:v>
                </c:pt>
                <c:pt idx="35">
                  <c:v>7.1219375291403425E-4</c:v>
                </c:pt>
                <c:pt idx="36">
                  <c:v>6.0506291296298252E-4</c:v>
                </c:pt>
                <c:pt idx="37">
                  <c:v>5.3112754454605945E-4</c:v>
                </c:pt>
                <c:pt idx="38">
                  <c:v>4.104167389674096E-4</c:v>
                </c:pt>
                <c:pt idx="39">
                  <c:v>4.104167389674096E-4</c:v>
                </c:pt>
                <c:pt idx="40">
                  <c:v>3.90801233060879E-4</c:v>
                </c:pt>
                <c:pt idx="41">
                  <c:v>2.8367039310982721E-4</c:v>
                </c:pt>
                <c:pt idx="42">
                  <c:v>2.4142161115729975E-4</c:v>
                </c:pt>
                <c:pt idx="43">
                  <c:v>2.1878833511130292E-4</c:v>
                </c:pt>
                <c:pt idx="44">
                  <c:v>1.9011951878637355E-4</c:v>
                </c:pt>
                <c:pt idx="45">
                  <c:v>1.4937962190357922E-4</c:v>
                </c:pt>
                <c:pt idx="46">
                  <c:v>1.2674634585758238E-4</c:v>
                </c:pt>
                <c:pt idx="47">
                  <c:v>9.6568644462919907E-5</c:v>
                </c:pt>
                <c:pt idx="48">
                  <c:v>7.3935368416923057E-5</c:v>
                </c:pt>
                <c:pt idx="49">
                  <c:v>6.1864287859058058E-5</c:v>
                </c:pt>
                <c:pt idx="50">
                  <c:v>7.6953138556389296E-5</c:v>
                </c:pt>
                <c:pt idx="51">
                  <c:v>3.9231011813061208E-5</c:v>
                </c:pt>
                <c:pt idx="52">
                  <c:v>4.8284322231459953E-5</c:v>
                </c:pt>
                <c:pt idx="53">
                  <c:v>3.6213241673594962E-5</c:v>
                </c:pt>
                <c:pt idx="54">
                  <c:v>3.1686586464395596E-5</c:v>
                </c:pt>
                <c:pt idx="55">
                  <c:v>3.3195471534128715E-5</c:v>
                </c:pt>
                <c:pt idx="56">
                  <c:v>3.3195471534128715E-5</c:v>
                </c:pt>
                <c:pt idx="57">
                  <c:v>1.8106620836797481E-5</c:v>
                </c:pt>
                <c:pt idx="58">
                  <c:v>1.5088850697331235E-5</c:v>
                </c:pt>
                <c:pt idx="59">
                  <c:v>1.5088850697331235E-6</c:v>
                </c:pt>
                <c:pt idx="60">
                  <c:v>2.112439097626373E-5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6.2533780249060793E-3</c:v>
                </c:pt>
                <c:pt idx="3">
                  <c:v>6.7561692737183029E-2</c:v>
                </c:pt>
                <c:pt idx="4">
                  <c:v>7.8354423872034742E-2</c:v>
                </c:pt>
                <c:pt idx="5">
                  <c:v>9.717393416304354E-2</c:v>
                </c:pt>
                <c:pt idx="6">
                  <c:v>9.3025092492730346E-2</c:v>
                </c:pt>
                <c:pt idx="7">
                  <c:v>6.999966714957398E-2</c:v>
                </c:pt>
                <c:pt idx="8">
                  <c:v>7.6338496562760122E-2</c:v>
                </c:pt>
                <c:pt idx="9">
                  <c:v>5.0612351260946778E-2</c:v>
                </c:pt>
                <c:pt idx="10">
                  <c:v>4.6663959281720062E-2</c:v>
                </c:pt>
                <c:pt idx="11">
                  <c:v>5.0701500930429667E-2</c:v>
                </c:pt>
                <c:pt idx="12">
                  <c:v>3.5231397278536886E-2</c:v>
                </c:pt>
                <c:pt idx="13">
                  <c:v>2.5830785994473415E-2</c:v>
                </c:pt>
                <c:pt idx="14">
                  <c:v>2.2914713558402373E-2</c:v>
                </c:pt>
                <c:pt idx="15">
                  <c:v>2.2837971444175202E-2</c:v>
                </c:pt>
                <c:pt idx="16">
                  <c:v>2.4120739873668418E-2</c:v>
                </c:pt>
                <c:pt idx="17">
                  <c:v>2.6492367234014515E-2</c:v>
                </c:pt>
                <c:pt idx="18">
                  <c:v>2.6217457504494369E-2</c:v>
                </c:pt>
                <c:pt idx="19">
                  <c:v>1.4008095588986517E-2</c:v>
                </c:pt>
                <c:pt idx="20">
                  <c:v>1.0851323487402814E-2</c:v>
                </c:pt>
                <c:pt idx="21">
                  <c:v>1.1416306595969936E-2</c:v>
                </c:pt>
                <c:pt idx="22">
                  <c:v>1.0706007737974874E-2</c:v>
                </c:pt>
                <c:pt idx="23">
                  <c:v>1.3114539576482089E-2</c:v>
                </c:pt>
                <c:pt idx="24">
                  <c:v>1.0928280312116836E-2</c:v>
                </c:pt>
                <c:pt idx="25">
                  <c:v>5.1114250540292144E-3</c:v>
                </c:pt>
                <c:pt idx="26">
                  <c:v>7.3458251354263822E-3</c:v>
                </c:pt>
                <c:pt idx="27">
                  <c:v>3.7205005939027935E-3</c:v>
                </c:pt>
                <c:pt idx="28">
                  <c:v>5.9117196843587131E-3</c:v>
                </c:pt>
                <c:pt idx="29">
                  <c:v>4.1234240706185801E-3</c:v>
                </c:pt>
                <c:pt idx="30">
                  <c:v>4.8218949838362288E-3</c:v>
                </c:pt>
                <c:pt idx="31">
                  <c:v>3.9920833840192014E-3</c:v>
                </c:pt>
                <c:pt idx="32">
                  <c:v>4.1212608996449799E-3</c:v>
                </c:pt>
                <c:pt idx="33">
                  <c:v>3.7697465194295545E-3</c:v>
                </c:pt>
                <c:pt idx="34">
                  <c:v>4.4758178694011205E-3</c:v>
                </c:pt>
                <c:pt idx="35">
                  <c:v>4.729346345857666E-3</c:v>
                </c:pt>
                <c:pt idx="36">
                  <c:v>4.1677383965012674E-3</c:v>
                </c:pt>
                <c:pt idx="37">
                  <c:v>4.6859720146957664E-3</c:v>
                </c:pt>
                <c:pt idx="38">
                  <c:v>4.6578721851683637E-3</c:v>
                </c:pt>
                <c:pt idx="39">
                  <c:v>4.4083937518946993E-3</c:v>
                </c:pt>
                <c:pt idx="40">
                  <c:v>3.5019431354463798E-3</c:v>
                </c:pt>
                <c:pt idx="41">
                  <c:v>1.9019171282894946E-3</c:v>
                </c:pt>
                <c:pt idx="42">
                  <c:v>2.2754685828665121E-3</c:v>
                </c:pt>
                <c:pt idx="43">
                  <c:v>1.0065956854917253E-3</c:v>
                </c:pt>
                <c:pt idx="44">
                  <c:v>1.124931256199593E-3</c:v>
                </c:pt>
                <c:pt idx="45">
                  <c:v>1.4848869065028356E-3</c:v>
                </c:pt>
                <c:pt idx="46">
                  <c:v>1.5033792427289303E-3</c:v>
                </c:pt>
                <c:pt idx="47">
                  <c:v>9.7878126005874685E-4</c:v>
                </c:pt>
                <c:pt idx="48">
                  <c:v>1.7226658750871921E-3</c:v>
                </c:pt>
                <c:pt idx="49">
                  <c:v>2.3917078804030368E-3</c:v>
                </c:pt>
                <c:pt idx="50">
                  <c:v>6.7376989802473059E-4</c:v>
                </c:pt>
                <c:pt idx="51">
                  <c:v>2.4738727757852332E-3</c:v>
                </c:pt>
                <c:pt idx="52">
                  <c:v>1.5906221031816289E-3</c:v>
                </c:pt>
                <c:pt idx="53">
                  <c:v>7.5979811706757645E-4</c:v>
                </c:pt>
                <c:pt idx="54">
                  <c:v>1.2029643757174747E-3</c:v>
                </c:pt>
                <c:pt idx="55">
                  <c:v>2.8938301859289502E-3</c:v>
                </c:pt>
                <c:pt idx="56">
                  <c:v>3.8504849174620699E-4</c:v>
                </c:pt>
                <c:pt idx="57">
                  <c:v>4.347972535164188E-4</c:v>
                </c:pt>
                <c:pt idx="58">
                  <c:v>8.3064144144448713E-5</c:v>
                </c:pt>
                <c:pt idx="59">
                  <c:v>1.0372845053202798E-3</c:v>
                </c:pt>
                <c:pt idx="60">
                  <c:v>1.1019523402681624E-3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6.9423802058421009E-3</c:v>
                </c:pt>
                <c:pt idx="1">
                  <c:v>4.5114154699950657E-2</c:v>
                </c:pt>
                <c:pt idx="2">
                  <c:v>2.1481996737790478E-2</c:v>
                </c:pt>
                <c:pt idx="3">
                  <c:v>3.2724699392371985E-2</c:v>
                </c:pt>
                <c:pt idx="4">
                  <c:v>4.9532170184129247E-2</c:v>
                </c:pt>
                <c:pt idx="5">
                  <c:v>6.2937105143638317E-2</c:v>
                </c:pt>
                <c:pt idx="6">
                  <c:v>6.9122025044474386E-2</c:v>
                </c:pt>
                <c:pt idx="7">
                  <c:v>6.9244244735122765E-2</c:v>
                </c:pt>
                <c:pt idx="8">
                  <c:v>6.2113253895564026E-2</c:v>
                </c:pt>
                <c:pt idx="9">
                  <c:v>5.5611468130083996E-2</c:v>
                </c:pt>
                <c:pt idx="10">
                  <c:v>4.9601578897336969E-2</c:v>
                </c:pt>
                <c:pt idx="11">
                  <c:v>4.384216458616564E-2</c:v>
                </c:pt>
                <c:pt idx="12">
                  <c:v>3.9206869651945482E-2</c:v>
                </c:pt>
                <c:pt idx="13">
                  <c:v>3.5160039894921245E-2</c:v>
                </c:pt>
                <c:pt idx="14">
                  <c:v>3.1319927392450445E-2</c:v>
                </c:pt>
                <c:pt idx="15">
                  <c:v>2.8285559517217132E-2</c:v>
                </c:pt>
                <c:pt idx="16">
                  <c:v>2.4643110958881373E-2</c:v>
                </c:pt>
                <c:pt idx="17">
                  <c:v>2.1785282636806836E-2</c:v>
                </c:pt>
                <c:pt idx="18">
                  <c:v>2.0216042164284388E-2</c:v>
                </c:pt>
                <c:pt idx="19">
                  <c:v>1.8019105502752961E-2</c:v>
                </c:pt>
                <c:pt idx="20">
                  <c:v>1.6341225305209726E-2</c:v>
                </c:pt>
                <c:pt idx="21">
                  <c:v>1.5058672995936573E-2</c:v>
                </c:pt>
                <c:pt idx="22">
                  <c:v>1.3672007616851832E-2</c:v>
                </c:pt>
                <c:pt idx="23">
                  <c:v>1.2363804261393213E-2</c:v>
                </c:pt>
                <c:pt idx="24">
                  <c:v>1.1770812428988097E-2</c:v>
                </c:pt>
                <c:pt idx="25">
                  <c:v>1.0518437821109604E-2</c:v>
                </c:pt>
                <c:pt idx="26">
                  <c:v>1.0012961322749007E-2</c:v>
                </c:pt>
                <c:pt idx="27">
                  <c:v>9.2238144312785843E-3</c:v>
                </c:pt>
                <c:pt idx="28">
                  <c:v>8.4904962873882852E-3</c:v>
                </c:pt>
                <c:pt idx="29">
                  <c:v>7.7058760511270613E-3</c:v>
                </c:pt>
                <c:pt idx="30">
                  <c:v>7.0585643562115514E-3</c:v>
                </c:pt>
                <c:pt idx="31">
                  <c:v>6.5379990071536241E-3</c:v>
                </c:pt>
                <c:pt idx="32">
                  <c:v>6.0596824400482238E-3</c:v>
                </c:pt>
                <c:pt idx="33">
                  <c:v>5.6266324250348176E-3</c:v>
                </c:pt>
                <c:pt idx="34">
                  <c:v>5.3203287558789931E-3</c:v>
                </c:pt>
                <c:pt idx="35">
                  <c:v>4.8706810050985223E-3</c:v>
                </c:pt>
                <c:pt idx="36">
                  <c:v>4.5794661866400297E-3</c:v>
                </c:pt>
                <c:pt idx="37">
                  <c:v>4.1539605969752886E-3</c:v>
                </c:pt>
                <c:pt idx="38">
                  <c:v>4.0377764466058381E-3</c:v>
                </c:pt>
                <c:pt idx="39">
                  <c:v>3.6635729493120239E-3</c:v>
                </c:pt>
                <c:pt idx="40">
                  <c:v>3.2214696238802186E-3</c:v>
                </c:pt>
                <c:pt idx="41">
                  <c:v>3.1067943585805012E-3</c:v>
                </c:pt>
                <c:pt idx="42">
                  <c:v>2.8970593338875973E-3</c:v>
                </c:pt>
                <c:pt idx="43">
                  <c:v>2.7159931255196224E-3</c:v>
                </c:pt>
                <c:pt idx="44">
                  <c:v>2.3161385820403444E-3</c:v>
                </c:pt>
                <c:pt idx="45">
                  <c:v>2.2074988570195595E-3</c:v>
                </c:pt>
                <c:pt idx="46">
                  <c:v>2.0385037292094499E-3</c:v>
                </c:pt>
                <c:pt idx="47">
                  <c:v>1.8634730611204076E-3</c:v>
                </c:pt>
                <c:pt idx="48">
                  <c:v>1.6839157378221658E-3</c:v>
                </c:pt>
                <c:pt idx="49">
                  <c:v>1.6039448291263103E-3</c:v>
                </c:pt>
                <c:pt idx="50">
                  <c:v>1.3821387238755411E-3</c:v>
                </c:pt>
                <c:pt idx="51">
                  <c:v>1.3157477808072838E-3</c:v>
                </c:pt>
                <c:pt idx="52">
                  <c:v>1.2614279182968913E-3</c:v>
                </c:pt>
                <c:pt idx="53">
                  <c:v>1.1980547453681E-3</c:v>
                </c:pt>
                <c:pt idx="54">
                  <c:v>1.1241193769511769E-3</c:v>
                </c:pt>
                <c:pt idx="55">
                  <c:v>9.2041989253720529E-4</c:v>
                </c:pt>
                <c:pt idx="56">
                  <c:v>1.0335862727671897E-3</c:v>
                </c:pt>
                <c:pt idx="57">
                  <c:v>8.4044898384134979E-4</c:v>
                </c:pt>
                <c:pt idx="58">
                  <c:v>7.9216466160988985E-4</c:v>
                </c:pt>
                <c:pt idx="59">
                  <c:v>7.6953138556389294E-4</c:v>
                </c:pt>
                <c:pt idx="60">
                  <c:v>6.3524061435764497E-4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0.15749577588297314</c:v>
                </c:pt>
                <c:pt idx="1">
                  <c:v>0.20124765574883538</c:v>
                </c:pt>
                <c:pt idx="2">
                  <c:v>0.15170551745680003</c:v>
                </c:pt>
                <c:pt idx="3">
                  <c:v>0.11323795525029598</c:v>
                </c:pt>
                <c:pt idx="4">
                  <c:v>7.0153517459763531E-2</c:v>
                </c:pt>
                <c:pt idx="5">
                  <c:v>5.9137981217016161E-2</c:v>
                </c:pt>
                <c:pt idx="6">
                  <c:v>4.4841878510447429E-2</c:v>
                </c:pt>
                <c:pt idx="7">
                  <c:v>2.5176600341053058E-2</c:v>
                </c:pt>
                <c:pt idx="8">
                  <c:v>2.7962588928130475E-2</c:v>
                </c:pt>
                <c:pt idx="9">
                  <c:v>1.5308400905968217E-2</c:v>
                </c:pt>
                <c:pt idx="10">
                  <c:v>2.118703954994245E-2</c:v>
                </c:pt>
                <c:pt idx="11">
                  <c:v>1.9436140719286857E-2</c:v>
                </c:pt>
                <c:pt idx="12">
                  <c:v>1.0592215482836823E-2</c:v>
                </c:pt>
                <c:pt idx="13">
                  <c:v>8.7121775880920002E-3</c:v>
                </c:pt>
                <c:pt idx="14">
                  <c:v>1.3864756387810725E-2</c:v>
                </c:pt>
                <c:pt idx="15">
                  <c:v>9.4374781058878445E-3</c:v>
                </c:pt>
                <c:pt idx="16">
                  <c:v>9.3378272528087027E-3</c:v>
                </c:pt>
                <c:pt idx="17">
                  <c:v>5.7447681190380285E-3</c:v>
                </c:pt>
                <c:pt idx="18">
                  <c:v>5.1339422852464903E-3</c:v>
                </c:pt>
                <c:pt idx="19">
                  <c:v>7.0302442193400354E-3</c:v>
                </c:pt>
                <c:pt idx="20">
                  <c:v>2.775469879387074E-3</c:v>
                </c:pt>
                <c:pt idx="21">
                  <c:v>1.5319561497691822E-3</c:v>
                </c:pt>
                <c:pt idx="22">
                  <c:v>2.1025033013237471E-3</c:v>
                </c:pt>
                <c:pt idx="23">
                  <c:v>3.5683509572287972E-3</c:v>
                </c:pt>
                <c:pt idx="24">
                  <c:v>7.5119898965568521E-4</c:v>
                </c:pt>
                <c:pt idx="25">
                  <c:v>1.3089433496598318E-3</c:v>
                </c:pt>
                <c:pt idx="26">
                  <c:v>2.1081771265724458E-3</c:v>
                </c:pt>
                <c:pt idx="27">
                  <c:v>8.5282681381266949E-4</c:v>
                </c:pt>
                <c:pt idx="28">
                  <c:v>2.226437246371575E-3</c:v>
                </c:pt>
                <c:pt idx="29">
                  <c:v>9.5045366375527847E-4</c:v>
                </c:pt>
                <c:pt idx="30">
                  <c:v>4.0177862115885172E-4</c:v>
                </c:pt>
                <c:pt idx="31">
                  <c:v>2.450721891918912E-4</c:v>
                </c:pt>
                <c:pt idx="32">
                  <c:v>4.5546102660786689E-4</c:v>
                </c:pt>
                <c:pt idx="33">
                  <c:v>6.3372022577014666E-4</c:v>
                </c:pt>
                <c:pt idx="34">
                  <c:v>0</c:v>
                </c:pt>
                <c:pt idx="35">
                  <c:v>1.8561138009106035E-4</c:v>
                </c:pt>
                <c:pt idx="36">
                  <c:v>6.2575998189018855E-4</c:v>
                </c:pt>
                <c:pt idx="37">
                  <c:v>6.5675963277507347E-4</c:v>
                </c:pt>
                <c:pt idx="38">
                  <c:v>6.7164924751803164E-5</c:v>
                </c:pt>
                <c:pt idx="39">
                  <c:v>0</c:v>
                </c:pt>
                <c:pt idx="40">
                  <c:v>0</c:v>
                </c:pt>
                <c:pt idx="41">
                  <c:v>1.5988411100956875E-3</c:v>
                </c:pt>
                <c:pt idx="42">
                  <c:v>0</c:v>
                </c:pt>
                <c:pt idx="43">
                  <c:v>0</c:v>
                </c:pt>
                <c:pt idx="44">
                  <c:v>2.0905201855787102E-4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0.1849516165037707</c:v>
                </c:pt>
                <c:pt idx="1">
                  <c:v>0.1681848181615242</c:v>
                </c:pt>
                <c:pt idx="2">
                  <c:v>0.1433282216032068</c:v>
                </c:pt>
                <c:pt idx="3">
                  <c:v>0.11638487445526104</c:v>
                </c:pt>
                <c:pt idx="4">
                  <c:v>8.31958342634741E-2</c:v>
                </c:pt>
                <c:pt idx="5">
                  <c:v>6.2638914501460724E-2</c:v>
                </c:pt>
                <c:pt idx="6">
                  <c:v>4.5267929069891584E-2</c:v>
                </c:pt>
                <c:pt idx="7">
                  <c:v>3.453572225834943E-2</c:v>
                </c:pt>
                <c:pt idx="8">
                  <c:v>2.6290630975143402E-2</c:v>
                </c:pt>
                <c:pt idx="9">
                  <c:v>2.2187496966932282E-2</c:v>
                </c:pt>
                <c:pt idx="10">
                  <c:v>1.7727674195145149E-2</c:v>
                </c:pt>
                <c:pt idx="11">
                  <c:v>1.5332763925420505E-2</c:v>
                </c:pt>
                <c:pt idx="12">
                  <c:v>1.3886597237724568E-2</c:v>
                </c:pt>
                <c:pt idx="13">
                  <c:v>1.0790441711717832E-2</c:v>
                </c:pt>
                <c:pt idx="14">
                  <c:v>8.8808222767904812E-3</c:v>
                </c:pt>
                <c:pt idx="15">
                  <c:v>7.2914947928293429E-3</c:v>
                </c:pt>
                <c:pt idx="16">
                  <c:v>5.9909153555725942E-3</c:v>
                </c:pt>
                <c:pt idx="17">
                  <c:v>4.9354077898884803E-3</c:v>
                </c:pt>
                <c:pt idx="18">
                  <c:v>4.2535741669982819E-3</c:v>
                </c:pt>
                <c:pt idx="19">
                  <c:v>3.6105638108918673E-3</c:v>
                </c:pt>
                <c:pt idx="20">
                  <c:v>3.1252729760945733E-3</c:v>
                </c:pt>
                <c:pt idx="21">
                  <c:v>2.3852044530287002E-3</c:v>
                </c:pt>
                <c:pt idx="22">
                  <c:v>2.0746183187584318E-3</c:v>
                </c:pt>
                <c:pt idx="23">
                  <c:v>1.7252089177043801E-3</c:v>
                </c:pt>
                <c:pt idx="24">
                  <c:v>1.5796216672651921E-3</c:v>
                </c:pt>
                <c:pt idx="25">
                  <c:v>1.3927846958682339E-3</c:v>
                </c:pt>
                <c:pt idx="26">
                  <c:v>1.1744038202094514E-3</c:v>
                </c:pt>
                <c:pt idx="27">
                  <c:v>1.0724927449020198E-3</c:v>
                </c:pt>
                <c:pt idx="28">
                  <c:v>9.5359649037668275E-4</c:v>
                </c:pt>
                <c:pt idx="29">
                  <c:v>8.0315633158952165E-4</c:v>
                </c:pt>
                <c:pt idx="30">
                  <c:v>6.5999553532431984E-4</c:v>
                </c:pt>
                <c:pt idx="31">
                  <c:v>5.1440828488513171E-4</c:v>
                </c:pt>
                <c:pt idx="32">
                  <c:v>5.1198183071114517E-4</c:v>
                </c:pt>
                <c:pt idx="33">
                  <c:v>3.9793848453378107E-4</c:v>
                </c:pt>
                <c:pt idx="34">
                  <c:v>2.2566023818074171E-4</c:v>
                </c:pt>
                <c:pt idx="35">
                  <c:v>1.8441051722297173E-4</c:v>
                </c:pt>
                <c:pt idx="36">
                  <c:v>3.6882103444594346E-4</c:v>
                </c:pt>
                <c:pt idx="37">
                  <c:v>1.7227824635303939E-4</c:v>
                </c:pt>
                <c:pt idx="38">
                  <c:v>1.625724296570935E-4</c:v>
                </c:pt>
                <c:pt idx="39">
                  <c:v>1.1161689200337763E-4</c:v>
                </c:pt>
                <c:pt idx="40">
                  <c:v>8.9778804437499394E-5</c:v>
                </c:pt>
                <c:pt idx="41">
                  <c:v>1.4073434209121527E-4</c:v>
                </c:pt>
                <c:pt idx="42">
                  <c:v>8.4925896089526451E-5</c:v>
                </c:pt>
                <c:pt idx="43">
                  <c:v>5.0955537653715869E-5</c:v>
                </c:pt>
                <c:pt idx="44">
                  <c:v>5.3381991827702341E-5</c:v>
                </c:pt>
                <c:pt idx="45">
                  <c:v>4.3676175131756461E-5</c:v>
                </c:pt>
                <c:pt idx="46">
                  <c:v>3.154390426182411E-5</c:v>
                </c:pt>
                <c:pt idx="47">
                  <c:v>2.1838087565878231E-5</c:v>
                </c:pt>
                <c:pt idx="48">
                  <c:v>5.8234900175675284E-5</c:v>
                </c:pt>
                <c:pt idx="49">
                  <c:v>7.2793625219594105E-6</c:v>
                </c:pt>
                <c:pt idx="50">
                  <c:v>2.4264541739864702E-5</c:v>
                </c:pt>
                <c:pt idx="51">
                  <c:v>2.4264541739864699E-6</c:v>
                </c:pt>
                <c:pt idx="52">
                  <c:v>4.8529083479729405E-5</c:v>
                </c:pt>
                <c:pt idx="53">
                  <c:v>2.6690995913851171E-5</c:v>
                </c:pt>
                <c:pt idx="54">
                  <c:v>4.8529083479729398E-6</c:v>
                </c:pt>
                <c:pt idx="55">
                  <c:v>7.2793625219594105E-6</c:v>
                </c:pt>
                <c:pt idx="56">
                  <c:v>9.7058166959458796E-6</c:v>
                </c:pt>
                <c:pt idx="57">
                  <c:v>4.8529083479729398E-6</c:v>
                </c:pt>
                <c:pt idx="58">
                  <c:v>2.4264541739864699E-6</c:v>
                </c:pt>
                <c:pt idx="59">
                  <c:v>7.2793625219594105E-6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1.0906417147246392E-2</c:v>
                </c:pt>
                <c:pt idx="3">
                  <c:v>9.3601905914051528E-2</c:v>
                </c:pt>
                <c:pt idx="4">
                  <c:v>9.5815782120306017E-2</c:v>
                </c:pt>
                <c:pt idx="5">
                  <c:v>9.5312700976849171E-2</c:v>
                </c:pt>
                <c:pt idx="6">
                  <c:v>8.4426261291496288E-2</c:v>
                </c:pt>
                <c:pt idx="7">
                  <c:v>9.5220367333952047E-2</c:v>
                </c:pt>
                <c:pt idx="8">
                  <c:v>6.0551418095313517E-2</c:v>
                </c:pt>
                <c:pt idx="9">
                  <c:v>5.1172607472563351E-2</c:v>
                </c:pt>
                <c:pt idx="10">
                  <c:v>4.1441583858381072E-2</c:v>
                </c:pt>
                <c:pt idx="11">
                  <c:v>4.5369377110454349E-2</c:v>
                </c:pt>
                <c:pt idx="12">
                  <c:v>3.2757499060796183E-2</c:v>
                </c:pt>
                <c:pt idx="13">
                  <c:v>3.3594226863640782E-2</c:v>
                </c:pt>
                <c:pt idx="14">
                  <c:v>2.8624990845189425E-2</c:v>
                </c:pt>
                <c:pt idx="15">
                  <c:v>2.9818533561130029E-2</c:v>
                </c:pt>
                <c:pt idx="16">
                  <c:v>1.5784637057018831E-2</c:v>
                </c:pt>
                <c:pt idx="17">
                  <c:v>1.5436151225975723E-2</c:v>
                </c:pt>
                <c:pt idx="18">
                  <c:v>9.7808181702880009E-3</c:v>
                </c:pt>
                <c:pt idx="19">
                  <c:v>9.9758148621184196E-3</c:v>
                </c:pt>
                <c:pt idx="20">
                  <c:v>1.3838657463695541E-2</c:v>
                </c:pt>
                <c:pt idx="21">
                  <c:v>8.8504534729772644E-3</c:v>
                </c:pt>
                <c:pt idx="22">
                  <c:v>7.8556865736487003E-3</c:v>
                </c:pt>
                <c:pt idx="23">
                  <c:v>1.1618969438085479E-2</c:v>
                </c:pt>
                <c:pt idx="24">
                  <c:v>8.8174558753223321E-3</c:v>
                </c:pt>
                <c:pt idx="25">
                  <c:v>5.1332703494756486E-3</c:v>
                </c:pt>
                <c:pt idx="26">
                  <c:v>6.6381702912340548E-3</c:v>
                </c:pt>
                <c:pt idx="27">
                  <c:v>1.0610339593546816E-2</c:v>
                </c:pt>
                <c:pt idx="28">
                  <c:v>9.9891352147067382E-3</c:v>
                </c:pt>
                <c:pt idx="29">
                  <c:v>1.6771095500628691E-2</c:v>
                </c:pt>
                <c:pt idx="30">
                  <c:v>2.5173550346200549E-3</c:v>
                </c:pt>
                <c:pt idx="31">
                  <c:v>3.8545611405014796E-3</c:v>
                </c:pt>
                <c:pt idx="32">
                  <c:v>4.7191630412081352E-3</c:v>
                </c:pt>
                <c:pt idx="33">
                  <c:v>2.5818744857908269E-3</c:v>
                </c:pt>
                <c:pt idx="34">
                  <c:v>2.244963949168836E-3</c:v>
                </c:pt>
                <c:pt idx="35">
                  <c:v>9.7466217053261467E-4</c:v>
                </c:pt>
                <c:pt idx="36">
                  <c:v>2.6154889627482531E-3</c:v>
                </c:pt>
                <c:pt idx="37">
                  <c:v>2.9896854370468542E-3</c:v>
                </c:pt>
                <c:pt idx="38">
                  <c:v>2.1258827827944447E-3</c:v>
                </c:pt>
                <c:pt idx="39">
                  <c:v>1.9570106495685443E-3</c:v>
                </c:pt>
                <c:pt idx="40">
                  <c:v>3.0213150561422758E-3</c:v>
                </c:pt>
                <c:pt idx="41">
                  <c:v>4.0641768688217604E-4</c:v>
                </c:pt>
                <c:pt idx="42">
                  <c:v>2.8272501439141218E-3</c:v>
                </c:pt>
                <c:pt idx="43">
                  <c:v>4.865690053248605E-3</c:v>
                </c:pt>
                <c:pt idx="44">
                  <c:v>2.1700841560913723E-4</c:v>
                </c:pt>
                <c:pt idx="45">
                  <c:v>1.1962323682103606E-3</c:v>
                </c:pt>
                <c:pt idx="46">
                  <c:v>3.1732070913695809E-4</c:v>
                </c:pt>
                <c:pt idx="47">
                  <c:v>7.3538839911392487E-4</c:v>
                </c:pt>
                <c:pt idx="48">
                  <c:v>9.2633674684699323E-5</c:v>
                </c:pt>
                <c:pt idx="49">
                  <c:v>3.0821317925867577E-4</c:v>
                </c:pt>
                <c:pt idx="50">
                  <c:v>1.1544472974055787E-3</c:v>
                </c:pt>
                <c:pt idx="51">
                  <c:v>7.9768965777427675E-4</c:v>
                </c:pt>
                <c:pt idx="52">
                  <c:v>7.2007329535415401E-4</c:v>
                </c:pt>
                <c:pt idx="53">
                  <c:v>3.577430768201635E-4</c:v>
                </c:pt>
                <c:pt idx="54">
                  <c:v>4.8339909813421139E-4</c:v>
                </c:pt>
                <c:pt idx="55">
                  <c:v>5.0644974507882651E-4</c:v>
                </c:pt>
                <c:pt idx="56">
                  <c:v>2.3302914001767797E-4</c:v>
                </c:pt>
                <c:pt idx="57">
                  <c:v>1.7509357501554349E-3</c:v>
                </c:pt>
                <c:pt idx="58">
                  <c:v>1.0658514795411885E-3</c:v>
                </c:pt>
                <c:pt idx="59">
                  <c:v>0</c:v>
                </c:pt>
                <c:pt idx="60">
                  <c:v>1.3386635090165627E-4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7.2502450718715727E-3</c:v>
                </c:pt>
                <c:pt idx="1">
                  <c:v>4.3319486368180449E-2</c:v>
                </c:pt>
                <c:pt idx="2">
                  <c:v>2.5162329784239695E-2</c:v>
                </c:pt>
                <c:pt idx="3">
                  <c:v>3.9228484630839264E-2</c:v>
                </c:pt>
                <c:pt idx="4">
                  <c:v>5.5473595325678679E-2</c:v>
                </c:pt>
                <c:pt idx="5">
                  <c:v>6.7465131853519808E-2</c:v>
                </c:pt>
                <c:pt idx="6">
                  <c:v>7.1968630800438707E-2</c:v>
                </c:pt>
                <c:pt idx="7">
                  <c:v>7.1446943153031614E-2</c:v>
                </c:pt>
                <c:pt idx="8">
                  <c:v>6.6829400859935356E-2</c:v>
                </c:pt>
                <c:pt idx="9">
                  <c:v>6.1139365821937089E-2</c:v>
                </c:pt>
                <c:pt idx="10">
                  <c:v>5.4233677242771595E-2</c:v>
                </c:pt>
                <c:pt idx="11">
                  <c:v>4.7808426590055422E-2</c:v>
                </c:pt>
                <c:pt idx="12">
                  <c:v>4.2494491949025048E-2</c:v>
                </c:pt>
                <c:pt idx="13">
                  <c:v>3.7563937067484544E-2</c:v>
                </c:pt>
                <c:pt idx="14">
                  <c:v>3.378109501023964E-2</c:v>
                </c:pt>
                <c:pt idx="15">
                  <c:v>2.9981267773776823E-2</c:v>
                </c:pt>
                <c:pt idx="16">
                  <c:v>2.5121080063281925E-2</c:v>
                </c:pt>
                <c:pt idx="17">
                  <c:v>2.2481097921984647E-2</c:v>
                </c:pt>
                <c:pt idx="18">
                  <c:v>1.9911482951732975E-2</c:v>
                </c:pt>
                <c:pt idx="19">
                  <c:v>1.7002164397123196E-2</c:v>
                </c:pt>
                <c:pt idx="20">
                  <c:v>1.5342469742116451E-2</c:v>
                </c:pt>
                <c:pt idx="21">
                  <c:v>1.3794391979113082E-2</c:v>
                </c:pt>
                <c:pt idx="22">
                  <c:v>1.2450136366724578E-2</c:v>
                </c:pt>
                <c:pt idx="23">
                  <c:v>1.1210218283817491E-2</c:v>
                </c:pt>
                <c:pt idx="24">
                  <c:v>1.0047946734477972E-2</c:v>
                </c:pt>
                <c:pt idx="25">
                  <c:v>8.6211916801739279E-3</c:v>
                </c:pt>
                <c:pt idx="26">
                  <c:v>7.8059030777144741E-3</c:v>
                </c:pt>
                <c:pt idx="27">
                  <c:v>7.2332598926536677E-3</c:v>
                </c:pt>
                <c:pt idx="28">
                  <c:v>6.4495151944560375E-3</c:v>
                </c:pt>
                <c:pt idx="29">
                  <c:v>5.7312847589560427E-3</c:v>
                </c:pt>
                <c:pt idx="30">
                  <c:v>5.1659209364171947E-3</c:v>
                </c:pt>
                <c:pt idx="31">
                  <c:v>4.784967631101319E-3</c:v>
                </c:pt>
                <c:pt idx="32">
                  <c:v>4.3482058797837545E-3</c:v>
                </c:pt>
                <c:pt idx="33">
                  <c:v>3.9478409410759864E-3</c:v>
                </c:pt>
                <c:pt idx="34">
                  <c:v>3.6057109025438945E-3</c:v>
                </c:pt>
                <c:pt idx="35">
                  <c:v>3.1422581553124788E-3</c:v>
                </c:pt>
                <c:pt idx="36">
                  <c:v>2.8656423794780213E-3</c:v>
                </c:pt>
                <c:pt idx="37">
                  <c:v>2.5817472411216041E-3</c:v>
                </c:pt>
                <c:pt idx="38">
                  <c:v>2.4846890741621452E-3</c:v>
                </c:pt>
                <c:pt idx="39">
                  <c:v>2.1595442148479582E-3</c:v>
                </c:pt>
                <c:pt idx="40">
                  <c:v>1.9605749725810678E-3</c:v>
                </c:pt>
                <c:pt idx="41">
                  <c:v>1.6184449340489755E-3</c:v>
                </c:pt>
                <c:pt idx="42">
                  <c:v>1.5917539381351243E-3</c:v>
                </c:pt>
                <c:pt idx="43">
                  <c:v>1.5068280420455979E-3</c:v>
                </c:pt>
                <c:pt idx="44">
                  <c:v>1.4097698750861391E-3</c:v>
                </c:pt>
                <c:pt idx="45">
                  <c:v>1.1428599159476274E-3</c:v>
                </c:pt>
                <c:pt idx="46">
                  <c:v>1.0288165697702634E-3</c:v>
                </c:pt>
                <c:pt idx="47">
                  <c:v>9.5602294455066918E-4</c:v>
                </c:pt>
                <c:pt idx="48">
                  <c:v>9.002144985489804E-4</c:v>
                </c:pt>
                <c:pt idx="49">
                  <c:v>9.0264095272296683E-4</c:v>
                </c:pt>
                <c:pt idx="50">
                  <c:v>7.0852461880404922E-4</c:v>
                </c:pt>
                <c:pt idx="51">
                  <c:v>6.9396589376013041E-4</c:v>
                </c:pt>
                <c:pt idx="52">
                  <c:v>6.4058390193242807E-4</c:v>
                </c:pt>
                <c:pt idx="53">
                  <c:v>6.5756908115033341E-4</c:v>
                </c:pt>
                <c:pt idx="54">
                  <c:v>5.0955537653715874E-4</c:v>
                </c:pt>
                <c:pt idx="55">
                  <c:v>6.0418708932263106E-4</c:v>
                </c:pt>
                <c:pt idx="56">
                  <c:v>5.5080509749492871E-4</c:v>
                </c:pt>
                <c:pt idx="57">
                  <c:v>4.2705593462161873E-4</c:v>
                </c:pt>
                <c:pt idx="58">
                  <c:v>4.5617338470945639E-4</c:v>
                </c:pt>
                <c:pt idx="59">
                  <c:v>5.1926119323310457E-4</c:v>
                </c:pt>
                <c:pt idx="60">
                  <c:v>3.5911521774999758E-4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0.16263366575857918</c:v>
                </c:pt>
                <c:pt idx="1">
                  <c:v>0.2088933469812041</c:v>
                </c:pt>
                <c:pt idx="2">
                  <c:v>0.14642354040859537</c:v>
                </c:pt>
                <c:pt idx="3">
                  <c:v>9.6140765026358432E-2</c:v>
                </c:pt>
                <c:pt idx="4">
                  <c:v>6.8697468901875489E-2</c:v>
                </c:pt>
                <c:pt idx="5">
                  <c:v>5.6467047074187558E-2</c:v>
                </c:pt>
                <c:pt idx="6">
                  <c:v>7.124083950760518E-2</c:v>
                </c:pt>
                <c:pt idx="7">
                  <c:v>3.022556978672411E-2</c:v>
                </c:pt>
                <c:pt idx="8">
                  <c:v>2.6413873193171965E-2</c:v>
                </c:pt>
                <c:pt idx="9">
                  <c:v>1.6926362062973929E-2</c:v>
                </c:pt>
                <c:pt idx="10">
                  <c:v>1.3040128881838644E-2</c:v>
                </c:pt>
                <c:pt idx="11">
                  <c:v>5.3385898188461067E-3</c:v>
                </c:pt>
                <c:pt idx="12">
                  <c:v>6.1657907906959531E-3</c:v>
                </c:pt>
                <c:pt idx="13">
                  <c:v>8.9240464408436443E-3</c:v>
                </c:pt>
                <c:pt idx="14">
                  <c:v>1.8094885886613721E-2</c:v>
                </c:pt>
                <c:pt idx="15">
                  <c:v>1.0979593349158335E-2</c:v>
                </c:pt>
                <c:pt idx="16">
                  <c:v>5.0094035446105693E-3</c:v>
                </c:pt>
                <c:pt idx="17">
                  <c:v>4.2392349330453499E-3</c:v>
                </c:pt>
                <c:pt idx="18">
                  <c:v>7.7973912953879943E-3</c:v>
                </c:pt>
                <c:pt idx="19">
                  <c:v>4.2100909956441424E-4</c:v>
                </c:pt>
                <c:pt idx="20">
                  <c:v>4.0797717341442257E-3</c:v>
                </c:pt>
                <c:pt idx="21">
                  <c:v>2.5438994403976776E-3</c:v>
                </c:pt>
                <c:pt idx="22">
                  <c:v>1.822428363244069E-3</c:v>
                </c:pt>
                <c:pt idx="23">
                  <c:v>1.72255803127239E-3</c:v>
                </c:pt>
                <c:pt idx="24">
                  <c:v>1.0944520164477109E-3</c:v>
                </c:pt>
                <c:pt idx="25">
                  <c:v>9.4130856551948049E-4</c:v>
                </c:pt>
                <c:pt idx="26">
                  <c:v>3.8832165874274774E-3</c:v>
                </c:pt>
                <c:pt idx="27">
                  <c:v>1.9282056883097795E-3</c:v>
                </c:pt>
                <c:pt idx="28">
                  <c:v>3.6169421578063156E-4</c:v>
                </c:pt>
                <c:pt idx="29">
                  <c:v>5.8489818757183091E-3</c:v>
                </c:pt>
                <c:pt idx="30">
                  <c:v>1.2973599200328254E-3</c:v>
                </c:pt>
                <c:pt idx="31">
                  <c:v>1.3341088334102805E-3</c:v>
                </c:pt>
                <c:pt idx="32">
                  <c:v>2.0384944317853571E-3</c:v>
                </c:pt>
                <c:pt idx="33">
                  <c:v>2.4846528713290995E-3</c:v>
                </c:pt>
                <c:pt idx="34">
                  <c:v>8.942250544229707E-4</c:v>
                </c:pt>
                <c:pt idx="35">
                  <c:v>0</c:v>
                </c:pt>
                <c:pt idx="36">
                  <c:v>1.4794061455566761E-4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2.0090346347866545E-3</c:v>
                </c:pt>
                <c:pt idx="41">
                  <c:v>0</c:v>
                </c:pt>
                <c:pt idx="42">
                  <c:v>1.2189666717050637E-3</c:v>
                </c:pt>
                <c:pt idx="43">
                  <c:v>0</c:v>
                </c:pt>
                <c:pt idx="44">
                  <c:v>0</c:v>
                </c:pt>
                <c:pt idx="45">
                  <c:v>2.7614770782971332E-4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0.17460060760780419</c:v>
                </c:pt>
                <c:pt idx="1">
                  <c:v>0.14286869433630978</c:v>
                </c:pt>
                <c:pt idx="2">
                  <c:v>0.13251086801664952</c:v>
                </c:pt>
                <c:pt idx="3">
                  <c:v>0.11836030603718806</c:v>
                </c:pt>
                <c:pt idx="4">
                  <c:v>8.8338011682395925E-2</c:v>
                </c:pt>
                <c:pt idx="5">
                  <c:v>6.9917252904234381E-2</c:v>
                </c:pt>
                <c:pt idx="6">
                  <c:v>5.1723673216355355E-2</c:v>
                </c:pt>
                <c:pt idx="7">
                  <c:v>3.9737088334161189E-2</c:v>
                </c:pt>
                <c:pt idx="8">
                  <c:v>3.1704959820104968E-2</c:v>
                </c:pt>
                <c:pt idx="9">
                  <c:v>2.6884142514448976E-2</c:v>
                </c:pt>
                <c:pt idx="10">
                  <c:v>2.1662873931006865E-2</c:v>
                </c:pt>
                <c:pt idx="11">
                  <c:v>1.7993354048985971E-2</c:v>
                </c:pt>
                <c:pt idx="12">
                  <c:v>1.5721563146160866E-2</c:v>
                </c:pt>
                <c:pt idx="13">
                  <c:v>1.1982734389138529E-2</c:v>
                </c:pt>
                <c:pt idx="14">
                  <c:v>9.8303087710381321E-3</c:v>
                </c:pt>
                <c:pt idx="15">
                  <c:v>7.6547801946039188E-3</c:v>
                </c:pt>
                <c:pt idx="16">
                  <c:v>6.3956689654110213E-3</c:v>
                </c:pt>
                <c:pt idx="17">
                  <c:v>5.0094914653821421E-3</c:v>
                </c:pt>
                <c:pt idx="18">
                  <c:v>3.8966989723034032E-3</c:v>
                </c:pt>
                <c:pt idx="19">
                  <c:v>3.411536847293296E-3</c:v>
                </c:pt>
                <c:pt idx="20">
                  <c:v>2.7338500695013998E-3</c:v>
                </c:pt>
                <c:pt idx="21">
                  <c:v>2.4027076667167231E-3</c:v>
                </c:pt>
                <c:pt idx="22">
                  <c:v>2.1023692083771326E-3</c:v>
                </c:pt>
                <c:pt idx="23">
                  <c:v>1.7866287778149992E-3</c:v>
                </c:pt>
                <c:pt idx="24">
                  <c:v>1.5941041250332104E-3</c:v>
                </c:pt>
                <c:pt idx="25">
                  <c:v>1.3399715833612494E-3</c:v>
                </c:pt>
                <c:pt idx="26">
                  <c:v>1.1204934791900103E-3</c:v>
                </c:pt>
                <c:pt idx="27">
                  <c:v>1.0203806597434801E-3</c:v>
                </c:pt>
                <c:pt idx="28">
                  <c:v>1.0280816458547518E-3</c:v>
                </c:pt>
                <c:pt idx="29">
                  <c:v>8.124540347391483E-4</c:v>
                </c:pt>
                <c:pt idx="30">
                  <c:v>6.0067691667918077E-4</c:v>
                </c:pt>
                <c:pt idx="31">
                  <c:v>4.9286311112137909E-4</c:v>
                </c:pt>
                <c:pt idx="32">
                  <c:v>4.8131163195447177E-4</c:v>
                </c:pt>
                <c:pt idx="33">
                  <c:v>3.4654437500721968E-4</c:v>
                </c:pt>
                <c:pt idx="34">
                  <c:v>2.541325416719611E-4</c:v>
                </c:pt>
                <c:pt idx="35">
                  <c:v>2.38730569449418E-4</c:v>
                </c:pt>
                <c:pt idx="36">
                  <c:v>2.5028204861632532E-4</c:v>
                </c:pt>
                <c:pt idx="37">
                  <c:v>1.8867415972615293E-4</c:v>
                </c:pt>
                <c:pt idx="38">
                  <c:v>1.5787021528106674E-4</c:v>
                </c:pt>
                <c:pt idx="39">
                  <c:v>8.8561340279622806E-5</c:v>
                </c:pt>
                <c:pt idx="40">
                  <c:v>1.0011281944653013E-4</c:v>
                </c:pt>
                <c:pt idx="41">
                  <c:v>1.0781380555780168E-4</c:v>
                </c:pt>
                <c:pt idx="42">
                  <c:v>5.0056409723265064E-5</c:v>
                </c:pt>
                <c:pt idx="43">
                  <c:v>1.039633125021659E-4</c:v>
                </c:pt>
                <c:pt idx="44">
                  <c:v>3.4654437500721968E-5</c:v>
                </c:pt>
                <c:pt idx="45">
                  <c:v>6.9308875001443935E-5</c:v>
                </c:pt>
                <c:pt idx="46">
                  <c:v>6.5458381945808161E-5</c:v>
                </c:pt>
                <c:pt idx="47">
                  <c:v>1.9252465278178871E-5</c:v>
                </c:pt>
                <c:pt idx="48">
                  <c:v>3.0803944445086193E-5</c:v>
                </c:pt>
                <c:pt idx="49">
                  <c:v>2.6953451389450419E-5</c:v>
                </c:pt>
                <c:pt idx="50">
                  <c:v>3.4654437500721968E-5</c:v>
                </c:pt>
                <c:pt idx="51">
                  <c:v>2.6953451389450419E-5</c:v>
                </c:pt>
                <c:pt idx="52">
                  <c:v>2.3102958333814645E-5</c:v>
                </c:pt>
                <c:pt idx="53">
                  <c:v>7.7009861112715483E-6</c:v>
                </c:pt>
                <c:pt idx="54">
                  <c:v>2.3102958333814645E-5</c:v>
                </c:pt>
                <c:pt idx="55">
                  <c:v>3.8504930556357742E-6</c:v>
                </c:pt>
                <c:pt idx="56">
                  <c:v>0</c:v>
                </c:pt>
                <c:pt idx="57">
                  <c:v>0</c:v>
                </c:pt>
                <c:pt idx="58">
                  <c:v>3.8504930556357742E-6</c:v>
                </c:pt>
                <c:pt idx="59">
                  <c:v>3.8504930556357742E-6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52622823555506"/>
          <c:y val="7.8319845435987162E-2"/>
          <c:w val="0.20034046800487967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4.7724531469441559E-3</c:v>
                </c:pt>
                <c:pt idx="3">
                  <c:v>6.404532508877768E-2</c:v>
                </c:pt>
                <c:pt idx="4">
                  <c:v>9.0967422483202068E-2</c:v>
                </c:pt>
                <c:pt idx="5">
                  <c:v>0.11782629293420285</c:v>
                </c:pt>
                <c:pt idx="6">
                  <c:v>8.0828981527588578E-2</c:v>
                </c:pt>
                <c:pt idx="7">
                  <c:v>0.10139703083321426</c:v>
                </c:pt>
                <c:pt idx="8">
                  <c:v>7.0648702648482109E-2</c:v>
                </c:pt>
                <c:pt idx="9">
                  <c:v>5.3246506933629083E-2</c:v>
                </c:pt>
                <c:pt idx="10">
                  <c:v>3.9480886801118033E-2</c:v>
                </c:pt>
                <c:pt idx="11">
                  <c:v>2.8314058067203419E-2</c:v>
                </c:pt>
                <c:pt idx="12">
                  <c:v>4.1425311452045394E-2</c:v>
                </c:pt>
                <c:pt idx="13">
                  <c:v>3.3714338808825399E-2</c:v>
                </c:pt>
                <c:pt idx="14">
                  <c:v>2.5222461379721641E-2</c:v>
                </c:pt>
                <c:pt idx="15">
                  <c:v>3.6470422521373773E-2</c:v>
                </c:pt>
                <c:pt idx="16">
                  <c:v>1.5284740652000873E-2</c:v>
                </c:pt>
                <c:pt idx="17">
                  <c:v>2.4089286393506344E-2</c:v>
                </c:pt>
                <c:pt idx="18">
                  <c:v>1.9824753468748301E-2</c:v>
                </c:pt>
                <c:pt idx="19">
                  <c:v>1.5905403021241212E-2</c:v>
                </c:pt>
                <c:pt idx="20">
                  <c:v>1.393620798903423E-2</c:v>
                </c:pt>
                <c:pt idx="21">
                  <c:v>8.2988780101454496E-3</c:v>
                </c:pt>
                <c:pt idx="22">
                  <c:v>1.0612923607789065E-2</c:v>
                </c:pt>
                <c:pt idx="23">
                  <c:v>1.852843114758437E-3</c:v>
                </c:pt>
                <c:pt idx="24">
                  <c:v>7.0817431976347971E-3</c:v>
                </c:pt>
                <c:pt idx="25">
                  <c:v>3.8046041230897837E-3</c:v>
                </c:pt>
                <c:pt idx="26">
                  <c:v>4.5797253435592147E-3</c:v>
                </c:pt>
                <c:pt idx="27">
                  <c:v>5.8914268702355685E-3</c:v>
                </c:pt>
                <c:pt idx="28">
                  <c:v>8.445062611538429E-3</c:v>
                </c:pt>
                <c:pt idx="29">
                  <c:v>4.8740941312023611E-4</c:v>
                </c:pt>
                <c:pt idx="30">
                  <c:v>2.833914841514421E-3</c:v>
                </c:pt>
                <c:pt idx="31">
                  <c:v>3.9654655112642823E-3</c:v>
                </c:pt>
                <c:pt idx="32">
                  <c:v>9.904563389541445E-4</c:v>
                </c:pt>
                <c:pt idx="33">
                  <c:v>7.8912547591608144E-3</c:v>
                </c:pt>
                <c:pt idx="34">
                  <c:v>1.2321837786663459E-2</c:v>
                </c:pt>
                <c:pt idx="35">
                  <c:v>1.7696606694836169E-3</c:v>
                </c:pt>
                <c:pt idx="36">
                  <c:v>1.8646632826753633E-3</c:v>
                </c:pt>
                <c:pt idx="37">
                  <c:v>3.4879703441250344E-3</c:v>
                </c:pt>
                <c:pt idx="38">
                  <c:v>0</c:v>
                </c:pt>
                <c:pt idx="39">
                  <c:v>3.1351592755827606E-4</c:v>
                </c:pt>
                <c:pt idx="40">
                  <c:v>3.0270962694862887E-3</c:v>
                </c:pt>
                <c:pt idx="41">
                  <c:v>1.4924869238007691E-3</c:v>
                </c:pt>
                <c:pt idx="42">
                  <c:v>2.5850422536170272E-4</c:v>
                </c:pt>
                <c:pt idx="43">
                  <c:v>5.6881895365477253E-3</c:v>
                </c:pt>
                <c:pt idx="44">
                  <c:v>1.1004923229002339E-3</c:v>
                </c:pt>
                <c:pt idx="45">
                  <c:v>1.9666021391518372E-3</c:v>
                </c:pt>
                <c:pt idx="46">
                  <c:v>1.6250487420271171E-4</c:v>
                </c:pt>
                <c:pt idx="47">
                  <c:v>3.8720434437520541E-3</c:v>
                </c:pt>
                <c:pt idx="48">
                  <c:v>0</c:v>
                </c:pt>
                <c:pt idx="49">
                  <c:v>1.3268497960255046E-3</c:v>
                </c:pt>
                <c:pt idx="50">
                  <c:v>1.2539656210235083E-3</c:v>
                </c:pt>
                <c:pt idx="51">
                  <c:v>1.5969119119072293E-3</c:v>
                </c:pt>
                <c:pt idx="52">
                  <c:v>2.2629032098705612E-3</c:v>
                </c:pt>
                <c:pt idx="53">
                  <c:v>2.8910782647252478E-4</c:v>
                </c:pt>
                <c:pt idx="54">
                  <c:v>3.8504233988802256E-4</c:v>
                </c:pt>
                <c:pt idx="55">
                  <c:v>0</c:v>
                </c:pt>
                <c:pt idx="56">
                  <c:v>2.5517134788118809E-3</c:v>
                </c:pt>
                <c:pt idx="57">
                  <c:v>1.3007959016190691E-3</c:v>
                </c:pt>
                <c:pt idx="58">
                  <c:v>0</c:v>
                </c:pt>
                <c:pt idx="59">
                  <c:v>2.0090346347866554E-3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5.6140188751169591E-3</c:v>
                </c:pt>
                <c:pt idx="1">
                  <c:v>4.9436480341307702E-2</c:v>
                </c:pt>
                <c:pt idx="2">
                  <c:v>2.1266273146276382E-2</c:v>
                </c:pt>
                <c:pt idx="3">
                  <c:v>3.0453549577023339E-2</c:v>
                </c:pt>
                <c:pt idx="4">
                  <c:v>4.5805465389843168E-2</c:v>
                </c:pt>
                <c:pt idx="5">
                  <c:v>5.7603376112311179E-2</c:v>
                </c:pt>
                <c:pt idx="6">
                  <c:v>6.3340610765208485E-2</c:v>
                </c:pt>
                <c:pt idx="7">
                  <c:v>6.7044785084730094E-2</c:v>
                </c:pt>
                <c:pt idx="8">
                  <c:v>6.4480356709676667E-2</c:v>
                </c:pt>
                <c:pt idx="9">
                  <c:v>6.0899398167935402E-2</c:v>
                </c:pt>
                <c:pt idx="10">
                  <c:v>5.5258425841428996E-2</c:v>
                </c:pt>
                <c:pt idx="11">
                  <c:v>5.1365577362181225E-2</c:v>
                </c:pt>
                <c:pt idx="12">
                  <c:v>4.7503532827378549E-2</c:v>
                </c:pt>
                <c:pt idx="13">
                  <c:v>4.2151347480044822E-2</c:v>
                </c:pt>
                <c:pt idx="14">
                  <c:v>3.8481827598023925E-2</c:v>
                </c:pt>
                <c:pt idx="15">
                  <c:v>3.3580149938199584E-2</c:v>
                </c:pt>
                <c:pt idx="16">
                  <c:v>2.9232943278386797E-2</c:v>
                </c:pt>
                <c:pt idx="17">
                  <c:v>2.6040884535264739E-2</c:v>
                </c:pt>
                <c:pt idx="18">
                  <c:v>2.2841124806031413E-2</c:v>
                </c:pt>
                <c:pt idx="19">
                  <c:v>1.9776132333745335E-2</c:v>
                </c:pt>
                <c:pt idx="20">
                  <c:v>1.7827782847593635E-2</c:v>
                </c:pt>
                <c:pt idx="21">
                  <c:v>1.5640702791992516E-2</c:v>
                </c:pt>
                <c:pt idx="22">
                  <c:v>1.3653848375284456E-2</c:v>
                </c:pt>
                <c:pt idx="23">
                  <c:v>1.2552607361372623E-2</c:v>
                </c:pt>
                <c:pt idx="24">
                  <c:v>1.1074018028008486E-2</c:v>
                </c:pt>
                <c:pt idx="25">
                  <c:v>9.7995048265930446E-3</c:v>
                </c:pt>
                <c:pt idx="26">
                  <c:v>8.5365431043445111E-3</c:v>
                </c:pt>
                <c:pt idx="27">
                  <c:v>7.5739198404355676E-3</c:v>
                </c:pt>
                <c:pt idx="28">
                  <c:v>6.722960875140062E-3</c:v>
                </c:pt>
                <c:pt idx="29">
                  <c:v>5.9182078265121851E-3</c:v>
                </c:pt>
                <c:pt idx="30">
                  <c:v>5.6101683820613231E-3</c:v>
                </c:pt>
                <c:pt idx="31">
                  <c:v>4.6051896945403861E-3</c:v>
                </c:pt>
                <c:pt idx="32">
                  <c:v>4.2701967987000735E-3</c:v>
                </c:pt>
                <c:pt idx="33">
                  <c:v>3.9159514375815821E-3</c:v>
                </c:pt>
                <c:pt idx="34">
                  <c:v>3.5463041042405482E-3</c:v>
                </c:pt>
                <c:pt idx="35">
                  <c:v>3.0572914861748046E-3</c:v>
                </c:pt>
                <c:pt idx="36">
                  <c:v>2.9533281736726386E-3</c:v>
                </c:pt>
                <c:pt idx="37">
                  <c:v>2.5644283750534255E-3</c:v>
                </c:pt>
                <c:pt idx="38">
                  <c:v>2.3449502708821866E-3</c:v>
                </c:pt>
                <c:pt idx="39">
                  <c:v>2.2217344931018419E-3</c:v>
                </c:pt>
                <c:pt idx="40">
                  <c:v>1.8867415972615292E-3</c:v>
                </c:pt>
                <c:pt idx="41">
                  <c:v>1.6672634930902902E-3</c:v>
                </c:pt>
                <c:pt idx="42">
                  <c:v>1.4670378541972299E-3</c:v>
                </c:pt>
                <c:pt idx="43">
                  <c:v>1.4901408125310447E-3</c:v>
                </c:pt>
                <c:pt idx="44">
                  <c:v>1.1975033403027258E-3</c:v>
                </c:pt>
                <c:pt idx="45">
                  <c:v>1.0781380555780168E-3</c:v>
                </c:pt>
                <c:pt idx="46">
                  <c:v>9.7032425002021509E-4</c:v>
                </c:pt>
                <c:pt idx="47">
                  <c:v>1.0627360833554737E-3</c:v>
                </c:pt>
                <c:pt idx="48">
                  <c:v>8.3170650001732722E-4</c:v>
                </c:pt>
                <c:pt idx="49">
                  <c:v>7.7009861112715483E-4</c:v>
                </c:pt>
                <c:pt idx="50">
                  <c:v>7.0849072223698245E-4</c:v>
                </c:pt>
                <c:pt idx="51">
                  <c:v>6.0837790279045232E-4</c:v>
                </c:pt>
                <c:pt idx="52">
                  <c:v>5.2751754862210101E-4</c:v>
                </c:pt>
                <c:pt idx="53">
                  <c:v>5.7757395834536613E-4</c:v>
                </c:pt>
                <c:pt idx="54">
                  <c:v>6.7383628473626043E-4</c:v>
                </c:pt>
                <c:pt idx="55">
                  <c:v>5.7757395834536613E-4</c:v>
                </c:pt>
                <c:pt idx="56">
                  <c:v>4.620591666762929E-4</c:v>
                </c:pt>
                <c:pt idx="57">
                  <c:v>3.8504930556357742E-4</c:v>
                </c:pt>
                <c:pt idx="58">
                  <c:v>2.8878697917268306E-4</c:v>
                </c:pt>
                <c:pt idx="59">
                  <c:v>3.9660078473048474E-4</c:v>
                </c:pt>
                <c:pt idx="60">
                  <c:v>3.4654437500721968E-4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</a:t>
            </a:r>
            <a:r>
              <a:rPr baseline="0" lang="en-US"/>
              <a:t>/Recreation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0.11118412636938288</c:v>
                </c:pt>
                <c:pt idx="1">
                  <c:v>0.17115545791747075</c:v>
                </c:pt>
                <c:pt idx="2">
                  <c:v>0.11745280827751023</c:v>
                </c:pt>
                <c:pt idx="3">
                  <c:v>0.10422814794961829</c:v>
                </c:pt>
                <c:pt idx="4">
                  <c:v>5.6771416304561145E-2</c:v>
                </c:pt>
                <c:pt idx="5">
                  <c:v>5.0001312917891026E-2</c:v>
                </c:pt>
                <c:pt idx="6">
                  <c:v>5.0362336455358987E-2</c:v>
                </c:pt>
                <c:pt idx="7">
                  <c:v>4.7175293436734565E-2</c:v>
                </c:pt>
                <c:pt idx="8">
                  <c:v>4.0030697650766806E-2</c:v>
                </c:pt>
                <c:pt idx="9">
                  <c:v>4.2049388515428922E-2</c:v>
                </c:pt>
                <c:pt idx="10">
                  <c:v>3.8320788757036206E-2</c:v>
                </c:pt>
                <c:pt idx="11">
                  <c:v>2.4601747665460937E-2</c:v>
                </c:pt>
                <c:pt idx="12">
                  <c:v>1.7420826145393094E-2</c:v>
                </c:pt>
                <c:pt idx="13">
                  <c:v>2.3438984069941816E-2</c:v>
                </c:pt>
                <c:pt idx="14">
                  <c:v>1.1191856268161783E-2</c:v>
                </c:pt>
                <c:pt idx="15">
                  <c:v>1.7317722568351217E-2</c:v>
                </c:pt>
                <c:pt idx="16">
                  <c:v>4.8582622541454316E-3</c:v>
                </c:pt>
                <c:pt idx="17">
                  <c:v>4.7334924110405546E-3</c:v>
                </c:pt>
                <c:pt idx="18">
                  <c:v>6.3631027560111615E-3</c:v>
                </c:pt>
                <c:pt idx="19">
                  <c:v>1.7408809905542029E-3</c:v>
                </c:pt>
                <c:pt idx="20">
                  <c:v>3.3449854894169024E-3</c:v>
                </c:pt>
                <c:pt idx="21">
                  <c:v>7.3770231472468709E-3</c:v>
                </c:pt>
                <c:pt idx="22">
                  <c:v>5.8761117282501154E-3</c:v>
                </c:pt>
                <c:pt idx="23">
                  <c:v>7.7502854630309374E-3</c:v>
                </c:pt>
                <c:pt idx="24">
                  <c:v>7.8356699169786961E-3</c:v>
                </c:pt>
                <c:pt idx="25">
                  <c:v>4.1778847608902213E-3</c:v>
                </c:pt>
                <c:pt idx="26">
                  <c:v>2.4610177535149794E-3</c:v>
                </c:pt>
                <c:pt idx="27">
                  <c:v>1.3605064721114656E-3</c:v>
                </c:pt>
                <c:pt idx="28">
                  <c:v>8.9719835582773087E-4</c:v>
                </c:pt>
                <c:pt idx="29">
                  <c:v>4.1309924801539652E-4</c:v>
                </c:pt>
                <c:pt idx="30">
                  <c:v>2.1299591920920656E-4</c:v>
                </c:pt>
                <c:pt idx="31">
                  <c:v>2.5802868382206606E-3</c:v>
                </c:pt>
                <c:pt idx="32">
                  <c:v>2.9895399352820023E-3</c:v>
                </c:pt>
                <c:pt idx="33">
                  <c:v>3.1136485332015386E-4</c:v>
                </c:pt>
                <c:pt idx="34">
                  <c:v>0</c:v>
                </c:pt>
                <c:pt idx="35">
                  <c:v>0</c:v>
                </c:pt>
                <c:pt idx="36">
                  <c:v>1.6825402304079984E-3</c:v>
                </c:pt>
                <c:pt idx="37">
                  <c:v>4.1340038233614422E-3</c:v>
                </c:pt>
                <c:pt idx="38">
                  <c:v>2.1834122582206945E-4</c:v>
                </c:pt>
                <c:pt idx="39">
                  <c:v>0</c:v>
                </c:pt>
                <c:pt idx="40">
                  <c:v>0</c:v>
                </c:pt>
                <c:pt idx="41">
                  <c:v>5.3604450010814189E-3</c:v>
                </c:pt>
                <c:pt idx="42">
                  <c:v>6.1805015719147097E-4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0.15872173178270441</c:v>
                </c:pt>
                <c:pt idx="1">
                  <c:v>0.1485763047297147</c:v>
                </c:pt>
                <c:pt idx="2">
                  <c:v>0.1325326321407129</c:v>
                </c:pt>
                <c:pt idx="3">
                  <c:v>0.11313124013252986</c:v>
                </c:pt>
                <c:pt idx="4">
                  <c:v>8.6344533143581426E-2</c:v>
                </c:pt>
                <c:pt idx="5">
                  <c:v>6.6868092770896795E-2</c:v>
                </c:pt>
                <c:pt idx="6">
                  <c:v>4.9973872050877229E-2</c:v>
                </c:pt>
                <c:pt idx="7">
                  <c:v>3.7885526228013611E-2</c:v>
                </c:pt>
                <c:pt idx="8">
                  <c:v>2.8162593671477176E-2</c:v>
                </c:pt>
                <c:pt idx="9">
                  <c:v>2.278134797980921E-2</c:v>
                </c:pt>
                <c:pt idx="10">
                  <c:v>1.9281870538791667E-2</c:v>
                </c:pt>
                <c:pt idx="11">
                  <c:v>1.7469591514531587E-2</c:v>
                </c:pt>
                <c:pt idx="12">
                  <c:v>1.5876898445664984E-2</c:v>
                </c:pt>
                <c:pt idx="13">
                  <c:v>1.2883302572769118E-2</c:v>
                </c:pt>
                <c:pt idx="14">
                  <c:v>1.1323964332569878E-2</c:v>
                </c:pt>
                <c:pt idx="15">
                  <c:v>9.6617820373129347E-3</c:v>
                </c:pt>
                <c:pt idx="16">
                  <c:v>8.650018901069579E-3</c:v>
                </c:pt>
                <c:pt idx="17">
                  <c:v>7.5493095550465857E-3</c:v>
                </c:pt>
                <c:pt idx="18">
                  <c:v>6.6793044406395236E-3</c:v>
                </c:pt>
                <c:pt idx="19">
                  <c:v>5.548019835004781E-3</c:v>
                </c:pt>
                <c:pt idx="20">
                  <c:v>4.7919770518778772E-3</c:v>
                </c:pt>
                <c:pt idx="21">
                  <c:v>4.6502190300415826E-3</c:v>
                </c:pt>
                <c:pt idx="22">
                  <c:v>3.8608214182473148E-3</c:v>
                </c:pt>
                <c:pt idx="23">
                  <c:v>3.4994774410175445E-3</c:v>
                </c:pt>
                <c:pt idx="24">
                  <c:v>3.1019990660647971E-3</c:v>
                </c:pt>
                <c:pt idx="25">
                  <c:v>2.7267572435569591E-3</c:v>
                </c:pt>
                <c:pt idx="26">
                  <c:v>2.2820261946587799E-3</c:v>
                </c:pt>
                <c:pt idx="27">
                  <c:v>2.318160592381757E-3</c:v>
                </c:pt>
                <c:pt idx="28">
                  <c:v>1.8178381623713059E-3</c:v>
                </c:pt>
                <c:pt idx="29">
                  <c:v>1.7066554001467613E-3</c:v>
                </c:pt>
                <c:pt idx="30">
                  <c:v>1.4259189255297858E-3</c:v>
                </c:pt>
                <c:pt idx="31">
                  <c:v>1.2035534010806964E-3</c:v>
                </c:pt>
                <c:pt idx="32">
                  <c:v>1.0284405505770384E-3</c:v>
                </c:pt>
                <c:pt idx="33">
                  <c:v>8.9502123590758488E-4</c:v>
                </c:pt>
                <c:pt idx="34">
                  <c:v>7.6994062840497215E-4</c:v>
                </c:pt>
                <c:pt idx="35">
                  <c:v>6.1984389940183677E-4</c:v>
                </c:pt>
                <c:pt idx="36">
                  <c:v>5.3923639678904185E-4</c:v>
                </c:pt>
                <c:pt idx="37">
                  <c:v>4.8086544662115588E-4</c:v>
                </c:pt>
                <c:pt idx="38">
                  <c:v>3.9747837495274734E-4</c:v>
                </c:pt>
                <c:pt idx="39">
                  <c:v>3.3076871761802051E-4</c:v>
                </c:pt>
                <c:pt idx="40">
                  <c:v>3.1131173422872517E-4</c:v>
                </c:pt>
                <c:pt idx="41">
                  <c:v>2.1402681728224855E-4</c:v>
                </c:pt>
                <c:pt idx="42">
                  <c:v>1.6677414333681707E-4</c:v>
                </c:pt>
                <c:pt idx="43">
                  <c:v>1.6399457428120345E-4</c:v>
                </c:pt>
                <c:pt idx="44">
                  <c:v>9.1725778835249379E-5</c:v>
                </c:pt>
                <c:pt idx="45">
                  <c:v>1.3063974561384003E-4</c:v>
                </c:pt>
                <c:pt idx="46">
                  <c:v>1.1952146939138557E-4</c:v>
                </c:pt>
                <c:pt idx="47">
                  <c:v>9.7284916946476619E-5</c:v>
                </c:pt>
                <c:pt idx="48">
                  <c:v>7.7827933557181292E-5</c:v>
                </c:pt>
                <c:pt idx="49">
                  <c:v>2.501612150052256E-5</c:v>
                </c:pt>
                <c:pt idx="50">
                  <c:v>4.4473104889817879E-5</c:v>
                </c:pt>
                <c:pt idx="51">
                  <c:v>3.3354828667363413E-5</c:v>
                </c:pt>
                <c:pt idx="52">
                  <c:v>4.1693535834204266E-5</c:v>
                </c:pt>
                <c:pt idx="53">
                  <c:v>1.6677414333681707E-5</c:v>
                </c:pt>
                <c:pt idx="54">
                  <c:v>1.9456983389295323E-5</c:v>
                </c:pt>
                <c:pt idx="55">
                  <c:v>8.3387071668408533E-6</c:v>
                </c:pt>
                <c:pt idx="56">
                  <c:v>1.6677414333681707E-5</c:v>
                </c:pt>
                <c:pt idx="57">
                  <c:v>1.9456983389295323E-5</c:v>
                </c:pt>
                <c:pt idx="58">
                  <c:v>1.9456983389295323E-5</c:v>
                </c:pt>
                <c:pt idx="59">
                  <c:v>5.5591381112272349E-6</c:v>
                </c:pt>
                <c:pt idx="60">
                  <c:v>5.5591381112272349E-6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587261099404822"/>
          <c:y val="7.8319845435987162E-2"/>
          <c:w val="0.20973013936638202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1.9067877309497005E-2</c:v>
                </c:pt>
                <c:pt idx="3">
                  <c:v>8.8039645981212042E-2</c:v>
                </c:pt>
                <c:pt idx="4">
                  <c:v>7.7922249128887233E-2</c:v>
                </c:pt>
                <c:pt idx="5">
                  <c:v>6.5516407391531084E-2</c:v>
                </c:pt>
                <c:pt idx="6">
                  <c:v>5.0158024949459E-2</c:v>
                </c:pt>
                <c:pt idx="7">
                  <c:v>6.0553351221956625E-2</c:v>
                </c:pt>
                <c:pt idx="8">
                  <c:v>7.2255672553550809E-2</c:v>
                </c:pt>
                <c:pt idx="9">
                  <c:v>5.9861129728320105E-2</c:v>
                </c:pt>
                <c:pt idx="10">
                  <c:v>4.4032507690755951E-2</c:v>
                </c:pt>
                <c:pt idx="11">
                  <c:v>2.5816409492810371E-2</c:v>
                </c:pt>
                <c:pt idx="12">
                  <c:v>2.6117522338746219E-2</c:v>
                </c:pt>
                <c:pt idx="13">
                  <c:v>3.8811030382058645E-2</c:v>
                </c:pt>
                <c:pt idx="14">
                  <c:v>1.9745451181935193E-2</c:v>
                </c:pt>
                <c:pt idx="15">
                  <c:v>3.5012096688638902E-2</c:v>
                </c:pt>
                <c:pt idx="16">
                  <c:v>1.2559257660526306E-2</c:v>
                </c:pt>
                <c:pt idx="17">
                  <c:v>4.5119025318398502E-2</c:v>
                </c:pt>
                <c:pt idx="18">
                  <c:v>2.7685147714411648E-2</c:v>
                </c:pt>
                <c:pt idx="19">
                  <c:v>1.9064451620018678E-2</c:v>
                </c:pt>
                <c:pt idx="20">
                  <c:v>1.5312366721606749E-2</c:v>
                </c:pt>
                <c:pt idx="21">
                  <c:v>1.3388040009411527E-2</c:v>
                </c:pt>
                <c:pt idx="22">
                  <c:v>9.658424045369849E-3</c:v>
                </c:pt>
                <c:pt idx="23">
                  <c:v>5.423623083861265E-3</c:v>
                </c:pt>
                <c:pt idx="24">
                  <c:v>1.1473201142768397E-2</c:v>
                </c:pt>
                <c:pt idx="25">
                  <c:v>1.454272363649484E-2</c:v>
                </c:pt>
                <c:pt idx="26">
                  <c:v>1.068777870480349E-2</c:v>
                </c:pt>
                <c:pt idx="27">
                  <c:v>9.2098848686887891E-3</c:v>
                </c:pt>
                <c:pt idx="28">
                  <c:v>1.2409825424640294E-2</c:v>
                </c:pt>
                <c:pt idx="29">
                  <c:v>5.9963396919009912E-3</c:v>
                </c:pt>
                <c:pt idx="30">
                  <c:v>9.9832480382606257E-3</c:v>
                </c:pt>
                <c:pt idx="31">
                  <c:v>4.800469411180024E-3</c:v>
                </c:pt>
                <c:pt idx="32">
                  <c:v>1.4091710055727518E-3</c:v>
                </c:pt>
                <c:pt idx="33">
                  <c:v>1.2577057116023367E-2</c:v>
                </c:pt>
                <c:pt idx="34">
                  <c:v>6.9002110341705386E-3</c:v>
                </c:pt>
                <c:pt idx="35">
                  <c:v>8.7763838121001116E-3</c:v>
                </c:pt>
                <c:pt idx="36">
                  <c:v>4.7421437790551137E-3</c:v>
                </c:pt>
                <c:pt idx="37">
                  <c:v>1.2005315098817225E-3</c:v>
                </c:pt>
                <c:pt idx="38">
                  <c:v>5.2400840370192634E-3</c:v>
                </c:pt>
                <c:pt idx="39">
                  <c:v>1.2022698300727609E-3</c:v>
                </c:pt>
                <c:pt idx="40">
                  <c:v>2.7575245911441032E-3</c:v>
                </c:pt>
                <c:pt idx="41">
                  <c:v>3.5476142009844237E-3</c:v>
                </c:pt>
                <c:pt idx="42">
                  <c:v>0</c:v>
                </c:pt>
                <c:pt idx="43">
                  <c:v>1.3134835373233254E-3</c:v>
                </c:pt>
                <c:pt idx="44">
                  <c:v>2.4268305443539632E-4</c:v>
                </c:pt>
                <c:pt idx="45">
                  <c:v>1.3220325196850707E-3</c:v>
                </c:pt>
                <c:pt idx="46">
                  <c:v>2.5722302076478919E-3</c:v>
                </c:pt>
                <c:pt idx="47">
                  <c:v>3.8957733809029033E-3</c:v>
                </c:pt>
                <c:pt idx="48">
                  <c:v>2.6759536161745012E-3</c:v>
                </c:pt>
                <c:pt idx="49">
                  <c:v>5.1745867509538817E-3</c:v>
                </c:pt>
                <c:pt idx="50">
                  <c:v>4.3733210918677507E-3</c:v>
                </c:pt>
                <c:pt idx="51">
                  <c:v>5.3921662865531544E-4</c:v>
                </c:pt>
                <c:pt idx="52">
                  <c:v>2.1299591920920656E-4</c:v>
                </c:pt>
                <c:pt idx="53">
                  <c:v>2.4672132160355833E-4</c:v>
                </c:pt>
                <c:pt idx="54">
                  <c:v>8.7622055288082579E-4</c:v>
                </c:pt>
                <c:pt idx="55">
                  <c:v>0</c:v>
                </c:pt>
                <c:pt idx="56">
                  <c:v>1.1217898953899789E-3</c:v>
                </c:pt>
                <c:pt idx="57">
                  <c:v>0</c:v>
                </c:pt>
                <c:pt idx="58">
                  <c:v>4.1309924801539652E-4</c:v>
                </c:pt>
                <c:pt idx="59">
                  <c:v>4.3059545865540587E-3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5.9899713148473463E-3</c:v>
                </c:pt>
                <c:pt idx="1">
                  <c:v>4.6735674101087366E-2</c:v>
                </c:pt>
                <c:pt idx="2">
                  <c:v>1.8653687932222988E-2</c:v>
                </c:pt>
                <c:pt idx="3">
                  <c:v>2.8548953770207466E-2</c:v>
                </c:pt>
                <c:pt idx="4">
                  <c:v>4.3919970647750772E-2</c:v>
                </c:pt>
                <c:pt idx="5">
                  <c:v>5.7542638589313112E-2</c:v>
                </c:pt>
                <c:pt idx="6">
                  <c:v>6.5083609437192852E-2</c:v>
                </c:pt>
                <c:pt idx="7">
                  <c:v>6.6420582152943011E-2</c:v>
                </c:pt>
                <c:pt idx="8">
                  <c:v>6.3668808787885528E-2</c:v>
                </c:pt>
                <c:pt idx="9">
                  <c:v>5.8771208111894332E-2</c:v>
                </c:pt>
                <c:pt idx="10">
                  <c:v>5.2800693780436281E-2</c:v>
                </c:pt>
                <c:pt idx="11">
                  <c:v>4.8292232772230992E-2</c:v>
                </c:pt>
                <c:pt idx="12">
                  <c:v>4.2352293700384694E-2</c:v>
                </c:pt>
                <c:pt idx="13">
                  <c:v>3.8402526072357744E-2</c:v>
                </c:pt>
                <c:pt idx="14">
                  <c:v>3.4552822930332884E-2</c:v>
                </c:pt>
                <c:pt idx="15">
                  <c:v>3.0097173734184253E-2</c:v>
                </c:pt>
                <c:pt idx="16">
                  <c:v>2.6364212492495164E-2</c:v>
                </c:pt>
                <c:pt idx="17">
                  <c:v>2.3681928353828024E-2</c:v>
                </c:pt>
                <c:pt idx="18">
                  <c:v>2.0974628093660359E-2</c:v>
                </c:pt>
                <c:pt idx="19">
                  <c:v>1.8937203975895576E-2</c:v>
                </c:pt>
                <c:pt idx="20">
                  <c:v>1.7286139956861089E-2</c:v>
                </c:pt>
                <c:pt idx="21">
                  <c:v>1.5006893331257922E-2</c:v>
                </c:pt>
                <c:pt idx="22">
                  <c:v>1.4095194681016655E-2</c:v>
                </c:pt>
                <c:pt idx="23">
                  <c:v>1.2763781103377732E-2</c:v>
                </c:pt>
                <c:pt idx="24">
                  <c:v>1.1857641591247694E-2</c:v>
                </c:pt>
                <c:pt idx="25">
                  <c:v>1.0623512930555247E-2</c:v>
                </c:pt>
                <c:pt idx="26">
                  <c:v>1.0187120588823909E-2</c:v>
                </c:pt>
                <c:pt idx="27">
                  <c:v>8.9168575304084847E-3</c:v>
                </c:pt>
                <c:pt idx="28">
                  <c:v>8.5666318294011692E-3</c:v>
                </c:pt>
                <c:pt idx="29">
                  <c:v>8.0051588801672187E-3</c:v>
                </c:pt>
                <c:pt idx="30">
                  <c:v>7.3047074781525875E-3</c:v>
                </c:pt>
                <c:pt idx="31">
                  <c:v>6.5542238331369107E-3</c:v>
                </c:pt>
                <c:pt idx="32">
                  <c:v>6.2401325298525713E-3</c:v>
                </c:pt>
                <c:pt idx="33">
                  <c:v>5.6258477685619621E-3</c:v>
                </c:pt>
                <c:pt idx="34">
                  <c:v>5.3061973271663959E-3</c:v>
                </c:pt>
                <c:pt idx="35">
                  <c:v>4.7669609303773539E-3</c:v>
                </c:pt>
                <c:pt idx="36">
                  <c:v>4.7363856707656046E-3</c:v>
                </c:pt>
                <c:pt idx="37">
                  <c:v>3.8246870205243381E-3</c:v>
                </c:pt>
                <c:pt idx="38">
                  <c:v>3.7329612416890884E-3</c:v>
                </c:pt>
                <c:pt idx="39">
                  <c:v>3.541170976851749E-3</c:v>
                </c:pt>
                <c:pt idx="40">
                  <c:v>3.104778635120411E-3</c:v>
                </c:pt>
                <c:pt idx="41">
                  <c:v>2.8824131106713214E-3</c:v>
                </c:pt>
                <c:pt idx="42">
                  <c:v>2.3793111116052566E-3</c:v>
                </c:pt>
                <c:pt idx="43">
                  <c:v>2.4349024927175292E-3</c:v>
                </c:pt>
                <c:pt idx="44">
                  <c:v>2.1680638633786217E-3</c:v>
                </c:pt>
                <c:pt idx="45">
                  <c:v>1.9318004936514643E-3</c:v>
                </c:pt>
                <c:pt idx="46">
                  <c:v>1.7483489359809655E-3</c:v>
                </c:pt>
                <c:pt idx="47">
                  <c:v>1.4453759089190811E-3</c:v>
                </c:pt>
                <c:pt idx="48">
                  <c:v>1.5426608258655577E-3</c:v>
                </c:pt>
                <c:pt idx="49">
                  <c:v>1.3675479753619E-3</c:v>
                </c:pt>
                <c:pt idx="50">
                  <c:v>1.2674834893598096E-3</c:v>
                </c:pt>
                <c:pt idx="51">
                  <c:v>1.1229458984679016E-3</c:v>
                </c:pt>
                <c:pt idx="52">
                  <c:v>1.1507415890240377E-3</c:v>
                </c:pt>
                <c:pt idx="53">
                  <c:v>1.0339996886882658E-3</c:v>
                </c:pt>
                <c:pt idx="54">
                  <c:v>8.4220942385092616E-4</c:v>
                </c:pt>
                <c:pt idx="55">
                  <c:v>8.839029596851304E-4</c:v>
                </c:pt>
                <c:pt idx="56">
                  <c:v>8.8668252874074408E-4</c:v>
                </c:pt>
                <c:pt idx="57">
                  <c:v>7.4770407596006319E-4</c:v>
                </c:pt>
                <c:pt idx="58">
                  <c:v>6.9489226390340446E-4</c:v>
                </c:pt>
                <c:pt idx="59">
                  <c:v>5.8648907073447333E-4</c:v>
                </c:pt>
                <c:pt idx="60">
                  <c:v>6.1984389940183677E-4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    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    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    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    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    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    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    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    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    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    <Relationship Id="rId1" Target="../charts/chart16.xml" Type="http://schemas.openxmlformats.org/officeDocument/2006/relationships/chart"/>
</Relationships>

</file>

<file path=xl/drawings/_rels/drawing17.xml.rels><?xml version="1.0" encoding="UTF-8" standalone="no"?>
<Relationships xmlns="http://schemas.openxmlformats.org/package/2006/relationships">
    <Relationship Id="rId1" Target="../charts/chart17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</xdr:col>
      <xdr:colOff>445292</xdr:colOff>
      <xdr:row>13</xdr:row>
      <xdr:rowOff>176212</xdr:rowOff>
    </xdr:from>
    <xdr:to>
      <xdr:col>17</xdr:col>
      <xdr:colOff>271462</xdr:colOff>
      <xdr:row>29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2CABC4-9C0D-D435-7E5F-17282ED59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drawings/drawing3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drawings/drawing5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6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    <Relationship Id="rId1" Target="../drawings/drawing7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8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drawings/drawing9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    <Relationship Id="rId2" Target="../drawings/drawing10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    <Relationship Id="rId1" Target="../drawings/drawing11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    <Relationship Id="rId2" Target="../drawings/drawing12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    <Relationship Id="rId1" Target="../drawings/drawing13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    <Relationship Id="rId2" Target="../drawings/drawing14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    <Relationship Id="rId1" Target="../drawings/drawing15.xml" Type="http://schemas.openxmlformats.org/officeDocument/2006/relationships/drawing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    <Relationship Id="rId2" Target="../drawings/drawing16.xml" Type="http://schemas.openxmlformats.org/officeDocument/2006/relationships/drawing"/>
</Relationships>

</file>

<file path=xl/worksheets/_rels/sheet18.xml.rels><?xml version="1.0" encoding="UTF-8" standalone="no"?>
<Relationships xmlns="http://schemas.openxmlformats.org/package/2006/relationships">
    <Relationship Id="rId1" Target="../drawings/drawing17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L524"/>
  <sheetViews>
    <sheetView workbookViewId="0">
      <selection activeCell="A8" sqref="A8:K524"/>
    </sheetView>
  </sheetViews>
  <sheetFormatPr defaultRowHeight="14.25" x14ac:dyDescent="0.45"/>
  <cols>
    <col min="6" max="6" bestFit="true" customWidth="true" width="12.0" collapsed="true"/>
  </cols>
  <sheetData>
    <row r="1" spans="1:11" x14ac:dyDescent="0.45">
      <c r="A1" s="30" t="s">
        <v>55</v>
      </c>
      <c r="B1" s="31"/>
      <c r="C1" s="31"/>
      <c r="D1" s="31"/>
      <c r="E1" s="31"/>
      <c r="F1" s="31"/>
      <c r="G1" s="31"/>
      <c r="H1" s="31" t="s">
        <v>56</v>
      </c>
      <c r="I1" s="31"/>
      <c r="J1" s="31"/>
      <c r="K1" s="31"/>
    </row>
    <row r="2" spans="1:11" x14ac:dyDescent="0.45">
      <c r="A2" s="31">
        <v>1</v>
      </c>
      <c r="B2" s="31" t="s">
        <v>68</v>
      </c>
      <c r="C2" s="31"/>
      <c r="D2" s="31"/>
      <c r="E2" s="31"/>
      <c r="F2" s="31"/>
      <c r="G2" s="31"/>
      <c r="H2" s="31"/>
      <c r="I2" s="31"/>
      <c r="J2" s="31"/>
      <c r="K2" s="31"/>
    </row>
    <row r="3" spans="1:11" x14ac:dyDescent="0.45">
      <c r="A3" s="31">
        <v>2</v>
      </c>
      <c r="B3" s="31" t="s">
        <v>57</v>
      </c>
      <c r="C3" s="31"/>
      <c r="D3" s="31"/>
      <c r="E3" s="31"/>
      <c r="F3" s="31"/>
      <c r="G3" s="31"/>
      <c r="H3" s="31"/>
      <c r="I3" s="31"/>
      <c r="J3" s="31"/>
      <c r="K3" s="31"/>
    </row>
    <row r="4" spans="1:11" x14ac:dyDescent="0.45">
      <c r="A4" s="31">
        <v>3</v>
      </c>
      <c r="B4" s="31" t="s">
        <v>58</v>
      </c>
      <c r="C4" s="31"/>
      <c r="D4" s="31"/>
      <c r="E4" s="31"/>
      <c r="F4" s="31"/>
      <c r="G4" s="31"/>
      <c r="H4" s="31"/>
      <c r="I4" s="31"/>
      <c r="J4" s="31"/>
      <c r="K4" s="31"/>
    </row>
    <row r="5" spans="1:11" x14ac:dyDescent="0.45">
      <c r="A5" s="31">
        <v>4</v>
      </c>
      <c r="B5" s="31" t="s">
        <v>59</v>
      </c>
      <c r="C5" s="31"/>
      <c r="D5" s="31"/>
      <c r="E5" s="31"/>
      <c r="F5" s="31"/>
      <c r="G5" s="31"/>
      <c r="H5" s="31"/>
      <c r="I5" s="31"/>
      <c r="J5" s="31"/>
      <c r="K5" s="31"/>
    </row>
    <row r="6" spans="1:11" x14ac:dyDescent="0.4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</row>
    <row r="8" spans="1:11" x14ac:dyDescent="0.45">
      <c r="B8" t="s">
        <v>69</v>
      </c>
      <c r="C8" t="s">
        <v>70</v>
      </c>
      <c r="D8" t="s">
        <v>71</v>
      </c>
      <c r="E8" t="s">
        <v>72</v>
      </c>
      <c r="F8" t="s">
        <v>73</v>
      </c>
      <c r="G8" t="s">
        <v>74</v>
      </c>
      <c r="H8" t="s">
        <v>75</v>
      </c>
      <c r="I8" t="s">
        <v>76</v>
      </c>
      <c r="J8" t="s">
        <v>77</v>
      </c>
      <c r="K8" t="s">
        <v>78</v>
      </c>
    </row>
    <row r="9" spans="1:11" x14ac:dyDescent="0.45">
      <c r="A9" t="s">
        <v>60</v>
      </c>
      <c r="B9" t="s">
        <v>61</v>
      </c>
      <c r="C9" t="s">
        <v>62</v>
      </c>
      <c r="D9" t="s">
        <v>63</v>
      </c>
      <c r="E9">
        <v>4</v>
      </c>
      <c r="F9" s="32">
        <v>0.77210648148148142</v>
      </c>
      <c r="G9" t="s">
        <v>64</v>
      </c>
      <c r="H9">
        <v>22</v>
      </c>
      <c r="I9" t="s">
        <v>79</v>
      </c>
      <c r="J9">
        <v>12</v>
      </c>
    </row>
    <row r="10" spans="1:11" x14ac:dyDescent="0.45">
      <c r="A10" t="s">
        <v>65</v>
      </c>
    </row>
    <row r="11" spans="1:11" x14ac:dyDescent="0.45">
      <c r="B11">
        <v>1</v>
      </c>
      <c r="C11" t="s">
        <v>80</v>
      </c>
      <c r="D11" t="s">
        <v>67</v>
      </c>
      <c r="E11">
        <v>1</v>
      </c>
    </row>
    <row r="12" spans="1:11" x14ac:dyDescent="0.45">
      <c r="B12">
        <v>2</v>
      </c>
      <c r="C12" t="s">
        <v>81</v>
      </c>
      <c r="D12" t="s">
        <v>66</v>
      </c>
      <c r="E12">
        <v>2.9350804192700002</v>
      </c>
      <c r="F12" s="33"/>
    </row>
    <row r="13" spans="1:11" x14ac:dyDescent="0.45">
      <c r="B13">
        <v>3</v>
      </c>
      <c r="C13" t="s">
        <v>82</v>
      </c>
      <c r="D13" t="s">
        <v>66</v>
      </c>
      <c r="E13">
        <v>-14.319444362900001</v>
      </c>
    </row>
    <row r="14" spans="1:11" x14ac:dyDescent="0.45">
      <c r="B14">
        <v>4</v>
      </c>
      <c r="C14" t="s">
        <v>83</v>
      </c>
      <c r="D14" t="s">
        <v>66</v>
      </c>
      <c r="E14">
        <v>14.585498447999999</v>
      </c>
    </row>
    <row r="15" spans="1:11" x14ac:dyDescent="0.45">
      <c r="B15">
        <v>5</v>
      </c>
      <c r="C15" t="s">
        <v>84</v>
      </c>
      <c r="D15" t="s">
        <v>66</v>
      </c>
      <c r="E15">
        <v>-5.5636156095500002</v>
      </c>
    </row>
    <row r="16" spans="1:11" x14ac:dyDescent="0.45">
      <c r="B16">
        <v>6</v>
      </c>
      <c r="C16" t="s">
        <v>85</v>
      </c>
      <c r="D16" t="s">
        <v>66</v>
      </c>
      <c r="E16">
        <v>-7.52660127576</v>
      </c>
    </row>
    <row r="17" spans="2:6" x14ac:dyDescent="0.45">
      <c r="B17">
        <v>7</v>
      </c>
      <c r="C17" t="s">
        <v>86</v>
      </c>
      <c r="D17" t="s">
        <v>66</v>
      </c>
      <c r="E17" s="33">
        <v>9.4837113087999997E-2</v>
      </c>
    </row>
    <row r="18" spans="2:6" x14ac:dyDescent="0.45">
      <c r="B18">
        <v>8</v>
      </c>
      <c r="C18" t="s">
        <v>87</v>
      </c>
      <c r="D18" t="s">
        <v>66</v>
      </c>
      <c r="E18">
        <v>0.17818083074400001</v>
      </c>
    </row>
    <row r="19" spans="2:6" x14ac:dyDescent="0.45">
      <c r="B19">
        <v>9</v>
      </c>
      <c r="C19" t="s">
        <v>88</v>
      </c>
      <c r="D19" t="s">
        <v>66</v>
      </c>
      <c r="E19">
        <v>0.50974897639700001</v>
      </c>
      <c r="F19" s="33"/>
    </row>
    <row r="20" spans="2:6" x14ac:dyDescent="0.45">
      <c r="B20">
        <v>10</v>
      </c>
      <c r="C20" t="s">
        <v>89</v>
      </c>
      <c r="D20" t="s">
        <v>66</v>
      </c>
      <c r="E20">
        <v>-1.0397429335399999</v>
      </c>
      <c r="F20" s="33"/>
    </row>
    <row r="21" spans="2:6" x14ac:dyDescent="0.45">
      <c r="B21">
        <v>11</v>
      </c>
      <c r="C21" t="s">
        <v>90</v>
      </c>
      <c r="D21" t="s">
        <v>66</v>
      </c>
      <c r="E21">
        <v>0.56811945167400002</v>
      </c>
      <c r="F21" s="33"/>
    </row>
    <row r="22" spans="2:6" x14ac:dyDescent="0.45">
      <c r="B22">
        <v>12</v>
      </c>
      <c r="C22" t="s">
        <v>91</v>
      </c>
      <c r="D22" t="s">
        <v>66</v>
      </c>
      <c r="E22">
        <v>-0.92852692218099997</v>
      </c>
      <c r="F22" s="33"/>
    </row>
    <row r="23" spans="2:6" x14ac:dyDescent="0.45">
      <c r="B23">
        <v>13</v>
      </c>
      <c r="C23" t="s">
        <v>92</v>
      </c>
      <c r="D23" t="s">
        <v>66</v>
      </c>
      <c r="E23">
        <v>-0.70424501077900004</v>
      </c>
    </row>
    <row r="24" spans="2:6" x14ac:dyDescent="0.45">
      <c r="B24">
        <v>14</v>
      </c>
      <c r="C24" t="s">
        <v>93</v>
      </c>
      <c r="D24" t="s">
        <v>66</v>
      </c>
      <c r="E24" s="33">
        <v>6.9775504949999997E-2</v>
      </c>
    </row>
    <row r="25" spans="2:6" x14ac:dyDescent="0.45">
      <c r="B25">
        <v>15</v>
      </c>
      <c r="C25" t="s">
        <v>94</v>
      </c>
      <c r="D25" t="s">
        <v>66</v>
      </c>
      <c r="E25">
        <v>-0.19226153700900001</v>
      </c>
    </row>
    <row r="26" spans="2:6" x14ac:dyDescent="0.45">
      <c r="B26">
        <v>16</v>
      </c>
      <c r="C26" t="s">
        <v>95</v>
      </c>
      <c r="D26" t="s">
        <v>66</v>
      </c>
      <c r="E26" s="33">
        <v>3.9238502520000003E-2</v>
      </c>
    </row>
    <row r="27" spans="2:6" x14ac:dyDescent="0.45">
      <c r="B27">
        <v>17</v>
      </c>
      <c r="C27" t="s">
        <v>96</v>
      </c>
      <c r="D27" t="s">
        <v>66</v>
      </c>
      <c r="E27" s="33">
        <v>7.6045893387000005E-2</v>
      </c>
    </row>
    <row r="28" spans="2:6" x14ac:dyDescent="0.45">
      <c r="B28">
        <v>18</v>
      </c>
      <c r="C28" t="s">
        <v>97</v>
      </c>
      <c r="D28" t="s">
        <v>66</v>
      </c>
      <c r="E28" s="33">
        <v>4.4787027001999997E-2</v>
      </c>
    </row>
    <row r="29" spans="2:6" x14ac:dyDescent="0.45">
      <c r="B29">
        <v>19</v>
      </c>
      <c r="C29" t="s">
        <v>98</v>
      </c>
      <c r="D29" t="s">
        <v>66</v>
      </c>
      <c r="E29" s="33">
        <v>-7.7217226816000004E-2</v>
      </c>
    </row>
    <row r="30" spans="2:6" x14ac:dyDescent="0.45">
      <c r="B30">
        <v>20</v>
      </c>
      <c r="C30" t="s">
        <v>99</v>
      </c>
      <c r="D30" t="s">
        <v>66</v>
      </c>
      <c r="E30" s="33">
        <v>-8.7375606849999995E-3</v>
      </c>
    </row>
    <row r="31" spans="2:6" x14ac:dyDescent="0.45">
      <c r="B31">
        <v>21</v>
      </c>
      <c r="C31" t="s">
        <v>100</v>
      </c>
      <c r="D31" t="s">
        <v>66</v>
      </c>
      <c r="E31">
        <v>-0.54271296189899998</v>
      </c>
    </row>
    <row r="32" spans="2:6" x14ac:dyDescent="0.45">
      <c r="B32">
        <v>22</v>
      </c>
      <c r="C32" t="s">
        <v>101</v>
      </c>
      <c r="D32" t="s">
        <v>66</v>
      </c>
      <c r="E32">
        <v>0.94721172717000002</v>
      </c>
    </row>
    <row r="33" spans="2:6" x14ac:dyDescent="0.45">
      <c r="B33">
        <v>23</v>
      </c>
      <c r="C33" t="s">
        <v>102</v>
      </c>
      <c r="D33" t="s">
        <v>66</v>
      </c>
      <c r="E33">
        <v>3.7300906574199999</v>
      </c>
    </row>
    <row r="34" spans="2:6" x14ac:dyDescent="0.45">
      <c r="B34">
        <v>24</v>
      </c>
      <c r="C34" t="s">
        <v>103</v>
      </c>
      <c r="D34" t="s">
        <v>66</v>
      </c>
      <c r="E34">
        <v>-4.1537538241799998</v>
      </c>
    </row>
    <row r="35" spans="2:6" x14ac:dyDescent="0.45">
      <c r="B35">
        <v>25</v>
      </c>
      <c r="C35" t="s">
        <v>104</v>
      </c>
      <c r="D35" t="s">
        <v>66</v>
      </c>
      <c r="E35" s="33">
        <v>1.70783067936</v>
      </c>
      <c r="F35" s="33"/>
    </row>
    <row r="36" spans="2:6" x14ac:dyDescent="0.45">
      <c r="B36">
        <v>26</v>
      </c>
      <c r="C36" t="s">
        <v>105</v>
      </c>
      <c r="D36" t="s">
        <v>66</v>
      </c>
      <c r="E36" s="33">
        <v>-0.16345061284599999</v>
      </c>
      <c r="F36" s="33"/>
    </row>
    <row r="37" spans="2:6" x14ac:dyDescent="0.45">
      <c r="B37">
        <v>27</v>
      </c>
      <c r="C37" t="s">
        <v>106</v>
      </c>
      <c r="D37" t="s">
        <v>66</v>
      </c>
      <c r="E37" s="33">
        <v>7.7917327145000007E-2</v>
      </c>
    </row>
    <row r="38" spans="2:6" x14ac:dyDescent="0.45">
      <c r="B38">
        <v>28</v>
      </c>
      <c r="C38" t="s">
        <v>107</v>
      </c>
      <c r="D38" t="s">
        <v>66</v>
      </c>
      <c r="E38" s="33">
        <v>-0.22471314927200001</v>
      </c>
      <c r="F38" s="33"/>
    </row>
    <row r="39" spans="2:6" x14ac:dyDescent="0.45">
      <c r="B39">
        <v>29</v>
      </c>
      <c r="C39" t="s">
        <v>108</v>
      </c>
      <c r="D39" t="s">
        <v>66</v>
      </c>
      <c r="E39">
        <v>-0.320438653598</v>
      </c>
    </row>
    <row r="40" spans="2:6" x14ac:dyDescent="0.45">
      <c r="B40">
        <v>30</v>
      </c>
      <c r="C40" t="s">
        <v>109</v>
      </c>
      <c r="D40" t="s">
        <v>66</v>
      </c>
      <c r="E40" s="33">
        <v>-1.3486719354400001</v>
      </c>
      <c r="F40" s="33"/>
    </row>
    <row r="41" spans="2:6" x14ac:dyDescent="0.45">
      <c r="B41">
        <v>31</v>
      </c>
      <c r="C41" t="s">
        <v>110</v>
      </c>
      <c r="D41" t="s">
        <v>66</v>
      </c>
      <c r="E41" s="33">
        <v>-2.8652973205399999</v>
      </c>
      <c r="F41" s="33"/>
    </row>
    <row r="42" spans="2:6" x14ac:dyDescent="0.45">
      <c r="B42">
        <v>32</v>
      </c>
      <c r="C42" t="s">
        <v>111</v>
      </c>
      <c r="D42" t="s">
        <v>66</v>
      </c>
      <c r="E42">
        <v>0.73144567554600004</v>
      </c>
    </row>
    <row r="43" spans="2:6" x14ac:dyDescent="0.45">
      <c r="B43">
        <v>33</v>
      </c>
      <c r="C43" t="s">
        <v>112</v>
      </c>
      <c r="D43" t="s">
        <v>66</v>
      </c>
      <c r="E43" s="33">
        <v>3.2882946296999997E-2</v>
      </c>
      <c r="F43" s="33"/>
    </row>
    <row r="44" spans="2:6" x14ac:dyDescent="0.45">
      <c r="B44">
        <v>34</v>
      </c>
      <c r="C44" t="s">
        <v>113</v>
      </c>
      <c r="D44" t="s">
        <v>66</v>
      </c>
      <c r="E44" s="33">
        <v>0.17222898421300001</v>
      </c>
      <c r="F44" s="33"/>
    </row>
    <row r="45" spans="2:6" x14ac:dyDescent="0.45">
      <c r="B45">
        <v>35</v>
      </c>
      <c r="C45" t="s">
        <v>114</v>
      </c>
      <c r="D45" t="s">
        <v>66</v>
      </c>
      <c r="E45" s="33">
        <v>-4.3679028443999998E-2</v>
      </c>
      <c r="F45" s="33"/>
    </row>
    <row r="46" spans="2:6" x14ac:dyDescent="0.45">
      <c r="B46">
        <v>36</v>
      </c>
      <c r="C46" t="s">
        <v>115</v>
      </c>
      <c r="D46" t="s">
        <v>66</v>
      </c>
      <c r="E46">
        <v>-3.4073728969569999</v>
      </c>
    </row>
    <row r="47" spans="2:6" x14ac:dyDescent="0.45">
      <c r="B47">
        <v>37</v>
      </c>
      <c r="C47" t="s">
        <v>116</v>
      </c>
      <c r="D47" t="s">
        <v>66</v>
      </c>
      <c r="E47" s="33">
        <v>-0.20680800883100001</v>
      </c>
      <c r="F47" s="33"/>
    </row>
    <row r="48" spans="2:6" x14ac:dyDescent="0.45">
      <c r="B48">
        <v>38</v>
      </c>
      <c r="C48" s="33" t="s">
        <v>117</v>
      </c>
      <c r="D48" s="33" t="s">
        <v>66</v>
      </c>
      <c r="E48" s="33">
        <v>9.2439693264999998E-2</v>
      </c>
    </row>
    <row r="49" spans="2:6" x14ac:dyDescent="0.45">
      <c r="B49">
        <v>39</v>
      </c>
      <c r="C49" t="s">
        <v>118</v>
      </c>
      <c r="D49" t="s">
        <v>66</v>
      </c>
      <c r="E49" s="33">
        <v>0.106344988665</v>
      </c>
      <c r="F49" s="33"/>
    </row>
    <row r="50" spans="2:6" x14ac:dyDescent="0.45">
      <c r="B50">
        <v>40</v>
      </c>
      <c r="C50" t="s">
        <v>119</v>
      </c>
      <c r="D50" t="s">
        <v>66</v>
      </c>
      <c r="E50" s="33">
        <v>-0.28428116513000001</v>
      </c>
      <c r="F50" s="33"/>
    </row>
    <row r="51" spans="2:6" x14ac:dyDescent="0.45">
      <c r="B51">
        <v>41</v>
      </c>
      <c r="C51" t="s">
        <v>120</v>
      </c>
      <c r="D51" t="s">
        <v>66</v>
      </c>
      <c r="E51">
        <v>0.20427640591999999</v>
      </c>
      <c r="F51" s="33"/>
    </row>
    <row r="52" spans="2:6" x14ac:dyDescent="0.45">
      <c r="B52">
        <v>42</v>
      </c>
      <c r="C52" t="s">
        <v>121</v>
      </c>
      <c r="D52" t="s">
        <v>66</v>
      </c>
      <c r="E52" s="33">
        <v>-9.2217629617999994E-2</v>
      </c>
      <c r="F52" s="33"/>
    </row>
    <row r="53" spans="2:6" x14ac:dyDescent="0.45">
      <c r="B53">
        <v>43</v>
      </c>
      <c r="C53" t="s">
        <v>122</v>
      </c>
      <c r="D53" t="s">
        <v>66</v>
      </c>
      <c r="E53" s="33">
        <v>9.2552474014000005E-2</v>
      </c>
    </row>
    <row r="54" spans="2:6" x14ac:dyDescent="0.45">
      <c r="B54">
        <v>44</v>
      </c>
      <c r="C54" t="s">
        <v>123</v>
      </c>
      <c r="D54" t="s">
        <v>66</v>
      </c>
      <c r="E54">
        <v>0.13432791103399999</v>
      </c>
    </row>
    <row r="55" spans="2:6" x14ac:dyDescent="0.45">
      <c r="B55">
        <v>45</v>
      </c>
      <c r="C55" t="s">
        <v>124</v>
      </c>
      <c r="D55" t="s">
        <v>66</v>
      </c>
      <c r="E55">
        <v>0.17819872261700001</v>
      </c>
    </row>
    <row r="56" spans="2:6" x14ac:dyDescent="0.45">
      <c r="B56">
        <v>46</v>
      </c>
      <c r="C56" t="s">
        <v>125</v>
      </c>
      <c r="D56" t="s">
        <v>66</v>
      </c>
      <c r="E56" s="33">
        <v>-0.16252205685099999</v>
      </c>
      <c r="F56" s="33"/>
    </row>
    <row r="57" spans="2:6" x14ac:dyDescent="0.45">
      <c r="B57">
        <v>47</v>
      </c>
      <c r="C57" s="33" t="s">
        <v>126</v>
      </c>
      <c r="D57" s="33" t="s">
        <v>66</v>
      </c>
      <c r="E57" s="33">
        <v>-3.2310910237949999</v>
      </c>
      <c r="F57" s="33"/>
    </row>
    <row r="58" spans="2:6" x14ac:dyDescent="0.45">
      <c r="B58">
        <v>48</v>
      </c>
      <c r="C58" t="s">
        <v>127</v>
      </c>
      <c r="D58" t="s">
        <v>66</v>
      </c>
      <c r="E58" s="33">
        <v>-6.9722067920999997E-2</v>
      </c>
      <c r="F58" s="33"/>
    </row>
    <row r="59" spans="2:6" x14ac:dyDescent="0.45">
      <c r="B59">
        <v>49</v>
      </c>
      <c r="C59" s="33" t="s">
        <v>128</v>
      </c>
      <c r="D59" s="33" t="s">
        <v>66</v>
      </c>
      <c r="E59" s="33">
        <v>0.360092886946</v>
      </c>
      <c r="F59" s="33"/>
    </row>
    <row r="60" spans="2:6" x14ac:dyDescent="0.45">
      <c r="B60">
        <v>50</v>
      </c>
      <c r="C60" t="s">
        <v>129</v>
      </c>
      <c r="D60" t="s">
        <v>66</v>
      </c>
      <c r="E60">
        <v>-3.6870204875549999</v>
      </c>
      <c r="F60" s="33"/>
    </row>
    <row r="61" spans="2:6" x14ac:dyDescent="0.45">
      <c r="B61">
        <v>51</v>
      </c>
      <c r="C61" t="s">
        <v>130</v>
      </c>
      <c r="D61" t="s">
        <v>66</v>
      </c>
      <c r="E61" s="33">
        <v>0.15977089868200001</v>
      </c>
      <c r="F61" s="33"/>
    </row>
    <row r="62" spans="2:6" x14ac:dyDescent="0.45">
      <c r="B62">
        <v>52</v>
      </c>
      <c r="C62" t="s">
        <v>131</v>
      </c>
      <c r="D62" t="s">
        <v>66</v>
      </c>
      <c r="E62">
        <v>-1.9846514120350001</v>
      </c>
    </row>
    <row r="63" spans="2:6" x14ac:dyDescent="0.45">
      <c r="B63">
        <v>53</v>
      </c>
      <c r="C63" t="s">
        <v>132</v>
      </c>
      <c r="D63" t="s">
        <v>66</v>
      </c>
      <c r="E63" s="33">
        <v>6.8361054704999993E-2</v>
      </c>
    </row>
    <row r="64" spans="2:6" x14ac:dyDescent="0.45">
      <c r="B64">
        <v>54</v>
      </c>
      <c r="C64" t="s">
        <v>133</v>
      </c>
      <c r="D64" t="s">
        <v>66</v>
      </c>
      <c r="E64" s="33">
        <v>-0.23833241202200001</v>
      </c>
      <c r="F64" s="33"/>
    </row>
    <row r="65" spans="2:6" x14ac:dyDescent="0.45">
      <c r="B65">
        <v>55</v>
      </c>
      <c r="C65" t="s">
        <v>134</v>
      </c>
      <c r="D65" t="s">
        <v>66</v>
      </c>
      <c r="E65" s="33">
        <v>0.21826898786500001</v>
      </c>
      <c r="F65" s="33"/>
    </row>
    <row r="66" spans="2:6" x14ac:dyDescent="0.45">
      <c r="B66">
        <v>56</v>
      </c>
      <c r="C66" t="s">
        <v>135</v>
      </c>
      <c r="D66" t="s">
        <v>66</v>
      </c>
      <c r="E66">
        <v>0.52843873415800002</v>
      </c>
      <c r="F66" s="33"/>
    </row>
    <row r="67" spans="2:6" x14ac:dyDescent="0.45">
      <c r="B67">
        <v>57</v>
      </c>
      <c r="C67" s="33" t="s">
        <v>136</v>
      </c>
      <c r="D67" s="33" t="s">
        <v>66</v>
      </c>
      <c r="E67" s="33">
        <v>-0.62206095057199995</v>
      </c>
    </row>
    <row r="68" spans="2:6" x14ac:dyDescent="0.45">
      <c r="B68">
        <v>60</v>
      </c>
      <c r="C68" s="33" t="s">
        <v>137</v>
      </c>
      <c r="D68" s="33" t="s">
        <v>66</v>
      </c>
      <c r="E68" s="33">
        <v>0.18914184867700001</v>
      </c>
      <c r="F68" s="33"/>
    </row>
    <row r="69" spans="2:6" x14ac:dyDescent="0.45">
      <c r="B69">
        <v>61</v>
      </c>
      <c r="C69" t="s">
        <v>138</v>
      </c>
      <c r="D69" t="s">
        <v>67</v>
      </c>
      <c r="E69">
        <v>0</v>
      </c>
    </row>
    <row r="70" spans="2:6" x14ac:dyDescent="0.45">
      <c r="B70">
        <v>62</v>
      </c>
      <c r="C70" t="s">
        <v>139</v>
      </c>
      <c r="D70" t="s">
        <v>66</v>
      </c>
      <c r="E70" s="33">
        <v>-2.3818730558799999</v>
      </c>
      <c r="F70" s="33"/>
    </row>
    <row r="71" spans="2:6" x14ac:dyDescent="0.45">
      <c r="B71">
        <v>63</v>
      </c>
      <c r="C71" t="s">
        <v>140</v>
      </c>
      <c r="D71" t="s">
        <v>66</v>
      </c>
      <c r="E71">
        <v>-12.7221900232</v>
      </c>
    </row>
    <row r="72" spans="2:6" x14ac:dyDescent="0.45">
      <c r="B72">
        <v>64</v>
      </c>
      <c r="C72" t="s">
        <v>141</v>
      </c>
      <c r="D72" t="s">
        <v>67</v>
      </c>
      <c r="E72">
        <v>0</v>
      </c>
    </row>
    <row r="73" spans="2:6" x14ac:dyDescent="0.45">
      <c r="B73">
        <v>65</v>
      </c>
      <c r="C73" t="s">
        <v>142</v>
      </c>
      <c r="D73" t="s">
        <v>66</v>
      </c>
      <c r="E73" s="33">
        <v>-7.2051774658100003</v>
      </c>
      <c r="F73" s="33"/>
    </row>
    <row r="74" spans="2:6" x14ac:dyDescent="0.45">
      <c r="B74">
        <v>66</v>
      </c>
      <c r="C74" t="s">
        <v>143</v>
      </c>
      <c r="D74" t="s">
        <v>67</v>
      </c>
      <c r="E74">
        <v>0</v>
      </c>
    </row>
    <row r="75" spans="2:6" x14ac:dyDescent="0.45">
      <c r="B75">
        <v>67</v>
      </c>
      <c r="C75" t="s">
        <v>144</v>
      </c>
      <c r="D75" t="s">
        <v>66</v>
      </c>
      <c r="E75">
        <v>-16.884265301199999</v>
      </c>
      <c r="F75" s="33"/>
    </row>
    <row r="76" spans="2:6" x14ac:dyDescent="0.45">
      <c r="B76">
        <v>68</v>
      </c>
      <c r="C76" t="s">
        <v>145</v>
      </c>
      <c r="D76" t="s">
        <v>67</v>
      </c>
      <c r="E76">
        <v>0</v>
      </c>
    </row>
    <row r="77" spans="2:6" x14ac:dyDescent="0.45">
      <c r="B77">
        <v>69</v>
      </c>
      <c r="C77" s="33" t="s">
        <v>146</v>
      </c>
      <c r="D77" s="33" t="s">
        <v>67</v>
      </c>
      <c r="E77" s="33">
        <v>0</v>
      </c>
    </row>
    <row r="78" spans="2:6" x14ac:dyDescent="0.45">
      <c r="B78">
        <v>70</v>
      </c>
      <c r="C78" t="s">
        <v>147</v>
      </c>
      <c r="D78" t="s">
        <v>66</v>
      </c>
      <c r="E78">
        <v>-3.1062233178100001</v>
      </c>
    </row>
    <row r="79" spans="2:6" x14ac:dyDescent="0.45">
      <c r="B79">
        <v>71</v>
      </c>
      <c r="C79" t="s">
        <v>148</v>
      </c>
      <c r="D79" t="s">
        <v>66</v>
      </c>
      <c r="E79">
        <v>-30.427810062700001</v>
      </c>
    </row>
    <row r="80" spans="2:6" x14ac:dyDescent="0.45">
      <c r="B80">
        <v>72</v>
      </c>
      <c r="C80" t="s">
        <v>149</v>
      </c>
      <c r="D80" t="s">
        <v>67</v>
      </c>
      <c r="E80">
        <v>0</v>
      </c>
    </row>
    <row r="81" spans="2:5" x14ac:dyDescent="0.45">
      <c r="B81">
        <v>73</v>
      </c>
      <c r="C81" t="s">
        <v>150</v>
      </c>
      <c r="D81" t="s">
        <v>66</v>
      </c>
      <c r="E81">
        <v>-7.3954728104100003</v>
      </c>
    </row>
    <row r="82" spans="2:5" x14ac:dyDescent="0.45">
      <c r="B82">
        <v>74</v>
      </c>
      <c r="C82" t="s">
        <v>151</v>
      </c>
      <c r="D82" t="s">
        <v>66</v>
      </c>
      <c r="E82">
        <v>-29.792078592399999</v>
      </c>
    </row>
    <row r="83" spans="2:5" x14ac:dyDescent="0.45">
      <c r="B83">
        <v>75</v>
      </c>
      <c r="C83" t="s">
        <v>152</v>
      </c>
      <c r="D83" t="s">
        <v>66</v>
      </c>
      <c r="E83">
        <v>-18.0912924197</v>
      </c>
    </row>
    <row r="84" spans="2:5" x14ac:dyDescent="0.45">
      <c r="B84">
        <v>76</v>
      </c>
      <c r="C84" t="s">
        <v>153</v>
      </c>
      <c r="D84" t="s">
        <v>66</v>
      </c>
      <c r="E84">
        <v>-18.527273648400001</v>
      </c>
    </row>
    <row r="85" spans="2:5" x14ac:dyDescent="0.45">
      <c r="B85">
        <v>77</v>
      </c>
      <c r="C85" t="s">
        <v>154</v>
      </c>
      <c r="D85" t="s">
        <v>66</v>
      </c>
      <c r="E85">
        <v>-4.3045385028499998</v>
      </c>
    </row>
    <row r="86" spans="2:5" x14ac:dyDescent="0.45">
      <c r="B86">
        <v>78</v>
      </c>
      <c r="C86" t="s">
        <v>155</v>
      </c>
      <c r="D86" t="s">
        <v>66</v>
      </c>
      <c r="E86">
        <v>-13.6610172678</v>
      </c>
    </row>
    <row r="87" spans="2:5" x14ac:dyDescent="0.45">
      <c r="B87">
        <v>79</v>
      </c>
      <c r="C87" t="s">
        <v>156</v>
      </c>
      <c r="D87" t="s">
        <v>66</v>
      </c>
      <c r="E87">
        <v>-0.274925122292</v>
      </c>
    </row>
    <row r="88" spans="2:5" x14ac:dyDescent="0.45">
      <c r="B88">
        <v>80</v>
      </c>
      <c r="C88" t="s">
        <v>157</v>
      </c>
      <c r="D88" t="s">
        <v>67</v>
      </c>
      <c r="E88">
        <v>0</v>
      </c>
    </row>
    <row r="89" spans="2:5" x14ac:dyDescent="0.45">
      <c r="B89">
        <v>81</v>
      </c>
      <c r="C89" t="s">
        <v>158</v>
      </c>
      <c r="D89" t="s">
        <v>66</v>
      </c>
      <c r="E89">
        <v>-27.509208554699999</v>
      </c>
    </row>
    <row r="90" spans="2:5" x14ac:dyDescent="0.45">
      <c r="B90">
        <v>82</v>
      </c>
      <c r="C90" t="s">
        <v>159</v>
      </c>
      <c r="D90" t="s">
        <v>67</v>
      </c>
      <c r="E90">
        <v>0</v>
      </c>
    </row>
    <row r="91" spans="2:5" x14ac:dyDescent="0.45">
      <c r="B91">
        <v>83</v>
      </c>
      <c r="C91" t="s">
        <v>160</v>
      </c>
      <c r="D91" t="s">
        <v>66</v>
      </c>
      <c r="E91">
        <v>-19.440182544799999</v>
      </c>
    </row>
    <row r="92" spans="2:5" x14ac:dyDescent="0.45">
      <c r="B92">
        <v>84</v>
      </c>
      <c r="C92" t="s">
        <v>161</v>
      </c>
      <c r="D92" t="s">
        <v>66</v>
      </c>
      <c r="E92">
        <v>-19.0702084805</v>
      </c>
    </row>
    <row r="93" spans="2:5" x14ac:dyDescent="0.45">
      <c r="B93">
        <v>85</v>
      </c>
      <c r="C93" t="s">
        <v>162</v>
      </c>
      <c r="D93" t="s">
        <v>66</v>
      </c>
      <c r="E93">
        <v>-37.313042860899998</v>
      </c>
    </row>
    <row r="94" spans="2:5" x14ac:dyDescent="0.45">
      <c r="B94">
        <v>86</v>
      </c>
      <c r="C94" t="s">
        <v>163</v>
      </c>
      <c r="D94" t="s">
        <v>67</v>
      </c>
      <c r="E94">
        <v>0</v>
      </c>
    </row>
    <row r="95" spans="2:5" x14ac:dyDescent="0.45">
      <c r="B95">
        <v>87</v>
      </c>
      <c r="C95" t="s">
        <v>164</v>
      </c>
      <c r="D95" t="s">
        <v>66</v>
      </c>
      <c r="E95">
        <v>-22.0009051947</v>
      </c>
    </row>
    <row r="96" spans="2:5" x14ac:dyDescent="0.45">
      <c r="B96">
        <v>88</v>
      </c>
      <c r="C96" t="s">
        <v>165</v>
      </c>
      <c r="D96" t="s">
        <v>66</v>
      </c>
      <c r="E96">
        <v>-39.124170012100002</v>
      </c>
    </row>
    <row r="97" spans="2:11" x14ac:dyDescent="0.45">
      <c r="B97">
        <v>89</v>
      </c>
      <c r="C97" t="s">
        <v>166</v>
      </c>
      <c r="D97" t="s">
        <v>66</v>
      </c>
      <c r="E97">
        <v>-3.3660984088400001</v>
      </c>
    </row>
    <row r="98" spans="2:11" x14ac:dyDescent="0.45">
      <c r="B98">
        <v>90</v>
      </c>
      <c r="C98" t="s">
        <v>167</v>
      </c>
      <c r="D98" t="s">
        <v>67</v>
      </c>
      <c r="E98">
        <v>-30</v>
      </c>
    </row>
    <row r="99" spans="2:11" x14ac:dyDescent="0.45">
      <c r="B99">
        <v>91</v>
      </c>
      <c r="C99" t="s">
        <v>168</v>
      </c>
      <c r="D99" t="s">
        <v>67</v>
      </c>
      <c r="E99">
        <v>0</v>
      </c>
    </row>
    <row r="100" spans="2:11" x14ac:dyDescent="0.45">
      <c r="B100">
        <v>92</v>
      </c>
      <c r="C100" t="s">
        <v>169</v>
      </c>
      <c r="D100" t="s">
        <v>66</v>
      </c>
      <c r="E100">
        <v>-11.6311755932</v>
      </c>
    </row>
    <row r="101" spans="2:11" x14ac:dyDescent="0.45">
      <c r="B101">
        <v>93</v>
      </c>
      <c r="C101" t="s">
        <v>170</v>
      </c>
      <c r="D101" t="s">
        <v>67</v>
      </c>
      <c r="E101">
        <v>-80</v>
      </c>
    </row>
    <row r="102" spans="2:11" x14ac:dyDescent="0.45">
      <c r="B102">
        <v>94</v>
      </c>
      <c r="C102" t="s">
        <v>171</v>
      </c>
      <c r="D102" t="s">
        <v>66</v>
      </c>
      <c r="E102">
        <v>-1.0041864141200001</v>
      </c>
    </row>
    <row r="103" spans="2:11" x14ac:dyDescent="0.45">
      <c r="B103">
        <v>-1</v>
      </c>
    </row>
    <row r="104" spans="2:11" x14ac:dyDescent="0.45">
      <c r="B104">
        <v>8017</v>
      </c>
      <c r="C104" s="33">
        <v>-12462.4908885</v>
      </c>
      <c r="D104" s="33">
        <v>-30931.326016899999</v>
      </c>
      <c r="E104" s="33">
        <v>-20225.148887300002</v>
      </c>
    </row>
    <row r="105" spans="2:11" x14ac:dyDescent="0.45">
      <c r="B105">
        <v>4</v>
      </c>
      <c r="C105" t="s">
        <v>172</v>
      </c>
      <c r="D105" t="s">
        <v>64</v>
      </c>
      <c r="E105">
        <v>22</v>
      </c>
      <c r="F105" t="s">
        <v>79</v>
      </c>
      <c r="G105">
        <v>12</v>
      </c>
    </row>
    <row r="106" spans="2:11" x14ac:dyDescent="0.45">
      <c r="B106">
        <v>0</v>
      </c>
      <c r="C106">
        <v>0</v>
      </c>
      <c r="D106">
        <v>24220</v>
      </c>
      <c r="E106">
        <v>0</v>
      </c>
      <c r="F106">
        <v>-6189</v>
      </c>
      <c r="G106">
        <v>-76508</v>
      </c>
      <c r="H106">
        <v>0</v>
      </c>
      <c r="I106">
        <v>3617</v>
      </c>
      <c r="J106">
        <v>69303</v>
      </c>
      <c r="K106">
        <v>-94243</v>
      </c>
    </row>
    <row r="107" spans="2:11" x14ac:dyDescent="0.45">
      <c r="B107">
        <v>0</v>
      </c>
      <c r="C107">
        <v>4045</v>
      </c>
      <c r="D107">
        <v>21942</v>
      </c>
      <c r="E107">
        <v>-53629</v>
      </c>
      <c r="F107">
        <v>34134</v>
      </c>
      <c r="G107">
        <v>0</v>
      </c>
      <c r="H107">
        <v>-4422</v>
      </c>
      <c r="I107">
        <v>23605</v>
      </c>
      <c r="J107">
        <v>-15581</v>
      </c>
      <c r="K107">
        <v>13286</v>
      </c>
    </row>
    <row r="108" spans="2:11" x14ac:dyDescent="0.45">
      <c r="B108">
        <v>130</v>
      </c>
      <c r="C108">
        <v>0</v>
      </c>
      <c r="D108">
        <v>-1914</v>
      </c>
      <c r="E108">
        <v>22900</v>
      </c>
      <c r="F108">
        <v>-14378</v>
      </c>
      <c r="G108">
        <v>12374</v>
      </c>
      <c r="H108">
        <v>-1625</v>
      </c>
      <c r="I108">
        <v>12368</v>
      </c>
      <c r="J108">
        <v>0</v>
      </c>
      <c r="K108">
        <v>-5771</v>
      </c>
    </row>
    <row r="109" spans="2:11" x14ac:dyDescent="0.45">
      <c r="B109">
        <v>-13645</v>
      </c>
      <c r="C109">
        <v>-10676</v>
      </c>
      <c r="D109">
        <v>7560</v>
      </c>
      <c r="E109">
        <v>13937</v>
      </c>
      <c r="F109">
        <v>1379</v>
      </c>
      <c r="G109">
        <v>1749</v>
      </c>
      <c r="H109">
        <v>0</v>
      </c>
      <c r="I109">
        <v>689</v>
      </c>
      <c r="J109">
        <v>-14201</v>
      </c>
      <c r="K109">
        <v>3957</v>
      </c>
    </row>
    <row r="110" spans="2:11" x14ac:dyDescent="0.45">
      <c r="B110">
        <v>-1911</v>
      </c>
      <c r="C110">
        <v>-4635</v>
      </c>
      <c r="D110">
        <v>518</v>
      </c>
      <c r="E110">
        <v>-162</v>
      </c>
      <c r="F110">
        <v>26365</v>
      </c>
      <c r="G110">
        <v>0</v>
      </c>
      <c r="H110">
        <v>-1893</v>
      </c>
      <c r="I110">
        <v>-5875</v>
      </c>
      <c r="J110">
        <v>-3936</v>
      </c>
      <c r="K110">
        <v>2524</v>
      </c>
    </row>
    <row r="111" spans="2:11" x14ac:dyDescent="0.45">
      <c r="B111">
        <v>4988</v>
      </c>
      <c r="C111">
        <v>-781</v>
      </c>
      <c r="D111">
        <v>60</v>
      </c>
      <c r="E111">
        <v>21050</v>
      </c>
      <c r="F111">
        <v>9933</v>
      </c>
      <c r="G111">
        <v>0</v>
      </c>
      <c r="H111">
        <v>2292</v>
      </c>
      <c r="I111">
        <v>-9933</v>
      </c>
      <c r="J111">
        <v>38</v>
      </c>
      <c r="K111">
        <v>838</v>
      </c>
    </row>
    <row r="112" spans="2:11" x14ac:dyDescent="0.45">
      <c r="B112">
        <v>2413</v>
      </c>
      <c r="C112">
        <v>-2165</v>
      </c>
      <c r="D112">
        <v>-2233</v>
      </c>
      <c r="E112">
        <v>826</v>
      </c>
      <c r="F112">
        <v>-4384</v>
      </c>
      <c r="G112">
        <v>3662</v>
      </c>
      <c r="H112">
        <v>0</v>
      </c>
      <c r="I112">
        <v>-911</v>
      </c>
      <c r="J112">
        <v>-20416</v>
      </c>
      <c r="K112">
        <v>-15246</v>
      </c>
    </row>
    <row r="113" spans="2:11" x14ac:dyDescent="0.45">
      <c r="B113">
        <v>11838</v>
      </c>
      <c r="C113">
        <v>19280</v>
      </c>
      <c r="D113">
        <v>-1601</v>
      </c>
      <c r="E113">
        <v>-1284</v>
      </c>
      <c r="F113">
        <v>-7796</v>
      </c>
      <c r="G113">
        <v>-1239</v>
      </c>
      <c r="H113">
        <v>-2852</v>
      </c>
      <c r="I113">
        <v>6460</v>
      </c>
      <c r="J113">
        <v>0</v>
      </c>
      <c r="K113">
        <v>4065</v>
      </c>
    </row>
    <row r="114" spans="2:11" x14ac:dyDescent="0.45">
      <c r="B114">
        <v>561</v>
      </c>
      <c r="C114">
        <v>-344</v>
      </c>
      <c r="D114">
        <v>279</v>
      </c>
      <c r="E114">
        <v>901</v>
      </c>
      <c r="F114">
        <v>-42667</v>
      </c>
      <c r="G114">
        <v>-214</v>
      </c>
      <c r="H114">
        <v>392</v>
      </c>
      <c r="I114">
        <v>-212</v>
      </c>
      <c r="J114">
        <v>1200</v>
      </c>
      <c r="K114">
        <v>275</v>
      </c>
    </row>
    <row r="115" spans="2:11" x14ac:dyDescent="0.45">
      <c r="B115">
        <v>-2195</v>
      </c>
      <c r="C115">
        <v>0</v>
      </c>
      <c r="D115">
        <v>-6094</v>
      </c>
      <c r="E115">
        <v>-1314</v>
      </c>
      <c r="F115">
        <v>867</v>
      </c>
      <c r="G115">
        <v>-787</v>
      </c>
      <c r="H115">
        <v>-431</v>
      </c>
      <c r="I115">
        <v>-1023</v>
      </c>
      <c r="J115">
        <v>-12033</v>
      </c>
      <c r="K115">
        <v>-2500</v>
      </c>
    </row>
    <row r="116" spans="2:11" x14ac:dyDescent="0.45">
      <c r="B116">
        <v>-985</v>
      </c>
      <c r="C116">
        <v>-266</v>
      </c>
      <c r="D116">
        <v>-7</v>
      </c>
      <c r="E116">
        <v>734</v>
      </c>
      <c r="F116">
        <v>267</v>
      </c>
      <c r="G116">
        <v>0</v>
      </c>
      <c r="H116">
        <v>4511</v>
      </c>
      <c r="I116">
        <v>-3366</v>
      </c>
      <c r="J116">
        <v>630</v>
      </c>
      <c r="K116">
        <v>-843</v>
      </c>
    </row>
    <row r="117" spans="2:11" x14ac:dyDescent="0.45">
      <c r="B117">
        <v>267</v>
      </c>
      <c r="C117">
        <v>-1682</v>
      </c>
      <c r="D117">
        <v>-7547</v>
      </c>
      <c r="E117">
        <v>-2721</v>
      </c>
      <c r="F117">
        <v>1586</v>
      </c>
      <c r="G117">
        <v>-1629</v>
      </c>
      <c r="H117">
        <v>-9469</v>
      </c>
      <c r="I117">
        <v>11883</v>
      </c>
      <c r="J117">
        <v>898</v>
      </c>
      <c r="K117">
        <v>4432</v>
      </c>
    </row>
    <row r="118" spans="2:11" x14ac:dyDescent="0.45">
      <c r="B118">
        <v>0</v>
      </c>
      <c r="C118">
        <v>-7157</v>
      </c>
      <c r="D118">
        <v>872</v>
      </c>
      <c r="E118">
        <v>1285</v>
      </c>
      <c r="F118">
        <v>-1365</v>
      </c>
      <c r="G118">
        <v>-691</v>
      </c>
      <c r="H118">
        <v>1062</v>
      </c>
      <c r="I118">
        <v>-21181</v>
      </c>
      <c r="J118">
        <v>1277</v>
      </c>
      <c r="K118">
        <v>-211</v>
      </c>
    </row>
    <row r="119" spans="2:11" x14ac:dyDescent="0.45">
      <c r="B119">
        <v>785</v>
      </c>
      <c r="C119">
        <v>542</v>
      </c>
      <c r="D119">
        <v>-11527</v>
      </c>
      <c r="E119">
        <v>-1155</v>
      </c>
      <c r="F119">
        <v>1147</v>
      </c>
      <c r="G119">
        <v>-12171</v>
      </c>
      <c r="H119">
        <v>0</v>
      </c>
      <c r="I119">
        <v>307</v>
      </c>
      <c r="J119">
        <v>-898</v>
      </c>
      <c r="K119">
        <v>-3897</v>
      </c>
    </row>
    <row r="120" spans="2:11" x14ac:dyDescent="0.45">
      <c r="B120">
        <v>2964</v>
      </c>
      <c r="C120">
        <v>5200</v>
      </c>
      <c r="D120">
        <v>-59570</v>
      </c>
      <c r="E120">
        <v>-1033</v>
      </c>
      <c r="F120">
        <v>-67</v>
      </c>
      <c r="G120">
        <v>-169</v>
      </c>
      <c r="H120">
        <v>374</v>
      </c>
      <c r="I120">
        <v>4955</v>
      </c>
      <c r="J120">
        <v>9060</v>
      </c>
      <c r="K120">
        <v>-7921</v>
      </c>
    </row>
    <row r="121" spans="2:11" x14ac:dyDescent="0.45">
      <c r="B121">
        <v>908</v>
      </c>
      <c r="C121">
        <v>-1984</v>
      </c>
      <c r="D121">
        <v>-763</v>
      </c>
      <c r="E121">
        <v>0</v>
      </c>
      <c r="F121">
        <v>-443</v>
      </c>
      <c r="G121">
        <v>159</v>
      </c>
      <c r="H121">
        <v>-4324</v>
      </c>
      <c r="I121">
        <v>3084</v>
      </c>
      <c r="J121">
        <v>5267</v>
      </c>
      <c r="K121">
        <v>-507</v>
      </c>
    </row>
    <row r="122" spans="2:11" x14ac:dyDescent="0.45">
      <c r="B122">
        <v>-63429</v>
      </c>
      <c r="C122">
        <v>257</v>
      </c>
      <c r="D122">
        <v>69</v>
      </c>
      <c r="E122">
        <v>-65</v>
      </c>
      <c r="F122">
        <v>7322</v>
      </c>
      <c r="G122">
        <v>7555</v>
      </c>
      <c r="H122">
        <v>493</v>
      </c>
      <c r="I122">
        <v>4319</v>
      </c>
      <c r="J122">
        <v>-15615</v>
      </c>
      <c r="K122">
        <v>6677</v>
      </c>
    </row>
    <row r="123" spans="2:11" x14ac:dyDescent="0.45">
      <c r="B123">
        <v>1336</v>
      </c>
      <c r="C123">
        <v>0</v>
      </c>
      <c r="D123">
        <v>364</v>
      </c>
      <c r="E123">
        <v>2460</v>
      </c>
      <c r="F123">
        <v>-2090</v>
      </c>
      <c r="G123">
        <v>1676</v>
      </c>
      <c r="H123">
        <v>-356</v>
      </c>
      <c r="I123">
        <v>-602</v>
      </c>
      <c r="J123">
        <v>-4843</v>
      </c>
      <c r="K123">
        <v>220</v>
      </c>
    </row>
    <row r="124" spans="2:11" x14ac:dyDescent="0.45">
      <c r="B124">
        <v>1253</v>
      </c>
      <c r="C124">
        <v>89</v>
      </c>
      <c r="D124">
        <v>-1463</v>
      </c>
      <c r="E124">
        <v>-321</v>
      </c>
      <c r="F124">
        <v>1128</v>
      </c>
      <c r="G124">
        <v>1481</v>
      </c>
      <c r="H124">
        <v>520</v>
      </c>
      <c r="I124">
        <v>-693</v>
      </c>
      <c r="J124">
        <v>-1616</v>
      </c>
      <c r="K124">
        <v>512</v>
      </c>
    </row>
    <row r="125" spans="2:11" x14ac:dyDescent="0.45">
      <c r="B125">
        <v>0</v>
      </c>
      <c r="C125">
        <v>386</v>
      </c>
      <c r="D125">
        <v>390</v>
      </c>
      <c r="E125">
        <v>-235</v>
      </c>
      <c r="F125">
        <v>178</v>
      </c>
      <c r="G125">
        <v>383</v>
      </c>
      <c r="H125">
        <v>-4348</v>
      </c>
      <c r="I125">
        <v>2264</v>
      </c>
      <c r="J125">
        <v>99</v>
      </c>
      <c r="K125">
        <v>1324</v>
      </c>
    </row>
    <row r="126" spans="2:11" x14ac:dyDescent="0.45">
      <c r="B126">
        <v>-78</v>
      </c>
      <c r="C126">
        <v>902</v>
      </c>
      <c r="D126">
        <v>-637</v>
      </c>
      <c r="E126">
        <v>1206</v>
      </c>
      <c r="F126">
        <v>-1613</v>
      </c>
      <c r="G126">
        <v>-754</v>
      </c>
      <c r="H126">
        <v>901</v>
      </c>
      <c r="I126">
        <v>5303</v>
      </c>
      <c r="J126">
        <v>-878</v>
      </c>
      <c r="K126">
        <v>-24826</v>
      </c>
    </row>
    <row r="127" spans="2:11" x14ac:dyDescent="0.45">
      <c r="B127">
        <v>0</v>
      </c>
      <c r="C127">
        <v>344</v>
      </c>
      <c r="D127">
        <v>-402</v>
      </c>
      <c r="E127">
        <v>695</v>
      </c>
      <c r="F127">
        <v>-543</v>
      </c>
      <c r="G127">
        <v>-501</v>
      </c>
      <c r="H127">
        <v>-628</v>
      </c>
      <c r="I127">
        <v>-643</v>
      </c>
      <c r="J127">
        <v>-302</v>
      </c>
      <c r="K127">
        <v>77</v>
      </c>
    </row>
    <row r="128" spans="2:11" x14ac:dyDescent="0.45">
      <c r="B128">
        <v>-368</v>
      </c>
      <c r="C128">
        <v>-341</v>
      </c>
      <c r="D128">
        <v>-619</v>
      </c>
      <c r="E128">
        <v>1419</v>
      </c>
      <c r="F128">
        <v>198</v>
      </c>
      <c r="G128">
        <v>308</v>
      </c>
      <c r="H128">
        <v>646</v>
      </c>
      <c r="I128">
        <v>-1248</v>
      </c>
      <c r="J128">
        <v>654</v>
      </c>
      <c r="K128">
        <v>-4455</v>
      </c>
    </row>
    <row r="129" spans="2:11" x14ac:dyDescent="0.45">
      <c r="B129">
        <v>-12918</v>
      </c>
      <c r="C129">
        <v>0</v>
      </c>
      <c r="D129">
        <v>34</v>
      </c>
      <c r="E129">
        <v>-25502</v>
      </c>
      <c r="F129">
        <v>26901</v>
      </c>
      <c r="G129">
        <v>-24777</v>
      </c>
      <c r="H129">
        <v>-7269</v>
      </c>
      <c r="I129">
        <v>1312</v>
      </c>
      <c r="J129">
        <v>-7039</v>
      </c>
      <c r="K129">
        <v>-1544</v>
      </c>
    </row>
    <row r="130" spans="2:11" x14ac:dyDescent="0.45">
      <c r="B130">
        <v>2880</v>
      </c>
      <c r="C130">
        <v>-1531</v>
      </c>
      <c r="D130">
        <v>2942</v>
      </c>
      <c r="E130">
        <v>-3471</v>
      </c>
      <c r="F130">
        <v>133</v>
      </c>
      <c r="G130">
        <v>-763</v>
      </c>
      <c r="H130">
        <v>2048</v>
      </c>
      <c r="I130">
        <v>-585</v>
      </c>
      <c r="J130">
        <v>-9011</v>
      </c>
      <c r="K130">
        <v>-1402</v>
      </c>
    </row>
    <row r="131" spans="2:11" x14ac:dyDescent="0.45">
      <c r="B131">
        <v>-1578</v>
      </c>
      <c r="C131">
        <v>-742</v>
      </c>
      <c r="D131">
        <v>216</v>
      </c>
      <c r="E131">
        <v>0</v>
      </c>
      <c r="F131">
        <v>-1046</v>
      </c>
      <c r="G131">
        <v>35605</v>
      </c>
      <c r="H131">
        <v>-47198</v>
      </c>
      <c r="I131">
        <v>45955</v>
      </c>
      <c r="J131">
        <v>19696</v>
      </c>
      <c r="K131">
        <v>1376</v>
      </c>
    </row>
    <row r="132" spans="2:11" x14ac:dyDescent="0.45">
      <c r="B132">
        <v>6781</v>
      </c>
      <c r="C132">
        <v>2599</v>
      </c>
      <c r="D132">
        <v>-3339</v>
      </c>
      <c r="E132">
        <v>2455</v>
      </c>
      <c r="F132">
        <v>-1293</v>
      </c>
      <c r="G132">
        <v>7202</v>
      </c>
      <c r="H132">
        <v>427</v>
      </c>
      <c r="I132">
        <v>321</v>
      </c>
      <c r="J132">
        <v>-1680</v>
      </c>
      <c r="K132">
        <v>32</v>
      </c>
    </row>
    <row r="133" spans="2:11" x14ac:dyDescent="0.45">
      <c r="B133">
        <v>7137</v>
      </c>
      <c r="C133">
        <v>1978</v>
      </c>
      <c r="D133">
        <v>1678</v>
      </c>
      <c r="E133">
        <v>527</v>
      </c>
      <c r="F133">
        <v>-286</v>
      </c>
      <c r="G133">
        <v>-91194</v>
      </c>
      <c r="H133">
        <v>0</v>
      </c>
      <c r="I133">
        <v>1682</v>
      </c>
      <c r="J133">
        <v>-39928</v>
      </c>
      <c r="K133">
        <v>55791</v>
      </c>
    </row>
    <row r="134" spans="2:11" x14ac:dyDescent="0.45">
      <c r="B134">
        <v>-60872</v>
      </c>
      <c r="C134">
        <v>-14515</v>
      </c>
      <c r="D134">
        <v>-3423</v>
      </c>
      <c r="E134">
        <v>-7348</v>
      </c>
      <c r="F134">
        <v>-2581</v>
      </c>
      <c r="G134">
        <v>2607</v>
      </c>
      <c r="H134">
        <v>-1940</v>
      </c>
      <c r="I134">
        <v>301</v>
      </c>
      <c r="J134">
        <v>-8515</v>
      </c>
      <c r="K134">
        <v>-446</v>
      </c>
    </row>
    <row r="135" spans="2:11" x14ac:dyDescent="0.45">
      <c r="B135">
        <v>-101</v>
      </c>
      <c r="C135">
        <v>1356</v>
      </c>
      <c r="D135">
        <v>432</v>
      </c>
      <c r="E135">
        <v>-5618</v>
      </c>
      <c r="F135">
        <v>-1734</v>
      </c>
      <c r="G135">
        <v>-1530</v>
      </c>
      <c r="H135">
        <v>-389</v>
      </c>
      <c r="I135">
        <v>281</v>
      </c>
      <c r="J135">
        <v>78750</v>
      </c>
      <c r="K135">
        <v>-95406</v>
      </c>
    </row>
    <row r="136" spans="2:11" x14ac:dyDescent="0.45">
      <c r="B136">
        <v>0</v>
      </c>
      <c r="C136">
        <v>-1769</v>
      </c>
      <c r="D136">
        <v>-3670</v>
      </c>
      <c r="E136">
        <v>2551</v>
      </c>
      <c r="F136">
        <v>-1829</v>
      </c>
      <c r="G136">
        <v>-1425</v>
      </c>
      <c r="H136">
        <v>-8596</v>
      </c>
      <c r="I136">
        <v>-1231</v>
      </c>
      <c r="J136">
        <v>-50</v>
      </c>
      <c r="K136">
        <v>219</v>
      </c>
    </row>
    <row r="137" spans="2:11" x14ac:dyDescent="0.45">
      <c r="B137">
        <v>1086</v>
      </c>
      <c r="C137">
        <v>1373</v>
      </c>
      <c r="D137">
        <v>-90</v>
      </c>
      <c r="E137">
        <v>1578</v>
      </c>
      <c r="F137">
        <v>-1163</v>
      </c>
      <c r="G137">
        <v>318</v>
      </c>
      <c r="H137">
        <v>1039</v>
      </c>
      <c r="I137">
        <v>6019</v>
      </c>
      <c r="J137">
        <v>236</v>
      </c>
      <c r="K137">
        <v>-402</v>
      </c>
    </row>
    <row r="138" spans="2:11" x14ac:dyDescent="0.45">
      <c r="B138">
        <v>379</v>
      </c>
      <c r="C138">
        <v>21</v>
      </c>
      <c r="D138">
        <v>14682</v>
      </c>
      <c r="E138">
        <v>-10242</v>
      </c>
      <c r="F138">
        <v>7605</v>
      </c>
      <c r="G138">
        <v>0</v>
      </c>
      <c r="H138">
        <v>1020</v>
      </c>
      <c r="I138">
        <v>-2888</v>
      </c>
      <c r="J138">
        <v>-187</v>
      </c>
      <c r="K138">
        <v>-231</v>
      </c>
    </row>
    <row r="139" spans="2:11" x14ac:dyDescent="0.45">
      <c r="B139">
        <v>5348</v>
      </c>
      <c r="C139">
        <v>2877</v>
      </c>
      <c r="D139">
        <v>-24013</v>
      </c>
      <c r="E139">
        <v>176</v>
      </c>
      <c r="F139">
        <v>-708</v>
      </c>
      <c r="G139">
        <v>1241</v>
      </c>
      <c r="H139">
        <v>3292</v>
      </c>
      <c r="I139">
        <v>1262</v>
      </c>
      <c r="J139">
        <v>-861</v>
      </c>
      <c r="K139">
        <v>1623</v>
      </c>
    </row>
    <row r="140" spans="2:11" x14ac:dyDescent="0.45">
      <c r="B140">
        <v>-17983</v>
      </c>
      <c r="C140">
        <v>-451</v>
      </c>
      <c r="D140">
        <v>-3145</v>
      </c>
      <c r="E140">
        <v>24721</v>
      </c>
      <c r="F140">
        <v>459</v>
      </c>
      <c r="G140">
        <v>-994</v>
      </c>
      <c r="H140">
        <v>-50</v>
      </c>
      <c r="I140">
        <v>30403</v>
      </c>
      <c r="J140">
        <v>-19457</v>
      </c>
      <c r="K140">
        <v>13975</v>
      </c>
    </row>
    <row r="141" spans="2:11" x14ac:dyDescent="0.45">
      <c r="B141">
        <v>6263</v>
      </c>
      <c r="C141">
        <v>0</v>
      </c>
      <c r="D141">
        <v>-322</v>
      </c>
      <c r="E141">
        <v>-1970</v>
      </c>
      <c r="F141">
        <v>2398</v>
      </c>
      <c r="G141">
        <v>-1684</v>
      </c>
      <c r="H141">
        <v>-4048</v>
      </c>
      <c r="I141">
        <v>-1775</v>
      </c>
      <c r="J141">
        <v>72</v>
      </c>
      <c r="K141">
        <v>-2234</v>
      </c>
    </row>
    <row r="142" spans="2:11" x14ac:dyDescent="0.45">
      <c r="B142">
        <v>-898</v>
      </c>
      <c r="C142">
        <v>-1542</v>
      </c>
      <c r="D142">
        <v>-766</v>
      </c>
      <c r="E142">
        <v>677</v>
      </c>
      <c r="F142">
        <v>925</v>
      </c>
      <c r="G142">
        <v>-2345</v>
      </c>
      <c r="H142">
        <v>3799</v>
      </c>
      <c r="I142">
        <v>-1885</v>
      </c>
      <c r="J142">
        <v>421</v>
      </c>
      <c r="K142">
        <v>-1547</v>
      </c>
    </row>
    <row r="143" spans="2:11" x14ac:dyDescent="0.45">
      <c r="B143">
        <v>472</v>
      </c>
      <c r="C143">
        <v>15</v>
      </c>
      <c r="D143">
        <v>-25</v>
      </c>
      <c r="E143">
        <v>-879</v>
      </c>
      <c r="F143">
        <v>-753</v>
      </c>
      <c r="G143">
        <v>1313</v>
      </c>
      <c r="H143">
        <v>-185</v>
      </c>
      <c r="I143">
        <v>-43483</v>
      </c>
      <c r="J143">
        <v>0</v>
      </c>
      <c r="K143">
        <v>76</v>
      </c>
    </row>
    <row r="144" spans="2:11" x14ac:dyDescent="0.45">
      <c r="B144">
        <v>-2124</v>
      </c>
      <c r="C144">
        <v>1968</v>
      </c>
      <c r="D144">
        <v>-1111</v>
      </c>
      <c r="E144">
        <v>-3376</v>
      </c>
      <c r="F144">
        <v>68</v>
      </c>
      <c r="G144">
        <v>1801</v>
      </c>
      <c r="H144">
        <v>408</v>
      </c>
      <c r="I144">
        <v>2879</v>
      </c>
      <c r="J144">
        <v>-199</v>
      </c>
      <c r="K144">
        <v>1030</v>
      </c>
    </row>
    <row r="145" spans="2:11" x14ac:dyDescent="0.45">
      <c r="B145">
        <v>838</v>
      </c>
      <c r="C145">
        <v>795</v>
      </c>
      <c r="D145">
        <v>-17053</v>
      </c>
      <c r="E145">
        <v>5565</v>
      </c>
      <c r="F145">
        <v>-1958</v>
      </c>
      <c r="G145">
        <v>-794</v>
      </c>
      <c r="H145">
        <v>-2726</v>
      </c>
      <c r="I145">
        <v>105</v>
      </c>
      <c r="J145">
        <v>230</v>
      </c>
      <c r="K145">
        <v>-2</v>
      </c>
    </row>
    <row r="146" spans="2:11" x14ac:dyDescent="0.45">
      <c r="B146">
        <v>5002</v>
      </c>
      <c r="C146">
        <v>-3425</v>
      </c>
      <c r="D146">
        <v>2342</v>
      </c>
      <c r="E146">
        <v>-9232</v>
      </c>
      <c r="F146">
        <v>-27660</v>
      </c>
      <c r="G146">
        <v>16391</v>
      </c>
      <c r="H146">
        <v>0</v>
      </c>
      <c r="I146">
        <v>-2610</v>
      </c>
      <c r="J146">
        <v>-3249</v>
      </c>
      <c r="K146">
        <v>3278</v>
      </c>
    </row>
    <row r="147" spans="2:11" x14ac:dyDescent="0.45">
      <c r="B147">
        <v>-2319</v>
      </c>
      <c r="C147">
        <v>-4124</v>
      </c>
      <c r="D147">
        <v>-5128</v>
      </c>
      <c r="E147">
        <v>-886</v>
      </c>
      <c r="F147">
        <v>-1207</v>
      </c>
      <c r="G147">
        <v>-394</v>
      </c>
      <c r="H147">
        <v>-498</v>
      </c>
      <c r="I147">
        <v>1455</v>
      </c>
      <c r="J147">
        <v>664</v>
      </c>
      <c r="K147">
        <v>1133</v>
      </c>
    </row>
    <row r="148" spans="2:11" x14ac:dyDescent="0.45">
      <c r="B148">
        <v>598</v>
      </c>
      <c r="C148">
        <v>4950</v>
      </c>
      <c r="D148">
        <v>-847</v>
      </c>
      <c r="E148">
        <v>3352</v>
      </c>
      <c r="F148">
        <v>-857</v>
      </c>
      <c r="G148">
        <v>-23</v>
      </c>
      <c r="H148">
        <v>250</v>
      </c>
      <c r="I148">
        <v>102</v>
      </c>
      <c r="J148">
        <v>-9516</v>
      </c>
      <c r="K148">
        <v>8053</v>
      </c>
    </row>
    <row r="149" spans="2:11" x14ac:dyDescent="0.45">
      <c r="B149">
        <v>-6289</v>
      </c>
      <c r="C149">
        <v>-636</v>
      </c>
      <c r="D149">
        <v>-24428</v>
      </c>
      <c r="E149">
        <v>12088</v>
      </c>
      <c r="F149">
        <v>7831</v>
      </c>
      <c r="G149">
        <v>0</v>
      </c>
      <c r="H149">
        <v>-6276</v>
      </c>
      <c r="I149">
        <v>-3290</v>
      </c>
      <c r="J149">
        <v>4119</v>
      </c>
      <c r="K149">
        <v>-2664</v>
      </c>
    </row>
    <row r="150" spans="2:11" x14ac:dyDescent="0.45">
      <c r="B150">
        <v>-6363</v>
      </c>
      <c r="C150">
        <v>-2420</v>
      </c>
      <c r="D150">
        <v>-504</v>
      </c>
      <c r="E150">
        <v>-1688</v>
      </c>
      <c r="F150">
        <v>-432</v>
      </c>
      <c r="G150">
        <v>-1056</v>
      </c>
      <c r="H150">
        <v>232</v>
      </c>
      <c r="I150">
        <v>-737</v>
      </c>
      <c r="J150">
        <v>26</v>
      </c>
      <c r="K150">
        <v>721</v>
      </c>
    </row>
    <row r="151" spans="2:11" x14ac:dyDescent="0.45">
      <c r="B151">
        <v>2946</v>
      </c>
      <c r="C151">
        <v>582</v>
      </c>
      <c r="D151">
        <v>1542</v>
      </c>
      <c r="E151">
        <v>-968</v>
      </c>
      <c r="F151">
        <v>-575</v>
      </c>
      <c r="G151">
        <v>-98</v>
      </c>
      <c r="H151">
        <v>24</v>
      </c>
      <c r="I151">
        <v>-12087</v>
      </c>
      <c r="J151">
        <v>8659</v>
      </c>
      <c r="K151">
        <v>-6233</v>
      </c>
    </row>
    <row r="152" spans="2:11" x14ac:dyDescent="0.45">
      <c r="B152">
        <v>-1637</v>
      </c>
      <c r="C152">
        <v>-21423</v>
      </c>
      <c r="D152">
        <v>9719</v>
      </c>
      <c r="E152">
        <v>5795</v>
      </c>
      <c r="F152">
        <v>50044</v>
      </c>
      <c r="G152">
        <v>0</v>
      </c>
      <c r="H152">
        <v>-1976</v>
      </c>
      <c r="I152">
        <v>-27369</v>
      </c>
      <c r="J152">
        <v>4003</v>
      </c>
      <c r="K152">
        <v>-8093</v>
      </c>
    </row>
    <row r="153" spans="2:11" x14ac:dyDescent="0.45">
      <c r="B153">
        <v>-3553</v>
      </c>
      <c r="C153">
        <v>-1796</v>
      </c>
      <c r="D153">
        <v>-1939</v>
      </c>
      <c r="E153">
        <v>4952</v>
      </c>
      <c r="F153">
        <v>1561</v>
      </c>
      <c r="G153">
        <v>6486</v>
      </c>
      <c r="H153">
        <v>4686</v>
      </c>
      <c r="I153">
        <v>33457</v>
      </c>
      <c r="J153">
        <v>764</v>
      </c>
      <c r="K153">
        <v>842</v>
      </c>
    </row>
    <row r="154" spans="2:11" x14ac:dyDescent="0.45">
      <c r="B154">
        <v>6257</v>
      </c>
      <c r="C154">
        <v>851</v>
      </c>
      <c r="D154">
        <v>202</v>
      </c>
      <c r="E154">
        <v>730</v>
      </c>
      <c r="F154">
        <v>170</v>
      </c>
      <c r="G154">
        <v>-1075</v>
      </c>
      <c r="H154">
        <v>-95</v>
      </c>
      <c r="I154">
        <v>-2412</v>
      </c>
      <c r="J154">
        <v>2981</v>
      </c>
      <c r="K154">
        <v>-1630</v>
      </c>
    </row>
    <row r="155" spans="2:11" x14ac:dyDescent="0.45">
      <c r="B155">
        <v>-552</v>
      </c>
      <c r="C155">
        <v>-2495</v>
      </c>
      <c r="D155">
        <v>3070</v>
      </c>
      <c r="E155">
        <v>405</v>
      </c>
      <c r="F155">
        <v>1136</v>
      </c>
      <c r="G155">
        <v>-169</v>
      </c>
      <c r="H155">
        <v>0</v>
      </c>
      <c r="I155">
        <v>-179</v>
      </c>
      <c r="J155">
        <v>119</v>
      </c>
      <c r="K155">
        <v>-726</v>
      </c>
    </row>
    <row r="156" spans="2:11" x14ac:dyDescent="0.45">
      <c r="B156">
        <v>671</v>
      </c>
      <c r="C156">
        <v>333</v>
      </c>
      <c r="D156">
        <v>-1328</v>
      </c>
      <c r="E156">
        <v>863</v>
      </c>
      <c r="F156">
        <v>421</v>
      </c>
      <c r="G156">
        <v>734</v>
      </c>
      <c r="H156">
        <v>241</v>
      </c>
      <c r="I156">
        <v>57</v>
      </c>
      <c r="J156">
        <v>617</v>
      </c>
      <c r="K156">
        <v>612</v>
      </c>
    </row>
    <row r="157" spans="2:11" x14ac:dyDescent="0.45">
      <c r="B157">
        <v>367</v>
      </c>
      <c r="C157">
        <v>1681</v>
      </c>
      <c r="D157">
        <v>-277</v>
      </c>
      <c r="E157">
        <v>282</v>
      </c>
      <c r="F157">
        <v>-257</v>
      </c>
      <c r="G157">
        <v>-2809</v>
      </c>
      <c r="H157">
        <v>-1758</v>
      </c>
      <c r="I157">
        <v>-1035</v>
      </c>
      <c r="J157">
        <v>-736</v>
      </c>
      <c r="K157">
        <v>650</v>
      </c>
    </row>
    <row r="158" spans="2:11" x14ac:dyDescent="0.45">
      <c r="B158">
        <v>-598</v>
      </c>
      <c r="C158">
        <v>116</v>
      </c>
      <c r="D158">
        <v>-226</v>
      </c>
      <c r="E158">
        <v>-772</v>
      </c>
      <c r="F158">
        <v>-227</v>
      </c>
      <c r="G158">
        <v>-501</v>
      </c>
      <c r="H158">
        <v>-380</v>
      </c>
      <c r="I158">
        <v>466</v>
      </c>
      <c r="J158">
        <v>0</v>
      </c>
      <c r="K158">
        <v>-573</v>
      </c>
    </row>
    <row r="159" spans="2:11" x14ac:dyDescent="0.45">
      <c r="B159">
        <v>1410</v>
      </c>
      <c r="C159">
        <v>-1073</v>
      </c>
      <c r="D159">
        <v>811</v>
      </c>
      <c r="E159">
        <v>314</v>
      </c>
      <c r="F159">
        <v>-2779</v>
      </c>
      <c r="G159">
        <v>1267</v>
      </c>
      <c r="H159">
        <v>-461</v>
      </c>
      <c r="I159">
        <v>-1393</v>
      </c>
      <c r="J159">
        <v>-85</v>
      </c>
      <c r="K159">
        <v>-1489</v>
      </c>
    </row>
    <row r="160" spans="2:11" x14ac:dyDescent="0.45">
      <c r="B160">
        <v>-1447</v>
      </c>
      <c r="C160">
        <v>-561</v>
      </c>
      <c r="D160">
        <v>-293</v>
      </c>
      <c r="E160">
        <v>149</v>
      </c>
      <c r="F160">
        <v>1702</v>
      </c>
      <c r="G160">
        <v>1704</v>
      </c>
      <c r="H160">
        <v>-855</v>
      </c>
      <c r="I160">
        <v>-9492</v>
      </c>
      <c r="J160">
        <v>-10336</v>
      </c>
      <c r="K160">
        <v>-468</v>
      </c>
    </row>
    <row r="161" spans="2:11" x14ac:dyDescent="0.45">
      <c r="B161">
        <v>550</v>
      </c>
      <c r="C161">
        <v>-266</v>
      </c>
      <c r="D161">
        <v>164</v>
      </c>
      <c r="E161">
        <v>685</v>
      </c>
      <c r="F161">
        <v>-62</v>
      </c>
      <c r="G161">
        <v>393</v>
      </c>
      <c r="H161">
        <v>-154</v>
      </c>
      <c r="I161">
        <v>-355</v>
      </c>
      <c r="J161">
        <v>1158</v>
      </c>
      <c r="K161">
        <v>6631</v>
      </c>
    </row>
    <row r="162" spans="2:11" x14ac:dyDescent="0.45">
      <c r="B162">
        <v>699</v>
      </c>
      <c r="C162">
        <v>0</v>
      </c>
      <c r="D162">
        <v>186</v>
      </c>
      <c r="E162">
        <v>1065</v>
      </c>
      <c r="F162">
        <v>-460</v>
      </c>
      <c r="G162">
        <v>-432</v>
      </c>
      <c r="H162">
        <v>361</v>
      </c>
      <c r="I162">
        <v>524</v>
      </c>
      <c r="J162">
        <v>-599</v>
      </c>
      <c r="K162">
        <v>415</v>
      </c>
    </row>
    <row r="163" spans="2:11" x14ac:dyDescent="0.45">
      <c r="B163">
        <v>550</v>
      </c>
      <c r="C163">
        <v>327</v>
      </c>
      <c r="D163">
        <v>169</v>
      </c>
      <c r="E163">
        <v>-170</v>
      </c>
      <c r="F163">
        <v>386</v>
      </c>
      <c r="G163">
        <v>455</v>
      </c>
      <c r="H163">
        <v>-67</v>
      </c>
      <c r="I163">
        <v>-2565</v>
      </c>
      <c r="J163">
        <v>373</v>
      </c>
      <c r="K163">
        <v>921</v>
      </c>
    </row>
    <row r="164" spans="2:11" x14ac:dyDescent="0.45">
      <c r="B164">
        <v>-13848</v>
      </c>
      <c r="C164">
        <v>5049</v>
      </c>
      <c r="D164">
        <v>1475</v>
      </c>
      <c r="E164">
        <v>-426</v>
      </c>
      <c r="F164">
        <v>287</v>
      </c>
      <c r="G164">
        <v>169</v>
      </c>
      <c r="H164">
        <v>-193</v>
      </c>
      <c r="I164">
        <v>246</v>
      </c>
      <c r="J164">
        <v>-67</v>
      </c>
      <c r="K164">
        <v>-22</v>
      </c>
    </row>
    <row r="165" spans="2:11" x14ac:dyDescent="0.45">
      <c r="B165">
        <v>327</v>
      </c>
      <c r="C165">
        <v>306</v>
      </c>
      <c r="D165">
        <v>4507</v>
      </c>
      <c r="E165">
        <v>330</v>
      </c>
      <c r="F165">
        <v>-8774</v>
      </c>
      <c r="G165">
        <v>0</v>
      </c>
      <c r="H165">
        <v>3986</v>
      </c>
      <c r="I165">
        <v>-19000</v>
      </c>
      <c r="J165">
        <v>5011</v>
      </c>
      <c r="K165">
        <v>-2403</v>
      </c>
    </row>
    <row r="166" spans="2:11" x14ac:dyDescent="0.45">
      <c r="B166">
        <v>-1251</v>
      </c>
      <c r="C166">
        <v>-8614</v>
      </c>
      <c r="D166">
        <v>-8021</v>
      </c>
      <c r="E166">
        <v>1752</v>
      </c>
      <c r="F166">
        <v>575</v>
      </c>
      <c r="G166">
        <v>793</v>
      </c>
      <c r="H166">
        <v>-16951</v>
      </c>
      <c r="I166">
        <v>7051</v>
      </c>
      <c r="J166">
        <v>-13</v>
      </c>
      <c r="K166">
        <v>-851</v>
      </c>
    </row>
    <row r="167" spans="2:11" x14ac:dyDescent="0.45">
      <c r="B167">
        <v>3513</v>
      </c>
      <c r="C167">
        <v>-1566</v>
      </c>
      <c r="D167">
        <v>312</v>
      </c>
      <c r="E167">
        <v>-965</v>
      </c>
      <c r="F167">
        <v>462</v>
      </c>
      <c r="G167">
        <v>-347</v>
      </c>
      <c r="H167">
        <v>134</v>
      </c>
      <c r="I167">
        <v>62</v>
      </c>
      <c r="J167">
        <v>-391</v>
      </c>
      <c r="K167">
        <v>107</v>
      </c>
    </row>
    <row r="168" spans="2:11" x14ac:dyDescent="0.45">
      <c r="B168">
        <v>125</v>
      </c>
      <c r="C168">
        <v>-274</v>
      </c>
      <c r="D168">
        <v>936</v>
      </c>
      <c r="E168">
        <v>1013</v>
      </c>
      <c r="F168">
        <v>-1184</v>
      </c>
      <c r="G168">
        <v>-596</v>
      </c>
      <c r="H168">
        <v>16658</v>
      </c>
      <c r="I168">
        <v>169</v>
      </c>
      <c r="J168">
        <v>94</v>
      </c>
      <c r="K168">
        <v>-360</v>
      </c>
    </row>
    <row r="169" spans="2:11" x14ac:dyDescent="0.45">
      <c r="B169">
        <v>0</v>
      </c>
      <c r="C169">
        <v>122</v>
      </c>
      <c r="D169">
        <v>-2775</v>
      </c>
      <c r="E169">
        <v>938</v>
      </c>
      <c r="F169">
        <v>-36</v>
      </c>
      <c r="G169">
        <v>-1842</v>
      </c>
      <c r="H169">
        <v>-6720</v>
      </c>
      <c r="I169">
        <v>-2604</v>
      </c>
      <c r="J169">
        <v>-1420</v>
      </c>
      <c r="K169">
        <v>260</v>
      </c>
    </row>
    <row r="170" spans="2:11" x14ac:dyDescent="0.45">
      <c r="B170">
        <v>-585</v>
      </c>
      <c r="C170">
        <v>-211</v>
      </c>
      <c r="D170">
        <v>-310</v>
      </c>
      <c r="E170">
        <v>4937</v>
      </c>
      <c r="F170">
        <v>-150</v>
      </c>
      <c r="G170">
        <v>-597</v>
      </c>
      <c r="H170">
        <v>811</v>
      </c>
      <c r="I170">
        <v>-16890</v>
      </c>
      <c r="J170">
        <v>434</v>
      </c>
      <c r="K170">
        <v>-800</v>
      </c>
    </row>
    <row r="171" spans="2:11" x14ac:dyDescent="0.45">
      <c r="B171">
        <v>-44</v>
      </c>
      <c r="C171">
        <v>-313</v>
      </c>
      <c r="D171">
        <v>1104</v>
      </c>
      <c r="E171">
        <v>-809</v>
      </c>
      <c r="F171">
        <v>393</v>
      </c>
      <c r="G171">
        <v>483</v>
      </c>
      <c r="H171">
        <v>-108</v>
      </c>
      <c r="I171">
        <v>952</v>
      </c>
      <c r="J171">
        <v>590</v>
      </c>
      <c r="K171">
        <v>-168</v>
      </c>
    </row>
    <row r="172" spans="2:11" x14ac:dyDescent="0.45">
      <c r="B172">
        <v>-28</v>
      </c>
      <c r="C172">
        <v>1332</v>
      </c>
      <c r="D172">
        <v>437</v>
      </c>
      <c r="E172">
        <v>740</v>
      </c>
      <c r="F172">
        <v>-75</v>
      </c>
      <c r="G172">
        <v>38571</v>
      </c>
      <c r="H172">
        <v>0</v>
      </c>
      <c r="I172">
        <v>1301</v>
      </c>
      <c r="J172">
        <v>3650</v>
      </c>
      <c r="K172">
        <v>-416</v>
      </c>
    </row>
    <row r="173" spans="2:11" x14ac:dyDescent="0.45">
      <c r="B173">
        <v>114</v>
      </c>
      <c r="C173">
        <v>642</v>
      </c>
      <c r="D173">
        <v>599</v>
      </c>
      <c r="E173">
        <v>-325</v>
      </c>
      <c r="F173">
        <v>-48</v>
      </c>
      <c r="G173">
        <v>1421</v>
      </c>
      <c r="H173">
        <v>-202</v>
      </c>
      <c r="I173">
        <v>-5221</v>
      </c>
      <c r="J173">
        <v>-1626</v>
      </c>
      <c r="K173">
        <v>-450</v>
      </c>
    </row>
    <row r="174" spans="2:11" x14ac:dyDescent="0.45">
      <c r="B174">
        <v>-255</v>
      </c>
      <c r="C174">
        <v>9090</v>
      </c>
      <c r="D174">
        <v>-6855</v>
      </c>
      <c r="E174">
        <v>-136</v>
      </c>
      <c r="F174">
        <v>-22435</v>
      </c>
      <c r="G174">
        <v>189</v>
      </c>
      <c r="H174">
        <v>62</v>
      </c>
      <c r="I174">
        <v>-570</v>
      </c>
      <c r="J174">
        <v>95</v>
      </c>
      <c r="K174">
        <v>-197</v>
      </c>
    </row>
    <row r="175" spans="2:11" x14ac:dyDescent="0.45">
      <c r="B175">
        <v>321</v>
      </c>
      <c r="C175">
        <v>-383</v>
      </c>
      <c r="D175">
        <v>-3364</v>
      </c>
      <c r="E175">
        <v>729</v>
      </c>
      <c r="F175">
        <v>1116</v>
      </c>
      <c r="G175">
        <v>138</v>
      </c>
      <c r="H175">
        <v>252</v>
      </c>
      <c r="I175">
        <v>-5412</v>
      </c>
      <c r="J175">
        <v>-147</v>
      </c>
      <c r="K175">
        <v>-112</v>
      </c>
    </row>
    <row r="176" spans="2:11" x14ac:dyDescent="0.45">
      <c r="B176">
        <v>529</v>
      </c>
      <c r="C176">
        <v>-1400</v>
      </c>
      <c r="D176">
        <v>-402</v>
      </c>
      <c r="E176">
        <v>0</v>
      </c>
      <c r="F176">
        <v>2564</v>
      </c>
      <c r="G176">
        <v>-4692</v>
      </c>
      <c r="H176">
        <v>2214</v>
      </c>
      <c r="I176">
        <v>-660</v>
      </c>
      <c r="J176">
        <v>-1633</v>
      </c>
      <c r="K176">
        <v>-4729</v>
      </c>
    </row>
    <row r="177" spans="2:11" x14ac:dyDescent="0.45">
      <c r="B177">
        <v>-72</v>
      </c>
      <c r="C177">
        <v>-936</v>
      </c>
      <c r="D177">
        <v>-463</v>
      </c>
      <c r="E177">
        <v>228</v>
      </c>
      <c r="F177">
        <v>-992</v>
      </c>
      <c r="G177">
        <v>-1815</v>
      </c>
      <c r="H177">
        <v>53</v>
      </c>
      <c r="I177">
        <v>-335</v>
      </c>
      <c r="J177">
        <v>-4511</v>
      </c>
      <c r="K177">
        <v>-23272</v>
      </c>
    </row>
    <row r="178" spans="2:11" x14ac:dyDescent="0.45">
      <c r="B178">
        <v>881</v>
      </c>
      <c r="C178">
        <v>-34164</v>
      </c>
      <c r="D178">
        <v>1790</v>
      </c>
      <c r="E178">
        <v>-428</v>
      </c>
      <c r="F178">
        <v>-342</v>
      </c>
      <c r="G178">
        <v>434</v>
      </c>
      <c r="H178">
        <v>-279</v>
      </c>
      <c r="I178">
        <v>-23</v>
      </c>
      <c r="J178">
        <v>-459</v>
      </c>
      <c r="K178">
        <v>-5215</v>
      </c>
    </row>
    <row r="179" spans="2:11" x14ac:dyDescent="0.45">
      <c r="B179">
        <v>2006</v>
      </c>
      <c r="C179">
        <v>2160</v>
      </c>
      <c r="D179">
        <v>-260</v>
      </c>
      <c r="E179">
        <v>336</v>
      </c>
      <c r="F179">
        <v>-538</v>
      </c>
      <c r="G179">
        <v>-515</v>
      </c>
      <c r="H179">
        <v>-588</v>
      </c>
      <c r="I179">
        <v>858</v>
      </c>
      <c r="J179">
        <v>36257</v>
      </c>
      <c r="K179">
        <v>11180</v>
      </c>
    </row>
    <row r="180" spans="2:11" x14ac:dyDescent="0.45">
      <c r="B180">
        <v>16568</v>
      </c>
      <c r="C180">
        <v>0</v>
      </c>
      <c r="D180">
        <v>-300</v>
      </c>
      <c r="E180">
        <v>1233</v>
      </c>
      <c r="F180">
        <v>-1026</v>
      </c>
      <c r="G180">
        <v>985</v>
      </c>
      <c r="H180">
        <v>0</v>
      </c>
      <c r="I180">
        <v>515</v>
      </c>
      <c r="J180">
        <v>1566</v>
      </c>
      <c r="K180">
        <v>873</v>
      </c>
    </row>
    <row r="181" spans="2:11" x14ac:dyDescent="0.45">
      <c r="B181">
        <v>492</v>
      </c>
      <c r="C181">
        <v>-217</v>
      </c>
      <c r="D181">
        <v>270</v>
      </c>
      <c r="E181">
        <v>-1234</v>
      </c>
      <c r="F181">
        <v>277</v>
      </c>
      <c r="G181">
        <v>-1963</v>
      </c>
      <c r="H181">
        <v>-925</v>
      </c>
      <c r="I181">
        <v>288</v>
      </c>
      <c r="J181">
        <v>34</v>
      </c>
      <c r="K181">
        <v>-428</v>
      </c>
    </row>
    <row r="182" spans="2:11" x14ac:dyDescent="0.45">
      <c r="B182">
        <v>-11698</v>
      </c>
      <c r="C182">
        <v>2287</v>
      </c>
      <c r="D182">
        <v>28</v>
      </c>
      <c r="E182">
        <v>-213</v>
      </c>
      <c r="F182">
        <v>196</v>
      </c>
      <c r="G182">
        <v>-287</v>
      </c>
      <c r="H182">
        <v>155</v>
      </c>
      <c r="I182">
        <v>-165</v>
      </c>
      <c r="J182">
        <v>175</v>
      </c>
      <c r="K182">
        <v>296</v>
      </c>
    </row>
    <row r="183" spans="2:11" x14ac:dyDescent="0.45">
      <c r="B183">
        <v>-530</v>
      </c>
      <c r="C183">
        <v>-111</v>
      </c>
      <c r="D183">
        <v>-312</v>
      </c>
      <c r="E183">
        <v>329</v>
      </c>
      <c r="F183">
        <v>2747</v>
      </c>
      <c r="G183">
        <v>912</v>
      </c>
      <c r="H183">
        <v>837</v>
      </c>
      <c r="I183">
        <v>-14754</v>
      </c>
      <c r="J183">
        <v>-7</v>
      </c>
      <c r="K183">
        <v>1762</v>
      </c>
    </row>
    <row r="184" spans="2:11" x14ac:dyDescent="0.45">
      <c r="B184">
        <v>0</v>
      </c>
      <c r="C184">
        <v>420</v>
      </c>
      <c r="D184">
        <v>579</v>
      </c>
      <c r="E184">
        <v>-126</v>
      </c>
      <c r="F184">
        <v>142</v>
      </c>
      <c r="G184">
        <v>-353</v>
      </c>
      <c r="H184">
        <v>383</v>
      </c>
      <c r="I184">
        <v>605</v>
      </c>
      <c r="J184">
        <v>-515</v>
      </c>
      <c r="K184">
        <v>-616</v>
      </c>
    </row>
    <row r="185" spans="2:11" x14ac:dyDescent="0.45">
      <c r="B185">
        <v>-510</v>
      </c>
      <c r="C185">
        <v>452</v>
      </c>
      <c r="D185">
        <v>-189</v>
      </c>
      <c r="E185">
        <v>-532</v>
      </c>
      <c r="F185">
        <v>-544</v>
      </c>
      <c r="G185">
        <v>2248</v>
      </c>
      <c r="H185">
        <v>-124</v>
      </c>
      <c r="I185">
        <v>167</v>
      </c>
      <c r="J185">
        <v>-644</v>
      </c>
      <c r="K185">
        <v>-10973</v>
      </c>
    </row>
    <row r="186" spans="2:11" x14ac:dyDescent="0.45">
      <c r="B186">
        <v>2870</v>
      </c>
      <c r="C186">
        <v>797</v>
      </c>
      <c r="D186">
        <v>-146</v>
      </c>
      <c r="E186">
        <v>80</v>
      </c>
      <c r="F186">
        <v>-96</v>
      </c>
      <c r="G186">
        <v>-92</v>
      </c>
      <c r="H186">
        <v>394</v>
      </c>
      <c r="I186">
        <v>-635</v>
      </c>
      <c r="J186">
        <v>-344</v>
      </c>
      <c r="K186">
        <v>-93</v>
      </c>
    </row>
    <row r="187" spans="2:11" x14ac:dyDescent="0.45">
      <c r="B187">
        <v>66</v>
      </c>
      <c r="C187">
        <v>-72</v>
      </c>
      <c r="D187">
        <v>347</v>
      </c>
      <c r="E187">
        <v>668</v>
      </c>
      <c r="F187">
        <v>1719</v>
      </c>
      <c r="G187">
        <v>-399</v>
      </c>
      <c r="H187">
        <v>-5772</v>
      </c>
      <c r="I187">
        <v>268</v>
      </c>
      <c r="J187">
        <v>-1983</v>
      </c>
      <c r="K187">
        <v>-6680</v>
      </c>
    </row>
    <row r="188" spans="2:11" x14ac:dyDescent="0.45">
      <c r="B188">
        <v>0</v>
      </c>
      <c r="C188">
        <v>-1151</v>
      </c>
      <c r="D188">
        <v>3192</v>
      </c>
      <c r="E188">
        <v>-649</v>
      </c>
      <c r="F188">
        <v>654</v>
      </c>
      <c r="G188">
        <v>-1367</v>
      </c>
      <c r="H188">
        <v>893</v>
      </c>
      <c r="I188">
        <v>1437</v>
      </c>
      <c r="J188">
        <v>-516</v>
      </c>
      <c r="K188">
        <v>-2303</v>
      </c>
    </row>
    <row r="189" spans="2:11" x14ac:dyDescent="0.45">
      <c r="B189">
        <v>728</v>
      </c>
      <c r="C189">
        <v>-1320</v>
      </c>
      <c r="D189">
        <v>-3081</v>
      </c>
      <c r="E189">
        <v>-773</v>
      </c>
      <c r="F189">
        <v>-594</v>
      </c>
      <c r="G189">
        <v>-420</v>
      </c>
      <c r="H189">
        <v>1994</v>
      </c>
      <c r="I189">
        <v>-4394</v>
      </c>
      <c r="J189">
        <v>-466</v>
      </c>
      <c r="K189">
        <v>-12703</v>
      </c>
    </row>
    <row r="190" spans="2:11" x14ac:dyDescent="0.45">
      <c r="B190">
        <v>2446</v>
      </c>
      <c r="C190">
        <v>-1759</v>
      </c>
      <c r="D190">
        <v>-545</v>
      </c>
      <c r="E190">
        <v>379</v>
      </c>
      <c r="F190">
        <v>-413</v>
      </c>
      <c r="G190">
        <v>112</v>
      </c>
      <c r="H190">
        <v>-613</v>
      </c>
      <c r="I190">
        <v>-23</v>
      </c>
      <c r="J190">
        <v>-58</v>
      </c>
      <c r="K190">
        <v>-268</v>
      </c>
    </row>
    <row r="191" spans="2:11" x14ac:dyDescent="0.45">
      <c r="B191">
        <v>761</v>
      </c>
      <c r="C191">
        <v>-2313</v>
      </c>
      <c r="D191">
        <v>439</v>
      </c>
      <c r="E191">
        <v>3229</v>
      </c>
      <c r="F191">
        <v>924</v>
      </c>
      <c r="G191">
        <v>-1348</v>
      </c>
      <c r="H191">
        <v>2004</v>
      </c>
      <c r="I191">
        <v>4445</v>
      </c>
      <c r="J191">
        <v>-789</v>
      </c>
      <c r="K191">
        <v>2895</v>
      </c>
    </row>
    <row r="192" spans="2:11" x14ac:dyDescent="0.45">
      <c r="B192">
        <v>1093</v>
      </c>
      <c r="C192">
        <v>0</v>
      </c>
      <c r="D192">
        <v>130</v>
      </c>
      <c r="E192">
        <v>1424</v>
      </c>
      <c r="F192">
        <v>-801</v>
      </c>
      <c r="G192">
        <v>740</v>
      </c>
      <c r="H192">
        <v>-295</v>
      </c>
      <c r="I192">
        <v>408</v>
      </c>
      <c r="J192">
        <v>822</v>
      </c>
      <c r="K192">
        <v>-295</v>
      </c>
    </row>
    <row r="193" spans="2:11" x14ac:dyDescent="0.45">
      <c r="B193">
        <v>-2179</v>
      </c>
      <c r="C193">
        <v>428</v>
      </c>
      <c r="D193">
        <v>244</v>
      </c>
      <c r="E193">
        <v>-163</v>
      </c>
      <c r="F193">
        <v>220</v>
      </c>
      <c r="G193">
        <v>-15</v>
      </c>
      <c r="H193">
        <v>-312</v>
      </c>
      <c r="I193">
        <v>198</v>
      </c>
      <c r="J193">
        <v>996</v>
      </c>
      <c r="K193">
        <v>14</v>
      </c>
    </row>
    <row r="194" spans="2:11" x14ac:dyDescent="0.45">
      <c r="B194">
        <v>-8477</v>
      </c>
      <c r="C194">
        <v>2265</v>
      </c>
      <c r="D194">
        <v>1568</v>
      </c>
      <c r="E194">
        <v>-47</v>
      </c>
      <c r="F194">
        <v>166</v>
      </c>
      <c r="G194">
        <v>-290</v>
      </c>
      <c r="H194">
        <v>-15</v>
      </c>
      <c r="I194">
        <v>75</v>
      </c>
      <c r="J194">
        <v>-66</v>
      </c>
      <c r="K194">
        <v>-66</v>
      </c>
    </row>
    <row r="195" spans="2:11" x14ac:dyDescent="0.45">
      <c r="B195">
        <v>102</v>
      </c>
      <c r="C195">
        <v>-304</v>
      </c>
      <c r="D195">
        <v>-209</v>
      </c>
      <c r="E195">
        <v>199</v>
      </c>
      <c r="F195">
        <v>-4</v>
      </c>
      <c r="G195">
        <v>1588</v>
      </c>
      <c r="H195">
        <v>-370</v>
      </c>
      <c r="I195">
        <v>-383</v>
      </c>
      <c r="J195">
        <v>-4344</v>
      </c>
      <c r="K195">
        <v>-252</v>
      </c>
    </row>
    <row r="196" spans="2:11" x14ac:dyDescent="0.45">
      <c r="B196">
        <v>351</v>
      </c>
      <c r="C196">
        <v>1112</v>
      </c>
      <c r="D196">
        <v>-12753</v>
      </c>
      <c r="E196">
        <v>0</v>
      </c>
      <c r="F196">
        <v>925</v>
      </c>
      <c r="G196">
        <v>2308</v>
      </c>
      <c r="H196">
        <v>-1132</v>
      </c>
      <c r="I196">
        <v>1148</v>
      </c>
      <c r="J196">
        <v>-126</v>
      </c>
      <c r="K196">
        <v>198</v>
      </c>
    </row>
    <row r="197" spans="2:11" x14ac:dyDescent="0.45">
      <c r="B197">
        <v>188</v>
      </c>
      <c r="C197">
        <v>150</v>
      </c>
      <c r="D197">
        <v>-161</v>
      </c>
      <c r="E197">
        <v>-114</v>
      </c>
      <c r="F197">
        <v>-1255</v>
      </c>
      <c r="G197">
        <v>-330</v>
      </c>
      <c r="H197">
        <v>-131</v>
      </c>
      <c r="I197">
        <v>43</v>
      </c>
      <c r="J197">
        <v>238</v>
      </c>
      <c r="K197">
        <v>635</v>
      </c>
    </row>
    <row r="198" spans="2:11" x14ac:dyDescent="0.45">
      <c r="B198">
        <v>105</v>
      </c>
      <c r="C198">
        <v>1037</v>
      </c>
      <c r="D198">
        <v>-15461</v>
      </c>
      <c r="E198">
        <v>-1234</v>
      </c>
      <c r="F198">
        <v>927</v>
      </c>
      <c r="G198">
        <v>-768</v>
      </c>
      <c r="H198">
        <v>687</v>
      </c>
      <c r="I198">
        <v>-768</v>
      </c>
      <c r="J198">
        <v>-18</v>
      </c>
      <c r="K198">
        <v>-303</v>
      </c>
    </row>
    <row r="199" spans="2:11" x14ac:dyDescent="0.45">
      <c r="B199">
        <v>-140</v>
      </c>
      <c r="C199">
        <v>-41</v>
      </c>
      <c r="D199">
        <v>1139</v>
      </c>
      <c r="E199">
        <v>1016</v>
      </c>
      <c r="F199">
        <v>-1365</v>
      </c>
      <c r="G199">
        <v>-1122</v>
      </c>
      <c r="H199">
        <v>3276</v>
      </c>
      <c r="I199">
        <v>1591</v>
      </c>
      <c r="J199">
        <v>-826</v>
      </c>
      <c r="K199">
        <v>252</v>
      </c>
    </row>
    <row r="200" spans="2:11" x14ac:dyDescent="0.45">
      <c r="B200">
        <v>82</v>
      </c>
      <c r="C200">
        <v>-880</v>
      </c>
      <c r="D200">
        <v>2734</v>
      </c>
      <c r="E200">
        <v>1490</v>
      </c>
      <c r="F200">
        <v>3136</v>
      </c>
      <c r="G200">
        <v>878</v>
      </c>
      <c r="H200">
        <v>0</v>
      </c>
      <c r="I200">
        <v>-606</v>
      </c>
      <c r="J200">
        <v>661</v>
      </c>
      <c r="K200">
        <v>304</v>
      </c>
    </row>
    <row r="201" spans="2:11" x14ac:dyDescent="0.45">
      <c r="B201">
        <v>-381</v>
      </c>
      <c r="C201">
        <v>-686</v>
      </c>
      <c r="D201">
        <v>-1240</v>
      </c>
      <c r="E201">
        <v>1550</v>
      </c>
      <c r="F201">
        <v>-541</v>
      </c>
      <c r="G201">
        <v>-440</v>
      </c>
      <c r="H201">
        <v>73</v>
      </c>
      <c r="I201">
        <v>48</v>
      </c>
      <c r="J201">
        <v>-219</v>
      </c>
      <c r="K201">
        <v>-74</v>
      </c>
    </row>
    <row r="202" spans="2:11" x14ac:dyDescent="0.45">
      <c r="B202">
        <v>-697</v>
      </c>
      <c r="C202">
        <v>90</v>
      </c>
      <c r="D202">
        <v>-593</v>
      </c>
      <c r="E202">
        <v>457</v>
      </c>
      <c r="F202">
        <v>-621</v>
      </c>
      <c r="G202">
        <v>-7821</v>
      </c>
      <c r="H202">
        <v>-4101</v>
      </c>
      <c r="I202">
        <v>-1100</v>
      </c>
      <c r="J202">
        <v>1499</v>
      </c>
      <c r="K202">
        <v>-1301</v>
      </c>
    </row>
    <row r="203" spans="2:11" x14ac:dyDescent="0.45">
      <c r="B203">
        <v>1113</v>
      </c>
      <c r="C203">
        <v>532</v>
      </c>
      <c r="D203">
        <v>-67</v>
      </c>
      <c r="E203">
        <v>183</v>
      </c>
      <c r="F203">
        <v>950</v>
      </c>
      <c r="G203">
        <v>-869</v>
      </c>
      <c r="H203">
        <v>540</v>
      </c>
      <c r="I203">
        <v>-848</v>
      </c>
      <c r="J203">
        <v>-76</v>
      </c>
      <c r="K203">
        <v>1450</v>
      </c>
    </row>
    <row r="204" spans="2:11" x14ac:dyDescent="0.45">
      <c r="B204">
        <v>1131</v>
      </c>
      <c r="C204">
        <v>-711</v>
      </c>
      <c r="D204">
        <v>527</v>
      </c>
      <c r="E204">
        <v>152</v>
      </c>
      <c r="F204">
        <v>-127</v>
      </c>
      <c r="G204">
        <v>693</v>
      </c>
      <c r="H204">
        <v>926</v>
      </c>
      <c r="I204">
        <v>1000</v>
      </c>
      <c r="J204">
        <v>782</v>
      </c>
      <c r="K204">
        <v>-20714</v>
      </c>
    </row>
    <row r="205" spans="2:11" x14ac:dyDescent="0.45">
      <c r="B205">
        <v>0</v>
      </c>
      <c r="C205">
        <v>-233</v>
      </c>
      <c r="D205">
        <v>243</v>
      </c>
      <c r="E205">
        <v>-301</v>
      </c>
      <c r="F205">
        <v>323</v>
      </c>
      <c r="G205">
        <v>-172</v>
      </c>
      <c r="H205">
        <v>-2027</v>
      </c>
      <c r="I205">
        <v>-43</v>
      </c>
      <c r="J205">
        <v>768</v>
      </c>
      <c r="K205">
        <v>295</v>
      </c>
    </row>
    <row r="206" spans="2:11" x14ac:dyDescent="0.45">
      <c r="B206">
        <v>498</v>
      </c>
      <c r="C206">
        <v>-298</v>
      </c>
      <c r="D206">
        <v>-194</v>
      </c>
      <c r="E206">
        <v>-202</v>
      </c>
      <c r="F206">
        <v>-415</v>
      </c>
      <c r="G206">
        <v>612</v>
      </c>
      <c r="H206">
        <v>560</v>
      </c>
      <c r="I206">
        <v>29</v>
      </c>
      <c r="J206">
        <v>-150</v>
      </c>
      <c r="K206">
        <v>3138</v>
      </c>
    </row>
    <row r="207" spans="2:11" x14ac:dyDescent="0.45">
      <c r="B207">
        <v>1284</v>
      </c>
      <c r="C207">
        <v>-287</v>
      </c>
      <c r="D207">
        <v>-1120</v>
      </c>
      <c r="E207">
        <v>893</v>
      </c>
      <c r="F207">
        <v>-738</v>
      </c>
      <c r="G207">
        <v>-91</v>
      </c>
      <c r="H207">
        <v>483</v>
      </c>
      <c r="I207">
        <v>-692</v>
      </c>
      <c r="J207">
        <v>-1130</v>
      </c>
      <c r="K207">
        <v>633</v>
      </c>
    </row>
    <row r="208" spans="2:11" x14ac:dyDescent="0.45">
      <c r="B208">
        <v>-137</v>
      </c>
      <c r="C208">
        <v>-283</v>
      </c>
      <c r="D208">
        <v>838</v>
      </c>
      <c r="E208">
        <v>401</v>
      </c>
      <c r="F208">
        <v>-840</v>
      </c>
      <c r="G208">
        <v>-52</v>
      </c>
      <c r="H208">
        <v>799</v>
      </c>
      <c r="I208">
        <v>5</v>
      </c>
      <c r="J208">
        <v>-254</v>
      </c>
      <c r="K208">
        <v>323</v>
      </c>
    </row>
    <row r="209" spans="2:11" x14ac:dyDescent="0.45">
      <c r="B209">
        <v>-480</v>
      </c>
      <c r="C209">
        <v>565</v>
      </c>
      <c r="D209">
        <v>-656</v>
      </c>
      <c r="E209">
        <v>-22049</v>
      </c>
      <c r="F209">
        <v>-70320</v>
      </c>
      <c r="G209">
        <v>0</v>
      </c>
      <c r="H209">
        <v>-1393</v>
      </c>
      <c r="I209">
        <v>-25996</v>
      </c>
      <c r="J209">
        <v>5650</v>
      </c>
      <c r="K209">
        <v>-3423</v>
      </c>
    </row>
    <row r="210" spans="2:11" x14ac:dyDescent="0.45">
      <c r="B210">
        <v>5371</v>
      </c>
      <c r="C210">
        <v>-403</v>
      </c>
      <c r="D210">
        <v>2262</v>
      </c>
      <c r="E210">
        <v>-615</v>
      </c>
      <c r="F210">
        <v>1273</v>
      </c>
      <c r="G210">
        <v>-368</v>
      </c>
      <c r="H210">
        <v>-1748</v>
      </c>
      <c r="I210">
        <v>1242</v>
      </c>
      <c r="J210">
        <v>630</v>
      </c>
      <c r="K210">
        <v>-1170</v>
      </c>
    </row>
    <row r="211" spans="2:11" x14ac:dyDescent="0.45">
      <c r="B211">
        <v>-583</v>
      </c>
      <c r="C211">
        <v>-2395</v>
      </c>
      <c r="D211">
        <v>-672</v>
      </c>
      <c r="E211">
        <v>669</v>
      </c>
      <c r="F211">
        <v>1995</v>
      </c>
      <c r="G211">
        <v>387</v>
      </c>
      <c r="H211">
        <v>-277</v>
      </c>
      <c r="I211">
        <v>3388</v>
      </c>
      <c r="J211">
        <v>-2006</v>
      </c>
      <c r="K211">
        <v>1815</v>
      </c>
    </row>
    <row r="212" spans="2:11" x14ac:dyDescent="0.45">
      <c r="B212">
        <v>392</v>
      </c>
      <c r="C212">
        <v>-20</v>
      </c>
      <c r="D212">
        <v>962</v>
      </c>
      <c r="E212">
        <v>2364</v>
      </c>
      <c r="F212">
        <v>-527</v>
      </c>
      <c r="G212">
        <v>-708</v>
      </c>
      <c r="H212">
        <v>22742</v>
      </c>
      <c r="I212">
        <v>740</v>
      </c>
      <c r="J212">
        <v>-759</v>
      </c>
      <c r="K212">
        <v>-985</v>
      </c>
    </row>
    <row r="213" spans="2:11" x14ac:dyDescent="0.45">
      <c r="B213">
        <v>18056</v>
      </c>
      <c r="C213">
        <v>-1000</v>
      </c>
      <c r="D213">
        <v>-7985</v>
      </c>
      <c r="E213">
        <v>-2343</v>
      </c>
      <c r="F213">
        <v>-468</v>
      </c>
      <c r="G213">
        <v>-481</v>
      </c>
      <c r="H213">
        <v>-3093</v>
      </c>
      <c r="I213">
        <v>-559</v>
      </c>
      <c r="J213">
        <v>-2143</v>
      </c>
      <c r="K213">
        <v>-1529</v>
      </c>
    </row>
    <row r="214" spans="2:11" x14ac:dyDescent="0.45">
      <c r="B214">
        <v>-712</v>
      </c>
      <c r="C214">
        <v>0</v>
      </c>
      <c r="D214">
        <v>-975</v>
      </c>
      <c r="E214">
        <v>-3751</v>
      </c>
      <c r="F214">
        <v>-1166</v>
      </c>
      <c r="G214">
        <v>1260</v>
      </c>
      <c r="H214">
        <v>1777</v>
      </c>
      <c r="I214">
        <v>-22852</v>
      </c>
      <c r="J214">
        <v>294</v>
      </c>
      <c r="K214">
        <v>763</v>
      </c>
    </row>
    <row r="215" spans="2:11" x14ac:dyDescent="0.45">
      <c r="B215">
        <v>-829</v>
      </c>
      <c r="C215">
        <v>488</v>
      </c>
      <c r="D215">
        <v>-649</v>
      </c>
      <c r="E215">
        <v>5442</v>
      </c>
      <c r="F215">
        <v>7882</v>
      </c>
      <c r="G215">
        <v>871</v>
      </c>
      <c r="H215">
        <v>669</v>
      </c>
      <c r="I215">
        <v>-1616</v>
      </c>
      <c r="J215">
        <v>4903</v>
      </c>
      <c r="K215">
        <v>1426</v>
      </c>
    </row>
    <row r="216" spans="2:11" x14ac:dyDescent="0.45">
      <c r="B216">
        <v>1608</v>
      </c>
      <c r="C216">
        <v>1979</v>
      </c>
      <c r="D216">
        <v>388</v>
      </c>
      <c r="E216">
        <v>-1878</v>
      </c>
      <c r="F216">
        <v>1972</v>
      </c>
      <c r="G216">
        <v>-1806</v>
      </c>
      <c r="H216">
        <v>2051</v>
      </c>
      <c r="I216">
        <v>-1127</v>
      </c>
      <c r="J216">
        <v>1455</v>
      </c>
      <c r="K216">
        <v>283</v>
      </c>
    </row>
    <row r="217" spans="2:11" x14ac:dyDescent="0.45">
      <c r="B217">
        <v>1119</v>
      </c>
      <c r="C217">
        <v>457</v>
      </c>
      <c r="D217">
        <v>2683</v>
      </c>
      <c r="E217">
        <v>641</v>
      </c>
      <c r="F217">
        <v>705</v>
      </c>
      <c r="G217">
        <v>-415</v>
      </c>
      <c r="H217">
        <v>2851</v>
      </c>
      <c r="I217">
        <v>6094</v>
      </c>
      <c r="J217">
        <v>-1592</v>
      </c>
      <c r="K217">
        <v>-776</v>
      </c>
    </row>
    <row r="218" spans="2:11" x14ac:dyDescent="0.45">
      <c r="B218">
        <v>-291</v>
      </c>
      <c r="C218">
        <v>-256</v>
      </c>
      <c r="D218">
        <v>684</v>
      </c>
      <c r="E218">
        <v>-397</v>
      </c>
      <c r="F218">
        <v>-202</v>
      </c>
      <c r="G218">
        <v>337</v>
      </c>
      <c r="H218">
        <v>1050</v>
      </c>
      <c r="I218">
        <v>14906</v>
      </c>
      <c r="J218">
        <v>0</v>
      </c>
      <c r="K218">
        <v>-74</v>
      </c>
    </row>
    <row r="219" spans="2:11" x14ac:dyDescent="0.45">
      <c r="B219">
        <v>-162</v>
      </c>
      <c r="C219">
        <v>-153</v>
      </c>
      <c r="D219">
        <v>396</v>
      </c>
      <c r="E219">
        <v>-102</v>
      </c>
      <c r="F219">
        <v>-2749</v>
      </c>
      <c r="G219">
        <v>3519</v>
      </c>
      <c r="H219">
        <v>-386</v>
      </c>
      <c r="I219">
        <v>105</v>
      </c>
      <c r="J219">
        <v>-151</v>
      </c>
      <c r="K219">
        <v>-834</v>
      </c>
    </row>
    <row r="220" spans="2:11" x14ac:dyDescent="0.45">
      <c r="B220">
        <v>-561</v>
      </c>
      <c r="C220">
        <v>-703</v>
      </c>
      <c r="D220">
        <v>-1104</v>
      </c>
      <c r="E220">
        <v>437</v>
      </c>
      <c r="F220">
        <v>-700</v>
      </c>
      <c r="G220">
        <v>-724</v>
      </c>
      <c r="H220">
        <v>-1302</v>
      </c>
      <c r="I220">
        <v>-7078</v>
      </c>
      <c r="J220">
        <v>-6387</v>
      </c>
      <c r="K220">
        <v>-848</v>
      </c>
    </row>
    <row r="221" spans="2:11" x14ac:dyDescent="0.45">
      <c r="B221">
        <v>-206</v>
      </c>
      <c r="C221">
        <v>311</v>
      </c>
      <c r="D221">
        <v>-412</v>
      </c>
      <c r="E221">
        <v>458</v>
      </c>
      <c r="F221">
        <v>-493</v>
      </c>
      <c r="G221">
        <v>131</v>
      </c>
      <c r="H221">
        <v>3</v>
      </c>
      <c r="I221">
        <v>10</v>
      </c>
      <c r="J221">
        <v>347</v>
      </c>
      <c r="K221">
        <v>107</v>
      </c>
    </row>
    <row r="222" spans="2:11" x14ac:dyDescent="0.45">
      <c r="B222">
        <v>-1396</v>
      </c>
      <c r="C222">
        <v>5665</v>
      </c>
      <c r="D222">
        <v>-1025</v>
      </c>
      <c r="E222">
        <v>262</v>
      </c>
      <c r="F222">
        <v>1611</v>
      </c>
      <c r="G222">
        <v>-665</v>
      </c>
      <c r="H222">
        <v>-1017</v>
      </c>
      <c r="I222">
        <v>3870</v>
      </c>
      <c r="J222">
        <v>37</v>
      </c>
      <c r="K222">
        <v>4500</v>
      </c>
    </row>
    <row r="223" spans="2:11" x14ac:dyDescent="0.45">
      <c r="B223">
        <v>-1056</v>
      </c>
      <c r="C223">
        <v>3652</v>
      </c>
      <c r="D223">
        <v>623</v>
      </c>
      <c r="E223">
        <v>1467</v>
      </c>
      <c r="F223">
        <v>-142</v>
      </c>
      <c r="G223">
        <v>-8458</v>
      </c>
      <c r="H223">
        <v>0</v>
      </c>
      <c r="I223">
        <v>-1730</v>
      </c>
      <c r="J223">
        <v>-18066</v>
      </c>
      <c r="K223">
        <v>5314</v>
      </c>
    </row>
    <row r="224" spans="2:11" x14ac:dyDescent="0.45">
      <c r="B224">
        <v>-3142</v>
      </c>
      <c r="C224">
        <v>1001</v>
      </c>
      <c r="D224">
        <v>1031</v>
      </c>
      <c r="E224">
        <v>-2645</v>
      </c>
      <c r="F224">
        <v>363</v>
      </c>
      <c r="G224">
        <v>-1293</v>
      </c>
      <c r="H224">
        <v>-1731</v>
      </c>
      <c r="I224">
        <v>2807</v>
      </c>
      <c r="J224">
        <v>574</v>
      </c>
      <c r="K224">
        <v>-3903</v>
      </c>
    </row>
    <row r="225" spans="2:11" x14ac:dyDescent="0.45">
      <c r="B225">
        <v>2175</v>
      </c>
      <c r="C225">
        <v>-570</v>
      </c>
      <c r="D225">
        <v>603</v>
      </c>
      <c r="E225">
        <v>2627</v>
      </c>
      <c r="F225">
        <v>4477</v>
      </c>
      <c r="G225">
        <v>604</v>
      </c>
      <c r="H225">
        <v>134</v>
      </c>
      <c r="I225">
        <v>-265</v>
      </c>
      <c r="J225">
        <v>886</v>
      </c>
      <c r="K225">
        <v>-569</v>
      </c>
    </row>
    <row r="226" spans="2:11" x14ac:dyDescent="0.45">
      <c r="B226">
        <v>452</v>
      </c>
      <c r="C226">
        <v>4162</v>
      </c>
      <c r="D226">
        <v>551</v>
      </c>
      <c r="E226">
        <v>403</v>
      </c>
      <c r="F226">
        <v>-1076</v>
      </c>
      <c r="G226">
        <v>1402</v>
      </c>
      <c r="H226">
        <v>505</v>
      </c>
      <c r="I226">
        <v>14437</v>
      </c>
      <c r="J226">
        <v>632</v>
      </c>
      <c r="K226">
        <v>-449</v>
      </c>
    </row>
    <row r="227" spans="2:11" x14ac:dyDescent="0.45">
      <c r="B227">
        <v>-608</v>
      </c>
      <c r="C227">
        <v>10829</v>
      </c>
      <c r="D227">
        <v>-1860</v>
      </c>
      <c r="E227">
        <v>-5930</v>
      </c>
      <c r="F227">
        <v>-2893</v>
      </c>
      <c r="G227">
        <v>-243</v>
      </c>
      <c r="H227">
        <v>-218</v>
      </c>
      <c r="I227">
        <v>-2030</v>
      </c>
      <c r="J227">
        <v>-255</v>
      </c>
      <c r="K227">
        <v>-1199</v>
      </c>
    </row>
    <row r="228" spans="2:11" x14ac:dyDescent="0.45">
      <c r="B228">
        <v>-1072</v>
      </c>
      <c r="C228">
        <v>-494</v>
      </c>
      <c r="D228">
        <v>20783</v>
      </c>
      <c r="E228">
        <v>-1215</v>
      </c>
      <c r="F228">
        <v>-123</v>
      </c>
      <c r="G228">
        <v>0</v>
      </c>
      <c r="H228">
        <v>-210</v>
      </c>
      <c r="I228">
        <v>-450</v>
      </c>
      <c r="J228">
        <v>290</v>
      </c>
      <c r="K228">
        <v>-136</v>
      </c>
    </row>
    <row r="229" spans="2:11" x14ac:dyDescent="0.45">
      <c r="B229">
        <v>-72</v>
      </c>
      <c r="C229">
        <v>-2522</v>
      </c>
      <c r="D229">
        <v>751</v>
      </c>
      <c r="E229">
        <v>-316</v>
      </c>
      <c r="F229">
        <v>-172</v>
      </c>
      <c r="G229">
        <v>-217</v>
      </c>
      <c r="H229">
        <v>225</v>
      </c>
      <c r="I229">
        <v>-586</v>
      </c>
      <c r="J229">
        <v>1082</v>
      </c>
      <c r="K229">
        <v>-1021</v>
      </c>
    </row>
    <row r="230" spans="2:11" x14ac:dyDescent="0.45">
      <c r="B230">
        <v>415</v>
      </c>
      <c r="C230">
        <v>521</v>
      </c>
      <c r="D230">
        <v>-808</v>
      </c>
      <c r="E230">
        <v>1160</v>
      </c>
      <c r="F230">
        <v>-7318</v>
      </c>
      <c r="G230">
        <v>-4038</v>
      </c>
      <c r="H230">
        <v>-3090</v>
      </c>
      <c r="I230">
        <v>82</v>
      </c>
      <c r="J230">
        <v>-38</v>
      </c>
      <c r="K230">
        <v>10</v>
      </c>
    </row>
    <row r="231" spans="2:11" x14ac:dyDescent="0.45">
      <c r="B231">
        <v>1661</v>
      </c>
      <c r="C231">
        <v>321</v>
      </c>
      <c r="D231">
        <v>123</v>
      </c>
      <c r="E231">
        <v>-235</v>
      </c>
      <c r="F231">
        <v>-11</v>
      </c>
      <c r="G231">
        <v>70</v>
      </c>
      <c r="H231">
        <v>7</v>
      </c>
      <c r="I231">
        <v>-125</v>
      </c>
      <c r="J231">
        <v>3215</v>
      </c>
      <c r="K231">
        <v>91</v>
      </c>
    </row>
    <row r="232" spans="2:11" x14ac:dyDescent="0.45">
      <c r="B232">
        <v>82</v>
      </c>
      <c r="C232">
        <v>1311</v>
      </c>
      <c r="D232">
        <v>-887</v>
      </c>
      <c r="E232">
        <v>-1577</v>
      </c>
      <c r="F232">
        <v>2116</v>
      </c>
      <c r="G232">
        <v>498</v>
      </c>
      <c r="H232">
        <v>2591</v>
      </c>
      <c r="I232">
        <v>-110</v>
      </c>
      <c r="J232">
        <v>2333</v>
      </c>
      <c r="K232">
        <v>890</v>
      </c>
    </row>
    <row r="233" spans="2:11" x14ac:dyDescent="0.45">
      <c r="B233">
        <v>460</v>
      </c>
      <c r="C233">
        <v>-107</v>
      </c>
      <c r="D233">
        <v>1057</v>
      </c>
      <c r="E233">
        <v>4287</v>
      </c>
      <c r="F233">
        <v>1701</v>
      </c>
      <c r="G233">
        <v>0</v>
      </c>
      <c r="H233">
        <v>-2241</v>
      </c>
      <c r="I233">
        <v>-15841</v>
      </c>
      <c r="J233">
        <v>860</v>
      </c>
      <c r="K233">
        <v>-358</v>
      </c>
    </row>
    <row r="234" spans="2:11" x14ac:dyDescent="0.45">
      <c r="B234">
        <v>-2134</v>
      </c>
      <c r="C234">
        <v>-2113</v>
      </c>
      <c r="D234">
        <v>-1690</v>
      </c>
      <c r="E234">
        <v>6346</v>
      </c>
      <c r="F234">
        <v>-779</v>
      </c>
      <c r="G234">
        <v>907</v>
      </c>
      <c r="H234">
        <v>1560</v>
      </c>
      <c r="I234">
        <v>-5662</v>
      </c>
      <c r="J234">
        <v>-1573</v>
      </c>
      <c r="K234">
        <v>-1558</v>
      </c>
    </row>
    <row r="235" spans="2:11" x14ac:dyDescent="0.45">
      <c r="B235">
        <v>5386</v>
      </c>
      <c r="C235">
        <v>226</v>
      </c>
      <c r="D235">
        <v>3512</v>
      </c>
      <c r="E235">
        <v>5299</v>
      </c>
      <c r="F235">
        <v>-869</v>
      </c>
      <c r="G235">
        <v>514</v>
      </c>
      <c r="H235">
        <v>-115</v>
      </c>
      <c r="I235">
        <v>-1360</v>
      </c>
      <c r="J235">
        <v>108</v>
      </c>
      <c r="K235">
        <v>-30</v>
      </c>
    </row>
    <row r="236" spans="2:11" x14ac:dyDescent="0.45">
      <c r="B236">
        <v>-31</v>
      </c>
      <c r="C236">
        <v>190</v>
      </c>
      <c r="D236">
        <v>4223</v>
      </c>
      <c r="E236">
        <v>-69</v>
      </c>
      <c r="F236">
        <v>271</v>
      </c>
      <c r="G236">
        <v>583</v>
      </c>
      <c r="H236">
        <v>24105</v>
      </c>
      <c r="I236">
        <v>403</v>
      </c>
      <c r="J236">
        <v>396</v>
      </c>
      <c r="K236">
        <v>20</v>
      </c>
    </row>
    <row r="237" spans="2:11" x14ac:dyDescent="0.45">
      <c r="B237">
        <v>15414</v>
      </c>
      <c r="C237">
        <v>-570</v>
      </c>
      <c r="D237">
        <v>-7651</v>
      </c>
      <c r="E237">
        <v>-4321</v>
      </c>
      <c r="F237">
        <v>317</v>
      </c>
      <c r="G237">
        <v>245</v>
      </c>
      <c r="H237">
        <v>-1733</v>
      </c>
      <c r="I237">
        <v>-44</v>
      </c>
      <c r="J237">
        <v>-1115</v>
      </c>
      <c r="K237">
        <v>-995</v>
      </c>
    </row>
    <row r="238" spans="2:11" x14ac:dyDescent="0.45">
      <c r="B238">
        <v>-327</v>
      </c>
      <c r="C238">
        <v>27212</v>
      </c>
      <c r="D238">
        <v>433</v>
      </c>
      <c r="E238">
        <v>482</v>
      </c>
      <c r="F238">
        <v>17903</v>
      </c>
      <c r="G238">
        <v>446</v>
      </c>
      <c r="H238">
        <v>0</v>
      </c>
      <c r="I238">
        <v>-267</v>
      </c>
      <c r="J238">
        <v>574</v>
      </c>
      <c r="K238">
        <v>-310</v>
      </c>
    </row>
    <row r="239" spans="2:11" x14ac:dyDescent="0.45">
      <c r="B239">
        <v>151</v>
      </c>
      <c r="C239">
        <v>80</v>
      </c>
      <c r="D239">
        <v>-580</v>
      </c>
      <c r="E239">
        <v>912</v>
      </c>
      <c r="F239">
        <v>146</v>
      </c>
      <c r="G239">
        <v>366</v>
      </c>
      <c r="H239">
        <v>86</v>
      </c>
      <c r="I239">
        <v>-95</v>
      </c>
      <c r="J239">
        <v>-482</v>
      </c>
      <c r="K239">
        <v>125</v>
      </c>
    </row>
    <row r="240" spans="2:11" x14ac:dyDescent="0.45">
      <c r="B240">
        <v>-365</v>
      </c>
      <c r="C240">
        <v>110</v>
      </c>
      <c r="D240">
        <v>5</v>
      </c>
      <c r="E240">
        <v>-325</v>
      </c>
      <c r="F240">
        <v>10</v>
      </c>
      <c r="G240">
        <v>994</v>
      </c>
      <c r="H240">
        <v>-742</v>
      </c>
      <c r="I240">
        <v>96</v>
      </c>
      <c r="J240">
        <v>-439</v>
      </c>
      <c r="K240">
        <v>92</v>
      </c>
    </row>
    <row r="241" spans="2:11" x14ac:dyDescent="0.45">
      <c r="B241">
        <v>54</v>
      </c>
      <c r="C241">
        <v>-693</v>
      </c>
      <c r="D241">
        <v>929</v>
      </c>
      <c r="E241">
        <v>635</v>
      </c>
      <c r="F241">
        <v>-284</v>
      </c>
      <c r="G241">
        <v>-366</v>
      </c>
      <c r="H241">
        <v>-175</v>
      </c>
      <c r="I241">
        <v>-108</v>
      </c>
      <c r="J241">
        <v>-611</v>
      </c>
      <c r="K241">
        <v>127</v>
      </c>
    </row>
    <row r="242" spans="2:11" x14ac:dyDescent="0.45">
      <c r="B242">
        <v>-186</v>
      </c>
      <c r="C242">
        <v>-124</v>
      </c>
      <c r="D242">
        <v>404</v>
      </c>
      <c r="E242">
        <v>-254</v>
      </c>
      <c r="F242">
        <v>-579</v>
      </c>
      <c r="G242">
        <v>-31</v>
      </c>
      <c r="H242">
        <v>-93</v>
      </c>
      <c r="I242">
        <v>58</v>
      </c>
      <c r="J242">
        <v>-127</v>
      </c>
      <c r="K242">
        <v>-61</v>
      </c>
    </row>
    <row r="243" spans="2:11" x14ac:dyDescent="0.45">
      <c r="B243">
        <v>-5</v>
      </c>
      <c r="C243">
        <v>131</v>
      </c>
      <c r="D243">
        <v>-146</v>
      </c>
      <c r="E243">
        <v>462</v>
      </c>
      <c r="F243">
        <v>260</v>
      </c>
      <c r="G243">
        <v>-220</v>
      </c>
      <c r="H243">
        <v>120</v>
      </c>
      <c r="I243">
        <v>1580</v>
      </c>
      <c r="J243">
        <v>0</v>
      </c>
      <c r="K243">
        <v>366</v>
      </c>
    </row>
    <row r="244" spans="2:11" x14ac:dyDescent="0.45">
      <c r="B244">
        <v>-71</v>
      </c>
      <c r="C244">
        <v>258</v>
      </c>
      <c r="D244">
        <v>-318</v>
      </c>
      <c r="E244">
        <v>-110</v>
      </c>
      <c r="F244">
        <v>-362</v>
      </c>
      <c r="G244">
        <v>-565</v>
      </c>
      <c r="H244">
        <v>-556</v>
      </c>
      <c r="I244">
        <v>-858</v>
      </c>
      <c r="J244">
        <v>287</v>
      </c>
      <c r="K244">
        <v>35</v>
      </c>
    </row>
    <row r="245" spans="2:11" x14ac:dyDescent="0.45">
      <c r="B245">
        <v>278</v>
      </c>
      <c r="C245">
        <v>877</v>
      </c>
      <c r="D245">
        <v>-57</v>
      </c>
      <c r="E245">
        <v>-92</v>
      </c>
      <c r="F245">
        <v>-157</v>
      </c>
      <c r="G245">
        <v>-696</v>
      </c>
      <c r="H245">
        <v>643</v>
      </c>
      <c r="I245">
        <v>-1830</v>
      </c>
      <c r="J245">
        <v>-694</v>
      </c>
      <c r="K245">
        <v>279</v>
      </c>
    </row>
    <row r="246" spans="2:11" x14ac:dyDescent="0.45">
      <c r="B246">
        <v>-111</v>
      </c>
      <c r="C246">
        <v>-86</v>
      </c>
      <c r="D246">
        <v>167</v>
      </c>
      <c r="E246">
        <v>-272</v>
      </c>
      <c r="F246">
        <v>-16</v>
      </c>
      <c r="G246">
        <v>-907</v>
      </c>
      <c r="H246">
        <v>249</v>
      </c>
      <c r="I246">
        <v>531</v>
      </c>
      <c r="J246">
        <v>475</v>
      </c>
      <c r="K246">
        <v>174</v>
      </c>
    </row>
    <row r="247" spans="2:11" x14ac:dyDescent="0.45">
      <c r="B247">
        <v>68</v>
      </c>
      <c r="C247">
        <v>332</v>
      </c>
      <c r="D247">
        <v>257</v>
      </c>
      <c r="E247">
        <v>78</v>
      </c>
      <c r="F247">
        <v>328</v>
      </c>
      <c r="G247">
        <v>-78</v>
      </c>
      <c r="H247">
        <v>-32</v>
      </c>
      <c r="I247">
        <v>211</v>
      </c>
      <c r="J247">
        <v>197</v>
      </c>
      <c r="K247">
        <v>312</v>
      </c>
    </row>
    <row r="248" spans="2:11" x14ac:dyDescent="0.45">
      <c r="B248">
        <v>157</v>
      </c>
      <c r="C248">
        <v>372</v>
      </c>
      <c r="D248">
        <v>221</v>
      </c>
      <c r="E248">
        <v>-61</v>
      </c>
      <c r="F248">
        <v>-172</v>
      </c>
      <c r="G248">
        <v>149</v>
      </c>
      <c r="H248">
        <v>250</v>
      </c>
      <c r="I248">
        <v>-140</v>
      </c>
      <c r="J248">
        <v>240</v>
      </c>
      <c r="K248">
        <v>1218</v>
      </c>
    </row>
    <row r="249" spans="2:11" x14ac:dyDescent="0.45">
      <c r="B249">
        <v>19635</v>
      </c>
      <c r="C249">
        <v>0</v>
      </c>
      <c r="D249">
        <v>-521</v>
      </c>
      <c r="E249">
        <v>50</v>
      </c>
      <c r="F249">
        <v>4</v>
      </c>
      <c r="G249">
        <v>-17</v>
      </c>
      <c r="H249">
        <v>18</v>
      </c>
      <c r="I249">
        <v>581</v>
      </c>
      <c r="J249">
        <v>55</v>
      </c>
      <c r="K249">
        <v>216</v>
      </c>
    </row>
    <row r="250" spans="2:11" x14ac:dyDescent="0.45">
      <c r="B250">
        <v>136</v>
      </c>
      <c r="C250">
        <v>-565</v>
      </c>
      <c r="D250">
        <v>-1078</v>
      </c>
      <c r="E250">
        <v>221</v>
      </c>
      <c r="F250">
        <v>-769</v>
      </c>
      <c r="G250">
        <v>-63</v>
      </c>
      <c r="H250">
        <v>394</v>
      </c>
      <c r="I250">
        <v>141</v>
      </c>
      <c r="J250">
        <v>101</v>
      </c>
      <c r="K250">
        <v>1391</v>
      </c>
    </row>
    <row r="251" spans="2:11" x14ac:dyDescent="0.45">
      <c r="B251">
        <v>1167</v>
      </c>
      <c r="C251">
        <v>-155</v>
      </c>
      <c r="D251">
        <v>-79</v>
      </c>
      <c r="E251">
        <v>-260</v>
      </c>
      <c r="F251">
        <v>3</v>
      </c>
      <c r="G251">
        <v>65</v>
      </c>
      <c r="H251">
        <v>-209</v>
      </c>
      <c r="I251">
        <v>-1155</v>
      </c>
      <c r="J251">
        <v>777</v>
      </c>
      <c r="K251">
        <v>179</v>
      </c>
    </row>
    <row r="252" spans="2:11" x14ac:dyDescent="0.45">
      <c r="B252">
        <v>-469</v>
      </c>
      <c r="C252">
        <v>-629</v>
      </c>
      <c r="D252">
        <v>-48</v>
      </c>
      <c r="E252">
        <v>509</v>
      </c>
      <c r="F252">
        <v>-147</v>
      </c>
      <c r="G252">
        <v>-188</v>
      </c>
      <c r="H252">
        <v>68</v>
      </c>
      <c r="I252">
        <v>-167</v>
      </c>
      <c r="J252">
        <v>-574</v>
      </c>
      <c r="K252">
        <v>-1115</v>
      </c>
    </row>
    <row r="253" spans="2:11" x14ac:dyDescent="0.45">
      <c r="B253">
        <v>-146</v>
      </c>
      <c r="C253">
        <v>-140</v>
      </c>
      <c r="D253">
        <v>-160</v>
      </c>
      <c r="E253">
        <v>-98</v>
      </c>
      <c r="F253">
        <v>-183</v>
      </c>
      <c r="G253">
        <v>-108</v>
      </c>
      <c r="H253">
        <v>27</v>
      </c>
      <c r="I253">
        <v>223</v>
      </c>
      <c r="J253">
        <v>-36</v>
      </c>
      <c r="K253">
        <v>-102</v>
      </c>
    </row>
    <row r="254" spans="2:11" x14ac:dyDescent="0.45">
      <c r="B254">
        <v>185</v>
      </c>
      <c r="C254">
        <v>-82</v>
      </c>
      <c r="D254">
        <v>-1274</v>
      </c>
      <c r="E254">
        <v>-31778</v>
      </c>
      <c r="F254">
        <v>-25242</v>
      </c>
      <c r="G254">
        <v>0</v>
      </c>
      <c r="H254">
        <v>119</v>
      </c>
      <c r="I254">
        <v>203</v>
      </c>
      <c r="J254">
        <v>-147</v>
      </c>
      <c r="K254">
        <v>335</v>
      </c>
    </row>
    <row r="255" spans="2:11" x14ac:dyDescent="0.45">
      <c r="B255">
        <v>-430</v>
      </c>
      <c r="C255">
        <v>-244</v>
      </c>
      <c r="D255">
        <v>270</v>
      </c>
      <c r="E255">
        <v>258</v>
      </c>
      <c r="F255">
        <v>535</v>
      </c>
      <c r="G255">
        <v>566</v>
      </c>
      <c r="H255">
        <v>390</v>
      </c>
      <c r="I255">
        <v>-849</v>
      </c>
      <c r="J255">
        <v>260</v>
      </c>
      <c r="K255">
        <v>115</v>
      </c>
    </row>
    <row r="256" spans="2:11" x14ac:dyDescent="0.45">
      <c r="B256">
        <v>817</v>
      </c>
      <c r="C256">
        <v>90</v>
      </c>
      <c r="D256">
        <v>182</v>
      </c>
      <c r="E256">
        <v>-756</v>
      </c>
      <c r="F256">
        <v>-2032</v>
      </c>
      <c r="G256">
        <v>285</v>
      </c>
      <c r="H256">
        <v>92</v>
      </c>
      <c r="I256">
        <v>369</v>
      </c>
      <c r="J256">
        <v>82</v>
      </c>
      <c r="K256">
        <v>-316</v>
      </c>
    </row>
    <row r="257" spans="2:11" x14ac:dyDescent="0.45">
      <c r="B257">
        <v>-401</v>
      </c>
      <c r="C257">
        <v>458</v>
      </c>
      <c r="D257">
        <v>-310</v>
      </c>
      <c r="E257">
        <v>58</v>
      </c>
      <c r="F257">
        <v>461</v>
      </c>
      <c r="G257">
        <v>442</v>
      </c>
      <c r="H257">
        <v>-177</v>
      </c>
      <c r="I257">
        <v>-936</v>
      </c>
      <c r="J257">
        <v>160</v>
      </c>
      <c r="K257">
        <v>321</v>
      </c>
    </row>
    <row r="258" spans="2:11" x14ac:dyDescent="0.45">
      <c r="B258">
        <v>-109</v>
      </c>
      <c r="C258">
        <v>-12</v>
      </c>
      <c r="D258">
        <v>208</v>
      </c>
      <c r="E258">
        <v>138</v>
      </c>
      <c r="F258">
        <v>168</v>
      </c>
      <c r="G258">
        <v>271</v>
      </c>
      <c r="H258">
        <v>183</v>
      </c>
      <c r="I258">
        <v>214</v>
      </c>
      <c r="J258">
        <v>294</v>
      </c>
      <c r="K258">
        <v>212</v>
      </c>
    </row>
    <row r="259" spans="2:11" x14ac:dyDescent="0.45">
      <c r="B259">
        <v>-106</v>
      </c>
      <c r="C259">
        <v>-95</v>
      </c>
      <c r="D259">
        <v>-69</v>
      </c>
      <c r="E259">
        <v>18</v>
      </c>
      <c r="F259">
        <v>-87</v>
      </c>
      <c r="G259">
        <v>97</v>
      </c>
      <c r="H259">
        <v>552</v>
      </c>
      <c r="I259">
        <v>-33078</v>
      </c>
      <c r="J259">
        <v>-52046</v>
      </c>
      <c r="K259">
        <v>-42003</v>
      </c>
    </row>
    <row r="260" spans="2:11" x14ac:dyDescent="0.45">
      <c r="B260">
        <v>0</v>
      </c>
      <c r="C260">
        <v>-142</v>
      </c>
      <c r="D260">
        <v>495</v>
      </c>
      <c r="E260">
        <v>-62</v>
      </c>
      <c r="F260">
        <v>91</v>
      </c>
      <c r="G260">
        <v>-1599</v>
      </c>
      <c r="H260">
        <v>-50</v>
      </c>
      <c r="I260">
        <v>127</v>
      </c>
      <c r="J260">
        <v>-926</v>
      </c>
      <c r="K260">
        <v>-660</v>
      </c>
    </row>
    <row r="261" spans="2:11" x14ac:dyDescent="0.45">
      <c r="B261">
        <v>33</v>
      </c>
      <c r="C261">
        <v>5</v>
      </c>
      <c r="D261">
        <v>724</v>
      </c>
      <c r="E261">
        <v>-542</v>
      </c>
      <c r="F261">
        <v>35</v>
      </c>
      <c r="G261">
        <v>335</v>
      </c>
      <c r="H261">
        <v>-23</v>
      </c>
      <c r="I261">
        <v>-46</v>
      </c>
      <c r="J261">
        <v>-244</v>
      </c>
      <c r="K261">
        <v>-16452</v>
      </c>
    </row>
    <row r="262" spans="2:11" x14ac:dyDescent="0.45">
      <c r="B262">
        <v>2296</v>
      </c>
      <c r="C262">
        <v>935</v>
      </c>
      <c r="D262">
        <v>344</v>
      </c>
      <c r="E262">
        <v>-440</v>
      </c>
      <c r="F262">
        <v>245</v>
      </c>
      <c r="G262">
        <v>2456</v>
      </c>
      <c r="H262">
        <v>-18</v>
      </c>
      <c r="I262">
        <v>-814</v>
      </c>
      <c r="J262">
        <v>-452</v>
      </c>
      <c r="K262">
        <v>125</v>
      </c>
    </row>
    <row r="263" spans="2:11" x14ac:dyDescent="0.45">
      <c r="B263">
        <v>765</v>
      </c>
      <c r="C263">
        <v>735</v>
      </c>
      <c r="D263">
        <v>221</v>
      </c>
      <c r="E263">
        <v>2615</v>
      </c>
      <c r="F263">
        <v>1995</v>
      </c>
      <c r="G263">
        <v>-59</v>
      </c>
      <c r="H263">
        <v>561</v>
      </c>
      <c r="I263">
        <v>361</v>
      </c>
      <c r="J263">
        <v>341</v>
      </c>
      <c r="K263">
        <v>2550</v>
      </c>
    </row>
    <row r="264" spans="2:11" x14ac:dyDescent="0.45">
      <c r="B264">
        <v>1690</v>
      </c>
      <c r="C264">
        <v>2897</v>
      </c>
      <c r="D264">
        <v>1102</v>
      </c>
      <c r="E264">
        <v>3116</v>
      </c>
      <c r="F264">
        <v>1329</v>
      </c>
      <c r="G264">
        <v>-176</v>
      </c>
      <c r="H264">
        <v>-1128</v>
      </c>
      <c r="I264">
        <v>-6</v>
      </c>
      <c r="J264">
        <v>2772</v>
      </c>
      <c r="K264">
        <v>-488</v>
      </c>
    </row>
    <row r="265" spans="2:11" x14ac:dyDescent="0.45">
      <c r="B265">
        <v>1925</v>
      </c>
      <c r="C265">
        <v>4714</v>
      </c>
      <c r="D265">
        <v>-19681</v>
      </c>
      <c r="E265">
        <v>14358</v>
      </c>
      <c r="F265">
        <v>-7059</v>
      </c>
      <c r="G265">
        <v>-16570</v>
      </c>
      <c r="H265">
        <v>0</v>
      </c>
      <c r="I265">
        <v>44</v>
      </c>
      <c r="J265">
        <v>1003</v>
      </c>
      <c r="K265">
        <v>-764</v>
      </c>
    </row>
    <row r="266" spans="2:11" x14ac:dyDescent="0.45">
      <c r="B266">
        <v>278</v>
      </c>
      <c r="C266">
        <v>692</v>
      </c>
      <c r="D266">
        <v>-56</v>
      </c>
      <c r="E266">
        <v>-2551</v>
      </c>
      <c r="F266">
        <v>182</v>
      </c>
      <c r="G266">
        <v>738</v>
      </c>
      <c r="H266">
        <v>368</v>
      </c>
      <c r="I266">
        <v>170</v>
      </c>
      <c r="J266">
        <v>789</v>
      </c>
      <c r="K266">
        <v>-569</v>
      </c>
    </row>
    <row r="267" spans="2:11" x14ac:dyDescent="0.45">
      <c r="B267">
        <v>329</v>
      </c>
      <c r="C267">
        <v>-192</v>
      </c>
      <c r="D267">
        <v>-642</v>
      </c>
      <c r="E267">
        <v>-729</v>
      </c>
      <c r="F267">
        <v>1972</v>
      </c>
      <c r="G267">
        <v>22284</v>
      </c>
      <c r="H267">
        <v>1077</v>
      </c>
      <c r="I267">
        <v>-4529</v>
      </c>
      <c r="J267">
        <v>-134</v>
      </c>
      <c r="K267">
        <v>300</v>
      </c>
    </row>
    <row r="268" spans="2:11" x14ac:dyDescent="0.45">
      <c r="B268">
        <v>-102</v>
      </c>
      <c r="C268">
        <v>-1137</v>
      </c>
      <c r="D268">
        <v>379</v>
      </c>
      <c r="E268">
        <v>362</v>
      </c>
      <c r="F268">
        <v>532</v>
      </c>
      <c r="G268">
        <v>-123</v>
      </c>
      <c r="H268">
        <v>-375</v>
      </c>
      <c r="I268">
        <v>-590</v>
      </c>
      <c r="J268">
        <v>-525</v>
      </c>
      <c r="K268">
        <v>-15838</v>
      </c>
    </row>
    <row r="269" spans="2:11" x14ac:dyDescent="0.45">
      <c r="B269">
        <v>3299</v>
      </c>
      <c r="C269">
        <v>577</v>
      </c>
      <c r="D269">
        <v>361</v>
      </c>
      <c r="E269">
        <v>56</v>
      </c>
      <c r="F269">
        <v>600</v>
      </c>
      <c r="G269">
        <v>-13545</v>
      </c>
      <c r="H269">
        <v>264</v>
      </c>
      <c r="I269">
        <v>-14192</v>
      </c>
      <c r="J269">
        <v>3677</v>
      </c>
      <c r="K269">
        <v>-11278</v>
      </c>
    </row>
    <row r="270" spans="2:11" x14ac:dyDescent="0.45">
      <c r="B270">
        <v>550</v>
      </c>
      <c r="C270">
        <v>-5180</v>
      </c>
      <c r="D270">
        <v>47</v>
      </c>
      <c r="E270">
        <v>564</v>
      </c>
      <c r="F270">
        <v>-27644</v>
      </c>
      <c r="G270">
        <v>-699</v>
      </c>
      <c r="H270">
        <v>-12102</v>
      </c>
      <c r="I270">
        <v>-1059</v>
      </c>
      <c r="J270">
        <v>-192</v>
      </c>
      <c r="K270">
        <v>-517</v>
      </c>
    </row>
    <row r="271" spans="2:11" x14ac:dyDescent="0.45">
      <c r="B271">
        <v>357</v>
      </c>
      <c r="C271">
        <v>175</v>
      </c>
      <c r="D271">
        <v>-8999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4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45">
      <c r="B277">
        <v>0</v>
      </c>
      <c r="C277">
        <v>0</v>
      </c>
      <c r="D277">
        <v>-462</v>
      </c>
      <c r="E277">
        <v>479</v>
      </c>
      <c r="F277">
        <v>-228</v>
      </c>
      <c r="G277">
        <v>240</v>
      </c>
      <c r="H277">
        <v>-219</v>
      </c>
      <c r="I277">
        <v>584</v>
      </c>
      <c r="J277">
        <v>-112</v>
      </c>
      <c r="K277">
        <v>-604</v>
      </c>
    </row>
    <row r="278" spans="2:11" x14ac:dyDescent="0.45">
      <c r="B278">
        <v>-52</v>
      </c>
      <c r="C278">
        <v>8</v>
      </c>
      <c r="D278">
        <v>49</v>
      </c>
      <c r="E278">
        <v>130</v>
      </c>
      <c r="F278">
        <v>-1748</v>
      </c>
      <c r="G278">
        <v>-297</v>
      </c>
      <c r="H278">
        <v>-395</v>
      </c>
      <c r="I278">
        <v>-40</v>
      </c>
      <c r="J278">
        <v>-30</v>
      </c>
      <c r="K278">
        <v>-260</v>
      </c>
    </row>
    <row r="279" spans="2:11" x14ac:dyDescent="0.45">
      <c r="B279">
        <v>6189</v>
      </c>
      <c r="C279">
        <v>1822</v>
      </c>
      <c r="D279">
        <v>-1032</v>
      </c>
      <c r="E279">
        <v>-503</v>
      </c>
      <c r="F279">
        <v>598</v>
      </c>
      <c r="G279">
        <v>-707</v>
      </c>
      <c r="H279">
        <v>-381</v>
      </c>
      <c r="I279">
        <v>-143</v>
      </c>
      <c r="J279">
        <v>-393</v>
      </c>
      <c r="K279">
        <v>144</v>
      </c>
    </row>
    <row r="280" spans="2:11" x14ac:dyDescent="0.45">
      <c r="B280">
        <v>176</v>
      </c>
      <c r="C280">
        <v>-544</v>
      </c>
      <c r="D280">
        <v>-1230</v>
      </c>
      <c r="E280">
        <v>-209</v>
      </c>
      <c r="F280">
        <v>1173</v>
      </c>
      <c r="G280">
        <v>7047</v>
      </c>
      <c r="H280">
        <v>87</v>
      </c>
      <c r="I280">
        <v>61</v>
      </c>
      <c r="J280">
        <v>183</v>
      </c>
      <c r="K280">
        <v>485</v>
      </c>
    </row>
    <row r="281" spans="2:11" x14ac:dyDescent="0.45">
      <c r="B281">
        <v>-3597</v>
      </c>
      <c r="C281">
        <v>43</v>
      </c>
      <c r="D281">
        <v>-3737</v>
      </c>
      <c r="E281">
        <v>944</v>
      </c>
      <c r="F281">
        <v>-3104</v>
      </c>
      <c r="G281">
        <v>1</v>
      </c>
      <c r="H281">
        <v>-1291</v>
      </c>
      <c r="I281">
        <v>-86</v>
      </c>
      <c r="J281">
        <v>82</v>
      </c>
      <c r="K281">
        <v>-7387</v>
      </c>
    </row>
    <row r="282" spans="2:11" x14ac:dyDescent="0.45">
      <c r="B282">
        <v>-211</v>
      </c>
      <c r="C282">
        <v>-3337</v>
      </c>
      <c r="D282">
        <v>-352</v>
      </c>
      <c r="E282">
        <v>-60</v>
      </c>
      <c r="F282">
        <v>-168</v>
      </c>
      <c r="G282">
        <v>99</v>
      </c>
      <c r="H282">
        <v>30</v>
      </c>
      <c r="I282">
        <v>-2417</v>
      </c>
      <c r="J282">
        <v>26348</v>
      </c>
      <c r="K282">
        <v>0</v>
      </c>
    </row>
    <row r="283" spans="2:11" x14ac:dyDescent="0.45">
      <c r="B283">
        <v>0</v>
      </c>
      <c r="C283">
        <v>-147</v>
      </c>
      <c r="D283">
        <v>161</v>
      </c>
      <c r="E283">
        <v>-246</v>
      </c>
      <c r="F283">
        <v>-67</v>
      </c>
      <c r="G283">
        <v>841</v>
      </c>
      <c r="H283">
        <v>-249</v>
      </c>
      <c r="I283">
        <v>-726</v>
      </c>
      <c r="J283">
        <v>-541</v>
      </c>
      <c r="K283">
        <v>-117</v>
      </c>
    </row>
    <row r="284" spans="2:11" x14ac:dyDescent="0.45">
      <c r="B284">
        <v>-59</v>
      </c>
      <c r="C284">
        <v>-92</v>
      </c>
      <c r="D284">
        <v>959</v>
      </c>
      <c r="E284">
        <v>107</v>
      </c>
      <c r="F284">
        <v>129</v>
      </c>
      <c r="G284">
        <v>1399</v>
      </c>
      <c r="H284">
        <v>617</v>
      </c>
      <c r="I284">
        <v>318</v>
      </c>
      <c r="J284">
        <v>942</v>
      </c>
      <c r="K284">
        <v>4466</v>
      </c>
    </row>
    <row r="285" spans="2:11" x14ac:dyDescent="0.45">
      <c r="B285">
        <v>352</v>
      </c>
      <c r="C285">
        <v>-965</v>
      </c>
      <c r="D285">
        <v>-2510</v>
      </c>
      <c r="E285">
        <v>2319</v>
      </c>
      <c r="F285">
        <v>-1796</v>
      </c>
      <c r="G285">
        <v>-568</v>
      </c>
      <c r="H285">
        <v>-321</v>
      </c>
      <c r="I285">
        <v>348</v>
      </c>
      <c r="J285">
        <v>-144</v>
      </c>
      <c r="K285">
        <v>182</v>
      </c>
    </row>
    <row r="286" spans="2:11" x14ac:dyDescent="0.45">
      <c r="B286">
        <v>172</v>
      </c>
      <c r="C286">
        <v>600</v>
      </c>
      <c r="D286">
        <v>-63</v>
      </c>
      <c r="E286">
        <v>-3385</v>
      </c>
      <c r="F286">
        <v>776</v>
      </c>
      <c r="G286">
        <v>139</v>
      </c>
      <c r="H286">
        <v>-91</v>
      </c>
      <c r="I286">
        <v>-229</v>
      </c>
      <c r="J286">
        <v>-757</v>
      </c>
      <c r="K286">
        <v>-2938</v>
      </c>
    </row>
    <row r="287" spans="2:11" x14ac:dyDescent="0.45">
      <c r="B287">
        <v>139</v>
      </c>
      <c r="C287">
        <v>-3084</v>
      </c>
      <c r="D287">
        <v>833</v>
      </c>
      <c r="E287">
        <v>-2387</v>
      </c>
      <c r="F287">
        <v>102</v>
      </c>
      <c r="G287">
        <v>-1116</v>
      </c>
      <c r="H287">
        <v>137</v>
      </c>
      <c r="I287">
        <v>161</v>
      </c>
      <c r="J287">
        <v>-6002</v>
      </c>
      <c r="K287">
        <v>-5</v>
      </c>
    </row>
    <row r="288" spans="2:11" x14ac:dyDescent="0.45">
      <c r="B288">
        <v>-2582</v>
      </c>
      <c r="C288">
        <v>-70</v>
      </c>
      <c r="D288">
        <v>-19</v>
      </c>
      <c r="E288">
        <v>-109</v>
      </c>
      <c r="F288">
        <v>102</v>
      </c>
      <c r="G288">
        <v>40</v>
      </c>
      <c r="H288">
        <v>-1942</v>
      </c>
      <c r="I288">
        <v>21734</v>
      </c>
      <c r="J288">
        <v>0</v>
      </c>
      <c r="K288">
        <v>5712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4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4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45">
      <c r="B295">
        <v>0</v>
      </c>
      <c r="C295">
        <v>0</v>
      </c>
      <c r="D295">
        <v>359</v>
      </c>
      <c r="E295">
        <v>-336</v>
      </c>
      <c r="F295">
        <v>82</v>
      </c>
      <c r="G295">
        <v>-120</v>
      </c>
      <c r="H295">
        <v>2</v>
      </c>
      <c r="I295">
        <v>8</v>
      </c>
      <c r="J295">
        <v>-447</v>
      </c>
      <c r="K295">
        <v>-1162</v>
      </c>
    </row>
    <row r="296" spans="2:11" x14ac:dyDescent="0.45">
      <c r="B296">
        <v>-466</v>
      </c>
      <c r="C296">
        <v>-310</v>
      </c>
      <c r="D296">
        <v>-108</v>
      </c>
      <c r="E296">
        <v>2013</v>
      </c>
      <c r="F296">
        <v>-794</v>
      </c>
      <c r="G296">
        <v>252</v>
      </c>
      <c r="H296">
        <v>767</v>
      </c>
      <c r="I296">
        <v>366</v>
      </c>
      <c r="J296">
        <v>-33</v>
      </c>
      <c r="K296">
        <v>438</v>
      </c>
    </row>
    <row r="297" spans="2:11" x14ac:dyDescent="0.45">
      <c r="B297">
        <v>1829</v>
      </c>
      <c r="C297">
        <v>471</v>
      </c>
      <c r="D297">
        <v>-1971</v>
      </c>
      <c r="E297">
        <v>705</v>
      </c>
      <c r="F297">
        <v>-512</v>
      </c>
      <c r="G297">
        <v>364</v>
      </c>
      <c r="H297">
        <v>402</v>
      </c>
      <c r="I297">
        <v>221</v>
      </c>
      <c r="J297">
        <v>2242</v>
      </c>
      <c r="K297">
        <v>-1188</v>
      </c>
    </row>
    <row r="298" spans="2:11" x14ac:dyDescent="0.45">
      <c r="B298">
        <v>-19</v>
      </c>
      <c r="C298">
        <v>-133</v>
      </c>
      <c r="D298">
        <v>2532</v>
      </c>
      <c r="E298">
        <v>-23</v>
      </c>
      <c r="F298">
        <v>-1510</v>
      </c>
      <c r="G298">
        <v>567</v>
      </c>
      <c r="H298">
        <v>255</v>
      </c>
      <c r="I298">
        <v>182</v>
      </c>
      <c r="J298">
        <v>-134</v>
      </c>
      <c r="K298">
        <v>-382</v>
      </c>
    </row>
    <row r="299" spans="2:11" x14ac:dyDescent="0.45">
      <c r="B299">
        <v>-1533</v>
      </c>
      <c r="C299">
        <v>125</v>
      </c>
      <c r="D299">
        <v>-1536</v>
      </c>
      <c r="E299">
        <v>476</v>
      </c>
      <c r="F299">
        <v>-1207</v>
      </c>
      <c r="G299">
        <v>159</v>
      </c>
      <c r="H299">
        <v>-616</v>
      </c>
      <c r="I299">
        <v>3</v>
      </c>
      <c r="J299">
        <v>235</v>
      </c>
      <c r="K299">
        <v>-3121</v>
      </c>
    </row>
    <row r="300" spans="2:11" x14ac:dyDescent="0.45">
      <c r="B300">
        <v>-23</v>
      </c>
      <c r="C300">
        <v>-1272</v>
      </c>
      <c r="D300">
        <v>-89</v>
      </c>
      <c r="E300">
        <v>-3</v>
      </c>
      <c r="F300">
        <v>-73</v>
      </c>
      <c r="G300">
        <v>55</v>
      </c>
      <c r="H300">
        <v>19</v>
      </c>
      <c r="I300">
        <v>-907</v>
      </c>
      <c r="J300">
        <v>11611</v>
      </c>
      <c r="K300">
        <v>0</v>
      </c>
    </row>
    <row r="301" spans="2:11" x14ac:dyDescent="0.45">
      <c r="B301">
        <v>3017</v>
      </c>
      <c r="C301">
        <v>2572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4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4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4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-200</v>
      </c>
      <c r="J307">
        <v>-1280</v>
      </c>
      <c r="K307">
        <v>850</v>
      </c>
    </row>
    <row r="308" spans="2:11" x14ac:dyDescent="0.45">
      <c r="B308">
        <v>-1109</v>
      </c>
      <c r="C308">
        <v>62</v>
      </c>
      <c r="D308">
        <v>-486</v>
      </c>
      <c r="E308">
        <v>-1680</v>
      </c>
      <c r="F308">
        <v>1356</v>
      </c>
      <c r="G308">
        <v>2096</v>
      </c>
      <c r="H308">
        <v>384</v>
      </c>
      <c r="I308">
        <v>375</v>
      </c>
      <c r="J308">
        <v>902</v>
      </c>
      <c r="K308">
        <v>-999</v>
      </c>
    </row>
    <row r="309" spans="2:11" x14ac:dyDescent="0.45">
      <c r="B309">
        <v>82</v>
      </c>
      <c r="C309">
        <v>218</v>
      </c>
      <c r="D309">
        <v>239</v>
      </c>
      <c r="E309">
        <v>468</v>
      </c>
      <c r="F309">
        <v>1495</v>
      </c>
      <c r="G309">
        <v>6847</v>
      </c>
      <c r="H309">
        <v>-647</v>
      </c>
      <c r="I309">
        <v>-1473</v>
      </c>
      <c r="J309">
        <v>423</v>
      </c>
      <c r="K309">
        <v>-583</v>
      </c>
    </row>
    <row r="310" spans="2:11" x14ac:dyDescent="0.45">
      <c r="B310">
        <v>875</v>
      </c>
      <c r="C310">
        <v>-317</v>
      </c>
      <c r="D310">
        <v>287</v>
      </c>
      <c r="E310">
        <v>71</v>
      </c>
      <c r="F310">
        <v>293</v>
      </c>
      <c r="G310">
        <v>-2</v>
      </c>
      <c r="H310">
        <v>-79</v>
      </c>
      <c r="I310">
        <v>-1990</v>
      </c>
      <c r="J310">
        <v>-92</v>
      </c>
      <c r="K310">
        <v>-6174</v>
      </c>
    </row>
    <row r="311" spans="2:11" x14ac:dyDescent="0.45">
      <c r="B311">
        <v>1402</v>
      </c>
      <c r="C311">
        <v>349</v>
      </c>
      <c r="D311">
        <v>80</v>
      </c>
      <c r="E311">
        <v>-182</v>
      </c>
      <c r="F311">
        <v>-220</v>
      </c>
      <c r="G311">
        <v>-5163</v>
      </c>
      <c r="H311">
        <v>313</v>
      </c>
      <c r="I311">
        <v>-5473</v>
      </c>
      <c r="J311">
        <v>1584</v>
      </c>
      <c r="K311">
        <v>-4107</v>
      </c>
    </row>
    <row r="312" spans="2:11" x14ac:dyDescent="0.45">
      <c r="B312">
        <v>477</v>
      </c>
      <c r="C312">
        <v>-2139</v>
      </c>
      <c r="D312">
        <v>69</v>
      </c>
      <c r="E312">
        <v>243</v>
      </c>
      <c r="F312">
        <v>-10728</v>
      </c>
      <c r="G312">
        <v>-151</v>
      </c>
      <c r="H312">
        <v>-4563</v>
      </c>
      <c r="I312">
        <v>-294</v>
      </c>
      <c r="J312">
        <v>-88</v>
      </c>
      <c r="K312">
        <v>-171</v>
      </c>
    </row>
    <row r="313" spans="2:11" x14ac:dyDescent="0.45">
      <c r="B313">
        <v>138</v>
      </c>
      <c r="C313">
        <v>117</v>
      </c>
      <c r="D313">
        <v>-3240</v>
      </c>
      <c r="E313">
        <v>39296</v>
      </c>
      <c r="F313">
        <v>0</v>
      </c>
      <c r="G313">
        <v>10346</v>
      </c>
      <c r="H313">
        <v>8539</v>
      </c>
      <c r="I313">
        <v>0</v>
      </c>
      <c r="J313">
        <v>4510</v>
      </c>
      <c r="K313">
        <v>0</v>
      </c>
    </row>
    <row r="314" spans="2:11" x14ac:dyDescent="0.4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4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4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4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4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4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4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4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4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4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4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4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4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45">
      <c r="B327">
        <v>0</v>
      </c>
      <c r="C327">
        <v>0</v>
      </c>
      <c r="D327">
        <v>145</v>
      </c>
      <c r="E327">
        <v>605</v>
      </c>
      <c r="F327">
        <v>-283</v>
      </c>
      <c r="G327">
        <v>51</v>
      </c>
      <c r="H327">
        <v>237</v>
      </c>
      <c r="I327">
        <v>41</v>
      </c>
      <c r="J327">
        <v>-1128</v>
      </c>
      <c r="K327">
        <v>-341</v>
      </c>
    </row>
    <row r="328" spans="2:11" x14ac:dyDescent="0.45">
      <c r="B328">
        <v>-309</v>
      </c>
      <c r="C328">
        <v>100</v>
      </c>
      <c r="D328">
        <v>88</v>
      </c>
      <c r="E328">
        <v>382</v>
      </c>
      <c r="F328">
        <v>-674</v>
      </c>
      <c r="G328">
        <v>-237</v>
      </c>
      <c r="H328">
        <v>-9</v>
      </c>
      <c r="I328">
        <v>-284</v>
      </c>
      <c r="J328">
        <v>-244</v>
      </c>
      <c r="K328">
        <v>760</v>
      </c>
    </row>
    <row r="329" spans="2:11" x14ac:dyDescent="0.45">
      <c r="B329">
        <v>8791</v>
      </c>
      <c r="C329">
        <v>1532</v>
      </c>
      <c r="D329">
        <v>-2308</v>
      </c>
      <c r="E329">
        <v>83</v>
      </c>
      <c r="F329">
        <v>50</v>
      </c>
      <c r="G329">
        <v>32</v>
      </c>
      <c r="H329">
        <v>-614</v>
      </c>
      <c r="I329">
        <v>293</v>
      </c>
      <c r="J329">
        <v>638</v>
      </c>
      <c r="K329">
        <v>36</v>
      </c>
    </row>
    <row r="330" spans="2:11" x14ac:dyDescent="0.45">
      <c r="B330">
        <v>782</v>
      </c>
      <c r="C330">
        <v>201</v>
      </c>
      <c r="D330">
        <v>-362</v>
      </c>
      <c r="E330">
        <v>-210</v>
      </c>
      <c r="F330">
        <v>-8477</v>
      </c>
      <c r="G330">
        <v>2336</v>
      </c>
      <c r="H330">
        <v>-226</v>
      </c>
      <c r="I330">
        <v>-1464</v>
      </c>
      <c r="J330">
        <v>105</v>
      </c>
      <c r="K330">
        <v>3270</v>
      </c>
    </row>
    <row r="331" spans="2:11" x14ac:dyDescent="0.45">
      <c r="B331">
        <v>-27816</v>
      </c>
      <c r="C331">
        <v>34412</v>
      </c>
      <c r="D331">
        <v>-7442</v>
      </c>
      <c r="E331">
        <v>2377</v>
      </c>
      <c r="F331">
        <v>-5725</v>
      </c>
      <c r="G331">
        <v>587</v>
      </c>
      <c r="H331">
        <v>-2994</v>
      </c>
      <c r="I331">
        <v>-77</v>
      </c>
      <c r="J331">
        <v>232</v>
      </c>
      <c r="K331">
        <v>-15161</v>
      </c>
    </row>
    <row r="332" spans="2:11" x14ac:dyDescent="0.45">
      <c r="B332">
        <v>-409</v>
      </c>
      <c r="C332">
        <v>-6491</v>
      </c>
      <c r="D332">
        <v>-537</v>
      </c>
      <c r="E332">
        <v>-137</v>
      </c>
      <c r="F332">
        <v>-224</v>
      </c>
      <c r="G332">
        <v>145</v>
      </c>
      <c r="H332">
        <v>179</v>
      </c>
      <c r="I332">
        <v>-4418</v>
      </c>
      <c r="J332">
        <v>54973</v>
      </c>
      <c r="K332">
        <v>0</v>
      </c>
    </row>
    <row r="333" spans="2:11" x14ac:dyDescent="0.45">
      <c r="B333">
        <v>14484</v>
      </c>
      <c r="C333">
        <v>11965</v>
      </c>
      <c r="D333">
        <v>0</v>
      </c>
      <c r="E333">
        <v>6437</v>
      </c>
      <c r="F333">
        <v>0</v>
      </c>
      <c r="G333">
        <v>21658</v>
      </c>
      <c r="H333">
        <v>0</v>
      </c>
      <c r="I333">
        <v>0</v>
      </c>
      <c r="J333">
        <v>0</v>
      </c>
      <c r="K333">
        <v>-10</v>
      </c>
    </row>
    <row r="334" spans="2:11" x14ac:dyDescent="0.45">
      <c r="B334">
        <v>912</v>
      </c>
      <c r="C334">
        <v>-697</v>
      </c>
      <c r="D334">
        <v>261</v>
      </c>
      <c r="E334">
        <v>622</v>
      </c>
      <c r="F334">
        <v>27</v>
      </c>
      <c r="G334">
        <v>-2020</v>
      </c>
      <c r="H334">
        <v>113</v>
      </c>
      <c r="I334">
        <v>465</v>
      </c>
      <c r="J334">
        <v>258</v>
      </c>
      <c r="K334">
        <v>-49</v>
      </c>
    </row>
    <row r="335" spans="2:11" x14ac:dyDescent="0.45">
      <c r="B335">
        <v>804</v>
      </c>
      <c r="C335">
        <v>-744</v>
      </c>
      <c r="D335">
        <v>219</v>
      </c>
      <c r="E335">
        <v>-448</v>
      </c>
      <c r="F335">
        <v>-1286</v>
      </c>
      <c r="G335">
        <v>-604</v>
      </c>
      <c r="H335">
        <v>1808</v>
      </c>
      <c r="I335">
        <v>18839</v>
      </c>
      <c r="J335">
        <v>1424</v>
      </c>
      <c r="K335">
        <v>-4063</v>
      </c>
    </row>
    <row r="336" spans="2:11" x14ac:dyDescent="0.45">
      <c r="B336">
        <v>124</v>
      </c>
      <c r="C336">
        <v>99</v>
      </c>
      <c r="D336">
        <v>29</v>
      </c>
      <c r="E336">
        <v>-1017</v>
      </c>
      <c r="F336">
        <v>-76</v>
      </c>
      <c r="G336">
        <v>582</v>
      </c>
      <c r="H336">
        <v>627</v>
      </c>
      <c r="I336">
        <v>229</v>
      </c>
      <c r="J336">
        <v>-167</v>
      </c>
      <c r="K336">
        <v>-564</v>
      </c>
    </row>
    <row r="337" spans="2:11" x14ac:dyDescent="0.45">
      <c r="B337">
        <v>-449</v>
      </c>
      <c r="C337">
        <v>-14476</v>
      </c>
      <c r="D337">
        <v>3309</v>
      </c>
      <c r="E337">
        <v>844</v>
      </c>
      <c r="F337">
        <v>-297</v>
      </c>
      <c r="G337">
        <v>52</v>
      </c>
      <c r="H337">
        <v>-1617</v>
      </c>
      <c r="I337">
        <v>-12200</v>
      </c>
      <c r="J337">
        <v>11880</v>
      </c>
      <c r="K337">
        <v>-12901</v>
      </c>
    </row>
    <row r="338" spans="2:11" x14ac:dyDescent="0.45">
      <c r="B338">
        <v>3552</v>
      </c>
      <c r="C338">
        <v>-10153</v>
      </c>
      <c r="D338">
        <v>655</v>
      </c>
      <c r="E338">
        <v>-4856</v>
      </c>
      <c r="F338">
        <v>45</v>
      </c>
      <c r="G338">
        <v>497</v>
      </c>
      <c r="H338">
        <v>-25419</v>
      </c>
      <c r="I338">
        <v>-646</v>
      </c>
      <c r="J338">
        <v>-11069</v>
      </c>
      <c r="K338">
        <v>-1000</v>
      </c>
    </row>
    <row r="339" spans="2:11" x14ac:dyDescent="0.45">
      <c r="B339">
        <v>-209</v>
      </c>
      <c r="C339">
        <v>-444</v>
      </c>
      <c r="D339">
        <v>318</v>
      </c>
      <c r="E339">
        <v>191</v>
      </c>
      <c r="F339">
        <v>-8026</v>
      </c>
      <c r="G339">
        <v>92036</v>
      </c>
      <c r="H339">
        <v>0</v>
      </c>
      <c r="I339">
        <v>24249</v>
      </c>
      <c r="J339">
        <v>19989</v>
      </c>
      <c r="K339">
        <v>0</v>
      </c>
    </row>
    <row r="340" spans="2:11" x14ac:dyDescent="0.45">
      <c r="B340">
        <v>10698</v>
      </c>
      <c r="C340">
        <v>0</v>
      </c>
      <c r="D340">
        <v>36193</v>
      </c>
      <c r="E340">
        <v>0</v>
      </c>
      <c r="F340">
        <v>0</v>
      </c>
      <c r="G340">
        <v>69657</v>
      </c>
      <c r="H340">
        <v>0</v>
      </c>
      <c r="I340">
        <v>0</v>
      </c>
      <c r="J340">
        <v>0</v>
      </c>
      <c r="K340">
        <v>0</v>
      </c>
    </row>
    <row r="341" spans="2:11" x14ac:dyDescent="0.4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4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4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4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4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4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4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95</v>
      </c>
      <c r="I347">
        <v>-283</v>
      </c>
      <c r="J347">
        <v>446</v>
      </c>
      <c r="K347">
        <v>-392</v>
      </c>
    </row>
    <row r="348" spans="2:11" x14ac:dyDescent="0.45">
      <c r="B348">
        <v>-317</v>
      </c>
      <c r="C348">
        <v>-209</v>
      </c>
      <c r="D348">
        <v>-380</v>
      </c>
      <c r="E348">
        <v>-498</v>
      </c>
      <c r="F348">
        <v>-273</v>
      </c>
      <c r="G348">
        <v>-203</v>
      </c>
      <c r="H348">
        <v>-11</v>
      </c>
      <c r="I348">
        <v>219</v>
      </c>
      <c r="J348">
        <v>183</v>
      </c>
      <c r="K348">
        <v>150</v>
      </c>
    </row>
    <row r="349" spans="2:11" x14ac:dyDescent="0.45">
      <c r="B349">
        <v>46</v>
      </c>
      <c r="C349">
        <v>601</v>
      </c>
      <c r="D349">
        <v>-270</v>
      </c>
      <c r="E349">
        <v>92</v>
      </c>
      <c r="F349">
        <v>1621</v>
      </c>
      <c r="G349">
        <v>-161</v>
      </c>
      <c r="H349">
        <v>-410</v>
      </c>
      <c r="I349">
        <v>54</v>
      </c>
      <c r="J349">
        <v>-151</v>
      </c>
      <c r="K349">
        <v>181</v>
      </c>
    </row>
    <row r="350" spans="2:11" x14ac:dyDescent="0.45">
      <c r="B350">
        <v>-33</v>
      </c>
      <c r="C350">
        <v>-29</v>
      </c>
      <c r="D350">
        <v>39</v>
      </c>
      <c r="E350">
        <v>0</v>
      </c>
      <c r="F350">
        <v>-3</v>
      </c>
      <c r="G350">
        <v>77</v>
      </c>
      <c r="H350">
        <v>62</v>
      </c>
      <c r="I350">
        <v>-40</v>
      </c>
      <c r="J350">
        <v>-602</v>
      </c>
      <c r="K350">
        <v>-42</v>
      </c>
    </row>
    <row r="351" spans="2:11" x14ac:dyDescent="0.45">
      <c r="B351">
        <v>80</v>
      </c>
      <c r="C351">
        <v>136</v>
      </c>
      <c r="D351">
        <v>-2438</v>
      </c>
      <c r="E351">
        <v>-95</v>
      </c>
      <c r="F351">
        <v>-571</v>
      </c>
      <c r="G351">
        <v>-87</v>
      </c>
      <c r="H351">
        <v>6281</v>
      </c>
      <c r="I351">
        <v>-10602</v>
      </c>
      <c r="J351">
        <v>-513</v>
      </c>
      <c r="K351">
        <v>-44</v>
      </c>
    </row>
    <row r="352" spans="2:11" x14ac:dyDescent="0.45">
      <c r="B352">
        <v>-138</v>
      </c>
      <c r="C352">
        <v>-6</v>
      </c>
      <c r="D352">
        <v>109</v>
      </c>
      <c r="E352">
        <v>-976</v>
      </c>
      <c r="F352">
        <v>-26</v>
      </c>
      <c r="G352">
        <v>-444</v>
      </c>
      <c r="H352">
        <v>-118</v>
      </c>
      <c r="I352">
        <v>2</v>
      </c>
      <c r="J352">
        <v>-24</v>
      </c>
      <c r="K352">
        <v>20</v>
      </c>
    </row>
    <row r="353" spans="2:11" x14ac:dyDescent="0.45">
      <c r="B353">
        <v>-16</v>
      </c>
      <c r="C353">
        <v>-438</v>
      </c>
      <c r="D353">
        <v>3554</v>
      </c>
      <c r="E353">
        <v>0</v>
      </c>
      <c r="F353">
        <v>938</v>
      </c>
      <c r="G353">
        <v>779</v>
      </c>
      <c r="H353">
        <v>0</v>
      </c>
      <c r="I353">
        <v>426</v>
      </c>
      <c r="J353">
        <v>0</v>
      </c>
      <c r="K353">
        <v>1378</v>
      </c>
    </row>
    <row r="354" spans="2:11" x14ac:dyDescent="0.45">
      <c r="B354">
        <v>0</v>
      </c>
      <c r="C354">
        <v>0</v>
      </c>
      <c r="D354">
        <v>1926</v>
      </c>
      <c r="E354">
        <v>3251</v>
      </c>
      <c r="F354">
        <v>0</v>
      </c>
      <c r="G354">
        <v>0</v>
      </c>
      <c r="H354">
        <v>79</v>
      </c>
      <c r="I354">
        <v>795</v>
      </c>
      <c r="J354">
        <v>-481</v>
      </c>
      <c r="K354">
        <v>59</v>
      </c>
    </row>
    <row r="355" spans="2:11" x14ac:dyDescent="0.45">
      <c r="B355">
        <v>610</v>
      </c>
      <c r="C355">
        <v>-1</v>
      </c>
      <c r="D355">
        <v>-1972</v>
      </c>
      <c r="E355">
        <v>-51</v>
      </c>
      <c r="F355">
        <v>1453</v>
      </c>
      <c r="G355">
        <v>292</v>
      </c>
      <c r="H355">
        <v>-88</v>
      </c>
      <c r="I355">
        <v>827</v>
      </c>
      <c r="J355">
        <v>-441</v>
      </c>
      <c r="K355">
        <v>439</v>
      </c>
    </row>
    <row r="356" spans="2:11" x14ac:dyDescent="0.45">
      <c r="B356">
        <v>64</v>
      </c>
      <c r="C356">
        <v>-177</v>
      </c>
      <c r="D356">
        <v>-1117</v>
      </c>
      <c r="E356">
        <v>1571</v>
      </c>
      <c r="F356">
        <v>16295</v>
      </c>
      <c r="G356">
        <v>1032</v>
      </c>
      <c r="H356">
        <v>-3610</v>
      </c>
      <c r="I356">
        <v>-211</v>
      </c>
      <c r="J356">
        <v>226</v>
      </c>
      <c r="K356">
        <v>-5</v>
      </c>
    </row>
    <row r="357" spans="2:11" x14ac:dyDescent="0.45">
      <c r="B357">
        <v>-917</v>
      </c>
      <c r="C357">
        <v>-127</v>
      </c>
      <c r="D357">
        <v>422</v>
      </c>
      <c r="E357">
        <v>494</v>
      </c>
      <c r="F357">
        <v>-212</v>
      </c>
      <c r="G357">
        <v>-253</v>
      </c>
      <c r="H357">
        <v>-626</v>
      </c>
      <c r="I357">
        <v>-358</v>
      </c>
      <c r="J357">
        <v>-12068</v>
      </c>
      <c r="K357">
        <v>2637</v>
      </c>
    </row>
    <row r="358" spans="2:11" x14ac:dyDescent="0.45">
      <c r="B358">
        <v>316</v>
      </c>
      <c r="C358">
        <v>526</v>
      </c>
      <c r="D358">
        <v>-4992</v>
      </c>
      <c r="E358">
        <v>294</v>
      </c>
      <c r="F358">
        <v>-10305</v>
      </c>
      <c r="G358">
        <v>286</v>
      </c>
      <c r="H358">
        <v>2257</v>
      </c>
      <c r="I358">
        <v>-283</v>
      </c>
      <c r="J358">
        <v>-8506</v>
      </c>
      <c r="K358">
        <v>507</v>
      </c>
    </row>
    <row r="359" spans="2:11" x14ac:dyDescent="0.45">
      <c r="B359">
        <v>-3977</v>
      </c>
      <c r="C359">
        <v>-314</v>
      </c>
      <c r="D359">
        <v>543</v>
      </c>
      <c r="E359">
        <v>-21115</v>
      </c>
      <c r="F359">
        <v>-809</v>
      </c>
      <c r="G359">
        <v>-9192</v>
      </c>
      <c r="H359">
        <v>-1178</v>
      </c>
      <c r="I359">
        <v>-143</v>
      </c>
      <c r="J359">
        <v>-380</v>
      </c>
      <c r="K359">
        <v>275</v>
      </c>
    </row>
    <row r="360" spans="2:11" x14ac:dyDescent="0.45">
      <c r="B360">
        <v>145</v>
      </c>
      <c r="C360">
        <v>-6766</v>
      </c>
      <c r="D360">
        <v>76592</v>
      </c>
      <c r="E360">
        <v>0</v>
      </c>
      <c r="F360">
        <v>20176</v>
      </c>
      <c r="G360">
        <v>16658</v>
      </c>
      <c r="H360">
        <v>0</v>
      </c>
      <c r="I360">
        <v>8912</v>
      </c>
      <c r="J360">
        <v>0</v>
      </c>
      <c r="K360">
        <v>30127</v>
      </c>
    </row>
    <row r="361" spans="2:11" x14ac:dyDescent="0.45">
      <c r="B361">
        <v>0</v>
      </c>
      <c r="C361">
        <v>0</v>
      </c>
      <c r="D361">
        <v>42124</v>
      </c>
      <c r="E361">
        <v>70502</v>
      </c>
      <c r="F361">
        <v>0</v>
      </c>
      <c r="G361">
        <v>5275</v>
      </c>
      <c r="H361">
        <v>0</v>
      </c>
      <c r="I361">
        <v>184</v>
      </c>
      <c r="J361">
        <v>642</v>
      </c>
      <c r="K361">
        <v>-446</v>
      </c>
    </row>
    <row r="362" spans="2:11" x14ac:dyDescent="0.45">
      <c r="B362">
        <v>192</v>
      </c>
      <c r="C362">
        <v>336</v>
      </c>
      <c r="D362">
        <v>321</v>
      </c>
      <c r="E362">
        <v>-1202</v>
      </c>
      <c r="F362">
        <v>407</v>
      </c>
      <c r="G362">
        <v>446</v>
      </c>
      <c r="H362">
        <v>61</v>
      </c>
      <c r="I362">
        <v>50</v>
      </c>
      <c r="J362">
        <v>578</v>
      </c>
      <c r="K362">
        <v>-382</v>
      </c>
    </row>
    <row r="363" spans="2:11" x14ac:dyDescent="0.45">
      <c r="B363">
        <v>189</v>
      </c>
      <c r="C363">
        <v>-76</v>
      </c>
      <c r="D363">
        <v>-473</v>
      </c>
      <c r="E363">
        <v>-670</v>
      </c>
      <c r="F363">
        <v>1024</v>
      </c>
      <c r="G363">
        <v>9815</v>
      </c>
      <c r="H363">
        <v>669</v>
      </c>
      <c r="I363">
        <v>-1583</v>
      </c>
      <c r="J363">
        <v>536</v>
      </c>
      <c r="K363">
        <v>-218</v>
      </c>
    </row>
    <row r="364" spans="2:11" x14ac:dyDescent="0.45">
      <c r="B364">
        <v>182</v>
      </c>
      <c r="C364">
        <v>-296</v>
      </c>
      <c r="D364">
        <v>51</v>
      </c>
      <c r="E364">
        <v>329</v>
      </c>
      <c r="F364">
        <v>618</v>
      </c>
      <c r="G364">
        <v>100</v>
      </c>
      <c r="H364">
        <v>-82</v>
      </c>
      <c r="I364">
        <v>-489</v>
      </c>
      <c r="J364">
        <v>-351</v>
      </c>
      <c r="K364">
        <v>-7030</v>
      </c>
    </row>
    <row r="365" spans="2:11" x14ac:dyDescent="0.45">
      <c r="B365">
        <v>1475</v>
      </c>
      <c r="C365">
        <v>36</v>
      </c>
      <c r="D365">
        <v>191</v>
      </c>
      <c r="E365">
        <v>88</v>
      </c>
      <c r="F365">
        <v>273</v>
      </c>
      <c r="G365">
        <v>-5975</v>
      </c>
      <c r="H365">
        <v>109</v>
      </c>
      <c r="I365">
        <v>-6238</v>
      </c>
      <c r="J365">
        <v>1626</v>
      </c>
      <c r="K365">
        <v>-4243</v>
      </c>
    </row>
    <row r="366" spans="2:11" x14ac:dyDescent="0.45">
      <c r="B366">
        <v>-2954</v>
      </c>
      <c r="C366">
        <v>-1017</v>
      </c>
      <c r="D366">
        <v>-365</v>
      </c>
      <c r="E366">
        <v>216</v>
      </c>
      <c r="F366">
        <v>-12216</v>
      </c>
      <c r="G366">
        <v>-558</v>
      </c>
      <c r="H366">
        <v>-5372</v>
      </c>
      <c r="I366">
        <v>-897</v>
      </c>
      <c r="J366">
        <v>-103</v>
      </c>
      <c r="K366">
        <v>-231</v>
      </c>
    </row>
    <row r="367" spans="2:11" x14ac:dyDescent="0.45">
      <c r="B367">
        <v>161</v>
      </c>
      <c r="C367">
        <v>79</v>
      </c>
      <c r="D367">
        <v>-3960</v>
      </c>
      <c r="E367">
        <v>44072</v>
      </c>
      <c r="F367">
        <v>0</v>
      </c>
      <c r="G367">
        <v>11613</v>
      </c>
      <c r="H367">
        <v>9556</v>
      </c>
      <c r="I367">
        <v>0</v>
      </c>
      <c r="J367">
        <v>5115</v>
      </c>
      <c r="K367">
        <v>0</v>
      </c>
    </row>
    <row r="368" spans="2:11" x14ac:dyDescent="0.45">
      <c r="B368">
        <v>17321</v>
      </c>
      <c r="C368">
        <v>0</v>
      </c>
      <c r="D368">
        <v>0</v>
      </c>
      <c r="E368">
        <v>24227</v>
      </c>
      <c r="F368">
        <v>40569</v>
      </c>
      <c r="G368">
        <v>0</v>
      </c>
      <c r="H368">
        <v>1563</v>
      </c>
      <c r="I368">
        <v>33760</v>
      </c>
      <c r="J368">
        <v>0</v>
      </c>
      <c r="K368">
        <v>181</v>
      </c>
    </row>
    <row r="369" spans="2:11" x14ac:dyDescent="0.45">
      <c r="B369">
        <v>836</v>
      </c>
      <c r="C369">
        <v>-340</v>
      </c>
      <c r="D369">
        <v>57</v>
      </c>
      <c r="E369">
        <v>215</v>
      </c>
      <c r="F369">
        <v>-59</v>
      </c>
      <c r="G369">
        <v>-2102</v>
      </c>
      <c r="H369">
        <v>199</v>
      </c>
      <c r="I369">
        <v>808</v>
      </c>
      <c r="J369">
        <v>213</v>
      </c>
      <c r="K369">
        <v>-10</v>
      </c>
    </row>
    <row r="370" spans="2:11" x14ac:dyDescent="0.45">
      <c r="B370">
        <v>442</v>
      </c>
      <c r="C370">
        <v>-515</v>
      </c>
      <c r="D370">
        <v>665</v>
      </c>
      <c r="E370">
        <v>-439</v>
      </c>
      <c r="F370">
        <v>-210</v>
      </c>
      <c r="G370">
        <v>-550</v>
      </c>
      <c r="H370">
        <v>1357</v>
      </c>
      <c r="I370">
        <v>13627</v>
      </c>
      <c r="J370">
        <v>202</v>
      </c>
      <c r="K370">
        <v>-2650</v>
      </c>
    </row>
    <row r="371" spans="2:11" x14ac:dyDescent="0.45">
      <c r="B371">
        <v>57</v>
      </c>
      <c r="C371">
        <v>3</v>
      </c>
      <c r="D371">
        <v>100</v>
      </c>
      <c r="E371">
        <v>-939</v>
      </c>
      <c r="F371">
        <v>-944</v>
      </c>
      <c r="G371">
        <v>812</v>
      </c>
      <c r="H371">
        <v>-1006</v>
      </c>
      <c r="I371">
        <v>381</v>
      </c>
      <c r="J371">
        <v>231</v>
      </c>
      <c r="K371">
        <v>-829</v>
      </c>
    </row>
    <row r="372" spans="2:11" x14ac:dyDescent="0.45">
      <c r="B372">
        <v>-463</v>
      </c>
      <c r="C372">
        <v>-9733</v>
      </c>
      <c r="D372">
        <v>2084</v>
      </c>
      <c r="E372">
        <v>55</v>
      </c>
      <c r="F372">
        <v>303</v>
      </c>
      <c r="G372">
        <v>249</v>
      </c>
      <c r="H372">
        <v>646</v>
      </c>
      <c r="I372">
        <v>-8382</v>
      </c>
      <c r="J372">
        <v>159</v>
      </c>
      <c r="K372">
        <v>-8716</v>
      </c>
    </row>
    <row r="373" spans="2:11" x14ac:dyDescent="0.45">
      <c r="B373">
        <v>2287</v>
      </c>
      <c r="C373">
        <v>-5457</v>
      </c>
      <c r="D373">
        <v>2632</v>
      </c>
      <c r="E373">
        <v>-1801</v>
      </c>
      <c r="F373">
        <v>-731</v>
      </c>
      <c r="G373">
        <v>331</v>
      </c>
      <c r="H373">
        <v>-17103</v>
      </c>
      <c r="I373">
        <v>-876</v>
      </c>
      <c r="J373">
        <v>-7483</v>
      </c>
      <c r="K373">
        <v>-1379</v>
      </c>
    </row>
    <row r="374" spans="2:11" x14ac:dyDescent="0.45">
      <c r="B374">
        <v>-153</v>
      </c>
      <c r="C374">
        <v>-309</v>
      </c>
      <c r="D374">
        <v>228</v>
      </c>
      <c r="E374">
        <v>108</v>
      </c>
      <c r="F374">
        <v>-5517</v>
      </c>
      <c r="G374">
        <v>61921</v>
      </c>
      <c r="H374">
        <v>0</v>
      </c>
      <c r="I374">
        <v>16308</v>
      </c>
      <c r="J374">
        <v>13432</v>
      </c>
      <c r="K374">
        <v>0</v>
      </c>
    </row>
    <row r="375" spans="2:11" x14ac:dyDescent="0.45">
      <c r="B375">
        <v>7210</v>
      </c>
      <c r="C375">
        <v>0</v>
      </c>
      <c r="D375">
        <v>24352</v>
      </c>
      <c r="E375">
        <v>0</v>
      </c>
      <c r="F375">
        <v>0</v>
      </c>
      <c r="G375">
        <v>34047</v>
      </c>
      <c r="H375">
        <v>57004</v>
      </c>
      <c r="I375">
        <v>0</v>
      </c>
      <c r="J375">
        <v>2201</v>
      </c>
      <c r="K375">
        <v>47444</v>
      </c>
    </row>
    <row r="376" spans="2:11" x14ac:dyDescent="0.45">
      <c r="B376">
        <v>28421</v>
      </c>
      <c r="C376">
        <v>0</v>
      </c>
      <c r="D376">
        <v>-394</v>
      </c>
      <c r="E376">
        <v>1027</v>
      </c>
      <c r="F376">
        <v>-856</v>
      </c>
      <c r="G376">
        <v>526</v>
      </c>
      <c r="H376">
        <v>1023</v>
      </c>
      <c r="I376">
        <v>-1422</v>
      </c>
      <c r="J376">
        <v>-1587</v>
      </c>
      <c r="K376">
        <v>-58</v>
      </c>
    </row>
    <row r="377" spans="2:11" x14ac:dyDescent="0.45">
      <c r="B377">
        <v>108</v>
      </c>
      <c r="C377">
        <v>-445</v>
      </c>
      <c r="D377">
        <v>237</v>
      </c>
      <c r="E377">
        <v>901</v>
      </c>
      <c r="F377">
        <v>-270</v>
      </c>
      <c r="G377">
        <v>99</v>
      </c>
      <c r="H377">
        <v>88</v>
      </c>
      <c r="I377">
        <v>-1088</v>
      </c>
      <c r="J377">
        <v>925</v>
      </c>
      <c r="K377">
        <v>701</v>
      </c>
    </row>
    <row r="378" spans="2:11" x14ac:dyDescent="0.45">
      <c r="B378">
        <v>12439</v>
      </c>
      <c r="C378">
        <v>21</v>
      </c>
      <c r="D378">
        <v>-3167</v>
      </c>
      <c r="E378">
        <v>168</v>
      </c>
      <c r="F378">
        <v>-31</v>
      </c>
      <c r="G378">
        <v>106</v>
      </c>
      <c r="H378">
        <v>-143</v>
      </c>
      <c r="I378">
        <v>88</v>
      </c>
      <c r="J378">
        <v>277</v>
      </c>
      <c r="K378">
        <v>497</v>
      </c>
    </row>
    <row r="379" spans="2:11" x14ac:dyDescent="0.45">
      <c r="B379">
        <v>-848</v>
      </c>
      <c r="C379">
        <v>-709</v>
      </c>
      <c r="D379">
        <v>-1165</v>
      </c>
      <c r="E379">
        <v>-17</v>
      </c>
      <c r="F379">
        <v>-6962</v>
      </c>
      <c r="G379">
        <v>1011</v>
      </c>
      <c r="H379">
        <v>-225</v>
      </c>
      <c r="I379">
        <v>200</v>
      </c>
      <c r="J379">
        <v>510</v>
      </c>
      <c r="K379">
        <v>914</v>
      </c>
    </row>
    <row r="380" spans="2:11" x14ac:dyDescent="0.45">
      <c r="B380">
        <v>-6097</v>
      </c>
      <c r="C380">
        <v>-216</v>
      </c>
      <c r="D380">
        <v>-6338</v>
      </c>
      <c r="E380">
        <v>1296</v>
      </c>
      <c r="F380">
        <v>-34347</v>
      </c>
      <c r="G380">
        <v>4390</v>
      </c>
      <c r="H380">
        <v>7975</v>
      </c>
      <c r="I380">
        <v>-1029</v>
      </c>
      <c r="J380">
        <v>634</v>
      </c>
      <c r="K380">
        <v>-11930</v>
      </c>
    </row>
    <row r="381" spans="2:11" x14ac:dyDescent="0.45">
      <c r="B381">
        <v>-1002</v>
      </c>
      <c r="C381">
        <v>-5317</v>
      </c>
      <c r="D381">
        <v>-1525</v>
      </c>
      <c r="E381">
        <v>-57</v>
      </c>
      <c r="F381">
        <v>-282</v>
      </c>
      <c r="G381">
        <v>184</v>
      </c>
      <c r="H381">
        <v>-2</v>
      </c>
      <c r="I381">
        <v>-4291</v>
      </c>
      <c r="J381">
        <v>43222</v>
      </c>
      <c r="K381">
        <v>0</v>
      </c>
    </row>
    <row r="382" spans="2:11" x14ac:dyDescent="0.45">
      <c r="B382">
        <v>11399</v>
      </c>
      <c r="C382">
        <v>9365</v>
      </c>
      <c r="D382">
        <v>0</v>
      </c>
      <c r="E382">
        <v>5014</v>
      </c>
      <c r="F382">
        <v>0</v>
      </c>
      <c r="G382">
        <v>16926</v>
      </c>
      <c r="H382">
        <v>0</v>
      </c>
      <c r="I382">
        <v>0</v>
      </c>
      <c r="J382">
        <v>23651</v>
      </c>
      <c r="K382">
        <v>39735</v>
      </c>
    </row>
    <row r="383" spans="2:11" x14ac:dyDescent="0.45">
      <c r="B383">
        <v>0</v>
      </c>
      <c r="C383">
        <v>1559</v>
      </c>
      <c r="D383">
        <v>33092</v>
      </c>
      <c r="E383">
        <v>21442</v>
      </c>
      <c r="F383">
        <v>30073</v>
      </c>
      <c r="G383">
        <v>0</v>
      </c>
      <c r="H383">
        <v>228</v>
      </c>
      <c r="I383">
        <v>1659</v>
      </c>
      <c r="J383">
        <v>-911</v>
      </c>
      <c r="K383">
        <v>467</v>
      </c>
    </row>
    <row r="384" spans="2:11" x14ac:dyDescent="0.45">
      <c r="B384">
        <v>465</v>
      </c>
      <c r="C384">
        <v>-12</v>
      </c>
      <c r="D384">
        <v>-2466</v>
      </c>
      <c r="E384">
        <v>101</v>
      </c>
      <c r="F384">
        <v>287</v>
      </c>
      <c r="G384">
        <v>550</v>
      </c>
      <c r="H384">
        <v>183</v>
      </c>
      <c r="I384">
        <v>735</v>
      </c>
      <c r="J384">
        <v>-572</v>
      </c>
      <c r="K384">
        <v>22</v>
      </c>
    </row>
    <row r="385" spans="2:11" x14ac:dyDescent="0.45">
      <c r="B385">
        <v>128</v>
      </c>
      <c r="C385">
        <v>-772</v>
      </c>
      <c r="D385">
        <v>-973</v>
      </c>
      <c r="E385">
        <v>1777</v>
      </c>
      <c r="F385">
        <v>16370</v>
      </c>
      <c r="G385">
        <v>391</v>
      </c>
      <c r="H385">
        <v>-2764</v>
      </c>
      <c r="I385">
        <v>-135</v>
      </c>
      <c r="J385">
        <v>397</v>
      </c>
      <c r="K385">
        <v>-279</v>
      </c>
    </row>
    <row r="386" spans="2:11" x14ac:dyDescent="0.45">
      <c r="B386">
        <v>-766</v>
      </c>
      <c r="C386">
        <v>-428</v>
      </c>
      <c r="D386">
        <v>743</v>
      </c>
      <c r="E386">
        <v>687</v>
      </c>
      <c r="F386">
        <v>201</v>
      </c>
      <c r="G386">
        <v>-108</v>
      </c>
      <c r="H386">
        <v>-1229</v>
      </c>
      <c r="I386">
        <v>-423</v>
      </c>
      <c r="J386">
        <v>-12116</v>
      </c>
      <c r="K386">
        <v>2723</v>
      </c>
    </row>
    <row r="387" spans="2:11" x14ac:dyDescent="0.45">
      <c r="B387">
        <v>-118</v>
      </c>
      <c r="C387">
        <v>507</v>
      </c>
      <c r="D387">
        <v>374</v>
      </c>
      <c r="E387">
        <v>700</v>
      </c>
      <c r="F387">
        <v>-10404</v>
      </c>
      <c r="G387">
        <v>310</v>
      </c>
      <c r="H387">
        <v>-10770</v>
      </c>
      <c r="I387">
        <v>2947</v>
      </c>
      <c r="J387">
        <v>-10288</v>
      </c>
      <c r="K387">
        <v>484</v>
      </c>
    </row>
    <row r="388" spans="2:11" x14ac:dyDescent="0.45">
      <c r="B388">
        <v>-442</v>
      </c>
      <c r="C388">
        <v>-1225</v>
      </c>
      <c r="D388">
        <v>524</v>
      </c>
      <c r="E388">
        <v>-21339</v>
      </c>
      <c r="F388">
        <v>-1347</v>
      </c>
      <c r="G388">
        <v>-9300</v>
      </c>
      <c r="H388">
        <v>-1895</v>
      </c>
      <c r="I388">
        <v>-169</v>
      </c>
      <c r="J388">
        <v>-361</v>
      </c>
      <c r="K388">
        <v>264</v>
      </c>
    </row>
    <row r="389" spans="2:11" x14ac:dyDescent="0.45">
      <c r="B389">
        <v>156</v>
      </c>
      <c r="C389">
        <v>-6778</v>
      </c>
      <c r="D389">
        <v>77382</v>
      </c>
      <c r="E389">
        <v>0</v>
      </c>
      <c r="F389">
        <v>20380</v>
      </c>
      <c r="G389">
        <v>16807</v>
      </c>
      <c r="H389">
        <v>0</v>
      </c>
      <c r="I389">
        <v>8988</v>
      </c>
      <c r="J389">
        <v>0</v>
      </c>
      <c r="K389">
        <v>30430</v>
      </c>
    </row>
    <row r="390" spans="2:11" x14ac:dyDescent="0.45">
      <c r="B390">
        <v>0</v>
      </c>
      <c r="C390">
        <v>0</v>
      </c>
      <c r="D390">
        <v>42574</v>
      </c>
      <c r="E390">
        <v>71243</v>
      </c>
      <c r="F390">
        <v>0</v>
      </c>
      <c r="G390">
        <v>2742</v>
      </c>
      <c r="H390">
        <v>59291</v>
      </c>
      <c r="I390">
        <v>36345</v>
      </c>
      <c r="J390">
        <v>50689</v>
      </c>
      <c r="K390">
        <v>40036</v>
      </c>
    </row>
    <row r="391" spans="2:11" x14ac:dyDescent="0.45">
      <c r="B391">
        <v>0</v>
      </c>
      <c r="C391">
        <v>432</v>
      </c>
      <c r="D391">
        <v>874</v>
      </c>
      <c r="E391">
        <v>-263</v>
      </c>
      <c r="F391">
        <v>201</v>
      </c>
      <c r="G391">
        <v>202</v>
      </c>
      <c r="H391">
        <v>1576</v>
      </c>
      <c r="I391">
        <v>-792</v>
      </c>
      <c r="J391">
        <v>-312</v>
      </c>
      <c r="K391">
        <v>-540</v>
      </c>
    </row>
    <row r="392" spans="2:11" x14ac:dyDescent="0.45">
      <c r="B392">
        <v>-1107</v>
      </c>
      <c r="C392">
        <v>-410</v>
      </c>
      <c r="D392">
        <v>-260</v>
      </c>
      <c r="E392">
        <v>-462</v>
      </c>
      <c r="F392">
        <v>507</v>
      </c>
      <c r="G392">
        <v>-599</v>
      </c>
      <c r="H392">
        <v>-126</v>
      </c>
      <c r="I392">
        <v>-1711</v>
      </c>
      <c r="J392">
        <v>626</v>
      </c>
      <c r="K392">
        <v>195</v>
      </c>
    </row>
    <row r="393" spans="2:11" x14ac:dyDescent="0.45">
      <c r="B393">
        <v>974</v>
      </c>
      <c r="C393">
        <v>1268</v>
      </c>
      <c r="D393">
        <v>485</v>
      </c>
      <c r="E393">
        <v>-225</v>
      </c>
      <c r="F393">
        <v>58</v>
      </c>
      <c r="G393">
        <v>39</v>
      </c>
      <c r="H393">
        <v>381</v>
      </c>
      <c r="I393">
        <v>141</v>
      </c>
      <c r="J393">
        <v>198</v>
      </c>
      <c r="K393">
        <v>-10</v>
      </c>
    </row>
    <row r="394" spans="2:11" x14ac:dyDescent="0.45">
      <c r="B394">
        <v>495</v>
      </c>
      <c r="C394">
        <v>-678</v>
      </c>
      <c r="D394">
        <v>-786</v>
      </c>
      <c r="E394">
        <v>-129</v>
      </c>
      <c r="F394">
        <v>-11</v>
      </c>
      <c r="G394">
        <v>-330</v>
      </c>
      <c r="H394">
        <v>165</v>
      </c>
      <c r="I394">
        <v>159</v>
      </c>
      <c r="J394">
        <v>177</v>
      </c>
      <c r="K394">
        <v>52</v>
      </c>
    </row>
    <row r="395" spans="2:11" x14ac:dyDescent="0.45">
      <c r="B395">
        <v>-49</v>
      </c>
      <c r="C395">
        <v>138</v>
      </c>
      <c r="D395">
        <v>-47</v>
      </c>
      <c r="E395">
        <v>9949</v>
      </c>
      <c r="F395">
        <v>5061</v>
      </c>
      <c r="G395">
        <v>-17829</v>
      </c>
      <c r="H395">
        <v>-605</v>
      </c>
      <c r="I395">
        <v>-247</v>
      </c>
      <c r="J395">
        <v>40</v>
      </c>
      <c r="K395">
        <v>-369</v>
      </c>
    </row>
    <row r="396" spans="2:11" x14ac:dyDescent="0.45">
      <c r="B396">
        <v>-85</v>
      </c>
      <c r="C396">
        <v>-670</v>
      </c>
      <c r="D396">
        <v>-17</v>
      </c>
      <c r="E396">
        <v>-2</v>
      </c>
      <c r="F396">
        <v>-2</v>
      </c>
      <c r="G396">
        <v>-22</v>
      </c>
      <c r="H396">
        <v>17</v>
      </c>
      <c r="I396">
        <v>-715</v>
      </c>
      <c r="J396">
        <v>0</v>
      </c>
      <c r="K396">
        <v>-159</v>
      </c>
    </row>
    <row r="397" spans="2:11" x14ac:dyDescent="0.45">
      <c r="B397">
        <v>-189</v>
      </c>
      <c r="C397">
        <v>0</v>
      </c>
      <c r="D397">
        <v>-101</v>
      </c>
      <c r="E397">
        <v>0</v>
      </c>
      <c r="F397">
        <v>-336</v>
      </c>
      <c r="G397">
        <v>0</v>
      </c>
      <c r="H397">
        <v>0</v>
      </c>
      <c r="I397">
        <v>-403</v>
      </c>
      <c r="J397">
        <v>-655</v>
      </c>
      <c r="K397">
        <v>0</v>
      </c>
    </row>
    <row r="398" spans="2:11" x14ac:dyDescent="0.45">
      <c r="B398">
        <v>-22</v>
      </c>
      <c r="C398">
        <v>-544</v>
      </c>
      <c r="D398">
        <v>5056</v>
      </c>
      <c r="E398">
        <v>5852</v>
      </c>
      <c r="F398">
        <v>7385</v>
      </c>
      <c r="G398">
        <v>10359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4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4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4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4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45">
      <c r="B406">
        <v>0</v>
      </c>
      <c r="C406">
        <v>0</v>
      </c>
      <c r="D406">
        <v>0</v>
      </c>
      <c r="E406">
        <v>0</v>
      </c>
      <c r="F406">
        <v>-88</v>
      </c>
      <c r="G406">
        <v>1429</v>
      </c>
      <c r="H406">
        <v>-838</v>
      </c>
      <c r="I406">
        <v>302</v>
      </c>
      <c r="J406">
        <v>619</v>
      </c>
      <c r="K406">
        <v>-167</v>
      </c>
    </row>
    <row r="407" spans="2:11" x14ac:dyDescent="0.45">
      <c r="B407">
        <v>-3459</v>
      </c>
      <c r="C407">
        <v>108</v>
      </c>
      <c r="D407">
        <v>698</v>
      </c>
      <c r="E407">
        <v>205</v>
      </c>
      <c r="F407">
        <v>226</v>
      </c>
      <c r="G407">
        <v>999</v>
      </c>
      <c r="H407">
        <v>-619</v>
      </c>
      <c r="I407">
        <v>438</v>
      </c>
      <c r="J407">
        <v>78</v>
      </c>
      <c r="K407">
        <v>-734</v>
      </c>
    </row>
    <row r="408" spans="2:11" x14ac:dyDescent="0.45">
      <c r="B408">
        <v>-794</v>
      </c>
      <c r="C408">
        <v>2270</v>
      </c>
      <c r="D408">
        <v>20290</v>
      </c>
      <c r="E408">
        <v>1117</v>
      </c>
      <c r="F408">
        <v>-4296</v>
      </c>
      <c r="G408">
        <v>6</v>
      </c>
      <c r="H408">
        <v>185</v>
      </c>
      <c r="I408">
        <v>-9</v>
      </c>
      <c r="J408">
        <v>-1038</v>
      </c>
      <c r="K408">
        <v>182</v>
      </c>
    </row>
    <row r="409" spans="2:11" x14ac:dyDescent="0.45">
      <c r="B409">
        <v>483</v>
      </c>
      <c r="C409">
        <v>673</v>
      </c>
      <c r="D409">
        <v>-216</v>
      </c>
      <c r="E409">
        <v>-336</v>
      </c>
      <c r="F409">
        <v>-1143</v>
      </c>
      <c r="G409">
        <v>-425</v>
      </c>
      <c r="H409">
        <v>-15137</v>
      </c>
      <c r="I409">
        <v>3400</v>
      </c>
      <c r="J409">
        <v>135</v>
      </c>
      <c r="K409">
        <v>496</v>
      </c>
    </row>
    <row r="410" spans="2:11" x14ac:dyDescent="0.45">
      <c r="B410">
        <v>439</v>
      </c>
      <c r="C410">
        <v>930</v>
      </c>
      <c r="D410">
        <v>-12935</v>
      </c>
      <c r="E410">
        <v>393</v>
      </c>
      <c r="F410">
        <v>-13461</v>
      </c>
      <c r="G410">
        <v>3653</v>
      </c>
      <c r="H410">
        <v>-10498</v>
      </c>
      <c r="I410">
        <v>1842</v>
      </c>
      <c r="J410">
        <v>-904</v>
      </c>
      <c r="K410">
        <v>-1023</v>
      </c>
    </row>
    <row r="411" spans="2:11" x14ac:dyDescent="0.45">
      <c r="B411">
        <v>582</v>
      </c>
      <c r="C411">
        <v>-26612</v>
      </c>
      <c r="D411">
        <v>-1330</v>
      </c>
      <c r="E411">
        <v>-11591</v>
      </c>
      <c r="F411">
        <v>-1880</v>
      </c>
      <c r="G411">
        <v>-213</v>
      </c>
      <c r="H411">
        <v>-463</v>
      </c>
      <c r="I411">
        <v>324</v>
      </c>
      <c r="J411">
        <v>190</v>
      </c>
      <c r="K411">
        <v>-8438</v>
      </c>
    </row>
    <row r="412" spans="2:11" x14ac:dyDescent="0.45">
      <c r="B412">
        <v>96279</v>
      </c>
      <c r="C412">
        <v>0</v>
      </c>
      <c r="D412">
        <v>25360</v>
      </c>
      <c r="E412">
        <v>20915</v>
      </c>
      <c r="F412">
        <v>0</v>
      </c>
      <c r="G412">
        <v>11190</v>
      </c>
      <c r="H412">
        <v>0</v>
      </c>
      <c r="I412">
        <v>37863</v>
      </c>
      <c r="J412">
        <v>0</v>
      </c>
      <c r="K412">
        <v>0</v>
      </c>
    </row>
    <row r="413" spans="2:11" x14ac:dyDescent="0.45">
      <c r="B413">
        <v>52966</v>
      </c>
      <c r="C413">
        <v>88634</v>
      </c>
      <c r="D413">
        <v>0</v>
      </c>
      <c r="E413">
        <v>3413</v>
      </c>
      <c r="F413">
        <v>73765</v>
      </c>
      <c r="G413">
        <v>43236</v>
      </c>
      <c r="H413">
        <v>61649</v>
      </c>
      <c r="I413">
        <v>45258</v>
      </c>
      <c r="J413">
        <v>77275</v>
      </c>
      <c r="K413">
        <v>5074</v>
      </c>
    </row>
    <row r="414" spans="2:11" x14ac:dyDescent="0.4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45"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</row>
    <row r="416" spans="2:11" x14ac:dyDescent="0.45"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</row>
    <row r="417" spans="2:11" x14ac:dyDescent="0.45"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</row>
    <row r="418" spans="2:11" x14ac:dyDescent="0.45"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</row>
    <row r="419" spans="2:11" x14ac:dyDescent="0.45"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</row>
    <row r="420" spans="2:11" x14ac:dyDescent="0.45"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</row>
    <row r="421" spans="2:11" x14ac:dyDescent="0.45"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</row>
    <row r="422" spans="2:11" x14ac:dyDescent="0.45">
      <c r="B422">
        <v>0</v>
      </c>
      <c r="C422">
        <v>272</v>
      </c>
      <c r="D422">
        <v>405</v>
      </c>
      <c r="E422">
        <v>-324</v>
      </c>
      <c r="F422">
        <v>146</v>
      </c>
      <c r="G422">
        <v>257</v>
      </c>
      <c r="H422">
        <v>135</v>
      </c>
      <c r="I422">
        <v>-1325</v>
      </c>
      <c r="J422">
        <v>-92</v>
      </c>
      <c r="K422">
        <v>999</v>
      </c>
    </row>
    <row r="423" spans="2:11" x14ac:dyDescent="0.45">
      <c r="B423">
        <v>149</v>
      </c>
      <c r="C423">
        <v>41</v>
      </c>
      <c r="D423">
        <v>290</v>
      </c>
      <c r="E423">
        <v>-990</v>
      </c>
      <c r="F423">
        <v>132</v>
      </c>
      <c r="G423">
        <v>-82</v>
      </c>
      <c r="H423">
        <v>-730</v>
      </c>
      <c r="I423">
        <v>-652</v>
      </c>
      <c r="J423">
        <v>827</v>
      </c>
      <c r="K423">
        <v>9359</v>
      </c>
    </row>
    <row r="424" spans="2:11" x14ac:dyDescent="0.45">
      <c r="B424">
        <v>690</v>
      </c>
      <c r="C424">
        <v>-1983</v>
      </c>
      <c r="D424">
        <v>224</v>
      </c>
      <c r="E424">
        <v>-97</v>
      </c>
      <c r="F424">
        <v>136</v>
      </c>
      <c r="G424">
        <v>-323</v>
      </c>
      <c r="H424">
        <v>481</v>
      </c>
      <c r="I424">
        <v>341</v>
      </c>
      <c r="J424">
        <v>366</v>
      </c>
      <c r="K424">
        <v>-230</v>
      </c>
    </row>
    <row r="425" spans="2:11" x14ac:dyDescent="0.45">
      <c r="B425">
        <v>-135</v>
      </c>
      <c r="C425">
        <v>-309</v>
      </c>
      <c r="D425">
        <v>349</v>
      </c>
      <c r="E425">
        <v>-6972</v>
      </c>
      <c r="F425">
        <v>1553</v>
      </c>
      <c r="G425">
        <v>341</v>
      </c>
      <c r="H425">
        <v>366</v>
      </c>
      <c r="I425">
        <v>152</v>
      </c>
      <c r="J425">
        <v>546</v>
      </c>
      <c r="K425">
        <v>-5945</v>
      </c>
    </row>
    <row r="426" spans="2:11" x14ac:dyDescent="0.45">
      <c r="B426">
        <v>178</v>
      </c>
      <c r="C426">
        <v>-6197</v>
      </c>
      <c r="D426">
        <v>1646</v>
      </c>
      <c r="E426">
        <v>-4933</v>
      </c>
      <c r="F426">
        <v>292</v>
      </c>
      <c r="G426">
        <v>-2291</v>
      </c>
      <c r="H426">
        <v>747</v>
      </c>
      <c r="I426">
        <v>412</v>
      </c>
      <c r="J426">
        <v>-9881</v>
      </c>
      <c r="K426">
        <v>-359</v>
      </c>
    </row>
    <row r="427" spans="2:11" x14ac:dyDescent="0.45">
      <c r="B427">
        <v>-5323</v>
      </c>
      <c r="C427">
        <v>-492</v>
      </c>
      <c r="D427">
        <v>-81</v>
      </c>
      <c r="E427">
        <v>-227</v>
      </c>
      <c r="F427">
        <v>146</v>
      </c>
      <c r="G427">
        <v>85</v>
      </c>
      <c r="H427">
        <v>-3886</v>
      </c>
      <c r="I427">
        <v>44247</v>
      </c>
      <c r="J427">
        <v>0</v>
      </c>
      <c r="K427">
        <v>11667</v>
      </c>
    </row>
    <row r="428" spans="2:11" x14ac:dyDescent="0.45">
      <c r="B428">
        <v>9600</v>
      </c>
      <c r="C428">
        <v>0</v>
      </c>
      <c r="D428">
        <v>5152</v>
      </c>
      <c r="E428">
        <v>0</v>
      </c>
      <c r="F428">
        <v>17405</v>
      </c>
      <c r="G428">
        <v>0</v>
      </c>
      <c r="H428">
        <v>0</v>
      </c>
      <c r="I428">
        <v>24342</v>
      </c>
      <c r="J428">
        <v>40734</v>
      </c>
      <c r="K428">
        <v>0</v>
      </c>
    </row>
    <row r="429" spans="2:11" x14ac:dyDescent="0.45">
      <c r="B429">
        <v>1565</v>
      </c>
      <c r="C429">
        <v>33904</v>
      </c>
      <c r="D429">
        <v>19504</v>
      </c>
      <c r="E429">
        <v>27399</v>
      </c>
      <c r="F429">
        <v>19120</v>
      </c>
      <c r="G429">
        <v>34250</v>
      </c>
      <c r="H429">
        <v>-308</v>
      </c>
      <c r="I429">
        <v>0</v>
      </c>
      <c r="J429">
        <v>42615</v>
      </c>
      <c r="K429">
        <v>0</v>
      </c>
    </row>
    <row r="430" spans="2:11" x14ac:dyDescent="0.45">
      <c r="B430">
        <v>0</v>
      </c>
      <c r="C430">
        <v>-21</v>
      </c>
      <c r="D430">
        <v>940</v>
      </c>
      <c r="E430">
        <v>-737</v>
      </c>
      <c r="F430">
        <v>326</v>
      </c>
      <c r="G430">
        <v>556</v>
      </c>
      <c r="H430">
        <v>157</v>
      </c>
      <c r="I430">
        <v>-2077</v>
      </c>
      <c r="J430">
        <v>29</v>
      </c>
      <c r="K430">
        <v>612</v>
      </c>
    </row>
    <row r="431" spans="2:11" x14ac:dyDescent="0.45">
      <c r="B431">
        <v>327</v>
      </c>
      <c r="C431">
        <v>271</v>
      </c>
      <c r="D431">
        <v>750</v>
      </c>
      <c r="E431">
        <v>-503</v>
      </c>
      <c r="F431">
        <v>-213</v>
      </c>
      <c r="G431">
        <v>-339</v>
      </c>
      <c r="H431">
        <v>-591</v>
      </c>
      <c r="I431">
        <v>-881</v>
      </c>
      <c r="J431">
        <v>1668</v>
      </c>
      <c r="K431">
        <v>19651</v>
      </c>
    </row>
    <row r="432" spans="2:11" x14ac:dyDescent="0.45">
      <c r="B432">
        <v>196</v>
      </c>
      <c r="C432">
        <v>-3851</v>
      </c>
      <c r="D432">
        <v>-41</v>
      </c>
      <c r="E432">
        <v>302</v>
      </c>
      <c r="F432">
        <v>-177</v>
      </c>
      <c r="G432">
        <v>-1073</v>
      </c>
      <c r="H432">
        <v>418</v>
      </c>
      <c r="I432">
        <v>399</v>
      </c>
      <c r="J432">
        <v>1023</v>
      </c>
      <c r="K432">
        <v>84</v>
      </c>
    </row>
    <row r="433" spans="2:11" x14ac:dyDescent="0.45">
      <c r="B433">
        <v>-200</v>
      </c>
      <c r="C433">
        <v>-494</v>
      </c>
      <c r="D433">
        <v>-810</v>
      </c>
      <c r="E433">
        <v>-13871</v>
      </c>
      <c r="F433">
        <v>2895</v>
      </c>
      <c r="G433">
        <v>473</v>
      </c>
      <c r="H433">
        <v>349</v>
      </c>
      <c r="I433">
        <v>37</v>
      </c>
      <c r="J433">
        <v>543</v>
      </c>
      <c r="K433">
        <v>-11933</v>
      </c>
    </row>
    <row r="434" spans="2:11" x14ac:dyDescent="0.45">
      <c r="B434">
        <v>231</v>
      </c>
      <c r="C434">
        <v>-12504</v>
      </c>
      <c r="D434">
        <v>3244</v>
      </c>
      <c r="E434">
        <v>-9904</v>
      </c>
      <c r="F434">
        <v>544</v>
      </c>
      <c r="G434">
        <v>-4593</v>
      </c>
      <c r="H434">
        <v>564</v>
      </c>
      <c r="I434">
        <v>509</v>
      </c>
      <c r="J434">
        <v>-19338</v>
      </c>
      <c r="K434">
        <v>-642</v>
      </c>
    </row>
    <row r="435" spans="2:11" x14ac:dyDescent="0.45">
      <c r="B435">
        <v>-10623</v>
      </c>
      <c r="C435">
        <v>-959</v>
      </c>
      <c r="D435">
        <v>-160</v>
      </c>
      <c r="E435">
        <v>-445</v>
      </c>
      <c r="F435">
        <v>305</v>
      </c>
      <c r="G435">
        <v>164</v>
      </c>
      <c r="H435">
        <v>-7924</v>
      </c>
      <c r="I435">
        <v>88153</v>
      </c>
      <c r="J435">
        <v>0</v>
      </c>
      <c r="K435">
        <v>23218</v>
      </c>
    </row>
    <row r="436" spans="2:11" x14ac:dyDescent="0.45">
      <c r="B436">
        <v>19155</v>
      </c>
      <c r="C436">
        <v>0</v>
      </c>
      <c r="D436">
        <v>10230</v>
      </c>
      <c r="E436">
        <v>0</v>
      </c>
      <c r="F436">
        <v>34648</v>
      </c>
      <c r="G436">
        <v>0</v>
      </c>
      <c r="H436">
        <v>0</v>
      </c>
      <c r="I436">
        <v>48464</v>
      </c>
      <c r="J436">
        <v>81133</v>
      </c>
      <c r="K436">
        <v>0</v>
      </c>
    </row>
    <row r="437" spans="2:11" x14ac:dyDescent="0.45">
      <c r="B437">
        <v>3132</v>
      </c>
      <c r="C437">
        <v>67516</v>
      </c>
      <c r="D437">
        <v>38852</v>
      </c>
      <c r="E437">
        <v>54578</v>
      </c>
      <c r="F437">
        <v>38094</v>
      </c>
      <c r="G437">
        <v>68222</v>
      </c>
      <c r="H437">
        <v>-633</v>
      </c>
      <c r="I437">
        <v>0</v>
      </c>
      <c r="J437">
        <v>84872</v>
      </c>
      <c r="K437">
        <v>0</v>
      </c>
    </row>
    <row r="438" spans="2:11" x14ac:dyDescent="0.45">
      <c r="B438">
        <v>24589</v>
      </c>
      <c r="C438">
        <v>0</v>
      </c>
      <c r="D438">
        <v>60</v>
      </c>
      <c r="E438">
        <v>388</v>
      </c>
      <c r="F438">
        <v>-301</v>
      </c>
      <c r="G438">
        <v>126</v>
      </c>
      <c r="H438">
        <v>268</v>
      </c>
      <c r="I438">
        <v>-172</v>
      </c>
      <c r="J438">
        <v>-800</v>
      </c>
      <c r="K438">
        <v>18</v>
      </c>
    </row>
    <row r="439" spans="2:11" x14ac:dyDescent="0.45">
      <c r="B439">
        <v>206</v>
      </c>
      <c r="C439">
        <v>136</v>
      </c>
      <c r="D439">
        <v>26</v>
      </c>
      <c r="E439">
        <v>317</v>
      </c>
      <c r="F439">
        <v>-241</v>
      </c>
      <c r="G439">
        <v>73</v>
      </c>
      <c r="H439">
        <v>-11</v>
      </c>
      <c r="I439">
        <v>-390</v>
      </c>
      <c r="J439">
        <v>-59</v>
      </c>
      <c r="K439">
        <v>700</v>
      </c>
    </row>
    <row r="440" spans="2:11" x14ac:dyDescent="0.45">
      <c r="B440">
        <v>7367</v>
      </c>
      <c r="C440">
        <v>-7</v>
      </c>
      <c r="D440">
        <v>-1466</v>
      </c>
      <c r="E440">
        <v>-75</v>
      </c>
      <c r="F440">
        <v>131</v>
      </c>
      <c r="G440">
        <v>-59</v>
      </c>
      <c r="H440">
        <v>-391</v>
      </c>
      <c r="I440">
        <v>148</v>
      </c>
      <c r="J440">
        <v>118</v>
      </c>
      <c r="K440">
        <v>191</v>
      </c>
    </row>
    <row r="441" spans="2:11" x14ac:dyDescent="0.45">
      <c r="B441">
        <v>11</v>
      </c>
      <c r="C441">
        <v>-94</v>
      </c>
      <c r="D441">
        <v>-214</v>
      </c>
      <c r="E441">
        <v>-157</v>
      </c>
      <c r="F441">
        <v>-5501</v>
      </c>
      <c r="G441">
        <v>1244</v>
      </c>
      <c r="H441">
        <v>214</v>
      </c>
      <c r="I441">
        <v>119</v>
      </c>
      <c r="J441">
        <v>10</v>
      </c>
      <c r="K441">
        <v>199</v>
      </c>
    </row>
    <row r="442" spans="2:11" x14ac:dyDescent="0.45">
      <c r="B442">
        <v>-4750</v>
      </c>
      <c r="C442">
        <v>157</v>
      </c>
      <c r="D442">
        <v>-4979</v>
      </c>
      <c r="E442">
        <v>1357</v>
      </c>
      <c r="F442">
        <v>-3894</v>
      </c>
      <c r="G442">
        <v>278</v>
      </c>
      <c r="H442">
        <v>-1867</v>
      </c>
      <c r="I442">
        <v>85</v>
      </c>
      <c r="J442">
        <v>213</v>
      </c>
      <c r="K442">
        <v>-8532</v>
      </c>
    </row>
    <row r="443" spans="2:11" x14ac:dyDescent="0.45">
      <c r="B443">
        <v>-256</v>
      </c>
      <c r="C443">
        <v>-4227</v>
      </c>
      <c r="D443">
        <v>-358</v>
      </c>
      <c r="E443">
        <v>-67</v>
      </c>
      <c r="F443">
        <v>-167</v>
      </c>
      <c r="G443">
        <v>120</v>
      </c>
      <c r="H443">
        <v>76</v>
      </c>
      <c r="I443">
        <v>-3098</v>
      </c>
      <c r="J443">
        <v>35409</v>
      </c>
      <c r="K443">
        <v>0</v>
      </c>
    </row>
    <row r="444" spans="2:11" x14ac:dyDescent="0.45">
      <c r="B444">
        <v>9319</v>
      </c>
      <c r="C444">
        <v>7699</v>
      </c>
      <c r="D444">
        <v>0</v>
      </c>
      <c r="E444">
        <v>4115</v>
      </c>
      <c r="F444">
        <v>0</v>
      </c>
      <c r="G444">
        <v>13933</v>
      </c>
      <c r="H444">
        <v>0</v>
      </c>
      <c r="I444">
        <v>0</v>
      </c>
      <c r="J444">
        <v>19485</v>
      </c>
      <c r="K444">
        <v>32599</v>
      </c>
    </row>
    <row r="445" spans="2:11" x14ac:dyDescent="0.45">
      <c r="B445">
        <v>0</v>
      </c>
      <c r="C445">
        <v>1252</v>
      </c>
      <c r="D445">
        <v>27123</v>
      </c>
      <c r="E445">
        <v>15603</v>
      </c>
      <c r="F445">
        <v>21927</v>
      </c>
      <c r="G445">
        <v>15290</v>
      </c>
      <c r="H445">
        <v>27408</v>
      </c>
      <c r="I445">
        <v>-265</v>
      </c>
      <c r="J445">
        <v>0</v>
      </c>
      <c r="K445">
        <v>34098</v>
      </c>
    </row>
    <row r="446" spans="2:11" x14ac:dyDescent="0.45">
      <c r="B446">
        <v>0</v>
      </c>
      <c r="C446">
        <v>15868</v>
      </c>
      <c r="D446">
        <v>31547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4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4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4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4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45"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2:11" x14ac:dyDescent="0.45"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-5</v>
      </c>
      <c r="J454">
        <v>728</v>
      </c>
      <c r="K454">
        <v>-591</v>
      </c>
    </row>
    <row r="455" spans="2:11" x14ac:dyDescent="0.45">
      <c r="B455">
        <v>215</v>
      </c>
      <c r="C455">
        <v>539</v>
      </c>
      <c r="D455">
        <v>-396</v>
      </c>
      <c r="E455">
        <v>-2247</v>
      </c>
      <c r="F455">
        <v>138</v>
      </c>
      <c r="G455">
        <v>621</v>
      </c>
      <c r="H455">
        <v>272</v>
      </c>
      <c r="I455">
        <v>270</v>
      </c>
      <c r="J455">
        <v>572</v>
      </c>
      <c r="K455">
        <v>-491</v>
      </c>
    </row>
    <row r="456" spans="2:11" x14ac:dyDescent="0.45">
      <c r="B456">
        <v>127</v>
      </c>
      <c r="C456">
        <v>-230</v>
      </c>
      <c r="D456">
        <v>-498</v>
      </c>
      <c r="E456">
        <v>-982</v>
      </c>
      <c r="F456">
        <v>1848</v>
      </c>
      <c r="G456">
        <v>18570</v>
      </c>
      <c r="H456">
        <v>204</v>
      </c>
      <c r="I456">
        <v>-3935</v>
      </c>
      <c r="J456">
        <v>-128</v>
      </c>
      <c r="K456">
        <v>302</v>
      </c>
    </row>
    <row r="457" spans="2:11" x14ac:dyDescent="0.45">
      <c r="B457">
        <v>-140</v>
      </c>
      <c r="C457">
        <v>217</v>
      </c>
      <c r="D457">
        <v>476</v>
      </c>
      <c r="E457">
        <v>297</v>
      </c>
      <c r="F457">
        <v>69</v>
      </c>
      <c r="G457">
        <v>24</v>
      </c>
      <c r="H457">
        <v>-475</v>
      </c>
      <c r="I457">
        <v>-493</v>
      </c>
      <c r="J457">
        <v>-220</v>
      </c>
      <c r="K457">
        <v>-13267</v>
      </c>
    </row>
    <row r="458" spans="2:11" x14ac:dyDescent="0.45">
      <c r="B458">
        <v>2820</v>
      </c>
      <c r="C458">
        <v>538</v>
      </c>
      <c r="D458">
        <v>608</v>
      </c>
      <c r="E458">
        <v>-41</v>
      </c>
      <c r="F458">
        <v>420</v>
      </c>
      <c r="G458">
        <v>-11449</v>
      </c>
      <c r="H458">
        <v>260</v>
      </c>
      <c r="I458">
        <v>-11929</v>
      </c>
      <c r="J458">
        <v>3131</v>
      </c>
      <c r="K458">
        <v>-9474</v>
      </c>
    </row>
    <row r="459" spans="2:11" x14ac:dyDescent="0.45">
      <c r="B459">
        <v>564</v>
      </c>
      <c r="C459">
        <v>-4384</v>
      </c>
      <c r="D459">
        <v>2</v>
      </c>
      <c r="E459">
        <v>696</v>
      </c>
      <c r="F459">
        <v>-23302</v>
      </c>
      <c r="G459">
        <v>71</v>
      </c>
      <c r="H459">
        <v>8240</v>
      </c>
      <c r="I459">
        <v>-874</v>
      </c>
      <c r="J459">
        <v>-151</v>
      </c>
      <c r="K459">
        <v>-419</v>
      </c>
    </row>
    <row r="460" spans="2:11" x14ac:dyDescent="0.45">
      <c r="B460">
        <v>296</v>
      </c>
      <c r="C460">
        <v>149</v>
      </c>
      <c r="D460">
        <v>-7531</v>
      </c>
      <c r="E460">
        <v>84761</v>
      </c>
      <c r="F460">
        <v>0</v>
      </c>
      <c r="G460">
        <v>22320</v>
      </c>
      <c r="H460">
        <v>18422</v>
      </c>
      <c r="I460">
        <v>0</v>
      </c>
      <c r="J460">
        <v>9859</v>
      </c>
      <c r="K460">
        <v>0</v>
      </c>
    </row>
    <row r="461" spans="2:11" x14ac:dyDescent="0.45">
      <c r="B461">
        <v>33329</v>
      </c>
      <c r="C461">
        <v>0</v>
      </c>
      <c r="D461">
        <v>0</v>
      </c>
      <c r="E461">
        <v>46609</v>
      </c>
      <c r="F461">
        <v>78015</v>
      </c>
      <c r="G461">
        <v>0</v>
      </c>
      <c r="H461">
        <v>3013</v>
      </c>
      <c r="I461">
        <v>64929</v>
      </c>
      <c r="J461">
        <v>37353</v>
      </c>
      <c r="K461">
        <v>52490</v>
      </c>
    </row>
    <row r="462" spans="2:11" x14ac:dyDescent="0.45">
      <c r="B462">
        <v>36631</v>
      </c>
      <c r="C462">
        <v>65604</v>
      </c>
      <c r="D462">
        <v>-621</v>
      </c>
      <c r="E462">
        <v>0</v>
      </c>
      <c r="F462">
        <v>81615</v>
      </c>
      <c r="G462">
        <v>0</v>
      </c>
      <c r="H462">
        <v>37515</v>
      </c>
      <c r="I462">
        <v>74724</v>
      </c>
      <c r="J462">
        <v>30019</v>
      </c>
      <c r="K462">
        <v>0</v>
      </c>
    </row>
    <row r="463" spans="2:11" x14ac:dyDescent="0.45">
      <c r="B463">
        <v>0</v>
      </c>
      <c r="C463">
        <v>61</v>
      </c>
      <c r="D463">
        <v>278</v>
      </c>
      <c r="E463">
        <v>-217</v>
      </c>
      <c r="F463">
        <v>63</v>
      </c>
      <c r="G463">
        <v>239</v>
      </c>
      <c r="H463">
        <v>-371</v>
      </c>
      <c r="I463">
        <v>-1249</v>
      </c>
      <c r="J463">
        <v>4</v>
      </c>
      <c r="K463">
        <v>210</v>
      </c>
    </row>
    <row r="464" spans="2:11" x14ac:dyDescent="0.45">
      <c r="B464">
        <v>63</v>
      </c>
      <c r="C464">
        <v>101</v>
      </c>
      <c r="D464">
        <v>243</v>
      </c>
      <c r="E464">
        <v>67</v>
      </c>
      <c r="F464">
        <v>227</v>
      </c>
      <c r="G464">
        <v>163</v>
      </c>
      <c r="H464">
        <v>-432</v>
      </c>
      <c r="I464">
        <v>-225</v>
      </c>
      <c r="J464">
        <v>872</v>
      </c>
      <c r="K464">
        <v>7917</v>
      </c>
    </row>
    <row r="465" spans="2:11" x14ac:dyDescent="0.45">
      <c r="B465">
        <v>198</v>
      </c>
      <c r="C465">
        <v>-1526</v>
      </c>
      <c r="D465">
        <v>206</v>
      </c>
      <c r="E465">
        <v>-80</v>
      </c>
      <c r="F465">
        <v>110</v>
      </c>
      <c r="G465">
        <v>-220</v>
      </c>
      <c r="H465">
        <v>27</v>
      </c>
      <c r="I465">
        <v>338</v>
      </c>
      <c r="J465">
        <v>286</v>
      </c>
      <c r="K465">
        <v>437</v>
      </c>
    </row>
    <row r="466" spans="2:11" x14ac:dyDescent="0.45">
      <c r="B466">
        <v>121</v>
      </c>
      <c r="C466">
        <v>-237</v>
      </c>
      <c r="D466">
        <v>-270</v>
      </c>
      <c r="E466">
        <v>-5887</v>
      </c>
      <c r="F466">
        <v>1322</v>
      </c>
      <c r="G466">
        <v>252</v>
      </c>
      <c r="H466">
        <v>203</v>
      </c>
      <c r="I466">
        <v>55</v>
      </c>
      <c r="J466">
        <v>296</v>
      </c>
      <c r="K466">
        <v>-5065</v>
      </c>
    </row>
    <row r="467" spans="2:11" x14ac:dyDescent="0.45">
      <c r="B467">
        <v>156</v>
      </c>
      <c r="C467">
        <v>-5301</v>
      </c>
      <c r="D467">
        <v>1432</v>
      </c>
      <c r="E467">
        <v>-4159</v>
      </c>
      <c r="F467">
        <v>272</v>
      </c>
      <c r="G467">
        <v>-1978</v>
      </c>
      <c r="H467">
        <v>-4</v>
      </c>
      <c r="I467">
        <v>282</v>
      </c>
      <c r="J467">
        <v>-10379</v>
      </c>
      <c r="K467">
        <v>344</v>
      </c>
    </row>
    <row r="468" spans="2:11" x14ac:dyDescent="0.45">
      <c r="B468">
        <v>-460</v>
      </c>
      <c r="C468">
        <v>-384</v>
      </c>
      <c r="D468">
        <v>-81</v>
      </c>
      <c r="E468">
        <v>-176</v>
      </c>
      <c r="F468">
        <v>122</v>
      </c>
      <c r="G468">
        <v>83</v>
      </c>
      <c r="H468">
        <v>-3302</v>
      </c>
      <c r="I468">
        <v>37651</v>
      </c>
      <c r="J468">
        <v>0</v>
      </c>
      <c r="K468">
        <v>9906</v>
      </c>
    </row>
    <row r="469" spans="2:11" x14ac:dyDescent="0.45">
      <c r="B469">
        <v>8179</v>
      </c>
      <c r="C469">
        <v>0</v>
      </c>
      <c r="D469">
        <v>4376</v>
      </c>
      <c r="E469">
        <v>0</v>
      </c>
      <c r="F469">
        <v>14809</v>
      </c>
      <c r="G469">
        <v>0</v>
      </c>
      <c r="H469">
        <v>0</v>
      </c>
      <c r="I469">
        <v>20719</v>
      </c>
      <c r="J469">
        <v>34664</v>
      </c>
      <c r="K469">
        <v>0</v>
      </c>
    </row>
    <row r="470" spans="2:11" x14ac:dyDescent="0.45">
      <c r="B470">
        <v>1334</v>
      </c>
      <c r="C470">
        <v>28840</v>
      </c>
      <c r="D470">
        <v>16597</v>
      </c>
      <c r="E470">
        <v>23322</v>
      </c>
      <c r="F470">
        <v>16262</v>
      </c>
      <c r="G470">
        <v>29149</v>
      </c>
      <c r="H470">
        <v>-271</v>
      </c>
      <c r="I470">
        <v>0</v>
      </c>
      <c r="J470">
        <v>36262</v>
      </c>
      <c r="K470">
        <v>0</v>
      </c>
    </row>
    <row r="471" spans="2:11" x14ac:dyDescent="0.45">
      <c r="B471">
        <v>16662</v>
      </c>
      <c r="C471">
        <v>33193</v>
      </c>
      <c r="D471">
        <v>13337</v>
      </c>
      <c r="E471">
        <v>0</v>
      </c>
      <c r="F471">
        <v>33304</v>
      </c>
      <c r="G471">
        <v>0</v>
      </c>
      <c r="H471">
        <v>205</v>
      </c>
      <c r="I471">
        <v>650</v>
      </c>
      <c r="J471">
        <v>-294</v>
      </c>
      <c r="K471">
        <v>172</v>
      </c>
    </row>
    <row r="472" spans="2:11" x14ac:dyDescent="0.45">
      <c r="B472">
        <v>144</v>
      </c>
      <c r="C472">
        <v>772</v>
      </c>
      <c r="D472">
        <v>-995</v>
      </c>
      <c r="E472">
        <v>-122</v>
      </c>
      <c r="F472">
        <v>144</v>
      </c>
      <c r="G472">
        <v>-134</v>
      </c>
      <c r="H472">
        <v>-290</v>
      </c>
      <c r="I472">
        <v>-628</v>
      </c>
      <c r="J472">
        <v>-564</v>
      </c>
      <c r="K472">
        <v>107</v>
      </c>
    </row>
    <row r="473" spans="2:11" x14ac:dyDescent="0.45">
      <c r="B473">
        <v>-39</v>
      </c>
      <c r="C473">
        <v>-576</v>
      </c>
      <c r="D473">
        <v>-815</v>
      </c>
      <c r="E473">
        <v>414</v>
      </c>
      <c r="F473">
        <v>3067</v>
      </c>
      <c r="G473">
        <v>384</v>
      </c>
      <c r="H473">
        <v>-1056</v>
      </c>
      <c r="I473">
        <v>-732</v>
      </c>
      <c r="J473">
        <v>526</v>
      </c>
      <c r="K473">
        <v>-362</v>
      </c>
    </row>
    <row r="474" spans="2:11" x14ac:dyDescent="0.45">
      <c r="B474">
        <v>-1340</v>
      </c>
      <c r="C474">
        <v>-262</v>
      </c>
      <c r="D474">
        <v>462</v>
      </c>
      <c r="E474">
        <v>389</v>
      </c>
      <c r="F474">
        <v>92</v>
      </c>
      <c r="G474">
        <v>14</v>
      </c>
      <c r="H474">
        <v>-312</v>
      </c>
      <c r="I474">
        <v>-412</v>
      </c>
      <c r="J474">
        <v>-1658</v>
      </c>
      <c r="K474">
        <v>235</v>
      </c>
    </row>
    <row r="475" spans="2:11" x14ac:dyDescent="0.45">
      <c r="B475">
        <v>74</v>
      </c>
      <c r="C475">
        <v>121</v>
      </c>
      <c r="D475">
        <v>266</v>
      </c>
      <c r="E475">
        <v>539</v>
      </c>
      <c r="F475">
        <v>-1369</v>
      </c>
      <c r="G475">
        <v>-77</v>
      </c>
      <c r="H475">
        <v>-1394</v>
      </c>
      <c r="I475">
        <v>246</v>
      </c>
      <c r="J475">
        <v>-1207</v>
      </c>
      <c r="K475">
        <v>-71</v>
      </c>
    </row>
    <row r="476" spans="2:11" x14ac:dyDescent="0.45">
      <c r="B476">
        <v>-449</v>
      </c>
      <c r="C476">
        <v>-123</v>
      </c>
      <c r="D476">
        <v>-92</v>
      </c>
      <c r="E476">
        <v>-2711</v>
      </c>
      <c r="F476">
        <v>-189</v>
      </c>
      <c r="G476">
        <v>-1252</v>
      </c>
      <c r="H476">
        <v>1466</v>
      </c>
      <c r="I476">
        <v>-6873</v>
      </c>
      <c r="J476">
        <v>3673</v>
      </c>
      <c r="K476">
        <v>5496</v>
      </c>
    </row>
    <row r="477" spans="2:11" x14ac:dyDescent="0.45">
      <c r="B477">
        <v>29</v>
      </c>
      <c r="C477">
        <v>-11229</v>
      </c>
      <c r="D477">
        <v>9630</v>
      </c>
      <c r="E477">
        <v>0</v>
      </c>
      <c r="F477">
        <v>2558</v>
      </c>
      <c r="G477">
        <v>2087</v>
      </c>
      <c r="H477">
        <v>0</v>
      </c>
      <c r="I477">
        <v>1099</v>
      </c>
      <c r="J477">
        <v>0</v>
      </c>
      <c r="K477">
        <v>3740</v>
      </c>
    </row>
    <row r="478" spans="2:11" x14ac:dyDescent="0.45">
      <c r="B478">
        <v>0</v>
      </c>
      <c r="C478">
        <v>0</v>
      </c>
      <c r="D478">
        <v>5261</v>
      </c>
      <c r="E478">
        <v>8850</v>
      </c>
      <c r="F478">
        <v>0</v>
      </c>
      <c r="G478">
        <v>346</v>
      </c>
      <c r="H478">
        <v>7374</v>
      </c>
      <c r="I478">
        <v>4241</v>
      </c>
      <c r="J478">
        <v>5968</v>
      </c>
      <c r="K478">
        <v>4194</v>
      </c>
    </row>
    <row r="479" spans="2:11" x14ac:dyDescent="0.45">
      <c r="B479">
        <v>7450</v>
      </c>
      <c r="C479">
        <v>-33</v>
      </c>
      <c r="D479">
        <v>0</v>
      </c>
      <c r="E479">
        <v>9275</v>
      </c>
      <c r="F479">
        <v>0</v>
      </c>
      <c r="G479">
        <v>4268</v>
      </c>
      <c r="H479">
        <v>8487</v>
      </c>
      <c r="I479">
        <v>3400</v>
      </c>
      <c r="J479">
        <v>0</v>
      </c>
      <c r="K479">
        <v>8144</v>
      </c>
    </row>
    <row r="480" spans="2:11" x14ac:dyDescent="0.45">
      <c r="B480">
        <v>3618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</row>
    <row r="481" spans="2:11" x14ac:dyDescent="0.45"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</row>
    <row r="482" spans="2:11" x14ac:dyDescent="0.45"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</row>
    <row r="483" spans="2:11" x14ac:dyDescent="0.45"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</row>
    <row r="484" spans="2:11" x14ac:dyDescent="0.45"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</row>
    <row r="485" spans="2:11" x14ac:dyDescent="0.45"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</row>
    <row r="486" spans="2:11" x14ac:dyDescent="0.45"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</row>
    <row r="487" spans="2:11" x14ac:dyDescent="0.45"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</row>
    <row r="488" spans="2:11" x14ac:dyDescent="0.45"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</row>
    <row r="489" spans="2:11" x14ac:dyDescent="0.45"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4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-318</v>
      </c>
      <c r="J497">
        <v>346</v>
      </c>
      <c r="K497">
        <v>-109</v>
      </c>
    </row>
    <row r="498" spans="2:11" x14ac:dyDescent="0.45">
      <c r="B498">
        <v>-172</v>
      </c>
      <c r="C498">
        <v>367</v>
      </c>
      <c r="D498">
        <v>278</v>
      </c>
      <c r="E498">
        <v>-1128</v>
      </c>
      <c r="F498">
        <v>-398</v>
      </c>
      <c r="G498">
        <v>767</v>
      </c>
      <c r="H498">
        <v>151</v>
      </c>
      <c r="I498">
        <v>-367</v>
      </c>
      <c r="J498">
        <v>110</v>
      </c>
      <c r="K498">
        <v>-277</v>
      </c>
    </row>
    <row r="499" spans="2:11" x14ac:dyDescent="0.45">
      <c r="B499">
        <v>106</v>
      </c>
      <c r="C499">
        <v>-601</v>
      </c>
      <c r="D499">
        <v>-266</v>
      </c>
      <c r="E499">
        <v>-424</v>
      </c>
      <c r="F499">
        <v>510</v>
      </c>
      <c r="G499">
        <v>6929</v>
      </c>
      <c r="H499">
        <v>462</v>
      </c>
      <c r="I499">
        <v>-1304</v>
      </c>
      <c r="J499">
        <v>325</v>
      </c>
      <c r="K499">
        <v>-514</v>
      </c>
    </row>
    <row r="500" spans="2:11" x14ac:dyDescent="0.45">
      <c r="B500">
        <v>615</v>
      </c>
      <c r="C500">
        <v>-1661</v>
      </c>
      <c r="D500">
        <v>-1467</v>
      </c>
      <c r="E500">
        <v>1402</v>
      </c>
      <c r="F500">
        <v>995</v>
      </c>
      <c r="G500">
        <v>331</v>
      </c>
      <c r="H500">
        <v>213</v>
      </c>
      <c r="I500">
        <v>-210</v>
      </c>
      <c r="J500">
        <v>-1726</v>
      </c>
      <c r="K500">
        <v>-5145</v>
      </c>
    </row>
    <row r="501" spans="2:11" x14ac:dyDescent="0.45">
      <c r="B501">
        <v>1167</v>
      </c>
      <c r="C501">
        <v>193</v>
      </c>
      <c r="D501">
        <v>132</v>
      </c>
      <c r="E501">
        <v>256</v>
      </c>
      <c r="F501">
        <v>715</v>
      </c>
      <c r="G501">
        <v>-4365</v>
      </c>
      <c r="H501">
        <v>86</v>
      </c>
      <c r="I501">
        <v>-4583</v>
      </c>
      <c r="J501">
        <v>1215</v>
      </c>
      <c r="K501">
        <v>-3598</v>
      </c>
    </row>
    <row r="502" spans="2:11" x14ac:dyDescent="0.45">
      <c r="B502">
        <v>211</v>
      </c>
      <c r="C502">
        <v>-1752</v>
      </c>
      <c r="D502">
        <v>-107</v>
      </c>
      <c r="E502">
        <v>63</v>
      </c>
      <c r="F502">
        <v>-9005</v>
      </c>
      <c r="G502">
        <v>-415</v>
      </c>
      <c r="H502">
        <v>-3978</v>
      </c>
      <c r="I502">
        <v>1067</v>
      </c>
      <c r="J502">
        <v>2719</v>
      </c>
      <c r="K502">
        <v>-1625</v>
      </c>
    </row>
    <row r="503" spans="2:11" x14ac:dyDescent="0.45">
      <c r="B503">
        <v>6912</v>
      </c>
      <c r="C503">
        <v>-4275</v>
      </c>
      <c r="D503">
        <v>-510</v>
      </c>
      <c r="E503">
        <v>32521</v>
      </c>
      <c r="F503">
        <v>0</v>
      </c>
      <c r="G503">
        <v>8578</v>
      </c>
      <c r="H503">
        <v>7034</v>
      </c>
      <c r="I503">
        <v>0</v>
      </c>
      <c r="J503">
        <v>3772</v>
      </c>
      <c r="K503">
        <v>0</v>
      </c>
    </row>
    <row r="504" spans="2:11" x14ac:dyDescent="0.45">
      <c r="B504">
        <v>12780</v>
      </c>
      <c r="C504">
        <v>0</v>
      </c>
      <c r="D504">
        <v>0</v>
      </c>
      <c r="E504">
        <v>17886</v>
      </c>
      <c r="F504">
        <v>29951</v>
      </c>
      <c r="G504">
        <v>0</v>
      </c>
      <c r="H504">
        <v>1151</v>
      </c>
      <c r="I504">
        <v>24925</v>
      </c>
      <c r="J504">
        <v>14341</v>
      </c>
      <c r="K504">
        <v>20181</v>
      </c>
    </row>
    <row r="505" spans="2:11" x14ac:dyDescent="0.45">
      <c r="B505">
        <v>14052</v>
      </c>
      <c r="C505">
        <v>25188</v>
      </c>
      <c r="D505">
        <v>-202</v>
      </c>
      <c r="E505">
        <v>0</v>
      </c>
      <c r="F505">
        <v>31333</v>
      </c>
      <c r="G505">
        <v>0</v>
      </c>
      <c r="H505">
        <v>14389</v>
      </c>
      <c r="I505">
        <v>28675</v>
      </c>
      <c r="J505">
        <v>11515</v>
      </c>
      <c r="K505">
        <v>0</v>
      </c>
    </row>
    <row r="506" spans="2:11" x14ac:dyDescent="0.45">
      <c r="B506">
        <v>27542</v>
      </c>
      <c r="C506">
        <v>12250</v>
      </c>
      <c r="D506">
        <v>22197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4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173</v>
      </c>
      <c r="I515">
        <v>1052</v>
      </c>
      <c r="J515">
        <v>-361</v>
      </c>
      <c r="K515">
        <v>53</v>
      </c>
    </row>
    <row r="516" spans="2:11" x14ac:dyDescent="0.45">
      <c r="B516">
        <v>425</v>
      </c>
      <c r="C516">
        <v>758</v>
      </c>
      <c r="D516">
        <v>-1225</v>
      </c>
      <c r="E516">
        <v>-566</v>
      </c>
      <c r="F516">
        <v>-437</v>
      </c>
      <c r="G516">
        <v>5</v>
      </c>
      <c r="H516">
        <v>-341</v>
      </c>
      <c r="I516">
        <v>-854</v>
      </c>
      <c r="J516">
        <v>-114</v>
      </c>
      <c r="K516">
        <v>158</v>
      </c>
    </row>
    <row r="517" spans="2:11" x14ac:dyDescent="0.45">
      <c r="B517">
        <v>-225</v>
      </c>
      <c r="C517">
        <v>-438</v>
      </c>
      <c r="D517">
        <v>-1011</v>
      </c>
      <c r="E517">
        <v>-26</v>
      </c>
      <c r="F517">
        <v>6540</v>
      </c>
      <c r="G517">
        <v>56</v>
      </c>
      <c r="H517">
        <v>-744</v>
      </c>
      <c r="I517">
        <v>-377</v>
      </c>
      <c r="J517">
        <v>37</v>
      </c>
      <c r="K517">
        <v>166</v>
      </c>
    </row>
    <row r="518" spans="2:11" x14ac:dyDescent="0.45">
      <c r="B518">
        <v>-4448</v>
      </c>
      <c r="C518">
        <v>-77</v>
      </c>
      <c r="D518">
        <v>471</v>
      </c>
      <c r="E518">
        <v>696</v>
      </c>
      <c r="F518">
        <v>49</v>
      </c>
      <c r="G518">
        <v>-214</v>
      </c>
      <c r="H518">
        <v>-472</v>
      </c>
      <c r="I518">
        <v>-1414</v>
      </c>
      <c r="J518">
        <v>-3650</v>
      </c>
      <c r="K518">
        <v>554</v>
      </c>
    </row>
    <row r="519" spans="2:11" x14ac:dyDescent="0.45">
      <c r="B519">
        <v>75</v>
      </c>
      <c r="C519">
        <v>115</v>
      </c>
      <c r="D519">
        <v>529</v>
      </c>
      <c r="E519">
        <v>1013</v>
      </c>
      <c r="F519">
        <v>-3117</v>
      </c>
      <c r="G519">
        <v>-117</v>
      </c>
      <c r="H519">
        <v>-3237</v>
      </c>
      <c r="I519">
        <v>667</v>
      </c>
      <c r="J519">
        <v>-2688</v>
      </c>
      <c r="K519">
        <v>-62</v>
      </c>
    </row>
    <row r="520" spans="2:11" x14ac:dyDescent="0.45">
      <c r="B520">
        <v>-1083</v>
      </c>
      <c r="C520">
        <v>-230</v>
      </c>
      <c r="D520">
        <v>-103</v>
      </c>
      <c r="E520">
        <v>-6170</v>
      </c>
      <c r="F520">
        <v>-525</v>
      </c>
      <c r="G520">
        <v>-2872</v>
      </c>
      <c r="H520">
        <v>2925</v>
      </c>
      <c r="I520">
        <v>6574</v>
      </c>
      <c r="J520">
        <v>3200</v>
      </c>
      <c r="K520">
        <v>10754</v>
      </c>
    </row>
    <row r="521" spans="2:11" x14ac:dyDescent="0.45">
      <c r="B521">
        <v>7306</v>
      </c>
      <c r="C521">
        <v>-47740</v>
      </c>
      <c r="D521">
        <v>22023</v>
      </c>
      <c r="E521">
        <v>0</v>
      </c>
      <c r="F521">
        <v>5830</v>
      </c>
      <c r="G521">
        <v>4763</v>
      </c>
      <c r="H521">
        <v>0</v>
      </c>
      <c r="I521">
        <v>2503</v>
      </c>
      <c r="J521">
        <v>0</v>
      </c>
      <c r="K521">
        <v>8572</v>
      </c>
    </row>
    <row r="522" spans="2:11" x14ac:dyDescent="0.45">
      <c r="B522">
        <v>0</v>
      </c>
      <c r="C522">
        <v>0</v>
      </c>
      <c r="D522">
        <v>12056</v>
      </c>
      <c r="E522">
        <v>20241</v>
      </c>
      <c r="F522">
        <v>0</v>
      </c>
      <c r="G522">
        <v>794</v>
      </c>
      <c r="H522">
        <v>16852</v>
      </c>
      <c r="I522">
        <v>9697</v>
      </c>
      <c r="J522">
        <v>13647</v>
      </c>
      <c r="K522">
        <v>9557</v>
      </c>
    </row>
    <row r="523" spans="2:11" x14ac:dyDescent="0.45">
      <c r="B523">
        <v>17035</v>
      </c>
      <c r="C523">
        <v>-104</v>
      </c>
      <c r="D523">
        <v>0</v>
      </c>
      <c r="E523">
        <v>21198</v>
      </c>
      <c r="F523">
        <v>0</v>
      </c>
      <c r="G523">
        <v>9732</v>
      </c>
      <c r="H523">
        <v>19420</v>
      </c>
      <c r="I523">
        <v>7785</v>
      </c>
      <c r="J523">
        <v>0</v>
      </c>
      <c r="K523">
        <v>18605</v>
      </c>
    </row>
    <row r="524" spans="2:11" x14ac:dyDescent="0.45">
      <c r="B524">
        <v>8280</v>
      </c>
      <c r="C524">
        <v>39570</v>
      </c>
      <c r="D524">
        <v>0</v>
      </c>
      <c r="E524">
        <v>0</v>
      </c>
      <c r="F524">
        <v>47738</v>
      </c>
      <c r="G524">
        <v>0</v>
      </c>
    </row>
  </sheetData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50"/>
  </sheetPr>
  <dimension ref="C1:AA94"/>
  <sheetViews>
    <sheetView tabSelected="1" workbookViewId="0">
      <selection activeCell="T22" sqref="T22"/>
    </sheetView>
  </sheetViews>
  <sheetFormatPr defaultRowHeight="14.25" x14ac:dyDescent="0.45"/>
  <cols>
    <col min="7" max="13" customWidth="true" hidden="true" width="0.0" collapsed="true"/>
    <col min="15" max="15" bestFit="true" customWidth="true" width="11.265625" collapsed="true"/>
    <col min="16" max="16" bestFit="true" customWidth="true" width="9.3984375" collapsed="true"/>
    <col min="17" max="17" bestFit="true" customWidth="true" width="10.3984375" collapsed="true"/>
    <col min="23" max="23" customWidth="true" width="11.59765625" collapsed="true"/>
    <col min="25" max="25" customWidth="true" width="17.265625" collapsed="true"/>
  </cols>
  <sheetData>
    <row r="1" spans="3:26" x14ac:dyDescent="0.45">
      <c r="V1" s="34" t="s">
        <v>176</v>
      </c>
    </row>
    <row r="2" spans="3:26" x14ac:dyDescent="0.45">
      <c r="X2" s="35" t="s">
        <v>173</v>
      </c>
      <c r="Y2" s="35" t="s">
        <v>174</v>
      </c>
      <c r="Z2" s="35" t="s">
        <v>175</v>
      </c>
    </row>
    <row r="3" spans="3:26" x14ac:dyDescent="0.45">
      <c r="C3" s="26"/>
      <c r="D3" s="74" t="s">
        <v>23</v>
      </c>
      <c r="E3" s="75"/>
      <c r="F3" s="76"/>
      <c r="G3" s="74" t="s">
        <v>51</v>
      </c>
      <c r="H3" s="75"/>
      <c r="I3" s="76"/>
      <c r="J3" s="72" t="s">
        <v>52</v>
      </c>
      <c r="K3" s="73"/>
      <c r="L3" s="72" t="s">
        <v>54</v>
      </c>
      <c r="M3" s="73"/>
      <c r="V3">
        <f>IntermediateStopLocation!B11</f>
        <v>1</v>
      </c>
      <c r="W3" t="str">
        <f>IntermediateStopLocation!C11</f>
        <v>Beta00001</v>
      </c>
      <c r="X3">
        <f>IntermediateStopLocation!E11</f>
        <v>1</v>
      </c>
      <c r="Y3" s="36">
        <f>_xlfn.IFNA(VLOOKUP(V3,$O$5:$Q$12,3,FALSE),X3)</f>
        <v>1</v>
      </c>
      <c r="Z3">
        <f>IF(X3=Y3,0,1)</f>
        <v>0</v>
      </c>
    </row>
    <row r="4" spans="3:26" x14ac:dyDescent="0.45">
      <c r="C4" s="28" t="s">
        <v>40</v>
      </c>
      <c r="D4" s="57" t="s">
        <v>17</v>
      </c>
      <c r="E4" s="38" t="s">
        <v>183</v>
      </c>
      <c r="F4" s="63" t="s">
        <v>177</v>
      </c>
      <c r="G4" s="50" t="s">
        <v>17</v>
      </c>
      <c r="H4" s="28" t="s">
        <v>13</v>
      </c>
      <c r="I4" s="38" t="s">
        <v>177</v>
      </c>
      <c r="J4" s="57" t="s">
        <v>24</v>
      </c>
      <c r="K4" s="38" t="s">
        <v>53</v>
      </c>
      <c r="L4" s="57" t="s">
        <v>24</v>
      </c>
      <c r="M4" s="38" t="s">
        <v>53</v>
      </c>
      <c r="O4" s="40" t="s">
        <v>178</v>
      </c>
      <c r="P4" s="40" t="s">
        <v>179</v>
      </c>
      <c r="Q4" s="40" t="s">
        <v>180</v>
      </c>
      <c r="R4" s="48" t="s">
        <v>181</v>
      </c>
      <c r="V4">
        <f>IntermediateStopLocation!B12</f>
        <v>2</v>
      </c>
      <c r="W4" t="str">
        <f>IntermediateStopLocation!C12</f>
        <v>Beta00002</v>
      </c>
      <c r="X4">
        <f>IntermediateStopLocation!E12</f>
        <v>2.9350804192700002</v>
      </c>
      <c r="Y4" s="36">
        <f ref="Y4:Y67" si="0" t="shared">_xlfn.IFNA(VLOOKUP(V4,$O$5:$Q$12,3,FALSE),X4)</f>
        <v>2.9350804192700002</v>
      </c>
      <c r="Z4">
        <f ref="Z4:Z67" si="1" t="shared">IF(X4=Y4,0,1)</f>
        <v>0</v>
      </c>
    </row>
    <row r="5" spans="3:26" x14ac:dyDescent="0.45">
      <c r="C5" s="26" t="str">
        <f>TLFD_Home!S10</f>
        <v>Home</v>
      </c>
      <c r="D5" s="51">
        <f>TLFD_Home!V10</f>
        <v>7.5236284394369513</v>
      </c>
      <c r="E5" s="37">
        <f>TLFD_Home!Z10</f>
        <v>7.4823969753212678</v>
      </c>
      <c r="F5" s="64">
        <f>(E5-D5)/D5</f>
        <v>-5.4802632064548254E-3</v>
      </c>
      <c r="G5" s="51">
        <f>TDFD_Home!V10</f>
        <v>16.538355638990605</v>
      </c>
      <c r="H5" s="37">
        <f>TDFD_Home!Z10</f>
        <v>18.390084220481153</v>
      </c>
      <c r="I5" s="52">
        <f>(H5-G5)/G5</f>
        <v>0.11196570093854659</v>
      </c>
      <c r="J5" s="58">
        <f>D5/E5</f>
        <v>1.0055104619885411</v>
      </c>
      <c r="K5" s="59">
        <f>G5/H5</f>
        <v>0.89930831423663271</v>
      </c>
      <c r="L5" s="68">
        <f>LN(J5)</f>
        <v>5.4953349387887101E-3</v>
      </c>
      <c r="M5" s="69">
        <f>LN(K5)</f>
        <v>-0.10612935087296559</v>
      </c>
      <c r="O5" s="42"/>
      <c r="P5" s="42"/>
      <c r="Q5" s="42"/>
      <c r="V5">
        <f>IntermediateStopLocation!B13</f>
        <v>3</v>
      </c>
      <c r="W5" t="str">
        <f>IntermediateStopLocation!C13</f>
        <v>Beta00003</v>
      </c>
      <c r="X5">
        <f>IntermediateStopLocation!E13</f>
        <v>-14.319444362900001</v>
      </c>
      <c r="Y5" s="36">
        <f si="0" t="shared"/>
        <v>-14.319444362900001</v>
      </c>
      <c r="Z5">
        <f si="1" t="shared"/>
        <v>0</v>
      </c>
    </row>
    <row r="6" spans="3:26" x14ac:dyDescent="0.45">
      <c r="C6" s="26" t="str">
        <f>TLFD_Home!S11</f>
        <v>Work</v>
      </c>
      <c r="D6" s="51">
        <f>TLFD_Home!V11</f>
        <v>9.9279280774365439</v>
      </c>
      <c r="E6" s="37">
        <f>TLFD_Home!Z11</f>
        <v>8.931558538831764</v>
      </c>
      <c r="F6" s="64">
        <f ref="F6:F13" si="2" t="shared">(E6-D6)/D6</f>
        <v>-0.10036026961851734</v>
      </c>
      <c r="G6" s="51">
        <f>TDFD_Home!V11</f>
        <v>21.554511888252563</v>
      </c>
      <c r="H6" s="37">
        <f>TDFD_Home!Z11</f>
        <v>22.565065421532839</v>
      </c>
      <c r="I6" s="52">
        <f ref="I6:I13" si="3" t="shared">(H6-G6)/G6</f>
        <v>4.688361947231285E-2</v>
      </c>
      <c r="J6" s="58">
        <f ref="J6:J13" si="4" t="shared">D6/E6</f>
        <v>1.1115560665333897</v>
      </c>
      <c r="K6" s="59">
        <f ref="K6:K13" si="5" t="shared">G6/H6</f>
        <v>0.95521601580131243</v>
      </c>
      <c r="L6" s="68">
        <f ref="L6:L12" si="6" t="shared">LN(J6)</f>
        <v>0.10576089537521982</v>
      </c>
      <c r="M6" s="69">
        <f ref="M6:M12" si="7" t="shared">LN(K6)</f>
        <v>-4.5817769523190346E-2</v>
      </c>
      <c r="O6" s="26">
        <v>32</v>
      </c>
      <c r="P6" s="39">
        <f>IFERROR(VLOOKUP(O6,$V:$X,3,FALSE),0)</f>
        <v>0.73144567554600004</v>
      </c>
      <c r="Q6" s="45">
        <f>P6+(R6*M6)</f>
        <v>0.68562790602280965</v>
      </c>
      <c r="R6" s="47">
        <v>1</v>
      </c>
      <c r="V6">
        <f>IntermediateStopLocation!B14</f>
        <v>4</v>
      </c>
      <c r="W6" t="str">
        <f>IntermediateStopLocation!C14</f>
        <v>Beta00004</v>
      </c>
      <c r="X6">
        <f>IntermediateStopLocation!E14</f>
        <v>14.585498447999999</v>
      </c>
      <c r="Y6" s="36">
        <f si="0" t="shared"/>
        <v>14.585498447999999</v>
      </c>
      <c r="Z6">
        <f si="1" t="shared"/>
        <v>0</v>
      </c>
    </row>
    <row r="7" spans="3:26" x14ac:dyDescent="0.45">
      <c r="C7" s="26" t="str">
        <f>TLFD_Home!S12</f>
        <v>School</v>
      </c>
      <c r="D7" s="51">
        <f>TLFD_Home!V12</f>
        <v>5.2072789452425852</v>
      </c>
      <c r="E7" s="37">
        <f>TLFD_Home!Z12</f>
        <v>5.1619635597198386</v>
      </c>
      <c r="F7" s="64">
        <f si="2" t="shared"/>
        <v>-8.7023157390381661E-3</v>
      </c>
      <c r="G7" s="51">
        <f>TDFD_Home!V12</f>
        <v>12.186191166086456</v>
      </c>
      <c r="H7" s="37">
        <f>TDFD_Home!Z12</f>
        <v>15.412917317873346</v>
      </c>
      <c r="I7" s="52">
        <f si="3" t="shared"/>
        <v>0.26478545328967951</v>
      </c>
      <c r="J7" s="58">
        <f si="4" t="shared"/>
        <v>1.0087787108526598</v>
      </c>
      <c r="K7" s="59">
        <f si="5" t="shared"/>
        <v>0.79064792957495023</v>
      </c>
      <c r="L7" s="68">
        <f si="6" t="shared"/>
        <v>8.7404020087983123E-3</v>
      </c>
      <c r="M7" s="69">
        <f si="7" t="shared"/>
        <v>-0.23490250565286791</v>
      </c>
      <c r="O7" s="42"/>
      <c r="P7" s="43"/>
      <c r="Q7" s="46"/>
      <c r="S7" t="s">
        <v>182</v>
      </c>
      <c r="V7">
        <f>IntermediateStopLocation!B15</f>
        <v>5</v>
      </c>
      <c r="W7" t="str">
        <f>IntermediateStopLocation!C15</f>
        <v>Beta00005</v>
      </c>
      <c r="X7">
        <f>IntermediateStopLocation!E15</f>
        <v>-5.5636156095500002</v>
      </c>
      <c r="Y7" s="36">
        <f si="0" t="shared"/>
        <v>-5.5636156095500002</v>
      </c>
      <c r="Z7">
        <f si="1" t="shared"/>
        <v>0</v>
      </c>
    </row>
    <row r="8" spans="3:26" x14ac:dyDescent="0.45">
      <c r="C8" s="26" t="str">
        <f>TLFD_Home!S13</f>
        <v>Escort</v>
      </c>
      <c r="D8" s="51">
        <f>TLFD_Home!V13</f>
        <v>6.28230794215618</v>
      </c>
      <c r="E8" s="37">
        <f>TLFD_Home!Z13</f>
        <v>5.9886887831969773</v>
      </c>
      <c r="F8" s="64">
        <f si="2" t="shared"/>
        <v>-4.6737466813578127E-2</v>
      </c>
      <c r="G8" s="51">
        <f>TDFD_Home!V13</f>
        <v>14.453182065428113</v>
      </c>
      <c r="H8" s="37">
        <f>TDFD_Home!Z13</f>
        <v>14.970998266130819</v>
      </c>
      <c r="I8" s="52">
        <f si="3" t="shared"/>
        <v>3.5827141618960001E-2</v>
      </c>
      <c r="J8" s="58">
        <f si="4" t="shared"/>
        <v>1.0490289560183921</v>
      </c>
      <c r="K8" s="59">
        <f si="5" t="shared"/>
        <v>0.9654120459105141</v>
      </c>
      <c r="L8" s="68">
        <f si="6" t="shared"/>
        <v>4.7864932482564737E-2</v>
      </c>
      <c r="M8" s="69">
        <f si="7" t="shared"/>
        <v>-3.5200278196844091E-2</v>
      </c>
      <c r="O8" s="26">
        <v>36</v>
      </c>
      <c r="P8" s="39">
        <f ref="P8:P12" si="8" t="shared">IFERROR(VLOOKUP(O8,$V:$X,3,FALSE),0)</f>
        <v>-3.4073728969569999</v>
      </c>
      <c r="Q8" s="45">
        <f ref="Q8:Q12" si="9" t="shared">P8+(R8*M8)</f>
        <v>-3.4425731751538438</v>
      </c>
      <c r="R8" s="47">
        <v>1</v>
      </c>
      <c r="V8">
        <f>IntermediateStopLocation!B16</f>
        <v>6</v>
      </c>
      <c r="W8" t="str">
        <f>IntermediateStopLocation!C16</f>
        <v>Beta00006</v>
      </c>
      <c r="X8">
        <f>IntermediateStopLocation!E16</f>
        <v>-7.52660127576</v>
      </c>
      <c r="Y8" s="36">
        <f si="0" t="shared"/>
        <v>-7.52660127576</v>
      </c>
      <c r="Z8">
        <f si="1" t="shared"/>
        <v>0</v>
      </c>
    </row>
    <row r="9" spans="3:26" x14ac:dyDescent="0.45">
      <c r="C9" s="26" t="str">
        <f>TLFD_Home!S14</f>
        <v>PerBus</v>
      </c>
      <c r="D9" s="51">
        <f>TLFD_Home!V14</f>
        <v>5.6343577157291937</v>
      </c>
      <c r="E9" s="37">
        <f>TLFD_Home!Z14</f>
        <v>5.5129511710556089</v>
      </c>
      <c r="F9" s="64">
        <f si="2" t="shared"/>
        <v>-2.1547539364541832E-2</v>
      </c>
      <c r="G9" s="51">
        <f>TDFD_Home!V14</f>
        <v>13.173427218903585</v>
      </c>
      <c r="H9" s="37">
        <f>TDFD_Home!Z14</f>
        <v>14.394676017207821</v>
      </c>
      <c r="I9" s="52">
        <f si="3" t="shared"/>
        <v>9.270547276807134E-2</v>
      </c>
      <c r="J9" s="58">
        <f si="4" t="shared"/>
        <v>1.0220220605818169</v>
      </c>
      <c r="K9" s="59">
        <f si="5" t="shared"/>
        <v>0.9151596884261709</v>
      </c>
      <c r="L9" s="68">
        <f si="6" t="shared"/>
        <v>2.1783077245038911E-2</v>
      </c>
      <c r="M9" s="69">
        <f si="7" t="shared"/>
        <v>-8.8656706063828042E-2</v>
      </c>
      <c r="O9" s="42"/>
      <c r="P9" s="43"/>
      <c r="Q9" s="46"/>
      <c r="V9">
        <f>IntermediateStopLocation!B17</f>
        <v>7</v>
      </c>
      <c r="W9" t="str">
        <f>IntermediateStopLocation!C17</f>
        <v>Beta00007</v>
      </c>
      <c r="X9">
        <f>IntermediateStopLocation!E17</f>
        <v>9.4837113087999997E-2</v>
      </c>
      <c r="Y9" s="36">
        <f si="0" t="shared"/>
        <v>9.4837113087999997E-2</v>
      </c>
      <c r="Z9">
        <f si="1" t="shared"/>
        <v>0</v>
      </c>
    </row>
    <row r="10" spans="3:26" x14ac:dyDescent="0.45">
      <c r="C10" s="26" t="str">
        <f>TLFD_Home!S15</f>
        <v>Shop</v>
      </c>
      <c r="D10" s="51">
        <f>TLFD_Home!V15</f>
        <v>4.8090784898811325</v>
      </c>
      <c r="E10" s="37">
        <f>TLFD_Home!Z15</f>
        <v>4.5897280975071668</v>
      </c>
      <c r="F10" s="64">
        <f si="2" t="shared"/>
        <v>-4.5611730570732992E-2</v>
      </c>
      <c r="G10" s="51">
        <f>TDFD_Home!V15</f>
        <v>11.79508557496975</v>
      </c>
      <c r="H10" s="37">
        <f>TDFD_Home!Z15</f>
        <v>12.84771806219112</v>
      </c>
      <c r="I10" s="52">
        <f si="3" t="shared"/>
        <v>8.9243310744192672E-2</v>
      </c>
      <c r="J10" s="58">
        <f si="4" t="shared"/>
        <v>1.0477915875873132</v>
      </c>
      <c r="K10" s="59">
        <f si="5" t="shared"/>
        <v>0.91806852531119065</v>
      </c>
      <c r="L10" s="68">
        <f si="6" t="shared"/>
        <v>4.6684699316226284E-2</v>
      </c>
      <c r="M10" s="69">
        <f si="7" t="shared"/>
        <v>-8.5483244839057088E-2</v>
      </c>
      <c r="O10" s="26">
        <v>47</v>
      </c>
      <c r="P10" s="39">
        <f si="8" t="shared"/>
        <v>-3.2310910237949999</v>
      </c>
      <c r="Q10" s="45">
        <f si="9" t="shared"/>
        <v>-3.3165742686340569</v>
      </c>
      <c r="R10" s="47">
        <v>1</v>
      </c>
      <c r="V10">
        <f>IntermediateStopLocation!B18</f>
        <v>8</v>
      </c>
      <c r="W10" t="str">
        <f>IntermediateStopLocation!C18</f>
        <v>Beta00008</v>
      </c>
      <c r="X10">
        <f>IntermediateStopLocation!E18</f>
        <v>0.17818083074400001</v>
      </c>
      <c r="Y10" s="36">
        <f si="0" t="shared"/>
        <v>0.17818083074400001</v>
      </c>
      <c r="Z10">
        <f si="1" t="shared"/>
        <v>0</v>
      </c>
    </row>
    <row r="11" spans="3:26" x14ac:dyDescent="0.45">
      <c r="C11" s="26" t="str">
        <f>TLFD_Home!S16</f>
        <v>Meal</v>
      </c>
      <c r="D11" s="51">
        <f>TLFD_Home!V16</f>
        <v>4.94352974894616</v>
      </c>
      <c r="E11" s="37">
        <f>TLFD_Home!Z16</f>
        <v>4.8701239894685555</v>
      </c>
      <c r="F11" s="64">
        <f si="2" t="shared"/>
        <v>-1.4848855616425256E-2</v>
      </c>
      <c r="G11" s="51">
        <f>TDFD_Home!V16</f>
        <v>12.309186925553982</v>
      </c>
      <c r="H11" s="37">
        <f>TDFD_Home!Z16</f>
        <v>13.097002440903317</v>
      </c>
      <c r="I11" s="52">
        <f si="3" t="shared"/>
        <v>6.4002238337434195E-2</v>
      </c>
      <c r="J11" s="58">
        <f si="4" t="shared"/>
        <v>1.015072667479584</v>
      </c>
      <c r="K11" s="59">
        <f si="5" t="shared"/>
        <v>0.93984764690209543</v>
      </c>
      <c r="L11" s="68">
        <f si="6" t="shared"/>
        <v>1.4960203506997762E-2</v>
      </c>
      <c r="M11" s="69">
        <f si="7" t="shared"/>
        <v>-6.2037494617835871E-2</v>
      </c>
      <c r="O11" s="26">
        <v>50</v>
      </c>
      <c r="P11" s="39">
        <f si="8" t="shared"/>
        <v>-3.6870204875549999</v>
      </c>
      <c r="Q11" s="45">
        <f si="9" t="shared"/>
        <v>-3.7490579821728356</v>
      </c>
      <c r="R11" s="47">
        <v>1</v>
      </c>
      <c r="V11">
        <f>IntermediateStopLocation!B19</f>
        <v>9</v>
      </c>
      <c r="W11" t="str">
        <f>IntermediateStopLocation!C19</f>
        <v>Beta00009</v>
      </c>
      <c r="X11">
        <f>IntermediateStopLocation!E19</f>
        <v>0.50974897639700001</v>
      </c>
      <c r="Y11" s="36">
        <f si="0" t="shared"/>
        <v>0.50974897639700001</v>
      </c>
      <c r="Z11">
        <f si="1" t="shared"/>
        <v>0</v>
      </c>
    </row>
    <row r="12" spans="3:26" x14ac:dyDescent="0.45">
      <c r="C12" s="28" t="str">
        <f>TLFD_Home!S17</f>
        <v>SocRec</v>
      </c>
      <c r="D12" s="53">
        <f>TLFD_Home!V17</f>
        <v>6.507052184410715</v>
      </c>
      <c r="E12" s="29">
        <f>TLFD_Home!Z17</f>
        <v>5.4981846696413568</v>
      </c>
      <c r="F12" s="65">
        <f si="2" t="shared"/>
        <v>-0.15504217365681419</v>
      </c>
      <c r="G12" s="53">
        <f>TDFD_Home!V17</f>
        <v>14.604793396229555</v>
      </c>
      <c r="H12" s="29">
        <f>TDFD_Home!Z17</f>
        <v>14.253454861249471</v>
      </c>
      <c r="I12" s="44">
        <f si="3" t="shared"/>
        <v>-2.4056385150288177E-2</v>
      </c>
      <c r="J12" s="60">
        <f si="4" t="shared"/>
        <v>1.183491020288914</v>
      </c>
      <c r="K12" s="49">
        <f si="5" t="shared"/>
        <v>1.0246493596394837</v>
      </c>
      <c r="L12" s="70">
        <f si="6" t="shared"/>
        <v>0.16846856252352588</v>
      </c>
      <c r="M12" s="71">
        <f si="7" t="shared"/>
        <v>2.4350465908269125E-2</v>
      </c>
      <c r="O12" s="28">
        <v>52</v>
      </c>
      <c r="P12" s="41">
        <f si="8" t="shared"/>
        <v>-1.9846514120350001</v>
      </c>
      <c r="Q12" s="41">
        <f si="9" t="shared"/>
        <v>-1.9603009461267309</v>
      </c>
      <c r="R12" s="47">
        <v>1</v>
      </c>
      <c r="V12">
        <f>IntermediateStopLocation!B20</f>
        <v>10</v>
      </c>
      <c r="W12" t="str">
        <f>IntermediateStopLocation!C20</f>
        <v>Beta00010</v>
      </c>
      <c r="X12">
        <f>IntermediateStopLocation!E20</f>
        <v>-1.0397429335399999</v>
      </c>
      <c r="Y12" s="36">
        <f si="0" t="shared"/>
        <v>-1.0397429335399999</v>
      </c>
      <c r="Z12">
        <f si="1" t="shared"/>
        <v>0</v>
      </c>
    </row>
    <row r="13" spans="3:26" x14ac:dyDescent="0.45">
      <c r="C13" s="27" t="s">
        <v>50</v>
      </c>
      <c r="D13" s="54">
        <f>TLFD_Home!V19</f>
        <v>7.0874656003646761</v>
      </c>
      <c r="E13" s="55">
        <f>TLFD_Home!Z19</f>
        <v>6.7456203278751454</v>
      </c>
      <c r="F13" s="66">
        <f si="2" t="shared"/>
        <v>-4.8232371310830982E-2</v>
      </c>
      <c r="G13" s="54">
        <f>TDFD_Home!V19</f>
        <v>15.925960608060683</v>
      </c>
      <c r="H13" s="55">
        <f>TDFD_Home!Z19</f>
        <v>17.193541080996745</v>
      </c>
      <c r="I13" s="56">
        <f si="3" t="shared"/>
        <v>7.9592088925204044E-2</v>
      </c>
      <c r="J13" s="61">
        <f si="4" t="shared"/>
        <v>1.050676625109912</v>
      </c>
      <c r="K13" s="62">
        <f si="5" t="shared"/>
        <v>0.92627577606238065</v>
      </c>
      <c r="L13" s="67"/>
      <c r="M13" s="27"/>
      <c r="O13" s="26"/>
      <c r="P13" s="26"/>
      <c r="Q13" s="26"/>
      <c r="V13">
        <f>IntermediateStopLocation!B21</f>
        <v>11</v>
      </c>
      <c r="W13" t="str">
        <f>IntermediateStopLocation!C21</f>
        <v>Beta00011</v>
      </c>
      <c r="X13">
        <f>IntermediateStopLocation!E21</f>
        <v>0.56811945167400002</v>
      </c>
      <c r="Y13" s="36">
        <f si="0" t="shared"/>
        <v>0.56811945167400002</v>
      </c>
      <c r="Z13">
        <f si="1" t="shared"/>
        <v>0</v>
      </c>
    </row>
    <row r="14" spans="3:26" x14ac:dyDescent="0.45">
      <c r="V14">
        <f>IntermediateStopLocation!B22</f>
        <v>12</v>
      </c>
      <c r="W14" t="str">
        <f>IntermediateStopLocation!C22</f>
        <v>Beta00012</v>
      </c>
      <c r="X14">
        <f>IntermediateStopLocation!E22</f>
        <v>-0.92852692218099997</v>
      </c>
      <c r="Y14" s="36">
        <f si="0" t="shared"/>
        <v>-0.92852692218099997</v>
      </c>
      <c r="Z14">
        <f si="1" t="shared"/>
        <v>0</v>
      </c>
    </row>
    <row r="15" spans="3:26" x14ac:dyDescent="0.45">
      <c r="V15">
        <f>IntermediateStopLocation!B23</f>
        <v>13</v>
      </c>
      <c r="W15" t="str">
        <f>IntermediateStopLocation!C23</f>
        <v>Beta00013</v>
      </c>
      <c r="X15">
        <f>IntermediateStopLocation!E23</f>
        <v>-0.70424501077900004</v>
      </c>
      <c r="Y15" s="36">
        <f si="0" t="shared"/>
        <v>-0.70424501077900004</v>
      </c>
      <c r="Z15">
        <f si="1" t="shared"/>
        <v>0</v>
      </c>
    </row>
    <row r="16" spans="3:26" x14ac:dyDescent="0.45">
      <c r="V16">
        <f>IntermediateStopLocation!B24</f>
        <v>14</v>
      </c>
      <c r="W16" t="str">
        <f>IntermediateStopLocation!C24</f>
        <v>Beta00014</v>
      </c>
      <c r="X16">
        <f>IntermediateStopLocation!E24</f>
        <v>6.9775504949999997E-2</v>
      </c>
      <c r="Y16" s="36">
        <f si="0" t="shared"/>
        <v>6.9775504949999997E-2</v>
      </c>
      <c r="Z16">
        <f si="1" t="shared"/>
        <v>0</v>
      </c>
    </row>
    <row r="17" spans="22:26" x14ac:dyDescent="0.45">
      <c r="V17">
        <f>IntermediateStopLocation!B25</f>
        <v>15</v>
      </c>
      <c r="W17" t="str">
        <f>IntermediateStopLocation!C25</f>
        <v>Beta00015</v>
      </c>
      <c r="X17">
        <f>IntermediateStopLocation!E25</f>
        <v>-0.19226153700900001</v>
      </c>
      <c r="Y17" s="36">
        <f si="0" t="shared"/>
        <v>-0.19226153700900001</v>
      </c>
      <c r="Z17">
        <f si="1" t="shared"/>
        <v>0</v>
      </c>
    </row>
    <row r="18" spans="22:26" x14ac:dyDescent="0.45">
      <c r="V18">
        <f>IntermediateStopLocation!B26</f>
        <v>16</v>
      </c>
      <c r="W18" t="str">
        <f>IntermediateStopLocation!C26</f>
        <v>Beta00016</v>
      </c>
      <c r="X18">
        <f>IntermediateStopLocation!E26</f>
        <v>3.9238502520000003E-2</v>
      </c>
      <c r="Y18" s="36">
        <f si="0" t="shared"/>
        <v>3.9238502520000003E-2</v>
      </c>
      <c r="Z18">
        <f si="1" t="shared"/>
        <v>0</v>
      </c>
    </row>
    <row r="19" spans="22:26" x14ac:dyDescent="0.45">
      <c r="V19">
        <f>IntermediateStopLocation!B27</f>
        <v>17</v>
      </c>
      <c r="W19" t="str">
        <f>IntermediateStopLocation!C27</f>
        <v>Beta00017</v>
      </c>
      <c r="X19">
        <f>IntermediateStopLocation!E27</f>
        <v>7.6045893387000005E-2</v>
      </c>
      <c r="Y19" s="36">
        <f si="0" t="shared"/>
        <v>7.6045893387000005E-2</v>
      </c>
      <c r="Z19">
        <f si="1" t="shared"/>
        <v>0</v>
      </c>
    </row>
    <row r="20" spans="22:26" x14ac:dyDescent="0.45">
      <c r="V20">
        <f>IntermediateStopLocation!B28</f>
        <v>18</v>
      </c>
      <c r="W20" t="str">
        <f>IntermediateStopLocation!C28</f>
        <v>Beta00018</v>
      </c>
      <c r="X20">
        <f>IntermediateStopLocation!E28</f>
        <v>4.4787027001999997E-2</v>
      </c>
      <c r="Y20" s="36">
        <f si="0" t="shared"/>
        <v>4.4787027001999997E-2</v>
      </c>
      <c r="Z20">
        <f si="1" t="shared"/>
        <v>0</v>
      </c>
    </row>
    <row r="21" spans="22:26" x14ac:dyDescent="0.45">
      <c r="V21">
        <f>IntermediateStopLocation!B29</f>
        <v>19</v>
      </c>
      <c r="W21" t="str">
        <f>IntermediateStopLocation!C29</f>
        <v>Beta00019</v>
      </c>
      <c r="X21">
        <f>IntermediateStopLocation!E29</f>
        <v>-7.7217226816000004E-2</v>
      </c>
      <c r="Y21" s="36">
        <f si="0" t="shared"/>
        <v>-7.7217226816000004E-2</v>
      </c>
      <c r="Z21">
        <f si="1" t="shared"/>
        <v>0</v>
      </c>
    </row>
    <row r="22" spans="22:26" x14ac:dyDescent="0.45">
      <c r="V22">
        <f>IntermediateStopLocation!B30</f>
        <v>20</v>
      </c>
      <c r="W22" t="str">
        <f>IntermediateStopLocation!C30</f>
        <v>Beta00020</v>
      </c>
      <c r="X22">
        <f>IntermediateStopLocation!E30</f>
        <v>-8.7375606849999995E-3</v>
      </c>
      <c r="Y22" s="36">
        <f si="0" t="shared"/>
        <v>-8.7375606849999995E-3</v>
      </c>
      <c r="Z22">
        <f si="1" t="shared"/>
        <v>0</v>
      </c>
    </row>
    <row r="23" spans="22:26" x14ac:dyDescent="0.45">
      <c r="V23">
        <f>IntermediateStopLocation!B31</f>
        <v>21</v>
      </c>
      <c r="W23" t="str">
        <f>IntermediateStopLocation!C31</f>
        <v>Beta00021</v>
      </c>
      <c r="X23">
        <f>IntermediateStopLocation!E31</f>
        <v>-0.54271296189899998</v>
      </c>
      <c r="Y23" s="36">
        <f si="0" t="shared"/>
        <v>-0.54271296189899998</v>
      </c>
      <c r="Z23">
        <f si="1" t="shared"/>
        <v>0</v>
      </c>
    </row>
    <row r="24" spans="22:26" x14ac:dyDescent="0.45">
      <c r="V24">
        <f>IntermediateStopLocation!B32</f>
        <v>22</v>
      </c>
      <c r="W24" t="str">
        <f>IntermediateStopLocation!C32</f>
        <v>Beta00022</v>
      </c>
      <c r="X24">
        <f>IntermediateStopLocation!E32</f>
        <v>0.94721172717000002</v>
      </c>
      <c r="Y24" s="36">
        <f si="0" t="shared"/>
        <v>0.94721172717000002</v>
      </c>
      <c r="Z24">
        <f si="1" t="shared"/>
        <v>0</v>
      </c>
    </row>
    <row r="25" spans="22:26" x14ac:dyDescent="0.45">
      <c r="V25">
        <f>IntermediateStopLocation!B33</f>
        <v>23</v>
      </c>
      <c r="W25" t="str">
        <f>IntermediateStopLocation!C33</f>
        <v>Beta00023</v>
      </c>
      <c r="X25">
        <f>IntermediateStopLocation!E33</f>
        <v>3.7300906574199999</v>
      </c>
      <c r="Y25" s="36">
        <f si="0" t="shared"/>
        <v>3.7300906574199999</v>
      </c>
      <c r="Z25">
        <f si="1" t="shared"/>
        <v>0</v>
      </c>
    </row>
    <row r="26" spans="22:26" x14ac:dyDescent="0.45">
      <c r="V26">
        <f>IntermediateStopLocation!B34</f>
        <v>24</v>
      </c>
      <c r="W26" t="str">
        <f>IntermediateStopLocation!C34</f>
        <v>Beta00024</v>
      </c>
      <c r="X26">
        <f>IntermediateStopLocation!E34</f>
        <v>-4.1537538241799998</v>
      </c>
      <c r="Y26" s="36">
        <f si="0" t="shared"/>
        <v>-4.1537538241799998</v>
      </c>
      <c r="Z26">
        <f si="1" t="shared"/>
        <v>0</v>
      </c>
    </row>
    <row r="27" spans="22:26" x14ac:dyDescent="0.45">
      <c r="V27">
        <f>IntermediateStopLocation!B35</f>
        <v>25</v>
      </c>
      <c r="W27" t="str">
        <f>IntermediateStopLocation!C35</f>
        <v>Beta00025</v>
      </c>
      <c r="X27">
        <f>IntermediateStopLocation!E35</f>
        <v>1.70783067936</v>
      </c>
      <c r="Y27" s="36">
        <f si="0" t="shared"/>
        <v>1.70783067936</v>
      </c>
      <c r="Z27">
        <f si="1" t="shared"/>
        <v>0</v>
      </c>
    </row>
    <row r="28" spans="22:26" x14ac:dyDescent="0.45">
      <c r="V28">
        <f>IntermediateStopLocation!B36</f>
        <v>26</v>
      </c>
      <c r="W28" t="str">
        <f>IntermediateStopLocation!C36</f>
        <v>Beta00026</v>
      </c>
      <c r="X28">
        <f>IntermediateStopLocation!E36</f>
        <v>-0.16345061284599999</v>
      </c>
      <c r="Y28" s="36">
        <f si="0" t="shared"/>
        <v>-0.16345061284599999</v>
      </c>
      <c r="Z28">
        <f si="1" t="shared"/>
        <v>0</v>
      </c>
    </row>
    <row r="29" spans="22:26" x14ac:dyDescent="0.45">
      <c r="V29">
        <f>IntermediateStopLocation!B37</f>
        <v>27</v>
      </c>
      <c r="W29" t="str">
        <f>IntermediateStopLocation!C37</f>
        <v>Beta00027</v>
      </c>
      <c r="X29">
        <f>IntermediateStopLocation!E37</f>
        <v>7.7917327145000007E-2</v>
      </c>
      <c r="Y29" s="36">
        <f si="0" t="shared"/>
        <v>7.7917327145000007E-2</v>
      </c>
      <c r="Z29">
        <f si="1" t="shared"/>
        <v>0</v>
      </c>
    </row>
    <row r="30" spans="22:26" x14ac:dyDescent="0.45">
      <c r="V30">
        <f>IntermediateStopLocation!B38</f>
        <v>28</v>
      </c>
      <c r="W30" t="str">
        <f>IntermediateStopLocation!C38</f>
        <v>Beta00028</v>
      </c>
      <c r="X30">
        <f>IntermediateStopLocation!E38</f>
        <v>-0.22471314927200001</v>
      </c>
      <c r="Y30" s="36">
        <f si="0" t="shared"/>
        <v>-0.22471314927200001</v>
      </c>
      <c r="Z30">
        <f si="1" t="shared"/>
        <v>0</v>
      </c>
    </row>
    <row r="31" spans="22:26" x14ac:dyDescent="0.45">
      <c r="V31">
        <f>IntermediateStopLocation!B39</f>
        <v>29</v>
      </c>
      <c r="W31" t="str">
        <f>IntermediateStopLocation!C39</f>
        <v>Beta00029</v>
      </c>
      <c r="X31">
        <f>IntermediateStopLocation!E39</f>
        <v>-0.320438653598</v>
      </c>
      <c r="Y31" s="36">
        <f si="0" t="shared"/>
        <v>-0.320438653598</v>
      </c>
      <c r="Z31">
        <f si="1" t="shared"/>
        <v>0</v>
      </c>
    </row>
    <row r="32" spans="22:26" x14ac:dyDescent="0.45">
      <c r="V32">
        <f>IntermediateStopLocation!B40</f>
        <v>30</v>
      </c>
      <c r="W32" t="str">
        <f>IntermediateStopLocation!C40</f>
        <v>Beta00030</v>
      </c>
      <c r="X32">
        <f>IntermediateStopLocation!E40</f>
        <v>-1.3486719354400001</v>
      </c>
      <c r="Y32" s="36">
        <f si="0" t="shared"/>
        <v>-1.3486719354400001</v>
      </c>
      <c r="Z32">
        <f si="1" t="shared"/>
        <v>0</v>
      </c>
    </row>
    <row r="33" spans="22:26" x14ac:dyDescent="0.45">
      <c r="V33">
        <f>IntermediateStopLocation!B41</f>
        <v>31</v>
      </c>
      <c r="W33" t="str">
        <f>IntermediateStopLocation!C41</f>
        <v>Beta00031</v>
      </c>
      <c r="X33">
        <f>IntermediateStopLocation!E41</f>
        <v>-2.8652973205399999</v>
      </c>
      <c r="Y33" s="36">
        <f si="0" t="shared"/>
        <v>-2.8652973205399999</v>
      </c>
      <c r="Z33">
        <f si="1" t="shared"/>
        <v>0</v>
      </c>
    </row>
    <row r="34" spans="22:26" x14ac:dyDescent="0.45">
      <c r="V34">
        <f>IntermediateStopLocation!B42</f>
        <v>32</v>
      </c>
      <c r="W34" t="str">
        <f>IntermediateStopLocation!C42</f>
        <v>Beta00032</v>
      </c>
      <c r="X34">
        <f>IntermediateStopLocation!E42</f>
        <v>0.73144567554600004</v>
      </c>
      <c r="Y34" s="36">
        <f si="0" t="shared"/>
        <v>0.68562790602280965</v>
      </c>
      <c r="Z34">
        <f si="1" t="shared"/>
        <v>1</v>
      </c>
    </row>
    <row r="35" spans="22:26" x14ac:dyDescent="0.45">
      <c r="V35">
        <f>IntermediateStopLocation!B43</f>
        <v>33</v>
      </c>
      <c r="W35" t="str">
        <f>IntermediateStopLocation!C43</f>
        <v>Beta00033</v>
      </c>
      <c r="X35">
        <f>IntermediateStopLocation!E43</f>
        <v>3.2882946296999997E-2</v>
      </c>
      <c r="Y35" s="36">
        <f si="0" t="shared"/>
        <v>3.2882946296999997E-2</v>
      </c>
      <c r="Z35">
        <f si="1" t="shared"/>
        <v>0</v>
      </c>
    </row>
    <row r="36" spans="22:26" x14ac:dyDescent="0.45">
      <c r="V36">
        <f>IntermediateStopLocation!B44</f>
        <v>34</v>
      </c>
      <c r="W36" t="str">
        <f>IntermediateStopLocation!C44</f>
        <v>Beta00034</v>
      </c>
      <c r="X36">
        <f>IntermediateStopLocation!E44</f>
        <v>0.17222898421300001</v>
      </c>
      <c r="Y36" s="36">
        <f si="0" t="shared"/>
        <v>0.17222898421300001</v>
      </c>
      <c r="Z36">
        <f si="1" t="shared"/>
        <v>0</v>
      </c>
    </row>
    <row r="37" spans="22:26" x14ac:dyDescent="0.45">
      <c r="V37">
        <f>IntermediateStopLocation!B45</f>
        <v>35</v>
      </c>
      <c r="W37" t="str">
        <f>IntermediateStopLocation!C45</f>
        <v>Beta00035</v>
      </c>
      <c r="X37">
        <f>IntermediateStopLocation!E45</f>
        <v>-4.3679028443999998E-2</v>
      </c>
      <c r="Y37" s="36">
        <f si="0" t="shared"/>
        <v>-4.3679028443999998E-2</v>
      </c>
      <c r="Z37">
        <f si="1" t="shared"/>
        <v>0</v>
      </c>
    </row>
    <row r="38" spans="22:26" x14ac:dyDescent="0.45">
      <c r="V38">
        <f>IntermediateStopLocation!B46</f>
        <v>36</v>
      </c>
      <c r="W38" t="str">
        <f>IntermediateStopLocation!C46</f>
        <v>Beta00036</v>
      </c>
      <c r="X38">
        <f>IntermediateStopLocation!E46</f>
        <v>-3.4073728969569999</v>
      </c>
      <c r="Y38" s="36">
        <f si="0" t="shared"/>
        <v>-3.4425731751538438</v>
      </c>
      <c r="Z38">
        <f si="1" t="shared"/>
        <v>1</v>
      </c>
    </row>
    <row r="39" spans="22:26" x14ac:dyDescent="0.45">
      <c r="V39">
        <f>IntermediateStopLocation!B47</f>
        <v>37</v>
      </c>
      <c r="W39" t="str">
        <f>IntermediateStopLocation!C47</f>
        <v>Beta00037</v>
      </c>
      <c r="X39">
        <f>IntermediateStopLocation!E47</f>
        <v>-0.20680800883100001</v>
      </c>
      <c r="Y39" s="36">
        <f si="0" t="shared"/>
        <v>-0.20680800883100001</v>
      </c>
      <c r="Z39">
        <f si="1" t="shared"/>
        <v>0</v>
      </c>
    </row>
    <row r="40" spans="22:26" x14ac:dyDescent="0.45">
      <c r="V40">
        <f>IntermediateStopLocation!B48</f>
        <v>38</v>
      </c>
      <c r="W40" t="str">
        <f>IntermediateStopLocation!C48</f>
        <v>Beta00038</v>
      </c>
      <c r="X40">
        <f>IntermediateStopLocation!E48</f>
        <v>9.2439693264999998E-2</v>
      </c>
      <c r="Y40" s="36">
        <f si="0" t="shared"/>
        <v>9.2439693264999998E-2</v>
      </c>
      <c r="Z40">
        <f si="1" t="shared"/>
        <v>0</v>
      </c>
    </row>
    <row r="41" spans="22:26" x14ac:dyDescent="0.45">
      <c r="V41">
        <f>IntermediateStopLocation!B49</f>
        <v>39</v>
      </c>
      <c r="W41" t="str">
        <f>IntermediateStopLocation!C49</f>
        <v>Beta00039</v>
      </c>
      <c r="X41">
        <f>IntermediateStopLocation!E49</f>
        <v>0.106344988665</v>
      </c>
      <c r="Y41" s="36">
        <f si="0" t="shared"/>
        <v>0.106344988665</v>
      </c>
      <c r="Z41">
        <f si="1" t="shared"/>
        <v>0</v>
      </c>
    </row>
    <row r="42" spans="22:26" x14ac:dyDescent="0.45">
      <c r="V42">
        <f>IntermediateStopLocation!B50</f>
        <v>40</v>
      </c>
      <c r="W42" t="str">
        <f>IntermediateStopLocation!C50</f>
        <v>Beta00040</v>
      </c>
      <c r="X42">
        <f>IntermediateStopLocation!E50</f>
        <v>-0.28428116513000001</v>
      </c>
      <c r="Y42" s="36">
        <f si="0" t="shared"/>
        <v>-0.28428116513000001</v>
      </c>
      <c r="Z42">
        <f si="1" t="shared"/>
        <v>0</v>
      </c>
    </row>
    <row r="43" spans="22:26" x14ac:dyDescent="0.45">
      <c r="V43">
        <f>IntermediateStopLocation!B51</f>
        <v>41</v>
      </c>
      <c r="W43" t="str">
        <f>IntermediateStopLocation!C51</f>
        <v>Beta00041</v>
      </c>
      <c r="X43">
        <f>IntermediateStopLocation!E51</f>
        <v>0.20427640591999999</v>
      </c>
      <c r="Y43" s="36">
        <f si="0" t="shared"/>
        <v>0.20427640591999999</v>
      </c>
      <c r="Z43">
        <f si="1" t="shared"/>
        <v>0</v>
      </c>
    </row>
    <row r="44" spans="22:26" x14ac:dyDescent="0.45">
      <c r="V44">
        <f>IntermediateStopLocation!B52</f>
        <v>42</v>
      </c>
      <c r="W44" t="str">
        <f>IntermediateStopLocation!C52</f>
        <v>Beta00042</v>
      </c>
      <c r="X44">
        <f>IntermediateStopLocation!E52</f>
        <v>-9.2217629617999994E-2</v>
      </c>
      <c r="Y44" s="36">
        <f si="0" t="shared"/>
        <v>-9.2217629617999994E-2</v>
      </c>
      <c r="Z44">
        <f si="1" t="shared"/>
        <v>0</v>
      </c>
    </row>
    <row r="45" spans="22:26" x14ac:dyDescent="0.45">
      <c r="V45">
        <f>IntermediateStopLocation!B53</f>
        <v>43</v>
      </c>
      <c r="W45" t="str">
        <f>IntermediateStopLocation!C53</f>
        <v>Beta00043</v>
      </c>
      <c r="X45">
        <f>IntermediateStopLocation!E53</f>
        <v>9.2552474014000005E-2</v>
      </c>
      <c r="Y45" s="36">
        <f si="0" t="shared"/>
        <v>9.2552474014000005E-2</v>
      </c>
      <c r="Z45">
        <f si="1" t="shared"/>
        <v>0</v>
      </c>
    </row>
    <row r="46" spans="22:26" x14ac:dyDescent="0.45">
      <c r="V46">
        <f>IntermediateStopLocation!B54</f>
        <v>44</v>
      </c>
      <c r="W46" t="str">
        <f>IntermediateStopLocation!C54</f>
        <v>Beta00044</v>
      </c>
      <c r="X46">
        <f>IntermediateStopLocation!E54</f>
        <v>0.13432791103399999</v>
      </c>
      <c r="Y46" s="36">
        <f si="0" t="shared"/>
        <v>0.13432791103399999</v>
      </c>
      <c r="Z46">
        <f si="1" t="shared"/>
        <v>0</v>
      </c>
    </row>
    <row r="47" spans="22:26" x14ac:dyDescent="0.45">
      <c r="V47">
        <f>IntermediateStopLocation!B55</f>
        <v>45</v>
      </c>
      <c r="W47" t="str">
        <f>IntermediateStopLocation!C55</f>
        <v>Beta00045</v>
      </c>
      <c r="X47">
        <f>IntermediateStopLocation!E55</f>
        <v>0.17819872261700001</v>
      </c>
      <c r="Y47" s="36">
        <f si="0" t="shared"/>
        <v>0.17819872261700001</v>
      </c>
      <c r="Z47">
        <f si="1" t="shared"/>
        <v>0</v>
      </c>
    </row>
    <row r="48" spans="22:26" x14ac:dyDescent="0.45">
      <c r="V48">
        <f>IntermediateStopLocation!B56</f>
        <v>46</v>
      </c>
      <c r="W48" t="str">
        <f>IntermediateStopLocation!C56</f>
        <v>Beta00046</v>
      </c>
      <c r="X48">
        <f>IntermediateStopLocation!E56</f>
        <v>-0.16252205685099999</v>
      </c>
      <c r="Y48" s="36">
        <f si="0" t="shared"/>
        <v>-0.16252205685099999</v>
      </c>
      <c r="Z48">
        <f si="1" t="shared"/>
        <v>0</v>
      </c>
    </row>
    <row r="49" spans="22:26" x14ac:dyDescent="0.45">
      <c r="V49">
        <f>IntermediateStopLocation!B57</f>
        <v>47</v>
      </c>
      <c r="W49" t="str">
        <f>IntermediateStopLocation!C57</f>
        <v>Beta00047</v>
      </c>
      <c r="X49">
        <f>IntermediateStopLocation!E57</f>
        <v>-3.2310910237949999</v>
      </c>
      <c r="Y49" s="36">
        <f si="0" t="shared"/>
        <v>-3.3165742686340569</v>
      </c>
      <c r="Z49">
        <f si="1" t="shared"/>
        <v>1</v>
      </c>
    </row>
    <row r="50" spans="22:26" x14ac:dyDescent="0.45">
      <c r="V50">
        <f>IntermediateStopLocation!B58</f>
        <v>48</v>
      </c>
      <c r="W50" t="str">
        <f>IntermediateStopLocation!C58</f>
        <v>Beta00048</v>
      </c>
      <c r="X50">
        <f>IntermediateStopLocation!E58</f>
        <v>-6.9722067920999997E-2</v>
      </c>
      <c r="Y50" s="36">
        <f si="0" t="shared"/>
        <v>-6.9722067920999997E-2</v>
      </c>
      <c r="Z50">
        <f si="1" t="shared"/>
        <v>0</v>
      </c>
    </row>
    <row r="51" spans="22:26" x14ac:dyDescent="0.45">
      <c r="V51">
        <f>IntermediateStopLocation!B59</f>
        <v>49</v>
      </c>
      <c r="W51" t="str">
        <f>IntermediateStopLocation!C59</f>
        <v>Beta00049</v>
      </c>
      <c r="X51">
        <f>IntermediateStopLocation!E59</f>
        <v>0.360092886946</v>
      </c>
      <c r="Y51" s="36">
        <f si="0" t="shared"/>
        <v>0.360092886946</v>
      </c>
      <c r="Z51">
        <f si="1" t="shared"/>
        <v>0</v>
      </c>
    </row>
    <row r="52" spans="22:26" x14ac:dyDescent="0.45">
      <c r="V52">
        <f>IntermediateStopLocation!B60</f>
        <v>50</v>
      </c>
      <c r="W52" t="str">
        <f>IntermediateStopLocation!C60</f>
        <v>Beta00050</v>
      </c>
      <c r="X52">
        <f>IntermediateStopLocation!E60</f>
        <v>-3.6870204875549999</v>
      </c>
      <c r="Y52" s="36">
        <f si="0" t="shared"/>
        <v>-3.7490579821728356</v>
      </c>
      <c r="Z52">
        <f si="1" t="shared"/>
        <v>1</v>
      </c>
    </row>
    <row r="53" spans="22:26" x14ac:dyDescent="0.45">
      <c r="V53">
        <f>IntermediateStopLocation!B61</f>
        <v>51</v>
      </c>
      <c r="W53" t="str">
        <f>IntermediateStopLocation!C61</f>
        <v>Beta00051</v>
      </c>
      <c r="X53">
        <f>IntermediateStopLocation!E61</f>
        <v>0.15977089868200001</v>
      </c>
      <c r="Y53" s="36">
        <f si="0" t="shared"/>
        <v>0.15977089868200001</v>
      </c>
      <c r="Z53">
        <f si="1" t="shared"/>
        <v>0</v>
      </c>
    </row>
    <row r="54" spans="22:26" x14ac:dyDescent="0.45">
      <c r="V54">
        <f>IntermediateStopLocation!B62</f>
        <v>52</v>
      </c>
      <c r="W54" t="str">
        <f>IntermediateStopLocation!C62</f>
        <v>Beta00052</v>
      </c>
      <c r="X54">
        <f>IntermediateStopLocation!E62</f>
        <v>-1.9846514120350001</v>
      </c>
      <c r="Y54" s="36">
        <f si="0" t="shared"/>
        <v>-1.9603009461267309</v>
      </c>
      <c r="Z54">
        <f si="1" t="shared"/>
        <v>1</v>
      </c>
    </row>
    <row r="55" spans="22:26" x14ac:dyDescent="0.45">
      <c r="V55">
        <f>IntermediateStopLocation!B63</f>
        <v>53</v>
      </c>
      <c r="W55" t="str">
        <f>IntermediateStopLocation!C63</f>
        <v>Beta00053</v>
      </c>
      <c r="X55">
        <f>IntermediateStopLocation!E63</f>
        <v>6.8361054704999993E-2</v>
      </c>
      <c r="Y55" s="36">
        <f si="0" t="shared"/>
        <v>6.8361054704999993E-2</v>
      </c>
      <c r="Z55">
        <f si="1" t="shared"/>
        <v>0</v>
      </c>
    </row>
    <row r="56" spans="22:26" x14ac:dyDescent="0.45">
      <c r="V56">
        <f>IntermediateStopLocation!B64</f>
        <v>54</v>
      </c>
      <c r="W56" t="str">
        <f>IntermediateStopLocation!C64</f>
        <v>Beta00054</v>
      </c>
      <c r="X56">
        <f>IntermediateStopLocation!E64</f>
        <v>-0.23833241202200001</v>
      </c>
      <c r="Y56" s="36">
        <f si="0" t="shared"/>
        <v>-0.23833241202200001</v>
      </c>
      <c r="Z56">
        <f si="1" t="shared"/>
        <v>0</v>
      </c>
    </row>
    <row r="57" spans="22:26" x14ac:dyDescent="0.45">
      <c r="V57">
        <f>IntermediateStopLocation!B65</f>
        <v>55</v>
      </c>
      <c r="W57" t="str">
        <f>IntermediateStopLocation!C65</f>
        <v>Beta00055</v>
      </c>
      <c r="X57">
        <f>IntermediateStopLocation!E65</f>
        <v>0.21826898786500001</v>
      </c>
      <c r="Y57" s="36">
        <f si="0" t="shared"/>
        <v>0.21826898786500001</v>
      </c>
      <c r="Z57">
        <f si="1" t="shared"/>
        <v>0</v>
      </c>
    </row>
    <row r="58" spans="22:26" x14ac:dyDescent="0.45">
      <c r="V58">
        <f>IntermediateStopLocation!B66</f>
        <v>56</v>
      </c>
      <c r="W58" t="str">
        <f>IntermediateStopLocation!C66</f>
        <v>Beta00056</v>
      </c>
      <c r="X58">
        <f>IntermediateStopLocation!E66</f>
        <v>0.52843873415800002</v>
      </c>
      <c r="Y58" s="36">
        <f si="0" t="shared"/>
        <v>0.52843873415800002</v>
      </c>
      <c r="Z58">
        <f si="1" t="shared"/>
        <v>0</v>
      </c>
    </row>
    <row r="59" spans="22:26" x14ac:dyDescent="0.45">
      <c r="V59">
        <f>IntermediateStopLocation!B67</f>
        <v>57</v>
      </c>
      <c r="W59" t="str">
        <f>IntermediateStopLocation!C67</f>
        <v>Beta00057</v>
      </c>
      <c r="X59">
        <f>IntermediateStopLocation!E67</f>
        <v>-0.62206095057199995</v>
      </c>
      <c r="Y59" s="36">
        <f si="0" t="shared"/>
        <v>-0.62206095057199995</v>
      </c>
      <c r="Z59">
        <f si="1" t="shared"/>
        <v>0</v>
      </c>
    </row>
    <row r="60" spans="22:26" x14ac:dyDescent="0.45">
      <c r="V60">
        <f>IntermediateStopLocation!B68</f>
        <v>60</v>
      </c>
      <c r="W60" t="str">
        <f>IntermediateStopLocation!C68</f>
        <v>LSM_300</v>
      </c>
      <c r="X60">
        <f>IntermediateStopLocation!E68</f>
        <v>0.18914184867700001</v>
      </c>
      <c r="Y60" s="36">
        <f si="0" t="shared"/>
        <v>0.18914184867700001</v>
      </c>
      <c r="Z60">
        <f si="1" t="shared"/>
        <v>0</v>
      </c>
    </row>
    <row r="61" spans="22:26" x14ac:dyDescent="0.45">
      <c r="V61">
        <f>IntermediateStopLocation!B69</f>
        <v>61</v>
      </c>
      <c r="W61" t="str">
        <f>IntermediateStopLocation!C69</f>
        <v>Gamma061</v>
      </c>
      <c r="X61">
        <f>IntermediateStopLocation!E69</f>
        <v>0</v>
      </c>
      <c r="Y61" s="36">
        <f si="0" t="shared"/>
        <v>0</v>
      </c>
      <c r="Z61">
        <f si="1" t="shared"/>
        <v>0</v>
      </c>
    </row>
    <row r="62" spans="22:26" x14ac:dyDescent="0.45">
      <c r="V62">
        <f>IntermediateStopLocation!B70</f>
        <v>62</v>
      </c>
      <c r="W62" t="str">
        <f>IntermediateStopLocation!C70</f>
        <v>Gamma062</v>
      </c>
      <c r="X62">
        <f>IntermediateStopLocation!E70</f>
        <v>-2.3818730558799999</v>
      </c>
      <c r="Y62" s="36">
        <f si="0" t="shared"/>
        <v>-2.3818730558799999</v>
      </c>
      <c r="Z62">
        <f si="1" t="shared"/>
        <v>0</v>
      </c>
    </row>
    <row r="63" spans="22:26" x14ac:dyDescent="0.45">
      <c r="V63">
        <f>IntermediateStopLocation!B71</f>
        <v>63</v>
      </c>
      <c r="W63" t="str">
        <f>IntermediateStopLocation!C71</f>
        <v>Gamma063</v>
      </c>
      <c r="X63">
        <f>IntermediateStopLocation!E71</f>
        <v>-12.7221900232</v>
      </c>
      <c r="Y63" s="36">
        <f si="0" t="shared"/>
        <v>-12.7221900232</v>
      </c>
      <c r="Z63">
        <f si="1" t="shared"/>
        <v>0</v>
      </c>
    </row>
    <row r="64" spans="22:26" x14ac:dyDescent="0.45">
      <c r="V64">
        <f>IntermediateStopLocation!B72</f>
        <v>64</v>
      </c>
      <c r="W64" t="str">
        <f>IntermediateStopLocation!C72</f>
        <v>Gamma064</v>
      </c>
      <c r="X64">
        <f>IntermediateStopLocation!E72</f>
        <v>0</v>
      </c>
      <c r="Y64" s="36">
        <f si="0" t="shared"/>
        <v>0</v>
      </c>
      <c r="Z64">
        <f si="1" t="shared"/>
        <v>0</v>
      </c>
    </row>
    <row r="65" spans="22:26" x14ac:dyDescent="0.45">
      <c r="V65">
        <f>IntermediateStopLocation!B73</f>
        <v>65</v>
      </c>
      <c r="W65" t="str">
        <f>IntermediateStopLocation!C73</f>
        <v>Gamma065</v>
      </c>
      <c r="X65">
        <f>IntermediateStopLocation!E73</f>
        <v>-7.2051774658100003</v>
      </c>
      <c r="Y65" s="36">
        <f si="0" t="shared"/>
        <v>-7.2051774658100003</v>
      </c>
      <c r="Z65">
        <f si="1" t="shared"/>
        <v>0</v>
      </c>
    </row>
    <row r="66" spans="22:26" x14ac:dyDescent="0.45">
      <c r="V66">
        <f>IntermediateStopLocation!B74</f>
        <v>66</v>
      </c>
      <c r="W66" t="str">
        <f>IntermediateStopLocation!C74</f>
        <v>Gamma066</v>
      </c>
      <c r="X66">
        <f>IntermediateStopLocation!E74</f>
        <v>0</v>
      </c>
      <c r="Y66" s="36">
        <f si="0" t="shared"/>
        <v>0</v>
      </c>
      <c r="Z66">
        <f si="1" t="shared"/>
        <v>0</v>
      </c>
    </row>
    <row r="67" spans="22:26" x14ac:dyDescent="0.45">
      <c r="V67">
        <f>IntermediateStopLocation!B75</f>
        <v>67</v>
      </c>
      <c r="W67" t="str">
        <f>IntermediateStopLocation!C75</f>
        <v>Gamma067</v>
      </c>
      <c r="X67">
        <f>IntermediateStopLocation!E75</f>
        <v>-16.884265301199999</v>
      </c>
      <c r="Y67" s="36">
        <f si="0" t="shared"/>
        <v>-16.884265301199999</v>
      </c>
      <c r="Z67">
        <f si="1" t="shared"/>
        <v>0</v>
      </c>
    </row>
    <row r="68" spans="22:26" x14ac:dyDescent="0.45">
      <c r="V68">
        <f>IntermediateStopLocation!B76</f>
        <v>68</v>
      </c>
      <c r="W68" t="str">
        <f>IntermediateStopLocation!C76</f>
        <v>Gamma068</v>
      </c>
      <c r="X68">
        <f>IntermediateStopLocation!E76</f>
        <v>0</v>
      </c>
      <c r="Y68" s="36">
        <f ref="Y68:Y94" si="10" t="shared">_xlfn.IFNA(VLOOKUP(V68,$O$5:$Q$12,3,FALSE),X68)</f>
        <v>0</v>
      </c>
      <c r="Z68">
        <f ref="Z68:Z94" si="11" t="shared">IF(X68=Y68,0,1)</f>
        <v>0</v>
      </c>
    </row>
    <row r="69" spans="22:26" x14ac:dyDescent="0.45">
      <c r="V69">
        <f>IntermediateStopLocation!B77</f>
        <v>69</v>
      </c>
      <c r="W69" t="str">
        <f>IntermediateStopLocation!C77</f>
        <v>Gamma069</v>
      </c>
      <c r="X69">
        <f>IntermediateStopLocation!E77</f>
        <v>0</v>
      </c>
      <c r="Y69" s="36">
        <f si="10" t="shared"/>
        <v>0</v>
      </c>
      <c r="Z69">
        <f si="11" t="shared"/>
        <v>0</v>
      </c>
    </row>
    <row r="70" spans="22:26" x14ac:dyDescent="0.45">
      <c r="V70">
        <f>IntermediateStopLocation!B78</f>
        <v>70</v>
      </c>
      <c r="W70" t="str">
        <f>IntermediateStopLocation!C78</f>
        <v>Gamma070</v>
      </c>
      <c r="X70">
        <f>IntermediateStopLocation!E78</f>
        <v>-3.1062233178100001</v>
      </c>
      <c r="Y70" s="36">
        <f si="10" t="shared"/>
        <v>-3.1062233178100001</v>
      </c>
      <c r="Z70">
        <f si="11" t="shared"/>
        <v>0</v>
      </c>
    </row>
    <row r="71" spans="22:26" x14ac:dyDescent="0.45">
      <c r="V71">
        <f>IntermediateStopLocation!B79</f>
        <v>71</v>
      </c>
      <c r="W71" t="str">
        <f>IntermediateStopLocation!C79</f>
        <v>Gamma071</v>
      </c>
      <c r="X71">
        <f>IntermediateStopLocation!E79</f>
        <v>-30.427810062700001</v>
      </c>
      <c r="Y71" s="36">
        <f si="10" t="shared"/>
        <v>-30.427810062700001</v>
      </c>
      <c r="Z71">
        <f si="11" t="shared"/>
        <v>0</v>
      </c>
    </row>
    <row r="72" spans="22:26" x14ac:dyDescent="0.45">
      <c r="V72">
        <f>IntermediateStopLocation!B80</f>
        <v>72</v>
      </c>
      <c r="W72" t="str">
        <f>IntermediateStopLocation!C80</f>
        <v>Gamma072</v>
      </c>
      <c r="X72">
        <f>IntermediateStopLocation!E80</f>
        <v>0</v>
      </c>
      <c r="Y72" s="36">
        <f si="10" t="shared"/>
        <v>0</v>
      </c>
      <c r="Z72">
        <f si="11" t="shared"/>
        <v>0</v>
      </c>
    </row>
    <row r="73" spans="22:26" x14ac:dyDescent="0.45">
      <c r="V73">
        <f>IntermediateStopLocation!B81</f>
        <v>73</v>
      </c>
      <c r="W73" t="str">
        <f>IntermediateStopLocation!C81</f>
        <v>Gamma073</v>
      </c>
      <c r="X73">
        <f>IntermediateStopLocation!E81</f>
        <v>-7.3954728104100003</v>
      </c>
      <c r="Y73" s="36">
        <f si="10" t="shared"/>
        <v>-7.3954728104100003</v>
      </c>
      <c r="Z73">
        <f si="11" t="shared"/>
        <v>0</v>
      </c>
    </row>
    <row r="74" spans="22:26" x14ac:dyDescent="0.45">
      <c r="V74">
        <f>IntermediateStopLocation!B82</f>
        <v>74</v>
      </c>
      <c r="W74" t="str">
        <f>IntermediateStopLocation!C82</f>
        <v>Gamma074</v>
      </c>
      <c r="X74">
        <f>IntermediateStopLocation!E82</f>
        <v>-29.792078592399999</v>
      </c>
      <c r="Y74" s="36">
        <f si="10" t="shared"/>
        <v>-29.792078592399999</v>
      </c>
      <c r="Z74">
        <f si="11" t="shared"/>
        <v>0</v>
      </c>
    </row>
    <row r="75" spans="22:26" x14ac:dyDescent="0.45">
      <c r="V75">
        <f>IntermediateStopLocation!B83</f>
        <v>75</v>
      </c>
      <c r="W75" t="str">
        <f>IntermediateStopLocation!C83</f>
        <v>Gamma075</v>
      </c>
      <c r="X75">
        <f>IntermediateStopLocation!E83</f>
        <v>-18.0912924197</v>
      </c>
      <c r="Y75" s="36">
        <f si="10" t="shared"/>
        <v>-18.0912924197</v>
      </c>
      <c r="Z75">
        <f si="11" t="shared"/>
        <v>0</v>
      </c>
    </row>
    <row r="76" spans="22:26" x14ac:dyDescent="0.45">
      <c r="V76">
        <f>IntermediateStopLocation!B84</f>
        <v>76</v>
      </c>
      <c r="W76" t="str">
        <f>IntermediateStopLocation!C84</f>
        <v>Gamma076</v>
      </c>
      <c r="X76">
        <f>IntermediateStopLocation!E84</f>
        <v>-18.527273648400001</v>
      </c>
      <c r="Y76" s="36">
        <f si="10" t="shared"/>
        <v>-18.527273648400001</v>
      </c>
      <c r="Z76">
        <f si="11" t="shared"/>
        <v>0</v>
      </c>
    </row>
    <row r="77" spans="22:26" x14ac:dyDescent="0.45">
      <c r="V77">
        <f>IntermediateStopLocation!B85</f>
        <v>77</v>
      </c>
      <c r="W77" t="str">
        <f>IntermediateStopLocation!C85</f>
        <v>Gamma077</v>
      </c>
      <c r="X77">
        <f>IntermediateStopLocation!E85</f>
        <v>-4.3045385028499998</v>
      </c>
      <c r="Y77" s="36">
        <f si="10" t="shared"/>
        <v>-4.3045385028499998</v>
      </c>
      <c r="Z77">
        <f si="11" t="shared"/>
        <v>0</v>
      </c>
    </row>
    <row r="78" spans="22:26" x14ac:dyDescent="0.45">
      <c r="V78">
        <f>IntermediateStopLocation!B86</f>
        <v>78</v>
      </c>
      <c r="W78" t="str">
        <f>IntermediateStopLocation!C86</f>
        <v>Gamma078</v>
      </c>
      <c r="X78">
        <f>IntermediateStopLocation!E86</f>
        <v>-13.6610172678</v>
      </c>
      <c r="Y78" s="36">
        <f si="10" t="shared"/>
        <v>-13.6610172678</v>
      </c>
      <c r="Z78">
        <f si="11" t="shared"/>
        <v>0</v>
      </c>
    </row>
    <row r="79" spans="22:26" x14ac:dyDescent="0.45">
      <c r="V79">
        <f>IntermediateStopLocation!B87</f>
        <v>79</v>
      </c>
      <c r="W79" t="str">
        <f>IntermediateStopLocation!C87</f>
        <v>Gamma079</v>
      </c>
      <c r="X79">
        <f>IntermediateStopLocation!E87</f>
        <v>-0.274925122292</v>
      </c>
      <c r="Y79" s="36">
        <f si="10" t="shared"/>
        <v>-0.274925122292</v>
      </c>
      <c r="Z79">
        <f si="11" t="shared"/>
        <v>0</v>
      </c>
    </row>
    <row r="80" spans="22:26" x14ac:dyDescent="0.45">
      <c r="V80">
        <f>IntermediateStopLocation!B88</f>
        <v>80</v>
      </c>
      <c r="W80" t="str">
        <f>IntermediateStopLocation!C88</f>
        <v>Gamma080</v>
      </c>
      <c r="X80">
        <f>IntermediateStopLocation!E88</f>
        <v>0</v>
      </c>
      <c r="Y80" s="36">
        <f si="10" t="shared"/>
        <v>0</v>
      </c>
      <c r="Z80">
        <f si="11" t="shared"/>
        <v>0</v>
      </c>
    </row>
    <row r="81" spans="22:26" x14ac:dyDescent="0.45">
      <c r="V81">
        <f>IntermediateStopLocation!B89</f>
        <v>81</v>
      </c>
      <c r="W81" t="str">
        <f>IntermediateStopLocation!C89</f>
        <v>Gamma081</v>
      </c>
      <c r="X81">
        <f>IntermediateStopLocation!E89</f>
        <v>-27.509208554699999</v>
      </c>
      <c r="Y81" s="36">
        <f si="10" t="shared"/>
        <v>-27.509208554699999</v>
      </c>
      <c r="Z81">
        <f si="11" t="shared"/>
        <v>0</v>
      </c>
    </row>
    <row r="82" spans="22:26" x14ac:dyDescent="0.45">
      <c r="V82">
        <f>IntermediateStopLocation!B90</f>
        <v>82</v>
      </c>
      <c r="W82" t="str">
        <f>IntermediateStopLocation!C90</f>
        <v>Gamma082</v>
      </c>
      <c r="X82">
        <f>IntermediateStopLocation!E90</f>
        <v>0</v>
      </c>
      <c r="Y82" s="36">
        <f si="10" t="shared"/>
        <v>0</v>
      </c>
      <c r="Z82">
        <f si="11" t="shared"/>
        <v>0</v>
      </c>
    </row>
    <row r="83" spans="22:26" x14ac:dyDescent="0.45">
      <c r="V83">
        <f>IntermediateStopLocation!B91</f>
        <v>83</v>
      </c>
      <c r="W83" t="str">
        <f>IntermediateStopLocation!C91</f>
        <v>Gamma083</v>
      </c>
      <c r="X83">
        <f>IntermediateStopLocation!E91</f>
        <v>-19.440182544799999</v>
      </c>
      <c r="Y83" s="36">
        <f si="10" t="shared"/>
        <v>-19.440182544799999</v>
      </c>
      <c r="Z83">
        <f si="11" t="shared"/>
        <v>0</v>
      </c>
    </row>
    <row r="84" spans="22:26" x14ac:dyDescent="0.45">
      <c r="V84">
        <f>IntermediateStopLocation!B92</f>
        <v>84</v>
      </c>
      <c r="W84" t="str">
        <f>IntermediateStopLocation!C92</f>
        <v>Gamma084</v>
      </c>
      <c r="X84">
        <f>IntermediateStopLocation!E92</f>
        <v>-19.0702084805</v>
      </c>
      <c r="Y84" s="36">
        <f si="10" t="shared"/>
        <v>-19.0702084805</v>
      </c>
      <c r="Z84">
        <f si="11" t="shared"/>
        <v>0</v>
      </c>
    </row>
    <row r="85" spans="22:26" x14ac:dyDescent="0.45">
      <c r="V85">
        <f>IntermediateStopLocation!B93</f>
        <v>85</v>
      </c>
      <c r="W85" t="str">
        <f>IntermediateStopLocation!C93</f>
        <v>Gamma085</v>
      </c>
      <c r="X85">
        <f>IntermediateStopLocation!E93</f>
        <v>-37.313042860899998</v>
      </c>
      <c r="Y85" s="36">
        <f si="10" t="shared"/>
        <v>-37.313042860899998</v>
      </c>
      <c r="Z85">
        <f si="11" t="shared"/>
        <v>0</v>
      </c>
    </row>
    <row r="86" spans="22:26" x14ac:dyDescent="0.45">
      <c r="V86">
        <f>IntermediateStopLocation!B94</f>
        <v>86</v>
      </c>
      <c r="W86" t="str">
        <f>IntermediateStopLocation!C94</f>
        <v>Gamma086</v>
      </c>
      <c r="X86">
        <f>IntermediateStopLocation!E94</f>
        <v>0</v>
      </c>
      <c r="Y86" s="36">
        <f si="10" t="shared"/>
        <v>0</v>
      </c>
      <c r="Z86">
        <f si="11" t="shared"/>
        <v>0</v>
      </c>
    </row>
    <row r="87" spans="22:26" x14ac:dyDescent="0.45">
      <c r="V87">
        <f>IntermediateStopLocation!B95</f>
        <v>87</v>
      </c>
      <c r="W87" t="str">
        <f>IntermediateStopLocation!C95</f>
        <v>Gamma087</v>
      </c>
      <c r="X87">
        <f>IntermediateStopLocation!E95</f>
        <v>-22.0009051947</v>
      </c>
      <c r="Y87" s="36">
        <f si="10" t="shared"/>
        <v>-22.0009051947</v>
      </c>
      <c r="Z87">
        <f si="11" t="shared"/>
        <v>0</v>
      </c>
    </row>
    <row r="88" spans="22:26" x14ac:dyDescent="0.45">
      <c r="V88">
        <f>IntermediateStopLocation!B96</f>
        <v>88</v>
      </c>
      <c r="W88" t="str">
        <f>IntermediateStopLocation!C96</f>
        <v>Gamma088</v>
      </c>
      <c r="X88">
        <f>IntermediateStopLocation!E96</f>
        <v>-39.124170012100002</v>
      </c>
      <c r="Y88" s="36">
        <f si="10" t="shared"/>
        <v>-39.124170012100002</v>
      </c>
      <c r="Z88">
        <f si="11" t="shared"/>
        <v>0</v>
      </c>
    </row>
    <row r="89" spans="22:26" x14ac:dyDescent="0.45">
      <c r="V89">
        <f>IntermediateStopLocation!B97</f>
        <v>89</v>
      </c>
      <c r="W89" t="str">
        <f>IntermediateStopLocation!C97</f>
        <v>Gamma089</v>
      </c>
      <c r="X89">
        <f>IntermediateStopLocation!E97</f>
        <v>-3.3660984088400001</v>
      </c>
      <c r="Y89" s="36">
        <f si="10" t="shared"/>
        <v>-3.3660984088400001</v>
      </c>
      <c r="Z89">
        <f si="11" t="shared"/>
        <v>0</v>
      </c>
    </row>
    <row r="90" spans="22:26" x14ac:dyDescent="0.45">
      <c r="V90">
        <f>IntermediateStopLocation!B98</f>
        <v>90</v>
      </c>
      <c r="W90" t="str">
        <f>IntermediateStopLocation!C98</f>
        <v>Gamma090</v>
      </c>
      <c r="X90">
        <f>IntermediateStopLocation!E98</f>
        <v>-30</v>
      </c>
      <c r="Y90" s="36">
        <f si="10" t="shared"/>
        <v>-30</v>
      </c>
      <c r="Z90">
        <f si="11" t="shared"/>
        <v>0</v>
      </c>
    </row>
    <row r="91" spans="22:26" x14ac:dyDescent="0.45">
      <c r="V91">
        <f>IntermediateStopLocation!B99</f>
        <v>91</v>
      </c>
      <c r="W91" t="str">
        <f>IntermediateStopLocation!C99</f>
        <v>Gamma091</v>
      </c>
      <c r="X91">
        <f>IntermediateStopLocation!E99</f>
        <v>0</v>
      </c>
      <c r="Y91" s="36">
        <f si="10" t="shared"/>
        <v>0</v>
      </c>
      <c r="Z91">
        <f si="11" t="shared"/>
        <v>0</v>
      </c>
    </row>
    <row r="92" spans="22:26" x14ac:dyDescent="0.45">
      <c r="V92">
        <f>IntermediateStopLocation!B100</f>
        <v>92</v>
      </c>
      <c r="W92" t="str">
        <f>IntermediateStopLocation!C100</f>
        <v>Gamma092</v>
      </c>
      <c r="X92">
        <f>IntermediateStopLocation!E100</f>
        <v>-11.6311755932</v>
      </c>
      <c r="Y92" s="36">
        <f si="10" t="shared"/>
        <v>-11.6311755932</v>
      </c>
      <c r="Z92">
        <f si="11" t="shared"/>
        <v>0</v>
      </c>
    </row>
    <row r="93" spans="22:26" x14ac:dyDescent="0.45">
      <c r="V93">
        <f>IntermediateStopLocation!B101</f>
        <v>93</v>
      </c>
      <c r="W93" t="str">
        <f>IntermediateStopLocation!C101</f>
        <v>Gamma093</v>
      </c>
      <c r="X93">
        <f>IntermediateStopLocation!E101</f>
        <v>-80</v>
      </c>
      <c r="Y93" s="36">
        <f si="10" t="shared"/>
        <v>-80</v>
      </c>
      <c r="Z93">
        <f si="11" t="shared"/>
        <v>0</v>
      </c>
    </row>
    <row r="94" spans="22:26" x14ac:dyDescent="0.45">
      <c r="V94">
        <f>IntermediateStopLocation!B102</f>
        <v>94</v>
      </c>
      <c r="W94" t="str">
        <f>IntermediateStopLocation!C102</f>
        <v>Gamma094</v>
      </c>
      <c r="X94">
        <f>IntermediateStopLocation!E102</f>
        <v>-1.0041864141200001</v>
      </c>
      <c r="Y94" s="36">
        <f si="10" t="shared"/>
        <v>-1.0041864141200001</v>
      </c>
      <c r="Z94">
        <f si="11" t="shared"/>
        <v>0</v>
      </c>
    </row>
  </sheetData>
  <mergeCells count="4">
    <mergeCell ref="J3:K3"/>
    <mergeCell ref="L3:M3"/>
    <mergeCell ref="D3:F3"/>
    <mergeCell ref="G3:I3"/>
  </mergeCells>
  <conditionalFormatting sqref="Z3:Z9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F102"/>
  <sheetViews>
    <sheetView topLeftCell="H1" workbookViewId="0">
      <selection activeCell="AF11" sqref="AF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20" max="20" customWidth="true" width="15.265625" collapsed="true"/>
    <col min="21" max="21" customWidth="true" hidden="true" width="14.265625" collapsed="true"/>
    <col min="23" max="23" customWidth="true" hidden="true" width="12.265625" collapsed="true"/>
    <col min="24" max="24" customWidth="true" hidden="true" width="9.1328125" collapsed="true"/>
    <col min="25" max="25" customWidth="true" hidden="true" width="14.265625" collapsed="true"/>
    <col min="27" max="27" customWidth="true" hidden="true" width="12.265625" collapsed="true"/>
  </cols>
  <sheetData>
    <row r="1" spans="1:29" x14ac:dyDescent="0.45">
      <c r="A1" t="s">
        <v>1</v>
      </c>
    </row>
    <row r="2" spans="1:29" x14ac:dyDescent="0.45">
      <c r="A2" t="s">
        <v>19</v>
      </c>
    </row>
    <row r="3" spans="1:29" x14ac:dyDescent="0.45">
      <c r="A3" t="s">
        <v>20</v>
      </c>
    </row>
    <row r="4" spans="1:29" x14ac:dyDescent="0.45">
      <c r="A4" t="s">
        <v>4</v>
      </c>
    </row>
    <row r="5" spans="1:29" x14ac:dyDescent="0.45">
      <c r="A5" t="s">
        <v>6</v>
      </c>
    </row>
    <row r="7" spans="1:29" x14ac:dyDescent="0.45">
      <c r="A7" t="s">
        <v>9</v>
      </c>
      <c r="T7" t="s">
        <v>23</v>
      </c>
    </row>
    <row r="8" spans="1:29" x14ac:dyDescent="0.45">
      <c r="U8" t="s">
        <v>17</v>
      </c>
      <c r="V8" t="s">
        <v>17</v>
      </c>
      <c r="Y8" t="s">
        <v>13</v>
      </c>
      <c r="Z8" t="s">
        <v>13</v>
      </c>
    </row>
    <row ht="14.65" r="9" spans="1:29" thickBot="1" x14ac:dyDescent="0.5">
      <c r="A9" s="3" t="s">
        <v>16</v>
      </c>
      <c r="B9" s="1"/>
      <c r="E9" s="3" t="s">
        <v>10</v>
      </c>
      <c r="F9" s="1"/>
      <c r="J9" s="7" t="s">
        <v>14</v>
      </c>
      <c r="S9" t="s">
        <v>40</v>
      </c>
      <c r="T9" s="12" t="s">
        <v>39</v>
      </c>
      <c r="U9" s="12" t="s">
        <v>25</v>
      </c>
      <c r="V9" s="12" t="s">
        <v>24</v>
      </c>
      <c r="W9" s="12" t="s">
        <v>33</v>
      </c>
      <c r="X9" s="12"/>
      <c r="Y9" s="12" t="s">
        <v>25</v>
      </c>
      <c r="Z9" s="12" t="s">
        <v>24</v>
      </c>
      <c r="AA9" s="12" t="s">
        <v>33</v>
      </c>
      <c r="AB9" s="48" t="s">
        <v>175</v>
      </c>
      <c r="AC9" s="48" t="s">
        <v>177</v>
      </c>
    </row>
    <row r="10" spans="1:29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49</v>
      </c>
      <c r="L10" s="4" t="s">
        <v>13</v>
      </c>
      <c r="S10" t="s">
        <v>41</v>
      </c>
      <c r="T10" t="s">
        <v>26</v>
      </c>
      <c r="U10" s="11">
        <f>B102</f>
        <v>2033993.1134059059</v>
      </c>
      <c r="V10" s="5">
        <f>K11</f>
        <v>7.5236284394369513</v>
      </c>
      <c r="W10" s="11">
        <f>U10*V10</f>
        <v>15303008.433639582</v>
      </c>
      <c r="Y10" s="11">
        <f>F102</f>
        <v>1752563</v>
      </c>
      <c r="Z10" s="5">
        <f>L11</f>
        <v>7.4823969753212678</v>
      </c>
      <c r="AA10" s="11">
        <f>Y10*Z10</f>
        <v>13113372.090259967</v>
      </c>
      <c r="AB10" s="5">
        <f>Z10-V10</f>
        <v>-4.1231464115683458E-2</v>
      </c>
      <c r="AC10" s="18">
        <f>AB10/V10</f>
        <v>-5.4802632064548254E-3</v>
      </c>
    </row>
    <row r="11" spans="1:29" x14ac:dyDescent="0.45">
      <c r="A11">
        <v>0</v>
      </c>
      <c r="B11" s="5" t="n">
        <v>121702.60926204073</v>
      </c>
      <c r="C11" s="8">
        <f>B11/B$102</f>
        <v>5.9834327097720914E-2</v>
      </c>
      <c r="E11" s="9">
        <v>0</v>
      </c>
      <c r="F11" s="9" t="n">
        <v>164606.0</v>
      </c>
      <c r="G11" s="8">
        <f>F11/F$102</f>
        <v>9.2999795157149845E-2</v>
      </c>
      <c r="K11" s="5" t="n">
        <v>7.523628439436951</v>
      </c>
      <c r="L11" s="5" t="n">
        <v>7.451790042657312</v>
      </c>
      <c r="S11" t="s">
        <v>42</v>
      </c>
      <c r="T11" t="s">
        <v>27</v>
      </c>
      <c r="U11" s="11">
        <f>TLFD_Work!B102</f>
        <v>1057479.2462859226</v>
      </c>
      <c r="V11" s="5">
        <f>TLFD_Work!K11</f>
        <v>9.9279280774365439</v>
      </c>
      <c r="W11" s="11">
        <f ref="W11:W16" si="0" t="shared">U11*V11</f>
        <v>10498577.900508445</v>
      </c>
      <c r="Y11" s="11">
        <f>TLFD_Work!F102</f>
        <v>931929</v>
      </c>
      <c r="Z11" s="5">
        <f>TLFD_Work!L11</f>
        <v>8.931558538831764</v>
      </c>
      <c r="AA11" s="11">
        <f ref="AA11:AA16" si="1" t="shared">Y11*Z11</f>
        <v>8323578.4175349474</v>
      </c>
      <c r="AB11" s="5">
        <f ref="AB11:AB17" si="2" t="shared">Z11-V11</f>
        <v>-0.99636953860477995</v>
      </c>
      <c r="AC11" s="18">
        <f ref="AC11:AC17" si="3" t="shared">AB11/V11</f>
        <v>-0.10036026961851734</v>
      </c>
    </row>
    <row r="12" spans="1:29" x14ac:dyDescent="0.45">
      <c r="A12">
        <v>1</v>
      </c>
      <c r="B12" s="5" t="n">
        <v>285377.2805380344</v>
      </c>
      <c r="C12" s="8">
        <f>B12/B$102</f>
        <v>0.14030395612312194</v>
      </c>
      <c r="E12" s="9">
        <v>1</v>
      </c>
      <c r="F12" s="9" t="n">
        <v>207559.0</v>
      </c>
      <c r="G12" s="8">
        <f>F12/F$102</f>
        <v>0.11692932008720942</v>
      </c>
      <c r="K12" s="5"/>
      <c r="L12" s="9"/>
      <c r="S12" t="s">
        <v>43</v>
      </c>
      <c r="T12" t="s">
        <v>28</v>
      </c>
      <c r="U12" s="11">
        <f>TLFD_School!B102</f>
        <v>286814.64169940777</v>
      </c>
      <c r="V12" s="5">
        <f>TLFD_School!K11</f>
        <v>5.2072789452425852</v>
      </c>
      <c r="W12" s="11">
        <f si="0" t="shared"/>
        <v>1493523.8449086221</v>
      </c>
      <c r="Y12" s="11">
        <f>TLFD_School!F102</f>
        <v>237732</v>
      </c>
      <c r="Z12" s="5">
        <f>TLFD_School!L11</f>
        <v>5.1619635597198386</v>
      </c>
      <c r="AA12" s="11">
        <f si="1" t="shared"/>
        <v>1227163.9209793166</v>
      </c>
      <c r="AB12" s="5">
        <f si="2" t="shared"/>
        <v>-4.531538552274661E-2</v>
      </c>
      <c r="AC12" s="18">
        <f si="3" t="shared"/>
        <v>-8.7023157390381661E-3</v>
      </c>
    </row>
    <row r="13" spans="1:29" x14ac:dyDescent="0.45">
      <c r="A13">
        <v>2</v>
      </c>
      <c r="B13" s="5" t="n">
        <v>264776.25607002067</v>
      </c>
      <c r="C13" s="8">
        <f ref="C13:C76" si="4" t="shared">B13/B$102</f>
        <v>0.13017559121754096</v>
      </c>
      <c r="E13" s="9">
        <v>2</v>
      </c>
      <c r="F13" s="9" t="n">
        <v>197749.0</v>
      </c>
      <c r="G13" s="8">
        <f ref="G13:G76" si="5" t="shared">F13/F$102</f>
        <v>0.11265044394980381</v>
      </c>
      <c r="S13" t="s">
        <v>44</v>
      </c>
      <c r="T13" t="s">
        <v>29</v>
      </c>
      <c r="U13" s="11">
        <f>TLFD_Escort!B102</f>
        <v>496128.35714830412</v>
      </c>
      <c r="V13" s="5">
        <f>TLFD_Escort!K11</f>
        <v>6.28230794215618</v>
      </c>
      <c r="W13" s="11">
        <f si="0" t="shared"/>
        <v>3116831.1184416888</v>
      </c>
      <c r="Y13" s="11">
        <f>TLFD_Escort!F102</f>
        <v>410339</v>
      </c>
      <c r="Z13" s="5">
        <f>TLFD_Escort!L11</f>
        <v>5.9886887831969773</v>
      </c>
      <c r="AA13" s="11">
        <f si="1" t="shared"/>
        <v>2457392.5666082646</v>
      </c>
      <c r="AB13" s="5">
        <f si="2" t="shared"/>
        <v>-0.29361915895920276</v>
      </c>
      <c r="AC13" s="18">
        <f si="3" t="shared"/>
        <v>-4.6737466813578127E-2</v>
      </c>
    </row>
    <row r="14" spans="1:29" x14ac:dyDescent="0.45">
      <c r="A14">
        <v>3</v>
      </c>
      <c r="B14" s="5" t="n">
        <v>222961.5912576549</v>
      </c>
      <c r="C14" s="8">
        <f si="4" t="shared"/>
        <v>0.10961767264015335</v>
      </c>
      <c r="E14" s="9">
        <v>3</v>
      </c>
      <c r="F14" s="9" t="n">
        <v>174615.0</v>
      </c>
      <c r="G14" s="8">
        <f si="5" t="shared"/>
        <v>9.9197575208423316E-2</v>
      </c>
      <c r="S14" t="s">
        <v>45</v>
      </c>
      <c r="T14" t="s">
        <v>30</v>
      </c>
      <c r="U14" s="11">
        <f>TLFD_PerBus!B102</f>
        <v>662174.76314742642</v>
      </c>
      <c r="V14" s="5">
        <f>TLFD_PerBus!K11</f>
        <v>5.6343577157291937</v>
      </c>
      <c r="W14" s="11">
        <f si="0" t="shared"/>
        <v>3730929.4859008533</v>
      </c>
      <c r="Y14" s="11">
        <f>TLFD_PerBus!F102</f>
        <v>662741</v>
      </c>
      <c r="Z14" s="5">
        <f>TLFD_PerBus!L11</f>
        <v>5.5129511710556089</v>
      </c>
      <c r="AA14" s="11">
        <f si="1" t="shared"/>
        <v>3653658.7720565652</v>
      </c>
      <c r="AB14" s="5">
        <f si="2" t="shared"/>
        <v>-0.1214065446735848</v>
      </c>
      <c r="AC14" s="18">
        <f si="3" t="shared"/>
        <v>-2.1547539364541832E-2</v>
      </c>
    </row>
    <row r="15" spans="1:29" x14ac:dyDescent="0.45">
      <c r="A15">
        <v>4</v>
      </c>
      <c r="B15" s="5" t="n">
        <v>165223.39669662458</v>
      </c>
      <c r="C15" s="8">
        <f si="4" t="shared"/>
        <v>8.1231050197588556E-2</v>
      </c>
      <c r="E15" s="9">
        <v>4</v>
      </c>
      <c r="F15" s="9" t="n">
        <v>139852.0</v>
      </c>
      <c r="G15" s="8">
        <f si="5" t="shared"/>
        <v>8.0459304458669959E-2</v>
      </c>
      <c r="S15" t="s">
        <v>46</v>
      </c>
      <c r="T15" t="s">
        <v>31</v>
      </c>
      <c r="U15" s="11">
        <f>TLFD_Shop!B102</f>
        <v>541614.25981031242</v>
      </c>
      <c r="V15" s="5">
        <f>TLFD_Shop!K11</f>
        <v>4.8090784898811325</v>
      </c>
      <c r="W15" s="11">
        <f si="0" t="shared"/>
        <v>2604665.4866666645</v>
      </c>
      <c r="Y15" s="11">
        <f>TLFD_Shop!F102</f>
        <v>412124</v>
      </c>
      <c r="Z15" s="5">
        <f>TLFD_Shop!L11</f>
        <v>4.5897280975071668</v>
      </c>
      <c r="AA15" s="11">
        <f si="1" t="shared"/>
        <v>1891537.1024570437</v>
      </c>
      <c r="AB15" s="5">
        <f si="2" t="shared"/>
        <v>-0.2193503923739657</v>
      </c>
      <c r="AC15" s="18">
        <f si="3" t="shared"/>
        <v>-4.5611730570732992E-2</v>
      </c>
    </row>
    <row r="16" spans="1:29" x14ac:dyDescent="0.45">
      <c r="A16">
        <v>5</v>
      </c>
      <c r="B16" s="5" t="n">
        <v>119201.35710659763</v>
      </c>
      <c r="C16" s="8">
        <f si="4" t="shared"/>
        <v>5.8604602110474142E-2</v>
      </c>
      <c r="E16" s="9">
        <v>5</v>
      </c>
      <c r="F16" s="9" t="n">
        <v>116782.0</v>
      </c>
      <c r="G16" s="8">
        <f si="5" t="shared"/>
        <v>6.6597320609872515E-2</v>
      </c>
      <c r="S16" t="s">
        <v>34</v>
      </c>
      <c r="T16" t="s">
        <v>48</v>
      </c>
      <c r="U16" s="11">
        <f>TLFD_Meal!B102</f>
        <v>305792.47981209966</v>
      </c>
      <c r="V16" s="5">
        <f>TLFD_Meal!K11</f>
        <v>4.94352974894616</v>
      </c>
      <c r="W16" s="11">
        <f si="0" t="shared"/>
        <v>1511694.2209551327</v>
      </c>
      <c r="Y16" s="11">
        <f>TLFD_Meal!F102</f>
        <v>259707</v>
      </c>
      <c r="Z16" s="5">
        <f>TLFD_Meal!L11</f>
        <v>4.8701239894685555</v>
      </c>
      <c r="AA16" s="11">
        <f si="1" t="shared"/>
        <v>1264805.2909329101</v>
      </c>
      <c r="AB16" s="5">
        <f si="2" t="shared"/>
        <v>-7.3405759477604526E-2</v>
      </c>
      <c r="AC16" s="18">
        <f si="3" t="shared"/>
        <v>-1.4848855616425256E-2</v>
      </c>
    </row>
    <row r="17" spans="1:31" x14ac:dyDescent="0.45">
      <c r="A17">
        <v>6</v>
      </c>
      <c r="B17" s="5" t="n">
        <v>132034.84881541596</v>
      </c>
      <c r="C17" s="8">
        <f si="4" t="shared"/>
        <v>6.491410808875582E-2</v>
      </c>
      <c r="E17" s="9">
        <v>6</v>
      </c>
      <c r="F17" s="9" t="n">
        <v>92140.0</v>
      </c>
      <c r="G17" s="8">
        <f si="5" t="shared"/>
        <v>5.2795819608196681E-2</v>
      </c>
      <c r="S17" t="s">
        <v>47</v>
      </c>
      <c r="T17" t="s">
        <v>32</v>
      </c>
      <c r="U17" s="11">
        <f>TLFD_SocRec!B102</f>
        <v>172873.23356313264</v>
      </c>
      <c r="V17" s="5">
        <f>TLFD_SocRec!K11</f>
        <v>6.507052184410715</v>
      </c>
      <c r="W17" s="11">
        <f>U17*V17</f>
        <v>1124895.1520831259</v>
      </c>
      <c r="Y17" s="11">
        <f>TLFD_SocRec!F102</f>
        <v>359768</v>
      </c>
      <c r="Z17" s="5">
        <f>TLFD_SocRec!L11</f>
        <v>5.4981846696413568</v>
      </c>
      <c r="AA17" s="11">
        <f>Y17*Z17</f>
        <v>1978070.9022275317</v>
      </c>
      <c r="AB17" s="5">
        <f si="2" t="shared"/>
        <v>-1.0088675147693582</v>
      </c>
      <c r="AC17" s="18">
        <f si="3" t="shared"/>
        <v>-0.15504217365681419</v>
      </c>
    </row>
    <row r="18" spans="1:31" x14ac:dyDescent="0.45">
      <c r="A18">
        <v>7</v>
      </c>
      <c r="B18" s="5" t="n">
        <v>86298.23138476154</v>
      </c>
      <c r="C18" s="8">
        <f si="4" t="shared"/>
        <v>4.2427986022162981E-2</v>
      </c>
      <c r="E18" s="9">
        <v>7</v>
      </c>
      <c r="F18" s="9" t="n">
        <v>74574.0</v>
      </c>
      <c r="G18" s="8">
        <f si="5" t="shared"/>
        <v>4.3566479493176567E-2</v>
      </c>
      <c r="T18" s="13" t="s">
        <v>35</v>
      </c>
      <c r="U18" s="14">
        <f>SUM(U10:U15)+U17</f>
        <v>5251077.6150604123</v>
      </c>
      <c r="V18" s="15">
        <f>W18/U18</f>
        <v>7.2123160612839801</v>
      </c>
      <c r="W18" s="14">
        <f>SUM(W10:W15)+W17</f>
        <v>37872431.422148988</v>
      </c>
      <c r="X18" s="13"/>
      <c r="Y18" s="14">
        <f>SUM(Y10:Y15)+Y17</f>
        <v>4767196</v>
      </c>
      <c r="Z18" s="15">
        <f>AA18/Y18</f>
        <v>6.8477934979228126</v>
      </c>
      <c r="AA18" s="14">
        <f>SUM(AA10:AA15)+AA17</f>
        <v>32644773.772123639</v>
      </c>
      <c r="AB18" s="5"/>
      <c r="AC18" s="18"/>
      <c r="AE18" t="s">
        <v>38</v>
      </c>
    </row>
    <row r="19" spans="1:31" x14ac:dyDescent="0.45">
      <c r="A19">
        <v>8</v>
      </c>
      <c r="B19" s="5" t="n">
        <v>74177.857593883</v>
      </c>
      <c r="C19" s="8">
        <f si="4" t="shared"/>
        <v>3.6469080010636194E-2</v>
      </c>
      <c r="E19" s="9">
        <v>8</v>
      </c>
      <c r="F19" s="9" t="n">
        <v>65957.0</v>
      </c>
      <c r="G19" s="8">
        <f si="5" t="shared"/>
        <v>3.8076234634646516E-2</v>
      </c>
      <c r="S19" s="13" t="s">
        <v>36</v>
      </c>
      <c r="U19" s="16">
        <f>U18+U16</f>
        <v>5556870.0948725119</v>
      </c>
      <c r="V19" s="15">
        <f>W19/U19</f>
        <v>7.0874656003646761</v>
      </c>
      <c r="W19" s="17">
        <f>W18+W16</f>
        <v>39384125.643104121</v>
      </c>
      <c r="X19" s="13"/>
      <c r="Y19" s="16">
        <f>Y18+Y16</f>
        <v>5026903</v>
      </c>
      <c r="Z19" s="15">
        <f>AA19/Y19</f>
        <v>6.7456203278751454</v>
      </c>
      <c r="AA19" s="17">
        <f>AA18+AA16</f>
        <v>33909579.063056551</v>
      </c>
      <c r="AB19" s="5">
        <f ref="AB19" si="6" t="shared">Z19-V19</f>
        <v>-0.34184527248953067</v>
      </c>
      <c r="AC19" s="18">
        <f ref="AC19" si="7" t="shared">AB19/V19</f>
        <v>-4.8232371310830982E-2</v>
      </c>
      <c r="AE19" t="s">
        <v>37</v>
      </c>
    </row>
    <row r="20" spans="1:31" x14ac:dyDescent="0.45">
      <c r="A20">
        <v>9</v>
      </c>
      <c r="B20" s="5" t="n">
        <v>57416.91580121215</v>
      </c>
      <c r="C20" s="8">
        <f si="4" t="shared"/>
        <v>2.8228667748568706E-2</v>
      </c>
      <c r="E20" s="9">
        <v>9</v>
      </c>
      <c r="F20" s="9" t="n">
        <v>60122.0</v>
      </c>
      <c r="G20" s="8">
        <f si="5" t="shared"/>
        <v>3.4669224444427958E-2</v>
      </c>
    </row>
    <row r="21" spans="1:31" x14ac:dyDescent="0.45">
      <c r="A21">
        <v>10</v>
      </c>
      <c r="B21" s="5" t="n">
        <v>56069.49551206263</v>
      </c>
      <c r="C21" s="8">
        <f si="4" t="shared"/>
        <v>2.7566216985943817E-2</v>
      </c>
      <c r="E21" s="9">
        <v>10</v>
      </c>
      <c r="F21" s="9" t="n">
        <v>55067.0</v>
      </c>
      <c r="G21" s="8">
        <f si="5" t="shared"/>
        <v>3.1766618375487783E-2</v>
      </c>
    </row>
    <row r="22" spans="1:31" x14ac:dyDescent="0.45">
      <c r="A22">
        <v>11</v>
      </c>
      <c r="B22" s="5" t="n">
        <v>55143.23310036709</v>
      </c>
      <c r="C22" s="8">
        <f si="4" t="shared"/>
        <v>2.7110825861170283E-2</v>
      </c>
      <c r="E22" s="9">
        <v>11</v>
      </c>
      <c r="F22" s="9" t="n">
        <v>49147.0</v>
      </c>
      <c r="G22" s="8">
        <f si="5" t="shared"/>
        <v>2.8400120280982766E-2</v>
      </c>
      <c r="U22" s="19"/>
      <c r="V22" s="15"/>
      <c r="W22" s="19"/>
      <c r="Y22" s="19"/>
      <c r="Z22" s="15"/>
      <c r="AA22" s="19"/>
      <c r="AB22" s="5"/>
      <c r="AC22" s="18"/>
    </row>
    <row r="23" spans="1:31" x14ac:dyDescent="0.45">
      <c r="A23">
        <v>12</v>
      </c>
      <c r="B23" s="5" t="n">
        <v>47379.84969440125</v>
      </c>
      <c r="C23" s="8">
        <f si="4" t="shared"/>
        <v>2.3294006937449291E-2</v>
      </c>
      <c r="E23" s="9">
        <v>12</v>
      </c>
      <c r="F23" s="9" t="n">
        <v>44702.0</v>
      </c>
      <c r="G23" s="8">
        <f si="5" t="shared"/>
        <v>2.5845575879440568E-2</v>
      </c>
    </row>
    <row r="24" spans="1:31" x14ac:dyDescent="0.45">
      <c r="A24">
        <v>13</v>
      </c>
      <c r="B24" s="5" t="n">
        <v>37976.69723442086</v>
      </c>
      <c r="C24" s="8">
        <f si="4" t="shared"/>
        <v>1.867100580828869E-2</v>
      </c>
      <c r="E24" s="9">
        <v>13</v>
      </c>
      <c r="F24" s="9" t="n">
        <v>37435.0</v>
      </c>
      <c r="G24" s="8">
        <f si="5" t="shared"/>
        <v>2.1519911124450303E-2</v>
      </c>
    </row>
    <row r="25" spans="1:31" x14ac:dyDescent="0.45">
      <c r="A25">
        <v>14</v>
      </c>
      <c r="B25" s="5" t="n">
        <v>35314.05658017583</v>
      </c>
      <c r="C25" s="8">
        <f si="4" t="shared"/>
        <v>1.7361935174422843E-2</v>
      </c>
      <c r="E25" s="9">
        <v>14</v>
      </c>
      <c r="F25" s="9" t="n">
        <v>32513.0</v>
      </c>
      <c r="G25" s="8">
        <f si="5" t="shared"/>
        <v>1.8911730990554976E-2</v>
      </c>
    </row>
    <row r="26" spans="1:31" x14ac:dyDescent="0.45">
      <c r="A26">
        <v>15</v>
      </c>
      <c r="B26" s="5" t="n">
        <v>35018.565712989795</v>
      </c>
      <c r="C26" s="8">
        <f si="4" t="shared"/>
        <v>1.7216658936642846E-2</v>
      </c>
      <c r="E26" s="9">
        <v>15</v>
      </c>
      <c r="F26" s="9" t="n">
        <v>28610.0</v>
      </c>
      <c r="G26" s="8">
        <f si="5" t="shared"/>
        <v>1.6552899952811968E-2</v>
      </c>
    </row>
    <row r="27" spans="1:31" x14ac:dyDescent="0.45">
      <c r="A27">
        <v>16</v>
      </c>
      <c r="B27" s="5" t="n">
        <v>22020.92039282796</v>
      </c>
      <c r="C27" s="8">
        <f si="4" t="shared"/>
        <v>1.0826447861445361E-2</v>
      </c>
      <c r="E27" s="9">
        <v>16</v>
      </c>
      <c r="F27" s="9" t="n">
        <v>24999.0</v>
      </c>
      <c r="G27" s="8">
        <f si="5" t="shared"/>
        <v>1.4566095484156633E-2</v>
      </c>
    </row>
    <row r="28" spans="1:31" x14ac:dyDescent="0.45">
      <c r="A28">
        <v>17</v>
      </c>
      <c r="B28" s="5" t="n">
        <v>18890.99345626409</v>
      </c>
      <c r="C28" s="8">
        <f si="4" t="shared"/>
        <v>9.2876388478185471E-3</v>
      </c>
      <c r="E28" s="9">
        <v>17</v>
      </c>
      <c r="F28" s="9" t="n">
        <v>21733.0</v>
      </c>
      <c r="G28" s="8">
        <f si="5" t="shared"/>
        <v>1.2460607692847561E-2</v>
      </c>
      <c r="U28" s="20"/>
      <c r="V28" s="5"/>
      <c r="W28" s="20"/>
      <c r="Y28" s="20"/>
      <c r="Z28" s="5"/>
      <c r="AA28" s="20"/>
      <c r="AB28" s="5"/>
      <c r="AC28" s="21"/>
    </row>
    <row r="29" spans="1:31" x14ac:dyDescent="0.45">
      <c r="A29">
        <v>18</v>
      </c>
      <c r="B29" s="5" t="n">
        <v>21828.684513495733</v>
      </c>
      <c r="C29" s="8">
        <f si="4" t="shared"/>
        <v>1.0731936293011222E-2</v>
      </c>
      <c r="E29" s="9">
        <v>18</v>
      </c>
      <c r="F29" s="9" t="n">
        <v>19385.0</v>
      </c>
      <c r="G29" s="8">
        <f si="5" t="shared"/>
        <v>1.0920006869938484E-2</v>
      </c>
      <c r="U29" s="20"/>
      <c r="V29" s="5"/>
      <c r="W29" s="20"/>
      <c r="Y29" s="20"/>
      <c r="Z29" s="5"/>
      <c r="AA29" s="20"/>
      <c r="AB29" s="5"/>
      <c r="AC29" s="21"/>
    </row>
    <row r="30" spans="1:31" x14ac:dyDescent="0.45">
      <c r="A30">
        <v>19</v>
      </c>
      <c r="B30" s="5" t="n">
        <v>17762.493238991123</v>
      </c>
      <c r="C30" s="8">
        <f si="4" t="shared"/>
        <v>8.7328187700930621E-3</v>
      </c>
      <c r="E30" s="9">
        <v>19</v>
      </c>
      <c r="F30" s="9" t="n">
        <v>16893.0</v>
      </c>
      <c r="G30" s="8">
        <f si="5" t="shared"/>
        <v>9.5688428889574868E-3</v>
      </c>
      <c r="U30" s="20"/>
      <c r="V30" s="5"/>
      <c r="W30" s="20"/>
      <c r="Y30" s="20"/>
      <c r="Z30" s="5"/>
      <c r="AA30" s="20"/>
      <c r="AB30" s="5"/>
      <c r="AC30" s="21"/>
    </row>
    <row r="31" spans="1:31" x14ac:dyDescent="0.45">
      <c r="A31">
        <v>20</v>
      </c>
      <c r="B31" s="5" t="n">
        <v>13273.28871488919</v>
      </c>
      <c r="C31" s="8">
        <f si="4" t="shared"/>
        <v>6.5257294272069435E-3</v>
      </c>
      <c r="E31" s="9">
        <v>20</v>
      </c>
      <c r="F31" s="9" t="n">
        <v>14556.0</v>
      </c>
      <c r="G31" s="8">
        <f si="5" t="shared"/>
        <v>8.2895736130455793E-3</v>
      </c>
      <c r="U31" s="20"/>
      <c r="V31" s="5"/>
      <c r="W31" s="20"/>
      <c r="Y31" s="20"/>
      <c r="Z31" s="5"/>
      <c r="AA31" s="20"/>
      <c r="AB31" s="5"/>
      <c r="AC31" s="21"/>
    </row>
    <row r="32" spans="1:31" x14ac:dyDescent="0.45">
      <c r="A32">
        <v>21</v>
      </c>
      <c r="B32" s="5" t="n">
        <v>17644.971704214382</v>
      </c>
      <c r="C32" s="8">
        <f si="4" t="shared"/>
        <v>8.6750400421307279E-3</v>
      </c>
      <c r="E32" s="9">
        <v>21</v>
      </c>
      <c r="F32" s="9" t="n">
        <v>13205.0</v>
      </c>
      <c r="G32" s="8">
        <f si="5" t="shared"/>
        <v>7.5945914640443736E-3</v>
      </c>
      <c r="U32" s="20"/>
      <c r="V32" s="5"/>
      <c r="W32" s="20"/>
      <c r="Y32" s="20"/>
      <c r="Z32" s="5"/>
      <c r="AA32" s="20"/>
      <c r="AB32" s="5"/>
      <c r="AC32" s="21"/>
    </row>
    <row r="33" spans="1:29" x14ac:dyDescent="0.45">
      <c r="A33">
        <v>22</v>
      </c>
      <c r="B33" s="5" t="n">
        <v>12025.036552627467</v>
      </c>
      <c r="C33" s="8">
        <f si="4" t="shared"/>
        <v>5.9120340542803684E-3</v>
      </c>
      <c r="E33" s="9">
        <v>22</v>
      </c>
      <c r="F33" s="9" t="n">
        <v>11340.0</v>
      </c>
      <c r="G33" s="8">
        <f si="5" t="shared"/>
        <v>6.6862075714253927E-3</v>
      </c>
      <c r="U33" s="20"/>
      <c r="V33" s="5"/>
      <c r="W33" s="20"/>
      <c r="Y33" s="20"/>
      <c r="Z33" s="5"/>
      <c r="AA33" s="20"/>
      <c r="AB33" s="5"/>
      <c r="AC33" s="21"/>
    </row>
    <row r="34" spans="1:29" x14ac:dyDescent="0.45">
      <c r="A34">
        <v>23</v>
      </c>
      <c r="B34" s="5" t="n">
        <v>12816.741691698815</v>
      </c>
      <c r="C34" s="8">
        <f si="4" t="shared"/>
        <v>6.301270937066881E-3</v>
      </c>
      <c r="E34" s="9">
        <v>23</v>
      </c>
      <c r="F34" s="9" t="n">
        <v>10442.0</v>
      </c>
      <c r="G34" s="8">
        <f si="5" t="shared"/>
        <v>5.9883724579373179E-3</v>
      </c>
      <c r="U34" s="20"/>
      <c r="V34" s="5"/>
      <c r="W34" s="20"/>
      <c r="Y34" s="20"/>
      <c r="Z34" s="5"/>
      <c r="AA34" s="20"/>
      <c r="AB34" s="5"/>
      <c r="AC34" s="21"/>
    </row>
    <row r="35" spans="1:29" x14ac:dyDescent="0.45">
      <c r="A35">
        <v>24</v>
      </c>
      <c r="B35" s="5" t="n">
        <v>9316.062336279745</v>
      </c>
      <c r="C35" s="8">
        <f si="4" t="shared"/>
        <v>4.5801838142313419E-3</v>
      </c>
      <c r="E35" s="9">
        <v>24</v>
      </c>
      <c r="F35" s="9" t="n">
        <v>9295.0</v>
      </c>
      <c r="G35" s="8">
        <f si="5" t="shared"/>
        <v>5.3692791642868188E-3</v>
      </c>
      <c r="U35" s="20"/>
      <c r="V35" s="5"/>
      <c r="W35" s="20"/>
      <c r="Y35" s="20"/>
      <c r="Z35" s="5"/>
      <c r="AA35" s="20"/>
      <c r="AB35" s="5"/>
      <c r="AC35" s="21"/>
    </row>
    <row r="36" spans="1:29" x14ac:dyDescent="0.45">
      <c r="A36">
        <v>25</v>
      </c>
      <c r="B36" s="5" t="n">
        <v>8821.413953967656</v>
      </c>
      <c r="C36" s="8">
        <f si="4" t="shared"/>
        <v>4.3369930290453468E-3</v>
      </c>
      <c r="E36" s="9">
        <v>25</v>
      </c>
      <c r="F36" s="9" t="n">
        <v>8369.0</v>
      </c>
      <c r="G36" s="8">
        <f si="5" t="shared"/>
        <v>4.7906979663498543E-3</v>
      </c>
      <c r="T36" s="7"/>
      <c r="U36" s="22"/>
      <c r="V36" s="23"/>
      <c r="W36" s="22"/>
      <c r="X36" s="7"/>
      <c r="Y36" s="22"/>
      <c r="Z36" s="23"/>
      <c r="AA36" s="22"/>
      <c r="AB36" s="5"/>
      <c r="AC36" s="21"/>
    </row>
    <row r="37" spans="1:29" x14ac:dyDescent="0.45">
      <c r="A37">
        <v>26</v>
      </c>
      <c r="B37" s="5" t="n">
        <v>7994.959943383832</v>
      </c>
      <c r="C37" s="8">
        <f si="4" t="shared"/>
        <v>3.930672080790054E-3</v>
      </c>
      <c r="E37" s="9">
        <v>26</v>
      </c>
      <c r="F37" s="9" t="n">
        <v>7614.0</v>
      </c>
      <c r="G37" s="8">
        <f si="5" t="shared"/>
        <v>4.2982762959163237E-3</v>
      </c>
      <c r="S37" s="7"/>
      <c r="U37" s="24"/>
      <c r="V37" s="23"/>
      <c r="W37" s="25"/>
      <c r="X37" s="7"/>
      <c r="Y37" s="24"/>
      <c r="Z37" s="23"/>
      <c r="AA37" s="25"/>
      <c r="AB37" s="5"/>
      <c r="AC37" s="21"/>
    </row>
    <row r="38" spans="1:29" x14ac:dyDescent="0.45">
      <c r="A38">
        <v>27</v>
      </c>
      <c r="B38" s="5" t="n">
        <v>8416.03495864986</v>
      </c>
      <c r="C38" s="8">
        <f si="4" t="shared"/>
        <v>4.1376909799646635E-3</v>
      </c>
      <c r="E38" s="9">
        <v>27</v>
      </c>
      <c r="F38" s="9" t="n">
        <v>6940.0</v>
      </c>
      <c r="G38" s="8">
        <f si="5" t="shared"/>
        <v>3.7613483794876417E-3</v>
      </c>
    </row>
    <row r="39" spans="1:29" x14ac:dyDescent="0.45">
      <c r="A39">
        <v>28</v>
      </c>
      <c r="B39" s="5" t="n">
        <v>6481.122730798241</v>
      </c>
      <c r="C39" s="8">
        <f si="4" t="shared"/>
        <v>3.1864034780066932E-3</v>
      </c>
      <c r="E39" s="9">
        <v>28</v>
      </c>
      <c r="F39" s="9" t="n">
        <v>5865.0</v>
      </c>
      <c r="G39" s="8">
        <f si="5" t="shared"/>
        <v>3.4167102694739075E-3</v>
      </c>
    </row>
    <row r="40" spans="1:29" x14ac:dyDescent="0.45">
      <c r="A40">
        <v>29</v>
      </c>
      <c r="B40" s="5" t="n">
        <v>7113.067892094074</v>
      </c>
      <c r="C40" s="8">
        <f si="4" t="shared"/>
        <v>3.4970953663571139E-3</v>
      </c>
      <c r="E40" s="9">
        <v>29</v>
      </c>
      <c r="F40" s="9" t="n">
        <v>5353.0</v>
      </c>
      <c r="G40" s="8">
        <f si="5" t="shared"/>
        <v>3.0680780091785573E-3</v>
      </c>
    </row>
    <row r="41" spans="1:29" x14ac:dyDescent="0.45">
      <c r="A41">
        <v>30</v>
      </c>
      <c r="B41" s="5" t="n">
        <v>5375.50346581842</v>
      </c>
      <c r="C41" s="8">
        <f si="4" t="shared"/>
        <v>2.6428326774505058E-3</v>
      </c>
      <c r="E41" s="9">
        <v>30</v>
      </c>
      <c r="F41" s="9" t="n">
        <v>4781.0</v>
      </c>
      <c r="G41" s="8">
        <f si="5" t="shared"/>
        <v>2.8078876479761357E-3</v>
      </c>
    </row>
    <row r="42" spans="1:29" x14ac:dyDescent="0.45">
      <c r="A42">
        <v>31</v>
      </c>
      <c r="B42" s="5" t="n">
        <v>9460.192724217039</v>
      </c>
      <c r="C42" s="8">
        <f si="4" t="shared"/>
        <v>4.6510446185218483E-3</v>
      </c>
      <c r="E42" s="9">
        <v>31</v>
      </c>
      <c r="F42" s="9" t="n">
        <v>4138.0</v>
      </c>
      <c r="G42" s="8">
        <f si="5" t="shared"/>
        <v>2.3913548328933112E-3</v>
      </c>
    </row>
    <row r="43" spans="1:29" x14ac:dyDescent="0.45">
      <c r="A43">
        <v>32</v>
      </c>
      <c r="B43" s="5" t="n">
        <v>5714.814942411321</v>
      </c>
      <c r="C43" s="8">
        <f si="4" t="shared"/>
        <v>2.8096530439288983E-3</v>
      </c>
      <c r="E43" s="9">
        <v>32</v>
      </c>
      <c r="F43" s="9" t="n">
        <v>3648.0</v>
      </c>
      <c r="G43" s="8">
        <f si="5" t="shared"/>
        <v>2.0838052612088694E-3</v>
      </c>
    </row>
    <row r="44" spans="1:29" x14ac:dyDescent="0.45">
      <c r="A44">
        <v>33</v>
      </c>
      <c r="B44" s="5" t="n">
        <v>3075.5728075731</v>
      </c>
      <c r="C44" s="8">
        <f si="4" t="shared"/>
        <v>1.5120861458685457E-3</v>
      </c>
      <c r="E44" s="9">
        <v>33</v>
      </c>
      <c r="F44" s="9" t="n">
        <v>3028.0</v>
      </c>
      <c r="G44" s="8">
        <f si="5" t="shared"/>
        <v>1.7414495227846302E-3</v>
      </c>
    </row>
    <row r="45" spans="1:29" x14ac:dyDescent="0.45">
      <c r="A45">
        <v>34</v>
      </c>
      <c r="B45" s="5" t="n">
        <v>3734.53420763232</v>
      </c>
      <c r="C45" s="8">
        <f si="4" t="shared"/>
        <v>1.836060399132262E-3</v>
      </c>
      <c r="E45" s="9">
        <v>34</v>
      </c>
      <c r="F45" s="9" t="n">
        <v>2576.0</v>
      </c>
      <c r="G45" s="8">
        <f si="5" t="shared"/>
        <v>1.4287646150238252E-3</v>
      </c>
    </row>
    <row r="46" spans="1:29" x14ac:dyDescent="0.45">
      <c r="A46">
        <v>35</v>
      </c>
      <c r="B46" s="5" t="n">
        <v>2921.1089363637825</v>
      </c>
      <c r="C46" s="8">
        <f si="4" t="shared"/>
        <v>1.4361449491205052E-3</v>
      </c>
      <c r="E46" s="9">
        <v>35</v>
      </c>
      <c r="F46" s="9" t="n">
        <v>2160.0</v>
      </c>
      <c r="G46" s="8">
        <f si="5" t="shared"/>
        <v>1.2222099861745341E-3</v>
      </c>
    </row>
    <row r="47" spans="1:29" x14ac:dyDescent="0.45">
      <c r="A47">
        <v>36</v>
      </c>
      <c r="B47" s="5" t="n">
        <v>5645.604249773971</v>
      </c>
      <c r="C47" s="8">
        <f si="4" t="shared"/>
        <v>2.7756260395200897E-3</v>
      </c>
      <c r="E47" s="9">
        <v>36</v>
      </c>
      <c r="F47" s="9" t="n">
        <v>1754.0</v>
      </c>
      <c r="G47" s="8">
        <f si="5" t="shared"/>
        <v>9.6487258945898095E-4</v>
      </c>
    </row>
    <row r="48" spans="1:29" x14ac:dyDescent="0.45">
      <c r="A48">
        <v>37</v>
      </c>
      <c r="B48" s="5" t="n">
        <v>1549.254042038023</v>
      </c>
      <c r="C48" s="8">
        <f si="4" t="shared"/>
        <v>7.6168106559800928E-4</v>
      </c>
      <c r="E48" s="9">
        <v>37</v>
      </c>
      <c r="F48" s="9" t="n">
        <v>1469.0</v>
      </c>
      <c r="G48" s="8">
        <f si="5" t="shared"/>
        <v>8.3934215203675989E-4</v>
      </c>
    </row>
    <row r="49" spans="1:7" x14ac:dyDescent="0.45">
      <c r="A49">
        <v>38</v>
      </c>
      <c r="B49" s="5" t="n">
        <v>899.1585398647228</v>
      </c>
      <c r="C49" s="8">
        <f si="4" t="shared"/>
        <v>4.4206567561041972E-4</v>
      </c>
      <c r="E49" s="9">
        <v>38</v>
      </c>
      <c r="F49" s="9" t="n">
        <v>1249.0</v>
      </c>
      <c r="G49" s="8">
        <f si="5" t="shared"/>
        <v>6.7786436207999373E-4</v>
      </c>
    </row>
    <row r="50" spans="1:7" x14ac:dyDescent="0.45">
      <c r="A50">
        <v>39</v>
      </c>
      <c r="B50" s="5" t="n">
        <v>1825.6138083404157</v>
      </c>
      <c r="C50" s="8">
        <f si="4" t="shared"/>
        <v>8.9755161721439625E-4</v>
      </c>
      <c r="E50" s="9">
        <v>39</v>
      </c>
      <c r="F50" s="9" t="n">
        <v>1053.0</v>
      </c>
      <c r="G50" s="8">
        <f si="5" t="shared"/>
        <v>6.1738151495837809E-4</v>
      </c>
    </row>
    <row r="51" spans="1:7" x14ac:dyDescent="0.45">
      <c r="A51">
        <v>40</v>
      </c>
      <c r="B51" s="5" t="n">
        <v>2329.852932443594</v>
      </c>
      <c r="C51" s="8">
        <f si="4" t="shared"/>
        <v>1.145457630651597E-3</v>
      </c>
      <c r="E51" s="9">
        <v>40</v>
      </c>
      <c r="F51" s="9" t="n">
        <v>929.0</v>
      </c>
      <c r="G51" s="8">
        <f si="5" t="shared"/>
        <v>5.7173408316847955E-4</v>
      </c>
    </row>
    <row r="52" spans="1:7" x14ac:dyDescent="0.45">
      <c r="A52">
        <v>41</v>
      </c>
      <c r="B52" s="5" t="n">
        <v>1776.5713248290563</v>
      </c>
      <c r="C52" s="8">
        <f si="4" t="shared"/>
        <v>8.7344018675373049E-4</v>
      </c>
      <c r="E52" s="9">
        <v>41</v>
      </c>
      <c r="F52" s="9" t="n">
        <v>783.0</v>
      </c>
      <c r="G52" s="8">
        <f si="5" t="shared"/>
        <v>4.393565309777737E-4</v>
      </c>
    </row>
    <row r="53" spans="1:7" x14ac:dyDescent="0.45">
      <c r="A53">
        <v>42</v>
      </c>
      <c r="B53" s="5" t="n">
        <v>688.0370341058295</v>
      </c>
      <c r="C53" s="8">
        <f si="4" t="shared"/>
        <v>3.3826910699501672E-4</v>
      </c>
      <c r="E53" s="9">
        <v>42</v>
      </c>
      <c r="F53" s="9" t="n">
        <v>697.0</v>
      </c>
      <c r="G53" s="8">
        <f si="5" t="shared"/>
        <v>3.8857376311151156E-4</v>
      </c>
    </row>
    <row r="54" spans="1:7" x14ac:dyDescent="0.45">
      <c r="A54">
        <v>43</v>
      </c>
      <c r="B54" s="5" t="n">
        <v>1918.7147139494934</v>
      </c>
      <c r="C54" s="8">
        <f si="4" t="shared"/>
        <v>9.4332409549638071E-4</v>
      </c>
      <c r="E54" s="9">
        <v>43</v>
      </c>
      <c r="F54" s="9" t="n">
        <v>548.0</v>
      </c>
      <c r="G54" s="8">
        <f si="5" t="shared"/>
        <v>3.046966071975729E-4</v>
      </c>
    </row>
    <row r="55" spans="1:7" x14ac:dyDescent="0.45">
      <c r="A55">
        <v>44</v>
      </c>
      <c r="B55" s="5" t="n">
        <v>673.886457276529</v>
      </c>
      <c r="C55" s="8">
        <f si="4" t="shared"/>
        <v>3.3131206435016452E-4</v>
      </c>
      <c r="E55" s="9">
        <v>44</v>
      </c>
      <c r="F55" s="9" t="n">
        <v>447.0</v>
      </c>
      <c r="G55" s="8">
        <f si="5" t="shared"/>
        <v>2.8244348419999738E-4</v>
      </c>
    </row>
    <row r="56" spans="1:7" x14ac:dyDescent="0.45">
      <c r="A56">
        <v>45</v>
      </c>
      <c r="B56" s="5" t="n">
        <v>857.5808258466833</v>
      </c>
      <c r="C56" s="8">
        <f si="4" t="shared"/>
        <v>4.2162425240991637E-4</v>
      </c>
      <c r="E56" s="9">
        <v>45</v>
      </c>
      <c r="F56" s="9" t="n">
        <v>387.0</v>
      </c>
      <c r="G56" s="8">
        <f si="5" t="shared"/>
        <v>2.3223130923110896E-4</v>
      </c>
    </row>
    <row r="57" spans="1:7" x14ac:dyDescent="0.45">
      <c r="A57">
        <v>46</v>
      </c>
      <c r="B57" s="5" t="n">
        <v>777.8955911839918</v>
      </c>
      <c r="C57" s="8">
        <f si="4" t="shared"/>
        <v>3.82447504889243E-4</v>
      </c>
      <c r="E57" s="9">
        <v>46</v>
      </c>
      <c r="F57" s="9" t="n">
        <v>364.0</v>
      </c>
      <c r="G57" s="8">
        <f si="5" t="shared"/>
        <v>1.8886624903070531E-4</v>
      </c>
    </row>
    <row r="58" spans="1:7" x14ac:dyDescent="0.45">
      <c r="A58">
        <v>47</v>
      </c>
      <c r="B58" s="5" t="n">
        <v>26.8818455625007</v>
      </c>
      <c r="C58" s="8">
        <f si="4" t="shared"/>
        <v>1.3216291336152685E-5</v>
      </c>
      <c r="E58" s="9">
        <v>47</v>
      </c>
      <c r="F58" s="9" t="n">
        <v>312.0</v>
      </c>
      <c r="G58" s="8">
        <f si="5" t="shared"/>
        <v>1.7003668341737216E-4</v>
      </c>
    </row>
    <row r="59" spans="1:7" x14ac:dyDescent="0.45">
      <c r="A59">
        <v>48</v>
      </c>
      <c r="B59" s="5" t="n">
        <v>1362.3991644141013</v>
      </c>
      <c r="C59" s="8">
        <f si="4" t="shared"/>
        <v>6.6981503301787211E-4</v>
      </c>
      <c r="E59" s="9">
        <v>48</v>
      </c>
      <c r="F59" s="9" t="n">
        <v>257.0</v>
      </c>
      <c r="G59" s="8">
        <f si="5" t="shared"/>
        <v>1.2952458770383718E-4</v>
      </c>
    </row>
    <row r="60" spans="1:7" x14ac:dyDescent="0.45">
      <c r="A60">
        <v>49</v>
      </c>
      <c r="B60" s="5" t="n">
        <v>114.815948676104</v>
      </c>
      <c r="C60" s="8">
        <f si="4" t="shared"/>
        <v>5.6448543468195704E-5</v>
      </c>
      <c r="E60" s="9">
        <v>49</v>
      </c>
      <c r="F60" s="9" t="n">
        <v>215.0</v>
      </c>
      <c r="G60" s="8">
        <f si="5" t="shared"/>
        <v>1.1468917237212014E-4</v>
      </c>
    </row>
    <row r="61" spans="1:7" x14ac:dyDescent="0.45">
      <c r="A61">
        <v>50</v>
      </c>
      <c r="B61" s="5" t="n">
        <v>507.876276833562</v>
      </c>
      <c r="C61" s="8">
        <f si="4" t="shared"/>
        <v>2.4969419684176171E-4</v>
      </c>
      <c r="E61" s="9">
        <v>50</v>
      </c>
      <c r="F61" s="9" t="n">
        <v>200.0</v>
      </c>
      <c r="G61" s="8">
        <f si="5" t="shared"/>
        <v>1.1525976526949388E-4</v>
      </c>
    </row>
    <row r="62" spans="1:7" x14ac:dyDescent="0.45">
      <c r="A62">
        <v>51</v>
      </c>
      <c r="B62" s="5" t="n">
        <v>362.3325764398585</v>
      </c>
      <c r="C62" s="8">
        <f si="4" t="shared"/>
        <v>1.781385463164796E-4</v>
      </c>
      <c r="E62" s="9">
        <v>51</v>
      </c>
      <c r="F62" s="9" t="n">
        <v>139.0</v>
      </c>
      <c r="G62" s="8">
        <f si="5" t="shared"/>
        <v>8.3877155913938617E-5</v>
      </c>
    </row>
    <row r="63" spans="1:7" x14ac:dyDescent="0.45">
      <c r="A63">
        <v>52</v>
      </c>
      <c r="B63" s="5" t="n">
        <v>656.0833790099371</v>
      </c>
      <c r="C63" s="8">
        <f si="4" t="shared"/>
        <v>3.2255929220494285E-4</v>
      </c>
      <c r="E63" s="9">
        <v>52</v>
      </c>
      <c r="F63" s="9" t="n">
        <v>137.0</v>
      </c>
      <c r="G63" s="8">
        <f si="5" t="shared"/>
        <v>7.8171226940201299E-5</v>
      </c>
    </row>
    <row r="64" spans="1:7" x14ac:dyDescent="0.45">
      <c r="A64">
        <v>53</v>
      </c>
      <c r="B64" s="5" t="n">
        <v>129.557385017837</v>
      </c>
      <c r="C64" s="8">
        <f si="4" t="shared"/>
        <v>6.3696078498955255E-5</v>
      </c>
      <c r="E64" s="9">
        <v>53</v>
      </c>
      <c r="F64" s="9" t="n">
        <v>113.0</v>
      </c>
      <c r="G64" s="8">
        <f si="5" t="shared"/>
        <v>6.4476997403231727E-5</v>
      </c>
    </row>
    <row r="65" spans="1:7" x14ac:dyDescent="0.45">
      <c r="A65">
        <v>54</v>
      </c>
      <c r="B65" s="5" t="n">
        <v>0.0</v>
      </c>
      <c r="C65" s="8">
        <f si="4" t="shared"/>
        <v>0</v>
      </c>
      <c r="E65" s="9">
        <v>54</v>
      </c>
      <c r="F65" s="9" t="n">
        <v>105.0</v>
      </c>
      <c r="G65" s="8">
        <f si="5" t="shared"/>
        <v>5.7629882634746941E-5</v>
      </c>
    </row>
    <row r="66" spans="1:7" x14ac:dyDescent="0.45">
      <c r="A66">
        <v>55</v>
      </c>
      <c r="B66" s="5" t="n">
        <v>565.9368741677762</v>
      </c>
      <c r="C66" s="8">
        <f si="4" t="shared"/>
        <v>2.7823932659246775E-4</v>
      </c>
      <c r="E66" s="9">
        <v>55</v>
      </c>
      <c r="F66" s="9" t="n">
        <v>89.0</v>
      </c>
      <c r="G66" s="8">
        <f si="5" t="shared"/>
        <v>5.6488696839999473E-5</v>
      </c>
    </row>
    <row r="67" spans="1:7" x14ac:dyDescent="0.45">
      <c r="A67">
        <v>56</v>
      </c>
      <c r="B67" s="5" t="n">
        <v>409.78629076399864</v>
      </c>
      <c r="C67" s="8">
        <f si="4" t="shared"/>
        <v>2.0146886833742256E-4</v>
      </c>
      <c r="E67" s="9">
        <v>56</v>
      </c>
      <c r="F67" s="9" t="n">
        <v>88.0</v>
      </c>
      <c r="G67" s="8">
        <f si="5" t="shared"/>
        <v>4.9070989174140956E-5</v>
      </c>
    </row>
    <row r="68" spans="1:7" x14ac:dyDescent="0.45">
      <c r="A68">
        <v>57</v>
      </c>
      <c r="B68" s="5" t="n">
        <v>0.0</v>
      </c>
      <c r="C68" s="8">
        <f si="4" t="shared"/>
        <v>0</v>
      </c>
      <c r="E68" s="9">
        <v>57</v>
      </c>
      <c r="F68" s="9" t="n">
        <v>60.0</v>
      </c>
      <c r="G68" s="8">
        <f si="5" t="shared"/>
        <v>3.4235573842423923E-5</v>
      </c>
    </row>
    <row r="69" spans="1:7" x14ac:dyDescent="0.45">
      <c r="A69">
        <v>58</v>
      </c>
      <c r="B69" s="5" t="n">
        <v>40.512360877359</v>
      </c>
      <c r="C69" s="8">
        <f si="4" t="shared"/>
        <v>1.9917648988261009E-5</v>
      </c>
      <c r="E69" s="9">
        <v>58</v>
      </c>
      <c r="F69" s="9" t="n">
        <v>68.0</v>
      </c>
      <c r="G69" s="8">
        <f si="5" t="shared"/>
        <v>3.1382609355555264E-5</v>
      </c>
    </row>
    <row r="70" spans="1:7" x14ac:dyDescent="0.45">
      <c r="A70">
        <v>59</v>
      </c>
      <c r="B70" s="5" t="n">
        <v>0.0</v>
      </c>
      <c r="C70" s="8">
        <f si="4" t="shared"/>
        <v>0</v>
      </c>
      <c r="E70" s="9">
        <v>59</v>
      </c>
      <c r="F70" s="9" t="n">
        <v>44.0</v>
      </c>
      <c r="G70" s="8">
        <f si="5" t="shared"/>
        <v>2.2253122997575549E-5</v>
      </c>
    </row>
    <row r="71" spans="1:7" x14ac:dyDescent="0.45">
      <c r="A71">
        <v>60</v>
      </c>
      <c r="B71" s="5" t="n">
        <v>0.0</v>
      </c>
      <c r="C71" s="8">
        <f si="4" t="shared"/>
        <v>0</v>
      </c>
      <c r="E71" s="9">
        <v>60</v>
      </c>
      <c r="F71" s="9" t="n">
        <v>31.0</v>
      </c>
      <c r="G71" s="8">
        <f si="5" t="shared"/>
        <v>2.1111937202828085E-5</v>
      </c>
    </row>
    <row r="72" spans="1:7" x14ac:dyDescent="0.45">
      <c r="A72">
        <v>61</v>
      </c>
      <c r="B72" s="5" t="n">
        <v>0.0</v>
      </c>
      <c r="C72" s="8">
        <f si="4" t="shared"/>
        <v>0</v>
      </c>
      <c r="E72" s="9">
        <v>61</v>
      </c>
      <c r="F72" s="9" t="n">
        <v>28.0</v>
      </c>
      <c r="G72" s="8">
        <f si="5" t="shared"/>
        <v>1.4835415331717035E-5</v>
      </c>
    </row>
    <row r="73" spans="1:7" x14ac:dyDescent="0.45">
      <c r="A73">
        <v>62</v>
      </c>
      <c r="B73" s="5" t="n">
        <v>0.0</v>
      </c>
      <c r="C73" s="8">
        <f si="4" t="shared"/>
        <v>0</v>
      </c>
      <c r="E73" s="9">
        <v>62</v>
      </c>
      <c r="F73" s="9" t="n">
        <v>16.0</v>
      </c>
      <c r="G73" s="8">
        <f si="5" t="shared"/>
        <v>1.1411857947474642E-5</v>
      </c>
    </row>
    <row r="74" spans="1:7" x14ac:dyDescent="0.45">
      <c r="A74">
        <v>63</v>
      </c>
      <c r="B74" s="5" t="n">
        <v>115.000259629041</v>
      </c>
      <c r="C74" s="8">
        <f si="4" t="shared"/>
        <v>5.6539158796105234E-5</v>
      </c>
      <c r="E74" s="9">
        <v>63</v>
      </c>
      <c r="F74" s="9" t="n">
        <v>18.0</v>
      </c>
      <c r="G74" s="8">
        <f si="5" t="shared"/>
        <v>6.8471147684847852E-6</v>
      </c>
    </row>
    <row r="75" spans="1:7" x14ac:dyDescent="0.45">
      <c r="A75">
        <v>64</v>
      </c>
      <c r="B75" s="5" t="n">
        <v>0.0</v>
      </c>
      <c r="C75" s="8">
        <f si="4" t="shared"/>
        <v>0</v>
      </c>
      <c r="E75" s="9">
        <v>64</v>
      </c>
      <c r="F75" s="9" t="n">
        <v>14.0</v>
      </c>
      <c r="G75" s="8">
        <f si="5" t="shared"/>
        <v>5.1353360763635887E-6</v>
      </c>
    </row>
    <row r="76" spans="1:7" x14ac:dyDescent="0.45">
      <c r="A76">
        <v>65</v>
      </c>
      <c r="B76" s="5" t="n">
        <v>0.0</v>
      </c>
      <c r="C76" s="8">
        <f si="4" t="shared"/>
        <v>0</v>
      </c>
      <c r="E76" s="9">
        <v>65</v>
      </c>
      <c r="F76" s="9" t="n">
        <v>6.0</v>
      </c>
      <c r="G76" s="8">
        <f si="5" t="shared"/>
        <v>4.5647431789898565E-6</v>
      </c>
    </row>
    <row r="77" spans="1:7" x14ac:dyDescent="0.45">
      <c r="A77">
        <v>66</v>
      </c>
      <c r="B77" s="5" t="n">
        <v>0.0</v>
      </c>
      <c r="C77" s="8">
        <f ref="C77:C102" si="8" t="shared">B77/B$102</f>
        <v>0</v>
      </c>
      <c r="E77" s="9">
        <v>66</v>
      </c>
      <c r="F77" s="9" t="n">
        <v>13.0</v>
      </c>
      <c r="G77" s="8">
        <f ref="G77:G102" si="9" t="shared">F77/F$102</f>
        <v>5.1353360763635887E-6</v>
      </c>
    </row>
    <row r="78" spans="1:7" x14ac:dyDescent="0.45">
      <c r="A78">
        <v>67</v>
      </c>
      <c r="B78" s="5" t="n">
        <v>0.0</v>
      </c>
      <c r="C78" s="8">
        <f si="8" t="shared"/>
        <v>0</v>
      </c>
      <c r="E78" s="9">
        <v>67</v>
      </c>
      <c r="F78" s="9" t="n">
        <v>4.0</v>
      </c>
      <c r="G78" s="8">
        <f si="9" t="shared"/>
        <v>3.9941502816161243E-6</v>
      </c>
    </row>
    <row r="79" spans="1:7" x14ac:dyDescent="0.45">
      <c r="A79">
        <v>68</v>
      </c>
      <c r="B79" s="5" t="n">
        <v>0.0</v>
      </c>
      <c r="C79" s="8">
        <f si="8" t="shared"/>
        <v>0</v>
      </c>
      <c r="E79" s="9">
        <v>68</v>
      </c>
      <c r="F79" s="9" t="n">
        <v>6.0</v>
      </c>
      <c r="G79" s="8">
        <f si="9" t="shared"/>
        <v>5.7059289737373208E-6</v>
      </c>
    </row>
    <row r="80" spans="1:7" x14ac:dyDescent="0.45">
      <c r="A80">
        <v>69</v>
      </c>
      <c r="B80" s="5" t="n">
        <v>0.0</v>
      </c>
      <c r="C80" s="8">
        <f si="8" t="shared"/>
        <v>0</v>
      </c>
      <c r="E80" s="9">
        <v>69</v>
      </c>
      <c r="F80" s="9" t="n">
        <v>5.0</v>
      </c>
      <c r="G80" s="8">
        <f si="9" t="shared"/>
        <v>3.4235573842423926E-6</v>
      </c>
    </row>
    <row r="81" spans="1:7" x14ac:dyDescent="0.45">
      <c r="A81">
        <v>70</v>
      </c>
      <c r="B81" s="5" t="n">
        <v>0.0</v>
      </c>
      <c r="C81" s="8">
        <f si="8" t="shared"/>
        <v>0</v>
      </c>
      <c r="E81" s="9">
        <v>70</v>
      </c>
      <c r="F81" s="9" t="n">
        <v>6.0</v>
      </c>
      <c r="G81" s="8">
        <f si="9" t="shared"/>
        <v>1.7117786921211963E-6</v>
      </c>
    </row>
    <row r="82" spans="1:7" x14ac:dyDescent="0.45">
      <c r="A82">
        <v>71</v>
      </c>
      <c r="B82" s="5" t="n">
        <v>0.0</v>
      </c>
      <c r="C82" s="8">
        <f si="8" t="shared"/>
        <v>0</v>
      </c>
      <c r="E82" s="9">
        <v>71</v>
      </c>
      <c r="F82" s="9" t="n">
        <v>1.0</v>
      </c>
      <c r="G82" s="8">
        <f si="9" t="shared"/>
        <v>1.1411857947474641E-6</v>
      </c>
    </row>
    <row r="83" spans="1:7" x14ac:dyDescent="0.45">
      <c r="A83">
        <v>72</v>
      </c>
      <c r="B83" s="5" t="n">
        <v>0.0</v>
      </c>
      <c r="C83" s="8">
        <f si="8" t="shared"/>
        <v>0</v>
      </c>
      <c r="E83" s="9">
        <v>72</v>
      </c>
      <c r="F83" s="9" t="n">
        <v>2.0</v>
      </c>
      <c r="G83" s="8">
        <f si="9" t="shared"/>
        <v>1.1411857947474641E-6</v>
      </c>
    </row>
    <row r="84" spans="1:7" x14ac:dyDescent="0.45">
      <c r="A84">
        <v>73</v>
      </c>
      <c r="B84" s="5" t="n">
        <v>0.0</v>
      </c>
      <c r="C84" s="8">
        <f si="8" t="shared"/>
        <v>0</v>
      </c>
      <c r="E84" s="9">
        <v>73</v>
      </c>
      <c r="F84" s="9" t="n">
        <v>0.0</v>
      </c>
      <c r="G84" s="8">
        <f si="9" t="shared"/>
        <v>1.1411857947474641E-6</v>
      </c>
    </row>
    <row r="85" spans="1:7" x14ac:dyDescent="0.45">
      <c r="A85">
        <v>74</v>
      </c>
      <c r="B85" s="5" t="n">
        <v>0.0</v>
      </c>
      <c r="C85" s="8">
        <f si="8" t="shared"/>
        <v>0</v>
      </c>
      <c r="E85" s="9">
        <v>74</v>
      </c>
      <c r="F85" s="9" t="n">
        <v>2.0</v>
      </c>
      <c r="G85" s="8">
        <f si="9" t="shared"/>
        <v>1.1411857947474641E-6</v>
      </c>
    </row>
    <row r="86" spans="1:7" x14ac:dyDescent="0.45">
      <c r="A86">
        <v>75</v>
      </c>
      <c r="B86" s="5" t="n">
        <v>0.0</v>
      </c>
      <c r="C86" s="8">
        <f si="8" t="shared"/>
        <v>0</v>
      </c>
      <c r="E86" s="9">
        <v>75</v>
      </c>
      <c r="F86" s="9" t="n">
        <v>1.0</v>
      </c>
      <c r="G86" s="8">
        <f si="9" t="shared"/>
        <v>5.7059289737373206E-7</v>
      </c>
    </row>
    <row r="87" spans="1:7" x14ac:dyDescent="0.45">
      <c r="A87">
        <v>76</v>
      </c>
      <c r="B87" s="5" t="n">
        <v>0.0</v>
      </c>
      <c r="C87" s="8">
        <f si="8" t="shared"/>
        <v>0</v>
      </c>
      <c r="E87" s="9">
        <v>76</v>
      </c>
      <c r="F87" s="9" t="n">
        <v>1.0</v>
      </c>
      <c r="G87" s="8">
        <f si="9" t="shared"/>
        <v>0</v>
      </c>
    </row>
    <row r="88" spans="1:7" x14ac:dyDescent="0.45">
      <c r="A88">
        <v>77</v>
      </c>
      <c r="B88" s="5" t="n">
        <v>0.0</v>
      </c>
      <c r="C88" s="8">
        <f si="8" t="shared"/>
        <v>0</v>
      </c>
      <c r="E88" s="9">
        <v>77</v>
      </c>
      <c r="F88" s="9" t="n">
        <v>0.0</v>
      </c>
      <c r="G88" s="8">
        <f si="9" t="shared"/>
        <v>0</v>
      </c>
    </row>
    <row r="89" spans="1:7" x14ac:dyDescent="0.45">
      <c r="A89">
        <v>78</v>
      </c>
      <c r="B89" s="5" t="n">
        <v>0.0</v>
      </c>
      <c r="C89" s="8">
        <f si="8" t="shared"/>
        <v>0</v>
      </c>
      <c r="E89" s="9">
        <v>78</v>
      </c>
      <c r="F89" s="9" t="n">
        <v>2.0</v>
      </c>
      <c r="G89" s="8">
        <f si="9" t="shared"/>
        <v>5.7059289737373206E-7</v>
      </c>
    </row>
    <row r="90" spans="1:7" x14ac:dyDescent="0.45">
      <c r="A90">
        <v>79</v>
      </c>
      <c r="B90" s="5" t="n">
        <v>0.0</v>
      </c>
      <c r="C90" s="8">
        <f si="8" t="shared"/>
        <v>0</v>
      </c>
      <c r="E90" s="9">
        <v>79</v>
      </c>
      <c r="F90" s="9" t="n">
        <v>1.0</v>
      </c>
      <c r="G90" s="8">
        <f si="9" t="shared"/>
        <v>5.7059289737373206E-7</v>
      </c>
    </row>
    <row r="91" spans="1:7" x14ac:dyDescent="0.45">
      <c r="A91">
        <v>80</v>
      </c>
      <c r="B91" s="5" t="n">
        <v>0.0</v>
      </c>
      <c r="C91" s="8">
        <f si="8" t="shared"/>
        <v>0</v>
      </c>
      <c r="E91" s="9">
        <v>80</v>
      </c>
      <c r="F91" s="9" t="n">
        <v>0.0</v>
      </c>
      <c r="G91" s="8">
        <f si="9" t="shared"/>
        <v>0</v>
      </c>
    </row>
    <row r="92" spans="1:7" x14ac:dyDescent="0.45">
      <c r="A92">
        <v>81</v>
      </c>
      <c r="B92" s="5" t="n">
        <v>0.0</v>
      </c>
      <c r="C92" s="8">
        <f si="8" t="shared"/>
        <v>0</v>
      </c>
      <c r="E92" s="9">
        <v>81</v>
      </c>
      <c r="F92" s="9" t="n">
        <v>0.0</v>
      </c>
      <c r="G92" s="8">
        <f si="9" t="shared"/>
        <v>0</v>
      </c>
    </row>
    <row r="93" spans="1:7" x14ac:dyDescent="0.45">
      <c r="A93">
        <v>82</v>
      </c>
      <c r="B93" s="5" t="n">
        <v>0.0</v>
      </c>
      <c r="C93" s="8">
        <f si="8" t="shared"/>
        <v>0</v>
      </c>
      <c r="E93" s="9">
        <v>82</v>
      </c>
      <c r="F93" s="9" t="n">
        <v>1.0</v>
      </c>
      <c r="G93" s="8">
        <f si="9" t="shared"/>
        <v>5.7059289737373206E-7</v>
      </c>
    </row>
    <row r="94" spans="1:7" x14ac:dyDescent="0.45">
      <c r="A94">
        <v>83</v>
      </c>
      <c r="B94" s="5" t="n">
        <v>0.0</v>
      </c>
      <c r="C94" s="8">
        <f si="8" t="shared"/>
        <v>0</v>
      </c>
      <c r="E94" s="9">
        <v>83</v>
      </c>
      <c r="F94" s="9" t="n">
        <v>1.0</v>
      </c>
      <c r="G94" s="8">
        <f si="9" t="shared"/>
        <v>0</v>
      </c>
    </row>
    <row r="95" spans="1:7" x14ac:dyDescent="0.45">
      <c r="A95">
        <v>84</v>
      </c>
      <c r="B95" s="5" t="n">
        <v>0.0</v>
      </c>
      <c r="C95" s="8">
        <f si="8" t="shared"/>
        <v>0</v>
      </c>
      <c r="E95" s="9">
        <v>84</v>
      </c>
      <c r="F95" s="9" t="n">
        <v>1.0</v>
      </c>
      <c r="G95" s="8">
        <f si="9" t="shared"/>
        <v>0</v>
      </c>
    </row>
    <row r="96" spans="1:7" x14ac:dyDescent="0.45">
      <c r="A96">
        <v>85</v>
      </c>
      <c r="B96" s="5" t="n">
        <v>0.0</v>
      </c>
      <c r="C96" s="8">
        <f si="8" t="shared"/>
        <v>0</v>
      </c>
      <c r="E96" s="9">
        <v>85</v>
      </c>
      <c r="F96" s="9" t="n">
        <v>0.0</v>
      </c>
      <c r="G96" s="8">
        <f si="9" t="shared"/>
        <v>0</v>
      </c>
    </row>
    <row r="97" spans="1:7" x14ac:dyDescent="0.45">
      <c r="A97">
        <v>86</v>
      </c>
      <c r="B97" s="5" t="n">
        <v>0.0</v>
      </c>
      <c r="C97" s="8">
        <f si="8" t="shared"/>
        <v>0</v>
      </c>
      <c r="E97" s="9">
        <v>86</v>
      </c>
      <c r="F97" s="9" t="n">
        <v>0.0</v>
      </c>
      <c r="G97" s="8">
        <f si="9" t="shared"/>
        <v>0</v>
      </c>
    </row>
    <row r="98" spans="1:7" x14ac:dyDescent="0.45">
      <c r="A98">
        <v>87</v>
      </c>
      <c r="B98" s="5" t="n">
        <v>0.0</v>
      </c>
      <c r="C98" s="8">
        <f si="8" t="shared"/>
        <v>0</v>
      </c>
      <c r="E98" s="9">
        <v>87</v>
      </c>
      <c r="F98" s="9" t="n">
        <v>0.0</v>
      </c>
      <c r="G98" s="8">
        <f si="9" t="shared"/>
        <v>5.7059289737373206E-7</v>
      </c>
    </row>
    <row r="99" spans="1:7" x14ac:dyDescent="0.45">
      <c r="A99">
        <v>88</v>
      </c>
      <c r="B99" s="5" t="n">
        <v>0.0</v>
      </c>
      <c r="C99" s="8">
        <f si="8" t="shared"/>
        <v>0</v>
      </c>
      <c r="E99" s="9">
        <v>88</v>
      </c>
      <c r="F99" s="9" t="n">
        <v>0.0</v>
      </c>
      <c r="G99" s="8">
        <f si="9" t="shared"/>
        <v>0</v>
      </c>
    </row>
    <row r="100" spans="1:7" x14ac:dyDescent="0.45">
      <c r="A100">
        <v>89</v>
      </c>
      <c r="B100" s="5" t="n">
        <v>0.0</v>
      </c>
      <c r="C100" s="8">
        <f si="8" t="shared"/>
        <v>0</v>
      </c>
      <c r="E100" s="9">
        <v>89</v>
      </c>
      <c r="F100" s="9" t="n">
        <v>0.0</v>
      </c>
      <c r="G100" s="8">
        <f si="9" t="shared"/>
        <v>0</v>
      </c>
    </row>
    <row ht="14.65" r="101" spans="1:7" thickBot="1" x14ac:dyDescent="0.5">
      <c r="A101" s="1">
        <v>90</v>
      </c>
      <c r="B101" s="6" t="n">
        <v>0.0</v>
      </c>
      <c r="C101" s="8">
        <f si="8" t="shared"/>
        <v>0</v>
      </c>
      <c r="E101" s="10">
        <v>90</v>
      </c>
      <c r="F101" s="10" t="n">
        <v>0.0</v>
      </c>
      <c r="G101" s="8">
        <f si="9" t="shared"/>
        <v>1.7117786921211963E-6</v>
      </c>
    </row>
    <row r="102" spans="1:7" x14ac:dyDescent="0.45">
      <c r="B102" s="5">
        <f>SUM(B11:B101)</f>
        <v>2033993.1134059059</v>
      </c>
      <c r="C102" s="8">
        <f si="8" t="shared"/>
        <v>1</v>
      </c>
      <c r="F102" s="5">
        <f>SUM(F11:F101)</f>
        <v>1752563</v>
      </c>
      <c r="G102" s="8">
        <f si="9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D102"/>
  <sheetViews>
    <sheetView topLeftCell="H1" workbookViewId="0">
      <selection activeCell="AE9" sqref="AE9"/>
    </sheetView>
  </sheetViews>
  <sheetFormatPr defaultRowHeight="14.25" x14ac:dyDescent="0.45"/>
  <cols>
    <col min="2" max="2" bestFit="true" customWidth="true" width="9.59765625" collapsed="true"/>
    <col min="21" max="21" customWidth="true" hidden="true" width="13.265625" collapsed="true"/>
    <col min="23" max="23" customWidth="true" hidden="true" width="12.265625" collapsed="true"/>
    <col min="24" max="24" customWidth="true" hidden="true" width="0.0" collapsed="true"/>
    <col min="25" max="25" customWidth="true" hidden="true" width="13.265625" collapsed="true"/>
    <col min="27" max="27" customWidth="true" hidden="true" width="12.265625" collapsed="true"/>
  </cols>
  <sheetData>
    <row r="1" spans="1:29" x14ac:dyDescent="0.45">
      <c r="A1" t="s">
        <v>0</v>
      </c>
    </row>
    <row r="2" spans="1:29" x14ac:dyDescent="0.45">
      <c r="A2" t="s">
        <v>19</v>
      </c>
    </row>
    <row r="3" spans="1:29" x14ac:dyDescent="0.45">
      <c r="A3" t="s">
        <v>21</v>
      </c>
    </row>
    <row r="4" spans="1:29" x14ac:dyDescent="0.45">
      <c r="A4" t="s">
        <v>7</v>
      </c>
    </row>
    <row r="5" spans="1:29" x14ac:dyDescent="0.45">
      <c r="A5" t="s">
        <v>8</v>
      </c>
    </row>
    <row r="7" spans="1:29" x14ac:dyDescent="0.45">
      <c r="A7" t="s">
        <v>9</v>
      </c>
      <c r="T7" t="s">
        <v>23</v>
      </c>
    </row>
    <row r="8" spans="1:29" x14ac:dyDescent="0.45">
      <c r="U8" t="s">
        <v>17</v>
      </c>
      <c r="V8" t="s">
        <v>17</v>
      </c>
      <c r="Y8" t="s">
        <v>13</v>
      </c>
      <c r="Z8" t="s">
        <v>13</v>
      </c>
    </row>
    <row ht="14.65" r="9" spans="1:29" thickBot="1" x14ac:dyDescent="0.5">
      <c r="A9" s="3" t="s">
        <v>18</v>
      </c>
      <c r="B9" s="1"/>
      <c r="E9" s="3" t="s">
        <v>11</v>
      </c>
      <c r="F9" s="1"/>
      <c r="J9" s="7" t="s">
        <v>15</v>
      </c>
      <c r="S9" t="s">
        <v>40</v>
      </c>
      <c r="T9" s="12" t="s">
        <v>39</v>
      </c>
      <c r="U9" s="12" t="s">
        <v>25</v>
      </c>
      <c r="V9" s="12" t="s">
        <v>24</v>
      </c>
      <c r="W9" s="12" t="s">
        <v>33</v>
      </c>
      <c r="X9" s="12"/>
      <c r="Y9" s="12" t="s">
        <v>25</v>
      </c>
      <c r="Z9" s="12" t="s">
        <v>24</v>
      </c>
      <c r="AA9" s="12" t="s">
        <v>33</v>
      </c>
      <c r="AB9" s="48" t="s">
        <v>175</v>
      </c>
      <c r="AC9" s="48" t="s">
        <v>177</v>
      </c>
    </row>
    <row r="10" spans="1:29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11">
        <f>B102</f>
        <v>2033993.1134059045</v>
      </c>
      <c r="V10" s="5">
        <f>K11</f>
        <v>16.538355638990605</v>
      </c>
      <c r="W10" s="11">
        <f>U10*V10</f>
        <v>33638901.476764597</v>
      </c>
      <c r="Y10" s="11">
        <f>F102</f>
        <v>1752563</v>
      </c>
      <c r="Z10" s="5">
        <f>L11</f>
        <v>18.390084220481153</v>
      </c>
      <c r="AA10" s="11">
        <f>Y10*Z10</f>
        <v>32229781.17169911</v>
      </c>
      <c r="AB10" s="5">
        <f>Z10-V10</f>
        <v>1.8517285814905478</v>
      </c>
      <c r="AC10" s="18">
        <f>AB10/V10</f>
        <v>0.11196570093854659</v>
      </c>
    </row>
    <row r="11" spans="1:29" x14ac:dyDescent="0.45">
      <c r="A11">
        <v>0</v>
      </c>
      <c r="B11" s="5" t="n">
        <v>0.0</v>
      </c>
      <c r="C11" s="8">
        <f>B11/B$102</f>
        <v>0</v>
      </c>
      <c r="E11" s="9">
        <v>0</v>
      </c>
      <c r="F11" s="9" t="n">
        <v>5992.0</v>
      </c>
      <c r="G11" s="8">
        <f>F11/F$102</f>
        <v>3.4612165154690585E-3</v>
      </c>
      <c r="K11" s="5" t="n">
        <v>16.538355638990605</v>
      </c>
      <c r="L11" s="5" t="n">
        <v>19.098621655593305</v>
      </c>
      <c r="S11" t="s">
        <v>42</v>
      </c>
      <c r="T11" t="s">
        <v>27</v>
      </c>
      <c r="U11" s="11">
        <f>TDFD_Work!B102</f>
        <v>1057479.2462859231</v>
      </c>
      <c r="V11" s="5">
        <f>TDFD_Work!K11</f>
        <v>21.554511888252563</v>
      </c>
      <c r="W11" s="11">
        <f ref="W11:W16" si="0" t="shared">U11*V11</f>
        <v>22793448.98565029</v>
      </c>
      <c r="Y11" s="11">
        <f>TDFD_Work!F102</f>
        <v>931929</v>
      </c>
      <c r="Z11" s="5">
        <f>TDFD_Work!L11</f>
        <v>22.565065421532839</v>
      </c>
      <c r="AA11" s="11">
        <f ref="AA11:AA16" si="1" t="shared">Y11*Z11</f>
        <v>21029038.853223678</v>
      </c>
      <c r="AB11" s="5">
        <f ref="AB11:AB17" si="2" t="shared">Z11-V11</f>
        <v>1.0105535332802766</v>
      </c>
      <c r="AC11" s="18">
        <f ref="AC11:AC17" si="3" t="shared">AB11/V11</f>
        <v>4.688361947231285E-2</v>
      </c>
    </row>
    <row r="12" spans="1:29" x14ac:dyDescent="0.45">
      <c r="A12">
        <v>1</v>
      </c>
      <c r="B12" s="5" t="n">
        <v>0.0</v>
      </c>
      <c r="C12" s="8">
        <f>B12/B$102</f>
        <v>0</v>
      </c>
      <c r="E12" s="9">
        <v>1</v>
      </c>
      <c r="F12" s="9" t="n">
        <v>44110.0</v>
      </c>
      <c r="G12" s="8">
        <f>F12/F$102</f>
        <v>2.4880132697084213E-2</v>
      </c>
      <c r="K12" s="5"/>
      <c r="L12" s="9"/>
      <c r="S12" t="s">
        <v>43</v>
      </c>
      <c r="T12" t="s">
        <v>28</v>
      </c>
      <c r="U12" s="11">
        <f>TDFD_School!B102</f>
        <v>286814.64169940766</v>
      </c>
      <c r="V12" s="5">
        <f>TDFD_School!K11</f>
        <v>12.186191166086456</v>
      </c>
      <c r="W12" s="11">
        <f si="0" t="shared"/>
        <v>3495178.0529815736</v>
      </c>
      <c r="Y12" s="11">
        <f>TDFD_School!F102</f>
        <v>237732</v>
      </c>
      <c r="Z12" s="5">
        <f>TDFD_School!L11</f>
        <v>15.412917317873346</v>
      </c>
      <c r="AA12" s="11">
        <f si="1" t="shared"/>
        <v>3664143.659812666</v>
      </c>
      <c r="AB12" s="5">
        <f si="2" t="shared"/>
        <v>3.2267261517868899</v>
      </c>
      <c r="AC12" s="18">
        <f si="3" t="shared"/>
        <v>0.26478545328967951</v>
      </c>
    </row>
    <row r="13" spans="1:29" x14ac:dyDescent="0.45">
      <c r="A13">
        <v>2</v>
      </c>
      <c r="B13" s="5" t="n">
        <v>8877.230489965856</v>
      </c>
      <c r="C13" s="8">
        <f ref="C13:C76" si="4" t="shared">B13/B$102</f>
        <v>4.3644348800675175E-3</v>
      </c>
      <c r="E13" s="9">
        <v>2</v>
      </c>
      <c r="F13" s="9" t="n">
        <v>18695.0</v>
      </c>
      <c r="G13" s="8">
        <f ref="G13:G76" si="5" t="shared">F13/F$102</f>
        <v>1.0519450655982124E-2</v>
      </c>
      <c r="S13" t="s">
        <v>44</v>
      </c>
      <c r="T13" t="s">
        <v>29</v>
      </c>
      <c r="U13" s="11">
        <f>TDFD_Escort!B102</f>
        <v>496128.35714830388</v>
      </c>
      <c r="V13" s="5">
        <f>TDFD_Escort!K11</f>
        <v>14.453182065428113</v>
      </c>
      <c r="W13" s="11">
        <f si="0" t="shared"/>
        <v>7170633.4736861791</v>
      </c>
      <c r="Y13" s="11">
        <f>TDFD_Escort!F102</f>
        <v>410339</v>
      </c>
      <c r="Z13" s="5">
        <f>TDFD_Escort!L11</f>
        <v>14.970998266130819</v>
      </c>
      <c r="AA13" s="11">
        <f si="1" t="shared"/>
        <v>6143184.457525854</v>
      </c>
      <c r="AB13" s="5">
        <f si="2" t="shared"/>
        <v>0.51781620070270584</v>
      </c>
      <c r="AC13" s="18">
        <f si="3" t="shared"/>
        <v>3.5827141618960001E-2</v>
      </c>
    </row>
    <row r="14" spans="1:29" x14ac:dyDescent="0.45">
      <c r="A14">
        <v>3</v>
      </c>
      <c r="B14" s="5" t="n">
        <v>81078.28611233327</v>
      </c>
      <c r="C14" s="8">
        <f si="4" t="shared"/>
        <v>3.9861632558120294E-2</v>
      </c>
      <c r="E14" s="9">
        <v>3</v>
      </c>
      <c r="F14" s="9" t="n">
        <v>33209.0</v>
      </c>
      <c r="G14" s="8">
        <f si="5" t="shared"/>
        <v>1.8782206402851137E-2</v>
      </c>
      <c r="S14" t="s">
        <v>45</v>
      </c>
      <c r="T14" t="s">
        <v>30</v>
      </c>
      <c r="U14" s="11">
        <f>TDFD_PerBus!B102</f>
        <v>662174.76314742619</v>
      </c>
      <c r="V14" s="5">
        <f>TDFD_PerBus!K11</f>
        <v>13.173427218903585</v>
      </c>
      <c r="W14" s="11">
        <f si="0" t="shared"/>
        <v>8723111.0485173389</v>
      </c>
      <c r="Y14" s="11">
        <f>TDFD_PerBus!F102</f>
        <v>662741</v>
      </c>
      <c r="Z14" s="5">
        <f>TDFD_PerBus!L11</f>
        <v>14.394676017207821</v>
      </c>
      <c r="AA14" s="11">
        <f si="1" t="shared"/>
        <v>9539941.9783203285</v>
      </c>
      <c r="AB14" s="5">
        <f si="2" t="shared"/>
        <v>1.2212487983042362</v>
      </c>
      <c r="AC14" s="18">
        <f si="3" t="shared"/>
        <v>9.270547276807134E-2</v>
      </c>
    </row>
    <row r="15" spans="1:29" x14ac:dyDescent="0.45">
      <c r="A15">
        <v>4</v>
      </c>
      <c r="B15" s="5" t="n">
        <v>107502.65856595487</v>
      </c>
      <c r="C15" s="8">
        <f si="4" t="shared"/>
        <v>5.2853010099892898E-2</v>
      </c>
      <c r="E15" s="9">
        <v>4</v>
      </c>
      <c r="F15" s="9" t="n">
        <v>57582.0</v>
      </c>
      <c r="G15" s="8">
        <f si="5" t="shared"/>
        <v>3.2338352458656267E-2</v>
      </c>
      <c r="S15" t="s">
        <v>46</v>
      </c>
      <c r="T15" t="s">
        <v>31</v>
      </c>
      <c r="U15" s="11">
        <f>TDFD_Shop!B102</f>
        <v>541614.25981031242</v>
      </c>
      <c r="V15" s="5">
        <f>TDFD_Shop!K11</f>
        <v>11.79508557496975</v>
      </c>
      <c r="W15" s="11">
        <f si="0" t="shared"/>
        <v>6388386.5430865344</v>
      </c>
      <c r="Y15" s="11">
        <f>TDFD_Shop!F102</f>
        <v>412124</v>
      </c>
      <c r="Z15" s="5">
        <f>TDFD_Shop!L11</f>
        <v>12.84771806219112</v>
      </c>
      <c r="AA15" s="11">
        <f si="1" t="shared"/>
        <v>5294852.9586624531</v>
      </c>
      <c r="AB15" s="5">
        <f si="2" t="shared"/>
        <v>1.0526324872213699</v>
      </c>
      <c r="AC15" s="18">
        <f si="3" t="shared"/>
        <v>8.9243310744192672E-2</v>
      </c>
    </row>
    <row r="16" spans="1:29" x14ac:dyDescent="0.45">
      <c r="A16">
        <v>5</v>
      </c>
      <c r="B16" s="5" t="n">
        <v>127111.9380616453</v>
      </c>
      <c r="C16" s="8">
        <f si="4" t="shared"/>
        <v>6.2493789789090003E-2</v>
      </c>
      <c r="E16" s="9">
        <v>5</v>
      </c>
      <c r="F16" s="9" t="n">
        <v>80858.0</v>
      </c>
      <c r="G16" s="8">
        <f si="5" t="shared"/>
        <v>4.5050591619245642E-2</v>
      </c>
      <c r="S16" t="s">
        <v>34</v>
      </c>
      <c r="T16" t="s">
        <v>48</v>
      </c>
      <c r="U16" s="11">
        <f>TDFD_Meal!B102</f>
        <v>305792.47981209954</v>
      </c>
      <c r="V16" s="5">
        <f>TDFD_Meal!K11</f>
        <v>12.309186925553982</v>
      </c>
      <c r="W16" s="11">
        <f si="0" t="shared"/>
        <v>3764056.7944358257</v>
      </c>
      <c r="Y16" s="11">
        <f>TDFD_Meal!F102</f>
        <v>259707</v>
      </c>
      <c r="Z16" s="5">
        <f>TDFD_Meal!L11</f>
        <v>13.097002440903317</v>
      </c>
      <c r="AA16" s="11">
        <f si="1" t="shared"/>
        <v>3401383.2129196776</v>
      </c>
      <c r="AB16" s="5">
        <f si="2" t="shared"/>
        <v>0.78781551534933492</v>
      </c>
      <c r="AC16" s="18">
        <f si="3" t="shared"/>
        <v>6.4002238337434195E-2</v>
      </c>
    </row>
    <row r="17" spans="1:29" x14ac:dyDescent="0.45">
      <c r="A17">
        <v>6</v>
      </c>
      <c r="B17" s="5" t="n">
        <v>147641.17558906454</v>
      </c>
      <c r="C17" s="8">
        <f si="4" t="shared"/>
        <v>7.2586861094057806E-2</v>
      </c>
      <c r="E17" s="9">
        <v>6</v>
      </c>
      <c r="F17" s="9" t="n">
        <v>93316.0</v>
      </c>
      <c r="G17" s="8">
        <f si="5" t="shared"/>
        <v>5.3307641437140917E-2</v>
      </c>
      <c r="S17" t="s">
        <v>47</v>
      </c>
      <c r="T17" t="s">
        <v>32</v>
      </c>
      <c r="U17" s="11">
        <f>TDFD_SocRec!B102</f>
        <v>172873.23356313264</v>
      </c>
      <c r="V17" s="5">
        <f>TDFD_SocRec!K11</f>
        <v>14.604793396229555</v>
      </c>
      <c r="W17" s="11">
        <f>U17*V17</f>
        <v>2524777.8599276892</v>
      </c>
      <c r="Y17" s="11">
        <f>TDFD_SocRec!F102</f>
        <v>359768</v>
      </c>
      <c r="Z17" s="5">
        <f>TDFD_SocRec!L11</f>
        <v>14.253454861249471</v>
      </c>
      <c r="AA17" s="11">
        <f>Y17*Z17</f>
        <v>5127936.9485219996</v>
      </c>
      <c r="AB17" s="5">
        <f si="2" t="shared"/>
        <v>-0.35133853498008349</v>
      </c>
      <c r="AC17" s="18">
        <f si="3" t="shared"/>
        <v>-2.4056385150288177E-2</v>
      </c>
    </row>
    <row r="18" spans="1:29" x14ac:dyDescent="0.45">
      <c r="A18">
        <v>7</v>
      </c>
      <c r="B18" s="5" t="n">
        <v>130492.82424538823</v>
      </c>
      <c r="C18" s="8">
        <f si="4" t="shared"/>
        <v>6.4155981347881308E-2</v>
      </c>
      <c r="E18" s="9">
        <v>7</v>
      </c>
      <c r="F18" s="9" t="n">
        <v>96795.0</v>
      </c>
      <c r="G18" s="8">
        <f si="5" t="shared"/>
        <v>5.5759479117155848E-2</v>
      </c>
      <c r="T18" s="13" t="s">
        <v>35</v>
      </c>
      <c r="U18" s="14">
        <f>SUM(U10:U15)+U17</f>
        <v>5251077.6150604105</v>
      </c>
      <c r="V18" s="15">
        <f>W18/U18</f>
        <v>16.136580651101152</v>
      </c>
      <c r="W18" s="14">
        <f>SUM(W10:W15)+W17</f>
        <v>84734437.440614194</v>
      </c>
      <c r="X18" s="13"/>
      <c r="Y18" s="14">
        <f>SUM(Y10:Y15)+Y17</f>
        <v>4767196</v>
      </c>
      <c r="Z18" s="15">
        <f>AA18/Y18</f>
        <v>17.416712052067105</v>
      </c>
      <c r="AA18" s="14">
        <f>SUM(AA10:AA15)+AA17</f>
        <v>83028880.027766094</v>
      </c>
      <c r="AB18" s="5"/>
      <c r="AC18" s="18"/>
    </row>
    <row r="19" spans="1:29" x14ac:dyDescent="0.45">
      <c r="A19">
        <v>8</v>
      </c>
      <c r="B19" s="5" t="n">
        <v>132481.4125379031</v>
      </c>
      <c r="C19" s="8">
        <f si="4" t="shared"/>
        <v>6.5133658351509402E-2</v>
      </c>
      <c r="E19" s="9">
        <v>8</v>
      </c>
      <c r="F19" s="9" t="n">
        <v>91297.0</v>
      </c>
      <c r="G19" s="8">
        <f si="5" t="shared"/>
        <v>5.3242023253942942E-2</v>
      </c>
      <c r="S19" s="13" t="s">
        <v>36</v>
      </c>
      <c r="U19" s="16">
        <f>U18+U16</f>
        <v>5556870.0948725101</v>
      </c>
      <c r="V19" s="15">
        <f>W19/U19</f>
        <v>15.925960608060683</v>
      </c>
      <c r="W19" s="17">
        <f>W18+W16</f>
        <v>88498494.235050023</v>
      </c>
      <c r="X19" s="13"/>
      <c r="Y19" s="16">
        <f>Y18+Y16</f>
        <v>5026903</v>
      </c>
      <c r="Z19" s="15">
        <f>AA19/Y19</f>
        <v>17.193541080996745</v>
      </c>
      <c r="AA19" s="17">
        <f>AA18+AA16</f>
        <v>86430263.240685776</v>
      </c>
      <c r="AB19" s="5">
        <f ref="AB19" si="6" t="shared">Z19-V19</f>
        <v>1.2675804729360625</v>
      </c>
      <c r="AC19" s="18">
        <f ref="AC19" si="7" t="shared">AB19/V19</f>
        <v>7.9592088925204044E-2</v>
      </c>
    </row>
    <row r="20" spans="1:29" x14ac:dyDescent="0.45">
      <c r="A20">
        <v>9</v>
      </c>
      <c r="B20" s="5" t="n">
        <v>117936.03224679457</v>
      </c>
      <c r="C20" s="8">
        <f si="4" t="shared"/>
        <v>5.7982513052520453E-2</v>
      </c>
      <c r="E20" s="9">
        <v>9</v>
      </c>
      <c r="F20" s="9" t="n">
        <v>86625.0</v>
      </c>
      <c r="G20" s="8">
        <f si="5" t="shared"/>
        <v>5.0605313475178923E-2</v>
      </c>
    </row>
    <row r="21" spans="1:29" x14ac:dyDescent="0.45">
      <c r="A21">
        <v>10</v>
      </c>
      <c r="B21" s="5" t="n">
        <v>104802.8690621962</v>
      </c>
      <c r="C21" s="8">
        <f si="4" t="shared"/>
        <v>5.1525675466375924E-2</v>
      </c>
      <c r="E21" s="9">
        <v>10</v>
      </c>
      <c r="F21" s="9" t="n">
        <v>77500.0</v>
      </c>
      <c r="G21" s="8">
        <f si="5" t="shared"/>
        <v>4.5492230521812914E-2</v>
      </c>
    </row>
    <row r="22" spans="1:29" x14ac:dyDescent="0.45">
      <c r="A22">
        <v>11</v>
      </c>
      <c r="B22" s="5" t="n">
        <v>84591.98246216164</v>
      </c>
      <c r="C22" s="8">
        <f si="4" t="shared"/>
        <v>4.1589119404889761E-2</v>
      </c>
      <c r="E22" s="9">
        <v>11</v>
      </c>
      <c r="F22" s="9" t="n">
        <v>71253.0</v>
      </c>
      <c r="G22" s="8">
        <f si="5" t="shared"/>
        <v>4.1874100959566077E-2</v>
      </c>
    </row>
    <row r="23" spans="1:29" x14ac:dyDescent="0.45">
      <c r="A23">
        <v>12</v>
      </c>
      <c r="B23" s="5" t="n">
        <v>86435.78432306318</v>
      </c>
      <c r="C23" s="8">
        <f si="4" t="shared"/>
        <v>4.2495613064454867E-2</v>
      </c>
      <c r="E23" s="9">
        <v>12</v>
      </c>
      <c r="F23" s="9" t="n">
        <v>65974.0</v>
      </c>
      <c r="G23" s="8">
        <f si="5" t="shared"/>
        <v>3.8874494098072365E-2</v>
      </c>
    </row>
    <row r="24" spans="1:29" x14ac:dyDescent="0.45">
      <c r="A24">
        <v>13</v>
      </c>
      <c r="B24" s="5" t="n">
        <v>69316.24514702165</v>
      </c>
      <c r="C24" s="8">
        <f si="4" t="shared"/>
        <v>3.4078898640395185E-2</v>
      </c>
      <c r="E24" s="9">
        <v>13</v>
      </c>
      <c r="F24" s="9" t="n">
        <v>59044.0</v>
      </c>
      <c r="G24" s="8">
        <f si="5" t="shared"/>
        <v>3.4943679628064724E-2</v>
      </c>
    </row>
    <row r="25" spans="1:29" x14ac:dyDescent="0.45">
      <c r="A25">
        <v>14</v>
      </c>
      <c r="B25" s="5" t="n">
        <v>53176.62464593187</v>
      </c>
      <c r="C25" s="8">
        <f si="4" t="shared"/>
        <v>2.6143955107541174E-2</v>
      </c>
      <c r="E25" s="9">
        <v>14</v>
      </c>
      <c r="F25" s="9" t="n">
        <v>53643.0</v>
      </c>
      <c r="G25" s="8">
        <f si="5" t="shared"/>
        <v>3.2073026761377479E-2</v>
      </c>
    </row>
    <row r="26" spans="1:29" x14ac:dyDescent="0.45">
      <c r="A26">
        <v>15</v>
      </c>
      <c r="B26" s="5" t="n">
        <v>59052.66232887199</v>
      </c>
      <c r="C26" s="8">
        <f si="4" t="shared"/>
        <v>2.9032872304070294E-2</v>
      </c>
      <c r="E26" s="9">
        <v>15</v>
      </c>
      <c r="F26" s="9" t="n">
        <v>49405.0</v>
      </c>
      <c r="G26" s="8">
        <f si="5" t="shared"/>
        <v>2.9313068916780739E-2</v>
      </c>
    </row>
    <row r="27" spans="1:29" x14ac:dyDescent="0.45">
      <c r="A27">
        <v>16</v>
      </c>
      <c r="B27" s="5" t="n">
        <v>53331.23754499032</v>
      </c>
      <c r="C27" s="8">
        <f si="4" t="shared"/>
        <v>2.6219969572899689E-2</v>
      </c>
      <c r="E27" s="9">
        <v>16</v>
      </c>
      <c r="F27" s="9" t="n">
        <v>44952.0</v>
      </c>
      <c r="G27" s="8">
        <f si="5" t="shared"/>
        <v>2.7241816699314091E-2</v>
      </c>
    </row>
    <row r="28" spans="1:29" x14ac:dyDescent="0.45">
      <c r="A28">
        <v>17</v>
      </c>
      <c r="B28" s="5" t="n">
        <v>53832.14549490027</v>
      </c>
      <c r="C28" s="8">
        <f si="4" t="shared"/>
        <v>2.6466237835367494E-2</v>
      </c>
      <c r="E28" s="9">
        <v>17</v>
      </c>
      <c r="F28" s="9" t="n">
        <v>42236.0</v>
      </c>
      <c r="G28" s="8">
        <f si="5" t="shared"/>
        <v>2.5132334757723404E-2</v>
      </c>
    </row>
    <row r="29" spans="1:29" x14ac:dyDescent="0.45">
      <c r="A29">
        <v>18</v>
      </c>
      <c r="B29" s="5" t="n">
        <v>46386.153755710315</v>
      </c>
      <c r="C29" s="8">
        <f si="4" t="shared"/>
        <v>2.2805462540646013E-2</v>
      </c>
      <c r="E29" s="9">
        <v>18</v>
      </c>
      <c r="F29" s="9" t="n">
        <v>39166.0</v>
      </c>
      <c r="G29" s="8">
        <f si="5" t="shared"/>
        <v>2.3190607127960592E-2</v>
      </c>
    </row>
    <row r="30" spans="1:29" x14ac:dyDescent="0.45">
      <c r="A30">
        <v>19</v>
      </c>
      <c r="B30" s="5" t="n">
        <v>37060.29322991014</v>
      </c>
      <c r="C30" s="8">
        <f si="4" t="shared"/>
        <v>1.8220461507784058E-2</v>
      </c>
      <c r="E30" s="9">
        <v>19</v>
      </c>
      <c r="F30" s="9" t="n">
        <v>37440.0</v>
      </c>
      <c r="G30" s="8">
        <f si="5" t="shared"/>
        <v>2.2177804735122219E-2</v>
      </c>
    </row>
    <row r="31" spans="1:29" x14ac:dyDescent="0.45">
      <c r="A31">
        <v>20</v>
      </c>
      <c r="B31" s="5" t="n">
        <v>28996.898127883498</v>
      </c>
      <c r="C31" s="8">
        <f si="4" t="shared"/>
        <v>1.4256143709025854E-2</v>
      </c>
      <c r="E31" s="9">
        <v>20</v>
      </c>
      <c r="F31" s="9" t="n">
        <v>34530.0</v>
      </c>
      <c r="G31" s="8">
        <f si="5" t="shared"/>
        <v>2.0379295922600214E-2</v>
      </c>
    </row>
    <row r="32" spans="1:29" x14ac:dyDescent="0.45">
      <c r="A32">
        <v>21</v>
      </c>
      <c r="B32" s="5" t="n">
        <v>32903.87530847165</v>
      </c>
      <c r="C32" s="8">
        <f si="4" t="shared"/>
        <v>1.6176984617894987E-2</v>
      </c>
      <c r="E32" s="9">
        <v>21</v>
      </c>
      <c r="F32" s="9" t="n">
        <v>32513.0</v>
      </c>
      <c r="G32" s="8">
        <f si="5" t="shared"/>
        <v>1.9630107448348505E-2</v>
      </c>
    </row>
    <row r="33" spans="1:7" x14ac:dyDescent="0.45">
      <c r="A33">
        <v>22</v>
      </c>
      <c r="B33" s="5" t="n">
        <v>28250.56543782777</v>
      </c>
      <c r="C33" s="8">
        <f si="4" t="shared"/>
        <v>1.3889213907181048E-2</v>
      </c>
      <c r="E33" s="9">
        <v>22</v>
      </c>
      <c r="F33" s="9" t="n">
        <v>30789.0</v>
      </c>
      <c r="G33" s="8">
        <f si="5" t="shared"/>
        <v>1.8277231688675386E-2</v>
      </c>
    </row>
    <row r="34" spans="1:7" x14ac:dyDescent="0.45">
      <c r="A34">
        <v>23</v>
      </c>
      <c r="B34" s="5" t="n">
        <v>29555.115692067637</v>
      </c>
      <c r="C34" s="8">
        <f si="4" t="shared"/>
        <v>1.4530587885117192E-2</v>
      </c>
      <c r="E34" s="9">
        <v>23</v>
      </c>
      <c r="F34" s="9" t="n">
        <v>29266.0</v>
      </c>
      <c r="G34" s="8">
        <f si="5" t="shared"/>
        <v>1.726557048163176E-2</v>
      </c>
    </row>
    <row r="35" spans="1:7" x14ac:dyDescent="0.45">
      <c r="A35">
        <v>24</v>
      </c>
      <c r="B35" s="5" t="n">
        <v>25732.786517761255</v>
      </c>
      <c r="C35" s="8">
        <f si="4" t="shared"/>
        <v>1.2651363639413665E-2</v>
      </c>
      <c r="E35" s="9">
        <v>24</v>
      </c>
      <c r="F35" s="9" t="n">
        <v>27985.0</v>
      </c>
      <c r="G35" s="8">
        <f si="5" t="shared"/>
        <v>1.6179732197929547E-2</v>
      </c>
    </row>
    <row r="36" spans="1:7" x14ac:dyDescent="0.45">
      <c r="A36">
        <v>25</v>
      </c>
      <c r="B36" s="5" t="n">
        <v>23383.703222182183</v>
      </c>
      <c r="C36" s="8">
        <f si="4" t="shared"/>
        <v>1.1496451520932816E-2</v>
      </c>
      <c r="E36" s="9">
        <v>25</v>
      </c>
      <c r="F36" s="9" t="n">
        <v>26104.0</v>
      </c>
      <c r="G36" s="8">
        <f si="5" t="shared"/>
        <v>1.4849680154151378E-2</v>
      </c>
    </row>
    <row r="37" spans="1:7" x14ac:dyDescent="0.45">
      <c r="A37">
        <v>26</v>
      </c>
      <c r="B37" s="5" t="n">
        <v>29277.970901821398</v>
      </c>
      <c r="C37" s="8">
        <f si="4" t="shared"/>
        <v>1.4394331381385888E-2</v>
      </c>
      <c r="E37" s="9">
        <v>26</v>
      </c>
      <c r="F37" s="9" t="n">
        <v>24140.0</v>
      </c>
      <c r="G37" s="8">
        <f si="5" t="shared"/>
        <v>1.4261398876959059E-2</v>
      </c>
    </row>
    <row r="38" spans="1:7" x14ac:dyDescent="0.45">
      <c r="A38">
        <v>27</v>
      </c>
      <c r="B38" s="5" t="n">
        <v>17427.571045569504</v>
      </c>
      <c r="C38" s="8">
        <f si="4" t="shared"/>
        <v>8.5681563672490423E-3</v>
      </c>
      <c r="E38" s="9">
        <v>27</v>
      </c>
      <c r="F38" s="9" t="n">
        <v>22977.0</v>
      </c>
      <c r="G38" s="8">
        <f si="5" t="shared"/>
        <v>1.340836249538533E-2</v>
      </c>
    </row>
    <row r="39" spans="1:7" x14ac:dyDescent="0.45">
      <c r="A39">
        <v>28</v>
      </c>
      <c r="B39" s="5" t="n">
        <v>19459.339655763077</v>
      </c>
      <c r="C39" s="8">
        <f si="4" t="shared"/>
        <v>9.567062704149757E-3</v>
      </c>
      <c r="E39" s="9">
        <v>28</v>
      </c>
      <c r="F39" s="9" t="n">
        <v>21563.0</v>
      </c>
      <c r="G39" s="8">
        <f si="5" t="shared"/>
        <v>1.2647762163186145E-2</v>
      </c>
    </row>
    <row r="40" spans="1:7" x14ac:dyDescent="0.45">
      <c r="A40">
        <v>29</v>
      </c>
      <c r="B40" s="5" t="n">
        <v>21559.546548844482</v>
      </c>
      <c r="C40" s="8">
        <f si="4" t="shared"/>
        <v>1.0599616295034156E-2</v>
      </c>
      <c r="E40" s="9">
        <v>29</v>
      </c>
      <c r="F40" s="9" t="n">
        <v>19888.0</v>
      </c>
      <c r="G40" s="8">
        <f si="5" t="shared"/>
        <v>1.1792443410022922E-2</v>
      </c>
    </row>
    <row r="41" spans="1:7" x14ac:dyDescent="0.45">
      <c r="A41">
        <v>30</v>
      </c>
      <c r="B41" s="5" t="n">
        <v>21381.14643606683</v>
      </c>
      <c r="C41" s="8">
        <f si="4" t="shared"/>
        <v>1.0511906994741136E-2</v>
      </c>
      <c r="E41" s="9">
        <v>30</v>
      </c>
      <c r="F41" s="9" t="n">
        <v>19406.0</v>
      </c>
      <c r="G41" s="8">
        <f si="5" t="shared"/>
        <v>1.1182479602730401E-2</v>
      </c>
    </row>
    <row r="42" spans="1:7" x14ac:dyDescent="0.45">
      <c r="A42">
        <v>31</v>
      </c>
      <c r="B42" s="5" t="n">
        <v>15654.731589089328</v>
      </c>
      <c r="C42" s="8">
        <f si="4" t="shared"/>
        <v>7.6965509302416519E-3</v>
      </c>
      <c r="E42" s="9">
        <v>31</v>
      </c>
      <c r="F42" s="9" t="n">
        <v>17915.0</v>
      </c>
      <c r="G42" s="8">
        <f si="5" t="shared"/>
        <v>1.0522303620468992E-2</v>
      </c>
    </row>
    <row r="43" spans="1:7" x14ac:dyDescent="0.45">
      <c r="A43">
        <v>32</v>
      </c>
      <c r="B43" s="5" t="n">
        <v>12927.336426621056</v>
      </c>
      <c r="C43" s="8">
        <f si="4" t="shared"/>
        <v>6.3556441471792095E-3</v>
      </c>
      <c r="E43" s="9">
        <v>32</v>
      </c>
      <c r="F43" s="9" t="n">
        <v>17234.0</v>
      </c>
      <c r="G43" s="8">
        <f si="5" t="shared"/>
        <v>9.8969338049473832E-3</v>
      </c>
    </row>
    <row r="44" spans="1:7" x14ac:dyDescent="0.45">
      <c r="A44">
        <v>33</v>
      </c>
      <c r="B44" s="5" t="n">
        <v>11878.75158000054</v>
      </c>
      <c r="C44" s="8">
        <f si="4" t="shared"/>
        <v>5.8401139618952155E-3</v>
      </c>
      <c r="E44" s="9">
        <v>33</v>
      </c>
      <c r="F44" s="9" t="n">
        <v>15847.0</v>
      </c>
      <c r="G44" s="8">
        <f si="5" t="shared"/>
        <v>9.5380308724993049E-3</v>
      </c>
    </row>
    <row r="45" spans="1:7" x14ac:dyDescent="0.45">
      <c r="A45">
        <v>34</v>
      </c>
      <c r="B45" s="5" t="n">
        <v>11479.675463676129</v>
      </c>
      <c r="C45" s="8">
        <f si="4" t="shared"/>
        <v>5.6439106838732152E-3</v>
      </c>
      <c r="E45" s="9">
        <v>34</v>
      </c>
      <c r="F45" s="9" t="n">
        <v>15449.0</v>
      </c>
      <c r="G45" s="8">
        <f si="5" t="shared"/>
        <v>8.6758650045675959E-3</v>
      </c>
    </row>
    <row r="46" spans="1:7" x14ac:dyDescent="0.45">
      <c r="A46">
        <v>35</v>
      </c>
      <c r="B46" s="5" t="n">
        <v>10042.587115840615</v>
      </c>
      <c r="C46" s="8">
        <f si="4" t="shared"/>
        <v>4.9373751806978282E-3</v>
      </c>
      <c r="E46" s="9">
        <v>35</v>
      </c>
      <c r="F46" s="9" t="n">
        <v>14429.0</v>
      </c>
      <c r="G46" s="8">
        <f si="5" t="shared"/>
        <v>8.042506888482754E-3</v>
      </c>
    </row>
    <row r="47" spans="1:7" x14ac:dyDescent="0.45">
      <c r="A47">
        <v>36</v>
      </c>
      <c r="B47" s="5" t="n">
        <v>8902.88482731569</v>
      </c>
      <c r="C47" s="8">
        <f si="4" t="shared"/>
        <v>4.3770476746638944E-3</v>
      </c>
      <c r="E47" s="9">
        <v>36</v>
      </c>
      <c r="F47" s="9" t="n">
        <v>13859.0</v>
      </c>
      <c r="G47" s="8">
        <f si="5" t="shared"/>
        <v>7.8057108360726551E-3</v>
      </c>
    </row>
    <row r="48" spans="1:7" x14ac:dyDescent="0.45">
      <c r="A48">
        <v>37</v>
      </c>
      <c r="B48" s="5" t="n">
        <v>10264.718105105043</v>
      </c>
      <c r="C48" s="8">
        <f si="4" t="shared"/>
        <v>5.0465844930599876E-3</v>
      </c>
      <c r="E48" s="9">
        <v>37</v>
      </c>
      <c r="F48" s="9" t="n">
        <v>12921.0</v>
      </c>
      <c r="G48" s="8">
        <f si="5" t="shared"/>
        <v>7.2442474250569025E-3</v>
      </c>
    </row>
    <row r="49" spans="1:7" x14ac:dyDescent="0.45">
      <c r="A49">
        <v>38</v>
      </c>
      <c r="B49" s="5" t="n">
        <v>11068.815768924267</v>
      </c>
      <c r="C49" s="8">
        <f si="4" t="shared"/>
        <v>5.4419140831748576E-3</v>
      </c>
      <c r="E49" s="9">
        <v>38</v>
      </c>
      <c r="F49" s="9" t="n">
        <v>11915.0</v>
      </c>
      <c r="G49" s="8">
        <f si="5" t="shared"/>
        <v>6.7261490742415537E-3</v>
      </c>
    </row>
    <row r="50" spans="1:7" x14ac:dyDescent="0.45">
      <c r="A50">
        <v>39</v>
      </c>
      <c r="B50" s="5" t="n">
        <v>10765.100950764832</v>
      </c>
      <c r="C50" s="8">
        <f si="4" t="shared"/>
        <v>5.2925945913055526E-3</v>
      </c>
      <c r="E50" s="9">
        <v>39</v>
      </c>
      <c r="F50" s="9" t="n">
        <v>11328.0</v>
      </c>
      <c r="G50" s="8">
        <f si="5" t="shared"/>
        <v>6.3564048767433753E-3</v>
      </c>
    </row>
    <row r="51" spans="1:7" x14ac:dyDescent="0.45">
      <c r="A51">
        <v>40</v>
      </c>
      <c r="B51" s="5" t="n">
        <v>10194.557292872414</v>
      </c>
      <c r="C51" s="8">
        <f si="4" t="shared"/>
        <v>5.0120903682912242E-3</v>
      </c>
      <c r="E51" s="9">
        <v>40</v>
      </c>
      <c r="F51" s="9" t="n">
        <v>10337.0</v>
      </c>
      <c r="G51" s="8">
        <f si="5" t="shared"/>
        <v>6.0671142777748927E-3</v>
      </c>
    </row>
    <row r="52" spans="1:7" x14ac:dyDescent="0.45">
      <c r="A52">
        <v>41</v>
      </c>
      <c r="B52" s="5" t="n">
        <v>8276.366906640242</v>
      </c>
      <c r="C52" s="8">
        <f si="4" t="shared"/>
        <v>4.0690240552395647E-3</v>
      </c>
      <c r="E52" s="9">
        <v>41</v>
      </c>
      <c r="F52" s="9" t="n">
        <v>9992.0</v>
      </c>
      <c r="G52" s="8">
        <f si="5" t="shared"/>
        <v>5.6083575882864122E-3</v>
      </c>
    </row>
    <row r="53" spans="1:7" x14ac:dyDescent="0.45">
      <c r="A53">
        <v>42</v>
      </c>
      <c r="B53" s="5" t="n">
        <v>11593.506744009843</v>
      </c>
      <c r="C53" s="8">
        <f si="4" t="shared"/>
        <v>5.6998751213058986E-3</v>
      </c>
      <c r="E53" s="9">
        <v>42</v>
      </c>
      <c r="F53" s="9" t="n">
        <v>9292.0</v>
      </c>
      <c r="G53" s="8">
        <f si="5" t="shared"/>
        <v>5.2677136285542948E-3</v>
      </c>
    </row>
    <row r="54" spans="1:7" x14ac:dyDescent="0.45">
      <c r="A54">
        <v>43</v>
      </c>
      <c r="B54" s="5" t="n">
        <v>8304.736117644465</v>
      </c>
      <c r="C54" s="8">
        <f si="4" t="shared"/>
        <v>4.0829716004978272E-3</v>
      </c>
      <c r="E54" s="9">
        <v>43</v>
      </c>
      <c r="F54" s="9" t="n">
        <v>8794.0</v>
      </c>
      <c r="G54" s="8">
        <f si="5" t="shared"/>
        <v>4.849469034779349E-3</v>
      </c>
    </row>
    <row r="55" spans="1:7" x14ac:dyDescent="0.45">
      <c r="A55">
        <v>44</v>
      </c>
      <c r="B55" s="5" t="n">
        <v>8717.023509067856</v>
      </c>
      <c r="C55" s="8">
        <f si="4" t="shared"/>
        <v>4.2856701193404109E-3</v>
      </c>
      <c r="E55" s="9">
        <v>44</v>
      </c>
      <c r="F55" s="9" t="n">
        <v>8549.0</v>
      </c>
      <c r="G55" s="8">
        <f si="5" t="shared"/>
        <v>4.5133898182262207E-3</v>
      </c>
    </row>
    <row r="56" spans="1:7" x14ac:dyDescent="0.45">
      <c r="A56">
        <v>45</v>
      </c>
      <c r="B56" s="5" t="n">
        <v>6914.955735008222</v>
      </c>
      <c r="C56" s="8">
        <f si="4" t="shared"/>
        <v>3.3996947626971983E-3</v>
      </c>
      <c r="E56" s="9">
        <v>45</v>
      </c>
      <c r="F56" s="9" t="n">
        <v>8122.0</v>
      </c>
      <c r="G56" s="8">
        <f si="5" t="shared"/>
        <v>4.2029872820549107E-3</v>
      </c>
    </row>
    <row r="57" spans="1:7" x14ac:dyDescent="0.45">
      <c r="A57">
        <v>46</v>
      </c>
      <c r="B57" s="5" t="n">
        <v>6722.213778704724</v>
      </c>
      <c r="C57" s="8">
        <f si="4" t="shared"/>
        <v>3.3049343846835513E-3</v>
      </c>
      <c r="E57" s="9">
        <v>46</v>
      </c>
      <c r="F57" s="9" t="n">
        <v>7774.0</v>
      </c>
      <c r="G57" s="8">
        <f si="5" t="shared"/>
        <v>4.0249622980743057E-3</v>
      </c>
    </row>
    <row r="58" spans="1:7" x14ac:dyDescent="0.45">
      <c r="A58">
        <v>47</v>
      </c>
      <c r="B58" s="5" t="n">
        <v>5438.587895044098</v>
      </c>
      <c r="C58" s="8">
        <f si="4" t="shared"/>
        <v>2.6738477427473823E-3</v>
      </c>
      <c r="E58" s="9">
        <v>47</v>
      </c>
      <c r="F58" s="9" t="n">
        <v>7558.0</v>
      </c>
      <c r="G58" s="8">
        <f si="5" t="shared"/>
        <v>3.6363885349627945E-3</v>
      </c>
    </row>
    <row r="59" spans="1:7" x14ac:dyDescent="0.45">
      <c r="A59">
        <v>48</v>
      </c>
      <c r="B59" s="5" t="n">
        <v>4229.71660805824</v>
      </c>
      <c r="C59" s="8">
        <f si="4" t="shared"/>
        <v>2.0795137309858511E-3</v>
      </c>
      <c r="E59" s="9">
        <v>48</v>
      </c>
      <c r="F59" s="9" t="n">
        <v>7318.0</v>
      </c>
      <c r="G59" s="8">
        <f si="5" t="shared"/>
        <v>3.4315456848056248E-3</v>
      </c>
    </row>
    <row r="60" spans="1:7" x14ac:dyDescent="0.45">
      <c r="A60">
        <v>49</v>
      </c>
      <c r="B60" s="5" t="n">
        <v>3075.5205294755274</v>
      </c>
      <c r="C60" s="8">
        <f si="4" t="shared"/>
        <v>1.5120604436686582E-3</v>
      </c>
      <c r="E60" s="9">
        <v>49</v>
      </c>
      <c r="F60" s="9" t="n">
        <v>6691.0</v>
      </c>
      <c r="G60" s="8">
        <f si="5" t="shared"/>
        <v>3.1068783261999711E-3</v>
      </c>
    </row>
    <row r="61" spans="1:7" x14ac:dyDescent="0.45">
      <c r="A61">
        <v>50</v>
      </c>
      <c r="B61" s="5" t="n">
        <v>7850.528054684275</v>
      </c>
      <c r="C61" s="8">
        <f si="4" t="shared"/>
        <v>3.8596630455344223E-3</v>
      </c>
      <c r="E61" s="9">
        <v>50</v>
      </c>
      <c r="F61" s="9" t="n">
        <v>6083.0</v>
      </c>
      <c r="G61" s="8">
        <f si="5" t="shared"/>
        <v>2.8529644868686603E-3</v>
      </c>
    </row>
    <row r="62" spans="1:7" x14ac:dyDescent="0.45">
      <c r="A62">
        <v>51</v>
      </c>
      <c r="B62" s="5" t="n">
        <v>2426.776672017901</v>
      </c>
      <c r="C62" s="8">
        <f si="4" t="shared"/>
        <v>1.1931095813565876E-3</v>
      </c>
      <c r="E62" s="9">
        <v>51</v>
      </c>
      <c r="F62" s="9" t="n">
        <v>5811.0</v>
      </c>
      <c r="G62" s="8">
        <f si="5" t="shared"/>
        <v>2.7588166588019946E-3</v>
      </c>
    </row>
    <row r="63" spans="1:7" x14ac:dyDescent="0.45">
      <c r="A63">
        <v>52</v>
      </c>
      <c r="B63" s="5" t="n">
        <v>3630.992947140946</v>
      </c>
      <c r="C63" s="8">
        <f si="4" t="shared"/>
        <v>1.7851549856335938E-3</v>
      </c>
      <c r="E63" s="9">
        <v>52</v>
      </c>
      <c r="F63" s="9" t="n">
        <v>5339.0</v>
      </c>
      <c r="G63" s="8">
        <f si="5" t="shared"/>
        <v>2.5317206856472494E-3</v>
      </c>
    </row>
    <row r="64" spans="1:7" x14ac:dyDescent="0.45">
      <c r="A64">
        <v>53</v>
      </c>
      <c r="B64" s="5" t="n">
        <v>2034.3008448030744</v>
      </c>
      <c r="C64" s="8">
        <f si="4" t="shared"/>
        <v>1.0001512942178327E-3</v>
      </c>
      <c r="E64" s="9">
        <v>53</v>
      </c>
      <c r="F64" s="9" t="n">
        <v>5182.0</v>
      </c>
      <c r="G64" s="8">
        <f si="5" t="shared"/>
        <v>2.3223130923110897E-3</v>
      </c>
    </row>
    <row r="65" spans="1:7" x14ac:dyDescent="0.45">
      <c r="A65">
        <v>54</v>
      </c>
      <c r="B65" s="5" t="n">
        <v>5337.184963701113</v>
      </c>
      <c r="C65" s="8">
        <f si="4" t="shared"/>
        <v>2.6239936254081218E-3</v>
      </c>
      <c r="E65" s="9">
        <v>54</v>
      </c>
      <c r="F65" s="9" t="n">
        <v>4802.0</v>
      </c>
      <c r="G65" s="8">
        <f si="5" t="shared"/>
        <v>2.2686773599579586E-3</v>
      </c>
    </row>
    <row r="66" spans="1:7" x14ac:dyDescent="0.45">
      <c r="A66">
        <v>55</v>
      </c>
      <c r="B66" s="5" t="n">
        <v>2819.835364160925</v>
      </c>
      <c r="C66" s="8">
        <f si="4" t="shared"/>
        <v>1.3863544303938837E-3</v>
      </c>
      <c r="E66" s="9">
        <v>55</v>
      </c>
      <c r="F66" s="9" t="n">
        <v>4358.0</v>
      </c>
      <c r="G66" s="8">
        <f si="5" t="shared"/>
        <v>2.0906523759773544E-3</v>
      </c>
    </row>
    <row r="67" spans="1:7" x14ac:dyDescent="0.45">
      <c r="A67">
        <v>56</v>
      </c>
      <c r="B67" s="5" t="n">
        <v>2717.0406032947703</v>
      </c>
      <c r="C67" s="8">
        <f si="4" t="shared"/>
        <v>1.3358160287696888E-3</v>
      </c>
      <c r="E67" s="9">
        <v>56</v>
      </c>
      <c r="F67" s="9" t="n">
        <v>4181.0</v>
      </c>
      <c r="G67" s="8">
        <f si="5" t="shared"/>
        <v>1.9771043893999818E-3</v>
      </c>
    </row>
    <row r="68" spans="1:7" x14ac:dyDescent="0.45">
      <c r="A68">
        <v>57</v>
      </c>
      <c r="B68" s="5" t="n">
        <v>3070.3008498461554</v>
      </c>
      <c r="C68" s="8">
        <f si="4" t="shared"/>
        <v>1.5094942208063635E-3</v>
      </c>
      <c r="E68" s="9">
        <v>57</v>
      </c>
      <c r="F68" s="9" t="n">
        <v>4016.0</v>
      </c>
      <c r="G68" s="8">
        <f si="5" t="shared"/>
        <v>1.7494378233478625E-3</v>
      </c>
    </row>
    <row r="69" spans="1:7" x14ac:dyDescent="0.45">
      <c r="A69">
        <v>58</v>
      </c>
      <c r="B69" s="5" t="n">
        <v>3865.994458759874</v>
      </c>
      <c r="C69" s="8">
        <f si="4" t="shared"/>
        <v>1.9006920098595115E-3</v>
      </c>
      <c r="E69" s="9">
        <v>58</v>
      </c>
      <c r="F69" s="9" t="n">
        <v>3820.0</v>
      </c>
      <c r="G69" s="8">
        <f si="5" t="shared"/>
        <v>1.6336074651809949E-3</v>
      </c>
    </row>
    <row r="70" spans="1:7" x14ac:dyDescent="0.45">
      <c r="A70">
        <v>59</v>
      </c>
      <c r="B70" s="5" t="n">
        <v>2186.928745586453</v>
      </c>
      <c r="C70" s="8">
        <f si="4" t="shared"/>
        <v>1.0751898475823544E-3</v>
      </c>
      <c r="E70" s="9">
        <v>59</v>
      </c>
      <c r="F70" s="9" t="n">
        <v>3534.0</v>
      </c>
      <c r="G70" s="8">
        <f si="5" t="shared"/>
        <v>1.5485891234723089E-3</v>
      </c>
    </row>
    <row r="71" spans="1:7" x14ac:dyDescent="0.45">
      <c r="A71">
        <v>60</v>
      </c>
      <c r="B71" s="5" t="n">
        <v>1198.6422784702343</v>
      </c>
      <c r="C71" s="8">
        <f si="4" t="shared"/>
        <v>5.8930498366492395E-4</v>
      </c>
      <c r="E71" s="9">
        <v>60</v>
      </c>
      <c r="F71" s="9" t="n">
        <v>3363.0</v>
      </c>
      <c r="G71" s="8">
        <f si="5" t="shared"/>
        <v>1.4972357627086729E-3</v>
      </c>
    </row>
    <row r="72" spans="1:7" x14ac:dyDescent="0.45">
      <c r="A72">
        <v>61</v>
      </c>
      <c r="B72" s="5" t="n">
        <v>4183.917943904638</v>
      </c>
      <c r="C72" s="8">
        <f si="4" t="shared"/>
        <v>2.0569971040357666E-3</v>
      </c>
      <c r="E72" s="9">
        <v>61</v>
      </c>
      <c r="F72" s="9" t="n">
        <v>3015.0</v>
      </c>
      <c r="G72" s="8">
        <f si="5" t="shared"/>
        <v>1.3950996340787749E-3</v>
      </c>
    </row>
    <row r="73" spans="1:7" x14ac:dyDescent="0.45">
      <c r="A73">
        <v>62</v>
      </c>
      <c r="B73" s="5" t="n">
        <v>3044.0672119322135</v>
      </c>
      <c r="C73" s="8">
        <f si="4" t="shared"/>
        <v>1.4965966167087695E-3</v>
      </c>
      <c r="E73" s="9">
        <v>62</v>
      </c>
      <c r="F73" s="9" t="n">
        <v>2811.0</v>
      </c>
      <c r="G73" s="8">
        <f si="5" t="shared"/>
        <v>1.2815516475014022E-3</v>
      </c>
    </row>
    <row r="74" spans="1:7" x14ac:dyDescent="0.45">
      <c r="A74">
        <v>63</v>
      </c>
      <c r="B74" s="5" t="n">
        <v>3433.8864541144717</v>
      </c>
      <c r="C74" s="8">
        <f si="4" t="shared"/>
        <v>1.6882488104222031E-3</v>
      </c>
      <c r="E74" s="9">
        <v>63</v>
      </c>
      <c r="F74" s="9" t="n">
        <v>2681.0</v>
      </c>
      <c r="G74" s="8">
        <f si="5" t="shared"/>
        <v>1.2005274560743322E-3</v>
      </c>
    </row>
    <row r="75" spans="1:7" x14ac:dyDescent="0.45">
      <c r="A75">
        <v>64</v>
      </c>
      <c r="B75" s="5" t="n">
        <v>1655.091426013601</v>
      </c>
      <c r="C75" s="8">
        <f si="4" t="shared"/>
        <v>8.137153538549421E-4</v>
      </c>
      <c r="E75" s="9">
        <v>64</v>
      </c>
      <c r="F75" s="9" t="n">
        <v>2549.0</v>
      </c>
      <c r="G75" s="8">
        <f si="5" t="shared"/>
        <v>1.1109443711866563E-3</v>
      </c>
    </row>
    <row r="76" spans="1:7" x14ac:dyDescent="0.45">
      <c r="A76">
        <v>65</v>
      </c>
      <c r="B76" s="5" t="n">
        <v>1360.9802402808423</v>
      </c>
      <c r="C76" s="8">
        <f si="4" t="shared"/>
        <v>6.6911742783725173E-4</v>
      </c>
      <c r="E76" s="9">
        <v>65</v>
      </c>
      <c r="F76" s="9" t="n">
        <v>2286.0</v>
      </c>
      <c r="G76" s="8">
        <f si="5" t="shared"/>
        <v>1.162868324847666E-3</v>
      </c>
    </row>
    <row r="77" spans="1:7" x14ac:dyDescent="0.45">
      <c r="A77">
        <v>66</v>
      </c>
      <c r="B77" s="5" t="n">
        <v>2016.1396704129018</v>
      </c>
      <c r="C77" s="8">
        <f ref="C77:C102" si="8" t="shared">B77/B$102</f>
        <v>9.9122246635186136E-4</v>
      </c>
      <c r="E77" s="9">
        <v>66</v>
      </c>
      <c r="F77" s="9" t="n">
        <v>2112.0</v>
      </c>
      <c r="G77" s="8">
        <f ref="G77:G102" si="9" t="shared">F77/F$102</f>
        <v>1.005384685172516E-3</v>
      </c>
    </row>
    <row r="78" spans="1:7" x14ac:dyDescent="0.45">
      <c r="A78">
        <v>67</v>
      </c>
      <c r="B78" s="5" t="n">
        <v>1462.5776081272234</v>
      </c>
      <c r="C78" s="8">
        <f si="8" t="shared"/>
        <v>7.190671386680112E-4</v>
      </c>
      <c r="E78" s="9">
        <v>67</v>
      </c>
      <c r="F78" s="9" t="n">
        <v>1993.0</v>
      </c>
      <c r="G78" s="8">
        <f si="9" t="shared"/>
        <v>8.9411907018463813E-4</v>
      </c>
    </row>
    <row r="79" spans="1:7" x14ac:dyDescent="0.45">
      <c r="A79">
        <v>68</v>
      </c>
      <c r="B79" s="5" t="n">
        <v>2293.016748288654</v>
      </c>
      <c r="C79" s="8">
        <f si="8" t="shared"/>
        <v>1.1273473509696484E-3</v>
      </c>
      <c r="E79" s="9">
        <v>68</v>
      </c>
      <c r="F79" s="9" t="n">
        <v>1825.0</v>
      </c>
      <c r="G79" s="8">
        <f si="9" t="shared"/>
        <v>8.324950372682751E-4</v>
      </c>
    </row>
    <row r="80" spans="1:7" x14ac:dyDescent="0.45">
      <c r="A80">
        <v>69</v>
      </c>
      <c r="B80" s="5" t="n">
        <v>2498.9103286227223</v>
      </c>
      <c r="C80" s="8">
        <f si="8" t="shared"/>
        <v>1.2285736427289657E-3</v>
      </c>
      <c r="E80" s="9">
        <v>69</v>
      </c>
      <c r="F80" s="9" t="n">
        <v>1796.0</v>
      </c>
      <c r="G80" s="8">
        <f si="9" t="shared"/>
        <v>8.1937140062867926E-4</v>
      </c>
    </row>
    <row r="81" spans="1:7" x14ac:dyDescent="0.45">
      <c r="A81">
        <v>70</v>
      </c>
      <c r="B81" s="5" t="n">
        <v>1587.0516300366505</v>
      </c>
      <c r="C81" s="8">
        <f si="8" t="shared"/>
        <v>7.8026401347010743E-4</v>
      </c>
      <c r="E81" s="9">
        <v>70</v>
      </c>
      <c r="F81" s="9" t="n">
        <v>1747.0</v>
      </c>
      <c r="G81" s="8">
        <f si="9" t="shared"/>
        <v>6.7843495497736748E-4</v>
      </c>
    </row>
    <row r="82" spans="1:7" x14ac:dyDescent="0.45">
      <c r="A82">
        <v>71</v>
      </c>
      <c r="B82" s="5" t="n">
        <v>907.1872566831391</v>
      </c>
      <c r="C82" s="8">
        <f si="8" t="shared"/>
        <v>4.4601294404781027E-4</v>
      </c>
      <c r="E82" s="9">
        <v>71</v>
      </c>
      <c r="F82" s="9" t="n">
        <v>1636.0</v>
      </c>
      <c r="G82" s="8">
        <f si="9" t="shared"/>
        <v>6.2651100131635778E-4</v>
      </c>
    </row>
    <row r="83" spans="1:7" x14ac:dyDescent="0.45">
      <c r="A83">
        <v>72</v>
      </c>
      <c r="B83" s="5" t="n">
        <v>2005.4960260253765</v>
      </c>
      <c r="C83" s="8">
        <f si="8" t="shared"/>
        <v>9.8598958512066443E-4</v>
      </c>
      <c r="E83" s="9">
        <v>72</v>
      </c>
      <c r="F83" s="9" t="n">
        <v>1578.0</v>
      </c>
      <c r="G83" s="8">
        <f si="9" t="shared"/>
        <v>5.7059289737373205E-4</v>
      </c>
    </row>
    <row r="84" spans="1:7" x14ac:dyDescent="0.45">
      <c r="A84">
        <v>73</v>
      </c>
      <c r="B84" s="5" t="n">
        <v>346.9643385301827</v>
      </c>
      <c r="C84" s="8">
        <f si="8" t="shared"/>
        <v>1.7058284821288989E-4</v>
      </c>
      <c r="E84" s="9">
        <v>73</v>
      </c>
      <c r="F84" s="9" t="n">
        <v>1473.0</v>
      </c>
      <c r="G84" s="8">
        <f si="9" t="shared"/>
        <v>5.0269234258625798E-4</v>
      </c>
    </row>
    <row r="85" spans="1:7" x14ac:dyDescent="0.45">
      <c r="A85">
        <v>74</v>
      </c>
      <c r="B85" s="5" t="n">
        <v>986.5595494220626</v>
      </c>
      <c r="C85" s="8">
        <f si="8" t="shared"/>
        <v>4.850358356278192E-4</v>
      </c>
      <c r="E85" s="9">
        <v>74</v>
      </c>
      <c r="F85" s="9" t="n">
        <v>1337.0</v>
      </c>
      <c r="G85" s="8">
        <f si="9" t="shared"/>
        <v>4.6845676874383401E-4</v>
      </c>
    </row>
    <row r="86" spans="1:7" x14ac:dyDescent="0.45">
      <c r="A86">
        <v>75</v>
      </c>
      <c r="B86" s="5" t="n">
        <v>1933.6933911350193</v>
      </c>
      <c r="C86" s="8">
        <f si="8" t="shared"/>
        <v>9.5068826850503232E-4</v>
      </c>
      <c r="E86" s="9">
        <v>75</v>
      </c>
      <c r="F86" s="9" t="n">
        <v>1250.0</v>
      </c>
      <c r="G86" s="8">
        <f si="9" t="shared"/>
        <v>4.0397977134060229E-4</v>
      </c>
    </row>
    <row r="87" spans="1:7" x14ac:dyDescent="0.45">
      <c r="A87">
        <v>76</v>
      </c>
      <c r="B87" s="5" t="n">
        <v>1820.5072744331858</v>
      </c>
      <c r="C87" s="8">
        <f si="8" t="shared"/>
        <v>8.9504102173913541E-4</v>
      </c>
      <c r="E87" s="9">
        <v>76</v>
      </c>
      <c r="F87" s="9" t="n">
        <v>1073.0</v>
      </c>
      <c r="G87" s="8">
        <f si="9" t="shared"/>
        <v>3.5319700347434015E-4</v>
      </c>
    </row>
    <row r="88" spans="1:7" x14ac:dyDescent="0.45">
      <c r="A88">
        <v>77</v>
      </c>
      <c r="B88" s="5" t="n">
        <v>1897.9435908987539</v>
      </c>
      <c r="C88" s="8">
        <f si="8" t="shared"/>
        <v>9.3311210268586561E-4</v>
      </c>
      <c r="E88" s="9">
        <v>77</v>
      </c>
      <c r="F88" s="9" t="n">
        <v>1078.0</v>
      </c>
      <c r="G88" s="8">
        <f si="9" t="shared"/>
        <v>3.5604996796120879E-4</v>
      </c>
    </row>
    <row r="89" spans="1:7" x14ac:dyDescent="0.45">
      <c r="A89">
        <v>78</v>
      </c>
      <c r="B89" s="5" t="n">
        <v>941.695804446694</v>
      </c>
      <c r="C89" s="8">
        <f si="8" t="shared"/>
        <v>4.6297885584766418E-4</v>
      </c>
      <c r="E89" s="9">
        <v>78</v>
      </c>
      <c r="F89" s="9" t="n">
        <v>963.0</v>
      </c>
      <c r="G89" s="8">
        <f si="9" t="shared"/>
        <v>3.1154372196605769E-4</v>
      </c>
    </row>
    <row r="90" spans="1:7" x14ac:dyDescent="0.45">
      <c r="A90">
        <v>79</v>
      </c>
      <c r="B90" s="5" t="n">
        <v>82.4376239579627</v>
      </c>
      <c r="C90" s="8">
        <f si="8" t="shared"/>
        <v>4.0529942512893562E-5</v>
      </c>
      <c r="E90" s="9">
        <v>79</v>
      </c>
      <c r="F90" s="9" t="n">
        <v>818.0</v>
      </c>
      <c r="G90" s="8">
        <f si="9" t="shared"/>
        <v>2.8073170550787618E-4</v>
      </c>
    </row>
    <row r="91" spans="1:7" x14ac:dyDescent="0.45">
      <c r="A91">
        <v>80</v>
      </c>
      <c r="B91" s="5" t="n">
        <v>935.8727740373408</v>
      </c>
      <c r="C91" s="8">
        <f si="8" t="shared"/>
        <v>4.6011599934585307E-4</v>
      </c>
      <c r="E91" s="9">
        <v>80</v>
      </c>
      <c r="F91" s="9" t="n">
        <v>764.0</v>
      </c>
      <c r="G91" s="8">
        <f si="9" t="shared"/>
        <v>2.5505502512605826E-4</v>
      </c>
    </row>
    <row r="92" spans="1:7" x14ac:dyDescent="0.45">
      <c r="A92">
        <v>81</v>
      </c>
      <c r="B92" s="5" t="n">
        <v>569.1320691570382</v>
      </c>
      <c r="C92" s="8">
        <f si="8" t="shared"/>
        <v>2.7981022423622238E-4</v>
      </c>
      <c r="E92" s="9">
        <v>81</v>
      </c>
      <c r="F92" s="9" t="n">
        <v>667.0</v>
      </c>
      <c r="G92" s="8">
        <f si="9" t="shared"/>
        <v>2.3451368082060388E-4</v>
      </c>
    </row>
    <row r="93" spans="1:7" x14ac:dyDescent="0.45">
      <c r="A93">
        <v>82</v>
      </c>
      <c r="B93" s="5" t="n">
        <v>2308.1225651493855</v>
      </c>
      <c r="C93" s="8">
        <f si="8" t="shared"/>
        <v>1.134774031404882E-3</v>
      </c>
      <c r="E93" s="9">
        <v>82</v>
      </c>
      <c r="F93" s="9" t="n">
        <v>583.0</v>
      </c>
      <c r="G93" s="8">
        <f si="9" t="shared"/>
        <v>2.0427225725979609E-4</v>
      </c>
    </row>
    <row r="94" spans="1:7" x14ac:dyDescent="0.45">
      <c r="A94">
        <v>83</v>
      </c>
      <c r="B94" s="5" t="n">
        <v>0.0</v>
      </c>
      <c r="C94" s="8">
        <f si="8" t="shared"/>
        <v>0</v>
      </c>
      <c r="E94" s="9">
        <v>83</v>
      </c>
      <c r="F94" s="9" t="n">
        <v>526.0</v>
      </c>
      <c r="G94" s="8">
        <f si="9" t="shared"/>
        <v>2.1454292941252325E-4</v>
      </c>
    </row>
    <row r="95" spans="1:7" x14ac:dyDescent="0.45">
      <c r="A95">
        <v>84</v>
      </c>
      <c r="B95" s="5" t="n">
        <v>26.8818455625007</v>
      </c>
      <c r="C95" s="8">
        <f si="8" t="shared"/>
        <v>1.3216291336152694E-5</v>
      </c>
      <c r="E95" s="9">
        <v>84</v>
      </c>
      <c r="F95" s="9" t="n">
        <v>493.0</v>
      </c>
      <c r="G95" s="8">
        <f si="9" t="shared"/>
        <v>1.6604253313575604E-4</v>
      </c>
    </row>
    <row r="96" spans="1:7" x14ac:dyDescent="0.45">
      <c r="A96">
        <v>85</v>
      </c>
      <c r="B96" s="5" t="n">
        <v>478.533413576478</v>
      </c>
      <c r="C96" s="8">
        <f si="8" t="shared"/>
        <v>2.3526796153954414E-4</v>
      </c>
      <c r="E96" s="9">
        <v>85</v>
      </c>
      <c r="F96" s="9" t="n">
        <v>432.0</v>
      </c>
      <c r="G96" s="8">
        <f si="9" t="shared"/>
        <v>1.6775431182787723E-4</v>
      </c>
    </row>
    <row r="97" spans="1:7" x14ac:dyDescent="0.45">
      <c r="A97">
        <v>86</v>
      </c>
      <c r="B97" s="5" t="n">
        <v>775.71662684861</v>
      </c>
      <c r="C97" s="8">
        <f si="8" t="shared"/>
        <v>3.8137623069415362E-4</v>
      </c>
      <c r="E97" s="9">
        <v>86</v>
      </c>
      <c r="F97" s="9" t="n">
        <v>435.0</v>
      </c>
      <c r="G97" s="8">
        <f si="9" t="shared"/>
        <v>1.5976601126464497E-4</v>
      </c>
    </row>
    <row r="98" spans="1:7" x14ac:dyDescent="0.45">
      <c r="A98">
        <v>87</v>
      </c>
      <c r="B98" s="5" t="n">
        <v>804.9067691528691</v>
      </c>
      <c r="C98" s="8">
        <f si="8" t="shared"/>
        <v>3.9572738169455223E-4</v>
      </c>
      <c r="E98" s="9">
        <v>87</v>
      </c>
      <c r="F98" s="9" t="n">
        <v>363.0</v>
      </c>
      <c r="G98" s="8">
        <f si="9" t="shared"/>
        <v>1.5577186098302885E-4</v>
      </c>
    </row>
    <row r="99" spans="1:7" x14ac:dyDescent="0.45">
      <c r="A99">
        <v>88</v>
      </c>
      <c r="B99" s="5" t="n">
        <v>0.0</v>
      </c>
      <c r="C99" s="8">
        <f si="8" t="shared"/>
        <v>0</v>
      </c>
      <c r="E99" s="9">
        <v>88</v>
      </c>
      <c r="F99" s="9" t="n">
        <v>356.0</v>
      </c>
      <c r="G99" s="8">
        <f si="9" t="shared"/>
        <v>1.2781280901171598E-4</v>
      </c>
    </row>
    <row r="100" spans="1:7" x14ac:dyDescent="0.45">
      <c r="A100">
        <v>89</v>
      </c>
      <c r="B100" s="5" t="n">
        <v>53.5188485394014</v>
      </c>
      <c r="C100" s="8">
        <f si="8" t="shared"/>
        <v>2.6312207345571849E-5</v>
      </c>
      <c r="E100" s="9">
        <v>89</v>
      </c>
      <c r="F100" s="9" t="n">
        <v>317.0</v>
      </c>
      <c r="G100" s="8">
        <f si="9" t="shared"/>
        <v>1.4378941013818049E-4</v>
      </c>
    </row>
    <row ht="14.65" r="101" spans="1:7" thickBot="1" x14ac:dyDescent="0.5">
      <c r="A101" s="1">
        <v>90</v>
      </c>
      <c r="B101" s="6" t="n">
        <v>955.9169122201</v>
      </c>
      <c r="C101" s="8">
        <f si="8" t="shared"/>
        <v>4.6997057459030681E-4</v>
      </c>
      <c r="E101" s="10">
        <v>90</v>
      </c>
      <c r="F101" s="10" t="n">
        <v>6394.0</v>
      </c>
      <c r="G101" s="8">
        <f si="9" t="shared"/>
        <v>3.0344130282335072E-3</v>
      </c>
    </row>
    <row r="102" spans="1:7" x14ac:dyDescent="0.45">
      <c r="B102" s="5">
        <f>SUM(B11:B101)</f>
        <v>2033993.1134059045</v>
      </c>
      <c r="C102" s="8">
        <f si="8" t="shared"/>
        <v>1</v>
      </c>
      <c r="F102" s="5">
        <f>SUM(F11:F101)</f>
        <v>1752563</v>
      </c>
      <c r="G102" s="8">
        <f si="9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102"/>
  <sheetViews>
    <sheetView workbookViewId="0">
      <selection activeCell="K11" sqref="K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J9" s="7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85563.53049252002</v>
      </c>
      <c r="C11" s="8">
        <f>B11/B$102</f>
        <v>8.0912727879091859E-2</v>
      </c>
      <c r="E11" s="9">
        <v>0</v>
      </c>
      <c r="F11" s="9" t="n">
        <v>81326.0</v>
      </c>
      <c r="G11" s="8">
        <f>F11/F$102</f>
        <v>8.6994824713041444E-2</v>
      </c>
      <c r="K11" s="5" t="n">
        <v>9.927928077436544</v>
      </c>
      <c r="L11" s="5" t="n">
        <v>8.880414410191706</v>
      </c>
    </row>
    <row r="12" spans="1:12" x14ac:dyDescent="0.45">
      <c r="A12">
        <v>1</v>
      </c>
      <c r="B12" s="5" t="n">
        <v>96551.16295789836</v>
      </c>
      <c r="C12" s="8">
        <f>B12/B$102</f>
        <v>9.1303127978166226E-2</v>
      </c>
      <c r="E12" s="9">
        <v>1</v>
      </c>
      <c r="F12" s="9" t="n">
        <v>86711.0</v>
      </c>
      <c r="G12" s="8">
        <f>F12/F$102</f>
        <v>9.1885755245303027E-2</v>
      </c>
      <c r="K12" s="5"/>
      <c r="L12" s="9"/>
    </row>
    <row r="13" spans="1:12" x14ac:dyDescent="0.45">
      <c r="A13">
        <v>2</v>
      </c>
      <c r="B13" s="5" t="n">
        <v>91690.58914169509</v>
      </c>
      <c r="C13" s="8">
        <f ref="C13:C76" si="0" t="shared">B13/B$102</f>
        <v>8.6706750476409508E-2</v>
      </c>
      <c r="E13" s="9">
        <v>2</v>
      </c>
      <c r="F13" s="9" t="n">
        <v>82048.0</v>
      </c>
      <c r="G13" s="8">
        <f ref="G13:G76" si="1" t="shared">F13/F$102</f>
        <v>8.6792019563722123E-2</v>
      </c>
    </row>
    <row r="14" spans="1:12" x14ac:dyDescent="0.45">
      <c r="A14">
        <v>3</v>
      </c>
      <c r="B14" s="5" t="n">
        <v>80268.488760825</v>
      </c>
      <c r="C14" s="8">
        <f si="0" t="shared"/>
        <v>7.5905497949717585E-2</v>
      </c>
      <c r="E14" s="9">
        <v>3</v>
      </c>
      <c r="F14" s="9" t="n">
        <v>69169.0</v>
      </c>
      <c r="G14" s="8">
        <f si="1" t="shared"/>
        <v>7.407323948498222E-2</v>
      </c>
    </row>
    <row r="15" spans="1:12" x14ac:dyDescent="0.45">
      <c r="A15">
        <v>4</v>
      </c>
      <c r="B15" s="5" t="n">
        <v>67856.32431047772</v>
      </c>
      <c r="C15" s="8">
        <f si="0" t="shared"/>
        <v>6.4167996250330803E-2</v>
      </c>
      <c r="E15" s="9">
        <v>4</v>
      </c>
      <c r="F15" s="9" t="n">
        <v>59987.0</v>
      </c>
      <c r="G15" s="8">
        <f si="1" t="shared"/>
        <v>6.40703315381322E-2</v>
      </c>
    </row>
    <row r="16" spans="1:12" x14ac:dyDescent="0.45">
      <c r="A16">
        <v>5</v>
      </c>
      <c r="B16" s="5" t="n">
        <v>55027.93050906998</v>
      </c>
      <c r="C16" s="8">
        <f si="0" t="shared"/>
        <v>5.2036889331245992E-2</v>
      </c>
      <c r="E16" s="9">
        <v>5</v>
      </c>
      <c r="F16" s="9" t="n">
        <v>53766.0</v>
      </c>
      <c r="G16" s="8">
        <f si="1" t="shared"/>
        <v>5.7791956254178163E-2</v>
      </c>
    </row>
    <row r="17" spans="1:7" x14ac:dyDescent="0.45">
      <c r="A17">
        <v>6</v>
      </c>
      <c r="B17" s="5" t="n">
        <v>47186.24154862886</v>
      </c>
      <c r="C17" s="8">
        <f si="0" t="shared"/>
        <v>4.4621435091380113E-2</v>
      </c>
      <c r="E17" s="9">
        <v>6</v>
      </c>
      <c r="F17" s="9" t="n">
        <v>45824.0</v>
      </c>
      <c r="G17" s="8">
        <f si="1" t="shared"/>
        <v>4.9102453083872268E-2</v>
      </c>
    </row>
    <row r="18" spans="1:7" x14ac:dyDescent="0.45">
      <c r="A18">
        <v>7</v>
      </c>
      <c r="B18" s="5" t="n">
        <v>47033.56626051691</v>
      </c>
      <c r="C18" s="8">
        <f si="0" t="shared"/>
        <v>4.4477058463046108E-2</v>
      </c>
      <c r="E18" s="9">
        <v>7</v>
      </c>
      <c r="F18" s="9" t="n">
        <v>41525.0</v>
      </c>
      <c r="G18" s="8">
        <f si="1" t="shared"/>
        <v>4.4929388397613984E-2</v>
      </c>
    </row>
    <row r="19" spans="1:7" x14ac:dyDescent="0.45">
      <c r="A19">
        <v>8</v>
      </c>
      <c r="B19" s="5" t="n">
        <v>45731.59854615457</v>
      </c>
      <c r="C19" s="8">
        <f si="0" t="shared"/>
        <v>4.3245859156832663E-2</v>
      </c>
      <c r="E19" s="9">
        <v>8</v>
      </c>
      <c r="F19" s="9" t="n">
        <v>39442.0</v>
      </c>
      <c r="G19" s="8">
        <f si="1" t="shared"/>
        <v>4.2909921249365567E-2</v>
      </c>
    </row>
    <row r="20" spans="1:7" x14ac:dyDescent="0.45">
      <c r="A20">
        <v>9</v>
      </c>
      <c r="B20" s="5" t="n">
        <v>35982.4060549201</v>
      </c>
      <c r="C20" s="8">
        <f si="0" t="shared"/>
        <v>3.4026583671781234E-2</v>
      </c>
      <c r="E20" s="9">
        <v>9</v>
      </c>
      <c r="F20" s="9" t="n">
        <v>40001.0</v>
      </c>
      <c r="G20" s="8">
        <f si="1" t="shared"/>
        <v>4.320930027931312E-2</v>
      </c>
    </row>
    <row r="21" spans="1:7" x14ac:dyDescent="0.45">
      <c r="A21">
        <v>10</v>
      </c>
      <c r="B21" s="5" t="n">
        <v>37021.98727674284</v>
      </c>
      <c r="C21" s="8">
        <f si="0" t="shared"/>
        <v>3.5009658493792117E-2</v>
      </c>
      <c r="E21" s="9">
        <v>10</v>
      </c>
      <c r="F21" s="9" t="n">
        <v>37999.0</v>
      </c>
      <c r="G21" s="8">
        <f si="1" t="shared"/>
        <v>4.1759619026771354E-2</v>
      </c>
    </row>
    <row r="22" spans="1:7" x14ac:dyDescent="0.45">
      <c r="A22">
        <v>11</v>
      </c>
      <c r="B22" s="5" t="n">
        <v>42352.78820848402</v>
      </c>
      <c r="C22" s="8">
        <f si="0" t="shared"/>
        <v>4.0050703933183968E-2</v>
      </c>
      <c r="E22" s="9">
        <v>11</v>
      </c>
      <c r="F22" s="9" t="n">
        <v>34350.0</v>
      </c>
      <c r="G22" s="8">
        <f si="1" t="shared"/>
        <v>3.7406283096673675E-2</v>
      </c>
    </row>
    <row r="23" spans="1:7" x14ac:dyDescent="0.45">
      <c r="A23">
        <v>12</v>
      </c>
      <c r="B23" s="5" t="n">
        <v>30525.5829945036</v>
      </c>
      <c r="C23" s="8">
        <f si="0" t="shared"/>
        <v>2.8866366031972273E-2</v>
      </c>
      <c r="E23" s="9">
        <v>12</v>
      </c>
      <c r="F23" s="9" t="n">
        <v>31499.0</v>
      </c>
      <c r="G23" s="8">
        <f si="1" t="shared"/>
        <v>3.4638904895115404E-2</v>
      </c>
    </row>
    <row r="24" spans="1:7" x14ac:dyDescent="0.45">
      <c r="A24">
        <v>13</v>
      </c>
      <c r="B24" s="5" t="n">
        <v>27290.543551979346</v>
      </c>
      <c r="C24" s="8">
        <f si="0" t="shared"/>
        <v>2.580716704165038E-2</v>
      </c>
      <c r="E24" s="9">
        <v>13</v>
      </c>
      <c r="F24" s="9" t="n">
        <v>27427.0</v>
      </c>
      <c r="G24" s="8">
        <f si="1" t="shared"/>
        <v>2.9755485664680465E-2</v>
      </c>
    </row>
    <row r="25" spans="1:7" x14ac:dyDescent="0.45">
      <c r="A25">
        <v>14</v>
      </c>
      <c r="B25" s="5" t="n">
        <v>28040.432139203767</v>
      </c>
      <c r="C25" s="8">
        <f si="0" t="shared"/>
        <v>2.6516295461766592E-2</v>
      </c>
      <c r="E25" s="9">
        <v>14</v>
      </c>
      <c r="F25" s="9" t="n">
        <v>24486.0</v>
      </c>
      <c r="G25" s="8">
        <f si="1" t="shared"/>
        <v>2.6315309428078748E-2</v>
      </c>
    </row>
    <row r="26" spans="1:7" x14ac:dyDescent="0.45">
      <c r="A26">
        <v>15</v>
      </c>
      <c r="B26" s="5" t="n">
        <v>21390.486057236823</v>
      </c>
      <c r="C26" s="8">
        <f si="0" t="shared"/>
        <v>2.0227806959204602E-2</v>
      </c>
      <c r="E26" s="9">
        <v>15</v>
      </c>
      <c r="F26" s="9" t="n">
        <v>21568.0</v>
      </c>
      <c r="G26" s="8">
        <f si="1" t="shared"/>
        <v>2.3440626914711313E-2</v>
      </c>
    </row>
    <row r="27" spans="1:7" x14ac:dyDescent="0.45">
      <c r="A27">
        <v>16</v>
      </c>
      <c r="B27" s="5" t="n">
        <v>19934.996465470605</v>
      </c>
      <c r="C27" s="8">
        <f si="0" t="shared"/>
        <v>1.8851430451695649E-2</v>
      </c>
      <c r="E27" s="9">
        <v>16</v>
      </c>
      <c r="F27" s="9" t="n">
        <v>19353.0</v>
      </c>
      <c r="G27" s="8">
        <f si="1" t="shared"/>
        <v>2.0979066001809151E-2</v>
      </c>
    </row>
    <row r="28" spans="1:7" x14ac:dyDescent="0.45">
      <c r="A28">
        <v>17</v>
      </c>
      <c r="B28" s="5" t="n">
        <v>13683.669383180038</v>
      </c>
      <c r="C28" s="8">
        <f si="0" t="shared"/>
        <v>1.2939894027461821E-2</v>
      </c>
      <c r="E28" s="9">
        <v>17</v>
      </c>
      <c r="F28" s="9" t="n">
        <v>16687.0</v>
      </c>
      <c r="G28" s="8">
        <f si="1" t="shared"/>
        <v>1.8030343513293395E-2</v>
      </c>
    </row>
    <row r="29" spans="1:7" x14ac:dyDescent="0.45">
      <c r="A29">
        <v>18</v>
      </c>
      <c r="B29" s="5" t="n">
        <v>23592.506798465813</v>
      </c>
      <c r="C29" s="8">
        <f si="0" t="shared"/>
        <v>2.2310136942476542E-2</v>
      </c>
      <c r="E29" s="9">
        <v>18</v>
      </c>
      <c r="F29" s="9" t="n">
        <v>15111.0</v>
      </c>
      <c r="G29" s="8">
        <f si="1" t="shared"/>
        <v>1.6076331995248563E-2</v>
      </c>
    </row>
    <row r="30" spans="1:7" x14ac:dyDescent="0.45">
      <c r="A30">
        <v>19</v>
      </c>
      <c r="B30" s="5" t="n">
        <v>14641.106370348003</v>
      </c>
      <c r="C30" s="8">
        <f si="0" t="shared"/>
        <v>1.3845289561729443E-2</v>
      </c>
      <c r="E30" s="9">
        <v>19</v>
      </c>
      <c r="F30" s="9" t="n">
        <v>12434.0</v>
      </c>
      <c r="G30" s="8">
        <f si="1" t="shared"/>
        <v>1.3497809382474416E-2</v>
      </c>
    </row>
    <row r="31" spans="1:7" x14ac:dyDescent="0.45">
      <c r="A31">
        <v>20</v>
      </c>
      <c r="B31" s="5" t="n">
        <v>11592.42322544095</v>
      </c>
      <c r="C31" s="8">
        <f si="0" t="shared"/>
        <v>1.0962317479190109E-2</v>
      </c>
      <c r="E31" s="9">
        <v>20</v>
      </c>
      <c r="F31" s="9" t="n">
        <v>10780.0</v>
      </c>
      <c r="G31" s="8">
        <f si="1" t="shared"/>
        <v>1.1572770028618061E-2</v>
      </c>
    </row>
    <row r="32" spans="1:7" x14ac:dyDescent="0.45">
      <c r="A32">
        <v>21</v>
      </c>
      <c r="B32" s="5" t="n">
        <v>16178.235916496322</v>
      </c>
      <c r="C32" s="8">
        <f si="0" t="shared"/>
        <v>1.5298868486845018E-2</v>
      </c>
      <c r="E32" s="9">
        <v>21</v>
      </c>
      <c r="F32" s="9" t="n">
        <v>9485.0</v>
      </c>
      <c r="G32" s="8">
        <f si="1" t="shared"/>
        <v>1.0166010500799953E-2</v>
      </c>
    </row>
    <row r="33" spans="1:7" x14ac:dyDescent="0.45">
      <c r="A33">
        <v>22</v>
      </c>
      <c r="B33" s="5" t="n">
        <v>9876.377483930755</v>
      </c>
      <c r="C33" s="8">
        <f si="0" t="shared"/>
        <v>9.3395473420575924E-3</v>
      </c>
      <c r="E33" s="9">
        <v>22</v>
      </c>
      <c r="F33" s="9" t="n">
        <v>8077.0</v>
      </c>
      <c r="G33" s="8">
        <f si="1" t="shared"/>
        <v>9.0425343561580333E-3</v>
      </c>
    </row>
    <row r="34" spans="1:7" x14ac:dyDescent="0.45">
      <c r="A34">
        <v>23</v>
      </c>
      <c r="B34" s="5" t="n">
        <v>8345.41227598016</v>
      </c>
      <c r="C34" s="8">
        <f si="0" t="shared"/>
        <v>7.891797692759368E-3</v>
      </c>
      <c r="E34" s="9">
        <v>23</v>
      </c>
      <c r="F34" s="9" t="n">
        <v>7188.0</v>
      </c>
      <c r="G34" s="8">
        <f si="1" t="shared"/>
        <v>7.7795626061642033E-3</v>
      </c>
    </row>
    <row r="35" spans="1:7" x14ac:dyDescent="0.45">
      <c r="A35">
        <v>24</v>
      </c>
      <c r="B35" s="5" t="n">
        <v>12819.910590818801</v>
      </c>
      <c r="C35" s="8">
        <f si="0" t="shared"/>
        <v>1.2123084813101417E-2</v>
      </c>
      <c r="E35" s="9">
        <v>24</v>
      </c>
      <c r="F35" s="9" t="n">
        <v>6542.0</v>
      </c>
      <c r="G35" s="8">
        <f si="1" t="shared"/>
        <v>7.0960341399398455E-3</v>
      </c>
    </row>
    <row r="36" spans="1:7" x14ac:dyDescent="0.45">
      <c r="A36">
        <v>25</v>
      </c>
      <c r="B36" s="5" t="n">
        <v>7312.957011339472</v>
      </c>
      <c r="C36" s="8">
        <f si="0" t="shared"/>
        <v>6.9154614967849547E-3</v>
      </c>
      <c r="E36" s="9">
        <v>25</v>
      </c>
      <c r="F36" s="9" t="n">
        <v>6092.0</v>
      </c>
      <c r="G36" s="8">
        <f si="1" t="shared"/>
        <v>6.5359056322960227E-3</v>
      </c>
    </row>
    <row r="37" spans="1:7" x14ac:dyDescent="0.45">
      <c r="A37">
        <v>26</v>
      </c>
      <c r="B37" s="5" t="n">
        <v>10297.60122062062</v>
      </c>
      <c r="C37" s="8">
        <f si="0" t="shared"/>
        <v>9.7378754777342844E-3</v>
      </c>
      <c r="E37" s="9">
        <v>26</v>
      </c>
      <c r="F37" s="9" t="n">
        <v>5500.0</v>
      </c>
      <c r="G37" s="8">
        <f si="1" t="shared"/>
        <v>5.9714849521798332E-3</v>
      </c>
    </row>
    <row r="38" spans="1:7" x14ac:dyDescent="0.45">
      <c r="A38">
        <v>27</v>
      </c>
      <c r="B38" s="5" t="n">
        <v>7906.335906318741</v>
      </c>
      <c r="C38" s="8">
        <f si="0" t="shared"/>
        <v>7.4765873033323018E-3</v>
      </c>
      <c r="E38" s="9">
        <v>27</v>
      </c>
      <c r="F38" s="9" t="n">
        <v>5132.0</v>
      </c>
      <c r="G38" s="8">
        <f si="1" t="shared"/>
        <v>5.555144222360287E-3</v>
      </c>
    </row>
    <row r="39" spans="1:7" x14ac:dyDescent="0.45">
      <c r="A39">
        <v>28</v>
      </c>
      <c r="B39" s="5" t="n">
        <v>9502.552551110031</v>
      </c>
      <c r="C39" s="8">
        <f si="0" t="shared"/>
        <v>8.9860416499755302E-3</v>
      </c>
      <c r="E39" s="9">
        <v>28</v>
      </c>
      <c r="F39" s="9" t="n">
        <v>4539.0</v>
      </c>
      <c r="G39" s="8">
        <f si="1" t="shared"/>
        <v>4.9177566102138678E-3</v>
      </c>
    </row>
    <row r="40" spans="1:7" x14ac:dyDescent="0.45">
      <c r="A40">
        <v>29</v>
      </c>
      <c r="B40" s="5" t="n">
        <v>6149.859216571239</v>
      </c>
      <c r="C40" s="8">
        <f si="0" t="shared"/>
        <v>5.8155838406954725E-3</v>
      </c>
      <c r="E40" s="9">
        <v>29</v>
      </c>
      <c r="F40" s="9" t="n">
        <v>4076.0</v>
      </c>
      <c r="G40" s="8">
        <f si="1" t="shared"/>
        <v>4.5572141225350858E-3</v>
      </c>
    </row>
    <row r="41" spans="1:7" x14ac:dyDescent="0.45">
      <c r="A41">
        <v>30</v>
      </c>
      <c r="B41" s="5" t="n">
        <v>4981.618516405966</v>
      </c>
      <c r="C41" s="8">
        <f si="0" t="shared"/>
        <v>4.710842821646289E-3</v>
      </c>
      <c r="E41" s="9">
        <v>30</v>
      </c>
      <c r="F41" s="9" t="n">
        <v>3643.0</v>
      </c>
      <c r="G41" s="8">
        <f si="1" t="shared"/>
        <v>4.0206925634892789E-3</v>
      </c>
    </row>
    <row r="42" spans="1:7" x14ac:dyDescent="0.45">
      <c r="A42">
        <v>31</v>
      </c>
      <c r="B42" s="5" t="n">
        <v>7061.158701682752</v>
      </c>
      <c r="C42" s="8">
        <f si="0" t="shared"/>
        <v>6.677349675166624E-3</v>
      </c>
      <c r="E42" s="9">
        <v>31</v>
      </c>
      <c r="F42" s="9" t="n">
        <v>3280.0</v>
      </c>
      <c r="G42" s="8">
        <f si="1" t="shared"/>
        <v>3.4895362200339296E-3</v>
      </c>
    </row>
    <row r="43" spans="1:7" x14ac:dyDescent="0.45">
      <c r="A43">
        <v>32</v>
      </c>
      <c r="B43" s="5" t="n">
        <v>5033.314817252903</v>
      </c>
      <c r="C43" s="8">
        <f si="0" t="shared"/>
        <v>4.7597291719255058E-3</v>
      </c>
      <c r="E43" s="9">
        <v>32</v>
      </c>
      <c r="F43" s="9" t="n">
        <v>2719.0</v>
      </c>
      <c r="G43" s="8">
        <f si="1" t="shared"/>
        <v>2.9540877041062141E-3</v>
      </c>
    </row>
    <row r="44" spans="1:7" x14ac:dyDescent="0.45">
      <c r="A44">
        <v>33</v>
      </c>
      <c r="B44" s="5" t="n">
        <v>2255.1083146637866</v>
      </c>
      <c r="C44" s="8">
        <f si="0" t="shared"/>
        <v>2.1325319835676921E-3</v>
      </c>
      <c r="E44" s="9">
        <v>33</v>
      </c>
      <c r="F44" s="9" t="n">
        <v>2224.0</v>
      </c>
      <c r="G44" s="8">
        <f si="1" t="shared"/>
        <v>2.3639139891558263E-3</v>
      </c>
    </row>
    <row r="45" spans="1:7" x14ac:dyDescent="0.45">
      <c r="A45">
        <v>34</v>
      </c>
      <c r="B45" s="5" t="n">
        <v>3767.46277247077</v>
      </c>
      <c r="C45" s="8">
        <f si="0" t="shared"/>
        <v>3.5626824693750238E-3</v>
      </c>
      <c r="E45" s="9">
        <v>34</v>
      </c>
      <c r="F45" s="9" t="n">
        <v>1789.0</v>
      </c>
      <c r="G45" s="8">
        <f si="1" t="shared"/>
        <v>1.9540115180448295E-3</v>
      </c>
    </row>
    <row r="46" spans="1:7" x14ac:dyDescent="0.45">
      <c r="A46">
        <v>35</v>
      </c>
      <c r="B46" s="5" t="n">
        <v>3304.572736931667</v>
      </c>
      <c r="C46" s="8">
        <f si="0" t="shared"/>
        <v>3.1249528050200357E-3</v>
      </c>
      <c r="E46" s="9">
        <v>35</v>
      </c>
      <c r="F46" s="9" t="n">
        <v>1402.0</v>
      </c>
      <c r="G46" s="8">
        <f si="1" t="shared"/>
        <v>1.5226481845720006E-3</v>
      </c>
    </row>
    <row r="47" spans="1:7" x14ac:dyDescent="0.45">
      <c r="A47">
        <v>36</v>
      </c>
      <c r="B47" s="5" t="n">
        <v>3491.770225743003</v>
      </c>
      <c r="C47" s="8">
        <f si="0" t="shared"/>
        <v>3.301975181079718E-3</v>
      </c>
      <c r="E47" s="9">
        <v>36</v>
      </c>
      <c r="F47" s="9" t="n">
        <v>1101.0</v>
      </c>
      <c r="G47" s="8">
        <f si="1" t="shared"/>
        <v>1.1610326537751267E-3</v>
      </c>
    </row>
    <row r="48" spans="1:7" x14ac:dyDescent="0.45">
      <c r="A48">
        <v>37</v>
      </c>
      <c r="B48" s="5" t="n">
        <v>899.876823191449</v>
      </c>
      <c r="C48" s="8">
        <f si="0" t="shared"/>
        <v>8.5096405092770883E-4</v>
      </c>
      <c r="E48" s="9">
        <v>37</v>
      </c>
      <c r="F48" s="9" t="n">
        <v>913.0</v>
      </c>
      <c r="G48" s="8">
        <f si="1" t="shared"/>
        <v>1.0129527034784839E-3</v>
      </c>
    </row>
    <row r="49" spans="1:7" x14ac:dyDescent="0.45">
      <c r="A49">
        <v>38</v>
      </c>
      <c r="B49" s="5" t="n">
        <v>1469.770940803847</v>
      </c>
      <c r="C49" s="8">
        <f si="0" t="shared"/>
        <v>1.3898815943348059E-3</v>
      </c>
      <c r="E49" s="9">
        <v>38</v>
      </c>
      <c r="F49" s="9" t="n">
        <v>737.0</v>
      </c>
      <c r="G49" s="8">
        <f si="1" t="shared"/>
        <v>7.8654060556115327E-4</v>
      </c>
    </row>
    <row r="50" spans="1:7" x14ac:dyDescent="0.45">
      <c r="A50">
        <v>39</v>
      </c>
      <c r="B50" s="5" t="n">
        <v>1471.0674506164844</v>
      </c>
      <c r="C50" s="8">
        <f si="0" t="shared"/>
        <v>1.3911076324033458E-3</v>
      </c>
      <c r="E50" s="9">
        <v>39</v>
      </c>
      <c r="F50" s="9" t="n">
        <v>612.0</v>
      </c>
      <c r="G50" s="8">
        <f si="1" t="shared"/>
        <v>6.4167978461878534E-4</v>
      </c>
    </row>
    <row r="51" spans="1:7" x14ac:dyDescent="0.45">
      <c r="A51">
        <v>40</v>
      </c>
      <c r="B51" s="5" t="n">
        <v>1782.171378311446</v>
      </c>
      <c r="C51" s="8">
        <f si="0" t="shared"/>
        <v>1.6853015173307526E-3</v>
      </c>
      <c r="E51" s="9">
        <v>40</v>
      </c>
      <c r="F51" s="9" t="n">
        <v>495.0</v>
      </c>
      <c r="G51" s="8">
        <f si="1" t="shared"/>
        <v>6.3524152591023565E-4</v>
      </c>
    </row>
    <row r="52" spans="1:7" x14ac:dyDescent="0.45">
      <c r="A52">
        <v>41</v>
      </c>
      <c r="B52" s="5" t="n">
        <v>1043.4673963699845</v>
      </c>
      <c r="C52" s="8">
        <f si="0" t="shared"/>
        <v>9.8674976368079989E-4</v>
      </c>
      <c r="E52" s="9">
        <v>41</v>
      </c>
      <c r="F52" s="9" t="n">
        <v>462.0</v>
      </c>
      <c r="G52" s="8">
        <f si="1" t="shared"/>
        <v>4.592624545432109E-4</v>
      </c>
    </row>
    <row r="53" spans="1:7" x14ac:dyDescent="0.45">
      <c r="A53">
        <v>42</v>
      </c>
      <c r="B53" s="5" t="n">
        <v>1113.3073267619036</v>
      </c>
      <c r="C53" s="8">
        <f si="0" t="shared"/>
        <v>1.052793547175569E-3</v>
      </c>
      <c r="E53" s="9">
        <v>42</v>
      </c>
      <c r="F53" s="9" t="n">
        <v>346.0</v>
      </c>
      <c r="G53" s="8">
        <f si="1" t="shared"/>
        <v>3.7771117756824822E-4</v>
      </c>
    </row>
    <row r="54" spans="1:7" x14ac:dyDescent="0.45">
      <c r="A54">
        <v>43</v>
      </c>
      <c r="B54" s="5" t="n">
        <v>1409.6300902424348</v>
      </c>
      <c r="C54" s="8">
        <f si="0" t="shared"/>
        <v>1.3330096975362269E-3</v>
      </c>
      <c r="E54" s="9">
        <v>43</v>
      </c>
      <c r="F54" s="9" t="n">
        <v>305.0</v>
      </c>
      <c r="G54" s="8">
        <f si="1" t="shared"/>
        <v>2.9723294371137714E-4</v>
      </c>
    </row>
    <row r="55" spans="1:7" x14ac:dyDescent="0.45">
      <c r="A55">
        <v>44</v>
      </c>
      <c r="B55" s="5" t="n">
        <v>712.213602050809</v>
      </c>
      <c r="C55" s="8">
        <f si="0" t="shared"/>
        <v>6.735012574026817E-4</v>
      </c>
      <c r="E55" s="9">
        <v>44</v>
      </c>
      <c r="F55" s="9" t="n">
        <v>258.0</v>
      </c>
      <c r="G55" s="8">
        <f si="1" t="shared"/>
        <v>2.6289556393244552E-4</v>
      </c>
    </row>
    <row r="56" spans="1:7" x14ac:dyDescent="0.45">
      <c r="A56">
        <v>45</v>
      </c>
      <c r="B56" s="5" t="n">
        <v>1212.177497026512</v>
      </c>
      <c r="C56" s="8">
        <f si="0" t="shared"/>
        <v>1.1462896329019413E-3</v>
      </c>
      <c r="E56" s="9">
        <v>45</v>
      </c>
      <c r="F56" s="9" t="n">
        <v>185.0</v>
      </c>
      <c r="G56" s="8">
        <f si="1" t="shared"/>
        <v>2.3606948598015514E-4</v>
      </c>
    </row>
    <row r="57" spans="1:7" x14ac:dyDescent="0.45">
      <c r="A57">
        <v>46</v>
      </c>
      <c r="B57" s="5" t="n">
        <v>605.4170026380948</v>
      </c>
      <c r="C57" s="8">
        <f si="0" t="shared"/>
        <v>5.7250958329862242E-4</v>
      </c>
      <c r="E57" s="9">
        <v>46</v>
      </c>
      <c r="F57" s="9" t="n">
        <v>167.0</v>
      </c>
      <c r="G57" s="8">
        <f si="1" t="shared"/>
        <v>1.7061385577656668E-4</v>
      </c>
    </row>
    <row r="58" spans="1:7" x14ac:dyDescent="0.45">
      <c r="A58">
        <v>47</v>
      </c>
      <c r="B58" s="5" t="n">
        <v>729.9503569936002</v>
      </c>
      <c r="C58" s="8">
        <f si="0" t="shared"/>
        <v>6.9027393167036709E-4</v>
      </c>
      <c r="E58" s="9">
        <v>47</v>
      </c>
      <c r="F58" s="9" t="n">
        <v>123.0</v>
      </c>
      <c r="G58" s="8">
        <f si="1" t="shared"/>
        <v>1.6417559706801698E-4</v>
      </c>
    </row>
    <row r="59" spans="1:7" x14ac:dyDescent="0.45">
      <c r="A59">
        <v>48</v>
      </c>
      <c r="B59" s="5" t="n">
        <v>577.42785648769</v>
      </c>
      <c r="C59" s="8">
        <f si="0" t="shared"/>
        <v>5.4604178617758358E-4</v>
      </c>
      <c r="E59" s="9">
        <v>48</v>
      </c>
      <c r="F59" s="9" t="n">
        <v>112.0</v>
      </c>
      <c r="G59" s="8">
        <f si="1" t="shared"/>
        <v>9.3354751273970444E-5</v>
      </c>
    </row>
    <row r="60" spans="1:7" x14ac:dyDescent="0.45">
      <c r="A60">
        <v>49</v>
      </c>
      <c r="B60" s="5" t="n">
        <v>395.6656502331881</v>
      </c>
      <c r="C60" s="8">
        <f si="0" t="shared"/>
        <v>3.7415925808742306E-4</v>
      </c>
      <c r="E60" s="9">
        <v>49</v>
      </c>
      <c r="F60" s="9" t="n">
        <v>97.0</v>
      </c>
      <c r="G60" s="8">
        <f si="1" t="shared"/>
        <v>8.4770406329237526E-5</v>
      </c>
    </row>
    <row r="61" spans="1:7" x14ac:dyDescent="0.45">
      <c r="A61">
        <v>50</v>
      </c>
      <c r="B61" s="5" t="n">
        <v>507.876276833562</v>
      </c>
      <c r="C61" s="8">
        <f si="0" t="shared"/>
        <v>4.8027068012665447E-4</v>
      </c>
      <c r="E61" s="9">
        <v>50</v>
      </c>
      <c r="F61" s="9" t="n">
        <v>90.0</v>
      </c>
      <c r="G61" s="8">
        <f si="1" t="shared"/>
        <v>7.5113018266412997E-5</v>
      </c>
    </row>
    <row r="62" spans="1:7" x14ac:dyDescent="0.45">
      <c r="A62">
        <v>51</v>
      </c>
      <c r="B62" s="5" t="n">
        <v>1176.2351575857886</v>
      </c>
      <c r="C62" s="8">
        <f si="0" t="shared"/>
        <v>1.1123009380249876E-3</v>
      </c>
      <c r="E62" s="9">
        <v>51</v>
      </c>
      <c r="F62" s="9" t="n">
        <v>62.0</v>
      </c>
      <c r="G62" s="8">
        <f si="1" t="shared"/>
        <v>8.4770406329237526E-5</v>
      </c>
    </row>
    <row r="63" spans="1:7" x14ac:dyDescent="0.45">
      <c r="A63">
        <v>52</v>
      </c>
      <c r="B63" s="5" t="n">
        <v>0.0</v>
      </c>
      <c r="C63" s="8">
        <f si="0" t="shared"/>
        <v>0</v>
      </c>
      <c r="E63" s="9">
        <v>52</v>
      </c>
      <c r="F63" s="9" t="n">
        <v>44.0</v>
      </c>
      <c r="G63" s="8">
        <f si="1" t="shared"/>
        <v>5.2579112786489098E-5</v>
      </c>
    </row>
    <row r="64" spans="1:7" x14ac:dyDescent="0.45">
      <c r="A64">
        <v>53</v>
      </c>
      <c r="B64" s="5" t="n">
        <v>53.481359513335</v>
      </c>
      <c r="C64" s="8">
        <f si="0" t="shared"/>
        <v>5.0574382146195466E-5</v>
      </c>
      <c r="E64" s="9">
        <v>53</v>
      </c>
      <c r="F64" s="9" t="n">
        <v>30.0</v>
      </c>
      <c r="G64" s="8">
        <f si="1" t="shared"/>
        <v>4.0775638487481339E-5</v>
      </c>
    </row>
    <row r="65" spans="1:7" x14ac:dyDescent="0.45">
      <c r="A65">
        <v>54</v>
      </c>
      <c r="B65" s="5" t="n">
        <v>32.0599029351545</v>
      </c>
      <c r="C65" s="8">
        <f si="0" t="shared"/>
        <v>3.0317288067595891E-5</v>
      </c>
      <c r="E65" s="9">
        <v>54</v>
      </c>
      <c r="F65" s="9" t="n">
        <v>29.0</v>
      </c>
      <c r="G65" s="8">
        <f si="1" t="shared"/>
        <v>3.7556509133206498E-5</v>
      </c>
    </row>
    <row r="66" spans="1:7" x14ac:dyDescent="0.45">
      <c r="A66">
        <v>55</v>
      </c>
      <c r="B66" s="5" t="n">
        <v>516.577443373108</v>
      </c>
      <c r="C66" s="8">
        <f si="0" t="shared"/>
        <v>4.8849889507281662E-4</v>
      </c>
      <c r="E66" s="9">
        <v>55</v>
      </c>
      <c r="F66" s="9" t="n">
        <v>35.0</v>
      </c>
      <c r="G66" s="8">
        <f si="1" t="shared"/>
        <v>3.2191293542748428E-5</v>
      </c>
    </row>
    <row r="67" spans="1:7" x14ac:dyDescent="0.45">
      <c r="A67">
        <v>56</v>
      </c>
      <c r="B67" s="5" t="n">
        <v>0.0</v>
      </c>
      <c r="C67" s="8">
        <f si="0" t="shared"/>
        <v>0</v>
      </c>
      <c r="E67" s="9">
        <v>56</v>
      </c>
      <c r="F67" s="9" t="n">
        <v>25.0</v>
      </c>
      <c r="G67" s="8">
        <f si="1" t="shared"/>
        <v>2.8972164188473584E-5</v>
      </c>
    </row>
    <row r="68" spans="1:7" x14ac:dyDescent="0.45">
      <c r="A68">
        <v>57</v>
      </c>
      <c r="B68" s="5" t="n">
        <v>0.0</v>
      </c>
      <c r="C68" s="8">
        <f si="0" t="shared"/>
        <v>0</v>
      </c>
      <c r="E68" s="9">
        <v>57</v>
      </c>
      <c r="F68" s="9" t="n">
        <v>20.0</v>
      </c>
      <c r="G68" s="8">
        <f si="1" t="shared"/>
        <v>2.4679991716107129E-5</v>
      </c>
    </row>
    <row r="69" spans="1:7" x14ac:dyDescent="0.45">
      <c r="A69">
        <v>58</v>
      </c>
      <c r="B69" s="5" t="n">
        <v>0.0</v>
      </c>
      <c r="C69" s="8">
        <f si="0" t="shared"/>
        <v>0</v>
      </c>
      <c r="E69" s="9">
        <v>58</v>
      </c>
      <c r="F69" s="9" t="n">
        <v>22.0</v>
      </c>
      <c r="G69" s="8">
        <f si="1" t="shared"/>
        <v>1.5022603653282599E-5</v>
      </c>
    </row>
    <row r="70" spans="1:7" x14ac:dyDescent="0.45">
      <c r="A70">
        <v>59</v>
      </c>
      <c r="B70" s="5" t="n">
        <v>40.512360877359</v>
      </c>
      <c r="C70" s="8">
        <f si="0" t="shared"/>
        <v>3.8310312963253387E-5</v>
      </c>
      <c r="E70" s="9">
        <v>59</v>
      </c>
      <c r="F70" s="9" t="n">
        <v>19.0</v>
      </c>
      <c r="G70" s="8">
        <f si="1" t="shared"/>
        <v>1.1803474299007757E-5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7.0</v>
      </c>
      <c r="G71" s="8">
        <f si="1" t="shared"/>
        <v>1.5022603653282599E-5</v>
      </c>
    </row>
    <row r="72" spans="1:7" x14ac:dyDescent="0.45">
      <c r="A72">
        <v>61</v>
      </c>
      <c r="B72" s="5" t="n">
        <v>0.0</v>
      </c>
      <c r="C72" s="8">
        <f si="0" t="shared"/>
        <v>0</v>
      </c>
      <c r="E72" s="9">
        <v>61</v>
      </c>
      <c r="F72" s="9" t="n">
        <v>5.0</v>
      </c>
      <c r="G72" s="8">
        <f si="1" t="shared"/>
        <v>9.6573880628245291E-6</v>
      </c>
    </row>
    <row r="73" spans="1:7" x14ac:dyDescent="0.45">
      <c r="A73">
        <v>62</v>
      </c>
      <c r="B73" s="5" t="n">
        <v>0.0</v>
      </c>
      <c r="C73" s="8">
        <f si="0" t="shared"/>
        <v>0</v>
      </c>
      <c r="E73" s="9">
        <v>62</v>
      </c>
      <c r="F73" s="9" t="n">
        <v>2.0</v>
      </c>
      <c r="G73" s="8">
        <f si="1" t="shared"/>
        <v>3.2191293542748429E-6</v>
      </c>
    </row>
    <row r="74" spans="1:7" x14ac:dyDescent="0.45">
      <c r="A74">
        <v>63</v>
      </c>
      <c r="B74" s="5" t="n">
        <v>115.000259629041</v>
      </c>
      <c r="C74" s="8">
        <f si="0" t="shared"/>
        <v>1.0874942466525446E-4</v>
      </c>
      <c r="E74" s="9">
        <v>63</v>
      </c>
      <c r="F74" s="9" t="n">
        <v>3.0</v>
      </c>
      <c r="G74" s="8">
        <f si="1" t="shared"/>
        <v>3.2191293542748429E-6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4.0</v>
      </c>
      <c r="G75" s="8">
        <f si="1" t="shared"/>
        <v>2.1460862361832286E-6</v>
      </c>
    </row>
    <row r="76" spans="1:7" x14ac:dyDescent="0.45">
      <c r="A76">
        <v>65</v>
      </c>
      <c r="B76" s="5" t="n">
        <v>372.750841348993</v>
      </c>
      <c r="C76" s="8">
        <f si="0" t="shared"/>
        <v>3.5248998281353329E-4</v>
      </c>
      <c r="E76" s="9">
        <v>65</v>
      </c>
      <c r="F76" s="9" t="n">
        <v>5.0</v>
      </c>
      <c r="G76" s="8">
        <f si="1" t="shared"/>
        <v>4.2921724723664572E-6</v>
      </c>
    </row>
    <row r="77" spans="1:7" x14ac:dyDescent="0.45">
      <c r="A77">
        <v>66</v>
      </c>
      <c r="B77" s="5" t="n">
        <v>0.0</v>
      </c>
      <c r="C77" s="8">
        <f ref="C77:C102" si="2" t="shared">B77/B$102</f>
        <v>0</v>
      </c>
      <c r="E77" s="9">
        <v>66</v>
      </c>
      <c r="F77" s="9" t="n">
        <v>0.0</v>
      </c>
      <c r="G77" s="8">
        <f ref="G77:G102" si="3" t="shared">F77/F$102</f>
        <v>2.1460862361832286E-6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4.0</v>
      </c>
      <c r="G78" s="8">
        <f si="3" t="shared"/>
        <v>3.2191293542748429E-6</v>
      </c>
    </row>
    <row r="79" spans="1:7" x14ac:dyDescent="0.45">
      <c r="A79">
        <v>68</v>
      </c>
      <c r="B79" s="5" t="n">
        <v>0.0</v>
      </c>
      <c r="C79" s="8">
        <f si="2" t="shared"/>
        <v>0</v>
      </c>
      <c r="E79" s="9">
        <v>68</v>
      </c>
      <c r="F79" s="9" t="n">
        <v>3.0</v>
      </c>
      <c r="G79" s="8">
        <f si="3" t="shared"/>
        <v>1.0730431180916143E-6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6.0</v>
      </c>
      <c r="G80" s="8">
        <f si="3" t="shared"/>
        <v>3.2191293542748429E-6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2.0</v>
      </c>
      <c r="G81" s="8">
        <f si="3" t="shared"/>
        <v>1.0730431180916143E-6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2.0</v>
      </c>
      <c r="G82" s="8">
        <f si="3" t="shared"/>
        <v>2.1460862361832286E-6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1.0</v>
      </c>
      <c r="G83" s="8">
        <f si="3" t="shared"/>
        <v>0</v>
      </c>
    </row>
    <row r="84" spans="1:7" x14ac:dyDescent="0.45">
      <c r="A84">
        <v>73</v>
      </c>
      <c r="B84" s="5" t="n">
        <v>0.0</v>
      </c>
      <c r="C84" s="8">
        <f si="2" t="shared"/>
        <v>0</v>
      </c>
      <c r="E84" s="9">
        <v>73</v>
      </c>
      <c r="F84" s="9" t="n">
        <v>1.0</v>
      </c>
      <c r="G84" s="8">
        <f si="3" t="shared"/>
        <v>1.0730431180916143E-6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0.0</v>
      </c>
      <c r="G85" s="8">
        <f si="3" t="shared"/>
        <v>1.0730431180916143E-6</v>
      </c>
    </row>
    <row r="86" spans="1:7" x14ac:dyDescent="0.45">
      <c r="A86">
        <v>75</v>
      </c>
      <c r="B86" s="5" t="n">
        <v>0.0</v>
      </c>
      <c r="C86" s="8">
        <f si="2" t="shared"/>
        <v>0</v>
      </c>
      <c r="E86" s="9">
        <v>75</v>
      </c>
      <c r="F86" s="9" t="n">
        <v>2.0</v>
      </c>
      <c r="G86" s="8">
        <f si="3" t="shared"/>
        <v>0</v>
      </c>
    </row>
    <row r="87" spans="1:7" x14ac:dyDescent="0.45">
      <c r="A87">
        <v>76</v>
      </c>
      <c r="B87" s="5" t="n">
        <v>0.0</v>
      </c>
      <c r="C87" s="8">
        <f si="2" t="shared"/>
        <v>0</v>
      </c>
      <c r="E87" s="9">
        <v>76</v>
      </c>
      <c r="F87" s="9" t="n">
        <v>4.0</v>
      </c>
      <c r="G87" s="8">
        <f si="3" t="shared"/>
        <v>1.0730431180916143E-6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0.0</v>
      </c>
      <c r="G88" s="8">
        <f si="3" t="shared"/>
        <v>0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1.0</v>
      </c>
      <c r="G89" s="8">
        <f si="3" t="shared"/>
        <v>0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0.0</v>
      </c>
      <c r="G90" s="8">
        <f si="3" t="shared"/>
        <v>1.0730431180916143E-6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0.0</v>
      </c>
      <c r="G91" s="8">
        <f si="3" t="shared"/>
        <v>0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0.0</v>
      </c>
      <c r="G92" s="8">
        <f si="3" t="shared"/>
        <v>0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0.0</v>
      </c>
      <c r="G93" s="8">
        <f si="3" t="shared"/>
        <v>0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0.0</v>
      </c>
      <c r="G94" s="8">
        <f si="3" t="shared"/>
        <v>0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0.0</v>
      </c>
      <c r="G95" s="8">
        <f si="3" t="shared"/>
        <v>0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0.0</v>
      </c>
      <c r="G96" s="8">
        <f si="3" t="shared"/>
        <v>0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0.0</v>
      </c>
      <c r="G97" s="8">
        <f si="3" t="shared"/>
        <v>0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0.0</v>
      </c>
      <c r="G98" s="8">
        <f si="3" t="shared"/>
        <v>0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0.0</v>
      </c>
      <c r="G99" s="8">
        <f si="3" t="shared"/>
        <v>0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0.0</v>
      </c>
      <c r="G100" s="8">
        <f si="3" t="shared"/>
        <v>0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0.0</v>
      </c>
      <c r="G101" s="8">
        <f si="3" t="shared"/>
        <v>0</v>
      </c>
    </row>
    <row r="102" spans="1:7" x14ac:dyDescent="0.45">
      <c r="B102" s="5">
        <f>SUM(B11:B101)</f>
        <v>1057479.2462859226</v>
      </c>
      <c r="C102" s="8">
        <f si="2" t="shared"/>
        <v>1</v>
      </c>
      <c r="F102" s="5">
        <f>SUM(F11:F101)</f>
        <v>931929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2"/>
  <sheetViews>
    <sheetView workbookViewId="0">
      <selection activeCell="N11" sqref="N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22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7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0.0</v>
      </c>
      <c r="C11" s="8">
        <f>B11/B$102</f>
        <v>0</v>
      </c>
      <c r="E11" s="9">
        <v>0</v>
      </c>
      <c r="F11" s="9" t="n">
        <v>816.0</v>
      </c>
      <c r="G11" s="8">
        <f>F11/F$102</f>
        <v>9.1315969349596376E-4</v>
      </c>
      <c r="K11" s="5" t="n">
        <v>21.554511888252563</v>
      </c>
      <c r="L11" s="5" t="n">
        <v>23.749786389156302</v>
      </c>
    </row>
    <row r="12" spans="1:12" x14ac:dyDescent="0.45">
      <c r="A12">
        <v>1</v>
      </c>
      <c r="B12" s="5" t="n">
        <v>0.0</v>
      </c>
      <c r="C12" s="8">
        <f>B12/B$102</f>
        <v>0</v>
      </c>
      <c r="E12" s="9">
        <v>1</v>
      </c>
      <c r="F12" s="9" t="n">
        <v>20598.0</v>
      </c>
      <c r="G12" s="8">
        <f>F12/F$102</f>
        <v>2.2205554285787864E-2</v>
      </c>
      <c r="K12" s="5"/>
      <c r="L12" s="9"/>
    </row>
    <row r="13" spans="1:12" x14ac:dyDescent="0.45">
      <c r="A13">
        <v>2</v>
      </c>
      <c r="B13" s="5" t="n">
        <v>2447.5926278741917</v>
      </c>
      <c r="C13" s="8">
        <f ref="C13:C76" si="0" t="shared">B13/B$102</f>
        <v>2.3145538188769402E-3</v>
      </c>
      <c r="E13" s="9">
        <v>2</v>
      </c>
      <c r="F13" s="9" t="n">
        <v>7807.0</v>
      </c>
      <c r="G13" s="8">
        <f ref="G13:G76" si="1" t="shared">F13/F$102</f>
        <v>8.537131047536884E-3</v>
      </c>
    </row>
    <row r="14" spans="1:12" x14ac:dyDescent="0.45">
      <c r="A14">
        <v>3</v>
      </c>
      <c r="B14" s="5" t="n">
        <v>33998.697527654476</v>
      </c>
      <c r="C14" s="8">
        <f si="0" t="shared"/>
        <v>3.2150699549957737E-2</v>
      </c>
      <c r="E14" s="9">
        <v>3</v>
      </c>
      <c r="F14" s="9" t="n">
        <v>13035.0</v>
      </c>
      <c r="G14" s="8">
        <f si="1" t="shared"/>
        <v>1.3587945004394112E-2</v>
      </c>
    </row>
    <row r="15" spans="1:12" x14ac:dyDescent="0.45">
      <c r="A15">
        <v>4</v>
      </c>
      <c r="B15" s="5" t="n">
        <v>29385.892866588307</v>
      </c>
      <c r="C15" s="8">
        <f si="0" t="shared"/>
        <v>2.7788623719848304E-2</v>
      </c>
      <c r="E15" s="9">
        <v>4</v>
      </c>
      <c r="F15" s="9" t="n">
        <v>21376.0</v>
      </c>
      <c r="G15" s="8">
        <f si="1" t="shared"/>
        <v>2.3051112262844058E-2</v>
      </c>
    </row>
    <row r="16" spans="1:12" x14ac:dyDescent="0.45">
      <c r="A16">
        <v>5</v>
      </c>
      <c r="B16" s="5" t="n">
        <v>52762.2412964543</v>
      </c>
      <c r="C16" s="8">
        <f si="0" t="shared"/>
        <v>4.9894351574052878E-2</v>
      </c>
      <c r="E16" s="9">
        <v>5</v>
      </c>
      <c r="F16" s="9" t="n">
        <v>28616.0</v>
      </c>
      <c r="G16" s="8">
        <f si="1" t="shared"/>
        <v>3.0582801908729099E-2</v>
      </c>
    </row>
    <row r="17" spans="1:7" x14ac:dyDescent="0.45">
      <c r="A17">
        <v>6</v>
      </c>
      <c r="B17" s="5" t="n">
        <v>62040.06962241304</v>
      </c>
      <c r="C17" s="8">
        <f si="0" t="shared"/>
        <v>5.8667883876028844E-2</v>
      </c>
      <c r="E17" s="9">
        <v>6</v>
      </c>
      <c r="F17" s="9" t="n">
        <v>34354.0</v>
      </c>
      <c r="G17" s="8">
        <f si="1" t="shared"/>
        <v>3.7164848395103062E-2</v>
      </c>
    </row>
    <row r="18" spans="1:7" x14ac:dyDescent="0.45">
      <c r="A18">
        <v>7</v>
      </c>
      <c r="B18" s="5" t="n">
        <v>44575.921279595226</v>
      </c>
      <c r="C18" s="8">
        <f si="0" t="shared"/>
        <v>4.2152998686408934E-2</v>
      </c>
      <c r="E18" s="9">
        <v>7</v>
      </c>
      <c r="F18" s="9" t="n">
        <v>35101.0</v>
      </c>
      <c r="G18" s="8">
        <f si="1" t="shared"/>
        <v>3.8339830609413379E-2</v>
      </c>
    </row>
    <row r="19" spans="1:7" x14ac:dyDescent="0.45">
      <c r="A19">
        <v>8</v>
      </c>
      <c r="B19" s="5" t="n">
        <v>47225.5282923841</v>
      </c>
      <c r="C19" s="8">
        <f si="0" t="shared"/>
        <v>4.4658586405595689E-2</v>
      </c>
      <c r="E19" s="9">
        <v>8</v>
      </c>
      <c r="F19" s="9" t="n">
        <v>33007.0</v>
      </c>
      <c r="G19" s="8">
        <f si="1" t="shared"/>
        <v>3.6841862416557486E-2</v>
      </c>
    </row>
    <row r="20" spans="1:7" x14ac:dyDescent="0.45">
      <c r="A20">
        <v>9</v>
      </c>
      <c r="B20" s="5" t="n">
        <v>34404.5298030309</v>
      </c>
      <c r="C20" s="8">
        <f si="0" t="shared"/>
        <v>3.2534472826645469E-2</v>
      </c>
      <c r="E20" s="9">
        <v>9</v>
      </c>
      <c r="F20" s="9" t="n">
        <v>31669.0</v>
      </c>
      <c r="G20" s="8">
        <f si="1" t="shared"/>
        <v>3.4621736205225934E-2</v>
      </c>
    </row>
    <row r="21" spans="1:7" x14ac:dyDescent="0.45">
      <c r="A21">
        <v>10</v>
      </c>
      <c r="B21" s="5" t="n">
        <v>38331.62162780136</v>
      </c>
      <c r="C21" s="8">
        <f si="0" t="shared"/>
        <v>3.6248107716940661E-2</v>
      </c>
      <c r="E21" s="9">
        <v>10</v>
      </c>
      <c r="F21" s="9" t="n">
        <v>30689.0</v>
      </c>
      <c r="G21" s="8">
        <f si="1" t="shared"/>
        <v>3.3719306942910886E-2</v>
      </c>
    </row>
    <row r="22" spans="1:7" x14ac:dyDescent="0.45">
      <c r="A22">
        <v>11</v>
      </c>
      <c r="B22" s="5" t="n">
        <v>42074.057104156374</v>
      </c>
      <c r="C22" s="8">
        <f si="0" t="shared"/>
        <v>3.97871232479775E-2</v>
      </c>
      <c r="E22" s="9">
        <v>11</v>
      </c>
      <c r="F22" s="9" t="n">
        <v>30019.0</v>
      </c>
      <c r="G22" s="8">
        <f si="1" t="shared"/>
        <v>3.2459554322271329E-2</v>
      </c>
    </row>
    <row r="23" spans="1:7" x14ac:dyDescent="0.45">
      <c r="A23">
        <v>12</v>
      </c>
      <c r="B23" s="5" t="n">
        <v>32333.686310872887</v>
      </c>
      <c r="C23" s="8">
        <f si="0" t="shared"/>
        <v>3.0576189957803153E-2</v>
      </c>
      <c r="E23" s="9">
        <v>12</v>
      </c>
      <c r="F23" s="9" t="n">
        <v>29011.0</v>
      </c>
      <c r="G23" s="8">
        <f si="1" t="shared"/>
        <v>3.1723446743260483E-2</v>
      </c>
    </row>
    <row r="24" spans="1:7" x14ac:dyDescent="0.45">
      <c r="A24">
        <v>13</v>
      </c>
      <c r="B24" s="5" t="n">
        <v>34314.44384376779</v>
      </c>
      <c r="C24" s="8">
        <f si="0" t="shared"/>
        <v>3.2449283486448481E-2</v>
      </c>
      <c r="E24" s="9">
        <v>13</v>
      </c>
      <c r="F24" s="9" t="n">
        <v>27451.0</v>
      </c>
      <c r="G24" s="8">
        <f si="1" t="shared"/>
        <v>2.9882104752615275E-2</v>
      </c>
    </row>
    <row r="25" spans="1:7" x14ac:dyDescent="0.45">
      <c r="A25">
        <v>14</v>
      </c>
      <c r="B25" s="5" t="n">
        <v>30104.590785824046</v>
      </c>
      <c r="C25" s="8">
        <f si="0" t="shared"/>
        <v>2.8468256839609234E-2</v>
      </c>
      <c r="E25" s="9">
        <v>14</v>
      </c>
      <c r="F25" s="9" t="n">
        <v>26370.0</v>
      </c>
      <c r="G25" s="8">
        <f si="1" t="shared"/>
        <v>2.9411038823773057E-2</v>
      </c>
    </row>
    <row r="26" spans="1:7" x14ac:dyDescent="0.45">
      <c r="A26">
        <v>15</v>
      </c>
      <c r="B26" s="5" t="n">
        <v>24225.859102224298</v>
      </c>
      <c r="C26" s="8">
        <f si="0" t="shared"/>
        <v>2.2909063404610845E-2</v>
      </c>
      <c r="E26" s="9">
        <v>15</v>
      </c>
      <c r="F26" s="9" t="n">
        <v>25566.0</v>
      </c>
      <c r="G26" s="8">
        <f si="1" t="shared"/>
        <v>2.8261809644296938E-2</v>
      </c>
    </row>
    <row r="27" spans="1:7" x14ac:dyDescent="0.45">
      <c r="A27">
        <v>16</v>
      </c>
      <c r="B27" s="5" t="n">
        <v>27113.7552638855</v>
      </c>
      <c r="C27" s="8">
        <f si="0" t="shared"/>
        <v>2.5639988074578665E-2</v>
      </c>
      <c r="E27" s="9">
        <v>16</v>
      </c>
      <c r="F27" s="9" t="n">
        <v>24323.0</v>
      </c>
      <c r="G27" s="8">
        <f si="1" t="shared"/>
        <v>2.7088973516222803E-2</v>
      </c>
    </row>
    <row r="28" spans="1:7" x14ac:dyDescent="0.45">
      <c r="A28">
        <v>17</v>
      </c>
      <c r="B28" s="5" t="n">
        <v>26555.564609887733</v>
      </c>
      <c r="C28" s="8">
        <f si="0" t="shared"/>
        <v>2.5112137853443597E-2</v>
      </c>
      <c r="E28" s="9">
        <v>17</v>
      </c>
      <c r="F28" s="9" t="n">
        <v>23962.0</v>
      </c>
      <c r="G28" s="8">
        <f si="1" t="shared"/>
        <v>2.6483777197619133E-2</v>
      </c>
    </row>
    <row r="29" spans="1:7" x14ac:dyDescent="0.45">
      <c r="A29">
        <v>18</v>
      </c>
      <c r="B29" s="5" t="n">
        <v>24725.961053573807</v>
      </c>
      <c r="C29" s="8">
        <f si="0" t="shared"/>
        <v>2.338198233243469E-2</v>
      </c>
      <c r="E29" s="9">
        <v>18</v>
      </c>
      <c r="F29" s="9" t="n">
        <v>23169.0</v>
      </c>
      <c r="G29" s="8">
        <f si="1" t="shared"/>
        <v>2.5771276567206299E-2</v>
      </c>
    </row>
    <row r="30" spans="1:7" x14ac:dyDescent="0.45">
      <c r="A30">
        <v>19</v>
      </c>
      <c r="B30" s="5" t="n">
        <v>30818.420580554386</v>
      </c>
      <c r="C30" s="8">
        <f si="0" t="shared"/>
        <v>2.9143286441596649E-2</v>
      </c>
      <c r="E30" s="9">
        <v>19</v>
      </c>
      <c r="F30" s="9" t="n">
        <v>22047.0</v>
      </c>
      <c r="G30" s="8">
        <f si="1" t="shared"/>
        <v>2.4611316956549265E-2</v>
      </c>
    </row>
    <row r="31" spans="1:7" x14ac:dyDescent="0.45">
      <c r="A31">
        <v>20</v>
      </c>
      <c r="B31" s="5" t="n">
        <v>24764.93269361996</v>
      </c>
      <c r="C31" s="8">
        <f si="0" t="shared"/>
        <v>2.3418835670391942E-2</v>
      </c>
      <c r="E31" s="9">
        <v>20</v>
      </c>
      <c r="F31" s="9" t="n">
        <v>21094.0</v>
      </c>
      <c r="G31" s="8">
        <f si="1" t="shared"/>
        <v>2.4311937926601704E-2</v>
      </c>
    </row>
    <row r="32" spans="1:7" x14ac:dyDescent="0.45">
      <c r="A32">
        <v>21</v>
      </c>
      <c r="B32" s="5" t="n">
        <v>23859.341049302937</v>
      </c>
      <c r="C32" s="8">
        <f si="0" t="shared"/>
        <v>2.2562467427234792E-2</v>
      </c>
      <c r="E32" s="9">
        <v>21</v>
      </c>
      <c r="F32" s="9" t="n">
        <v>20599.0</v>
      </c>
      <c r="G32" s="8">
        <f si="1" t="shared"/>
        <v>2.3338687818492611E-2</v>
      </c>
    </row>
    <row r="33" spans="1:7" x14ac:dyDescent="0.45">
      <c r="A33">
        <v>22</v>
      </c>
      <c r="B33" s="5" t="n">
        <v>20610.72536665834</v>
      </c>
      <c r="C33" s="8">
        <f si="0" t="shared"/>
        <v>1.9490430132834566E-2</v>
      </c>
      <c r="E33" s="9">
        <v>22</v>
      </c>
      <c r="F33" s="9" t="n">
        <v>20089.0</v>
      </c>
      <c r="G33" s="8">
        <f si="1" t="shared"/>
        <v>2.2957757511570087E-2</v>
      </c>
    </row>
    <row r="34" spans="1:7" x14ac:dyDescent="0.45">
      <c r="A34">
        <v>23</v>
      </c>
      <c r="B34" s="5" t="n">
        <v>15407.008641514456</v>
      </c>
      <c r="C34" s="8">
        <f si="0" t="shared"/>
        <v>1.4569561242574667E-2</v>
      </c>
      <c r="E34" s="9">
        <v>23</v>
      </c>
      <c r="F34" s="9" t="n">
        <v>18807.0</v>
      </c>
      <c r="G34" s="8">
        <f si="1" t="shared"/>
        <v>2.1984507403460994E-2</v>
      </c>
    </row>
    <row r="35" spans="1:7" x14ac:dyDescent="0.45">
      <c r="A35">
        <v>24</v>
      </c>
      <c r="B35" s="5" t="n">
        <v>16056.905000662764</v>
      </c>
      <c r="C35" s="8">
        <f si="0" t="shared"/>
        <v>1.5184132508564874E-2</v>
      </c>
      <c r="E35" s="9">
        <v>24</v>
      </c>
      <c r="F35" s="9" t="n">
        <v>18195.0</v>
      </c>
      <c r="G35" s="8">
        <f si="1" t="shared"/>
        <v>2.1103539003507778E-2</v>
      </c>
    </row>
    <row r="36" spans="1:7" x14ac:dyDescent="0.45">
      <c r="A36">
        <v>25</v>
      </c>
      <c r="B36" s="5" t="n">
        <v>20090.935903319783</v>
      </c>
      <c r="C36" s="8">
        <f si="0" t="shared"/>
        <v>1.8998893807025657E-2</v>
      </c>
      <c r="E36" s="9">
        <v>25</v>
      </c>
      <c r="F36" s="9" t="n">
        <v>17378.0</v>
      </c>
      <c r="G36" s="8">
        <f si="1" t="shared"/>
        <v>1.9810522046207382E-2</v>
      </c>
    </row>
    <row r="37" spans="1:7" x14ac:dyDescent="0.45">
      <c r="A37">
        <v>26</v>
      </c>
      <c r="B37" s="5" t="n">
        <v>17600.681652851425</v>
      </c>
      <c r="C37" s="8">
        <f si="0" t="shared"/>
        <v>1.6643997236511745E-2</v>
      </c>
      <c r="E37" s="9">
        <v>26</v>
      </c>
      <c r="F37" s="9" t="n">
        <v>16107.0</v>
      </c>
      <c r="G37" s="8">
        <f si="1" t="shared"/>
        <v>1.8702068505218744E-2</v>
      </c>
    </row>
    <row r="38" spans="1:7" x14ac:dyDescent="0.45">
      <c r="A38">
        <v>27</v>
      </c>
      <c r="B38" s="5" t="n">
        <v>18610.18142402702</v>
      </c>
      <c r="C38" s="8">
        <f si="0" t="shared"/>
        <v>1.7598625684040296E-2</v>
      </c>
      <c r="E38" s="9">
        <v>27</v>
      </c>
      <c r="F38" s="9" t="n">
        <v>15429.0</v>
      </c>
      <c r="G38" s="8">
        <f si="1" t="shared"/>
        <v>1.7771740121833315E-2</v>
      </c>
    </row>
    <row r="39" spans="1:7" x14ac:dyDescent="0.45">
      <c r="A39">
        <v>28</v>
      </c>
      <c r="B39" s="5" t="n">
        <v>9954.793974548698</v>
      </c>
      <c r="C39" s="8">
        <f si="0" t="shared"/>
        <v>9.4137015071566743E-3</v>
      </c>
      <c r="E39" s="9">
        <v>28</v>
      </c>
      <c r="F39" s="9" t="n">
        <v>14978.0</v>
      </c>
      <c r="G39" s="8">
        <f si="1" t="shared"/>
        <v>1.6738399599111092E-2</v>
      </c>
    </row>
    <row r="40" spans="1:7" x14ac:dyDescent="0.45">
      <c r="A40">
        <v>29</v>
      </c>
      <c r="B40" s="5" t="n">
        <v>13170.901518698984</v>
      </c>
      <c r="C40" s="8">
        <f si="0" t="shared"/>
        <v>1.2454997641757797E-2</v>
      </c>
      <c r="E40" s="9">
        <v>29</v>
      </c>
      <c r="F40" s="9" t="n">
        <v>14009.0</v>
      </c>
      <c r="G40" s="8">
        <f si="1" t="shared"/>
        <v>1.6540959665382233E-2</v>
      </c>
    </row>
    <row r="41" spans="1:7" x14ac:dyDescent="0.45">
      <c r="A41">
        <v>30</v>
      </c>
      <c r="B41" s="5" t="n">
        <v>12325.639931751297</v>
      </c>
      <c r="C41" s="8">
        <f si="0" t="shared"/>
        <v>1.1655680217877931E-2</v>
      </c>
      <c r="E41" s="9">
        <v>30</v>
      </c>
      <c r="F41" s="9" t="n">
        <v>13462.0</v>
      </c>
      <c r="G41" s="8">
        <f si="1" t="shared"/>
        <v>1.563316518747673E-2</v>
      </c>
    </row>
    <row r="42" spans="1:7" x14ac:dyDescent="0.45">
      <c r="A42">
        <v>31</v>
      </c>
      <c r="B42" s="5" t="n">
        <v>15584.893538392911</v>
      </c>
      <c r="C42" s="8">
        <f si="0" t="shared"/>
        <v>1.4737777212300051E-2</v>
      </c>
      <c r="E42" s="9">
        <v>31</v>
      </c>
      <c r="F42" s="9" t="n">
        <v>12766.0</v>
      </c>
      <c r="G42" s="8">
        <f si="1" t="shared"/>
        <v>1.4758635046232062E-2</v>
      </c>
    </row>
    <row r="43" spans="1:7" x14ac:dyDescent="0.45">
      <c r="A43">
        <v>32</v>
      </c>
      <c r="B43" s="5" t="n">
        <v>8181.595837177079</v>
      </c>
      <c r="C43" s="8">
        <f si="0" t="shared"/>
        <v>7.7368854905781534E-3</v>
      </c>
      <c r="E43" s="9">
        <v>32</v>
      </c>
      <c r="F43" s="9" t="n">
        <v>12404.0</v>
      </c>
      <c r="G43" s="8">
        <f si="1" t="shared"/>
        <v>1.4217821314713889E-2</v>
      </c>
    </row>
    <row r="44" spans="1:7" x14ac:dyDescent="0.45">
      <c r="A44">
        <v>33</v>
      </c>
      <c r="B44" s="5" t="n">
        <v>17349.857546362862</v>
      </c>
      <c r="C44" s="8">
        <f si="0" t="shared"/>
        <v>1.6406806665283508E-2</v>
      </c>
      <c r="E44" s="9">
        <v>33</v>
      </c>
      <c r="F44" s="9" t="n">
        <v>11914.0</v>
      </c>
      <c r="G44" s="8">
        <f si="1" t="shared"/>
        <v>1.3317538138635026E-2</v>
      </c>
    </row>
    <row r="45" spans="1:7" x14ac:dyDescent="0.45">
      <c r="A45">
        <v>34</v>
      </c>
      <c r="B45" s="5" t="n">
        <v>7925.683777827193</v>
      </c>
      <c r="C45" s="8">
        <f si="0" t="shared"/>
        <v>7.4948835219828354E-3</v>
      </c>
      <c r="E45" s="9">
        <v>34</v>
      </c>
      <c r="F45" s="9" t="n">
        <v>11550.0</v>
      </c>
      <c r="G45" s="8">
        <f si="1" t="shared"/>
        <v>1.2864713942800364E-2</v>
      </c>
    </row>
    <row r="46" spans="1:7" x14ac:dyDescent="0.45">
      <c r="A46">
        <v>35</v>
      </c>
      <c r="B46" s="5" t="n">
        <v>12764.967386107646</v>
      </c>
      <c r="C46" s="8">
        <f si="0" t="shared"/>
        <v>1.2071128044300392E-2</v>
      </c>
      <c r="E46" s="9">
        <v>35</v>
      </c>
      <c r="F46" s="9" t="n">
        <v>11076.0</v>
      </c>
      <c r="G46" s="8">
        <f si="1" t="shared"/>
        <v>1.2309950650747E-2</v>
      </c>
    </row>
    <row r="47" spans="1:7" x14ac:dyDescent="0.45">
      <c r="A47">
        <v>36</v>
      </c>
      <c r="B47" s="5" t="n">
        <v>8961.223071444398</v>
      </c>
      <c r="C47" s="8">
        <f si="0" t="shared"/>
        <v>8.4741361146499963E-3</v>
      </c>
      <c r="E47" s="9">
        <v>36</v>
      </c>
      <c r="F47" s="9" t="n">
        <v>10625.0</v>
      </c>
      <c r="G47" s="8">
        <f si="1" t="shared"/>
        <v>1.1562039597437145E-2</v>
      </c>
    </row>
    <row r="48" spans="1:7" x14ac:dyDescent="0.45">
      <c r="A48">
        <v>37</v>
      </c>
      <c r="B48" s="5" t="n">
        <v>8861.267735084517</v>
      </c>
      <c r="C48" s="8">
        <f si="0" t="shared"/>
        <v>8.3796138469923141E-3</v>
      </c>
      <c r="E48" s="9">
        <v>37</v>
      </c>
      <c r="F48" s="9" t="n">
        <v>9901.0</v>
      </c>
      <c r="G48" s="8">
        <f si="1" t="shared"/>
        <v>1.0632784257169806E-2</v>
      </c>
    </row>
    <row r="49" spans="1:7" x14ac:dyDescent="0.45">
      <c r="A49">
        <v>38</v>
      </c>
      <c r="B49" s="5" t="n">
        <v>8493.118478682565</v>
      </c>
      <c r="C49" s="8">
        <f si="0" t="shared"/>
        <v>8.0314753301420176E-3</v>
      </c>
      <c r="E49" s="9">
        <v>38</v>
      </c>
      <c r="F49" s="9" t="n">
        <v>9393.0</v>
      </c>
      <c r="G49" s="8">
        <f si="1" t="shared"/>
        <v>1.0368815650119269E-2</v>
      </c>
    </row>
    <row r="50" spans="1:7" x14ac:dyDescent="0.45">
      <c r="A50">
        <v>39</v>
      </c>
      <c r="B50" s="5" t="n">
        <v>11572.902844613256</v>
      </c>
      <c r="C50" s="8">
        <f si="0" t="shared"/>
        <v>1.0943858127958148E-2</v>
      </c>
      <c r="E50" s="9">
        <v>39</v>
      </c>
      <c r="F50" s="9" t="n">
        <v>8757.0</v>
      </c>
      <c r="G50" s="8">
        <f si="1" t="shared"/>
        <v>9.6455845885255204E-3</v>
      </c>
    </row>
    <row r="51" spans="1:7" x14ac:dyDescent="0.45">
      <c r="A51">
        <v>40</v>
      </c>
      <c r="B51" s="5" t="n">
        <v>9575.582453051125</v>
      </c>
      <c r="C51" s="8">
        <f si="0" t="shared"/>
        <v>9.0551020142309851E-3</v>
      </c>
      <c r="E51" s="9">
        <v>40</v>
      </c>
      <c r="F51" s="9" t="n">
        <v>8388.0</v>
      </c>
      <c r="G51" s="8">
        <f si="1" t="shared"/>
        <v>8.7528127142732972E-3</v>
      </c>
    </row>
    <row r="52" spans="1:7" x14ac:dyDescent="0.45">
      <c r="A52">
        <v>41</v>
      </c>
      <c r="B52" s="5" t="n">
        <v>7883.145682710731</v>
      </c>
      <c r="C52" s="8">
        <f si="0" t="shared"/>
        <v>7.4546575834919726E-3</v>
      </c>
      <c r="E52" s="9">
        <v>41</v>
      </c>
      <c r="F52" s="9" t="n">
        <v>7825.0</v>
      </c>
      <c r="G52" s="8">
        <f si="1" t="shared"/>
        <v>8.1529816112600861E-3</v>
      </c>
    </row>
    <row r="53" spans="1:7" x14ac:dyDescent="0.45">
      <c r="A53">
        <v>42</v>
      </c>
      <c r="B53" s="5" t="n">
        <v>11922.995874591175</v>
      </c>
      <c r="C53" s="8">
        <f si="0" t="shared"/>
        <v>1.1274921863920359E-2</v>
      </c>
      <c r="E53" s="9">
        <v>42</v>
      </c>
      <c r="F53" s="9" t="n">
        <v>7526.0</v>
      </c>
      <c r="G53" s="8">
        <f si="1" t="shared"/>
        <v>7.6905000273625995E-3</v>
      </c>
    </row>
    <row r="54" spans="1:7" x14ac:dyDescent="0.45">
      <c r="A54">
        <v>43</v>
      </c>
      <c r="B54" s="5" t="n">
        <v>7862.345237272236</v>
      </c>
      <c r="C54" s="8">
        <f si="0" t="shared"/>
        <v>7.4349877455149619E-3</v>
      </c>
      <c r="E54" s="9">
        <v>43</v>
      </c>
      <c r="F54" s="9" t="n">
        <v>7052.0</v>
      </c>
      <c r="G54" s="8">
        <f si="1" t="shared"/>
        <v>7.3042045048496186E-3</v>
      </c>
    </row>
    <row r="55" spans="1:7" x14ac:dyDescent="0.45">
      <c r="A55">
        <v>44</v>
      </c>
      <c r="B55" s="5" t="n">
        <v>7073.181076519862</v>
      </c>
      <c r="C55" s="8">
        <f si="0" t="shared"/>
        <v>6.688718574253137E-3</v>
      </c>
      <c r="E55" s="9">
        <v>44</v>
      </c>
      <c r="F55" s="9" t="n">
        <v>6719.0</v>
      </c>
      <c r="G55" s="8">
        <f si="1" t="shared"/>
        <v>6.8299194466531245E-3</v>
      </c>
    </row>
    <row r="56" spans="1:7" x14ac:dyDescent="0.45">
      <c r="A56">
        <v>45</v>
      </c>
      <c r="B56" s="5" t="n">
        <v>6981.694307845579</v>
      </c>
      <c r="C56" s="8">
        <f si="0" t="shared"/>
        <v>6.6022045655899867E-3</v>
      </c>
      <c r="E56" s="9">
        <v>45</v>
      </c>
      <c r="F56" s="9" t="n">
        <v>6406.0</v>
      </c>
      <c r="G56" s="8">
        <f si="1" t="shared"/>
        <v>6.3545613453385398E-3</v>
      </c>
    </row>
    <row r="57" spans="1:7" x14ac:dyDescent="0.45">
      <c r="A57">
        <v>46</v>
      </c>
      <c r="B57" s="5" t="n">
        <v>5896.809494722251</v>
      </c>
      <c r="C57" s="8">
        <f si="0" t="shared"/>
        <v>5.5762886273494402E-3</v>
      </c>
      <c r="E57" s="9">
        <v>46</v>
      </c>
      <c r="F57" s="9" t="n">
        <v>6011.0</v>
      </c>
      <c r="G57" s="8">
        <f si="1" t="shared"/>
        <v>6.0305023236748726E-3</v>
      </c>
    </row>
    <row r="58" spans="1:7" x14ac:dyDescent="0.45">
      <c r="A58">
        <v>47</v>
      </c>
      <c r="B58" s="5" t="n">
        <v>5502.155978926756</v>
      </c>
      <c r="C58" s="8">
        <f si="0" t="shared"/>
        <v>5.2030864891688599E-3</v>
      </c>
      <c r="E58" s="9">
        <v>47</v>
      </c>
      <c r="F58" s="9" t="n">
        <v>5899.0</v>
      </c>
      <c r="G58" s="8">
        <f si="1" t="shared"/>
        <v>5.8738380284334962E-3</v>
      </c>
    </row>
    <row r="59" spans="1:7" x14ac:dyDescent="0.45">
      <c r="A59">
        <v>48</v>
      </c>
      <c r="B59" s="5" t="n">
        <v>3474.093166194357</v>
      </c>
      <c r="C59" s="8">
        <f si="0" t="shared"/>
        <v>3.285258957465181E-3</v>
      </c>
      <c r="E59" s="9">
        <v>48</v>
      </c>
      <c r="F59" s="9" t="n">
        <v>5480.0</v>
      </c>
      <c r="G59" s="8">
        <f si="1" t="shared"/>
        <v>5.1860173897367717E-3</v>
      </c>
    </row>
    <row r="60" spans="1:7" x14ac:dyDescent="0.45">
      <c r="A60">
        <v>49</v>
      </c>
      <c r="B60" s="5" t="n">
        <v>5563.201253235017</v>
      </c>
      <c r="C60" s="8">
        <f si="0" t="shared"/>
        <v>5.260813649794153E-3</v>
      </c>
      <c r="E60" s="9">
        <v>49</v>
      </c>
      <c r="F60" s="9" t="n">
        <v>5317.0</v>
      </c>
      <c r="G60" s="8">
        <f si="1" t="shared"/>
        <v>4.7686036167991341E-3</v>
      </c>
    </row>
    <row r="61" spans="1:7" x14ac:dyDescent="0.45">
      <c r="A61">
        <v>50</v>
      </c>
      <c r="B61" s="5" t="n">
        <v>8980.086608021029</v>
      </c>
      <c r="C61" s="8">
        <f si="0" t="shared"/>
        <v>8.4919743243764591E-3</v>
      </c>
      <c r="E61" s="9">
        <v>50</v>
      </c>
      <c r="F61" s="9" t="n">
        <v>4627.0</v>
      </c>
      <c r="G61" s="8">
        <f si="1" t="shared"/>
        <v>4.7417775388468439E-3</v>
      </c>
    </row>
    <row r="62" spans="1:7" x14ac:dyDescent="0.45">
      <c r="A62">
        <v>51</v>
      </c>
      <c r="B62" s="5" t="n">
        <v>3288.034479383633</v>
      </c>
      <c r="C62" s="8">
        <f si="0" t="shared"/>
        <v>3.109313483864447E-3</v>
      </c>
      <c r="E62" s="9">
        <v>51</v>
      </c>
      <c r="F62" s="9" t="n">
        <v>4577.0</v>
      </c>
      <c r="G62" s="8">
        <f si="1" t="shared"/>
        <v>4.4649324143792067E-3</v>
      </c>
    </row>
    <row r="63" spans="1:7" x14ac:dyDescent="0.45">
      <c r="A63">
        <v>52</v>
      </c>
      <c r="B63" s="5" t="n">
        <v>3263.014491435638</v>
      </c>
      <c r="C63" s="8">
        <f si="0" t="shared"/>
        <v>3.0856534564588311E-3</v>
      </c>
      <c r="E63" s="9">
        <v>52</v>
      </c>
      <c r="F63" s="9" t="n">
        <v>4310.0</v>
      </c>
      <c r="G63" s="8">
        <f si="1" t="shared"/>
        <v>4.1054629698185161E-3</v>
      </c>
    </row>
    <row r="64" spans="1:7" x14ac:dyDescent="0.45">
      <c r="A64">
        <v>53</v>
      </c>
      <c r="B64" s="5" t="n">
        <v>3683.534522984853</v>
      </c>
      <c r="C64" s="8">
        <f si="0" t="shared"/>
        <v>3.4833161368624087E-3</v>
      </c>
      <c r="E64" s="9">
        <v>53</v>
      </c>
      <c r="F64" s="9" t="n">
        <v>4145.0</v>
      </c>
      <c r="G64" s="8">
        <f si="1" t="shared"/>
        <v>3.7674543876196577E-3</v>
      </c>
    </row>
    <row r="65" spans="1:7" x14ac:dyDescent="0.45">
      <c r="A65">
        <v>54</v>
      </c>
      <c r="B65" s="5" t="n">
        <v>3239.010573935766</v>
      </c>
      <c r="C65" s="8">
        <f si="0" t="shared"/>
        <v>3.0629542710287824E-3</v>
      </c>
      <c r="E65" s="9">
        <v>54</v>
      </c>
      <c r="F65" s="9" t="n">
        <v>4015.0</v>
      </c>
      <c r="G65" s="8">
        <f si="1" t="shared"/>
        <v>3.6440544290391222E-3</v>
      </c>
    </row>
    <row r="66" spans="1:7" x14ac:dyDescent="0.45">
      <c r="A66">
        <v>55</v>
      </c>
      <c r="B66" s="5" t="n">
        <v>2803.361817658107</v>
      </c>
      <c r="C66" s="8">
        <f si="0" t="shared"/>
        <v>2.6509851871836447E-3</v>
      </c>
      <c r="E66" s="9">
        <v>55</v>
      </c>
      <c r="F66" s="9" t="n">
        <v>3880.0</v>
      </c>
      <c r="G66" s="8">
        <f si="1" t="shared"/>
        <v>3.3790127788704935E-3</v>
      </c>
    </row>
    <row r="67" spans="1:7" x14ac:dyDescent="0.45">
      <c r="A67">
        <v>56</v>
      </c>
      <c r="B67" s="5" t="n">
        <v>1828.268437116326</v>
      </c>
      <c r="C67" s="8">
        <f si="0" t="shared"/>
        <v>1.7288929721671299E-3</v>
      </c>
      <c r="E67" s="9">
        <v>56</v>
      </c>
      <c r="F67" s="9" t="n">
        <v>3613.0</v>
      </c>
      <c r="G67" s="8">
        <f si="1" t="shared"/>
        <v>3.1590389396617125E-3</v>
      </c>
    </row>
    <row r="68" spans="1:7" x14ac:dyDescent="0.45">
      <c r="A68">
        <v>57</v>
      </c>
      <c r="B68" s="5" t="n">
        <v>4497.110237848932</v>
      </c>
      <c r="C68" s="8">
        <f si="0" t="shared"/>
        <v>4.2526699730927823E-3</v>
      </c>
      <c r="E68" s="9">
        <v>57</v>
      </c>
      <c r="F68" s="9" t="n">
        <v>3380.0</v>
      </c>
      <c r="G68" s="8">
        <f si="1" t="shared"/>
        <v>2.8575138234779689E-3</v>
      </c>
    </row>
    <row r="69" spans="1:7" x14ac:dyDescent="0.45">
      <c r="A69">
        <v>58</v>
      </c>
      <c r="B69" s="5" t="n">
        <v>1611.196289676182</v>
      </c>
      <c r="C69" s="8">
        <f si="0" t="shared"/>
        <v>1.5236197734707542E-3</v>
      </c>
      <c r="E69" s="9">
        <v>58</v>
      </c>
      <c r="F69" s="9" t="n">
        <v>3324.0</v>
      </c>
      <c r="G69" s="8">
        <f si="1" t="shared"/>
        <v>2.6450512860958291E-3</v>
      </c>
    </row>
    <row r="70" spans="1:7" x14ac:dyDescent="0.45">
      <c r="A70">
        <v>59</v>
      </c>
      <c r="B70" s="5" t="n">
        <v>2588.2827480223873</v>
      </c>
      <c r="C70" s="8">
        <f si="0" t="shared"/>
        <v>2.4475967326195286E-3</v>
      </c>
      <c r="E70" s="9">
        <v>59</v>
      </c>
      <c r="F70" s="9" t="n">
        <v>2993.0</v>
      </c>
      <c r="G70" s="8">
        <f si="1" t="shared"/>
        <v>2.6171521650254471E-3</v>
      </c>
    </row>
    <row r="71" spans="1:7" x14ac:dyDescent="0.45">
      <c r="A71">
        <v>60</v>
      </c>
      <c r="B71" s="5" t="n">
        <v>3818.8061594967835</v>
      </c>
      <c r="C71" s="8">
        <f si="0" t="shared"/>
        <v>3.6112350884513226E-3</v>
      </c>
      <c r="E71" s="9">
        <v>60</v>
      </c>
      <c r="F71" s="9" t="n">
        <v>2730.0</v>
      </c>
      <c r="G71" s="8">
        <f si="1" t="shared"/>
        <v>2.2533905479923898E-3</v>
      </c>
    </row>
    <row r="72" spans="1:7" x14ac:dyDescent="0.45">
      <c r="A72">
        <v>61</v>
      </c>
      <c r="B72" s="5" t="n">
        <v>2169.294538024591</v>
      </c>
      <c r="C72" s="8">
        <f si="0" t="shared"/>
        <v>2.0513826116621992E-3</v>
      </c>
      <c r="E72" s="9">
        <v>61</v>
      </c>
      <c r="F72" s="9" t="n">
        <v>2606.0</v>
      </c>
      <c r="G72" s="8">
        <f si="1" t="shared"/>
        <v>2.0881419078062815E-3</v>
      </c>
    </row>
    <row r="73" spans="1:7" x14ac:dyDescent="0.45">
      <c r="A73">
        <v>62</v>
      </c>
      <c r="B73" s="5" t="n">
        <v>3396.010713826676</v>
      </c>
      <c r="C73" s="8">
        <f si="0" t="shared"/>
        <v>3.2114206739793138E-3</v>
      </c>
      <c r="E73" s="9">
        <v>62</v>
      </c>
      <c r="F73" s="9" t="n">
        <v>2458.0</v>
      </c>
      <c r="G73" s="8">
        <f si="1" t="shared"/>
        <v>1.9980062858865858E-3</v>
      </c>
    </row>
    <row r="74" spans="1:7" x14ac:dyDescent="0.45">
      <c r="A74">
        <v>63</v>
      </c>
      <c r="B74" s="5" t="n">
        <v>2463.456956461762</v>
      </c>
      <c r="C74" s="8">
        <f si="0" t="shared"/>
        <v>2.3295558424563994E-3</v>
      </c>
      <c r="E74" s="9">
        <v>63</v>
      </c>
      <c r="F74" s="9" t="n">
        <v>2416.0</v>
      </c>
      <c r="G74" s="8">
        <f si="1" t="shared"/>
        <v>1.9153819657935314E-3</v>
      </c>
    </row>
    <row r="75" spans="1:7" x14ac:dyDescent="0.45">
      <c r="A75">
        <v>64</v>
      </c>
      <c r="B75" s="5" t="n">
        <v>1763.737224838209</v>
      </c>
      <c r="C75" s="8">
        <f si="0" t="shared"/>
        <v>1.6678693516045862E-3</v>
      </c>
      <c r="E75" s="9">
        <v>64</v>
      </c>
      <c r="F75" s="9" t="n">
        <v>2241.0</v>
      </c>
      <c r="G75" s="8">
        <f si="1" t="shared"/>
        <v>1.7554985411978809E-3</v>
      </c>
    </row>
    <row r="76" spans="1:7" x14ac:dyDescent="0.45">
      <c r="A76">
        <v>65</v>
      </c>
      <c r="B76" s="5" t="n">
        <v>2248.6066961671054</v>
      </c>
      <c r="C76" s="8">
        <f si="0" t="shared"/>
        <v>2.1263837603098675E-3</v>
      </c>
      <c r="E76" s="9">
        <v>65</v>
      </c>
      <c r="F76" s="9" t="n">
        <v>2070.0</v>
      </c>
      <c r="G76" s="8">
        <f si="1" t="shared"/>
        <v>1.6696550917505517E-3</v>
      </c>
    </row>
    <row r="77" spans="1:7" x14ac:dyDescent="0.45">
      <c r="A77">
        <v>66</v>
      </c>
      <c r="B77" s="5" t="n">
        <v>1192.8438648445228</v>
      </c>
      <c r="C77" s="8">
        <f ref="C77:C102" si="2" t="shared">B77/B$102</f>
        <v>1.128006879599791E-3</v>
      </c>
      <c r="E77" s="9">
        <v>66</v>
      </c>
      <c r="F77" s="9" t="n">
        <v>2001.0</v>
      </c>
      <c r="G77" s="8">
        <f ref="G77:G102" si="3" t="shared">F77/F$102</f>
        <v>1.5805925129489479E-3</v>
      </c>
    </row>
    <row r="78" spans="1:7" x14ac:dyDescent="0.45">
      <c r="A78">
        <v>67</v>
      </c>
      <c r="B78" s="5" t="n">
        <v>1524.8013101417741</v>
      </c>
      <c r="C78" s="8">
        <f si="2" t="shared"/>
        <v>1.4419207899324538E-3</v>
      </c>
      <c r="E78" s="9">
        <v>67</v>
      </c>
      <c r="F78" s="9" t="n">
        <v>1896.0</v>
      </c>
      <c r="G78" s="8">
        <f si="3" t="shared"/>
        <v>1.4593386406045953E-3</v>
      </c>
    </row>
    <row r="79" spans="1:7" x14ac:dyDescent="0.45">
      <c r="A79">
        <v>68</v>
      </c>
      <c r="B79" s="5" t="n">
        <v>2466.772004079661</v>
      </c>
      <c r="C79" s="8">
        <f si="2" t="shared"/>
        <v>2.3326907007806099E-3</v>
      </c>
      <c r="E79" s="9">
        <v>68</v>
      </c>
      <c r="F79" s="9" t="n">
        <v>1688.0</v>
      </c>
      <c r="G79" s="8">
        <f si="3" t="shared"/>
        <v>1.4453890800694045E-3</v>
      </c>
    </row>
    <row r="80" spans="1:7" x14ac:dyDescent="0.45">
      <c r="A80">
        <v>69</v>
      </c>
      <c r="B80" s="5" t="n">
        <v>2147.853850662248</v>
      </c>
      <c r="C80" s="8">
        <f si="2" t="shared"/>
        <v>2.0311073320880167E-3</v>
      </c>
      <c r="E80" s="9">
        <v>69</v>
      </c>
      <c r="F80" s="9" t="n">
        <v>1737.0</v>
      </c>
      <c r="G80" s="8">
        <f si="3" t="shared"/>
        <v>1.212538723443524E-3</v>
      </c>
    </row>
    <row r="81" spans="1:7" x14ac:dyDescent="0.45">
      <c r="A81">
        <v>70</v>
      </c>
      <c r="B81" s="5" t="n">
        <v>885.0913743154643</v>
      </c>
      <c r="C81" s="8">
        <f si="2" t="shared"/>
        <v>8.369822645920295E-4</v>
      </c>
      <c r="E81" s="9">
        <v>70</v>
      </c>
      <c r="F81" s="9" t="n">
        <v>1709.0</v>
      </c>
      <c r="G81" s="8">
        <f si="3" t="shared"/>
        <v>1.1631787400113098E-3</v>
      </c>
    </row>
    <row r="82" spans="1:7" x14ac:dyDescent="0.45">
      <c r="A82">
        <v>71</v>
      </c>
      <c r="B82" s="5" t="n">
        <v>1188.3782268262912</v>
      </c>
      <c r="C82" s="8">
        <f si="2" t="shared"/>
        <v>1.1237839711749533E-3</v>
      </c>
      <c r="E82" s="9">
        <v>71</v>
      </c>
      <c r="F82" s="9" t="n">
        <v>1467.0</v>
      </c>
      <c r="G82" s="8">
        <f si="3" t="shared"/>
        <v>1.1234761446419202E-3</v>
      </c>
    </row>
    <row r="83" spans="1:7" x14ac:dyDescent="0.45">
      <c r="A83">
        <v>72</v>
      </c>
      <c r="B83" s="5" t="n">
        <v>1768.4881275405896</v>
      </c>
      <c r="C83" s="8">
        <f si="2" t="shared"/>
        <v>1.672362019161956E-3</v>
      </c>
      <c r="E83" s="9">
        <v>72</v>
      </c>
      <c r="F83" s="9" t="n">
        <v>1447.0</v>
      </c>
      <c r="G83" s="8">
        <f si="3" t="shared"/>
        <v>1.0258292208955833E-3</v>
      </c>
    </row>
    <row r="84" spans="1:7" x14ac:dyDescent="0.45">
      <c r="A84">
        <v>73</v>
      </c>
      <c r="B84" s="5" t="n">
        <v>1458.26714017593</v>
      </c>
      <c r="C84" s="8">
        <f si="2" t="shared"/>
        <v>1.3790030823750477E-3</v>
      </c>
      <c r="E84" s="9">
        <v>73</v>
      </c>
      <c r="F84" s="9" t="n">
        <v>1468.0</v>
      </c>
      <c r="G84" s="8">
        <f si="3" t="shared"/>
        <v>9.9041879799855988E-4</v>
      </c>
    </row>
    <row r="85" spans="1:7" x14ac:dyDescent="0.45">
      <c r="A85">
        <v>74</v>
      </c>
      <c r="B85" s="5" t="n">
        <v>1442.061329848071</v>
      </c>
      <c r="C85" s="8">
        <f si="2" t="shared"/>
        <v>1.3636781382829748E-3</v>
      </c>
      <c r="E85" s="9">
        <v>74</v>
      </c>
      <c r="F85" s="9" t="n">
        <v>1259.0</v>
      </c>
      <c r="G85" s="8">
        <f si="3" t="shared"/>
        <v>9.0135621919695602E-4</v>
      </c>
    </row>
    <row r="86" spans="1:7" x14ac:dyDescent="0.45">
      <c r="A86">
        <v>75</v>
      </c>
      <c r="B86" s="5" t="n">
        <v>966.282493683074</v>
      </c>
      <c r="C86" s="8">
        <f si="2" t="shared"/>
        <v>9.1376024359518147E-4</v>
      </c>
      <c r="E86" s="9">
        <v>75</v>
      </c>
      <c r="F86" s="9" t="n">
        <v>1236.0</v>
      </c>
      <c r="G86" s="8">
        <f si="3" t="shared"/>
        <v>9.2710925403115469E-4</v>
      </c>
    </row>
    <row r="87" spans="1:7" x14ac:dyDescent="0.45">
      <c r="A87">
        <v>76</v>
      </c>
      <c r="B87" s="5" t="n">
        <v>660.8804554544431</v>
      </c>
      <c r="C87" s="8">
        <f si="2" t="shared"/>
        <v>6.2495832213784472E-4</v>
      </c>
      <c r="E87" s="9">
        <v>76</v>
      </c>
      <c r="F87" s="9" t="n">
        <v>1262.0</v>
      </c>
      <c r="G87" s="8">
        <f si="3" t="shared"/>
        <v>8.1336668351344359E-4</v>
      </c>
    </row>
    <row r="88" spans="1:7" x14ac:dyDescent="0.45">
      <c r="A88">
        <v>77</v>
      </c>
      <c r="B88" s="5" t="n">
        <v>931.29068205951</v>
      </c>
      <c r="C88" s="8">
        <f si="2" t="shared"/>
        <v>8.8067041063017327E-4</v>
      </c>
      <c r="E88" s="9">
        <v>77</v>
      </c>
      <c r="F88" s="9" t="n">
        <v>1122.0</v>
      </c>
      <c r="G88" s="8">
        <f si="3" t="shared"/>
        <v>7.2108497535756477E-4</v>
      </c>
    </row>
    <row r="89" spans="1:7" x14ac:dyDescent="0.45">
      <c r="A89">
        <v>78</v>
      </c>
      <c r="B89" s="5" t="n">
        <v>1258.1957459167413</v>
      </c>
      <c r="C89" s="8">
        <f si="2" t="shared"/>
        <v>1.1898065615337365E-3</v>
      </c>
      <c r="E89" s="9">
        <v>78</v>
      </c>
      <c r="F89" s="9" t="n">
        <v>1061.0</v>
      </c>
      <c r="G89" s="8">
        <f si="3" t="shared"/>
        <v>6.5992151762634278E-4</v>
      </c>
    </row>
    <row r="90" spans="1:7" x14ac:dyDescent="0.45">
      <c r="A90">
        <v>79</v>
      </c>
      <c r="B90" s="5" t="n">
        <v>26.8856274469222</v>
      </c>
      <c r="C90" s="8">
        <f si="2" t="shared"/>
        <v>2.5424260136877255E-5</v>
      </c>
      <c r="E90" s="9">
        <v>79</v>
      </c>
      <c r="F90" s="9" t="n">
        <v>1034.0</v>
      </c>
      <c r="G90" s="8">
        <f si="3" t="shared"/>
        <v>5.9446588742275428E-4</v>
      </c>
    </row>
    <row r="91" spans="1:7" x14ac:dyDescent="0.45">
      <c r="A91">
        <v>80</v>
      </c>
      <c r="B91" s="5" t="n">
        <v>1388.9139813844454</v>
      </c>
      <c r="C91" s="8">
        <f si="2" t="shared"/>
        <v>1.3134196120279304E-3</v>
      </c>
      <c r="E91" s="9">
        <v>80</v>
      </c>
      <c r="F91" s="9" t="n">
        <v>901.0</v>
      </c>
      <c r="G91" s="8">
        <f si="3" t="shared"/>
        <v>5.6442068011618911E-4</v>
      </c>
    </row>
    <row r="92" spans="1:7" x14ac:dyDescent="0.45">
      <c r="A92">
        <v>81</v>
      </c>
      <c r="B92" s="5" t="n">
        <v>761.2596364952229</v>
      </c>
      <c r="C92" s="8">
        <f si="2" t="shared"/>
        <v>7.1988139641408365E-4</v>
      </c>
      <c r="E92" s="9">
        <v>81</v>
      </c>
      <c r="F92" s="9" t="n">
        <v>797.0</v>
      </c>
      <c r="G92" s="8">
        <f si="3" t="shared"/>
        <v>4.7643114443267674E-4</v>
      </c>
    </row>
    <row r="93" spans="1:7" x14ac:dyDescent="0.45">
      <c r="A93">
        <v>82</v>
      </c>
      <c r="B93" s="5" t="n">
        <v>467.8100270923282</v>
      </c>
      <c r="C93" s="8">
        <f si="2" t="shared"/>
        <v>4.4238222994481439E-4</v>
      </c>
      <c r="E93" s="9">
        <v>82</v>
      </c>
      <c r="F93" s="9" t="n">
        <v>786.0</v>
      </c>
      <c r="G93" s="8">
        <f si="3" t="shared"/>
        <v>4.1848681605572959E-4</v>
      </c>
    </row>
    <row r="94" spans="1:7" x14ac:dyDescent="0.45">
      <c r="A94">
        <v>83</v>
      </c>
      <c r="B94" s="5" t="n">
        <v>1224.672290529361</v>
      </c>
      <c r="C94" s="8">
        <f si="2" t="shared"/>
        <v>1.1581052723546614E-3</v>
      </c>
      <c r="E94" s="9">
        <v>83</v>
      </c>
      <c r="F94" s="9" t="n">
        <v>733.0</v>
      </c>
      <c r="G94" s="8">
        <f si="3" t="shared"/>
        <v>3.5732335832450754E-4</v>
      </c>
    </row>
    <row r="95" spans="1:7" x14ac:dyDescent="0.45">
      <c r="A95">
        <v>84</v>
      </c>
      <c r="B95" s="5" t="n">
        <v>362.7979845179584</v>
      </c>
      <c r="C95" s="8">
        <f si="2" t="shared"/>
        <v>3.4307811315652476E-4</v>
      </c>
      <c r="E95" s="9">
        <v>84</v>
      </c>
      <c r="F95" s="9" t="n">
        <v>668.0</v>
      </c>
      <c r="G95" s="8">
        <f si="3" t="shared"/>
        <v>3.3478945284458366E-4</v>
      </c>
    </row>
    <row r="96" spans="1:7" x14ac:dyDescent="0.45">
      <c r="A96">
        <v>85</v>
      </c>
      <c r="B96" s="5" t="n">
        <v>32.0599029351545</v>
      </c>
      <c r="C96" s="8">
        <f si="2" t="shared"/>
        <v>3.0317288067595878E-5</v>
      </c>
      <c r="E96" s="9">
        <v>85</v>
      </c>
      <c r="F96" s="9" t="n">
        <v>542.0</v>
      </c>
      <c r="G96" s="8">
        <f si="3" t="shared"/>
        <v>3.0152511618374359E-4</v>
      </c>
    </row>
    <row r="97" spans="1:7" x14ac:dyDescent="0.45">
      <c r="A97">
        <v>86</v>
      </c>
      <c r="B97" s="5" t="n">
        <v>565.9368741677762</v>
      </c>
      <c r="C97" s="8">
        <f si="2" t="shared"/>
        <v>5.351753957871597E-4</v>
      </c>
      <c r="E97" s="9">
        <v>86</v>
      </c>
      <c r="F97" s="9" t="n">
        <v>507.0</v>
      </c>
      <c r="G97" s="8">
        <f si="3" t="shared"/>
        <v>3.0903641801038493E-4</v>
      </c>
    </row>
    <row r="98" spans="1:7" x14ac:dyDescent="0.45">
      <c r="A98">
        <v>87</v>
      </c>
      <c r="B98" s="5" t="n">
        <v>111.560445068147</v>
      </c>
      <c r="C98" s="8">
        <f si="2" t="shared"/>
        <v>1.05496581100735E-4</v>
      </c>
      <c r="E98" s="9">
        <v>87</v>
      </c>
      <c r="F98" s="9" t="n">
        <v>504.0</v>
      </c>
      <c r="G98" s="8">
        <f si="3" t="shared"/>
        <v>2.918677281209191E-4</v>
      </c>
    </row>
    <row r="99" spans="1:7" x14ac:dyDescent="0.45">
      <c r="A99">
        <v>88</v>
      </c>
      <c r="B99" s="5" t="n">
        <v>692.7179603157019</v>
      </c>
      <c r="C99" s="8">
        <f si="2" t="shared"/>
        <v>6.55065300570829E-4</v>
      </c>
      <c r="E99" s="9">
        <v>88</v>
      </c>
      <c r="F99" s="9" t="n">
        <v>445.0</v>
      </c>
      <c r="G99" s="8">
        <f si="3" t="shared"/>
        <v>2.264120979173306E-4</v>
      </c>
    </row>
    <row r="100" spans="1:7" x14ac:dyDescent="0.45">
      <c r="A100">
        <v>89</v>
      </c>
      <c r="B100" s="5" t="n">
        <v>218.729802476346</v>
      </c>
      <c r="C100" s="8">
        <f si="2" t="shared"/>
        <v>2.0684075195288084E-4</v>
      </c>
      <c r="E100" s="9">
        <v>89</v>
      </c>
      <c r="F100" s="9" t="n">
        <v>407.0</v>
      </c>
      <c r="G100" s="8">
        <f si="3" t="shared"/>
        <v>2.4679991716107129E-4</v>
      </c>
    </row>
    <row ht="14.65" r="101" spans="1:7" thickBot="1" x14ac:dyDescent="0.5">
      <c r="A101" s="1">
        <v>90</v>
      </c>
      <c r="B101" s="6" t="n">
        <v>771.6871567876125</v>
      </c>
      <c r="C101" s="8">
        <f si="2" t="shared"/>
        <v>7.2974212921712736E-4</v>
      </c>
      <c r="E101" s="10">
        <v>90</v>
      </c>
      <c r="F101" s="10" t="n">
        <v>5318.0</v>
      </c>
      <c r="G101" s="8">
        <f si="3" t="shared"/>
        <v>4.0196195203711874E-3</v>
      </c>
    </row>
    <row r="102" spans="1:7" x14ac:dyDescent="0.45">
      <c r="B102" s="5">
        <f>SUM(B11:B101)</f>
        <v>1057479.2462859231</v>
      </c>
      <c r="C102" s="8">
        <f si="2" t="shared"/>
        <v>1</v>
      </c>
      <c r="F102" s="5">
        <f>SUM(F11:F101)</f>
        <v>931929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02"/>
  <sheetViews>
    <sheetView workbookViewId="0">
      <selection activeCell="K11" sqref="K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J9" s="7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25194.40320715833</v>
      </c>
      <c r="C11" s="8">
        <f>B11/B$102</f>
        <v>8.7842109656183401E-2</v>
      </c>
      <c r="E11" s="9">
        <v>0</v>
      </c>
      <c r="F11" s="9" t="n">
        <v>34776.0</v>
      </c>
      <c r="G11" s="8">
        <f>F11/F$102</f>
        <v>0.14566402503659584</v>
      </c>
      <c r="K11" s="5" t="n">
        <v>5.207278945242585</v>
      </c>
      <c r="L11" s="5" t="n">
        <v>5.091323818962336</v>
      </c>
    </row>
    <row r="12" spans="1:12" x14ac:dyDescent="0.45">
      <c r="A12">
        <v>1</v>
      </c>
      <c r="B12" s="5" t="n">
        <v>47643.02643114324</v>
      </c>
      <c r="C12" s="8">
        <f>B12/B$102</f>
        <v>0.16611085873738229</v>
      </c>
      <c r="E12" s="9">
        <v>1</v>
      </c>
      <c r="F12" s="9" t="n">
        <v>49791.0</v>
      </c>
      <c r="G12" s="8">
        <f>F12/F$102</f>
        <v>0.20735954772601081</v>
      </c>
      <c r="K12" s="5"/>
      <c r="L12" s="9"/>
    </row>
    <row r="13" spans="1:12" x14ac:dyDescent="0.45">
      <c r="A13">
        <v>2</v>
      </c>
      <c r="B13" s="5" t="n">
        <v>47953.56306434909</v>
      </c>
      <c r="C13" s="8">
        <f ref="C13:C76" si="0" t="shared">B13/B$102</f>
        <v>0.16719356717711145</v>
      </c>
      <c r="E13" s="9">
        <v>2</v>
      </c>
      <c r="F13" s="9" t="n">
        <v>36832.0</v>
      </c>
      <c r="G13" s="8">
        <f ref="G13:G76" si="1" t="shared">F13/F$102</f>
        <v>0.15489711103259132</v>
      </c>
    </row>
    <row r="14" spans="1:12" x14ac:dyDescent="0.45">
      <c r="A14">
        <v>3</v>
      </c>
      <c r="B14" s="5" t="n">
        <v>33177.483759249844</v>
      </c>
      <c r="C14" s="8">
        <f si="0" t="shared"/>
        <v>0.11567569759573523</v>
      </c>
      <c r="E14" s="9">
        <v>3</v>
      </c>
      <c r="F14" s="9" t="n">
        <v>23555.0</v>
      </c>
      <c r="G14" s="8">
        <f si="1" t="shared"/>
        <v>9.8665724429189167E-2</v>
      </c>
    </row>
    <row r="15" spans="1:12" x14ac:dyDescent="0.45">
      <c r="A15">
        <v>4</v>
      </c>
      <c r="B15" s="5" t="n">
        <v>30276.28170165501</v>
      </c>
      <c r="C15" s="8">
        <f si="0" t="shared"/>
        <v>0.10556044671312723</v>
      </c>
      <c r="E15" s="9">
        <v>4</v>
      </c>
      <c r="F15" s="9" t="n">
        <v>15007.0</v>
      </c>
      <c r="G15" s="8">
        <f si="1" t="shared"/>
        <v>6.4101593390877121E-2</v>
      </c>
    </row>
    <row r="16" spans="1:12" x14ac:dyDescent="0.45">
      <c r="A16">
        <v>5</v>
      </c>
      <c r="B16" s="5" t="n">
        <v>21021.199363774707</v>
      </c>
      <c r="C16" s="8">
        <f si="0" t="shared"/>
        <v>7.3291932515096955E-2</v>
      </c>
      <c r="E16" s="9">
        <v>5</v>
      </c>
      <c r="F16" s="9" t="n">
        <v>11658.0</v>
      </c>
      <c r="G16" s="8">
        <f si="1" t="shared"/>
        <v>4.7982602258004811E-2</v>
      </c>
    </row>
    <row r="17" spans="1:7" x14ac:dyDescent="0.45">
      <c r="A17">
        <v>6</v>
      </c>
      <c r="B17" s="5" t="n">
        <v>17053.77641060245</v>
      </c>
      <c r="C17" s="8">
        <f si="0" t="shared"/>
        <v>5.9459225336464631E-2</v>
      </c>
      <c r="E17" s="9">
        <v>6</v>
      </c>
      <c r="F17" s="9" t="n">
        <v>9073.0</v>
      </c>
      <c r="G17" s="8">
        <f si="1" t="shared"/>
        <v>3.9136506654552185E-2</v>
      </c>
    </row>
    <row r="18" spans="1:7" x14ac:dyDescent="0.45">
      <c r="A18">
        <v>7</v>
      </c>
      <c r="B18" s="5" t="n">
        <v>15559.389979859257</v>
      </c>
      <c r="C18" s="8">
        <f si="0" t="shared"/>
        <v>5.424893892329969E-2</v>
      </c>
      <c r="E18" s="9">
        <v>7</v>
      </c>
      <c r="F18" s="9" t="n">
        <v>7719.0</v>
      </c>
      <c r="G18" s="8">
        <f si="1" t="shared"/>
        <v>3.2919421870004878E-2</v>
      </c>
    </row>
    <row r="19" spans="1:7" x14ac:dyDescent="0.45">
      <c r="A19">
        <v>8</v>
      </c>
      <c r="B19" s="5" t="n">
        <v>6902.018180289117</v>
      </c>
      <c r="C19" s="8">
        <f si="0" t="shared"/>
        <v>2.4064385762853361E-2</v>
      </c>
      <c r="E19" s="9">
        <v>8</v>
      </c>
      <c r="F19" s="9" t="n">
        <v>6749.0</v>
      </c>
      <c r="G19" s="8">
        <f si="1" t="shared"/>
        <v>2.9049517944576244E-2</v>
      </c>
    </row>
    <row r="20" spans="1:7" x14ac:dyDescent="0.45">
      <c r="A20">
        <v>9</v>
      </c>
      <c r="B20" s="5" t="n">
        <v>6095.325439921514</v>
      </c>
      <c r="C20" s="8">
        <f si="0" t="shared"/>
        <v>2.1251793157441516E-2</v>
      </c>
      <c r="E20" s="9">
        <v>9</v>
      </c>
      <c r="F20" s="9" t="n">
        <v>5832.0</v>
      </c>
      <c r="G20" s="8">
        <f si="1" t="shared"/>
        <v>2.5524540238587991E-2</v>
      </c>
    </row>
    <row r="21" spans="1:7" x14ac:dyDescent="0.45">
      <c r="A21">
        <v>10</v>
      </c>
      <c r="B21" s="5" t="n">
        <v>5096.5443084016615</v>
      </c>
      <c r="C21" s="8">
        <f si="0" t="shared"/>
        <v>1.7769470478229722E-2</v>
      </c>
      <c r="E21" s="9">
        <v>10</v>
      </c>
      <c r="F21" s="9" t="n">
        <v>5113.0</v>
      </c>
      <c r="G21" s="8">
        <f si="1" t="shared"/>
        <v>2.1768209580536067E-2</v>
      </c>
    </row>
    <row r="22" spans="1:7" x14ac:dyDescent="0.45">
      <c r="A22">
        <v>11</v>
      </c>
      <c r="B22" s="5" t="n">
        <v>6078.12277530569</v>
      </c>
      <c r="C22" s="8">
        <f si="0" t="shared"/>
        <v>2.1191814822605133E-2</v>
      </c>
      <c r="E22" s="9">
        <v>11</v>
      </c>
      <c r="F22" s="9" t="n">
        <v>4566.0</v>
      </c>
      <c r="G22" s="8">
        <f si="1" t="shared"/>
        <v>1.9193882186663975E-2</v>
      </c>
    </row>
    <row r="23" spans="1:7" x14ac:dyDescent="0.45">
      <c r="A23">
        <v>12</v>
      </c>
      <c r="B23" s="5" t="n">
        <v>2421.274306626814</v>
      </c>
      <c r="C23" s="8">
        <f si="0" t="shared"/>
        <v>8.4419480549545924E-3</v>
      </c>
      <c r="E23" s="9">
        <v>12</v>
      </c>
      <c r="F23" s="9" t="n">
        <v>3931.0</v>
      </c>
      <c r="G23" s="8">
        <f si="1" t="shared"/>
        <v>1.6981306681473254E-2</v>
      </c>
    </row>
    <row r="24" spans="1:7" x14ac:dyDescent="0.45">
      <c r="A24">
        <v>13</v>
      </c>
      <c r="B24" s="5" t="n">
        <v>1860.9185762985344</v>
      </c>
      <c r="C24" s="8">
        <f si="0" t="shared"/>
        <v>6.488227258107852E-3</v>
      </c>
      <c r="E24" s="9">
        <v>13</v>
      </c>
      <c r="F24" s="9" t="n">
        <v>3370.0</v>
      </c>
      <c r="G24" s="8">
        <f si="1" t="shared"/>
        <v>1.4402772870290915E-2</v>
      </c>
    </row>
    <row r="25" spans="1:7" x14ac:dyDescent="0.45">
      <c r="A25">
        <v>14</v>
      </c>
      <c r="B25" s="5" t="n">
        <v>4770.183875469205</v>
      </c>
      <c r="C25" s="8">
        <f si="0" t="shared"/>
        <v>1.6631591215864539E-2</v>
      </c>
      <c r="E25" s="9">
        <v>14</v>
      </c>
      <c r="F25" s="9" t="n">
        <v>2655.0</v>
      </c>
      <c r="G25" s="8">
        <f si="1" t="shared"/>
        <v>1.1971463664967274E-2</v>
      </c>
    </row>
    <row r="26" spans="1:7" x14ac:dyDescent="0.45">
      <c r="A26">
        <v>15</v>
      </c>
      <c r="B26" s="5" t="n">
        <v>3417.6406434860282</v>
      </c>
      <c r="C26" s="8">
        <f si="0" t="shared"/>
        <v>1.191585137786599E-2</v>
      </c>
      <c r="E26" s="9">
        <v>15</v>
      </c>
      <c r="F26" s="9" t="n">
        <v>2436.0</v>
      </c>
      <c r="G26" s="8">
        <f si="1" t="shared"/>
        <v>1.0726364141133713E-2</v>
      </c>
    </row>
    <row r="27" spans="1:7" x14ac:dyDescent="0.45">
      <c r="A27">
        <v>16</v>
      </c>
      <c r="B27" s="5" t="n">
        <v>1534.255543087734</v>
      </c>
      <c r="C27" s="8">
        <f si="0" t="shared"/>
        <v>5.3492929579783792E-3</v>
      </c>
      <c r="E27" s="9">
        <v>16</v>
      </c>
      <c r="F27" s="9" t="n">
        <v>2072.0</v>
      </c>
      <c r="G27" s="8">
        <f si="1" t="shared"/>
        <v>9.1110998939982844E-3</v>
      </c>
    </row>
    <row r="28" spans="1:7" x14ac:dyDescent="0.45">
      <c r="A28">
        <v>17</v>
      </c>
      <c r="B28" s="5" t="n">
        <v>2408.3051249186597</v>
      </c>
      <c r="C28" s="8">
        <f si="0" t="shared"/>
        <v>8.3967300645782627E-3</v>
      </c>
      <c r="E28" s="9">
        <v>17</v>
      </c>
      <c r="F28" s="9" t="n">
        <v>1850.0</v>
      </c>
      <c r="G28" s="8">
        <f si="1" t="shared"/>
        <v>7.8744132047852203E-3</v>
      </c>
    </row>
    <row r="29" spans="1:7" x14ac:dyDescent="0.45">
      <c r="A29">
        <v>18</v>
      </c>
      <c r="B29" s="5" t="n">
        <v>533.6168114497924</v>
      </c>
      <c r="C29" s="8">
        <f si="0" t="shared"/>
        <v>1.8604936215531225E-3</v>
      </c>
      <c r="E29" s="9">
        <v>18</v>
      </c>
      <c r="F29" s="9" t="n">
        <v>1442.0</v>
      </c>
      <c r="G29" s="8">
        <f si="1" t="shared"/>
        <v>6.5115339962647017E-3</v>
      </c>
    </row>
    <row r="30" spans="1:7" x14ac:dyDescent="0.45">
      <c r="A30">
        <v>19</v>
      </c>
      <c r="B30" s="5" t="n">
        <v>530.3196120400953</v>
      </c>
      <c r="C30" s="8">
        <f si="0" t="shared"/>
        <v>1.8489976972510687E-3</v>
      </c>
      <c r="E30" s="9">
        <v>19</v>
      </c>
      <c r="F30" s="9" t="n">
        <v>1279.0</v>
      </c>
      <c r="G30" s="8">
        <f si="1" t="shared"/>
        <v>5.5608836841485373E-3</v>
      </c>
    </row>
    <row r="31" spans="1:7" x14ac:dyDescent="0.45">
      <c r="A31">
        <v>20</v>
      </c>
      <c r="B31" s="5" t="n">
        <v>1180.8667996430138</v>
      </c>
      <c r="C31" s="8">
        <f si="0" t="shared"/>
        <v>4.1171775354502489E-3</v>
      </c>
      <c r="E31" s="9">
        <v>20</v>
      </c>
      <c r="F31" s="9" t="n">
        <v>1087.0</v>
      </c>
      <c r="G31" s="8">
        <f si="1" t="shared"/>
        <v>4.8289670721652954E-3</v>
      </c>
    </row>
    <row r="32" spans="1:7" x14ac:dyDescent="0.45">
      <c r="A32">
        <v>21</v>
      </c>
      <c r="B32" s="5" t="n">
        <v>330.1799080817645</v>
      </c>
      <c r="C32" s="8">
        <f si="0" t="shared"/>
        <v>1.1511961388212708E-3</v>
      </c>
      <c r="E32" s="9">
        <v>21</v>
      </c>
      <c r="F32" s="9" t="n">
        <v>906.0</v>
      </c>
      <c r="G32" s="8">
        <f si="1" t="shared"/>
        <v>4.0886376255615565E-3</v>
      </c>
    </row>
    <row r="33" spans="1:7" x14ac:dyDescent="0.45">
      <c r="A33">
        <v>22</v>
      </c>
      <c r="B33" s="5" t="n">
        <v>748.9339264534897</v>
      </c>
      <c r="C33" s="8">
        <f si="0" t="shared"/>
        <v>2.6112123217140351E-3</v>
      </c>
      <c r="E33" s="9">
        <v>22</v>
      </c>
      <c r="F33" s="9" t="n">
        <v>800.0</v>
      </c>
      <c r="G33" s="8">
        <f si="1" t="shared"/>
        <v>3.5165648713677586E-3</v>
      </c>
    </row>
    <row r="34" spans="1:7" x14ac:dyDescent="0.45">
      <c r="A34">
        <v>23</v>
      </c>
      <c r="B34" s="5" t="n">
        <v>119.505355776064</v>
      </c>
      <c r="C34" s="8">
        <f si="0" t="shared"/>
        <v>4.1666406940727238E-4</v>
      </c>
      <c r="E34" s="9">
        <v>23</v>
      </c>
      <c r="F34" s="9" t="n">
        <v>632.0</v>
      </c>
      <c r="G34" s="8">
        <f si="1" t="shared"/>
        <v>2.8729830228997359E-3</v>
      </c>
    </row>
    <row r="35" spans="1:7" x14ac:dyDescent="0.45">
      <c r="A35">
        <v>24</v>
      </c>
      <c r="B35" s="5" t="n">
        <v>358.1585002448773</v>
      </c>
      <c r="C35" s="8">
        <f si="0" t="shared"/>
        <v>1.2487455247150196E-3</v>
      </c>
      <c r="E35" s="9">
        <v>24</v>
      </c>
      <c r="F35" s="9" t="n">
        <v>554.0</v>
      </c>
      <c r="G35" s="8">
        <f si="1" t="shared"/>
        <v>2.2041626705702221E-3</v>
      </c>
    </row>
    <row r="36" spans="1:7" x14ac:dyDescent="0.45">
      <c r="A36">
        <v>25</v>
      </c>
      <c r="B36" s="5" t="n">
        <v>1012.3531844000661</v>
      </c>
      <c r="C36" s="8">
        <f si="0" t="shared"/>
        <v>3.5296426235486584E-3</v>
      </c>
      <c r="E36" s="9">
        <v>25</v>
      </c>
      <c r="F36" s="9" t="n">
        <v>476.0</v>
      </c>
      <c r="G36" s="8">
        <f si="1" t="shared"/>
        <v>1.8970942069220804E-3</v>
      </c>
    </row>
    <row r="37" spans="1:7" x14ac:dyDescent="0.45">
      <c r="A37">
        <v>26</v>
      </c>
      <c r="B37" s="5" t="n">
        <v>149.807495113759</v>
      </c>
      <c r="C37" s="8">
        <f si="0" t="shared"/>
        <v>5.223146706393139E-4</v>
      </c>
      <c r="E37" s="9">
        <v>26</v>
      </c>
      <c r="F37" s="9" t="n">
        <v>427.0</v>
      </c>
      <c r="G37" s="8">
        <f si="1" t="shared"/>
        <v>1.640502750996921E-3</v>
      </c>
    </row>
    <row r="38" spans="1:7" x14ac:dyDescent="0.45">
      <c r="A38">
        <v>27</v>
      </c>
      <c r="B38" s="5" t="n">
        <v>594.5958180337639</v>
      </c>
      <c r="C38" s="8">
        <f si="0" t="shared"/>
        <v>2.073101339982922E-3</v>
      </c>
      <c r="E38" s="9">
        <v>27</v>
      </c>
      <c r="F38" s="9" t="n">
        <v>356.0</v>
      </c>
      <c r="G38" s="8">
        <f si="1" t="shared"/>
        <v>1.3124022007975366E-3</v>
      </c>
    </row>
    <row r="39" spans="1:7" x14ac:dyDescent="0.45">
      <c r="A39">
        <v>28</v>
      </c>
      <c r="B39" s="5" t="n">
        <v>219.9491039807339</v>
      </c>
      <c r="C39" s="8">
        <f si="0" t="shared"/>
        <v>7.668684648646654E-4</v>
      </c>
      <c r="E39" s="9">
        <v>28</v>
      </c>
      <c r="F39" s="9" t="n">
        <v>296.0</v>
      </c>
      <c r="G39" s="8">
        <f si="1" t="shared"/>
        <v>1.257718775764306E-3</v>
      </c>
    </row>
    <row r="40" spans="1:7" x14ac:dyDescent="0.45">
      <c r="A40">
        <v>29</v>
      </c>
      <c r="B40" s="5" t="n">
        <v>548.2663102177627</v>
      </c>
      <c r="C40" s="8">
        <f si="0" t="shared"/>
        <v>1.9115701589333986E-3</v>
      </c>
      <c r="E40" s="9">
        <v>29</v>
      </c>
      <c r="F40" s="9" t="n">
        <v>240.0</v>
      </c>
      <c r="G40" s="8">
        <f si="1" t="shared"/>
        <v>1.1483519256978447E-3</v>
      </c>
    </row>
    <row r="41" spans="1:7" x14ac:dyDescent="0.45">
      <c r="A41">
        <v>30</v>
      </c>
      <c r="B41" s="5" t="n">
        <v>1097.2035991430855</v>
      </c>
      <c r="C41" s="8">
        <f si="0" t="shared"/>
        <v>3.8254797336775958E-3</v>
      </c>
      <c r="E41" s="9">
        <v>30</v>
      </c>
      <c r="F41" s="9" t="n">
        <v>238.0</v>
      </c>
      <c r="G41" s="8">
        <f si="1" t="shared"/>
        <v>9.6326956404690998E-4</v>
      </c>
    </row>
    <row r="42" spans="1:7" x14ac:dyDescent="0.45">
      <c r="A42">
        <v>31</v>
      </c>
      <c r="B42" s="5" t="n">
        <v>41.7997242731165</v>
      </c>
      <c r="C42" s="8">
        <f si="0" t="shared"/>
        <v>1.4573776298674508E-4</v>
      </c>
      <c r="E42" s="9">
        <v>31</v>
      </c>
      <c r="F42" s="9" t="n">
        <v>189.0</v>
      </c>
      <c r="G42" s="8">
        <f si="1" t="shared"/>
        <v>7.6977436777547824E-4</v>
      </c>
    </row>
    <row r="43" spans="1:7" x14ac:dyDescent="0.45">
      <c r="A43">
        <v>32</v>
      </c>
      <c r="B43" s="5" t="n">
        <v>0.0</v>
      </c>
      <c r="C43" s="8">
        <f si="0" t="shared"/>
        <v>0</v>
      </c>
      <c r="E43" s="9">
        <v>32</v>
      </c>
      <c r="F43" s="9" t="n">
        <v>138.0</v>
      </c>
      <c r="G43" s="8">
        <f si="1" t="shared"/>
        <v>7.0247169081150205E-4</v>
      </c>
    </row>
    <row r="44" spans="1:7" x14ac:dyDescent="0.45">
      <c r="A44">
        <v>33</v>
      </c>
      <c r="B44" s="5" t="n">
        <v>123.059109960226</v>
      </c>
      <c r="C44" s="8">
        <f si="0" t="shared"/>
        <v>4.2905449049284046E-4</v>
      </c>
      <c r="E44" s="9">
        <v>33</v>
      </c>
      <c r="F44" s="9" t="n">
        <v>128.0</v>
      </c>
      <c r="G44" s="8">
        <f si="1" t="shared"/>
        <v>5.5524708495280405E-4</v>
      </c>
    </row>
    <row r="45" spans="1:7" x14ac:dyDescent="0.45">
      <c r="A45">
        <v>34</v>
      </c>
      <c r="B45" s="5" t="n">
        <v>74.8323670759137</v>
      </c>
      <c r="C45" s="8">
        <f si="0" t="shared"/>
        <v>2.6090846210822372E-4</v>
      </c>
      <c r="E45" s="9">
        <v>34</v>
      </c>
      <c r="F45" s="9" t="n">
        <v>107.0</v>
      </c>
      <c r="G45" s="8">
        <f si="1" t="shared"/>
        <v>5.5945350226305256E-4</v>
      </c>
    </row>
    <row r="46" spans="1:7" x14ac:dyDescent="0.45">
      <c r="A46">
        <v>35</v>
      </c>
      <c r="B46" s="5" t="n">
        <v>75.9799478739255</v>
      </c>
      <c r="C46" s="8">
        <f si="0" t="shared"/>
        <v>2.6490958559066609E-4</v>
      </c>
      <c r="E46" s="9">
        <v>35</v>
      </c>
      <c r="F46" s="9" t="n">
        <v>90.0</v>
      </c>
      <c r="G46" s="8">
        <f si="1" t="shared"/>
        <v>3.7016472330186933E-4</v>
      </c>
    </row>
    <row r="47" spans="1:7" x14ac:dyDescent="0.45">
      <c r="A47">
        <v>36</v>
      </c>
      <c r="B47" s="5" t="n">
        <v>432.6187690639578</v>
      </c>
      <c r="C47" s="8">
        <f si="0" t="shared"/>
        <v>1.5083566393286089E-3</v>
      </c>
      <c r="E47" s="9">
        <v>36</v>
      </c>
      <c r="F47" s="9" t="n">
        <v>83.0</v>
      </c>
      <c r="G47" s="8">
        <f si="1" t="shared"/>
        <v>3.0286204633789309E-4</v>
      </c>
    </row>
    <row r="48" spans="1:7" x14ac:dyDescent="0.45">
      <c r="A48">
        <v>37</v>
      </c>
      <c r="B48" s="5" t="n">
        <v>66.3616292765703</v>
      </c>
      <c r="C48" s="8">
        <f si="0" t="shared"/>
        <v>2.3137462189297753E-4</v>
      </c>
      <c r="E48" s="9">
        <v>37</v>
      </c>
      <c r="F48" s="9" t="n">
        <v>55.0</v>
      </c>
      <c r="G48" s="8">
        <f si="1" t="shared"/>
        <v>2.6079787323540792E-4</v>
      </c>
    </row>
    <row r="49" spans="1:7" x14ac:dyDescent="0.45">
      <c r="A49">
        <v>38</v>
      </c>
      <c r="B49" s="5" t="n">
        <v>0.0</v>
      </c>
      <c r="C49" s="8">
        <f si="0" t="shared"/>
        <v>0</v>
      </c>
      <c r="E49" s="9">
        <v>38</v>
      </c>
      <c r="F49" s="9" t="n">
        <v>46.0</v>
      </c>
      <c r="G49" s="8">
        <f si="1" t="shared"/>
        <v>1.977016135816802E-4</v>
      </c>
    </row>
    <row r="50" spans="1:7" x14ac:dyDescent="0.45">
      <c r="A50">
        <v>39</v>
      </c>
      <c r="B50" s="5" t="n">
        <v>0.0</v>
      </c>
      <c r="C50" s="8">
        <f si="0" t="shared"/>
        <v>0</v>
      </c>
      <c r="E50" s="9">
        <v>39</v>
      </c>
      <c r="F50" s="9" t="n">
        <v>26.0</v>
      </c>
      <c r="G50" s="8">
        <f si="1" t="shared"/>
        <v>2.0190803089192874E-4</v>
      </c>
    </row>
    <row r="51" spans="1:7" x14ac:dyDescent="0.45">
      <c r="A51">
        <v>40</v>
      </c>
      <c r="B51" s="5" t="n">
        <v>0.0</v>
      </c>
      <c r="C51" s="8">
        <f si="0" t="shared"/>
        <v>0</v>
      </c>
      <c r="E51" s="9">
        <v>40</v>
      </c>
      <c r="F51" s="9" t="n">
        <v>34.0</v>
      </c>
      <c r="G51" s="8">
        <f si="1" t="shared"/>
        <v>1.3881177123820101E-4</v>
      </c>
    </row>
    <row r="52" spans="1:7" x14ac:dyDescent="0.45">
      <c r="A52">
        <v>41</v>
      </c>
      <c r="B52" s="5" t="n">
        <v>0.0</v>
      </c>
      <c r="C52" s="8">
        <f si="0" t="shared"/>
        <v>0</v>
      </c>
      <c r="E52" s="9">
        <v>41</v>
      </c>
      <c r="F52" s="9" t="n">
        <v>19.0</v>
      </c>
      <c r="G52" s="8">
        <f si="1" t="shared"/>
        <v>1.0936685006646139E-4</v>
      </c>
    </row>
    <row r="53" spans="1:7" x14ac:dyDescent="0.45">
      <c r="A53">
        <v>42</v>
      </c>
      <c r="B53" s="5" t="n">
        <v>0.0</v>
      </c>
      <c r="C53" s="8">
        <f si="0" t="shared"/>
        <v>0</v>
      </c>
      <c r="E53" s="9">
        <v>42</v>
      </c>
      <c r="F53" s="9" t="n">
        <v>19.0</v>
      </c>
      <c r="G53" s="8">
        <f si="1" t="shared"/>
        <v>8.8334763515218821E-5</v>
      </c>
    </row>
    <row r="54" spans="1:7" x14ac:dyDescent="0.45">
      <c r="A54">
        <v>43</v>
      </c>
      <c r="B54" s="5" t="n">
        <v>0.0</v>
      </c>
      <c r="C54" s="8">
        <f si="0" t="shared"/>
        <v>0</v>
      </c>
      <c r="E54" s="9">
        <v>43</v>
      </c>
      <c r="F54" s="9" t="n">
        <v>15.0</v>
      </c>
      <c r="G54" s="8">
        <f si="1" t="shared"/>
        <v>8.4128346204970309E-5</v>
      </c>
    </row>
    <row r="55" spans="1:7" x14ac:dyDescent="0.45">
      <c r="A55">
        <v>44</v>
      </c>
      <c r="B55" s="5" t="n">
        <v>0.0</v>
      </c>
      <c r="C55" s="8">
        <f si="0" t="shared"/>
        <v>0</v>
      </c>
      <c r="E55" s="9">
        <v>44</v>
      </c>
      <c r="F55" s="9" t="n">
        <v>14.0</v>
      </c>
      <c r="G55" s="8">
        <f si="1" t="shared"/>
        <v>9.6747598135715843E-5</v>
      </c>
    </row>
    <row r="56" spans="1:7" x14ac:dyDescent="0.45">
      <c r="A56">
        <v>45</v>
      </c>
      <c r="B56" s="5" t="n">
        <v>42.2080912545708</v>
      </c>
      <c r="C56" s="8">
        <f si="0" t="shared"/>
        <v>1.4716156401389866E-4</v>
      </c>
      <c r="E56" s="9">
        <v>45</v>
      </c>
      <c r="F56" s="9" t="n">
        <v>12.0</v>
      </c>
      <c r="G56" s="8">
        <f si="1" t="shared"/>
        <v>5.8889842343479214E-5</v>
      </c>
    </row>
    <row r="57" spans="1:7" x14ac:dyDescent="0.45">
      <c r="A57">
        <v>46</v>
      </c>
      <c r="B57" s="5" t="n">
        <v>0.0</v>
      </c>
      <c r="C57" s="8">
        <f si="0" t="shared"/>
        <v>0</v>
      </c>
      <c r="E57" s="9">
        <v>46</v>
      </c>
      <c r="F57" s="9" t="n">
        <v>12.0</v>
      </c>
      <c r="G57" s="8">
        <f si="1" t="shared"/>
        <v>5.8889842343479214E-5</v>
      </c>
    </row>
    <row r="58" spans="1:7" x14ac:dyDescent="0.45">
      <c r="A58">
        <v>47</v>
      </c>
      <c r="B58" s="5" t="n">
        <v>0.0</v>
      </c>
      <c r="C58" s="8">
        <f si="0" t="shared"/>
        <v>0</v>
      </c>
      <c r="E58" s="9">
        <v>47</v>
      </c>
      <c r="F58" s="9" t="n">
        <v>11.0</v>
      </c>
      <c r="G58" s="8">
        <f si="1" t="shared"/>
        <v>5.4683425033230696E-5</v>
      </c>
    </row>
    <row r="59" spans="1:7" x14ac:dyDescent="0.45">
      <c r="A59">
        <v>48</v>
      </c>
      <c r="B59" s="5" t="n">
        <v>0.0</v>
      </c>
      <c r="C59" s="8">
        <f si="0" t="shared"/>
        <v>0</v>
      </c>
      <c r="E59" s="9">
        <v>48</v>
      </c>
      <c r="F59" s="9" t="n">
        <v>11.0</v>
      </c>
      <c r="G59" s="8">
        <f si="1" t="shared"/>
        <v>4.6270590412733666E-5</v>
      </c>
    </row>
    <row r="60" spans="1:7" x14ac:dyDescent="0.45">
      <c r="A60">
        <v>49</v>
      </c>
      <c r="B60" s="5" t="n">
        <v>0.0</v>
      </c>
      <c r="C60" s="8">
        <f si="0" t="shared"/>
        <v>0</v>
      </c>
      <c r="E60" s="9">
        <v>49</v>
      </c>
      <c r="F60" s="9" t="n">
        <v>6.0</v>
      </c>
      <c r="G60" s="8">
        <f si="1" t="shared"/>
        <v>2.5238503861491092E-5</v>
      </c>
    </row>
    <row r="61" spans="1:7" x14ac:dyDescent="0.45">
      <c r="A61">
        <v>50</v>
      </c>
      <c r="B61" s="5" t="n">
        <v>70.3129444543067</v>
      </c>
      <c r="C61" s="8">
        <f si="0" t="shared"/>
        <v>2.4515116814711725E-4</v>
      </c>
      <c r="E61" s="9">
        <v>50</v>
      </c>
      <c r="F61" s="9" t="n">
        <v>6.0</v>
      </c>
      <c r="G61" s="8">
        <f si="1" t="shared"/>
        <v>2.5238503861491092E-5</v>
      </c>
    </row>
    <row r="62" spans="1:7" x14ac:dyDescent="0.45">
      <c r="A62">
        <v>51</v>
      </c>
      <c r="B62" s="5" t="n">
        <v>0.0</v>
      </c>
      <c r="C62" s="8">
        <f si="0" t="shared"/>
        <v>0</v>
      </c>
      <c r="E62" s="9">
        <v>51</v>
      </c>
      <c r="F62" s="9" t="n">
        <v>3.0</v>
      </c>
      <c r="G62" s="8">
        <f si="1" t="shared"/>
        <v>3.3651338481988118E-5</v>
      </c>
    </row>
    <row r="63" spans="1:7" x14ac:dyDescent="0.45">
      <c r="A63">
        <v>52</v>
      </c>
      <c r="B63" s="5" t="n">
        <v>0.0</v>
      </c>
      <c r="C63" s="8">
        <f si="0" t="shared"/>
        <v>0</v>
      </c>
      <c r="E63" s="9">
        <v>52</v>
      </c>
      <c r="F63" s="9" t="n">
        <v>3.0</v>
      </c>
      <c r="G63" s="8">
        <f si="1" t="shared"/>
        <v>8.4128346204970296E-6</v>
      </c>
    </row>
    <row r="64" spans="1:7" x14ac:dyDescent="0.45">
      <c r="A64">
        <v>53</v>
      </c>
      <c r="B64" s="5" t="n">
        <v>0.0</v>
      </c>
      <c r="C64" s="8">
        <f si="0" t="shared"/>
        <v>0</v>
      </c>
      <c r="E64" s="9">
        <v>53</v>
      </c>
      <c r="F64" s="9" t="n">
        <v>3.0</v>
      </c>
      <c r="G64" s="8">
        <f si="1" t="shared"/>
        <v>2.1032086551242577E-5</v>
      </c>
    </row>
    <row r="65" spans="1:7" x14ac:dyDescent="0.45">
      <c r="A65">
        <v>54</v>
      </c>
      <c r="B65" s="5" t="n">
        <v>0.0</v>
      </c>
      <c r="C65" s="8">
        <f si="0" t="shared"/>
        <v>0</v>
      </c>
      <c r="E65" s="9">
        <v>54</v>
      </c>
      <c r="F65" s="9" t="n">
        <v>4.0</v>
      </c>
      <c r="G65" s="8">
        <f si="1" t="shared"/>
        <v>3.3651338481988118E-5</v>
      </c>
    </row>
    <row r="66" spans="1:7" x14ac:dyDescent="0.45">
      <c r="A66">
        <v>55</v>
      </c>
      <c r="B66" s="5" t="n">
        <v>0.0</v>
      </c>
      <c r="C66" s="8">
        <f si="0" t="shared"/>
        <v>0</v>
      </c>
      <c r="E66" s="9">
        <v>55</v>
      </c>
      <c r="F66" s="9" t="n">
        <v>7.0</v>
      </c>
      <c r="G66" s="8">
        <f si="1" t="shared"/>
        <v>4.2064173102485148E-6</v>
      </c>
    </row>
    <row r="67" spans="1:7" x14ac:dyDescent="0.45">
      <c r="A67">
        <v>56</v>
      </c>
      <c r="B67" s="5" t="n">
        <v>0.0</v>
      </c>
      <c r="C67" s="8">
        <f si="0" t="shared"/>
        <v>0</v>
      </c>
      <c r="E67" s="9">
        <v>56</v>
      </c>
      <c r="F67" s="9" t="n">
        <v>6.0</v>
      </c>
      <c r="G67" s="8">
        <f si="1" t="shared"/>
        <v>2.1032086551242577E-5</v>
      </c>
    </row>
    <row r="68" spans="1:7" x14ac:dyDescent="0.45">
      <c r="A68">
        <v>57</v>
      </c>
      <c r="B68" s="5" t="n">
        <v>0.0</v>
      </c>
      <c r="C68" s="8">
        <f si="0" t="shared"/>
        <v>0</v>
      </c>
      <c r="E68" s="9">
        <v>57</v>
      </c>
      <c r="F68" s="9" t="n">
        <v>6.0</v>
      </c>
      <c r="G68" s="8">
        <f si="1" t="shared"/>
        <v>8.4128346204970296E-6</v>
      </c>
    </row>
    <row r="69" spans="1:7" x14ac:dyDescent="0.45">
      <c r="A69">
        <v>58</v>
      </c>
      <c r="B69" s="5" t="n">
        <v>0.0</v>
      </c>
      <c r="C69" s="8">
        <f si="0" t="shared"/>
        <v>0</v>
      </c>
      <c r="E69" s="9">
        <v>58</v>
      </c>
      <c r="F69" s="9" t="n">
        <v>1.0</v>
      </c>
      <c r="G69" s="8">
        <f si="1" t="shared"/>
        <v>8.4128346204970296E-6</v>
      </c>
    </row>
    <row r="70" spans="1:7" x14ac:dyDescent="0.45">
      <c r="A70">
        <v>59</v>
      </c>
      <c r="B70" s="5" t="n">
        <v>0.0</v>
      </c>
      <c r="C70" s="8">
        <f si="0" t="shared"/>
        <v>0</v>
      </c>
      <c r="E70" s="9">
        <v>59</v>
      </c>
      <c r="F70" s="9" t="n">
        <v>2.0</v>
      </c>
      <c r="G70" s="8">
        <f si="1" t="shared"/>
        <v>0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0.0</v>
      </c>
      <c r="G71" s="8">
        <f si="1" t="shared"/>
        <v>0</v>
      </c>
    </row>
    <row r="72" spans="1:7" x14ac:dyDescent="0.45">
      <c r="A72">
        <v>61</v>
      </c>
      <c r="B72" s="5" t="n">
        <v>0.0</v>
      </c>
      <c r="C72" s="8">
        <f si="0" t="shared"/>
        <v>0</v>
      </c>
      <c r="E72" s="9">
        <v>61</v>
      </c>
      <c r="F72" s="9" t="n">
        <v>0.0</v>
      </c>
      <c r="G72" s="8">
        <f si="1" t="shared"/>
        <v>4.2064173102485148E-6</v>
      </c>
    </row>
    <row r="73" spans="1:7" x14ac:dyDescent="0.45">
      <c r="A73">
        <v>62</v>
      </c>
      <c r="B73" s="5" t="n">
        <v>0.0</v>
      </c>
      <c r="C73" s="8">
        <f si="0" t="shared"/>
        <v>0</v>
      </c>
      <c r="E73" s="9">
        <v>62</v>
      </c>
      <c r="F73" s="9" t="n">
        <v>0.0</v>
      </c>
      <c r="G73" s="8">
        <f si="1" t="shared"/>
        <v>0</v>
      </c>
    </row>
    <row r="74" spans="1:7" x14ac:dyDescent="0.45">
      <c r="A74">
        <v>63</v>
      </c>
      <c r="B74" s="5" t="n">
        <v>0.0</v>
      </c>
      <c r="C74" s="8">
        <f si="0" t="shared"/>
        <v>0</v>
      </c>
      <c r="E74" s="9">
        <v>63</v>
      </c>
      <c r="F74" s="9" t="n">
        <v>2.0</v>
      </c>
      <c r="G74" s="8">
        <f si="1" t="shared"/>
        <v>4.2064173102485148E-6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0.0</v>
      </c>
      <c r="G75" s="8">
        <f si="1" t="shared"/>
        <v>0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1.0</v>
      </c>
      <c r="G76" s="8">
        <f si="1" t="shared"/>
        <v>4.2064173102485148E-6</v>
      </c>
    </row>
    <row r="77" spans="1:7" x14ac:dyDescent="0.45">
      <c r="A77">
        <v>66</v>
      </c>
      <c r="B77" s="5" t="n">
        <v>0.0</v>
      </c>
      <c r="C77" s="8">
        <f ref="C77:C102" si="2" t="shared">B77/B$102</f>
        <v>0</v>
      </c>
      <c r="E77" s="9">
        <v>66</v>
      </c>
      <c r="F77" s="9" t="n">
        <v>1.0</v>
      </c>
      <c r="G77" s="8">
        <f ref="G77:G102" si="3" t="shared">F77/F$102</f>
        <v>0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1.0</v>
      </c>
      <c r="G78" s="8">
        <f si="3" t="shared"/>
        <v>0</v>
      </c>
    </row>
    <row r="79" spans="1:7" x14ac:dyDescent="0.45">
      <c r="A79">
        <v>68</v>
      </c>
      <c r="B79" s="5" t="n">
        <v>0.0</v>
      </c>
      <c r="C79" s="8">
        <f si="2" t="shared"/>
        <v>0</v>
      </c>
      <c r="E79" s="9">
        <v>68</v>
      </c>
      <c r="F79" s="9" t="n">
        <v>1.0</v>
      </c>
      <c r="G79" s="8">
        <f si="3" t="shared"/>
        <v>0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0.0</v>
      </c>
      <c r="G80" s="8">
        <f si="3" t="shared"/>
        <v>0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0.0</v>
      </c>
      <c r="G81" s="8">
        <f si="3" t="shared"/>
        <v>0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0.0</v>
      </c>
      <c r="G82" s="8">
        <f si="3" t="shared"/>
        <v>0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0.0</v>
      </c>
      <c r="G83" s="8">
        <f si="3" t="shared"/>
        <v>4.2064173102485148E-6</v>
      </c>
    </row>
    <row r="84" spans="1:7" x14ac:dyDescent="0.45">
      <c r="A84">
        <v>73</v>
      </c>
      <c r="B84" s="5" t="n">
        <v>0.0</v>
      </c>
      <c r="C84" s="8">
        <f si="2" t="shared"/>
        <v>0</v>
      </c>
      <c r="E84" s="9">
        <v>73</v>
      </c>
      <c r="F84" s="9" t="n">
        <v>0.0</v>
      </c>
      <c r="G84" s="8">
        <f si="3" t="shared"/>
        <v>4.2064173102485148E-6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0.0</v>
      </c>
      <c r="G85" s="8">
        <f si="3" t="shared"/>
        <v>0</v>
      </c>
    </row>
    <row r="86" spans="1:7" x14ac:dyDescent="0.45">
      <c r="A86">
        <v>75</v>
      </c>
      <c r="B86" s="5" t="n">
        <v>0.0</v>
      </c>
      <c r="C86" s="8">
        <f si="2" t="shared"/>
        <v>0</v>
      </c>
      <c r="E86" s="9">
        <v>75</v>
      </c>
      <c r="F86" s="9" t="n">
        <v>0.0</v>
      </c>
      <c r="G86" s="8">
        <f si="3" t="shared"/>
        <v>0</v>
      </c>
    </row>
    <row r="87" spans="1:7" x14ac:dyDescent="0.45">
      <c r="A87">
        <v>76</v>
      </c>
      <c r="B87" s="5" t="n">
        <v>0.0</v>
      </c>
      <c r="C87" s="8">
        <f si="2" t="shared"/>
        <v>0</v>
      </c>
      <c r="E87" s="9">
        <v>76</v>
      </c>
      <c r="F87" s="9" t="n">
        <v>0.0</v>
      </c>
      <c r="G87" s="8">
        <f si="3" t="shared"/>
        <v>0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0.0</v>
      </c>
      <c r="G88" s="8">
        <f si="3" t="shared"/>
        <v>0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0.0</v>
      </c>
      <c r="G89" s="8">
        <f si="3" t="shared"/>
        <v>0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0.0</v>
      </c>
      <c r="G90" s="8">
        <f si="3" t="shared"/>
        <v>0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0.0</v>
      </c>
      <c r="G91" s="8">
        <f si="3" t="shared"/>
        <v>0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0.0</v>
      </c>
      <c r="G92" s="8">
        <f si="3" t="shared"/>
        <v>0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0.0</v>
      </c>
      <c r="G93" s="8">
        <f si="3" t="shared"/>
        <v>0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0.0</v>
      </c>
      <c r="G94" s="8">
        <f si="3" t="shared"/>
        <v>0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0.0</v>
      </c>
      <c r="G95" s="8">
        <f si="3" t="shared"/>
        <v>0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0.0</v>
      </c>
      <c r="G96" s="8">
        <f si="3" t="shared"/>
        <v>0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0.0</v>
      </c>
      <c r="G97" s="8">
        <f si="3" t="shared"/>
        <v>0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0.0</v>
      </c>
      <c r="G98" s="8">
        <f si="3" t="shared"/>
        <v>0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0.0</v>
      </c>
      <c r="G99" s="8">
        <f si="3" t="shared"/>
        <v>0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0.0</v>
      </c>
      <c r="G100" s="8">
        <f si="3" t="shared"/>
        <v>0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0.0</v>
      </c>
      <c r="G101" s="8">
        <f si="3" t="shared"/>
        <v>0</v>
      </c>
    </row>
    <row r="102" spans="1:7" x14ac:dyDescent="0.45">
      <c r="B102" s="5">
        <f>SUM(B11:B101)</f>
        <v>286814.64169940777</v>
      </c>
      <c r="C102" s="8">
        <f si="2" t="shared"/>
        <v>1</v>
      </c>
      <c r="F102" s="5">
        <f>SUM(F11:F101)</f>
        <v>237732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102"/>
  <sheetViews>
    <sheetView workbookViewId="0">
      <selection activeCell="K11" sqref="K11:L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7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0.0</v>
      </c>
      <c r="C11" s="8">
        <f>B11/B$102</f>
        <v>0</v>
      </c>
      <c r="E11" s="9">
        <v>0</v>
      </c>
      <c r="F11" s="9" t="n">
        <v>217.0</v>
      </c>
      <c r="G11" s="8">
        <f>F11/F$102</f>
        <v>1.0516043275621287E-3</v>
      </c>
      <c r="K11" s="5" t="n">
        <v>12.186191166086456</v>
      </c>
      <c r="L11" s="5" t="n">
        <v>16.39610038759163</v>
      </c>
    </row>
    <row r="12" spans="1:12" x14ac:dyDescent="0.45">
      <c r="A12">
        <v>1</v>
      </c>
      <c r="B12" s="5" t="n">
        <v>0.0</v>
      </c>
      <c r="C12" s="8">
        <f>B12/B$102</f>
        <v>0</v>
      </c>
      <c r="E12" s="9">
        <v>1</v>
      </c>
      <c r="F12" s="9" t="n">
        <v>4916.0</v>
      </c>
      <c r="G12" s="8">
        <f>F12/F$102</f>
        <v>2.0607238402907475E-2</v>
      </c>
      <c r="K12" s="5"/>
      <c r="L12" s="9"/>
    </row>
    <row r="13" spans="1:12" x14ac:dyDescent="0.45">
      <c r="A13">
        <v>2</v>
      </c>
      <c r="B13" s="5" t="n">
        <v>2235.926805879769</v>
      </c>
      <c r="C13" s="8">
        <f ref="C13:C76" si="0" t="shared">B13/B$102</f>
        <v>7.7957205832716965E-3</v>
      </c>
      <c r="E13" s="9">
        <v>2</v>
      </c>
      <c r="F13" s="9" t="n">
        <v>5144.0</v>
      </c>
      <c r="G13" s="8">
        <f ref="G13:G76" si="1" t="shared">F13/F$102</f>
        <v>2.1654636313159357E-2</v>
      </c>
    </row>
    <row r="14" spans="1:12" x14ac:dyDescent="0.45">
      <c r="A14">
        <v>3</v>
      </c>
      <c r="B14" s="5" t="n">
        <v>17114.16616905829</v>
      </c>
      <c r="C14" s="8">
        <f si="0" t="shared"/>
        <v>5.9669778598662231E-2</v>
      </c>
      <c r="E14" s="9">
        <v>3</v>
      </c>
      <c r="F14" s="9" t="n">
        <v>9258.0</v>
      </c>
      <c r="G14" s="8">
        <f si="1" t="shared"/>
        <v>3.9287937677721131E-2</v>
      </c>
    </row>
    <row r="15" spans="1:12" x14ac:dyDescent="0.45">
      <c r="A15">
        <v>4</v>
      </c>
      <c r="B15" s="5" t="n">
        <v>20941.016948613524</v>
      </c>
      <c r="C15" s="8">
        <f si="0" t="shared"/>
        <v>7.3012370723250883E-2</v>
      </c>
      <c r="E15" s="9">
        <v>4</v>
      </c>
      <c r="F15" s="9" t="n">
        <v>14930.0</v>
      </c>
      <c r="G15" s="8">
        <f si="1" t="shared"/>
        <v>6.2713475678495112E-2</v>
      </c>
    </row>
    <row r="16" spans="1:12" x14ac:dyDescent="0.45">
      <c r="A16">
        <v>5</v>
      </c>
      <c r="B16" s="5" t="n">
        <v>26081.392492087878</v>
      </c>
      <c r="C16" s="8">
        <f si="0" t="shared"/>
        <v>9.0934661973854677E-2</v>
      </c>
      <c r="E16" s="9">
        <v>5</v>
      </c>
      <c r="F16" s="9" t="n">
        <v>18885.0</v>
      </c>
      <c r="G16" s="8">
        <f si="1" t="shared"/>
        <v>8.0266855114162164E-2</v>
      </c>
    </row>
    <row r="17" spans="1:7" x14ac:dyDescent="0.45">
      <c r="A17">
        <v>6</v>
      </c>
      <c r="B17" s="5" t="n">
        <v>28972.18211406349</v>
      </c>
      <c r="C17" s="8">
        <f si="0" t="shared"/>
        <v>0.10101360914631202</v>
      </c>
      <c r="E17" s="9">
        <v>6</v>
      </c>
      <c r="F17" s="9" t="n">
        <v>19391.0</v>
      </c>
      <c r="G17" s="8">
        <f si="1" t="shared"/>
        <v>8.4666767620682107E-2</v>
      </c>
    </row>
    <row r="18" spans="1:7" x14ac:dyDescent="0.45">
      <c r="A18">
        <v>7</v>
      </c>
      <c r="B18" s="5" t="n">
        <v>22518.73927646373</v>
      </c>
      <c r="C18" s="8">
        <f si="0" t="shared"/>
        <v>7.8513213771227899E-2</v>
      </c>
      <c r="E18" s="9">
        <v>7</v>
      </c>
      <c r="F18" s="9" t="n">
        <v>16115.0</v>
      </c>
      <c r="G18" s="8">
        <f si="1" t="shared"/>
        <v>7.2968721080880997E-2</v>
      </c>
    </row>
    <row r="19" spans="1:7" x14ac:dyDescent="0.45">
      <c r="A19">
        <v>8</v>
      </c>
      <c r="B19" s="5" t="n">
        <v>17012.03839631618</v>
      </c>
      <c r="C19" s="8">
        <f si="0" t="shared"/>
        <v>5.9313702729811908E-2</v>
      </c>
      <c r="E19" s="9">
        <v>8</v>
      </c>
      <c r="F19" s="9" t="n">
        <v>14274.0</v>
      </c>
      <c r="G19" s="8">
        <f si="1" t="shared"/>
        <v>6.187219221644541E-2</v>
      </c>
    </row>
    <row r="20" spans="1:7" x14ac:dyDescent="0.45">
      <c r="A20">
        <v>9</v>
      </c>
      <c r="B20" s="5" t="n">
        <v>18316.85933479795</v>
      </c>
      <c r="C20" s="8">
        <f si="0" t="shared"/>
        <v>6.3863055338697447E-2</v>
      </c>
      <c r="E20" s="9">
        <v>9</v>
      </c>
      <c r="F20" s="9" t="n">
        <v>11520.0</v>
      </c>
      <c r="G20" s="8">
        <f si="1" t="shared"/>
        <v>5.408190735786516E-2</v>
      </c>
    </row>
    <row r="21" spans="1:7" x14ac:dyDescent="0.45">
      <c r="A21">
        <v>10</v>
      </c>
      <c r="B21" s="5" t="n">
        <v>18399.551893517702</v>
      </c>
      <c r="C21" s="8">
        <f si="0" t="shared"/>
        <v>6.4151368927675298E-2</v>
      </c>
      <c r="E21" s="9">
        <v>10</v>
      </c>
      <c r="F21" s="9" t="n">
        <v>9664.0</v>
      </c>
      <c r="G21" s="8">
        <f si="1" t="shared"/>
        <v>4.1912742079316202E-2</v>
      </c>
    </row>
    <row r="22" spans="1:7" x14ac:dyDescent="0.45">
      <c r="A22">
        <v>11</v>
      </c>
      <c r="B22" s="5" t="n">
        <v>16893.01802387747</v>
      </c>
      <c r="C22" s="8">
        <f si="0" t="shared"/>
        <v>5.8898729589900008E-2</v>
      </c>
      <c r="E22" s="9">
        <v>11</v>
      </c>
      <c r="F22" s="9" t="n">
        <v>8110.0</v>
      </c>
      <c r="G22" s="8">
        <f si="1" t="shared"/>
        <v>3.5712482964009896E-2</v>
      </c>
    </row>
    <row r="23" spans="1:7" x14ac:dyDescent="0.45">
      <c r="A23">
        <v>12</v>
      </c>
      <c r="B23" s="5" t="n">
        <v>12533.96865341133</v>
      </c>
      <c r="C23" s="8">
        <f si="0" t="shared"/>
        <v>4.3700588572278647E-2</v>
      </c>
      <c r="E23" s="9">
        <v>12</v>
      </c>
      <c r="F23" s="9" t="n">
        <v>7073.0</v>
      </c>
      <c r="G23" s="8">
        <f si="1" t="shared"/>
        <v>2.8595224875069405E-2</v>
      </c>
    </row>
    <row r="24" spans="1:7" x14ac:dyDescent="0.45">
      <c r="A24">
        <v>13</v>
      </c>
      <c r="B24" s="5" t="n">
        <v>11020.821375049245</v>
      </c>
      <c r="C24" s="8">
        <f si="0" t="shared"/>
        <v>3.8424891106498923E-2</v>
      </c>
      <c r="E24" s="9">
        <v>13</v>
      </c>
      <c r="F24" s="9" t="n">
        <v>5874.0</v>
      </c>
      <c r="G24" s="8">
        <f si="1" t="shared"/>
        <v>2.7652987397573738E-2</v>
      </c>
    </row>
    <row r="25" spans="1:7" x14ac:dyDescent="0.45">
      <c r="A25">
        <v>14</v>
      </c>
      <c r="B25" s="5" t="n">
        <v>10743.850886719069</v>
      </c>
      <c r="C25" s="8">
        <f si="0" t="shared"/>
        <v>3.7459213459468434E-2</v>
      </c>
      <c r="E25" s="9">
        <v>14</v>
      </c>
      <c r="F25" s="9" t="n">
        <v>5697.0</v>
      </c>
      <c r="G25" s="8">
        <f si="1" t="shared"/>
        <v>2.4796830043914996E-2</v>
      </c>
    </row>
    <row r="26" spans="1:7" x14ac:dyDescent="0.45">
      <c r="A26">
        <v>15</v>
      </c>
      <c r="B26" s="5" t="n">
        <v>9871.505264075871</v>
      </c>
      <c r="C26" s="8">
        <f si="0" t="shared"/>
        <v>3.4417717329862027E-2</v>
      </c>
      <c r="E26" s="9">
        <v>15</v>
      </c>
      <c r="F26" s="9" t="n">
        <v>5195.0</v>
      </c>
      <c r="G26" s="8">
        <f si="1" t="shared"/>
        <v>2.2108929382666197E-2</v>
      </c>
    </row>
    <row r="27" spans="1:7" x14ac:dyDescent="0.45">
      <c r="A27">
        <v>16</v>
      </c>
      <c r="B27" s="5" t="n">
        <v>4097.1261092719715</v>
      </c>
      <c r="C27" s="8">
        <f si="0" t="shared"/>
        <v>1.4284926616702892E-2</v>
      </c>
      <c r="E27" s="9">
        <v>16</v>
      </c>
      <c r="F27" s="9" t="n">
        <v>4840.0</v>
      </c>
      <c r="G27" s="8">
        <f si="1" t="shared"/>
        <v>1.9673413760032305E-2</v>
      </c>
    </row>
    <row r="28" spans="1:7" x14ac:dyDescent="0.45">
      <c r="A28">
        <v>17</v>
      </c>
      <c r="B28" s="5" t="n">
        <v>7850.7123339439095</v>
      </c>
      <c r="C28" s="8">
        <f si="0" t="shared"/>
        <v>2.7372076569827791E-2</v>
      </c>
      <c r="E28" s="9">
        <v>17</v>
      </c>
      <c r="F28" s="9" t="n">
        <v>4635.0</v>
      </c>
      <c r="G28" s="8">
        <f si="1" t="shared"/>
        <v>1.8928877896118319E-2</v>
      </c>
    </row>
    <row r="29" spans="1:7" x14ac:dyDescent="0.45">
      <c r="A29">
        <v>18</v>
      </c>
      <c r="B29" s="5" t="n">
        <v>3226.2820642386127</v>
      </c>
      <c r="C29" s="8">
        <f si="0" t="shared"/>
        <v>1.1248665846075862E-2</v>
      </c>
      <c r="E29" s="9">
        <v>18</v>
      </c>
      <c r="F29" s="9" t="n">
        <v>3994.0</v>
      </c>
      <c r="G29" s="8">
        <f si="1" t="shared"/>
        <v>1.6951861760301515E-2</v>
      </c>
    </row>
    <row r="30" spans="1:7" x14ac:dyDescent="0.45">
      <c r="A30">
        <v>19</v>
      </c>
      <c r="B30" s="5" t="n">
        <v>2088.8575893949105</v>
      </c>
      <c r="C30" s="8">
        <f si="0" t="shared"/>
        <v>7.2829531191929541E-3</v>
      </c>
      <c r="E30" s="9">
        <v>19</v>
      </c>
      <c r="F30" s="9" t="n">
        <v>3789.0</v>
      </c>
      <c r="G30" s="8">
        <f si="1" t="shared"/>
        <v>1.5429138693991554E-2</v>
      </c>
    </row>
    <row r="31" spans="1:7" x14ac:dyDescent="0.45">
      <c r="A31">
        <v>20</v>
      </c>
      <c r="B31" s="5" t="n">
        <v>2180.9688309794683</v>
      </c>
      <c r="C31" s="8">
        <f si="0" t="shared"/>
        <v>7.6041056274428424E-3</v>
      </c>
      <c r="E31" s="9">
        <v>20</v>
      </c>
      <c r="F31" s="9" t="n">
        <v>3665.0</v>
      </c>
      <c r="G31" s="8">
        <f si="1" t="shared"/>
        <v>1.4659364326216076E-2</v>
      </c>
    </row>
    <row r="32" spans="1:7" x14ac:dyDescent="0.45">
      <c r="A32">
        <v>21</v>
      </c>
      <c r="B32" s="5" t="n">
        <v>1694.2024293288457</v>
      </c>
      <c r="C32" s="8">
        <f si="0" t="shared"/>
        <v>5.9069593493920455E-3</v>
      </c>
      <c r="E32" s="9">
        <v>21</v>
      </c>
      <c r="F32" s="9" t="n">
        <v>3274.0</v>
      </c>
      <c r="G32" s="8">
        <f si="1" t="shared"/>
        <v>1.4019988895058301E-2</v>
      </c>
    </row>
    <row r="33" spans="1:7" x14ac:dyDescent="0.45">
      <c r="A33">
        <v>22</v>
      </c>
      <c r="B33" s="5" t="n">
        <v>1870.5308990896308</v>
      </c>
      <c r="C33" s="8">
        <f si="0" t="shared"/>
        <v>6.5217413169932105E-3</v>
      </c>
      <c r="E33" s="9">
        <v>22</v>
      </c>
      <c r="F33" s="9" t="n">
        <v>3014.0</v>
      </c>
      <c r="G33" s="8">
        <f si="1" t="shared"/>
        <v>1.3119815590665119E-2</v>
      </c>
    </row>
    <row r="34" spans="1:7" x14ac:dyDescent="0.45">
      <c r="A34">
        <v>23</v>
      </c>
      <c r="B34" s="5" t="n">
        <v>2593.8039019406265</v>
      </c>
      <c r="C34" s="8">
        <f si="0" t="shared"/>
        <v>9.0434849719388758E-3</v>
      </c>
      <c r="E34" s="9">
        <v>23</v>
      </c>
      <c r="F34" s="9" t="n">
        <v>2865.0</v>
      </c>
      <c r="G34" s="8">
        <f si="1" t="shared"/>
        <v>1.2493059411438089E-2</v>
      </c>
    </row>
    <row r="35" spans="1:7" x14ac:dyDescent="0.45">
      <c r="A35">
        <v>24</v>
      </c>
      <c r="B35" s="5" t="n">
        <v>2188.814589290076</v>
      </c>
      <c r="C35" s="8">
        <f si="0" t="shared"/>
        <v>7.6314604314518739E-3</v>
      </c>
      <c r="E35" s="9">
        <v>24</v>
      </c>
      <c r="F35" s="9" t="n">
        <v>2758.0</v>
      </c>
      <c r="G35" s="8">
        <f si="1" t="shared"/>
        <v>1.2110275436205475E-2</v>
      </c>
    </row>
    <row r="36" spans="1:7" x14ac:dyDescent="0.45">
      <c r="A36">
        <v>25</v>
      </c>
      <c r="B36" s="5" t="n">
        <v>2855.8494876835525</v>
      </c>
      <c r="C36" s="8">
        <f si="0" t="shared"/>
        <v>9.9571258662470522E-3</v>
      </c>
      <c r="E36" s="9">
        <v>25</v>
      </c>
      <c r="F36" s="9" t="n">
        <v>2493.0</v>
      </c>
      <c r="G36" s="8">
        <f si="1" t="shared"/>
        <v>1.1491932091598944E-2</v>
      </c>
    </row>
    <row r="37" spans="1:7" x14ac:dyDescent="0.45">
      <c r="A37">
        <v>26</v>
      </c>
      <c r="B37" s="5" t="n">
        <v>2262.9382398744456</v>
      </c>
      <c r="C37" s="8">
        <f si="0" t="shared"/>
        <v>7.889897902235021E-3</v>
      </c>
      <c r="E37" s="9">
        <v>26</v>
      </c>
      <c r="F37" s="9" t="n">
        <v>2367.0</v>
      </c>
      <c r="G37" s="8">
        <f si="1" t="shared"/>
        <v>1.1239547052984033E-2</v>
      </c>
    </row>
    <row r="38" spans="1:7" x14ac:dyDescent="0.45">
      <c r="A38">
        <v>27</v>
      </c>
      <c r="B38" s="5" t="n">
        <v>2035.6297592623812</v>
      </c>
      <c r="C38" s="8">
        <f si="0" t="shared"/>
        <v>7.0973704382769846E-3</v>
      </c>
      <c r="E38" s="9">
        <v>27</v>
      </c>
      <c r="F38" s="9" t="n">
        <v>2385.0</v>
      </c>
      <c r="G38" s="8">
        <f si="1" t="shared"/>
        <v>1.0103814379216933E-2</v>
      </c>
    </row>
    <row r="39" spans="1:7" x14ac:dyDescent="0.45">
      <c r="A39">
        <v>28</v>
      </c>
      <c r="B39" s="5" t="n">
        <v>2734.1761497278108</v>
      </c>
      <c r="C39" s="8">
        <f si="0" t="shared"/>
        <v>9.532902970111716E-3</v>
      </c>
      <c r="E39" s="9">
        <v>28</v>
      </c>
      <c r="F39" s="9" t="n">
        <v>2199.0</v>
      </c>
      <c r="G39" s="8">
        <f si="1" t="shared"/>
        <v>9.2330859959954912E-3</v>
      </c>
    </row>
    <row r="40" spans="1:7" x14ac:dyDescent="0.45">
      <c r="A40">
        <v>29</v>
      </c>
      <c r="B40" s="5" t="n">
        <v>730.0123503136174</v>
      </c>
      <c r="C40" s="8">
        <f si="0" t="shared"/>
        <v>2.5452408774817616E-3</v>
      </c>
      <c r="E40" s="9">
        <v>29</v>
      </c>
      <c r="F40" s="9" t="n">
        <v>2015.0</v>
      </c>
      <c r="G40" s="8">
        <f si="1" t="shared"/>
        <v>9.1279255632392784E-3</v>
      </c>
    </row>
    <row r="41" spans="1:7" x14ac:dyDescent="0.45">
      <c r="A41">
        <v>30</v>
      </c>
      <c r="B41" s="5" t="n">
        <v>1360.041347984455</v>
      </c>
      <c r="C41" s="8">
        <f si="0" t="shared"/>
        <v>4.7418825619433627E-3</v>
      </c>
      <c r="E41" s="9">
        <v>30</v>
      </c>
      <c r="F41" s="9" t="n">
        <v>1960.0</v>
      </c>
      <c r="G41" s="8">
        <f si="1" t="shared"/>
        <v>8.6231554860094553E-3</v>
      </c>
    </row>
    <row r="42" spans="1:7" x14ac:dyDescent="0.45">
      <c r="A42">
        <v>31</v>
      </c>
      <c r="B42" s="5" t="n">
        <v>448.56262641735657</v>
      </c>
      <c r="C42" s="8">
        <f si="0" t="shared"/>
        <v>1.563946051566875E-3</v>
      </c>
      <c r="E42" s="9">
        <v>31</v>
      </c>
      <c r="F42" s="9" t="n">
        <v>1915.0</v>
      </c>
      <c r="G42" s="8">
        <f si="1" t="shared"/>
        <v>8.2866421011895744E-3</v>
      </c>
    </row>
    <row r="43" spans="1:7" x14ac:dyDescent="0.45">
      <c r="A43">
        <v>32</v>
      </c>
      <c r="B43" s="5" t="n">
        <v>1275.0488524623331</v>
      </c>
      <c r="C43" s="8">
        <f si="0" t="shared"/>
        <v>4.4455500768982061E-3</v>
      </c>
      <c r="E43" s="9">
        <v>32</v>
      </c>
      <c r="F43" s="9" t="n">
        <v>1773.0</v>
      </c>
      <c r="G43" s="8">
        <f si="1" t="shared"/>
        <v>7.4916292295526057E-3</v>
      </c>
    </row>
    <row r="44" spans="1:7" x14ac:dyDescent="0.45">
      <c r="A44">
        <v>33</v>
      </c>
      <c r="B44" s="5" t="n">
        <v>1976.385183722286</v>
      </c>
      <c r="C44" s="8">
        <f si="0" t="shared"/>
        <v>6.8908099391718318E-3</v>
      </c>
      <c r="E44" s="9">
        <v>33</v>
      </c>
      <c r="F44" s="9" t="n">
        <v>1717.0</v>
      </c>
      <c r="G44" s="8">
        <f si="1" t="shared"/>
        <v>7.1256709235609844E-3</v>
      </c>
    </row>
    <row r="45" spans="1:7" x14ac:dyDescent="0.45">
      <c r="A45">
        <v>34</v>
      </c>
      <c r="B45" s="5" t="n">
        <v>823.2638776433029</v>
      </c>
      <c r="C45" s="8">
        <f si="0" t="shared"/>
        <v>2.8703690744843976E-3</v>
      </c>
      <c r="E45" s="9">
        <v>34</v>
      </c>
      <c r="F45" s="9" t="n">
        <v>1841.0</v>
      </c>
      <c r="G45" s="8">
        <f si="1" t="shared"/>
        <v>6.5157404135749502E-3</v>
      </c>
    </row>
    <row r="46" spans="1:7" x14ac:dyDescent="0.45">
      <c r="A46">
        <v>35</v>
      </c>
      <c r="B46" s="5" t="n">
        <v>55.5519965110405</v>
      </c>
      <c r="C46" s="8">
        <f si="0" t="shared"/>
        <v>1.9368605515356166E-4</v>
      </c>
      <c r="E46" s="9">
        <v>35</v>
      </c>
      <c r="F46" s="9" t="n">
        <v>1517.0</v>
      </c>
      <c r="G46" s="8">
        <f si="1" t="shared"/>
        <v>6.1624013595140744E-3</v>
      </c>
    </row>
    <row r="47" spans="1:7" x14ac:dyDescent="0.45">
      <c r="A47">
        <v>36</v>
      </c>
      <c r="B47" s="5" t="n">
        <v>0.0</v>
      </c>
      <c r="C47" s="8">
        <f si="0" t="shared"/>
        <v>0</v>
      </c>
      <c r="E47" s="9">
        <v>36</v>
      </c>
      <c r="F47" s="9" t="n">
        <v>1427.0</v>
      </c>
      <c r="G47" s="8">
        <f si="1" t="shared"/>
        <v>5.9058099035889152E-3</v>
      </c>
    </row>
    <row r="48" spans="1:7" x14ac:dyDescent="0.45">
      <c r="A48">
        <v>37</v>
      </c>
      <c r="B48" s="5" t="n">
        <v>177.50467321481528</v>
      </c>
      <c r="C48" s="8">
        <f si="0" t="shared"/>
        <v>6.1888288604473245E-4</v>
      </c>
      <c r="E48" s="9">
        <v>37</v>
      </c>
      <c r="F48" s="9" t="n">
        <v>1509.0</v>
      </c>
      <c r="G48" s="8">
        <f si="1" t="shared"/>
        <v>5.6029478572510224E-3</v>
      </c>
    </row>
    <row r="49" spans="1:7" x14ac:dyDescent="0.45">
      <c r="A49">
        <v>38</v>
      </c>
      <c r="B49" s="5" t="n">
        <v>300.2050920484719</v>
      </c>
      <c r="C49" s="8">
        <f si="0" t="shared"/>
        <v>1.046686773972641E-3</v>
      </c>
      <c r="E49" s="9">
        <v>38</v>
      </c>
      <c r="F49" s="9" t="n">
        <v>1314.0</v>
      </c>
      <c r="G49" s="8">
        <f si="1" t="shared"/>
        <v>5.220163882018407E-3</v>
      </c>
    </row>
    <row r="50" spans="1:7" x14ac:dyDescent="0.45">
      <c r="A50">
        <v>39</v>
      </c>
      <c r="B50" s="5" t="n">
        <v>852.6631371928758</v>
      </c>
      <c r="C50" s="8">
        <f si="0" t="shared"/>
        <v>2.9728717200096719E-3</v>
      </c>
      <c r="E50" s="9">
        <v>39</v>
      </c>
      <c r="F50" s="9" t="n">
        <v>1218.0</v>
      </c>
      <c r="G50" s="8">
        <f si="1" t="shared"/>
        <v>5.236989551259401E-3</v>
      </c>
    </row>
    <row r="51" spans="1:7" x14ac:dyDescent="0.45">
      <c r="A51">
        <v>40</v>
      </c>
      <c r="B51" s="5" t="n">
        <v>905.6065340606465</v>
      </c>
      <c r="C51" s="8">
        <f si="0" t="shared"/>
        <v>3.1574627037686438E-3</v>
      </c>
      <c r="E51" s="9">
        <v>40</v>
      </c>
      <c r="F51" s="9" t="n">
        <v>1074.0</v>
      </c>
      <c r="G51" s="8">
        <f si="1" t="shared"/>
        <v>4.3620547507277098E-3</v>
      </c>
    </row>
    <row r="52" spans="1:7" x14ac:dyDescent="0.45">
      <c r="A52">
        <v>41</v>
      </c>
      <c r="B52" s="5" t="n">
        <v>885.7458734657278</v>
      </c>
      <c r="C52" s="8">
        <f si="0" t="shared"/>
        <v>3.088217073638877E-3</v>
      </c>
      <c r="E52" s="9">
        <v>41</v>
      </c>
      <c r="F52" s="9" t="n">
        <v>1133.0</v>
      </c>
      <c r="G52" s="8">
        <f si="1" t="shared"/>
        <v>4.1012568774923021E-3</v>
      </c>
    </row>
    <row r="53" spans="1:7" x14ac:dyDescent="0.45">
      <c r="A53">
        <v>42</v>
      </c>
      <c r="B53" s="5" t="n">
        <v>131.841936114532</v>
      </c>
      <c r="C53" s="8">
        <f si="0" t="shared"/>
        <v>4.5967644933799163E-4</v>
      </c>
      <c r="E53" s="9">
        <v>42</v>
      </c>
      <c r="F53" s="9" t="n">
        <v>1114.0</v>
      </c>
      <c r="G53" s="8">
        <f si="1" t="shared"/>
        <v>3.9372066023926101E-3</v>
      </c>
    </row>
    <row r="54" spans="1:7" x14ac:dyDescent="0.45">
      <c r="A54">
        <v>43</v>
      </c>
      <c r="B54" s="5" t="n">
        <v>970.246500950162</v>
      </c>
      <c r="C54" s="8">
        <f si="0" t="shared"/>
        <v>3.3828346251828251E-3</v>
      </c>
      <c r="E54" s="9">
        <v>43</v>
      </c>
      <c r="F54" s="9" t="n">
        <v>948.0</v>
      </c>
      <c r="G54" s="8">
        <f si="1" t="shared"/>
        <v>3.5123584540575101E-3</v>
      </c>
    </row>
    <row r="55" spans="1:7" x14ac:dyDescent="0.45">
      <c r="A55">
        <v>44</v>
      </c>
      <c r="B55" s="5" t="n">
        <v>138.422331201245</v>
      </c>
      <c r="C55" s="8">
        <f si="0" t="shared"/>
        <v>4.8261947291490336E-4</v>
      </c>
      <c r="E55" s="9">
        <v>44</v>
      </c>
      <c r="F55" s="9" t="n">
        <v>977.0</v>
      </c>
      <c r="G55" s="8">
        <f si="1" t="shared"/>
        <v>3.4997392021267645E-3</v>
      </c>
    </row>
    <row r="56" spans="1:7" x14ac:dyDescent="0.45">
      <c r="A56">
        <v>45</v>
      </c>
      <c r="B56" s="5" t="n">
        <v>0.0</v>
      </c>
      <c r="C56" s="8">
        <f si="0" t="shared"/>
        <v>0</v>
      </c>
      <c r="E56" s="9">
        <v>45</v>
      </c>
      <c r="F56" s="9" t="n">
        <v>804.0</v>
      </c>
      <c r="G56" s="8">
        <f si="1" t="shared"/>
        <v>3.2810055019938419E-3</v>
      </c>
    </row>
    <row r="57" spans="1:7" x14ac:dyDescent="0.45">
      <c r="A57">
        <v>46</v>
      </c>
      <c r="B57" s="5" t="n">
        <v>0.0</v>
      </c>
      <c r="C57" s="8">
        <f si="0" t="shared"/>
        <v>0</v>
      </c>
      <c r="E57" s="9">
        <v>46</v>
      </c>
      <c r="F57" s="9" t="n">
        <v>802.0</v>
      </c>
      <c r="G57" s="8">
        <f si="1" t="shared"/>
        <v>2.9823498729661972E-3</v>
      </c>
    </row>
    <row r="58" spans="1:7" x14ac:dyDescent="0.45">
      <c r="A58">
        <v>47</v>
      </c>
      <c r="B58" s="5" t="n">
        <v>40.483411991411</v>
      </c>
      <c r="C58" s="8">
        <f si="0" t="shared"/>
        <v>1.4114834497828431E-4</v>
      </c>
      <c r="E58" s="9">
        <v>47</v>
      </c>
      <c r="F58" s="9" t="n">
        <v>815.0</v>
      </c>
      <c r="G58" s="8">
        <f si="1" t="shared"/>
        <v>2.7678225901435231E-3</v>
      </c>
    </row>
    <row r="59" spans="1:7" x14ac:dyDescent="0.45">
      <c r="A59">
        <v>48</v>
      </c>
      <c r="B59" s="5" t="n">
        <v>561.4766215667651</v>
      </c>
      <c r="C59" s="8">
        <f si="0" t="shared"/>
        <v>1.9576288652488434E-3</v>
      </c>
      <c r="E59" s="9">
        <v>48</v>
      </c>
      <c r="F59" s="9" t="n">
        <v>752.0</v>
      </c>
      <c r="G59" s="8">
        <f si="1" t="shared"/>
        <v>2.4439284572543873E-3</v>
      </c>
    </row>
    <row r="60" spans="1:7" x14ac:dyDescent="0.45">
      <c r="A60">
        <v>49</v>
      </c>
      <c r="B60" s="5" t="n">
        <v>71.4613393549774</v>
      </c>
      <c r="C60" s="8">
        <f si="0" t="shared"/>
        <v>2.4915513005738222E-4</v>
      </c>
      <c r="E60" s="9">
        <v>49</v>
      </c>
      <c r="F60" s="9" t="n">
        <v>725.0</v>
      </c>
      <c r="G60" s="8">
        <f si="1" t="shared"/>
        <v>2.4060707014621507E-3</v>
      </c>
    </row>
    <row r="61" spans="1:7" x14ac:dyDescent="0.45">
      <c r="A61">
        <v>50</v>
      </c>
      <c r="B61" s="5" t="n">
        <v>149.807495113759</v>
      </c>
      <c r="C61" s="8">
        <f si="0" t="shared"/>
        <v>5.2231467063931412E-4</v>
      </c>
      <c r="E61" s="9">
        <v>50</v>
      </c>
      <c r="F61" s="9" t="n">
        <v>689.0</v>
      </c>
      <c r="G61" s="8">
        <f si="1" t="shared"/>
        <v>2.2041626705702221E-3</v>
      </c>
    </row>
    <row r="62" spans="1:7" x14ac:dyDescent="0.45">
      <c r="A62">
        <v>51</v>
      </c>
      <c r="B62" s="5" t="n">
        <v>1137.643812734884</v>
      </c>
      <c r="C62" s="8">
        <f si="0" t="shared"/>
        <v>3.9664774643101263E-3</v>
      </c>
      <c r="E62" s="9">
        <v>51</v>
      </c>
      <c r="F62" s="9" t="n">
        <v>591.0</v>
      </c>
      <c r="G62" s="8">
        <f si="1" t="shared"/>
        <v>1.8718557030605893E-3</v>
      </c>
    </row>
    <row r="63" spans="1:7" x14ac:dyDescent="0.45">
      <c r="A63">
        <v>52</v>
      </c>
      <c r="B63" s="5" t="n">
        <v>0.0</v>
      </c>
      <c r="C63" s="8">
        <f si="0" t="shared"/>
        <v>0</v>
      </c>
      <c r="E63" s="9">
        <v>52</v>
      </c>
      <c r="F63" s="9" t="n">
        <v>569.0</v>
      </c>
      <c r="G63" s="8">
        <f si="1" t="shared"/>
        <v>1.7162182625813942E-3</v>
      </c>
    </row>
    <row r="64" spans="1:7" x14ac:dyDescent="0.45">
      <c r="A64">
        <v>53</v>
      </c>
      <c r="B64" s="5" t="n">
        <v>0.0</v>
      </c>
      <c r="C64" s="8">
        <f si="0" t="shared"/>
        <v>0</v>
      </c>
      <c r="E64" s="9">
        <v>53</v>
      </c>
      <c r="F64" s="9" t="n">
        <v>621.0</v>
      </c>
      <c r="G64" s="8">
        <f si="1" t="shared"/>
        <v>1.9938418050577961E-3</v>
      </c>
    </row>
    <row r="65" spans="1:7" x14ac:dyDescent="0.45">
      <c r="A65">
        <v>54</v>
      </c>
      <c r="B65" s="5" t="n">
        <v>564.2867633957301</v>
      </c>
      <c r="C65" s="8">
        <f si="0" t="shared"/>
        <v>1.9674266280559115E-3</v>
      </c>
      <c r="E65" s="9">
        <v>54</v>
      </c>
      <c r="F65" s="9" t="n">
        <v>527.0</v>
      </c>
      <c r="G65" s="8">
        <f si="1" t="shared"/>
        <v>1.640502750996921E-3</v>
      </c>
    </row>
    <row r="66" spans="1:7" x14ac:dyDescent="0.45">
      <c r="A66">
        <v>55</v>
      </c>
      <c r="B66" s="5" t="n">
        <v>1151.813001195812</v>
      </c>
      <c r="C66" s="8">
        <f si="0" t="shared"/>
        <v>4.0158793650533174E-3</v>
      </c>
      <c r="E66" s="9">
        <v>55</v>
      </c>
      <c r="F66" s="9" t="n">
        <v>505.0</v>
      </c>
      <c r="G66" s="8">
        <f si="1" t="shared"/>
        <v>1.560580822102199E-3</v>
      </c>
    </row>
    <row r="67" spans="1:7" x14ac:dyDescent="0.45">
      <c r="A67">
        <v>56</v>
      </c>
      <c r="B67" s="5" t="n">
        <v>0.0</v>
      </c>
      <c r="C67" s="8">
        <f si="0" t="shared"/>
        <v>0</v>
      </c>
      <c r="E67" s="9">
        <v>56</v>
      </c>
      <c r="F67" s="9" t="n">
        <v>472.0</v>
      </c>
      <c r="G67" s="8">
        <f si="1" t="shared"/>
        <v>1.4680396412767318E-3</v>
      </c>
    </row>
    <row r="68" spans="1:7" x14ac:dyDescent="0.45">
      <c r="A68">
        <v>57</v>
      </c>
      <c r="B68" s="5" t="n">
        <v>0.0</v>
      </c>
      <c r="C68" s="8">
        <f si="0" t="shared"/>
        <v>0</v>
      </c>
      <c r="E68" s="9">
        <v>57</v>
      </c>
      <c r="F68" s="9" t="n">
        <v>390.0</v>
      </c>
      <c r="G68" s="8">
        <f si="1" t="shared"/>
        <v>1.2366866892130634E-3</v>
      </c>
    </row>
    <row r="69" spans="1:7" x14ac:dyDescent="0.45">
      <c r="A69">
        <v>58</v>
      </c>
      <c r="B69" s="5" t="n">
        <v>41.7997242731165</v>
      </c>
      <c r="C69" s="8">
        <f si="0" t="shared"/>
        <v>1.4573776298674513E-4</v>
      </c>
      <c r="E69" s="9">
        <v>58</v>
      </c>
      <c r="F69" s="9" t="n">
        <v>407.0</v>
      </c>
      <c r="G69" s="8">
        <f si="1" t="shared"/>
        <v>1.0389850756313832E-3</v>
      </c>
    </row>
    <row r="70" spans="1:7" x14ac:dyDescent="0.45">
      <c r="A70">
        <v>59</v>
      </c>
      <c r="B70" s="5" t="n">
        <v>752.66368371701</v>
      </c>
      <c r="C70" s="8">
        <f si="0" t="shared"/>
        <v>2.6242163902700246E-3</v>
      </c>
      <c r="E70" s="9">
        <v>59</v>
      </c>
      <c r="F70" s="9" t="n">
        <v>378.0</v>
      </c>
      <c r="G70" s="8">
        <f si="1" t="shared"/>
        <v>1.0137465717698921E-3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335.0</v>
      </c>
      <c r="G71" s="8">
        <f si="1" t="shared"/>
        <v>1.0389850756313832E-3</v>
      </c>
    </row>
    <row r="72" spans="1:7" x14ac:dyDescent="0.45">
      <c r="A72">
        <v>61</v>
      </c>
      <c r="B72" s="5" t="n">
        <v>75.9799478739255</v>
      </c>
      <c r="C72" s="8">
        <f si="0" t="shared"/>
        <v>2.649095855906662E-4</v>
      </c>
      <c r="E72" s="9">
        <v>61</v>
      </c>
      <c r="F72" s="9" t="n">
        <v>398.0</v>
      </c>
      <c r="G72" s="8">
        <f si="1" t="shared"/>
        <v>9.2961822556492189E-4</v>
      </c>
    </row>
    <row r="73" spans="1:7" x14ac:dyDescent="0.45">
      <c r="A73">
        <v>62</v>
      </c>
      <c r="B73" s="5" t="n">
        <v>0.0</v>
      </c>
      <c r="C73" s="8">
        <f si="0" t="shared"/>
        <v>0</v>
      </c>
      <c r="E73" s="9">
        <v>62</v>
      </c>
      <c r="F73" s="9" t="n">
        <v>309.0</v>
      </c>
      <c r="G73" s="8">
        <f si="1" t="shared"/>
        <v>8.7914121784193964E-4</v>
      </c>
    </row>
    <row r="74" spans="1:7" x14ac:dyDescent="0.45">
      <c r="A74">
        <v>63</v>
      </c>
      <c r="B74" s="5" t="n">
        <v>42.2080912545708</v>
      </c>
      <c r="C74" s="8">
        <f si="0" t="shared"/>
        <v>1.4716156401389872E-4</v>
      </c>
      <c r="E74" s="9">
        <v>63</v>
      </c>
      <c r="F74" s="9" t="n">
        <v>339.0</v>
      </c>
      <c r="G74" s="8">
        <f si="1" t="shared"/>
        <v>7.1509094274224759E-4</v>
      </c>
    </row>
    <row r="75" spans="1:7" x14ac:dyDescent="0.45">
      <c r="A75">
        <v>64</v>
      </c>
      <c r="B75" s="5" t="n">
        <v>66.0591632064104</v>
      </c>
      <c r="C75" s="8">
        <f si="0" t="shared"/>
        <v>2.3032005205523242E-4</v>
      </c>
      <c r="E75" s="9">
        <v>64</v>
      </c>
      <c r="F75" s="9" t="n">
        <v>325.0</v>
      </c>
      <c r="G75" s="8">
        <f si="1" t="shared"/>
        <v>7.1509094274224759E-4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250.0</v>
      </c>
      <c r="G76" s="8">
        <f si="1" t="shared"/>
        <v>6.3096259653727725E-4</v>
      </c>
    </row>
    <row r="77" spans="1:7" x14ac:dyDescent="0.45">
      <c r="A77">
        <v>66</v>
      </c>
      <c r="B77" s="5" t="n">
        <v>69.3241415826164</v>
      </c>
      <c r="C77" s="8">
        <f ref="C77:C102" si="2" t="shared">B77/B$102</f>
        <v>2.4170363539275191E-4</v>
      </c>
      <c r="E77" s="9">
        <v>66</v>
      </c>
      <c r="F77" s="9" t="n">
        <v>237.0</v>
      </c>
      <c r="G77" s="8">
        <f ref="G77:G102" si="3" t="shared">F77/F$102</f>
        <v>5.8048558881429512E-4</v>
      </c>
    </row>
    <row r="78" spans="1:7" x14ac:dyDescent="0.45">
      <c r="A78">
        <v>67</v>
      </c>
      <c r="B78" s="5" t="n">
        <v>41.7997242731165</v>
      </c>
      <c r="C78" s="8">
        <f si="2" t="shared"/>
        <v>1.4573776298674513E-4</v>
      </c>
      <c r="E78" s="9">
        <v>67</v>
      </c>
      <c r="F78" s="9" t="n">
        <v>241.0</v>
      </c>
      <c r="G78" s="8">
        <f si="3" t="shared"/>
        <v>6.2254976191678023E-4</v>
      </c>
    </row>
    <row r="79" spans="1:7" x14ac:dyDescent="0.45">
      <c r="A79">
        <v>68</v>
      </c>
      <c r="B79" s="5" t="n">
        <v>0.0</v>
      </c>
      <c r="C79" s="8">
        <f si="2" t="shared"/>
        <v>0</v>
      </c>
      <c r="E79" s="9">
        <v>68</v>
      </c>
      <c r="F79" s="9" t="n">
        <v>184.0</v>
      </c>
      <c r="G79" s="8">
        <f si="3" t="shared"/>
        <v>5.9310484074504065E-4</v>
      </c>
    </row>
    <row r="80" spans="1:7" x14ac:dyDescent="0.45">
      <c r="A80">
        <v>69</v>
      </c>
      <c r="B80" s="5" t="n">
        <v>37.6767367422863</v>
      </c>
      <c r="C80" s="8">
        <f si="2" t="shared"/>
        <v>1.3136266865264469E-4</v>
      </c>
      <c r="E80" s="9">
        <v>69</v>
      </c>
      <c r="F80" s="9" t="n">
        <v>186.0</v>
      </c>
      <c r="G80" s="8">
        <f si="3" t="shared"/>
        <v>6.0151767536553767E-4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179.0</v>
      </c>
      <c r="G81" s="8">
        <f si="3" t="shared"/>
        <v>4.0802247909410599E-4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157.0</v>
      </c>
      <c r="G82" s="8">
        <f si="3" t="shared"/>
        <v>4.2064173102485152E-4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162.0</v>
      </c>
      <c r="G83" s="8">
        <f si="3" t="shared"/>
        <v>4.500866521965911E-4</v>
      </c>
    </row>
    <row r="84" spans="1:7" x14ac:dyDescent="0.45">
      <c r="A84">
        <v>73</v>
      </c>
      <c r="B84" s="5" t="n">
        <v>0.0</v>
      </c>
      <c r="C84" s="8">
        <f si="2" t="shared"/>
        <v>0</v>
      </c>
      <c r="E84" s="9">
        <v>73</v>
      </c>
      <c r="F84" s="9" t="n">
        <v>136.0</v>
      </c>
      <c r="G84" s="8">
        <f si="3" t="shared"/>
        <v>4.4588023488634259E-4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163.0</v>
      </c>
      <c r="G85" s="8">
        <f si="3" t="shared"/>
        <v>4.7953157336833073E-4</v>
      </c>
    </row>
    <row r="86" spans="1:7" x14ac:dyDescent="0.45">
      <c r="A86">
        <v>75</v>
      </c>
      <c r="B86" s="5" t="n">
        <v>145.1453115302204</v>
      </c>
      <c r="C86" s="8">
        <f si="2" t="shared"/>
        <v>5.0605963025534119E-4</v>
      </c>
      <c r="E86" s="9">
        <v>75</v>
      </c>
      <c r="F86" s="9" t="n">
        <v>118.0</v>
      </c>
      <c r="G86" s="8">
        <f si="3" t="shared"/>
        <v>3.9119680985311189E-4</v>
      </c>
    </row>
    <row r="87" spans="1:7" x14ac:dyDescent="0.45">
      <c r="A87">
        <v>76</v>
      </c>
      <c r="B87" s="5" t="n">
        <v>93.6982396535888</v>
      </c>
      <c r="C87" s="8">
        <f si="2" t="shared"/>
        <v>3.2668569184061399E-4</v>
      </c>
      <c r="E87" s="9">
        <v>76</v>
      </c>
      <c r="F87" s="9" t="n">
        <v>125.0</v>
      </c>
      <c r="G87" s="8">
        <f si="3" t="shared"/>
        <v>3.1127488095839011E-4</v>
      </c>
    </row>
    <row r="88" spans="1:7" x14ac:dyDescent="0.45">
      <c r="A88">
        <v>77</v>
      </c>
      <c r="B88" s="5" t="n">
        <v>66.3616292765703</v>
      </c>
      <c r="C88" s="8">
        <f si="2" t="shared"/>
        <v>2.3137462189297761E-4</v>
      </c>
      <c r="E88" s="9">
        <v>77</v>
      </c>
      <c r="F88" s="9" t="n">
        <v>110.0</v>
      </c>
      <c r="G88" s="8">
        <f si="3" t="shared"/>
        <v>2.9865562902764458E-4</v>
      </c>
    </row>
    <row r="89" spans="1:7" x14ac:dyDescent="0.45">
      <c r="A89">
        <v>78</v>
      </c>
      <c r="B89" s="5" t="n">
        <v>338.920529410369</v>
      </c>
      <c r="C89" s="8">
        <f si="2" t="shared"/>
        <v>1.1816709474879955E-3</v>
      </c>
      <c r="E89" s="9">
        <v>78</v>
      </c>
      <c r="F89" s="9" t="n">
        <v>106.0</v>
      </c>
      <c r="G89" s="8">
        <f si="3" t="shared"/>
        <v>2.6500429054565643E-4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106.0</v>
      </c>
      <c r="G90" s="8">
        <f si="3" t="shared"/>
        <v>2.4817862130466239E-4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103.0</v>
      </c>
      <c r="G91" s="8">
        <f si="3" t="shared"/>
        <v>2.2294011744317129E-4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79.0</v>
      </c>
      <c r="G92" s="8">
        <f si="3" t="shared"/>
        <v>2.3135295206366834E-4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77.0</v>
      </c>
      <c r="G93" s="8">
        <f si="3" t="shared"/>
        <v>1.6405027509969208E-4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89.0</v>
      </c>
      <c r="G94" s="8">
        <f si="3" t="shared"/>
        <v>2.4817862130466239E-4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67.0</v>
      </c>
      <c r="G95" s="8">
        <f si="3" t="shared"/>
        <v>2.1873370013292278E-4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63.0</v>
      </c>
      <c r="G96" s="8">
        <f si="3" t="shared"/>
        <v>2.1452728282267427E-4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55.0</v>
      </c>
      <c r="G97" s="8">
        <f si="3" t="shared"/>
        <v>1.4301818854844952E-4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47.0</v>
      </c>
      <c r="G98" s="8">
        <f si="3" t="shared"/>
        <v>1.9349519627143169E-4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55.0</v>
      </c>
      <c r="G99" s="8">
        <f si="3" t="shared"/>
        <v>1.7246310972018913E-4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50.0</v>
      </c>
      <c r="G100" s="8">
        <f si="3" t="shared"/>
        <v>2.1032086551242576E-4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889.0</v>
      </c>
      <c r="G101" s="8">
        <f si="3" t="shared"/>
        <v>3.2137028250298657E-3</v>
      </c>
    </row>
    <row r="102" spans="1:7" x14ac:dyDescent="0.45">
      <c r="B102" s="5">
        <f>SUM(B11:B101)</f>
        <v>286814.64169940766</v>
      </c>
      <c r="C102" s="8">
        <f si="2" t="shared"/>
        <v>1</v>
      </c>
      <c r="F102" s="5">
        <f>SUM(F11:F101)</f>
        <v>237732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M102"/>
  <sheetViews>
    <sheetView topLeftCell="A4"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J9" s="7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30936.66784261387</v>
      </c>
      <c r="C11" s="8">
        <f>B11/B$102</f>
        <v>6.2356177382068473E-2</v>
      </c>
      <c r="E11" s="9">
        <v>0</v>
      </c>
      <c r="F11" s="9" t="n">
        <v>51833.0</v>
      </c>
      <c r="G11" s="8">
        <f>F11/F$102</f>
        <v>0.12602263006928419</v>
      </c>
      <c r="K11" s="5" t="n">
        <v>6.28230794215618</v>
      </c>
      <c r="L11" s="5" t="n">
        <v>5.958697870726291</v>
      </c>
    </row>
    <row r="12" spans="1:12" x14ac:dyDescent="0.45">
      <c r="A12">
        <v>1</v>
      </c>
      <c r="B12" s="5" t="n">
        <v>76254.27719859181</v>
      </c>
      <c r="C12" s="8">
        <f>B12/B$102</f>
        <v>0.15369868724475602</v>
      </c>
      <c r="E12" s="9">
        <v>1</v>
      </c>
      <c r="F12" s="9" t="n">
        <v>60416.0</v>
      </c>
      <c r="G12" s="8">
        <f>F12/F$102</f>
        <v>0.14481197253977809</v>
      </c>
      <c r="K12" s="5"/>
      <c r="L12" s="9"/>
    </row>
    <row r="13" spans="1:12" x14ac:dyDescent="0.45">
      <c r="A13">
        <v>2</v>
      </c>
      <c r="B13" s="5" t="n">
        <v>78824.40165359357</v>
      </c>
      <c r="C13" s="8">
        <f ref="C13:C76" si="0" t="shared">B13/B$102</f>
        <v>0.15887904917724982</v>
      </c>
      <c r="E13" s="9">
        <v>2</v>
      </c>
      <c r="F13" s="9" t="n">
        <v>55720.0</v>
      </c>
      <c r="G13" s="8">
        <f ref="G13:G76" si="1" t="shared">F13/F$102</f>
        <v>0.13590226617504064</v>
      </c>
    </row>
    <row r="14" spans="1:12" x14ac:dyDescent="0.45">
      <c r="A14">
        <v>3</v>
      </c>
      <c r="B14" s="5" t="n">
        <v>63984.54362466723</v>
      </c>
      <c r="C14" s="8">
        <f si="0" t="shared"/>
        <v>0.12896772116079788</v>
      </c>
      <c r="E14" s="9">
        <v>3</v>
      </c>
      <c r="F14" s="9" t="n">
        <v>49132.0</v>
      </c>
      <c r="G14" s="8">
        <f si="1" t="shared"/>
        <v>0.12039801237513373</v>
      </c>
    </row>
    <row r="15" spans="1:12" x14ac:dyDescent="0.45">
      <c r="A15">
        <v>4</v>
      </c>
      <c r="B15" s="5" t="n">
        <v>39726.84413224514</v>
      </c>
      <c r="C15" s="8">
        <f si="0" t="shared"/>
        <v>8.007372197104605E-2</v>
      </c>
      <c r="E15" s="9">
        <v>4</v>
      </c>
      <c r="F15" s="9" t="n">
        <v>37692.0</v>
      </c>
      <c r="G15" s="8">
        <f si="1" t="shared"/>
        <v>9.2562491013527842E-2</v>
      </c>
    </row>
    <row r="16" spans="1:12" x14ac:dyDescent="0.45">
      <c r="A16">
        <v>5</v>
      </c>
      <c r="B16" s="5" t="n">
        <v>30167.18574956605</v>
      </c>
      <c r="C16" s="8">
        <f si="0" t="shared"/>
        <v>6.0805203562569979E-2</v>
      </c>
      <c r="E16" s="9">
        <v>5</v>
      </c>
      <c r="F16" s="9" t="n">
        <v>28257.0</v>
      </c>
      <c r="G16" s="8">
        <f si="1" t="shared"/>
        <v>7.0188307716302856E-2</v>
      </c>
    </row>
    <row r="17" spans="1:7" x14ac:dyDescent="0.45">
      <c r="A17">
        <v>6</v>
      </c>
      <c r="B17" s="5" t="n">
        <v>27594.79228187437</v>
      </c>
      <c r="C17" s="8">
        <f si="0" t="shared"/>
        <v>5.5620268191252882E-2</v>
      </c>
      <c r="E17" s="9">
        <v>6</v>
      </c>
      <c r="F17" s="9" t="n">
        <v>20163.0</v>
      </c>
      <c r="G17" s="8">
        <f si="1" t="shared"/>
        <v>4.9922137549684532E-2</v>
      </c>
    </row>
    <row r="18" spans="1:7" x14ac:dyDescent="0.45">
      <c r="A18">
        <v>7</v>
      </c>
      <c r="B18" s="5" t="n">
        <v>14698.464983541067</v>
      </c>
      <c r="C18" s="8">
        <f si="0" t="shared"/>
        <v>2.9626335144450049E-2</v>
      </c>
      <c r="E18" s="9">
        <v>7</v>
      </c>
      <c r="F18" s="9" t="n">
        <v>15126.0</v>
      </c>
      <c r="G18" s="8">
        <f si="1" t="shared"/>
        <v>3.8402394118034117E-2</v>
      </c>
    </row>
    <row r="19" spans="1:7" x14ac:dyDescent="0.45">
      <c r="A19">
        <v>8</v>
      </c>
      <c r="B19" s="5" t="n">
        <v>16559.99826253822</v>
      </c>
      <c r="C19" s="8">
        <f si="0" t="shared"/>
        <v>3.3378455441901017E-2</v>
      </c>
      <c r="E19" s="9">
        <v>8</v>
      </c>
      <c r="F19" s="9" t="n">
        <v>11802.0</v>
      </c>
      <c r="G19" s="8">
        <f si="1" t="shared"/>
        <v>2.9392770367915308E-2</v>
      </c>
    </row>
    <row r="20" spans="1:7" x14ac:dyDescent="0.45">
      <c r="A20">
        <v>9</v>
      </c>
      <c r="B20" s="5" t="n">
        <v>19068.495092071982</v>
      </c>
      <c r="C20" s="8">
        <f si="0" t="shared"/>
        <v>3.8434600274968707E-2</v>
      </c>
      <c r="E20" s="9">
        <v>9</v>
      </c>
      <c r="F20" s="9" t="n">
        <v>9680.0</v>
      </c>
      <c r="G20" s="8">
        <f si="1" t="shared"/>
        <v>2.4279924647669367E-2</v>
      </c>
    </row>
    <row r="21" spans="1:7" x14ac:dyDescent="0.45">
      <c r="A21">
        <v>10</v>
      </c>
      <c r="B21" s="5" t="n">
        <v>15549.204146224778</v>
      </c>
      <c r="C21" s="8">
        <f si="0" t="shared"/>
        <v>3.1341091316771409E-2</v>
      </c>
      <c r="E21" s="9">
        <v>10</v>
      </c>
      <c r="F21" s="9" t="n">
        <v>7994.0</v>
      </c>
      <c r="G21" s="8">
        <f si="1" t="shared"/>
        <v>2.019062287523243E-2</v>
      </c>
    </row>
    <row r="22" spans="1:7" x14ac:dyDescent="0.45">
      <c r="A22">
        <v>11</v>
      </c>
      <c r="B22" s="5" t="n">
        <v>9058.798058605003</v>
      </c>
      <c r="C22" s="8">
        <f si="0" t="shared"/>
        <v>1.825898062080963E-2</v>
      </c>
      <c r="E22" s="9">
        <v>11</v>
      </c>
      <c r="F22" s="9" t="n">
        <v>7113.0</v>
      </c>
      <c r="G22" s="8">
        <f si="1" t="shared"/>
        <v>1.8180090120607596E-2</v>
      </c>
    </row>
    <row r="23" spans="1:7" x14ac:dyDescent="0.45">
      <c r="A23">
        <v>12</v>
      </c>
      <c r="B23" s="5" t="n">
        <v>11721.635963651692</v>
      </c>
      <c r="C23" s="8">
        <f si="0" t="shared"/>
        <v>2.3626216471532641E-2</v>
      </c>
      <c r="E23" s="9">
        <v>12</v>
      </c>
      <c r="F23" s="9" t="n">
        <v>6351.0</v>
      </c>
      <c r="G23" s="8">
        <f si="1" t="shared"/>
        <v>1.5879553247436874E-2</v>
      </c>
    </row>
    <row r="24" spans="1:7" x14ac:dyDescent="0.45">
      <c r="A24">
        <v>13</v>
      </c>
      <c r="B24" s="5" t="n">
        <v>8990.546650845983</v>
      </c>
      <c r="C24" s="8">
        <f si="0" t="shared"/>
        <v>1.8121412576621785E-2</v>
      </c>
      <c r="E24" s="9">
        <v>13</v>
      </c>
      <c r="F24" s="9" t="n">
        <v>5367.0</v>
      </c>
      <c r="G24" s="8">
        <f si="1" t="shared"/>
        <v>1.3208590945535278E-2</v>
      </c>
    </row>
    <row r="25" spans="1:7" x14ac:dyDescent="0.45">
      <c r="A25">
        <v>14</v>
      </c>
      <c r="B25" s="5" t="n">
        <v>8809.028613178658</v>
      </c>
      <c r="C25" s="8">
        <f si="0" t="shared"/>
        <v>1.7755543472282191E-2</v>
      </c>
      <c r="E25" s="9">
        <v>14</v>
      </c>
      <c r="F25" s="9" t="n">
        <v>4701.0</v>
      </c>
      <c r="G25" s="8">
        <f si="1" t="shared"/>
        <v>1.1619660817031771E-2</v>
      </c>
    </row>
    <row r="26" spans="1:7" x14ac:dyDescent="0.45">
      <c r="A26">
        <v>15</v>
      </c>
      <c r="B26" s="5" t="n">
        <v>8756.136726723635</v>
      </c>
      <c r="C26" s="8">
        <f si="0" t="shared"/>
        <v>1.7648934193266089E-2</v>
      </c>
      <c r="E26" s="9">
        <v>15</v>
      </c>
      <c r="F26" s="9" t="n">
        <v>4100.0</v>
      </c>
      <c r="G26" s="8">
        <f si="1" t="shared"/>
        <v>1.0250061534487339E-2</v>
      </c>
    </row>
    <row r="27" spans="1:7" x14ac:dyDescent="0.45">
      <c r="A27">
        <v>16</v>
      </c>
      <c r="B27" s="5" t="n">
        <v>7260.644416286138</v>
      </c>
      <c r="C27" s="8">
        <f si="0" t="shared"/>
        <v>1.463460878958742E-2</v>
      </c>
      <c r="E27" s="9">
        <v>16</v>
      </c>
      <c r="F27" s="9" t="n">
        <v>3414.0</v>
      </c>
      <c r="G27" s="8">
        <f si="1" t="shared"/>
        <v>8.6660054247829233E-3</v>
      </c>
    </row>
    <row r="28" spans="1:7" x14ac:dyDescent="0.45">
      <c r="A28">
        <v>17</v>
      </c>
      <c r="B28" s="5" t="n">
        <v>5117.740418676595</v>
      </c>
      <c r="C28" s="8">
        <f si="0" t="shared"/>
        <v>1.0315355582762599E-2</v>
      </c>
      <c r="E28" s="9">
        <v>17</v>
      </c>
      <c r="F28" s="9" t="n">
        <v>3096.0</v>
      </c>
      <c r="G28" s="8">
        <f si="1" t="shared"/>
        <v>7.8666663417320797E-3</v>
      </c>
    </row>
    <row r="29" spans="1:7" x14ac:dyDescent="0.45">
      <c r="A29">
        <v>18</v>
      </c>
      <c r="B29" s="5" t="n">
        <v>1900.8099807139279</v>
      </c>
      <c r="C29" s="8">
        <f si="0" t="shared"/>
        <v>3.8312867090274632E-3</v>
      </c>
      <c r="E29" s="9">
        <v>18</v>
      </c>
      <c r="F29" s="9" t="n">
        <v>2788.0</v>
      </c>
      <c r="G29" s="8">
        <f si="1" t="shared"/>
        <v>6.9990909954939697E-3</v>
      </c>
    </row>
    <row r="30" spans="1:7" x14ac:dyDescent="0.45">
      <c r="A30">
        <v>19</v>
      </c>
      <c r="B30" s="5" t="n">
        <v>2434.588742155016</v>
      </c>
      <c r="C30" s="8">
        <f si="0" t="shared"/>
        <v>4.9071751434422882E-3</v>
      </c>
      <c r="E30" s="9">
        <v>19</v>
      </c>
      <c r="F30" s="9" t="n">
        <v>2391.0</v>
      </c>
      <c r="G30" s="8">
        <f si="1" t="shared"/>
        <v>5.736720126529528E-3</v>
      </c>
    </row>
    <row r="31" spans="1:7" x14ac:dyDescent="0.45">
      <c r="A31">
        <v>20</v>
      </c>
      <c r="B31" s="5" t="n">
        <v>3170.4379939233686</v>
      </c>
      <c r="C31" s="8">
        <f si="0" t="shared"/>
        <v>6.3903583583625962E-3</v>
      </c>
      <c r="E31" s="9">
        <v>20</v>
      </c>
      <c r="F31" s="9" t="n">
        <v>2149.0</v>
      </c>
      <c r="G31" s="8">
        <f si="1" t="shared"/>
        <v>5.0836016074514E-3</v>
      </c>
    </row>
    <row r="32" spans="1:7" x14ac:dyDescent="0.45">
      <c r="A32">
        <v>21</v>
      </c>
      <c r="B32" s="5" t="n">
        <v>1174.3141855727617</v>
      </c>
      <c r="C32" s="8">
        <f si="0" t="shared"/>
        <v>2.3669563907263869E-3</v>
      </c>
      <c r="E32" s="9">
        <v>21</v>
      </c>
      <c r="F32" s="9" t="n">
        <v>1849.0</v>
      </c>
      <c r="G32" s="8">
        <f si="1" t="shared"/>
        <v>4.6912430941246138E-3</v>
      </c>
    </row>
    <row r="33" spans="1:7" x14ac:dyDescent="0.45">
      <c r="A33">
        <v>22</v>
      </c>
      <c r="B33" s="5" t="n">
        <v>1400.5548511293655</v>
      </c>
      <c r="C33" s="8">
        <f si="0" t="shared"/>
        <v>2.8229687558671587E-3</v>
      </c>
      <c r="E33" s="9">
        <v>22</v>
      </c>
      <c r="F33" s="9" t="n">
        <v>1741.0</v>
      </c>
      <c r="G33" s="8">
        <f si="1" t="shared"/>
        <v>4.2306483176105612E-3</v>
      </c>
    </row>
    <row r="34" spans="1:7" x14ac:dyDescent="0.45">
      <c r="A34">
        <v>23</v>
      </c>
      <c r="B34" s="5" t="n">
        <v>1296.308165646142</v>
      </c>
      <c r="C34" s="8">
        <f si="0" t="shared"/>
        <v>2.6128483626640308E-3</v>
      </c>
      <c r="E34" s="9">
        <v>23</v>
      </c>
      <c r="F34" s="9" t="n">
        <v>1545.0</v>
      </c>
      <c r="G34" s="8">
        <f si="1" t="shared"/>
        <v>3.7091283061078768E-3</v>
      </c>
    </row>
    <row r="35" spans="1:7" x14ac:dyDescent="0.45">
      <c r="A35">
        <v>24</v>
      </c>
      <c r="B35" s="5" t="n">
        <v>1700.833936303837</v>
      </c>
      <c r="C35" s="8">
        <f si="0" t="shared"/>
        <v>3.4282135092621176E-3</v>
      </c>
      <c r="E35" s="9">
        <v>24</v>
      </c>
      <c r="F35" s="9" t="n">
        <v>1385.0</v>
      </c>
      <c r="G35" s="8">
        <f si="1" t="shared"/>
        <v>3.3923170841669934E-3</v>
      </c>
    </row>
    <row r="36" spans="1:7" x14ac:dyDescent="0.45">
      <c r="A36">
        <v>25</v>
      </c>
      <c r="B36" s="5" t="n">
        <v>111.7994112870636</v>
      </c>
      <c r="C36" s="8">
        <f si="0" t="shared"/>
        <v>2.2534372340592539E-4</v>
      </c>
      <c r="E36" s="9">
        <v>25</v>
      </c>
      <c r="F36" s="9" t="n">
        <v>1263.0</v>
      </c>
      <c r="G36" s="8">
        <f si="1" t="shared"/>
        <v>3.1291200690161062E-3</v>
      </c>
    </row>
    <row r="37" spans="1:7" x14ac:dyDescent="0.45">
      <c r="A37">
        <v>26</v>
      </c>
      <c r="B37" s="5" t="n">
        <v>848.5411795758774</v>
      </c>
      <c r="C37" s="8">
        <f si="0" t="shared"/>
        <v>1.7103259012510527E-3</v>
      </c>
      <c r="E37" s="9">
        <v>26</v>
      </c>
      <c r="F37" s="9" t="n">
        <v>1189.0</v>
      </c>
      <c r="G37" s="8">
        <f si="1" t="shared"/>
        <v>2.6685252925020531E-3</v>
      </c>
    </row>
    <row r="38" spans="1:7" x14ac:dyDescent="0.45">
      <c r="A38">
        <v>27</v>
      </c>
      <c r="B38" s="5" t="n">
        <v>1117.3526607258045</v>
      </c>
      <c r="C38" s="8">
        <f si="0" t="shared"/>
        <v>2.2521443183538938E-3</v>
      </c>
      <c r="E38" s="9">
        <v>27</v>
      </c>
      <c r="F38" s="9" t="n">
        <v>1026.0</v>
      </c>
      <c r="G38" s="8">
        <f si="1" t="shared"/>
        <v>2.4784385593375233E-3</v>
      </c>
    </row>
    <row r="39" spans="1:7" x14ac:dyDescent="0.45">
      <c r="A39">
        <v>28</v>
      </c>
      <c r="B39" s="5" t="n">
        <v>512.8065500546928</v>
      </c>
      <c r="C39" s="8">
        <f si="0" t="shared"/>
        <v>1.0336166894435409E-3</v>
      </c>
      <c r="E39" s="9">
        <v>28</v>
      </c>
      <c r="F39" s="9" t="n">
        <v>924.0</v>
      </c>
      <c r="G39" s="8">
        <f si="1" t="shared"/>
        <v>2.3175959389675365E-3</v>
      </c>
    </row>
    <row r="40" spans="1:7" x14ac:dyDescent="0.45">
      <c r="A40">
        <v>29</v>
      </c>
      <c r="B40" s="5" t="n">
        <v>1446.413740161515</v>
      </c>
      <c r="C40" s="8">
        <f si="0" t="shared"/>
        <v>2.9154022730636798E-3</v>
      </c>
      <c r="E40" s="9">
        <v>29</v>
      </c>
      <c r="F40" s="9" t="n">
        <v>838.0</v>
      </c>
      <c r="G40" s="8">
        <f si="1" t="shared"/>
        <v>2.0154067734239251E-3</v>
      </c>
    </row>
    <row r="41" spans="1:7" x14ac:dyDescent="0.45">
      <c r="A41">
        <v>30</v>
      </c>
      <c r="B41" s="5" t="n">
        <v>326.4349313496311</v>
      </c>
      <c r="C41" s="8">
        <f si="0" t="shared"/>
        <v>6.5796467113056435E-4</v>
      </c>
      <c r="E41" s="9">
        <v>30</v>
      </c>
      <c r="F41" s="9" t="n">
        <v>738.0</v>
      </c>
      <c r="G41" s="8">
        <f si="1" t="shared"/>
        <v>1.813134993261669E-3</v>
      </c>
    </row>
    <row r="42" spans="1:7" x14ac:dyDescent="0.45">
      <c r="A42">
        <v>31</v>
      </c>
      <c r="B42" s="5" t="n">
        <v>173.473605617994</v>
      </c>
      <c r="C42" s="8">
        <f si="0" t="shared"/>
        <v>3.496546873778851E-4</v>
      </c>
      <c r="E42" s="9">
        <v>31</v>
      </c>
      <c r="F42" s="9" t="n">
        <v>632.0</v>
      </c>
      <c r="G42" s="8">
        <f si="1" t="shared"/>
        <v>1.6766624668871348E-3</v>
      </c>
    </row>
    <row r="43" spans="1:7" x14ac:dyDescent="0.45">
      <c r="A43">
        <v>32</v>
      </c>
      <c r="B43" s="5" t="n">
        <v>932.0673792962768</v>
      </c>
      <c r="C43" s="8">
        <f si="0" t="shared"/>
        <v>1.8786819295186156E-3</v>
      </c>
      <c r="E43" s="9">
        <v>32</v>
      </c>
      <c r="F43" s="9" t="n">
        <v>614.0</v>
      </c>
      <c r="G43" s="8">
        <f si="1" t="shared"/>
        <v>1.4085914329371569E-3</v>
      </c>
    </row>
    <row r="44" spans="1:7" x14ac:dyDescent="0.45">
      <c r="A44">
        <v>33</v>
      </c>
      <c r="B44" s="5" t="n">
        <v>849.341149791731</v>
      </c>
      <c r="C44" s="8">
        <f si="0" t="shared"/>
        <v>1.711938327157227E-3</v>
      </c>
      <c r="E44" s="9">
        <v>33</v>
      </c>
      <c r="F44" s="9" t="n">
        <v>516.0</v>
      </c>
      <c r="G44" s="8">
        <f si="1" t="shared"/>
        <v>1.208756662174446E-3</v>
      </c>
    </row>
    <row r="45" spans="1:7" x14ac:dyDescent="0.45">
      <c r="A45">
        <v>34</v>
      </c>
      <c r="B45" s="5" t="n">
        <v>1286.2770921504768</v>
      </c>
      <c r="C45" s="8">
        <f si="0" t="shared"/>
        <v>2.5926296564539632E-3</v>
      </c>
      <c r="E45" s="9">
        <v>34</v>
      </c>
      <c r="F45" s="9" t="n">
        <v>432.0</v>
      </c>
      <c r="G45" s="8">
        <f si="1" t="shared"/>
        <v>1.1624534835830863E-3</v>
      </c>
    </row>
    <row r="46" spans="1:7" x14ac:dyDescent="0.45">
      <c r="A46">
        <v>35</v>
      </c>
      <c r="B46" s="5" t="n">
        <v>473.9191102067738</v>
      </c>
      <c r="C46" s="8">
        <f si="0" t="shared"/>
        <v>9.5523487697984682E-4</v>
      </c>
      <c r="E46" s="9">
        <v>35</v>
      </c>
      <c r="F46" s="9" t="n">
        <v>362.0</v>
      </c>
      <c r="G46" s="8">
        <f si="1" t="shared"/>
        <v>9.8211478801673744E-4</v>
      </c>
    </row>
    <row r="47" spans="1:7" x14ac:dyDescent="0.45">
      <c r="A47">
        <v>36</v>
      </c>
      <c r="B47" s="5" t="n">
        <v>214.562900715313</v>
      </c>
      <c r="C47" s="8">
        <f si="0" t="shared"/>
        <v>4.324745756291758E-4</v>
      </c>
      <c r="E47" s="9">
        <v>36</v>
      </c>
      <c r="F47" s="9" t="n">
        <v>357.0</v>
      </c>
      <c r="G47" s="8">
        <f si="1" t="shared"/>
        <v>7.6522095145720973E-4</v>
      </c>
    </row>
    <row r="48" spans="1:7" x14ac:dyDescent="0.45">
      <c r="A48">
        <v>37</v>
      </c>
      <c r="B48" s="5" t="n">
        <v>152.3899434897362</v>
      </c>
      <c r="C48" s="8">
        <f si="0" t="shared"/>
        <v>3.071583014638757E-4</v>
      </c>
      <c r="E48" s="9">
        <v>37</v>
      </c>
      <c r="F48" s="9" t="n">
        <v>273.0</v>
      </c>
      <c r="G48" s="8">
        <f si="1" t="shared"/>
        <v>7.0916973526766896E-4</v>
      </c>
    </row>
    <row r="49" spans="1:7" x14ac:dyDescent="0.45">
      <c r="A49">
        <v>38</v>
      </c>
      <c r="B49" s="5" t="n">
        <v>0.0</v>
      </c>
      <c r="C49" s="8">
        <f si="0" t="shared"/>
        <v>0</v>
      </c>
      <c r="E49" s="9">
        <v>38</v>
      </c>
      <c r="F49" s="9" t="n">
        <v>281.0</v>
      </c>
      <c r="G49" s="8">
        <f si="1" t="shared"/>
        <v>5.9950431228813247E-4</v>
      </c>
    </row>
    <row r="50" spans="1:7" x14ac:dyDescent="0.45">
      <c r="A50">
        <v>39</v>
      </c>
      <c r="B50" s="5" t="n">
        <v>370.506755079012</v>
      </c>
      <c r="C50" s="8">
        <f si="0" t="shared"/>
        <v>7.4679616623538221E-4</v>
      </c>
      <c r="E50" s="9">
        <v>39</v>
      </c>
      <c r="F50" s="9" t="n">
        <v>234.0</v>
      </c>
      <c r="G50" s="8">
        <f si="1" t="shared"/>
        <v>5.5807515249586316E-4</v>
      </c>
    </row>
    <row r="51" spans="1:7" x14ac:dyDescent="0.45">
      <c r="A51">
        <v>40</v>
      </c>
      <c r="B51" s="5" t="n">
        <v>0.0</v>
      </c>
      <c r="C51" s="8">
        <f si="0" t="shared"/>
        <v>0</v>
      </c>
      <c r="E51" s="9">
        <v>40</v>
      </c>
      <c r="F51" s="9" t="n">
        <v>204.0</v>
      </c>
      <c r="G51" s="8">
        <f si="1" t="shared"/>
        <v>5.5807515249586316E-4</v>
      </c>
    </row>
    <row r="52" spans="1:7" x14ac:dyDescent="0.45">
      <c r="A52">
        <v>41</v>
      </c>
      <c r="B52" s="5" t="n">
        <v>385.494857367865</v>
      </c>
      <c r="C52" s="8">
        <f si="0" t="shared"/>
        <v>7.7700629648273008E-4</v>
      </c>
      <c r="E52" s="9">
        <v>41</v>
      </c>
      <c r="F52" s="9" t="n">
        <v>191.0</v>
      </c>
      <c r="G52" s="8">
        <f si="1" t="shared"/>
        <v>4.6790580471268875E-4</v>
      </c>
    </row>
    <row r="53" spans="1:7" x14ac:dyDescent="0.45">
      <c r="A53">
        <v>42</v>
      </c>
      <c r="B53" s="5" t="n">
        <v>0.0</v>
      </c>
      <c r="C53" s="8">
        <f si="0" t="shared"/>
        <v>0</v>
      </c>
      <c r="E53" s="9">
        <v>42</v>
      </c>
      <c r="F53" s="9" t="n">
        <v>178.0</v>
      </c>
      <c r="G53" s="8">
        <f si="1" t="shared"/>
        <v>4.6790580471268875E-4</v>
      </c>
    </row>
    <row r="54" spans="1:7" x14ac:dyDescent="0.45">
      <c r="A54">
        <v>43</v>
      </c>
      <c r="B54" s="5" t="n">
        <v>41.7997242731165</v>
      </c>
      <c r="C54" s="8">
        <f si="0" t="shared"/>
        <v>8.4251834572361702E-5</v>
      </c>
      <c r="E54" s="9">
        <v>43</v>
      </c>
      <c r="F54" s="9" t="n">
        <v>159.0</v>
      </c>
      <c r="G54" s="8">
        <f si="1" t="shared"/>
        <v>4.3866169191814574E-4</v>
      </c>
    </row>
    <row r="55" spans="1:7" x14ac:dyDescent="0.45">
      <c r="A55">
        <v>44</v>
      </c>
      <c r="B55" s="5" t="n">
        <v>443.153629289399</v>
      </c>
      <c r="C55" s="8">
        <f si="0" t="shared"/>
        <v>8.9322374523520792E-4</v>
      </c>
      <c r="E55" s="9">
        <v>44</v>
      </c>
      <c r="F55" s="9" t="n">
        <v>162.0</v>
      </c>
      <c r="G55" s="8">
        <f si="1" t="shared"/>
        <v>3.9479552272633116E-4</v>
      </c>
    </row>
    <row r="56" spans="1:7" x14ac:dyDescent="0.45">
      <c r="A56">
        <v>45</v>
      </c>
      <c r="B56" s="5" t="n">
        <v>42.2080912545708</v>
      </c>
      <c r="C56" s="8">
        <f si="0" t="shared"/>
        <v>8.5074942091959151E-5</v>
      </c>
      <c r="E56" s="9">
        <v>45</v>
      </c>
      <c r="F56" s="9" t="n">
        <v>148.0</v>
      </c>
      <c r="G56" s="8">
        <f si="1" t="shared"/>
        <v>3.16811221940883E-4</v>
      </c>
    </row>
    <row r="57" spans="1:7" x14ac:dyDescent="0.45">
      <c r="A57">
        <v>46</v>
      </c>
      <c r="B57" s="5" t="n">
        <v>180.440866596186</v>
      </c>
      <c r="C57" s="8">
        <f si="0" t="shared"/>
        <v>3.6369795033152702E-4</v>
      </c>
      <c r="E57" s="9">
        <v>46</v>
      </c>
      <c r="F57" s="9" t="n">
        <v>131.0</v>
      </c>
      <c r="G57" s="8">
        <f si="1" t="shared"/>
        <v>3.0706318434270202E-4</v>
      </c>
    </row>
    <row r="58" spans="1:7" x14ac:dyDescent="0.45">
      <c r="A58">
        <v>47</v>
      </c>
      <c r="B58" s="5" t="n">
        <v>0.0</v>
      </c>
      <c r="C58" s="8">
        <f si="0" t="shared"/>
        <v>0</v>
      </c>
      <c r="E58" s="9">
        <v>47</v>
      </c>
      <c r="F58" s="9" t="n">
        <v>117.0</v>
      </c>
      <c r="G58" s="8">
        <f si="1" t="shared"/>
        <v>2.3151589295679914E-4</v>
      </c>
    </row>
    <row r="59" spans="1:7" x14ac:dyDescent="0.45">
      <c r="A59">
        <v>48</v>
      </c>
      <c r="B59" s="5" t="n">
        <v>0.0</v>
      </c>
      <c r="C59" s="8">
        <f si="0" t="shared"/>
        <v>0</v>
      </c>
      <c r="E59" s="9">
        <v>48</v>
      </c>
      <c r="F59" s="9" t="n">
        <v>106.0</v>
      </c>
      <c r="G59" s="8">
        <f si="1" t="shared"/>
        <v>2.3395290235634438E-4</v>
      </c>
    </row>
    <row r="60" spans="1:7" x14ac:dyDescent="0.45">
      <c r="A60">
        <v>49</v>
      </c>
      <c r="B60" s="5" t="n">
        <v>62.1198990807381</v>
      </c>
      <c r="C60" s="8">
        <f si="0" t="shared"/>
        <v>1.2520932977465153E-4</v>
      </c>
      <c r="E60" s="9">
        <v>49</v>
      </c>
      <c r="F60" s="9" t="n">
        <v>100.0</v>
      </c>
      <c r="G60" s="8">
        <f si="1" t="shared"/>
        <v>2.0227178016225608E-4</v>
      </c>
    </row>
    <row r="61" spans="1:7" x14ac:dyDescent="0.45">
      <c r="A61">
        <v>50</v>
      </c>
      <c r="B61" s="5" t="n">
        <v>0.0</v>
      </c>
      <c r="C61" s="8">
        <f si="0" t="shared"/>
        <v>0</v>
      </c>
      <c r="E61" s="9">
        <v>50</v>
      </c>
      <c r="F61" s="9" t="n">
        <v>78.0</v>
      </c>
      <c r="G61" s="8">
        <f si="1" t="shared"/>
        <v>2.1445682715998235E-4</v>
      </c>
    </row>
    <row r="62" spans="1:7" x14ac:dyDescent="0.45">
      <c r="A62">
        <v>51</v>
      </c>
      <c r="B62" s="5" t="n">
        <v>0.0</v>
      </c>
      <c r="C62" s="8">
        <f si="0" t="shared"/>
        <v>0</v>
      </c>
      <c r="E62" s="9">
        <v>51</v>
      </c>
      <c r="F62" s="9" t="n">
        <v>77.0</v>
      </c>
      <c r="G62" s="8">
        <f si="1" t="shared"/>
        <v>1.0722841357999117E-4</v>
      </c>
    </row>
    <row r="63" spans="1:7" x14ac:dyDescent="0.45">
      <c r="A63">
        <v>52</v>
      </c>
      <c r="B63" s="5" t="n">
        <v>0.0</v>
      </c>
      <c r="C63" s="8">
        <f si="0" t="shared"/>
        <v>0</v>
      </c>
      <c r="E63" s="9">
        <v>52</v>
      </c>
      <c r="F63" s="9" t="n">
        <v>75.0</v>
      </c>
      <c r="G63" s="8">
        <f si="1" t="shared"/>
        <v>1.3159850757544372E-4</v>
      </c>
    </row>
    <row r="64" spans="1:7" x14ac:dyDescent="0.45">
      <c r="A64">
        <v>53</v>
      </c>
      <c r="B64" s="5" t="n">
        <v>0.0</v>
      </c>
      <c r="C64" s="8">
        <f si="0" t="shared"/>
        <v>0</v>
      </c>
      <c r="E64" s="9">
        <v>53</v>
      </c>
      <c r="F64" s="9" t="n">
        <v>55.0</v>
      </c>
      <c r="G64" s="8">
        <f si="1" t="shared"/>
        <v>1.3159850757544372E-4</v>
      </c>
    </row>
    <row r="65" spans="1:7" x14ac:dyDescent="0.45">
      <c r="A65">
        <v>54</v>
      </c>
      <c r="B65" s="5" t="n">
        <v>0.0</v>
      </c>
      <c r="C65" s="8">
        <f si="0" t="shared"/>
        <v>0</v>
      </c>
      <c r="E65" s="9">
        <v>54</v>
      </c>
      <c r="F65" s="9" t="n">
        <v>47.0</v>
      </c>
      <c r="G65" s="8">
        <f si="1" t="shared"/>
        <v>1.1697645117817219E-4</v>
      </c>
    </row>
    <row r="66" spans="1:7" x14ac:dyDescent="0.45">
      <c r="A66">
        <v>55</v>
      </c>
      <c r="B66" s="5" t="n">
        <v>0.0</v>
      </c>
      <c r="C66" s="8">
        <f si="0" t="shared"/>
        <v>0</v>
      </c>
      <c r="E66" s="9">
        <v>55</v>
      </c>
      <c r="F66" s="9" t="n">
        <v>45.0</v>
      </c>
      <c r="G66" s="8">
        <f si="1" t="shared"/>
        <v>1.0235439478090067E-4</v>
      </c>
    </row>
    <row r="67" spans="1:7" x14ac:dyDescent="0.45">
      <c r="A67">
        <v>56</v>
      </c>
      <c r="B67" s="5" t="n">
        <v>0.0</v>
      </c>
      <c r="C67" s="8">
        <f si="0" t="shared"/>
        <v>0</v>
      </c>
      <c r="E67" s="9">
        <v>56</v>
      </c>
      <c r="F67" s="9" t="n">
        <v>31.0</v>
      </c>
      <c r="G67" s="8">
        <f si="1" t="shared"/>
        <v>8.7732338383629148E-5</v>
      </c>
    </row>
    <row r="68" spans="1:7" x14ac:dyDescent="0.45">
      <c r="A68">
        <v>57</v>
      </c>
      <c r="B68" s="5" t="n">
        <v>0.0</v>
      </c>
      <c r="C68" s="8">
        <f si="0" t="shared"/>
        <v>0</v>
      </c>
      <c r="E68" s="9">
        <v>57</v>
      </c>
      <c r="F68" s="9" t="n">
        <v>39.0</v>
      </c>
      <c r="G68" s="8">
        <f si="1" t="shared"/>
        <v>9.0169347783174394E-5</v>
      </c>
    </row>
    <row r="69" spans="1:7" x14ac:dyDescent="0.45">
      <c r="A69">
        <v>58</v>
      </c>
      <c r="B69" s="5" t="n">
        <v>0.0</v>
      </c>
      <c r="C69" s="8">
        <f si="0" t="shared"/>
        <v>0</v>
      </c>
      <c r="E69" s="9">
        <v>58</v>
      </c>
      <c r="F69" s="9" t="n">
        <v>23.0</v>
      </c>
      <c r="G69" s="8">
        <f si="1" t="shared"/>
        <v>4.874018799090508E-5</v>
      </c>
    </row>
    <row r="70" spans="1:7" x14ac:dyDescent="0.45">
      <c r="A70">
        <v>59</v>
      </c>
      <c r="B70" s="5" t="n">
        <v>0.0</v>
      </c>
      <c r="C70" s="8">
        <f si="0" t="shared"/>
        <v>0</v>
      </c>
      <c r="E70" s="9">
        <v>59</v>
      </c>
      <c r="F70" s="9" t="n">
        <v>26.0</v>
      </c>
      <c r="G70" s="8">
        <f si="1" t="shared"/>
        <v>5.8488225589086094E-5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19.0</v>
      </c>
      <c r="G71" s="8">
        <f si="1" t="shared"/>
        <v>2.6807103394997794E-5</v>
      </c>
    </row>
    <row r="72" spans="1:7" x14ac:dyDescent="0.45">
      <c r="A72">
        <v>61</v>
      </c>
      <c r="B72" s="5" t="n">
        <v>0.0</v>
      </c>
      <c r="C72" s="8">
        <f si="0" t="shared"/>
        <v>0</v>
      </c>
      <c r="E72" s="9">
        <v>61</v>
      </c>
      <c r="F72" s="9" t="n">
        <v>14.0</v>
      </c>
      <c r="G72" s="8">
        <f si="1" t="shared"/>
        <v>4.874018799090508E-5</v>
      </c>
    </row>
    <row r="73" spans="1:7" x14ac:dyDescent="0.45">
      <c r="A73">
        <v>62</v>
      </c>
      <c r="B73" s="5" t="n">
        <v>0.0</v>
      </c>
      <c r="C73" s="8">
        <f si="0" t="shared"/>
        <v>0</v>
      </c>
      <c r="E73" s="9">
        <v>62</v>
      </c>
      <c r="F73" s="9" t="n">
        <v>6.0</v>
      </c>
      <c r="G73" s="8">
        <f si="1" t="shared"/>
        <v>1.9496075196362034E-5</v>
      </c>
    </row>
    <row r="74" spans="1:7" x14ac:dyDescent="0.45">
      <c r="A74">
        <v>63</v>
      </c>
      <c r="B74" s="5" t="n">
        <v>0.0</v>
      </c>
      <c r="C74" s="8">
        <f si="0" t="shared"/>
        <v>0</v>
      </c>
      <c r="E74" s="9">
        <v>63</v>
      </c>
      <c r="F74" s="9" t="n">
        <v>12.0</v>
      </c>
      <c r="G74" s="8">
        <f si="1" t="shared"/>
        <v>1.4622056397271523E-5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4.0</v>
      </c>
      <c r="G75" s="8">
        <f si="1" t="shared"/>
        <v>1.4622056397271523E-5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9.0</v>
      </c>
      <c r="G76" s="8">
        <f si="1" t="shared"/>
        <v>1.4622056397271523E-5</v>
      </c>
    </row>
    <row r="77" spans="1:7" x14ac:dyDescent="0.45">
      <c r="A77">
        <v>66</v>
      </c>
      <c r="B77" s="5" t="n">
        <v>0.0</v>
      </c>
      <c r="C77" s="8">
        <f ref="C77:C102" si="2" t="shared">B77/B$102</f>
        <v>0</v>
      </c>
      <c r="E77" s="9">
        <v>66</v>
      </c>
      <c r="F77" s="9" t="n">
        <v>5.0</v>
      </c>
      <c r="G77" s="8">
        <f ref="G77:G102" si="3" t="shared">F77/F$102</f>
        <v>1.4622056397271523E-5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5.0</v>
      </c>
      <c r="G78" s="8">
        <f si="3" t="shared"/>
        <v>7.3110281986357617E-6</v>
      </c>
    </row>
    <row r="79" spans="1:7" x14ac:dyDescent="0.45">
      <c r="A79">
        <v>68</v>
      </c>
      <c r="B79" s="5" t="n">
        <v>0.0</v>
      </c>
      <c r="C79" s="8">
        <f si="2" t="shared"/>
        <v>0</v>
      </c>
      <c r="E79" s="9">
        <v>68</v>
      </c>
      <c r="F79" s="9" t="n">
        <v>5.0</v>
      </c>
      <c r="G79" s="8">
        <f si="3" t="shared"/>
        <v>9.7480375981810168E-6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3.0</v>
      </c>
      <c r="G80" s="8">
        <f si="3" t="shared"/>
        <v>4.8740187990905084E-6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2.0</v>
      </c>
      <c r="G81" s="8">
        <f si="3" t="shared"/>
        <v>7.3110281986357617E-6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0.0</v>
      </c>
      <c r="G82" s="8">
        <f si="3" t="shared"/>
        <v>4.8740187990905084E-6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2.0</v>
      </c>
      <c r="G83" s="8">
        <f si="3" t="shared"/>
        <v>4.8740187990905084E-6</v>
      </c>
    </row>
    <row r="84" spans="1:7" x14ac:dyDescent="0.45">
      <c r="A84">
        <v>73</v>
      </c>
      <c r="B84" s="5" t="n">
        <v>0.0</v>
      </c>
      <c r="C84" s="8">
        <f si="2" t="shared"/>
        <v>0</v>
      </c>
      <c r="E84" s="9">
        <v>73</v>
      </c>
      <c r="F84" s="9" t="n">
        <v>2.0</v>
      </c>
      <c r="G84" s="8">
        <f si="3" t="shared"/>
        <v>4.8740187990905084E-6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0.0</v>
      </c>
      <c r="G85" s="8">
        <f si="3" t="shared"/>
        <v>0</v>
      </c>
    </row>
    <row r="86" spans="1:7" x14ac:dyDescent="0.45">
      <c r="A86">
        <v>75</v>
      </c>
      <c r="B86" s="5" t="n">
        <v>0.0</v>
      </c>
      <c r="C86" s="8">
        <f si="2" t="shared"/>
        <v>0</v>
      </c>
      <c r="E86" s="9">
        <v>75</v>
      </c>
      <c r="F86" s="9" t="n">
        <v>1.0</v>
      </c>
      <c r="G86" s="8">
        <f si="3" t="shared"/>
        <v>4.8740187990905084E-6</v>
      </c>
    </row>
    <row r="87" spans="1:7" x14ac:dyDescent="0.45">
      <c r="A87">
        <v>76</v>
      </c>
      <c r="B87" s="5" t="n">
        <v>0.0</v>
      </c>
      <c r="C87" s="8">
        <f si="2" t="shared"/>
        <v>0</v>
      </c>
      <c r="E87" s="9">
        <v>76</v>
      </c>
      <c r="F87" s="9" t="n">
        <v>2.0</v>
      </c>
      <c r="G87" s="8">
        <f si="3" t="shared"/>
        <v>0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1.0</v>
      </c>
      <c r="G88" s="8">
        <f si="3" t="shared"/>
        <v>0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1.0</v>
      </c>
      <c r="G89" s="8">
        <f si="3" t="shared"/>
        <v>0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0.0</v>
      </c>
      <c r="G90" s="8">
        <f si="3" t="shared"/>
        <v>0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2.0</v>
      </c>
      <c r="G91" s="8">
        <f si="3" t="shared"/>
        <v>4.8740187990905084E-6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0.0</v>
      </c>
      <c r="G92" s="8">
        <f si="3" t="shared"/>
        <v>2.4370093995452542E-6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0.0</v>
      </c>
      <c r="G93" s="8">
        <f si="3" t="shared"/>
        <v>0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0.0</v>
      </c>
      <c r="G94" s="8">
        <f si="3" t="shared"/>
        <v>0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0.0</v>
      </c>
      <c r="G95" s="8">
        <f si="3" t="shared"/>
        <v>0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0.0</v>
      </c>
      <c r="G96" s="8">
        <f si="3" t="shared"/>
        <v>0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0.0</v>
      </c>
      <c r="G97" s="8">
        <f si="3" t="shared"/>
        <v>0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0.0</v>
      </c>
      <c r="G98" s="8">
        <f si="3" t="shared"/>
        <v>0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0.0</v>
      </c>
      <c r="G99" s="8">
        <f si="3" t="shared"/>
        <v>0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0.0</v>
      </c>
      <c r="G100" s="8">
        <f si="3" t="shared"/>
        <v>0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0.0</v>
      </c>
      <c r="G101" s="8">
        <f si="3" t="shared"/>
        <v>2.4370093995452542E-6</v>
      </c>
    </row>
    <row r="102" spans="1:7" x14ac:dyDescent="0.45">
      <c r="B102" s="5">
        <f>SUM(B11:B101)</f>
        <v>496128.35714830412</v>
      </c>
      <c r="C102" s="8">
        <f si="2" t="shared"/>
        <v>1</v>
      </c>
      <c r="F102" s="5">
        <f>SUM(F11:F101)</f>
        <v>410339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M102"/>
  <sheetViews>
    <sheetView workbookViewId="0">
      <selection activeCell="K11" sqref="K11:L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7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0.0</v>
      </c>
      <c r="C11" s="8">
        <f>B11/B$102</f>
        <v>0</v>
      </c>
      <c r="E11" s="9">
        <v>0</v>
      </c>
      <c r="F11" s="9" t="n">
        <v>3512.0</v>
      </c>
      <c r="G11" s="8">
        <f>F11/F$102</f>
        <v>8.5075998138124821E-3</v>
      </c>
      <c r="K11" s="5" t="n">
        <v>14.453182065428113</v>
      </c>
      <c r="L11" s="5" t="n">
        <v>15.39969024834891</v>
      </c>
    </row>
    <row r="12" spans="1:12" x14ac:dyDescent="0.45">
      <c r="A12">
        <v>1</v>
      </c>
      <c r="B12" s="5" t="n">
        <v>0.0</v>
      </c>
      <c r="C12" s="8">
        <f>B12/B$102</f>
        <v>0</v>
      </c>
      <c r="E12" s="9">
        <v>1</v>
      </c>
      <c r="F12" s="9" t="n">
        <v>12469.0</v>
      </c>
      <c r="G12" s="8">
        <f>F12/F$102</f>
        <v>3.0109251131381614E-2</v>
      </c>
      <c r="K12" s="5"/>
      <c r="L12" s="9"/>
    </row>
    <row r="13" spans="1:12" x14ac:dyDescent="0.45">
      <c r="A13">
        <v>2</v>
      </c>
      <c r="B13" s="5" t="n">
        <v>3414.631739193757</v>
      </c>
      <c r="C13" s="8">
        <f ref="C13:C76" si="0" t="shared">B13/B$102</f>
        <v>6.8825570842608519E-3</v>
      </c>
      <c r="E13" s="9">
        <v>2</v>
      </c>
      <c r="F13" s="9" t="n">
        <v>7262.0</v>
      </c>
      <c r="G13" s="8">
        <f ref="G13:G76" si="1" t="shared">F13/F$102</f>
        <v>1.7636637024509003E-2</v>
      </c>
    </row>
    <row r="14" spans="1:12" x14ac:dyDescent="0.45">
      <c r="A14">
        <v>3</v>
      </c>
      <c r="B14" s="5" t="n">
        <v>23371.902793246136</v>
      </c>
      <c r="C14" s="8">
        <f si="0" t="shared"/>
        <v>4.7108580786604286E-2</v>
      </c>
      <c r="E14" s="9">
        <v>3</v>
      </c>
      <c r="F14" s="9" t="n">
        <v>11616.0</v>
      </c>
      <c r="G14" s="8">
        <f si="1" t="shared"/>
        <v>2.8015860057172239E-2</v>
      </c>
    </row>
    <row r="15" spans="1:12" x14ac:dyDescent="0.45">
      <c r="A15">
        <v>4</v>
      </c>
      <c r="B15" s="5" t="n">
        <v>27202.59245486441</v>
      </c>
      <c r="C15" s="8">
        <f si="0" t="shared"/>
        <v>5.4829747308180868E-2</v>
      </c>
      <c r="E15" s="9">
        <v>4</v>
      </c>
      <c r="F15" s="9" t="n">
        <v>17921.0</v>
      </c>
      <c r="G15" s="8">
        <f si="1" t="shared"/>
        <v>4.2425896636683329E-2</v>
      </c>
    </row>
    <row r="16" spans="1:12" x14ac:dyDescent="0.45">
      <c r="A16">
        <v>5</v>
      </c>
      <c r="B16" s="5" t="n">
        <v>37120.564412025335</v>
      </c>
      <c r="C16" s="8">
        <f si="0" t="shared"/>
        <v>7.4820485217556645E-2</v>
      </c>
      <c r="E16" s="9">
        <v>5</v>
      </c>
      <c r="F16" s="9" t="n">
        <v>23691.0</v>
      </c>
      <c r="G16" s="8">
        <f si="1" t="shared"/>
        <v>5.6684838633422607E-2</v>
      </c>
    </row>
    <row r="17" spans="1:7" x14ac:dyDescent="0.45">
      <c r="A17">
        <v>6</v>
      </c>
      <c r="B17" s="5" t="n">
        <v>34567.002756663445</v>
      </c>
      <c r="C17" s="8">
        <f si="0" t="shared"/>
        <v>6.9673507386981692E-2</v>
      </c>
      <c r="E17" s="9">
        <v>6</v>
      </c>
      <c r="F17" s="9" t="n">
        <v>26731.0</v>
      </c>
      <c r="G17" s="8">
        <f si="1" t="shared"/>
        <v>6.5826060891116853E-2</v>
      </c>
    </row>
    <row r="18" spans="1:7" x14ac:dyDescent="0.45">
      <c r="A18">
        <v>7</v>
      </c>
      <c r="B18" s="5" t="n">
        <v>39085.67076158576</v>
      </c>
      <c r="C18" s="8">
        <f si="0" t="shared"/>
        <v>7.8781368164977064E-2</v>
      </c>
      <c r="E18" s="9">
        <v>7</v>
      </c>
      <c r="F18" s="9" t="n">
        <v>27597.0</v>
      </c>
      <c r="G18" s="8">
        <f si="1" t="shared"/>
        <v>6.7480790273408087E-2</v>
      </c>
    </row>
    <row r="19" spans="1:7" x14ac:dyDescent="0.45">
      <c r="A19">
        <v>8</v>
      </c>
      <c r="B19" s="5" t="n">
        <v>39861.290592476136</v>
      </c>
      <c r="C19" s="8">
        <f si="0" t="shared"/>
        <v>8.034471325443851E-2</v>
      </c>
      <c r="E19" s="9">
        <v>8</v>
      </c>
      <c r="F19" s="9" t="n">
        <v>26253.0</v>
      </c>
      <c r="G19" s="8">
        <f si="1" t="shared"/>
        <v>6.5404458264995524E-2</v>
      </c>
    </row>
    <row r="20" spans="1:7" x14ac:dyDescent="0.45">
      <c r="A20">
        <v>9</v>
      </c>
      <c r="B20" s="5" t="n">
        <v>31598.541640541884</v>
      </c>
      <c r="C20" s="8">
        <f si="0" t="shared"/>
        <v>6.3690255123023273E-2</v>
      </c>
      <c r="E20" s="9">
        <v>9</v>
      </c>
      <c r="F20" s="9" t="n">
        <v>24177.0</v>
      </c>
      <c r="G20" s="8">
        <f si="1" t="shared"/>
        <v>6.1212802097777692E-2</v>
      </c>
    </row>
    <row r="21" spans="1:7" x14ac:dyDescent="0.45">
      <c r="A21">
        <v>10</v>
      </c>
      <c r="B21" s="5" t="n">
        <v>25231.12805159594</v>
      </c>
      <c r="C21" s="8">
        <f si="0" t="shared"/>
        <v>5.0856049020503356E-2</v>
      </c>
      <c r="E21" s="9">
        <v>10</v>
      </c>
      <c r="F21" s="9" t="n">
        <v>21296.0</v>
      </c>
      <c r="G21" s="8">
        <f si="1" t="shared"/>
        <v>5.4947250931546843E-2</v>
      </c>
    </row>
    <row r="22" spans="1:7" x14ac:dyDescent="0.45">
      <c r="A22">
        <v>11</v>
      </c>
      <c r="B22" s="5" t="n">
        <v>26968.30949115629</v>
      </c>
      <c r="C22" s="8">
        <f si="0" t="shared"/>
        <v>5.4357524827178663E-2</v>
      </c>
      <c r="E22" s="9">
        <v>11</v>
      </c>
      <c r="F22" s="9" t="n">
        <v>19388.0</v>
      </c>
      <c r="G22" s="8">
        <f si="1" t="shared"/>
        <v>4.838194760917193E-2</v>
      </c>
    </row>
    <row r="23" spans="1:7" x14ac:dyDescent="0.45">
      <c r="A23">
        <v>12</v>
      </c>
      <c r="B23" s="5" t="n">
        <v>14010.578958740825</v>
      </c>
      <c r="C23" s="8">
        <f si="0" t="shared"/>
        <v>2.823982696589292E-2</v>
      </c>
      <c r="E23" s="9">
        <v>12</v>
      </c>
      <c r="F23" s="9" t="n">
        <v>16822.0</v>
      </c>
      <c r="G23" s="8">
        <f si="1" t="shared"/>
        <v>4.3573728063869145E-2</v>
      </c>
    </row>
    <row r="24" spans="1:7" x14ac:dyDescent="0.45">
      <c r="A24">
        <v>13</v>
      </c>
      <c r="B24" s="5" t="n">
        <v>16154.214398874192</v>
      </c>
      <c r="C24" s="8">
        <f si="0" t="shared"/>
        <v>3.2560554473699099E-2</v>
      </c>
      <c r="E24" s="9">
        <v>13</v>
      </c>
      <c r="F24" s="9" t="n">
        <v>14717.0</v>
      </c>
      <c r="G24" s="8">
        <f si="1" t="shared"/>
        <v>3.8061212802097781E-2</v>
      </c>
    </row>
    <row r="25" spans="1:7" x14ac:dyDescent="0.45">
      <c r="A25">
        <v>14</v>
      </c>
      <c r="B25" s="5" t="n">
        <v>16074.627743730933</v>
      </c>
      <c r="C25" s="8">
        <f si="0" t="shared"/>
        <v>3.2400139020728996E-2</v>
      </c>
      <c r="E25" s="9">
        <v>14</v>
      </c>
      <c r="F25" s="9" t="n">
        <v>13238.0</v>
      </c>
      <c r="G25" s="8">
        <f si="1" t="shared"/>
        <v>3.3379717745571344E-2</v>
      </c>
    </row>
    <row r="26" spans="1:7" x14ac:dyDescent="0.45">
      <c r="A26">
        <v>15</v>
      </c>
      <c r="B26" s="5" t="n">
        <v>13605.083859060751</v>
      </c>
      <c r="C26" s="8">
        <f si="0" t="shared"/>
        <v>2.742250803252088E-2</v>
      </c>
      <c r="E26" s="9">
        <v>15</v>
      </c>
      <c r="F26" s="9" t="n">
        <v>11851.0</v>
      </c>
      <c r="G26" s="8">
        <f si="1" t="shared"/>
        <v>2.988992028542254E-2</v>
      </c>
    </row>
    <row r="27" spans="1:7" x14ac:dyDescent="0.45">
      <c r="A27">
        <v>16</v>
      </c>
      <c r="B27" s="5" t="n">
        <v>10348.610333131652</v>
      </c>
      <c r="C27" s="8">
        <f si="0" t="shared"/>
        <v>2.0858735817106743E-2</v>
      </c>
      <c r="E27" s="9">
        <v>16</v>
      </c>
      <c r="F27" s="9" t="n">
        <v>10138.0</v>
      </c>
      <c r="G27" s="8">
        <f si="1" t="shared"/>
        <v>2.6300205439892383E-2</v>
      </c>
    </row>
    <row r="28" spans="1:7" x14ac:dyDescent="0.45">
      <c r="A28">
        <v>17</v>
      </c>
      <c r="B28" s="5" t="n">
        <v>11460.745334102161</v>
      </c>
      <c r="C28" s="8">
        <f si="0" t="shared"/>
        <v>2.3100363381721167E-2</v>
      </c>
      <c r="E28" s="9">
        <v>17</v>
      </c>
      <c r="F28" s="9" t="n">
        <v>8973.0</v>
      </c>
      <c r="G28" s="8">
        <f si="1" t="shared"/>
        <v>2.2744608725955857E-2</v>
      </c>
    </row>
    <row r="29" spans="1:7" x14ac:dyDescent="0.45">
      <c r="A29">
        <v>18</v>
      </c>
      <c r="B29" s="5" t="n">
        <v>10477.66281624584</v>
      </c>
      <c r="C29" s="8">
        <f si="0" t="shared"/>
        <v>2.1118854960176833E-2</v>
      </c>
      <c r="E29" s="9">
        <v>18</v>
      </c>
      <c r="F29" s="9" t="n">
        <v>8284.0</v>
      </c>
      <c r="G29" s="8">
        <f si="1" t="shared"/>
        <v>2.0592729426157398E-2</v>
      </c>
    </row>
    <row r="30" spans="1:7" x14ac:dyDescent="0.45">
      <c r="A30">
        <v>19</v>
      </c>
      <c r="B30" s="5" t="n">
        <v>8589.110246450888</v>
      </c>
      <c r="C30" s="8">
        <f si="0" t="shared"/>
        <v>1.7312274379598525E-2</v>
      </c>
      <c r="E30" s="9">
        <v>19</v>
      </c>
      <c r="F30" s="9" t="n">
        <v>7320.0</v>
      </c>
      <c r="G30" s="8">
        <f si="1" t="shared"/>
        <v>1.9069598551441611E-2</v>
      </c>
    </row>
    <row r="31" spans="1:7" x14ac:dyDescent="0.45">
      <c r="A31">
        <v>20</v>
      </c>
      <c r="B31" s="5" t="n">
        <v>6200.177045236764</v>
      </c>
      <c r="C31" s="8">
        <f si="0" t="shared"/>
        <v>1.249712288343033E-2</v>
      </c>
      <c r="E31" s="9">
        <v>20</v>
      </c>
      <c r="F31" s="9" t="n">
        <v>6816.0</v>
      </c>
      <c r="G31" s="8">
        <f si="1" t="shared"/>
        <v>1.6873853082451339E-2</v>
      </c>
    </row>
    <row r="32" spans="1:7" x14ac:dyDescent="0.45">
      <c r="A32">
        <v>21</v>
      </c>
      <c r="B32" s="5" t="n">
        <v>6902.998410534388</v>
      </c>
      <c r="C32" s="8">
        <f si="0" t="shared"/>
        <v>1.3913734845176219E-2</v>
      </c>
      <c r="E32" s="9">
        <v>21</v>
      </c>
      <c r="F32" s="9" t="n">
        <v>6161.0</v>
      </c>
      <c r="G32" s="8">
        <f si="1" t="shared"/>
        <v>1.5182568559166932E-2</v>
      </c>
    </row>
    <row r="33" spans="1:7" x14ac:dyDescent="0.45">
      <c r="A33">
        <v>22</v>
      </c>
      <c r="B33" s="5" t="n">
        <v>8954.650063027862</v>
      </c>
      <c r="C33" s="8">
        <f si="0" t="shared"/>
        <v>1.8049059147713899E-2</v>
      </c>
      <c r="E33" s="9">
        <v>22</v>
      </c>
      <c r="F33" s="9" t="n">
        <v>5646.0</v>
      </c>
      <c r="G33" s="8">
        <f si="1" t="shared"/>
        <v>1.4046922178978844E-2</v>
      </c>
    </row>
    <row r="34" spans="1:7" x14ac:dyDescent="0.45">
      <c r="A34">
        <v>23</v>
      </c>
      <c r="B34" s="5" t="n">
        <v>3841.8106336991777</v>
      </c>
      <c r="C34" s="8">
        <f si="0" t="shared"/>
        <v>7.7435820354666294E-3</v>
      </c>
      <c r="E34" s="9">
        <v>23</v>
      </c>
      <c r="F34" s="9" t="n">
        <v>5319.0</v>
      </c>
      <c r="G34" s="8">
        <f si="1" t="shared"/>
        <v>1.2579842520452602E-2</v>
      </c>
    </row>
    <row r="35" spans="1:7" x14ac:dyDescent="0.45">
      <c r="A35">
        <v>24</v>
      </c>
      <c r="B35" s="5" t="n">
        <v>7229.883250121655</v>
      </c>
      <c r="C35" s="8">
        <f si="0" t="shared"/>
        <v>1.4572606354690749E-2</v>
      </c>
      <c r="E35" s="9">
        <v>24</v>
      </c>
      <c r="F35" s="9" t="n">
        <v>4833.0</v>
      </c>
      <c r="G35" s="8">
        <f si="1" t="shared"/>
        <v>1.1790251474999939E-2</v>
      </c>
    </row>
    <row r="36" spans="1:7" x14ac:dyDescent="0.45">
      <c r="A36">
        <v>25</v>
      </c>
      <c r="B36" s="5" t="n">
        <v>10502.975591019222</v>
      </c>
      <c r="C36" s="8">
        <f si="0" t="shared"/>
        <v>2.1169875576935924E-2</v>
      </c>
      <c r="E36" s="9">
        <v>25</v>
      </c>
      <c r="F36" s="9" t="n">
        <v>4465.0</v>
      </c>
      <c r="G36" s="8">
        <f si="1" t="shared"/>
        <v>1.079838864938502E-2</v>
      </c>
    </row>
    <row r="37" spans="1:7" x14ac:dyDescent="0.45">
      <c r="A37">
        <v>26</v>
      </c>
      <c r="B37" s="5" t="n">
        <v>3780.81255623965</v>
      </c>
      <c r="C37" s="8">
        <f si="0" t="shared"/>
        <v>7.6206338576802618E-3</v>
      </c>
      <c r="E37" s="9">
        <v>26</v>
      </c>
      <c r="F37" s="9" t="n">
        <v>4035.0</v>
      </c>
      <c r="G37" s="8">
        <f si="1" t="shared"/>
        <v>9.7236675041855632E-3</v>
      </c>
    </row>
    <row r="38" spans="1:7" x14ac:dyDescent="0.45">
      <c r="A38">
        <v>27</v>
      </c>
      <c r="B38" s="5" t="n">
        <v>4162.334840812222</v>
      </c>
      <c r="C38" s="8">
        <f si="0" t="shared"/>
        <v>8.3896330069438193E-3</v>
      </c>
      <c r="E38" s="9">
        <v>27</v>
      </c>
      <c r="F38" s="9" t="n">
        <v>3806.0</v>
      </c>
      <c r="G38" s="8">
        <f si="1" t="shared"/>
        <v>9.255761699472875E-3</v>
      </c>
    </row>
    <row r="39" spans="1:7" x14ac:dyDescent="0.45">
      <c r="A39">
        <v>28</v>
      </c>
      <c r="B39" s="5" t="n">
        <v>3113.1524649490466</v>
      </c>
      <c r="C39" s="8">
        <f si="0" t="shared"/>
        <v>6.2748932208655343E-3</v>
      </c>
      <c r="E39" s="9">
        <v>28</v>
      </c>
      <c r="F39" s="9" t="n">
        <v>3423.0</v>
      </c>
      <c r="G39" s="8">
        <f si="1" t="shared"/>
        <v>8.4052454190315807E-3</v>
      </c>
    </row>
    <row r="40" spans="1:7" x14ac:dyDescent="0.45">
      <c r="A40">
        <v>29</v>
      </c>
      <c r="B40" s="5" t="n">
        <v>4001.901168892851</v>
      </c>
      <c r="C40" s="8">
        <f si="0" t="shared"/>
        <v>8.0662617067393163E-3</v>
      </c>
      <c r="E40" s="9">
        <v>29</v>
      </c>
      <c r="F40" s="9" t="n">
        <v>3246.0</v>
      </c>
      <c r="G40" s="8">
        <f si="1" t="shared"/>
        <v>7.9641467177138901E-3</v>
      </c>
    </row>
    <row r="41" spans="1:7" x14ac:dyDescent="0.45">
      <c r="A41">
        <v>30</v>
      </c>
      <c r="B41" s="5" t="n">
        <v>2645.224692192361</v>
      </c>
      <c r="C41" s="8">
        <f si="0" t="shared"/>
        <v>5.3317345281306792E-3</v>
      </c>
      <c r="E41" s="9">
        <v>30</v>
      </c>
      <c r="F41" s="9" t="n">
        <v>3064.0</v>
      </c>
      <c r="G41" s="8">
        <f si="1" t="shared"/>
        <v>7.2111108132544071E-3</v>
      </c>
    </row>
    <row r="42" spans="1:7" x14ac:dyDescent="0.45">
      <c r="A42">
        <v>31</v>
      </c>
      <c r="B42" s="5" t="n">
        <v>3998.928829574997</v>
      </c>
      <c r="C42" s="8">
        <f si="0" t="shared"/>
        <v>8.060270637543155E-3</v>
      </c>
      <c r="E42" s="9">
        <v>31</v>
      </c>
      <c r="F42" s="9" t="n">
        <v>2783.0</v>
      </c>
      <c r="G42" s="8">
        <f si="1" t="shared"/>
        <v>6.8114412717289853E-3</v>
      </c>
    </row>
    <row r="43" spans="1:7" x14ac:dyDescent="0.45">
      <c r="A43">
        <v>32</v>
      </c>
      <c r="B43" s="5" t="n">
        <v>2563.101441261637</v>
      </c>
      <c r="C43" s="8">
        <f si="0" t="shared"/>
        <v>5.1662062938592889E-3</v>
      </c>
      <c r="E43" s="9">
        <v>32</v>
      </c>
      <c r="F43" s="9" t="n">
        <v>2689.0</v>
      </c>
      <c r="G43" s="8">
        <f si="1" t="shared"/>
        <v>6.0315982638745038E-3</v>
      </c>
    </row>
    <row r="44" spans="1:7" x14ac:dyDescent="0.45">
      <c r="A44">
        <v>33</v>
      </c>
      <c r="B44" s="5" t="n">
        <v>4800.357343515906</v>
      </c>
      <c r="C44" s="8">
        <f si="0" t="shared"/>
        <v>9.6756359001688181E-3</v>
      </c>
      <c r="E44" s="9">
        <v>33</v>
      </c>
      <c r="F44" s="9" t="n">
        <v>2338.0</v>
      </c>
      <c r="G44" s="8">
        <f si="1" t="shared"/>
        <v>5.8805036811026981E-3</v>
      </c>
    </row>
    <row r="45" spans="1:7" x14ac:dyDescent="0.45">
      <c r="A45">
        <v>34</v>
      </c>
      <c r="B45" s="5" t="n">
        <v>1573.05805090056</v>
      </c>
      <c r="C45" s="8">
        <f si="0" t="shared"/>
        <v>3.1706674860157965E-3</v>
      </c>
      <c r="E45" s="9">
        <v>34</v>
      </c>
      <c r="F45" s="9" t="n">
        <v>2309.0</v>
      </c>
      <c r="G45" s="8">
        <f si="1" t="shared"/>
        <v>5.4345309609859166E-3</v>
      </c>
    </row>
    <row r="46" spans="1:7" x14ac:dyDescent="0.45">
      <c r="A46">
        <v>35</v>
      </c>
      <c r="B46" s="5" t="n">
        <v>1736.3708716519802</v>
      </c>
      <c r="C46" s="8">
        <f si="0" t="shared"/>
        <v>3.4998420199814141E-3</v>
      </c>
      <c r="E46" s="9">
        <v>35</v>
      </c>
      <c r="F46" s="9" t="n">
        <v>2183.0</v>
      </c>
      <c r="G46" s="8">
        <f si="1" t="shared"/>
        <v>4.9422550622777754E-3</v>
      </c>
    </row>
    <row r="47" spans="1:7" x14ac:dyDescent="0.45">
      <c r="A47">
        <v>36</v>
      </c>
      <c r="B47" s="5" t="n">
        <v>1283.0526350309867</v>
      </c>
      <c r="C47" s="8">
        <f si="0" t="shared"/>
        <v>2.5861304167450632E-3</v>
      </c>
      <c r="E47" s="9">
        <v>36</v>
      </c>
      <c r="F47" s="9" t="n">
        <v>2066.0</v>
      </c>
      <c r="G47" s="8">
        <f si="1" t="shared"/>
        <v>4.5937627181428043E-3</v>
      </c>
    </row>
    <row r="48" spans="1:7" x14ac:dyDescent="0.45">
      <c r="A48">
        <v>37</v>
      </c>
      <c r="B48" s="5" t="n">
        <v>1302.48185497296</v>
      </c>
      <c r="C48" s="8">
        <f si="0" t="shared"/>
        <v>2.6252920967055689E-3</v>
      </c>
      <c r="E48" s="9">
        <v>37</v>
      </c>
      <c r="F48" s="9" t="n">
        <v>1968.0</v>
      </c>
      <c r="G48" s="8">
        <f si="1" t="shared"/>
        <v>4.1648490638228394E-3</v>
      </c>
    </row>
    <row r="49" spans="1:7" x14ac:dyDescent="0.45">
      <c r="A49">
        <v>38</v>
      </c>
      <c r="B49" s="5" t="n">
        <v>3673.2850840909173</v>
      </c>
      <c r="C49" s="8">
        <f si="0" t="shared"/>
        <v>7.4039006865170781E-3</v>
      </c>
      <c r="E49" s="9">
        <v>38</v>
      </c>
      <c r="F49" s="9" t="n">
        <v>1742.0</v>
      </c>
      <c r="G49" s="8">
        <f si="1" t="shared"/>
        <v>4.0356875656469404E-3</v>
      </c>
    </row>
    <row r="50" spans="1:7" x14ac:dyDescent="0.45">
      <c r="A50">
        <v>39</v>
      </c>
      <c r="B50" s="5" t="n">
        <v>3308.4457588548034</v>
      </c>
      <c r="C50" s="8">
        <f si="0" t="shared"/>
        <v>6.6685278339488965E-3</v>
      </c>
      <c r="E50" s="9">
        <v>39</v>
      </c>
      <c r="F50" s="9" t="n">
        <v>1572.0</v>
      </c>
      <c r="G50" s="8">
        <f si="1" t="shared"/>
        <v>3.9698883118592185E-3</v>
      </c>
    </row>
    <row r="51" spans="1:7" x14ac:dyDescent="0.45">
      <c r="A51">
        <v>40</v>
      </c>
      <c r="B51" s="5" t="n">
        <v>2010.553313896486</v>
      </c>
      <c r="C51" s="8">
        <f si="0" t="shared"/>
        <v>4.0524861861413151E-3</v>
      </c>
      <c r="E51" s="9">
        <v>40</v>
      </c>
      <c r="F51" s="9" t="n">
        <v>1479.0</v>
      </c>
      <c r="G51" s="8">
        <f si="1" t="shared"/>
        <v>3.3776950277697223E-3</v>
      </c>
    </row>
    <row r="52" spans="1:7" x14ac:dyDescent="0.45">
      <c r="A52">
        <v>41</v>
      </c>
      <c r="B52" s="5" t="n">
        <v>3658.34821104301</v>
      </c>
      <c r="C52" s="8">
        <f si="0" t="shared"/>
        <v>7.373793814308114E-3</v>
      </c>
      <c r="E52" s="9">
        <v>41</v>
      </c>
      <c r="F52" s="9" t="n">
        <v>1335.0</v>
      </c>
      <c r="G52" s="8">
        <f si="1" t="shared"/>
        <v>3.2729036235892763E-3</v>
      </c>
    </row>
    <row r="53" spans="1:7" x14ac:dyDescent="0.45">
      <c r="A53">
        <v>42</v>
      </c>
      <c r="B53" s="5" t="n">
        <v>1347.5028333618668</v>
      </c>
      <c r="C53" s="8">
        <f si="0" t="shared"/>
        <v>2.716036714988795E-3</v>
      </c>
      <c r="E53" s="9">
        <v>42</v>
      </c>
      <c r="F53" s="9" t="n">
        <v>1361.0</v>
      </c>
      <c r="G53" s="8">
        <f si="1" t="shared"/>
        <v>2.9439073546506669E-3</v>
      </c>
    </row>
    <row r="54" spans="1:7" x14ac:dyDescent="0.45">
      <c r="A54">
        <v>43</v>
      </c>
      <c r="B54" s="5" t="n">
        <v>1775.3359955014084</v>
      </c>
      <c r="C54" s="8">
        <f si="0" t="shared"/>
        <v>3.5783804128952878E-3</v>
      </c>
      <c r="E54" s="9">
        <v>43</v>
      </c>
      <c r="F54" s="9" t="n">
        <v>1181.0</v>
      </c>
      <c r="G54" s="8">
        <f si="1" t="shared"/>
        <v>2.6149110857120574E-3</v>
      </c>
    </row>
    <row r="55" spans="1:7" x14ac:dyDescent="0.45">
      <c r="A55">
        <v>44</v>
      </c>
      <c r="B55" s="5" t="n">
        <v>1081.142428665582</v>
      </c>
      <c r="C55" s="8">
        <f si="0" t="shared"/>
        <v>2.1791587057830766E-3</v>
      </c>
      <c r="E55" s="9">
        <v>44</v>
      </c>
      <c r="F55" s="9" t="n">
        <v>1164.0</v>
      </c>
      <c r="G55" s="8">
        <f si="1" t="shared"/>
        <v>2.4954976251343403E-3</v>
      </c>
    </row>
    <row r="56" spans="1:7" x14ac:dyDescent="0.45">
      <c r="A56">
        <v>45</v>
      </c>
      <c r="B56" s="5" t="n">
        <v>257.32935839104164</v>
      </c>
      <c r="C56" s="8">
        <f si="0" t="shared"/>
        <v>5.1867496522501764E-4</v>
      </c>
      <c r="E56" s="9">
        <v>45</v>
      </c>
      <c r="F56" s="9" t="n">
        <v>1091.0</v>
      </c>
      <c r="G56" s="8">
        <f si="1" t="shared"/>
        <v>2.1518792997984593E-3</v>
      </c>
    </row>
    <row r="57" spans="1:7" x14ac:dyDescent="0.45">
      <c r="A57">
        <v>46</v>
      </c>
      <c r="B57" s="5" t="n">
        <v>449.72610523308276</v>
      </c>
      <c r="C57" s="8">
        <f si="0" t="shared"/>
        <v>9.0647127654235157E-4</v>
      </c>
      <c r="E57" s="9">
        <v>46</v>
      </c>
      <c r="F57" s="9" t="n">
        <v>979.0</v>
      </c>
      <c r="G57" s="8">
        <f si="1" t="shared"/>
        <v>2.1567533185975498E-3</v>
      </c>
    </row>
    <row r="58" spans="1:7" x14ac:dyDescent="0.45">
      <c r="A58">
        <v>47</v>
      </c>
      <c r="B58" s="5" t="n">
        <v>534.9901986379654</v>
      </c>
      <c r="C58" s="8">
        <f si="0" t="shared"/>
        <v>1.0783302162227441E-3</v>
      </c>
      <c r="E58" s="9">
        <v>47</v>
      </c>
      <c r="F58" s="9" t="n">
        <v>949.0</v>
      </c>
      <c r="G58" s="8">
        <f si="1" t="shared"/>
        <v>1.9496075196362033E-3</v>
      </c>
    </row>
    <row r="59" spans="1:7" x14ac:dyDescent="0.45">
      <c r="A59">
        <v>48</v>
      </c>
      <c r="B59" s="5" t="n">
        <v>998.1480699683225</v>
      </c>
      <c r="C59" s="8">
        <f si="0" t="shared"/>
        <v>2.0118746602302228E-3</v>
      </c>
      <c r="E59" s="9">
        <v>48</v>
      </c>
      <c r="F59" s="9" t="n">
        <v>863.0</v>
      </c>
      <c r="G59" s="8">
        <f si="1" t="shared"/>
        <v>1.9349854632389318E-3</v>
      </c>
    </row>
    <row r="60" spans="1:7" x14ac:dyDescent="0.45">
      <c r="A60">
        <v>49</v>
      </c>
      <c r="B60" s="5" t="n">
        <v>282.23948653962117</v>
      </c>
      <c r="C60" s="8">
        <f si="0" t="shared"/>
        <v>5.6888400445784932E-4</v>
      </c>
      <c r="E60" s="9">
        <v>49</v>
      </c>
      <c r="F60" s="9" t="n">
        <v>813.0</v>
      </c>
      <c r="G60" s="8">
        <f si="1" t="shared"/>
        <v>1.6815364856862254E-3</v>
      </c>
    </row>
    <row r="61" spans="1:7" x14ac:dyDescent="0.45">
      <c r="A61">
        <v>50</v>
      </c>
      <c r="B61" s="5" t="n">
        <v>158.3058596072953</v>
      </c>
      <c r="C61" s="8">
        <f si="0" t="shared"/>
        <v>3.1908246591108303E-4</v>
      </c>
      <c r="E61" s="9">
        <v>50</v>
      </c>
      <c r="F61" s="9" t="n">
        <v>731.0</v>
      </c>
      <c r="G61" s="8">
        <f si="1" t="shared"/>
        <v>1.5133828371176028E-3</v>
      </c>
    </row>
    <row r="62" spans="1:7" x14ac:dyDescent="0.45">
      <c r="A62">
        <v>51</v>
      </c>
      <c r="B62" s="5" t="n">
        <v>1815.8267695321974</v>
      </c>
      <c r="C62" s="8">
        <f si="0" t="shared"/>
        <v>3.6599939176413698E-3</v>
      </c>
      <c r="E62" s="9">
        <v>51</v>
      </c>
      <c r="F62" s="9" t="n">
        <v>702.0</v>
      </c>
      <c r="G62" s="8">
        <f si="1" t="shared"/>
        <v>1.5743080721062341E-3</v>
      </c>
    </row>
    <row r="63" spans="1:7" x14ac:dyDescent="0.45">
      <c r="A63">
        <v>52</v>
      </c>
      <c r="B63" s="5" t="n">
        <v>758.47243944898</v>
      </c>
      <c r="C63" s="8">
        <f si="0" t="shared"/>
        <v>1.5287826799673448E-3</v>
      </c>
      <c r="E63" s="9">
        <v>52</v>
      </c>
      <c r="F63" s="9" t="n">
        <v>696.0</v>
      </c>
      <c r="G63" s="8">
        <f si="1" t="shared"/>
        <v>1.4841387243230597E-3</v>
      </c>
    </row>
    <row r="64" spans="1:7" x14ac:dyDescent="0.45">
      <c r="A64">
        <v>53</v>
      </c>
      <c r="B64" s="5" t="n">
        <v>35.2093368389291</v>
      </c>
      <c r="C64" s="8">
        <f si="0" t="shared"/>
        <v>7.0968200731981617E-5</v>
      </c>
      <c r="E64" s="9">
        <v>53</v>
      </c>
      <c r="F64" s="9" t="n">
        <v>601.0</v>
      </c>
      <c r="G64" s="8">
        <f si="1" t="shared"/>
        <v>1.372036291943978E-3</v>
      </c>
    </row>
    <row r="65" spans="1:7" x14ac:dyDescent="0.45">
      <c r="A65">
        <v>54</v>
      </c>
      <c r="B65" s="5" t="n">
        <v>421.6936517337012</v>
      </c>
      <c r="C65" s="8">
        <f si="0" t="shared"/>
        <v>8.4996885515182814E-4</v>
      </c>
      <c r="E65" s="9">
        <v>54</v>
      </c>
      <c r="F65" s="9" t="n">
        <v>576.0</v>
      </c>
      <c r="G65" s="8">
        <f si="1" t="shared"/>
        <v>1.2891779723594394E-3</v>
      </c>
    </row>
    <row r="66" spans="1:7" x14ac:dyDescent="0.45">
      <c r="A66">
        <v>55</v>
      </c>
      <c r="B66" s="5" t="n">
        <v>313.014290237758</v>
      </c>
      <c r="C66" s="8">
        <f si="0" t="shared"/>
        <v>6.3091392726860606E-4</v>
      </c>
      <c r="E66" s="9">
        <v>55</v>
      </c>
      <c r="F66" s="9" t="n">
        <v>571.0</v>
      </c>
      <c r="G66" s="8">
        <f si="1" t="shared"/>
        <v>1.1843865681789934E-3</v>
      </c>
    </row>
    <row r="67" spans="1:7" x14ac:dyDescent="0.45">
      <c r="A67">
        <v>56</v>
      </c>
      <c r="B67" s="5" t="n">
        <v>589.31736438921</v>
      </c>
      <c r="C67" s="8">
        <f si="0" t="shared"/>
        <v>1.1878324548440392E-3</v>
      </c>
      <c r="E67" s="9">
        <v>56</v>
      </c>
      <c r="F67" s="9" t="n">
        <v>562.0</v>
      </c>
      <c r="G67" s="8">
        <f si="1" t="shared"/>
        <v>1.1234613331903621E-3</v>
      </c>
    </row>
    <row r="68" spans="1:7" x14ac:dyDescent="0.45">
      <c r="A68">
        <v>57</v>
      </c>
      <c r="B68" s="5" t="n">
        <v>355.710382378764</v>
      </c>
      <c r="C68" s="8">
        <f si="0" t="shared"/>
        <v>7.1697248757025627E-4</v>
      </c>
      <c r="E68" s="9">
        <v>57</v>
      </c>
      <c r="F68" s="9" t="n">
        <v>493.0</v>
      </c>
      <c r="G68" s="8">
        <f si="1" t="shared"/>
        <v>1.0308549760076424E-3</v>
      </c>
    </row>
    <row r="69" spans="1:7" x14ac:dyDescent="0.45">
      <c r="A69">
        <v>58</v>
      </c>
      <c r="B69" s="5" t="n">
        <v>127.45780171968289</v>
      </c>
      <c r="C69" s="8">
        <f si="0" t="shared"/>
        <v>2.5690489141216914E-4</v>
      </c>
      <c r="E69" s="9">
        <v>58</v>
      </c>
      <c r="F69" s="9" t="n">
        <v>468.0</v>
      </c>
      <c r="G69" s="8">
        <f si="1" t="shared"/>
        <v>9.5287067522219432E-4</v>
      </c>
    </row>
    <row r="70" spans="1:7" x14ac:dyDescent="0.45">
      <c r="A70">
        <v>59</v>
      </c>
      <c r="B70" s="5" t="n">
        <v>43.8920290261024</v>
      </c>
      <c r="C70" s="8">
        <f si="0" t="shared"/>
        <v>8.8469099566066705E-5</v>
      </c>
      <c r="E70" s="9">
        <v>59</v>
      </c>
      <c r="F70" s="9" t="n">
        <v>411.0</v>
      </c>
      <c r="G70" s="8">
        <f si="1" t="shared"/>
        <v>8.2614618644584112E-4</v>
      </c>
    </row>
    <row r="71" spans="1:7" x14ac:dyDescent="0.45">
      <c r="A71">
        <v>60</v>
      </c>
      <c r="B71" s="5" t="n">
        <v>78.3441108859256</v>
      </c>
      <c r="C71" s="8">
        <f si="0" t="shared"/>
        <v>1.5791097154018712E-4</v>
      </c>
      <c r="E71" s="9">
        <v>60</v>
      </c>
      <c r="F71" s="9" t="n">
        <v>421.0</v>
      </c>
      <c r="G71" s="8">
        <f si="1" t="shared"/>
        <v>6.9942169766948792E-4</v>
      </c>
    </row>
    <row r="72" spans="1:7" x14ac:dyDescent="0.45">
      <c r="A72">
        <v>61</v>
      </c>
      <c r="B72" s="5" t="n">
        <v>487.4460858736105</v>
      </c>
      <c r="C72" s="8">
        <f si="0" t="shared"/>
        <v>9.8249994956023444E-4</v>
      </c>
      <c r="E72" s="9">
        <v>61</v>
      </c>
      <c r="F72" s="9" t="n">
        <v>358.0</v>
      </c>
      <c r="G72" s="8">
        <f si="1" t="shared"/>
        <v>6.8479964127221636E-4</v>
      </c>
    </row>
    <row r="73" spans="1:7" x14ac:dyDescent="0.45">
      <c r="A73">
        <v>62</v>
      </c>
      <c r="B73" s="5" t="n">
        <v>349.3863882777406</v>
      </c>
      <c r="C73" s="8">
        <f si="0" t="shared"/>
        <v>7.0422579810994592E-4</v>
      </c>
      <c r="E73" s="9">
        <v>62</v>
      </c>
      <c r="F73" s="9" t="n">
        <v>402.0</v>
      </c>
      <c r="G73" s="8">
        <f si="1" t="shared"/>
        <v>6.4093347208040179E-4</v>
      </c>
    </row>
    <row r="74" spans="1:7" x14ac:dyDescent="0.45">
      <c r="A74">
        <v>63</v>
      </c>
      <c r="B74" s="5" t="n">
        <v>258.0847900023892</v>
      </c>
      <c r="C74" s="8">
        <f si="0" t="shared"/>
        <v>5.2019761878928817E-4</v>
      </c>
      <c r="E74" s="9">
        <v>63</v>
      </c>
      <c r="F74" s="9" t="n">
        <v>331.0</v>
      </c>
      <c r="G74" s="8">
        <f si="1" t="shared"/>
        <v>6.4337048147994705E-4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299.0</v>
      </c>
      <c r="G75" s="8">
        <f si="1" t="shared"/>
        <v>6.5311851907812809E-4</v>
      </c>
    </row>
    <row r="76" spans="1:7" x14ac:dyDescent="0.45">
      <c r="A76">
        <v>65</v>
      </c>
      <c r="B76" s="5" t="n">
        <v>1132.7481751225241</v>
      </c>
      <c r="C76" s="8">
        <f si="0" t="shared"/>
        <v>2.2831756314705479E-3</v>
      </c>
      <c r="E76" s="9">
        <v>65</v>
      </c>
      <c r="F76" s="9" t="n">
        <v>284.0</v>
      </c>
      <c r="G76" s="8">
        <f si="1" t="shared"/>
        <v>5.0933496450495806E-4</v>
      </c>
    </row>
    <row r="77" spans="1:7" x14ac:dyDescent="0.45">
      <c r="A77">
        <v>66</v>
      </c>
      <c r="B77" s="5" t="n">
        <v>184.592483910485</v>
      </c>
      <c r="C77" s="8">
        <f ref="C77:C102" si="2" t="shared">B77/B$102</f>
        <v>3.7206598101246238E-4</v>
      </c>
      <c r="E77" s="9">
        <v>66</v>
      </c>
      <c r="F77" s="9" t="n">
        <v>276.0</v>
      </c>
      <c r="G77" s="8">
        <f ref="G77:G102" si="3" t="shared">F77/F$102</f>
        <v>5.7513421829267998E-4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249.0</v>
      </c>
      <c r="G78" s="8">
        <f si="3" t="shared"/>
        <v>4.7277982351177927E-4</v>
      </c>
    </row>
    <row r="79" spans="1:7" x14ac:dyDescent="0.45">
      <c r="A79">
        <v>68</v>
      </c>
      <c r="B79" s="5" t="n">
        <v>0.0</v>
      </c>
      <c r="C79" s="8">
        <f si="2" t="shared"/>
        <v>0</v>
      </c>
      <c r="E79" s="9">
        <v>68</v>
      </c>
      <c r="F79" s="9" t="n">
        <v>220.0</v>
      </c>
      <c r="G79" s="8">
        <f si="3" t="shared"/>
        <v>4.7034281411223401E-4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216.0</v>
      </c>
      <c r="G80" s="8">
        <f si="3" t="shared"/>
        <v>4.5328374831541724E-4</v>
      </c>
    </row>
    <row r="81" spans="1:7" x14ac:dyDescent="0.45">
      <c r="A81">
        <v>70</v>
      </c>
      <c r="B81" s="5" t="n">
        <v>432.26806114978103</v>
      </c>
      <c r="C81" s="8">
        <f si="2" t="shared"/>
        <v>8.7128271327689178E-4</v>
      </c>
      <c r="E81" s="9">
        <v>70</v>
      </c>
      <c r="F81" s="9" t="n">
        <v>209.0</v>
      </c>
      <c r="G81" s="8">
        <f si="3" t="shared"/>
        <v>4.2403963552087418E-4</v>
      </c>
    </row>
    <row r="82" spans="1:7" x14ac:dyDescent="0.45">
      <c r="A82">
        <v>71</v>
      </c>
      <c r="B82" s="5" t="n">
        <v>397.5101066518805</v>
      </c>
      <c r="C82" s="8">
        <f si="2" t="shared"/>
        <v>8.0122432214261804E-4</v>
      </c>
      <c r="E82" s="9">
        <v>71</v>
      </c>
      <c r="F82" s="9" t="n">
        <v>207.0</v>
      </c>
      <c r="G82" s="8">
        <f si="3" t="shared"/>
        <v>4.2160262612132897E-4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205.0</v>
      </c>
      <c r="G83" s="8">
        <f si="3" t="shared"/>
        <v>3.0462617494315676E-4</v>
      </c>
    </row>
    <row r="84" spans="1:7" x14ac:dyDescent="0.45">
      <c r="A84">
        <v>73</v>
      </c>
      <c r="B84" s="5" t="n">
        <v>0.0</v>
      </c>
      <c r="C84" s="8">
        <f si="2" t="shared"/>
        <v>0</v>
      </c>
      <c r="E84" s="9">
        <v>73</v>
      </c>
      <c r="F84" s="9" t="n">
        <v>183.0</v>
      </c>
      <c r="G84" s="8">
        <f si="3" t="shared"/>
        <v>3.5092935353451659E-4</v>
      </c>
    </row>
    <row r="85" spans="1:7" x14ac:dyDescent="0.45">
      <c r="A85">
        <v>74</v>
      </c>
      <c r="B85" s="5" t="n">
        <v>76.1949717448681</v>
      </c>
      <c r="C85" s="8">
        <f si="2" t="shared"/>
        <v>1.5357915073193793E-4</v>
      </c>
      <c r="E85" s="9">
        <v>74</v>
      </c>
      <c r="F85" s="9" t="n">
        <v>179.0</v>
      </c>
      <c r="G85" s="8">
        <f si="3" t="shared"/>
        <v>2.9487813734497572E-4</v>
      </c>
    </row>
    <row r="86" spans="1:7" x14ac:dyDescent="0.45">
      <c r="A86">
        <v>75</v>
      </c>
      <c r="B86" s="5" t="n">
        <v>194.622820316533</v>
      </c>
      <c r="C86" s="8">
        <f si="2" t="shared"/>
        <v>3.9228320153922563E-4</v>
      </c>
      <c r="E86" s="9">
        <v>75</v>
      </c>
      <c r="F86" s="9" t="n">
        <v>149.0</v>
      </c>
      <c r="G86" s="8">
        <f si="3" t="shared"/>
        <v>2.8025608094770421E-4</v>
      </c>
    </row>
    <row r="87" spans="1:7" x14ac:dyDescent="0.45">
      <c r="A87">
        <v>76</v>
      </c>
      <c r="B87" s="5" t="n">
        <v>184.3749610020336</v>
      </c>
      <c r="C87" s="8">
        <f si="2" t="shared"/>
        <v>3.716275402232648E-4</v>
      </c>
      <c r="E87" s="9">
        <v>76</v>
      </c>
      <c r="F87" s="9" t="n">
        <v>127.0</v>
      </c>
      <c r="G87" s="8">
        <f si="3" t="shared"/>
        <v>2.4613794935407068E-4</v>
      </c>
    </row>
    <row r="88" spans="1:7" x14ac:dyDescent="0.45">
      <c r="A88">
        <v>77</v>
      </c>
      <c r="B88" s="5" t="n">
        <v>55.002979974894</v>
      </c>
      <c r="C88" s="8">
        <f si="2" t="shared"/>
        <v>1.1086441478782955E-4</v>
      </c>
      <c r="E88" s="9">
        <v>77</v>
      </c>
      <c r="F88" s="9" t="n">
        <v>124.0</v>
      </c>
      <c r="G88" s="8">
        <f si="3" t="shared"/>
        <v>2.2907888355725388E-4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121.0</v>
      </c>
      <c r="G89" s="8">
        <f si="3" t="shared"/>
        <v>2.388269211554349E-4</v>
      </c>
    </row>
    <row r="90" spans="1:7" x14ac:dyDescent="0.45">
      <c r="A90">
        <v>79</v>
      </c>
      <c r="B90" s="5" t="n">
        <v>118.679560525417</v>
      </c>
      <c r="C90" s="8">
        <f si="2" t="shared"/>
        <v>2.39211403290018E-4</v>
      </c>
      <c r="E90" s="9">
        <v>79</v>
      </c>
      <c r="F90" s="9" t="n">
        <v>114.0</v>
      </c>
      <c r="G90" s="8">
        <f si="3" t="shared"/>
        <v>1.6815364856862254E-4</v>
      </c>
    </row>
    <row r="91" spans="1:7" x14ac:dyDescent="0.45">
      <c r="A91">
        <v>80</v>
      </c>
      <c r="B91" s="5" t="n">
        <v>385.494857367865</v>
      </c>
      <c r="C91" s="8">
        <f si="2" t="shared"/>
        <v>7.7700629648273052E-4</v>
      </c>
      <c r="E91" s="9">
        <v>80</v>
      </c>
      <c r="F91" s="9" t="n">
        <v>110.0</v>
      </c>
      <c r="G91" s="8">
        <f si="3" t="shared"/>
        <v>2.1933084595907287E-4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124.0</v>
      </c>
      <c r="G92" s="8">
        <f si="3" t="shared"/>
        <v>1.8521271436543931E-4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101.0</v>
      </c>
      <c r="G93" s="8">
        <f si="3" t="shared"/>
        <v>1.2916149817589846E-4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83.0</v>
      </c>
      <c r="G94" s="8">
        <f si="3" t="shared"/>
        <v>1.6571663916907728E-4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68.0</v>
      </c>
      <c r="G95" s="8">
        <f si="3" t="shared"/>
        <v>1.1941346057771745E-4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72.0</v>
      </c>
      <c r="G96" s="8">
        <f si="3" t="shared"/>
        <v>1.4134654517362473E-4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75.0</v>
      </c>
      <c r="G97" s="8">
        <f si="3" t="shared"/>
        <v>1.3159850757544372E-4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73.0</v>
      </c>
      <c r="G98" s="8">
        <f si="3" t="shared"/>
        <v>1.5109458277180575E-4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63.0</v>
      </c>
      <c r="G99" s="8">
        <f si="3" t="shared"/>
        <v>1.3159850757544372E-4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47.0</v>
      </c>
      <c r="G100" s="8">
        <f si="3" t="shared"/>
        <v>1.3890953577407947E-4</v>
      </c>
    </row>
    <row ht="14.65" r="101" spans="1:7" thickBot="1" x14ac:dyDescent="0.5">
      <c r="A101" s="1">
        <v>90</v>
      </c>
      <c r="B101" s="6" t="n">
        <v>62.1198990807381</v>
      </c>
      <c r="C101" s="8">
        <f si="2" t="shared"/>
        <v>1.2520932977465158E-4</v>
      </c>
      <c r="E101" s="10">
        <v>90</v>
      </c>
      <c r="F101" s="10" t="n">
        <v>1335.0</v>
      </c>
      <c r="G101" s="8">
        <f si="3" t="shared"/>
        <v>2.8537380068674924E-3</v>
      </c>
    </row>
    <row r="102" spans="1:7" x14ac:dyDescent="0.45">
      <c r="B102" s="5">
        <f>SUM(B11:B101)</f>
        <v>496128.35714830388</v>
      </c>
      <c r="C102" s="8">
        <f si="2" t="shared"/>
        <v>1</v>
      </c>
      <c r="F102" s="5">
        <f>SUM(F11:F101)</f>
        <v>410339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J9" s="7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81940.08082643995</v>
      </c>
      <c r="C11" s="8">
        <f>B11/B$102</f>
        <v>0.12374388965983114</v>
      </c>
      <c r="E11" s="9">
        <v>0</v>
      </c>
      <c r="F11" s="9" t="n">
        <v>113964.0</v>
      </c>
      <c r="G11" s="8">
        <f>F11/F$102</f>
        <v>0.17124638433415165</v>
      </c>
      <c r="K11" s="5" t="n">
        <v>5.634357715729194</v>
      </c>
      <c r="L11" s="5" t="n">
        <v>5.484218514782992</v>
      </c>
    </row>
    <row r="12" spans="1:12" x14ac:dyDescent="0.45">
      <c r="A12">
        <v>1</v>
      </c>
      <c r="B12" s="5" t="n">
        <v>132446.90186882348</v>
      </c>
      <c r="C12" s="8">
        <f>B12/B$102</f>
        <v>0.20001804544661503</v>
      </c>
      <c r="E12" s="9">
        <v>1</v>
      </c>
      <c r="F12" s="9" t="n">
        <v>107002.0</v>
      </c>
      <c r="G12" s="8">
        <f>F12/F$102</f>
        <v>0.15995539735733869</v>
      </c>
      <c r="K12" s="5"/>
      <c r="L12" s="9"/>
    </row>
    <row r="13" spans="1:12" x14ac:dyDescent="0.45">
      <c r="A13">
        <v>2</v>
      </c>
      <c r="B13" s="5" t="n">
        <v>92484.69740718867</v>
      </c>
      <c r="C13" s="8">
        <f ref="C13:C76" si="0" t="shared">B13/B$102</f>
        <v>0.13966810962047779</v>
      </c>
      <c r="E13" s="9">
        <v>2</v>
      </c>
      <c r="F13" s="9" t="n">
        <v>89023.0</v>
      </c>
      <c r="G13" s="8">
        <f ref="G13:G76" si="1" t="shared">F13/F$102</f>
        <v>0.13444316859829103</v>
      </c>
    </row>
    <row r="14" spans="1:12" x14ac:dyDescent="0.45">
      <c r="A14">
        <v>3</v>
      </c>
      <c r="B14" s="5" t="n">
        <v>72209.60164213517</v>
      </c>
      <c r="C14" s="8">
        <f si="0" t="shared"/>
        <v>0.10904915992103197</v>
      </c>
      <c r="E14" s="9">
        <v>3</v>
      </c>
      <c r="F14" s="9" t="n">
        <v>69057.0</v>
      </c>
      <c r="G14" s="8">
        <f si="1" t="shared"/>
        <v>0.10390635255703208</v>
      </c>
    </row>
    <row r="15" spans="1:12" x14ac:dyDescent="0.45">
      <c r="A15">
        <v>4</v>
      </c>
      <c r="B15" s="5" t="n">
        <v>54681.26908844517</v>
      </c>
      <c r="C15" s="8">
        <f si="0" t="shared"/>
        <v>8.2578304296189176E-2</v>
      </c>
      <c r="E15" s="9">
        <v>4</v>
      </c>
      <c r="F15" s="9" t="n">
        <v>52079.0</v>
      </c>
      <c r="G15" s="8">
        <f si="1" t="shared"/>
        <v>7.9150075217920723E-2</v>
      </c>
    </row>
    <row r="16" spans="1:12" x14ac:dyDescent="0.45">
      <c r="A16">
        <v>5</v>
      </c>
      <c r="B16" s="5" t="n">
        <v>31796.846794683726</v>
      </c>
      <c r="C16" s="8">
        <f si="0" t="shared"/>
        <v>4.8018814011497574E-2</v>
      </c>
      <c r="E16" s="9">
        <v>5</v>
      </c>
      <c r="F16" s="9" t="n">
        <v>39354.0</v>
      </c>
      <c r="G16" s="8">
        <f si="1" t="shared"/>
        <v>6.0144158879562301E-2</v>
      </c>
    </row>
    <row r="17" spans="1:7" x14ac:dyDescent="0.45">
      <c r="A17">
        <v>6</v>
      </c>
      <c r="B17" s="5" t="n">
        <v>32714.543033597416</v>
      </c>
      <c r="C17" s="8">
        <f si="0" t="shared"/>
        <v>4.9404696243782791E-2</v>
      </c>
      <c r="E17" s="9">
        <v>6</v>
      </c>
      <c r="F17" s="9" t="n">
        <v>29406.0</v>
      </c>
      <c r="G17" s="8">
        <f si="1" t="shared"/>
        <v>4.4397434291827423E-2</v>
      </c>
    </row>
    <row r="18" spans="1:7" x14ac:dyDescent="0.45">
      <c r="A18">
        <v>7</v>
      </c>
      <c r="B18" s="5" t="n">
        <v>24111.427367107728</v>
      </c>
      <c r="C18" s="8">
        <f si="0" t="shared"/>
        <v>3.6412483092079978E-2</v>
      </c>
      <c r="E18" s="9">
        <v>7</v>
      </c>
      <c r="F18" s="9" t="n">
        <v>22201.0</v>
      </c>
      <c r="G18" s="8">
        <f si="1" t="shared"/>
        <v>3.4029884977691133E-2</v>
      </c>
    </row>
    <row r="19" spans="1:7" x14ac:dyDescent="0.45">
      <c r="A19">
        <v>8</v>
      </c>
      <c r="B19" s="5" t="n">
        <v>21107.23923107827</v>
      </c>
      <c r="C19" s="8">
        <f si="0" t="shared"/>
        <v>3.1875632243596935E-2</v>
      </c>
      <c r="E19" s="9">
        <v>8</v>
      </c>
      <c r="F19" s="9" t="n">
        <v>18166.0</v>
      </c>
      <c r="G19" s="8">
        <f si="1" t="shared"/>
        <v>2.7589963500070164E-2</v>
      </c>
    </row>
    <row r="20" spans="1:7" x14ac:dyDescent="0.45">
      <c r="A20">
        <v>9</v>
      </c>
      <c r="B20" s="5" t="n">
        <v>15681.175815093486</v>
      </c>
      <c r="C20" s="8">
        <f si="0" t="shared"/>
        <v>2.3681325063731298E-2</v>
      </c>
      <c r="E20" s="9">
        <v>9</v>
      </c>
      <c r="F20" s="9" t="n">
        <v>15406.0</v>
      </c>
      <c r="G20" s="8">
        <f si="1" t="shared"/>
        <v>2.3451091753792206E-2</v>
      </c>
    </row>
    <row r="21" spans="1:7" x14ac:dyDescent="0.45">
      <c r="A21">
        <v>10</v>
      </c>
      <c r="B21" s="5" t="n">
        <v>15042.875492833718</v>
      </c>
      <c r="C21" s="8">
        <f si="0" t="shared"/>
        <v>2.2717379655685512E-2</v>
      </c>
      <c r="E21" s="9">
        <v>10</v>
      </c>
      <c r="F21" s="9" t="n">
        <v>13223.0</v>
      </c>
      <c r="G21" s="8">
        <f si="1" t="shared"/>
        <v>2.0253764291027716E-2</v>
      </c>
    </row>
    <row r="22" spans="1:7" x14ac:dyDescent="0.45">
      <c r="A22">
        <v>11</v>
      </c>
      <c r="B22" s="5" t="n">
        <v>6056.158004407771</v>
      </c>
      <c r="C22" s="8">
        <f si="0" t="shared"/>
        <v>9.1458604910006659E-3</v>
      </c>
      <c r="E22" s="9">
        <v>11</v>
      </c>
      <c r="F22" s="9" t="n">
        <v>11740.0</v>
      </c>
      <c r="G22" s="8">
        <f si="1" t="shared"/>
        <v>1.814434296354081E-2</v>
      </c>
    </row>
    <row r="23" spans="1:7" x14ac:dyDescent="0.45">
      <c r="A23">
        <v>12</v>
      </c>
      <c r="B23" s="5" t="n">
        <v>9392.940750543918</v>
      </c>
      <c r="C23" s="8">
        <f si="0" t="shared"/>
        <v>1.418498751885033E-2</v>
      </c>
      <c r="E23" s="9">
        <v>12</v>
      </c>
      <c r="F23" s="9" t="n">
        <v>10466.0</v>
      </c>
      <c r="G23" s="8">
        <f si="1" t="shared"/>
        <v>1.5891577554429256E-2</v>
      </c>
    </row>
    <row r="24" spans="1:7" x14ac:dyDescent="0.45">
      <c r="A24">
        <v>13</v>
      </c>
      <c r="B24" s="5" t="n">
        <v>9986.302471354267</v>
      </c>
      <c r="C24" s="8">
        <f si="0" t="shared"/>
        <v>1.5081067759042516E-2</v>
      </c>
      <c r="E24" s="9">
        <v>13</v>
      </c>
      <c r="F24" s="9" t="n">
        <v>8930.0</v>
      </c>
      <c r="G24" s="8">
        <f si="1" t="shared"/>
        <v>1.3498485833832523E-2</v>
      </c>
    </row>
    <row r="25" spans="1:7" x14ac:dyDescent="0.45">
      <c r="A25">
        <v>14</v>
      </c>
      <c r="B25" s="5" t="n">
        <v>7659.893395453375</v>
      </c>
      <c r="C25" s="8">
        <f si="0" t="shared"/>
        <v>1.1567782135103778E-2</v>
      </c>
      <c r="E25" s="9">
        <v>14</v>
      </c>
      <c r="F25" s="9" t="n">
        <v>7631.0</v>
      </c>
      <c r="G25" s="8">
        <f si="1" t="shared"/>
        <v>1.1461490989692806E-2</v>
      </c>
    </row>
    <row r="26" spans="1:7" x14ac:dyDescent="0.45">
      <c r="A26">
        <v>15</v>
      </c>
      <c r="B26" s="5" t="n">
        <v>7879.986670972332</v>
      </c>
      <c r="C26" s="8">
        <f si="0" t="shared"/>
        <v>1.1900161572931969E-2</v>
      </c>
      <c r="E26" s="9">
        <v>15</v>
      </c>
      <c r="F26" s="9" t="n">
        <v>6738.0</v>
      </c>
      <c r="G26" s="8">
        <f si="1" t="shared"/>
        <v>1.0218169692232713E-2</v>
      </c>
    </row>
    <row r="27" spans="1:7" x14ac:dyDescent="0.45">
      <c r="A27">
        <v>16</v>
      </c>
      <c r="B27" s="5" t="n">
        <v>3732.881650361142</v>
      </c>
      <c r="C27" s="8">
        <f si="0" t="shared"/>
        <v>5.637305826362419E-3</v>
      </c>
      <c r="E27" s="9">
        <v>16</v>
      </c>
      <c r="F27" s="9" t="n">
        <v>5741.0</v>
      </c>
      <c r="G27" s="8">
        <f si="1" t="shared"/>
        <v>9.0502926482592741E-3</v>
      </c>
    </row>
    <row r="28" spans="1:7" x14ac:dyDescent="0.45">
      <c r="A28">
        <v>17</v>
      </c>
      <c r="B28" s="5" t="n">
        <v>5654.054369976476</v>
      </c>
      <c r="C28" s="8">
        <f si="0" t="shared"/>
        <v>8.5386134969895524E-3</v>
      </c>
      <c r="E28" s="9">
        <v>17</v>
      </c>
      <c r="F28" s="9" t="n">
        <v>5030.0</v>
      </c>
      <c r="G28" s="8">
        <f si="1" t="shared"/>
        <v>7.5821474754089457E-3</v>
      </c>
    </row>
    <row r="29" spans="1:7" x14ac:dyDescent="0.45">
      <c r="A29">
        <v>18</v>
      </c>
      <c r="B29" s="5" t="n">
        <v>5332.916836342786</v>
      </c>
      <c r="C29" s="8">
        <f si="0" t="shared"/>
        <v>8.0536395120142431E-3</v>
      </c>
      <c r="E29" s="9">
        <v>18</v>
      </c>
      <c r="F29" s="9" t="n">
        <v>4357.0</v>
      </c>
      <c r="G29" s="8">
        <f si="1" t="shared"/>
        <v>6.7281185259399981E-3</v>
      </c>
    </row>
    <row r="30" spans="1:7" x14ac:dyDescent="0.45">
      <c r="A30">
        <v>19</v>
      </c>
      <c r="B30" s="5" t="n">
        <v>2593.8976248379945</v>
      </c>
      <c r="C30" s="8">
        <f si="0" t="shared"/>
        <v>3.9172402350533099E-3</v>
      </c>
      <c r="E30" s="9">
        <v>19</v>
      </c>
      <c r="F30" s="9" t="n">
        <v>3626.0</v>
      </c>
      <c r="G30" s="8">
        <f si="1" t="shared"/>
        <v>5.6145613444769527E-3</v>
      </c>
    </row>
    <row r="31" spans="1:7" x14ac:dyDescent="0.45">
      <c r="A31">
        <v>20</v>
      </c>
      <c r="B31" s="5" t="n">
        <v>2692.157058677424</v>
      </c>
      <c r="C31" s="8">
        <f si="0" t="shared"/>
        <v>4.0656292092455405E-3</v>
      </c>
      <c r="E31" s="9">
        <v>20</v>
      </c>
      <c r="F31" s="9" t="n">
        <v>3384.0</v>
      </c>
      <c r="G31" s="8">
        <f si="1" t="shared"/>
        <v>5.0955048804887581E-3</v>
      </c>
    </row>
    <row r="32" spans="1:7" x14ac:dyDescent="0.45">
      <c r="A32">
        <v>21</v>
      </c>
      <c r="B32" s="5" t="n">
        <v>2765.528545404911</v>
      </c>
      <c r="C32" s="8">
        <f si="0" t="shared"/>
        <v>4.1764330193737606E-3</v>
      </c>
      <c r="E32" s="9">
        <v>21</v>
      </c>
      <c r="F32" s="9" t="n">
        <v>3068.0</v>
      </c>
      <c r="G32" s="8">
        <f si="1" t="shared"/>
        <v>4.4481931855732482E-3</v>
      </c>
    </row>
    <row r="33" spans="1:7" x14ac:dyDescent="0.45">
      <c r="A33">
        <v>22</v>
      </c>
      <c r="B33" s="5" t="n">
        <v>1958.2452076750565</v>
      </c>
      <c r="C33" s="8">
        <f si="0" t="shared"/>
        <v>2.9572936279951118E-3</v>
      </c>
      <c r="E33" s="9">
        <v>22</v>
      </c>
      <c r="F33" s="9" t="n">
        <v>2634.0</v>
      </c>
      <c r="G33" s="8">
        <f si="1" t="shared"/>
        <v>3.9864743542349125E-3</v>
      </c>
    </row>
    <row r="34" spans="1:7" x14ac:dyDescent="0.45">
      <c r="A34">
        <v>23</v>
      </c>
      <c r="B34" s="5" t="n">
        <v>911.0808135628685</v>
      </c>
      <c r="C34" s="8">
        <f si="0" t="shared"/>
        <v>1.3758917800375694E-3</v>
      </c>
      <c r="E34" s="9">
        <v>23</v>
      </c>
      <c r="F34" s="9" t="n">
        <v>2406.0</v>
      </c>
      <c r="G34" s="8">
        <f si="1" t="shared"/>
        <v>3.6605551791725577E-3</v>
      </c>
    </row>
    <row r="35" spans="1:7" x14ac:dyDescent="0.45">
      <c r="A35">
        <v>24</v>
      </c>
      <c r="B35" s="5" t="n">
        <v>1077.358375699755</v>
      </c>
      <c r="C35" s="8">
        <f si="0" t="shared"/>
        <v>1.62700005445525E-3</v>
      </c>
      <c r="E35" s="9">
        <v>24</v>
      </c>
      <c r="F35" s="9" t="n">
        <v>2129.0</v>
      </c>
      <c r="G35" s="8">
        <f si="1" t="shared"/>
        <v>3.2938961072274085E-3</v>
      </c>
    </row>
    <row r="36" spans="1:7" x14ac:dyDescent="0.45">
      <c r="A36">
        <v>25</v>
      </c>
      <c r="B36" s="5" t="n">
        <v>1079.3083945399133</v>
      </c>
      <c r="C36" s="8">
        <f si="0" t="shared"/>
        <v>1.6299449248258595E-3</v>
      </c>
      <c r="E36" s="9">
        <v>25</v>
      </c>
      <c r="F36" s="9" t="n">
        <v>2014.0</v>
      </c>
      <c r="G36" s="8">
        <f si="1" t="shared"/>
        <v>2.9649591620255875E-3</v>
      </c>
    </row>
    <row r="37" spans="1:7" x14ac:dyDescent="0.45">
      <c r="A37">
        <v>26</v>
      </c>
      <c r="B37" s="5" t="n">
        <v>2668.940032185544</v>
      </c>
      <c r="C37" s="8">
        <f si="0" t="shared"/>
        <v>4.0305674283019031E-3</v>
      </c>
      <c r="E37" s="9">
        <v>26</v>
      </c>
      <c r="F37" s="9" t="n">
        <v>1788.0</v>
      </c>
      <c r="G37" s="8">
        <f si="1" t="shared"/>
        <v>2.6556377227302972E-3</v>
      </c>
    </row>
    <row r="38" spans="1:7" x14ac:dyDescent="0.45">
      <c r="A38">
        <v>27</v>
      </c>
      <c r="B38" s="5" t="n">
        <v>2233.1245259445805</v>
      </c>
      <c r="C38" s="8">
        <f si="0" t="shared"/>
        <v>3.3724095967206142E-3</v>
      </c>
      <c r="E38" s="9">
        <v>27</v>
      </c>
      <c r="F38" s="9" t="n">
        <v>1562.0</v>
      </c>
      <c r="G38" s="8">
        <f si="1" t="shared"/>
        <v>2.3161385820403444E-3</v>
      </c>
    </row>
    <row r="39" spans="1:7" x14ac:dyDescent="0.45">
      <c r="A39">
        <v>28</v>
      </c>
      <c r="B39" s="5" t="n">
        <v>3668.562359981982</v>
      </c>
      <c r="C39" s="8">
        <f si="0" t="shared"/>
        <v>5.5401724199585873E-3</v>
      </c>
      <c r="E39" s="9">
        <v>28</v>
      </c>
      <c r="F39" s="9" t="n">
        <v>1361.0</v>
      </c>
      <c r="G39" s="8">
        <f si="1" t="shared"/>
        <v>2.026432648651585E-3</v>
      </c>
    </row>
    <row r="40" spans="1:7" x14ac:dyDescent="0.45">
      <c r="A40">
        <v>29</v>
      </c>
      <c r="B40" s="5" t="n">
        <v>1418.2477300797823</v>
      </c>
      <c r="C40" s="8">
        <f si="0" t="shared"/>
        <v>2.1418027520991828E-3</v>
      </c>
      <c r="E40" s="9">
        <v>29</v>
      </c>
      <c r="F40" s="9" t="n">
        <v>1177.0</v>
      </c>
      <c r="G40" s="8">
        <f si="1" t="shared"/>
        <v>1.7804843822850857E-3</v>
      </c>
    </row>
    <row r="41" spans="1:7" x14ac:dyDescent="0.45">
      <c r="A41">
        <v>30</v>
      </c>
      <c r="B41" s="5" t="n">
        <v>1241.1119309462038</v>
      </c>
      <c r="C41" s="8">
        <f si="0" t="shared"/>
        <v>1.8742966359016659E-3</v>
      </c>
      <c r="E41" s="9">
        <v>30</v>
      </c>
      <c r="F41" s="9" t="n">
        <v>1057.0</v>
      </c>
      <c r="G41" s="8">
        <f si="1" t="shared"/>
        <v>1.5964004037776446E-3</v>
      </c>
    </row>
    <row r="42" spans="1:7" x14ac:dyDescent="0.45">
      <c r="A42">
        <v>31</v>
      </c>
      <c r="B42" s="5" t="n">
        <v>865.137749365351</v>
      </c>
      <c r="C42" s="8">
        <f si="0" t="shared"/>
        <v>1.3065096973089217E-3</v>
      </c>
      <c r="E42" s="9">
        <v>31</v>
      </c>
      <c r="F42" s="9" t="n">
        <v>879.0</v>
      </c>
      <c r="G42" s="8">
        <f si="1" t="shared"/>
        <v>1.3700676433176762E-3</v>
      </c>
    </row>
    <row r="43" spans="1:7" x14ac:dyDescent="0.45">
      <c r="A43">
        <v>32</v>
      </c>
      <c r="B43" s="5" t="n">
        <v>2171.4554421327275</v>
      </c>
      <c r="C43" s="8">
        <f si="0" t="shared"/>
        <v>3.2792784669283376E-3</v>
      </c>
      <c r="E43" s="9">
        <v>32</v>
      </c>
      <c r="F43" s="9" t="n">
        <v>729.0</v>
      </c>
      <c r="G43" s="8">
        <f si="1" t="shared"/>
        <v>1.2433212974600938E-3</v>
      </c>
    </row>
    <row r="44" spans="1:7" x14ac:dyDescent="0.45">
      <c r="A44">
        <v>33</v>
      </c>
      <c r="B44" s="5" t="n">
        <v>501.6557768960671</v>
      </c>
      <c r="C44" s="8">
        <f si="0" t="shared"/>
        <v>7.5758818489489693E-4</v>
      </c>
      <c r="E44" s="9">
        <v>33</v>
      </c>
      <c r="F44" s="9" t="n">
        <v>666.0</v>
      </c>
      <c r="G44" s="8">
        <f si="1" t="shared"/>
        <v>9.9888191616332779E-4</v>
      </c>
    </row>
    <row r="45" spans="1:7" x14ac:dyDescent="0.45">
      <c r="A45">
        <v>34</v>
      </c>
      <c r="B45" s="5" t="n">
        <v>411.9553632279597</v>
      </c>
      <c r="C45" s="8">
        <f si="0" t="shared"/>
        <v>6.2212483192483441E-4</v>
      </c>
      <c r="E45" s="9">
        <v>34</v>
      </c>
      <c r="F45" s="9" t="n">
        <v>519.0</v>
      </c>
      <c r="G45" s="8">
        <f si="1" t="shared"/>
        <v>8.9175107621227595E-4</v>
      </c>
    </row>
    <row r="46" spans="1:7" x14ac:dyDescent="0.45">
      <c r="A46">
        <v>35</v>
      </c>
      <c r="B46" s="5" t="n">
        <v>650.0553401983472</v>
      </c>
      <c r="C46" s="8">
        <f si="0" t="shared"/>
        <v>9.8169754629204883E-4</v>
      </c>
      <c r="E46" s="9">
        <v>35</v>
      </c>
      <c r="F46" s="9" t="n">
        <v>473.0</v>
      </c>
      <c r="G46" s="8">
        <f si="1" t="shared"/>
        <v>7.1219375291403425E-4</v>
      </c>
    </row>
    <row r="47" spans="1:7" x14ac:dyDescent="0.45">
      <c r="A47">
        <v>36</v>
      </c>
      <c r="B47" s="5" t="n">
        <v>426.01782262022</v>
      </c>
      <c r="C47" s="8">
        <f si="0" t="shared"/>
        <v>6.433616113596457E-4</v>
      </c>
      <c r="E47" s="9">
        <v>36</v>
      </c>
      <c r="F47" s="9" t="n">
        <v>430.0</v>
      </c>
      <c r="G47" s="8">
        <f si="1" t="shared"/>
        <v>6.0506291296298252E-4</v>
      </c>
    </row>
    <row r="48" spans="1:7" x14ac:dyDescent="0.45">
      <c r="A48">
        <v>37</v>
      </c>
      <c r="B48" s="5" t="n">
        <v>288.2753209190969</v>
      </c>
      <c r="C48" s="8">
        <f si="0" t="shared"/>
        <v>4.3534628162039354E-4</v>
      </c>
      <c r="E48" s="9">
        <v>37</v>
      </c>
      <c r="F48" s="9" t="n">
        <v>358.0</v>
      </c>
      <c r="G48" s="8">
        <f si="1" t="shared"/>
        <v>5.3112754454605945E-4</v>
      </c>
    </row>
    <row r="49" spans="1:7" x14ac:dyDescent="0.45">
      <c r="A49">
        <v>38</v>
      </c>
      <c r="B49" s="5" t="n">
        <v>159.7332152492381</v>
      </c>
      <c r="C49" s="8">
        <f si="0" t="shared"/>
        <v>2.4122516311252885E-4</v>
      </c>
      <c r="E49" s="9">
        <v>38</v>
      </c>
      <c r="F49" s="9" t="n">
        <v>302.0</v>
      </c>
      <c r="G49" s="8">
        <f si="1" t="shared"/>
        <v>4.104167389674096E-4</v>
      </c>
    </row>
    <row r="50" spans="1:7" x14ac:dyDescent="0.45">
      <c r="A50">
        <v>39</v>
      </c>
      <c r="B50" s="5" t="n">
        <v>0.0</v>
      </c>
      <c r="C50" s="8">
        <f si="0" t="shared"/>
        <v>0</v>
      </c>
      <c r="E50" s="9">
        <v>39</v>
      </c>
      <c r="F50" s="9" t="n">
        <v>244.0</v>
      </c>
      <c r="G50" s="8">
        <f si="1" t="shared"/>
        <v>4.104167389674096E-4</v>
      </c>
    </row>
    <row r="51" spans="1:7" x14ac:dyDescent="0.45">
      <c r="A51">
        <v>40</v>
      </c>
      <c r="B51" s="5" t="n">
        <v>1191.89554334291</v>
      </c>
      <c r="C51" s="8">
        <f si="0" t="shared"/>
        <v>1.799971260876257E-3</v>
      </c>
      <c r="E51" s="9">
        <v>40</v>
      </c>
      <c r="F51" s="9" t="n">
        <v>220.0</v>
      </c>
      <c r="G51" s="8">
        <f si="1" t="shared"/>
        <v>3.90801233060879E-4</v>
      </c>
    </row>
    <row r="52" spans="1:7" x14ac:dyDescent="0.45">
      <c r="A52">
        <v>41</v>
      </c>
      <c r="B52" s="5" t="n">
        <v>0.0</v>
      </c>
      <c r="C52" s="8">
        <f si="0" t="shared"/>
        <v>0</v>
      </c>
      <c r="E52" s="9">
        <v>41</v>
      </c>
      <c r="F52" s="9" t="n">
        <v>222.0</v>
      </c>
      <c r="G52" s="8">
        <f si="1" t="shared"/>
        <v>2.8367039310982721E-4</v>
      </c>
    </row>
    <row r="53" spans="1:7" x14ac:dyDescent="0.45">
      <c r="A53">
        <v>42</v>
      </c>
      <c r="B53" s="5" t="n">
        <v>0.0</v>
      </c>
      <c r="C53" s="8">
        <f si="0" t="shared"/>
        <v>0</v>
      </c>
      <c r="E53" s="9">
        <v>42</v>
      </c>
      <c r="F53" s="9" t="n">
        <v>169.0</v>
      </c>
      <c r="G53" s="8">
        <f si="1" t="shared"/>
        <v>2.4142161115729975E-4</v>
      </c>
    </row>
    <row r="54" spans="1:7" x14ac:dyDescent="0.45">
      <c r="A54">
        <v>43</v>
      </c>
      <c r="B54" s="5" t="n">
        <v>478.533413576478</v>
      </c>
      <c r="C54" s="8">
        <f si="0" t="shared"/>
        <v>7.2266936193993462E-4</v>
      </c>
      <c r="E54" s="9">
        <v>43</v>
      </c>
      <c r="F54" s="9" t="n">
        <v>147.0</v>
      </c>
      <c r="G54" s="8">
        <f si="1" t="shared"/>
        <v>2.1878833511130292E-4</v>
      </c>
    </row>
    <row r="55" spans="1:7" x14ac:dyDescent="0.45">
      <c r="A55">
        <v>44</v>
      </c>
      <c r="B55" s="5" t="n">
        <v>470.13810392725094</v>
      </c>
      <c r="C55" s="8">
        <f si="0" t="shared"/>
        <v>7.0999097231160934E-4</v>
      </c>
      <c r="E55" s="9">
        <v>44</v>
      </c>
      <c r="F55" s="9" t="n">
        <v>112.0</v>
      </c>
      <c r="G55" s="8">
        <f si="1" t="shared"/>
        <v>1.9011951878637355E-4</v>
      </c>
    </row>
    <row r="56" spans="1:7" x14ac:dyDescent="0.45">
      <c r="A56">
        <v>45</v>
      </c>
      <c r="B56" s="5" t="n">
        <v>41.7997242731165</v>
      </c>
      <c r="C56" s="8">
        <f si="0" t="shared"/>
        <v>6.3124912937538555E-5</v>
      </c>
      <c r="E56" s="9">
        <v>45</v>
      </c>
      <c r="F56" s="9" t="n">
        <v>82.0</v>
      </c>
      <c r="G56" s="8">
        <f si="1" t="shared"/>
        <v>1.4937962190357922E-4</v>
      </c>
    </row>
    <row r="57" spans="1:7" x14ac:dyDescent="0.45">
      <c r="A57">
        <v>46</v>
      </c>
      <c r="B57" s="5" t="n">
        <v>0.0</v>
      </c>
      <c r="C57" s="8">
        <f si="0" t="shared"/>
        <v>0</v>
      </c>
      <c r="E57" s="9">
        <v>46</v>
      </c>
      <c r="F57" s="9" t="n">
        <v>84.0</v>
      </c>
      <c r="G57" s="8">
        <f si="1" t="shared"/>
        <v>1.2674634585758238E-4</v>
      </c>
    </row>
    <row r="58" spans="1:7" x14ac:dyDescent="0.45">
      <c r="A58">
        <v>47</v>
      </c>
      <c r="B58" s="5" t="n">
        <v>0.0</v>
      </c>
      <c r="C58" s="8">
        <f si="0" t="shared"/>
        <v>0</v>
      </c>
      <c r="E58" s="9">
        <v>47</v>
      </c>
      <c r="F58" s="9" t="n">
        <v>70.0</v>
      </c>
      <c r="G58" s="8">
        <f si="1" t="shared"/>
        <v>9.6568644462919907E-5</v>
      </c>
    </row>
    <row r="59" spans="1:7" x14ac:dyDescent="0.45">
      <c r="A59">
        <v>48</v>
      </c>
      <c r="B59" s="5" t="n">
        <v>0.0</v>
      </c>
      <c r="C59" s="8">
        <f si="0" t="shared"/>
        <v>0</v>
      </c>
      <c r="E59" s="9">
        <v>48</v>
      </c>
      <c r="F59" s="9" t="n">
        <v>56.0</v>
      </c>
      <c r="G59" s="8">
        <f si="1" t="shared"/>
        <v>7.3935368416923057E-5</v>
      </c>
    </row>
    <row r="60" spans="1:7" x14ac:dyDescent="0.45">
      <c r="A60">
        <v>49</v>
      </c>
      <c r="B60" s="5" t="n">
        <v>0.0</v>
      </c>
      <c r="C60" s="8">
        <f si="0" t="shared"/>
        <v>0</v>
      </c>
      <c r="E60" s="9">
        <v>49</v>
      </c>
      <c r="F60" s="9" t="n">
        <v>36.0</v>
      </c>
      <c r="G60" s="8">
        <f si="1" t="shared"/>
        <v>6.1864287859058058E-5</v>
      </c>
    </row>
    <row r="61" spans="1:7" x14ac:dyDescent="0.45">
      <c r="A61">
        <v>50</v>
      </c>
      <c r="B61" s="5" t="n">
        <v>0.0</v>
      </c>
      <c r="C61" s="8">
        <f si="0" t="shared"/>
        <v>0</v>
      </c>
      <c r="E61" s="9">
        <v>50</v>
      </c>
      <c r="F61" s="9" t="n">
        <v>53.0</v>
      </c>
      <c r="G61" s="8">
        <f si="1" t="shared"/>
        <v>7.6953138556389296E-5</v>
      </c>
    </row>
    <row r="62" spans="1:7" x14ac:dyDescent="0.45">
      <c r="A62">
        <v>51</v>
      </c>
      <c r="B62" s="5" t="n">
        <v>185.5636957282445</v>
      </c>
      <c r="C62" s="8">
        <f si="0" t="shared"/>
        <v>2.802337178273444E-4</v>
      </c>
      <c r="E62" s="9">
        <v>51</v>
      </c>
      <c r="F62" s="9" t="n">
        <v>33.0</v>
      </c>
      <c r="G62" s="8">
        <f si="1" t="shared"/>
        <v>3.9231011813061208E-5</v>
      </c>
    </row>
    <row r="63" spans="1:7" x14ac:dyDescent="0.45">
      <c r="A63">
        <v>52</v>
      </c>
      <c r="B63" s="5" t="n">
        <v>0.0</v>
      </c>
      <c r="C63" s="8">
        <f si="0" t="shared"/>
        <v>0</v>
      </c>
      <c r="E63" s="9">
        <v>52</v>
      </c>
      <c r="F63" s="9" t="n">
        <v>39.0</v>
      </c>
      <c r="G63" s="8">
        <f si="1" t="shared"/>
        <v>4.8284322231459953E-5</v>
      </c>
    </row>
    <row r="64" spans="1:7" x14ac:dyDescent="0.45">
      <c r="A64">
        <v>53</v>
      </c>
      <c r="B64" s="5" t="n">
        <v>0.0</v>
      </c>
      <c r="C64" s="8">
        <f si="0" t="shared"/>
        <v>0</v>
      </c>
      <c r="E64" s="9">
        <v>53</v>
      </c>
      <c r="F64" s="9" t="n">
        <v>19.0</v>
      </c>
      <c r="G64" s="8">
        <f si="1" t="shared"/>
        <v>3.6213241673594962E-5</v>
      </c>
    </row>
    <row r="65" spans="1:7" x14ac:dyDescent="0.45">
      <c r="A65">
        <v>54</v>
      </c>
      <c r="B65" s="5" t="n">
        <v>0.0</v>
      </c>
      <c r="C65" s="8">
        <f si="0" t="shared"/>
        <v>0</v>
      </c>
      <c r="E65" s="9">
        <v>54</v>
      </c>
      <c r="F65" s="9" t="n">
        <v>27.0</v>
      </c>
      <c r="G65" s="8">
        <f si="1" t="shared"/>
        <v>3.1686586464395596E-5</v>
      </c>
    </row>
    <row r="66" spans="1:7" x14ac:dyDescent="0.45">
      <c r="A66">
        <v>55</v>
      </c>
      <c r="B66" s="5" t="n">
        <v>0.0</v>
      </c>
      <c r="C66" s="8">
        <f si="0" t="shared"/>
        <v>0</v>
      </c>
      <c r="E66" s="9">
        <v>55</v>
      </c>
      <c r="F66" s="9" t="n">
        <v>18.0</v>
      </c>
      <c r="G66" s="8">
        <f si="1" t="shared"/>
        <v>3.3195471534128715E-5</v>
      </c>
    </row>
    <row r="67" spans="1:7" x14ac:dyDescent="0.45">
      <c r="A67">
        <v>56</v>
      </c>
      <c r="B67" s="5" t="n">
        <v>113.1913195947486</v>
      </c>
      <c r="C67" s="8">
        <f si="0" t="shared"/>
        <v>1.7093873988300535E-4</v>
      </c>
      <c r="E67" s="9">
        <v>56</v>
      </c>
      <c r="F67" s="9" t="n">
        <v>15.0</v>
      </c>
      <c r="G67" s="8">
        <f si="1" t="shared"/>
        <v>3.3195471534128715E-5</v>
      </c>
    </row>
    <row r="68" spans="1:7" x14ac:dyDescent="0.45">
      <c r="A68">
        <v>57</v>
      </c>
      <c r="B68" s="5" t="n">
        <v>0.0</v>
      </c>
      <c r="C68" s="8">
        <f si="0" t="shared"/>
        <v>0</v>
      </c>
      <c r="E68" s="9">
        <v>57</v>
      </c>
      <c r="F68" s="9" t="n">
        <v>9.0</v>
      </c>
      <c r="G68" s="8">
        <f si="1" t="shared"/>
        <v>1.8106620836797481E-5</v>
      </c>
    </row>
    <row r="69" spans="1:7" x14ac:dyDescent="0.45">
      <c r="A69">
        <v>58</v>
      </c>
      <c r="B69" s="5" t="n">
        <v>0.0</v>
      </c>
      <c r="C69" s="8">
        <f si="0" t="shared"/>
        <v>0</v>
      </c>
      <c r="E69" s="9">
        <v>58</v>
      </c>
      <c r="F69" s="9" t="n">
        <v>13.0</v>
      </c>
      <c r="G69" s="8">
        <f si="1" t="shared"/>
        <v>1.5088850697331235E-5</v>
      </c>
    </row>
    <row r="70" spans="1:7" x14ac:dyDescent="0.45">
      <c r="A70">
        <v>59</v>
      </c>
      <c r="B70" s="5" t="n">
        <v>0.0</v>
      </c>
      <c r="C70" s="8">
        <f si="0" t="shared"/>
        <v>0</v>
      </c>
      <c r="E70" s="9">
        <v>59</v>
      </c>
      <c r="F70" s="9" t="n">
        <v>7.0</v>
      </c>
      <c r="G70" s="8">
        <f si="1" t="shared"/>
        <v>1.5088850697331235E-6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4.0</v>
      </c>
      <c r="G71" s="8">
        <f si="1" t="shared"/>
        <v>2.112439097626373E-5</v>
      </c>
    </row>
    <row r="72" spans="1:7" x14ac:dyDescent="0.45">
      <c r="A72">
        <v>61</v>
      </c>
      <c r="B72" s="5" t="n">
        <v>0.0</v>
      </c>
      <c r="C72" s="8">
        <f si="0" t="shared"/>
        <v>0</v>
      </c>
      <c r="E72" s="9">
        <v>61</v>
      </c>
      <c r="F72" s="9" t="n">
        <v>6.0</v>
      </c>
      <c r="G72" s="8">
        <f si="1" t="shared"/>
        <v>1.6597735767064358E-5</v>
      </c>
    </row>
    <row r="73" spans="1:7" x14ac:dyDescent="0.45">
      <c r="A73">
        <v>62</v>
      </c>
      <c r="B73" s="5" t="n">
        <v>0.0</v>
      </c>
      <c r="C73" s="8">
        <f si="0" t="shared"/>
        <v>0</v>
      </c>
      <c r="E73" s="9">
        <v>62</v>
      </c>
      <c r="F73" s="9" t="n">
        <v>3.0</v>
      </c>
      <c r="G73" s="8">
        <f si="1" t="shared"/>
        <v>0</v>
      </c>
    </row>
    <row r="74" spans="1:7" x14ac:dyDescent="0.45">
      <c r="A74">
        <v>63</v>
      </c>
      <c r="B74" s="5" t="n">
        <v>0.0</v>
      </c>
      <c r="C74" s="8">
        <f si="0" t="shared"/>
        <v>0</v>
      </c>
      <c r="E74" s="9">
        <v>63</v>
      </c>
      <c r="F74" s="9" t="n">
        <v>5.0</v>
      </c>
      <c r="G74" s="8">
        <f si="1" t="shared"/>
        <v>1.5088850697331235E-6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2.0</v>
      </c>
      <c r="G75" s="8">
        <f si="1" t="shared"/>
        <v>7.5444253486656173E-6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1.0</v>
      </c>
      <c r="G76" s="8">
        <f si="1" t="shared"/>
        <v>1.5088850697331235E-6</v>
      </c>
    </row>
    <row r="77" spans="1:7" x14ac:dyDescent="0.45">
      <c r="A77">
        <v>66</v>
      </c>
      <c r="B77" s="5" t="n">
        <v>0.0</v>
      </c>
      <c r="C77" s="8">
        <f ref="C77:C102" si="2" t="shared">B77/B$102</f>
        <v>0</v>
      </c>
      <c r="E77" s="9">
        <v>66</v>
      </c>
      <c r="F77" s="9" t="n">
        <v>3.0</v>
      </c>
      <c r="G77" s="8">
        <f ref="G77:G102" si="3" t="shared">F77/F$102</f>
        <v>3.0177701394662471E-6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2.0</v>
      </c>
      <c r="G78" s="8">
        <f si="3" t="shared"/>
        <v>4.5266552091993702E-6</v>
      </c>
    </row>
    <row r="79" spans="1:7" x14ac:dyDescent="0.45">
      <c r="A79">
        <v>68</v>
      </c>
      <c r="B79" s="5" t="n">
        <v>0.0</v>
      </c>
      <c r="C79" s="8">
        <f si="2" t="shared"/>
        <v>0</v>
      </c>
      <c r="E79" s="9">
        <v>68</v>
      </c>
      <c r="F79" s="9" t="n">
        <v>3.0</v>
      </c>
      <c r="G79" s="8">
        <f si="3" t="shared"/>
        <v>6.0355402789324942E-6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4.0</v>
      </c>
      <c r="G80" s="8">
        <f si="3" t="shared"/>
        <v>3.0177701394662471E-6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1.0</v>
      </c>
      <c r="G81" s="8">
        <f si="3" t="shared"/>
        <v>1.5088850697331235E-6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1.0</v>
      </c>
      <c r="G82" s="8">
        <f si="3" t="shared"/>
        <v>0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1.0</v>
      </c>
      <c r="G83" s="8">
        <f si="3" t="shared"/>
        <v>3.0177701394662471E-6</v>
      </c>
    </row>
    <row r="84" spans="1:7" x14ac:dyDescent="0.45">
      <c r="A84">
        <v>73</v>
      </c>
      <c r="B84" s="5" t="n">
        <v>0.0</v>
      </c>
      <c r="C84" s="8">
        <f si="2" t="shared"/>
        <v>0</v>
      </c>
      <c r="E84" s="9">
        <v>73</v>
      </c>
      <c r="F84" s="9" t="n">
        <v>1.0</v>
      </c>
      <c r="G84" s="8">
        <f si="3" t="shared"/>
        <v>0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0.0</v>
      </c>
      <c r="G85" s="8">
        <f si="3" t="shared"/>
        <v>0</v>
      </c>
    </row>
    <row r="86" spans="1:7" x14ac:dyDescent="0.45">
      <c r="A86">
        <v>75</v>
      </c>
      <c r="B86" s="5" t="n">
        <v>0.0</v>
      </c>
      <c r="C86" s="8">
        <f si="2" t="shared"/>
        <v>0</v>
      </c>
      <c r="E86" s="9">
        <v>75</v>
      </c>
      <c r="F86" s="9" t="n">
        <v>0.0</v>
      </c>
      <c r="G86" s="8">
        <f si="3" t="shared"/>
        <v>1.5088850697331235E-6</v>
      </c>
    </row>
    <row r="87" spans="1:7" x14ac:dyDescent="0.45">
      <c r="A87">
        <v>76</v>
      </c>
      <c r="B87" s="5" t="n">
        <v>0.0</v>
      </c>
      <c r="C87" s="8">
        <f si="2" t="shared"/>
        <v>0</v>
      </c>
      <c r="E87" s="9">
        <v>76</v>
      </c>
      <c r="F87" s="9" t="n">
        <v>0.0</v>
      </c>
      <c r="G87" s="8">
        <f si="3" t="shared"/>
        <v>0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0.0</v>
      </c>
      <c r="G88" s="8">
        <f si="3" t="shared"/>
        <v>0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0.0</v>
      </c>
      <c r="G89" s="8">
        <f si="3" t="shared"/>
        <v>0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0.0</v>
      </c>
      <c r="G90" s="8">
        <f si="3" t="shared"/>
        <v>0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0.0</v>
      </c>
      <c r="G91" s="8">
        <f si="3" t="shared"/>
        <v>1.5088850697331235E-6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0.0</v>
      </c>
      <c r="G92" s="8">
        <f si="3" t="shared"/>
        <v>0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1.0</v>
      </c>
      <c r="G93" s="8">
        <f si="3" t="shared"/>
        <v>0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0.0</v>
      </c>
      <c r="G94" s="8">
        <f si="3" t="shared"/>
        <v>0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0.0</v>
      </c>
      <c r="G95" s="8">
        <f si="3" t="shared"/>
        <v>0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1.0</v>
      </c>
      <c r="G96" s="8">
        <f si="3" t="shared"/>
        <v>0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0.0</v>
      </c>
      <c r="G97" s="8">
        <f si="3" t="shared"/>
        <v>1.5088850697331235E-6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0.0</v>
      </c>
      <c r="G98" s="8">
        <f si="3" t="shared"/>
        <v>0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0.0</v>
      </c>
      <c r="G99" s="8">
        <f si="3" t="shared"/>
        <v>1.5088850697331235E-6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0.0</v>
      </c>
      <c r="G100" s="8">
        <f si="3" t="shared"/>
        <v>0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4.0</v>
      </c>
      <c r="G101" s="8">
        <f si="3" t="shared"/>
        <v>3.0177701394662471E-6</v>
      </c>
    </row>
    <row r="102" spans="1:7" x14ac:dyDescent="0.45">
      <c r="B102" s="5">
        <f>SUM(B11:B101)</f>
        <v>662174.76314742642</v>
      </c>
      <c r="C102" s="8">
        <f si="2" t="shared"/>
        <v>1</v>
      </c>
      <c r="F102" s="5">
        <f>SUM(F11:F101)</f>
        <v>662741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M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7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0.0</v>
      </c>
      <c r="C11" s="8">
        <f>B11/B$102</f>
        <v>0</v>
      </c>
      <c r="E11" s="9">
        <v>0</v>
      </c>
      <c r="F11" s="9" t="n">
        <v>4603.0</v>
      </c>
      <c r="G11" s="8">
        <f>F11/F$102</f>
        <v>6.9423802058421009E-3</v>
      </c>
      <c r="K11" s="5" t="n">
        <v>13.173427218903585</v>
      </c>
      <c r="L11" s="5" t="n">
        <v>14.74283032896803</v>
      </c>
    </row>
    <row r="12" spans="1:12" x14ac:dyDescent="0.45">
      <c r="A12">
        <v>1</v>
      </c>
      <c r="B12" s="5" t="n">
        <v>0.0</v>
      </c>
      <c r="C12" s="8">
        <f>B12/B$102</f>
        <v>0</v>
      </c>
      <c r="E12" s="9">
        <v>1</v>
      </c>
      <c r="F12" s="9" t="n">
        <v>30145.0</v>
      </c>
      <c r="G12" s="8">
        <f>F12/F$102</f>
        <v>4.5114154699950657E-2</v>
      </c>
      <c r="K12" s="5"/>
      <c r="L12" s="9"/>
    </row>
    <row r="13" spans="1:12" x14ac:dyDescent="0.45">
      <c r="A13">
        <v>2</v>
      </c>
      <c r="B13" s="5" t="n">
        <v>4140.829112513503</v>
      </c>
      <c r="C13" s="8">
        <f ref="C13:C76" si="0" t="shared">B13/B$102</f>
        <v>6.2533780249060793E-3</v>
      </c>
      <c r="E13" s="9">
        <v>2</v>
      </c>
      <c r="F13" s="9" t="n">
        <v>14030.0</v>
      </c>
      <c r="G13" s="8">
        <f ref="G13:G76" si="1" t="shared">F13/F$102</f>
        <v>2.1481996737790478E-2</v>
      </c>
    </row>
    <row r="14" spans="1:12" x14ac:dyDescent="0.45">
      <c r="A14">
        <v>3</v>
      </c>
      <c r="B14" s="5" t="n">
        <v>44737.64788608335</v>
      </c>
      <c r="C14" s="8">
        <f si="0" t="shared"/>
        <v>6.7561692737183029E-2</v>
      </c>
      <c r="E14" s="9">
        <v>3</v>
      </c>
      <c r="F14" s="9" t="n">
        <v>22273.0</v>
      </c>
      <c r="G14" s="8">
        <f si="1" t="shared"/>
        <v>3.2724699392371985E-2</v>
      </c>
    </row>
    <row r="15" spans="1:12" x14ac:dyDescent="0.45">
      <c r="A15">
        <v>4</v>
      </c>
      <c r="B15" s="5" t="n">
        <v>51884.32206901764</v>
      </c>
      <c r="C15" s="8">
        <f si="0" t="shared"/>
        <v>7.8354423872034742E-2</v>
      </c>
      <c r="E15" s="9">
        <v>4</v>
      </c>
      <c r="F15" s="9" t="n">
        <v>33416.0</v>
      </c>
      <c r="G15" s="8">
        <f si="1" t="shared"/>
        <v>4.9532170184129247E-2</v>
      </c>
    </row>
    <row r="16" spans="1:12" x14ac:dyDescent="0.45">
      <c r="A16">
        <v>5</v>
      </c>
      <c r="B16" s="5" t="n">
        <v>64346.126838516946</v>
      </c>
      <c r="C16" s="8">
        <f si="0" t="shared"/>
        <v>9.717393416304354E-2</v>
      </c>
      <c r="E16" s="9">
        <v>5</v>
      </c>
      <c r="F16" s="9" t="n">
        <v>41929.0</v>
      </c>
      <c r="G16" s="8">
        <f si="1" t="shared"/>
        <v>6.2937105143638317E-2</v>
      </c>
    </row>
    <row r="17" spans="1:7" x14ac:dyDescent="0.45">
      <c r="A17">
        <v>6</v>
      </c>
      <c r="B17" s="5" t="n">
        <v>61598.86858814113</v>
      </c>
      <c r="C17" s="8">
        <f si="0" t="shared"/>
        <v>9.3025092492730346E-2</v>
      </c>
      <c r="E17" s="9">
        <v>6</v>
      </c>
      <c r="F17" s="9" t="n">
        <v>45930.0</v>
      </c>
      <c r="G17" s="8">
        <f si="1" t="shared"/>
        <v>6.9122025044474386E-2</v>
      </c>
    </row>
    <row r="18" spans="1:7" x14ac:dyDescent="0.45">
      <c r="A18">
        <v>7</v>
      </c>
      <c r="B18" s="5" t="n">
        <v>46352.01301516782</v>
      </c>
      <c r="C18" s="8">
        <f si="0" t="shared"/>
        <v>6.999966714957398E-2</v>
      </c>
      <c r="E18" s="9">
        <v>7</v>
      </c>
      <c r="F18" s="9" t="n">
        <v>44486.0</v>
      </c>
      <c r="G18" s="8">
        <f si="1" t="shared"/>
        <v>6.9244244735122765E-2</v>
      </c>
    </row>
    <row r="19" spans="1:7" x14ac:dyDescent="0.45">
      <c r="A19">
        <v>8</v>
      </c>
      <c r="B19" s="5" t="n">
        <v>50549.425880476294</v>
      </c>
      <c r="C19" s="8">
        <f si="0" t="shared"/>
        <v>7.6338496562760122E-2</v>
      </c>
      <c r="E19" s="9">
        <v>8</v>
      </c>
      <c r="F19" s="9" t="n">
        <v>40380.0</v>
      </c>
      <c r="G19" s="8">
        <f si="1" t="shared"/>
        <v>6.2113253895564026E-2</v>
      </c>
    </row>
    <row r="20" spans="1:7" x14ac:dyDescent="0.45">
      <c r="A20">
        <v>9</v>
      </c>
      <c r="B20" s="5" t="n">
        <v>33514.22170855177</v>
      </c>
      <c r="C20" s="8">
        <f si="0" t="shared"/>
        <v>5.0612351260946778E-2</v>
      </c>
      <c r="E20" s="9">
        <v>9</v>
      </c>
      <c r="F20" s="9" t="n">
        <v>36416.0</v>
      </c>
      <c r="G20" s="8">
        <f si="1" t="shared"/>
        <v>5.5611468130083996E-2</v>
      </c>
    </row>
    <row r="21" spans="1:7" x14ac:dyDescent="0.45">
      <c r="A21">
        <v>10</v>
      </c>
      <c r="B21" s="5" t="n">
        <v>30899.69618489412</v>
      </c>
      <c r="C21" s="8">
        <f si="0" t="shared"/>
        <v>4.6663959281720062E-2</v>
      </c>
      <c r="E21" s="9">
        <v>10</v>
      </c>
      <c r="F21" s="9" t="n">
        <v>31796.0</v>
      </c>
      <c r="G21" s="8">
        <f si="1" t="shared"/>
        <v>4.9601578897336969E-2</v>
      </c>
    </row>
    <row r="22" spans="1:7" x14ac:dyDescent="0.45">
      <c r="A22">
        <v>11</v>
      </c>
      <c r="B22" s="5" t="n">
        <v>33573.254369826274</v>
      </c>
      <c r="C22" s="8">
        <f si="0" t="shared"/>
        <v>5.0701500930429667E-2</v>
      </c>
      <c r="E22" s="9">
        <v>11</v>
      </c>
      <c r="F22" s="9" t="n">
        <v>28427.0</v>
      </c>
      <c r="G22" s="8">
        <f si="1" t="shared"/>
        <v>4.384216458616564E-2</v>
      </c>
    </row>
    <row r="23" spans="1:7" x14ac:dyDescent="0.45">
      <c r="A23">
        <v>12</v>
      </c>
      <c r="B23" s="5" t="n">
        <v>23329.34214826804</v>
      </c>
      <c r="C23" s="8">
        <f si="0" t="shared"/>
        <v>3.5231397278536886E-2</v>
      </c>
      <c r="E23" s="9">
        <v>12</v>
      </c>
      <c r="F23" s="9" t="n">
        <v>25504.0</v>
      </c>
      <c r="G23" s="8">
        <f si="1" t="shared"/>
        <v>3.9206869651945482E-2</v>
      </c>
    </row>
    <row r="24" spans="1:7" x14ac:dyDescent="0.45">
      <c r="A24">
        <v>13</v>
      </c>
      <c r="B24" s="5" t="n">
        <v>17104.494597802288</v>
      </c>
      <c r="C24" s="8">
        <f si="0" t="shared"/>
        <v>2.5830785994473415E-2</v>
      </c>
      <c r="E24" s="9">
        <v>13</v>
      </c>
      <c r="F24" s="9" t="n">
        <v>22447.0</v>
      </c>
      <c r="G24" s="8">
        <f si="1" t="shared"/>
        <v>3.5160039894921245E-2</v>
      </c>
    </row>
    <row r="25" spans="1:7" x14ac:dyDescent="0.45">
      <c r="A25">
        <v>14</v>
      </c>
      <c r="B25" s="5" t="n">
        <v>15173.545023126208</v>
      </c>
      <c r="C25" s="8">
        <f si="0" t="shared"/>
        <v>2.2914713558402373E-2</v>
      </c>
      <c r="E25" s="9">
        <v>14</v>
      </c>
      <c r="F25" s="9" t="n">
        <v>19818.0</v>
      </c>
      <c r="G25" s="8">
        <f si="1" t="shared"/>
        <v>3.1319927392450445E-2</v>
      </c>
    </row>
    <row r="26" spans="1:7" x14ac:dyDescent="0.45">
      <c r="A26">
        <v>15</v>
      </c>
      <c r="B26" s="5" t="n">
        <v>15122.728331814396</v>
      </c>
      <c r="C26" s="8">
        <f si="0" t="shared"/>
        <v>2.2837971444175202E-2</v>
      </c>
      <c r="E26" s="9">
        <v>15</v>
      </c>
      <c r="F26" s="9" t="n">
        <v>18237.0</v>
      </c>
      <c r="G26" s="8">
        <f si="1" t="shared"/>
        <v>2.8285559517217132E-2</v>
      </c>
    </row>
    <row r="27" spans="1:7" x14ac:dyDescent="0.45">
      <c r="A27">
        <v>16</v>
      </c>
      <c r="B27" s="5" t="n">
        <v>15972.145212787063</v>
      </c>
      <c r="C27" s="8">
        <f si="0" t="shared"/>
        <v>2.4120739873668418E-2</v>
      </c>
      <c r="E27" s="9">
        <v>16</v>
      </c>
      <c r="F27" s="9" t="n">
        <v>15888.0</v>
      </c>
      <c r="G27" s="8">
        <f si="1" t="shared"/>
        <v>2.4643110958881373E-2</v>
      </c>
    </row>
    <row r="28" spans="1:7" x14ac:dyDescent="0.45">
      <c r="A28">
        <v>17</v>
      </c>
      <c r="B28" s="5" t="n">
        <v>17542.576998398195</v>
      </c>
      <c r="C28" s="8">
        <f si="0" t="shared"/>
        <v>2.6492367234014515E-2</v>
      </c>
      <c r="E28" s="9">
        <v>17</v>
      </c>
      <c r="F28" s="9" t="n">
        <v>14466.0</v>
      </c>
      <c r="G28" s="8">
        <f si="1" t="shared"/>
        <v>2.1785282636806836E-2</v>
      </c>
    </row>
    <row r="29" spans="1:7" x14ac:dyDescent="0.45">
      <c r="A29">
        <v>18</v>
      </c>
      <c r="B29" s="5" t="n">
        <v>17360.53871336627</v>
      </c>
      <c r="C29" s="8">
        <f si="0" t="shared"/>
        <v>2.6217457504494369E-2</v>
      </c>
      <c r="E29" s="9">
        <v>18</v>
      </c>
      <c r="F29" s="9" t="n">
        <v>13229.0</v>
      </c>
      <c r="G29" s="8">
        <f si="1" t="shared"/>
        <v>2.0216042164284388E-2</v>
      </c>
    </row>
    <row r="30" spans="1:7" x14ac:dyDescent="0.45">
      <c r="A30">
        <v>19</v>
      </c>
      <c r="B30" s="5" t="n">
        <v>9275.807378783653</v>
      </c>
      <c r="C30" s="8">
        <f si="0" t="shared"/>
        <v>1.4008095588986517E-2</v>
      </c>
      <c r="E30" s="9">
        <v>19</v>
      </c>
      <c r="F30" s="9" t="n">
        <v>11857.0</v>
      </c>
      <c r="G30" s="8">
        <f si="1" t="shared"/>
        <v>1.8019105502752961E-2</v>
      </c>
    </row>
    <row r="31" spans="1:7" x14ac:dyDescent="0.45">
      <c r="A31">
        <v>20</v>
      </c>
      <c r="B31" s="5" t="n">
        <v>7185.47256010706</v>
      </c>
      <c r="C31" s="8">
        <f si="0" t="shared"/>
        <v>1.0851323487402814E-2</v>
      </c>
      <c r="E31" s="9">
        <v>20</v>
      </c>
      <c r="F31" s="9" t="n">
        <v>10741.0</v>
      </c>
      <c r="G31" s="8">
        <f si="1" t="shared"/>
        <v>1.6341225305209726E-2</v>
      </c>
    </row>
    <row r="32" spans="1:7" x14ac:dyDescent="0.45">
      <c r="A32">
        <v>21</v>
      </c>
      <c r="B32" s="5" t="n">
        <v>7559.590116204792</v>
      </c>
      <c r="C32" s="8">
        <f si="0" t="shared"/>
        <v>1.1416306595969936E-2</v>
      </c>
      <c r="E32" s="9">
        <v>21</v>
      </c>
      <c r="F32" s="9" t="n">
        <v>9933.0</v>
      </c>
      <c r="G32" s="8">
        <f si="1" t="shared"/>
        <v>1.5058672995936573E-2</v>
      </c>
    </row>
    <row r="33" spans="1:7" x14ac:dyDescent="0.45">
      <c r="A33">
        <v>22</v>
      </c>
      <c r="B33" s="5" t="n">
        <v>7089.248138148024</v>
      </c>
      <c r="C33" s="8">
        <f si="0" t="shared"/>
        <v>1.0706007737974874E-2</v>
      </c>
      <c r="E33" s="9">
        <v>22</v>
      </c>
      <c r="F33" s="9" t="n">
        <v>9218.0</v>
      </c>
      <c r="G33" s="8">
        <f si="1" t="shared"/>
        <v>1.3672007616851832E-2</v>
      </c>
    </row>
    <row r="34" spans="1:7" x14ac:dyDescent="0.45">
      <c r="A34">
        <v>23</v>
      </c>
      <c r="B34" s="5" t="n">
        <v>8684.117137844574</v>
      </c>
      <c r="C34" s="8">
        <f si="0" t="shared"/>
        <v>1.3114539576482089E-2</v>
      </c>
      <c r="E34" s="9">
        <v>23</v>
      </c>
      <c r="F34" s="9" t="n">
        <v>8309.0</v>
      </c>
      <c r="G34" s="8">
        <f si="1" t="shared"/>
        <v>1.2363804261393213E-2</v>
      </c>
    </row>
    <row r="35" spans="1:7" x14ac:dyDescent="0.45">
      <c r="A35">
        <v>24</v>
      </c>
      <c r="B35" s="5" t="n">
        <v>7236.431427284647</v>
      </c>
      <c r="C35" s="8">
        <f si="0" t="shared"/>
        <v>1.0928280312116836E-2</v>
      </c>
      <c r="E35" s="9">
        <v>24</v>
      </c>
      <c r="F35" s="9" t="n">
        <v>7740.0</v>
      </c>
      <c r="G35" s="8">
        <f si="1" t="shared"/>
        <v>1.1770812428988097E-2</v>
      </c>
    </row>
    <row r="36" spans="1:7" x14ac:dyDescent="0.45">
      <c r="A36">
        <v>25</v>
      </c>
      <c r="B36" s="5" t="n">
        <v>3384.6566744976153</v>
      </c>
      <c r="C36" s="8">
        <f si="0" t="shared"/>
        <v>5.1114250540292144E-3</v>
      </c>
      <c r="E36" s="9">
        <v>25</v>
      </c>
      <c r="F36" s="9" t="n">
        <v>7184.0</v>
      </c>
      <c r="G36" s="8">
        <f si="1" t="shared"/>
        <v>1.0518437821109604E-2</v>
      </c>
    </row>
    <row r="37" spans="1:7" x14ac:dyDescent="0.45">
      <c r="A37">
        <v>26</v>
      </c>
      <c r="B37" s="5" t="n">
        <v>4864.220019173375</v>
      </c>
      <c r="C37" s="8">
        <f si="0" t="shared"/>
        <v>7.3458251354263822E-3</v>
      </c>
      <c r="E37" s="9">
        <v>26</v>
      </c>
      <c r="F37" s="9" t="n">
        <v>6523.0</v>
      </c>
      <c r="G37" s="8">
        <f si="1" t="shared"/>
        <v>1.0012961322749007E-2</v>
      </c>
    </row>
    <row r="38" spans="1:7" x14ac:dyDescent="0.45">
      <c r="A38">
        <v>27</v>
      </c>
      <c r="B38" s="5" t="n">
        <v>2463.6215995574407</v>
      </c>
      <c r="C38" s="8">
        <f si="0" t="shared"/>
        <v>3.7205005939027935E-3</v>
      </c>
      <c r="E38" s="9">
        <v>27</v>
      </c>
      <c r="F38" s="9" t="n">
        <v>5934.0</v>
      </c>
      <c r="G38" s="8">
        <f si="1" t="shared"/>
        <v>9.2238144312785843E-3</v>
      </c>
    </row>
    <row r="39" spans="1:7" x14ac:dyDescent="0.45">
      <c r="A39">
        <v>28</v>
      </c>
      <c r="B39" s="5" t="n">
        <v>3914.591581784208</v>
      </c>
      <c r="C39" s="8">
        <f si="0" t="shared"/>
        <v>5.9117196843587131E-3</v>
      </c>
      <c r="E39" s="9">
        <v>28</v>
      </c>
      <c r="F39" s="9" t="n">
        <v>5706.0</v>
      </c>
      <c r="G39" s="8">
        <f si="1" t="shared"/>
        <v>8.4904962873882852E-3</v>
      </c>
    </row>
    <row r="40" spans="1:7" x14ac:dyDescent="0.45">
      <c r="A40">
        <v>29</v>
      </c>
      <c r="B40" s="5" t="n">
        <v>2730.427357318254</v>
      </c>
      <c r="C40" s="8">
        <f si="0" t="shared"/>
        <v>4.1234240706185801E-3</v>
      </c>
      <c r="E40" s="9">
        <v>29</v>
      </c>
      <c r="F40" s="9" t="n">
        <v>5031.0</v>
      </c>
      <c r="G40" s="8">
        <f si="1" t="shared"/>
        <v>7.7058760511270613E-3</v>
      </c>
    </row>
    <row r="41" spans="1:7" x14ac:dyDescent="0.45">
      <c r="A41">
        <v>30</v>
      </c>
      <c r="B41" s="5" t="n">
        <v>3192.937168843517</v>
      </c>
      <c r="C41" s="8">
        <f si="0" t="shared"/>
        <v>4.8218949838362288E-3</v>
      </c>
      <c r="E41" s="9">
        <v>30</v>
      </c>
      <c r="F41" s="9" t="n">
        <v>4764.0</v>
      </c>
      <c r="G41" s="8">
        <f si="1" t="shared"/>
        <v>7.0585643562115514E-3</v>
      </c>
    </row>
    <row r="42" spans="1:7" x14ac:dyDescent="0.45">
      <c r="A42">
        <v>31</v>
      </c>
      <c r="B42" s="5" t="n">
        <v>2643.45686927769</v>
      </c>
      <c r="C42" s="8">
        <f si="0" t="shared"/>
        <v>3.9920833840192014E-3</v>
      </c>
      <c r="E42" s="9">
        <v>31</v>
      </c>
      <c r="F42" s="9" t="n">
        <v>4431.0</v>
      </c>
      <c r="G42" s="8">
        <f si="1" t="shared"/>
        <v>6.5379990071536241E-3</v>
      </c>
    </row>
    <row r="43" spans="1:7" x14ac:dyDescent="0.45">
      <c r="A43">
        <v>32</v>
      </c>
      <c r="B43" s="5" t="n">
        <v>2728.994960091163</v>
      </c>
      <c r="C43" s="8">
        <f si="0" t="shared"/>
        <v>4.1212608996449799E-3</v>
      </c>
      <c r="E43" s="9">
        <v>32</v>
      </c>
      <c r="F43" s="9" t="n">
        <v>4119.0</v>
      </c>
      <c r="G43" s="8">
        <f si="1" t="shared"/>
        <v>6.0596824400482238E-3</v>
      </c>
    </row>
    <row r="44" spans="1:7" x14ac:dyDescent="0.45">
      <c r="A44">
        <v>33</v>
      </c>
      <c r="B44" s="5" t="n">
        <v>2496.2310086290995</v>
      </c>
      <c r="C44" s="8">
        <f si="0" t="shared"/>
        <v>3.7697465194295545E-3</v>
      </c>
      <c r="E44" s="9">
        <v>33</v>
      </c>
      <c r="F44" s="9" t="n">
        <v>3839.0</v>
      </c>
      <c r="G44" s="8">
        <f si="1" t="shared"/>
        <v>5.6266324250348176E-3</v>
      </c>
    </row>
    <row r="45" spans="1:7" x14ac:dyDescent="0.45">
      <c r="A45">
        <v>34</v>
      </c>
      <c r="B45" s="5" t="n">
        <v>2963.7736375617046</v>
      </c>
      <c r="C45" s="8">
        <f si="0" t="shared"/>
        <v>4.4758178694011205E-3</v>
      </c>
      <c r="E45" s="9">
        <v>34</v>
      </c>
      <c r="F45" s="9" t="n">
        <v>3721.0</v>
      </c>
      <c r="G45" s="8">
        <f si="1" t="shared"/>
        <v>5.3203287558789931E-3</v>
      </c>
    </row>
    <row r="46" spans="1:7" x14ac:dyDescent="0.45">
      <c r="A46">
        <v>35</v>
      </c>
      <c r="B46" s="5" t="n">
        <v>3131.6537964104455</v>
      </c>
      <c r="C46" s="8">
        <f si="0" t="shared"/>
        <v>4.729346345857666E-3</v>
      </c>
      <c r="E46" s="9">
        <v>35</v>
      </c>
      <c r="F46" s="9" t="n">
        <v>3342.0</v>
      </c>
      <c r="G46" s="8">
        <f si="1" t="shared"/>
        <v>4.8706810050985223E-3</v>
      </c>
    </row>
    <row r="47" spans="1:7" x14ac:dyDescent="0.45">
      <c r="A47">
        <v>36</v>
      </c>
      <c r="B47" s="5" t="n">
        <v>2759.7711855636603</v>
      </c>
      <c r="C47" s="8">
        <f si="0" t="shared"/>
        <v>4.1677383965012674E-3</v>
      </c>
      <c r="E47" s="9">
        <v>36</v>
      </c>
      <c r="F47" s="9" t="n">
        <v>3141.0</v>
      </c>
      <c r="G47" s="8">
        <f si="1" t="shared"/>
        <v>4.5794661866400297E-3</v>
      </c>
    </row>
    <row r="48" spans="1:7" x14ac:dyDescent="0.45">
      <c r="A48">
        <v>37</v>
      </c>
      <c r="B48" s="5" t="n">
        <v>3102.9324089466368</v>
      </c>
      <c r="C48" s="8">
        <f si="0" t="shared"/>
        <v>4.6859720146957664E-3</v>
      </c>
      <c r="E48" s="9">
        <v>37</v>
      </c>
      <c r="F48" s="9" t="n">
        <v>2904.0</v>
      </c>
      <c r="G48" s="8">
        <f si="1" t="shared"/>
        <v>4.1539605969752886E-3</v>
      </c>
    </row>
    <row r="49" spans="1:7" x14ac:dyDescent="0.45">
      <c r="A49">
        <v>38</v>
      </c>
      <c r="B49" s="5" t="n">
        <v>3084.325410984846</v>
      </c>
      <c r="C49" s="8">
        <f si="0" t="shared"/>
        <v>4.6578721851683637E-3</v>
      </c>
      <c r="E49" s="9">
        <v>38</v>
      </c>
      <c r="F49" s="9" t="n">
        <v>2670.0</v>
      </c>
      <c r="G49" s="8">
        <f si="1" t="shared"/>
        <v>4.0377764466058381E-3</v>
      </c>
    </row>
    <row r="50" spans="1:7" x14ac:dyDescent="0.45">
      <c r="A50">
        <v>39</v>
      </c>
      <c r="B50" s="5" t="n">
        <v>2919.127088521466</v>
      </c>
      <c r="C50" s="8">
        <f si="0" t="shared"/>
        <v>4.4083937518946993E-3</v>
      </c>
      <c r="E50" s="9">
        <v>39</v>
      </c>
      <c r="F50" s="9" t="n">
        <v>2529.0</v>
      </c>
      <c r="G50" s="8">
        <f si="1" t="shared"/>
        <v>3.6635729493120239E-3</v>
      </c>
    </row>
    <row r="51" spans="1:7" x14ac:dyDescent="0.45">
      <c r="A51">
        <v>40</v>
      </c>
      <c r="B51" s="5" t="n">
        <v>2318.8983662699616</v>
      </c>
      <c r="C51" s="8">
        <f si="0" t="shared"/>
        <v>3.5019431354463798E-3</v>
      </c>
      <c r="E51" s="9">
        <v>40</v>
      </c>
      <c r="F51" s="9" t="n">
        <v>2292.0</v>
      </c>
      <c r="G51" s="8">
        <f si="1" t="shared"/>
        <v>3.2214696238802186E-3</v>
      </c>
    </row>
    <row r="52" spans="1:7" x14ac:dyDescent="0.45">
      <c r="A52">
        <v>41</v>
      </c>
      <c r="B52" s="5" t="n">
        <v>1259.401523951129</v>
      </c>
      <c r="C52" s="8">
        <f si="0" t="shared"/>
        <v>1.9019171282894946E-3</v>
      </c>
      <c r="E52" s="9">
        <v>41</v>
      </c>
      <c r="F52" s="9" t="n">
        <v>2095.0</v>
      </c>
      <c r="G52" s="8">
        <f si="1" t="shared"/>
        <v>3.1067943585805012E-3</v>
      </c>
    </row>
    <row r="53" spans="1:7" x14ac:dyDescent="0.45">
      <c r="A53">
        <v>42</v>
      </c>
      <c r="B53" s="5" t="n">
        <v>1506.7578699090423</v>
      </c>
      <c r="C53" s="8">
        <f si="0" t="shared"/>
        <v>2.2754685828665121E-3</v>
      </c>
      <c r="E53" s="9">
        <v>42</v>
      </c>
      <c r="F53" s="9" t="n">
        <v>1985.0</v>
      </c>
      <c r="G53" s="8">
        <f si="1" t="shared"/>
        <v>2.8970593338875973E-3</v>
      </c>
    </row>
    <row r="54" spans="1:7" x14ac:dyDescent="0.45">
      <c r="A54">
        <v>43</v>
      </c>
      <c r="B54" s="5" t="n">
        <v>666.5422596257043</v>
      </c>
      <c r="C54" s="8">
        <f si="0" t="shared"/>
        <v>1.0065956854917253E-3</v>
      </c>
      <c r="E54" s="9">
        <v>43</v>
      </c>
      <c r="F54" s="9" t="n">
        <v>1848.0</v>
      </c>
      <c r="G54" s="8">
        <f si="1" t="shared"/>
        <v>2.7159931255196224E-3</v>
      </c>
    </row>
    <row r="55" spans="1:7" x14ac:dyDescent="0.45">
      <c r="A55">
        <v>44</v>
      </c>
      <c r="B55" s="5" t="n">
        <v>744.9010881311021</v>
      </c>
      <c r="C55" s="8">
        <f si="0" t="shared"/>
        <v>1.124931256199593E-3</v>
      </c>
      <c r="E55" s="9">
        <v>44</v>
      </c>
      <c r="F55" s="9" t="n">
        <v>1739.0</v>
      </c>
      <c r="G55" s="8">
        <f si="1" t="shared"/>
        <v>2.3161385820403444E-3</v>
      </c>
    </row>
    <row r="56" spans="1:7" x14ac:dyDescent="0.45">
      <c r="A56">
        <v>45</v>
      </c>
      <c r="B56" s="5" t="n">
        <v>983.2546356142295</v>
      </c>
      <c r="C56" s="8">
        <f si="0" t="shared"/>
        <v>1.4848869065028356E-3</v>
      </c>
      <c r="E56" s="9">
        <v>45</v>
      </c>
      <c r="F56" s="9" t="n">
        <v>1561.0</v>
      </c>
      <c r="G56" s="8">
        <f si="1" t="shared"/>
        <v>2.2074988570195595E-3</v>
      </c>
    </row>
    <row r="57" spans="1:7" x14ac:dyDescent="0.45">
      <c r="A57">
        <v>46</v>
      </c>
      <c r="B57" s="5" t="n">
        <v>995.4997939747864</v>
      </c>
      <c r="C57" s="8">
        <f si="0" t="shared"/>
        <v>1.5033792427289303E-3</v>
      </c>
      <c r="E57" s="9">
        <v>46</v>
      </c>
      <c r="F57" s="9" t="n">
        <v>1405.0</v>
      </c>
      <c r="G57" s="8">
        <f si="1" t="shared"/>
        <v>2.0385037292094499E-3</v>
      </c>
    </row>
    <row r="58" spans="1:7" x14ac:dyDescent="0.45">
      <c r="A58">
        <v>47</v>
      </c>
      <c r="B58" s="5" t="n">
        <v>648.12424905254</v>
      </c>
      <c r="C58" s="8">
        <f si="0" t="shared"/>
        <v>9.7878126005874685E-4</v>
      </c>
      <c r="E58" s="9">
        <v>47</v>
      </c>
      <c r="F58" s="9" t="n">
        <v>1351.0</v>
      </c>
      <c r="G58" s="8">
        <f si="1" t="shared"/>
        <v>1.8634730611204076E-3</v>
      </c>
    </row>
    <row r="59" spans="1:7" x14ac:dyDescent="0.45">
      <c r="A59">
        <v>48</v>
      </c>
      <c r="B59" s="5" t="n">
        <v>1140.7058678180151</v>
      </c>
      <c r="C59" s="8">
        <f si="0" t="shared"/>
        <v>1.7226658750871921E-3</v>
      </c>
      <c r="E59" s="9">
        <v>48</v>
      </c>
      <c r="F59" s="9" t="n">
        <v>1246.0</v>
      </c>
      <c r="G59" s="8">
        <f si="1" t="shared"/>
        <v>1.6839157378221658E-3</v>
      </c>
    </row>
    <row r="60" spans="1:7" x14ac:dyDescent="0.45">
      <c r="A60">
        <v>49</v>
      </c>
      <c r="B60" s="5" t="n">
        <v>1583.7285992237137</v>
      </c>
      <c r="C60" s="8">
        <f si="0" t="shared"/>
        <v>2.3917078804030368E-3</v>
      </c>
      <c r="E60" s="9">
        <v>49</v>
      </c>
      <c r="F60" s="9" t="n">
        <v>1174.0</v>
      </c>
      <c r="G60" s="8">
        <f si="1" t="shared"/>
        <v>1.6039448291263103E-3</v>
      </c>
    </row>
    <row r="61" spans="1:7" x14ac:dyDescent="0.45">
      <c r="A61">
        <v>50</v>
      </c>
      <c r="B61" s="5" t="n">
        <v>446.1534226403915</v>
      </c>
      <c r="C61" s="8">
        <f si="0" t="shared"/>
        <v>6.7376989802473059E-4</v>
      </c>
      <c r="E61" s="9">
        <v>50</v>
      </c>
      <c r="F61" s="9" t="n">
        <v>1104.0</v>
      </c>
      <c r="G61" s="8">
        <f si="1" t="shared"/>
        <v>1.3821387238755411E-3</v>
      </c>
    </row>
    <row r="62" spans="1:7" x14ac:dyDescent="0.45">
      <c r="A62">
        <v>51</v>
      </c>
      <c r="B62" s="5" t="n">
        <v>1638.1361193624525</v>
      </c>
      <c r="C62" s="8">
        <f si="0" t="shared"/>
        <v>2.4738727757852332E-3</v>
      </c>
      <c r="E62" s="9">
        <v>51</v>
      </c>
      <c r="F62" s="9" t="n">
        <v>1007.0</v>
      </c>
      <c r="G62" s="8">
        <f si="1" t="shared"/>
        <v>1.3157477808072838E-3</v>
      </c>
    </row>
    <row r="63" spans="1:7" x14ac:dyDescent="0.45">
      <c r="A63">
        <v>52</v>
      </c>
      <c r="B63" s="5" t="n">
        <v>1053.269814431356</v>
      </c>
      <c r="C63" s="8">
        <f si="0" t="shared"/>
        <v>1.5906221031816289E-3</v>
      </c>
      <c r="E63" s="9">
        <v>52</v>
      </c>
      <c r="F63" s="9" t="n">
        <v>926.0</v>
      </c>
      <c r="G63" s="8">
        <f si="1" t="shared"/>
        <v>1.2614279182968913E-3</v>
      </c>
    </row>
    <row r="64" spans="1:7" x14ac:dyDescent="0.45">
      <c r="A64">
        <v>53</v>
      </c>
      <c r="B64" s="5" t="n">
        <v>503.11913820908285</v>
      </c>
      <c r="C64" s="8">
        <f si="0" t="shared"/>
        <v>7.5979811706757645E-4</v>
      </c>
      <c r="E64" s="9">
        <v>53</v>
      </c>
      <c r="F64" s="9" t="n">
        <v>868.0</v>
      </c>
      <c r="G64" s="8">
        <f si="1" t="shared"/>
        <v>1.1980547453681E-3</v>
      </c>
    </row>
    <row r="65" spans="1:7" x14ac:dyDescent="0.45">
      <c r="A65">
        <v>54</v>
      </c>
      <c r="B65" s="5" t="n">
        <v>796.5726505655102</v>
      </c>
      <c r="C65" s="8">
        <f si="0" t="shared"/>
        <v>1.2029643757174747E-3</v>
      </c>
      <c r="E65" s="9">
        <v>54</v>
      </c>
      <c r="F65" s="9" t="n">
        <v>856.0</v>
      </c>
      <c r="G65" s="8">
        <f si="1" t="shared"/>
        <v>1.1241193769511769E-3</v>
      </c>
    </row>
    <row r="66" spans="1:7" x14ac:dyDescent="0.45">
      <c r="A66">
        <v>55</v>
      </c>
      <c r="B66" s="5" t="n">
        <v>1916.2213179563748</v>
      </c>
      <c r="C66" s="8">
        <f si="0" t="shared"/>
        <v>2.8938301859289502E-3</v>
      </c>
      <c r="E66" s="9">
        <v>55</v>
      </c>
      <c r="F66" s="9" t="n">
        <v>805.0</v>
      </c>
      <c r="G66" s="8">
        <f si="1" t="shared"/>
        <v>9.2041989253720529E-4</v>
      </c>
    </row>
    <row r="67" spans="1:7" x14ac:dyDescent="0.45">
      <c r="A67">
        <v>56</v>
      </c>
      <c r="B67" s="5" t="n">
        <v>254.9693938223183</v>
      </c>
      <c r="C67" s="8">
        <f si="0" t="shared"/>
        <v>3.8504849174620699E-4</v>
      </c>
      <c r="E67" s="9">
        <v>56</v>
      </c>
      <c r="F67" s="9" t="n">
        <v>737.0</v>
      </c>
      <c r="G67" s="8">
        <f si="1" t="shared"/>
        <v>1.0335862727671897E-3</v>
      </c>
    </row>
    <row r="68" spans="1:7" x14ac:dyDescent="0.45">
      <c r="A68">
        <v>57</v>
      </c>
      <c r="B68" s="5" t="n">
        <v>287.91176836438603</v>
      </c>
      <c r="C68" s="8">
        <f si="0" t="shared"/>
        <v>4.347972535164188E-4</v>
      </c>
      <c r="E68" s="9">
        <v>57</v>
      </c>
      <c r="F68" s="9" t="n">
        <v>669.0</v>
      </c>
      <c r="G68" s="8">
        <f si="1" t="shared"/>
        <v>8.4044898384134979E-4</v>
      </c>
    </row>
    <row r="69" spans="1:7" x14ac:dyDescent="0.45">
      <c r="A69">
        <v>58</v>
      </c>
      <c r="B69" s="5" t="n">
        <v>55.002979974894</v>
      </c>
      <c r="C69" s="8">
        <f si="0" t="shared"/>
        <v>8.3064144144448713E-5</v>
      </c>
      <c r="E69" s="9">
        <v>58</v>
      </c>
      <c r="F69" s="9" t="n">
        <v>636.0</v>
      </c>
      <c r="G69" s="8">
        <f si="1" t="shared"/>
        <v>7.9216466160988985E-4</v>
      </c>
    </row>
    <row r="70" spans="1:7" x14ac:dyDescent="0.45">
      <c r="A70">
        <v>59</v>
      </c>
      <c r="B70" s="5" t="n">
        <v>686.8636216269515</v>
      </c>
      <c r="C70" s="8">
        <f si="0" t="shared"/>
        <v>1.0372845053202798E-3</v>
      </c>
      <c r="E70" s="9">
        <v>59</v>
      </c>
      <c r="F70" s="9" t="n">
        <v>639.0</v>
      </c>
      <c r="G70" s="8">
        <f si="1" t="shared"/>
        <v>7.6953138556389294E-4</v>
      </c>
    </row>
    <row r="71" spans="1:7" x14ac:dyDescent="0.45">
      <c r="A71">
        <v>60</v>
      </c>
      <c r="B71" s="5" t="n">
        <v>729.6850299168225</v>
      </c>
      <c r="C71" s="8">
        <f si="0" t="shared"/>
        <v>1.1019523402681624E-3</v>
      </c>
      <c r="E71" s="9">
        <v>60</v>
      </c>
      <c r="F71" s="9" t="n">
        <v>551.0</v>
      </c>
      <c r="G71" s="8">
        <f si="1" t="shared"/>
        <v>6.3524061435764497E-4</v>
      </c>
    </row>
    <row r="72" spans="1:7" x14ac:dyDescent="0.45">
      <c r="A72">
        <v>61</v>
      </c>
      <c r="B72" s="5" t="n">
        <v>118.3887461533923</v>
      </c>
      <c r="C72" s="8">
        <f si="0" t="shared"/>
        <v>1.7878776531843498E-4</v>
      </c>
      <c r="E72" s="9">
        <v>61</v>
      </c>
      <c r="F72" s="9" t="n">
        <v>490.0</v>
      </c>
      <c r="G72" s="8">
        <f si="1" t="shared"/>
        <v>6.4429392477604371E-4</v>
      </c>
    </row>
    <row r="73" spans="1:7" x14ac:dyDescent="0.45">
      <c r="A73">
        <v>62</v>
      </c>
      <c r="B73" s="5" t="n">
        <v>334.8445472381858</v>
      </c>
      <c r="C73" s="8">
        <f si="0" t="shared"/>
        <v>5.0567397894570043E-4</v>
      </c>
      <c r="E73" s="9">
        <v>62</v>
      </c>
      <c r="F73" s="9" t="n">
        <v>448.0</v>
      </c>
      <c r="G73" s="8">
        <f si="1" t="shared"/>
        <v>5.8846517719591813E-4</v>
      </c>
    </row>
    <row r="74" spans="1:7" x14ac:dyDescent="0.45">
      <c r="A74">
        <v>63</v>
      </c>
      <c r="B74" s="5" t="n">
        <v>943.056987376858</v>
      </c>
      <c r="C74" s="8">
        <f si="0" t="shared"/>
        <v>1.42418140929194E-3</v>
      </c>
      <c r="E74" s="9">
        <v>63</v>
      </c>
      <c r="F74" s="9" t="n">
        <v>443.0</v>
      </c>
      <c r="G74" s="8">
        <f si="1" t="shared"/>
        <v>4.9189653273299825E-4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461.0</v>
      </c>
      <c r="G75" s="8">
        <f si="1" t="shared"/>
        <v>5.4621639524339073E-4</v>
      </c>
    </row>
    <row r="76" spans="1:7" x14ac:dyDescent="0.45">
      <c r="A76">
        <v>65</v>
      </c>
      <c r="B76" s="5" t="n">
        <v>443.153629289399</v>
      </c>
      <c r="C76" s="8">
        <f si="0" t="shared"/>
        <v>6.6923968407224782E-4</v>
      </c>
      <c r="E76" s="9">
        <v>65</v>
      </c>
      <c r="F76" s="9" t="n">
        <v>383.0</v>
      </c>
      <c r="G76" s="8">
        <f si="1" t="shared"/>
        <v>5.024587282211301E-4</v>
      </c>
    </row>
    <row r="77" spans="1:7" x14ac:dyDescent="0.45">
      <c r="A77">
        <v>66</v>
      </c>
      <c r="B77" s="5" t="n">
        <v>0.0</v>
      </c>
      <c r="C77" s="8">
        <f ref="C77:C102" si="2" t="shared">B77/B$102</f>
        <v>0</v>
      </c>
      <c r="E77" s="9">
        <v>66</v>
      </c>
      <c r="F77" s="9" t="n">
        <v>352.0</v>
      </c>
      <c r="G77" s="8">
        <f ref="G77:G102" si="3" t="shared">F77/F$102</f>
        <v>4.6926325668700139E-4</v>
      </c>
    </row>
    <row r="78" spans="1:7" x14ac:dyDescent="0.45">
      <c r="A78">
        <v>67</v>
      </c>
      <c r="B78" s="5" t="n">
        <v>132.98217745221592</v>
      </c>
      <c r="C78" s="8">
        <f si="2" t="shared"/>
        <v>2.0082640543431411E-4</v>
      </c>
      <c r="E78" s="9">
        <v>67</v>
      </c>
      <c r="F78" s="9" t="n">
        <v>389.0</v>
      </c>
      <c r="G78" s="8">
        <f si="3" t="shared"/>
        <v>4.617188313383358E-4</v>
      </c>
    </row>
    <row r="79" spans="1:7" x14ac:dyDescent="0.45">
      <c r="A79">
        <v>68</v>
      </c>
      <c r="B79" s="5" t="n">
        <v>474.260158751222</v>
      </c>
      <c r="C79" s="8">
        <f si="2" t="shared"/>
        <v>7.1621599786887832E-4</v>
      </c>
      <c r="E79" s="9">
        <v>68</v>
      </c>
      <c r="F79" s="9" t="n">
        <v>355.0</v>
      </c>
      <c r="G79" s="8">
        <f si="3" t="shared"/>
        <v>3.711857271543484E-4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321.0</v>
      </c>
      <c r="G80" s="8">
        <f si="3" t="shared"/>
        <v>3.8627457785167963E-4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314.0</v>
      </c>
      <c r="G81" s="8">
        <f si="3" t="shared"/>
        <v>3.5609687645701712E-4</v>
      </c>
    </row>
    <row r="82" spans="1:7" x14ac:dyDescent="0.45">
      <c r="A82">
        <v>71</v>
      </c>
      <c r="B82" s="5" t="n">
        <v>92.06648320367921</v>
      </c>
      <c r="C82" s="8">
        <f si="2" t="shared"/>
        <v>1.3903653284228469E-4</v>
      </c>
      <c r="E82" s="9">
        <v>71</v>
      </c>
      <c r="F82" s="9" t="n">
        <v>293.0</v>
      </c>
      <c r="G82" s="8">
        <f si="3" t="shared"/>
        <v>3.3648137055048653E-4</v>
      </c>
    </row>
    <row r="83" spans="1:7" x14ac:dyDescent="0.45">
      <c r="A83">
        <v>72</v>
      </c>
      <c r="B83" s="5" t="n">
        <v>389.6697091539735</v>
      </c>
      <c r="C83" s="8">
        <f si="2" t="shared"/>
        <v>5.8846958664176337E-4</v>
      </c>
      <c r="E83" s="9">
        <v>72</v>
      </c>
      <c r="F83" s="9" t="n">
        <v>250.0</v>
      </c>
      <c r="G83" s="8">
        <f si="3" t="shared"/>
        <v>3.2742806013208778E-4</v>
      </c>
    </row>
    <row r="84" spans="1:7" x14ac:dyDescent="0.45">
      <c r="A84">
        <v>73</v>
      </c>
      <c r="B84" s="5" t="n">
        <v>330.8436184005</v>
      </c>
      <c r="C84" s="8">
        <f si="2" t="shared"/>
        <v>4.99631874866305E-4</v>
      </c>
      <c r="E84" s="9">
        <v>73</v>
      </c>
      <c r="F84" s="9" t="n">
        <v>269.0</v>
      </c>
      <c r="G84" s="8">
        <f si="3" t="shared"/>
        <v>2.9875924380715844E-4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235.0</v>
      </c>
      <c r="G85" s="8">
        <f si="3" t="shared"/>
        <v>2.7763485283089474E-4</v>
      </c>
    </row>
    <row r="86" spans="1:7" x14ac:dyDescent="0.45">
      <c r="A86">
        <v>75</v>
      </c>
      <c r="B86" s="5" t="n">
        <v>1169.2972613759098</v>
      </c>
      <c r="C86" s="8">
        <f si="2" t="shared"/>
        <v>1.765843892657652E-3</v>
      </c>
      <c r="E86" s="9">
        <v>75</v>
      </c>
      <c r="F86" s="9" t="n">
        <v>238.0</v>
      </c>
      <c r="G86" s="8">
        <f si="3" t="shared"/>
        <v>2.5952823199409724E-4</v>
      </c>
    </row>
    <row r="87" spans="1:7" x14ac:dyDescent="0.45">
      <c r="A87">
        <v>76</v>
      </c>
      <c r="B87" s="5" t="n">
        <v>127.6812059893636</v>
      </c>
      <c r="C87" s="8">
        <f si="2" t="shared"/>
        <v>1.928210090376651E-4</v>
      </c>
      <c r="E87" s="9">
        <v>76</v>
      </c>
      <c r="F87" s="9" t="n">
        <v>183.0</v>
      </c>
      <c r="G87" s="8">
        <f si="3" t="shared"/>
        <v>2.308594156691679E-4</v>
      </c>
    </row>
    <row r="88" spans="1:7" x14ac:dyDescent="0.45">
      <c r="A88">
        <v>77</v>
      </c>
      <c r="B88" s="5" t="n">
        <v>170.925700506904</v>
      </c>
      <c r="C88" s="8">
        <f si="2" t="shared"/>
        <v>2.5812777837449721E-4</v>
      </c>
      <c r="E88" s="9">
        <v>77</v>
      </c>
      <c r="F88" s="9" t="n">
        <v>209.0</v>
      </c>
      <c r="G88" s="8">
        <f si="3" t="shared"/>
        <v>1.9464617399557292E-4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194.0</v>
      </c>
      <c r="G89" s="8">
        <f si="3" t="shared"/>
        <v>2.2180610525076916E-4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175.0</v>
      </c>
      <c r="G90" s="8">
        <f si="3" t="shared"/>
        <v>1.5541516218251173E-4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170.0</v>
      </c>
      <c r="G91" s="8">
        <f si="3" t="shared"/>
        <v>1.6899512781010984E-4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150.0</v>
      </c>
      <c r="G92" s="8">
        <f si="3" t="shared"/>
        <v>1.4787073683384611E-4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130.0</v>
      </c>
      <c r="G93" s="8">
        <f si="3" t="shared"/>
        <v>1.2523746078784925E-4</v>
      </c>
    </row>
    <row r="94" spans="1:7" x14ac:dyDescent="0.45">
      <c r="A94">
        <v>83</v>
      </c>
      <c r="B94" s="5" t="n">
        <v>505.5178882143299</v>
      </c>
      <c r="C94" s="8">
        <f si="2" t="shared"/>
        <v>7.6342065017929669E-4</v>
      </c>
      <c r="E94" s="9">
        <v>83</v>
      </c>
      <c r="F94" s="9" t="n">
        <v>115.0</v>
      </c>
      <c r="G94" s="8">
        <f si="3" t="shared"/>
        <v>1.4334408162464674E-4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112.0</v>
      </c>
      <c r="G95" s="8">
        <f si="3" t="shared"/>
        <v>1.2825523092731549E-4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101.0</v>
      </c>
      <c r="G96" s="8">
        <f si="3" t="shared"/>
        <v>1.1467526529971738E-4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127.0</v>
      </c>
      <c r="G97" s="8">
        <f si="3" t="shared"/>
        <v>1.2372857571811612E-4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86.0</v>
      </c>
      <c r="G98" s="8">
        <f si="3" t="shared"/>
        <v>1.0863972502078489E-4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95.0</v>
      </c>
      <c r="G99" s="8">
        <f si="3" t="shared"/>
        <v>1.1316638022998426E-4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89.0</v>
      </c>
      <c r="G100" s="8">
        <f si="3" t="shared"/>
        <v>1.1467526529971738E-4</v>
      </c>
    </row>
    <row ht="14.65" r="101" spans="1:7" thickBot="1" x14ac:dyDescent="0.5">
      <c r="A101" s="1">
        <v>90</v>
      </c>
      <c r="B101" s="6" t="n">
        <v>113.1913195947486</v>
      </c>
      <c r="C101" s="8">
        <f si="2" t="shared"/>
        <v>1.709387398830054E-4</v>
      </c>
      <c r="E101" s="10">
        <v>90</v>
      </c>
      <c r="F101" s="10" t="n">
        <v>2067.0</v>
      </c>
      <c r="G101" s="8">
        <f si="3" t="shared"/>
        <v>2.6933598494736253E-3</v>
      </c>
    </row>
    <row r="102" spans="1:7" x14ac:dyDescent="0.45">
      <c r="B102" s="5">
        <f>SUM(B11:B101)</f>
        <v>662174.76314742619</v>
      </c>
      <c r="C102" s="8">
        <f si="2" t="shared"/>
        <v>1</v>
      </c>
      <c r="F102" s="5">
        <f>SUM(F11:F101)</f>
        <v>662741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M102"/>
  <sheetViews>
    <sheetView workbookViewId="0">
      <selection activeCell="F11" sqref="F11:F10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J9" s="7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85301.95807810735</v>
      </c>
      <c r="C11" s="8">
        <f>B11/B$102</f>
        <v>0.15749577588297314</v>
      </c>
      <c r="E11" s="9">
        <v>0</v>
      </c>
      <c r="F11" s="9" t="n">
        <v>77215.0</v>
      </c>
      <c r="G11" s="8">
        <f>F11/F$102</f>
        <v>0.1849516165037707</v>
      </c>
      <c r="K11" s="5" t="n">
        <v>4.8090784898811325</v>
      </c>
      <c r="L11" s="5" t="n">
        <v>4.557878914424184</v>
      </c>
    </row>
    <row r="12" spans="1:12" x14ac:dyDescent="0.45">
      <c r="A12">
        <v>1</v>
      </c>
      <c r="B12" s="5" t="n">
        <v>108998.60010696604</v>
      </c>
      <c r="C12" s="8">
        <f>B12/B$102</f>
        <v>0.20124765574883538</v>
      </c>
      <c r="E12" s="9">
        <v>1</v>
      </c>
      <c r="F12" s="9" t="n">
        <v>69475.0</v>
      </c>
      <c r="G12" s="8">
        <f>F12/F$102</f>
        <v>0.1681848181615242</v>
      </c>
      <c r="K12" s="5"/>
      <c r="L12" s="9"/>
    </row>
    <row r="13" spans="1:12" x14ac:dyDescent="0.45">
      <c r="A13">
        <v>2</v>
      </c>
      <c r="B13" s="5" t="n">
        <v>82165.87154650518</v>
      </c>
      <c r="C13" s="8">
        <f ref="C13:C76" si="0" t="shared">B13/B$102</f>
        <v>0.15170551745680003</v>
      </c>
      <c r="E13" s="9">
        <v>2</v>
      </c>
      <c r="F13" s="9" t="n">
        <v>60071.0</v>
      </c>
      <c r="G13" s="8">
        <f ref="G13:G76" si="1" t="shared">F13/F$102</f>
        <v>0.1433282216032068</v>
      </c>
    </row>
    <row r="14" spans="1:12" x14ac:dyDescent="0.45">
      <c r="A14">
        <v>3</v>
      </c>
      <c r="B14" s="5" t="n">
        <v>61331.291315322334</v>
      </c>
      <c r="C14" s="8">
        <f si="0" t="shared"/>
        <v>0.11323795525029598</v>
      </c>
      <c r="E14" s="9">
        <v>3</v>
      </c>
      <c r="F14" s="9" t="n">
        <v>47743.0</v>
      </c>
      <c r="G14" s="8">
        <f si="1" t="shared"/>
        <v>0.11638487445526104</v>
      </c>
    </row>
    <row r="15" spans="1:12" x14ac:dyDescent="0.45">
      <c r="A15">
        <v>4</v>
      </c>
      <c r="B15" s="5" t="n">
        <v>37996.14543205965</v>
      </c>
      <c r="C15" s="8">
        <f si="0" t="shared"/>
        <v>7.0153517459763531E-2</v>
      </c>
      <c r="E15" s="9">
        <v>4</v>
      </c>
      <c r="F15" s="9" t="n">
        <v>33921.0</v>
      </c>
      <c r="G15" s="8">
        <f si="1" t="shared"/>
        <v>8.31958342634741E-2</v>
      </c>
    </row>
    <row r="16" spans="1:12" x14ac:dyDescent="0.45">
      <c r="A16">
        <v>5</v>
      </c>
      <c r="B16" s="5" t="n">
        <v>32029.973923530368</v>
      </c>
      <c r="C16" s="8">
        <f si="0" t="shared"/>
        <v>5.9137981217016161E-2</v>
      </c>
      <c r="E16" s="9">
        <v>5</v>
      </c>
      <c r="F16" s="9" t="n">
        <v>25702.0</v>
      </c>
      <c r="G16" s="8">
        <f si="1" t="shared"/>
        <v>6.2638914501460724E-2</v>
      </c>
    </row>
    <row r="17" spans="1:7" x14ac:dyDescent="0.45">
      <c r="A17">
        <v>6</v>
      </c>
      <c r="B17" s="5" t="n">
        <v>24287.00083793994</v>
      </c>
      <c r="C17" s="8">
        <f si="0" t="shared"/>
        <v>4.4841878510447429E-2</v>
      </c>
      <c r="E17" s="9">
        <v>6</v>
      </c>
      <c r="F17" s="9" t="n">
        <v>18797.0</v>
      </c>
      <c r="G17" s="8">
        <f si="1" t="shared"/>
        <v>4.5267929069891584E-2</v>
      </c>
    </row>
    <row r="18" spans="1:7" x14ac:dyDescent="0.45">
      <c r="A18">
        <v>7</v>
      </c>
      <c r="B18" s="5" t="n">
        <v>13636.005758259511</v>
      </c>
      <c r="C18" s="8">
        <f si="0" t="shared"/>
        <v>2.5176600341053058E-2</v>
      </c>
      <c r="E18" s="9">
        <v>7</v>
      </c>
      <c r="F18" s="9" t="n">
        <v>13619.0</v>
      </c>
      <c r="G18" s="8">
        <f si="1" t="shared"/>
        <v>3.453572225834943E-2</v>
      </c>
    </row>
    <row r="19" spans="1:7" x14ac:dyDescent="0.45">
      <c r="A19">
        <v>8</v>
      </c>
      <c r="B19" s="5" t="n">
        <v>15144.936904689424</v>
      </c>
      <c r="C19" s="8">
        <f si="0" t="shared"/>
        <v>2.7962588928130475E-2</v>
      </c>
      <c r="E19" s="9">
        <v>8</v>
      </c>
      <c r="F19" s="9" t="n">
        <v>10856.0</v>
      </c>
      <c r="G19" s="8">
        <f si="1" t="shared"/>
        <v>2.6290630975143402E-2</v>
      </c>
    </row>
    <row r="20" spans="1:7" x14ac:dyDescent="0.45">
      <c r="A20">
        <v>9</v>
      </c>
      <c r="B20" s="5" t="n">
        <v>8291.248225565492</v>
      </c>
      <c r="C20" s="8">
        <f si="0" t="shared"/>
        <v>1.5308400905968217E-2</v>
      </c>
      <c r="E20" s="9">
        <v>9</v>
      </c>
      <c r="F20" s="9" t="n">
        <v>9099.0</v>
      </c>
      <c r="G20" s="8">
        <f si="1" t="shared"/>
        <v>2.2187496966932282E-2</v>
      </c>
    </row>
    <row r="21" spans="1:7" x14ac:dyDescent="0.45">
      <c r="A21">
        <v>10</v>
      </c>
      <c r="B21" s="5" t="n">
        <v>11475.202743413894</v>
      </c>
      <c r="C21" s="8">
        <f si="0" t="shared"/>
        <v>2.118703954994245E-2</v>
      </c>
      <c r="E21" s="9">
        <v>10</v>
      </c>
      <c r="F21" s="9" t="n">
        <v>7192.0</v>
      </c>
      <c r="G21" s="8">
        <f si="1" t="shared"/>
        <v>1.7727674195145149E-2</v>
      </c>
    </row>
    <row r="22" spans="1:7" x14ac:dyDescent="0.45">
      <c r="A22">
        <v>11</v>
      </c>
      <c r="B22" s="5" t="n">
        <v>10526.890969245624</v>
      </c>
      <c r="C22" s="8">
        <f si="0" t="shared"/>
        <v>1.9436140719286857E-2</v>
      </c>
      <c r="E22" s="9">
        <v>11</v>
      </c>
      <c r="F22" s="9" t="n">
        <v>6242.0</v>
      </c>
      <c r="G22" s="8">
        <f si="1" t="shared"/>
        <v>1.5332763925420505E-2</v>
      </c>
    </row>
    <row r="23" spans="1:7" x14ac:dyDescent="0.45">
      <c r="A23">
        <v>12</v>
      </c>
      <c r="B23" s="5" t="n">
        <v>5736.894948487997</v>
      </c>
      <c r="C23" s="8">
        <f si="0" t="shared"/>
        <v>1.0592215482836823E-2</v>
      </c>
      <c r="E23" s="9">
        <v>12</v>
      </c>
      <c r="F23" s="9" t="n">
        <v>5657.0</v>
      </c>
      <c r="G23" s="8">
        <f si="1" t="shared"/>
        <v>1.3886597237724568E-2</v>
      </c>
    </row>
    <row r="24" spans="1:7" x14ac:dyDescent="0.45">
      <c r="A24">
        <v>13</v>
      </c>
      <c r="B24" s="5" t="n">
        <v>4718.639615710442</v>
      </c>
      <c r="C24" s="8">
        <f si="0" t="shared"/>
        <v>8.7121775880920002E-3</v>
      </c>
      <c r="E24" s="9">
        <v>13</v>
      </c>
      <c r="F24" s="9" t="n">
        <v>4308.0</v>
      </c>
      <c r="G24" s="8">
        <f si="1" t="shared"/>
        <v>1.0790441711717832E-2</v>
      </c>
    </row>
    <row r="25" spans="1:7" x14ac:dyDescent="0.45">
      <c r="A25">
        <v>14</v>
      </c>
      <c r="B25" s="5" t="n">
        <v>7509.3497684344065</v>
      </c>
      <c r="C25" s="8">
        <f si="0" t="shared"/>
        <v>1.3864756387810725E-2</v>
      </c>
      <c r="E25" s="9">
        <v>14</v>
      </c>
      <c r="F25" s="9" t="n">
        <v>3611.0</v>
      </c>
      <c r="G25" s="8">
        <f si="1" t="shared"/>
        <v>8.8808222767904812E-3</v>
      </c>
    </row>
    <row r="26" spans="1:7" x14ac:dyDescent="0.45">
      <c r="A26">
        <v>15</v>
      </c>
      <c r="B26" s="5" t="n">
        <v>5111.4727187964745</v>
      </c>
      <c r="C26" s="8">
        <f si="0" t="shared"/>
        <v>9.4374781058878445E-3</v>
      </c>
      <c r="E26" s="9">
        <v>15</v>
      </c>
      <c r="F26" s="9" t="n">
        <v>2997.0</v>
      </c>
      <c r="G26" s="8">
        <f si="1" t="shared"/>
        <v>7.2914947928293429E-3</v>
      </c>
    </row>
    <row r="27" spans="1:7" x14ac:dyDescent="0.45">
      <c r="A27">
        <v>16</v>
      </c>
      <c r="B27" s="5" t="n">
        <v>5057.5003957665485</v>
      </c>
      <c r="C27" s="8">
        <f si="0" t="shared"/>
        <v>9.3378272528087027E-3</v>
      </c>
      <c r="E27" s="9">
        <v>16</v>
      </c>
      <c r="F27" s="9" t="n">
        <v>2479.0</v>
      </c>
      <c r="G27" s="8">
        <f si="1" t="shared"/>
        <v>5.9909153555725942E-3</v>
      </c>
    </row>
    <row r="28" spans="1:7" x14ac:dyDescent="0.45">
      <c r="A28">
        <v>17</v>
      </c>
      <c r="B28" s="5" t="n">
        <v>3111.4483325746623</v>
      </c>
      <c r="C28" s="8">
        <f si="0" t="shared"/>
        <v>5.7447681190380285E-3</v>
      </c>
      <c r="E28" s="9">
        <v>17</v>
      </c>
      <c r="F28" s="9" t="n">
        <v>1895.0</v>
      </c>
      <c r="G28" s="8">
        <f si="1" t="shared"/>
        <v>4.9354077898884803E-3</v>
      </c>
    </row>
    <row r="29" spans="1:7" x14ac:dyDescent="0.45">
      <c r="A29">
        <v>18</v>
      </c>
      <c r="B29" s="5" t="n">
        <v>2780.616350732642</v>
      </c>
      <c r="C29" s="8">
        <f si="0" t="shared"/>
        <v>5.1339422852464903E-3</v>
      </c>
      <c r="E29" s="9">
        <v>18</v>
      </c>
      <c r="F29" s="9" t="n">
        <v>1718.0</v>
      </c>
      <c r="G29" s="8">
        <f si="1" t="shared"/>
        <v>4.2535741669982819E-3</v>
      </c>
    </row>
    <row r="30" spans="1:7" x14ac:dyDescent="0.45">
      <c r="A30">
        <v>19</v>
      </c>
      <c r="B30" s="5" t="n">
        <v>3807.680519143581</v>
      </c>
      <c r="C30" s="8">
        <f si="0" t="shared"/>
        <v>7.0302442193400354E-3</v>
      </c>
      <c r="E30" s="9">
        <v>19</v>
      </c>
      <c r="F30" s="9" t="n">
        <v>1443.0</v>
      </c>
      <c r="G30" s="8">
        <f si="1" t="shared"/>
        <v>3.6105638108918673E-3</v>
      </c>
    </row>
    <row r="31" spans="1:7" x14ac:dyDescent="0.45">
      <c r="A31">
        <v>20</v>
      </c>
      <c r="B31" s="5" t="n">
        <v>1503.2340643500472</v>
      </c>
      <c r="C31" s="8">
        <f si="0" t="shared"/>
        <v>2.775469879387074E-3</v>
      </c>
      <c r="E31" s="9">
        <v>20</v>
      </c>
      <c r="F31" s="9" t="n">
        <v>1240.0</v>
      </c>
      <c r="G31" s="8">
        <f si="1" t="shared"/>
        <v>3.1252729760945733E-3</v>
      </c>
    </row>
    <row r="32" spans="1:7" x14ac:dyDescent="0.45">
      <c r="A32">
        <v>21</v>
      </c>
      <c r="B32" s="5" t="n">
        <v>829.7292961190917</v>
      </c>
      <c r="C32" s="8">
        <f si="0" t="shared"/>
        <v>1.5319561497691822E-3</v>
      </c>
      <c r="E32" s="9">
        <v>21</v>
      </c>
      <c r="F32" s="9" t="n">
        <v>975.0</v>
      </c>
      <c r="G32" s="8">
        <f si="1" t="shared"/>
        <v>2.3852044530287002E-3</v>
      </c>
    </row>
    <row r="33" spans="1:7" x14ac:dyDescent="0.45">
      <c r="A33">
        <v>22</v>
      </c>
      <c r="B33" s="5" t="n">
        <v>1138.7457692951996</v>
      </c>
      <c r="C33" s="8">
        <f si="0" t="shared"/>
        <v>2.1025033013237471E-3</v>
      </c>
      <c r="E33" s="9">
        <v>22</v>
      </c>
      <c r="F33" s="9" t="n">
        <v>827.0</v>
      </c>
      <c r="G33" s="8">
        <f si="1" t="shared"/>
        <v>2.0746183187584318E-3</v>
      </c>
    </row>
    <row r="34" spans="1:7" x14ac:dyDescent="0.45">
      <c r="A34">
        <v>23</v>
      </c>
      <c r="B34" s="5" t="n">
        <v>1932.6697624428948</v>
      </c>
      <c r="C34" s="8">
        <f si="0" t="shared"/>
        <v>3.5683509572287972E-3</v>
      </c>
      <c r="E34" s="9">
        <v>23</v>
      </c>
      <c r="F34" s="9" t="n">
        <v>776.0</v>
      </c>
      <c r="G34" s="8">
        <f si="1" t="shared"/>
        <v>1.7252089177043801E-3</v>
      </c>
    </row>
    <row r="35" spans="1:7" x14ac:dyDescent="0.45">
      <c r="A35">
        <v>24</v>
      </c>
      <c r="B35" s="5" t="n">
        <v>406.8600847526185</v>
      </c>
      <c r="C35" s="8">
        <f si="0" t="shared"/>
        <v>7.5119898965568521E-4</v>
      </c>
      <c r="E35" s="9">
        <v>24</v>
      </c>
      <c r="F35" s="9" t="n">
        <v>675.0</v>
      </c>
      <c r="G35" s="8">
        <f si="1" t="shared"/>
        <v>1.5796216672651921E-3</v>
      </c>
    </row>
    <row r="36" spans="1:7" x14ac:dyDescent="0.45">
      <c r="A36">
        <v>25</v>
      </c>
      <c r="B36" s="5" t="n">
        <v>708.9423834596407</v>
      </c>
      <c r="C36" s="8">
        <f si="0" t="shared"/>
        <v>1.3089433496598318E-3</v>
      </c>
      <c r="E36" s="9">
        <v>25</v>
      </c>
      <c r="F36" s="9" t="n">
        <v>579.0</v>
      </c>
      <c r="G36" s="8">
        <f si="1" t="shared"/>
        <v>1.3927846958682339E-3</v>
      </c>
    </row>
    <row r="37" spans="1:7" x14ac:dyDescent="0.45">
      <c r="A37">
        <v>26</v>
      </c>
      <c r="B37" s="5" t="n">
        <v>1141.8187939575666</v>
      </c>
      <c r="C37" s="8">
        <f si="0" t="shared"/>
        <v>2.1081771265724458E-3</v>
      </c>
      <c r="E37" s="9">
        <v>26</v>
      </c>
      <c r="F37" s="9" t="n">
        <v>470.0</v>
      </c>
      <c r="G37" s="8">
        <f si="1" t="shared"/>
        <v>1.1744038202094514E-3</v>
      </c>
    </row>
    <row r="38" spans="1:7" x14ac:dyDescent="0.45">
      <c r="A38">
        <v>27</v>
      </c>
      <c r="B38" s="5" t="n">
        <v>461.9031635095361</v>
      </c>
      <c r="C38" s="8">
        <f si="0" t="shared"/>
        <v>8.5282681381266949E-4</v>
      </c>
      <c r="E38" s="9">
        <v>27</v>
      </c>
      <c r="F38" s="9" t="n">
        <v>446.0</v>
      </c>
      <c r="G38" s="8">
        <f si="1" t="shared"/>
        <v>1.0724927449020198E-3</v>
      </c>
    </row>
    <row r="39" spans="1:7" x14ac:dyDescent="0.45">
      <c r="A39">
        <v>28</v>
      </c>
      <c r="B39" s="5" t="n">
        <v>1205.8701612076509</v>
      </c>
      <c r="C39" s="8">
        <f si="0" t="shared"/>
        <v>2.226437246371575E-3</v>
      </c>
      <c r="E39" s="9">
        <v>28</v>
      </c>
      <c r="F39" s="9" t="n">
        <v>415.0</v>
      </c>
      <c r="G39" s="8">
        <f si="1" t="shared"/>
        <v>9.5359649037668275E-4</v>
      </c>
    </row>
    <row r="40" spans="1:7" x14ac:dyDescent="0.45">
      <c r="A40">
        <v>29</v>
      </c>
      <c r="B40" s="5" t="n">
        <v>514.7792575788147</v>
      </c>
      <c r="C40" s="8">
        <f si="0" t="shared"/>
        <v>9.5045366375527847E-4</v>
      </c>
      <c r="E40" s="9">
        <v>29</v>
      </c>
      <c r="F40" s="9" t="n">
        <v>320.0</v>
      </c>
      <c r="G40" s="8">
        <f si="1" t="shared"/>
        <v>8.0315633158952165E-4</v>
      </c>
    </row>
    <row r="41" spans="1:7" x14ac:dyDescent="0.45">
      <c r="A41">
        <v>30</v>
      </c>
      <c r="B41" s="5" t="n">
        <v>217.6090305065594</v>
      </c>
      <c r="C41" s="8">
        <f si="0" t="shared"/>
        <v>4.0177862115885172E-4</v>
      </c>
      <c r="E41" s="9">
        <v>30</v>
      </c>
      <c r="F41" s="9" t="n">
        <v>266.0</v>
      </c>
      <c r="G41" s="8">
        <f si="1" t="shared"/>
        <v>6.5999553532431984E-4</v>
      </c>
    </row>
    <row r="42" spans="1:7" x14ac:dyDescent="0.45">
      <c r="A42">
        <v>31</v>
      </c>
      <c r="B42" s="5" t="n">
        <v>132.734592349259</v>
      </c>
      <c r="C42" s="8">
        <f si="0" t="shared"/>
        <v>2.450721891918912E-4</v>
      </c>
      <c r="E42" s="9">
        <v>31</v>
      </c>
      <c r="F42" s="9" t="n">
        <v>233.0</v>
      </c>
      <c r="G42" s="8">
        <f si="1" t="shared"/>
        <v>5.1440828488513171E-4</v>
      </c>
    </row>
    <row r="43" spans="1:7" x14ac:dyDescent="0.45">
      <c r="A43">
        <v>32</v>
      </c>
      <c r="B43" s="5" t="n">
        <v>246.68418679866483</v>
      </c>
      <c r="C43" s="8">
        <f si="0" t="shared"/>
        <v>4.5546102660786689E-4</v>
      </c>
      <c r="E43" s="9">
        <v>32</v>
      </c>
      <c r="F43" s="9" t="n">
        <v>222.0</v>
      </c>
      <c r="G43" s="8">
        <f si="1" t="shared"/>
        <v>5.1198183071114517E-4</v>
      </c>
    </row>
    <row r="44" spans="1:7" x14ac:dyDescent="0.45">
      <c r="A44">
        <v>33</v>
      </c>
      <c r="B44" s="5" t="n">
        <v>343.2319110073221</v>
      </c>
      <c r="C44" s="8">
        <f si="0" t="shared"/>
        <v>6.3372022577014666E-4</v>
      </c>
      <c r="E44" s="9">
        <v>33</v>
      </c>
      <c r="F44" s="9" t="n">
        <v>131.0</v>
      </c>
      <c r="G44" s="8">
        <f si="1" t="shared"/>
        <v>3.9793848453378107E-4</v>
      </c>
    </row>
    <row r="45" spans="1:7" x14ac:dyDescent="0.45">
      <c r="A45">
        <v>34</v>
      </c>
      <c r="B45" s="5" t="n">
        <v>0.0</v>
      </c>
      <c r="C45" s="8">
        <f si="0" t="shared"/>
        <v>0</v>
      </c>
      <c r="E45" s="9">
        <v>34</v>
      </c>
      <c r="F45" s="9" t="n">
        <v>108.0</v>
      </c>
      <c r="G45" s="8">
        <f si="1" t="shared"/>
        <v>2.2566023818074171E-4</v>
      </c>
    </row>
    <row r="46" spans="1:7" x14ac:dyDescent="0.45">
      <c r="A46">
        <v>35</v>
      </c>
      <c r="B46" s="5" t="n">
        <v>100.5297702403902</v>
      </c>
      <c r="C46" s="8">
        <f si="0" t="shared"/>
        <v>1.8561138009106035E-4</v>
      </c>
      <c r="E46" s="9">
        <v>35</v>
      </c>
      <c r="F46" s="9" t="n">
        <v>84.0</v>
      </c>
      <c r="G46" s="8">
        <f si="1" t="shared"/>
        <v>1.8441051722297173E-4</v>
      </c>
    </row>
    <row r="47" spans="1:7" x14ac:dyDescent="0.45">
      <c r="A47">
        <v>36</v>
      </c>
      <c r="B47" s="5" t="n">
        <v>338.920529410369</v>
      </c>
      <c r="C47" s="8">
        <f si="0" t="shared"/>
        <v>6.2575998189018855E-4</v>
      </c>
      <c r="E47" s="9">
        <v>36</v>
      </c>
      <c r="F47" s="9" t="n">
        <v>169.0</v>
      </c>
      <c r="G47" s="8">
        <f si="1" t="shared"/>
        <v>3.6882103444594346E-4</v>
      </c>
    </row>
    <row r="48" spans="1:7" x14ac:dyDescent="0.45">
      <c r="A48">
        <v>37</v>
      </c>
      <c r="B48" s="5" t="n">
        <v>355.710382378764</v>
      </c>
      <c r="C48" s="8">
        <f si="0" t="shared"/>
        <v>6.5675963277507347E-4</v>
      </c>
      <c r="E48" s="9">
        <v>37</v>
      </c>
      <c r="F48" s="9" t="n">
        <v>67.0</v>
      </c>
      <c r="G48" s="8">
        <f si="1" t="shared"/>
        <v>1.7227824635303939E-4</v>
      </c>
    </row>
    <row r="49" spans="1:7" x14ac:dyDescent="0.45">
      <c r="A49">
        <v>38</v>
      </c>
      <c r="B49" s="5" t="n">
        <v>36.3774810046632</v>
      </c>
      <c r="C49" s="8">
        <f si="0" t="shared"/>
        <v>6.7164924751803164E-5</v>
      </c>
      <c r="E49" s="9">
        <v>38</v>
      </c>
      <c r="F49" s="9" t="n">
        <v>53.0</v>
      </c>
      <c r="G49" s="8">
        <f si="1" t="shared"/>
        <v>1.625724296570935E-4</v>
      </c>
    </row>
    <row r="50" spans="1:7" x14ac:dyDescent="0.45">
      <c r="A50">
        <v>39</v>
      </c>
      <c r="B50" s="5" t="n">
        <v>0.0</v>
      </c>
      <c r="C50" s="8">
        <f si="0" t="shared"/>
        <v>0</v>
      </c>
      <c r="E50" s="9">
        <v>39</v>
      </c>
      <c r="F50" s="9" t="n">
        <v>42.0</v>
      </c>
      <c r="G50" s="8">
        <f si="1" t="shared"/>
        <v>1.1161689200337763E-4</v>
      </c>
    </row>
    <row r="51" spans="1:7" x14ac:dyDescent="0.45">
      <c r="A51">
        <v>40</v>
      </c>
      <c r="B51" s="5" t="n">
        <v>0.0</v>
      </c>
      <c r="C51" s="8">
        <f si="0" t="shared"/>
        <v>0</v>
      </c>
      <c r="E51" s="9">
        <v>40</v>
      </c>
      <c r="F51" s="9" t="n">
        <v>51.0</v>
      </c>
      <c r="G51" s="8">
        <f si="1" t="shared"/>
        <v>8.9778804437499394E-5</v>
      </c>
    </row>
    <row r="52" spans="1:7" x14ac:dyDescent="0.45">
      <c r="A52">
        <v>41</v>
      </c>
      <c r="B52" s="5" t="n">
        <v>865.955144398774</v>
      </c>
      <c r="C52" s="8">
        <f si="0" t="shared"/>
        <v>1.5988411100956875E-3</v>
      </c>
      <c r="E52" s="9">
        <v>41</v>
      </c>
      <c r="F52" s="9" t="n">
        <v>62.0</v>
      </c>
      <c r="G52" s="8">
        <f si="1" t="shared"/>
        <v>1.4073434209121527E-4</v>
      </c>
    </row>
    <row r="53" spans="1:7" x14ac:dyDescent="0.45">
      <c r="A53">
        <v>42</v>
      </c>
      <c r="B53" s="5" t="n">
        <v>0.0</v>
      </c>
      <c r="C53" s="8">
        <f si="0" t="shared"/>
        <v>0</v>
      </c>
      <c r="E53" s="9">
        <v>42</v>
      </c>
      <c r="F53" s="9" t="n">
        <v>19.0</v>
      </c>
      <c r="G53" s="8">
        <f si="1" t="shared"/>
        <v>8.4925896089526451E-5</v>
      </c>
    </row>
    <row r="54" spans="1:7" x14ac:dyDescent="0.45">
      <c r="A54">
        <v>43</v>
      </c>
      <c r="B54" s="5" t="n">
        <v>0.0</v>
      </c>
      <c r="C54" s="8">
        <f si="0" t="shared"/>
        <v>0</v>
      </c>
      <c r="E54" s="9">
        <v>43</v>
      </c>
      <c r="F54" s="9" t="n">
        <v>27.0</v>
      </c>
      <c r="G54" s="8">
        <f si="1" t="shared"/>
        <v>5.0955537653715869E-5</v>
      </c>
    </row>
    <row r="55" spans="1:7" x14ac:dyDescent="0.45">
      <c r="A55">
        <v>44</v>
      </c>
      <c r="B55" s="5" t="n">
        <v>113.225554293073</v>
      </c>
      <c r="C55" s="8">
        <f si="0" t="shared"/>
        <v>2.0905201855787102E-4</v>
      </c>
      <c r="E55" s="9">
        <v>44</v>
      </c>
      <c r="F55" s="9" t="n">
        <v>19.0</v>
      </c>
      <c r="G55" s="8">
        <f si="1" t="shared"/>
        <v>5.3381991827702341E-5</v>
      </c>
    </row>
    <row r="56" spans="1:7" x14ac:dyDescent="0.45">
      <c r="A56">
        <v>45</v>
      </c>
      <c r="B56" s="5" t="n">
        <v>0.0</v>
      </c>
      <c r="C56" s="8">
        <f si="0" t="shared"/>
        <v>0</v>
      </c>
      <c r="E56" s="9">
        <v>45</v>
      </c>
      <c r="F56" s="9" t="n">
        <v>21.0</v>
      </c>
      <c r="G56" s="8">
        <f si="1" t="shared"/>
        <v>4.3676175131756461E-5</v>
      </c>
    </row>
    <row r="57" spans="1:7" x14ac:dyDescent="0.45">
      <c r="A57">
        <v>46</v>
      </c>
      <c r="B57" s="5" t="n">
        <v>0.0</v>
      </c>
      <c r="C57" s="8">
        <f si="0" t="shared"/>
        <v>0</v>
      </c>
      <c r="E57" s="9">
        <v>46</v>
      </c>
      <c r="F57" s="9" t="n">
        <v>9.0</v>
      </c>
      <c r="G57" s="8">
        <f si="1" t="shared"/>
        <v>3.154390426182411E-5</v>
      </c>
    </row>
    <row r="58" spans="1:7" x14ac:dyDescent="0.45">
      <c r="A58">
        <v>47</v>
      </c>
      <c r="B58" s="5" t="n">
        <v>0.0</v>
      </c>
      <c r="C58" s="8">
        <f si="0" t="shared"/>
        <v>0</v>
      </c>
      <c r="E58" s="9">
        <v>47</v>
      </c>
      <c r="F58" s="9" t="n">
        <v>7.0</v>
      </c>
      <c r="G58" s="8">
        <f si="1" t="shared"/>
        <v>2.1838087565878231E-5</v>
      </c>
    </row>
    <row r="59" spans="1:7" x14ac:dyDescent="0.45">
      <c r="A59">
        <v>48</v>
      </c>
      <c r="B59" s="5" t="n">
        <v>0.0</v>
      </c>
      <c r="C59" s="8">
        <f si="0" t="shared"/>
        <v>0</v>
      </c>
      <c r="E59" s="9">
        <v>48</v>
      </c>
      <c r="F59" s="9" t="n">
        <v>27.0</v>
      </c>
      <c r="G59" s="8">
        <f si="1" t="shared"/>
        <v>5.8234900175675284E-5</v>
      </c>
    </row>
    <row r="60" spans="1:7" x14ac:dyDescent="0.45">
      <c r="A60">
        <v>49</v>
      </c>
      <c r="B60" s="5" t="n">
        <v>0.0</v>
      </c>
      <c r="C60" s="8">
        <f si="0" t="shared"/>
        <v>0</v>
      </c>
      <c r="E60" s="9">
        <v>49</v>
      </c>
      <c r="F60" s="9" t="n">
        <v>5.0</v>
      </c>
      <c r="G60" s="8">
        <f si="1" t="shared"/>
        <v>7.2793625219594105E-6</v>
      </c>
    </row>
    <row r="61" spans="1:7" x14ac:dyDescent="0.45">
      <c r="A61">
        <v>50</v>
      </c>
      <c r="B61" s="5" t="n">
        <v>0.0</v>
      </c>
      <c r="C61" s="8">
        <f si="0" t="shared"/>
        <v>0</v>
      </c>
      <c r="E61" s="9">
        <v>50</v>
      </c>
      <c r="F61" s="9" t="n">
        <v>5.0</v>
      </c>
      <c r="G61" s="8">
        <f si="1" t="shared"/>
        <v>2.4264541739864702E-5</v>
      </c>
    </row>
    <row r="62" spans="1:7" x14ac:dyDescent="0.45">
      <c r="A62">
        <v>51</v>
      </c>
      <c r="B62" s="5" t="n">
        <v>0.0</v>
      </c>
      <c r="C62" s="8">
        <f si="0" t="shared"/>
        <v>0</v>
      </c>
      <c r="E62" s="9">
        <v>51</v>
      </c>
      <c r="F62" s="9" t="n">
        <v>9.0</v>
      </c>
      <c r="G62" s="8">
        <f si="1" t="shared"/>
        <v>2.4264541739864699E-6</v>
      </c>
    </row>
    <row r="63" spans="1:7" x14ac:dyDescent="0.45">
      <c r="A63">
        <v>52</v>
      </c>
      <c r="B63" s="5" t="n">
        <v>0.0</v>
      </c>
      <c r="C63" s="8">
        <f si="0" t="shared"/>
        <v>0</v>
      </c>
      <c r="E63" s="9">
        <v>52</v>
      </c>
      <c r="F63" s="9" t="n">
        <v>17.0</v>
      </c>
      <c r="G63" s="8">
        <f si="1" t="shared"/>
        <v>4.8529083479729405E-5</v>
      </c>
    </row>
    <row r="64" spans="1:7" x14ac:dyDescent="0.45">
      <c r="A64">
        <v>53</v>
      </c>
      <c r="B64" s="5" t="n">
        <v>0.0</v>
      </c>
      <c r="C64" s="8">
        <f si="0" t="shared"/>
        <v>0</v>
      </c>
      <c r="E64" s="9">
        <v>53</v>
      </c>
      <c r="F64" s="9" t="n">
        <v>5.0</v>
      </c>
      <c r="G64" s="8">
        <f si="1" t="shared"/>
        <v>2.6690995913851171E-5</v>
      </c>
    </row>
    <row r="65" spans="1:7" x14ac:dyDescent="0.45">
      <c r="A65">
        <v>54</v>
      </c>
      <c r="B65" s="5" t="n">
        <v>0.0</v>
      </c>
      <c r="C65" s="8">
        <f si="0" t="shared"/>
        <v>0</v>
      </c>
      <c r="E65" s="9">
        <v>54</v>
      </c>
      <c r="F65" s="9" t="n">
        <v>4.0</v>
      </c>
      <c r="G65" s="8">
        <f si="1" t="shared"/>
        <v>4.8529083479729398E-6</v>
      </c>
    </row>
    <row r="66" spans="1:7" x14ac:dyDescent="0.45">
      <c r="A66">
        <v>55</v>
      </c>
      <c r="B66" s="5" t="n">
        <v>0.0</v>
      </c>
      <c r="C66" s="8">
        <f si="0" t="shared"/>
        <v>0</v>
      </c>
      <c r="E66" s="9">
        <v>55</v>
      </c>
      <c r="F66" s="9" t="n">
        <v>3.0</v>
      </c>
      <c r="G66" s="8">
        <f si="1" t="shared"/>
        <v>7.2793625219594105E-6</v>
      </c>
    </row>
    <row r="67" spans="1:7" x14ac:dyDescent="0.45">
      <c r="A67">
        <v>56</v>
      </c>
      <c r="B67" s="5" t="n">
        <v>0.0</v>
      </c>
      <c r="C67" s="8">
        <f si="0" t="shared"/>
        <v>0</v>
      </c>
      <c r="E67" s="9">
        <v>56</v>
      </c>
      <c r="F67" s="9" t="n">
        <v>3.0</v>
      </c>
      <c r="G67" s="8">
        <f si="1" t="shared"/>
        <v>9.7058166959458796E-6</v>
      </c>
    </row>
    <row r="68" spans="1:7" x14ac:dyDescent="0.45">
      <c r="A68">
        <v>57</v>
      </c>
      <c r="B68" s="5" t="n">
        <v>0.0</v>
      </c>
      <c r="C68" s="8">
        <f si="0" t="shared"/>
        <v>0</v>
      </c>
      <c r="E68" s="9">
        <v>57</v>
      </c>
      <c r="F68" s="9" t="n">
        <v>4.0</v>
      </c>
      <c r="G68" s="8">
        <f si="1" t="shared"/>
        <v>4.8529083479729398E-6</v>
      </c>
    </row>
    <row r="69" spans="1:7" x14ac:dyDescent="0.45">
      <c r="A69">
        <v>58</v>
      </c>
      <c r="B69" s="5" t="n">
        <v>0.0</v>
      </c>
      <c r="C69" s="8">
        <f si="0" t="shared"/>
        <v>0</v>
      </c>
      <c r="E69" s="9">
        <v>58</v>
      </c>
      <c r="F69" s="9" t="n">
        <v>2.0</v>
      </c>
      <c r="G69" s="8">
        <f si="1" t="shared"/>
        <v>2.4264541739864699E-6</v>
      </c>
    </row>
    <row r="70" spans="1:7" x14ac:dyDescent="0.45">
      <c r="A70">
        <v>59</v>
      </c>
      <c r="B70" s="5" t="n">
        <v>0.0</v>
      </c>
      <c r="C70" s="8">
        <f si="0" t="shared"/>
        <v>0</v>
      </c>
      <c r="E70" s="9">
        <v>59</v>
      </c>
      <c r="F70" s="9" t="n">
        <v>1.0</v>
      </c>
      <c r="G70" s="8">
        <f si="1" t="shared"/>
        <v>7.2793625219594105E-6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3.0</v>
      </c>
      <c r="G71" s="8">
        <f si="1" t="shared"/>
        <v>0</v>
      </c>
    </row>
    <row r="72" spans="1:7" x14ac:dyDescent="0.45">
      <c r="A72">
        <v>61</v>
      </c>
      <c r="B72" s="5" t="n">
        <v>0.0</v>
      </c>
      <c r="C72" s="8">
        <f si="0" t="shared"/>
        <v>0</v>
      </c>
      <c r="E72" s="9">
        <v>61</v>
      </c>
      <c r="F72" s="9" t="n">
        <v>1.0</v>
      </c>
      <c r="G72" s="8">
        <f si="1" t="shared"/>
        <v>0</v>
      </c>
    </row>
    <row r="73" spans="1:7" x14ac:dyDescent="0.45">
      <c r="A73">
        <v>62</v>
      </c>
      <c r="B73" s="5" t="n">
        <v>0.0</v>
      </c>
      <c r="C73" s="8">
        <f si="0" t="shared"/>
        <v>0</v>
      </c>
      <c r="E73" s="9">
        <v>62</v>
      </c>
      <c r="F73" s="9" t="n">
        <v>0.0</v>
      </c>
      <c r="G73" s="8">
        <f si="1" t="shared"/>
        <v>0</v>
      </c>
    </row>
    <row r="74" spans="1:7" x14ac:dyDescent="0.45">
      <c r="A74">
        <v>63</v>
      </c>
      <c r="B74" s="5" t="n">
        <v>0.0</v>
      </c>
      <c r="C74" s="8">
        <f si="0" t="shared"/>
        <v>0</v>
      </c>
      <c r="E74" s="9">
        <v>63</v>
      </c>
      <c r="F74" s="9" t="n">
        <v>1.0</v>
      </c>
      <c r="G74" s="8">
        <f si="1" t="shared"/>
        <v>0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1.0</v>
      </c>
      <c r="G75" s="8">
        <f si="1" t="shared"/>
        <v>0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0.0</v>
      </c>
      <c r="G76" s="8">
        <f si="1" t="shared"/>
        <v>0</v>
      </c>
    </row>
    <row r="77" spans="1:7" x14ac:dyDescent="0.45">
      <c r="A77">
        <v>66</v>
      </c>
      <c r="B77" s="5" t="n">
        <v>0.0</v>
      </c>
      <c r="C77" s="8">
        <f ref="C77:C102" si="2" t="shared">B77/B$102</f>
        <v>0</v>
      </c>
      <c r="E77" s="9">
        <v>66</v>
      </c>
      <c r="F77" s="9" t="n">
        <v>0.0</v>
      </c>
      <c r="G77" s="8">
        <f ref="G77:G102" si="3" t="shared">F77/F$102</f>
        <v>0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0.0</v>
      </c>
      <c r="G78" s="8">
        <f si="3" t="shared"/>
        <v>0</v>
      </c>
    </row>
    <row r="79" spans="1:7" x14ac:dyDescent="0.45">
      <c r="A79">
        <v>68</v>
      </c>
      <c r="B79" s="5" t="n">
        <v>0.0</v>
      </c>
      <c r="C79" s="8">
        <f si="2" t="shared"/>
        <v>0</v>
      </c>
      <c r="E79" s="9">
        <v>68</v>
      </c>
      <c r="F79" s="9" t="n">
        <v>4.0</v>
      </c>
      <c r="G79" s="8">
        <f si="3" t="shared"/>
        <v>9.7058166959458796E-6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3.0</v>
      </c>
      <c r="G80" s="8">
        <f si="3" t="shared"/>
        <v>0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0.0</v>
      </c>
      <c r="G81" s="8">
        <f si="3" t="shared"/>
        <v>2.4264541739864699E-6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1.0</v>
      </c>
      <c r="G82" s="8">
        <f si="3" t="shared"/>
        <v>0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1.0</v>
      </c>
      <c r="G83" s="8">
        <f si="3" t="shared"/>
        <v>0</v>
      </c>
    </row>
    <row r="84" spans="1:7" x14ac:dyDescent="0.45">
      <c r="A84">
        <v>73</v>
      </c>
      <c r="B84" s="5" t="n">
        <v>0.0</v>
      </c>
      <c r="C84" s="8">
        <f si="2" t="shared"/>
        <v>0</v>
      </c>
      <c r="E84" s="9">
        <v>73</v>
      </c>
      <c r="F84" s="9" t="n">
        <v>0.0</v>
      </c>
      <c r="G84" s="8">
        <f si="3" t="shared"/>
        <v>0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0.0</v>
      </c>
      <c r="G85" s="8">
        <f si="3" t="shared"/>
        <v>0</v>
      </c>
    </row>
    <row r="86" spans="1:7" x14ac:dyDescent="0.45">
      <c r="A86">
        <v>75</v>
      </c>
      <c r="B86" s="5" t="n">
        <v>0.0</v>
      </c>
      <c r="C86" s="8">
        <f si="2" t="shared"/>
        <v>0</v>
      </c>
      <c r="E86" s="9">
        <v>75</v>
      </c>
      <c r="F86" s="9" t="n">
        <v>0.0</v>
      </c>
      <c r="G86" s="8">
        <f si="3" t="shared"/>
        <v>0</v>
      </c>
    </row>
    <row r="87" spans="1:7" x14ac:dyDescent="0.45">
      <c r="A87">
        <v>76</v>
      </c>
      <c r="B87" s="5" t="n">
        <v>0.0</v>
      </c>
      <c r="C87" s="8">
        <f si="2" t="shared"/>
        <v>0</v>
      </c>
      <c r="E87" s="9">
        <v>76</v>
      </c>
      <c r="F87" s="9" t="n">
        <v>0.0</v>
      </c>
      <c r="G87" s="8">
        <f si="3" t="shared"/>
        <v>0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1.0</v>
      </c>
      <c r="G88" s="8">
        <f si="3" t="shared"/>
        <v>2.4264541739864699E-6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0.0</v>
      </c>
      <c r="G89" s="8">
        <f si="3" t="shared"/>
        <v>0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0.0</v>
      </c>
      <c r="G90" s="8">
        <f si="3" t="shared"/>
        <v>0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0.0</v>
      </c>
      <c r="G91" s="8">
        <f si="3" t="shared"/>
        <v>0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0.0</v>
      </c>
      <c r="G92" s="8">
        <f si="3" t="shared"/>
        <v>0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0.0</v>
      </c>
      <c r="G93" s="8">
        <f si="3" t="shared"/>
        <v>0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0.0</v>
      </c>
      <c r="G94" s="8">
        <f si="3" t="shared"/>
        <v>0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0.0</v>
      </c>
      <c r="G95" s="8">
        <f si="3" t="shared"/>
        <v>2.4264541739864699E-6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0.0</v>
      </c>
      <c r="G96" s="8">
        <f si="3" t="shared"/>
        <v>0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0.0</v>
      </c>
      <c r="G97" s="8">
        <f si="3" t="shared"/>
        <v>0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0.0</v>
      </c>
      <c r="G98" s="8">
        <f si="3" t="shared"/>
        <v>0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0.0</v>
      </c>
      <c r="G99" s="8">
        <f si="3" t="shared"/>
        <v>0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0.0</v>
      </c>
      <c r="G100" s="8">
        <f si="3" t="shared"/>
        <v>0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1.0</v>
      </c>
      <c r="G101" s="8">
        <f si="3" t="shared"/>
        <v>0</v>
      </c>
    </row>
    <row r="102" spans="1:7" x14ac:dyDescent="0.45">
      <c r="B102" s="5">
        <f>SUM(B11:B101)</f>
        <v>541614.25981031242</v>
      </c>
      <c r="C102" s="8">
        <f si="2" t="shared"/>
        <v>1</v>
      </c>
      <c r="F102" s="5">
        <f>SUM(F11:F101)</f>
        <v>412124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M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7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0.0</v>
      </c>
      <c r="C11" s="8">
        <f>B11/B$102</f>
        <v>0</v>
      </c>
      <c r="E11" s="9">
        <v>0</v>
      </c>
      <c r="F11" s="9" t="n">
        <v>3115.0</v>
      </c>
      <c r="G11" s="8">
        <f>F11/F$102</f>
        <v>7.2502450718715727E-3</v>
      </c>
      <c r="K11" s="5" t="n">
        <v>11.79508557496975</v>
      </c>
      <c r="L11" s="5" t="n">
        <v>13.19619479861259</v>
      </c>
    </row>
    <row r="12" spans="1:12" x14ac:dyDescent="0.45">
      <c r="A12">
        <v>1</v>
      </c>
      <c r="B12" s="5" t="n">
        <v>0.0</v>
      </c>
      <c r="C12" s="8">
        <f>B12/B$102</f>
        <v>0</v>
      </c>
      <c r="E12" s="9">
        <v>1</v>
      </c>
      <c r="F12" s="9" t="n">
        <v>17992.0</v>
      </c>
      <c r="G12" s="8">
        <f>F12/F$102</f>
        <v>4.3319486368180449E-2</v>
      </c>
      <c r="K12" s="5"/>
      <c r="L12" s="9"/>
    </row>
    <row r="13" spans="1:12" x14ac:dyDescent="0.45">
      <c r="A13">
        <v>2</v>
      </c>
      <c r="B13" s="5" t="n">
        <v>5907.071050388354</v>
      </c>
      <c r="C13" s="8">
        <f ref="C13:C76" si="0" t="shared">B13/B$102</f>
        <v>1.0906417147246392E-2</v>
      </c>
      <c r="E13" s="9">
        <v>2</v>
      </c>
      <c r="F13" s="9" t="n">
        <v>10705.0</v>
      </c>
      <c r="G13" s="8">
        <f ref="G13:G76" si="1" t="shared">F13/F$102</f>
        <v>2.5162329784239695E-2</v>
      </c>
    </row>
    <row r="14" spans="1:12" x14ac:dyDescent="0.45">
      <c r="A14">
        <v>3</v>
      </c>
      <c r="B14" s="5" t="n">
        <v>50696.12698847352</v>
      </c>
      <c r="C14" s="8">
        <f si="0" t="shared"/>
        <v>9.3601905914051528E-2</v>
      </c>
      <c r="E14" s="9">
        <v>3</v>
      </c>
      <c r="F14" s="9" t="n">
        <v>16445.0</v>
      </c>
      <c r="G14" s="8">
        <f si="1" t="shared"/>
        <v>3.9228484630839264E-2</v>
      </c>
    </row>
    <row r="15" spans="1:12" x14ac:dyDescent="0.45">
      <c r="A15">
        <v>4</v>
      </c>
      <c r="B15" s="5" t="n">
        <v>51895.193911235714</v>
      </c>
      <c r="C15" s="8">
        <f si="0" t="shared"/>
        <v>9.5815782120306017E-2</v>
      </c>
      <c r="E15" s="9">
        <v>4</v>
      </c>
      <c r="F15" s="9" t="n">
        <v>22639.0</v>
      </c>
      <c r="G15" s="8">
        <f si="1" t="shared"/>
        <v>5.5473595325678679E-2</v>
      </c>
    </row>
    <row r="16" spans="1:12" x14ac:dyDescent="0.45">
      <c r="A16">
        <v>5</v>
      </c>
      <c r="B16" s="5" t="n">
        <v>51622.71799009781</v>
      </c>
      <c r="C16" s="8">
        <f si="0" t="shared"/>
        <v>9.5312700976849171E-2</v>
      </c>
      <c r="E16" s="9">
        <v>5</v>
      </c>
      <c r="F16" s="9" t="n">
        <v>28057.0</v>
      </c>
      <c r="G16" s="8">
        <f si="1" t="shared"/>
        <v>6.7465131853519808E-2</v>
      </c>
    </row>
    <row r="17" spans="1:7" x14ac:dyDescent="0.45">
      <c r="A17">
        <v>6</v>
      </c>
      <c r="B17" s="5" t="n">
        <v>45726.46701794579</v>
      </c>
      <c r="C17" s="8">
        <f si="0" t="shared"/>
        <v>8.4426261291496288E-2</v>
      </c>
      <c r="E17" s="9">
        <v>6</v>
      </c>
      <c r="F17" s="9" t="n">
        <v>29873.0</v>
      </c>
      <c r="G17" s="8">
        <f si="1" t="shared"/>
        <v>7.1968630800438707E-2</v>
      </c>
    </row>
    <row r="18" spans="1:7" x14ac:dyDescent="0.45">
      <c r="A18">
        <v>7</v>
      </c>
      <c r="B18" s="5" t="n">
        <v>51572.70877244449</v>
      </c>
      <c r="C18" s="8">
        <f si="0" t="shared"/>
        <v>9.5220367333952047E-2</v>
      </c>
      <c r="E18" s="9">
        <v>7</v>
      </c>
      <c r="F18" s="9" t="n">
        <v>29332.0</v>
      </c>
      <c r="G18" s="8">
        <f si="1" t="shared"/>
        <v>7.1446943153031614E-2</v>
      </c>
    </row>
    <row r="19" spans="1:7" x14ac:dyDescent="0.45">
      <c r="A19">
        <v>8</v>
      </c>
      <c r="B19" s="5" t="n">
        <v>32795.51149215799</v>
      </c>
      <c r="C19" s="8">
        <f si="0" t="shared"/>
        <v>6.0551418095313517E-2</v>
      </c>
      <c r="E19" s="9">
        <v>8</v>
      </c>
      <c r="F19" s="9" t="n">
        <v>26787.0</v>
      </c>
      <c r="G19" s="8">
        <f si="1" t="shared"/>
        <v>6.6829400859935356E-2</v>
      </c>
    </row>
    <row r="20" spans="1:7" x14ac:dyDescent="0.45">
      <c r="A20">
        <v>9</v>
      </c>
      <c r="B20" s="5" t="n">
        <v>27715.81391881606</v>
      </c>
      <c r="C20" s="8">
        <f si="0" t="shared"/>
        <v>5.1172607472563351E-2</v>
      </c>
      <c r="E20" s="9">
        <v>9</v>
      </c>
      <c r="F20" s="9" t="n">
        <v>24601.0</v>
      </c>
      <c r="G20" s="8">
        <f si="1" t="shared"/>
        <v>6.1139365821937089E-2</v>
      </c>
    </row>
    <row r="21" spans="1:7" x14ac:dyDescent="0.45">
      <c r="A21">
        <v>10</v>
      </c>
      <c r="B21" s="5" t="n">
        <v>22445.352766824057</v>
      </c>
      <c r="C21" s="8">
        <f si="0" t="shared"/>
        <v>4.1441583858381072E-2</v>
      </c>
      <c r="E21" s="9">
        <v>10</v>
      </c>
      <c r="F21" s="9" t="n">
        <v>21536.0</v>
      </c>
      <c r="G21" s="8">
        <f si="1" t="shared"/>
        <v>5.4233677242771595E-2</v>
      </c>
    </row>
    <row r="22" spans="1:7" x14ac:dyDescent="0.45">
      <c r="A22">
        <v>11</v>
      </c>
      <c r="B22" s="5" t="n">
        <v>24572.701601733665</v>
      </c>
      <c r="C22" s="8">
        <f si="0" t="shared"/>
        <v>4.5369377110454349E-2</v>
      </c>
      <c r="E22" s="9">
        <v>11</v>
      </c>
      <c r="F22" s="9" t="n">
        <v>19302.0</v>
      </c>
      <c r="G22" s="8">
        <f si="1" t="shared"/>
        <v>4.7808426590055422E-2</v>
      </c>
    </row>
    <row r="23" spans="1:7" x14ac:dyDescent="0.45">
      <c r="A23">
        <v>12</v>
      </c>
      <c r="B23" s="5" t="n">
        <v>17741.92860705013</v>
      </c>
      <c r="C23" s="8">
        <f si="0" t="shared"/>
        <v>3.2757499060796183E-2</v>
      </c>
      <c r="E23" s="9">
        <v>12</v>
      </c>
      <c r="F23" s="9" t="n">
        <v>17033.0</v>
      </c>
      <c r="G23" s="8">
        <f si="1" t="shared"/>
        <v>4.2494491949025048E-2</v>
      </c>
    </row>
    <row r="24" spans="1:7" x14ac:dyDescent="0.45">
      <c r="A24">
        <v>13</v>
      </c>
      <c r="B24" s="5" t="n">
        <v>18195.112316650517</v>
      </c>
      <c r="C24" s="8">
        <f si="0" t="shared"/>
        <v>3.3594226863640782E-2</v>
      </c>
      <c r="E24" s="9">
        <v>13</v>
      </c>
      <c r="F24" s="9" t="n">
        <v>15005.0</v>
      </c>
      <c r="G24" s="8">
        <f si="1" t="shared"/>
        <v>3.7563937067484544E-2</v>
      </c>
    </row>
    <row r="25" spans="1:7" x14ac:dyDescent="0.45">
      <c r="A25">
        <v>14</v>
      </c>
      <c r="B25" s="5" t="n">
        <v>15503.70322869424</v>
      </c>
      <c r="C25" s="8">
        <f si="0" t="shared"/>
        <v>2.8624990845189425E-2</v>
      </c>
      <c r="E25" s="9">
        <v>14</v>
      </c>
      <c r="F25" s="9" t="n">
        <v>13463.0</v>
      </c>
      <c r="G25" s="8">
        <f si="1" t="shared"/>
        <v>3.378109501023964E-2</v>
      </c>
    </row>
    <row r="26" spans="1:7" x14ac:dyDescent="0.45">
      <c r="A26">
        <v>15</v>
      </c>
      <c r="B26" s="5" t="n">
        <v>16150.1429833404</v>
      </c>
      <c r="C26" s="8">
        <f si="0" t="shared"/>
        <v>2.9818533561130029E-2</v>
      </c>
      <c r="E26" s="9">
        <v>15</v>
      </c>
      <c r="F26" s="9" t="n">
        <v>11782.0</v>
      </c>
      <c r="G26" s="8">
        <f si="1" t="shared"/>
        <v>2.9981267773776823E-2</v>
      </c>
    </row>
    <row r="27" spans="1:7" x14ac:dyDescent="0.45">
      <c r="A27">
        <v>16</v>
      </c>
      <c r="B27" s="5" t="n">
        <v>8549.184516011683</v>
      </c>
      <c r="C27" s="8">
        <f si="0" t="shared"/>
        <v>1.5784637057018831E-2</v>
      </c>
      <c r="E27" s="9">
        <v>16</v>
      </c>
      <c r="F27" s="9" t="n">
        <v>10064.0</v>
      </c>
      <c r="G27" s="8">
        <f si="1" t="shared"/>
        <v>2.5121080063281925E-2</v>
      </c>
    </row>
    <row r="28" spans="1:7" x14ac:dyDescent="0.45">
      <c r="A28">
        <v>17</v>
      </c>
      <c r="B28" s="5" t="n">
        <v>8360.439620576888</v>
      </c>
      <c r="C28" s="8">
        <f si="0" t="shared"/>
        <v>1.5436151225975723E-2</v>
      </c>
      <c r="E28" s="9">
        <v>17</v>
      </c>
      <c r="F28" s="9" t="n">
        <v>9156.0</v>
      </c>
      <c r="G28" s="8">
        <f si="1" t="shared"/>
        <v>2.2481097921984647E-2</v>
      </c>
    </row>
    <row r="29" spans="1:7" x14ac:dyDescent="0.45">
      <c r="A29">
        <v>18</v>
      </c>
      <c r="B29" s="5" t="n">
        <v>5297.43059363979</v>
      </c>
      <c r="C29" s="8">
        <f si="0" t="shared"/>
        <v>9.7808181702880009E-3</v>
      </c>
      <c r="E29" s="9">
        <v>18</v>
      </c>
      <c r="F29" s="9" t="n">
        <v>7925.0</v>
      </c>
      <c r="G29" s="8">
        <f si="1" t="shared"/>
        <v>1.9911482951732975E-2</v>
      </c>
    </row>
    <row r="30" spans="1:7" x14ac:dyDescent="0.45">
      <c r="A30">
        <v>19</v>
      </c>
      <c r="B30" s="5" t="n">
        <v>5403.043582550981</v>
      </c>
      <c r="C30" s="8">
        <f si="0" t="shared"/>
        <v>9.9758148621184196E-3</v>
      </c>
      <c r="E30" s="9">
        <v>19</v>
      </c>
      <c r="F30" s="9" t="n">
        <v>7056.0</v>
      </c>
      <c r="G30" s="8">
        <f si="1" t="shared"/>
        <v>1.7002164397123196E-2</v>
      </c>
    </row>
    <row r="31" spans="1:7" x14ac:dyDescent="0.45">
      <c r="A31">
        <v>20</v>
      </c>
      <c r="B31" s="5" t="n">
        <v>7495.214218967916</v>
      </c>
      <c r="C31" s="8">
        <f si="0" t="shared"/>
        <v>1.3838657463695541E-2</v>
      </c>
      <c r="E31" s="9">
        <v>20</v>
      </c>
      <c r="F31" s="9" t="n">
        <v>6369.0</v>
      </c>
      <c r="G31" s="8">
        <f si="1" t="shared"/>
        <v>1.5342469742116451E-2</v>
      </c>
    </row>
    <row r="32" spans="1:7" x14ac:dyDescent="0.45">
      <c r="A32">
        <v>21</v>
      </c>
      <c r="B32" s="5" t="n">
        <v>4793.53180675219</v>
      </c>
      <c r="C32" s="8">
        <f si="0" t="shared"/>
        <v>8.8504534729772644E-3</v>
      </c>
      <c r="E32" s="9">
        <v>21</v>
      </c>
      <c r="F32" s="9" t="n">
        <v>5696.0</v>
      </c>
      <c r="G32" s="8">
        <f si="1" t="shared"/>
        <v>1.3794391979113082E-2</v>
      </c>
    </row>
    <row r="33" spans="1:7" x14ac:dyDescent="0.45">
      <c r="A33">
        <v>22</v>
      </c>
      <c r="B33" s="5" t="n">
        <v>4254.75186888855</v>
      </c>
      <c r="C33" s="8">
        <f si="0" t="shared"/>
        <v>7.8556865736487003E-3</v>
      </c>
      <c r="E33" s="9">
        <v>22</v>
      </c>
      <c r="F33" s="9" t="n">
        <v>5251.0</v>
      </c>
      <c r="G33" s="8">
        <f si="1" t="shared"/>
        <v>1.2450136366724578E-2</v>
      </c>
    </row>
    <row r="34" spans="1:7" x14ac:dyDescent="0.45">
      <c r="A34">
        <v>23</v>
      </c>
      <c r="B34" s="5" t="n">
        <v>6292.999531967308</v>
      </c>
      <c r="C34" s="8">
        <f si="0" t="shared"/>
        <v>1.1618969438085479E-2</v>
      </c>
      <c r="E34" s="9">
        <v>23</v>
      </c>
      <c r="F34" s="9" t="n">
        <v>4734.0</v>
      </c>
      <c r="G34" s="8">
        <f si="1" t="shared"/>
        <v>1.1210218283817491E-2</v>
      </c>
    </row>
    <row r="35" spans="1:7" x14ac:dyDescent="0.45">
      <c r="A35">
        <v>24</v>
      </c>
      <c r="B35" s="5" t="n">
        <v>4775.659837322795</v>
      </c>
      <c r="C35" s="8">
        <f si="0" t="shared"/>
        <v>8.8174558753223321E-3</v>
      </c>
      <c r="E35" s="9">
        <v>24</v>
      </c>
      <c r="F35" s="9" t="n">
        <v>4257.0</v>
      </c>
      <c r="G35" s="8">
        <f si="1" t="shared"/>
        <v>1.0047946734477972E-2</v>
      </c>
    </row>
    <row r="36" spans="1:7" x14ac:dyDescent="0.45">
      <c r="A36">
        <v>25</v>
      </c>
      <c r="B36" s="5" t="n">
        <v>2780.252420737477</v>
      </c>
      <c r="C36" s="8">
        <f si="0" t="shared"/>
        <v>5.1332703494756486E-3</v>
      </c>
      <c r="E36" s="9">
        <v>25</v>
      </c>
      <c r="F36" s="9" t="n">
        <v>3734.0</v>
      </c>
      <c r="G36" s="8">
        <f si="1" t="shared"/>
        <v>8.6211916801739279E-3</v>
      </c>
    </row>
    <row r="37" spans="1:7" x14ac:dyDescent="0.45">
      <c r="A37">
        <v>26</v>
      </c>
      <c r="B37" s="5" t="n">
        <v>3595.3276887815387</v>
      </c>
      <c r="C37" s="8">
        <f si="0" t="shared"/>
        <v>6.6381702912340548E-3</v>
      </c>
      <c r="E37" s="9">
        <v>26</v>
      </c>
      <c r="F37" s="9" t="n">
        <v>3397.0</v>
      </c>
      <c r="G37" s="8">
        <f si="1" t="shared"/>
        <v>7.8059030777144741E-3</v>
      </c>
    </row>
    <row r="38" spans="1:7" x14ac:dyDescent="0.45">
      <c r="A38">
        <v>27</v>
      </c>
      <c r="B38" s="5" t="n">
        <v>5746.71122529491</v>
      </c>
      <c r="C38" s="8">
        <f si="0" t="shared"/>
        <v>1.0610339593546816E-2</v>
      </c>
      <c r="E38" s="9">
        <v>27</v>
      </c>
      <c r="F38" s="9" t="n">
        <v>3024.0</v>
      </c>
      <c r="G38" s="8">
        <f si="1" t="shared"/>
        <v>7.2332598926536677E-3</v>
      </c>
    </row>
    <row r="39" spans="1:7" x14ac:dyDescent="0.45">
      <c r="A39">
        <v>28</v>
      </c>
      <c r="B39" s="5" t="n">
        <v>5410.258075458516</v>
      </c>
      <c r="C39" s="8">
        <f si="0" t="shared"/>
        <v>9.9891352147067382E-3</v>
      </c>
      <c r="E39" s="9">
        <v>28</v>
      </c>
      <c r="F39" s="9" t="n">
        <v>2723.0</v>
      </c>
      <c r="G39" s="8">
        <f si="1" t="shared"/>
        <v>6.4495151944560375E-3</v>
      </c>
    </row>
    <row r="40" spans="1:7" x14ac:dyDescent="0.45">
      <c r="A40">
        <v>29</v>
      </c>
      <c r="B40" s="5" t="n">
        <v>9083.46447578107</v>
      </c>
      <c r="C40" s="8">
        <f si="0" t="shared"/>
        <v>1.6771095500628691E-2</v>
      </c>
      <c r="E40" s="9">
        <v>29</v>
      </c>
      <c r="F40" s="9" t="n">
        <v>2500.0</v>
      </c>
      <c r="G40" s="8">
        <f si="1" t="shared"/>
        <v>5.7312847589560427E-3</v>
      </c>
    </row>
    <row r="41" spans="1:7" x14ac:dyDescent="0.45">
      <c r="A41">
        <v>30</v>
      </c>
      <c r="B41" s="5" t="n">
        <v>1363.4353837555045</v>
      </c>
      <c r="C41" s="8">
        <f si="0" t="shared"/>
        <v>2.5173550346200549E-3</v>
      </c>
      <c r="E41" s="9">
        <v>30</v>
      </c>
      <c r="F41" s="9" t="n">
        <v>2276.0</v>
      </c>
      <c r="G41" s="8">
        <f si="1" t="shared"/>
        <v>5.1659209364171947E-3</v>
      </c>
    </row>
    <row r="42" spans="1:7" x14ac:dyDescent="0.45">
      <c r="A42">
        <v>31</v>
      </c>
      <c r="B42" s="5" t="n">
        <v>2087.6852790063026</v>
      </c>
      <c r="C42" s="8">
        <f si="0" t="shared"/>
        <v>3.8545611405014796E-3</v>
      </c>
      <c r="E42" s="9">
        <v>31</v>
      </c>
      <c r="F42" s="9" t="n">
        <v>2076.0</v>
      </c>
      <c r="G42" s="8">
        <f si="1" t="shared"/>
        <v>4.784967631101319E-3</v>
      </c>
    </row>
    <row r="43" spans="1:7" x14ac:dyDescent="0.45">
      <c r="A43">
        <v>32</v>
      </c>
      <c r="B43" s="5" t="n">
        <v>2555.965997488127</v>
      </c>
      <c r="C43" s="8">
        <f si="0" t="shared"/>
        <v>4.7191630412081352E-3</v>
      </c>
      <c r="E43" s="9">
        <v>32</v>
      </c>
      <c r="F43" s="9" t="n">
        <v>1770.0</v>
      </c>
      <c r="G43" s="8">
        <f si="1" t="shared"/>
        <v>4.3482058797837545E-3</v>
      </c>
    </row>
    <row r="44" spans="1:7" x14ac:dyDescent="0.45">
      <c r="A44">
        <v>33</v>
      </c>
      <c r="B44" s="5" t="n">
        <v>1398.3800385447298</v>
      </c>
      <c r="C44" s="8">
        <f si="0" t="shared"/>
        <v>2.5818744857908269E-3</v>
      </c>
      <c r="E44" s="9">
        <v>33</v>
      </c>
      <c r="F44" s="9" t="n">
        <v>1680.0</v>
      </c>
      <c r="G44" s="8">
        <f si="1" t="shared"/>
        <v>3.9478409410759864E-3</v>
      </c>
    </row>
    <row r="45" spans="1:7" x14ac:dyDescent="0.45">
      <c r="A45">
        <v>34</v>
      </c>
      <c r="B45" s="5" t="n">
        <v>1215.904487629915</v>
      </c>
      <c r="C45" s="8">
        <f si="0" t="shared"/>
        <v>2.244963949168836E-3</v>
      </c>
      <c r="E45" s="9">
        <v>34</v>
      </c>
      <c r="F45" s="9" t="n">
        <v>1642.0</v>
      </c>
      <c r="G45" s="8">
        <f si="1" t="shared"/>
        <v>3.6057109025438945E-3</v>
      </c>
    </row>
    <row r="46" spans="1:7" x14ac:dyDescent="0.45">
      <c r="A46">
        <v>35</v>
      </c>
      <c r="B46" s="5" t="n">
        <v>527.8909300581346</v>
      </c>
      <c r="C46" s="8">
        <f si="0" t="shared"/>
        <v>9.7466217053261467E-4</v>
      </c>
      <c r="E46" s="9">
        <v>35</v>
      </c>
      <c r="F46" s="9" t="n">
        <v>1432.0</v>
      </c>
      <c r="G46" s="8">
        <f si="1" t="shared"/>
        <v>3.1422581553124788E-3</v>
      </c>
    </row>
    <row r="47" spans="1:7" x14ac:dyDescent="0.45">
      <c r="A47">
        <v>36</v>
      </c>
      <c r="B47" s="5" t="n">
        <v>1416.586118600937</v>
      </c>
      <c r="C47" s="8">
        <f si="0" t="shared"/>
        <v>2.6154889627482531E-3</v>
      </c>
      <c r="E47" s="9">
        <v>36</v>
      </c>
      <c r="F47" s="9" t="n">
        <v>1300.0</v>
      </c>
      <c r="G47" s="8">
        <f si="1" t="shared"/>
        <v>2.8656423794780213E-3</v>
      </c>
    </row>
    <row r="48" spans="1:7" x14ac:dyDescent="0.45">
      <c r="A48">
        <v>37</v>
      </c>
      <c r="B48" s="5" t="n">
        <v>1619.2562650518023</v>
      </c>
      <c r="C48" s="8">
        <f si="0" t="shared"/>
        <v>2.9896854370468542E-3</v>
      </c>
      <c r="E48" s="9">
        <v>37</v>
      </c>
      <c r="F48" s="9" t="n">
        <v>1196.0</v>
      </c>
      <c r="G48" s="8">
        <f si="1" t="shared"/>
        <v>2.5817472411216041E-3</v>
      </c>
    </row>
    <row r="49" spans="1:7" x14ac:dyDescent="0.45">
      <c r="A49">
        <v>38</v>
      </c>
      <c r="B49" s="5" t="n">
        <v>1151.4084298467003</v>
      </c>
      <c r="C49" s="8">
        <f si="0" t="shared"/>
        <v>2.1258827827944447E-3</v>
      </c>
      <c r="E49" s="9">
        <v>38</v>
      </c>
      <c r="F49" s="9" t="n">
        <v>1041.0</v>
      </c>
      <c r="G49" s="8">
        <f si="1" t="shared"/>
        <v>2.4846890741621452E-3</v>
      </c>
    </row>
    <row r="50" spans="1:7" x14ac:dyDescent="0.45">
      <c r="A50">
        <v>39</v>
      </c>
      <c r="B50" s="5" t="n">
        <v>1059.9448744069657</v>
      </c>
      <c r="C50" s="8">
        <f si="0" t="shared"/>
        <v>1.9570106495685443E-3</v>
      </c>
      <c r="E50" s="9">
        <v>39</v>
      </c>
      <c r="F50" s="9" t="n">
        <v>980.0</v>
      </c>
      <c r="G50" s="8">
        <f si="1" t="shared"/>
        <v>2.1595442148479582E-3</v>
      </c>
    </row>
    <row r="51" spans="1:7" x14ac:dyDescent="0.45">
      <c r="A51">
        <v>40</v>
      </c>
      <c r="B51" s="5" t="n">
        <v>1636.3873177862513</v>
      </c>
      <c r="C51" s="8">
        <f si="0" t="shared"/>
        <v>3.0213150561422758E-3</v>
      </c>
      <c r="E51" s="9">
        <v>40</v>
      </c>
      <c r="F51" s="9" t="n">
        <v>818.0</v>
      </c>
      <c r="G51" s="8">
        <f si="1" t="shared"/>
        <v>1.9605749725810678E-3</v>
      </c>
    </row>
    <row r="52" spans="1:7" x14ac:dyDescent="0.45">
      <c r="A52">
        <v>41</v>
      </c>
      <c r="B52" s="5" t="n">
        <v>220.1216146545091</v>
      </c>
      <c r="C52" s="8">
        <f si="0" t="shared"/>
        <v>4.0641768688217604E-4</v>
      </c>
      <c r="E52" s="9">
        <v>41</v>
      </c>
      <c r="F52" s="9" t="n">
        <v>783.0</v>
      </c>
      <c r="G52" s="8">
        <f si="1" t="shared"/>
        <v>1.6184449340489755E-3</v>
      </c>
    </row>
    <row r="53" spans="1:7" x14ac:dyDescent="0.45">
      <c r="A53">
        <v>42</v>
      </c>
      <c r="B53" s="5" t="n">
        <v>1531.2789939946463</v>
      </c>
      <c r="C53" s="8">
        <f si="0" t="shared"/>
        <v>2.8272501439141218E-3</v>
      </c>
      <c r="E53" s="9">
        <v>42</v>
      </c>
      <c r="F53" s="9" t="n">
        <v>804.0</v>
      </c>
      <c r="G53" s="8">
        <f si="1" t="shared"/>
        <v>1.5917539381351243E-3</v>
      </c>
    </row>
    <row r="54" spans="1:7" x14ac:dyDescent="0.45">
      <c r="A54">
        <v>43</v>
      </c>
      <c r="B54" s="5" t="n">
        <v>2635.327116656643</v>
      </c>
      <c r="C54" s="8">
        <f si="0" t="shared"/>
        <v>4.865690053248605E-3</v>
      </c>
      <c r="E54" s="9">
        <v>43</v>
      </c>
      <c r="F54" s="9" t="n">
        <v>751.0</v>
      </c>
      <c r="G54" s="8">
        <f si="1" t="shared"/>
        <v>1.5068280420455979E-3</v>
      </c>
    </row>
    <row r="55" spans="1:7" x14ac:dyDescent="0.45">
      <c r="A55">
        <v>44</v>
      </c>
      <c r="B55" s="5" t="n">
        <v>117.5348523927515</v>
      </c>
      <c r="C55" s="8">
        <f si="0" t="shared"/>
        <v>2.1700841560913723E-4</v>
      </c>
      <c r="E55" s="9">
        <v>44</v>
      </c>
      <c r="F55" s="9" t="n">
        <v>687.0</v>
      </c>
      <c r="G55" s="8">
        <f si="1" t="shared"/>
        <v>1.4097698750861391E-3</v>
      </c>
    </row>
    <row r="56" spans="1:7" x14ac:dyDescent="0.45">
      <c r="A56">
        <v>45</v>
      </c>
      <c r="B56" s="5" t="n">
        <v>647.8965086693916</v>
      </c>
      <c r="C56" s="8">
        <f si="0" t="shared"/>
        <v>1.1962323682103606E-3</v>
      </c>
      <c r="E56" s="9">
        <v>45</v>
      </c>
      <c r="F56" s="9" t="n">
        <v>615.0</v>
      </c>
      <c r="G56" s="8">
        <f si="1" t="shared"/>
        <v>1.1428599159476274E-3</v>
      </c>
    </row>
    <row r="57" spans="1:7" x14ac:dyDescent="0.45">
      <c r="A57">
        <v>46</v>
      </c>
      <c r="B57" s="5" t="n">
        <v>171.865421001697</v>
      </c>
      <c r="C57" s="8">
        <f si="0" t="shared"/>
        <v>3.1732070913695809E-4</v>
      </c>
      <c r="E57" s="9">
        <v>46</v>
      </c>
      <c r="F57" s="9" t="n">
        <v>564.0</v>
      </c>
      <c r="G57" s="8">
        <f si="1" t="shared"/>
        <v>1.0288165697702634E-3</v>
      </c>
    </row>
    <row r="58" spans="1:7" x14ac:dyDescent="0.45">
      <c r="A58">
        <v>47</v>
      </c>
      <c r="B58" s="5" t="n">
        <v>398.296843459179</v>
      </c>
      <c r="C58" s="8">
        <f si="0" t="shared"/>
        <v>7.3538839911392487E-4</v>
      </c>
      <c r="E58" s="9">
        <v>47</v>
      </c>
      <c r="F58" s="9" t="n">
        <v>537.0</v>
      </c>
      <c r="G58" s="8">
        <f si="1" t="shared"/>
        <v>9.5602294455066918E-4</v>
      </c>
    </row>
    <row r="59" spans="1:7" x14ac:dyDescent="0.45">
      <c r="A59">
        <v>48</v>
      </c>
      <c r="B59" s="5" t="n">
        <v>50.1717191478627</v>
      </c>
      <c r="C59" s="8">
        <f si="0" t="shared"/>
        <v>9.2633674684699323E-5</v>
      </c>
      <c r="E59" s="9">
        <v>48</v>
      </c>
      <c r="F59" s="9" t="n">
        <v>471.0</v>
      </c>
      <c r="G59" s="8">
        <f si="1" t="shared"/>
        <v>9.002144985489804E-4</v>
      </c>
    </row>
    <row r="60" spans="1:7" x14ac:dyDescent="0.45">
      <c r="A60">
        <v>49</v>
      </c>
      <c r="B60" s="5" t="n">
        <v>166.9326529479708</v>
      </c>
      <c r="C60" s="8">
        <f si="0" t="shared"/>
        <v>3.0821317925867577E-4</v>
      </c>
      <c r="E60" s="9">
        <v>49</v>
      </c>
      <c r="F60" s="9" t="n">
        <v>425.0</v>
      </c>
      <c r="G60" s="8">
        <f si="1" t="shared"/>
        <v>9.0264095272296683E-4</v>
      </c>
    </row>
    <row r="61" spans="1:7" x14ac:dyDescent="0.45">
      <c r="A61">
        <v>50</v>
      </c>
      <c r="B61" s="5" t="n">
        <v>625.2651184743381</v>
      </c>
      <c r="C61" s="8">
        <f si="0" t="shared"/>
        <v>1.1544472974055787E-3</v>
      </c>
      <c r="E61" s="9">
        <v>50</v>
      </c>
      <c r="F61" s="9" t="n">
        <v>402.0</v>
      </c>
      <c r="G61" s="8">
        <f si="1" t="shared"/>
        <v>7.0852461880404922E-4</v>
      </c>
    </row>
    <row r="62" spans="1:7" x14ac:dyDescent="0.45">
      <c r="A62">
        <v>51</v>
      </c>
      <c r="B62" s="5" t="n">
        <v>432.0400935537563</v>
      </c>
      <c r="C62" s="8">
        <f si="0" t="shared"/>
        <v>7.9768965777427675E-4</v>
      </c>
      <c r="E62" s="9">
        <v>51</v>
      </c>
      <c r="F62" s="9" t="n">
        <v>363.0</v>
      </c>
      <c r="G62" s="8">
        <f si="1" t="shared"/>
        <v>6.9396589376013041E-4</v>
      </c>
    </row>
    <row r="63" spans="1:7" x14ac:dyDescent="0.45">
      <c r="A63">
        <v>52</v>
      </c>
      <c r="B63" s="5" t="n">
        <v>390.0019648724126</v>
      </c>
      <c r="C63" s="8">
        <f si="0" t="shared"/>
        <v>7.2007329535415401E-4</v>
      </c>
      <c r="E63" s="9">
        <v>52</v>
      </c>
      <c r="F63" s="9" t="n">
        <v>362.0</v>
      </c>
      <c r="G63" s="8">
        <f si="1" t="shared"/>
        <v>6.4058390193242807E-4</v>
      </c>
    </row>
    <row r="64" spans="1:7" x14ac:dyDescent="0.45">
      <c r="A64">
        <v>53</v>
      </c>
      <c r="B64" s="5" t="n">
        <v>193.7587517542166</v>
      </c>
      <c r="C64" s="8">
        <f si="0" t="shared"/>
        <v>3.577430768201635E-4</v>
      </c>
      <c r="E64" s="9">
        <v>53</v>
      </c>
      <c r="F64" s="9" t="n">
        <v>300.0</v>
      </c>
      <c r="G64" s="8">
        <f si="1" t="shared"/>
        <v>6.5756908115033341E-4</v>
      </c>
    </row>
    <row r="65" spans="1:7" x14ac:dyDescent="0.45">
      <c r="A65">
        <v>54</v>
      </c>
      <c r="B65" s="5" t="n">
        <v>261.8158447289335</v>
      </c>
      <c r="C65" s="8">
        <f si="0" t="shared"/>
        <v>4.8339909813421139E-4</v>
      </c>
      <c r="E65" s="9">
        <v>54</v>
      </c>
      <c r="F65" s="9" t="n">
        <v>292.0</v>
      </c>
      <c r="G65" s="8">
        <f si="1" t="shared"/>
        <v>5.0955537653715874E-4</v>
      </c>
    </row>
    <row r="66" spans="1:7" x14ac:dyDescent="0.45">
      <c r="A66">
        <v>55</v>
      </c>
      <c r="B66" s="5" t="n">
        <v>274.30040381199</v>
      </c>
      <c r="C66" s="8">
        <f si="0" t="shared"/>
        <v>5.0644974507882651E-4</v>
      </c>
      <c r="E66" s="9">
        <v>55</v>
      </c>
      <c r="F66" s="9" t="n">
        <v>302.0</v>
      </c>
      <c r="G66" s="8">
        <f si="1" t="shared"/>
        <v>6.0418708932263106E-4</v>
      </c>
    </row>
    <row r="67" spans="1:7" x14ac:dyDescent="0.45">
      <c r="A67">
        <v>56</v>
      </c>
      <c r="B67" s="5" t="n">
        <v>126.2119051849083</v>
      </c>
      <c r="C67" s="8">
        <f si="0" t="shared"/>
        <v>2.3302914001767797E-4</v>
      </c>
      <c r="E67" s="9">
        <v>56</v>
      </c>
      <c r="F67" s="9" t="n">
        <v>281.0</v>
      </c>
      <c r="G67" s="8">
        <f si="1" t="shared"/>
        <v>5.5080509749492871E-4</v>
      </c>
    </row>
    <row r="68" spans="1:7" x14ac:dyDescent="0.45">
      <c r="A68">
        <v>57</v>
      </c>
      <c r="B68" s="5" t="n">
        <v>948.33177029585</v>
      </c>
      <c r="C68" s="8">
        <f si="0" t="shared"/>
        <v>1.7509357501554349E-3</v>
      </c>
      <c r="E68" s="9">
        <v>57</v>
      </c>
      <c r="F68" s="9" t="n">
        <v>276.0</v>
      </c>
      <c r="G68" s="8">
        <f si="1" t="shared"/>
        <v>4.2705593462161873E-4</v>
      </c>
    </row>
    <row r="69" spans="1:7" x14ac:dyDescent="0.45">
      <c r="A69">
        <v>58</v>
      </c>
      <c r="B69" s="5" t="n">
        <v>577.2803601594271</v>
      </c>
      <c r="C69" s="8">
        <f si="0" t="shared"/>
        <v>1.0658514795411885E-3</v>
      </c>
      <c r="E69" s="9">
        <v>58</v>
      </c>
      <c r="F69" s="9" t="n">
        <v>233.0</v>
      </c>
      <c r="G69" s="8">
        <f si="1" t="shared"/>
        <v>4.5617338470945639E-4</v>
      </c>
    </row>
    <row r="70" spans="1:7" x14ac:dyDescent="0.45">
      <c r="A70">
        <v>59</v>
      </c>
      <c r="B70" s="5" t="n">
        <v>0.0</v>
      </c>
      <c r="C70" s="8">
        <f si="0" t="shared"/>
        <v>0</v>
      </c>
      <c r="E70" s="9">
        <v>59</v>
      </c>
      <c r="F70" s="9" t="n">
        <v>237.0</v>
      </c>
      <c r="G70" s="8">
        <f si="1" t="shared"/>
        <v>5.1926119323310457E-4</v>
      </c>
    </row>
    <row r="71" spans="1:7" x14ac:dyDescent="0.45">
      <c r="A71">
        <v>60</v>
      </c>
      <c r="B71" s="5" t="n">
        <v>72.5039245571081</v>
      </c>
      <c r="C71" s="8">
        <f si="0" t="shared"/>
        <v>1.3386635090165627E-4</v>
      </c>
      <c r="E71" s="9">
        <v>60</v>
      </c>
      <c r="F71" s="9" t="n">
        <v>182.0</v>
      </c>
      <c r="G71" s="8">
        <f si="1" t="shared"/>
        <v>3.5911521774999758E-4</v>
      </c>
    </row>
    <row r="72" spans="1:7" x14ac:dyDescent="0.45">
      <c r="A72">
        <v>61</v>
      </c>
      <c r="B72" s="5" t="n">
        <v>0.0</v>
      </c>
      <c r="C72" s="8">
        <f si="0" t="shared"/>
        <v>0</v>
      </c>
      <c r="E72" s="9">
        <v>61</v>
      </c>
      <c r="F72" s="9" t="n">
        <v>152.0</v>
      </c>
      <c r="G72" s="8">
        <f si="1" t="shared"/>
        <v>2.9845386340033583E-4</v>
      </c>
    </row>
    <row r="73" spans="1:7" x14ac:dyDescent="0.45">
      <c r="A73">
        <v>62</v>
      </c>
      <c r="B73" s="5" t="n">
        <v>100.5297702403902</v>
      </c>
      <c r="C73" s="8">
        <f si="0" t="shared"/>
        <v>1.8561138009106035E-4</v>
      </c>
      <c r="E73" s="9">
        <v>62</v>
      </c>
      <c r="F73" s="9" t="n">
        <v>160.0</v>
      </c>
      <c r="G73" s="8">
        <f si="1" t="shared"/>
        <v>3.8337975948986227E-4</v>
      </c>
    </row>
    <row r="74" spans="1:7" x14ac:dyDescent="0.45">
      <c r="A74">
        <v>63</v>
      </c>
      <c r="B74" s="5" t="n">
        <v>96.8221307151489</v>
      </c>
      <c r="C74" s="8">
        <f si="0" t="shared"/>
        <v>1.7876584480818242E-4</v>
      </c>
      <c r="E74" s="9">
        <v>63</v>
      </c>
      <c r="F74" s="9" t="n">
        <v>145.0</v>
      </c>
      <c r="G74" s="8">
        <f si="1" t="shared"/>
        <v>3.1058613427026815E-4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160.0</v>
      </c>
      <c r="G75" s="8">
        <f si="1" t="shared"/>
        <v>2.6448350496452525E-4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140.0</v>
      </c>
      <c r="G76" s="8">
        <f si="1" t="shared"/>
        <v>2.2808669235472819E-4</v>
      </c>
    </row>
    <row r="77" spans="1:7" x14ac:dyDescent="0.45">
      <c r="A77">
        <v>66</v>
      </c>
      <c r="B77" s="5" t="n">
        <v>146.6822731090242</v>
      </c>
      <c r="C77" s="8">
        <f ref="C77:C102" si="2" t="shared">B77/B$102</f>
        <v>2.7082424521170513E-4</v>
      </c>
      <c r="E77" s="9">
        <v>66</v>
      </c>
      <c r="F77" s="9" t="n">
        <v>144.0</v>
      </c>
      <c r="G77" s="8">
        <f ref="G77:G102" si="3" t="shared">F77/F$102</f>
        <v>2.4021896322466054E-4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113.0</v>
      </c>
      <c r="G78" s="8">
        <f si="3" t="shared"/>
        <v>2.3293960070270114E-4</v>
      </c>
    </row>
    <row r="79" spans="1:7" x14ac:dyDescent="0.45">
      <c r="A79">
        <v>68</v>
      </c>
      <c r="B79" s="5" t="n">
        <v>57.1605749476113</v>
      </c>
      <c r="C79" s="8">
        <f si="2" t="shared"/>
        <v>1.0553742615201904E-4</v>
      </c>
      <c r="E79" s="9">
        <v>68</v>
      </c>
      <c r="F79" s="9" t="n">
        <v>121.0</v>
      </c>
      <c r="G79" s="8">
        <f si="3" t="shared"/>
        <v>2.1838087565878231E-4</v>
      </c>
    </row>
    <row r="80" spans="1:7" x14ac:dyDescent="0.45">
      <c r="A80">
        <v>69</v>
      </c>
      <c r="B80" s="5" t="n">
        <v>46.3861174020209</v>
      </c>
      <c r="C80" s="8">
        <f si="2" t="shared"/>
        <v>8.5644195221644536E-5</v>
      </c>
      <c r="E80" s="9">
        <v>69</v>
      </c>
      <c r="F80" s="9" t="n">
        <v>90.0</v>
      </c>
      <c r="G80" s="8">
        <f si="3" t="shared"/>
        <v>1.6742533800506644E-4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114.0</v>
      </c>
      <c r="G81" s="8">
        <f si="3" t="shared"/>
        <v>1.5286661296114762E-4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109.0</v>
      </c>
      <c r="G82" s="8">
        <f si="3" t="shared"/>
        <v>1.625724296570935E-4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102.0</v>
      </c>
      <c r="G83" s="8">
        <f si="3" t="shared"/>
        <v>1.7470470052702585E-4</v>
      </c>
    </row>
    <row r="84" spans="1:7" x14ac:dyDescent="0.45">
      <c r="A84">
        <v>73</v>
      </c>
      <c r="B84" s="5" t="n">
        <v>69.8419057340848</v>
      </c>
      <c r="C84" s="8">
        <f si="2" t="shared"/>
        <v>1.2895137908397258E-4</v>
      </c>
      <c r="E84" s="9">
        <v>73</v>
      </c>
      <c r="F84" s="9" t="n">
        <v>83.0</v>
      </c>
      <c r="G84" s="8">
        <f si="3" t="shared"/>
        <v>1.6742533800506644E-4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70.0</v>
      </c>
      <c r="G85" s="8">
        <f si="3" t="shared"/>
        <v>1.0433752948141821E-4</v>
      </c>
    </row>
    <row r="86" spans="1:7" x14ac:dyDescent="0.45">
      <c r="A86">
        <v>75</v>
      </c>
      <c r="B86" s="5" t="n">
        <v>113.225554293073</v>
      </c>
      <c r="C86" s="8">
        <f si="2" t="shared"/>
        <v>2.0905201855787102E-4</v>
      </c>
      <c r="E86" s="9">
        <v>75</v>
      </c>
      <c r="F86" s="9" t="n">
        <v>63.0</v>
      </c>
      <c r="G86" s="8">
        <f si="3" t="shared"/>
        <v>1.0919043782939115E-4</v>
      </c>
    </row>
    <row r="87" spans="1:7" x14ac:dyDescent="0.45">
      <c r="A87">
        <v>76</v>
      </c>
      <c r="B87" s="5" t="n">
        <v>0.0</v>
      </c>
      <c r="C87" s="8">
        <f si="2" t="shared"/>
        <v>0</v>
      </c>
      <c r="E87" s="9">
        <v>76</v>
      </c>
      <c r="F87" s="9" t="n">
        <v>73.0</v>
      </c>
      <c r="G87" s="8">
        <f si="3" t="shared"/>
        <v>9.7058166959458809E-5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61.0</v>
      </c>
      <c r="G88" s="8">
        <f si="3" t="shared"/>
        <v>6.7940716871621164E-5</v>
      </c>
    </row>
    <row r="89" spans="1:7" x14ac:dyDescent="0.45">
      <c r="A89">
        <v>78</v>
      </c>
      <c r="B89" s="5" t="n">
        <v>338.920529410369</v>
      </c>
      <c r="C89" s="8">
        <f si="2" t="shared"/>
        <v>6.2575998189018855E-4</v>
      </c>
      <c r="E89" s="9">
        <v>78</v>
      </c>
      <c r="F89" s="9" t="n">
        <v>58.0</v>
      </c>
      <c r="G89" s="8">
        <f si="3" t="shared"/>
        <v>1.1646980035135057E-4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71.0</v>
      </c>
      <c r="G90" s="8">
        <f si="3" t="shared"/>
        <v>7.5220079393580579E-5</v>
      </c>
    </row>
    <row r="91" spans="1:7" x14ac:dyDescent="0.45">
      <c r="A91">
        <v>80</v>
      </c>
      <c r="B91" s="5" t="n">
        <v>392.0878633834272</v>
      </c>
      <c r="C91" s="8">
        <f si="2" t="shared"/>
        <v>7.2392455752687658E-4</v>
      </c>
      <c r="E91" s="9">
        <v>80</v>
      </c>
      <c r="F91" s="9" t="n">
        <v>45.0</v>
      </c>
      <c r="G91" s="8">
        <f si="3" t="shared"/>
        <v>1.0433752948141821E-4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48.0</v>
      </c>
      <c r="G92" s="8">
        <f si="3" t="shared"/>
        <v>9.7058166959458809E-5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37.0</v>
      </c>
      <c r="G93" s="8">
        <f si="3" t="shared"/>
        <v>6.0661354349661749E-5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40.0</v>
      </c>
      <c r="G94" s="8">
        <f si="3" t="shared"/>
        <v>8.9778804437499394E-5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44.0</v>
      </c>
      <c r="G95" s="8">
        <f si="3" t="shared"/>
        <v>7.5220079393580579E-5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33.0</v>
      </c>
      <c r="G96" s="8">
        <f si="3" t="shared"/>
        <v>6.7940716871621164E-5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34.0</v>
      </c>
      <c r="G97" s="8">
        <f si="3" t="shared"/>
        <v>8.0072987741553508E-5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35.0</v>
      </c>
      <c r="G98" s="8">
        <f si="3" t="shared"/>
        <v>6.0661354349661749E-5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25.0</v>
      </c>
      <c r="G99" s="8">
        <f si="3" t="shared"/>
        <v>6.7940716871621164E-5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26.0</v>
      </c>
      <c r="G100" s="8">
        <f si="3" t="shared"/>
        <v>7.0367171045607635E-5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1428.0</v>
      </c>
      <c r="G101" s="8">
        <f si="3" t="shared"/>
        <v>3.0743174384408574E-3</v>
      </c>
    </row>
    <row r="102" spans="1:7" x14ac:dyDescent="0.45">
      <c r="B102" s="5">
        <f>SUM(B11:B101)</f>
        <v>541614.25981031242</v>
      </c>
      <c r="C102" s="8">
        <f si="2" t="shared"/>
        <v>1</v>
      </c>
      <c r="F102" s="5">
        <f>SUM(F11:F101)</f>
        <v>412124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M102"/>
  <sheetViews>
    <sheetView workbookViewId="0">
      <selection activeCell="F11" sqref="F11:F10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J9" s="7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49732.15195324809</v>
      </c>
      <c r="C11" s="8">
        <f>B11/B$102</f>
        <v>0.16263366575857918</v>
      </c>
      <c r="E11" s="9">
        <v>0</v>
      </c>
      <c r="F11" s="9" t="n">
        <v>45475.0</v>
      </c>
      <c r="G11" s="8">
        <f>F11/F$102</f>
        <v>0.17460060760780419</v>
      </c>
      <c r="K11" s="5" t="n">
        <v>4.94352974894616</v>
      </c>
      <c r="L11" s="5" t="n">
        <v>4.84352187958663</v>
      </c>
    </row>
    <row r="12" spans="1:12" x14ac:dyDescent="0.45">
      <c r="A12">
        <v>1</v>
      </c>
      <c r="B12" s="5" t="n">
        <v>63878.014589631784</v>
      </c>
      <c r="C12" s="8">
        <f>B12/B$102</f>
        <v>0.2088933469812041</v>
      </c>
      <c r="E12" s="9">
        <v>1</v>
      </c>
      <c r="F12" s="9" t="n">
        <v>36838.0</v>
      </c>
      <c r="G12" s="8">
        <f>F12/F$102</f>
        <v>0.14286869433630978</v>
      </c>
      <c r="K12" s="5"/>
      <c r="L12" s="9"/>
    </row>
    <row r="13" spans="1:12" x14ac:dyDescent="0.45">
      <c r="A13">
        <v>2</v>
      </c>
      <c r="B13" s="5" t="n">
        <v>44775.21752441156</v>
      </c>
      <c r="C13" s="8">
        <f ref="C13:C76" si="0" t="shared">B13/B$102</f>
        <v>0.14642354040859537</v>
      </c>
      <c r="E13" s="9">
        <v>2</v>
      </c>
      <c r="F13" s="9" t="n">
        <v>34391.0</v>
      </c>
      <c r="G13" s="8">
        <f ref="G13:G76" si="1" t="shared">F13/F$102</f>
        <v>0.13251086801664952</v>
      </c>
    </row>
    <row r="14" spans="1:12" x14ac:dyDescent="0.45">
      <c r="A14">
        <v>3</v>
      </c>
      <c r="B14" s="5" t="n">
        <v>29399.122948442528</v>
      </c>
      <c r="C14" s="8">
        <f si="0" t="shared"/>
        <v>9.6140765026358432E-2</v>
      </c>
      <c r="E14" s="9">
        <v>3</v>
      </c>
      <c r="F14" s="9" t="n">
        <v>31180.0</v>
      </c>
      <c r="G14" s="8">
        <f si="1" t="shared"/>
        <v>0.11836030603718806</v>
      </c>
    </row>
    <row r="15" spans="1:12" x14ac:dyDescent="0.45">
      <c r="A15">
        <v>4</v>
      </c>
      <c r="B15" s="5" t="n">
        <v>21007.169372319106</v>
      </c>
      <c r="C15" s="8">
        <f si="0" t="shared"/>
        <v>6.8697468901875489E-2</v>
      </c>
      <c r="E15" s="9">
        <v>4</v>
      </c>
      <c r="F15" s="9" t="n">
        <v>23159.0</v>
      </c>
      <c r="G15" s="8">
        <f si="1" t="shared"/>
        <v>8.8338011682395925E-2</v>
      </c>
    </row>
    <row r="16" spans="1:12" x14ac:dyDescent="0.45">
      <c r="A16">
        <v>5</v>
      </c>
      <c r="B16" s="5" t="n">
        <v>17267.19835248238</v>
      </c>
      <c r="C16" s="8">
        <f si="0" t="shared"/>
        <v>5.6467047074187558E-2</v>
      </c>
      <c r="E16" s="9">
        <v>5</v>
      </c>
      <c r="F16" s="9" t="n">
        <v>18144.0</v>
      </c>
      <c r="G16" s="8">
        <f si="1" t="shared"/>
        <v>6.9917252904234381E-2</v>
      </c>
    </row>
    <row r="17" spans="1:7" x14ac:dyDescent="0.45">
      <c r="A17">
        <v>6</v>
      </c>
      <c r="B17" s="5" t="n">
        <v>21784.91297692639</v>
      </c>
      <c r="C17" s="8">
        <f si="0" t="shared"/>
        <v>7.124083950760518E-2</v>
      </c>
      <c r="E17" s="9">
        <v>6</v>
      </c>
      <c r="F17" s="9" t="n">
        <v>13473.0</v>
      </c>
      <c r="G17" s="8">
        <f si="1" t="shared"/>
        <v>5.1723673216355355E-2</v>
      </c>
    </row>
    <row r="18" spans="1:7" x14ac:dyDescent="0.45">
      <c r="A18">
        <v>7</v>
      </c>
      <c r="B18" s="5" t="n">
        <v>9242.751938816042</v>
      </c>
      <c r="C18" s="8">
        <f si="0" t="shared"/>
        <v>3.022556978672411E-2</v>
      </c>
      <c r="E18" s="9">
        <v>7</v>
      </c>
      <c r="F18" s="9" t="n">
        <v>10064.0</v>
      </c>
      <c r="G18" s="8">
        <f si="1" t="shared"/>
        <v>3.9737088334161189E-2</v>
      </c>
    </row>
    <row r="19" spans="1:7" x14ac:dyDescent="0.45">
      <c r="A19">
        <v>8</v>
      </c>
      <c r="B19" s="5" t="n">
        <v>8077.163785182399</v>
      </c>
      <c r="C19" s="8">
        <f si="0" t="shared"/>
        <v>2.6413873193171965E-2</v>
      </c>
      <c r="E19" s="9">
        <v>8</v>
      </c>
      <c r="F19" s="9" t="n">
        <v>8103.0</v>
      </c>
      <c r="G19" s="8">
        <f si="1" t="shared"/>
        <v>3.1704959820104968E-2</v>
      </c>
    </row>
    <row r="20" spans="1:7" x14ac:dyDescent="0.45">
      <c r="A20">
        <v>9</v>
      </c>
      <c r="B20" s="5" t="n">
        <v>5175.954229434245</v>
      </c>
      <c r="C20" s="8">
        <f si="0" t="shared"/>
        <v>1.6926362062973929E-2</v>
      </c>
      <c r="E20" s="9">
        <v>9</v>
      </c>
      <c r="F20" s="9" t="n">
        <v>6716.0</v>
      </c>
      <c r="G20" s="8">
        <f si="1" t="shared"/>
        <v>2.6884142514448976E-2</v>
      </c>
    </row>
    <row r="21" spans="1:7" x14ac:dyDescent="0.45">
      <c r="A21">
        <v>10</v>
      </c>
      <c r="B21" s="5" t="n">
        <v>3987.573347846821</v>
      </c>
      <c r="C21" s="8">
        <f si="0" t="shared"/>
        <v>1.3040128881838644E-2</v>
      </c>
      <c r="E21" s="9">
        <v>10</v>
      </c>
      <c r="F21" s="9" t="n">
        <v>5551.0</v>
      </c>
      <c r="G21" s="8">
        <f si="1" t="shared"/>
        <v>2.1662873931006865E-2</v>
      </c>
    </row>
    <row r="22" spans="1:7" x14ac:dyDescent="0.45">
      <c r="A22">
        <v>11</v>
      </c>
      <c r="B22" s="5" t="n">
        <v>1632.5006194045789</v>
      </c>
      <c r="C22" s="8">
        <f si="0" t="shared"/>
        <v>5.3385898188461067E-3</v>
      </c>
      <c r="E22" s="9">
        <v>11</v>
      </c>
      <c r="F22" s="9" t="n">
        <v>4673.0</v>
      </c>
      <c r="G22" s="8">
        <f si="1" t="shared"/>
        <v>1.7993354048985971E-2</v>
      </c>
    </row>
    <row r="23" spans="1:7" x14ac:dyDescent="0.45">
      <c r="A23">
        <v>12</v>
      </c>
      <c r="B23" s="5" t="n">
        <v>1885.4524558895223</v>
      </c>
      <c r="C23" s="8">
        <f si="0" t="shared"/>
        <v>6.1657907906959531E-3</v>
      </c>
      <c r="E23" s="9">
        <v>12</v>
      </c>
      <c r="F23" s="9" t="n">
        <v>4008.0</v>
      </c>
      <c r="G23" s="8">
        <f si="1" t="shared"/>
        <v>1.5721563146160866E-2</v>
      </c>
    </row>
    <row r="24" spans="1:7" x14ac:dyDescent="0.45">
      <c r="A24">
        <v>13</v>
      </c>
      <c r="B24" s="5" t="n">
        <v>2728.90629110392</v>
      </c>
      <c r="C24" s="8">
        <f si="0" t="shared"/>
        <v>8.9240464408436443E-3</v>
      </c>
      <c r="E24" s="9">
        <v>13</v>
      </c>
      <c r="F24" s="9" t="n">
        <v>3145.0</v>
      </c>
      <c r="G24" s="8">
        <f si="1" t="shared"/>
        <v>1.1982734389138529E-2</v>
      </c>
    </row>
    <row r="25" spans="1:7" x14ac:dyDescent="0.45">
      <c r="A25">
        <v>14</v>
      </c>
      <c r="B25" s="5" t="n">
        <v>5533.280027184574</v>
      </c>
      <c r="C25" s="8">
        <f si="0" t="shared"/>
        <v>1.8094885886613721E-2</v>
      </c>
      <c r="E25" s="9">
        <v>14</v>
      </c>
      <c r="F25" s="9" t="n">
        <v>2406.0</v>
      </c>
      <c r="G25" s="8">
        <f si="1" t="shared"/>
        <v>9.8303087710381321E-3</v>
      </c>
    </row>
    <row r="26" spans="1:7" x14ac:dyDescent="0.45">
      <c r="A26">
        <v>15</v>
      </c>
      <c r="B26" s="5" t="n">
        <v>3357.477077567564</v>
      </c>
      <c r="C26" s="8">
        <f si="0" t="shared"/>
        <v>1.0979593349158335E-2</v>
      </c>
      <c r="E26" s="9">
        <v>15</v>
      </c>
      <c r="F26" s="9" t="n">
        <v>2078.0</v>
      </c>
      <c r="G26" s="8">
        <f si="1" t="shared"/>
        <v>7.6547801946039188E-3</v>
      </c>
    </row>
    <row r="27" spans="1:7" x14ac:dyDescent="0.45">
      <c r="A27">
        <v>16</v>
      </c>
      <c r="B27" s="5" t="n">
        <v>1531.837932285988</v>
      </c>
      <c r="C27" s="8">
        <f si="0" t="shared"/>
        <v>5.0094035446105693E-3</v>
      </c>
      <c r="E27" s="9">
        <v>16</v>
      </c>
      <c r="F27" s="9" t="n">
        <v>1710.0</v>
      </c>
      <c r="G27" s="8">
        <f si="1" t="shared"/>
        <v>6.3956689654110213E-3</v>
      </c>
    </row>
    <row r="28" spans="1:7" x14ac:dyDescent="0.45">
      <c r="A28">
        <v>17</v>
      </c>
      <c r="B28" s="5" t="n">
        <v>1296.3261626820179</v>
      </c>
      <c r="C28" s="8">
        <f si="0" t="shared"/>
        <v>4.2392349330453499E-3</v>
      </c>
      <c r="E28" s="9">
        <v>17</v>
      </c>
      <c r="F28" s="9" t="n">
        <v>1294.0</v>
      </c>
      <c r="G28" s="8">
        <f si="1" t="shared"/>
        <v>5.0094914653821421E-3</v>
      </c>
    </row>
    <row r="29" spans="1:7" x14ac:dyDescent="0.45">
      <c r="A29">
        <v>18</v>
      </c>
      <c r="B29" s="5" t="n">
        <v>2384.383620281975</v>
      </c>
      <c r="C29" s="8">
        <f si="0" t="shared"/>
        <v>7.7973912953879943E-3</v>
      </c>
      <c r="E29" s="9">
        <v>18</v>
      </c>
      <c r="F29" s="9" t="n">
        <v>1133.0</v>
      </c>
      <c r="G29" s="8">
        <f si="1" t="shared"/>
        <v>3.8966989723034032E-3</v>
      </c>
    </row>
    <row r="30" spans="1:7" x14ac:dyDescent="0.45">
      <c r="A30">
        <v>19</v>
      </c>
      <c r="B30" s="5" t="n">
        <v>128.7414165792614</v>
      </c>
      <c r="C30" s="8">
        <f si="0" t="shared"/>
        <v>4.2100909956441424E-4</v>
      </c>
      <c r="E30" s="9">
        <v>19</v>
      </c>
      <c r="F30" s="9" t="n">
        <v>853.0</v>
      </c>
      <c r="G30" s="8">
        <f si="1" t="shared"/>
        <v>3.411536847293296E-3</v>
      </c>
    </row>
    <row r="31" spans="1:7" x14ac:dyDescent="0.45">
      <c r="A31">
        <v>20</v>
      </c>
      <c r="B31" s="5" t="n">
        <v>1247.5635156512728</v>
      </c>
      <c r="C31" s="8">
        <f si="0" t="shared"/>
        <v>4.0797717341442257E-3</v>
      </c>
      <c r="E31" s="9">
        <v>20</v>
      </c>
      <c r="F31" s="9" t="n">
        <v>736.0</v>
      </c>
      <c r="G31" s="8">
        <f si="1" t="shared"/>
        <v>2.7338500695013998E-3</v>
      </c>
    </row>
    <row r="32" spans="1:7" x14ac:dyDescent="0.45">
      <c r="A32">
        <v>21</v>
      </c>
      <c r="B32" s="5" t="n">
        <v>777.9053182718185</v>
      </c>
      <c r="C32" s="8">
        <f si="0" t="shared"/>
        <v>2.5438994403976776E-3</v>
      </c>
      <c r="E32" s="9">
        <v>21</v>
      </c>
      <c r="F32" s="9" t="n">
        <v>626.0</v>
      </c>
      <c r="G32" s="8">
        <f si="1" t="shared"/>
        <v>2.4027076667167231E-3</v>
      </c>
    </row>
    <row r="33" spans="1:7" x14ac:dyDescent="0.45">
      <c r="A33">
        <v>22</v>
      </c>
      <c r="B33" s="5" t="n">
        <v>557.2848884763098</v>
      </c>
      <c r="C33" s="8">
        <f si="0" t="shared"/>
        <v>1.822428363244069E-3</v>
      </c>
      <c r="E33" s="9">
        <v>22</v>
      </c>
      <c r="F33" s="9" t="n">
        <v>510.0</v>
      </c>
      <c r="G33" s="8">
        <f si="1" t="shared"/>
        <v>2.1023692083771326E-3</v>
      </c>
    </row>
    <row r="34" spans="1:7" x14ac:dyDescent="0.45">
      <c r="A34">
        <v>23</v>
      </c>
      <c r="B34" s="5" t="n">
        <v>526.7452920030324</v>
      </c>
      <c r="C34" s="8">
        <f si="0" t="shared"/>
        <v>1.72255803127239E-3</v>
      </c>
      <c r="E34" s="9">
        <v>23</v>
      </c>
      <c r="F34" s="9" t="n">
        <v>406.0</v>
      </c>
      <c r="G34" s="8">
        <f si="1" t="shared"/>
        <v>1.7866287778149992E-3</v>
      </c>
    </row>
    <row r="35" spans="1:7" x14ac:dyDescent="0.45">
      <c r="A35">
        <v>24</v>
      </c>
      <c r="B35" s="5" t="n">
        <v>334.6751961448984</v>
      </c>
      <c r="C35" s="8">
        <f si="0" t="shared"/>
        <v>1.0944520164477109E-3</v>
      </c>
      <c r="E35" s="9">
        <v>24</v>
      </c>
      <c r="F35" s="9" t="n">
        <v>386.0</v>
      </c>
      <c r="G35" s="8">
        <f si="1" t="shared"/>
        <v>1.5941041250332104E-3</v>
      </c>
    </row>
    <row r="36" spans="1:7" x14ac:dyDescent="0.45">
      <c r="A36">
        <v>25</v>
      </c>
      <c r="B36" s="5" t="n">
        <v>287.8450805185722</v>
      </c>
      <c r="C36" s="8">
        <f si="0" t="shared"/>
        <v>9.4130856551948049E-4</v>
      </c>
      <c r="E36" s="9">
        <v>25</v>
      </c>
      <c r="F36" s="9" t="n">
        <v>371.0</v>
      </c>
      <c r="G36" s="8">
        <f si="1" t="shared"/>
        <v>1.3399715833612494E-3</v>
      </c>
    </row>
    <row r="37" spans="1:7" x14ac:dyDescent="0.45">
      <c r="A37">
        <v>26</v>
      </c>
      <c r="B37" s="5" t="n">
        <v>1187.4584299169273</v>
      </c>
      <c r="C37" s="8">
        <f si="0" t="shared"/>
        <v>3.8832165874274774E-3</v>
      </c>
      <c r="E37" s="9">
        <v>26</v>
      </c>
      <c r="F37" s="9" t="n">
        <v>290.0</v>
      </c>
      <c r="G37" s="8">
        <f si="1" t="shared"/>
        <v>1.1204934791900103E-3</v>
      </c>
    </row>
    <row r="38" spans="1:7" x14ac:dyDescent="0.45">
      <c r="A38">
        <v>27</v>
      </c>
      <c r="B38" s="5" t="n">
        <v>589.630799016044</v>
      </c>
      <c r="C38" s="8">
        <f si="0" t="shared"/>
        <v>1.9282056883097795E-3</v>
      </c>
      <c r="E38" s="9">
        <v>27</v>
      </c>
      <c r="F38" s="9" t="n">
        <v>284.0</v>
      </c>
      <c r="G38" s="8">
        <f si="1" t="shared"/>
        <v>1.0203806597434801E-3</v>
      </c>
    </row>
    <row r="39" spans="1:7" x14ac:dyDescent="0.45">
      <c r="A39">
        <v>28</v>
      </c>
      <c r="B39" s="5" t="n">
        <v>110.603371177252</v>
      </c>
      <c r="C39" s="8">
        <f si="0" t="shared"/>
        <v>3.6169421578063156E-4</v>
      </c>
      <c r="E39" s="9">
        <v>28</v>
      </c>
      <c r="F39" s="9" t="n">
        <v>223.0</v>
      </c>
      <c r="G39" s="8">
        <f si="1" t="shared"/>
        <v>1.0280816458547518E-3</v>
      </c>
    </row>
    <row r="40" spans="1:7" x14ac:dyDescent="0.45">
      <c r="A40">
        <v>29</v>
      </c>
      <c r="B40" s="5" t="n">
        <v>1788.5746721519279</v>
      </c>
      <c r="C40" s="8">
        <f si="0" t="shared"/>
        <v>5.8489818757183091E-3</v>
      </c>
      <c r="E40" s="9">
        <v>29</v>
      </c>
      <c r="F40" s="9" t="n">
        <v>215.0</v>
      </c>
      <c r="G40" s="8">
        <f si="1" t="shared"/>
        <v>8.124540347391483E-4</v>
      </c>
    </row>
    <row r="41" spans="1:7" x14ac:dyDescent="0.45">
      <c r="A41">
        <v>30</v>
      </c>
      <c r="B41" s="5" t="n">
        <v>396.722907155665</v>
      </c>
      <c r="C41" s="8">
        <f si="0" t="shared"/>
        <v>1.2973599200328254E-3</v>
      </c>
      <c r="E41" s="9">
        <v>30</v>
      </c>
      <c r="F41" s="9" t="n">
        <v>193.0</v>
      </c>
      <c r="G41" s="8">
        <f si="1" t="shared"/>
        <v>6.0067691667918077E-4</v>
      </c>
    </row>
    <row r="42" spans="1:7" x14ac:dyDescent="0.45">
      <c r="A42">
        <v>31</v>
      </c>
      <c r="B42" s="5" t="n">
        <v>407.960448507757</v>
      </c>
      <c r="C42" s="8">
        <f si="0" t="shared"/>
        <v>1.3341088334102805E-3</v>
      </c>
      <c r="E42" s="9">
        <v>31</v>
      </c>
      <c r="F42" s="9" t="n">
        <v>128.0</v>
      </c>
      <c r="G42" s="8">
        <f si="1" t="shared"/>
        <v>4.9286311112137909E-4</v>
      </c>
    </row>
    <row r="43" spans="1:7" x14ac:dyDescent="0.45">
      <c r="A43">
        <v>32</v>
      </c>
      <c r="B43" s="5" t="n">
        <v>623.3562673788014</v>
      </c>
      <c r="C43" s="8">
        <f si="0" t="shared"/>
        <v>2.0384944317853571E-3</v>
      </c>
      <c r="E43" s="9">
        <v>32</v>
      </c>
      <c r="F43" s="9" t="n">
        <v>99.0</v>
      </c>
      <c r="G43" s="8">
        <f si="1" t="shared"/>
        <v>4.8131163195447177E-4</v>
      </c>
    </row>
    <row r="44" spans="1:7" x14ac:dyDescent="0.45">
      <c r="A44">
        <v>33</v>
      </c>
      <c r="B44" s="5" t="n">
        <v>759.7881629959792</v>
      </c>
      <c r="C44" s="8">
        <f si="0" t="shared"/>
        <v>2.4846528713290995E-3</v>
      </c>
      <c r="E44" s="9">
        <v>33</v>
      </c>
      <c r="F44" s="9" t="n">
        <v>84.0</v>
      </c>
      <c r="G44" s="8">
        <f si="1" t="shared"/>
        <v>3.4654437500721968E-4</v>
      </c>
    </row>
    <row r="45" spans="1:7" x14ac:dyDescent="0.45">
      <c r="A45">
        <v>34</v>
      </c>
      <c r="B45" s="5" t="n">
        <v>273.44729690211</v>
      </c>
      <c r="C45" s="8">
        <f si="0" t="shared"/>
        <v>8.942250544229707E-4</v>
      </c>
      <c r="E45" s="9">
        <v>34</v>
      </c>
      <c r="F45" s="9" t="n">
        <v>62.0</v>
      </c>
      <c r="G45" s="8">
        <f si="1" t="shared"/>
        <v>2.541325416719611E-4</v>
      </c>
    </row>
    <row r="46" spans="1:7" x14ac:dyDescent="0.45">
      <c r="A46">
        <v>35</v>
      </c>
      <c r="B46" s="5" t="n">
        <v>0.0</v>
      </c>
      <c r="C46" s="8">
        <f si="0" t="shared"/>
        <v>0</v>
      </c>
      <c r="E46" s="9">
        <v>35</v>
      </c>
      <c r="F46" s="9" t="n">
        <v>56.0</v>
      </c>
      <c r="G46" s="8">
        <f si="1" t="shared"/>
        <v>2.38730569449418E-4</v>
      </c>
    </row>
    <row r="47" spans="1:7" x14ac:dyDescent="0.45">
      <c r="A47">
        <v>36</v>
      </c>
      <c r="B47" s="5" t="n">
        <v>45.2391273899036</v>
      </c>
      <c r="C47" s="8">
        <f si="0" t="shared"/>
        <v>1.4794061455566761E-4</v>
      </c>
      <c r="E47" s="9">
        <v>36</v>
      </c>
      <c r="F47" s="9" t="n">
        <v>57.0</v>
      </c>
      <c r="G47" s="8">
        <f si="1" t="shared"/>
        <v>2.5028204861632532E-4</v>
      </c>
    </row>
    <row r="48" spans="1:7" x14ac:dyDescent="0.45">
      <c r="A48">
        <v>37</v>
      </c>
      <c r="B48" s="5" t="n">
        <v>0.0</v>
      </c>
      <c r="C48" s="8">
        <f si="0" t="shared"/>
        <v>0</v>
      </c>
      <c r="E48" s="9">
        <v>37</v>
      </c>
      <c r="F48" s="9" t="n">
        <v>41.0</v>
      </c>
      <c r="G48" s="8">
        <f si="1" t="shared"/>
        <v>1.8867415972615293E-4</v>
      </c>
    </row>
    <row r="49" spans="1:7" x14ac:dyDescent="0.45">
      <c r="A49">
        <v>38</v>
      </c>
      <c r="B49" s="5" t="n">
        <v>0.0</v>
      </c>
      <c r="C49" s="8">
        <f si="0" t="shared"/>
        <v>0</v>
      </c>
      <c r="E49" s="9">
        <v>38</v>
      </c>
      <c r="F49" s="9" t="n">
        <v>25.0</v>
      </c>
      <c r="G49" s="8">
        <f si="1" t="shared"/>
        <v>1.5787021528106674E-4</v>
      </c>
    </row>
    <row r="50" spans="1:7" x14ac:dyDescent="0.45">
      <c r="A50">
        <v>39</v>
      </c>
      <c r="B50" s="5" t="n">
        <v>0.0</v>
      </c>
      <c r="C50" s="8">
        <f si="0" t="shared"/>
        <v>0</v>
      </c>
      <c r="E50" s="9">
        <v>39</v>
      </c>
      <c r="F50" s="9" t="n">
        <v>19.0</v>
      </c>
      <c r="G50" s="8">
        <f si="1" t="shared"/>
        <v>8.8561340279622806E-5</v>
      </c>
    </row>
    <row r="51" spans="1:7" x14ac:dyDescent="0.45">
      <c r="A51">
        <v>40</v>
      </c>
      <c r="B51" s="5" t="n">
        <v>614.347682999807</v>
      </c>
      <c r="C51" s="8">
        <f si="0" t="shared"/>
        <v>2.0090346347866545E-3</v>
      </c>
      <c r="E51" s="9">
        <v>40</v>
      </c>
      <c r="F51" s="9" t="n">
        <v>27.0</v>
      </c>
      <c r="G51" s="8">
        <f si="1" t="shared"/>
        <v>1.0011281944653013E-4</v>
      </c>
    </row>
    <row r="52" spans="1:7" x14ac:dyDescent="0.45">
      <c r="A52">
        <v>41</v>
      </c>
      <c r="B52" s="5" t="n">
        <v>0.0</v>
      </c>
      <c r="C52" s="8">
        <f si="0" t="shared"/>
        <v>0</v>
      </c>
      <c r="E52" s="9">
        <v>41</v>
      </c>
      <c r="F52" s="9" t="n">
        <v>22.0</v>
      </c>
      <c r="G52" s="8">
        <f si="1" t="shared"/>
        <v>1.0781380555780168E-4</v>
      </c>
    </row>
    <row r="53" spans="1:7" x14ac:dyDescent="0.45">
      <c r="A53">
        <v>42</v>
      </c>
      <c r="B53" s="5" t="n">
        <v>372.750841348993</v>
      </c>
      <c r="C53" s="8">
        <f si="0" t="shared"/>
        <v>1.2189666717050637E-3</v>
      </c>
      <c r="E53" s="9">
        <v>42</v>
      </c>
      <c r="F53" s="9" t="n">
        <v>23.0</v>
      </c>
      <c r="G53" s="8">
        <f si="1" t="shared"/>
        <v>5.0056409723265064E-5</v>
      </c>
    </row>
    <row r="54" spans="1:7" x14ac:dyDescent="0.45">
      <c r="A54">
        <v>43</v>
      </c>
      <c r="B54" s="5" t="n">
        <v>0.0</v>
      </c>
      <c r="C54" s="8">
        <f si="0" t="shared"/>
        <v>0</v>
      </c>
      <c r="E54" s="9">
        <v>43</v>
      </c>
      <c r="F54" s="9" t="n">
        <v>12.0</v>
      </c>
      <c r="G54" s="8">
        <f si="1" t="shared"/>
        <v>1.039633125021659E-4</v>
      </c>
    </row>
    <row r="55" spans="1:7" x14ac:dyDescent="0.45">
      <c r="A55">
        <v>44</v>
      </c>
      <c r="B55" s="5" t="n">
        <v>0.0</v>
      </c>
      <c r="C55" s="8">
        <f si="0" t="shared"/>
        <v>0</v>
      </c>
      <c r="E55" s="9">
        <v>44</v>
      </c>
      <c r="F55" s="9" t="n">
        <v>13.0</v>
      </c>
      <c r="G55" s="8">
        <f si="1" t="shared"/>
        <v>3.4654437500721968E-5</v>
      </c>
    </row>
    <row r="56" spans="1:7" x14ac:dyDescent="0.45">
      <c r="A56">
        <v>45</v>
      </c>
      <c r="B56" s="5" t="n">
        <v>84.4438923716752</v>
      </c>
      <c r="C56" s="8">
        <f si="0" t="shared"/>
        <v>2.7614770782971332E-4</v>
      </c>
      <c r="E56" s="9">
        <v>45</v>
      </c>
      <c r="F56" s="9" t="n">
        <v>15.0</v>
      </c>
      <c r="G56" s="8">
        <f si="1" t="shared"/>
        <v>6.9308875001443935E-5</v>
      </c>
    </row>
    <row r="57" spans="1:7" x14ac:dyDescent="0.45">
      <c r="A57">
        <v>46</v>
      </c>
      <c r="B57" s="5" t="n">
        <v>0.0</v>
      </c>
      <c r="C57" s="8">
        <f si="0" t="shared"/>
        <v>0</v>
      </c>
      <c r="E57" s="9">
        <v>46</v>
      </c>
      <c r="F57" s="9" t="n">
        <v>3.0</v>
      </c>
      <c r="G57" s="8">
        <f si="1" t="shared"/>
        <v>6.5458381945808161E-5</v>
      </c>
    </row>
    <row r="58" spans="1:7" x14ac:dyDescent="0.45">
      <c r="A58">
        <v>47</v>
      </c>
      <c r="B58" s="5" t="n">
        <v>0.0</v>
      </c>
      <c r="C58" s="8">
        <f si="0" t="shared"/>
        <v>0</v>
      </c>
      <c r="E58" s="9">
        <v>47</v>
      </c>
      <c r="F58" s="9" t="n">
        <v>5.0</v>
      </c>
      <c r="G58" s="8">
        <f si="1" t="shared"/>
        <v>1.9252465278178871E-5</v>
      </c>
    </row>
    <row r="59" spans="1:7" x14ac:dyDescent="0.45">
      <c r="A59">
        <v>48</v>
      </c>
      <c r="B59" s="5" t="n">
        <v>0.0</v>
      </c>
      <c r="C59" s="8">
        <f si="0" t="shared"/>
        <v>0</v>
      </c>
      <c r="E59" s="9">
        <v>48</v>
      </c>
      <c r="F59" s="9" t="n">
        <v>5.0</v>
      </c>
      <c r="G59" s="8">
        <f si="1" t="shared"/>
        <v>3.0803944445086193E-5</v>
      </c>
    </row>
    <row r="60" spans="1:7" x14ac:dyDescent="0.45">
      <c r="A60">
        <v>49</v>
      </c>
      <c r="B60" s="5" t="n">
        <v>0.0</v>
      </c>
      <c r="C60" s="8">
        <f si="0" t="shared"/>
        <v>0</v>
      </c>
      <c r="E60" s="9">
        <v>49</v>
      </c>
      <c r="F60" s="9" t="n">
        <v>3.0</v>
      </c>
      <c r="G60" s="8">
        <f si="1" t="shared"/>
        <v>2.6953451389450419E-5</v>
      </c>
    </row>
    <row r="61" spans="1:7" x14ac:dyDescent="0.45">
      <c r="A61">
        <v>50</v>
      </c>
      <c r="B61" s="5" t="n">
        <v>0.0</v>
      </c>
      <c r="C61" s="8">
        <f si="0" t="shared"/>
        <v>0</v>
      </c>
      <c r="E61" s="9">
        <v>50</v>
      </c>
      <c r="F61" s="9" t="n">
        <v>4.0</v>
      </c>
      <c r="G61" s="8">
        <f si="1" t="shared"/>
        <v>3.4654437500721968E-5</v>
      </c>
    </row>
    <row r="62" spans="1:7" x14ac:dyDescent="0.45">
      <c r="A62">
        <v>51</v>
      </c>
      <c r="B62" s="5" t="n">
        <v>0.0</v>
      </c>
      <c r="C62" s="8">
        <f si="0" t="shared"/>
        <v>0</v>
      </c>
      <c r="E62" s="9">
        <v>51</v>
      </c>
      <c r="F62" s="9" t="n">
        <v>7.0</v>
      </c>
      <c r="G62" s="8">
        <f si="1" t="shared"/>
        <v>2.6953451389450419E-5</v>
      </c>
    </row>
    <row r="63" spans="1:7" x14ac:dyDescent="0.45">
      <c r="A63">
        <v>52</v>
      </c>
      <c r="B63" s="5" t="n">
        <v>0.0</v>
      </c>
      <c r="C63" s="8">
        <f si="0" t="shared"/>
        <v>0</v>
      </c>
      <c r="E63" s="9">
        <v>52</v>
      </c>
      <c r="F63" s="9" t="n">
        <v>3.0</v>
      </c>
      <c r="G63" s="8">
        <f si="1" t="shared"/>
        <v>2.3102958333814645E-5</v>
      </c>
    </row>
    <row r="64" spans="1:7" x14ac:dyDescent="0.45">
      <c r="A64">
        <v>53</v>
      </c>
      <c r="B64" s="5" t="n">
        <v>0.0</v>
      </c>
      <c r="C64" s="8">
        <f si="0" t="shared"/>
        <v>0</v>
      </c>
      <c r="E64" s="9">
        <v>53</v>
      </c>
      <c r="F64" s="9" t="n">
        <v>3.0</v>
      </c>
      <c r="G64" s="8">
        <f si="1" t="shared"/>
        <v>7.7009861112715483E-6</v>
      </c>
    </row>
    <row r="65" spans="1:7" x14ac:dyDescent="0.45">
      <c r="A65">
        <v>54</v>
      </c>
      <c r="B65" s="5" t="n">
        <v>0.0</v>
      </c>
      <c r="C65" s="8">
        <f si="0" t="shared"/>
        <v>0</v>
      </c>
      <c r="E65" s="9">
        <v>54</v>
      </c>
      <c r="F65" s="9" t="n">
        <v>3.0</v>
      </c>
      <c r="G65" s="8">
        <f si="1" t="shared"/>
        <v>2.3102958333814645E-5</v>
      </c>
    </row>
    <row r="66" spans="1:7" x14ac:dyDescent="0.45">
      <c r="A66">
        <v>55</v>
      </c>
      <c r="B66" s="5" t="n">
        <v>0.0</v>
      </c>
      <c r="C66" s="8">
        <f si="0" t="shared"/>
        <v>0</v>
      </c>
      <c r="E66" s="9">
        <v>55</v>
      </c>
      <c r="F66" s="9" t="n">
        <v>2.0</v>
      </c>
      <c r="G66" s="8">
        <f si="1" t="shared"/>
        <v>3.8504930556357742E-6</v>
      </c>
    </row>
    <row r="67" spans="1:7" x14ac:dyDescent="0.45">
      <c r="A67">
        <v>56</v>
      </c>
      <c r="B67" s="5" t="n">
        <v>0.0</v>
      </c>
      <c r="C67" s="8">
        <f si="0" t="shared"/>
        <v>0</v>
      </c>
      <c r="E67" s="9">
        <v>56</v>
      </c>
      <c r="F67" s="9" t="n">
        <v>2.0</v>
      </c>
      <c r="G67" s="8">
        <f si="1" t="shared"/>
        <v>0</v>
      </c>
    </row>
    <row r="68" spans="1:7" x14ac:dyDescent="0.45">
      <c r="A68">
        <v>57</v>
      </c>
      <c r="B68" s="5" t="n">
        <v>0.0</v>
      </c>
      <c r="C68" s="8">
        <f si="0" t="shared"/>
        <v>0</v>
      </c>
      <c r="E68" s="9">
        <v>57</v>
      </c>
      <c r="F68" s="9" t="n">
        <v>4.0</v>
      </c>
      <c r="G68" s="8">
        <f si="1" t="shared"/>
        <v>0</v>
      </c>
    </row>
    <row r="69" spans="1:7" x14ac:dyDescent="0.45">
      <c r="A69">
        <v>58</v>
      </c>
      <c r="B69" s="5" t="n">
        <v>0.0</v>
      </c>
      <c r="C69" s="8">
        <f si="0" t="shared"/>
        <v>0</v>
      </c>
      <c r="E69" s="9">
        <v>58</v>
      </c>
      <c r="F69" s="9" t="n">
        <v>4.0</v>
      </c>
      <c r="G69" s="8">
        <f si="1" t="shared"/>
        <v>3.8504930556357742E-6</v>
      </c>
    </row>
    <row r="70" spans="1:7" x14ac:dyDescent="0.45">
      <c r="A70">
        <v>59</v>
      </c>
      <c r="B70" s="5" t="n">
        <v>0.0</v>
      </c>
      <c r="C70" s="8">
        <f si="0" t="shared"/>
        <v>0</v>
      </c>
      <c r="E70" s="9">
        <v>59</v>
      </c>
      <c r="F70" s="9" t="n">
        <v>1.0</v>
      </c>
      <c r="G70" s="8">
        <f si="1" t="shared"/>
        <v>3.8504930556357742E-6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0.0</v>
      </c>
      <c r="G71" s="8">
        <f si="1" t="shared"/>
        <v>0</v>
      </c>
    </row>
    <row r="72" spans="1:7" x14ac:dyDescent="0.45">
      <c r="A72">
        <v>61</v>
      </c>
      <c r="B72" s="5" t="n">
        <v>0.0</v>
      </c>
      <c r="C72" s="8">
        <f si="0" t="shared"/>
        <v>0</v>
      </c>
      <c r="E72" s="9">
        <v>61</v>
      </c>
      <c r="F72" s="9" t="n">
        <v>0.0</v>
      </c>
      <c r="G72" s="8">
        <f si="1" t="shared"/>
        <v>3.8504930556357742E-6</v>
      </c>
    </row>
    <row r="73" spans="1:7" x14ac:dyDescent="0.45">
      <c r="A73">
        <v>62</v>
      </c>
      <c r="B73" s="5" t="n">
        <v>0.0</v>
      </c>
      <c r="C73" s="8">
        <f si="0" t="shared"/>
        <v>0</v>
      </c>
      <c r="E73" s="9">
        <v>62</v>
      </c>
      <c r="F73" s="9" t="n">
        <v>0.0</v>
      </c>
      <c r="G73" s="8">
        <f si="1" t="shared"/>
        <v>0</v>
      </c>
    </row>
    <row r="74" spans="1:7" x14ac:dyDescent="0.45">
      <c r="A74">
        <v>63</v>
      </c>
      <c r="B74" s="5" t="n">
        <v>0.0</v>
      </c>
      <c r="C74" s="8">
        <f si="0" t="shared"/>
        <v>0</v>
      </c>
      <c r="E74" s="9">
        <v>63</v>
      </c>
      <c r="F74" s="9" t="n">
        <v>0.0</v>
      </c>
      <c r="G74" s="8">
        <f si="1" t="shared"/>
        <v>7.7009861112715483E-6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0.0</v>
      </c>
      <c r="G75" s="8">
        <f si="1" t="shared"/>
        <v>0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0.0</v>
      </c>
      <c r="G76" s="8">
        <f si="1" t="shared"/>
        <v>0</v>
      </c>
    </row>
    <row r="77" spans="1:7" x14ac:dyDescent="0.45">
      <c r="A77">
        <v>66</v>
      </c>
      <c r="B77" s="5" t="n">
        <v>0.0</v>
      </c>
      <c r="C77" s="8">
        <f ref="C77:C102" si="2" t="shared">B77/B$102</f>
        <v>0</v>
      </c>
      <c r="E77" s="9">
        <v>66</v>
      </c>
      <c r="F77" s="9" t="n">
        <v>1.0</v>
      </c>
      <c r="G77" s="8">
        <f ref="G77:G102" si="3" t="shared">F77/F$102</f>
        <v>0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0.0</v>
      </c>
      <c r="G78" s="8">
        <f si="3" t="shared"/>
        <v>0</v>
      </c>
    </row>
    <row r="79" spans="1:7" x14ac:dyDescent="0.45">
      <c r="A79">
        <v>68</v>
      </c>
      <c r="B79" s="5" t="n">
        <v>0.0</v>
      </c>
      <c r="C79" s="8">
        <f si="2" t="shared"/>
        <v>0</v>
      </c>
      <c r="E79" s="9">
        <v>68</v>
      </c>
      <c r="F79" s="9" t="n">
        <v>0.0</v>
      </c>
      <c r="G79" s="8">
        <f si="3" t="shared"/>
        <v>0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0.0</v>
      </c>
      <c r="G80" s="8">
        <f si="3" t="shared"/>
        <v>3.8504930556357742E-6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0.0</v>
      </c>
      <c r="G81" s="8">
        <f si="3" t="shared"/>
        <v>0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0.0</v>
      </c>
      <c r="G82" s="8">
        <f si="3" t="shared"/>
        <v>0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0.0</v>
      </c>
      <c r="G83" s="8">
        <f si="3" t="shared"/>
        <v>0</v>
      </c>
    </row>
    <row r="84" spans="1:7" x14ac:dyDescent="0.45">
      <c r="A84">
        <v>73</v>
      </c>
      <c r="B84" s="5" t="n">
        <v>0.0</v>
      </c>
      <c r="C84" s="8">
        <f si="2" t="shared"/>
        <v>0</v>
      </c>
      <c r="E84" s="9">
        <v>73</v>
      </c>
      <c r="F84" s="9" t="n">
        <v>1.0</v>
      </c>
      <c r="G84" s="8">
        <f si="3" t="shared"/>
        <v>0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0.0</v>
      </c>
      <c r="G85" s="8">
        <f si="3" t="shared"/>
        <v>0</v>
      </c>
    </row>
    <row r="86" spans="1:7" x14ac:dyDescent="0.45">
      <c r="A86">
        <v>75</v>
      </c>
      <c r="B86" s="5" t="n">
        <v>0.0</v>
      </c>
      <c r="C86" s="8">
        <f si="2" t="shared"/>
        <v>0</v>
      </c>
      <c r="E86" s="9">
        <v>75</v>
      </c>
      <c r="F86" s="9" t="n">
        <v>0.0</v>
      </c>
      <c r="G86" s="8">
        <f si="3" t="shared"/>
        <v>0</v>
      </c>
    </row>
    <row r="87" spans="1:7" x14ac:dyDescent="0.45">
      <c r="A87">
        <v>76</v>
      </c>
      <c r="B87" s="5" t="n">
        <v>0.0</v>
      </c>
      <c r="C87" s="8">
        <f si="2" t="shared"/>
        <v>0</v>
      </c>
      <c r="E87" s="9">
        <v>76</v>
      </c>
      <c r="F87" s="9" t="n">
        <v>0.0</v>
      </c>
      <c r="G87" s="8">
        <f si="3" t="shared"/>
        <v>0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0.0</v>
      </c>
      <c r="G88" s="8">
        <f si="3" t="shared"/>
        <v>0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0.0</v>
      </c>
      <c r="G89" s="8">
        <f si="3" t="shared"/>
        <v>0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0.0</v>
      </c>
      <c r="G90" s="8">
        <f si="3" t="shared"/>
        <v>0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1.0</v>
      </c>
      <c r="G91" s="8">
        <f si="3" t="shared"/>
        <v>0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0.0</v>
      </c>
      <c r="G92" s="8">
        <f si="3" t="shared"/>
        <v>0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0.0</v>
      </c>
      <c r="G93" s="8">
        <f si="3" t="shared"/>
        <v>0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0.0</v>
      </c>
      <c r="G94" s="8">
        <f si="3" t="shared"/>
        <v>0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0.0</v>
      </c>
      <c r="G95" s="8">
        <f si="3" t="shared"/>
        <v>0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0.0</v>
      </c>
      <c r="G96" s="8">
        <f si="3" t="shared"/>
        <v>0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0.0</v>
      </c>
      <c r="G97" s="8">
        <f si="3" t="shared"/>
        <v>0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0.0</v>
      </c>
      <c r="G98" s="8">
        <f si="3" t="shared"/>
        <v>0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0.0</v>
      </c>
      <c r="G99" s="8">
        <f si="3" t="shared"/>
        <v>0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0.0</v>
      </c>
      <c r="G100" s="8">
        <f si="3" t="shared"/>
        <v>0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0.0</v>
      </c>
      <c r="G101" s="8">
        <f si="3" t="shared"/>
        <v>3.8504930556357742E-6</v>
      </c>
    </row>
    <row r="102" spans="1:7" x14ac:dyDescent="0.45">
      <c r="B102" s="5">
        <f>SUM(B11:B101)</f>
        <v>305792.47981209966</v>
      </c>
      <c r="C102" s="8">
        <f si="2" t="shared"/>
        <v>1</v>
      </c>
      <c r="F102" s="5">
        <f>SUM(F11:F101)</f>
        <v>259707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M102"/>
  <sheetViews>
    <sheetView workbookViewId="0">
      <selection activeCell="B11" sqref="B11:B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7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0.0</v>
      </c>
      <c r="C11" s="8">
        <f>B11/B$102</f>
        <v>0</v>
      </c>
      <c r="E11" s="9">
        <v>0</v>
      </c>
      <c r="F11" s="9" t="n">
        <v>1480.0</v>
      </c>
      <c r="G11" s="8">
        <f>F11/F$102</f>
        <v>5.6140188751169591E-3</v>
      </c>
      <c r="K11" s="5" t="n">
        <v>12.309186925553982</v>
      </c>
      <c r="L11" s="5" t="n">
        <v>13.390886046011941</v>
      </c>
    </row>
    <row r="12" spans="1:12" x14ac:dyDescent="0.45">
      <c r="A12">
        <v>1</v>
      </c>
      <c r="B12" s="5" t="n">
        <v>0.0</v>
      </c>
      <c r="C12" s="8">
        <f>B12/B$102</f>
        <v>0</v>
      </c>
      <c r="E12" s="9">
        <v>1</v>
      </c>
      <c r="F12" s="9" t="n">
        <v>12915.0</v>
      </c>
      <c r="G12" s="8">
        <f>F12/F$102</f>
        <v>4.9436480341307702E-2</v>
      </c>
      <c r="K12" s="5"/>
      <c r="L12" s="9"/>
    </row>
    <row r="13" spans="1:12" x14ac:dyDescent="0.45">
      <c r="A13">
        <v>2</v>
      </c>
      <c r="B13" s="5" t="n">
        <v>1459.3802825911116</v>
      </c>
      <c r="C13" s="8">
        <f ref="C13:C76" si="0" t="shared">B13/B$102</f>
        <v>4.7724531469441559E-3</v>
      </c>
      <c r="E13" s="9">
        <v>2</v>
      </c>
      <c r="F13" s="9" t="n">
        <v>5244.0</v>
      </c>
      <c r="G13" s="8">
        <f ref="G13:G76" si="1" t="shared">F13/F$102</f>
        <v>2.1266273146276382E-2</v>
      </c>
    </row>
    <row r="14" spans="1:12" x14ac:dyDescent="0.45">
      <c r="A14">
        <v>3</v>
      </c>
      <c r="B14" s="5" t="n">
        <v>19584.578779269403</v>
      </c>
      <c r="C14" s="8">
        <f si="0" t="shared"/>
        <v>6.404532508877768E-2</v>
      </c>
      <c r="E14" s="9">
        <v>3</v>
      </c>
      <c r="F14" s="9" t="n">
        <v>8141.0</v>
      </c>
      <c r="G14" s="8">
        <f si="1" t="shared"/>
        <v>3.0453549577023339E-2</v>
      </c>
    </row>
    <row r="15" spans="1:12" x14ac:dyDescent="0.45">
      <c r="A15">
        <v>4</v>
      </c>
      <c r="B15" s="5" t="n">
        <v>27817.153703253298</v>
      </c>
      <c r="C15" s="8">
        <f si="0" t="shared"/>
        <v>9.0967422483202068E-2</v>
      </c>
      <c r="E15" s="9">
        <v>4</v>
      </c>
      <c r="F15" s="9" t="n">
        <v>11799.0</v>
      </c>
      <c r="G15" s="8">
        <f si="1" t="shared"/>
        <v>4.5805465389843168E-2</v>
      </c>
    </row>
    <row r="16" spans="1:12" x14ac:dyDescent="0.45">
      <c r="A16">
        <v>5</v>
      </c>
      <c r="B16" s="5" t="n">
        <v>36030.39430341675</v>
      </c>
      <c r="C16" s="8">
        <f si="0" t="shared"/>
        <v>0.11782629293420285</v>
      </c>
      <c r="E16" s="9">
        <v>5</v>
      </c>
      <c r="F16" s="9" t="n">
        <v>14890.0</v>
      </c>
      <c r="G16" s="8">
        <f si="1" t="shared"/>
        <v>5.7603376112311179E-2</v>
      </c>
    </row>
    <row r="17" spans="1:7" x14ac:dyDescent="0.45">
      <c r="A17">
        <v>6</v>
      </c>
      <c r="B17" s="5" t="n">
        <v>24716.894702007696</v>
      </c>
      <c r="C17" s="8">
        <f si="0" t="shared"/>
        <v>8.0828981527588578E-2</v>
      </c>
      <c r="E17" s="9">
        <v>6</v>
      </c>
      <c r="F17" s="9" t="n">
        <v>16493.0</v>
      </c>
      <c r="G17" s="8">
        <f si="1" t="shared"/>
        <v>6.3340610765208485E-2</v>
      </c>
    </row>
    <row r="18" spans="1:7" x14ac:dyDescent="0.45">
      <c r="A18">
        <v>7</v>
      </c>
      <c r="B18" s="5" t="n">
        <v>31006.449504072505</v>
      </c>
      <c r="C18" s="8">
        <f si="0" t="shared"/>
        <v>0.10139703083321426</v>
      </c>
      <c r="E18" s="9">
        <v>7</v>
      </c>
      <c r="F18" s="9" t="n">
        <v>16976.0</v>
      </c>
      <c r="G18" s="8">
        <f si="1" t="shared"/>
        <v>6.7044785084730094E-2</v>
      </c>
    </row>
    <row r="19" spans="1:7" x14ac:dyDescent="0.45">
      <c r="A19">
        <v>8</v>
      </c>
      <c r="B19" s="5" t="n">
        <v>21603.84197838699</v>
      </c>
      <c r="C19" s="8">
        <f si="0" t="shared"/>
        <v>7.0648702648482109E-2</v>
      </c>
      <c r="E19" s="9">
        <v>8</v>
      </c>
      <c r="F19" s="9" t="n">
        <v>16402.0</v>
      </c>
      <c r="G19" s="8">
        <f si="1" t="shared"/>
        <v>6.4480356709676667E-2</v>
      </c>
    </row>
    <row r="20" spans="1:7" x14ac:dyDescent="0.45">
      <c r="A20">
        <v>9</v>
      </c>
      <c r="B20" s="5" t="n">
        <v>16282.38139656659</v>
      </c>
      <c r="C20" s="8">
        <f si="0" t="shared"/>
        <v>5.3246506933629083E-2</v>
      </c>
      <c r="E20" s="9">
        <v>9</v>
      </c>
      <c r="F20" s="9" t="n">
        <v>15733.0</v>
      </c>
      <c r="G20" s="8">
        <f si="1" t="shared"/>
        <v>6.0899398167935402E-2</v>
      </c>
    </row>
    <row r="21" spans="1:7" x14ac:dyDescent="0.45">
      <c r="A21">
        <v>10</v>
      </c>
      <c r="B21" s="5" t="n">
        <v>12072.958280094674</v>
      </c>
      <c r="C21" s="8">
        <f si="0" t="shared"/>
        <v>3.9480886801118033E-2</v>
      </c>
      <c r="E21" s="9">
        <v>10</v>
      </c>
      <c r="F21" s="9" t="n">
        <v>14264.0</v>
      </c>
      <c r="G21" s="8">
        <f si="1" t="shared"/>
        <v>5.5258425841428996E-2</v>
      </c>
    </row>
    <row r="22" spans="1:7" x14ac:dyDescent="0.45">
      <c r="A22">
        <v>11</v>
      </c>
      <c r="B22" s="5" t="n">
        <v>8658.226029913916</v>
      </c>
      <c r="C22" s="8">
        <f si="0" t="shared"/>
        <v>2.8314058067203419E-2</v>
      </c>
      <c r="E22" s="9">
        <v>11</v>
      </c>
      <c r="F22" s="9" t="n">
        <v>13459.0</v>
      </c>
      <c r="G22" s="8">
        <f si="1" t="shared"/>
        <v>5.1365577362181225E-2</v>
      </c>
    </row>
    <row r="23" spans="1:7" x14ac:dyDescent="0.45">
      <c r="A23">
        <v>12</v>
      </c>
      <c r="B23" s="5" t="n">
        <v>12667.548715909526</v>
      </c>
      <c r="C23" s="8">
        <f si="0" t="shared"/>
        <v>4.1425311452045394E-2</v>
      </c>
      <c r="E23" s="9">
        <v>12</v>
      </c>
      <c r="F23" s="9" t="n">
        <v>12326.0</v>
      </c>
      <c r="G23" s="8">
        <f si="1" t="shared"/>
        <v>4.7503532827378549E-2</v>
      </c>
    </row>
    <row r="24" spans="1:7" x14ac:dyDescent="0.45">
      <c r="A24">
        <v>13</v>
      </c>
      <c r="B24" s="5" t="n">
        <v>10309.591269576025</v>
      </c>
      <c r="C24" s="8">
        <f si="0" t="shared"/>
        <v>3.3714338808825399E-2</v>
      </c>
      <c r="E24" s="9">
        <v>13</v>
      </c>
      <c r="F24" s="9" t="n">
        <v>10578.0</v>
      </c>
      <c r="G24" s="8">
        <f si="1" t="shared"/>
        <v>4.2151347480044822E-2</v>
      </c>
    </row>
    <row r="25" spans="1:7" x14ac:dyDescent="0.45">
      <c r="A25">
        <v>14</v>
      </c>
      <c r="B25" s="5" t="n">
        <v>7712.83901226999</v>
      </c>
      <c r="C25" s="8">
        <f si="0" t="shared"/>
        <v>2.5222461379721641E-2</v>
      </c>
      <c r="E25" s="9">
        <v>14</v>
      </c>
      <c r="F25" s="9" t="n">
        <v>9771.0</v>
      </c>
      <c r="G25" s="8">
        <f si="1" t="shared"/>
        <v>3.8481827598023925E-2</v>
      </c>
    </row>
    <row r="26" spans="1:7" x14ac:dyDescent="0.45">
      <c r="A26">
        <v>15</v>
      </c>
      <c r="B26" s="5" t="n">
        <v>11152.380942605929</v>
      </c>
      <c r="C26" s="8">
        <f si="0" t="shared"/>
        <v>3.6470422521373773E-2</v>
      </c>
      <c r="E26" s="9">
        <v>15</v>
      </c>
      <c r="F26" s="9" t="n">
        <v>8361.0</v>
      </c>
      <c r="G26" s="8">
        <f si="1" t="shared"/>
        <v>3.3580149938199584E-2</v>
      </c>
    </row>
    <row r="27" spans="1:7" x14ac:dyDescent="0.45">
      <c r="A27">
        <v>16</v>
      </c>
      <c r="B27" s="5" t="n">
        <v>4673.958747260154</v>
      </c>
      <c r="C27" s="8">
        <f si="0" t="shared"/>
        <v>1.5284740652000873E-2</v>
      </c>
      <c r="E27" s="9">
        <v>16</v>
      </c>
      <c r="F27" s="9" t="n">
        <v>7204.0</v>
      </c>
      <c r="G27" s="8">
        <f si="1" t="shared"/>
        <v>2.9232943278386797E-2</v>
      </c>
    </row>
    <row r="28" spans="1:7" x14ac:dyDescent="0.45">
      <c r="A28">
        <v>17</v>
      </c>
      <c r="B28" s="5" t="n">
        <v>7366.322623174173</v>
      </c>
      <c r="C28" s="8">
        <f si="0" t="shared"/>
        <v>2.4089286393506344E-2</v>
      </c>
      <c r="E28" s="9">
        <v>17</v>
      </c>
      <c r="F28" s="9" t="n">
        <v>6646.0</v>
      </c>
      <c r="G28" s="8">
        <f si="1" t="shared"/>
        <v>2.6040884535264739E-2</v>
      </c>
    </row>
    <row r="29" spans="1:7" x14ac:dyDescent="0.45">
      <c r="A29">
        <v>18</v>
      </c>
      <c r="B29" s="5" t="n">
        <v>6062.260524872065</v>
      </c>
      <c r="C29" s="8">
        <f si="0" t="shared"/>
        <v>1.9824753468748301E-2</v>
      </c>
      <c r="E29" s="9">
        <v>18</v>
      </c>
      <c r="F29" s="9" t="n">
        <v>5957.0</v>
      </c>
      <c r="G29" s="8">
        <f si="1" t="shared"/>
        <v>2.2841124806031413E-2</v>
      </c>
    </row>
    <row r="30" spans="1:7" x14ac:dyDescent="0.45">
      <c r="A30">
        <v>19</v>
      </c>
      <c r="B30" s="5" t="n">
        <v>4863.7526322762105</v>
      </c>
      <c r="C30" s="8">
        <f si="0" t="shared"/>
        <v>1.5905403021241212E-2</v>
      </c>
      <c r="E30" s="9">
        <v>19</v>
      </c>
      <c r="F30" s="9" t="n">
        <v>5015.0</v>
      </c>
      <c r="G30" s="8">
        <f si="1" t="shared"/>
        <v>1.9776132333745335E-2</v>
      </c>
    </row>
    <row r="31" spans="1:7" x14ac:dyDescent="0.45">
      <c r="A31">
        <v>20</v>
      </c>
      <c r="B31" s="5" t="n">
        <v>4261.58760014397</v>
      </c>
      <c r="C31" s="8">
        <f si="0" t="shared"/>
        <v>1.393620798903423E-2</v>
      </c>
      <c r="E31" s="9">
        <v>20</v>
      </c>
      <c r="F31" s="9" t="n">
        <v>4596.0</v>
      </c>
      <c r="G31" s="8">
        <f si="1" t="shared"/>
        <v>1.7827782847593635E-2</v>
      </c>
    </row>
    <row r="32" spans="1:7" x14ac:dyDescent="0.45">
      <c r="A32">
        <v>21</v>
      </c>
      <c r="B32" s="5" t="n">
        <v>2537.734486380479</v>
      </c>
      <c r="C32" s="8">
        <f si="0" t="shared"/>
        <v>8.2988780101454496E-3</v>
      </c>
      <c r="E32" s="9">
        <v>21</v>
      </c>
      <c r="F32" s="9" t="n">
        <v>4012.0</v>
      </c>
      <c r="G32" s="8">
        <f si="1" t="shared"/>
        <v>1.5640702791992516E-2</v>
      </c>
    </row>
    <row r="33" spans="1:7" x14ac:dyDescent="0.45">
      <c r="A33">
        <v>22</v>
      </c>
      <c r="B33" s="5" t="n">
        <v>3245.3522280821926</v>
      </c>
      <c r="C33" s="8">
        <f si="0" t="shared"/>
        <v>1.0612923607789065E-2</v>
      </c>
      <c r="E33" s="9">
        <v>22</v>
      </c>
      <c r="F33" s="9" t="n">
        <v>3608.0</v>
      </c>
      <c r="G33" s="8">
        <f si="1" t="shared"/>
        <v>1.3653848375284456E-2</v>
      </c>
    </row>
    <row r="34" spans="1:7" x14ac:dyDescent="0.45">
      <c r="A34">
        <v>23</v>
      </c>
      <c r="B34" s="5" t="n">
        <v>566.585490764757</v>
      </c>
      <c r="C34" s="8">
        <f si="0" t="shared"/>
        <v>1.852843114758437E-3</v>
      </c>
      <c r="E34" s="9">
        <v>23</v>
      </c>
      <c r="F34" s="9" t="n">
        <v>3192.0</v>
      </c>
      <c r="G34" s="8">
        <f si="1" t="shared"/>
        <v>1.2552607361372623E-2</v>
      </c>
    </row>
    <row r="35" spans="1:7" x14ac:dyDescent="0.45">
      <c r="A35">
        <v>24</v>
      </c>
      <c r="B35" s="5" t="n">
        <v>2165.543813797212</v>
      </c>
      <c r="C35" s="8">
        <f si="0" t="shared"/>
        <v>7.0817431976347971E-3</v>
      </c>
      <c r="E35" s="9">
        <v>24</v>
      </c>
      <c r="F35" s="9" t="n">
        <v>2923.0</v>
      </c>
      <c r="G35" s="8">
        <f si="1" t="shared"/>
        <v>1.1074018028008486E-2</v>
      </c>
    </row>
    <row r="36" spans="1:7" x14ac:dyDescent="0.45">
      <c r="A36">
        <v>25</v>
      </c>
      <c r="B36" s="5" t="n">
        <v>1163.4193295029634</v>
      </c>
      <c r="C36" s="8">
        <f si="0" t="shared"/>
        <v>3.8046041230897837E-3</v>
      </c>
      <c r="E36" s="9">
        <v>25</v>
      </c>
      <c r="F36" s="9" t="n">
        <v>2558.0</v>
      </c>
      <c r="G36" s="8">
        <f si="1" t="shared"/>
        <v>9.7995048265930446E-3</v>
      </c>
    </row>
    <row r="37" spans="1:7" x14ac:dyDescent="0.45">
      <c r="A37">
        <v>26</v>
      </c>
      <c r="B37" s="5" t="n">
        <v>1400.4455696652917</v>
      </c>
      <c r="C37" s="8">
        <f si="0" t="shared"/>
        <v>4.5797253435592147E-3</v>
      </c>
      <c r="E37" s="9">
        <v>26</v>
      </c>
      <c r="F37" s="9" t="n">
        <v>2184.0</v>
      </c>
      <c r="G37" s="8">
        <f si="1" t="shared"/>
        <v>8.5365431043445111E-3</v>
      </c>
    </row>
    <row r="38" spans="1:7" x14ac:dyDescent="0.45">
      <c r="A38">
        <v>27</v>
      </c>
      <c r="B38" s="5" t="n">
        <v>1801.554032280971</v>
      </c>
      <c r="C38" s="8">
        <f si="0" t="shared"/>
        <v>5.8914268702355685E-3</v>
      </c>
      <c r="E38" s="9">
        <v>27</v>
      </c>
      <c r="F38" s="9" t="n">
        <v>2035.0</v>
      </c>
      <c r="G38" s="8">
        <f si="1" t="shared"/>
        <v>7.5739198404355676E-3</v>
      </c>
    </row>
    <row r="39" spans="1:7" x14ac:dyDescent="0.45">
      <c r="A39">
        <v>28</v>
      </c>
      <c r="B39" s="5" t="n">
        <v>2582.4366381507816</v>
      </c>
      <c r="C39" s="8">
        <f si="0" t="shared"/>
        <v>8.445062611538429E-3</v>
      </c>
      <c r="E39" s="9">
        <v>28</v>
      </c>
      <c r="F39" s="9" t="n">
        <v>1784.0</v>
      </c>
      <c r="G39" s="8">
        <f si="1" t="shared"/>
        <v>6.722960875140062E-3</v>
      </c>
    </row>
    <row r="40" spans="1:7" x14ac:dyDescent="0.45">
      <c r="A40">
        <v>29</v>
      </c>
      <c r="B40" s="5" t="n">
        <v>149.04613312179708</v>
      </c>
      <c r="C40" s="8">
        <f si="0" t="shared"/>
        <v>4.8740941312023611E-4</v>
      </c>
      <c r="E40" s="9">
        <v>29</v>
      </c>
      <c r="F40" s="9" t="n">
        <v>1652.0</v>
      </c>
      <c r="G40" s="8">
        <f si="1" t="shared"/>
        <v>5.9182078265121851E-3</v>
      </c>
    </row>
    <row r="41" spans="1:7" x14ac:dyDescent="0.45">
      <c r="A41">
        <v>30</v>
      </c>
      <c r="B41" s="5" t="n">
        <v>866.5898469630079</v>
      </c>
      <c r="C41" s="8">
        <f si="0" t="shared"/>
        <v>2.833914841514421E-3</v>
      </c>
      <c r="E41" s="9">
        <v>30</v>
      </c>
      <c r="F41" s="9" t="n">
        <v>1477.0</v>
      </c>
      <c r="G41" s="8">
        <f si="1" t="shared"/>
        <v>5.6101683820613231E-3</v>
      </c>
    </row>
    <row r="42" spans="1:7" x14ac:dyDescent="0.45">
      <c r="A42">
        <v>31</v>
      </c>
      <c r="B42" s="5" t="n">
        <v>1212.60953229886</v>
      </c>
      <c r="C42" s="8">
        <f si="0" t="shared"/>
        <v>3.9654655112642823E-3</v>
      </c>
      <c r="E42" s="9">
        <v>31</v>
      </c>
      <c r="F42" s="9" t="n">
        <v>1310.0</v>
      </c>
      <c r="G42" s="8">
        <f si="1" t="shared"/>
        <v>4.6051896945403861E-3</v>
      </c>
    </row>
    <row r="43" spans="1:7" x14ac:dyDescent="0.45">
      <c r="A43">
        <v>32</v>
      </c>
      <c r="B43" s="5" t="n">
        <v>302.87410003440124</v>
      </c>
      <c r="C43" s="8">
        <f si="0" t="shared"/>
        <v>9.904563389541445E-4</v>
      </c>
      <c r="E43" s="9">
        <v>32</v>
      </c>
      <c r="F43" s="9" t="n">
        <v>1205.0</v>
      </c>
      <c r="G43" s="8">
        <f si="1" t="shared"/>
        <v>4.2701967987000735E-3</v>
      </c>
    </row>
    <row r="44" spans="1:7" x14ac:dyDescent="0.45">
      <c r="A44">
        <v>33</v>
      </c>
      <c r="B44" s="5" t="n">
        <v>2413.086361632818</v>
      </c>
      <c r="C44" s="8">
        <f si="0" t="shared"/>
        <v>7.8912547591608144E-3</v>
      </c>
      <c r="E44" s="9">
        <v>33</v>
      </c>
      <c r="F44" s="9" t="n">
        <v>1079.0</v>
      </c>
      <c r="G44" s="8">
        <f si="1" t="shared"/>
        <v>3.9159514375815821E-3</v>
      </c>
    </row>
    <row r="45" spans="1:7" x14ac:dyDescent="0.45">
      <c r="A45">
        <v>34</v>
      </c>
      <c r="B45" s="5" t="n">
        <v>3767.925332626251</v>
      </c>
      <c r="C45" s="8">
        <f si="0" t="shared"/>
        <v>1.2321837786663459E-2</v>
      </c>
      <c r="E45" s="9">
        <v>34</v>
      </c>
      <c r="F45" s="9" t="n">
        <v>1019.0</v>
      </c>
      <c r="G45" s="8">
        <f si="1" t="shared"/>
        <v>3.5463041042405482E-3</v>
      </c>
    </row>
    <row r="46" spans="1:7" x14ac:dyDescent="0.45">
      <c r="A46">
        <v>35</v>
      </c>
      <c r="B46" s="5" t="n">
        <v>541.1489245473355</v>
      </c>
      <c r="C46" s="8">
        <f si="0" t="shared"/>
        <v>1.7696606694836169E-3</v>
      </c>
      <c r="E46" s="9">
        <v>35</v>
      </c>
      <c r="F46" s="9" t="n">
        <v>864.0</v>
      </c>
      <c r="G46" s="8">
        <f si="1" t="shared"/>
        <v>3.0572914861748046E-3</v>
      </c>
    </row>
    <row r="47" spans="1:7" x14ac:dyDescent="0.45">
      <c r="A47">
        <v>36</v>
      </c>
      <c r="B47" s="5" t="n">
        <v>570.2000092238693</v>
      </c>
      <c r="C47" s="8">
        <f si="0" t="shared"/>
        <v>1.8646632826753633E-3</v>
      </c>
      <c r="E47" s="9">
        <v>36</v>
      </c>
      <c r="F47" s="9" t="n">
        <v>825.0</v>
      </c>
      <c r="G47" s="8">
        <f si="1" t="shared"/>
        <v>2.9533281736726386E-3</v>
      </c>
    </row>
    <row r="48" spans="1:7" x14ac:dyDescent="0.45">
      <c r="A48">
        <v>37</v>
      </c>
      <c r="B48" s="5" t="n">
        <v>1066.5951010410565</v>
      </c>
      <c r="C48" s="8">
        <f si="0" t="shared"/>
        <v>3.4879703441250344E-3</v>
      </c>
      <c r="E48" s="9">
        <v>37</v>
      </c>
      <c r="F48" s="9" t="n">
        <v>738.0</v>
      </c>
      <c r="G48" s="8">
        <f si="1" t="shared"/>
        <v>2.5644283750534255E-3</v>
      </c>
    </row>
    <row r="49" spans="1:7" x14ac:dyDescent="0.45">
      <c r="A49">
        <v>38</v>
      </c>
      <c r="B49" s="5" t="n">
        <v>0.0</v>
      </c>
      <c r="C49" s="8">
        <f si="0" t="shared"/>
        <v>0</v>
      </c>
      <c r="E49" s="9">
        <v>38</v>
      </c>
      <c r="F49" s="9" t="n">
        <v>624.0</v>
      </c>
      <c r="G49" s="8">
        <f si="1" t="shared"/>
        <v>2.3449502708821866E-3</v>
      </c>
    </row>
    <row r="50" spans="1:7" x14ac:dyDescent="0.45">
      <c r="A50">
        <v>39</v>
      </c>
      <c r="B50" s="5" t="n">
        <v>95.8708129486358</v>
      </c>
      <c r="C50" s="8">
        <f si="0" t="shared"/>
        <v>3.1351592755827606E-4</v>
      </c>
      <c r="E50" s="9">
        <v>39</v>
      </c>
      <c r="F50" s="9" t="n">
        <v>573.0</v>
      </c>
      <c r="G50" s="8">
        <f si="1" t="shared"/>
        <v>2.2217344931018419E-3</v>
      </c>
    </row>
    <row r="51" spans="1:7" x14ac:dyDescent="0.45">
      <c r="A51">
        <v>40</v>
      </c>
      <c r="B51" s="5" t="n">
        <v>925.6632748761677</v>
      </c>
      <c r="C51" s="8">
        <f si="0" t="shared"/>
        <v>3.0270962694862887E-3</v>
      </c>
      <c r="E51" s="9">
        <v>40</v>
      </c>
      <c r="F51" s="9" t="n">
        <v>529.0</v>
      </c>
      <c r="G51" s="8">
        <f si="1" t="shared"/>
        <v>1.8867415972615292E-3</v>
      </c>
    </row>
    <row r="52" spans="1:7" x14ac:dyDescent="0.45">
      <c r="A52">
        <v>41</v>
      </c>
      <c r="B52" s="5" t="n">
        <v>456.3912775161692</v>
      </c>
      <c r="C52" s="8">
        <f si="0" t="shared"/>
        <v>1.4924869238007691E-3</v>
      </c>
      <c r="E52" s="9">
        <v>41</v>
      </c>
      <c r="F52" s="9" t="n">
        <v>488.0</v>
      </c>
      <c r="G52" s="8">
        <f si="1" t="shared"/>
        <v>1.6672634930902902E-3</v>
      </c>
    </row>
    <row r="53" spans="1:7" x14ac:dyDescent="0.45">
      <c r="A53">
        <v>42</v>
      </c>
      <c r="B53" s="5" t="n">
        <v>79.0486481152609</v>
      </c>
      <c r="C53" s="8">
        <f si="0" t="shared"/>
        <v>2.5850422536170272E-4</v>
      </c>
      <c r="E53" s="9">
        <v>42</v>
      </c>
      <c r="F53" s="9" t="n">
        <v>467.0</v>
      </c>
      <c r="G53" s="8">
        <f si="1" t="shared"/>
        <v>1.4670378541972299E-3</v>
      </c>
    </row>
    <row r="54" spans="1:7" x14ac:dyDescent="0.45">
      <c r="A54">
        <v>43</v>
      </c>
      <c r="B54" s="5" t="n">
        <v>1739.405584022166</v>
      </c>
      <c r="C54" s="8">
        <f si="0" t="shared"/>
        <v>5.6881895365477253E-3</v>
      </c>
      <c r="E54" s="9">
        <v>43</v>
      </c>
      <c r="F54" s="9" t="n">
        <v>429.0</v>
      </c>
      <c r="G54" s="8">
        <f si="1" t="shared"/>
        <v>1.4901408125310447E-3</v>
      </c>
    </row>
    <row r="55" spans="1:7" x14ac:dyDescent="0.45">
      <c r="A55">
        <v>44</v>
      </c>
      <c r="B55" s="5" t="n">
        <v>336.5222764338403</v>
      </c>
      <c r="C55" s="8">
        <f si="0" t="shared"/>
        <v>1.1004923229002339E-3</v>
      </c>
      <c r="E55" s="9">
        <v>44</v>
      </c>
      <c r="F55" s="9" t="n">
        <v>406.0</v>
      </c>
      <c r="G55" s="8">
        <f si="1" t="shared"/>
        <v>1.1975033403027258E-3</v>
      </c>
    </row>
    <row r="56" spans="1:7" x14ac:dyDescent="0.45">
      <c r="A56">
        <v>45</v>
      </c>
      <c r="B56" s="5" t="n">
        <v>601.37214493502</v>
      </c>
      <c r="C56" s="8">
        <f si="0" t="shared"/>
        <v>1.9666021391518372E-3</v>
      </c>
      <c r="E56" s="9">
        <v>45</v>
      </c>
      <c r="F56" s="9" t="n">
        <v>360.0</v>
      </c>
      <c r="G56" s="8">
        <f si="1" t="shared"/>
        <v>1.0781380555780168E-3</v>
      </c>
    </row>
    <row r="57" spans="1:7" x14ac:dyDescent="0.45">
      <c r="A57">
        <v>46</v>
      </c>
      <c r="B57" s="5" t="n">
        <v>49.6927684640005</v>
      </c>
      <c r="C57" s="8">
        <f si="0" t="shared"/>
        <v>1.6250487420271171E-4</v>
      </c>
      <c r="E57" s="9">
        <v>46</v>
      </c>
      <c r="F57" s="9" t="n">
        <v>308.0</v>
      </c>
      <c r="G57" s="8">
        <f si="1" t="shared"/>
        <v>9.7032425002021509E-4</v>
      </c>
    </row>
    <row r="58" spans="1:7" x14ac:dyDescent="0.45">
      <c r="A58">
        <v>47</v>
      </c>
      <c r="B58" s="5" t="n">
        <v>1184.0417666051223</v>
      </c>
      <c r="C58" s="8">
        <f si="0" t="shared"/>
        <v>3.8720434437520541E-3</v>
      </c>
      <c r="E58" s="9">
        <v>47</v>
      </c>
      <c r="F58" s="9" t="n">
        <v>297.0</v>
      </c>
      <c r="G58" s="8">
        <f si="1" t="shared"/>
        <v>1.0627360833554737E-3</v>
      </c>
    </row>
    <row r="59" spans="1:7" x14ac:dyDescent="0.45">
      <c r="A59">
        <v>48</v>
      </c>
      <c r="B59" s="5" t="n">
        <v>0.0</v>
      </c>
      <c r="C59" s="8">
        <f si="0" t="shared"/>
        <v>0</v>
      </c>
      <c r="E59" s="9">
        <v>48</v>
      </c>
      <c r="F59" s="9" t="n">
        <v>325.0</v>
      </c>
      <c r="G59" s="8">
        <f si="1" t="shared"/>
        <v>8.3170650001732722E-4</v>
      </c>
    </row>
    <row r="60" spans="1:7" x14ac:dyDescent="0.45">
      <c r="A60">
        <v>49</v>
      </c>
      <c r="B60" s="5" t="n">
        <v>405.7406894648175</v>
      </c>
      <c r="C60" s="8">
        <f si="0" t="shared"/>
        <v>1.3268497960255046E-3</v>
      </c>
      <c r="E60" s="9">
        <v>49</v>
      </c>
      <c r="F60" s="9" t="n">
        <v>273.0</v>
      </c>
      <c r="G60" s="8">
        <f si="1" t="shared"/>
        <v>7.7009861112715483E-4</v>
      </c>
    </row>
    <row r="61" spans="1:7" x14ac:dyDescent="0.45">
      <c r="A61">
        <v>50</v>
      </c>
      <c r="B61" s="5" t="n">
        <v>383.453256851898</v>
      </c>
      <c r="C61" s="8">
        <f si="0" t="shared"/>
        <v>1.2539656210235083E-3</v>
      </c>
      <c r="E61" s="9">
        <v>50</v>
      </c>
      <c r="F61" s="9" t="n">
        <v>261.0</v>
      </c>
      <c r="G61" s="8">
        <f si="1" t="shared"/>
        <v>7.0849072223698245E-4</v>
      </c>
    </row>
    <row r="62" spans="1:7" x14ac:dyDescent="0.45">
      <c r="A62">
        <v>51</v>
      </c>
      <c r="B62" s="5" t="n">
        <v>488.3236535835927</v>
      </c>
      <c r="C62" s="8">
        <f si="0" t="shared"/>
        <v>1.5969119119072293E-3</v>
      </c>
      <c r="E62" s="9">
        <v>51</v>
      </c>
      <c r="F62" s="9" t="n">
        <v>211.0</v>
      </c>
      <c r="G62" s="8">
        <f si="1" t="shared"/>
        <v>6.0837790279045232E-4</v>
      </c>
    </row>
    <row r="63" spans="1:7" x14ac:dyDescent="0.45">
      <c r="A63">
        <v>52</v>
      </c>
      <c r="B63" s="5" t="n">
        <v>691.9787841210789</v>
      </c>
      <c r="C63" s="8">
        <f si="0" t="shared"/>
        <v>2.2629032098705612E-3</v>
      </c>
      <c r="E63" s="9">
        <v>52</v>
      </c>
      <c r="F63" s="9" t="n">
        <v>175.0</v>
      </c>
      <c r="G63" s="8">
        <f si="1" t="shared"/>
        <v>5.2751754862210101E-4</v>
      </c>
    </row>
    <row r="64" spans="1:7" x14ac:dyDescent="0.45">
      <c r="A64">
        <v>53</v>
      </c>
      <c r="B64" s="5" t="n">
        <v>88.4069991901195</v>
      </c>
      <c r="C64" s="8">
        <f si="0" t="shared"/>
        <v>2.8910782647252478E-4</v>
      </c>
      <c r="E64" s="9">
        <v>53</v>
      </c>
      <c r="F64" s="9" t="n">
        <v>175.0</v>
      </c>
      <c r="G64" s="8">
        <f si="1" t="shared"/>
        <v>5.7757395834536613E-4</v>
      </c>
    </row>
    <row r="65" spans="1:7" x14ac:dyDescent="0.45">
      <c r="A65">
        <v>54</v>
      </c>
      <c r="B65" s="5" t="n">
        <v>117.74305194701171</v>
      </c>
      <c r="C65" s="8">
        <f si="0" t="shared"/>
        <v>3.8504233988802256E-4</v>
      </c>
      <c r="E65" s="9">
        <v>54</v>
      </c>
      <c r="F65" s="9" t="n">
        <v>184.0</v>
      </c>
      <c r="G65" s="8">
        <f si="1" t="shared"/>
        <v>6.7383628473626043E-4</v>
      </c>
    </row>
    <row r="66" spans="1:7" x14ac:dyDescent="0.45">
      <c r="A66">
        <v>55</v>
      </c>
      <c r="B66" s="5" t="n">
        <v>0.0</v>
      </c>
      <c r="C66" s="8">
        <f si="0" t="shared"/>
        <v>0</v>
      </c>
      <c r="E66" s="9">
        <v>55</v>
      </c>
      <c r="F66" s="9" t="n">
        <v>166.0</v>
      </c>
      <c r="G66" s="8">
        <f si="1" t="shared"/>
        <v>5.7757395834536613E-4</v>
      </c>
    </row>
    <row r="67" spans="1:7" x14ac:dyDescent="0.45">
      <c r="A67">
        <v>56</v>
      </c>
      <c r="B67" s="5" t="n">
        <v>780.2947924558443</v>
      </c>
      <c r="C67" s="8">
        <f si="0" t="shared"/>
        <v>2.5517134788118809E-3</v>
      </c>
      <c r="E67" s="9">
        <v>56</v>
      </c>
      <c r="F67" s="9" t="n">
        <v>137.0</v>
      </c>
      <c r="G67" s="8">
        <f si="1" t="shared"/>
        <v>4.620591666762929E-4</v>
      </c>
    </row>
    <row r="68" spans="1:7" x14ac:dyDescent="0.45">
      <c r="A68">
        <v>57</v>
      </c>
      <c r="B68" s="5" t="n">
        <v>397.773604485511</v>
      </c>
      <c r="C68" s="8">
        <f si="0" t="shared"/>
        <v>1.3007959016190691E-3</v>
      </c>
      <c r="E68" s="9">
        <v>57</v>
      </c>
      <c r="F68" s="9" t="n">
        <v>141.0</v>
      </c>
      <c r="G68" s="8">
        <f si="1" t="shared"/>
        <v>3.8504930556357742E-4</v>
      </c>
    </row>
    <row r="69" spans="1:7" x14ac:dyDescent="0.45">
      <c r="A69">
        <v>58</v>
      </c>
      <c r="B69" s="5" t="n">
        <v>0.0</v>
      </c>
      <c r="C69" s="8">
        <f si="0" t="shared"/>
        <v>0</v>
      </c>
      <c r="E69" s="9">
        <v>58</v>
      </c>
      <c r="F69" s="9" t="n">
        <v>146.0</v>
      </c>
      <c r="G69" s="8">
        <f si="1" t="shared"/>
        <v>2.8878697917268306E-4</v>
      </c>
    </row>
    <row r="70" spans="1:7" x14ac:dyDescent="0.45">
      <c r="A70">
        <v>59</v>
      </c>
      <c r="B70" s="5" t="n">
        <v>614.347682999807</v>
      </c>
      <c r="C70" s="8">
        <f si="0" t="shared"/>
        <v>2.0090346347866554E-3</v>
      </c>
      <c r="E70" s="9">
        <v>59</v>
      </c>
      <c r="F70" s="9" t="n">
        <v>142.0</v>
      </c>
      <c r="G70" s="8">
        <f si="1" t="shared"/>
        <v>3.9660078473048474E-4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114.0</v>
      </c>
      <c r="G71" s="8">
        <f si="1" t="shared"/>
        <v>3.4654437500721968E-4</v>
      </c>
    </row>
    <row r="72" spans="1:7" x14ac:dyDescent="0.45">
      <c r="A72">
        <v>61</v>
      </c>
      <c r="B72" s="5" t="n">
        <v>320.446676620132</v>
      </c>
      <c r="C72" s="8">
        <f si="0" t="shared"/>
        <v>1.0479220313626973E-3</v>
      </c>
      <c r="E72" s="9">
        <v>61</v>
      </c>
      <c r="F72" s="9" t="n">
        <v>104.0</v>
      </c>
      <c r="G72" s="8">
        <f si="1" t="shared"/>
        <v>3.1574043056213348E-4</v>
      </c>
    </row>
    <row r="73" spans="1:7" x14ac:dyDescent="0.45">
      <c r="A73">
        <v>62</v>
      </c>
      <c r="B73" s="5" t="n">
        <v>0.0</v>
      </c>
      <c r="C73" s="8">
        <f si="0" t="shared"/>
        <v>0</v>
      </c>
      <c r="E73" s="9">
        <v>62</v>
      </c>
      <c r="F73" s="9" t="n">
        <v>73.0</v>
      </c>
      <c r="G73" s="8">
        <f si="1" t="shared"/>
        <v>2.6568402083886842E-4</v>
      </c>
    </row>
    <row r="74" spans="1:7" x14ac:dyDescent="0.45">
      <c r="A74">
        <v>63</v>
      </c>
      <c r="B74" s="5" t="n">
        <v>290.452790372231</v>
      </c>
      <c r="C74" s="8">
        <f si="0" t="shared"/>
        <v>9.498362763881756E-4</v>
      </c>
      <c r="E74" s="9">
        <v>63</v>
      </c>
      <c r="F74" s="9" t="n">
        <v>80.0</v>
      </c>
      <c r="G74" s="8">
        <f si="1" t="shared"/>
        <v>2.6568402083886842E-4</v>
      </c>
    </row>
    <row r="75" spans="1:7" x14ac:dyDescent="0.45">
      <c r="A75">
        <v>64</v>
      </c>
      <c r="B75" s="5" t="n">
        <v>189.0704790120359</v>
      </c>
      <c r="C75" s="8">
        <f si="0" t="shared"/>
        <v>6.1829669299982176E-4</v>
      </c>
      <c r="E75" s="9">
        <v>64</v>
      </c>
      <c r="F75" s="9" t="n">
        <v>80.0</v>
      </c>
      <c r="G75" s="8">
        <f si="1" t="shared"/>
        <v>2.6953451389450419E-4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66.0</v>
      </c>
      <c r="G76" s="8">
        <f si="1" t="shared"/>
        <v>2.0022563889306026E-4</v>
      </c>
    </row>
    <row r="77" spans="1:7" x14ac:dyDescent="0.45">
      <c r="A77">
        <v>66</v>
      </c>
      <c r="B77" s="5" t="n">
        <v>268.5666882756694</v>
      </c>
      <c r="C77" s="8">
        <f ref="C77:C102" si="2" t="shared">B77/B$102</f>
        <v>8.7826452907113902E-4</v>
      </c>
      <c r="E77" s="9">
        <v>66</v>
      </c>
      <c r="F77" s="9" t="n">
        <v>69.0</v>
      </c>
      <c r="G77" s="8">
        <f ref="G77:G102" si="3" t="shared">F77/F$102</f>
        <v>2.233285972268749E-4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72.0</v>
      </c>
      <c r="G78" s="8">
        <f si="3" t="shared"/>
        <v>2.4258106250505377E-4</v>
      </c>
    </row>
    <row r="79" spans="1:7" x14ac:dyDescent="0.45">
      <c r="A79">
        <v>68</v>
      </c>
      <c r="B79" s="5" t="n">
        <v>372.750841348993</v>
      </c>
      <c r="C79" s="8">
        <f si="2" t="shared"/>
        <v>1.2189666717050641E-3</v>
      </c>
      <c r="E79" s="9">
        <v>68</v>
      </c>
      <c r="F79" s="9" t="n">
        <v>52.0</v>
      </c>
      <c r="G79" s="8">
        <f si="3" t="shared"/>
        <v>1.3091676389161632E-4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54.0</v>
      </c>
      <c r="G80" s="8">
        <f si="3" t="shared"/>
        <v>1.8097317361488139E-4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47.0</v>
      </c>
      <c r="G81" s="8">
        <f si="3" t="shared"/>
        <v>1.2706627083598055E-4</v>
      </c>
    </row>
    <row r="82" spans="1:7" x14ac:dyDescent="0.45">
      <c r="A82">
        <v>71</v>
      </c>
      <c r="B82" s="5" t="n">
        <v>105.7052757250432</v>
      </c>
      <c r="C82" s="8">
        <f si="2" t="shared"/>
        <v>3.4567650515799465E-4</v>
      </c>
      <c r="E82" s="9">
        <v>71</v>
      </c>
      <c r="F82" s="9" t="n">
        <v>40.0</v>
      </c>
      <c r="G82" s="8">
        <f si="3" t="shared"/>
        <v>1.2706627083598055E-4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47.0</v>
      </c>
      <c r="G83" s="8">
        <f si="3" t="shared"/>
        <v>1.19365284724709E-4</v>
      </c>
    </row>
    <row r="84" spans="1:7" x14ac:dyDescent="0.45">
      <c r="A84">
        <v>73</v>
      </c>
      <c r="B84" s="5" t="n">
        <v>69.3241415826164</v>
      </c>
      <c r="C84" s="8">
        <f si="2" t="shared"/>
        <v>2.2670322574712775E-4</v>
      </c>
      <c r="E84" s="9">
        <v>73</v>
      </c>
      <c r="F84" s="9" t="n">
        <v>43.0</v>
      </c>
      <c r="G84" s="8">
        <f si="3" t="shared"/>
        <v>1.0781380555780168E-4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33.0</v>
      </c>
      <c r="G85" s="8">
        <f si="3" t="shared"/>
        <v>8.0860354168351258E-5</v>
      </c>
    </row>
    <row r="86" spans="1:7" x14ac:dyDescent="0.45">
      <c r="A86">
        <v>75</v>
      </c>
      <c r="B86" s="5" t="n">
        <v>84.4438923716752</v>
      </c>
      <c r="C86" s="8">
        <f si="2" t="shared"/>
        <v>2.7614770782971343E-4</v>
      </c>
      <c r="E86" s="9">
        <v>75</v>
      </c>
      <c r="F86" s="9" t="n">
        <v>30.0</v>
      </c>
      <c r="G86" s="8">
        <f si="3" t="shared"/>
        <v>8.0860354168351258E-5</v>
      </c>
    </row>
    <row r="87" spans="1:7" x14ac:dyDescent="0.45">
      <c r="A87">
        <v>76</v>
      </c>
      <c r="B87" s="5" t="n">
        <v>0.0</v>
      </c>
      <c r="C87" s="8">
        <f si="2" t="shared"/>
        <v>0</v>
      </c>
      <c r="E87" s="9">
        <v>76</v>
      </c>
      <c r="F87" s="9" t="n">
        <v>33.0</v>
      </c>
      <c r="G87" s="8">
        <f si="3" t="shared"/>
        <v>1.1166429861343745E-4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38.0</v>
      </c>
      <c r="G88" s="8">
        <f si="3" t="shared"/>
        <v>6.1607888890172387E-5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34.0</v>
      </c>
      <c r="G89" s="8">
        <f si="3" t="shared"/>
        <v>6.9308875001443935E-5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40.0</v>
      </c>
      <c r="G90" s="8">
        <f si="3" t="shared"/>
        <v>6.9308875001443935E-5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23.0</v>
      </c>
      <c r="G91" s="8">
        <f si="3" t="shared"/>
        <v>1.1551479166907323E-4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29.0</v>
      </c>
      <c r="G92" s="8">
        <f si="3" t="shared"/>
        <v>6.5458381945808161E-5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17.0</v>
      </c>
      <c r="G93" s="8">
        <f si="3" t="shared"/>
        <v>6.9308875001443935E-5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20.0</v>
      </c>
      <c r="G94" s="8">
        <f si="3" t="shared"/>
        <v>6.5458381945808161E-5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18.0</v>
      </c>
      <c r="G95" s="8">
        <f si="3" t="shared"/>
        <v>6.9308875001443935E-5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11.0</v>
      </c>
      <c r="G96" s="8">
        <f si="3" t="shared"/>
        <v>5.3906902778900838E-5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23.0</v>
      </c>
      <c r="G97" s="8">
        <f si="3" t="shared"/>
        <v>6.9308875001443935E-5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11.0</v>
      </c>
      <c r="G98" s="8">
        <f si="3" t="shared"/>
        <v>3.8504930556357742E-5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14.0</v>
      </c>
      <c r="G99" s="8">
        <f si="3" t="shared"/>
        <v>4.2355423611993516E-5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16.0</v>
      </c>
      <c r="G100" s="8">
        <f si="3" t="shared"/>
        <v>7.3159368057079709E-5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506.0</v>
      </c>
      <c r="G101" s="8">
        <f si="3" t="shared"/>
        <v>1.7481238472586414E-3</v>
      </c>
    </row>
    <row r="102" spans="1:7" x14ac:dyDescent="0.45">
      <c r="B102" s="5">
        <f>SUM(B11:B101)</f>
        <v>305792.47981209954</v>
      </c>
      <c r="C102" s="8">
        <f si="2" t="shared"/>
        <v>1</v>
      </c>
      <c r="F102" s="5">
        <f>SUM(F11:F101)</f>
        <v>259707</v>
      </c>
      <c r="G102" s="8">
        <f si="3" t="shared"/>
        <v>1</v>
      </c>
    </row>
  </sheetData>
  <pageMargins bottom="0.75" footer="0.3" header="0.3" left="0.7" right="0.7" top="0.75"/>
  <drawing r:id="rId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M102"/>
  <sheetViews>
    <sheetView workbookViewId="0">
      <selection activeCell="L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12.0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J9" s="7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19220.75944636718</v>
      </c>
      <c r="C11" s="8">
        <f>B11/B$102</f>
        <v>0.11118412636938288</v>
      </c>
      <c r="E11" s="9">
        <v>0</v>
      </c>
      <c r="F11" s="9" t="n">
        <v>57200.0</v>
      </c>
      <c r="G11" s="8">
        <f>F11/F$102</f>
        <v>0.15872173178270441</v>
      </c>
      <c r="K11" s="5" t="n">
        <v>6.507052184410715</v>
      </c>
      <c r="L11" s="5" t="n">
        <v>5.492350489815858</v>
      </c>
    </row>
    <row r="12" spans="1:12" x14ac:dyDescent="0.45">
      <c r="A12">
        <v>1</v>
      </c>
      <c r="B12" s="5" t="n">
        <v>29588.19745217184</v>
      </c>
      <c r="C12" s="8">
        <f>B12/B$102</f>
        <v>0.17115545791747075</v>
      </c>
      <c r="E12" s="9">
        <v>1</v>
      </c>
      <c r="F12" s="9" t="n">
        <v>53184.0</v>
      </c>
      <c r="G12" s="8">
        <f>F12/F$102</f>
        <v>0.1485763047297147</v>
      </c>
      <c r="K12" s="5"/>
      <c r="L12" s="9"/>
    </row>
    <row r="13" spans="1:12" x14ac:dyDescent="0.45">
      <c r="A13">
        <v>2</v>
      </c>
      <c r="B13" s="5" t="n">
        <v>20304.446758003865</v>
      </c>
      <c r="C13" s="8">
        <f ref="C13:C76" si="0" t="shared">B13/B$102</f>
        <v>0.11745280827751023</v>
      </c>
      <c r="E13" s="9">
        <v>2</v>
      </c>
      <c r="F13" s="9" t="n">
        <v>47419.0</v>
      </c>
      <c r="G13" s="8">
        <f ref="G13:G76" si="1" t="shared">F13/F$102</f>
        <v>0.1325326321407129</v>
      </c>
    </row>
    <row r="14" spans="1:12" x14ac:dyDescent="0.45">
      <c r="A14">
        <v>3</v>
      </c>
      <c r="B14" s="5" t="n">
        <v>18018.256964347107</v>
      </c>
      <c r="C14" s="8">
        <f si="0" t="shared"/>
        <v>0.10422814794961829</v>
      </c>
      <c r="E14" s="9">
        <v>3</v>
      </c>
      <c r="F14" s="9" t="n">
        <v>40825.0</v>
      </c>
      <c r="G14" s="8">
        <f si="1" t="shared"/>
        <v>0.11313124013252986</v>
      </c>
    </row>
    <row r="15" spans="1:12" x14ac:dyDescent="0.45">
      <c r="A15">
        <v>4</v>
      </c>
      <c r="B15" s="5" t="n">
        <v>9814.258310528236</v>
      </c>
      <c r="C15" s="8">
        <f si="0" t="shared"/>
        <v>5.6771416304561145E-2</v>
      </c>
      <c r="E15" s="9">
        <v>4</v>
      </c>
      <c r="F15" s="9" t="n">
        <v>30950.0</v>
      </c>
      <c r="G15" s="8">
        <f si="1" t="shared"/>
        <v>8.6344533143581426E-2</v>
      </c>
    </row>
    <row r="16" spans="1:12" x14ac:dyDescent="0.45">
      <c r="A16">
        <v>5</v>
      </c>
      <c r="B16" s="5" t="n">
        <v>8643.888646517857</v>
      </c>
      <c r="C16" s="8">
        <f si="0" t="shared"/>
        <v>5.0001312917891026E-2</v>
      </c>
      <c r="E16" s="9">
        <v>5</v>
      </c>
      <c r="F16" s="9" t="n">
        <v>24484.0</v>
      </c>
      <c r="G16" s="8">
        <f si="1" t="shared"/>
        <v>6.6868092770896795E-2</v>
      </c>
    </row>
    <row r="17" spans="1:7" x14ac:dyDescent="0.45">
      <c r="A17">
        <v>6</v>
      </c>
      <c r="B17" s="5" t="n">
        <v>8706.299952832343</v>
      </c>
      <c r="C17" s="8">
        <f si="0" t="shared"/>
        <v>5.0362336455358987E-2</v>
      </c>
      <c r="E17" s="9">
        <v>6</v>
      </c>
      <c r="F17" s="9" t="n">
        <v>17999.0</v>
      </c>
      <c r="G17" s="8">
        <f si="1" t="shared"/>
        <v>4.9973872050877229E-2</v>
      </c>
    </row>
    <row r="18" spans="1:7" x14ac:dyDescent="0.45">
      <c r="A18">
        <v>7</v>
      </c>
      <c r="B18" s="5" t="n">
        <v>8155.345520697932</v>
      </c>
      <c r="C18" s="8">
        <f si="0" t="shared"/>
        <v>4.7175293436734565E-2</v>
      </c>
      <c r="E18" s="9">
        <v>7</v>
      </c>
      <c r="F18" s="9" t="n">
        <v>13563.0</v>
      </c>
      <c r="G18" s="8">
        <f si="1" t="shared"/>
        <v>3.7885526228013611E-2</v>
      </c>
    </row>
    <row r="19" spans="1:7" x14ac:dyDescent="0.45">
      <c r="A19">
        <v>8</v>
      </c>
      <c r="B19" s="5" t="n">
        <v>6920.236144676155</v>
      </c>
      <c r="C19" s="8">
        <f si="0" t="shared"/>
        <v>4.0030697650766806E-2</v>
      </c>
      <c r="E19" s="9">
        <v>8</v>
      </c>
      <c r="F19" s="9" t="n">
        <v>10160.0</v>
      </c>
      <c r="G19" s="8">
        <f si="1" t="shared"/>
        <v>2.8162593671477176E-2</v>
      </c>
    </row>
    <row r="20" spans="1:7" x14ac:dyDescent="0.45">
      <c r="A20">
        <v>9</v>
      </c>
      <c r="B20" s="5" t="n">
        <v>7269.213762014651</v>
      </c>
      <c r="C20" s="8">
        <f si="0" t="shared"/>
        <v>4.2049388515428922E-2</v>
      </c>
      <c r="E20" s="9">
        <v>9</v>
      </c>
      <c r="F20" s="9" t="n">
        <v>8028.0</v>
      </c>
      <c r="G20" s="8">
        <f si="1" t="shared"/>
        <v>2.278134797980921E-2</v>
      </c>
    </row>
    <row r="21" spans="1:7" x14ac:dyDescent="0.45">
      <c r="A21">
        <v>10</v>
      </c>
      <c r="B21" s="5" t="n">
        <v>6624.638665118588</v>
      </c>
      <c r="C21" s="8">
        <f si="0" t="shared"/>
        <v>3.8320788757036206E-2</v>
      </c>
      <c r="E21" s="9">
        <v>10</v>
      </c>
      <c r="F21" s="9" t="n">
        <v>7063.0</v>
      </c>
      <c r="G21" s="8">
        <f si="1" t="shared"/>
        <v>1.9281870538791667E-2</v>
      </c>
    </row>
    <row r="22" spans="1:7" x14ac:dyDescent="0.45">
      <c r="A22">
        <v>11</v>
      </c>
      <c r="B22" s="5" t="n">
        <v>4252.983670232482</v>
      </c>
      <c r="C22" s="8">
        <f si="0" t="shared"/>
        <v>2.4601747665460937E-2</v>
      </c>
      <c r="E22" s="9">
        <v>11</v>
      </c>
      <c r="F22" s="9" t="n">
        <v>6272.0</v>
      </c>
      <c r="G22" s="8">
        <f si="1" t="shared"/>
        <v>1.7469591514531587E-2</v>
      </c>
    </row>
    <row r="23" spans="1:7" x14ac:dyDescent="0.45">
      <c r="A23">
        <v>12</v>
      </c>
      <c r="B23" s="5" t="n">
        <v>3011.594547095268</v>
      </c>
      <c r="C23" s="8">
        <f si="0" t="shared"/>
        <v>1.7420826145393094E-2</v>
      </c>
      <c r="E23" s="9">
        <v>12</v>
      </c>
      <c r="F23" s="9" t="n">
        <v>5551.0</v>
      </c>
      <c r="G23" s="8">
        <f si="1" t="shared"/>
        <v>1.5876898445664984E-2</v>
      </c>
    </row>
    <row r="24" spans="1:7" x14ac:dyDescent="0.45">
      <c r="A24">
        <v>13</v>
      </c>
      <c r="B24" s="5" t="n">
        <v>4051.9729676055968</v>
      </c>
      <c r="C24" s="8">
        <f si="0" t="shared"/>
        <v>2.3438984069941816E-2</v>
      </c>
      <c r="E24" s="9">
        <v>13</v>
      </c>
      <c r="F24" s="9" t="n">
        <v>4551.0</v>
      </c>
      <c r="G24" s="8">
        <f si="1" t="shared"/>
        <v>1.2883302572769118E-2</v>
      </c>
    </row>
    <row r="25" spans="1:7" x14ac:dyDescent="0.45">
      <c r="A25">
        <v>14</v>
      </c>
      <c r="B25" s="5" t="n">
        <v>1934.7723826509418</v>
      </c>
      <c r="C25" s="8">
        <f si="0" t="shared"/>
        <v>1.1191856268161783E-2</v>
      </c>
      <c r="E25" s="9">
        <v>14</v>
      </c>
      <c r="F25" s="9" t="n">
        <v>4089.0</v>
      </c>
      <c r="G25" s="8">
        <f si="1" t="shared"/>
        <v>1.1323964332569878E-2</v>
      </c>
    </row>
    <row r="26" spans="1:7" x14ac:dyDescent="0.45">
      <c r="A26">
        <v>15</v>
      </c>
      <c r="B26" s="5" t="n">
        <v>2993.770698340113</v>
      </c>
      <c r="C26" s="8">
        <f si="0" t="shared"/>
        <v>1.7317722568351217E-2</v>
      </c>
      <c r="E26" s="9">
        <v>15</v>
      </c>
      <c r="F26" s="9" t="n">
        <v>3479.0</v>
      </c>
      <c r="G26" s="8">
        <f si="1" t="shared"/>
        <v>9.6617820373129347E-3</v>
      </c>
    </row>
    <row r="27" spans="1:7" x14ac:dyDescent="0.45">
      <c r="A27">
        <v>16</v>
      </c>
      <c r="B27" s="5" t="n">
        <v>839.8635053718344</v>
      </c>
      <c r="C27" s="8">
        <f si="0" t="shared"/>
        <v>4.8582622541454316E-3</v>
      </c>
      <c r="E27" s="9">
        <v>16</v>
      </c>
      <c r="F27" s="9" t="n">
        <v>3085.0</v>
      </c>
      <c r="G27" s="8">
        <f si="1" t="shared"/>
        <v>8.650018901069579E-3</v>
      </c>
    </row>
    <row r="28" spans="1:7" x14ac:dyDescent="0.45">
      <c r="A28">
        <v>17</v>
      </c>
      <c r="B28" s="5" t="n">
        <v>818.2941391431297</v>
      </c>
      <c r="C28" s="8">
        <f si="0" t="shared"/>
        <v>4.7334924110405546E-3</v>
      </c>
      <c r="E28" s="9">
        <v>17</v>
      </c>
      <c r="F28" s="9" t="n">
        <v>2564.0</v>
      </c>
      <c r="G28" s="8">
        <f si="1" t="shared"/>
        <v>7.5493095550465857E-3</v>
      </c>
    </row>
    <row r="29" spans="1:7" x14ac:dyDescent="0.45">
      <c r="A29">
        <v>18</v>
      </c>
      <c r="B29" s="5" t="n">
        <v>1100.0101489261306</v>
      </c>
      <c r="C29" s="8">
        <f si="0" t="shared"/>
        <v>6.3631027560111615E-3</v>
      </c>
      <c r="E29" s="9">
        <v>18</v>
      </c>
      <c r="F29" s="9" t="n">
        <v>2476.0</v>
      </c>
      <c r="G29" s="8">
        <f si="1" t="shared"/>
        <v>6.6793044406395236E-3</v>
      </c>
    </row>
    <row r="30" spans="1:7" x14ac:dyDescent="0.45">
      <c r="A30">
        <v>19</v>
      </c>
      <c r="B30" s="5" t="n">
        <v>300.9517260856944</v>
      </c>
      <c r="C30" s="8">
        <f si="0" t="shared"/>
        <v>1.7408809905542029E-3</v>
      </c>
      <c r="E30" s="9">
        <v>19</v>
      </c>
      <c r="F30" s="9" t="n">
        <v>1967.0</v>
      </c>
      <c r="G30" s="8">
        <f si="1" t="shared"/>
        <v>5.548019835004781E-3</v>
      </c>
    </row>
    <row r="31" spans="1:7" x14ac:dyDescent="0.45">
      <c r="A31">
        <v>20</v>
      </c>
      <c r="B31" s="5" t="n">
        <v>578.2584577772577</v>
      </c>
      <c r="C31" s="8">
        <f si="0" t="shared"/>
        <v>3.3449854894169024E-3</v>
      </c>
      <c r="E31" s="9">
        <v>20</v>
      </c>
      <c r="F31" s="9" t="n">
        <v>1802.0</v>
      </c>
      <c r="G31" s="8">
        <f si="1" t="shared"/>
        <v>4.7919770518778772E-3</v>
      </c>
    </row>
    <row r="32" spans="1:7" x14ac:dyDescent="0.45">
      <c r="A32">
        <v>21</v>
      </c>
      <c r="B32" s="5" t="n">
        <v>1275.2898455346442</v>
      </c>
      <c r="C32" s="8">
        <f si="0" t="shared"/>
        <v>7.3770231472468709E-3</v>
      </c>
      <c r="E32" s="9">
        <v>21</v>
      </c>
      <c r="F32" s="9" t="n">
        <v>1608.0</v>
      </c>
      <c r="G32" s="8">
        <f si="1" t="shared"/>
        <v>4.6502190300415826E-3</v>
      </c>
    </row>
    <row r="33" spans="1:7" x14ac:dyDescent="0.45">
      <c r="A33">
        <v>22</v>
      </c>
      <c r="B33" s="5" t="n">
        <v>1015.8224352408453</v>
      </c>
      <c r="C33" s="8">
        <f si="0" t="shared"/>
        <v>5.8761117282501154E-3</v>
      </c>
      <c r="E33" s="9">
        <v>22</v>
      </c>
      <c r="F33" s="9" t="n">
        <v>1378.0</v>
      </c>
      <c r="G33" s="8">
        <f si="1" t="shared"/>
        <v>3.8608214182473148E-3</v>
      </c>
    </row>
    <row r="34" spans="1:7" x14ac:dyDescent="0.45">
      <c r="A34">
        <v>23</v>
      </c>
      <c r="B34" s="5" t="n">
        <v>1339.8169090314989</v>
      </c>
      <c r="C34" s="8">
        <f si="0" t="shared"/>
        <v>7.7502854630309374E-3</v>
      </c>
      <c r="E34" s="9">
        <v>23</v>
      </c>
      <c r="F34" s="9" t="n">
        <v>1269.0</v>
      </c>
      <c r="G34" s="8">
        <f si="1" t="shared"/>
        <v>3.4994774410175445E-3</v>
      </c>
    </row>
    <row r="35" spans="1:7" x14ac:dyDescent="0.45">
      <c r="A35">
        <v>24</v>
      </c>
      <c r="B35" s="5" t="n">
        <v>1354.5775956814703</v>
      </c>
      <c r="C35" s="8">
        <f si="0" t="shared"/>
        <v>7.8356699169786961E-3</v>
      </c>
      <c r="E35" s="9">
        <v>24</v>
      </c>
      <c r="F35" s="9" t="n">
        <v>1100.0</v>
      </c>
      <c r="G35" s="8">
        <f si="1" t="shared"/>
        <v>3.1019990660647971E-3</v>
      </c>
    </row>
    <row r="36" spans="1:7" x14ac:dyDescent="0.45">
      <c r="A36">
        <v>25</v>
      </c>
      <c r="B36" s="5" t="n">
        <v>722.2444480692278</v>
      </c>
      <c r="C36" s="8">
        <f si="0" t="shared"/>
        <v>4.1778847608902213E-3</v>
      </c>
      <c r="E36" s="9">
        <v>25</v>
      </c>
      <c r="F36" s="9" t="n">
        <v>1025.0</v>
      </c>
      <c r="G36" s="8">
        <f si="1" t="shared"/>
        <v>2.7267572435569591E-3</v>
      </c>
    </row>
    <row r="37" spans="1:7" x14ac:dyDescent="0.45">
      <c r="A37">
        <v>26</v>
      </c>
      <c r="B37" s="5" t="n">
        <v>425.444096906411</v>
      </c>
      <c r="C37" s="8">
        <f si="0" t="shared"/>
        <v>2.4610177535149794E-3</v>
      </c>
      <c r="E37" s="9">
        <v>26</v>
      </c>
      <c r="F37" s="9" t="n">
        <v>819.0</v>
      </c>
      <c r="G37" s="8">
        <f si="1" t="shared"/>
        <v>2.2820261946587799E-3</v>
      </c>
    </row>
    <row r="38" spans="1:7" x14ac:dyDescent="0.45">
      <c r="A38">
        <v>27</v>
      </c>
      <c r="B38" s="5" t="n">
        <v>235.195153117479</v>
      </c>
      <c r="C38" s="8">
        <f si="0" t="shared"/>
        <v>1.3605064721114656E-3</v>
      </c>
      <c r="E38" s="9">
        <v>27</v>
      </c>
      <c r="F38" s="9" t="n">
        <v>793.0</v>
      </c>
      <c r="G38" s="8">
        <f si="1" t="shared"/>
        <v>2.318160592381757E-3</v>
      </c>
    </row>
    <row r="39" spans="1:7" x14ac:dyDescent="0.45">
      <c r="A39">
        <v>28</v>
      </c>
      <c r="B39" s="5" t="n">
        <v>155.1015809194659</v>
      </c>
      <c r="C39" s="8">
        <f si="0" t="shared"/>
        <v>8.9719835582773087E-4</v>
      </c>
      <c r="E39" s="9">
        <v>28</v>
      </c>
      <c r="F39" s="9" t="n">
        <v>641.0</v>
      </c>
      <c r="G39" s="8">
        <f si="1" t="shared"/>
        <v>1.8178381623713059E-3</v>
      </c>
    </row>
    <row r="40" spans="1:7" x14ac:dyDescent="0.45">
      <c r="A40">
        <v>29</v>
      </c>
      <c r="B40" s="5" t="n">
        <v>71.4138027869201</v>
      </c>
      <c r="C40" s="8">
        <f si="0" t="shared"/>
        <v>4.1309924801539652E-4</v>
      </c>
      <c r="E40" s="9">
        <v>29</v>
      </c>
      <c r="F40" s="9" t="n">
        <v>575.0</v>
      </c>
      <c r="G40" s="8">
        <f si="1" t="shared"/>
        <v>1.7066554001467613E-3</v>
      </c>
    </row>
    <row r="41" spans="1:7" x14ac:dyDescent="0.45">
      <c r="A41">
        <v>30</v>
      </c>
      <c r="B41" s="5" t="n">
        <v>36.8212932894473</v>
      </c>
      <c r="C41" s="8">
        <f si="0" t="shared"/>
        <v>2.1299591920920656E-4</v>
      </c>
      <c r="E41" s="9">
        <v>30</v>
      </c>
      <c r="F41" s="9" t="n">
        <v>526.0</v>
      </c>
      <c r="G41" s="8">
        <f si="1" t="shared"/>
        <v>1.4259189255297858E-3</v>
      </c>
    </row>
    <row r="42" spans="1:7" x14ac:dyDescent="0.45">
      <c r="A42">
        <v>31</v>
      </c>
      <c r="B42" s="5" t="n">
        <v>446.0625292435973</v>
      </c>
      <c r="C42" s="8">
        <f si="0" t="shared"/>
        <v>2.5802868382206606E-3</v>
      </c>
      <c r="E42" s="9">
        <v>31</v>
      </c>
      <c r="F42" s="9" t="n">
        <v>442.0</v>
      </c>
      <c r="G42" s="8">
        <f si="1" t="shared"/>
        <v>1.2035534010806964E-3</v>
      </c>
    </row>
    <row r="43" spans="1:7" x14ac:dyDescent="0.45">
      <c r="A43">
        <v>32</v>
      </c>
      <c r="B43" s="5" t="n">
        <v>516.811435478318</v>
      </c>
      <c r="C43" s="8">
        <f si="0" t="shared"/>
        <v>2.9895399352820023E-3</v>
      </c>
      <c r="E43" s="9">
        <v>32</v>
      </c>
      <c r="F43" s="9" t="n">
        <v>362.0</v>
      </c>
      <c r="G43" s="8">
        <f si="1" t="shared"/>
        <v>1.0284405505770384E-3</v>
      </c>
    </row>
    <row r="44" spans="1:7" x14ac:dyDescent="0.45">
      <c r="A44">
        <v>33</v>
      </c>
      <c r="B44" s="5" t="n">
        <v>53.8266490113655</v>
      </c>
      <c r="C44" s="8">
        <f si="0" t="shared"/>
        <v>3.1136485332015386E-4</v>
      </c>
      <c r="E44" s="9">
        <v>33</v>
      </c>
      <c r="F44" s="9" t="n">
        <v>354.0</v>
      </c>
      <c r="G44" s="8">
        <f si="1" t="shared"/>
        <v>8.9502123590758488E-4</v>
      </c>
    </row>
    <row r="45" spans="1:7" x14ac:dyDescent="0.45">
      <c r="A45">
        <v>34</v>
      </c>
      <c r="B45" s="5" t="n">
        <v>0.0</v>
      </c>
      <c r="C45" s="8">
        <f si="0" t="shared"/>
        <v>0</v>
      </c>
      <c r="E45" s="9">
        <v>34</v>
      </c>
      <c r="F45" s="9" t="n">
        <v>241.0</v>
      </c>
      <c r="G45" s="8">
        <f si="1" t="shared"/>
        <v>7.6994062840497215E-4</v>
      </c>
    </row>
    <row r="46" spans="1:7" x14ac:dyDescent="0.45">
      <c r="A46">
        <v>35</v>
      </c>
      <c r="B46" s="5" t="n">
        <v>0.0</v>
      </c>
      <c r="C46" s="8">
        <f si="0" t="shared"/>
        <v>0</v>
      </c>
      <c r="E46" s="9">
        <v>35</v>
      </c>
      <c r="F46" s="9" t="n">
        <v>234.0</v>
      </c>
      <c r="G46" s="8">
        <f si="1" t="shared"/>
        <v>6.1984389940183677E-4</v>
      </c>
    </row>
    <row r="47" spans="1:7" x14ac:dyDescent="0.45">
      <c r="A47">
        <v>36</v>
      </c>
      <c r="B47" s="5" t="n">
        <v>290.8661702306889</v>
      </c>
      <c r="C47" s="8">
        <f si="0" t="shared"/>
        <v>1.6825402304079984E-3</v>
      </c>
      <c r="E47" s="9">
        <v>36</v>
      </c>
      <c r="F47" s="9" t="n">
        <v>187.0</v>
      </c>
      <c r="G47" s="8">
        <f si="1" t="shared"/>
        <v>5.3923639678904185E-4</v>
      </c>
    </row>
    <row r="48" spans="1:7" x14ac:dyDescent="0.45">
      <c r="A48">
        <v>37</v>
      </c>
      <c r="B48" s="5" t="n">
        <v>714.658608506846</v>
      </c>
      <c r="C48" s="8">
        <f si="0" t="shared"/>
        <v>4.1340038233614422E-3</v>
      </c>
      <c r="E48" s="9">
        <v>37</v>
      </c>
      <c r="F48" s="9" t="n">
        <v>141.0</v>
      </c>
      <c r="G48" s="8">
        <f si="1" t="shared"/>
        <v>4.8086544662115588E-4</v>
      </c>
    </row>
    <row r="49" spans="1:7" x14ac:dyDescent="0.45">
      <c r="A49">
        <v>38</v>
      </c>
      <c r="B49" s="5" t="n">
        <v>37.7453537279993</v>
      </c>
      <c r="C49" s="8">
        <f si="0" t="shared"/>
        <v>2.1834122582206945E-4</v>
      </c>
      <c r="E49" s="9">
        <v>38</v>
      </c>
      <c r="F49" s="9" t="n">
        <v>132.0</v>
      </c>
      <c r="G49" s="8">
        <f si="1" t="shared"/>
        <v>3.9747837495274734E-4</v>
      </c>
    </row>
    <row r="50" spans="1:7" x14ac:dyDescent="0.45">
      <c r="A50">
        <v>39</v>
      </c>
      <c r="B50" s="5" t="n">
        <v>0.0</v>
      </c>
      <c r="C50" s="8">
        <f si="0" t="shared"/>
        <v>0</v>
      </c>
      <c r="E50" s="9">
        <v>39</v>
      </c>
      <c r="F50" s="9" t="n">
        <v>130.0</v>
      </c>
      <c r="G50" s="8">
        <f si="1" t="shared"/>
        <v>3.3076871761802051E-4</v>
      </c>
    </row>
    <row r="51" spans="1:7" x14ac:dyDescent="0.45">
      <c r="A51">
        <v>40</v>
      </c>
      <c r="B51" s="5" t="n">
        <v>0.0</v>
      </c>
      <c r="C51" s="8">
        <f si="0" t="shared"/>
        <v>0</v>
      </c>
      <c r="E51" s="9">
        <v>40</v>
      </c>
      <c r="F51" s="9" t="n">
        <v>101.0</v>
      </c>
      <c r="G51" s="8">
        <f si="1" t="shared"/>
        <v>3.1131173422872517E-4</v>
      </c>
    </row>
    <row r="52" spans="1:7" x14ac:dyDescent="0.45">
      <c r="A52">
        <v>41</v>
      </c>
      <c r="B52" s="5" t="n">
        <v>926.6774606742749</v>
      </c>
      <c r="C52" s="8">
        <f si="0" t="shared"/>
        <v>5.3604450010814189E-3</v>
      </c>
      <c r="E52" s="9">
        <v>41</v>
      </c>
      <c r="F52" s="9" t="n">
        <v>84.0</v>
      </c>
      <c r="G52" s="8">
        <f si="1" t="shared"/>
        <v>2.1402681728224855E-4</v>
      </c>
    </row>
    <row r="53" spans="1:7" x14ac:dyDescent="0.45">
      <c r="A53">
        <v>42</v>
      </c>
      <c r="B53" s="5" t="n">
        <v>106.844329177892</v>
      </c>
      <c r="C53" s="8">
        <f si="0" t="shared"/>
        <v>6.1805015719147097E-4</v>
      </c>
      <c r="E53" s="9">
        <v>42</v>
      </c>
      <c r="F53" s="9" t="n">
        <v>79.0</v>
      </c>
      <c r="G53" s="8">
        <f si="1" t="shared"/>
        <v>1.6677414333681707E-4</v>
      </c>
    </row>
    <row r="54" spans="1:7" x14ac:dyDescent="0.45">
      <c r="A54">
        <v>43</v>
      </c>
      <c r="B54" s="5" t="n">
        <v>0.0</v>
      </c>
      <c r="C54" s="8">
        <f si="0" t="shared"/>
        <v>0</v>
      </c>
      <c r="E54" s="9">
        <v>43</v>
      </c>
      <c r="F54" s="9" t="n">
        <v>65.0</v>
      </c>
      <c r="G54" s="8">
        <f si="1" t="shared"/>
        <v>1.6399457428120345E-4</v>
      </c>
    </row>
    <row r="55" spans="1:7" x14ac:dyDescent="0.45">
      <c r="A55">
        <v>44</v>
      </c>
      <c r="B55" s="5" t="n">
        <v>0.0</v>
      </c>
      <c r="C55" s="8">
        <f si="0" t="shared"/>
        <v>0</v>
      </c>
      <c r="E55" s="9">
        <v>44</v>
      </c>
      <c r="F55" s="9" t="n">
        <v>67.0</v>
      </c>
      <c r="G55" s="8">
        <f si="1" t="shared"/>
        <v>9.1725778835249379E-5</v>
      </c>
    </row>
    <row r="56" spans="1:7" x14ac:dyDescent="0.45">
      <c r="A56">
        <v>45</v>
      </c>
      <c r="B56" s="5" t="n">
        <v>0.0</v>
      </c>
      <c r="C56" s="8">
        <f si="0" t="shared"/>
        <v>0</v>
      </c>
      <c r="E56" s="9">
        <v>45</v>
      </c>
      <c r="F56" s="9" t="n">
        <v>34.0</v>
      </c>
      <c r="G56" s="8">
        <f si="1" t="shared"/>
        <v>1.3063974561384003E-4</v>
      </c>
    </row>
    <row r="57" spans="1:7" x14ac:dyDescent="0.45">
      <c r="A57">
        <v>46</v>
      </c>
      <c r="B57" s="5" t="n">
        <v>0.0</v>
      </c>
      <c r="C57" s="8">
        <f si="0" t="shared"/>
        <v>0</v>
      </c>
      <c r="E57" s="9">
        <v>46</v>
      </c>
      <c r="F57" s="9" t="n">
        <v>43.0</v>
      </c>
      <c r="G57" s="8">
        <f si="1" t="shared"/>
        <v>1.1952146939138557E-4</v>
      </c>
    </row>
    <row r="58" spans="1:7" x14ac:dyDescent="0.45">
      <c r="A58">
        <v>47</v>
      </c>
      <c r="B58" s="5" t="n">
        <v>0.0</v>
      </c>
      <c r="C58" s="8">
        <f si="0" t="shared"/>
        <v>0</v>
      </c>
      <c r="E58" s="9">
        <v>47</v>
      </c>
      <c r="F58" s="9" t="n">
        <v>34.0</v>
      </c>
      <c r="G58" s="8">
        <f si="1" t="shared"/>
        <v>9.7284916946476619E-5</v>
      </c>
    </row>
    <row r="59" spans="1:7" x14ac:dyDescent="0.45">
      <c r="A59">
        <v>48</v>
      </c>
      <c r="B59" s="5" t="n">
        <v>0.0</v>
      </c>
      <c r="C59" s="8">
        <f si="0" t="shared"/>
        <v>0</v>
      </c>
      <c r="E59" s="9">
        <v>48</v>
      </c>
      <c r="F59" s="9" t="n">
        <v>18.0</v>
      </c>
      <c r="G59" s="8">
        <f si="1" t="shared"/>
        <v>7.7827933557181292E-5</v>
      </c>
    </row>
    <row r="60" spans="1:7" x14ac:dyDescent="0.45">
      <c r="A60">
        <v>49</v>
      </c>
      <c r="B60" s="5" t="n">
        <v>0.0</v>
      </c>
      <c r="C60" s="8">
        <f si="0" t="shared"/>
        <v>0</v>
      </c>
      <c r="E60" s="9">
        <v>49</v>
      </c>
      <c r="F60" s="9" t="n">
        <v>19.0</v>
      </c>
      <c r="G60" s="8">
        <f si="1" t="shared"/>
        <v>2.501612150052256E-5</v>
      </c>
    </row>
    <row r="61" spans="1:7" x14ac:dyDescent="0.45">
      <c r="A61">
        <v>50</v>
      </c>
      <c r="B61" s="5" t="n">
        <v>0.0</v>
      </c>
      <c r="C61" s="8">
        <f si="0" t="shared"/>
        <v>0</v>
      </c>
      <c r="E61" s="9">
        <v>50</v>
      </c>
      <c r="F61" s="9" t="n">
        <v>26.0</v>
      </c>
      <c r="G61" s="8">
        <f si="1" t="shared"/>
        <v>4.4473104889817879E-5</v>
      </c>
    </row>
    <row r="62" spans="1:7" x14ac:dyDescent="0.45">
      <c r="A62">
        <v>51</v>
      </c>
      <c r="B62" s="5" t="n">
        <v>0.0</v>
      </c>
      <c r="C62" s="8">
        <f si="0" t="shared"/>
        <v>0</v>
      </c>
      <c r="E62" s="9">
        <v>51</v>
      </c>
      <c r="F62" s="9" t="n">
        <v>11.0</v>
      </c>
      <c r="G62" s="8">
        <f si="1" t="shared"/>
        <v>3.3354828667363413E-5</v>
      </c>
    </row>
    <row r="63" spans="1:7" x14ac:dyDescent="0.45">
      <c r="A63">
        <v>52</v>
      </c>
      <c r="B63" s="5" t="n">
        <v>0.0</v>
      </c>
      <c r="C63" s="8">
        <f si="0" t="shared"/>
        <v>0</v>
      </c>
      <c r="E63" s="9">
        <v>52</v>
      </c>
      <c r="F63" s="9" t="n">
        <v>13.0</v>
      </c>
      <c r="G63" s="8">
        <f si="1" t="shared"/>
        <v>4.1693535834204266E-5</v>
      </c>
    </row>
    <row r="64" spans="1:7" x14ac:dyDescent="0.45">
      <c r="A64">
        <v>53</v>
      </c>
      <c r="B64" s="5" t="n">
        <v>0.0</v>
      </c>
      <c r="C64" s="8">
        <f si="0" t="shared"/>
        <v>0</v>
      </c>
      <c r="E64" s="9">
        <v>53</v>
      </c>
      <c r="F64" s="9" t="n">
        <v>7.0</v>
      </c>
      <c r="G64" s="8">
        <f si="1" t="shared"/>
        <v>1.6677414333681707E-5</v>
      </c>
    </row>
    <row r="65" spans="1:7" x14ac:dyDescent="0.45">
      <c r="A65">
        <v>54</v>
      </c>
      <c r="B65" s="5" t="n">
        <v>0.0</v>
      </c>
      <c r="C65" s="8">
        <f si="0" t="shared"/>
        <v>0</v>
      </c>
      <c r="E65" s="9">
        <v>54</v>
      </c>
      <c r="F65" s="9" t="n">
        <v>8.0</v>
      </c>
      <c r="G65" s="8">
        <f si="1" t="shared"/>
        <v>1.9456983389295323E-5</v>
      </c>
    </row>
    <row r="66" spans="1:7" x14ac:dyDescent="0.45">
      <c r="A66">
        <v>55</v>
      </c>
      <c r="B66" s="5" t="n">
        <v>0.0</v>
      </c>
      <c r="C66" s="8">
        <f si="0" t="shared"/>
        <v>0</v>
      </c>
      <c r="E66" s="9">
        <v>55</v>
      </c>
      <c r="F66" s="9" t="n">
        <v>4.0</v>
      </c>
      <c r="G66" s="8">
        <f si="1" t="shared"/>
        <v>8.3387071668408533E-6</v>
      </c>
    </row>
    <row r="67" spans="1:7" x14ac:dyDescent="0.45">
      <c r="A67">
        <v>56</v>
      </c>
      <c r="B67" s="5" t="n">
        <v>0.0</v>
      </c>
      <c r="C67" s="8">
        <f si="0" t="shared"/>
        <v>0</v>
      </c>
      <c r="E67" s="9">
        <v>56</v>
      </c>
      <c r="F67" s="9" t="n">
        <v>5.0</v>
      </c>
      <c r="G67" s="8">
        <f si="1" t="shared"/>
        <v>1.6677414333681707E-5</v>
      </c>
    </row>
    <row r="68" spans="1:7" x14ac:dyDescent="0.45">
      <c r="A68">
        <v>57</v>
      </c>
      <c r="B68" s="5" t="n">
        <v>0.0</v>
      </c>
      <c r="C68" s="8">
        <f si="0" t="shared"/>
        <v>0</v>
      </c>
      <c r="E68" s="9">
        <v>57</v>
      </c>
      <c r="F68" s="9" t="n">
        <v>8.0</v>
      </c>
      <c r="G68" s="8">
        <f si="1" t="shared"/>
        <v>1.9456983389295323E-5</v>
      </c>
    </row>
    <row r="69" spans="1:7" x14ac:dyDescent="0.45">
      <c r="A69">
        <v>58</v>
      </c>
      <c r="B69" s="5" t="n">
        <v>0.0</v>
      </c>
      <c r="C69" s="8">
        <f si="0" t="shared"/>
        <v>0</v>
      </c>
      <c r="E69" s="9">
        <v>58</v>
      </c>
      <c r="F69" s="9" t="n">
        <v>2.0</v>
      </c>
      <c r="G69" s="8">
        <f si="1" t="shared"/>
        <v>1.9456983389295323E-5</v>
      </c>
    </row>
    <row r="70" spans="1:7" x14ac:dyDescent="0.45">
      <c r="A70">
        <v>59</v>
      </c>
      <c r="B70" s="5" t="n">
        <v>0.0</v>
      </c>
      <c r="C70" s="8">
        <f si="0" t="shared"/>
        <v>0</v>
      </c>
      <c r="E70" s="9">
        <v>59</v>
      </c>
      <c r="F70" s="9" t="n">
        <v>1.0</v>
      </c>
      <c r="G70" s="8">
        <f si="1" t="shared"/>
        <v>5.5591381112272349E-6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2.0</v>
      </c>
      <c r="G71" s="8">
        <f si="1" t="shared"/>
        <v>5.5591381112272349E-6</v>
      </c>
    </row>
    <row r="72" spans="1:7" x14ac:dyDescent="0.45">
      <c r="A72">
        <v>61</v>
      </c>
      <c r="B72" s="5" t="n">
        <v>0.0</v>
      </c>
      <c r="C72" s="8">
        <f si="0" t="shared"/>
        <v>0</v>
      </c>
      <c r="E72" s="9">
        <v>61</v>
      </c>
      <c r="F72" s="9" t="n">
        <v>3.0</v>
      </c>
      <c r="G72" s="8">
        <f si="1" t="shared"/>
        <v>0</v>
      </c>
    </row>
    <row r="73" spans="1:7" x14ac:dyDescent="0.45">
      <c r="A73">
        <v>62</v>
      </c>
      <c r="B73" s="5" t="n">
        <v>0.0</v>
      </c>
      <c r="C73" s="8">
        <f si="0" t="shared"/>
        <v>0</v>
      </c>
      <c r="E73" s="9">
        <v>62</v>
      </c>
      <c r="F73" s="9" t="n">
        <v>2.0</v>
      </c>
      <c r="G73" s="8">
        <f si="1" t="shared"/>
        <v>2.7795690556136175E-6</v>
      </c>
    </row>
    <row r="74" spans="1:7" x14ac:dyDescent="0.45">
      <c r="A74">
        <v>63</v>
      </c>
      <c r="B74" s="5" t="n">
        <v>0.0</v>
      </c>
      <c r="C74" s="8">
        <f si="0" t="shared"/>
        <v>0</v>
      </c>
      <c r="E74" s="9">
        <v>63</v>
      </c>
      <c r="F74" s="9" t="n">
        <v>1.0</v>
      </c>
      <c r="G74" s="8">
        <f si="1" t="shared"/>
        <v>2.7795690556136175E-6</v>
      </c>
    </row>
    <row r="75" spans="1:7" x14ac:dyDescent="0.45">
      <c r="A75">
        <v>64</v>
      </c>
      <c r="B75" s="5" t="n">
        <v>0.0</v>
      </c>
      <c r="C75" s="8">
        <f si="0" t="shared"/>
        <v>0</v>
      </c>
      <c r="E75" s="9">
        <v>64</v>
      </c>
      <c r="F75" s="9" t="n">
        <v>1.0</v>
      </c>
      <c r="G75" s="8">
        <f si="1" t="shared"/>
        <v>0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0.0</v>
      </c>
      <c r="G76" s="8">
        <f si="1" t="shared"/>
        <v>2.7795690556136175E-6</v>
      </c>
    </row>
    <row r="77" spans="1:7" x14ac:dyDescent="0.45">
      <c r="A77">
        <v>66</v>
      </c>
      <c r="B77" s="5" t="n">
        <v>0.0</v>
      </c>
      <c r="C77" s="8">
        <f ref="C77:C102" si="2" t="shared">B77/B$102</f>
        <v>0</v>
      </c>
      <c r="E77" s="9">
        <v>66</v>
      </c>
      <c r="F77" s="9" t="n">
        <v>2.0</v>
      </c>
      <c r="G77" s="8">
        <f ref="G77:G102" si="3" t="shared">F77/F$102</f>
        <v>0</v>
      </c>
    </row>
    <row r="78" spans="1:7" x14ac:dyDescent="0.45">
      <c r="A78">
        <v>67</v>
      </c>
      <c r="B78" s="5" t="n">
        <v>0.0</v>
      </c>
      <c r="C78" s="8">
        <f si="2" t="shared"/>
        <v>0</v>
      </c>
      <c r="E78" s="9">
        <v>67</v>
      </c>
      <c r="F78" s="9" t="n">
        <v>0.0</v>
      </c>
      <c r="G78" s="8">
        <f si="3" t="shared"/>
        <v>2.7795690556136175E-6</v>
      </c>
    </row>
    <row r="79" spans="1:7" x14ac:dyDescent="0.45">
      <c r="A79">
        <v>68</v>
      </c>
      <c r="B79" s="5" t="n">
        <v>0.0</v>
      </c>
      <c r="C79" s="8">
        <f si="2" t="shared"/>
        <v>0</v>
      </c>
      <c r="E79" s="9">
        <v>68</v>
      </c>
      <c r="F79" s="9" t="n">
        <v>4.0</v>
      </c>
      <c r="G79" s="8">
        <f si="3" t="shared"/>
        <v>2.7795690556136175E-6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2.0</v>
      </c>
      <c r="G80" s="8">
        <f si="3" t="shared"/>
        <v>5.5591381112272349E-6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0.0</v>
      </c>
      <c r="G81" s="8">
        <f si="3" t="shared"/>
        <v>0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0.0</v>
      </c>
      <c r="G82" s="8">
        <f si="3" t="shared"/>
        <v>0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0.0</v>
      </c>
      <c r="G83" s="8">
        <f si="3" t="shared"/>
        <v>0</v>
      </c>
    </row>
    <row r="84" spans="1:7" x14ac:dyDescent="0.45">
      <c r="A84">
        <v>73</v>
      </c>
      <c r="B84" s="5" t="n">
        <v>0.0</v>
      </c>
      <c r="C84" s="8">
        <f si="2" t="shared"/>
        <v>0</v>
      </c>
      <c r="E84" s="9">
        <v>73</v>
      </c>
      <c r="F84" s="9" t="n">
        <v>0.0</v>
      </c>
      <c r="G84" s="8">
        <f si="3" t="shared"/>
        <v>0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0.0</v>
      </c>
      <c r="G85" s="8">
        <f si="3" t="shared"/>
        <v>2.7795690556136175E-6</v>
      </c>
    </row>
    <row r="86" spans="1:7" x14ac:dyDescent="0.45">
      <c r="A86">
        <v>75</v>
      </c>
      <c r="B86" s="5" t="n">
        <v>0.0</v>
      </c>
      <c r="C86" s="8">
        <f si="2" t="shared"/>
        <v>0</v>
      </c>
      <c r="E86" s="9">
        <v>75</v>
      </c>
      <c r="F86" s="9" t="n">
        <v>0.0</v>
      </c>
      <c r="G86" s="8">
        <f si="3" t="shared"/>
        <v>0</v>
      </c>
    </row>
    <row r="87" spans="1:7" x14ac:dyDescent="0.45">
      <c r="A87">
        <v>76</v>
      </c>
      <c r="B87" s="5" t="n">
        <v>0.0</v>
      </c>
      <c r="C87" s="8">
        <f si="2" t="shared"/>
        <v>0</v>
      </c>
      <c r="E87" s="9">
        <v>76</v>
      </c>
      <c r="F87" s="9" t="n">
        <v>0.0</v>
      </c>
      <c r="G87" s="8">
        <f si="3" t="shared"/>
        <v>0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0.0</v>
      </c>
      <c r="G88" s="8">
        <f si="3" t="shared"/>
        <v>0</v>
      </c>
    </row>
    <row r="89" spans="1:7" x14ac:dyDescent="0.45">
      <c r="A89">
        <v>78</v>
      </c>
      <c r="B89" s="5" t="n">
        <v>0.0</v>
      </c>
      <c r="C89" s="8">
        <f si="2" t="shared"/>
        <v>0</v>
      </c>
      <c r="E89" s="9">
        <v>78</v>
      </c>
      <c r="F89" s="9" t="n">
        <v>0.0</v>
      </c>
      <c r="G89" s="8">
        <f si="3" t="shared"/>
        <v>0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0.0</v>
      </c>
      <c r="G90" s="8">
        <f si="3" t="shared"/>
        <v>0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0.0</v>
      </c>
      <c r="G91" s="8">
        <f si="3" t="shared"/>
        <v>0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0.0</v>
      </c>
      <c r="G92" s="8">
        <f si="3" t="shared"/>
        <v>0</v>
      </c>
    </row>
    <row r="93" spans="1:7" x14ac:dyDescent="0.45">
      <c r="A93">
        <v>82</v>
      </c>
      <c r="B93" s="5" t="n">
        <v>0.0</v>
      </c>
      <c r="C93" s="8">
        <f si="2" t="shared"/>
        <v>0</v>
      </c>
      <c r="E93" s="9">
        <v>82</v>
      </c>
      <c r="F93" s="9" t="n">
        <v>0.0</v>
      </c>
      <c r="G93" s="8">
        <f si="3" t="shared"/>
        <v>0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1.0</v>
      </c>
      <c r="G94" s="8">
        <f si="3" t="shared"/>
        <v>0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0.0</v>
      </c>
      <c r="G95" s="8">
        <f si="3" t="shared"/>
        <v>0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0.0</v>
      </c>
      <c r="G96" s="8">
        <f si="3" t="shared"/>
        <v>0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0.0</v>
      </c>
      <c r="G97" s="8">
        <f si="3" t="shared"/>
        <v>0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0.0</v>
      </c>
      <c r="G98" s="8">
        <f si="3" t="shared"/>
        <v>0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0.0</v>
      </c>
      <c r="G99" s="8">
        <f si="3" t="shared"/>
        <v>0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0.0</v>
      </c>
      <c r="G100" s="8">
        <f si="3" t="shared"/>
        <v>0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1.0</v>
      </c>
      <c r="G101" s="8">
        <f si="3" t="shared"/>
        <v>0</v>
      </c>
    </row>
    <row r="102" spans="1:7" x14ac:dyDescent="0.45">
      <c r="B102" s="5">
        <f>SUM(B11:B101)</f>
        <v>172873.23356313264</v>
      </c>
      <c r="C102" s="8">
        <f si="2" t="shared"/>
        <v>1</v>
      </c>
      <c r="F102" s="5">
        <f>SUM(F11:F101)</f>
        <v>359768</v>
      </c>
      <c r="G102" s="8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M102"/>
  <sheetViews>
    <sheetView workbookViewId="0">
      <selection activeCell="I9" sqref="I9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7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5" t="n">
        <v>0.0</v>
      </c>
      <c r="C11" s="8">
        <f>B11/B$102</f>
        <v>0</v>
      </c>
      <c r="E11" s="9">
        <v>0</v>
      </c>
      <c r="F11" s="9" t="n">
        <v>2106.0</v>
      </c>
      <c r="G11" s="8">
        <f>F11/F$102</f>
        <v>5.9899713148473463E-3</v>
      </c>
      <c r="K11" s="5" t="n">
        <v>14.604793396229555</v>
      </c>
      <c r="L11" s="5" t="n">
        <v>14.637146952031785</v>
      </c>
    </row>
    <row r="12" spans="1:12" x14ac:dyDescent="0.45">
      <c r="A12">
        <v>1</v>
      </c>
      <c r="B12" s="5" t="n">
        <v>0.0</v>
      </c>
      <c r="C12" s="8">
        <f>B12/B$102</f>
        <v>0</v>
      </c>
      <c r="E12" s="9">
        <v>1</v>
      </c>
      <c r="F12" s="9" t="n">
        <v>16893.0</v>
      </c>
      <c r="G12" s="8">
        <f>F12/F$102</f>
        <v>4.6735674101087366E-2</v>
      </c>
      <c r="K12" s="5"/>
      <c r="L12" s="9"/>
    </row>
    <row r="13" spans="1:12" x14ac:dyDescent="0.45">
      <c r="A13">
        <v>2</v>
      </c>
      <c r="B13" s="5" t="n">
        <v>3296.325607677833</v>
      </c>
      <c r="C13" s="8">
        <f ref="C13:C76" si="0" t="shared">B13/B$102</f>
        <v>1.9067877309497005E-2</v>
      </c>
      <c r="E13" s="9">
        <v>2</v>
      </c>
      <c r="F13" s="9" t="n">
        <v>6791.0</v>
      </c>
      <c r="G13" s="8">
        <f ref="G13:G76" si="1" t="shared">F13/F$102</f>
        <v>1.8653687932222988E-2</v>
      </c>
    </row>
    <row r="14" spans="1:12" x14ac:dyDescent="0.45">
      <c r="A14">
        <v>3</v>
      </c>
      <c r="B14" s="5" t="n">
        <v>15219.698282525582</v>
      </c>
      <c r="C14" s="8">
        <f si="0" t="shared"/>
        <v>8.8039645981212042E-2</v>
      </c>
      <c r="E14" s="9">
        <v>3</v>
      </c>
      <c r="F14" s="9" t="n">
        <v>10209.0</v>
      </c>
      <c r="G14" s="8">
        <f si="1" t="shared"/>
        <v>2.8548953770207466E-2</v>
      </c>
    </row>
    <row r="15" spans="1:12" x14ac:dyDescent="0.45">
      <c r="A15">
        <v>4</v>
      </c>
      <c r="B15" s="5" t="n">
        <v>13470.671173422732</v>
      </c>
      <c r="C15" s="8">
        <f si="0" t="shared"/>
        <v>7.7922249128887233E-2</v>
      </c>
      <c r="E15" s="9">
        <v>4</v>
      </c>
      <c r="F15" s="9" t="n">
        <v>15826.0</v>
      </c>
      <c r="G15" s="8">
        <f si="1" t="shared"/>
        <v>4.3919970647750772E-2</v>
      </c>
    </row>
    <row r="16" spans="1:12" x14ac:dyDescent="0.45">
      <c r="A16">
        <v>5</v>
      </c>
      <c r="B16" s="5" t="n">
        <v>11326.033197213503</v>
      </c>
      <c r="C16" s="8">
        <f si="0" t="shared"/>
        <v>6.5516407391531084E-2</v>
      </c>
      <c r="E16" s="9">
        <v>5</v>
      </c>
      <c r="F16" s="9" t="n">
        <v>20799.0</v>
      </c>
      <c r="G16" s="8">
        <f si="1" t="shared"/>
        <v>5.7542638589313112E-2</v>
      </c>
    </row>
    <row r="17" spans="1:7" x14ac:dyDescent="0.45">
      <c r="A17">
        <v>6</v>
      </c>
      <c r="B17" s="5" t="n">
        <v>8670.97996215326</v>
      </c>
      <c r="C17" s="8">
        <f si="0" t="shared"/>
        <v>5.0158024949459E-2</v>
      </c>
      <c r="E17" s="9">
        <v>6</v>
      </c>
      <c r="F17" s="9" t="n">
        <v>23045.0</v>
      </c>
      <c r="G17" s="8">
        <f si="1" t="shared"/>
        <v>6.5083609437192852E-2</v>
      </c>
    </row>
    <row r="18" spans="1:7" x14ac:dyDescent="0.45">
      <c r="A18">
        <v>7</v>
      </c>
      <c r="B18" s="5" t="n">
        <v>10468.05362882371</v>
      </c>
      <c r="C18" s="8">
        <f si="0" t="shared"/>
        <v>6.0553351221956625E-2</v>
      </c>
      <c r="E18" s="9">
        <v>7</v>
      </c>
      <c r="F18" s="9" t="n">
        <v>23478.0</v>
      </c>
      <c r="G18" s="8">
        <f si="1" t="shared"/>
        <v>6.6420582152943011E-2</v>
      </c>
    </row>
    <row r="19" spans="1:7" x14ac:dyDescent="0.45">
      <c r="A19">
        <v>8</v>
      </c>
      <c r="B19" s="5" t="n">
        <v>12491.071757611222</v>
      </c>
      <c r="C19" s="8">
        <f si="0" t="shared"/>
        <v>7.2255672553550809E-2</v>
      </c>
      <c r="E19" s="9">
        <v>8</v>
      </c>
      <c r="F19" s="9" t="n">
        <v>22129.0</v>
      </c>
      <c r="G19" s="8">
        <f si="1" t="shared"/>
        <v>6.3668808787885528E-2</v>
      </c>
    </row>
    <row r="20" spans="1:7" x14ac:dyDescent="0.45">
      <c r="A20">
        <v>9</v>
      </c>
      <c r="B20" s="5" t="n">
        <v>10348.387060876865</v>
      </c>
      <c r="C20" s="8">
        <f si="0" t="shared"/>
        <v>5.9861129728320105E-2</v>
      </c>
      <c r="E20" s="9">
        <v>9</v>
      </c>
      <c r="F20" s="9" t="n">
        <v>20561.0</v>
      </c>
      <c r="G20" s="8">
        <f si="1" t="shared"/>
        <v>5.8771208111894332E-2</v>
      </c>
    </row>
    <row r="21" spans="1:7" x14ac:dyDescent="0.45">
      <c r="A21">
        <v>10</v>
      </c>
      <c r="B21" s="5" t="n">
        <v>7612.041986394488</v>
      </c>
      <c r="C21" s="8">
        <f si="0" t="shared"/>
        <v>4.4032507690755951E-2</v>
      </c>
      <c r="E21" s="9">
        <v>10</v>
      </c>
      <c r="F21" s="9" t="n">
        <v>18092.0</v>
      </c>
      <c r="G21" s="8">
        <f si="1" t="shared"/>
        <v>5.2800693780436281E-2</v>
      </c>
    </row>
    <row r="22" spans="1:7" x14ac:dyDescent="0.45">
      <c r="A22">
        <v>11</v>
      </c>
      <c r="B22" s="5" t="n">
        <v>4462.966188012082</v>
      </c>
      <c r="C22" s="8">
        <f si="0" t="shared"/>
        <v>2.5816409492810371E-2</v>
      </c>
      <c r="E22" s="9">
        <v>11</v>
      </c>
      <c r="F22" s="9" t="n">
        <v>16905.0</v>
      </c>
      <c r="G22" s="8">
        <f si="1" t="shared"/>
        <v>4.8292232772230992E-2</v>
      </c>
    </row>
    <row r="23" spans="1:7" x14ac:dyDescent="0.45">
      <c r="A23">
        <v>12</v>
      </c>
      <c r="B23" s="5" t="n">
        <v>4515.020539356409</v>
      </c>
      <c r="C23" s="8">
        <f si="0" t="shared"/>
        <v>2.6117522338746219E-2</v>
      </c>
      <c r="E23" s="9">
        <v>12</v>
      </c>
      <c r="F23" s="9" t="n">
        <v>15129.0</v>
      </c>
      <c r="G23" s="8">
        <f si="1" t="shared"/>
        <v>4.2352293700384694E-2</v>
      </c>
    </row>
    <row r="24" spans="1:7" x14ac:dyDescent="0.45">
      <c r="A24">
        <v>13</v>
      </c>
      <c r="B24" s="5" t="n">
        <v>6709.388320063461</v>
      </c>
      <c r="C24" s="8">
        <f si="0" t="shared"/>
        <v>3.8811030382058645E-2</v>
      </c>
      <c r="E24" s="9">
        <v>13</v>
      </c>
      <c r="F24" s="9" t="n">
        <v>13527.0</v>
      </c>
      <c r="G24" s="8">
        <f si="1" t="shared"/>
        <v>3.8402526072357744E-2</v>
      </c>
    </row>
    <row r="25" spans="1:7" x14ac:dyDescent="0.45">
      <c r="A25">
        <v>14</v>
      </c>
      <c r="B25" s="5" t="n">
        <v>3413.459993984116</v>
      </c>
      <c r="C25" s="8">
        <f si="0" t="shared"/>
        <v>1.9745451181935193E-2</v>
      </c>
      <c r="E25" s="9">
        <v>14</v>
      </c>
      <c r="F25" s="9" t="n">
        <v>11851.0</v>
      </c>
      <c r="G25" s="8">
        <f si="1" t="shared"/>
        <v>3.4552822930332884E-2</v>
      </c>
    </row>
    <row r="26" spans="1:7" x14ac:dyDescent="0.45">
      <c r="A26">
        <v>15</v>
      </c>
      <c r="B26" s="5" t="n">
        <v>6052.654368390055</v>
      </c>
      <c r="C26" s="8">
        <f si="0" t="shared"/>
        <v>3.5012096688638902E-2</v>
      </c>
      <c r="E26" s="9">
        <v>15</v>
      </c>
      <c r="F26" s="9" t="n">
        <v>10716.0</v>
      </c>
      <c r="G26" s="8">
        <f si="1" t="shared"/>
        <v>3.0097173734184253E-2</v>
      </c>
    </row>
    <row r="27" spans="1:7" x14ac:dyDescent="0.45">
      <c r="A27">
        <v>16</v>
      </c>
      <c r="B27" s="5" t="n">
        <v>2171.159482927727</v>
      </c>
      <c r="C27" s="8">
        <f si="0" t="shared"/>
        <v>1.2559257660526306E-2</v>
      </c>
      <c r="E27" s="9">
        <v>16</v>
      </c>
      <c r="F27" s="9" t="n">
        <v>9242.0</v>
      </c>
      <c r="G27" s="8">
        <f si="1" t="shared"/>
        <v>2.6364212492495164E-2</v>
      </c>
    </row>
    <row r="28" spans="1:7" x14ac:dyDescent="0.45">
      <c r="A28">
        <v>17</v>
      </c>
      <c r="B28" s="5" t="n">
        <v>7799.871802008399</v>
      </c>
      <c r="C28" s="8">
        <f si="0" t="shared"/>
        <v>4.5119025318398502E-2</v>
      </c>
      <c r="E28" s="9">
        <v>17</v>
      </c>
      <c r="F28" s="9" t="n">
        <v>8529.0</v>
      </c>
      <c r="G28" s="8">
        <f si="1" t="shared"/>
        <v>2.3681928353828024E-2</v>
      </c>
    </row>
    <row r="29" spans="1:7" x14ac:dyDescent="0.45">
      <c r="A29">
        <v>18</v>
      </c>
      <c r="B29" s="5" t="n">
        <v>4786.021007063313</v>
      </c>
      <c r="C29" s="8">
        <f si="0" t="shared"/>
        <v>2.7685147714411648E-2</v>
      </c>
      <c r="E29" s="9">
        <v>18</v>
      </c>
      <c r="F29" s="9" t="n">
        <v>7768.0</v>
      </c>
      <c r="G29" s="8">
        <f si="1" t="shared"/>
        <v>2.0974628093660359E-2</v>
      </c>
    </row>
    <row r="30" spans="1:7" x14ac:dyDescent="0.45">
      <c r="A30">
        <v>19</v>
      </c>
      <c r="B30" s="5" t="n">
        <v>3295.7333976605314</v>
      </c>
      <c r="C30" s="8">
        <f si="0" t="shared"/>
        <v>1.9064451620018678E-2</v>
      </c>
      <c r="E30" s="9">
        <v>19</v>
      </c>
      <c r="F30" s="9" t="n">
        <v>6709.0</v>
      </c>
      <c r="G30" s="8">
        <f si="1" t="shared"/>
        <v>1.8937203975895576E-2</v>
      </c>
    </row>
    <row r="31" spans="1:7" x14ac:dyDescent="0.45">
      <c r="A31">
        <v>20</v>
      </c>
      <c r="B31" s="5" t="n">
        <v>2647.098348668663</v>
      </c>
      <c r="C31" s="8">
        <f si="0" t="shared"/>
        <v>1.5312366721606749E-2</v>
      </c>
      <c r="E31" s="9">
        <v>20</v>
      </c>
      <c r="F31" s="9" t="n">
        <v>6137.0</v>
      </c>
      <c r="G31" s="8">
        <f si="1" t="shared"/>
        <v>1.7286139956861089E-2</v>
      </c>
    </row>
    <row r="32" spans="1:7" x14ac:dyDescent="0.45">
      <c r="A32">
        <v>21</v>
      </c>
      <c r="B32" s="5" t="n">
        <v>2314.4337674995636</v>
      </c>
      <c r="C32" s="8">
        <f si="0" t="shared"/>
        <v>1.3388040009411527E-2</v>
      </c>
      <c r="E32" s="9">
        <v>21</v>
      </c>
      <c r="F32" s="9" t="n">
        <v>5657.0</v>
      </c>
      <c r="G32" s="8">
        <f si="1" t="shared"/>
        <v>1.5006893331257922E-2</v>
      </c>
    </row>
    <row r="33" spans="1:7" x14ac:dyDescent="0.45">
      <c r="A33">
        <v>22</v>
      </c>
      <c r="B33" s="5" t="n">
        <v>1669.6829958469982</v>
      </c>
      <c r="C33" s="8">
        <f si="0" t="shared"/>
        <v>9.658424045369849E-3</v>
      </c>
      <c r="E33" s="9">
        <v>22</v>
      </c>
      <c r="F33" s="9" t="n">
        <v>5166.0</v>
      </c>
      <c r="G33" s="8">
        <f si="1" t="shared"/>
        <v>1.4095194681016655E-2</v>
      </c>
    </row>
    <row r="34" spans="1:7" x14ac:dyDescent="0.45">
      <c r="A34">
        <v>23</v>
      </c>
      <c r="B34" s="5" t="n">
        <v>937.5992601347461</v>
      </c>
      <c r="C34" s="8">
        <f si="0" t="shared"/>
        <v>5.423623083861265E-3</v>
      </c>
      <c r="E34" s="9">
        <v>23</v>
      </c>
      <c r="F34" s="9" t="n">
        <v>4702.0</v>
      </c>
      <c r="G34" s="8">
        <f si="1" t="shared"/>
        <v>1.2763781103377732E-2</v>
      </c>
    </row>
    <row r="35" spans="1:7" x14ac:dyDescent="0.45">
      <c r="A35">
        <v>24</v>
      </c>
      <c r="B35" s="5" t="n">
        <v>1983.4093808706014</v>
      </c>
      <c r="C35" s="8">
        <f si="0" t="shared"/>
        <v>1.1473201142768397E-2</v>
      </c>
      <c r="E35" s="9">
        <v>24</v>
      </c>
      <c r="F35" s="9" t="n">
        <v>4344.0</v>
      </c>
      <c r="G35" s="8">
        <f si="1" t="shared"/>
        <v>1.1857641591247694E-2</v>
      </c>
    </row>
    <row r="36" spans="1:7" x14ac:dyDescent="0.45">
      <c r="A36">
        <v>25</v>
      </c>
      <c r="B36" s="5" t="n">
        <v>2514.047659855862</v>
      </c>
      <c r="C36" s="8">
        <f si="0" t="shared"/>
        <v>1.454272363649484E-2</v>
      </c>
      <c r="E36" s="9">
        <v>25</v>
      </c>
      <c r="F36" s="9" t="n">
        <v>3832.0</v>
      </c>
      <c r="G36" s="8">
        <f si="1" t="shared"/>
        <v>1.0623512930555247E-2</v>
      </c>
    </row>
    <row r="37" spans="1:7" x14ac:dyDescent="0.45">
      <c r="A37">
        <v>26</v>
      </c>
      <c r="B37" s="5" t="n">
        <v>1847.630864306569</v>
      </c>
      <c r="C37" s="8">
        <f si="0" t="shared"/>
        <v>1.068777870480349E-2</v>
      </c>
      <c r="E37" s="9">
        <v>26</v>
      </c>
      <c r="F37" s="9" t="n">
        <v>3731.0</v>
      </c>
      <c r="G37" s="8">
        <f si="1" t="shared"/>
        <v>1.0187120588823909E-2</v>
      </c>
    </row>
    <row r="38" spans="1:7" x14ac:dyDescent="0.45">
      <c r="A38">
        <v>27</v>
      </c>
      <c r="B38" s="5" t="n">
        <v>1592.1425779943982</v>
      </c>
      <c r="C38" s="8">
        <f si="0" t="shared"/>
        <v>9.2098848686887891E-3</v>
      </c>
      <c r="E38" s="9">
        <v>27</v>
      </c>
      <c r="F38" s="9" t="n">
        <v>3448.0</v>
      </c>
      <c r="G38" s="8">
        <f si="1" t="shared"/>
        <v>8.9168575304084847E-3</v>
      </c>
    </row>
    <row r="39" spans="1:7" x14ac:dyDescent="0.45">
      <c r="A39">
        <v>28</v>
      </c>
      <c r="B39" s="5" t="n">
        <v>2145.3266491115432</v>
      </c>
      <c r="C39" s="8">
        <f si="0" t="shared"/>
        <v>1.2409825424640294E-2</v>
      </c>
      <c r="E39" s="9">
        <v>28</v>
      </c>
      <c r="F39" s="9" t="n">
        <v>3320.0</v>
      </c>
      <c r="G39" s="8">
        <f si="1" t="shared"/>
        <v>8.5666318294011692E-3</v>
      </c>
    </row>
    <row r="40" spans="1:7" x14ac:dyDescent="0.45">
      <c r="A40">
        <v>29</v>
      </c>
      <c r="B40" s="5" t="n">
        <v>1036.606632081883</v>
      </c>
      <c r="C40" s="8">
        <f si="0" t="shared"/>
        <v>5.9963396919009912E-3</v>
      </c>
      <c r="E40" s="9">
        <v>29</v>
      </c>
      <c r="F40" s="9" t="n">
        <v>2875.0</v>
      </c>
      <c r="G40" s="8">
        <f si="1" t="shared"/>
        <v>8.0051588801672187E-3</v>
      </c>
    </row>
    <row r="41" spans="1:7" x14ac:dyDescent="0.45">
      <c r="A41">
        <v>30</v>
      </c>
      <c r="B41" s="5" t="n">
        <v>1725.8363698369149</v>
      </c>
      <c r="C41" s="8">
        <f si="0" t="shared"/>
        <v>9.9832480382606257E-3</v>
      </c>
      <c r="E41" s="9">
        <v>30</v>
      </c>
      <c r="F41" s="9" t="n">
        <v>2639.0</v>
      </c>
      <c r="G41" s="8">
        <f si="1" t="shared"/>
        <v>7.3047074781525875E-3</v>
      </c>
    </row>
    <row r="42" spans="1:7" x14ac:dyDescent="0.45">
      <c r="A42">
        <v>31</v>
      </c>
      <c r="B42" s="5" t="n">
        <v>829.8726697315981</v>
      </c>
      <c r="C42" s="8">
        <f si="0" t="shared"/>
        <v>4.800469411180024E-3</v>
      </c>
      <c r="E42" s="9">
        <v>31</v>
      </c>
      <c r="F42" s="9" t="n">
        <v>2580.0</v>
      </c>
      <c r="G42" s="8">
        <f si="1" t="shared"/>
        <v>6.5542238331369107E-3</v>
      </c>
    </row>
    <row r="43" spans="1:7" x14ac:dyDescent="0.45">
      <c r="A43">
        <v>32</v>
      </c>
      <c r="B43" s="5" t="n">
        <v>243.6079483767728</v>
      </c>
      <c r="C43" s="8">
        <f si="0" t="shared"/>
        <v>1.4091710055727518E-3</v>
      </c>
      <c r="E43" s="9">
        <v>32</v>
      </c>
      <c r="F43" s="9" t="n">
        <v>2404.0</v>
      </c>
      <c r="G43" s="8">
        <f si="1" t="shared"/>
        <v>6.2401325298525713E-3</v>
      </c>
    </row>
    <row r="44" spans="1:7" x14ac:dyDescent="0.45">
      <c r="A44">
        <v>33</v>
      </c>
      <c r="B44" s="5" t="n">
        <v>2174.236532355167</v>
      </c>
      <c r="C44" s="8">
        <f si="0" t="shared"/>
        <v>1.2577057116023367E-2</v>
      </c>
      <c r="E44" s="9">
        <v>33</v>
      </c>
      <c r="F44" s="9" t="n">
        <v>2161.0</v>
      </c>
      <c r="G44" s="8">
        <f si="1" t="shared"/>
        <v>5.6258477685619621E-3</v>
      </c>
    </row>
    <row r="45" spans="1:7" x14ac:dyDescent="0.45">
      <c r="A45">
        <v>34</v>
      </c>
      <c r="B45" s="5" t="n">
        <v>1192.8617937450686</v>
      </c>
      <c r="C45" s="8">
        <f si="0" t="shared"/>
        <v>6.9002110341705386E-3</v>
      </c>
      <c r="E45" s="9">
        <v>34</v>
      </c>
      <c r="F45" s="9" t="n">
        <v>1995.0</v>
      </c>
      <c r="G45" s="8">
        <f si="1" t="shared"/>
        <v>5.3061973271663959E-3</v>
      </c>
    </row>
    <row r="46" spans="1:7" x14ac:dyDescent="0.45">
      <c r="A46">
        <v>35</v>
      </c>
      <c r="B46" s="5" t="n">
        <v>1517.201848588879</v>
      </c>
      <c r="C46" s="8">
        <f si="0" t="shared"/>
        <v>8.7763838121001116E-3</v>
      </c>
      <c r="E46" s="9">
        <v>35</v>
      </c>
      <c r="F46" s="9" t="n">
        <v>1866.0</v>
      </c>
      <c r="G46" s="8">
        <f si="1" t="shared"/>
        <v>4.7669609303773539E-3</v>
      </c>
    </row>
    <row r="47" spans="1:7" x14ac:dyDescent="0.45">
      <c r="A47">
        <v>36</v>
      </c>
      <c r="B47" s="5" t="n">
        <v>819.7897291065511</v>
      </c>
      <c r="C47" s="8">
        <f si="0" t="shared"/>
        <v>4.7421437790551137E-3</v>
      </c>
      <c r="E47" s="9">
        <v>36</v>
      </c>
      <c r="F47" s="9" t="n">
        <v>1698.0</v>
      </c>
      <c r="G47" s="8">
        <f si="1" t="shared"/>
        <v>4.7363856707656046E-3</v>
      </c>
    </row>
    <row r="48" spans="1:7" x14ac:dyDescent="0.45">
      <c r="A48">
        <v>37</v>
      </c>
      <c r="B48" s="5" t="n">
        <v>207.5397641076833</v>
      </c>
      <c r="C48" s="8">
        <f si="0" t="shared"/>
        <v>1.2005315098817225E-3</v>
      </c>
      <c r="E48" s="9">
        <v>37</v>
      </c>
      <c r="F48" s="9" t="n">
        <v>1546.0</v>
      </c>
      <c r="G48" s="8">
        <f si="1" t="shared"/>
        <v>3.8246870205243381E-3</v>
      </c>
    </row>
    <row r="49" spans="1:7" x14ac:dyDescent="0.45">
      <c r="A49">
        <v>38</v>
      </c>
      <c r="B49" s="5" t="n">
        <v>905.8702716220741</v>
      </c>
      <c r="C49" s="8">
        <f si="0" t="shared"/>
        <v>5.2400840370192634E-3</v>
      </c>
      <c r="E49" s="9">
        <v>38</v>
      </c>
      <c r="F49" s="9" t="n">
        <v>1336.0</v>
      </c>
      <c r="G49" s="8">
        <f si="1" t="shared"/>
        <v>3.7329612416890884E-3</v>
      </c>
    </row>
    <row r="50" spans="1:7" x14ac:dyDescent="0.45">
      <c r="A50">
        <v>39</v>
      </c>
      <c r="B50" s="5" t="n">
        <v>207.8402731400762</v>
      </c>
      <c r="C50" s="8">
        <f si="0" t="shared"/>
        <v>1.2022698300727609E-3</v>
      </c>
      <c r="E50" s="9">
        <v>39</v>
      </c>
      <c r="F50" s="9" t="n">
        <v>1343.0</v>
      </c>
      <c r="G50" s="8">
        <f si="1" t="shared"/>
        <v>3.541170976851749E-3</v>
      </c>
    </row>
    <row r="51" spans="1:7" x14ac:dyDescent="0.45">
      <c r="A51">
        <v>40</v>
      </c>
      <c r="B51" s="5" t="n">
        <v>476.7021927009364</v>
      </c>
      <c r="C51" s="8">
        <f si="0" t="shared"/>
        <v>2.7575245911441032E-3</v>
      </c>
      <c r="E51" s="9">
        <v>40</v>
      </c>
      <c r="F51" s="9" t="n">
        <v>1209.0</v>
      </c>
      <c r="G51" s="8">
        <f si="1" t="shared"/>
        <v>3.104778635120411E-3</v>
      </c>
    </row>
    <row r="52" spans="1:7" x14ac:dyDescent="0.45">
      <c r="A52">
        <v>41</v>
      </c>
      <c r="B52" s="5" t="n">
        <v>613.2875383586664</v>
      </c>
      <c r="C52" s="8">
        <f si="0" t="shared"/>
        <v>3.5476142009844237E-3</v>
      </c>
      <c r="E52" s="9">
        <v>41</v>
      </c>
      <c r="F52" s="9" t="n">
        <v>1105.0</v>
      </c>
      <c r="G52" s="8">
        <f si="1" t="shared"/>
        <v>2.8824131106713214E-3</v>
      </c>
    </row>
    <row r="53" spans="1:7" x14ac:dyDescent="0.45">
      <c r="A53">
        <v>42</v>
      </c>
      <c r="B53" s="5" t="n">
        <v>0.0</v>
      </c>
      <c r="C53" s="8">
        <f si="0" t="shared"/>
        <v>0</v>
      </c>
      <c r="E53" s="9">
        <v>42</v>
      </c>
      <c r="F53" s="9" t="n">
        <v>1007.0</v>
      </c>
      <c r="G53" s="8">
        <f si="1" t="shared"/>
        <v>2.3793111116052566E-3</v>
      </c>
    </row>
    <row r="54" spans="1:7" x14ac:dyDescent="0.45">
      <c r="A54">
        <v>43</v>
      </c>
      <c r="B54" s="5" t="n">
        <v>227.0661463290249</v>
      </c>
      <c r="C54" s="8">
        <f si="0" t="shared"/>
        <v>1.3134835373233254E-3</v>
      </c>
      <c r="E54" s="9">
        <v>43</v>
      </c>
      <c r="F54" s="9" t="n">
        <v>1016.0</v>
      </c>
      <c r="G54" s="8">
        <f si="1" t="shared"/>
        <v>2.4349024927175292E-3</v>
      </c>
    </row>
    <row r="55" spans="1:7" x14ac:dyDescent="0.45">
      <c r="A55">
        <v>44</v>
      </c>
      <c r="B55" s="5" t="n">
        <v>41.9534043512247</v>
      </c>
      <c r="C55" s="8">
        <f si="0" t="shared"/>
        <v>2.4268305443539632E-4</v>
      </c>
      <c r="E55" s="9">
        <v>44</v>
      </c>
      <c r="F55" s="9" t="n">
        <v>889.0</v>
      </c>
      <c r="G55" s="8">
        <f si="1" t="shared"/>
        <v>2.1680638633786217E-3</v>
      </c>
    </row>
    <row r="56" spans="1:7" x14ac:dyDescent="0.45">
      <c r="A56">
        <v>45</v>
      </c>
      <c r="B56" s="5" t="n">
        <v>228.544036553574</v>
      </c>
      <c r="C56" s="8">
        <f si="0" t="shared"/>
        <v>1.3220325196850707E-3</v>
      </c>
      <c r="E56" s="9">
        <v>45</v>
      </c>
      <c r="F56" s="9" t="n">
        <v>770.0</v>
      </c>
      <c r="G56" s="8">
        <f si="1" t="shared"/>
        <v>1.9318004936514643E-3</v>
      </c>
    </row>
    <row r="57" spans="1:7" x14ac:dyDescent="0.45">
      <c r="A57">
        <v>46</v>
      </c>
      <c r="B57" s="5" t="n">
        <v>444.6697534648592</v>
      </c>
      <c r="C57" s="8">
        <f si="0" t="shared"/>
        <v>2.5722302076478919E-3</v>
      </c>
      <c r="E57" s="9">
        <v>46</v>
      </c>
      <c r="F57" s="9" t="n">
        <v>742.0</v>
      </c>
      <c r="G57" s="8">
        <f si="1" t="shared"/>
        <v>1.7483489359809655E-3</v>
      </c>
    </row>
    <row r="58" spans="1:7" x14ac:dyDescent="0.45">
      <c r="A58">
        <v>47</v>
      </c>
      <c r="B58" s="5" t="n">
        <v>673.4749415858626</v>
      </c>
      <c r="C58" s="8">
        <f si="0" t="shared"/>
        <v>3.8957733809029033E-3</v>
      </c>
      <c r="E58" s="9">
        <v>47</v>
      </c>
      <c r="F58" s="9" t="n">
        <v>680.0</v>
      </c>
      <c r="G58" s="8">
        <f si="1" t="shared"/>
        <v>1.4453759089190811E-3</v>
      </c>
    </row>
    <row r="59" spans="1:7" x14ac:dyDescent="0.45">
      <c r="A59">
        <v>48</v>
      </c>
      <c r="B59" s="5" t="n">
        <v>462.60075449304395</v>
      </c>
      <c r="C59" s="8">
        <f si="0" t="shared"/>
        <v>2.6759536161745012E-3</v>
      </c>
      <c r="E59" s="9">
        <v>48</v>
      </c>
      <c r="F59" s="9" t="n">
        <v>576.0</v>
      </c>
      <c r="G59" s="8">
        <f si="1" t="shared"/>
        <v>1.5426608258655577E-3</v>
      </c>
    </row>
    <row r="60" spans="1:7" x14ac:dyDescent="0.45">
      <c r="A60">
        <v>49</v>
      </c>
      <c r="B60" s="5" t="n">
        <v>894.5475439903421</v>
      </c>
      <c r="C60" s="8">
        <f si="0" t="shared"/>
        <v>5.1745867509538817E-3</v>
      </c>
      <c r="E60" s="9">
        <v>49</v>
      </c>
      <c r="F60" s="9" t="n">
        <v>536.0</v>
      </c>
      <c r="G60" s="8">
        <f si="1" t="shared"/>
        <v>1.3675479753619E-3</v>
      </c>
    </row>
    <row r="61" spans="1:7" x14ac:dyDescent="0.45">
      <c r="A61">
        <v>50</v>
      </c>
      <c r="B61" s="5" t="n">
        <v>756.030158561028</v>
      </c>
      <c r="C61" s="8">
        <f si="0" t="shared"/>
        <v>4.3733210918677507E-3</v>
      </c>
      <c r="E61" s="9">
        <v>50</v>
      </c>
      <c r="F61" s="9" t="n">
        <v>506.0</v>
      </c>
      <c r="G61" s="8">
        <f si="1" t="shared"/>
        <v>1.2674834893598096E-3</v>
      </c>
    </row>
    <row r="62" spans="1:7" x14ac:dyDescent="0.45">
      <c r="A62">
        <v>51</v>
      </c>
      <c r="B62" s="5" t="n">
        <v>93.2161221866553</v>
      </c>
      <c r="C62" s="8">
        <f si="0" t="shared"/>
        <v>5.3921662865531544E-4</v>
      </c>
      <c r="E62" s="9">
        <v>51</v>
      </c>
      <c r="F62" s="9" t="n">
        <v>468.0</v>
      </c>
      <c r="G62" s="8">
        <f si="1" t="shared"/>
        <v>1.1229458984679016E-3</v>
      </c>
    </row>
    <row r="63" spans="1:7" x14ac:dyDescent="0.45">
      <c r="A63">
        <v>52</v>
      </c>
      <c r="B63" s="5" t="n">
        <v>36.8212932894473</v>
      </c>
      <c r="C63" s="8">
        <f si="0" t="shared"/>
        <v>2.1299591920920656E-4</v>
      </c>
      <c r="E63" s="9">
        <v>52</v>
      </c>
      <c r="F63" s="9" t="n">
        <v>419.0</v>
      </c>
      <c r="G63" s="8">
        <f si="1" t="shared"/>
        <v>1.1507415890240377E-3</v>
      </c>
    </row>
    <row r="64" spans="1:7" x14ac:dyDescent="0.45">
      <c r="A64">
        <v>53</v>
      </c>
      <c r="B64" s="5" t="n">
        <v>42.6515126545767</v>
      </c>
      <c r="C64" s="8">
        <f si="0" t="shared"/>
        <v>2.4672132160355833E-4</v>
      </c>
      <c r="E64" s="9">
        <v>53</v>
      </c>
      <c r="F64" s="9" t="n">
        <v>419.0</v>
      </c>
      <c r="G64" s="8">
        <f si="1" t="shared"/>
        <v>1.0339996886882658E-3</v>
      </c>
    </row>
    <row r="65" spans="1:7" x14ac:dyDescent="0.45">
      <c r="A65">
        <v>54</v>
      </c>
      <c r="B65" s="5" t="n">
        <v>151.4750802909842</v>
      </c>
      <c r="C65" s="8">
        <f si="0" t="shared"/>
        <v>8.7622055288082579E-4</v>
      </c>
      <c r="E65" s="9">
        <v>54</v>
      </c>
      <c r="F65" s="9" t="n">
        <v>417.0</v>
      </c>
      <c r="G65" s="8">
        <f si="1" t="shared"/>
        <v>8.4220942385092616E-4</v>
      </c>
    </row>
    <row r="66" spans="1:7" x14ac:dyDescent="0.45">
      <c r="A66">
        <v>55</v>
      </c>
      <c r="B66" s="5" t="n">
        <v>0.0</v>
      </c>
      <c r="C66" s="8">
        <f si="0" t="shared"/>
        <v>0</v>
      </c>
      <c r="E66" s="9">
        <v>55</v>
      </c>
      <c r="F66" s="9" t="n">
        <v>341.0</v>
      </c>
      <c r="G66" s="8">
        <f si="1" t="shared"/>
        <v>8.839029596851304E-4</v>
      </c>
    </row>
    <row r="67" spans="1:7" x14ac:dyDescent="0.45">
      <c r="A67">
        <v>56</v>
      </c>
      <c r="B67" s="5" t="n">
        <v>193.92744659451398</v>
      </c>
      <c r="C67" s="8">
        <f si="0" t="shared"/>
        <v>1.1217898953899789E-3</v>
      </c>
      <c r="E67" s="9">
        <v>56</v>
      </c>
      <c r="F67" s="9" t="n">
        <v>361.0</v>
      </c>
      <c r="G67" s="8">
        <f si="1" t="shared"/>
        <v>8.8668252874074408E-4</v>
      </c>
    </row>
    <row r="68" spans="1:7" x14ac:dyDescent="0.45">
      <c r="A68">
        <v>57</v>
      </c>
      <c r="B68" s="5" t="n">
        <v>0.0</v>
      </c>
      <c r="C68" s="8">
        <f si="0" t="shared"/>
        <v>0</v>
      </c>
      <c r="E68" s="9">
        <v>57</v>
      </c>
      <c r="F68" s="9" t="n">
        <v>330.0</v>
      </c>
      <c r="G68" s="8">
        <f si="1" t="shared"/>
        <v>7.4770407596006319E-4</v>
      </c>
    </row>
    <row r="69" spans="1:7" x14ac:dyDescent="0.45">
      <c r="A69">
        <v>58</v>
      </c>
      <c r="B69" s="5" t="n">
        <v>71.4138027869201</v>
      </c>
      <c r="C69" s="8">
        <f si="0" t="shared"/>
        <v>4.1309924801539652E-4</v>
      </c>
      <c r="E69" s="9">
        <v>58</v>
      </c>
      <c r="F69" s="9" t="n">
        <v>247.0</v>
      </c>
      <c r="G69" s="8">
        <f si="1" t="shared"/>
        <v>6.9489226390340446E-4</v>
      </c>
    </row>
    <row r="70" spans="1:7" x14ac:dyDescent="0.45">
      <c r="A70">
        <v>59</v>
      </c>
      <c r="B70" s="5" t="n">
        <v>744.384292953602</v>
      </c>
      <c r="C70" s="8">
        <f si="0" t="shared"/>
        <v>4.3059545865540587E-3</v>
      </c>
      <c r="E70" s="9">
        <v>59</v>
      </c>
      <c r="F70" s="9" t="n">
        <v>293.0</v>
      </c>
      <c r="G70" s="8">
        <f si="1" t="shared"/>
        <v>5.8648907073447333E-4</v>
      </c>
    </row>
    <row r="71" spans="1:7" x14ac:dyDescent="0.45">
      <c r="A71">
        <v>60</v>
      </c>
      <c r="B71" s="5" t="n">
        <v>0.0</v>
      </c>
      <c r="C71" s="8">
        <f si="0" t="shared"/>
        <v>0</v>
      </c>
      <c r="E71" s="9">
        <v>60</v>
      </c>
      <c r="F71" s="9" t="n">
        <v>199.0</v>
      </c>
      <c r="G71" s="8">
        <f si="1" t="shared"/>
        <v>6.1984389940183677E-4</v>
      </c>
    </row>
    <row r="72" spans="1:7" x14ac:dyDescent="0.45">
      <c r="A72">
        <v>61</v>
      </c>
      <c r="B72" s="5" t="n">
        <v>0.0</v>
      </c>
      <c r="C72" s="8">
        <f si="0" t="shared"/>
        <v>0</v>
      </c>
      <c r="E72" s="9">
        <v>61</v>
      </c>
      <c r="F72" s="9" t="n">
        <v>231.0</v>
      </c>
      <c r="G72" s="8">
        <f si="1" t="shared"/>
        <v>5.2533855151097369E-4</v>
      </c>
    </row>
    <row r="73" spans="1:7" x14ac:dyDescent="0.45">
      <c r="A73">
        <v>62</v>
      </c>
      <c r="B73" s="5" t="n">
        <v>85.6632519695921</v>
      </c>
      <c r="C73" s="8">
        <f si="0" t="shared"/>
        <v>4.9552640512337152E-4</v>
      </c>
      <c r="E73" s="9">
        <v>62</v>
      </c>
      <c r="F73" s="9" t="n">
        <v>195.0</v>
      </c>
      <c r="G73" s="8">
        <f si="1" t="shared"/>
        <v>5.5591381112272357E-4</v>
      </c>
    </row>
    <row r="74" spans="1:7" x14ac:dyDescent="0.45">
      <c r="A74">
        <v>63</v>
      </c>
      <c r="B74" s="5" t="n">
        <v>0.0</v>
      </c>
      <c r="C74" s="8">
        <f si="0" t="shared"/>
        <v>0</v>
      </c>
      <c r="E74" s="9">
        <v>63</v>
      </c>
      <c r="F74" s="9" t="n">
        <v>210.0</v>
      </c>
      <c r="G74" s="8">
        <f si="1" t="shared"/>
        <v>4.280536345644971E-4</v>
      </c>
    </row>
    <row r="75" spans="1:7" x14ac:dyDescent="0.45">
      <c r="A75">
        <v>64</v>
      </c>
      <c r="B75" s="5" t="n">
        <v>596.6712340486212</v>
      </c>
      <c r="C75" s="8">
        <f si="0" t="shared"/>
        <v>3.4514957680288842E-3</v>
      </c>
      <c r="E75" s="9">
        <v>64</v>
      </c>
      <c r="F75" s="9" t="n">
        <v>206.0</v>
      </c>
      <c r="G75" s="8">
        <f si="1" t="shared"/>
        <v>4.8364501567676945E-4</v>
      </c>
    </row>
    <row r="76" spans="1:7" x14ac:dyDescent="0.45">
      <c r="A76">
        <v>65</v>
      </c>
      <c r="B76" s="5" t="n">
        <v>0.0</v>
      </c>
      <c r="C76" s="8">
        <f si="0" t="shared"/>
        <v>0</v>
      </c>
      <c r="E76" s="9">
        <v>65</v>
      </c>
      <c r="F76" s="9" t="n">
        <v>156.0</v>
      </c>
      <c r="G76" s="8">
        <f si="1" t="shared"/>
        <v>3.8913966778590648E-4</v>
      </c>
    </row>
    <row r="77" spans="1:7" x14ac:dyDescent="0.45">
      <c r="A77">
        <v>66</v>
      </c>
      <c r="B77" s="5" t="n">
        <v>0.0</v>
      </c>
      <c r="C77" s="8">
        <f ref="C77:C102" si="2" t="shared">B77/B$102</f>
        <v>0</v>
      </c>
      <c r="E77" s="9">
        <v>66</v>
      </c>
      <c r="F77" s="9" t="n">
        <v>161.0</v>
      </c>
      <c r="G77" s="8">
        <f ref="G77:G102" si="3" t="shared">F77/F$102</f>
        <v>3.0853216517311155E-4</v>
      </c>
    </row>
    <row r="78" spans="1:7" x14ac:dyDescent="0.45">
      <c r="A78">
        <v>67</v>
      </c>
      <c r="B78" s="5" t="n">
        <v>42.6677780762259</v>
      </c>
      <c r="C78" s="8">
        <f si="2" t="shared"/>
        <v>2.4681541032576214E-4</v>
      </c>
      <c r="E78" s="9">
        <v>67</v>
      </c>
      <c r="F78" s="9" t="n">
        <v>178.0</v>
      </c>
      <c r="G78" s="8">
        <f si="3" t="shared"/>
        <v>3.4188699384047499E-4</v>
      </c>
    </row>
    <row r="79" spans="1:7" x14ac:dyDescent="0.45">
      <c r="A79">
        <v>68</v>
      </c>
      <c r="B79" s="5" t="n">
        <v>37.7453537279993</v>
      </c>
      <c r="C79" s="8">
        <f si="2" t="shared"/>
        <v>2.1834122582206945E-4</v>
      </c>
      <c r="E79" s="9">
        <v>68</v>
      </c>
      <c r="F79" s="9" t="n">
        <v>138.0</v>
      </c>
      <c r="G79" s="8">
        <f si="3" t="shared"/>
        <v>3.2798914856240689E-4</v>
      </c>
    </row>
    <row r="80" spans="1:7" x14ac:dyDescent="0.45">
      <c r="A80">
        <v>69</v>
      </c>
      <c r="B80" s="5" t="n">
        <v>0.0</v>
      </c>
      <c r="C80" s="8">
        <f si="2" t="shared"/>
        <v>0</v>
      </c>
      <c r="E80" s="9">
        <v>69</v>
      </c>
      <c r="F80" s="9" t="n">
        <v>122.0</v>
      </c>
      <c r="G80" s="8">
        <f si="3" t="shared"/>
        <v>2.7795690556136178E-4</v>
      </c>
    </row>
    <row r="81" spans="1:7" x14ac:dyDescent="0.45">
      <c r="A81">
        <v>70</v>
      </c>
      <c r="B81" s="5" t="n">
        <v>0.0</v>
      </c>
      <c r="C81" s="8">
        <f si="2" t="shared"/>
        <v>0</v>
      </c>
      <c r="E81" s="9">
        <v>70</v>
      </c>
      <c r="F81" s="9" t="n">
        <v>127.0</v>
      </c>
      <c r="G81" s="8">
        <f si="3" t="shared"/>
        <v>2.529407840608392E-4</v>
      </c>
    </row>
    <row r="82" spans="1:7" x14ac:dyDescent="0.45">
      <c r="A82">
        <v>71</v>
      </c>
      <c r="B82" s="5" t="n">
        <v>0.0</v>
      </c>
      <c r="C82" s="8">
        <f si="2" t="shared"/>
        <v>0</v>
      </c>
      <c r="E82" s="9">
        <v>71</v>
      </c>
      <c r="F82" s="9" t="n">
        <v>109.0</v>
      </c>
      <c r="G82" s="8">
        <f si="3" t="shared"/>
        <v>3.1131173422872517E-4</v>
      </c>
    </row>
    <row r="83" spans="1:7" x14ac:dyDescent="0.45">
      <c r="A83">
        <v>72</v>
      </c>
      <c r="B83" s="5" t="n">
        <v>0.0</v>
      </c>
      <c r="C83" s="8">
        <f si="2" t="shared"/>
        <v>0</v>
      </c>
      <c r="E83" s="9">
        <v>72</v>
      </c>
      <c r="F83" s="9" t="n">
        <v>107.0</v>
      </c>
      <c r="G83" s="8">
        <f si="3" t="shared"/>
        <v>2.2792466256031665E-4</v>
      </c>
    </row>
    <row r="84" spans="1:7" x14ac:dyDescent="0.45">
      <c r="A84">
        <v>73</v>
      </c>
      <c r="B84" s="5" t="n">
        <v>53.8266490113655</v>
      </c>
      <c r="C84" s="8">
        <f si="2" t="shared"/>
        <v>3.1136485332015386E-4</v>
      </c>
      <c r="E84" s="9">
        <v>73</v>
      </c>
      <c r="F84" s="9" t="n">
        <v>98.0</v>
      </c>
      <c r="G84" s="8">
        <f si="3" t="shared"/>
        <v>2.2514509350470303E-4</v>
      </c>
    </row>
    <row r="85" spans="1:7" x14ac:dyDescent="0.45">
      <c r="A85">
        <v>74</v>
      </c>
      <c r="B85" s="5" t="n">
        <v>0.0</v>
      </c>
      <c r="C85" s="8">
        <f si="2" t="shared"/>
        <v>0</v>
      </c>
      <c r="E85" s="9">
        <v>74</v>
      </c>
      <c r="F85" s="9" t="n">
        <v>75.0</v>
      </c>
      <c r="G85" s="8">
        <f si="3" t="shared"/>
        <v>2.029085410597941E-4</v>
      </c>
    </row>
    <row r="86" spans="1:7" x14ac:dyDescent="0.45">
      <c r="A86">
        <v>75</v>
      </c>
      <c r="B86" s="5" t="n">
        <v>380.84767715949</v>
      </c>
      <c r="C86" s="8">
        <f si="2" t="shared"/>
        <v>2.2030459505485325E-3</v>
      </c>
      <c r="E86" s="9">
        <v>75</v>
      </c>
      <c r="F86" s="9" t="n">
        <v>74.0</v>
      </c>
      <c r="G86" s="8">
        <f si="3" t="shared"/>
        <v>1.8067198861488514E-4</v>
      </c>
    </row>
    <row r="87" spans="1:7" x14ac:dyDescent="0.45">
      <c r="A87">
        <v>76</v>
      </c>
      <c r="B87" s="5" t="n">
        <v>215.645779152528</v>
      </c>
      <c r="C87" s="8">
        <f si="2" t="shared"/>
        <v>1.2474214469631877E-3</v>
      </c>
      <c r="E87" s="9">
        <v>76</v>
      </c>
      <c r="F87" s="9" t="n">
        <v>87.0</v>
      </c>
      <c r="G87" s="8">
        <f si="3" t="shared"/>
        <v>1.4731715994752172E-4</v>
      </c>
    </row>
    <row r="88" spans="1:7" x14ac:dyDescent="0.45">
      <c r="A88">
        <v>77</v>
      </c>
      <c r="B88" s="5" t="n">
        <v>0.0</v>
      </c>
      <c r="C88" s="8">
        <f si="2" t="shared"/>
        <v>0</v>
      </c>
      <c r="E88" s="9">
        <v>77</v>
      </c>
      <c r="F88" s="9" t="n">
        <v>56.0</v>
      </c>
      <c r="G88" s="8">
        <f si="3" t="shared"/>
        <v>1.0562362411331747E-4</v>
      </c>
    </row>
    <row r="89" spans="1:7" x14ac:dyDescent="0.45">
      <c r="A89">
        <v>78</v>
      </c>
      <c r="B89" s="5" t="n">
        <v>248.198392154463</v>
      </c>
      <c r="C89" s="8">
        <f si="2" t="shared"/>
        <v>1.435724820082236E-3</v>
      </c>
      <c r="E89" s="9">
        <v>78</v>
      </c>
      <c r="F89" s="9" t="n">
        <v>54.0</v>
      </c>
      <c r="G89" s="8">
        <f si="3" t="shared"/>
        <v>1.1674190033577195E-4</v>
      </c>
    </row>
    <row r="90" spans="1:7" x14ac:dyDescent="0.45">
      <c r="A90">
        <v>79</v>
      </c>
      <c r="B90" s="5" t="n">
        <v>0.0</v>
      </c>
      <c r="C90" s="8">
        <f si="2" t="shared"/>
        <v>0</v>
      </c>
      <c r="E90" s="9">
        <v>79</v>
      </c>
      <c r="F90" s="9" t="n">
        <v>58.0</v>
      </c>
      <c r="G90" s="8">
        <f si="3" t="shared"/>
        <v>1.1118276222454471E-4</v>
      </c>
    </row>
    <row r="91" spans="1:7" x14ac:dyDescent="0.45">
      <c r="A91">
        <v>80</v>
      </c>
      <c r="B91" s="5" t="n">
        <v>0.0</v>
      </c>
      <c r="C91" s="8">
        <f si="2" t="shared"/>
        <v>0</v>
      </c>
      <c r="E91" s="9">
        <v>80</v>
      </c>
      <c r="F91" s="9" t="n">
        <v>69.0</v>
      </c>
      <c r="G91" s="8">
        <f si="3" t="shared"/>
        <v>1.3341931466945365E-4</v>
      </c>
    </row>
    <row r="92" spans="1:7" x14ac:dyDescent="0.45">
      <c r="A92">
        <v>81</v>
      </c>
      <c r="B92" s="5" t="n">
        <v>0.0</v>
      </c>
      <c r="C92" s="8">
        <f si="2" t="shared"/>
        <v>0</v>
      </c>
      <c r="E92" s="9">
        <v>81</v>
      </c>
      <c r="F92" s="9" t="n">
        <v>52.0</v>
      </c>
      <c r="G92" s="8">
        <f si="3" t="shared"/>
        <v>1.3619888372506727E-4</v>
      </c>
    </row>
    <row r="93" spans="1:7" x14ac:dyDescent="0.45">
      <c r="A93">
        <v>82</v>
      </c>
      <c r="B93" s="5" t="n">
        <v>437.028333540149</v>
      </c>
      <c r="C93" s="8">
        <f si="2" t="shared"/>
        <v>2.5280277607611702E-3</v>
      </c>
      <c r="E93" s="9">
        <v>82</v>
      </c>
      <c r="F93" s="9" t="n">
        <v>51.0</v>
      </c>
      <c r="G93" s="8">
        <f si="3" t="shared"/>
        <v>1.0562362411331747E-4</v>
      </c>
    </row>
    <row r="94" spans="1:7" x14ac:dyDescent="0.45">
      <c r="A94">
        <v>83</v>
      </c>
      <c r="B94" s="5" t="n">
        <v>0.0</v>
      </c>
      <c r="C94" s="8">
        <f si="2" t="shared"/>
        <v>0</v>
      </c>
      <c r="E94" s="9">
        <v>83</v>
      </c>
      <c r="F94" s="9" t="n">
        <v>51.0</v>
      </c>
      <c r="G94" s="8">
        <f si="3" t="shared"/>
        <v>1.0284405505770386E-4</v>
      </c>
    </row>
    <row r="95" spans="1:7" x14ac:dyDescent="0.45">
      <c r="A95">
        <v>84</v>
      </c>
      <c r="B95" s="5" t="n">
        <v>0.0</v>
      </c>
      <c r="C95" s="8">
        <f si="2" t="shared"/>
        <v>0</v>
      </c>
      <c r="E95" s="9">
        <v>84</v>
      </c>
      <c r="F95" s="9" t="n">
        <v>45.0</v>
      </c>
      <c r="G95" s="8">
        <f si="3" t="shared"/>
        <v>1.0284405505770386E-4</v>
      </c>
    </row>
    <row r="96" spans="1:7" x14ac:dyDescent="0.45">
      <c r="A96">
        <v>85</v>
      </c>
      <c r="B96" s="5" t="n">
        <v>0.0</v>
      </c>
      <c r="C96" s="8">
        <f si="2" t="shared"/>
        <v>0</v>
      </c>
      <c r="E96" s="9">
        <v>85</v>
      </c>
      <c r="F96" s="9" t="n">
        <v>39.0</v>
      </c>
      <c r="G96" s="8">
        <f si="3" t="shared"/>
        <v>1.0840319316893109E-4</v>
      </c>
    </row>
    <row r="97" spans="1:7" x14ac:dyDescent="0.45">
      <c r="A97">
        <v>86</v>
      </c>
      <c r="B97" s="5" t="n">
        <v>0.0</v>
      </c>
      <c r="C97" s="8">
        <f si="2" t="shared"/>
        <v>0</v>
      </c>
      <c r="E97" s="9">
        <v>86</v>
      </c>
      <c r="F97" s="9" t="n">
        <v>34.0</v>
      </c>
      <c r="G97" s="8">
        <f si="3" t="shared"/>
        <v>1.0284405505770386E-4</v>
      </c>
    </row>
    <row r="98" spans="1:7" x14ac:dyDescent="0.45">
      <c r="A98">
        <v>87</v>
      </c>
      <c r="B98" s="5" t="n">
        <v>0.0</v>
      </c>
      <c r="C98" s="8">
        <f si="2" t="shared"/>
        <v>0</v>
      </c>
      <c r="E98" s="9">
        <v>87</v>
      </c>
      <c r="F98" s="9" t="n">
        <v>43.0</v>
      </c>
      <c r="G98" s="8">
        <f si="3" t="shared"/>
        <v>1.0006448600209024E-4</v>
      </c>
    </row>
    <row r="99" spans="1:7" x14ac:dyDescent="0.45">
      <c r="A99">
        <v>88</v>
      </c>
      <c r="B99" s="5" t="n">
        <v>0.0</v>
      </c>
      <c r="C99" s="8">
        <f si="2" t="shared"/>
        <v>0</v>
      </c>
      <c r="E99" s="9">
        <v>88</v>
      </c>
      <c r="F99" s="9" t="n">
        <v>33.0</v>
      </c>
      <c r="G99" s="8">
        <f si="3" t="shared"/>
        <v>8.0607502612794913E-5</v>
      </c>
    </row>
    <row r="100" spans="1:7" x14ac:dyDescent="0.45">
      <c r="A100">
        <v>89</v>
      </c>
      <c r="B100" s="5" t="n">
        <v>0.0</v>
      </c>
      <c r="C100" s="8">
        <f si="2" t="shared"/>
        <v>0</v>
      </c>
      <c r="E100" s="9">
        <v>89</v>
      </c>
      <c r="F100" s="9" t="n">
        <v>37.0</v>
      </c>
      <c r="G100" s="8">
        <f si="3" t="shared"/>
        <v>7.2268795445954066E-5</v>
      </c>
    </row>
    <row ht="14.65" r="101" spans="1:7" thickBot="1" x14ac:dyDescent="0.5">
      <c r="A101" s="1">
        <v>90</v>
      </c>
      <c r="B101" s="6" t="n">
        <v>0.0</v>
      </c>
      <c r="C101" s="8">
        <f si="2" t="shared"/>
        <v>0</v>
      </c>
      <c r="E101" s="10">
        <v>90</v>
      </c>
      <c r="F101" s="10" t="n">
        <v>805.0</v>
      </c>
      <c r="G101" s="8">
        <f si="3" t="shared"/>
        <v>1.8595316982055103E-3</v>
      </c>
    </row>
    <row r="102" spans="1:7" x14ac:dyDescent="0.45">
      <c r="B102" s="5">
        <f>SUM(B11:B101)</f>
        <v>172873.23356313264</v>
      </c>
      <c r="C102" s="8">
        <f si="2" t="shared"/>
        <v>1</v>
      </c>
      <c r="F102" s="5">
        <f>SUM(F11:F101)</f>
        <v>359768</v>
      </c>
      <c r="G102" s="8">
        <f si="3" t="shared"/>
        <v>1</v>
      </c>
    </row>
  </sheetData>
  <pageMargins bottom="0.75" footer="0.3" header="0.3" left="0.7" right="0.7" top="0.75"/>
  <drawing r:id="rId1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92ECF3F1-AF02-47AC-926E-2641FBE42ED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CF6873-B60F-4E6C-BE82-B3AF833E82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DFE78E-67A3-44CC-997B-45B2F0AD9533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20</vt:i4>
      </vt:variant>
    </vt:vector>
  </HeadingPairs>
  <TitlesOfParts>
    <vt:vector baseType="lpstr" size="38">
      <vt:lpstr>IntermediateStopLocation</vt:lpstr>
      <vt:lpstr>calibration</vt:lpstr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2025-03-20T13:40:32Z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