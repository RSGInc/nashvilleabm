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style+xml" PartName="/xl/charts/style1.xml"/>
  <Override ContentType="application/vnd.ms-office.chartstyle+xml" PartName="/xl/charts/style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9" firstSheet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survey_other_auto_dist" r:id="rId5" sheetId="13"/>
    <sheet name="model_other_auto_dist" r:id="rId6" sheetId="14"/>
    <sheet name="Coeff_Descr" r:id="rId7" sheetId="10"/>
    <sheet name="OtherTourDestination" r:id="rId8" sheetId="9"/>
    <sheet name="Calibration" r:id="rId9" sheetId="7"/>
    <sheet name="calibration_flow" r:id="rId10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hidden="1" localSheetId="9" name="solver_adj">calibration_flow!$V$4:$V$13</definedName>
    <definedName hidden="1" localSheetId="9" name="solver_cvg">0.0001</definedName>
    <definedName hidden="1" localSheetId="9" name="solver_drv">1</definedName>
    <definedName hidden="1" localSheetId="9" name="solver_eng">1</definedName>
    <definedName hidden="1" localSheetId="9" name="solver_est">1</definedName>
    <definedName hidden="1" localSheetId="9" name="solver_itr">2147483647</definedName>
    <definedName hidden="1" localSheetId="9" name="solver_lhs1">calibration_flow!$AC$20:$AC$29</definedName>
    <definedName hidden="1" localSheetId="9" name="solver_lhs2">calibration_flow!$AD$4:$AD$13</definedName>
    <definedName hidden="1" localSheetId="9" name="solver_lhs3">calibration_flow!$AD$4:$AD$13</definedName>
    <definedName hidden="1" localSheetId="9" name="solver_lhs4">calibration_flow!#REF!</definedName>
    <definedName hidden="1" localSheetId="9" name="solver_lin">2</definedName>
    <definedName hidden="1" localSheetId="9" name="solver_mip">2147483647</definedName>
    <definedName hidden="1" localSheetId="9" name="solver_mni">30</definedName>
    <definedName hidden="1" localSheetId="9" name="solver_mrt">0.075</definedName>
    <definedName hidden="1" localSheetId="9" name="solver_msl">2</definedName>
    <definedName hidden="1" localSheetId="9" name="solver_neg">1</definedName>
    <definedName hidden="1" localSheetId="9" name="solver_nod">2147483647</definedName>
    <definedName hidden="1" localSheetId="9" name="solver_num">2</definedName>
    <definedName hidden="1" localSheetId="9" name="solver_nwt">1</definedName>
    <definedName hidden="1" localSheetId="9" name="solver_opt">calibration_flow!$V$16</definedName>
    <definedName hidden="1" localSheetId="9" name="solver_pre">0.000001</definedName>
    <definedName hidden="1" localSheetId="9" name="solver_rbv">1</definedName>
    <definedName hidden="1" localSheetId="9" name="solver_rel1">1</definedName>
    <definedName hidden="1" localSheetId="9" name="solver_rel2">1</definedName>
    <definedName hidden="1" localSheetId="9" name="solver_rel3">1</definedName>
    <definedName hidden="1" localSheetId="9" name="solver_rel4">1</definedName>
    <definedName hidden="1" localSheetId="9" name="solver_rhs1">0.25</definedName>
    <definedName hidden="1" localSheetId="9" name="solver_rhs2">0.05</definedName>
    <definedName hidden="1" localSheetId="9" name="solver_rhs3">0.02</definedName>
    <definedName hidden="1" localSheetId="9" name="solver_rhs4">0.25</definedName>
    <definedName hidden="1" localSheetId="9" name="solver_rlx">2</definedName>
    <definedName hidden="1" localSheetId="9" name="solver_rsd">0</definedName>
    <definedName hidden="1" localSheetId="9" name="solver_scl">1</definedName>
    <definedName hidden="1" localSheetId="9" name="solver_sho">2</definedName>
    <definedName hidden="1" localSheetId="9" name="solver_ssz">100</definedName>
    <definedName hidden="1" localSheetId="9" name="solver_tim">2147483647</definedName>
    <definedName hidden="1" localSheetId="9" name="solver_tol">0.01</definedName>
    <definedName hidden="1" localSheetId="9" name="solver_typ">2</definedName>
    <definedName hidden="1" localSheetId="9" name="solver_val">0</definedName>
    <definedName hidden="1" localSheetId="9" name="solver_ver">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11" l="1" r="F3"/>
  <c i="11" l="1" r="BX2"/>
  <c i="11" r="BY2" s="1"/>
  <c i="11" r="BX3"/>
  <c i="11" r="BY3" s="1"/>
  <c i="11" r="BX4"/>
  <c i="11" r="BY4" s="1"/>
  <c i="11" r="BX5"/>
  <c i="11" r="BY5" s="1"/>
  <c i="11" r="BX6"/>
  <c i="11" r="BY6" s="1"/>
  <c i="11" r="BX7"/>
  <c i="11" r="BY7" s="1"/>
  <c i="11" r="BX8"/>
  <c i="11" r="BY8" s="1"/>
  <c i="11" r="BX9"/>
  <c i="11" r="BY9" s="1"/>
  <c i="11" r="BX10"/>
  <c i="11" r="BY10" s="1"/>
  <c i="11" r="BX11"/>
  <c i="11" r="BY11" s="1"/>
  <c i="11" r="BX12"/>
  <c i="11" r="BY12" s="1"/>
  <c i="11" r="BX13"/>
  <c i="11" r="BY13" s="1"/>
  <c i="11" r="BX14"/>
  <c i="11" r="BY14" s="1"/>
  <c i="11" r="BX15"/>
  <c i="11" r="BY15" s="1"/>
  <c i="11" r="BX16"/>
  <c i="11" r="BY16" s="1"/>
  <c i="11" r="BX17"/>
  <c i="11" r="BY17" s="1"/>
  <c i="11" r="BX18"/>
  <c i="11" r="BY18" s="1"/>
  <c i="11" r="BX19"/>
  <c i="11" r="BY19" s="1"/>
  <c i="11" r="BX20"/>
  <c i="11" r="BY20" s="1"/>
  <c i="11" r="BX21"/>
  <c i="11" r="BY21" s="1"/>
  <c i="11" r="BX22"/>
  <c i="11" r="BY22" s="1"/>
  <c i="11" r="BX23"/>
  <c i="11" r="BY23" s="1"/>
  <c i="11" r="BX24"/>
  <c i="11" r="BY24" s="1"/>
  <c i="11" r="BX25"/>
  <c i="11" r="BY25" s="1"/>
  <c i="11" r="BX26"/>
  <c i="11" r="BY26" s="1"/>
  <c i="11" r="BX27"/>
  <c i="11" r="BY27" s="1"/>
  <c i="11" r="BX28"/>
  <c i="11" r="BY28" s="1"/>
  <c i="11" r="BX29"/>
  <c i="11" r="BY29" s="1"/>
  <c i="11" r="BX30"/>
  <c i="11" r="BY30" s="1"/>
  <c i="11" r="BX31"/>
  <c i="11" r="BY31" s="1"/>
  <c i="11" r="BX32"/>
  <c i="11" r="BY32" s="1"/>
  <c i="11" r="BX33"/>
  <c i="11" r="BY33" s="1"/>
  <c i="11" r="BX34"/>
  <c i="11" r="BY34" s="1"/>
  <c i="11" r="BX35"/>
  <c i="11" r="BY35" s="1"/>
  <c i="11" r="BX36"/>
  <c i="11" r="BY36" s="1"/>
  <c i="11" r="BX37"/>
  <c i="11" r="BY37" s="1"/>
  <c i="11" r="BX38"/>
  <c i="11" r="BY38" s="1"/>
  <c i="11" r="BX39"/>
  <c i="11" r="BY39" s="1"/>
  <c i="11" r="BX40"/>
  <c i="11" r="BY40" s="1"/>
  <c i="11" r="BX41"/>
  <c i="11" r="BY41" s="1"/>
  <c i="11" r="BX42"/>
  <c i="11" r="BY42" s="1"/>
  <c i="11" r="BX43"/>
  <c i="11" r="BY43" s="1"/>
  <c i="11" r="BX44"/>
  <c i="11" r="BY44" s="1"/>
  <c i="11" r="BX45"/>
  <c i="11" r="BY45" s="1"/>
  <c i="11" r="BX46"/>
  <c i="11" r="BY46" s="1"/>
  <c i="11" r="BX47"/>
  <c i="11" r="BY47" s="1"/>
  <c i="11" r="BX48"/>
  <c i="11" r="BY48" s="1"/>
  <c i="11" r="BX49"/>
  <c i="11" r="BY49" s="1"/>
  <c i="11" r="BH50"/>
  <c i="11" r="BI50"/>
  <c i="11" r="BJ50"/>
  <c i="11" r="BK50"/>
  <c i="11" r="BL50"/>
  <c i="11" r="BM50"/>
  <c i="11" r="BN50"/>
  <c i="11" r="BO50"/>
  <c i="11" r="BP50"/>
  <c i="11" r="BQ50"/>
  <c i="11" r="BX50"/>
  <c i="11" r="BY50" s="1"/>
  <c i="11" r="BH51"/>
  <c i="11" r="BI51"/>
  <c i="11" r="BJ51"/>
  <c i="11" r="BK51"/>
  <c i="11" r="BL51"/>
  <c i="11" r="BM51"/>
  <c i="11" r="BN51"/>
  <c i="11" r="BO51"/>
  <c i="11" r="BP51"/>
  <c i="11" r="BQ51"/>
  <c i="11" r="BX51"/>
  <c i="11" r="BY51" s="1"/>
  <c i="11" r="BH52"/>
  <c i="11" r="BI52"/>
  <c i="11" r="BJ52"/>
  <c i="11" r="BK52"/>
  <c i="11" r="BL52"/>
  <c i="11" r="BM52"/>
  <c i="11" r="BN52"/>
  <c i="11" r="BO52"/>
  <c i="11" r="BP52"/>
  <c i="11" r="BQ52"/>
  <c i="11" r="BX52"/>
  <c i="11" r="BY52" s="1"/>
  <c i="11" r="BH53"/>
  <c i="11" r="BI53"/>
  <c i="11" r="BJ53"/>
  <c i="11" r="BK53"/>
  <c i="11" r="BL53"/>
  <c i="11" r="BM53"/>
  <c i="11" r="BN53"/>
  <c i="11" r="BO53"/>
  <c i="11" r="BP53"/>
  <c i="11" r="BQ53"/>
  <c i="11" r="BX53"/>
  <c i="11" r="BY53" s="1"/>
  <c i="11" r="BH54"/>
  <c i="11" r="BI54"/>
  <c i="11" r="BJ54"/>
  <c i="11" r="BK54"/>
  <c i="11" r="BL54"/>
  <c i="11" r="BM54"/>
  <c i="11" r="BN54"/>
  <c i="11" r="BO54"/>
  <c i="11" r="BP54"/>
  <c i="11" r="BQ54"/>
  <c i="11" r="BX54"/>
  <c i="11" r="BY54" s="1"/>
  <c i="11" r="BH55"/>
  <c i="11" r="BI55"/>
  <c i="11" r="BJ55"/>
  <c i="11" r="BK55"/>
  <c i="11" r="BL55"/>
  <c i="11" r="BM55"/>
  <c i="11" r="BN55"/>
  <c i="11" r="BO55"/>
  <c i="11" r="BP55"/>
  <c i="11" r="BQ55"/>
  <c i="11" r="BX55"/>
  <c i="11" r="BY55" s="1"/>
  <c i="11" r="BH56"/>
  <c i="11" r="BI56"/>
  <c i="11" r="BJ56"/>
  <c i="11" r="BK56"/>
  <c i="11" r="BL56"/>
  <c i="11" r="BM56"/>
  <c i="11" r="BN56"/>
  <c i="11" r="BO56"/>
  <c i="11" r="BP56"/>
  <c i="11" r="BQ56"/>
  <c i="11" r="BX56"/>
  <c i="11" r="BY56" s="1"/>
  <c i="11" r="BH57"/>
  <c i="11" r="BI57"/>
  <c i="11" r="BJ57"/>
  <c i="11" r="BK57"/>
  <c i="11" r="BL57"/>
  <c i="11" r="BM57"/>
  <c i="11" r="BN57"/>
  <c i="11" r="BO57"/>
  <c i="11" r="BP57"/>
  <c i="11" r="BQ57"/>
  <c i="11" r="BX57"/>
  <c i="11" r="BY57" s="1"/>
  <c i="11" r="BH58"/>
  <c i="11" r="BI58"/>
  <c i="11" r="BJ58"/>
  <c i="11" r="BK58"/>
  <c i="11" r="BL58"/>
  <c i="11" r="BM58"/>
  <c i="11" r="BN58"/>
  <c i="11" r="BO58"/>
  <c i="11" r="BP58"/>
  <c i="11" r="BQ58"/>
  <c i="11" r="BX58"/>
  <c i="11" r="BY58" s="1"/>
  <c i="11" r="BH59"/>
  <c i="11" r="BI59"/>
  <c i="11" r="BJ59"/>
  <c i="11" r="BK59"/>
  <c i="11" r="BL59"/>
  <c i="11" r="BM59"/>
  <c i="11" r="BN59"/>
  <c i="11" r="BO59"/>
  <c i="11" r="BP59"/>
  <c i="11" r="BQ59"/>
  <c i="11" r="BX59"/>
  <c i="11" r="BY59" s="1"/>
  <c i="11" r="BX60"/>
  <c i="11" r="BY60" s="1"/>
  <c i="11" r="BX61"/>
  <c i="11" r="BY61" s="1"/>
  <c i="11" r="BX62"/>
  <c i="11" r="BY62" s="1"/>
  <c i="11" r="BX63"/>
  <c i="11" r="BY63" s="1"/>
  <c i="11" r="BX64"/>
  <c i="11" r="BY64" s="1"/>
  <c i="11" r="BX65"/>
  <c i="11" r="BY65" s="1"/>
  <c i="11" r="BX66"/>
  <c i="11" r="BY66" s="1"/>
  <c i="11" r="BX67"/>
  <c i="11" r="BY67" s="1"/>
  <c i="11" r="BX68"/>
  <c i="11" r="BY68" s="1"/>
  <c i="11" r="BX69"/>
  <c i="11" r="BY69" s="1"/>
  <c i="11" r="BX70"/>
  <c i="11" r="BY70" s="1"/>
  <c i="11" r="BX71"/>
  <c i="11" r="BY71" s="1"/>
  <c i="11" r="BX72"/>
  <c i="11" r="BY72" s="1"/>
  <c i="11" r="BX73"/>
  <c i="11" r="BY73" s="1"/>
  <c i="11" r="BX74"/>
  <c i="11" r="BY74" s="1"/>
  <c i="11" r="BX75"/>
  <c i="11" r="BY75" s="1"/>
  <c i="11" r="BX76"/>
  <c i="11" r="BY76" s="1"/>
  <c i="11" r="BX77"/>
  <c i="11" r="BY77" s="1"/>
  <c i="11" r="BX78"/>
  <c i="11" r="BY78" s="1"/>
  <c i="11" r="BX79"/>
  <c i="11" r="BY79" s="1"/>
  <c i="11" r="BX80"/>
  <c i="11" r="BY80" s="1"/>
  <c i="11" r="BX81"/>
  <c i="11" r="BY81" s="1"/>
  <c i="11" r="BX82"/>
  <c i="11" r="BY82" s="1"/>
  <c i="11" r="BX83"/>
  <c i="11" r="BY83" s="1"/>
  <c i="11" r="BX84"/>
  <c i="11" r="BY84" s="1"/>
  <c i="11" r="BX85"/>
  <c i="11" r="BY85" s="1"/>
  <c i="11" r="BX86"/>
  <c i="11" r="BY86" s="1"/>
  <c i="11" r="BX87"/>
  <c i="11" r="BY87" s="1"/>
  <c i="11" r="BX88"/>
  <c i="11" r="BY88" s="1"/>
  <c i="11" r="BX89"/>
  <c i="11" r="BY89" s="1"/>
  <c i="11" r="BX90"/>
  <c i="11" r="BY90" s="1"/>
  <c i="11" r="BX91"/>
  <c i="11" r="BY91" s="1"/>
  <c i="11" r="BX92"/>
  <c i="11" r="BY92" s="1"/>
  <c i="11" r="BX93"/>
  <c i="11" r="BY93" s="1"/>
  <c i="11" r="BX94"/>
  <c i="11" r="BY94" s="1"/>
  <c i="11" r="BX95"/>
  <c i="11" r="BY95" s="1"/>
  <c i="11" r="BX96"/>
  <c i="11" r="BY96" s="1"/>
  <c i="11" r="BX97"/>
  <c i="11" r="BY97" s="1"/>
  <c i="11" r="BX98"/>
  <c i="11" r="BY98" s="1"/>
  <c i="11" r="BX99"/>
  <c i="11" r="BY99" s="1"/>
  <c i="11" r="BX100"/>
  <c i="11" r="BY100" s="1"/>
  <c i="11" r="BX101"/>
  <c i="11" r="BY101" s="1"/>
  <c i="11" l="1" r="CB2"/>
  <c i="11" r="CB95"/>
  <c i="11" r="CB94"/>
  <c i="11" r="CB93"/>
  <c i="11" r="CB58"/>
  <c i="11" r="CB84"/>
  <c i="11" r="CB28"/>
  <c i="11" r="CB18"/>
  <c i="11" r="CB17"/>
  <c i="11" r="CB31"/>
  <c i="11" r="CB26"/>
  <c i="11" r="CB21"/>
  <c i="11" r="CB16"/>
  <c i="11" r="CB34"/>
  <c i="11" r="CB89"/>
  <c i="11" r="CB15"/>
  <c i="11" r="CB30"/>
  <c i="11" r="CB88"/>
  <c i="11" r="CB22"/>
  <c i="11" r="CB80"/>
  <c i="11" r="CB14"/>
  <c i="11" r="CB32"/>
  <c i="11" r="CB13"/>
  <c i="11" r="CB101"/>
  <c i="11" r="CB60"/>
  <c i="11" r="CB38"/>
  <c i="11" r="CB76"/>
  <c i="11" r="CB12"/>
  <c i="11" r="CB97"/>
  <c i="11" r="CB50"/>
  <c i="11" r="CB75"/>
  <c i="11" r="CB11"/>
  <c i="11" r="CB27"/>
  <c i="11" r="CB20"/>
  <c i="11" r="CB78"/>
  <c i="11" r="CB57"/>
  <c i="11" r="CB72"/>
  <c i="11" r="CB10"/>
  <c i="11" r="CB100"/>
  <c i="11" r="CB36"/>
  <c i="11" r="CB87"/>
  <c i="11" r="CB49"/>
  <c i="11" r="CB9"/>
  <c i="11" r="CB37"/>
  <c i="11" r="CB91"/>
  <c i="11" r="CB90"/>
  <c i="11" r="CB25"/>
  <c i="11" r="CB83"/>
  <c i="11" r="CB82"/>
  <c i="11" r="CB74"/>
  <c i="11" r="CB48"/>
  <c i="11" r="CB8"/>
  <c i="11" r="CB29"/>
  <c i="11" r="CB54"/>
  <c i="11" r="CB19"/>
  <c i="11" r="CB77"/>
  <c i="11" r="CB73"/>
  <c i="11" r="CB47"/>
  <c i="11" r="CB7"/>
  <c i="11" r="CB35"/>
  <c i="11" r="CB51"/>
  <c i="11" r="CB85"/>
  <c i="11" r="CB68"/>
  <c i="11" r="CB66"/>
  <c i="11" r="CB56"/>
  <c i="11" r="CB46"/>
  <c i="11" r="CB6"/>
  <c i="11" r="CB61"/>
  <c i="11" r="CB99"/>
  <c i="11" r="CB39"/>
  <c i="11" r="CB98"/>
  <c i="11" r="CB55"/>
  <c i="11" r="CB92"/>
  <c i="11" r="CB53"/>
  <c i="11" r="CB45"/>
  <c i="11" r="CB5"/>
  <c i="11" r="CB40"/>
  <c i="11" r="CB59"/>
  <c i="11" r="CB96"/>
  <c i="11" r="CB86"/>
  <c i="11" r="CB70"/>
  <c i="11" r="CB44"/>
  <c i="11" r="CB4"/>
  <c i="11" r="CB33"/>
  <c i="11" r="CB24"/>
  <c i="11" r="CB79"/>
  <c i="11" r="CB71"/>
  <c i="11" r="CB69"/>
  <c i="11" r="CB43"/>
  <c i="11" r="CB3"/>
  <c i="11" r="CB41"/>
  <c i="11" r="CB23"/>
  <c i="11" r="CB81"/>
  <c i="11" r="CB67"/>
  <c i="11" r="CB65"/>
  <c i="11" r="CB64"/>
  <c i="11" r="CB63"/>
  <c i="11" r="CB62"/>
  <c i="11" r="CB52"/>
  <c i="11" r="CB42"/>
  <c i="11" r="BW49"/>
  <c i="11" r="BV49" s="1"/>
  <c i="11" r="BW48"/>
  <c i="11" r="BV48" s="1"/>
  <c i="11" r="BW66"/>
  <c i="11" r="BV66" s="1"/>
  <c i="11" r="BW17"/>
  <c i="11" r="BV17" s="1"/>
  <c i="11" r="BW45"/>
  <c i="11" r="BV45" s="1"/>
  <c i="11" r="BW16"/>
  <c i="11" r="BV16" s="1"/>
  <c i="11" r="BW64"/>
  <c i="11" r="BV64" s="1"/>
  <c i="11" r="BW44"/>
  <c i="11" r="BV44" s="1"/>
  <c i="11" r="BW15"/>
  <c i="11" r="BV15" s="1"/>
  <c i="11" r="BW43"/>
  <c i="11" r="BV43" s="1"/>
  <c i="11" r="BW14"/>
  <c i="11" r="BV14" s="1"/>
  <c i="11" r="BW56"/>
  <c i="11" r="BV56" s="1"/>
  <c i="11" r="BW63"/>
  <c i="11" r="BV63" s="1"/>
  <c i="11" r="BW101"/>
  <c i="11" r="BW40"/>
  <c i="11" r="BV40" s="1"/>
  <c i="11" r="BW99"/>
  <c i="11" r="BV99" s="1"/>
  <c i="11" r="BW37"/>
  <c i="11" r="BV37" s="1"/>
  <c i="11" r="BW34"/>
  <c i="11" r="BV34" s="1"/>
  <c i="11" r="BW92"/>
  <c i="11" r="BV92" s="1"/>
  <c i="11" r="BW31"/>
  <c i="11" r="BW70"/>
  <c i="11" r="BV70" s="1"/>
  <c i="11" r="BW46"/>
  <c i="11" r="BV46" s="1"/>
  <c i="11" r="BW29"/>
  <c i="11" r="BV29" s="1"/>
  <c i="11" r="BW39"/>
  <c i="11" r="BV39" s="1"/>
  <c i="11" r="BW91"/>
  <c i="11" r="BW28"/>
  <c i="11" r="BV28" s="1"/>
  <c i="11" r="BW98"/>
  <c i="11" r="BV98" s="1"/>
  <c i="11" r="BW7"/>
  <c i="11" r="BV7" s="1"/>
  <c i="11" r="BW71"/>
  <c i="11" r="BW67"/>
  <c i="11" r="BV67" s="1"/>
  <c i="11" r="BW55"/>
  <c i="11" r="BV55" s="1"/>
  <c i="11" r="BW51"/>
  <c i="11" r="BW58"/>
  <c i="11" r="BV58" s="1"/>
  <c i="11" r="BW85"/>
  <c i="11" r="BV85" s="1"/>
  <c i="11" r="BW26"/>
  <c i="11" r="BV26" s="1"/>
  <c i="11" r="BW84"/>
  <c i="11" r="BV84" s="1"/>
  <c i="11" r="BW54"/>
  <c i="11" r="BV54" s="1"/>
  <c i="11" r="BW25"/>
  <c i="11" r="BV25" s="1"/>
  <c i="11" r="BW6"/>
  <c i="11" r="BV6" s="1"/>
  <c i="11" r="BW86"/>
  <c i="11" r="BV86" s="1"/>
  <c i="11" r="BW24"/>
  <c i="11" r="BV24" s="1"/>
  <c i="11" r="BW36"/>
  <c i="11" r="BV36" s="1"/>
  <c i="11" r="BW33"/>
  <c i="11" r="BV33" s="1"/>
  <c i="11" r="BW83"/>
  <c i="11" r="BV83" s="1"/>
  <c i="11" r="BW82"/>
  <c i="11" r="BV82" s="1"/>
  <c i="11" r="BW23"/>
  <c i="11" r="BV23" s="1"/>
  <c i="11" r="BW62"/>
  <c i="11" r="BV62" s="1"/>
  <c i="11" r="BW61"/>
  <c i="11" r="BW38"/>
  <c i="11" r="BV38" s="1"/>
  <c i="11" r="BW97"/>
  <c i="11" r="BV97" s="1"/>
  <c i="11" r="BW81"/>
  <c i="11" r="BW22"/>
  <c i="11" r="BV22" s="1"/>
  <c i="11" r="BW5"/>
  <c i="11" r="BV5" s="1"/>
  <c i="11" r="BW65"/>
  <c i="11" r="BV65" s="1"/>
  <c i="11" r="BW50"/>
  <c i="11" r="BV50" s="1"/>
  <c i="11" r="BW21"/>
  <c i="11" r="BW60"/>
  <c i="11" r="BV60" s="1"/>
  <c i="11" r="BW11"/>
  <c i="11" r="BW95"/>
  <c i="11" r="BV95" s="1"/>
  <c i="11" r="BW13"/>
  <c i="11" r="BV13" s="1"/>
  <c i="11" r="BW100"/>
  <c i="11" r="BV100" s="1"/>
  <c i="11" r="BW79"/>
  <c i="11" r="BV79" s="1"/>
  <c i="11" r="BW20"/>
  <c i="11" r="BV20" s="1"/>
  <c i="11" r="BW78"/>
  <c i="11" r="BV78" s="1"/>
  <c i="11" r="BW19"/>
  <c i="11" r="BV19" s="1"/>
  <c i="11" r="BW41"/>
  <c i="11" r="BW96"/>
  <c i="11" r="BV96" s="1"/>
  <c i="11" r="BW69"/>
  <c i="11" r="BV69" s="1"/>
  <c i="11" r="BW76"/>
  <c i="11" r="BV76" s="1"/>
  <c i="11" r="BW3"/>
  <c i="11" r="BV3" s="1"/>
  <c i="11" r="BW42"/>
  <c i="11" r="BV42" s="1"/>
  <c i="11" r="BW59"/>
  <c i="11" r="BV59" s="1"/>
  <c i="11" r="BW12"/>
  <c i="11" r="BV12" s="1"/>
  <c i="11" r="BW10"/>
  <c i="11" r="BV10" s="1"/>
  <c i="11" r="BW93"/>
  <c i="11" r="BV93" s="1"/>
  <c i="11" r="BW32"/>
  <c i="11" r="BV32" s="1"/>
  <c i="11" r="BW90"/>
  <c i="11" r="BV90" s="1"/>
  <c i="11" r="BW89"/>
  <c i="11" r="BV89" s="1"/>
  <c i="11" r="BW87"/>
  <c i="11" r="BV87" s="1"/>
  <c i="11" r="BW77"/>
  <c i="11" r="BV77" s="1"/>
  <c i="11" r="BW73"/>
  <c i="11" r="BV73" s="1"/>
  <c i="11" r="BW53"/>
  <c i="11" r="BV53" s="1"/>
  <c i="11" r="BW2"/>
  <c i="11" r="BV2" s="1"/>
  <c i="11" r="BW94"/>
  <c i="11" r="BV94" s="1"/>
  <c i="11" r="BW9"/>
  <c i="11" r="BV9" s="1"/>
  <c i="11" r="BW57"/>
  <c i="11" r="BV57" s="1"/>
  <c i="11" r="BW72"/>
  <c i="11" r="BV72" s="1"/>
  <c i="11" r="BW8"/>
  <c i="11" r="BV8" s="1"/>
  <c i="11" r="BW47"/>
  <c i="11" r="BV47" s="1"/>
  <c i="11" r="Q21"/>
  <c i="11" r="Q22"/>
  <c i="11" r="Q27"/>
  <c i="11" r="Q23"/>
  <c i="11" r="Q24"/>
  <c i="11" r="Q25"/>
  <c i="11" r="Q26"/>
  <c i="11" r="Q29"/>
  <c i="11" r="Q20"/>
  <c i="11" r="Q28"/>
  <c i="11" r="BW30"/>
  <c i="11" r="BV30" s="1"/>
  <c i="11" r="Z23"/>
  <c i="11" r="Z24"/>
  <c i="11" r="Z25"/>
  <c i="11" r="Z26"/>
  <c i="11" r="Z27"/>
  <c i="11" r="Z28"/>
  <c i="11" r="Z21"/>
  <c i="11" r="Z20"/>
  <c i="11" r="Z29"/>
  <c i="11" r="Z22"/>
  <c i="11" r="Y21"/>
  <c i="11" r="Y22"/>
  <c i="11" r="Y23"/>
  <c i="11" r="Y24"/>
  <c i="11" r="Y27"/>
  <c i="11" r="Y25"/>
  <c i="11" r="Y26"/>
  <c i="11" r="Y29"/>
  <c i="11" r="Y28"/>
  <c i="11" r="Y20"/>
  <c i="11" r="BW68"/>
  <c i="11" r="BV68" s="1"/>
  <c i="11" r="X25"/>
  <c i="11" r="X27"/>
  <c i="11" r="X24"/>
  <c i="11" r="X23"/>
  <c i="11" r="X22"/>
  <c i="11" r="X21"/>
  <c i="11" r="X20"/>
  <c i="11" r="X26"/>
  <c i="11" r="X29"/>
  <c i="11" r="X28"/>
  <c i="11" r="W26"/>
  <c i="11" r="W27"/>
  <c i="11" r="W28"/>
  <c i="11" r="W29"/>
  <c i="11" r="W22"/>
  <c i="11" r="W24"/>
  <c i="11" r="W21"/>
  <c i="11" r="W23"/>
  <c i="11" r="W20"/>
  <c i="11" r="W25"/>
  <c i="11" r="V23"/>
  <c i="11" r="V24"/>
  <c i="11" r="V25"/>
  <c i="11" r="V26"/>
  <c i="11" r="V27"/>
  <c i="11" r="V28"/>
  <c i="11" r="V21"/>
  <c i="11" r="V20"/>
  <c i="11" r="V29"/>
  <c i="11" r="V22"/>
  <c i="11" r="BW80"/>
  <c i="11" r="BV80" s="1"/>
  <c i="11" r="U21"/>
  <c i="11" r="U22"/>
  <c i="11" r="U23"/>
  <c i="11" r="U27"/>
  <c i="11" r="U24"/>
  <c i="11" r="U25"/>
  <c i="11" r="U26"/>
  <c i="11" r="U29"/>
  <c i="11" r="U28"/>
  <c i="11" r="U20"/>
  <c i="11" r="T28"/>
  <c i="11" r="T25"/>
  <c i="11" r="T27"/>
  <c i="11" r="T24"/>
  <c i="11" r="T23"/>
  <c i="11" r="T22"/>
  <c i="11" r="T26"/>
  <c i="11" r="T21"/>
  <c i="11" r="T20"/>
  <c i="11" r="T29"/>
  <c i="11" r="BW27"/>
  <c i="11" r="BV27" s="1"/>
  <c i="11" r="S26"/>
  <c i="11" r="S27"/>
  <c i="11" r="S28"/>
  <c i="11" r="S29"/>
  <c i="11" r="S22"/>
  <c i="11" r="S24"/>
  <c i="11" r="S21"/>
  <c i="11" r="S23"/>
  <c i="11" r="S20"/>
  <c i="11" r="S25"/>
  <c i="11" r="R23"/>
  <c i="11" r="R24"/>
  <c i="11" r="R25"/>
  <c i="11" r="R26"/>
  <c i="11" r="R27"/>
  <c i="11" r="R28"/>
  <c i="11" r="R21"/>
  <c i="11" r="R20"/>
  <c i="11" r="R29"/>
  <c i="11" r="R22"/>
  <c i="11" r="BW18"/>
  <c i="11" r="BV18" s="1"/>
  <c i="11" r="BW88"/>
  <c i="11" r="BV88" s="1"/>
  <c i="11" r="BW75"/>
  <c i="11" r="BV75" s="1"/>
  <c i="11" r="BW35"/>
  <c i="11" r="BV35" s="1"/>
  <c i="11" r="BW4"/>
  <c i="11" r="BV4" s="1"/>
  <c i="11" r="BW52"/>
  <c i="11" r="BV52" s="1"/>
  <c i="11" r="BW74"/>
  <c i="11" r="BV74" s="1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11" l="1" r="BV21"/>
  <c i="11" r="BV31"/>
  <c i="11" r="BV11"/>
  <c i="11" r="BV101"/>
  <c i="11" r="BV51"/>
  <c i="11" r="BV81"/>
  <c i="11" r="BV71"/>
  <c i="11" r="BV61"/>
  <c i="11" r="BV41"/>
  <c i="11" r="BV91"/>
  <c i="11" r="AB20"/>
  <c i="7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1" r="H15"/>
  <c i="1" r="J13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J39"/>
  <c i="1" r="AD39"/>
  <c i="1" r="AA39"/>
  <c i="1" r="AC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  <c i="11" l="1" r="AB25"/>
  <c i="11" r="AB21"/>
  <c i="11" r="AB27"/>
  <c i="11" r="AB22"/>
  <c i="11" r="AB29"/>
  <c i="11" r="AB24"/>
  <c i="11" r="AB23"/>
  <c i="11" r="AB26"/>
  <c i="11" r="AB28"/>
  <c i="11" l="1" r="N29"/>
  <c i="11" r="N24"/>
  <c i="11" r="AC24" s="1"/>
  <c i="11" r="N21"/>
  <c i="11" r="AC21" s="1"/>
  <c i="11" r="N27"/>
  <c i="11" r="N25"/>
  <c i="11" r="N28"/>
  <c i="11" r="N22"/>
  <c i="11" r="AC22" s="1"/>
  <c i="11" r="N26"/>
  <c i="11" r="N23"/>
  <c i="11" r="AC23" s="1"/>
  <c i="11" r="AC29"/>
  <c i="11" l="1" r="BS28"/>
  <c i="11" r="AP28"/>
  <c i="11" r="BS27"/>
  <c i="11" r="AP27"/>
  <c i="11" r="BS29"/>
  <c i="11" r="AP29"/>
  <c i="11" r="AC28"/>
  <c i="11" r="BS24"/>
  <c i="11" r="AP24"/>
  <c i="11" r="BS26"/>
  <c i="11" r="AP26"/>
  <c i="11" r="BS25"/>
  <c i="11" r="AP25"/>
  <c i="11" r="AC26"/>
  <c i="11" r="AC27"/>
  <c i="11" r="BS22"/>
  <c i="11" r="AP22"/>
  <c i="11" r="BS21"/>
  <c i="11" r="AP21"/>
  <c i="11" r="BS23"/>
  <c i="11" r="AP23"/>
  <c i="11" r="AC25"/>
  <c i="11" l="1" r="BD22"/>
  <c i="11" r="AA72"/>
  <c i="11" r="AA88" s="1"/>
  <c i="11" r="BD27"/>
  <c i="11" r="AA77"/>
  <c i="11" r="AA93" s="1"/>
  <c i="11" r="BD24"/>
  <c i="11" r="AA74"/>
  <c i="11" r="AA90" s="1"/>
  <c i="11" r="BD25"/>
  <c i="11" r="AA75"/>
  <c i="11" r="AA91" s="1"/>
  <c i="11" r="BD21"/>
  <c i="11" r="AA71"/>
  <c i="11" r="AA87" s="1"/>
  <c i="11" r="BD28"/>
  <c i="11" r="AA78"/>
  <c i="11" r="AA94" s="1"/>
  <c i="11" r="BD26"/>
  <c i="11" r="AA76"/>
  <c i="11" r="AA92" s="1"/>
  <c i="11" r="BD29"/>
  <c i="11" r="AA79"/>
  <c i="11" r="AA95" s="1"/>
  <c i="11" r="BD23"/>
  <c i="11" r="AA73"/>
  <c i="11" r="AA89" s="1"/>
  <c i="11" l="1" r="N20"/>
  <c i="11" l="1" r="AP20"/>
  <c i="11" r="BD20" s="1"/>
  <c i="11" r="BS20"/>
  <c i="11" r="AA70"/>
  <c i="11" r="AA86" s="1"/>
  <c i="11" r="AC20"/>
  <c i="11" l="1" r="Q31"/>
  <c i="11" l="1" r="AA31"/>
  <c i="11" r="AP30"/>
  <c i="11" r="Z31"/>
  <c i="11" r="AO30"/>
  <c i="11" r="Y31"/>
  <c i="11" r="X31"/>
  <c i="11" r="AB30"/>
  <c i="11" r="AB31" s="1"/>
  <c i="11" r="W31"/>
  <c i="11" r="AL30"/>
  <c i="11" r="AA80"/>
  <c i="11" r="AA96" s="1"/>
  <c i="11" r="M31"/>
  <c i="11" r="V31"/>
  <c i="11" r="AK30"/>
  <c i="11" r="U31"/>
  <c i="11" r="AJ30"/>
  <c i="11" r="T31"/>
  <c i="11" r="S31"/>
  <c i="11" r="AH30"/>
  <c i="11" r="R31"/>
  <c i="11" r="AG30"/>
  <c i="11" l="1" r="J31"/>
  <c i="11" r="X80"/>
  <c i="11" r="X96" s="1"/>
  <c i="11" r="T80"/>
  <c i="11" r="T96" s="1"/>
  <c i="11" r="F31"/>
  <c i="11" r="G31"/>
  <c i="11" r="U80"/>
  <c i="11" r="U96" s="1"/>
  <c i="11" r="AY30"/>
  <c i="11" r="BM30" s="1"/>
  <c i="11" r="AP37"/>
  <c i="11" r="AA81"/>
  <c i="11" r="AA97" s="1"/>
  <c i="11" r="AX30"/>
  <c i="11" r="BL30" s="1"/>
  <c i="11" r="V80"/>
  <c i="11" r="V96" s="1"/>
  <c i="11" r="H31"/>
  <c i="11" r="AZ30"/>
  <c i="11" r="BN30" s="1"/>
  <c i="11" r="AM30"/>
  <c i="11" r="AV30"/>
  <c i="11" r="BJ30" s="1"/>
  <c i="11" r="K31"/>
  <c i="11" r="Y80"/>
  <c i="11" r="Y96" s="1"/>
  <c i="11" r="AN30"/>
  <c i="11" r="AU30"/>
  <c i="11" r="BI30" s="1"/>
  <c i="11" r="BC30"/>
  <c i="11" r="BQ30" s="1"/>
  <c i="11" r="S80"/>
  <c i="11" r="S96" s="1"/>
  <c i="11" r="E31"/>
  <c i="11" r="BD30"/>
  <c i="11" r="BR30" s="1"/>
  <c i="11" r="AP31"/>
  <c i="11" r="W80"/>
  <c i="11" r="W96" s="1"/>
  <c i="11" r="I31"/>
  <c i="11" r="Z80"/>
  <c i="11" r="Z96" s="1"/>
  <c i="11" r="L31"/>
  <c i="11" r="R80"/>
  <c i="11" r="R96" s="1"/>
  <c i="11" r="D31"/>
  <c i="11" r="AF30"/>
  <c i="11" r="N30"/>
  <c i="11" r="Q80"/>
  <c i="11" r="Q96" s="1"/>
  <c i="11" r="C31"/>
  <c i="11" r="AF37" s="1"/>
  <c i="11" r="AI30"/>
  <c i="11" l="1" r="BB30"/>
  <c i="11" r="BP30" s="1"/>
  <c i="11" r="BP31"/>
  <c i="11" r="AN37"/>
  <c i="11" r="D12" s="1"/>
  <c i="11" r="BA30"/>
  <c i="11" r="BO30" s="1"/>
  <c i="11" r="AK37"/>
  <c i="11" r="D9" s="1"/>
  <c i="11" r="BM31"/>
  <c i="11" r="AW30"/>
  <c i="11" r="BK30" s="1"/>
  <c i="11" r="BH31"/>
  <c i="11" r="D4"/>
  <c i="11" r="N31"/>
  <c i="11" r="AB80"/>
  <c i="11" r="AB96" s="1"/>
  <c i="11" r="BE30"/>
  <c i="11" r="AT30"/>
  <c i="11" r="BH30" s="1"/>
  <c i="11" r="AG37"/>
  <c i="11" r="D5" s="1"/>
  <c i="11" r="BI31"/>
  <c i="11" r="AO37"/>
  <c i="11" r="D13" s="1"/>
  <c i="11" r="BQ31"/>
  <c i="11" r="BL31"/>
  <c i="11" r="AJ37"/>
  <c i="11" r="D8" s="1"/>
  <c i="11" r="BN31"/>
  <c i="11" r="AL37"/>
  <c i="11" r="D10" s="1"/>
  <c i="11" r="AI37"/>
  <c i="11" r="D7" s="1"/>
  <c i="11" r="BK31"/>
  <c i="11" r="AP38"/>
  <c i="11" r="BD31"/>
  <c i="11" r="BJ31"/>
  <c i="11" r="AH37"/>
  <c i="11" r="D6" s="1"/>
  <c i="11" r="BO31"/>
  <c i="11" r="AM37"/>
  <c i="11" r="D11" s="1"/>
  <c i="11" l="1" r="AN22"/>
  <c i="11" r="AN23"/>
  <c i="11" r="AI27"/>
  <c i="11" r="AG25"/>
  <c i="11" r="AO20"/>
  <c i="11" r="AO21"/>
  <c i="11" r="AF26"/>
  <c i="11" r="AF23"/>
  <c i="11" r="AL25"/>
  <c i="11" r="AJ29"/>
  <c i="11" r="AL24"/>
  <c i="11" r="AM25"/>
  <c i="11" r="AG24"/>
  <c i="11" r="AH28"/>
  <c i="11" r="AM27"/>
  <c i="11" r="AK26"/>
  <c i="11" r="AL21"/>
  <c i="11" r="AI26"/>
  <c i="11" r="AL29"/>
  <c i="11" r="AM21"/>
  <c i="11" r="AH25"/>
  <c i="11" r="AF28"/>
  <c i="11" r="AK27"/>
  <c i="11" r="AG23"/>
  <c i="11" r="AG22"/>
  <c i="11" r="AN24"/>
  <c i="11" r="AG21"/>
  <c i="11" r="AN25"/>
  <c i="11" r="AH26"/>
  <c i="11" r="AK23"/>
  <c i="11" r="AM22"/>
  <c i="11" r="AJ25"/>
  <c i="11" r="AH27"/>
  <c i="11" r="AL26"/>
  <c i="11" r="AJ28"/>
  <c i="11" r="AG27"/>
  <c i="11" r="AI28"/>
  <c i="11" r="AI25"/>
  <c i="11" r="AL28"/>
  <c i="11" r="AJ26"/>
  <c i="11" r="AI23"/>
  <c i="11" r="AN20"/>
  <c i="11" r="AJ23"/>
  <c i="11" r="AF25"/>
  <c i="11" r="AJ24"/>
  <c i="11" r="AH29"/>
  <c i="11" r="AF22"/>
  <c i="11" r="AJ21"/>
  <c i="11" r="AL22"/>
  <c i="11" r="AN26"/>
  <c i="11" r="AL27"/>
  <c i="11" r="AO22"/>
  <c i="11" r="AI29"/>
  <c i="11" r="AN27"/>
  <c i="11" r="AM23"/>
  <c i="11" r="AH21"/>
  <c i="11" r="AL23"/>
  <c i="11" r="AK28"/>
  <c i="11" r="AI21"/>
  <c i="11" r="AK29"/>
  <c i="11" r="AI22"/>
  <c i="11" r="AJ27"/>
  <c i="11" r="AO28"/>
  <c i="11" r="AM28"/>
  <c i="11" r="AF24"/>
  <c i="11" r="AH24"/>
  <c i="11" r="AI24"/>
  <c i="11" r="AM26"/>
  <c i="11" r="AM29"/>
  <c i="11" r="AO23"/>
  <c i="11" r="AH22"/>
  <c i="11" r="AN28"/>
  <c i="11" r="AI20"/>
  <c i="11" r="AJ20"/>
  <c i="11" r="AF21"/>
  <c i="11" r="AG28"/>
  <c i="11" r="AF27"/>
  <c i="11" r="AO26"/>
  <c i="11" r="AJ22"/>
  <c i="11" r="AM20"/>
  <c i="11" r="AH20"/>
  <c i="11" r="AG20"/>
  <c i="11" r="AK20"/>
  <c i="11" r="AK22"/>
  <c i="11" r="AN29"/>
  <c i="11" r="AG26"/>
  <c i="11" r="AH23"/>
  <c i="11" r="AF29"/>
  <c i="11" r="AO27"/>
  <c i="11" r="AF20"/>
  <c i="11" r="CC2" s="1"/>
  <c i="11" r="AK21"/>
  <c i="11" r="AK24"/>
  <c i="11" r="AM24"/>
  <c i="11" r="AG29"/>
  <c i="11" r="AK25"/>
  <c i="11" r="AL20"/>
  <c i="11" r="AO24"/>
  <c i="11" r="AO29"/>
  <c i="11" r="AO25"/>
  <c i="11" r="AN21"/>
  <c i="11" r="D14"/>
  <c i="11" r="N47"/>
  <c i="11" r="M44"/>
  <c i="11" r="D44"/>
  <c i="11" r="I44"/>
  <c i="11" r="M40"/>
  <c i="11" r="E47"/>
  <c i="11" r="D48"/>
  <c i="11" r="AG39" s="1"/>
  <c i="11" r="F5" s="1"/>
  <c i="11" r="L37"/>
  <c i="11" r="D41"/>
  <c i="11" r="M45"/>
  <c i="11" r="F40"/>
  <c i="11" r="L41"/>
  <c i="11" r="G44"/>
  <c i="11" r="M48"/>
  <c i="11" r="AP39" s="1"/>
  <c i="11" r="L46"/>
  <c i="11" r="C42"/>
  <c i="11" r="H47"/>
  <c i="11" r="G48"/>
  <c i="11" r="AJ39" s="1"/>
  <c i="11" r="F8" s="1"/>
  <c i="11" r="D45"/>
  <c i="11" r="D37"/>
  <c i="11" r="K40"/>
  <c i="11" r="N41"/>
  <c i="11" r="E41"/>
  <c i="11" r="J46"/>
  <c i="11" r="AQ37"/>
  <c i="11" r="K39"/>
  <c i="11" r="F44"/>
  <c i="11" r="K38"/>
  <c i="11" r="G42"/>
  <c i="11" r="H43"/>
  <c i="11" r="D39"/>
  <c i="11" r="I48"/>
  <c i="11" r="AL39" s="1"/>
  <c i="11" r="F10" s="1"/>
  <c i="11" r="E45"/>
  <c i="11" r="C37"/>
  <c i="11" r="H39"/>
  <c i="11" r="K46"/>
  <c i="11" r="K42"/>
  <c i="11" r="C43"/>
  <c i="11" r="J40"/>
  <c i="11" r="D42"/>
  <c i="11" r="E48"/>
  <c i="11" r="AH39" s="1"/>
  <c i="11" r="F6" s="1"/>
  <c i="11" r="J38"/>
  <c i="11" r="I42"/>
  <c i="11" r="N37"/>
  <c i="11" r="J41"/>
  <c i="11" r="K44"/>
  <c i="11" r="G37"/>
  <c i="11" r="J44"/>
  <c i="11" r="H42"/>
  <c i="11" r="M46"/>
  <c i="11" r="F48"/>
  <c i="11" r="AI39" s="1"/>
  <c i="11" r="F7" s="1"/>
  <c i="11" r="F38"/>
  <c i="11" r="K37"/>
  <c i="11" r="C41"/>
  <c i="11" r="E46"/>
  <c i="11" r="L38"/>
  <c i="11" r="G38"/>
  <c i="11" r="C38"/>
  <c i="11" r="N48"/>
  <c i="11" r="H46"/>
  <c i="11" r="H40"/>
  <c i="11" r="K41"/>
  <c i="11" r="M37"/>
  <c i="11" r="N44"/>
  <c i="11" r="G47"/>
  <c i="11" r="G43"/>
  <c i="11" r="H45"/>
  <c i="11" r="I40"/>
  <c i="11" r="M38"/>
  <c i="11" r="C45"/>
  <c i="11" r="H48"/>
  <c i="11" r="AK39" s="1"/>
  <c i="11" r="F9" s="1"/>
  <c i="11" r="F43"/>
  <c i="11" r="H37"/>
  <c i="11" r="C39"/>
  <c i="11" r="N38"/>
  <c i="11" r="D43"/>
  <c i="11" r="K43"/>
  <c i="11" r="I38"/>
  <c i="11" r="D47"/>
  <c i="11" r="D46"/>
  <c i="11" r="I47"/>
  <c i="11" r="M39"/>
  <c i="11" r="C46"/>
  <c i="11" r="E42"/>
  <c i="11" r="C44"/>
  <c i="11" r="F47"/>
  <c i="11" r="L48"/>
  <c i="11" r="AO39" s="1"/>
  <c i="11" r="F13" s="1"/>
  <c i="11" r="I45"/>
  <c i="11" r="D38"/>
  <c i="11" r="I41"/>
  <c i="11" r="H44"/>
  <c i="11" r="J43"/>
  <c i="11" r="D40"/>
  <c i="11" r="K45"/>
  <c i="11" r="E40"/>
  <c i="11" r="G40"/>
  <c i="11" r="BS31"/>
  <c i="11" r="L39"/>
  <c i="11" r="E43"/>
  <c i="11" r="N46"/>
  <c i="11" r="N39"/>
  <c i="11" r="M43"/>
  <c i="11" r="M47"/>
  <c i="11" r="E44"/>
  <c i="11" r="K47"/>
  <c i="11" r="H38"/>
  <c i="11" r="N42"/>
  <c i="11" r="E39"/>
  <c i="11" r="E37"/>
  <c i="11" r="J39"/>
  <c i="11" r="F42"/>
  <c i="11" r="G39"/>
  <c i="11" r="I37"/>
  <c i="11" r="F41"/>
  <c i="11" r="C40"/>
  <c i="11" r="J45"/>
  <c i="11" r="L44"/>
  <c i="11" r="I39"/>
  <c i="11" r="N45"/>
  <c i="11" r="G46"/>
  <c i="11" r="N43"/>
  <c i="11" r="L40"/>
  <c i="11" r="L45"/>
  <c i="11" r="J42"/>
  <c i="11" r="C48"/>
  <c i="11" r="AF39" s="1"/>
  <c i="11" r="F4" s="1"/>
  <c i="11" r="J47"/>
  <c i="11" r="C47"/>
  <c i="11" r="N40"/>
  <c i="11" r="J48"/>
  <c i="11" r="AM39" s="1"/>
  <c i="11" r="F11" s="1"/>
  <c i="11" r="M42"/>
  <c i="11" r="F39"/>
  <c i="11" r="F46"/>
  <c i="11" r="H41"/>
  <c i="11" r="L43"/>
  <c i="11" r="E38"/>
  <c i="11" r="I43"/>
  <c i="11" r="J37"/>
  <c i="11" r="I46"/>
  <c i="11" r="L47"/>
  <c i="11" r="F37"/>
  <c i="11" r="M41"/>
  <c i="11" r="K48"/>
  <c i="11" r="AN39" s="1"/>
  <c i="11" r="F12" s="1"/>
  <c i="11" r="G45"/>
  <c i="11" r="G41"/>
  <c i="11" r="L42"/>
  <c i="11" r="F45"/>
  <c i="11" l="1" r="CC68"/>
  <c i="11" r="CD68" s="1"/>
  <c i="11" r="CE68" s="1"/>
  <c i="11" r="BN26"/>
  <c i="11" r="BN41" s="1"/>
  <c i="11" r="BZ68" s="1"/>
  <c i="11" r="AZ26"/>
  <c i="11" r="W76"/>
  <c i="11" r="W92" s="1"/>
  <c i="11" r="CC5"/>
  <c i="11" r="CD5" s="1"/>
  <c i="11" r="CE5" s="1"/>
  <c i="11" r="AI31"/>
  <c i="11" r="T70"/>
  <c i="11" r="T86" s="1"/>
  <c i="11" r="BK20"/>
  <c i="11" r="BK35" s="1"/>
  <c i="11" r="BZ5" s="1"/>
  <c i="11" r="AW20"/>
  <c i="11" r="CC74"/>
  <c i="11" r="CD74" s="1"/>
  <c i="11" r="CE74" s="1"/>
  <c i="11" r="BJ27"/>
  <c i="11" r="BJ42" s="1"/>
  <c i="11" r="BZ74" s="1"/>
  <c i="11" r="AV27"/>
  <c i="11" r="S77"/>
  <c i="11" r="S93" s="1"/>
  <c i="11" r="CC90"/>
  <c i="11" r="CD90" s="1"/>
  <c i="11" r="CE90" s="1"/>
  <c i="11" r="BP28"/>
  <c i="11" r="BP43" s="1"/>
  <c i="11" r="BZ90" s="1"/>
  <c i="11" r="BB28"/>
  <c i="11" r="Y78"/>
  <c i="11" r="Y94" s="1"/>
  <c i="11" r="CC73"/>
  <c i="11" r="CD73" s="1"/>
  <c i="11" r="CE73" s="1"/>
  <c i="11" r="BI27"/>
  <c i="11" r="BI42" s="1"/>
  <c i="11" r="BZ73" s="1"/>
  <c i="11" r="R77"/>
  <c i="11" r="R93" s="1"/>
  <c i="11" r="AU27"/>
  <c i="11" r="CC9"/>
  <c i="11" r="CD9" s="1"/>
  <c i="11" r="CE9" s="1"/>
  <c i="11" r="AM31"/>
  <c i="11" r="X70"/>
  <c i="11" r="X86" s="1"/>
  <c i="11" r="BA20"/>
  <c i="11" r="BO20"/>
  <c i="11" r="BO35" s="1"/>
  <c i="11" r="BZ9" s="1"/>
  <c i="11" r="CC55"/>
  <c i="11" r="CD55" s="1"/>
  <c i="11" r="CE55" s="1"/>
  <c i="11" r="BK25"/>
  <c i="11" r="BK40" s="1"/>
  <c i="11" r="BZ55" s="1"/>
  <c i="11" r="T75"/>
  <c i="11" r="T91" s="1"/>
  <c i="11" r="AW25"/>
  <c i="11" r="CC83"/>
  <c i="11" r="CD83" s="1"/>
  <c i="11" r="CE83" s="1"/>
  <c i="11" r="R78"/>
  <c i="11" r="R94" s="1"/>
  <c i="11" r="AU28"/>
  <c i="11" r="BI28"/>
  <c i="11" r="BI43" s="1"/>
  <c i="11" r="BZ83" s="1"/>
  <c i="11" r="CC66"/>
  <c i="11" r="CD66" s="1"/>
  <c i="11" r="CE66" s="1"/>
  <c i="11" r="BL26"/>
  <c i="11" r="BL41" s="1"/>
  <c i="11" r="BZ66" s="1"/>
  <c i="11" r="U76"/>
  <c i="11" r="U92" s="1"/>
  <c i="11" r="AX26"/>
  <c i="11" r="CC20"/>
  <c i="11" r="CD20" s="1"/>
  <c i="11" r="CE20" s="1"/>
  <c i="11" r="BP21"/>
  <c i="11" r="BP36" s="1"/>
  <c i="11" r="BZ20" s="1"/>
  <c i="11" r="BB21"/>
  <c i="11" r="Y71"/>
  <c i="11" r="Y87" s="1"/>
  <c i="11" r="CC98"/>
  <c i="11" r="CD98" s="1"/>
  <c i="11" r="CE98" s="1"/>
  <c i="11" r="BN29"/>
  <c i="11" r="BN44" s="1"/>
  <c i="11" r="BZ98" s="1"/>
  <c i="11" r="W79"/>
  <c i="11" r="W95" s="1"/>
  <c i="11" r="AZ29"/>
  <c i="11" r="CC65"/>
  <c i="11" r="CD65" s="1"/>
  <c i="11" r="CE65" s="1"/>
  <c i="11" r="BK26"/>
  <c i="11" r="BK41" s="1"/>
  <c i="11" r="BZ65" s="1"/>
  <c i="11" r="T76"/>
  <c i="11" r="T92" s="1"/>
  <c i="11" r="AW26"/>
  <c i="11" r="CC85"/>
  <c i="11" r="CD85" s="1"/>
  <c i="11" r="CE85" s="1"/>
  <c i="11" r="BK28"/>
  <c i="11" r="BK43" s="1"/>
  <c i="11" r="BZ85" s="1"/>
  <c i="11" r="AW28"/>
  <c i="11" r="T78"/>
  <c i="11" r="T94" s="1"/>
  <c i="11" r="CC99"/>
  <c i="11" r="CD99" s="1"/>
  <c i="11" r="CE99" s="1"/>
  <c i="11" r="BO29"/>
  <c i="11" r="BO44" s="1"/>
  <c i="11" r="BZ99" s="1"/>
  <c i="11" r="BA29"/>
  <c i="11" r="X79"/>
  <c i="11" r="X95" s="1"/>
  <c i="11" r="CC18"/>
  <c i="11" r="CD18" s="1"/>
  <c i="11" r="CE18" s="1"/>
  <c i="11" r="AZ21"/>
  <c i="11" r="BN21"/>
  <c i="11" r="BN36" s="1"/>
  <c i="11" r="BZ18" s="1"/>
  <c i="11" r="W71"/>
  <c i="11" r="W87" s="1"/>
  <c i="11" r="CC72"/>
  <c i="11" r="CD72" s="1"/>
  <c i="11" r="CE72" s="1"/>
  <c i="11" r="AQ27"/>
  <c i="11" r="Q77"/>
  <c i="11" r="Q93" s="1"/>
  <c i="11" r="AT27"/>
  <c i="11" r="BH27"/>
  <c i="11" r="BH42" s="1"/>
  <c i="11" r="BZ72" s="1"/>
  <c i="11" r="CC56"/>
  <c i="11" r="CD56" s="1"/>
  <c i="11" r="CE56" s="1"/>
  <c i="11" r="BL25"/>
  <c i="11" r="BL40" s="1"/>
  <c i="11" r="BZ56" s="1"/>
  <c i="11" r="U75"/>
  <c i="11" r="U91" s="1"/>
  <c i="11" r="AX25"/>
  <c i="11" r="CC23"/>
  <c i="11" r="CD23" s="1"/>
  <c i="11" r="CE23" s="1"/>
  <c i="11" r="BI22"/>
  <c i="11" r="BI37" s="1"/>
  <c i="11" r="BZ23" s="1"/>
  <c i="11" r="R72"/>
  <c i="11" r="R88" s="1"/>
  <c i="11" r="AU22"/>
  <c i="11" r="CC67"/>
  <c i="11" r="CD67" s="1"/>
  <c i="11" r="CE67" s="1"/>
  <c i="11" r="V76"/>
  <c i="11" r="V92" s="1"/>
  <c i="11" r="AY26"/>
  <c i="11" r="BM26"/>
  <c i="11" r="BM41" s="1"/>
  <c i="11" r="BZ67" s="1"/>
  <c i="11" r="CC61"/>
  <c i="11" r="CD61" s="1"/>
  <c i="11" r="CE61" s="1"/>
  <c i="11" r="BQ25"/>
  <c i="11" r="BQ40" s="1"/>
  <c i="11" r="BZ61" s="1"/>
  <c i="11" r="Z75"/>
  <c i="11" r="Z91" s="1"/>
  <c i="11" r="BC25"/>
  <c i="11" r="CC57"/>
  <c i="11" r="CD57" s="1"/>
  <c i="11" r="CE57" s="1"/>
  <c i="11" r="BM25"/>
  <c i="11" r="BM40" s="1"/>
  <c i="11" r="BZ57" s="1"/>
  <c i="11" r="V75"/>
  <c i="11" r="V91" s="1"/>
  <c i="11" r="AY25"/>
  <c i="11" r="CC39"/>
  <c i="11" r="CD39" s="1"/>
  <c i="11" r="CE39" s="1"/>
  <c i="11" r="BO23"/>
  <c i="11" r="BO38" s="1"/>
  <c i="11" r="BZ39" s="1"/>
  <c i="11" r="X73"/>
  <c i="11" r="X89" s="1"/>
  <c i="11" r="BA23"/>
  <c i="11" r="CC79"/>
  <c i="11" r="CD79" s="1"/>
  <c i="11" r="CE79" s="1"/>
  <c i="11" r="BA27"/>
  <c i="11" r="X77"/>
  <c i="11" r="X93" s="1"/>
  <c i="11" r="BO27"/>
  <c i="11" r="BO42" s="1"/>
  <c i="11" r="BZ79" s="1"/>
  <c i="11" r="CC101"/>
  <c i="11" r="CD101" s="1"/>
  <c i="11" r="CE101" s="1"/>
  <c i="11" r="BQ29"/>
  <c i="11" r="BQ44" s="1"/>
  <c i="11" r="BZ101" s="1"/>
  <c i="11" r="Z79"/>
  <c i="11" r="Z95" s="1"/>
  <c i="11" r="BC29"/>
  <c i="11" r="CC93"/>
  <c i="11" r="CD93" s="1"/>
  <c i="11" r="CE93" s="1"/>
  <c i="11" r="BI29"/>
  <c i="11" r="BI44" s="1"/>
  <c i="11" r="BZ93" s="1"/>
  <c i="11" r="R79"/>
  <c i="11" r="R95" s="1"/>
  <c i="11" r="AU29"/>
  <c i="11" r="CC80"/>
  <c i="11" r="CD80" s="1"/>
  <c i="11" r="CE80" s="1"/>
  <c i="11" r="BP27"/>
  <c i="11" r="BP42" s="1"/>
  <c i="11" r="BZ80" s="1"/>
  <c i="11" r="BB27"/>
  <c i="11" r="Y77"/>
  <c i="11" r="Y93" s="1"/>
  <c i="11" r="CC84"/>
  <c i="11" r="CD84" s="1"/>
  <c i="11" r="CE84" s="1"/>
  <c i="11" r="AV28"/>
  <c i="11" r="S78"/>
  <c i="11" r="S94" s="1"/>
  <c i="11" r="BJ28"/>
  <c i="11" r="BJ43" s="1"/>
  <c i="11" r="BZ84" s="1"/>
  <c i="11" r="CC24"/>
  <c i="11" r="CD24" s="1"/>
  <c i="11" r="CE24" s="1"/>
  <c i="11" r="AV22"/>
  <c i="11" r="BJ22"/>
  <c i="11" r="BJ37" s="1"/>
  <c i="11" r="BZ24" s="1"/>
  <c i="11" r="S72"/>
  <c i="11" r="S88" s="1"/>
  <c i="11" r="CC13"/>
  <c i="11" r="CD13" s="1"/>
  <c i="11" r="CE13" s="1"/>
  <c i="11" r="AU21"/>
  <c i="11" r="R71"/>
  <c i="11" r="R87" s="1"/>
  <c i="11" r="BI21"/>
  <c i="11" r="BI36" s="1"/>
  <c i="11" r="BZ13" s="1"/>
  <c i="11" r="CC38"/>
  <c i="11" r="CD38" s="1"/>
  <c i="11" r="CE38" s="1"/>
  <c i="11" r="BN23"/>
  <c i="11" r="BN38" s="1"/>
  <c i="11" r="BZ38" s="1"/>
  <c i="11" r="AZ23"/>
  <c i="11" r="W73"/>
  <c i="11" r="W89" s="1"/>
  <c i="11" r="CC49"/>
  <c i="11" r="CD49" s="1"/>
  <c i="11" r="CE49" s="1"/>
  <c i="11" r="BA24"/>
  <c i="11" r="X74"/>
  <c i="11" r="X90" s="1"/>
  <c i="11" r="BO24"/>
  <c i="11" r="BO39" s="1"/>
  <c i="11" r="BZ49" s="1"/>
  <c i="11" r="CC95"/>
  <c i="11" r="CD95" s="1"/>
  <c i="11" r="CE95" s="1"/>
  <c i="11" r="BK29"/>
  <c i="11" r="BK44" s="1"/>
  <c i="11" r="BZ95" s="1"/>
  <c i="11" r="AW29"/>
  <c i="11" r="T79"/>
  <c i="11" r="T95" s="1"/>
  <c i="11" r="CC43"/>
  <c i="11" r="CD43" s="1"/>
  <c i="11" r="CE43" s="1"/>
  <c i="11" r="AU24"/>
  <c i="11" r="BI24"/>
  <c i="11" r="BI39" s="1"/>
  <c i="11" r="BZ43" s="1"/>
  <c i="11" r="R74"/>
  <c i="11" r="R90" s="1"/>
  <c i="11" r="CC6"/>
  <c i="11" r="CD6" s="1"/>
  <c i="11" r="CE6" s="1"/>
  <c i="11" r="BL20"/>
  <c i="11" r="BL35" s="1"/>
  <c i="11" r="BZ6" s="1"/>
  <c i="11" r="AX20"/>
  <c i="11" r="U70"/>
  <c i="11" r="U86" s="1"/>
  <c i="11" r="AJ31"/>
  <c i="11" r="CC41"/>
  <c i="11" r="CD41" s="1"/>
  <c i="11" r="CE41" s="1"/>
  <c i="11" r="BC23"/>
  <c i="11" r="BQ23"/>
  <c i="11" r="BQ38" s="1"/>
  <c i="11" r="BZ41" s="1"/>
  <c i="11" r="Z73"/>
  <c i="11" r="Z89" s="1"/>
  <c i="11" r="CC33"/>
  <c i="11" r="CD33" s="1"/>
  <c i="11" r="CE33" s="1"/>
  <c i="11" r="AU23"/>
  <c i="11" r="BI23"/>
  <c i="11" r="BI38" s="1"/>
  <c i="11" r="BZ33" s="1"/>
  <c i="11" r="R73"/>
  <c i="11" r="R89" s="1"/>
  <c i="11" r="CC25"/>
  <c i="11" r="CD25" s="1"/>
  <c i="11" r="CE25" s="1"/>
  <c i="11" r="T72"/>
  <c i="11" r="T88" s="1"/>
  <c i="11" r="AW22"/>
  <c i="11" r="BK22"/>
  <c i="11" r="BK37" s="1"/>
  <c i="11" r="BZ25" s="1"/>
  <c i="11" r="CC47"/>
  <c i="11" r="CD47" s="1"/>
  <c i="11" r="CE47" s="1"/>
  <c i="11" r="V74"/>
  <c i="11" r="V90" s="1"/>
  <c i="11" r="AY24"/>
  <c i="11" r="BM24"/>
  <c i="11" r="BM39" s="1"/>
  <c i="11" r="BZ47" s="1"/>
  <c i="11" r="CC31"/>
  <c i="11" r="CD31" s="1"/>
  <c i="11" r="CE31" s="1"/>
  <c i="11" r="Z72"/>
  <c i="11" r="Z88" s="1"/>
  <c i="11" r="BQ22"/>
  <c i="11" r="BQ37" s="1"/>
  <c i="11" r="BZ31" s="1"/>
  <c i="11" r="BC22"/>
  <c i="11" r="CC59"/>
  <c i="11" r="CD59" s="1"/>
  <c i="11" r="CE59" s="1"/>
  <c i="11" r="BA25"/>
  <c i="11" r="BO25"/>
  <c i="11" r="BO40" s="1"/>
  <c i="11" r="BZ59" s="1"/>
  <c i="11" r="X75"/>
  <c i="11" r="X91" s="1"/>
  <c i="11" r="CC88"/>
  <c i="11" r="CD88" s="1"/>
  <c i="11" r="CE88" s="1"/>
  <c i="11" r="BN28"/>
  <c i="11" r="BN43" s="1"/>
  <c i="11" r="BZ88" s="1"/>
  <c i="11" r="AZ28"/>
  <c i="11" r="W78"/>
  <c i="11" r="W94" s="1"/>
  <c i="11" r="CC60"/>
  <c i="11" r="CD60" s="1"/>
  <c i="11" r="CE60" s="1"/>
  <c i="11" r="BP25"/>
  <c i="11" r="BP40" s="1"/>
  <c i="11" r="BZ60" s="1"/>
  <c i="11" r="Y75"/>
  <c i="11" r="Y91" s="1"/>
  <c i="11" r="BB25"/>
  <c i="11" r="CC15"/>
  <c i="11" r="CD15" s="1"/>
  <c i="11" r="CE15" s="1"/>
  <c i="11" r="AW21"/>
  <c i="11" r="T71"/>
  <c i="11" r="T87" s="1"/>
  <c i="11" r="BK21"/>
  <c i="11" r="BK36" s="1"/>
  <c i="11" r="BZ15" s="1"/>
  <c i="11" r="CC17"/>
  <c i="11" r="CD17" s="1"/>
  <c i="11" r="CE17" s="1"/>
  <c i="11" r="V71"/>
  <c i="11" r="V87" s="1"/>
  <c i="11" r="AY21"/>
  <c i="11" r="BM21"/>
  <c i="11" r="BM36" s="1"/>
  <c i="11" r="BZ17" s="1"/>
  <c i="11" r="CC78"/>
  <c i="11" r="CD78" s="1"/>
  <c i="11" r="CE78" s="1"/>
  <c i="11" r="W77"/>
  <c i="11" r="W93" s="1"/>
  <c i="11" r="AZ27"/>
  <c i="11" r="BN27"/>
  <c i="11" r="BN42" s="1"/>
  <c i="11" r="BZ78" s="1"/>
  <c i="11" r="AL31"/>
  <c i="11" r="CC48"/>
  <c i="11" r="CD48" s="1"/>
  <c i="11" r="CE48" s="1"/>
  <c i="11" r="AZ24"/>
  <c i="11" r="BN24"/>
  <c i="11" r="BN39" s="1"/>
  <c i="11" r="BZ48" s="1"/>
  <c i="11" r="W74"/>
  <c i="11" r="W90" s="1"/>
  <c i="11" r="CC26"/>
  <c i="11" r="CD26" s="1"/>
  <c i="11" r="CE26" s="1"/>
  <c i="11" r="BL22"/>
  <c i="11" r="BL37" s="1"/>
  <c i="11" r="BZ26" s="1"/>
  <c i="11" r="AX22"/>
  <c i="11" r="U72"/>
  <c i="11" r="U88" s="1"/>
  <c i="11" r="CC50"/>
  <c i="11" r="CD50" s="1"/>
  <c i="11" r="CE50" s="1"/>
  <c i="11" r="BP24"/>
  <c i="11" r="BP39" s="1"/>
  <c i="11" r="BZ50" s="1"/>
  <c i="11" r="BB24"/>
  <c i="11" r="Y74"/>
  <c i="11" r="Y90" s="1"/>
  <c i="11" r="CD2"/>
  <c i="11" r="CE2" s="1"/>
  <c i="11" r="AQ20"/>
  <c i="11" r="AF31"/>
  <c i="11" r="BH20"/>
  <c i="11" r="BH35" s="1"/>
  <c i="11" r="BZ2" s="1"/>
  <c i="11" r="Q70"/>
  <c i="11" r="Q86" s="1"/>
  <c i="11" r="AT20"/>
  <c i="11" r="CC70"/>
  <c i="11" r="CD70" s="1"/>
  <c i="11" r="CE70" s="1"/>
  <c i="11" r="Y76"/>
  <c i="11" r="Y92" s="1"/>
  <c i="11" r="BP26"/>
  <c i="11" r="BP41" s="1"/>
  <c i="11" r="BZ70" s="1"/>
  <c i="11" r="BB26"/>
  <c i="11" r="CC96"/>
  <c i="11" r="CD96" s="1"/>
  <c i="11" r="CE96" s="1"/>
  <c i="11" r="AX29"/>
  <c i="11" r="BL29"/>
  <c i="11" r="BL44" s="1"/>
  <c i="11" r="BZ96" s="1"/>
  <c i="11" r="U79"/>
  <c i="11" r="U95" s="1"/>
  <c i="11" r="CC69"/>
  <c i="11" r="CD69" s="1"/>
  <c i="11" r="CE69" s="1"/>
  <c i="11" r="X76"/>
  <c i="11" r="X92" s="1"/>
  <c i="11" r="BO26"/>
  <c i="11" r="BO41" s="1"/>
  <c i="11" r="BZ69" s="1"/>
  <c i="11" r="BA26"/>
  <c i="11" r="CC91"/>
  <c i="11" r="CD91" s="1"/>
  <c i="11" r="CE91" s="1"/>
  <c i="11" r="BQ28"/>
  <c i="11" r="BQ43" s="1"/>
  <c i="11" r="BZ91" s="1"/>
  <c i="11" r="Z78"/>
  <c i="11" r="Z94" s="1"/>
  <c i="11" r="BC28"/>
  <c i="11" r="CC97"/>
  <c i="11" r="CD97" s="1"/>
  <c i="11" r="CE97" s="1"/>
  <c i="11" r="V79"/>
  <c i="11" r="V95" s="1"/>
  <c i="11" r="AY29"/>
  <c i="11" r="BM29"/>
  <c i="11" r="BM44" s="1"/>
  <c i="11" r="BZ97" s="1"/>
  <c i="11" r="CC81"/>
  <c i="11" r="CD81" s="1"/>
  <c i="11" r="CE81" s="1"/>
  <c i="11" r="Z77"/>
  <c i="11" r="Z93" s="1"/>
  <c i="11" r="BC27"/>
  <c i="11" r="BQ27"/>
  <c i="11" r="BQ42" s="1"/>
  <c i="11" r="BZ81" s="1"/>
  <c i="11" r="CC28"/>
  <c i="11" r="CD28" s="1"/>
  <c i="11" r="CE28" s="1"/>
  <c i="11" r="BN22"/>
  <c i="11" r="BN37" s="1"/>
  <c i="11" r="BZ28" s="1"/>
  <c i="11" r="AZ22"/>
  <c i="11" r="W72"/>
  <c i="11" r="W88" s="1"/>
  <c i="11" r="CC58"/>
  <c i="11" r="CD58" s="1"/>
  <c i="11" r="CE58" s="1"/>
  <c i="11" r="BN25"/>
  <c i="11" r="BN40" s="1"/>
  <c i="11" r="BZ58" s="1"/>
  <c i="11" r="W75"/>
  <c i="11" r="W91" s="1"/>
  <c i="11" r="AZ25"/>
  <c i="11" r="CC89"/>
  <c i="11" r="CD89" s="1"/>
  <c i="11" r="CE89" s="1"/>
  <c i="11" r="BA28"/>
  <c i="11" r="X78"/>
  <c i="11" r="X94" s="1"/>
  <c i="11" r="BO28"/>
  <c i="11" r="BO43" s="1"/>
  <c i="11" r="BZ89" s="1"/>
  <c i="11" r="CC87"/>
  <c i="11" r="CD87" s="1"/>
  <c i="11" r="CE87" s="1"/>
  <c i="11" r="V78"/>
  <c i="11" r="V94" s="1"/>
  <c i="11" r="AY28"/>
  <c i="11" r="BM28"/>
  <c i="11" r="BM43" s="1"/>
  <c i="11" r="BZ87" s="1"/>
  <c i="11" r="CC92"/>
  <c i="11" r="CD92" s="1"/>
  <c i="11" r="CE92" s="1"/>
  <c i="11" r="BH29"/>
  <c i="11" r="BH44" s="1"/>
  <c i="11" r="BZ92" s="1"/>
  <c i="11" r="AT29"/>
  <c i="11" r="AQ29"/>
  <c i="11" r="Q79"/>
  <c i="11" r="Q95" s="1"/>
  <c i="11" r="CC16"/>
  <c i="11" r="CD16" s="1"/>
  <c i="11" r="CE16" s="1"/>
  <c i="11" r="BL21"/>
  <c i="11" r="BL36" s="1"/>
  <c i="11" r="BZ16" s="1"/>
  <c i="11" r="U71"/>
  <c i="11" r="U87" s="1"/>
  <c i="11" r="AX21"/>
  <c i="11" r="CC32"/>
  <c i="11" r="CD32" s="1"/>
  <c i="11" r="CE32" s="1"/>
  <c i="11" r="AQ23"/>
  <c i="11" r="Q73"/>
  <c i="11" r="Q89" s="1"/>
  <c i="11" r="AT23"/>
  <c i="11" r="BH23"/>
  <c i="11" r="BH38" s="1"/>
  <c i="11" r="BZ32" s="1"/>
  <c i="11" r="CC42"/>
  <c i="11" r="CD42" s="1"/>
  <c i="11" r="CE42" s="1"/>
  <c i="11" r="Q74"/>
  <c i="11" r="Q90" s="1"/>
  <c i="11" r="AQ24"/>
  <c i="11" r="AT24"/>
  <c i="11" r="BH24"/>
  <c i="11" r="BH39" s="1"/>
  <c i="11" r="BZ42" s="1"/>
  <c i="11" r="CC76"/>
  <c i="11" r="CD76" s="1"/>
  <c i="11" r="CE76" s="1"/>
  <c i="11" r="BL27"/>
  <c i="11" r="BL42" s="1"/>
  <c i="11" r="BZ76" s="1"/>
  <c i="11" r="AX27"/>
  <c i="11" r="U77"/>
  <c i="11" r="U93" s="1"/>
  <c i="11" r="CC51"/>
  <c i="11" r="CD51" s="1"/>
  <c i="11" r="CE51" s="1"/>
  <c i="11" r="Z74"/>
  <c i="11" r="Z90" s="1"/>
  <c i="11" r="BC24"/>
  <c i="11" r="BQ24"/>
  <c i="11" r="BQ39" s="1"/>
  <c i="11" r="BZ51" s="1"/>
  <c i="11" r="CC34"/>
  <c i="11" r="CD34" s="1"/>
  <c i="11" r="CE34" s="1"/>
  <c i="11" r="BJ23"/>
  <c i="11" r="BJ38" s="1"/>
  <c i="11" r="BZ34" s="1"/>
  <c i="11" r="AV23"/>
  <c i="11" r="S73"/>
  <c i="11" r="S89" s="1"/>
  <c i="11" r="CC22"/>
  <c i="11" r="CD22" s="1"/>
  <c i="11" r="CE22" s="1"/>
  <c i="11" r="AT22"/>
  <c i="11" r="Q72"/>
  <c i="11" r="Q88" s="1"/>
  <c i="11" r="AQ22"/>
  <c i="11" r="BH22"/>
  <c i="11" r="BH37" s="1"/>
  <c i="11" r="BZ22" s="1"/>
  <c i="11" r="CC62"/>
  <c i="11" r="CD62" s="1"/>
  <c i="11" r="CE62" s="1"/>
  <c i="11" r="Q76"/>
  <c i="11" r="Q92" s="1"/>
  <c i="11" r="BH26"/>
  <c i="11" r="BH41" s="1"/>
  <c i="11" r="BZ62" s="1"/>
  <c i="11" r="AQ26"/>
  <c i="11" r="AT26"/>
  <c i="11" r="CC19"/>
  <c i="11" r="CD19" s="1"/>
  <c i="11" r="CE19" s="1"/>
  <c i="11" r="X71"/>
  <c i="11" r="X87" s="1"/>
  <c i="11" r="BA21"/>
  <c i="11" r="BO21"/>
  <c i="11" r="BO36" s="1"/>
  <c i="11" r="BZ19" s="1"/>
  <c i="11" r="CC14"/>
  <c i="11" r="CD14" s="1"/>
  <c i="11" r="CE14" s="1"/>
  <c i="11" r="BJ21"/>
  <c i="11" r="BJ36" s="1"/>
  <c i="11" r="BZ14" s="1"/>
  <c i="11" r="S71"/>
  <c i="11" r="S87" s="1"/>
  <c i="11" r="AV21"/>
  <c i="11" r="CC63"/>
  <c i="11" r="CD63" s="1"/>
  <c i="11" r="CE63" s="1"/>
  <c i="11" r="R76"/>
  <c i="11" r="R92" s="1"/>
  <c i="11" r="AU26"/>
  <c i="11" r="BI26"/>
  <c i="11" r="BI41" s="1"/>
  <c i="11" r="BZ63" s="1"/>
  <c i="11" r="CC94"/>
  <c i="11" r="CD94" s="1"/>
  <c i="11" r="CE94" s="1"/>
  <c i="11" r="BJ29"/>
  <c i="11" r="BJ44" s="1"/>
  <c i="11" r="BZ94" s="1"/>
  <c i="11" r="AV29"/>
  <c i="11" r="S79"/>
  <c i="11" r="S95" s="1"/>
  <c i="11" r="CC21"/>
  <c i="11" r="CD21" s="1"/>
  <c i="11" r="CE21" s="1"/>
  <c i="11" r="BQ21"/>
  <c i="11" r="BQ36" s="1"/>
  <c i="11" r="BZ21" s="1"/>
  <c i="11" r="BC21"/>
  <c i="11" r="Z71"/>
  <c i="11" r="Z87" s="1"/>
  <c i="11" r="CC12"/>
  <c i="11" r="CD12" s="1"/>
  <c i="11" r="CE12" s="1"/>
  <c i="11" r="Q71"/>
  <c i="11" r="Q87" s="1"/>
  <c i="11" r="AT21"/>
  <c i="11" r="AQ21"/>
  <c i="11" r="BH21"/>
  <c i="11" r="BH36" s="1"/>
  <c i="11" r="BZ12" s="1"/>
  <c i="11" r="CC64"/>
  <c i="11" r="CD64" s="1"/>
  <c i="11" r="CE64" s="1"/>
  <c i="11" r="BJ26"/>
  <c i="11" r="BJ41" s="1"/>
  <c i="11" r="BZ64" s="1"/>
  <c i="11" r="AV26"/>
  <c i="11" r="S76"/>
  <c i="11" r="S92" s="1"/>
  <c i="11" r="CC54"/>
  <c i="11" r="CD54" s="1"/>
  <c i="11" r="CE54" s="1"/>
  <c i="11" r="BJ25"/>
  <c i="11" r="BJ40" s="1"/>
  <c i="11" r="BZ54" s="1"/>
  <c i="11" r="S75"/>
  <c i="11" r="S91" s="1"/>
  <c i="11" r="AV25"/>
  <c i="11" r="CC100"/>
  <c i="11" r="CD100" s="1"/>
  <c i="11" r="CE100" s="1"/>
  <c i="11" r="BP29"/>
  <c i="11" r="BP44" s="1"/>
  <c i="11" r="BZ100" s="1"/>
  <c i="11" r="Y79"/>
  <c i="11" r="Y95" s="1"/>
  <c i="11" r="BB29"/>
  <c i="11" r="CC46"/>
  <c i="11" r="CD46" s="1"/>
  <c i="11" r="CE46" s="1"/>
  <c i="11" r="BL24"/>
  <c i="11" r="BL39" s="1"/>
  <c i="11" r="BZ46" s="1"/>
  <c i="11" r="U74"/>
  <c i="11" r="U90" s="1"/>
  <c i="11" r="AX24"/>
  <c i="11" r="CC11"/>
  <c i="11" r="CD11" s="1"/>
  <c i="11" r="CE11" s="1"/>
  <c i="11" r="AO31"/>
  <c i="11" r="BQ20"/>
  <c i="11" r="BQ35" s="1"/>
  <c i="11" r="BZ11" s="1"/>
  <c i="11" r="Z70"/>
  <c i="11" r="Z86" s="1"/>
  <c i="11" r="BC20"/>
  <c i="11" r="CC77"/>
  <c i="11" r="CD77" s="1"/>
  <c i="11" r="CE77" s="1"/>
  <c i="11" r="BM27"/>
  <c i="11" r="BM42" s="1"/>
  <c i="11" r="BZ77" s="1"/>
  <c i="11" r="AY27"/>
  <c i="11" r="V77"/>
  <c i="11" r="V93" s="1"/>
  <c i="11" r="CC27"/>
  <c i="11" r="CD27" s="1"/>
  <c i="11" r="CE27" s="1"/>
  <c i="11" r="BM22"/>
  <c i="11" r="BM37" s="1"/>
  <c i="11" r="BZ27" s="1"/>
  <c i="11" r="AY22"/>
  <c i="11" r="V72"/>
  <c i="11" r="V88" s="1"/>
  <c i="11" r="CC52"/>
  <c i="11" r="CD52" s="1"/>
  <c i="11" r="CE52" s="1"/>
  <c i="11" r="BH25"/>
  <c i="11" r="BH40" s="1"/>
  <c i="11" r="BZ52" s="1"/>
  <c i="11" r="AQ25"/>
  <c i="11" r="AT25"/>
  <c i="11" r="Q75"/>
  <c i="11" r="Q91" s="1"/>
  <c i="11" r="CC53"/>
  <c i="11" r="CD53" s="1"/>
  <c i="11" r="CE53" s="1"/>
  <c i="11" r="AU25"/>
  <c i="11" r="R75"/>
  <c i="11" r="R91" s="1"/>
  <c i="11" r="BI25"/>
  <c i="11" r="BI40" s="1"/>
  <c i="11" r="BZ53" s="1"/>
  <c i="11" r="CC86"/>
  <c i="11" r="CD86" s="1"/>
  <c i="11" r="CE86" s="1"/>
  <c i="11" r="BL28"/>
  <c i="11" r="BL43" s="1"/>
  <c i="11" r="BZ86" s="1"/>
  <c i="11" r="AX28"/>
  <c i="11" r="U78"/>
  <c i="11" r="U94" s="1"/>
  <c i="11" r="CC45"/>
  <c i="11" r="CD45" s="1"/>
  <c i="11" r="CE45" s="1"/>
  <c i="11" r="AW24"/>
  <c i="11" r="T74"/>
  <c i="11" r="T90" s="1"/>
  <c i="11" r="BK24"/>
  <c i="11" r="BK39" s="1"/>
  <c i="11" r="BZ45" s="1"/>
  <c i="11" r="CC7"/>
  <c i="11" r="CD7" s="1"/>
  <c i="11" r="CE7" s="1"/>
  <c i="11" r="V70"/>
  <c i="11" r="V86" s="1"/>
  <c i="11" r="BM20"/>
  <c i="11" r="BM35" s="1"/>
  <c i="11" r="BZ7" s="1"/>
  <c i="11" r="AK31"/>
  <c i="11" r="AY20"/>
  <c i="11" r="AY31" s="1"/>
  <c i="11" r="CC36"/>
  <c i="11" r="CD36" s="1"/>
  <c i="11" r="CE36" s="1"/>
  <c i="11" r="BL23"/>
  <c i="11" r="BL38" s="1"/>
  <c i="11" r="BZ36" s="1"/>
  <c i="11" r="AX23"/>
  <c i="11" r="U73"/>
  <c i="11" r="U89" s="1"/>
  <c i="11" r="CC75"/>
  <c i="11" r="CD75" s="1"/>
  <c i="11" r="CE75" s="1"/>
  <c i="11" r="T77"/>
  <c i="11" r="T93" s="1"/>
  <c i="11" r="AW27"/>
  <c i="11" r="BK27"/>
  <c i="11" r="BK42" s="1"/>
  <c i="11" r="BZ75" s="1"/>
  <c i="11" r="CC71"/>
  <c i="11" r="CD71" s="1"/>
  <c i="11" r="CE71" s="1"/>
  <c i="11" r="BQ26"/>
  <c i="11" r="BQ41" s="1"/>
  <c i="11" r="BZ71" s="1"/>
  <c i="11" r="Z76"/>
  <c i="11" r="Z92" s="1"/>
  <c i="11" r="BC26"/>
  <c i="11" r="CC37"/>
  <c i="11" r="CD37" s="1"/>
  <c i="11" r="CE37" s="1"/>
  <c i="11" r="V73"/>
  <c i="11" r="V89" s="1"/>
  <c i="11" r="AY23"/>
  <c i="11" r="BM23"/>
  <c i="11" r="BM38" s="1"/>
  <c i="11" r="BZ37" s="1"/>
  <c i="11" r="CC44"/>
  <c i="11" r="CD44" s="1"/>
  <c i="11" r="CE44" s="1"/>
  <c i="11" r="S74"/>
  <c i="11" r="S90" s="1"/>
  <c i="11" r="AV24"/>
  <c i="11" r="BJ24"/>
  <c i="11" r="BJ39" s="1"/>
  <c i="11" r="BZ44" s="1"/>
  <c i="11" r="CC3"/>
  <c i="11" r="CD3" s="1"/>
  <c i="11" r="CE3" s="1"/>
  <c i="11" r="AG31"/>
  <c i="11" r="BI20"/>
  <c i="11" r="BI35" s="1"/>
  <c i="11" r="BZ3" s="1"/>
  <c i="11" r="R70"/>
  <c i="11" r="R86" s="1"/>
  <c i="11" r="AU20"/>
  <c i="11" r="CC10"/>
  <c i="11" r="CD10" s="1"/>
  <c i="11" r="CE10" s="1"/>
  <c i="11" r="BP20"/>
  <c i="11" r="BP35" s="1"/>
  <c i="11" r="BZ10" s="1"/>
  <c i="11" r="Y70"/>
  <c i="11" r="Y86" s="1"/>
  <c i="11" r="BB20"/>
  <c i="11" r="AN31"/>
  <c i="11" r="CC40"/>
  <c i="11" r="CD40" s="1"/>
  <c i="11" r="CE40" s="1"/>
  <c i="11" r="BB23"/>
  <c i="11" r="Y73"/>
  <c i="11" r="Y89" s="1"/>
  <c i="11" r="BP23"/>
  <c i="11" r="BP38" s="1"/>
  <c i="11" r="BZ40" s="1"/>
  <c i="11" r="CC29"/>
  <c i="11" r="CD29" s="1"/>
  <c i="11" r="CE29" s="1"/>
  <c i="11" r="X72"/>
  <c i="11" r="X88" s="1"/>
  <c i="11" r="BA22"/>
  <c i="11" r="BO22"/>
  <c i="11" r="BO37" s="1"/>
  <c i="11" r="BZ29" s="1"/>
  <c i="11" r="CC82"/>
  <c i="11" r="CD82" s="1"/>
  <c i="11" r="CE82" s="1"/>
  <c i="11" r="AT28"/>
  <c i="11" r="BH28"/>
  <c i="11" r="BH43" s="1"/>
  <c i="11" r="BZ82" s="1"/>
  <c i="11" r="AQ28"/>
  <c i="11" r="Q78"/>
  <c i="11" r="Q94" s="1"/>
  <c i="11" r="CC8"/>
  <c i="11" r="CD8" s="1"/>
  <c i="11" r="CE8" s="1"/>
  <c i="11" r="BN20"/>
  <c i="11" r="BN35" s="1"/>
  <c i="11" r="BZ8" s="1"/>
  <c i="11" r="AZ20"/>
  <c i="11" r="W70"/>
  <c i="11" r="W86" s="1"/>
  <c i="11" r="CC4"/>
  <c i="11" r="CD4" s="1"/>
  <c i="11" r="CE4" s="1"/>
  <c i="11" r="S70"/>
  <c i="11" r="S86" s="1"/>
  <c i="11" r="BJ20"/>
  <c i="11" r="BJ35" s="1"/>
  <c i="11" r="BZ4" s="1"/>
  <c i="11" r="AH31"/>
  <c i="11" r="AV20"/>
  <c i="11" r="CC35"/>
  <c i="11" r="CD35" s="1"/>
  <c i="11" r="CE35" s="1"/>
  <c i="11" r="AW23"/>
  <c i="11" r="BK23"/>
  <c i="11" r="BK38" s="1"/>
  <c i="11" r="BZ35" s="1"/>
  <c i="11" r="T73"/>
  <c i="11" r="T89" s="1"/>
  <c i="11" r="CC30"/>
  <c i="11" r="CD30" s="1"/>
  <c i="11" r="CE30" s="1"/>
  <c i="11" r="BP22"/>
  <c i="11" r="BP37" s="1"/>
  <c i="11" r="BZ30" s="1"/>
  <c i="11" r="Y72"/>
  <c i="11" r="Y88" s="1"/>
  <c i="11" r="BB22"/>
  <c i="11" r="AQ39"/>
  <c i="11" l="1" r="AQ31"/>
  <c i="11" r="BE20"/>
  <c i="11" r="AB70"/>
  <c i="11" r="AB86" s="1"/>
  <c i="11" r="Y81"/>
  <c i="11" r="Y97" s="1"/>
  <c i="11" r="AN38"/>
  <c i="11" r="E12" s="1"/>
  <c i="11" r="I12" s="1"/>
  <c i="11" r="V81"/>
  <c i="11" r="V97" s="1"/>
  <c i="11" r="AK38"/>
  <c i="11" r="E9" s="1"/>
  <c i="11" r="I9" s="1"/>
  <c i="11" r="AU31"/>
  <c i="11" r="AL38"/>
  <c i="11" r="E10" s="1"/>
  <c i="11" r="I10" s="1"/>
  <c i="11" r="W81"/>
  <c i="11" r="W97" s="1"/>
  <c i="11" r="BA31"/>
  <c i="11" r="BE27"/>
  <c i="11" r="AB77"/>
  <c i="11" r="AB93" s="1"/>
  <c i="11" r="X81"/>
  <c i="11" r="X97" s="1"/>
  <c i="11" r="AM38"/>
  <c i="11" r="E11" s="1"/>
  <c i="11" r="I11" s="1"/>
  <c i="11" r="R81"/>
  <c i="11" r="R97" s="1"/>
  <c i="11" r="AG38"/>
  <c i="11" r="E5" s="1"/>
  <c i="11" r="I5" s="1"/>
  <c i="11" r="AB71"/>
  <c i="11" r="AB87" s="1"/>
  <c i="11" r="BE21"/>
  <c i="11" r="BE24"/>
  <c i="11" r="AB74"/>
  <c i="11" r="AB90" s="1"/>
  <c i="11" r="AJ38"/>
  <c i="11" r="E8" s="1"/>
  <c i="11" r="I8" s="1"/>
  <c i="11" r="U81"/>
  <c i="11" r="U97" s="1"/>
  <c i="11" r="AX31"/>
  <c i="11" r="BE23"/>
  <c i="11" r="AB73"/>
  <c i="11" r="AB89" s="1"/>
  <c i="11" r="BB31"/>
  <c i="11" r="AV31"/>
  <c i="11" r="AH38"/>
  <c i="11" r="E6" s="1"/>
  <c i="11" r="I6" s="1"/>
  <c i="11" r="S81"/>
  <c i="11" r="S97" s="1"/>
  <c i="11" r="BC31"/>
  <c i="11" r="AW31"/>
  <c i="11" r="Q81"/>
  <c i="11" r="Q97" s="1"/>
  <c i="11" r="AF38"/>
  <c i="11" r="E4" s="1"/>
  <c i="11" r="Z81"/>
  <c i="11" r="Z97" s="1"/>
  <c i="11" r="AO38"/>
  <c i="11" r="E13" s="1"/>
  <c i="11" r="I13" s="1"/>
  <c i="11" r="BE29"/>
  <c i="11" r="AB79"/>
  <c i="11" r="AB95" s="1"/>
  <c i="11" r="AZ31"/>
  <c i="11" r="AI38"/>
  <c i="11" r="E7" s="1"/>
  <c i="11" r="I7" s="1"/>
  <c i="11" r="T81"/>
  <c i="11" r="T97" s="1"/>
  <c i="11" r="AB72"/>
  <c i="11" r="AB88" s="1"/>
  <c i="11" r="BE22"/>
  <c i="11" r="BE26"/>
  <c i="11" r="AB76"/>
  <c i="11" r="AB92" s="1"/>
  <c i="11" r="AT31"/>
  <c i="11" r="AB75"/>
  <c i="11" r="AB91" s="1"/>
  <c i="11" r="BE25"/>
  <c i="11" r="BE28"/>
  <c i="11" r="AB78"/>
  <c i="11" r="AB94" s="1"/>
  <c i="11" r="R100"/>
  <c i="11" r="Q100"/>
  <c i="11" r="S100"/>
  <c i="11" l="1" r="I4"/>
  <c i="11" r="E14"/>
  <c i="11" r="AB81"/>
  <c i="11" r="AB97" s="1"/>
  <c i="11" r="X48"/>
  <c i="11" r="BE31"/>
  <c i="11" r="Q48"/>
  <c i="11" r="T48"/>
  <c i="11" r="R45"/>
  <c i="11" r="R62" s="1"/>
  <c i="11" r="V42"/>
  <c i="11" r="V59" s="1"/>
  <c i="11" r="AQ38"/>
  <c i="11" r="Z48"/>
  <c i="11" r="Z38"/>
  <c i="11" r="Z55" s="1"/>
  <c i="11" r="S39"/>
  <c i="11" r="S56" s="1"/>
  <c i="11" r="AA41"/>
  <c i="11" r="AA58" s="1"/>
  <c i="11" r="Z41"/>
  <c i="11" r="Z58" s="1"/>
  <c i="11" r="V46"/>
  <c i="11" r="V63" s="1"/>
  <c i="11" r="X41"/>
  <c i="11" r="X58" s="1"/>
  <c i="11" r="S42"/>
  <c i="11" r="S59" s="1"/>
  <c i="11" r="W44"/>
  <c i="11" r="W61" s="1"/>
  <c i="11" r="R40"/>
  <c i="11" r="R57" s="1"/>
  <c i="11" r="Y45"/>
  <c i="11" r="Y62" s="1"/>
  <c i="11" r="Q47"/>
  <c i="11" r="Q64" s="1"/>
  <c i="11" r="U41"/>
  <c i="11" r="U58" s="1"/>
  <c i="11" r="AA40"/>
  <c i="11" r="AA57" s="1"/>
  <c i="11" r="X37"/>
  <c i="11" r="X54" s="1"/>
  <c i="11" r="S46"/>
  <c i="11" r="S63" s="1"/>
  <c i="11" r="U48"/>
  <c i="11" r="Z37"/>
  <c i="11" r="Z54" s="1"/>
  <c i="11" r="U45"/>
  <c i="11" r="U62" s="1"/>
  <c i="11" r="AA38"/>
  <c i="11" r="AA55" s="1"/>
  <c i="11" r="Y48"/>
  <c i="11" r="X46"/>
  <c i="11" r="X63" s="1"/>
  <c i="11" r="Z44"/>
  <c i="11" r="Z61" s="1"/>
  <c i="11" r="Y39"/>
  <c i="11" r="Y56" s="1"/>
  <c i="11" r="W41"/>
  <c i="11" r="W58" s="1"/>
  <c i="11" r="S37"/>
  <c i="11" r="S54" s="1"/>
  <c i="11" r="U37"/>
  <c i="11" r="U54" s="1"/>
  <c i="11" r="AA42"/>
  <c i="11" r="AA59" s="1"/>
  <c i="11" r="AB37"/>
  <c i="11" r="AB54" s="1"/>
  <c i="11" r="R37"/>
  <c i="11" r="R54" s="1"/>
  <c i="11" r="AB44"/>
  <c i="11" r="AB61" s="1"/>
  <c i="11" r="U40"/>
  <c i="11" r="U57" s="1"/>
  <c i="11" r="W38"/>
  <c i="11" r="W55" s="1"/>
  <c i="11" r="V45"/>
  <c i="11" r="V62" s="1"/>
  <c i="11" r="S44"/>
  <c i="11" r="S61" s="1"/>
  <c i="11" r="R39"/>
  <c i="11" r="R56" s="1"/>
  <c i="11" r="R44"/>
  <c i="11" r="R61" s="1"/>
  <c i="11" r="T45"/>
  <c i="11" r="T62" s="1"/>
  <c i="11" r="Y37"/>
  <c i="11" r="Y54" s="1"/>
  <c i="11" r="Q40"/>
  <c i="11" r="Q57" s="1"/>
  <c i="11" r="S41"/>
  <c i="11" r="S58" s="1"/>
  <c i="11" r="Z43"/>
  <c i="11" r="Z60" s="1"/>
  <c i="11" r="Z45"/>
  <c i="11" r="Z62" s="1"/>
  <c i="11" r="X44"/>
  <c i="11" r="X61" s="1"/>
  <c i="11" r="AB42"/>
  <c i="11" r="AB59" s="1"/>
  <c i="11" r="Q45"/>
  <c i="11" r="Q62" s="1"/>
  <c i="11" r="AB43"/>
  <c i="11" r="AB60" s="1"/>
  <c i="11" r="T37"/>
  <c i="11" r="T54" s="1"/>
  <c i="11" r="W39"/>
  <c i="11" r="W56" s="1"/>
  <c i="11" r="T38"/>
  <c i="11" r="T55" s="1"/>
  <c i="11" r="AB39"/>
  <c i="11" r="AB56" s="1"/>
  <c i="11" r="S43"/>
  <c i="11" r="S60" s="1"/>
  <c i="11" r="U38"/>
  <c i="11" r="U55" s="1"/>
  <c i="11" r="S40"/>
  <c i="11" r="S57" s="1"/>
  <c i="11" r="U39"/>
  <c i="11" r="U56" s="1"/>
  <c i="11" r="W43"/>
  <c i="11" r="W60" s="1"/>
  <c i="11" r="Y44"/>
  <c i="11" r="Y61" s="1"/>
  <c i="11" r="T40"/>
  <c i="11" r="T57" s="1"/>
  <c i="11" r="R42"/>
  <c i="11" r="R59" s="1"/>
  <c i="11" r="Z40"/>
  <c i="11" r="Z57" s="1"/>
  <c i="11" r="T44"/>
  <c i="11" r="T61" s="1"/>
  <c i="11" r="AA45"/>
  <c i="11" r="AA62" s="1"/>
  <c i="11" r="Z39"/>
  <c i="11" r="Z56" s="1"/>
  <c i="11" r="W42"/>
  <c i="11" r="W59" s="1"/>
  <c i="11" r="V41"/>
  <c i="11" r="V58" s="1"/>
  <c i="11" r="AB45"/>
  <c i="11" r="AB62" s="1"/>
  <c i="11" r="V44"/>
  <c i="11" r="V61" s="1"/>
  <c i="11" r="R41"/>
  <c i="11" r="R58" s="1"/>
  <c i="11" r="S48"/>
  <c i="11" r="X47"/>
  <c i="11" r="X64" s="1"/>
  <c i="11" r="U46"/>
  <c i="11" r="U63" s="1"/>
  <c i="11" r="V40"/>
  <c i="11" r="V57" s="1"/>
  <c i="11" r="Y38"/>
  <c i="11" r="Y55" s="1"/>
  <c i="11" r="Z46"/>
  <c i="11" r="Z63" s="1"/>
  <c i="11" r="W37"/>
  <c i="11" r="W54" s="1"/>
  <c i="11" r="X42"/>
  <c i="11" r="X59" s="1"/>
  <c i="11" r="V38"/>
  <c i="11" r="V55" s="1"/>
  <c i="11" r="Q42"/>
  <c i="11" r="Q59" s="1"/>
  <c i="11" r="Q44"/>
  <c i="11" r="Q61" s="1"/>
  <c i="11" r="AA43"/>
  <c i="11" r="AA60" s="1"/>
  <c i="11" r="Q39"/>
  <c i="11" r="Q56" s="1"/>
  <c i="11" r="AA47"/>
  <c i="11" r="AA64" s="1"/>
  <c i="11" r="U47"/>
  <c i="11" r="U64" s="1"/>
  <c i="11" r="X45"/>
  <c i="11" r="X62" s="1"/>
  <c i="11" r="AB38"/>
  <c i="11" r="AB55" s="1"/>
  <c i="11" r="AA37"/>
  <c i="11" r="AA54" s="1"/>
  <c i="11" r="R43"/>
  <c i="11" r="R60" s="1"/>
  <c i="11" r="Q38"/>
  <c i="11" r="Q55" s="1"/>
  <c i="11" r="Y43"/>
  <c i="11" r="Y60" s="1"/>
  <c i="11" r="V48"/>
  <c i="11" r="AB46"/>
  <c i="11" r="AB63" s="1"/>
  <c i="11" r="V39"/>
  <c i="11" r="V56" s="1"/>
  <c i="11" r="AB41"/>
  <c i="11" r="AB58" s="1"/>
  <c i="11" r="AB40"/>
  <c i="11" r="AB57" s="1"/>
  <c i="11" r="S38"/>
  <c i="11" r="S55" s="1"/>
  <c i="11" r="AB47"/>
  <c i="11" r="AB64" s="1"/>
  <c i="11" r="R46"/>
  <c i="11" r="R63" s="1"/>
  <c i="11" r="Z42"/>
  <c i="11" r="Z59" s="1"/>
  <c i="11" r="U42"/>
  <c i="11" r="U59" s="1"/>
  <c i="11" r="V43"/>
  <c i="11" r="V60" s="1"/>
  <c i="11" r="T41"/>
  <c i="11" r="T58" s="1"/>
  <c i="11" r="T42"/>
  <c i="11" r="T59" s="1"/>
  <c i="11" r="Y46"/>
  <c i="11" r="Y63" s="1"/>
  <c i="11" r="W47"/>
  <c i="11" r="W64" s="1"/>
  <c i="11" r="W40"/>
  <c i="11" r="W57" s="1"/>
  <c i="11" r="Y41"/>
  <c i="11" r="Y58" s="1"/>
  <c i="11" r="Y42"/>
  <c i="11" r="Y59" s="1"/>
  <c i="11" r="R47"/>
  <c i="11" r="R64" s="1"/>
  <c i="11" r="X38"/>
  <c i="11" r="X55" s="1"/>
  <c i="11" r="U43"/>
  <c i="11" r="U60" s="1"/>
  <c i="11" r="W45"/>
  <c i="11" r="W62" s="1"/>
  <c i="11" r="Z47"/>
  <c i="11" r="Z64" s="1"/>
  <c i="11" r="S47"/>
  <c i="11" r="S64" s="1"/>
  <c i="11" r="R48"/>
  <c i="11" r="W48"/>
  <c i="11" r="T43"/>
  <c i="11" r="T60" s="1"/>
  <c i="11" r="AA46"/>
  <c i="11" r="AA63" s="1"/>
  <c i="11" r="S45"/>
  <c i="11" r="S62" s="1"/>
  <c i="11" r="Q46"/>
  <c i="11" r="Q63" s="1"/>
  <c i="11" r="T46"/>
  <c i="11" r="T63" s="1"/>
  <c i="11" r="X43"/>
  <c i="11" r="X60" s="1"/>
  <c i="11" r="AA39"/>
  <c i="11" r="AA56" s="1"/>
  <c i="11" r="T39"/>
  <c i="11" r="T56" s="1"/>
  <c i="11" r="R38"/>
  <c i="11" r="R55" s="1"/>
  <c i="11" r="AA44"/>
  <c i="11" r="AA61" s="1"/>
  <c i="11" r="V47"/>
  <c i="11" r="V64" s="1"/>
  <c i="11" r="U44"/>
  <c i="11" r="U61" s="1"/>
  <c i="11" r="Y40"/>
  <c i="11" r="Y57" s="1"/>
  <c i="11" r="X40"/>
  <c i="11" r="X57" s="1"/>
  <c i="11" r="AA48"/>
  <c i="11" r="W46"/>
  <c i="11" r="W63" s="1"/>
  <c i="11" r="Q43"/>
  <c i="11" r="Q60" s="1"/>
  <c i="11" r="AB48"/>
  <c i="11" r="Y47"/>
  <c i="11" r="Y64" s="1"/>
  <c i="11" r="Q37"/>
  <c i="11" r="Q54" s="1"/>
  <c i="11" r="Q41"/>
  <c i="11" r="Q58" s="1"/>
  <c i="11" r="V37"/>
  <c i="11" r="V54" s="1"/>
  <c i="11" r="X39"/>
  <c i="11" r="X56" s="1"/>
  <c i="11" r="T47"/>
  <c i="11" r="T64" s="1"/>
  <c i="11" l="1" r="S65"/>
  <c i="11" r="AH40"/>
  <c i="11" r="G6" s="1"/>
  <c i="11" r="H6" s="1"/>
  <c i="11" r="AK40"/>
  <c i="11" r="G9" s="1"/>
  <c i="11" r="H9" s="1"/>
  <c i="11" r="V65"/>
  <c i="11" r="AO40"/>
  <c i="11" r="G13" s="1"/>
  <c i="11" r="H13" s="1"/>
  <c i="11" r="Z65"/>
  <c i="11" r="AI40"/>
  <c i="11" r="G7" s="1"/>
  <c i="11" r="H7" s="1"/>
  <c i="11" r="T65"/>
  <c i="11" r="AF40"/>
  <c i="11" r="G4" s="1"/>
  <c i="11" r="H4" s="1"/>
  <c i="11" r="Q65"/>
  <c i="11" r="AL40"/>
  <c i="11" r="G10" s="1"/>
  <c i="11" r="H10" s="1"/>
  <c i="11" r="W65"/>
  <c i="11" r="Y65"/>
  <c i="11" r="AN40"/>
  <c i="11" r="G12" s="1"/>
  <c i="11" r="H12" s="1"/>
  <c i="11" r="AP40"/>
  <c i="11" r="AA65"/>
  <c i="11" r="AG40"/>
  <c i="11" r="G5" s="1"/>
  <c i="11" r="H5" s="1"/>
  <c i="11" r="R65"/>
  <c i="11" r="AM40"/>
  <c i="11" r="G11" s="1"/>
  <c i="11" r="H11" s="1"/>
  <c i="11" r="X65"/>
  <c i="11" r="AQ40"/>
  <c i="11" r="AB65"/>
  <c i="11" r="AJ40"/>
  <c i="11" r="G8" s="1"/>
  <c i="11" r="H8" s="1"/>
  <c i="11" r="U65"/>
</calcChain>
</file>

<file path=xl/sharedStrings.xml><?xml version="1.0" encoding="utf-8"?>
<sst xmlns="http://schemas.openxmlformats.org/spreadsheetml/2006/main" count="1032" uniqueCount="341">
  <si>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</si>
  <si>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</si>
  <si>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</si>
  <si>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</si>
  <si>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</si>
  <si>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</si>
  <si>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</si>
  <si>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</si>
  <si>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</si>
  <si>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</si>
  <si>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</si>
  <si>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</si>
  <si>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</si>
  <si>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</si>
  <si>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</si>
  <si>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</si>
  <si>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</si>
  <si>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</si>
  <si>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</si>
  <si>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</si>
  <si>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</si>
  <si>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</si>
  <si>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</si>
  <si>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</si>
  <si>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</si>
  <si>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</si>
  <si>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</si>
  <si>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</si>
  <si>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</si>
  <si>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</si>
  <si>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</si>
  <si>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</si>
  <si>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</si>
  <si>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</si>
  <si>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</si>
  <si>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</si>
  <si>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</si>
  <si>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</si>
  <si>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</si>
  <si>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</si>
  <si>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</si>
  <si>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</si>
  <si>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</si>
  <si>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</si>
  <si>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</si>
  <si>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</si>
  <si>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</si>
  <si>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</si>
  <si>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</si>
  <si>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</si>
  <si>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</si>
  <si>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</si>
  <si>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</si>
  <si>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</si>
  <si>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</si>
  <si>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</si>
  <si>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</si>
  <si>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</si>
  <si>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</si>
  <si>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</si>
  <si>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</si>
  <si>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</si>
  <si>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</si>
  <si>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</si>
  <si>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</si>
  <si>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</si>
  <si>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</si>
  <si>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</si>
  <si>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</si>
  <si>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</si>
  <si>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</si>
  <si>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</si>
  <si>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</si>
  <si>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</si>
  <si>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</si>
  <si>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</si>
  <si>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</si>
  <si>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</si>
  <si>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</si>
  <si>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</si>
  <si>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</si>
  <si>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</si>
  <si>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</si>
  <si>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</si>
  <si>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</si>
  <si>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</si>
  <si>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</si>
  <si>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</si>
  <si>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</si>
  <si>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</si>
  <si>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</si>
  <si>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</si>
  <si>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</si>
  <si>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</si>
  <si>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</si>
  <si>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</si>
  <si>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</si>
  <si>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</si>
  <si>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</si>
  <si>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</si>
  <si>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</si>
  <si>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</si>
  <si>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</si>
  <si>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</si>
  <si>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</si>
  <si>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</si>
  <si>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</si>
  <si>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</si>
  <si>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</si>
  <si>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</si>
  <si>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</si>
  <si>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</si>
  <si>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</si>
  <si>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</si>
  <si>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</si>
  <si>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</si>
  <si>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</si>
  <si>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</si>
  <si>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</si>
  <si>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</si>
  <si>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</si>
  <si>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</si>
  <si>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</si>
  <si>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</si>
  <si>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</si>
  <si>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</si>
  <si>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</si>
  <si>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</si>
  <si>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</si>
  <si>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</si>
  <si>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</si>
  <si>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</si>
  <si>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</si>
  <si>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</si>
  <si>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</si>
  <si>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</si>
  <si>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</si>
  <si>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</si>
  <si>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</si>
  <si>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</si>
  <si>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</si>
  <si>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</si>
  <si>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</si>
  <si>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</si>
  <si>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</si>
  <si>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</si>
  <si>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</si>
  <si>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</si>
  <si>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</si>
  <si>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</si>
  <si>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</si>
  <si>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</si>
  <si>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</si>
  <si>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</si>
  <si>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</si>
  <si>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</si>
  <si>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</si>
  <si>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</si>
  <si>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</si>
  <si>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</si>
  <si>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</si>
  <si>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</si>
  <si>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</si>
  <si>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</si>
  <si>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</si>
  <si>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</si>
  <si>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</si>
  <si>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</si>
  <si>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</si>
  <si>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</si>
  <si>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</si>
  <si>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</si>
  <si>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</si>
  <si>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</si>
  <si>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</si>
  <si>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</si>
  <si>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</si>
  <si>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</si>
  <si>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</si>
  <si>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</si>
  <si>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</si>
  <si>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</si>
  <si>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</si>
  <si>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</si>
  <si>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</si>
  <si>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</si>
  <si>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</si>
  <si>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</si>
  <si>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</si>
  <si>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</si>
  <si>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</si>
  <si>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</si>
  <si>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</si>
  <si>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</si>
  <si>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</si>
  <si>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</si>
  <si>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</si>
  <si>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</si>
  <si>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</si>
  <si>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</si>
  <si>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</si>
  <si>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</si>
  <si>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</si>
  <si>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</si>
  <si>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</si>
  <si>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</si>
  <si>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</si>
  <si>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</si>
  <si>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</si>
  <si>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</si>
  <si>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</si>
  <si>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</si>
  <si>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</si>
  <si>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</si>
  <si>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</si>
  <si>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</si>
  <si>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</si>
  <si>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</si>
  <si>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</si>
  <si>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</si>
  <si>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</si>
  <si>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</si>
  <si>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</si>
  <si>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</si>
  <si>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</si>
  <si>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</si>
  <si>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</si>
  <si>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</si>
  <si>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</si>
  <si>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</si>
  <si>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</si>
  <si>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</si>
  <si>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</si>
  <si>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</si>
  <si>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</si>
  <si>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</si>
  <si>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</si>
  <si>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</si>
  <si>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</si>
  <si>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</si>
  <si>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</si>
  <si>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</si>
  <si>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</si>
  <si>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</si>
  <si>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</si>
  <si>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</si>
  <si>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</si>
  <si>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</si>
  <si>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</si>
  <si>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</si>
  <si>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</si>
  <si>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</si>
  <si>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</si>
  <si>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</si>
  <si>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</si>
  <si>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</si>
  <si>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</si>
  <si>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</si>
  <si>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</si>
  <si>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</si>
  <si>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</si>
  <si>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</si>
  <si>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</si>
  <si>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</si>
  <si>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</si>
  <si>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</si>
  <si>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</si>
  <si>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</si>
  <si>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</si>
  <si>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</si>
  <si>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</si>
  <si>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</si>
  <si>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</si>
  <si>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</si>
  <si>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</si>
  <si>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</si>
  <si>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</si>
  <si>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</si>
  <si>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</si>
  <si>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</si>
  <si>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</si>
  <si>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</si>
  <si>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</si>
  <si>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</si>
  <si>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</si>
  <si>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</si>
  <si>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</si>
  <si>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MAX</t>
  </si>
  <si>
    <t>MIN</t>
  </si>
  <si>
    <t>SUM</t>
  </si>
  <si>
    <t>ABM</t>
  </si>
  <si>
    <t>OBS</t>
  </si>
  <si>
    <t>%</t>
  </si>
  <si>
    <t>Data</t>
  </si>
  <si>
    <t>damp</t>
  </si>
  <si>
    <t>ID</t>
  </si>
  <si>
    <t>District</t>
  </si>
  <si>
    <t>new</t>
  </si>
  <si>
    <t>old</t>
  </si>
  <si>
    <t>index</t>
  </si>
  <si>
    <t>destination</t>
  </si>
  <si>
    <t>origin</t>
  </si>
  <si>
    <t>districts</t>
  </si>
  <si>
    <t>max_param</t>
  </si>
  <si>
    <t>odist</t>
  </si>
  <si>
    <t>ddist</t>
  </si>
  <si>
    <t>vehtrip</t>
  </si>
  <si>
    <t>oddist</t>
  </si>
  <si>
    <t>Dist1</t>
  </si>
  <si>
    <t>Dist2</t>
  </si>
  <si>
    <t>Dist3</t>
  </si>
  <si>
    <t>Dist4</t>
  </si>
  <si>
    <t>Dist5</t>
  </si>
  <si>
    <t>Dist6</t>
  </si>
  <si>
    <t>Dist7</t>
  </si>
  <si>
    <t>Dist8</t>
  </si>
  <si>
    <t>Dist9</t>
  </si>
  <si>
    <t>Dist10</t>
  </si>
  <si>
    <t>Gamma120</t>
  </si>
  <si>
    <t>2015 OD Data</t>
  </si>
  <si>
    <t>% Trips by Trip Destination District</t>
  </si>
  <si>
    <t>Table X. Estimated Other Trips Flows by District: DaySim (Scaled to match OBS)</t>
  </si>
  <si>
    <t>District 1-10</t>
  </si>
  <si>
    <t>FLOWS BY District: (DaySim - OBS)/OB</t>
  </si>
  <si>
    <t>Table X. Estimated Flows by District: DaySim</t>
  </si>
  <si>
    <t>FLOWS BY District: EST-OBS (DaySim - OD Data)</t>
  </si>
  <si>
    <t>FLOWS BY District: (DaySim - OBS)/OBS</t>
  </si>
  <si>
    <t>Table X. Flows by District: OD Data (2015)</t>
  </si>
  <si>
    <t>ABM-OBS</t>
  </si>
  <si>
    <t>ABM-OBS/OBS</t>
  </si>
  <si>
    <t>obs</t>
  </si>
  <si>
    <t>abm</t>
  </si>
  <si>
    <t>diff</t>
  </si>
  <si>
    <t>%diff</t>
  </si>
  <si>
    <t>Ref</t>
  </si>
  <si>
    <t>svn</t>
  </si>
  <si>
    <t>v1799,</t>
  </si>
  <si>
    <t>alo</t>
  </si>
  <si>
    <t>v0601)</t>
  </si>
  <si>
    <t>May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</si>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</sst>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_(* #,##0.0000_);_(* \(#,##0.0000\);_(* &quot;-&quot;??_);_(@_)"/>
    <numFmt numFmtId="17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7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NumberFormat="1" borderId="0" fillId="0" fontId="0" numFmtId="172" xfId="0"/>
    <xf applyAlignment="1" borderId="0" fillId="0" fontId="0" numFmtId="0" xfId="0">
      <alignment horizontal="right"/>
    </xf>
    <xf applyBorder="1" applyFont="1" applyNumberFormat="1" borderId="1" fillId="0" fontId="0" numFmtId="164" xfId="9"/>
    <xf applyBorder="1" applyFont="1" applyNumberFormat="1" borderId="3" fillId="0" fontId="0" numFmtId="164" xfId="9"/>
    <xf applyAlignment="1" applyBorder="1" borderId="3" fillId="0" fontId="0" numFmtId="0" xfId="0">
      <alignment horizontal="right"/>
    </xf>
    <xf applyBorder="1" applyFont="1" applyNumberFormat="1" borderId="0" fillId="0" fontId="0" numFmtId="164" xfId="9"/>
    <xf applyBorder="1" applyFont="1" applyNumberFormat="1" borderId="6" fillId="0" fontId="0" numFmtId="164" xfId="9"/>
    <xf applyBorder="1" applyFill="1" borderId="1" fillId="8" fontId="0" numFmtId="0" xfId="0"/>
    <xf applyBorder="1" applyFill="1" applyFont="1" borderId="1" fillId="8" fontId="1" numFmtId="0" xfId="0"/>
    <xf applyBorder="1" applyNumberFormat="1" borderId="4" fillId="0" fontId="0" numFmtId="4" xfId="0"/>
    <xf applyBorder="1" applyFont="1" applyNumberFormat="1" borderId="0" fillId="0" fontId="0" numFmtId="169" xfId="8"/>
    <xf applyBorder="1" applyFont="1" applyNumberFormat="1" borderId="0" fillId="0" fontId="0" numFmtId="43" xfId="8"/>
    <xf applyBorder="1" applyFont="1" applyNumberFormat="1" borderId="0" fillId="0" fontId="0" numFmtId="173" xfId="8"/>
    <xf applyBorder="1" applyFont="1" applyNumberFormat="1" borderId="13" fillId="0" fontId="0" numFmtId="164" xfId="9"/>
    <xf applyBorder="1" borderId="14" fillId="0" fontId="0" numFmtId="0" xfId="0"/>
    <xf applyBorder="1" applyFont="1" applyNumberFormat="1" borderId="15" fillId="0" fontId="0" numFmtId="164" xfId="9"/>
    <xf applyBorder="1" borderId="16" fillId="0" fontId="0" numFmtId="0" xfId="0"/>
    <xf applyBorder="1" applyFont="1" applyNumberFormat="1" borderId="17" fillId="0" fontId="0" numFmtId="169" xfId="8"/>
    <xf applyBorder="1" borderId="18" fillId="0" fontId="0" numFmtId="0" xfId="0"/>
    <xf applyBorder="1" applyNumberFormat="1" borderId="15" fillId="0" fontId="0" numFmtId="169" xfId="0"/>
    <xf applyBorder="1" applyNumberFormat="1" borderId="0" fillId="0" fontId="0" numFmtId="169" xfId="0"/>
    <xf applyAlignment="1" applyBorder="1" borderId="19" fillId="0" fontId="0" numFmtId="0" xfId="0">
      <alignment horizontal="center"/>
    </xf>
    <xf applyBorder="1" borderId="20" fillId="0" fontId="0" numFmtId="0" xfId="0"/>
    <xf applyFill="1" borderId="0" fillId="7" fontId="0" numFmtId="0" xfId="0"/>
    <xf applyBorder="1" applyNumberFormat="1" borderId="4" fillId="0" fontId="0" numFmtId="3" xfId="0"/>
    <xf applyBorder="1" applyFont="1" applyNumberFormat="1" borderId="4" fillId="0" fontId="0" numFmtId="169" xfId="8"/>
    <xf applyFont="1" applyNumberFormat="1" borderId="0" fillId="0" fontId="0" numFmtId="174" xfId="8"/>
    <xf applyBorder="1" applyNumberFormat="1" borderId="6" fillId="0" fontId="0" numFmtId="3" xfId="0"/>
    <xf applyBorder="1" applyNumberFormat="1" borderId="1" fillId="0" fontId="0" numFmtId="43" xfId="0"/>
    <xf applyBorder="1" applyFont="1" borderId="0" fillId="0" fontId="1" numFmtId="0" xfId="0"/>
    <xf applyFont="1" applyNumberFormat="1" borderId="0" fillId="0" fontId="1" numFmtId="169" xfId="8"/>
    <xf applyBorder="1" applyNumberFormat="1" borderId="0" fillId="0" fontId="0" numFmtId="9" xfId="0"/>
    <xf applyBorder="1" applyFont="1" applyNumberFormat="1" borderId="4" fillId="0" fontId="1" numFmtId="169" xfId="0"/>
    <xf applyAlignment="1" applyBorder="1" applyFont="1" borderId="4" fillId="0" fontId="1" numFmtId="0" xfId="0">
      <alignment horizontal="left"/>
    </xf>
    <xf applyBorder="1" applyFont="1" borderId="21" fillId="0" fontId="1" numFmtId="0" xfId="0"/>
    <xf applyBorder="1" applyNumberFormat="1" borderId="11" fillId="0" fontId="0" numFmtId="164" xfId="0"/>
    <xf applyBorder="1" applyFont="1" applyNumberFormat="1" borderId="12" fillId="0" fontId="0" numFmtId="169" xfId="8"/>
    <xf applyBorder="1" applyFont="1" applyNumberFormat="1" borderId="11" fillId="0" fontId="0" numFmtId="169" xfId="8"/>
    <xf applyBorder="1" applyFont="1" borderId="15" fillId="0" fontId="0" numFmtId="9" xfId="9"/>
    <xf applyBorder="1" applyNumberFormat="1" borderId="9" fillId="0" fontId="0" numFmtId="164" xfId="0"/>
    <xf applyBorder="1" applyFont="1" borderId="0" fillId="0" fontId="0" numFmtId="9" xfId="9"/>
    <xf applyAlignment="1" applyBorder="1" borderId="0" fillId="0" fontId="0" numFmtId="0" xfId="0">
      <alignment horizontal="left"/>
    </xf>
    <xf applyBorder="1" applyFont="1" applyNumberFormat="1" borderId="0" fillId="0" fontId="0" numFmtId="172" xfId="8"/>
    <xf applyBorder="1" applyNumberFormat="1" borderId="0" fillId="0" fontId="0" numFmtId="164" xfId="0"/>
    <xf applyBorder="1" applyFont="1" applyNumberFormat="1" borderId="10" fillId="0" fontId="0" numFmtId="169" xfId="8"/>
    <xf applyBorder="1" applyFont="1" applyNumberFormat="1" borderId="9" fillId="0" fontId="0" numFmtId="169" xfId="8"/>
    <xf applyNumberFormat="1" borderId="0" fillId="0" fontId="0" numFmtId="169" xfId="0"/>
    <xf applyBorder="1" applyNumberFormat="1" borderId="7" fillId="0" fontId="0" numFmtId="164" xfId="0"/>
    <xf applyBorder="1" applyNumberFormat="1" borderId="6" fillId="0" fontId="0" numFmtId="164" xfId="0"/>
    <xf applyBorder="1" applyFont="1" borderId="16" fillId="0" fontId="4" numFmtId="0" xfId="0"/>
    <xf applyAlignment="1" applyBorder="1" borderId="25" fillId="0" fontId="0" numFmtId="0" xfId="0">
      <alignment horizontal="right"/>
    </xf>
    <xf applyAlignment="1" applyBorder="1" applyFill="1" borderId="25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26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applyBorder="1" borderId="27" fillId="0" fontId="0" numFmtId="0" xfId="0">
      <alignment horizontal="right"/>
    </xf>
    <xf applyBorder="1" borderId="26" fillId="0" fontId="0" numFmtId="0" xfId="0"/>
    <xf applyAlignment="1" applyBorder="1" borderId="0" fillId="0" fontId="0" numFmtId="0" xfId="0"/>
    <xf applyBorder="1" applyFill="1" applyNumberFormat="1" borderId="0" fillId="0" fontId="0" numFmtId="43" xfId="0"/>
    <xf applyAlignment="1" applyBorder="1" borderId="28" fillId="0" fontId="0" numFmtId="0" xfId="0"/>
    <xf applyAlignment="1" applyBorder="1" borderId="2" fillId="0" fontId="0" numFmtId="0" xfId="0"/>
    <xf applyAlignment="1" applyBorder="1" borderId="29" fillId="0" fontId="0" numFmtId="0" xfId="0"/>
    <xf applyAlignment="1" applyBorder="1" borderId="19" fillId="0" fontId="0" numFmtId="0" xfId="0"/>
    <xf applyAlignment="1" applyBorder="1" applyFill="1" applyFont="1" borderId="0" fillId="0" fontId="1" numFmtId="0" xfId="0">
      <alignment horizontal="center"/>
    </xf>
    <xf applyAlignment="1" applyBorder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ont="1" borderId="0" fillId="0" fontId="0" numFmtId="43" xfId="8"/>
    <xf applyBorder="1" applyNumberFormat="1" borderId="0" fillId="0" fontId="0" numFmtId="172" xfId="0"/>
    <xf applyBorder="1" applyNumberFormat="1" borderId="0" fillId="0" fontId="0" numFmtId="174" xfId="0"/>
    <xf applyBorder="1" applyFont="1" applyNumberFormat="1" borderId="0" fillId="0" fontId="1" numFmtId="169" xfId="0"/>
    <xf applyBorder="1" applyFont="1" borderId="0" fillId="0" fontId="1" numFmtId="9" xfId="9"/>
    <xf applyAlignment="1" applyBorder="1" applyFont="1" borderId="0" fillId="0" fontId="1" numFmtId="0" xfId="0">
      <alignment horizontal="right"/>
    </xf>
    <xf applyAlignment="1" applyBorder="1" applyFill="1" borderId="30" fillId="0" fontId="0" numFmtId="0" xfId="0">
      <alignment horizontal="right"/>
    </xf>
    <xf applyBorder="1" applyFont="1" borderId="23" fillId="0" fontId="0" numFmtId="9" xfId="9"/>
    <xf applyBorder="1" applyFont="1" borderId="17" fillId="0" fontId="0" numFmtId="9" xfId="9"/>
    <xf applyBorder="1" borderId="4" fillId="0" fontId="0" numFmtId="0" xfId="0"/>
    <xf applyBorder="1" applyNumberFormat="1" borderId="4" fillId="0" fontId="0" numFmtId="9" xfId="0"/>
    <xf applyBorder="1" applyNumberFormat="1" borderId="22" fillId="0" fontId="0" numFmtId="9" xfId="0"/>
    <xf applyFont="1" borderId="0" fillId="0" fontId="0" numFmtId="9" xfId="9"/>
    <xf applyAlignment="1" applyBorder="1" applyFont="1" borderId="0" fillId="0" fontId="1" numFmtId="0" xfId="0">
      <alignment horizontal="center"/>
    </xf>
    <xf applyAlignment="1" applyBorder="1" borderId="2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0" fillId="0" fontId="0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vbaProject.bin" Type="http://schemas.microsoft.com/office/2006/relationships/vbaProject"/>
    <Relationship Id="rId16" Target="../customXml/item1.xml" Type="http://schemas.openxmlformats.org/officeDocument/2006/relationships/customXml"/>
    <Relationship Id="rId17" Target="../customXml/item2.xml" Type="http://schemas.openxmlformats.org/officeDocument/2006/relationships/customXml"/>
    <Relationship Id="rId18" Target="../customXml/item3.xml" Type="http://schemas.openxmlformats.org/officeDocument/2006/relationships/customXml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0.23711196971057669</c:v>
                </c:pt>
                <c:pt idx="1">
                  <c:v>0.18674410309139397</c:v>
                </c:pt>
                <c:pt idx="2">
                  <c:v>7.1190172345719421E-2</c:v>
                </c:pt>
                <c:pt idx="3">
                  <c:v>0.10691506918623833</c:v>
                </c:pt>
                <c:pt idx="4">
                  <c:v>4.3588937731693735E-2</c:v>
                </c:pt>
                <c:pt idx="5">
                  <c:v>2.9654925296271298E-2</c:v>
                </c:pt>
                <c:pt idx="6">
                  <c:v>4.3931460336958618E-3</c:v>
                </c:pt>
                <c:pt idx="7">
                  <c:v>2.9694926037205468E-2</c:v>
                </c:pt>
                <c:pt idx="8">
                  <c:v>4.1331036207508678E-2</c:v>
                </c:pt>
                <c:pt idx="9">
                  <c:v>4.3202895851721483E-3</c:v>
                </c:pt>
                <c:pt idx="10">
                  <c:v>5.4694943658353064E-4</c:v>
                </c:pt>
                <c:pt idx="11">
                  <c:v>0.16939626785882633</c:v>
                </c:pt>
                <c:pt idx="12">
                  <c:v>1.4550878974101719E-2</c:v>
                </c:pt>
                <c:pt idx="13">
                  <c:v>3.2650046504584707E-3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1.4725061016580322E-2</c:v>
                </c:pt>
                <c:pt idx="19">
                  <c:v>5.7549447223399167E-3</c:v>
                </c:pt>
                <c:pt idx="20">
                  <c:v>1.0908324162667876E-2</c:v>
                </c:pt>
                <c:pt idx="21">
                  <c:v>7.2290618203308954E-3</c:v>
                </c:pt>
                <c:pt idx="22">
                  <c:v>0</c:v>
                </c:pt>
                <c:pt idx="23">
                  <c:v>6.6941772674849768E-3</c:v>
                </c:pt>
                <c:pt idx="24">
                  <c:v>0</c:v>
                </c:pt>
                <c:pt idx="25">
                  <c:v>1.0722381110466452E-2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1.2623737546836689E-3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0.20694409626472784</c:v>
                </c:pt>
                <c:pt idx="1">
                  <c:v>0.1766600575825944</c:v>
                </c:pt>
                <c:pt idx="2">
                  <c:v>0.11885716022091045</c:v>
                </c:pt>
                <c:pt idx="3">
                  <c:v>7.1226175011584833E-2</c:v>
                </c:pt>
                <c:pt idx="4">
                  <c:v>4.904776012823138E-2</c:v>
                </c:pt>
                <c:pt idx="5">
                  <c:v>3.6441122176895525E-2</c:v>
                </c:pt>
                <c:pt idx="6">
                  <c:v>3.5977726627012131E-2</c:v>
                </c:pt>
                <c:pt idx="7">
                  <c:v>3.3068210305613133E-2</c:v>
                </c:pt>
                <c:pt idx="8">
                  <c:v>3.0891770550832948E-2</c:v>
                </c:pt>
                <c:pt idx="9">
                  <c:v>3.2338932063173703E-2</c:v>
                </c:pt>
                <c:pt idx="10">
                  <c:v>2.8772305658743339E-2</c:v>
                </c:pt>
                <c:pt idx="11">
                  <c:v>2.2900096477434139E-2</c:v>
                </c:pt>
                <c:pt idx="12">
                  <c:v>1.8486443781003805E-2</c:v>
                </c:pt>
                <c:pt idx="13">
                  <c:v>1.5747852047676553E-2</c:v>
                </c:pt>
                <c:pt idx="14">
                  <c:v>1.3639782128125062E-2</c:v>
                </c:pt>
                <c:pt idx="15">
                  <c:v>1.2196418939963679E-2</c:v>
                </c:pt>
                <c:pt idx="16">
                  <c:v>1.092398033987404E-2</c:v>
                </c:pt>
                <c:pt idx="17">
                  <c:v>1.0198500421613977E-2</c:v>
                </c:pt>
                <c:pt idx="18">
                  <c:v>9.1615579206454044E-3</c:v>
                </c:pt>
                <c:pt idx="19">
                  <c:v>7.6308332763584648E-3</c:v>
                </c:pt>
                <c:pt idx="20">
                  <c:v>6.6204790446454977E-3</c:v>
                </c:pt>
                <c:pt idx="21">
                  <c:v>6.0659237144571774E-3</c:v>
                </c:pt>
                <c:pt idx="22">
                  <c:v>5.0365778618473491E-3</c:v>
                </c:pt>
                <c:pt idx="23">
                  <c:v>4.7061236582419804E-3</c:v>
                </c:pt>
                <c:pt idx="24">
                  <c:v>3.9160722289325921E-3</c:v>
                </c:pt>
                <c:pt idx="25">
                  <c:v>4.0907951411837066E-3</c:v>
                </c:pt>
                <c:pt idx="26">
                  <c:v>3.9008789322151037E-3</c:v>
                </c:pt>
                <c:pt idx="27">
                  <c:v>3.9654504432644283E-3</c:v>
                </c:pt>
                <c:pt idx="28">
                  <c:v>3.50585321756041E-3</c:v>
                </c:pt>
                <c:pt idx="29">
                  <c:v>3.0272643709595305E-3</c:v>
                </c:pt>
                <c:pt idx="30">
                  <c:v>2.6018520628698603E-3</c:v>
                </c:pt>
                <c:pt idx="31">
                  <c:v>2.2600028867263747E-3</c:v>
                </c:pt>
                <c:pt idx="32">
                  <c:v>1.6598676663855897E-3</c:v>
                </c:pt>
                <c:pt idx="33">
                  <c:v>1.3028251935246159E-3</c:v>
                </c:pt>
                <c:pt idx="34">
                  <c:v>9.6857266573987491E-4</c:v>
                </c:pt>
                <c:pt idx="35">
                  <c:v>7.2547991826006316E-4</c:v>
                </c:pt>
                <c:pt idx="36">
                  <c:v>5.8494192362329705E-4</c:v>
                </c:pt>
                <c:pt idx="37">
                  <c:v>3.5704247286097348E-4</c:v>
                </c:pt>
                <c:pt idx="38">
                  <c:v>2.6588269255604409E-4</c:v>
                </c:pt>
                <c:pt idx="39">
                  <c:v>2.2030280240357939E-4</c:v>
                </c:pt>
                <c:pt idx="40">
                  <c:v>2.2789945076232351E-4</c:v>
                </c:pt>
                <c:pt idx="41">
                  <c:v>2.2410112658295144E-4</c:v>
                </c:pt>
                <c:pt idx="42">
                  <c:v>3.0006761017039262E-4</c:v>
                </c:pt>
                <c:pt idx="43">
                  <c:v>1.6712626389237057E-4</c:v>
                </c:pt>
                <c:pt idx="44">
                  <c:v>1.1394972538116176E-4</c:v>
                </c:pt>
                <c:pt idx="45">
                  <c:v>1.633279397129985E-4</c:v>
                </c:pt>
                <c:pt idx="46">
                  <c:v>1.2154637373990586E-4</c:v>
                </c:pt>
                <c:pt idx="47">
                  <c:v>8.7361456125557334E-5</c:v>
                </c:pt>
                <c:pt idx="48">
                  <c:v>8.3563131946185287E-5</c:v>
                </c:pt>
                <c:pt idx="49">
                  <c:v>9.1159780304929408E-5</c:v>
                </c:pt>
                <c:pt idx="50">
                  <c:v>6.8369835228697045E-5</c:v>
                </c:pt>
                <c:pt idx="51">
                  <c:v>3.4184917614348523E-5</c:v>
                </c:pt>
                <c:pt idx="52">
                  <c:v>4.1781565973092643E-5</c:v>
                </c:pt>
                <c:pt idx="53">
                  <c:v>1.0255475284304557E-4</c:v>
                </c:pt>
                <c:pt idx="54">
                  <c:v>1.1394972538116176E-5</c:v>
                </c:pt>
                <c:pt idx="55">
                  <c:v>1.5193296717488233E-5</c:v>
                </c:pt>
                <c:pt idx="56">
                  <c:v>7.5966483587441164E-6</c:v>
                </c:pt>
                <c:pt idx="57">
                  <c:v>7.9764807766813226E-5</c:v>
                </c:pt>
                <c:pt idx="58">
                  <c:v>2.2789945076232352E-5</c:v>
                </c:pt>
                <c:pt idx="59">
                  <c:v>3.0386593434976466E-5</c:v>
                </c:pt>
                <c:pt idx="60">
                  <c:v>2.2789945076232352E-5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0.1209441675758522</c:v>
                </c:pt>
                <c:pt idx="1">
                  <c:v>6.3295181079325427E-2</c:v>
                </c:pt>
                <c:pt idx="2">
                  <c:v>7.9922034332902903E-2</c:v>
                </c:pt>
                <c:pt idx="3">
                  <c:v>0.16093292873063991</c:v>
                </c:pt>
                <c:pt idx="4">
                  <c:v>3.335009372328597E-2</c:v>
                </c:pt>
                <c:pt idx="5">
                  <c:v>5.3912482728825178E-2</c:v>
                </c:pt>
                <c:pt idx="6">
                  <c:v>6.8040353142525642E-2</c:v>
                </c:pt>
                <c:pt idx="7">
                  <c:v>4.9551710437854994E-2</c:v>
                </c:pt>
                <c:pt idx="8">
                  <c:v>2.073767092806076E-2</c:v>
                </c:pt>
                <c:pt idx="9">
                  <c:v>1.4130236171646908E-2</c:v>
                </c:pt>
                <c:pt idx="10">
                  <c:v>1.2771405422310325E-2</c:v>
                </c:pt>
                <c:pt idx="11">
                  <c:v>2.0100591223592029E-3</c:v>
                </c:pt>
                <c:pt idx="12">
                  <c:v>3.8625503704280112E-2</c:v>
                </c:pt>
                <c:pt idx="13">
                  <c:v>1.7289096899568496E-2</c:v>
                </c:pt>
                <c:pt idx="14">
                  <c:v>1.5719480461526856E-2</c:v>
                </c:pt>
                <c:pt idx="15">
                  <c:v>0.15761644836130662</c:v>
                </c:pt>
                <c:pt idx="16">
                  <c:v>2.7092465426301585E-3</c:v>
                </c:pt>
                <c:pt idx="17">
                  <c:v>1.8549332845649014E-2</c:v>
                </c:pt>
                <c:pt idx="18">
                  <c:v>9.3312392844366772E-3</c:v>
                </c:pt>
                <c:pt idx="19">
                  <c:v>0</c:v>
                </c:pt>
                <c:pt idx="20">
                  <c:v>2.5211994167667912E-3</c:v>
                </c:pt>
                <c:pt idx="21">
                  <c:v>7.4380523369167999E-4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5.2378314538786865E-3</c:v>
                </c:pt>
                <c:pt idx="26">
                  <c:v>1.4725061016580325E-2</c:v>
                </c:pt>
                <c:pt idx="27">
                  <c:v>0</c:v>
                </c:pt>
                <c:pt idx="28">
                  <c:v>0</c:v>
                </c:pt>
                <c:pt idx="29">
                  <c:v>1.7385774549265765E-3</c:v>
                </c:pt>
                <c:pt idx="30">
                  <c:v>1.6381037243687512E-2</c:v>
                </c:pt>
                <c:pt idx="31">
                  <c:v>0</c:v>
                </c:pt>
                <c:pt idx="32">
                  <c:v>4.3694456831211885E-3</c:v>
                </c:pt>
                <c:pt idx="33">
                  <c:v>0</c:v>
                </c:pt>
                <c:pt idx="34">
                  <c:v>2.8596161372097077E-3</c:v>
                </c:pt>
                <c:pt idx="35">
                  <c:v>1.0722381110466453E-2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5.4498355325630306E-2</c:v>
                </c:pt>
                <c:pt idx="1">
                  <c:v>7.7136367434687783E-2</c:v>
                </c:pt>
                <c:pt idx="2">
                  <c:v>0.12352150231317936</c:v>
                </c:pt>
                <c:pt idx="3">
                  <c:v>0.1140560784581842</c:v>
                </c:pt>
                <c:pt idx="4">
                  <c:v>8.9006130495225461E-2</c:v>
                </c:pt>
                <c:pt idx="5">
                  <c:v>6.8491381602436965E-2</c:v>
                </c:pt>
                <c:pt idx="6">
                  <c:v>4.8778079111495988E-2</c:v>
                </c:pt>
                <c:pt idx="7">
                  <c:v>3.775534234295827E-2</c:v>
                </c:pt>
                <c:pt idx="8">
                  <c:v>3.0322021923927148E-2</c:v>
                </c:pt>
                <c:pt idx="9">
                  <c:v>2.5596906644788309E-2</c:v>
                </c:pt>
                <c:pt idx="10">
                  <c:v>2.5991932359443002E-2</c:v>
                </c:pt>
                <c:pt idx="11">
                  <c:v>2.3914249033326482E-2</c:v>
                </c:pt>
                <c:pt idx="12">
                  <c:v>2.5080334556393708E-2</c:v>
                </c:pt>
                <c:pt idx="13">
                  <c:v>2.4316871396339923E-2</c:v>
                </c:pt>
                <c:pt idx="14">
                  <c:v>2.3667357961667305E-2</c:v>
                </c:pt>
                <c:pt idx="15">
                  <c:v>2.0689471805039605E-2</c:v>
                </c:pt>
                <c:pt idx="16">
                  <c:v>1.7992661637685446E-2</c:v>
                </c:pt>
                <c:pt idx="17">
                  <c:v>1.5109733585542051E-2</c:v>
                </c:pt>
                <c:pt idx="18">
                  <c:v>1.1850771439640825E-2</c:v>
                </c:pt>
                <c:pt idx="19">
                  <c:v>1.0198500421613981E-2</c:v>
                </c:pt>
                <c:pt idx="20">
                  <c:v>9.7768864377036826E-3</c:v>
                </c:pt>
                <c:pt idx="21">
                  <c:v>1.0065559075335958E-2</c:v>
                </c:pt>
                <c:pt idx="22">
                  <c:v>9.503407096788893E-3</c:v>
                </c:pt>
                <c:pt idx="23">
                  <c:v>9.0286165743673867E-3</c:v>
                </c:pt>
                <c:pt idx="24">
                  <c:v>8.4626662716409482E-3</c:v>
                </c:pt>
                <c:pt idx="25">
                  <c:v>8.4284813540266013E-3</c:v>
                </c:pt>
                <c:pt idx="26">
                  <c:v>7.8511360787620471E-3</c:v>
                </c:pt>
                <c:pt idx="27">
                  <c:v>6.5559075335961748E-3</c:v>
                </c:pt>
                <c:pt idx="28">
                  <c:v>5.724074538313694E-3</c:v>
                </c:pt>
                <c:pt idx="29">
                  <c:v>4.6491487955514013E-3</c:v>
                </c:pt>
                <c:pt idx="30">
                  <c:v>4.3376862128428921E-3</c:v>
                </c:pt>
                <c:pt idx="31">
                  <c:v>4.2161398391029857E-3</c:v>
                </c:pt>
                <c:pt idx="32">
                  <c:v>4.0072320092375234E-3</c:v>
                </c:pt>
                <c:pt idx="33">
                  <c:v>3.5818197011478524E-3</c:v>
                </c:pt>
                <c:pt idx="34">
                  <c:v>3.3425252778474124E-3</c:v>
                </c:pt>
                <c:pt idx="35">
                  <c:v>3.1905923106725306E-3</c:v>
                </c:pt>
                <c:pt idx="36">
                  <c:v>3.433685058152342E-3</c:v>
                </c:pt>
                <c:pt idx="37">
                  <c:v>3.3007437118743196E-3</c:v>
                </c:pt>
                <c:pt idx="38">
                  <c:v>3.2665587942599713E-3</c:v>
                </c:pt>
                <c:pt idx="39">
                  <c:v>3.1829956623137864E-3</c:v>
                </c:pt>
                <c:pt idx="40">
                  <c:v>2.9512978873720902E-3</c:v>
                </c:pt>
                <c:pt idx="41">
                  <c:v>2.2789945076232359E-3</c:v>
                </c:pt>
                <c:pt idx="42">
                  <c:v>1.9371453314797505E-3</c:v>
                </c:pt>
                <c:pt idx="43">
                  <c:v>1.405379946367662E-3</c:v>
                </c:pt>
                <c:pt idx="44">
                  <c:v>1.1812788197847104E-3</c:v>
                </c:pt>
                <c:pt idx="45">
                  <c:v>6.5711008303136632E-4</c:v>
                </c:pt>
                <c:pt idx="46">
                  <c:v>5.203704125739722E-4</c:v>
                </c:pt>
                <c:pt idx="47">
                  <c:v>4.3680728062778684E-4</c:v>
                </c:pt>
                <c:pt idx="48">
                  <c:v>3.6463912121971774E-4</c:v>
                </c:pt>
                <c:pt idx="49">
                  <c:v>3.8742906629595007E-4</c:v>
                </c:pt>
                <c:pt idx="50">
                  <c:v>3.3425252778474126E-4</c:v>
                </c:pt>
                <c:pt idx="51">
                  <c:v>2.3169777494169561E-4</c:v>
                </c:pt>
                <c:pt idx="52">
                  <c:v>1.785212364304868E-4</c:v>
                </c:pt>
                <c:pt idx="53">
                  <c:v>1.5193296717488239E-4</c:v>
                </c:pt>
                <c:pt idx="54">
                  <c:v>1.6712626389237063E-4</c:v>
                </c:pt>
                <c:pt idx="55">
                  <c:v>1.5573129135425443E-4</c:v>
                </c:pt>
                <c:pt idx="56">
                  <c:v>1.1015140120178974E-4</c:v>
                </c:pt>
                <c:pt idx="57">
                  <c:v>1.5952961553362651E-4</c:v>
                </c:pt>
                <c:pt idx="58">
                  <c:v>1.1015140120178974E-4</c:v>
                </c:pt>
                <c:pt idx="59">
                  <c:v>7.9764807766813254E-5</c:v>
                </c:pt>
                <c:pt idx="60">
                  <c:v>1.139497253811618E-4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calibration_flow!$F$3</c:f>
              <c:strCache>
                <c:ptCount val="1"/>
                <c:pt idx="0">
                  <c:v>2015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calibration_flow!$F$4:$F$13</c:f>
              <c:numCache>
                <c:formatCode>0.0%</c:formatCode>
                <c:ptCount val="10"/>
                <c:pt idx="0">
                  <c:v>0.34795937239403585</c:v>
                </c:pt>
                <c:pt idx="1">
                  <c:v>0.14775161190671576</c:v>
                </c:pt>
                <c:pt idx="2">
                  <c:v>0.16927534190633417</c:v>
                </c:pt>
                <c:pt idx="3">
                  <c:v>0.12125316808184565</c:v>
                </c:pt>
                <c:pt idx="4">
                  <c:v>5.9624242748680466E-2</c:v>
                </c:pt>
                <c:pt idx="5">
                  <c:v>6.150345547735124E-2</c:v>
                </c:pt>
                <c:pt idx="6">
                  <c:v>2.5792243789627928E-2</c:v>
                </c:pt>
                <c:pt idx="7">
                  <c:v>2.2066813324826486E-2</c:v>
                </c:pt>
                <c:pt idx="8">
                  <c:v>2.5352690665461183E-2</c:v>
                </c:pt>
                <c:pt idx="9">
                  <c:v>1.9421059705121348E-2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F2-4739-9112-4F814679241B}"/>
            </c:ext>
          </c:extLst>
        </c:ser>
        <c:ser>
          <c:idx val="1"/>
          <c:order val="1"/>
          <c:tx>
            <c:strRef>
              <c:f>calibration_flow!$G$3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calibration_flow!$B$4:$B$13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calibration_flow!$G$4:$G$13</c:f>
              <c:numCache>
                <c:formatCode>0.0%</c:formatCode>
                <c:ptCount val="10"/>
                <c:pt idx="0">
                  <c:v>0.3763197061886196</c:v>
                </c:pt>
                <c:pt idx="1">
                  <c:v>0.15462737847203475</c:v>
                </c:pt>
                <c:pt idx="2">
                  <c:v>0.17005546637336169</c:v>
                </c:pt>
                <c:pt idx="3">
                  <c:v>0.11465822490385257</c:v>
                </c:pt>
                <c:pt idx="4">
                  <c:v>5.468987857440951E-2</c:v>
                </c:pt>
                <c:pt idx="5">
                  <c:v>5.3054401129025382E-2</c:v>
                </c:pt>
                <c:pt idx="6">
                  <c:v>2.1662978162428063E-2</c:v>
                </c:pt>
                <c:pt idx="7">
                  <c:v>1.6667295965683657E-2</c:v>
                </c:pt>
                <c:pt idx="8">
                  <c:v>2.1430424525676839E-2</c:v>
                </c:pt>
                <c:pt idx="9">
                  <c:v>1.6834245704908175E-2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F2-4739-9112-4F814679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Compare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calibration_flow!$CB$2:$CB$101</c:f>
              <c:numCache>
                <c:formatCode>_(* #,##0_);_(* \(#,##0\);_(* "-"??_);_(@_)</c:formatCode>
                <c:ptCount val="100"/>
                <c:pt idx="0">
                  <c:v>152569.48153497299</c:v>
                </c:pt>
                <c:pt idx="1">
                  <c:v>8703.49573106553</c:v>
                </c:pt>
                <c:pt idx="2">
                  <c:v>1856.9497493213401</c:v>
                </c:pt>
                <c:pt idx="3">
                  <c:v>9715.7355401545301</c:v>
                </c:pt>
                <c:pt idx="4">
                  <c:v>6117.5843413740604</c:v>
                </c:pt>
                <c:pt idx="5">
                  <c:v>1833.54827379734</c:v>
                </c:pt>
                <c:pt idx="6">
                  <c:v>329.68047218398499</c:v>
                </c:pt>
                <c:pt idx="7">
                  <c:v>1265.7725313999099</c:v>
                </c:pt>
                <c:pt idx="8">
                  <c:v>269.87492723479301</c:v>
                </c:pt>
                <c:pt idx="9">
                  <c:v>1452.5323676599201</c:v>
                </c:pt>
                <c:pt idx="10">
                  <c:v>8677.77356730869</c:v>
                </c:pt>
                <c:pt idx="11">
                  <c:v>60999.161097757598</c:v>
                </c:pt>
                <c:pt idx="12">
                  <c:v>933.60453494550302</c:v>
                </c:pt>
                <c:pt idx="13">
                  <c:v>782.49863823232795</c:v>
                </c:pt>
                <c:pt idx="14">
                  <c:v>1411.76804682749</c:v>
                </c:pt>
                <c:pt idx="15">
                  <c:v>2041.61258061529</c:v>
                </c:pt>
                <c:pt idx="16">
                  <c:v>450.015201261568</c:v>
                </c:pt>
                <c:pt idx="17">
                  <c:v>2182.6276743015401</c:v>
                </c:pt>
                <c:pt idx="18">
                  <c:v>127.687463508889</c:v>
                </c:pt>
                <c:pt idx="19">
                  <c:v>191.03314711069001</c:v>
                </c:pt>
                <c:pt idx="20">
                  <c:v>1735.9715478427099</c:v>
                </c:pt>
                <c:pt idx="21">
                  <c:v>859.01550215396105</c:v>
                </c:pt>
                <c:pt idx="22">
                  <c:v>73504.489393566299</c:v>
                </c:pt>
                <c:pt idx="23">
                  <c:v>269.21256298887801</c:v>
                </c:pt>
                <c:pt idx="24">
                  <c:v>1011.02477059698</c:v>
                </c:pt>
                <c:pt idx="25">
                  <c:v>4737.8268265010602</c:v>
                </c:pt>
                <c:pt idx="26">
                  <c:v>993.37826076184001</c:v>
                </c:pt>
                <c:pt idx="27">
                  <c:v>282.34772330249598</c:v>
                </c:pt>
                <c:pt idx="28">
                  <c:v>5242.0179649538604</c:v>
                </c:pt>
                <c:pt idx="29">
                  <c:v>793.71577473311595</c:v>
                </c:pt>
                <c:pt idx="30">
                  <c:v>9549.3419714233805</c:v>
                </c:pt>
                <c:pt idx="31">
                  <c:v>784.21003794710396</c:v>
                </c:pt>
                <c:pt idx="32">
                  <c:v>270.60276385475601</c:v>
                </c:pt>
                <c:pt idx="33">
                  <c:v>49885.818964235899</c:v>
                </c:pt>
                <c:pt idx="34">
                  <c:v>1440.62028102571</c:v>
                </c:pt>
                <c:pt idx="35">
                  <c:v>526.63698676752301</c:v>
                </c:pt>
                <c:pt idx="36">
                  <c:v>136.104987078308</c:v>
                </c:pt>
                <c:pt idx="37">
                  <c:v>406.01133891952298</c:v>
                </c:pt>
                <c:pt idx="38">
                  <c:v>62.3332243466729</c:v>
                </c:pt>
                <c:pt idx="39">
                  <c:v>844.86156863135795</c:v>
                </c:pt>
                <c:pt idx="40">
                  <c:v>6229.8856866349897</c:v>
                </c:pt>
                <c:pt idx="41">
                  <c:v>1520.32626777063</c:v>
                </c:pt>
                <c:pt idx="42">
                  <c:v>1026.87430317597</c:v>
                </c:pt>
                <c:pt idx="43">
                  <c:v>1482.85600376761</c:v>
                </c:pt>
                <c:pt idx="44">
                  <c:v>18669.323433482201</c:v>
                </c:pt>
                <c:pt idx="45">
                  <c:v>1688.02167937381</c:v>
                </c:pt>
                <c:pt idx="46">
                  <c:v>148.881603963733</c:v>
                </c:pt>
                <c:pt idx="47">
                  <c:v>157.35707000563301</c:v>
                </c:pt>
                <c:pt idx="48">
                  <c:v>80.070214942591306</c:v>
                </c:pt>
                <c:pt idx="49">
                  <c:v>870.45923688240202</c:v>
                </c:pt>
                <c:pt idx="50">
                  <c:v>1800.4108128369701</c:v>
                </c:pt>
                <c:pt idx="51">
                  <c:v>2094.4503335650702</c:v>
                </c:pt>
                <c:pt idx="52">
                  <c:v>4681.0725938529204</c:v>
                </c:pt>
                <c:pt idx="53">
                  <c:v>521.20277354264397</c:v>
                </c:pt>
                <c:pt idx="54">
                  <c:v>1646.2060497226501</c:v>
                </c:pt>
                <c:pt idx="55">
                  <c:v>18680.392191572799</c:v>
                </c:pt>
                <c:pt idx="56">
                  <c:v>671.57180396227102</c:v>
                </c:pt>
                <c:pt idx="57">
                  <c:v>570.56872423990797</c:v>
                </c:pt>
                <c:pt idx="58">
                  <c:v>559.24365015967703</c:v>
                </c:pt>
                <c:pt idx="59">
                  <c:v>1117.07461657095</c:v>
                </c:pt>
                <c:pt idx="60">
                  <c:v>349.75061950297197</c:v>
                </c:pt>
                <c:pt idx="61">
                  <c:v>518.17331426807505</c:v>
                </c:pt>
                <c:pt idx="62">
                  <c:v>989.66475610707596</c:v>
                </c:pt>
                <c:pt idx="63">
                  <c:v>129.192930009995</c:v>
                </c:pt>
                <c:pt idx="64">
                  <c:v>158.38023117937499</c:v>
                </c:pt>
                <c:pt idx="65">
                  <c:v>728.82634139336096</c:v>
                </c:pt>
                <c:pt idx="66">
                  <c:v>8963.6408266327999</c:v>
                </c:pt>
                <c:pt idx="67">
                  <c:v>1462.9088506027799</c:v>
                </c:pt>
                <c:pt idx="68">
                  <c:v>416.94112654493898</c:v>
                </c:pt>
                <c:pt idx="69">
                  <c:v>29.920811801705799</c:v>
                </c:pt>
                <c:pt idx="70">
                  <c:v>1277.9266552479701</c:v>
                </c:pt>
                <c:pt idx="71">
                  <c:v>2280.6389495757999</c:v>
                </c:pt>
                <c:pt idx="72">
                  <c:v>297.34606774686699</c:v>
                </c:pt>
                <c:pt idx="73">
                  <c:v>383.50191331375601</c:v>
                </c:pt>
                <c:pt idx="74">
                  <c:v>137.10696332886201</c:v>
                </c:pt>
                <c:pt idx="75">
                  <c:v>569.39619174423206</c:v>
                </c:pt>
                <c:pt idx="76">
                  <c:v>1523.05741860482</c:v>
                </c:pt>
                <c:pt idx="77">
                  <c:v>5189.0460589788399</c:v>
                </c:pt>
                <c:pt idx="78">
                  <c:v>58.227067413760999</c:v>
                </c:pt>
                <c:pt idx="79">
                  <c:v>85.134204286849595</c:v>
                </c:pt>
                <c:pt idx="80">
                  <c:v>295.85320244962298</c:v>
                </c:pt>
                <c:pt idx="81">
                  <c:v>136.60915803073499</c:v>
                </c:pt>
                <c:pt idx="82">
                  <c:v>5100.3175534420197</c:v>
                </c:pt>
                <c:pt idx="83">
                  <c:v>61.7512649844913</c:v>
                </c:pt>
                <c:pt idx="84">
                  <c:v>71.712371055554698</c:v>
                </c:pt>
                <c:pt idx="85">
                  <c:v>563.99052182078105</c:v>
                </c:pt>
                <c:pt idx="86">
                  <c:v>401.78526928481301</c:v>
                </c:pt>
                <c:pt idx="87">
                  <c:v>67.024780248843697</c:v>
                </c:pt>
                <c:pt idx="88">
                  <c:v>6137.4068286740503</c:v>
                </c:pt>
                <c:pt idx="89">
                  <c:v>459.41013892848798</c:v>
                </c:pt>
                <c:pt idx="90">
                  <c:v>1443.7122968035501</c:v>
                </c:pt>
                <c:pt idx="91">
                  <c:v>204.90517031599299</c:v>
                </c:pt>
                <c:pt idx="92">
                  <c:v>817.432284296891</c:v>
                </c:pt>
                <c:pt idx="93">
                  <c:v>862.23019530998101</c:v>
                </c:pt>
                <c:pt idx="94">
                  <c:v>853.43980145606702</c:v>
                </c:pt>
                <c:pt idx="95">
                  <c:v>1140.25997572341</c:v>
                </c:pt>
                <c:pt idx="96">
                  <c:v>15.5740621921843</c:v>
                </c:pt>
                <c:pt idx="97">
                  <c:v>80.775633122497297</c:v>
                </c:pt>
                <c:pt idx="98">
                  <c:v>447.54119324688799</c:v>
                </c:pt>
                <c:pt idx="99">
                  <c:v>4421.76240383198</c:v>
                </c:pt>
              </c:numCache>
            </c:numRef>
          </c:xVal>
          <c:yVal>
            <c:numRef>
              <c:f>calibration_flow!$CC$2:$CC$101</c:f>
              <c:numCache>
                <c:formatCode>_(* #,##0_);_(* \(#,##0\);_(* "-"??_);_(@_)</c:formatCode>
                <c:ptCount val="100"/>
                <c:pt idx="0">
                  <c:v>169163.34681225207</c:v>
                </c:pt>
                <c:pt idx="1">
                  <c:v>9200.5460883071737</c:v>
                </c:pt>
                <c:pt idx="2">
                  <c:v>1765.1363781744119</c:v>
                </c:pt>
                <c:pt idx="3">
                  <c:v>9535.3374473430613</c:v>
                </c:pt>
                <c:pt idx="4">
                  <c:v>6102.9489815771431</c:v>
                </c:pt>
                <c:pt idx="5">
                  <c:v>1671.7144923107999</c:v>
                </c:pt>
                <c:pt idx="6">
                  <c:v>294.23009822965781</c:v>
                </c:pt>
                <c:pt idx="7">
                  <c:v>1101.0817137099607</c:v>
                </c:pt>
                <c:pt idx="8">
                  <c:v>242.32411696798655</c:v>
                </c:pt>
                <c:pt idx="9">
                  <c:v>1281.9312104411786</c:v>
                </c:pt>
                <c:pt idx="10">
                  <c:v>8994.1876213151991</c:v>
                </c:pt>
                <c:pt idx="11">
                  <c:v>64991.416974888016</c:v>
                </c:pt>
                <c:pt idx="12">
                  <c:v>887.04169431570222</c:v>
                </c:pt>
                <c:pt idx="13">
                  <c:v>800.52432520674688</c:v>
                </c:pt>
                <c:pt idx="14">
                  <c:v>1479.7200842907189</c:v>
                </c:pt>
                <c:pt idx="15">
                  <c:v>1937.7048950037401</c:v>
                </c:pt>
                <c:pt idx="16">
                  <c:v>446.83989942415587</c:v>
                </c:pt>
                <c:pt idx="17">
                  <c:v>1969.0971351679825</c:v>
                </c:pt>
                <c:pt idx="18">
                  <c:v>119.30827343893333</c:v>
                </c:pt>
                <c:pt idx="19">
                  <c:v>186.13333913509808</c:v>
                </c:pt>
                <c:pt idx="20">
                  <c:v>1748.7964285556745</c:v>
                </c:pt>
                <c:pt idx="21">
                  <c:v>882.86790283700498</c:v>
                </c:pt>
                <c:pt idx="22">
                  <c:v>75893.138307060552</c:v>
                </c:pt>
                <c:pt idx="23">
                  <c:v>252.29237427615152</c:v>
                </c:pt>
                <c:pt idx="24">
                  <c:v>937.9264287262065</c:v>
                </c:pt>
                <c:pt idx="25">
                  <c:v>4332.9061783134202</c:v>
                </c:pt>
                <c:pt idx="26">
                  <c:v>885.06580366887169</c:v>
                </c:pt>
                <c:pt idx="27">
                  <c:v>233.75452382555483</c:v>
                </c:pt>
                <c:pt idx="28">
                  <c:v>4626.6256531174886</c:v>
                </c:pt>
                <c:pt idx="29">
                  <c:v>757.40994727254372</c:v>
                </c:pt>
                <c:pt idx="30">
                  <c:v>9052.2654857209</c:v>
                </c:pt>
                <c:pt idx="31">
                  <c:v>756.38870042137307</c:v>
                </c:pt>
                <c:pt idx="32">
                  <c:v>241.32507113531918</c:v>
                </c:pt>
                <c:pt idx="33">
                  <c:v>47050.907128151608</c:v>
                </c:pt>
                <c:pt idx="34">
                  <c:v>1315.9209697703532</c:v>
                </c:pt>
                <c:pt idx="35">
                  <c:v>456.18652821421699</c:v>
                </c:pt>
                <c:pt idx="36">
                  <c:v>105.3438328001007</c:v>
                </c:pt>
                <c:pt idx="37">
                  <c:v>371.80045688161869</c:v>
                </c:pt>
                <c:pt idx="38">
                  <c:v>43.180980989714421</c:v>
                </c:pt>
                <c:pt idx="39">
                  <c:v>742.93488320812514</c:v>
                </c:pt>
                <c:pt idx="40">
                  <c:v>5637.0384072583074</c:v>
                </c:pt>
                <c:pt idx="41">
                  <c:v>1428.1471183066101</c:v>
                </c:pt>
                <c:pt idx="42">
                  <c:v>923.7621789208373</c:v>
                </c:pt>
                <c:pt idx="43">
                  <c:v>1320.0725602305499</c:v>
                </c:pt>
                <c:pt idx="44">
                  <c:v>16659.666486201892</c:v>
                </c:pt>
                <c:pt idx="45">
                  <c:v>1423.3516983098016</c:v>
                </c:pt>
                <c:pt idx="46">
                  <c:v>125.48015658296451</c:v>
                </c:pt>
                <c:pt idx="47">
                  <c:v>125.48015658296451</c:v>
                </c:pt>
                <c:pt idx="48">
                  <c:v>57.078818573036401</c:v>
                </c:pt>
                <c:pt idx="49">
                  <c:v>731.81217293776751</c:v>
                </c:pt>
                <c:pt idx="50">
                  <c:v>1607.2205335575222</c:v>
                </c:pt>
                <c:pt idx="51">
                  <c:v>1841.8630981232291</c:v>
                </c:pt>
                <c:pt idx="52">
                  <c:v>4136.9155869626711</c:v>
                </c:pt>
                <c:pt idx="53">
                  <c:v>451.83512858748998</c:v>
                </c:pt>
                <c:pt idx="54">
                  <c:v>1416.9578049807387</c:v>
                </c:pt>
                <c:pt idx="55">
                  <c:v>15824.797185369951</c:v>
                </c:pt>
                <c:pt idx="56">
                  <c:v>571.25440711894225</c:v>
                </c:pt>
                <c:pt idx="57">
                  <c:v>434.74034433963391</c:v>
                </c:pt>
                <c:pt idx="58">
                  <c:v>473.43671959159951</c:v>
                </c:pt>
                <c:pt idx="59">
                  <c:v>946.42941881312856</c:v>
                </c:pt>
                <c:pt idx="60">
                  <c:v>288.72424564073879</c:v>
                </c:pt>
                <c:pt idx="61">
                  <c:v>427.81362656647661</c:v>
                </c:pt>
                <c:pt idx="62">
                  <c:v>840.77477175397132</c:v>
                </c:pt>
                <c:pt idx="63">
                  <c:v>106.45388372528616</c:v>
                </c:pt>
                <c:pt idx="64">
                  <c:v>124.01488936171968</c:v>
                </c:pt>
                <c:pt idx="65">
                  <c:v>573.74092119135776</c:v>
                </c:pt>
                <c:pt idx="66">
                  <c:v>7530.8518886802067</c:v>
                </c:pt>
                <c:pt idx="67">
                  <c:v>1109.78451296342</c:v>
                </c:pt>
                <c:pt idx="68">
                  <c:v>358.85726309395579</c:v>
                </c:pt>
                <c:pt idx="69">
                  <c:v>21.890204244657291</c:v>
                </c:pt>
                <c:pt idx="70">
                  <c:v>1041.2721698609707</c:v>
                </c:pt>
                <c:pt idx="71">
                  <c:v>1923.7404543649031</c:v>
                </c:pt>
                <c:pt idx="72">
                  <c:v>243.10115261561589</c:v>
                </c:pt>
                <c:pt idx="73">
                  <c:v>353.95083800463647</c:v>
                </c:pt>
                <c:pt idx="74">
                  <c:v>125.65776473099416</c:v>
                </c:pt>
                <c:pt idx="75">
                  <c:v>449.28201145956393</c:v>
                </c:pt>
                <c:pt idx="76">
                  <c:v>1120.4854038822089</c:v>
                </c:pt>
                <c:pt idx="77">
                  <c:v>3334.8371904606611</c:v>
                </c:pt>
                <c:pt idx="78">
                  <c:v>60.231363200563109</c:v>
                </c:pt>
                <c:pt idx="79">
                  <c:v>65.981426993023803</c:v>
                </c:pt>
                <c:pt idx="80">
                  <c:v>231.3124117901468</c:v>
                </c:pt>
                <c:pt idx="81">
                  <c:v>114.40184834961406</c:v>
                </c:pt>
                <c:pt idx="82">
                  <c:v>4282.6430724210204</c:v>
                </c:pt>
                <c:pt idx="83">
                  <c:v>40.872075065328666</c:v>
                </c:pt>
                <c:pt idx="84">
                  <c:v>55.546948296280455</c:v>
                </c:pt>
                <c:pt idx="85">
                  <c:v>466.53220283694549</c:v>
                </c:pt>
                <c:pt idx="86">
                  <c:v>347.00191921297505</c:v>
                </c:pt>
                <c:pt idx="87">
                  <c:v>59.343322460414733</c:v>
                </c:pt>
                <c:pt idx="88">
                  <c:v>4976.9355240875157</c:v>
                </c:pt>
                <c:pt idx="89">
                  <c:v>370.8902151229662</c:v>
                </c:pt>
                <c:pt idx="90">
                  <c:v>1157.1170844133242</c:v>
                </c:pt>
                <c:pt idx="91">
                  <c:v>168.30592127662004</c:v>
                </c:pt>
                <c:pt idx="92">
                  <c:v>676.88685315959071</c:v>
                </c:pt>
                <c:pt idx="93">
                  <c:v>695.69111583223196</c:v>
                </c:pt>
                <c:pt idx="94">
                  <c:v>690.51827852086831</c:v>
                </c:pt>
                <c:pt idx="95">
                  <c:v>908.1548629127293</c:v>
                </c:pt>
                <c:pt idx="96">
                  <c:v>24.421120354080138</c:v>
                </c:pt>
                <c:pt idx="97">
                  <c:v>70.355027638254512</c:v>
                </c:pt>
                <c:pt idx="98">
                  <c:v>370.06877743832939</c:v>
                </c:pt>
                <c:pt idx="99">
                  <c:v>3793.1106144142273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4C-4A8A-8EB9-700B4000C1A9}"/>
            </c:ext>
          </c:extLst>
        </c:ser>
        <c:ser>
          <c:idx val="1"/>
          <c:order val="1"/>
          <c:tx>
            <c:strRef>
              <c:f>calibration_flow!$CF$1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1905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xVal>
          <c:yVal>
            <c:numRef>
              <c:f>calibration_flow!$CF$2:$CF$41</c:f>
              <c:numCache>
                <c:formatCode>General</c:formatCode>
                <c:ptCount val="40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4C-4A8A-8EB9-700B4000C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66655"/>
        <c:axId val="274769151"/>
      </c:scatterChart>
      <c:valAx>
        <c:axId val="274766655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9151"/>
        <c:crosses val="autoZero"/>
        <c:crossBetween val="midCat"/>
      </c:valAx>
      <c:valAx>
        <c:axId val="274769151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766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    <Relationship Id="rId2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291043</xdr:colOff>
      <xdr:row>0</xdr:row>
      <xdr:rowOff>31751</xdr:rowOff>
    </xdr:from>
    <xdr:to>
      <xdr:col>17</xdr:col>
      <xdr:colOff>343959</xdr:colOff>
      <xdr:row>15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838728</xdr:colOff>
      <xdr:row>0</xdr:row>
      <xdr:rowOff>28044</xdr:rowOff>
    </xdr:from>
    <xdr:to>
      <xdr:col>23</xdr:col>
      <xdr:colOff>269875</xdr:colOff>
      <xdr:row>17</xdr:row>
      <xdr:rowOff>63499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N11" sqref="N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25727.54215380668</v>
      </c>
      <c r="C11" s="10">
        <f>B11/B$102</f>
        <v>0.23711196971057669</v>
      </c>
      <c r="E11" s="18">
        <v>0</v>
      </c>
      <c r="F11" s="248" t="n">
        <v>28081.0</v>
      </c>
      <c r="G11" s="10">
        <f>F11/F$102</f>
        <v>0.20694409626472784</v>
      </c>
      <c r="K11" s="8" t="n">
        <v>6.101292132065239</v>
      </c>
      <c r="L11" s="8" t="n">
        <v>6.42936500491093</v>
      </c>
    </row>
    <row r="12" spans="1:12" x14ac:dyDescent="0.25">
      <c r="A12">
        <v>1</v>
      </c>
      <c r="B12" s="246" t="n">
        <v>56872.42159310776</v>
      </c>
      <c r="C12" s="10">
        <f>B12/B$102</f>
        <v>0.18674410309139397</v>
      </c>
      <c r="E12" s="19">
        <v>1</v>
      </c>
      <c r="F12" s="248" t="n">
        <v>35204.0</v>
      </c>
      <c r="G12" s="10">
        <f>F12/F$102</f>
        <v>0.1766600575825944</v>
      </c>
      <c r="K12" s="8"/>
      <c r="L12" s="198"/>
    </row>
    <row r="13" spans="1:12" x14ac:dyDescent="0.25">
      <c r="A13">
        <v>2</v>
      </c>
      <c r="B13" s="246" t="n">
        <v>43978.220498514886</v>
      </c>
      <c r="C13" s="10">
        <f ref="C13:C76" si="0" t="shared">B13/B$102</f>
        <v>7.1190172345719421E-2</v>
      </c>
      <c r="E13" s="20">
        <v>2</v>
      </c>
      <c r="F13" s="248" t="n">
        <v>38255.0</v>
      </c>
      <c r="G13" s="10">
        <f ref="G13:G76" si="1" t="shared">F13/F$102</f>
        <v>0.11885716022091045</v>
      </c>
    </row>
    <row r="14" spans="1:12" x14ac:dyDescent="0.25">
      <c r="A14">
        <v>3</v>
      </c>
      <c r="B14" s="246" t="n">
        <v>43787.16244462307</v>
      </c>
      <c r="C14" s="10">
        <f si="0" t="shared"/>
        <v>0.10691506918623833</v>
      </c>
      <c r="E14" s="21">
        <v>3</v>
      </c>
      <c r="F14" s="248" t="n">
        <v>39439.0</v>
      </c>
      <c r="G14" s="10">
        <f si="1" t="shared"/>
        <v>7.1226175011584833E-2</v>
      </c>
    </row>
    <row r="15" spans="1:12" x14ac:dyDescent="0.25">
      <c r="A15">
        <v>4</v>
      </c>
      <c r="B15" s="246" t="n">
        <v>33425.188005197386</v>
      </c>
      <c r="C15" s="10">
        <f si="0" t="shared"/>
        <v>4.3588937731693735E-2</v>
      </c>
      <c r="E15" s="22">
        <v>4</v>
      </c>
      <c r="F15" s="248" t="n">
        <v>30643.0</v>
      </c>
      <c r="G15" s="10">
        <f si="1" t="shared"/>
        <v>4.904776012823138E-2</v>
      </c>
    </row>
    <row r="16" spans="1:12" x14ac:dyDescent="0.25">
      <c r="A16">
        <v>5</v>
      </c>
      <c r="B16" s="246" t="n">
        <v>23416.79519424838</v>
      </c>
      <c r="C16" s="10">
        <f si="0" t="shared"/>
        <v>2.9654925296271298E-2</v>
      </c>
      <c r="E16" s="23">
        <v>5</v>
      </c>
      <c r="F16" s="248" t="n">
        <v>24528.0</v>
      </c>
      <c r="G16" s="10">
        <f si="1" t="shared"/>
        <v>3.6441122176895525E-2</v>
      </c>
    </row>
    <row r="17" spans="1:7" x14ac:dyDescent="0.25">
      <c r="A17">
        <v>6</v>
      </c>
      <c r="B17" s="246" t="n">
        <v>25566.030039998503</v>
      </c>
      <c r="C17" s="10">
        <f si="0" t="shared"/>
        <v>4.3931460336958618E-3</v>
      </c>
      <c r="E17" s="24">
        <v>6</v>
      </c>
      <c r="F17" s="248" t="n">
        <v>19043.0</v>
      </c>
      <c r="G17" s="10">
        <f si="1" t="shared"/>
        <v>3.5977726627012131E-2</v>
      </c>
    </row>
    <row r="18" spans="1:7" x14ac:dyDescent="0.25">
      <c r="A18">
        <v>7</v>
      </c>
      <c r="B18" s="246" t="n">
        <v>9520.508872923998</v>
      </c>
      <c r="C18" s="10">
        <f si="0" t="shared"/>
        <v>2.9694926037205468E-2</v>
      </c>
      <c r="E18" s="25">
        <v>7</v>
      </c>
      <c r="F18" s="248" t="n">
        <v>13685.0</v>
      </c>
      <c r="G18" s="10">
        <f si="1" t="shared"/>
        <v>3.3068210305613133E-2</v>
      </c>
    </row>
    <row r="19" spans="1:7" x14ac:dyDescent="0.25">
      <c r="A19">
        <v>8</v>
      </c>
      <c r="B19" s="246" t="n">
        <v>15848.103605878663</v>
      </c>
      <c r="C19" s="10">
        <f si="0" t="shared"/>
        <v>4.1331036207508678E-2</v>
      </c>
      <c r="E19" s="26">
        <v>8</v>
      </c>
      <c r="F19" s="248" t="n">
        <v>10209.0</v>
      </c>
      <c r="G19" s="10">
        <f si="1" t="shared"/>
        <v>3.0891770550832948E-2</v>
      </c>
    </row>
    <row r="20" spans="1:7" x14ac:dyDescent="0.25">
      <c r="A20">
        <v>9</v>
      </c>
      <c r="B20" s="246" t="n">
        <v>7249.992183600848</v>
      </c>
      <c r="C20" s="10">
        <f si="0" t="shared"/>
        <v>4.3202895851721483E-3</v>
      </c>
      <c r="E20" s="27">
        <v>9</v>
      </c>
      <c r="F20" s="248" t="n">
        <v>7653.0</v>
      </c>
      <c r="G20" s="10">
        <f si="1" t="shared"/>
        <v>3.2338932063173703E-2</v>
      </c>
    </row>
    <row r="21" spans="1:7" x14ac:dyDescent="0.25">
      <c r="A21">
        <v>10</v>
      </c>
      <c r="B21" s="246" t="n">
        <v>10571.927577866152</v>
      </c>
      <c r="C21" s="10">
        <f si="0" t="shared"/>
        <v>5.4694943658353064E-4</v>
      </c>
      <c r="E21" s="28">
        <v>10</v>
      </c>
      <c r="F21" s="248" t="n">
        <v>6498.0</v>
      </c>
      <c r="G21" s="10">
        <f si="1" t="shared"/>
        <v>2.8772305658743339E-2</v>
      </c>
    </row>
    <row r="22" spans="1:7" x14ac:dyDescent="0.25">
      <c r="A22">
        <v>11</v>
      </c>
      <c r="B22" s="246" t="n">
        <v>5536.971341925972</v>
      </c>
      <c r="C22" s="10">
        <f si="0" t="shared"/>
        <v>0.16939626785882633</v>
      </c>
      <c r="E22" s="29">
        <v>11</v>
      </c>
      <c r="F22" s="248" t="n">
        <v>5409.0</v>
      </c>
      <c r="G22" s="10">
        <f si="1" t="shared"/>
        <v>2.2900096477434139E-2</v>
      </c>
    </row>
    <row r="23" spans="1:7" x14ac:dyDescent="0.25">
      <c r="A23">
        <v>12</v>
      </c>
      <c r="B23" s="246" t="n">
        <v>6082.870551667088</v>
      </c>
      <c r="C23" s="10">
        <f si="0" t="shared"/>
        <v>1.4550878974101719E-2</v>
      </c>
      <c r="E23" s="30">
        <v>12</v>
      </c>
      <c r="F23" s="248" t="n">
        <v>4975.0</v>
      </c>
      <c r="G23" s="10">
        <f si="1" t="shared"/>
        <v>1.8486443781003805E-2</v>
      </c>
    </row>
    <row r="24" spans="1:7" x14ac:dyDescent="0.25">
      <c r="A24">
        <v>13</v>
      </c>
      <c r="B24" s="246" t="n">
        <v>5757.2155080351595</v>
      </c>
      <c r="C24" s="10">
        <f si="0" t="shared"/>
        <v>3.2650046504584707E-3</v>
      </c>
      <c r="E24" s="31">
        <v>13</v>
      </c>
      <c r="F24" s="248" t="n">
        <v>3692.0</v>
      </c>
      <c r="G24" s="10">
        <f si="1" t="shared"/>
        <v>1.5747852047676553E-2</v>
      </c>
    </row>
    <row r="25" spans="1:7" x14ac:dyDescent="0.25">
      <c r="A25">
        <v>14</v>
      </c>
      <c r="B25" s="246" t="n">
        <v>5020.772940665482</v>
      </c>
      <c r="C25" s="10">
        <f si="0" t="shared"/>
        <v>0</v>
      </c>
      <c r="E25" s="32">
        <v>14</v>
      </c>
      <c r="F25" s="248" t="n">
        <v>3220.0</v>
      </c>
      <c r="G25" s="10">
        <f si="1" t="shared"/>
        <v>1.3639782128125062E-2</v>
      </c>
    </row>
    <row r="26" spans="1:7" x14ac:dyDescent="0.25">
      <c r="A26">
        <v>15</v>
      </c>
      <c r="B26" s="246" t="n">
        <v>3267.96129697124</v>
      </c>
      <c r="C26" s="10">
        <f si="0" t="shared"/>
        <v>0</v>
      </c>
      <c r="E26" s="33">
        <v>15</v>
      </c>
      <c r="F26" s="248" t="n">
        <v>2625.0</v>
      </c>
      <c r="G26" s="10">
        <f si="1" t="shared"/>
        <v>1.2196418939963679E-2</v>
      </c>
    </row>
    <row r="27" spans="1:7" x14ac:dyDescent="0.25">
      <c r="A27">
        <v>16</v>
      </c>
      <c r="B27" s="246" t="n">
        <v>2525.738204501663</v>
      </c>
      <c r="C27" s="10">
        <f si="0" t="shared"/>
        <v>0</v>
      </c>
      <c r="E27" s="34">
        <v>16</v>
      </c>
      <c r="F27" s="248" t="n">
        <v>2413.0</v>
      </c>
      <c r="G27" s="10">
        <f si="1" t="shared"/>
        <v>1.092398033987404E-2</v>
      </c>
    </row>
    <row r="28" spans="1:7" x14ac:dyDescent="0.25">
      <c r="A28">
        <v>17</v>
      </c>
      <c r="B28" s="246" t="n">
        <v>2590.1560392153883</v>
      </c>
      <c r="C28" s="10">
        <f si="0" t="shared"/>
        <v>0</v>
      </c>
      <c r="E28" s="35">
        <v>17</v>
      </c>
      <c r="F28" s="248" t="n">
        <v>1932.0</v>
      </c>
      <c r="G28" s="10">
        <f si="1" t="shared"/>
        <v>1.0198500421613977E-2</v>
      </c>
    </row>
    <row r="29" spans="1:7" x14ac:dyDescent="0.25">
      <c r="A29">
        <v>18</v>
      </c>
      <c r="B29" s="246" t="n">
        <v>2717.2945424682343</v>
      </c>
      <c r="C29" s="10">
        <f si="0" t="shared"/>
        <v>1.4725061016580322E-2</v>
      </c>
      <c r="E29" s="36">
        <v>18</v>
      </c>
      <c r="F29" s="248" t="n">
        <v>1853.0</v>
      </c>
      <c r="G29" s="10">
        <f si="1" t="shared"/>
        <v>9.1615579206454044E-3</v>
      </c>
    </row>
    <row r="30" spans="1:7" x14ac:dyDescent="0.25">
      <c r="A30">
        <v>19</v>
      </c>
      <c r="B30" s="246" t="n">
        <v>1617.0788337678166</v>
      </c>
      <c r="C30" s="10">
        <f si="0" t="shared"/>
        <v>5.7549447223399167E-3</v>
      </c>
      <c r="E30" s="37">
        <v>19</v>
      </c>
      <c r="F30" s="248" t="n">
        <v>1584.0</v>
      </c>
      <c r="G30" s="10">
        <f si="1" t="shared"/>
        <v>7.6308332763584648E-3</v>
      </c>
    </row>
    <row r="31" spans="1:7" x14ac:dyDescent="0.25">
      <c r="A31">
        <v>20</v>
      </c>
      <c r="B31" s="246" t="n">
        <v>2279.33936783197</v>
      </c>
      <c r="C31" s="10">
        <f si="0" t="shared"/>
        <v>1.0908324162667876E-2</v>
      </c>
      <c r="E31" s="38">
        <v>20</v>
      </c>
      <c r="F31" s="248" t="n">
        <v>1339.0</v>
      </c>
      <c r="G31" s="10">
        <f si="1" t="shared"/>
        <v>6.6204790446454977E-3</v>
      </c>
    </row>
    <row r="32" spans="1:7" x14ac:dyDescent="0.25">
      <c r="A32">
        <v>21</v>
      </c>
      <c r="B32" s="246" t="n">
        <v>315.8444220216911</v>
      </c>
      <c r="C32" s="10">
        <f si="0" t="shared"/>
        <v>7.2290618203308954E-3</v>
      </c>
      <c r="E32" s="39">
        <v>21</v>
      </c>
      <c r="F32" s="248" t="n">
        <v>1417.0</v>
      </c>
      <c r="G32" s="10">
        <f si="1" t="shared"/>
        <v>6.0659237144571774E-3</v>
      </c>
    </row>
    <row r="33" spans="1:7" x14ac:dyDescent="0.25">
      <c r="A33">
        <v>22</v>
      </c>
      <c r="B33" s="246" t="n">
        <v>2337.081720658207</v>
      </c>
      <c r="C33" s="10">
        <f si="0" t="shared"/>
        <v>0</v>
      </c>
      <c r="E33" s="40">
        <v>22</v>
      </c>
      <c r="F33" s="248" t="n">
        <v>1150.0</v>
      </c>
      <c r="G33" s="10">
        <f si="1" t="shared"/>
        <v>5.0365778618473491E-3</v>
      </c>
    </row>
    <row r="34" spans="1:7" x14ac:dyDescent="0.25">
      <c r="A34">
        <v>23</v>
      </c>
      <c r="B34" s="246" t="n">
        <v>1554.524211236403</v>
      </c>
      <c r="C34" s="10">
        <f si="0" t="shared"/>
        <v>6.6941772674849768E-3</v>
      </c>
      <c r="E34" s="41">
        <v>23</v>
      </c>
      <c r="F34" s="248" t="n">
        <v>1072.0</v>
      </c>
      <c r="G34" s="10">
        <f si="1" t="shared"/>
        <v>4.7061236582419804E-3</v>
      </c>
    </row>
    <row r="35" spans="1:7" x14ac:dyDescent="0.25">
      <c r="A35">
        <v>24</v>
      </c>
      <c r="B35" s="246" t="n">
        <v>1197.459597891674</v>
      </c>
      <c r="C35" s="10">
        <f si="0" t="shared"/>
        <v>0</v>
      </c>
      <c r="E35" s="42">
        <v>24</v>
      </c>
      <c r="F35" s="248" t="n">
        <v>919.0</v>
      </c>
      <c r="G35" s="10">
        <f si="1" t="shared"/>
        <v>3.9160722289325921E-3</v>
      </c>
    </row>
    <row r="36" spans="1:7" x14ac:dyDescent="0.25">
      <c r="A36">
        <v>25</v>
      </c>
      <c r="B36" s="246" t="n">
        <v>355.50364709464657</v>
      </c>
      <c r="C36" s="10">
        <f si="0" t="shared"/>
        <v>1.0722381110466452E-2</v>
      </c>
      <c r="E36" s="43">
        <v>25</v>
      </c>
      <c r="F36" s="248" t="n">
        <v>938.0</v>
      </c>
      <c r="G36" s="10">
        <f si="1" t="shared"/>
        <v>4.0907951411837066E-3</v>
      </c>
    </row>
    <row r="37" spans="1:7" x14ac:dyDescent="0.25">
      <c r="A37">
        <v>26</v>
      </c>
      <c r="B37" s="246" t="n">
        <v>784.1688832543489</v>
      </c>
      <c r="C37" s="10">
        <f si="0" t="shared"/>
        <v>0</v>
      </c>
      <c r="E37" s="44">
        <v>26</v>
      </c>
      <c r="F37" s="248" t="n">
        <v>755.0</v>
      </c>
      <c r="G37" s="10">
        <f si="1" t="shared"/>
        <v>3.9008789322151037E-3</v>
      </c>
    </row>
    <row r="38" spans="1:7" x14ac:dyDescent="0.25">
      <c r="A38">
        <v>27</v>
      </c>
      <c r="B38" s="246" t="n">
        <v>121.969598824406</v>
      </c>
      <c r="C38" s="10">
        <f si="0" t="shared"/>
        <v>0</v>
      </c>
      <c r="E38" s="45">
        <v>27</v>
      </c>
      <c r="F38" s="248" t="n">
        <v>695.0</v>
      </c>
      <c r="G38" s="10">
        <f si="1" t="shared"/>
        <v>3.9654504432644283E-3</v>
      </c>
    </row>
    <row r="39" spans="1:7" x14ac:dyDescent="0.25">
      <c r="A39">
        <v>28</v>
      </c>
      <c r="B39" s="246" t="n">
        <v>313.7591590662686</v>
      </c>
      <c r="C39" s="10">
        <f si="0" t="shared"/>
        <v>0</v>
      </c>
      <c r="E39" s="46">
        <v>28</v>
      </c>
      <c r="F39" s="248" t="n">
        <v>634.0</v>
      </c>
      <c r="G39" s="10">
        <f si="1" t="shared"/>
        <v>3.50585321756041E-3</v>
      </c>
    </row>
    <row r="40" spans="1:7" x14ac:dyDescent="0.25">
      <c r="A40">
        <v>29</v>
      </c>
      <c r="B40" s="246" t="n">
        <v>1171.762080081106</v>
      </c>
      <c r="C40" s="10">
        <f si="0" t="shared"/>
        <v>0</v>
      </c>
      <c r="E40" s="47">
        <v>29</v>
      </c>
      <c r="F40" s="248" t="n">
        <v>492.0</v>
      </c>
      <c r="G40" s="10">
        <f si="1" t="shared"/>
        <v>3.0272643709595305E-3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491.0</v>
      </c>
      <c r="G41" s="10">
        <f si="1" t="shared"/>
        <v>2.6018520628698603E-3</v>
      </c>
    </row>
    <row r="42" spans="1:7" x14ac:dyDescent="0.25">
      <c r="A42">
        <v>31</v>
      </c>
      <c r="B42" s="246" t="n">
        <v>656.6555210455251</v>
      </c>
      <c r="C42" s="10">
        <f si="0" t="shared"/>
        <v>0</v>
      </c>
      <c r="E42" s="49">
        <v>31</v>
      </c>
      <c r="F42" s="248" t="n">
        <v>503.0</v>
      </c>
      <c r="G42" s="10">
        <f si="1" t="shared"/>
        <v>2.2600028867263747E-3</v>
      </c>
    </row>
    <row r="43" spans="1:7" x14ac:dyDescent="0.25">
      <c r="A43">
        <v>32</v>
      </c>
      <c r="B43" s="246" t="n">
        <v>1792.415962941702</v>
      </c>
      <c r="C43" s="10">
        <f si="0" t="shared"/>
        <v>0</v>
      </c>
      <c r="E43" s="50">
        <v>32</v>
      </c>
      <c r="F43" s="248" t="n">
        <v>372.0</v>
      </c>
      <c r="G43" s="10">
        <f si="1" t="shared"/>
        <v>1.6598676663855897E-3</v>
      </c>
    </row>
    <row r="44" spans="1:7" x14ac:dyDescent="0.25">
      <c r="A44">
        <v>33</v>
      </c>
      <c r="B44" s="246" t="n">
        <v>159.53192473640868</v>
      </c>
      <c r="C44" s="10">
        <f si="0" t="shared"/>
        <v>0</v>
      </c>
      <c r="E44" s="51">
        <v>33</v>
      </c>
      <c r="F44" s="248" t="n">
        <v>364.0</v>
      </c>
      <c r="G44" s="10">
        <f si="1" t="shared"/>
        <v>1.3028251935246159E-3</v>
      </c>
    </row>
    <row r="45" spans="1:7" x14ac:dyDescent="0.25">
      <c r="A45">
        <v>34</v>
      </c>
      <c r="B45" s="246" t="n">
        <v>645.572718189643</v>
      </c>
      <c r="C45" s="10">
        <f si="0" t="shared"/>
        <v>0</v>
      </c>
      <c r="E45" s="52">
        <v>34</v>
      </c>
      <c r="F45" s="248" t="n">
        <v>327.0</v>
      </c>
      <c r="G45" s="10">
        <f si="1" t="shared"/>
        <v>9.6857266573987491E-4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270.0</v>
      </c>
      <c r="G46" s="10">
        <f si="1" t="shared"/>
        <v>7.2547991826006316E-4</v>
      </c>
    </row>
    <row r="47" spans="1:7" x14ac:dyDescent="0.25">
      <c r="A47">
        <v>36</v>
      </c>
      <c r="B47" s="246" t="n">
        <v>256.118915043076</v>
      </c>
      <c r="C47" s="10">
        <f si="0" t="shared"/>
        <v>0</v>
      </c>
      <c r="E47" s="54">
        <v>36</v>
      </c>
      <c r="F47" s="248" t="n">
        <v>229.0</v>
      </c>
      <c r="G47" s="10">
        <f si="1" t="shared"/>
        <v>5.8494192362329705E-4</v>
      </c>
    </row>
    <row r="48" spans="1:7" x14ac:dyDescent="0.25">
      <c r="A48">
        <v>37</v>
      </c>
      <c r="B48" s="246" t="n">
        <v>79.8597985703032</v>
      </c>
      <c r="C48" s="10">
        <f si="0" t="shared"/>
        <v>0</v>
      </c>
      <c r="E48" s="55">
        <v>37</v>
      </c>
      <c r="F48" s="248" t="n">
        <v>217.0</v>
      </c>
      <c r="G48" s="10">
        <f si="1" t="shared"/>
        <v>3.5704247286097348E-4</v>
      </c>
    </row>
    <row r="49" spans="1:7" x14ac:dyDescent="0.25">
      <c r="A49">
        <v>38</v>
      </c>
      <c r="B49" s="246" t="n">
        <v>37.7453537279993</v>
      </c>
      <c r="C49" s="10">
        <f si="0" t="shared"/>
        <v>0</v>
      </c>
      <c r="E49" s="56">
        <v>38</v>
      </c>
      <c r="F49" s="248" t="n">
        <v>233.0</v>
      </c>
      <c r="G49" s="10">
        <f si="1" t="shared"/>
        <v>2.6588269255604409E-4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157.0</v>
      </c>
      <c r="G50" s="10">
        <f si="1" t="shared"/>
        <v>2.2030280240357939E-4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143.0</v>
      </c>
      <c r="G51" s="10">
        <f si="1" t="shared"/>
        <v>2.2789945076232351E-4</v>
      </c>
    </row>
    <row r="52" spans="1:7" x14ac:dyDescent="0.25">
      <c r="A52">
        <v>41</v>
      </c>
      <c r="B52" s="246" t="n">
        <v>926.6774606742749</v>
      </c>
      <c r="C52" s="10">
        <f si="0" t="shared"/>
        <v>0</v>
      </c>
      <c r="E52" s="59">
        <v>41</v>
      </c>
      <c r="F52" s="248" t="n">
        <v>156.0</v>
      </c>
      <c r="G52" s="10">
        <f si="1" t="shared"/>
        <v>2.2410112658295144E-4</v>
      </c>
    </row>
    <row r="53" spans="1:7" x14ac:dyDescent="0.25">
      <c r="A53">
        <v>42</v>
      </c>
      <c r="B53" s="246" t="n">
        <v>106.844329177892</v>
      </c>
      <c r="C53" s="10">
        <f si="0" t="shared"/>
        <v>0</v>
      </c>
      <c r="E53" s="60">
        <v>42</v>
      </c>
      <c r="F53" s="248" t="n">
        <v>141.0</v>
      </c>
      <c r="G53" s="10">
        <f si="1" t="shared"/>
        <v>3.0006761017039262E-4</v>
      </c>
    </row>
    <row r="54" spans="1:7" x14ac:dyDescent="0.25">
      <c r="A54">
        <v>43</v>
      </c>
      <c r="B54" s="246" t="n">
        <v>82.376625897076</v>
      </c>
      <c r="C54" s="10">
        <f si="0" t="shared"/>
        <v>0</v>
      </c>
      <c r="E54" s="61">
        <v>43</v>
      </c>
      <c r="F54" s="248" t="n">
        <v>71.0</v>
      </c>
      <c r="G54" s="10">
        <f si="1" t="shared"/>
        <v>1.6712626389237057E-4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105.0</v>
      </c>
      <c r="G55" s="10">
        <f si="1" t="shared"/>
        <v>1.1394972538116176E-4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94.0</v>
      </c>
      <c r="G56" s="10">
        <f si="1" t="shared"/>
        <v>1.633279397129985E-4</v>
      </c>
    </row>
    <row r="57" spans="1:7" x14ac:dyDescent="0.25">
      <c r="A57">
        <v>46</v>
      </c>
      <c r="B57" s="246" t="n">
        <v>97.0766688259674</v>
      </c>
      <c r="C57" s="10">
        <f si="0" t="shared"/>
        <v>0</v>
      </c>
      <c r="E57" s="64">
        <v>46</v>
      </c>
      <c r="F57" s="248" t="n">
        <v>141.0</v>
      </c>
      <c r="G57" s="10">
        <f si="1" t="shared"/>
        <v>1.2154637373990586E-4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56.0</v>
      </c>
      <c r="G58" s="10">
        <f si="1" t="shared"/>
        <v>8.7361456125557334E-5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35.0</v>
      </c>
      <c r="G59" s="10">
        <f si="1" t="shared"/>
        <v>8.3563131946185287E-5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55.0</v>
      </c>
      <c r="G60" s="10">
        <f si="1" t="shared"/>
        <v>9.1159780304929408E-5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57.0</v>
      </c>
      <c r="G61" s="10">
        <f si="1" t="shared"/>
        <v>6.8369835228697045E-5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39.0</v>
      </c>
      <c r="G62" s="10">
        <f si="1" t="shared"/>
        <v>3.4184917614348523E-5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112.0</v>
      </c>
      <c r="G63" s="10">
        <f si="1" t="shared"/>
        <v>4.1781565973092643E-5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59.0</v>
      </c>
      <c r="G64" s="10">
        <f si="1" t="shared"/>
        <v>1.0255475284304557E-4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32.0</v>
      </c>
      <c r="G65" s="10">
        <f si="1" t="shared"/>
        <v>1.1394972538116176E-5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31.0</v>
      </c>
      <c r="G66" s="10">
        <f si="1" t="shared"/>
        <v>1.5193296717488233E-5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42.0</v>
      </c>
      <c r="G67" s="10">
        <f si="1" t="shared"/>
        <v>7.5966483587441164E-6</v>
      </c>
    </row>
    <row r="68" spans="1:7" x14ac:dyDescent="0.25">
      <c r="A68">
        <v>57</v>
      </c>
      <c r="B68" s="246" t="n">
        <v>0.0</v>
      </c>
      <c r="C68" s="10">
        <f si="0" t="shared"/>
        <v>1.2623737546836689E-3</v>
      </c>
      <c r="E68" s="75">
        <v>57</v>
      </c>
      <c r="F68" s="248" t="n">
        <v>57.0</v>
      </c>
      <c r="G68" s="10">
        <f si="1" t="shared"/>
        <v>7.9764807766813226E-5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25.0</v>
      </c>
      <c r="G69" s="10">
        <f si="1" t="shared"/>
        <v>2.2789945076232352E-5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26.0</v>
      </c>
      <c r="G70" s="10">
        <f si="1" t="shared"/>
        <v>3.0386593434976466E-5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35.0</v>
      </c>
      <c r="G71" s="10">
        <f si="1" t="shared"/>
        <v>2.2789945076232352E-5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54.0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22.0</v>
      </c>
      <c r="G73" s="10">
        <f si="1" t="shared"/>
        <v>2.2789945076232352E-5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25.0</v>
      </c>
      <c r="G74" s="10">
        <f si="1" t="shared"/>
        <v>7.5966483587441164E-6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9.0</v>
      </c>
      <c r="G75" s="10">
        <f si="1" t="shared"/>
        <v>1.8991620896860292E-5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22.0</v>
      </c>
      <c r="G76" s="10">
        <f si="1" t="shared"/>
        <v>1.1394972538116176E-5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11.0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41.0</v>
      </c>
      <c r="G78" s="10">
        <f si="3" t="shared"/>
        <v>7.5966483587441164E-6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57.0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10.0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29.0</v>
      </c>
      <c r="G81" s="10">
        <f si="3" t="shared"/>
        <v>3.7983241793720582E-6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8.0</v>
      </c>
      <c r="G82" s="10">
        <f si="3" t="shared"/>
        <v>7.5966483587441164E-6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19.0</v>
      </c>
      <c r="G83" s="10">
        <f si="3" t="shared"/>
        <v>3.7983241793720582E-6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54.0</v>
      </c>
      <c r="G84" s="10">
        <f si="3" t="shared"/>
        <v>1.8991620896860292E-5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28.0</v>
      </c>
      <c r="G85" s="10">
        <f si="3" t="shared"/>
        <v>1.1394972538116176E-5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11.0</v>
      </c>
      <c r="G86" s="10">
        <f si="3" t="shared"/>
        <v>6.8369835228697045E-5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15.0</v>
      </c>
      <c r="G87" s="10">
        <f si="3" t="shared"/>
        <v>7.5966483587441164E-6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24.0</v>
      </c>
      <c r="G88" s="10">
        <f si="3" t="shared"/>
        <v>7.5966483587441164E-6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15.0</v>
      </c>
      <c r="G89" s="10">
        <f si="3" t="shared"/>
        <v>3.7983241793720582E-6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18.0</v>
      </c>
      <c r="G90" s="10">
        <f si="3" t="shared"/>
        <v>7.5966483587441164E-6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7.0</v>
      </c>
      <c r="G91" s="10">
        <f si="3" t="shared"/>
        <v>3.7983241793720582E-6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13.0</v>
      </c>
      <c r="G92" s="10">
        <f si="3" t="shared"/>
        <v>3.7983241793720582E-6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17.0</v>
      </c>
      <c r="G93" s="10">
        <f si="3" t="shared"/>
        <v>1.5193296717488233E-5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8.0</v>
      </c>
      <c r="G94" s="10">
        <f si="3" t="shared"/>
        <v>1.2534469791927792E-4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1.0</v>
      </c>
      <c r="G95" s="10">
        <f si="3" t="shared"/>
        <v>2.6588269255604409E-5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23.0</v>
      </c>
      <c r="G96" s="10">
        <f si="3" t="shared"/>
        <v>1.1394972538116176E-5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12.0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4.0</v>
      </c>
      <c r="G98" s="10">
        <f si="3" t="shared"/>
        <v>2.2789945076232352E-5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30.0</v>
      </c>
      <c r="G99" s="10">
        <f si="3" t="shared"/>
        <v>3.4184917614348523E-5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2.0</v>
      </c>
      <c r="G100" s="10">
        <f si="3" t="shared"/>
        <v>3.0386593434976466E-5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266.0</v>
      </c>
      <c r="G101" s="10">
        <f si="3" t="shared"/>
        <v>6.0773186869952933E-4</v>
      </c>
    </row>
    <row r="102" spans="1:7" x14ac:dyDescent="0.25">
      <c r="B102" s="246">
        <f>SUM(B11:B101)</f>
        <v>75048.152303901996</v>
      </c>
      <c r="C102" s="10">
        <f si="2" t="shared"/>
        <v>1</v>
      </c>
      <c r="F102" s="246">
        <f>SUM(F11:F101)</f>
        <v>87757.99999991231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0.1209441675758522</v>
      </c>
      <c r="E11" s="108">
        <v>0</v>
      </c>
      <c r="F11" s="248" t="n">
        <v>7884.0</v>
      </c>
      <c r="G11" s="10">
        <f>F11/F$102</f>
        <v>5.4498355325630306E-2</v>
      </c>
      <c r="K11" s="8" t="n">
        <v>13.99210267274932</v>
      </c>
      <c r="L11" s="8" t="n">
        <v>15.9366111525908</v>
      </c>
    </row>
    <row r="12" spans="1:12" x14ac:dyDescent="0.25">
      <c r="A12">
        <v>1</v>
      </c>
      <c r="B12" s="246" t="n">
        <v>0.0</v>
      </c>
      <c r="C12" s="10">
        <f>B12/B$102</f>
        <v>6.3295181079325427E-2</v>
      </c>
      <c r="E12" s="109">
        <v>1</v>
      </c>
      <c r="F12" s="248" t="n">
        <v>4643.0</v>
      </c>
      <c r="G12" s="10">
        <f>F12/F$102</f>
        <v>7.7136367434687783E-2</v>
      </c>
      <c r="K12" s="8"/>
      <c r="L12" s="199"/>
    </row>
    <row r="13" spans="1:12" x14ac:dyDescent="0.25">
      <c r="A13">
        <v>2</v>
      </c>
      <c r="B13" s="246" t="n">
        <v>2941.233477932719</v>
      </c>
      <c r="C13" s="10">
        <f ref="C13:C76" si="0" t="shared">B13/B$102</f>
        <v>7.9922034332902903E-2</v>
      </c>
      <c r="E13" s="110">
        <v>2</v>
      </c>
      <c r="F13" s="248" t="n">
        <v>3797.0</v>
      </c>
      <c r="G13" s="10">
        <f ref="G13:G76" si="1" t="shared">F13/F$102</f>
        <v>0.12352150231317936</v>
      </c>
    </row>
    <row r="14" spans="1:12" x14ac:dyDescent="0.25">
      <c r="A14">
        <v>3</v>
      </c>
      <c r="B14" s="246" t="n">
        <v>20695.783719864463</v>
      </c>
      <c r="C14" s="10">
        <f si="0" t="shared"/>
        <v>0.16093292873063991</v>
      </c>
      <c r="E14" s="111">
        <v>3</v>
      </c>
      <c r="F14" s="248" t="n">
        <v>5573.0</v>
      </c>
      <c r="G14" s="10">
        <f si="1" t="shared"/>
        <v>0.1140560784581842</v>
      </c>
    </row>
    <row r="15" spans="1:12" x14ac:dyDescent="0.25">
      <c r="A15">
        <v>4</v>
      </c>
      <c r="B15" s="246" t="n">
        <v>21869.19278525828</v>
      </c>
      <c r="C15" s="10">
        <f si="0" t="shared"/>
        <v>3.335009372328597E-2</v>
      </c>
      <c r="E15" s="112">
        <v>4</v>
      </c>
      <c r="F15" s="248" t="n">
        <v>9527.0</v>
      </c>
      <c r="G15" s="10">
        <f si="1" t="shared"/>
        <v>8.9006130495225461E-2</v>
      </c>
    </row>
    <row r="16" spans="1:12" x14ac:dyDescent="0.25">
      <c r="A16">
        <v>5</v>
      </c>
      <c r="B16" s="246" t="n">
        <v>26845.730432179575</v>
      </c>
      <c r="C16" s="10">
        <f si="0" t="shared"/>
        <v>5.3912482728825178E-2</v>
      </c>
      <c r="E16" s="113">
        <v>5</v>
      </c>
      <c r="F16" s="248" t="n">
        <v>13917.0</v>
      </c>
      <c r="G16" s="10">
        <f si="1" t="shared"/>
        <v>6.8491381602436965E-2</v>
      </c>
    </row>
    <row r="17" spans="1:7" x14ac:dyDescent="0.25">
      <c r="A17">
        <v>6</v>
      </c>
      <c r="B17" s="246" t="n">
        <v>16242.1907837483</v>
      </c>
      <c r="C17" s="10">
        <f si="0" t="shared"/>
        <v>6.8040353142525642E-2</v>
      </c>
      <c r="E17" s="114">
        <v>6</v>
      </c>
      <c r="F17" s="248" t="n">
        <v>17107.0</v>
      </c>
      <c r="G17" s="10">
        <f si="1" t="shared"/>
        <v>4.8778079111495988E-2</v>
      </c>
    </row>
    <row r="18" spans="1:7" x14ac:dyDescent="0.25">
      <c r="A18">
        <v>7</v>
      </c>
      <c r="B18" s="246" t="n">
        <v>25359.008610852587</v>
      </c>
      <c r="C18" s="10">
        <f si="0" t="shared"/>
        <v>4.9551710437854994E-2</v>
      </c>
      <c r="E18" s="115">
        <v>7</v>
      </c>
      <c r="F18" s="248" t="n">
        <v>18644.0</v>
      </c>
      <c r="G18" s="10">
        <f si="1" t="shared"/>
        <v>3.775534234295827E-2</v>
      </c>
    </row>
    <row r="19" spans="1:7" x14ac:dyDescent="0.25">
      <c r="A19">
        <v>8</v>
      </c>
      <c r="B19" s="246" t="n">
        <v>24146.710818401298</v>
      </c>
      <c r="C19" s="10">
        <f si="0" t="shared"/>
        <v>2.073767092806076E-2</v>
      </c>
      <c r="E19" s="116">
        <v>8</v>
      </c>
      <c r="F19" s="248" t="n">
        <v>19079.0</v>
      </c>
      <c r="G19" s="10">
        <f si="1" t="shared"/>
        <v>3.0322021923927148E-2</v>
      </c>
    </row>
    <row r="20" spans="1:7" x14ac:dyDescent="0.25">
      <c r="A20">
        <v>9</v>
      </c>
      <c r="B20" s="246" t="n">
        <v>29422.259310979425</v>
      </c>
      <c r="C20" s="10">
        <f si="0" t="shared"/>
        <v>1.4130236171646908E-2</v>
      </c>
      <c r="E20" s="117">
        <v>9</v>
      </c>
      <c r="F20" s="248" t="n">
        <v>18845.0</v>
      </c>
      <c r="G20" s="10">
        <f si="1" t="shared"/>
        <v>2.5596906644788309E-2</v>
      </c>
    </row>
    <row r="21" spans="1:7" x14ac:dyDescent="0.25">
      <c r="A21">
        <v>10</v>
      </c>
      <c r="B21" s="246" t="n">
        <v>14883.598227507731</v>
      </c>
      <c r="C21" s="10">
        <f si="0" t="shared"/>
        <v>1.2771405422310325E-2</v>
      </c>
      <c r="E21" s="118">
        <v>10</v>
      </c>
      <c r="F21" s="248" t="n">
        <v>17502.0</v>
      </c>
      <c r="G21" s="10">
        <f si="1" t="shared"/>
        <v>2.5991932359443002E-2</v>
      </c>
    </row>
    <row r="22" spans="1:7" x14ac:dyDescent="0.25">
      <c r="A22">
        <v>11</v>
      </c>
      <c r="B22" s="246" t="n">
        <v>18347.216781793988</v>
      </c>
      <c r="C22" s="10">
        <f si="0" t="shared"/>
        <v>2.0100591223592029E-3</v>
      </c>
      <c r="E22" s="119">
        <v>11</v>
      </c>
      <c r="F22" s="248" t="n">
        <v>16075.0</v>
      </c>
      <c r="G22" s="10">
        <f si="1" t="shared"/>
        <v>2.3914249033326482E-2</v>
      </c>
    </row>
    <row r="23" spans="1:7" x14ac:dyDescent="0.25">
      <c r="A23">
        <v>12</v>
      </c>
      <c r="B23" s="246" t="n">
        <v>16192.226997021879</v>
      </c>
      <c r="C23" s="10">
        <f si="0" t="shared"/>
        <v>3.8625503704280112E-2</v>
      </c>
      <c r="E23" s="120">
        <v>12</v>
      </c>
      <c r="F23" s="248" t="n">
        <v>14839.0</v>
      </c>
      <c r="G23" s="10">
        <f si="1" t="shared"/>
        <v>2.5080334556393708E-2</v>
      </c>
    </row>
    <row r="24" spans="1:7" x14ac:dyDescent="0.25">
      <c r="A24">
        <v>13</v>
      </c>
      <c r="B24" s="246" t="n">
        <v>13863.980706306067</v>
      </c>
      <c r="C24" s="10">
        <f si="0" t="shared"/>
        <v>1.7289096899568496E-2</v>
      </c>
      <c r="E24" s="121">
        <v>13</v>
      </c>
      <c r="F24" s="248" t="n">
        <v>13305.0</v>
      </c>
      <c r="G24" s="10">
        <f si="1" t="shared"/>
        <v>2.4316871396339923E-2</v>
      </c>
    </row>
    <row r="25" spans="1:7" x14ac:dyDescent="0.25">
      <c r="A25">
        <v>14</v>
      </c>
      <c r="B25" s="246" t="n">
        <v>8697.385695091341</v>
      </c>
      <c r="C25" s="10">
        <f si="0" t="shared"/>
        <v>1.5719480461526856E-2</v>
      </c>
      <c r="E25" s="122">
        <v>14</v>
      </c>
      <c r="F25" s="248" t="n">
        <v>11643.0</v>
      </c>
      <c r="G25" s="10">
        <f si="1" t="shared"/>
        <v>2.3667357961667305E-2</v>
      </c>
    </row>
    <row r="26" spans="1:7" x14ac:dyDescent="0.25">
      <c r="A26">
        <v>15</v>
      </c>
      <c r="B26" s="246" t="n">
        <v>6638.448796183898</v>
      </c>
      <c r="C26" s="10">
        <f si="0" t="shared"/>
        <v>0.15761644836130662</v>
      </c>
      <c r="E26" s="123">
        <v>15</v>
      </c>
      <c r="F26" s="248" t="n">
        <v>10357.0</v>
      </c>
      <c r="G26" s="10">
        <f si="1" t="shared"/>
        <v>2.0689471805039605E-2</v>
      </c>
    </row>
    <row r="27" spans="1:7" x14ac:dyDescent="0.25">
      <c r="A27">
        <v>16</v>
      </c>
      <c r="B27" s="246" t="n">
        <v>10045.259787516126</v>
      </c>
      <c r="C27" s="10">
        <f si="0" t="shared"/>
        <v>2.7092465426301585E-3</v>
      </c>
      <c r="E27" s="124">
        <v>16</v>
      </c>
      <c r="F27" s="248" t="n">
        <v>9001.0</v>
      </c>
      <c r="G27" s="10">
        <f si="1" t="shared"/>
        <v>1.7992661637685446E-2</v>
      </c>
    </row>
    <row r="28" spans="1:7" x14ac:dyDescent="0.25">
      <c r="A28">
        <v>17</v>
      </c>
      <c r="B28" s="246" t="n">
        <v>10677.009758882954</v>
      </c>
      <c r="C28" s="10">
        <f si="0" t="shared"/>
        <v>1.8549332845649014E-2</v>
      </c>
      <c r="E28" s="125">
        <v>17</v>
      </c>
      <c r="F28" s="248" t="n">
        <v>7961.0</v>
      </c>
      <c r="G28" s="10">
        <f si="1" t="shared"/>
        <v>1.5109733585542051E-2</v>
      </c>
    </row>
    <row r="29" spans="1:7" x14ac:dyDescent="0.25">
      <c r="A29">
        <v>18</v>
      </c>
      <c r="B29" s="246" t="n">
        <v>9029.515698878466</v>
      </c>
      <c r="C29" s="10">
        <f si="0" t="shared"/>
        <v>9.3312392844366772E-3</v>
      </c>
      <c r="E29" s="126">
        <v>18</v>
      </c>
      <c r="F29" s="248" t="n">
        <v>7040.0</v>
      </c>
      <c r="G29" s="10">
        <f si="1" t="shared"/>
        <v>1.1850771439640825E-2</v>
      </c>
    </row>
    <row r="30" spans="1:7" x14ac:dyDescent="0.25">
      <c r="A30">
        <v>19</v>
      </c>
      <c r="B30" s="246" t="n">
        <v>6843.41122472877</v>
      </c>
      <c r="C30" s="10">
        <f si="0" t="shared"/>
        <v>0</v>
      </c>
      <c r="E30" s="127">
        <v>19</v>
      </c>
      <c r="F30" s="248" t="n">
        <v>6188.0</v>
      </c>
      <c r="G30" s="10">
        <f si="1" t="shared"/>
        <v>1.0198500421613981E-2</v>
      </c>
    </row>
    <row r="31" spans="1:7" x14ac:dyDescent="0.25">
      <c r="A31">
        <v>20</v>
      </c>
      <c r="B31" s="246" t="n">
        <v>3681.823835447078</v>
      </c>
      <c r="C31" s="10">
        <f si="0" t="shared"/>
        <v>2.5211994167667912E-3</v>
      </c>
      <c r="E31" s="128">
        <v>20</v>
      </c>
      <c r="F31" s="248" t="n">
        <v>5717.0</v>
      </c>
      <c r="G31" s="10">
        <f si="1" t="shared"/>
        <v>9.7768864377036826E-3</v>
      </c>
    </row>
    <row r="32" spans="1:7" x14ac:dyDescent="0.25">
      <c r="A32">
        <v>21</v>
      </c>
      <c r="B32" s="246" t="n">
        <v>3824.7682558752085</v>
      </c>
      <c r="C32" s="10">
        <f si="0" t="shared"/>
        <v>7.4380523369167999E-4</v>
      </c>
      <c r="E32" s="129">
        <v>21</v>
      </c>
      <c r="F32" s="248" t="n">
        <v>4812.0</v>
      </c>
      <c r="G32" s="10">
        <f si="1" t="shared"/>
        <v>1.0065559075335958E-2</v>
      </c>
    </row>
    <row r="33" spans="1:7" x14ac:dyDescent="0.25">
      <c r="A33">
        <v>22</v>
      </c>
      <c r="B33" s="246" t="n">
        <v>3436.4867081757343</v>
      </c>
      <c r="C33" s="10">
        <f si="0" t="shared"/>
        <v>0</v>
      </c>
      <c r="E33" s="130">
        <v>22</v>
      </c>
      <c r="F33" s="248" t="n">
        <v>4392.0</v>
      </c>
      <c r="G33" s="10">
        <f si="1" t="shared"/>
        <v>9.503407096788893E-3</v>
      </c>
    </row>
    <row r="34" spans="1:7" x14ac:dyDescent="0.25">
      <c r="A34">
        <v>23</v>
      </c>
      <c r="B34" s="246" t="n">
        <v>2145.499820421236</v>
      </c>
      <c r="C34" s="10">
        <f si="0" t="shared"/>
        <v>0</v>
      </c>
      <c r="E34" s="131">
        <v>23</v>
      </c>
      <c r="F34" s="248" t="n">
        <v>3943.0</v>
      </c>
      <c r="G34" s="10">
        <f si="1" t="shared"/>
        <v>9.0286165743673867E-3</v>
      </c>
    </row>
    <row r="35" spans="1:7" x14ac:dyDescent="0.25">
      <c r="A35">
        <v>24</v>
      </c>
      <c r="B35" s="246" t="n">
        <v>5072.525551792823</v>
      </c>
      <c r="C35" s="10">
        <f si="0" t="shared"/>
        <v>0</v>
      </c>
      <c r="E35" s="132">
        <v>24</v>
      </c>
      <c r="F35" s="248" t="n">
        <v>3459.0</v>
      </c>
      <c r="G35" s="10">
        <f si="1" t="shared"/>
        <v>8.4626662716409482E-3</v>
      </c>
    </row>
    <row r="36" spans="1:7" x14ac:dyDescent="0.25">
      <c r="A36">
        <v>25</v>
      </c>
      <c r="B36" s="246" t="n">
        <v>3248.1289593702413</v>
      </c>
      <c r="C36" s="10">
        <f si="0" t="shared"/>
        <v>5.2378314538786865E-3</v>
      </c>
      <c r="E36" s="133">
        <v>25</v>
      </c>
      <c r="F36" s="248" t="n">
        <v>3330.0</v>
      </c>
      <c r="G36" s="10">
        <f si="1" t="shared"/>
        <v>8.4284813540266013E-3</v>
      </c>
    </row>
    <row r="37" spans="1:7" x14ac:dyDescent="0.25">
      <c r="A37">
        <v>26</v>
      </c>
      <c r="B37" s="246" t="n">
        <v>4856.010773929066</v>
      </c>
      <c r="C37" s="10">
        <f si="0" t="shared"/>
        <v>1.4725061016580325E-2</v>
      </c>
      <c r="E37" s="134">
        <v>26</v>
      </c>
      <c r="F37" s="248" t="n">
        <v>2975.0</v>
      </c>
      <c r="G37" s="10">
        <f si="1" t="shared"/>
        <v>7.8511360787620471E-3</v>
      </c>
    </row>
    <row r="38" spans="1:7" x14ac:dyDescent="0.25">
      <c r="A38">
        <v>27</v>
      </c>
      <c r="B38" s="246" t="n">
        <v>4431.968869415073</v>
      </c>
      <c r="C38" s="10">
        <f si="0" t="shared"/>
        <v>0</v>
      </c>
      <c r="E38" s="135">
        <v>27</v>
      </c>
      <c r="F38" s="248" t="n">
        <v>2538.0</v>
      </c>
      <c r="G38" s="10">
        <f si="1" t="shared"/>
        <v>6.5559075335961748E-3</v>
      </c>
    </row>
    <row r="39" spans="1:7" x14ac:dyDescent="0.25">
      <c r="A39">
        <v>28</v>
      </c>
      <c r="B39" s="246" t="n">
        <v>1624.3053120474754</v>
      </c>
      <c r="C39" s="10">
        <f si="0" t="shared"/>
        <v>0</v>
      </c>
      <c r="E39" s="136">
        <v>28</v>
      </c>
      <c r="F39" s="248" t="n">
        <v>2277.0</v>
      </c>
      <c r="G39" s="10">
        <f si="1" t="shared"/>
        <v>5.724074538313694E-3</v>
      </c>
    </row>
    <row r="40" spans="1:7" x14ac:dyDescent="0.25">
      <c r="A40">
        <v>29</v>
      </c>
      <c r="B40" s="246" t="n">
        <v>2305.544480668002</v>
      </c>
      <c r="C40" s="10">
        <f si="0" t="shared"/>
        <v>1.7385774549265765E-3</v>
      </c>
      <c r="E40" s="137">
        <v>29</v>
      </c>
      <c r="F40" s="248" t="n">
        <v>2098.0</v>
      </c>
      <c r="G40" s="10">
        <f si="1" t="shared"/>
        <v>4.6491487955514013E-3</v>
      </c>
    </row>
    <row r="41" spans="1:7" x14ac:dyDescent="0.25">
      <c r="A41">
        <v>30</v>
      </c>
      <c r="B41" s="246" t="n">
        <v>3752.2807409352727</v>
      </c>
      <c r="C41" s="10">
        <f si="0" t="shared"/>
        <v>1.6381037243687512E-2</v>
      </c>
      <c r="E41" s="138">
        <v>30</v>
      </c>
      <c r="F41" s="248" t="n">
        <v>1832.0</v>
      </c>
      <c r="G41" s="10">
        <f si="1" t="shared"/>
        <v>4.3376862128428921E-3</v>
      </c>
    </row>
    <row r="42" spans="1:7" x14ac:dyDescent="0.25">
      <c r="A42">
        <v>31</v>
      </c>
      <c r="B42" s="246" t="n">
        <v>2521.774528890869</v>
      </c>
      <c r="C42" s="10">
        <f si="0" t="shared"/>
        <v>0</v>
      </c>
      <c r="E42" s="139">
        <v>31</v>
      </c>
      <c r="F42" s="248" t="n">
        <v>1704.0</v>
      </c>
      <c r="G42" s="10">
        <f si="1" t="shared"/>
        <v>4.2161398391029857E-3</v>
      </c>
    </row>
    <row r="43" spans="1:7" x14ac:dyDescent="0.25">
      <c r="A43">
        <v>32</v>
      </c>
      <c r="B43" s="246" t="n">
        <v>1113.7218564882608</v>
      </c>
      <c r="C43" s="10">
        <f si="0" t="shared"/>
        <v>4.3694456831211885E-3</v>
      </c>
      <c r="E43" s="140">
        <v>32</v>
      </c>
      <c r="F43" s="248" t="n">
        <v>1607.0</v>
      </c>
      <c r="G43" s="10">
        <f si="1" t="shared"/>
        <v>4.0072320092375234E-3</v>
      </c>
    </row>
    <row r="44" spans="1:7" x14ac:dyDescent="0.25">
      <c r="A44">
        <v>33</v>
      </c>
      <c r="B44" s="246" t="n">
        <v>3081.52926396239</v>
      </c>
      <c r="C44" s="10">
        <f si="0" t="shared"/>
        <v>0</v>
      </c>
      <c r="E44" s="141">
        <v>33</v>
      </c>
      <c r="F44" s="248" t="n">
        <v>1578.0</v>
      </c>
      <c r="G44" s="10">
        <f si="1" t="shared"/>
        <v>3.5818197011478524E-3</v>
      </c>
    </row>
    <row r="45" spans="1:7" x14ac:dyDescent="0.25">
      <c r="A45">
        <v>34</v>
      </c>
      <c r="B45" s="246" t="n">
        <v>838.0789172499559</v>
      </c>
      <c r="C45" s="10">
        <f si="0" t="shared"/>
        <v>2.8596161372097077E-3</v>
      </c>
      <c r="E45" s="142">
        <v>34</v>
      </c>
      <c r="F45" s="248" t="n">
        <v>1450.0</v>
      </c>
      <c r="G45" s="10">
        <f si="1" t="shared"/>
        <v>3.3425252778474124E-3</v>
      </c>
    </row>
    <row r="46" spans="1:7" x14ac:dyDescent="0.25">
      <c r="A46">
        <v>35</v>
      </c>
      <c r="B46" s="246" t="n">
        <v>586.4169901015391</v>
      </c>
      <c r="C46" s="10">
        <f si="0" t="shared"/>
        <v>1.0722381110466453E-2</v>
      </c>
      <c r="E46" s="143">
        <v>35</v>
      </c>
      <c r="F46" s="248" t="n">
        <v>1299.0</v>
      </c>
      <c r="G46" s="10">
        <f si="1" t="shared"/>
        <v>3.1905923106725306E-3</v>
      </c>
    </row>
    <row r="47" spans="1:7" x14ac:dyDescent="0.25">
      <c r="A47">
        <v>36</v>
      </c>
      <c r="B47" s="246" t="n">
        <v>1654.2424074671264</v>
      </c>
      <c r="C47" s="10">
        <f si="0" t="shared"/>
        <v>0</v>
      </c>
      <c r="E47" s="144">
        <v>36</v>
      </c>
      <c r="F47" s="248" t="n">
        <v>1129.0</v>
      </c>
      <c r="G47" s="10">
        <f si="1" t="shared"/>
        <v>3.433685058152342E-3</v>
      </c>
    </row>
    <row r="48" spans="1:7" x14ac:dyDescent="0.25">
      <c r="A48">
        <v>37</v>
      </c>
      <c r="B48" s="246" t="n">
        <v>580.3922122866625</v>
      </c>
      <c r="C48" s="10">
        <f si="0" t="shared"/>
        <v>0</v>
      </c>
      <c r="E48" s="145">
        <v>37</v>
      </c>
      <c r="F48" s="248" t="n">
        <v>1060.0</v>
      </c>
      <c r="G48" s="10">
        <f si="1" t="shared"/>
        <v>3.3007437118743196E-3</v>
      </c>
    </row>
    <row r="49" spans="1:7" x14ac:dyDescent="0.25">
      <c r="A49">
        <v>38</v>
      </c>
      <c r="B49" s="246" t="n">
        <v>754.0027294052784</v>
      </c>
      <c r="C49" s="10">
        <f si="0" t="shared"/>
        <v>0</v>
      </c>
      <c r="E49" s="146">
        <v>38</v>
      </c>
      <c r="F49" s="248" t="n">
        <v>997.0</v>
      </c>
      <c r="G49" s="10">
        <f si="1" t="shared"/>
        <v>3.2665587942599713E-3</v>
      </c>
    </row>
    <row r="50" spans="1:7" x14ac:dyDescent="0.25">
      <c r="A50">
        <v>39</v>
      </c>
      <c r="B50" s="246" t="n">
        <v>1203.6916411287855</v>
      </c>
      <c r="C50" s="10">
        <f si="0" t="shared"/>
        <v>0</v>
      </c>
      <c r="E50" s="147">
        <v>39</v>
      </c>
      <c r="F50" s="248" t="n">
        <v>898.0</v>
      </c>
      <c r="G50" s="10">
        <f si="1" t="shared"/>
        <v>3.1829956623137864E-3</v>
      </c>
    </row>
    <row r="51" spans="1:7" x14ac:dyDescent="0.25">
      <c r="A51">
        <v>40</v>
      </c>
      <c r="B51" s="246" t="n">
        <v>858.5129482770028</v>
      </c>
      <c r="C51" s="10">
        <f si="0" t="shared"/>
        <v>0</v>
      </c>
      <c r="E51" s="148">
        <v>40</v>
      </c>
      <c r="F51" s="248" t="n">
        <v>705.0</v>
      </c>
      <c r="G51" s="10">
        <f si="1" t="shared"/>
        <v>2.9512978873720902E-3</v>
      </c>
    </row>
    <row r="52" spans="1:7" x14ac:dyDescent="0.25">
      <c r="A52">
        <v>41</v>
      </c>
      <c r="B52" s="246" t="n">
        <v>671.4262903351172</v>
      </c>
      <c r="C52" s="10">
        <f si="0" t="shared"/>
        <v>0</v>
      </c>
      <c r="E52" s="149">
        <v>41</v>
      </c>
      <c r="F52" s="248" t="n">
        <v>746.0</v>
      </c>
      <c r="G52" s="10">
        <f si="1" t="shared"/>
        <v>2.2789945076232359E-3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635.0</v>
      </c>
      <c r="G53" s="10">
        <f si="1" t="shared"/>
        <v>1.9371453314797505E-3</v>
      </c>
    </row>
    <row r="54" spans="1:7" x14ac:dyDescent="0.25">
      <c r="A54">
        <v>43</v>
      </c>
      <c r="B54" s="246" t="n">
        <v>1209.9675388608011</v>
      </c>
      <c r="C54" s="10">
        <f si="0" t="shared"/>
        <v>0</v>
      </c>
      <c r="E54" s="151">
        <v>43</v>
      </c>
      <c r="F54" s="248" t="n">
        <v>553.0</v>
      </c>
      <c r="G54" s="10">
        <f si="1" t="shared"/>
        <v>1.405379946367662E-3</v>
      </c>
    </row>
    <row r="55" spans="1:7" x14ac:dyDescent="0.25">
      <c r="A55">
        <v>44</v>
      </c>
      <c r="B55" s="246" t="n">
        <v>254.8559663022734</v>
      </c>
      <c r="C55" s="10">
        <f si="0" t="shared"/>
        <v>0</v>
      </c>
      <c r="E55" s="152">
        <v>44</v>
      </c>
      <c r="F55" s="248" t="n">
        <v>524.0</v>
      </c>
      <c r="G55" s="10">
        <f si="1" t="shared"/>
        <v>1.1812788197847104E-3</v>
      </c>
    </row>
    <row r="56" spans="1:7" x14ac:dyDescent="0.25">
      <c r="A56">
        <v>45</v>
      </c>
      <c r="B56" s="246" t="n">
        <v>263.70442607567037</v>
      </c>
      <c r="C56" s="10">
        <f si="0" t="shared"/>
        <v>0</v>
      </c>
      <c r="E56" s="153">
        <v>45</v>
      </c>
      <c r="F56" s="248" t="n">
        <v>471.0</v>
      </c>
      <c r="G56" s="10">
        <f si="1" t="shared"/>
        <v>6.5711008303136632E-4</v>
      </c>
    </row>
    <row r="57" spans="1:7" x14ac:dyDescent="0.25">
      <c r="A57">
        <v>46</v>
      </c>
      <c r="B57" s="246" t="n">
        <v>410.2142384822541</v>
      </c>
      <c r="C57" s="10">
        <f si="0" t="shared"/>
        <v>0</v>
      </c>
      <c r="E57" s="154">
        <v>46</v>
      </c>
      <c r="F57" s="248" t="n">
        <v>426.0</v>
      </c>
      <c r="G57" s="10">
        <f si="1" t="shared"/>
        <v>5.203704125739722E-4</v>
      </c>
    </row>
    <row r="58" spans="1:7" x14ac:dyDescent="0.25">
      <c r="A58">
        <v>47</v>
      </c>
      <c r="B58" s="246" t="n">
        <v>1321.8355523285684</v>
      </c>
      <c r="C58" s="10">
        <f si="0" t="shared"/>
        <v>0</v>
      </c>
      <c r="E58" s="155">
        <v>47</v>
      </c>
      <c r="F58" s="248" t="n">
        <v>429.0</v>
      </c>
      <c r="G58" s="10">
        <f si="1" t="shared"/>
        <v>4.3680728062778684E-4</v>
      </c>
    </row>
    <row r="59" spans="1:7" x14ac:dyDescent="0.25">
      <c r="A59">
        <v>48</v>
      </c>
      <c r="B59" s="246" t="n">
        <v>135.0921488130482</v>
      </c>
      <c r="C59" s="10">
        <f si="0" t="shared"/>
        <v>0</v>
      </c>
      <c r="E59" s="156">
        <v>48</v>
      </c>
      <c r="F59" s="248" t="n">
        <v>373.0</v>
      </c>
      <c r="G59" s="10">
        <f si="1" t="shared"/>
        <v>3.6463912121971774E-4</v>
      </c>
    </row>
    <row r="60" spans="1:7" x14ac:dyDescent="0.25">
      <c r="A60">
        <v>49</v>
      </c>
      <c r="B60" s="246" t="n">
        <v>1118.7992085834567</v>
      </c>
      <c r="C60" s="10">
        <f si="0" t="shared"/>
        <v>0</v>
      </c>
      <c r="E60" s="157">
        <v>49</v>
      </c>
      <c r="F60" s="248" t="n">
        <v>369.0</v>
      </c>
      <c r="G60" s="10">
        <f si="1" t="shared"/>
        <v>3.8742906629595007E-4</v>
      </c>
    </row>
    <row r="61" spans="1:7" x14ac:dyDescent="0.25">
      <c r="A61">
        <v>50</v>
      </c>
      <c r="B61" s="246" t="n">
        <v>1262.773493876468</v>
      </c>
      <c r="C61" s="10">
        <f si="0" t="shared"/>
        <v>0</v>
      </c>
      <c r="E61" s="158">
        <v>50</v>
      </c>
      <c r="F61" s="248" t="n">
        <v>351.0</v>
      </c>
      <c r="G61" s="10">
        <f si="1" t="shared"/>
        <v>3.3425252778474126E-4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342.0</v>
      </c>
      <c r="G62" s="10">
        <f si="1" t="shared"/>
        <v>2.3169777494169561E-4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275.0</v>
      </c>
      <c r="G63" s="10">
        <f si="1" t="shared"/>
        <v>1.785212364304868E-4</v>
      </c>
    </row>
    <row r="64" spans="1:7" x14ac:dyDescent="0.25">
      <c r="A64">
        <v>53</v>
      </c>
      <c r="B64" s="246" t="n">
        <v>388.87401897926156</v>
      </c>
      <c r="C64" s="10">
        <f si="0" t="shared"/>
        <v>0</v>
      </c>
      <c r="E64" s="161">
        <v>53</v>
      </c>
      <c r="F64" s="248" t="n">
        <v>261.0</v>
      </c>
      <c r="G64" s="10">
        <f si="1" t="shared"/>
        <v>1.5193296717488239E-4</v>
      </c>
    </row>
    <row r="65" spans="1:7" x14ac:dyDescent="0.25">
      <c r="A65">
        <v>54</v>
      </c>
      <c r="B65" s="246" t="n">
        <v>151.4750802909842</v>
      </c>
      <c r="C65" s="10">
        <f si="0" t="shared"/>
        <v>0</v>
      </c>
      <c r="E65" s="162">
        <v>54</v>
      </c>
      <c r="F65" s="248" t="n">
        <v>269.0</v>
      </c>
      <c r="G65" s="10">
        <f si="1" t="shared"/>
        <v>1.6712626389237063E-4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222.0</v>
      </c>
      <c r="G66" s="10">
        <f si="1" t="shared"/>
        <v>1.5573129135425443E-4</v>
      </c>
    </row>
    <row r="67" spans="1:7" x14ac:dyDescent="0.25">
      <c r="A67">
        <v>56</v>
      </c>
      <c r="B67" s="246" t="n">
        <v>455.24217931386397</v>
      </c>
      <c r="C67" s="10">
        <f si="0" t="shared"/>
        <v>0</v>
      </c>
      <c r="E67" s="164">
        <v>56</v>
      </c>
      <c r="F67" s="248" t="n">
        <v>208.0</v>
      </c>
      <c r="G67" s="10">
        <f si="1" t="shared"/>
        <v>1.1015140120178974E-4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191.0</v>
      </c>
      <c r="G68" s="10">
        <f si="1" t="shared"/>
        <v>1.5952961553362651E-4</v>
      </c>
    </row>
    <row r="69" spans="1:7" x14ac:dyDescent="0.25">
      <c r="A69">
        <v>58</v>
      </c>
      <c r="B69" s="246" t="n">
        <v>71.4138027869201</v>
      </c>
      <c r="C69" s="10">
        <f si="0" t="shared"/>
        <v>0</v>
      </c>
      <c r="E69" s="166">
        <v>58</v>
      </c>
      <c r="F69" s="248" t="n">
        <v>154.0</v>
      </c>
      <c r="G69" s="10">
        <f si="1" t="shared"/>
        <v>1.1015140120178974E-4</v>
      </c>
    </row>
    <row r="70" spans="1:7" x14ac:dyDescent="0.25">
      <c r="A70">
        <v>59</v>
      </c>
      <c r="B70" s="246" t="n">
        <v>1143.0914240260402</v>
      </c>
      <c r="C70" s="10">
        <f si="0" t="shared"/>
        <v>0</v>
      </c>
      <c r="E70" s="167">
        <v>59</v>
      </c>
      <c r="F70" s="248" t="n">
        <v>154.0</v>
      </c>
      <c r="G70" s="10">
        <f si="1" t="shared"/>
        <v>7.9764807766813254E-5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144.0</v>
      </c>
      <c r="G71" s="10">
        <f si="1" t="shared"/>
        <v>1.139497253811618E-4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132.0</v>
      </c>
      <c r="G72" s="10">
        <f si="1" t="shared"/>
        <v>4.9378214331836778E-5</v>
      </c>
    </row>
    <row r="73" spans="1:7" x14ac:dyDescent="0.25">
      <c r="A73">
        <v>62</v>
      </c>
      <c r="B73" s="246" t="n">
        <v>85.6632519695921</v>
      </c>
      <c r="C73" s="10">
        <f si="0" t="shared"/>
        <v>0</v>
      </c>
      <c r="E73" s="170">
        <v>62</v>
      </c>
      <c r="F73" s="248" t="n">
        <v>140.0</v>
      </c>
      <c r="G73" s="10">
        <f si="1" t="shared"/>
        <v>8.3563131946185314E-5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120.0</v>
      </c>
      <c r="G74" s="10">
        <f si="1" t="shared"/>
        <v>4.5579890152464717E-5</v>
      </c>
    </row>
    <row r="75" spans="1:7" x14ac:dyDescent="0.25">
      <c r="A75">
        <v>64</v>
      </c>
      <c r="B75" s="246" t="n">
        <v>516.811435478318</v>
      </c>
      <c r="C75" s="10">
        <f si="0" t="shared"/>
        <v>0</v>
      </c>
      <c r="E75" s="172">
        <v>64</v>
      </c>
      <c r="F75" s="248" t="n">
        <v>122.0</v>
      </c>
      <c r="G75" s="10">
        <f si="1" t="shared"/>
        <v>4.1781565973092657E-5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105.0</v>
      </c>
      <c r="G76" s="10">
        <f si="1" t="shared"/>
        <v>4.9378214331836778E-5</v>
      </c>
    </row>
    <row r="77" spans="1:7" x14ac:dyDescent="0.25">
      <c r="A77">
        <v>66</v>
      </c>
      <c r="B77" s="246" t="n">
        <v>95.8328841917452</v>
      </c>
      <c r="C77" s="10">
        <f ref="C77:C102" si="2" t="shared">B77/B$102</f>
        <v>0</v>
      </c>
      <c r="E77" s="174">
        <v>66</v>
      </c>
      <c r="F77" s="248" t="n">
        <v>125.0</v>
      </c>
      <c r="G77" s="10">
        <f ref="G77:G102" si="3" t="shared">F77/F$102</f>
        <v>2.6588269255604419E-5</v>
      </c>
    </row>
    <row r="78" spans="1:7" x14ac:dyDescent="0.25">
      <c r="A78">
        <v>67</v>
      </c>
      <c r="B78" s="246" t="n">
        <v>347.611158818074</v>
      </c>
      <c r="C78" s="10">
        <f si="2" t="shared"/>
        <v>0</v>
      </c>
      <c r="E78" s="175">
        <v>67</v>
      </c>
      <c r="F78" s="248" t="n">
        <v>104.0</v>
      </c>
      <c r="G78" s="10">
        <f si="3" t="shared"/>
        <v>9.1159780304929435E-5</v>
      </c>
    </row>
    <row r="79" spans="1:7" x14ac:dyDescent="0.25">
      <c r="A79">
        <v>68</v>
      </c>
      <c r="B79" s="246" t="n">
        <v>97.0766688259674</v>
      </c>
      <c r="C79" s="10">
        <f si="2" t="shared"/>
        <v>0</v>
      </c>
      <c r="E79" s="176">
        <v>68</v>
      </c>
      <c r="F79" s="248" t="n">
        <v>131.0</v>
      </c>
      <c r="G79" s="10">
        <f si="3" t="shared"/>
        <v>1.1015140120178974E-4</v>
      </c>
    </row>
    <row r="80" spans="1:7" x14ac:dyDescent="0.25">
      <c r="A80">
        <v>69</v>
      </c>
      <c r="B80" s="246" t="n">
        <v>683.3180719176423</v>
      </c>
      <c r="C80" s="10">
        <f si="2" t="shared"/>
        <v>0</v>
      </c>
      <c r="E80" s="177">
        <v>69</v>
      </c>
      <c r="F80" s="248" t="n">
        <v>97.0</v>
      </c>
      <c r="G80" s="10">
        <f si="3" t="shared"/>
        <v>4.5579890152464717E-5</v>
      </c>
    </row>
    <row r="81" spans="1:7" x14ac:dyDescent="0.25">
      <c r="A81">
        <v>70</v>
      </c>
      <c r="B81" s="246" t="n">
        <v>82.376625897076</v>
      </c>
      <c r="C81" s="10">
        <f si="2" t="shared"/>
        <v>0</v>
      </c>
      <c r="E81" s="178">
        <v>70</v>
      </c>
      <c r="F81" s="248" t="n">
        <v>73.0</v>
      </c>
      <c r="G81" s="10">
        <f si="3" t="shared"/>
        <v>1.3673967045739415E-4</v>
      </c>
    </row>
    <row r="82" spans="1:7" x14ac:dyDescent="0.25">
      <c r="A82">
        <v>71</v>
      </c>
      <c r="B82" s="246" t="n">
        <v>105.7052757250432</v>
      </c>
      <c r="C82" s="10">
        <f si="2" t="shared"/>
        <v>0</v>
      </c>
      <c r="E82" s="179">
        <v>71</v>
      </c>
      <c r="F82" s="248" t="n">
        <v>98.0</v>
      </c>
      <c r="G82" s="10">
        <f si="3" t="shared"/>
        <v>4.9378214331836778E-5</v>
      </c>
    </row>
    <row r="83" spans="1:7" x14ac:dyDescent="0.25">
      <c r="A83">
        <v>72</v>
      </c>
      <c r="B83" s="246" t="n">
        <v>79.8597985703032</v>
      </c>
      <c r="C83" s="10">
        <f si="2" t="shared"/>
        <v>0</v>
      </c>
      <c r="E83" s="180">
        <v>72</v>
      </c>
      <c r="F83" s="248" t="n">
        <v>68.0</v>
      </c>
      <c r="G83" s="10">
        <f si="3" t="shared"/>
        <v>3.0386593434976476E-5</v>
      </c>
    </row>
    <row r="84" spans="1:7" x14ac:dyDescent="0.25">
      <c r="A84">
        <v>73</v>
      </c>
      <c r="B84" s="246" t="n">
        <v>53.8266490113655</v>
      </c>
      <c r="C84" s="10">
        <f si="2" t="shared"/>
        <v>0</v>
      </c>
      <c r="E84" s="181">
        <v>73</v>
      </c>
      <c r="F84" s="248" t="n">
        <v>91.0</v>
      </c>
      <c r="G84" s="10">
        <f si="3" t="shared"/>
        <v>2.2789945076232359E-5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72.0</v>
      </c>
      <c r="G85" s="10">
        <f si="3" t="shared"/>
        <v>4.5579890152464717E-5</v>
      </c>
    </row>
    <row r="86" spans="1:7" x14ac:dyDescent="0.25">
      <c r="A86">
        <v>75</v>
      </c>
      <c r="B86" s="246" t="n">
        <v>380.84767715949</v>
      </c>
      <c r="C86" s="10">
        <f si="2" t="shared"/>
        <v>0</v>
      </c>
      <c r="E86" s="183">
        <v>75</v>
      </c>
      <c r="F86" s="248" t="n">
        <v>72.0</v>
      </c>
      <c r="G86" s="10">
        <f si="3" t="shared"/>
        <v>7.596648358744119E-6</v>
      </c>
    </row>
    <row r="87" spans="1:7" x14ac:dyDescent="0.25">
      <c r="A87">
        <v>76</v>
      </c>
      <c r="B87" s="246" t="n">
        <v>215.645779152528</v>
      </c>
      <c r="C87" s="10">
        <f si="2" t="shared"/>
        <v>0</v>
      </c>
      <c r="E87" s="184">
        <v>76</v>
      </c>
      <c r="F87" s="248" t="n">
        <v>68.0</v>
      </c>
      <c r="G87" s="10">
        <f si="3" t="shared"/>
        <v>3.7983241793720595E-6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51.0</v>
      </c>
      <c r="G88" s="10">
        <f si="3" t="shared"/>
        <v>3.0386593434976476E-5</v>
      </c>
    </row>
    <row r="89" spans="1:7" x14ac:dyDescent="0.25">
      <c r="A89">
        <v>78</v>
      </c>
      <c r="B89" s="246" t="n">
        <v>0.0</v>
      </c>
      <c r="C89" s="10">
        <f si="2" t="shared"/>
        <v>1.2623737546836691E-3</v>
      </c>
      <c r="E89" s="186">
        <v>78</v>
      </c>
      <c r="F89" s="248" t="n">
        <v>42.0</v>
      </c>
      <c r="G89" s="10">
        <f si="3" t="shared"/>
        <v>3.7983241793720595E-6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62.0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59.0</v>
      </c>
      <c r="G91" s="10">
        <f si="3" t="shared"/>
        <v>3.7983241793720595E-6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55.0</v>
      </c>
      <c r="G92" s="10">
        <f si="3" t="shared"/>
        <v>7.596648358744119E-6</v>
      </c>
    </row>
    <row r="93" spans="1:7" x14ac:dyDescent="0.25">
      <c r="A93">
        <v>82</v>
      </c>
      <c r="B93" s="246" t="n">
        <v>437.028333540149</v>
      </c>
      <c r="C93" s="10">
        <f si="2" t="shared"/>
        <v>0</v>
      </c>
      <c r="E93" s="190">
        <v>82</v>
      </c>
      <c r="F93" s="248" t="n">
        <v>58.0</v>
      </c>
      <c r="G93" s="10">
        <f si="3" t="shared"/>
        <v>7.596648358744119E-6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53.0</v>
      </c>
      <c r="G94" s="10">
        <f si="3" t="shared"/>
        <v>7.596648358744119E-6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51.0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50.0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73.0</v>
      </c>
      <c r="G97" s="10">
        <f si="3" t="shared"/>
        <v>3.7983241793720595E-6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55.0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40.0</v>
      </c>
      <c r="G99" s="10">
        <f si="3" t="shared"/>
        <v>9.4958104484301495E-5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41.0</v>
      </c>
      <c r="G100" s="10">
        <f si="3" t="shared"/>
        <v>1.5193296717488238E-5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3750.0</v>
      </c>
      <c r="G101" s="10">
        <f si="3" t="shared"/>
        <v>1.1926737923228267E-3</v>
      </c>
    </row>
    <row r="102" spans="1:7" x14ac:dyDescent="0.25">
      <c r="B102" s="246">
        <f>SUM(B11:B101)</f>
        <v>75048.152303901981</v>
      </c>
      <c r="C102" s="10">
        <f si="2" t="shared"/>
        <v>1</v>
      </c>
      <c r="F102" s="246">
        <f>SUM(F11:F101)</f>
        <v>87757.999999912281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R5" sqref="R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108561.16715356531</v>
      </c>
      <c r="C7" s="11" t="n">
        <v>106.844329177892</v>
      </c>
      <c r="D7" s="11" t="n">
        <v>0.0</v>
      </c>
      <c r="E7" s="11" t="n">
        <v>1246.0718148111066</v>
      </c>
      <c r="F7" s="11" t="n">
        <v>3915.9186518803385</v>
      </c>
      <c r="G7" s="11" t="n">
        <v>5997.556311903189</v>
      </c>
      <c r="H7" s="11" t="n">
        <v>2111.872885595878</v>
      </c>
      <c r="I7" s="11"/>
      <c r="J7" s="11">
        <f>SUM(B7:I7)</f>
        <v>20435.974601275688</v>
      </c>
      <c r="K7" s="11"/>
      <c r="L7" t="str">
        <f>$A$7</f>
        <v>Bellevue</v>
      </c>
      <c r="M7" s="248" t="n">
        <v>101942.0</v>
      </c>
      <c r="N7" s="248" t="n">
        <v>2.0</v>
      </c>
      <c r="O7" s="248" t="n">
        <v>30.0</v>
      </c>
      <c r="P7" s="248" t="n">
        <v>1988.0</v>
      </c>
      <c r="Q7" s="248" t="n">
        <v>370.0</v>
      </c>
      <c r="R7" s="248" t="n">
        <v>4575.0</v>
      </c>
      <c r="S7" s="248" t="n">
        <v>1197.0</v>
      </c>
      <c r="T7" s="248"/>
      <c r="U7" s="246">
        <f>SUM(M7:T7)</f>
        <v>28165.666666638499</v>
      </c>
    </row>
    <row r="8" spans="1:21" x14ac:dyDescent="0.25">
      <c r="A8" t="s">
        <v>255</v>
      </c>
      <c r="B8" s="11" t="n">
        <v>1195.7423654763602</v>
      </c>
      <c r="C8" s="11" t="n">
        <v>12973.414062950475</v>
      </c>
      <c r="D8" s="11" t="n">
        <v>0.0</v>
      </c>
      <c r="E8" s="11" t="n">
        <v>0.0</v>
      </c>
      <c r="F8" s="11" t="n">
        <v>0.0</v>
      </c>
      <c r="G8" s="11" t="n">
        <v>2548.3189332962806</v>
      </c>
      <c r="H8" s="11" t="n">
        <v>0.0</v>
      </c>
      <c r="I8" s="11"/>
      <c r="J8" s="11">
        <f ref="J8:J14" si="0" t="shared">SUM(B8:I8)</f>
        <v>5292.6118884690059</v>
      </c>
      <c r="K8" s="11"/>
      <c r="L8" t="str">
        <f>$A$8</f>
        <v>Bellevue Downtown</v>
      </c>
      <c r="M8" s="248" t="n">
        <v>267.0</v>
      </c>
      <c r="N8" s="248" t="n">
        <v>14622.0</v>
      </c>
      <c r="O8" s="248" t="n">
        <v>0.0</v>
      </c>
      <c r="P8" s="248" t="n">
        <v>93.0</v>
      </c>
      <c r="Q8" s="248" t="n">
        <v>1.0</v>
      </c>
      <c r="R8" s="248" t="n">
        <v>2447.0</v>
      </c>
      <c r="S8" s="248" t="n">
        <v>2.0</v>
      </c>
      <c r="T8" s="248"/>
      <c r="U8" s="246">
        <f ref="U8:U13" si="1" t="shared">SUM(M8:T8)</f>
        <v>12700.666666653964</v>
      </c>
    </row>
    <row r="9" spans="1:21" x14ac:dyDescent="0.25">
      <c r="A9" t="s">
        <v>256</v>
      </c>
      <c r="B9" s="11" t="n">
        <v>902.9440429760699</v>
      </c>
      <c r="C9" s="11" t="n">
        <v>0.0</v>
      </c>
      <c r="D9" s="11" t="n">
        <v>8392.5153330207</v>
      </c>
      <c r="E9" s="11" t="n">
        <v>0.0</v>
      </c>
      <c r="F9" s="11" t="n">
        <v>578.6037850505343</v>
      </c>
      <c r="G9" s="11" t="n">
        <v>108.801449974636</v>
      </c>
      <c r="H9" s="11" t="n">
        <v>261.31473271935</v>
      </c>
      <c r="I9" s="11"/>
      <c r="J9" s="11">
        <f si="0" t="shared"/>
        <v>8289.1646260967282</v>
      </c>
      <c r="K9" s="12"/>
      <c r="L9" t="str">
        <f>$A$9</f>
        <v>Kirkland</v>
      </c>
      <c r="M9" s="248" t="n">
        <v>2825.0</v>
      </c>
      <c r="N9" s="248" t="n">
        <v>0.0</v>
      </c>
      <c r="O9" s="248" t="n">
        <v>8356.0</v>
      </c>
      <c r="P9" s="248" t="n">
        <v>11.0</v>
      </c>
      <c r="Q9" s="248" t="n">
        <v>505.0</v>
      </c>
      <c r="R9" s="248" t="n">
        <v>52.0</v>
      </c>
      <c r="S9" s="248" t="n">
        <v>38.0</v>
      </c>
      <c r="T9" s="248"/>
      <c r="U9" s="246">
        <f si="1" t="shared"/>
        <v>12964.333333320368</v>
      </c>
    </row>
    <row r="10" spans="1:21" x14ac:dyDescent="0.25">
      <c r="A10" t="s">
        <v>257</v>
      </c>
      <c r="B10" s="11" t="n">
        <v>1274.6283475601117</v>
      </c>
      <c r="C10" s="11" t="n">
        <v>0.0</v>
      </c>
      <c r="D10" s="11" t="n">
        <v>0.0</v>
      </c>
      <c r="E10" s="11" t="n">
        <v>61706.897939558425</v>
      </c>
      <c r="F10" s="11" t="n">
        <v>53.8266490113655</v>
      </c>
      <c r="G10" s="11" t="n">
        <v>829.794390536125</v>
      </c>
      <c r="H10" s="11" t="n">
        <v>928.7956546936279</v>
      </c>
      <c r="I10" s="11"/>
      <c r="J10" s="11">
        <f si="0" t="shared"/>
        <v>11641.864468886906</v>
      </c>
      <c r="K10" s="12"/>
      <c r="L10" t="str">
        <f>$A$10</f>
        <v>Redmond</v>
      </c>
      <c r="M10" s="248" t="n">
        <v>1991.0</v>
      </c>
      <c r="N10" s="248" t="n">
        <v>3.0</v>
      </c>
      <c r="O10" s="248" t="n">
        <v>0.0</v>
      </c>
      <c r="P10" s="248" t="n">
        <v>51810.0</v>
      </c>
      <c r="Q10" s="248" t="n">
        <v>1.0</v>
      </c>
      <c r="R10" s="248" t="n">
        <v>422.0</v>
      </c>
      <c r="S10" s="248" t="n">
        <v>171.0</v>
      </c>
      <c r="T10" s="248"/>
      <c r="U10" s="246">
        <f si="1" t="shared"/>
        <v>11916.66666665475</v>
      </c>
    </row>
    <row r="11" spans="1:21" x14ac:dyDescent="0.25">
      <c r="A11" t="s">
        <v>252</v>
      </c>
      <c r="B11" s="11" t="n">
        <v>6420.680449158673</v>
      </c>
      <c r="C11" s="11" t="n">
        <v>0.0</v>
      </c>
      <c r="D11" s="11" t="n">
        <v>2569.500606692305</v>
      </c>
      <c r="E11" s="11" t="n">
        <v>0.0</v>
      </c>
      <c r="F11" s="11" t="n">
        <v>38219.4904938558</v>
      </c>
      <c r="G11" s="11" t="n">
        <v>225.8221522973945</v>
      </c>
      <c r="H11" s="11" t="n">
        <v>576.0426013916522</v>
      </c>
      <c r="I11" s="11"/>
      <c r="J11" s="11">
        <f si="0" t="shared"/>
        <v>4225.8810137019718</v>
      </c>
      <c r="K11" s="12"/>
      <c r="L11" t="str">
        <f>$A$11</f>
        <v>Seattle</v>
      </c>
      <c r="M11" s="248" t="n">
        <v>5648.0</v>
      </c>
      <c r="N11" s="248" t="n">
        <v>0.0</v>
      </c>
      <c r="O11" s="248" t="n">
        <v>1158.0</v>
      </c>
      <c r="P11" s="248" t="n">
        <v>58.0</v>
      </c>
      <c r="Q11" s="248" t="n">
        <v>25521.0</v>
      </c>
      <c r="R11" s="248" t="n">
        <v>80.0</v>
      </c>
      <c r="S11" s="248" t="n">
        <v>567.0</v>
      </c>
      <c r="T11" s="248"/>
      <c r="U11" s="246">
        <f si="1" t="shared"/>
        <v>5029.3333333283044</v>
      </c>
    </row>
    <row r="12" spans="1:21" x14ac:dyDescent="0.25">
      <c r="A12" t="s">
        <v>258</v>
      </c>
      <c r="B12" s="11" t="n">
        <v>11882.78030336511</v>
      </c>
      <c r="C12" s="11" t="n">
        <v>850.8224504718723</v>
      </c>
      <c r="D12" s="11" t="n">
        <v>0.0</v>
      </c>
      <c r="E12" s="11" t="n">
        <v>145.09195019980092</v>
      </c>
      <c r="F12" s="11" t="n">
        <v>380.84767715949</v>
      </c>
      <c r="G12" s="11" t="n">
        <v>41511.853018169066</v>
      </c>
      <c r="H12" s="11" t="n">
        <v>0.0</v>
      </c>
      <c r="I12" s="11"/>
      <c r="J12" s="11">
        <f si="0" t="shared"/>
        <v>21022.19954306892</v>
      </c>
      <c r="K12" s="12"/>
      <c r="L12" t="str">
        <f>$A$12</f>
        <v>Seattle Downtown</v>
      </c>
      <c r="M12" s="248" t="n">
        <v>4626.0</v>
      </c>
      <c r="N12" s="248" t="n">
        <v>2383.0</v>
      </c>
      <c r="O12" s="248" t="n">
        <v>0.0</v>
      </c>
      <c r="P12" s="248" t="n">
        <v>1080.0</v>
      </c>
      <c r="Q12" s="248" t="n">
        <v>3.0</v>
      </c>
      <c r="R12" s="248" t="n">
        <v>35298.0</v>
      </c>
      <c r="S12" s="248" t="n">
        <v>10.0</v>
      </c>
      <c r="T12" s="248"/>
      <c r="U12" s="246">
        <f si="1" t="shared"/>
        <v>5143.6666666615229</v>
      </c>
    </row>
    <row r="13" spans="1:21" x14ac:dyDescent="0.25">
      <c r="A13" t="s">
        <v>259</v>
      </c>
      <c r="B13" s="11" t="n">
        <v>5941.594641308284</v>
      </c>
      <c r="C13" s="11" t="n">
        <v>0.0</v>
      </c>
      <c r="D13" s="11" t="n">
        <v>0.0</v>
      </c>
      <c r="E13" s="11" t="n">
        <v>506.0896598292441</v>
      </c>
      <c r="F13" s="11" t="n">
        <v>556.98958519228</v>
      </c>
      <c r="G13" s="11" t="n">
        <v>814.0631898025305</v>
      </c>
      <c r="H13" s="11" t="n">
        <v>22055.54178312368</v>
      </c>
      <c r="I13" s="11"/>
      <c r="J13" s="11">
        <f si="0" t="shared"/>
        <v>0</v>
      </c>
      <c r="K13" s="12"/>
      <c r="L13" t="str">
        <f>A13</f>
        <v>Rest</v>
      </c>
      <c r="M13" s="248" t="n">
        <v>4692.0</v>
      </c>
      <c r="N13" s="248" t="n">
        <v>0.0</v>
      </c>
      <c r="O13" s="248" t="n">
        <v>2.0</v>
      </c>
      <c r="P13" s="248" t="n">
        <v>892.0</v>
      </c>
      <c r="Q13" s="248" t="n">
        <v>122.0</v>
      </c>
      <c r="R13" s="248" t="n">
        <v>56.0</v>
      </c>
      <c r="S13" s="248" t="n">
        <v>19965.0</v>
      </c>
      <c r="T13" s="248"/>
      <c r="U13" s="246">
        <f si="1" t="shared"/>
        <v>2387.9999999976121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20805.720078977785</v>
      </c>
      <c r="C15" s="14">
        <f si="2" t="shared"/>
        <v>5126.9576900478414</v>
      </c>
      <c r="D15" s="14">
        <f si="2" t="shared"/>
        <v>21379.531890970782</v>
      </c>
      <c r="E15" s="14">
        <f si="2" t="shared"/>
        <v>10875.338445480984</v>
      </c>
      <c r="F15" s="14">
        <f si="2" t="shared"/>
        <v>4146.0227546963924</v>
      </c>
      <c r="G15" s="14">
        <f si="2" t="shared"/>
        <v>8574.1252813254305</v>
      </c>
      <c r="H15" s="14">
        <f si="2" t="shared"/>
        <v>0</v>
      </c>
      <c r="I15" s="14">
        <f si="2" t="shared"/>
        <v>0</v>
      </c>
      <c r="J15" s="14">
        <f si="2" t="shared"/>
        <v>70907.69614149924</v>
      </c>
      <c r="K15" s="11"/>
      <c r="L15" s="14" t="s">
        <v>4</v>
      </c>
      <c r="M15" s="14">
        <f ref="M15:U15" si="3" t="shared">SUM(M7:M14)</f>
        <v>34139.333333299197</v>
      </c>
      <c r="N15" s="14">
        <f si="3" t="shared"/>
        <v>11604.333333321727</v>
      </c>
      <c r="O15" s="14">
        <f si="3" t="shared"/>
        <v>13547.666666653118</v>
      </c>
      <c r="P15" s="14">
        <f si="3" t="shared"/>
        <v>8762.3333333245719</v>
      </c>
      <c r="Q15" s="14">
        <f si="3" t="shared"/>
        <v>4374.3333333289584</v>
      </c>
      <c r="R15" s="14">
        <f si="3" t="shared"/>
        <v>4172.3333333291612</v>
      </c>
      <c r="S15" s="14">
        <f si="3" t="shared"/>
        <v>1707.999999998292</v>
      </c>
      <c r="T15" s="14">
        <f si="3" t="shared"/>
        <v>0</v>
      </c>
      <c r="U15" s="14">
        <f si="3" t="shared"/>
        <v>78308.333333255025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24980.380505832127</v>
      </c>
      <c r="C20" s="11">
        <f si="4" t="shared"/>
        <v>1074.2700821098774</v>
      </c>
      <c r="D20" s="11">
        <f si="4" t="shared"/>
        <v>1109.0622542006802</v>
      </c>
      <c r="E20" s="11">
        <f si="4" t="shared"/>
        <v>1001.9538244958133</v>
      </c>
      <c r="F20" s="11">
        <f si="4" t="shared"/>
        <v>0</v>
      </c>
      <c r="G20" s="11">
        <f si="4" t="shared"/>
        <v>0</v>
      </c>
      <c r="H20" s="11">
        <f si="4" t="shared"/>
        <v>0</v>
      </c>
      <c r="I20" s="11"/>
      <c r="J20" s="11">
        <f>SUM(B20:I20)</f>
        <v>28165.666666638495</v>
      </c>
      <c r="K20" s="11"/>
      <c r="L20" t="str">
        <f>$A$7</f>
        <v>Bellevue</v>
      </c>
      <c r="M20" s="11">
        <f ref="M20:M26" si="5" t="shared">M7</f>
        <v>23581.666666643083</v>
      </c>
      <c r="N20" s="11">
        <f ref="N20:U20" si="6" t="shared">N7</f>
        <v>1862.3333333314711</v>
      </c>
      <c r="O20" s="11">
        <f si="6" t="shared"/>
        <v>538.33333333279506</v>
      </c>
      <c r="P20" s="11">
        <f si="6" t="shared"/>
        <v>1135.999999998864</v>
      </c>
      <c r="Q20" s="11">
        <f si="6" t="shared"/>
        <v>653.33333333268001</v>
      </c>
      <c r="R20" s="11">
        <f si="6" t="shared"/>
        <v>381.99999999961801</v>
      </c>
      <c r="S20" s="11">
        <f ref="S20" si="7" t="shared">S7</f>
        <v>11.999999999988001</v>
      </c>
      <c r="T20" s="11"/>
      <c r="U20" s="11">
        <f si="6" t="shared"/>
        <v>28165.666666638499</v>
      </c>
    </row>
    <row r="21" spans="1:32" x14ac:dyDescent="0.25">
      <c r="A21" t="str">
        <f>$A$8</f>
        <v>Bellevue Downtown</v>
      </c>
      <c r="B21" s="11">
        <f ref="B21:G26" si="8" t="shared">($U8/$J8)*B8</f>
        <v>1742.2455909663365</v>
      </c>
      <c r="C21" s="11">
        <f si="8" t="shared"/>
        <v>9752.8476037937489</v>
      </c>
      <c r="D21" s="11">
        <f si="8" t="shared"/>
        <v>0</v>
      </c>
      <c r="E21" s="11">
        <f si="8" t="shared"/>
        <v>1205.5734718938809</v>
      </c>
      <c r="F21" s="11">
        <f si="8" t="shared"/>
        <v>0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12700.666666653966</v>
      </c>
      <c r="K21" s="11"/>
      <c r="L21" t="str">
        <f>$A$8</f>
        <v>Bellevue Downtown</v>
      </c>
      <c r="M21" s="11">
        <f si="5" t="shared"/>
        <v>3696.9999999963029</v>
      </c>
      <c r="N21" s="11">
        <f ref="N21:R25" si="11" t="shared">N8</f>
        <v>7726.6666666589399</v>
      </c>
      <c r="O21" s="11">
        <f si="11" t="shared"/>
        <v>281.333333333052</v>
      </c>
      <c r="P21" s="11">
        <f si="11" t="shared"/>
        <v>151.999999999848</v>
      </c>
      <c r="Q21" s="11">
        <f si="11" t="shared"/>
        <v>439.99999999956003</v>
      </c>
      <c r="R21" s="11">
        <f si="11" t="shared"/>
        <v>389.66666666627702</v>
      </c>
      <c r="S21" s="11">
        <f ref="S21" si="12" t="shared">S8</f>
        <v>13.999999999986001</v>
      </c>
      <c r="T21" s="11"/>
      <c r="U21" s="11">
        <f ref="U21:U26" si="13" t="shared">U8</f>
        <v>12700.666666653964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12964.333333320368</v>
      </c>
      <c r="E22" s="11">
        <f si="8" t="shared"/>
        <v>0</v>
      </c>
      <c r="F22" s="11">
        <f si="8" t="shared"/>
        <v>0</v>
      </c>
      <c r="G22" s="11">
        <f si="8" t="shared"/>
        <v>0</v>
      </c>
      <c r="H22" s="11">
        <f si="9" t="shared"/>
        <v>0</v>
      </c>
      <c r="I22" s="11"/>
      <c r="J22" s="11">
        <f si="10" t="shared"/>
        <v>12964.333333320368</v>
      </c>
      <c r="K22" s="12"/>
      <c r="L22" t="str">
        <f>$A$9</f>
        <v>Kirkland</v>
      </c>
      <c r="M22" s="11">
        <f si="5" t="shared"/>
        <v>778.6666666658881</v>
      </c>
      <c r="N22" s="11">
        <f si="11" t="shared"/>
        <v>256.99999999974301</v>
      </c>
      <c r="O22" s="11">
        <f si="11" t="shared"/>
        <v>10971.999999989028</v>
      </c>
      <c r="P22" s="11">
        <f si="11" t="shared"/>
        <v>26.999999999973003</v>
      </c>
      <c r="Q22" s="11">
        <f si="11" t="shared"/>
        <v>372.33333333296105</v>
      </c>
      <c r="R22" s="11">
        <f si="11" t="shared"/>
        <v>504.66666666616203</v>
      </c>
      <c r="S22" s="11">
        <f ref="S22" si="14" t="shared">S9</f>
        <v>52.666666666614006</v>
      </c>
      <c r="T22" s="11"/>
      <c r="U22" s="11">
        <f si="13" t="shared"/>
        <v>12964.333333320368</v>
      </c>
    </row>
    <row r="23" spans="1:32" x14ac:dyDescent="0.25">
      <c r="A23" t="str">
        <f>$A$10</f>
        <v>Redmond</v>
      </c>
      <c r="B23" s="11">
        <f si="8" t="shared"/>
        <v>2000.9885004645571</v>
      </c>
      <c r="C23" s="11">
        <f si="8" t="shared"/>
        <v>0</v>
      </c>
      <c r="D23" s="11">
        <f si="8" t="shared"/>
        <v>0</v>
      </c>
      <c r="E23" s="11">
        <f si="8" t="shared"/>
        <v>9873.661708429534</v>
      </c>
      <c r="F23" s="11">
        <f si="8" t="shared"/>
        <v>42.016457760657836</v>
      </c>
      <c r="G23" s="11">
        <f si="8" t="shared"/>
        <v>0</v>
      </c>
      <c r="H23" s="11">
        <f si="9" t="shared"/>
        <v>0</v>
      </c>
      <c r="I23" s="11"/>
      <c r="J23" s="11">
        <f>SUM(B23:I23)</f>
        <v>11916.666666654748</v>
      </c>
      <c r="K23" s="12"/>
      <c r="L23" t="str">
        <f>$A$10</f>
        <v>Redmond</v>
      </c>
      <c r="M23" s="11">
        <f si="5" t="shared"/>
        <v>3656.6666666630099</v>
      </c>
      <c r="N23" s="11">
        <f si="11" t="shared"/>
        <v>291.999999999708</v>
      </c>
      <c r="O23" s="11">
        <f si="11" t="shared"/>
        <v>82.666666666584007</v>
      </c>
      <c r="P23" s="11">
        <f si="11" t="shared"/>
        <v>7052.9999999929469</v>
      </c>
      <c r="Q23" s="11">
        <f si="11" t="shared"/>
        <v>592.33333333274106</v>
      </c>
      <c r="R23" s="11">
        <f si="11" t="shared"/>
        <v>217.33333333311603</v>
      </c>
      <c r="S23" s="11">
        <f ref="S23" si="15" t="shared">S10</f>
        <v>22.666666666644002</v>
      </c>
      <c r="T23" s="11"/>
      <c r="U23" s="11">
        <f si="13" t="shared"/>
        <v>11916.66666665475</v>
      </c>
    </row>
    <row r="24" spans="1:32" x14ac:dyDescent="0.25">
      <c r="A24" t="str">
        <f>$A$11</f>
        <v>Seattle</v>
      </c>
      <c r="B24" s="11">
        <f si="8" t="shared"/>
        <v>0</v>
      </c>
      <c r="C24" s="11">
        <f si="8" t="shared"/>
        <v>0</v>
      </c>
      <c r="D24" s="11">
        <f si="8" t="shared"/>
        <v>0</v>
      </c>
      <c r="E24" s="11">
        <f si="8" t="shared"/>
        <v>0</v>
      </c>
      <c r="F24" s="11">
        <f si="8" t="shared"/>
        <v>4885.4401223288469</v>
      </c>
      <c r="G24" s="11">
        <f si="8" t="shared"/>
        <v>143.89321099945741</v>
      </c>
      <c r="H24" s="11">
        <f si="9" t="shared"/>
        <v>0</v>
      </c>
      <c r="I24" s="11"/>
      <c r="J24" s="11">
        <f si="10" t="shared"/>
        <v>5029.3333333283044</v>
      </c>
      <c r="K24" s="12"/>
      <c r="L24" t="str">
        <f>$A$11</f>
        <v>Seattle</v>
      </c>
      <c r="M24" s="11">
        <f si="5" t="shared"/>
        <v>1761.9999999982381</v>
      </c>
      <c r="N24" s="11">
        <f si="11" t="shared"/>
        <v>624.333333332709</v>
      </c>
      <c r="O24" s="11">
        <f si="11" t="shared"/>
        <v>290.99999999970902</v>
      </c>
      <c r="P24" s="11">
        <f si="11" t="shared"/>
        <v>255.99999999974403</v>
      </c>
      <c r="Q24" s="11">
        <f si="11" t="shared"/>
        <v>1640.666666665026</v>
      </c>
      <c r="R24" s="11">
        <f si="11" t="shared"/>
        <v>436.99999999956304</v>
      </c>
      <c r="S24" s="11">
        <f ref="S24" si="16" t="shared">S11</f>
        <v>18.333333333315</v>
      </c>
      <c r="T24" s="11"/>
      <c r="U24" s="11">
        <f si="13" t="shared"/>
        <v>5029.3333333283044</v>
      </c>
    </row>
    <row r="25" spans="1:32" x14ac:dyDescent="0.25">
      <c r="A25" t="str">
        <f>$A$12</f>
        <v>Seattle Downtown</v>
      </c>
      <c r="B25" s="11">
        <f si="8" t="shared"/>
        <v>0</v>
      </c>
      <c r="C25" s="11">
        <f si="8" t="shared"/>
        <v>69.319117835616638</v>
      </c>
      <c r="D25" s="11">
        <f si="8" t="shared"/>
        <v>3006.0319491978858</v>
      </c>
      <c r="E25" s="11">
        <f si="8" t="shared"/>
        <v>0</v>
      </c>
      <c r="F25" s="11">
        <f si="8" t="shared"/>
        <v>0</v>
      </c>
      <c r="G25" s="11">
        <f si="8" t="shared"/>
        <v>2068.3155996280202</v>
      </c>
      <c r="H25" s="11">
        <f si="9" t="shared"/>
        <v>0</v>
      </c>
      <c r="I25" s="11"/>
      <c r="J25" s="11">
        <f si="10" t="shared"/>
        <v>5143.666666661522</v>
      </c>
      <c r="K25" s="12"/>
      <c r="L25" t="str">
        <f>$A$12</f>
        <v>Seattle Downtown</v>
      </c>
      <c r="M25" s="11">
        <f si="5" t="shared"/>
        <v>580.333333332753</v>
      </c>
      <c r="N25" s="11">
        <f si="11" t="shared"/>
        <v>663.33333333267001</v>
      </c>
      <c r="O25" s="11">
        <f si="11" t="shared"/>
        <v>1126.3333333322071</v>
      </c>
      <c r="P25" s="11">
        <f si="11" t="shared"/>
        <v>114.99999999988501</v>
      </c>
      <c r="Q25" s="11">
        <f si="11" t="shared"/>
        <v>608.99999999939109</v>
      </c>
      <c r="R25" s="11">
        <f si="11" t="shared"/>
        <v>1955.9999999980439</v>
      </c>
      <c r="S25" s="11">
        <f ref="S25" si="17" t="shared">S12</f>
        <v>93.666666666573008</v>
      </c>
      <c r="T25" s="11"/>
      <c r="U25" s="11">
        <f si="13" t="shared"/>
        <v>5143.6666666615229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82.999999999917009</v>
      </c>
      <c r="N26" s="11">
        <f ref="N26:R26" si="18" t="shared">N13</f>
        <v>178.66666666648803</v>
      </c>
      <c r="O26" s="11">
        <f si="18" t="shared"/>
        <v>255.99999999974403</v>
      </c>
      <c r="P26" s="11">
        <f si="18" t="shared"/>
        <v>23.333333333310001</v>
      </c>
      <c r="Q26" s="11">
        <f si="18" t="shared"/>
        <v>66.666666666600008</v>
      </c>
      <c r="R26" s="11">
        <f si="18" t="shared"/>
        <v>285.66666666638105</v>
      </c>
      <c r="S26" s="11">
        <f ref="S26" si="19" t="shared">S13</f>
        <v>1494.666666665172</v>
      </c>
      <c r="T26" s="11"/>
      <c r="U26" s="11">
        <f si="13" t="shared"/>
        <v>2387.9999999976121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34139.333333299197</v>
      </c>
      <c r="N28" s="14">
        <f si="21" t="shared"/>
        <v>11604.333333321727</v>
      </c>
      <c r="O28" s="14">
        <f si="21" t="shared"/>
        <v>13547.666666653118</v>
      </c>
      <c r="P28" s="14">
        <f si="21" t="shared"/>
        <v>8762.3333333245719</v>
      </c>
      <c r="Q28" s="14">
        <f si="21" t="shared"/>
        <v>4374.3333333289584</v>
      </c>
      <c r="R28" s="14">
        <f si="21" t="shared"/>
        <v>4172.3333333291612</v>
      </c>
      <c r="S28" s="14">
        <f si="21" t="shared"/>
        <v>1707.999999998292</v>
      </c>
      <c r="T28" s="14"/>
      <c r="U28" s="14">
        <f si="21" t="shared"/>
        <v>78308.333333255025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0.30113866127487493</v>
      </c>
      <c r="N33" s="15">
        <f si="24" t="shared"/>
        <v>2.3782058103650101E-2</v>
      </c>
      <c r="O33" s="15">
        <f si="24" t="shared"/>
        <v>6.8745344258806015E-3</v>
      </c>
      <c r="P33" s="15">
        <f si="24" t="shared"/>
        <v>1.4506757475790147E-2</v>
      </c>
      <c r="Q33" s="15">
        <f si="24" t="shared"/>
        <v>8.3430882196445684E-3</v>
      </c>
      <c r="R33" s="15">
        <f si="24" t="shared"/>
        <v>4.8781526018942221E-3</v>
      </c>
      <c r="S33" s="15">
        <f ref="S33" si="25" t="shared">S20/$U$28</f>
        <v>1.5324039587102267E-4</v>
      </c>
      <c r="T33" s="15"/>
      <c r="U33" s="15">
        <f ref="U33:U39" si="26" t="shared">U20/$U$28</f>
        <v>0.35967649249760558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4.7210811961264233E-2</v>
      </c>
      <c r="N34" s="15">
        <f si="31" t="shared"/>
        <v>9.8669788230286257E-2</v>
      </c>
      <c r="O34" s="15">
        <f si="31" t="shared"/>
        <v>3.5926359476428646E-3</v>
      </c>
      <c r="P34" s="15">
        <f si="31" t="shared"/>
        <v>1.9410450143662872E-3</v>
      </c>
      <c r="Q34" s="15">
        <f si="31" t="shared"/>
        <v>5.6188145152708318E-3</v>
      </c>
      <c r="R34" s="15">
        <f si="31" t="shared"/>
        <v>4.9760561881451526E-3</v>
      </c>
      <c r="S34" s="15">
        <f ref="S34" si="32" t="shared">S21/$U$28</f>
        <v>1.7878046184952644E-4</v>
      </c>
      <c r="T34" s="15"/>
      <c r="U34" s="15">
        <f si="26" t="shared"/>
        <v>0.16218793231882514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9.9435990209641393E-3</v>
      </c>
      <c r="N35" s="15">
        <f si="31" t="shared"/>
        <v>3.2818984782377355E-3</v>
      </c>
      <c r="O35" s="15">
        <f si="31" t="shared"/>
        <v>0.14011280195807171</v>
      </c>
      <c r="P35" s="15">
        <f si="31" t="shared"/>
        <v>3.4479089070980104E-4</v>
      </c>
      <c r="Q35" s="15">
        <f si="31" t="shared"/>
        <v>4.7547089496647876E-3</v>
      </c>
      <c r="R35" s="15">
        <f si="31" t="shared"/>
        <v>6.4446099819091204E-3</v>
      </c>
      <c r="S35" s="15">
        <f ref="S35" si="36" t="shared">S22/$U$28</f>
        <v>6.7255507076726621E-4</v>
      </c>
      <c r="T35" s="15"/>
      <c r="U35" s="15">
        <f si="26" t="shared"/>
        <v>0.16555496435032457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4.669575396403107E-2</v>
      </c>
      <c r="N36" s="15">
        <f si="31" t="shared"/>
        <v>3.7288496328615516E-3</v>
      </c>
      <c r="O36" s="15">
        <f si="31" t="shared"/>
        <v>1.0556560604448228E-3</v>
      </c>
      <c r="P36" s="15">
        <f si="31" t="shared"/>
        <v>9.006704267319357E-2</v>
      </c>
      <c r="Q36" s="15">
        <f si="31" t="shared"/>
        <v>7.5641162073002031E-3</v>
      </c>
      <c r="R36" s="15">
        <f si="31" t="shared"/>
        <v>2.7753538363307442E-3</v>
      </c>
      <c r="S36" s="15">
        <f ref="S36" si="37" t="shared">S23/$U$28</f>
        <v>2.8945408108970952E-4</v>
      </c>
      <c r="T36" s="15"/>
      <c r="U36" s="15">
        <f si="26" t="shared"/>
        <v>0.15217622645525167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2.2500798127061829E-2</v>
      </c>
      <c r="N37" s="15">
        <f si="31" t="shared"/>
        <v>7.9727572629562631E-3</v>
      </c>
      <c r="O37" s="15">
        <f si="31" t="shared"/>
        <v>3.7160795998723E-3</v>
      </c>
      <c r="P37" s="15">
        <f si="31" t="shared"/>
        <v>3.269128445248484E-3</v>
      </c>
      <c r="Q37" s="15">
        <f si="31" t="shared"/>
        <v>2.0951367457699266E-2</v>
      </c>
      <c r="R37" s="15">
        <f si="31" t="shared"/>
        <v>5.5805044163030762E-3</v>
      </c>
      <c r="S37" s="15">
        <f ref="S37" si="38" t="shared">S24/$U$28</f>
        <v>2.3411727146961797E-4</v>
      </c>
      <c r="T37" s="15"/>
      <c r="U37" s="15">
        <f si="26" t="shared"/>
        <v>6.4224752580610833E-2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7.4108758114291799E-3</v>
      </c>
      <c r="N38" s="15">
        <f si="31" t="shared"/>
        <v>8.4707885495370859E-3</v>
      </c>
      <c r="O38" s="15">
        <f si="31" t="shared"/>
        <v>1.4383313823560713E-2</v>
      </c>
      <c r="P38" s="15">
        <f si="31" t="shared"/>
        <v>1.4685537937639674E-3</v>
      </c>
      <c r="Q38" s="15">
        <f si="31" t="shared"/>
        <v>7.7769500904544013E-3</v>
      </c>
      <c r="R38" s="15">
        <f si="31" t="shared"/>
        <v>2.4978184526976692E-2</v>
      </c>
      <c r="S38" s="15">
        <f ref="S38" si="39" t="shared">S25/$U$28</f>
        <v>1.1961264233265937E-3</v>
      </c>
      <c r="T38" s="15"/>
      <c r="U38" s="15">
        <f si="26" t="shared"/>
        <v>6.5684793019048629E-2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1.0599127381079069E-3</v>
      </c>
      <c r="N39" s="15">
        <f si="31" t="shared"/>
        <v>2.2815792274130044E-3</v>
      </c>
      <c r="O39" s="15">
        <f si="31" t="shared"/>
        <v>3.269128445248484E-3</v>
      </c>
      <c r="P39" s="15">
        <f si="31" t="shared"/>
        <v>2.9796743641587745E-4</v>
      </c>
      <c r="Q39" s="15">
        <f si="31" t="shared"/>
        <v>8.5133553261679273E-4</v>
      </c>
      <c r="R39" s="15">
        <f si="31" t="shared"/>
        <v>3.647972757262957E-3</v>
      </c>
      <c r="S39" s="15">
        <f ref="S39" si="40" t="shared">S26/$U$28</f>
        <v>1.9086942641268489E-2</v>
      </c>
      <c r="T39" s="15"/>
      <c r="U39" s="15">
        <f si="26" t="shared"/>
        <v>3.0494838778333512E-2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0.43596041289773335</v>
      </c>
      <c r="N41" s="17">
        <f>N28/$U$28</f>
        <v>0.14818771948494197</v>
      </c>
      <c r="O41" s="17">
        <f>O28/$U$28</f>
        <v>0.1730041502607215</v>
      </c>
      <c r="P41" s="17">
        <f>P28/$U$28</f>
        <v>0.11189528572948815</v>
      </c>
      <c r="Q41" s="17">
        <f ref="Q41:S41" si="47" t="shared">Q28/$U$28</f>
        <v>5.5860380972650836E-2</v>
      </c>
      <c r="R41" s="17">
        <f si="47" t="shared"/>
        <v>5.3280834308821967E-2</v>
      </c>
      <c r="S41" s="17">
        <f si="47" t="shared"/>
        <v>2.1811216345642225E-2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C101"/>
  <sheetViews>
    <sheetView workbookViewId="0">
      <selection activeCell="C1" sqref="C1:C1048576"/>
    </sheetView>
  </sheetViews>
  <sheetFormatPr defaultRowHeight="15" x14ac:dyDescent="0.25"/>
  <sheetData>
    <row r="1" spans="1:2" x14ac:dyDescent="0.25">
      <c r="A1" t="s">
        <v>307</v>
      </c>
      <c r="B1" t="s">
        <v>305</v>
      </c>
    </row>
    <row r="2" spans="1:2" x14ac:dyDescent="0.25">
      <c r="A2">
        <v>1</v>
      </c>
      <c r="B2">
        <v>1</v>
      </c>
    </row>
    <row r="3" spans="1:2" x14ac:dyDescent="0.25">
      <c r="A3">
        <v>1</v>
      </c>
      <c r="B3">
        <v>2</v>
      </c>
    </row>
    <row r="4" spans="1:2" x14ac:dyDescent="0.25">
      <c r="A4">
        <v>1</v>
      </c>
      <c r="B4">
        <v>3</v>
      </c>
    </row>
    <row r="5" spans="1:2" x14ac:dyDescent="0.25">
      <c r="A5">
        <v>1</v>
      </c>
      <c r="B5">
        <v>4</v>
      </c>
    </row>
    <row r="6" spans="1:2" x14ac:dyDescent="0.25">
      <c r="A6">
        <v>1</v>
      </c>
      <c r="B6">
        <v>5</v>
      </c>
    </row>
    <row r="7" spans="1:2" x14ac:dyDescent="0.25">
      <c r="A7">
        <v>1</v>
      </c>
      <c r="B7">
        <v>6</v>
      </c>
    </row>
    <row r="8" spans="1:2" x14ac:dyDescent="0.25">
      <c r="A8">
        <v>1</v>
      </c>
      <c r="B8">
        <v>7</v>
      </c>
    </row>
    <row r="9" spans="1:2" x14ac:dyDescent="0.25">
      <c r="A9">
        <v>1</v>
      </c>
      <c r="B9">
        <v>8</v>
      </c>
    </row>
    <row r="10" spans="1:2" x14ac:dyDescent="0.25">
      <c r="A10">
        <v>1</v>
      </c>
      <c r="B10">
        <v>9</v>
      </c>
    </row>
    <row r="11" spans="1:2" x14ac:dyDescent="0.25">
      <c r="A11">
        <v>1</v>
      </c>
      <c r="B11">
        <v>10</v>
      </c>
    </row>
    <row r="12" spans="1:2" x14ac:dyDescent="0.25">
      <c r="A12">
        <v>2</v>
      </c>
      <c r="B12">
        <v>1</v>
      </c>
    </row>
    <row r="13" spans="1:2" x14ac:dyDescent="0.25">
      <c r="A13">
        <v>2</v>
      </c>
      <c r="B13">
        <v>2</v>
      </c>
    </row>
    <row r="14" spans="1:2" x14ac:dyDescent="0.25">
      <c r="A14">
        <v>2</v>
      </c>
      <c r="B14">
        <v>3</v>
      </c>
    </row>
    <row r="15" spans="1:2" x14ac:dyDescent="0.25">
      <c r="A15">
        <v>2</v>
      </c>
      <c r="B15">
        <v>4</v>
      </c>
    </row>
    <row r="16" spans="1:2" x14ac:dyDescent="0.25">
      <c r="A16">
        <v>2</v>
      </c>
      <c r="B16">
        <v>5</v>
      </c>
    </row>
    <row r="17" spans="1:2" x14ac:dyDescent="0.25">
      <c r="A17">
        <v>2</v>
      </c>
      <c r="B17">
        <v>6</v>
      </c>
    </row>
    <row r="18" spans="1:2" x14ac:dyDescent="0.25">
      <c r="A18">
        <v>2</v>
      </c>
      <c r="B18">
        <v>7</v>
      </c>
    </row>
    <row r="19" spans="1:2" x14ac:dyDescent="0.25">
      <c r="A19">
        <v>2</v>
      </c>
      <c r="B19">
        <v>8</v>
      </c>
    </row>
    <row r="20" spans="1:2" x14ac:dyDescent="0.25">
      <c r="A20">
        <v>2</v>
      </c>
      <c r="B20">
        <v>9</v>
      </c>
    </row>
    <row r="21" spans="1:2" x14ac:dyDescent="0.25">
      <c r="A21">
        <v>2</v>
      </c>
      <c r="B21">
        <v>10</v>
      </c>
    </row>
    <row r="22" spans="1:2" x14ac:dyDescent="0.25">
      <c r="A22">
        <v>3</v>
      </c>
      <c r="B22">
        <v>1</v>
      </c>
    </row>
    <row r="23" spans="1:2" x14ac:dyDescent="0.25">
      <c r="A23">
        <v>3</v>
      </c>
      <c r="B23">
        <v>2</v>
      </c>
    </row>
    <row r="24" spans="1:2" x14ac:dyDescent="0.25">
      <c r="A24">
        <v>3</v>
      </c>
      <c r="B24">
        <v>3</v>
      </c>
    </row>
    <row r="25" spans="1:2" x14ac:dyDescent="0.25">
      <c r="A25">
        <v>3</v>
      </c>
      <c r="B25">
        <v>4</v>
      </c>
    </row>
    <row r="26" spans="1:2" x14ac:dyDescent="0.25">
      <c r="A26">
        <v>3</v>
      </c>
      <c r="B26">
        <v>5</v>
      </c>
    </row>
    <row r="27" spans="1:2" x14ac:dyDescent="0.25">
      <c r="A27">
        <v>3</v>
      </c>
      <c r="B27">
        <v>6</v>
      </c>
    </row>
    <row r="28" spans="1:2" x14ac:dyDescent="0.25">
      <c r="A28">
        <v>3</v>
      </c>
      <c r="B28">
        <v>7</v>
      </c>
    </row>
    <row r="29" spans="1:2" x14ac:dyDescent="0.25">
      <c r="A29">
        <v>3</v>
      </c>
      <c r="B29">
        <v>8</v>
      </c>
    </row>
    <row r="30" spans="1:2" x14ac:dyDescent="0.25">
      <c r="A30">
        <v>3</v>
      </c>
      <c r="B30">
        <v>9</v>
      </c>
    </row>
    <row r="31" spans="1:2" x14ac:dyDescent="0.25">
      <c r="A31">
        <v>3</v>
      </c>
      <c r="B31">
        <v>10</v>
      </c>
    </row>
    <row r="32" spans="1:2" x14ac:dyDescent="0.25">
      <c r="A32">
        <v>4</v>
      </c>
      <c r="B32">
        <v>1</v>
      </c>
    </row>
    <row r="33" spans="1:2" x14ac:dyDescent="0.25">
      <c r="A33">
        <v>4</v>
      </c>
      <c r="B33">
        <v>2</v>
      </c>
    </row>
    <row r="34" spans="1:2" x14ac:dyDescent="0.25">
      <c r="A34">
        <v>4</v>
      </c>
      <c r="B34">
        <v>3</v>
      </c>
    </row>
    <row r="35" spans="1:2" x14ac:dyDescent="0.25">
      <c r="A35">
        <v>4</v>
      </c>
      <c r="B35">
        <v>4</v>
      </c>
    </row>
    <row r="36" spans="1:2" x14ac:dyDescent="0.25">
      <c r="A36">
        <v>4</v>
      </c>
      <c r="B36">
        <v>5</v>
      </c>
    </row>
    <row r="37" spans="1:2" x14ac:dyDescent="0.25">
      <c r="A37">
        <v>4</v>
      </c>
      <c r="B37">
        <v>6</v>
      </c>
    </row>
    <row r="38" spans="1:2" x14ac:dyDescent="0.25">
      <c r="A38">
        <v>4</v>
      </c>
      <c r="B38">
        <v>7</v>
      </c>
    </row>
    <row r="39" spans="1:2" x14ac:dyDescent="0.25">
      <c r="A39">
        <v>4</v>
      </c>
      <c r="B39">
        <v>8</v>
      </c>
    </row>
    <row r="40" spans="1:2" x14ac:dyDescent="0.25">
      <c r="A40">
        <v>4</v>
      </c>
      <c r="B40">
        <v>9</v>
      </c>
    </row>
    <row r="41" spans="1:2" x14ac:dyDescent="0.25">
      <c r="A41">
        <v>4</v>
      </c>
      <c r="B41">
        <v>10</v>
      </c>
    </row>
    <row r="42" spans="1:2" x14ac:dyDescent="0.25">
      <c r="A42">
        <v>5</v>
      </c>
      <c r="B42">
        <v>1</v>
      </c>
    </row>
    <row r="43" spans="1:2" x14ac:dyDescent="0.25">
      <c r="A43">
        <v>5</v>
      </c>
      <c r="B43">
        <v>2</v>
      </c>
    </row>
    <row r="44" spans="1:2" x14ac:dyDescent="0.25">
      <c r="A44">
        <v>5</v>
      </c>
      <c r="B44">
        <v>3</v>
      </c>
    </row>
    <row r="45" spans="1:2" x14ac:dyDescent="0.25">
      <c r="A45">
        <v>5</v>
      </c>
      <c r="B45">
        <v>4</v>
      </c>
    </row>
    <row r="46" spans="1:2" x14ac:dyDescent="0.25">
      <c r="A46">
        <v>5</v>
      </c>
      <c r="B46">
        <v>5</v>
      </c>
    </row>
    <row r="47" spans="1:2" x14ac:dyDescent="0.25">
      <c r="A47">
        <v>5</v>
      </c>
      <c r="B47">
        <v>6</v>
      </c>
    </row>
    <row r="48" spans="1:2" x14ac:dyDescent="0.25">
      <c r="A48">
        <v>5</v>
      </c>
      <c r="B48">
        <v>7</v>
      </c>
    </row>
    <row r="49" spans="1:2" x14ac:dyDescent="0.25">
      <c r="A49">
        <v>5</v>
      </c>
      <c r="B49">
        <v>8</v>
      </c>
    </row>
    <row r="50" spans="1:2" x14ac:dyDescent="0.25">
      <c r="A50">
        <v>5</v>
      </c>
      <c r="B50">
        <v>9</v>
      </c>
    </row>
    <row r="51" spans="1:2" x14ac:dyDescent="0.25">
      <c r="A51">
        <v>5</v>
      </c>
      <c r="B51">
        <v>10</v>
      </c>
    </row>
    <row r="52" spans="1:2" x14ac:dyDescent="0.25">
      <c r="A52">
        <v>6</v>
      </c>
      <c r="B52">
        <v>1</v>
      </c>
    </row>
    <row r="53" spans="1:2" x14ac:dyDescent="0.25">
      <c r="A53">
        <v>6</v>
      </c>
      <c r="B53">
        <v>2</v>
      </c>
    </row>
    <row r="54" spans="1:2" x14ac:dyDescent="0.25">
      <c r="A54">
        <v>6</v>
      </c>
      <c r="B54">
        <v>3</v>
      </c>
    </row>
    <row r="55" spans="1:2" x14ac:dyDescent="0.25">
      <c r="A55">
        <v>6</v>
      </c>
      <c r="B55">
        <v>4</v>
      </c>
    </row>
    <row r="56" spans="1:2" x14ac:dyDescent="0.25">
      <c r="A56">
        <v>6</v>
      </c>
      <c r="B56">
        <v>5</v>
      </c>
    </row>
    <row r="57" spans="1:2" x14ac:dyDescent="0.25">
      <c r="A57">
        <v>6</v>
      </c>
      <c r="B57">
        <v>6</v>
      </c>
    </row>
    <row r="58" spans="1:2" x14ac:dyDescent="0.25">
      <c r="A58">
        <v>6</v>
      </c>
      <c r="B58">
        <v>7</v>
      </c>
    </row>
    <row r="59" spans="1:2" x14ac:dyDescent="0.25">
      <c r="A59">
        <v>6</v>
      </c>
      <c r="B59">
        <v>8</v>
      </c>
    </row>
    <row r="60" spans="1:2" x14ac:dyDescent="0.25">
      <c r="A60">
        <v>6</v>
      </c>
      <c r="B60">
        <v>9</v>
      </c>
    </row>
    <row r="61" spans="1:2" x14ac:dyDescent="0.25">
      <c r="A61">
        <v>6</v>
      </c>
      <c r="B61">
        <v>10</v>
      </c>
    </row>
    <row r="62" spans="1:2" x14ac:dyDescent="0.25">
      <c r="A62">
        <v>7</v>
      </c>
      <c r="B62">
        <v>1</v>
      </c>
    </row>
    <row r="63" spans="1:2" x14ac:dyDescent="0.25">
      <c r="A63">
        <v>7</v>
      </c>
      <c r="B63">
        <v>2</v>
      </c>
    </row>
    <row r="64" spans="1:2" x14ac:dyDescent="0.25">
      <c r="A64">
        <v>7</v>
      </c>
      <c r="B64">
        <v>3</v>
      </c>
    </row>
    <row r="65" spans="1:2" x14ac:dyDescent="0.25">
      <c r="A65">
        <v>7</v>
      </c>
      <c r="B65">
        <v>4</v>
      </c>
    </row>
    <row r="66" spans="1:2" x14ac:dyDescent="0.25">
      <c r="A66">
        <v>7</v>
      </c>
      <c r="B66">
        <v>5</v>
      </c>
    </row>
    <row r="67" spans="1:2" x14ac:dyDescent="0.25">
      <c r="A67">
        <v>7</v>
      </c>
      <c r="B67">
        <v>6</v>
      </c>
    </row>
    <row r="68" spans="1:2" x14ac:dyDescent="0.25">
      <c r="A68">
        <v>7</v>
      </c>
      <c r="B68">
        <v>7</v>
      </c>
    </row>
    <row r="69" spans="1:2" x14ac:dyDescent="0.25">
      <c r="A69">
        <v>7</v>
      </c>
      <c r="B69">
        <v>8</v>
      </c>
    </row>
    <row r="70" spans="1:2" x14ac:dyDescent="0.25">
      <c r="A70">
        <v>7</v>
      </c>
      <c r="B70">
        <v>9</v>
      </c>
    </row>
    <row r="71" spans="1:2" x14ac:dyDescent="0.25">
      <c r="A71">
        <v>7</v>
      </c>
      <c r="B71">
        <v>10</v>
      </c>
    </row>
    <row r="72" spans="1:2" x14ac:dyDescent="0.25">
      <c r="A72">
        <v>8</v>
      </c>
      <c r="B72">
        <v>1</v>
      </c>
    </row>
    <row r="73" spans="1:2" x14ac:dyDescent="0.25">
      <c r="A73">
        <v>8</v>
      </c>
      <c r="B73">
        <v>2</v>
      </c>
    </row>
    <row r="74" spans="1:2" x14ac:dyDescent="0.25">
      <c r="A74">
        <v>8</v>
      </c>
      <c r="B74">
        <v>3</v>
      </c>
    </row>
    <row r="75" spans="1:2" x14ac:dyDescent="0.25">
      <c r="A75">
        <v>8</v>
      </c>
      <c r="B75">
        <v>4</v>
      </c>
    </row>
    <row r="76" spans="1:2" x14ac:dyDescent="0.25">
      <c r="A76">
        <v>8</v>
      </c>
      <c r="B76">
        <v>5</v>
      </c>
    </row>
    <row r="77" spans="1:2" x14ac:dyDescent="0.25">
      <c r="A77">
        <v>8</v>
      </c>
      <c r="B77">
        <v>6</v>
      </c>
    </row>
    <row r="78" spans="1:2" x14ac:dyDescent="0.25">
      <c r="A78">
        <v>8</v>
      </c>
      <c r="B78">
        <v>7</v>
      </c>
    </row>
    <row r="79" spans="1:2" x14ac:dyDescent="0.25">
      <c r="A79">
        <v>8</v>
      </c>
      <c r="B79">
        <v>8</v>
      </c>
    </row>
    <row r="80" spans="1:2" x14ac:dyDescent="0.25">
      <c r="A80">
        <v>8</v>
      </c>
      <c r="B80">
        <v>9</v>
      </c>
    </row>
    <row r="81" spans="1:2" x14ac:dyDescent="0.25">
      <c r="A81">
        <v>8</v>
      </c>
      <c r="B81">
        <v>10</v>
      </c>
    </row>
    <row r="82" spans="1:2" x14ac:dyDescent="0.25">
      <c r="A82">
        <v>9</v>
      </c>
      <c r="B82">
        <v>1</v>
      </c>
    </row>
    <row r="83" spans="1:2" x14ac:dyDescent="0.25">
      <c r="A83">
        <v>9</v>
      </c>
      <c r="B83">
        <v>2</v>
      </c>
    </row>
    <row r="84" spans="1:2" x14ac:dyDescent="0.25">
      <c r="A84">
        <v>9</v>
      </c>
      <c r="B84">
        <v>3</v>
      </c>
    </row>
    <row r="85" spans="1:2" x14ac:dyDescent="0.25">
      <c r="A85">
        <v>9</v>
      </c>
      <c r="B85">
        <v>4</v>
      </c>
    </row>
    <row r="86" spans="1:2" x14ac:dyDescent="0.25">
      <c r="A86">
        <v>9</v>
      </c>
      <c r="B86">
        <v>5</v>
      </c>
    </row>
    <row r="87" spans="1:2" x14ac:dyDescent="0.25">
      <c r="A87">
        <v>9</v>
      </c>
      <c r="B87">
        <v>6</v>
      </c>
    </row>
    <row r="88" spans="1:2" x14ac:dyDescent="0.25">
      <c r="A88">
        <v>9</v>
      </c>
      <c r="B88">
        <v>7</v>
      </c>
    </row>
    <row r="89" spans="1:2" x14ac:dyDescent="0.25">
      <c r="A89">
        <v>9</v>
      </c>
      <c r="B89">
        <v>8</v>
      </c>
    </row>
    <row r="90" spans="1:2" x14ac:dyDescent="0.25">
      <c r="A90">
        <v>9</v>
      </c>
      <c r="B90">
        <v>9</v>
      </c>
    </row>
    <row r="91" spans="1:2" x14ac:dyDescent="0.25">
      <c r="A91">
        <v>9</v>
      </c>
      <c r="B91">
        <v>10</v>
      </c>
    </row>
    <row r="92" spans="1:2" x14ac:dyDescent="0.25">
      <c r="A92">
        <v>10</v>
      </c>
      <c r="B92">
        <v>1</v>
      </c>
    </row>
    <row r="93" spans="1:2" x14ac:dyDescent="0.25">
      <c r="A93">
        <v>10</v>
      </c>
      <c r="B93">
        <v>2</v>
      </c>
    </row>
    <row r="94" spans="1:2" x14ac:dyDescent="0.25">
      <c r="A94">
        <v>10</v>
      </c>
      <c r="B94">
        <v>3</v>
      </c>
    </row>
    <row r="95" spans="1:2" x14ac:dyDescent="0.25">
      <c r="A95">
        <v>10</v>
      </c>
      <c r="B95">
        <v>4</v>
      </c>
    </row>
    <row r="96" spans="1:2" x14ac:dyDescent="0.25">
      <c r="A96">
        <v>10</v>
      </c>
      <c r="B96">
        <v>5</v>
      </c>
    </row>
    <row r="97" spans="1:2" x14ac:dyDescent="0.25">
      <c r="A97">
        <v>10</v>
      </c>
      <c r="B97">
        <v>6</v>
      </c>
    </row>
    <row r="98" spans="1:2" x14ac:dyDescent="0.25">
      <c r="A98">
        <v>10</v>
      </c>
      <c r="B98">
        <v>7</v>
      </c>
    </row>
    <row r="99" spans="1:2" x14ac:dyDescent="0.25">
      <c r="A99">
        <v>10</v>
      </c>
      <c r="B99">
        <v>8</v>
      </c>
    </row>
    <row r="100" spans="1:2" x14ac:dyDescent="0.25">
      <c r="A100">
        <v>10</v>
      </c>
      <c r="B100">
        <v>9</v>
      </c>
    </row>
    <row r="101" spans="1:2" x14ac:dyDescent="0.25">
      <c r="A101">
        <v>10</v>
      </c>
      <c r="B101">
        <v>10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101"/>
  <sheetViews>
    <sheetView workbookViewId="0">
      <selection sqref="A1:C101"/>
    </sheetView>
  </sheetViews>
  <sheetFormatPr defaultRowHeight="15" x14ac:dyDescent="0.25"/>
  <sheetData>
    <row r="1" spans="1:3" x14ac:dyDescent="0.25">
      <c r="A1" t="s">
        <v>304</v>
      </c>
      <c r="B1" t="s">
        <v>305</v>
      </c>
      <c r="C1" t="s">
        <v>306</v>
      </c>
    </row>
    <row r="2" spans="1:3" x14ac:dyDescent="0.25">
      <c r="A2">
        <v>1</v>
      </c>
      <c r="B2">
        <v>1</v>
      </c>
      <c r="C2">
        <v>181419.54761886701</v>
      </c>
    </row>
    <row r="3" spans="1:3" x14ac:dyDescent="0.25">
      <c r="A3">
        <v>2</v>
      </c>
      <c r="B3">
        <v>1</v>
      </c>
      <c r="C3">
        <v>9645.8333333236897</v>
      </c>
    </row>
    <row r="4" spans="1:3" x14ac:dyDescent="0.25">
      <c r="A4">
        <v>3</v>
      </c>
      <c r="B4">
        <v>1</v>
      </c>
      <c r="C4">
        <v>1875.4999999981201</v>
      </c>
    </row>
    <row r="5" spans="1:3" x14ac:dyDescent="0.25">
      <c r="A5">
        <v>4</v>
      </c>
      <c r="B5">
        <v>1</v>
      </c>
      <c r="C5">
        <v>9708.1190476093398</v>
      </c>
    </row>
    <row r="6" spans="1:3" x14ac:dyDescent="0.25">
      <c r="A6">
        <v>5</v>
      </c>
      <c r="B6">
        <v>1</v>
      </c>
      <c r="C6">
        <v>6045.4523809463399</v>
      </c>
    </row>
    <row r="7" spans="1:3" x14ac:dyDescent="0.25">
      <c r="A7">
        <v>6</v>
      </c>
      <c r="B7">
        <v>1</v>
      </c>
      <c r="C7">
        <v>1723.6666666649401</v>
      </c>
    </row>
    <row r="8" spans="1:3" x14ac:dyDescent="0.25">
      <c r="A8">
        <v>7</v>
      </c>
      <c r="B8">
        <v>1</v>
      </c>
      <c r="C8">
        <v>309.642857142548</v>
      </c>
    </row>
    <row r="9" spans="1:3" x14ac:dyDescent="0.25">
      <c r="A9">
        <v>8</v>
      </c>
      <c r="B9">
        <v>1</v>
      </c>
      <c r="C9">
        <v>1116.7142857131701</v>
      </c>
    </row>
    <row r="10" spans="1:3" x14ac:dyDescent="0.25">
      <c r="A10">
        <v>9</v>
      </c>
      <c r="B10">
        <v>1</v>
      </c>
      <c r="C10">
        <v>248.071428571181</v>
      </c>
    </row>
    <row r="11" spans="1:3" x14ac:dyDescent="0.25">
      <c r="A11">
        <v>10</v>
      </c>
      <c r="B11">
        <v>1</v>
      </c>
      <c r="C11">
        <v>1240.95238095114</v>
      </c>
    </row>
    <row r="12" spans="1:3" x14ac:dyDescent="0.25">
      <c r="A12">
        <v>1</v>
      </c>
      <c r="B12">
        <v>2</v>
      </c>
      <c r="C12">
        <v>9867.1428571329907</v>
      </c>
    </row>
    <row r="13" spans="1:3" x14ac:dyDescent="0.25">
      <c r="A13">
        <v>2</v>
      </c>
      <c r="B13">
        <v>2</v>
      </c>
      <c r="C13">
        <v>69700.166666597099</v>
      </c>
    </row>
    <row r="14" spans="1:3" x14ac:dyDescent="0.25">
      <c r="A14">
        <v>3</v>
      </c>
      <c r="B14">
        <v>2</v>
      </c>
      <c r="C14">
        <v>946.83333333238704</v>
      </c>
    </row>
    <row r="15" spans="1:3" x14ac:dyDescent="0.25">
      <c r="A15">
        <v>4</v>
      </c>
      <c r="B15">
        <v>2</v>
      </c>
      <c r="C15">
        <v>811.19047618966499</v>
      </c>
    </row>
    <row r="16" spans="1:3" x14ac:dyDescent="0.25">
      <c r="A16">
        <v>5</v>
      </c>
      <c r="B16">
        <v>2</v>
      </c>
      <c r="C16">
        <v>1531.61904761752</v>
      </c>
    </row>
    <row r="17" spans="1:3" x14ac:dyDescent="0.25">
      <c r="A17">
        <v>6</v>
      </c>
      <c r="B17">
        <v>2</v>
      </c>
      <c r="C17">
        <v>1975.30952380755</v>
      </c>
    </row>
    <row r="18" spans="1:3" x14ac:dyDescent="0.25">
      <c r="A18">
        <v>7</v>
      </c>
      <c r="B18">
        <v>2</v>
      </c>
      <c r="C18">
        <v>458.80952380906501</v>
      </c>
    </row>
    <row r="19" spans="1:3" x14ac:dyDescent="0.25">
      <c r="A19">
        <v>8</v>
      </c>
      <c r="B19">
        <v>2</v>
      </c>
      <c r="C19">
        <v>2063.11904761698</v>
      </c>
    </row>
    <row r="20" spans="1:3" x14ac:dyDescent="0.25">
      <c r="A20">
        <v>9</v>
      </c>
      <c r="B20">
        <v>2</v>
      </c>
      <c r="C20">
        <v>122.690476190354</v>
      </c>
    </row>
    <row r="21" spans="1:3" x14ac:dyDescent="0.25">
      <c r="A21">
        <v>10</v>
      </c>
      <c r="B21">
        <v>2</v>
      </c>
      <c r="C21">
        <v>180.49999999982001</v>
      </c>
    </row>
    <row r="22" spans="1:3" x14ac:dyDescent="0.25">
      <c r="A22">
        <v>1</v>
      </c>
      <c r="B22">
        <v>3</v>
      </c>
      <c r="C22">
        <v>1893.0238095219199</v>
      </c>
    </row>
    <row r="23" spans="1:3" x14ac:dyDescent="0.25">
      <c r="A23">
        <v>2</v>
      </c>
      <c r="B23">
        <v>3</v>
      </c>
      <c r="C23">
        <v>951.30952380857298</v>
      </c>
    </row>
    <row r="24" spans="1:3" x14ac:dyDescent="0.25">
      <c r="A24">
        <v>3</v>
      </c>
      <c r="B24">
        <v>3</v>
      </c>
      <c r="C24">
        <v>81391.738095156994</v>
      </c>
    </row>
    <row r="25" spans="1:3" x14ac:dyDescent="0.25">
      <c r="A25">
        <v>4</v>
      </c>
      <c r="B25">
        <v>3</v>
      </c>
      <c r="C25">
        <v>258.80952380926499</v>
      </c>
    </row>
    <row r="26" spans="1:3" x14ac:dyDescent="0.25">
      <c r="A26">
        <v>5</v>
      </c>
      <c r="B26">
        <v>3</v>
      </c>
      <c r="C26">
        <v>990.69047618948605</v>
      </c>
    </row>
    <row r="27" spans="1:3" x14ac:dyDescent="0.25">
      <c r="A27">
        <v>6</v>
      </c>
      <c r="B27">
        <v>3</v>
      </c>
      <c r="C27">
        <v>4436.6428571384204</v>
      </c>
    </row>
    <row r="28" spans="1:3" x14ac:dyDescent="0.25">
      <c r="A28">
        <v>7</v>
      </c>
      <c r="B28">
        <v>3</v>
      </c>
      <c r="C28">
        <v>901.69047618957404</v>
      </c>
    </row>
    <row r="29" spans="1:3" x14ac:dyDescent="0.25">
      <c r="A29">
        <v>8</v>
      </c>
      <c r="B29">
        <v>3</v>
      </c>
      <c r="C29">
        <v>260.71428571402498</v>
      </c>
    </row>
    <row r="30" spans="1:3" x14ac:dyDescent="0.25">
      <c r="A30">
        <v>9</v>
      </c>
      <c r="B30">
        <v>3</v>
      </c>
      <c r="C30">
        <v>4592.9285714239804</v>
      </c>
    </row>
    <row r="31" spans="1:3" x14ac:dyDescent="0.25">
      <c r="A31">
        <v>10</v>
      </c>
      <c r="B31">
        <v>3</v>
      </c>
      <c r="C31">
        <v>725.92857142784601</v>
      </c>
    </row>
    <row r="32" spans="1:3" x14ac:dyDescent="0.25">
      <c r="A32">
        <v>1</v>
      </c>
      <c r="B32">
        <v>4</v>
      </c>
      <c r="C32">
        <v>10226.1904761802</v>
      </c>
    </row>
    <row r="33" spans="1:3" x14ac:dyDescent="0.25">
      <c r="A33">
        <v>2</v>
      </c>
      <c r="B33">
        <v>4</v>
      </c>
      <c r="C33">
        <v>858.52380952295096</v>
      </c>
    </row>
    <row r="34" spans="1:3" x14ac:dyDescent="0.25">
      <c r="A34">
        <v>3</v>
      </c>
      <c r="B34">
        <v>4</v>
      </c>
      <c r="C34">
        <v>270.57142857115798</v>
      </c>
    </row>
    <row r="35" spans="1:3" x14ac:dyDescent="0.25">
      <c r="A35">
        <v>4</v>
      </c>
      <c r="B35">
        <v>4</v>
      </c>
      <c r="C35">
        <v>50459.833333283001</v>
      </c>
    </row>
    <row r="36" spans="1:3" x14ac:dyDescent="0.25">
      <c r="A36">
        <v>5</v>
      </c>
      <c r="B36">
        <v>4</v>
      </c>
      <c r="C36">
        <v>1415.7142857128699</v>
      </c>
    </row>
    <row r="37" spans="1:3" x14ac:dyDescent="0.25">
      <c r="A37">
        <v>6</v>
      </c>
      <c r="B37">
        <v>4</v>
      </c>
      <c r="C37">
        <v>484.57142857094402</v>
      </c>
    </row>
    <row r="38" spans="1:3" x14ac:dyDescent="0.25">
      <c r="A38">
        <v>7</v>
      </c>
      <c r="B38">
        <v>4</v>
      </c>
      <c r="C38">
        <v>114.166666666553</v>
      </c>
    </row>
    <row r="39" spans="1:3" x14ac:dyDescent="0.25">
      <c r="A39">
        <v>8</v>
      </c>
      <c r="B39">
        <v>4</v>
      </c>
      <c r="C39">
        <v>379.59523809485898</v>
      </c>
    </row>
    <row r="40" spans="1:3" x14ac:dyDescent="0.25">
      <c r="A40">
        <v>9</v>
      </c>
      <c r="B40">
        <v>4</v>
      </c>
      <c r="C40">
        <v>43.833333333289502</v>
      </c>
    </row>
    <row r="41" spans="1:3" x14ac:dyDescent="0.25">
      <c r="A41">
        <v>10</v>
      </c>
      <c r="B41">
        <v>4</v>
      </c>
      <c r="C41">
        <v>746.09523809449195</v>
      </c>
    </row>
    <row r="42" spans="1:3" x14ac:dyDescent="0.25">
      <c r="A42">
        <v>1</v>
      </c>
      <c r="B42">
        <v>5</v>
      </c>
      <c r="C42">
        <v>6545.1190476125003</v>
      </c>
    </row>
    <row r="43" spans="1:3" x14ac:dyDescent="0.25">
      <c r="A43">
        <v>2</v>
      </c>
      <c r="B43">
        <v>5</v>
      </c>
      <c r="C43">
        <v>1586.9285714269799</v>
      </c>
    </row>
    <row r="44" spans="1:3" x14ac:dyDescent="0.25">
      <c r="A44">
        <v>3</v>
      </c>
      <c r="B44">
        <v>5</v>
      </c>
      <c r="C44">
        <v>1005.88095237995</v>
      </c>
    </row>
    <row r="45" spans="1:3" x14ac:dyDescent="0.25">
      <c r="A45">
        <v>4</v>
      </c>
      <c r="B45">
        <v>5</v>
      </c>
      <c r="C45">
        <v>1411.2619047604901</v>
      </c>
    </row>
    <row r="46" spans="1:3" x14ac:dyDescent="0.25">
      <c r="A46">
        <v>5</v>
      </c>
      <c r="B46">
        <v>5</v>
      </c>
      <c r="C46">
        <v>17866.6904761726</v>
      </c>
    </row>
    <row r="47" spans="1:3" x14ac:dyDescent="0.25">
      <c r="A47">
        <v>6</v>
      </c>
      <c r="B47">
        <v>5</v>
      </c>
      <c r="C47">
        <v>1519.61904761753</v>
      </c>
    </row>
    <row r="48" spans="1:3" x14ac:dyDescent="0.25">
      <c r="A48">
        <v>7</v>
      </c>
      <c r="B48">
        <v>5</v>
      </c>
      <c r="C48">
        <v>132.99999999986699</v>
      </c>
    </row>
    <row r="49" spans="1:3" x14ac:dyDescent="0.25">
      <c r="A49">
        <v>8</v>
      </c>
      <c r="B49">
        <v>5</v>
      </c>
      <c r="C49">
        <v>134.76190476177001</v>
      </c>
    </row>
    <row r="50" spans="1:3" x14ac:dyDescent="0.25">
      <c r="A50">
        <v>9</v>
      </c>
      <c r="B50">
        <v>5</v>
      </c>
      <c r="C50">
        <v>59.571428571368997</v>
      </c>
    </row>
    <row r="51" spans="1:3" x14ac:dyDescent="0.25">
      <c r="A51">
        <v>10</v>
      </c>
      <c r="B51">
        <v>5</v>
      </c>
      <c r="C51">
        <v>740.54761904687905</v>
      </c>
    </row>
    <row r="52" spans="1:3" x14ac:dyDescent="0.25">
      <c r="A52">
        <v>1</v>
      </c>
      <c r="B52">
        <v>6</v>
      </c>
      <c r="C52">
        <v>1792.83333333154</v>
      </c>
    </row>
    <row r="53" spans="1:3" x14ac:dyDescent="0.25">
      <c r="A53">
        <v>2</v>
      </c>
      <c r="B53">
        <v>6</v>
      </c>
      <c r="C53">
        <v>2078.0952380931599</v>
      </c>
    </row>
    <row r="54" spans="1:3" x14ac:dyDescent="0.25">
      <c r="A54">
        <v>3</v>
      </c>
      <c r="B54">
        <v>6</v>
      </c>
      <c r="C54">
        <v>4646.8333333286901</v>
      </c>
    </row>
    <row r="55" spans="1:3" x14ac:dyDescent="0.25">
      <c r="A55">
        <v>4</v>
      </c>
      <c r="B55">
        <v>6</v>
      </c>
      <c r="C55">
        <v>489.23809523760599</v>
      </c>
    </row>
    <row r="56" spans="1:3" x14ac:dyDescent="0.25">
      <c r="A56">
        <v>5</v>
      </c>
      <c r="B56">
        <v>6</v>
      </c>
      <c r="C56">
        <v>1526.4761904746599</v>
      </c>
    </row>
    <row r="57" spans="1:3" x14ac:dyDescent="0.25">
      <c r="A57">
        <v>6</v>
      </c>
      <c r="B57">
        <v>6</v>
      </c>
      <c r="C57">
        <v>16971.333333316401</v>
      </c>
    </row>
    <row r="58" spans="1:3" x14ac:dyDescent="0.25">
      <c r="A58">
        <v>7</v>
      </c>
      <c r="B58">
        <v>6</v>
      </c>
      <c r="C58">
        <v>615.30952380890903</v>
      </c>
    </row>
    <row r="59" spans="1:3" x14ac:dyDescent="0.25">
      <c r="A59">
        <v>8</v>
      </c>
      <c r="B59">
        <v>6</v>
      </c>
      <c r="C59">
        <v>481.83333333285202</v>
      </c>
    </row>
    <row r="60" spans="1:3" x14ac:dyDescent="0.25">
      <c r="A60">
        <v>9</v>
      </c>
      <c r="B60">
        <v>6</v>
      </c>
      <c r="C60">
        <v>500.33333333283298</v>
      </c>
    </row>
    <row r="61" spans="1:3" x14ac:dyDescent="0.25">
      <c r="A61">
        <v>10</v>
      </c>
      <c r="B61">
        <v>6</v>
      </c>
      <c r="C61">
        <v>973.95238095140701</v>
      </c>
    </row>
    <row r="62" spans="1:3" x14ac:dyDescent="0.25">
      <c r="A62">
        <v>1</v>
      </c>
      <c r="B62">
        <v>7</v>
      </c>
      <c r="C62">
        <v>315.54761904730299</v>
      </c>
    </row>
    <row r="63" spans="1:3" x14ac:dyDescent="0.25">
      <c r="A63">
        <v>2</v>
      </c>
      <c r="B63">
        <v>7</v>
      </c>
      <c r="C63">
        <v>479.21428571380699</v>
      </c>
    </row>
    <row r="64" spans="1:3" x14ac:dyDescent="0.25">
      <c r="A64">
        <v>3</v>
      </c>
      <c r="B64">
        <v>7</v>
      </c>
      <c r="C64">
        <v>949.19047618952698</v>
      </c>
    </row>
    <row r="65" spans="1:3" x14ac:dyDescent="0.25">
      <c r="A65">
        <v>4</v>
      </c>
      <c r="B65">
        <v>7</v>
      </c>
      <c r="C65">
        <v>112.976190476078</v>
      </c>
    </row>
    <row r="66" spans="1:3" x14ac:dyDescent="0.25">
      <c r="A66">
        <v>5</v>
      </c>
      <c r="B66">
        <v>7</v>
      </c>
      <c r="C66">
        <v>134.57142857129401</v>
      </c>
    </row>
    <row r="67" spans="1:3" x14ac:dyDescent="0.25">
      <c r="A67">
        <v>6</v>
      </c>
      <c r="B67">
        <v>7</v>
      </c>
      <c r="C67">
        <v>612.64285714224502</v>
      </c>
    </row>
    <row r="68" spans="1:3" x14ac:dyDescent="0.25">
      <c r="A68">
        <v>7</v>
      </c>
      <c r="B68">
        <v>7</v>
      </c>
      <c r="C68">
        <v>8076.47619046811</v>
      </c>
    </row>
    <row r="69" spans="1:3" x14ac:dyDescent="0.25">
      <c r="A69">
        <v>8</v>
      </c>
      <c r="B69">
        <v>7</v>
      </c>
      <c r="C69">
        <v>1201.6666666654701</v>
      </c>
    </row>
    <row r="70" spans="1:3" x14ac:dyDescent="0.25">
      <c r="A70">
        <v>9</v>
      </c>
      <c r="B70">
        <v>7</v>
      </c>
      <c r="C70">
        <v>372.14285714248501</v>
      </c>
    </row>
    <row r="71" spans="1:3" x14ac:dyDescent="0.25">
      <c r="A71">
        <v>10</v>
      </c>
      <c r="B71">
        <v>7</v>
      </c>
      <c r="C71">
        <v>26.190476190449999</v>
      </c>
    </row>
    <row r="72" spans="1:3" x14ac:dyDescent="0.25">
      <c r="A72">
        <v>1</v>
      </c>
      <c r="B72">
        <v>8</v>
      </c>
      <c r="C72">
        <v>1180.8571428559601</v>
      </c>
    </row>
    <row r="73" spans="1:3" x14ac:dyDescent="0.25">
      <c r="A73">
        <v>2</v>
      </c>
      <c r="B73">
        <v>8</v>
      </c>
      <c r="C73">
        <v>2111.76190475979</v>
      </c>
    </row>
    <row r="74" spans="1:3" x14ac:dyDescent="0.25">
      <c r="A74">
        <v>3</v>
      </c>
      <c r="B74">
        <v>8</v>
      </c>
      <c r="C74">
        <v>250.69047619022601</v>
      </c>
    </row>
    <row r="75" spans="1:3" x14ac:dyDescent="0.25">
      <c r="A75">
        <v>4</v>
      </c>
      <c r="B75">
        <v>8</v>
      </c>
      <c r="C75">
        <v>398.738095237697</v>
      </c>
    </row>
    <row r="76" spans="1:3" x14ac:dyDescent="0.25">
      <c r="A76">
        <v>5</v>
      </c>
      <c r="B76">
        <v>8</v>
      </c>
      <c r="C76">
        <v>134.57142857129401</v>
      </c>
    </row>
    <row r="77" spans="1:3" x14ac:dyDescent="0.25">
      <c r="A77">
        <v>6</v>
      </c>
      <c r="B77">
        <v>8</v>
      </c>
      <c r="C77">
        <v>466.23809523762901</v>
      </c>
    </row>
    <row r="78" spans="1:3" x14ac:dyDescent="0.25">
      <c r="A78">
        <v>7</v>
      </c>
      <c r="B78">
        <v>8</v>
      </c>
      <c r="C78">
        <v>1190.1904761892899</v>
      </c>
    </row>
    <row r="79" spans="1:3" x14ac:dyDescent="0.25">
      <c r="A79">
        <v>8</v>
      </c>
      <c r="B79">
        <v>8</v>
      </c>
      <c r="C79">
        <v>3576.4523809488001</v>
      </c>
    </row>
    <row r="80" spans="1:3" x14ac:dyDescent="0.25">
      <c r="A80">
        <v>9</v>
      </c>
      <c r="B80">
        <v>8</v>
      </c>
      <c r="C80">
        <v>63.642857142793503</v>
      </c>
    </row>
    <row r="81" spans="1:3" x14ac:dyDescent="0.25">
      <c r="A81">
        <v>10</v>
      </c>
      <c r="B81">
        <v>8</v>
      </c>
      <c r="C81">
        <v>75.452380952305504</v>
      </c>
    </row>
    <row r="82" spans="1:3" x14ac:dyDescent="0.25">
      <c r="A82">
        <v>1</v>
      </c>
      <c r="B82">
        <v>9</v>
      </c>
      <c r="C82">
        <v>259.88095238069297</v>
      </c>
    </row>
    <row r="83" spans="1:3" x14ac:dyDescent="0.25">
      <c r="A83">
        <v>2</v>
      </c>
      <c r="B83">
        <v>9</v>
      </c>
      <c r="C83">
        <v>127.95238095225299</v>
      </c>
    </row>
    <row r="84" spans="1:3" x14ac:dyDescent="0.25">
      <c r="A84">
        <v>3</v>
      </c>
      <c r="B84">
        <v>9</v>
      </c>
      <c r="C84">
        <v>4961.8333333283699</v>
      </c>
    </row>
    <row r="85" spans="1:3" x14ac:dyDescent="0.25">
      <c r="A85">
        <v>4</v>
      </c>
      <c r="B85">
        <v>9</v>
      </c>
      <c r="C85">
        <v>46.309523809477497</v>
      </c>
    </row>
    <row r="86" spans="1:3" x14ac:dyDescent="0.25">
      <c r="A86">
        <v>5</v>
      </c>
      <c r="B86">
        <v>9</v>
      </c>
      <c r="C86">
        <v>61.214285714224502</v>
      </c>
    </row>
    <row r="87" spans="1:3" x14ac:dyDescent="0.25">
      <c r="A87">
        <v>6</v>
      </c>
      <c r="B87">
        <v>9</v>
      </c>
      <c r="C87">
        <v>507.73809523758803</v>
      </c>
    </row>
    <row r="88" spans="1:3" x14ac:dyDescent="0.25">
      <c r="A88">
        <v>7</v>
      </c>
      <c r="B88">
        <v>9</v>
      </c>
      <c r="C88">
        <v>384.857142856758</v>
      </c>
    </row>
    <row r="89" spans="1:3" x14ac:dyDescent="0.25">
      <c r="A89">
        <v>8</v>
      </c>
      <c r="B89">
        <v>9</v>
      </c>
      <c r="C89">
        <v>64.595238095173499</v>
      </c>
    </row>
    <row r="90" spans="1:3" x14ac:dyDescent="0.25">
      <c r="A90">
        <v>9</v>
      </c>
      <c r="B90">
        <v>9</v>
      </c>
      <c r="C90">
        <v>5337.5238095184704</v>
      </c>
    </row>
    <row r="91" spans="1:3" x14ac:dyDescent="0.25">
      <c r="A91">
        <v>10</v>
      </c>
      <c r="B91">
        <v>9</v>
      </c>
      <c r="C91">
        <v>396.88095238055598</v>
      </c>
    </row>
    <row r="92" spans="1:3" x14ac:dyDescent="0.25">
      <c r="A92">
        <v>1</v>
      </c>
      <c r="B92">
        <v>10</v>
      </c>
      <c r="C92">
        <v>1374.8095238081501</v>
      </c>
    </row>
    <row r="93" spans="1:3" x14ac:dyDescent="0.25">
      <c r="A93">
        <v>2</v>
      </c>
      <c r="B93">
        <v>10</v>
      </c>
      <c r="C93">
        <v>199.61904761884799</v>
      </c>
    </row>
    <row r="94" spans="1:3" x14ac:dyDescent="0.25">
      <c r="A94">
        <v>3</v>
      </c>
      <c r="B94">
        <v>10</v>
      </c>
      <c r="C94">
        <v>812.28571428490204</v>
      </c>
    </row>
    <row r="95" spans="1:3" x14ac:dyDescent="0.25">
      <c r="A95">
        <v>4</v>
      </c>
      <c r="B95">
        <v>10</v>
      </c>
      <c r="C95">
        <v>796.76190476110798</v>
      </c>
    </row>
    <row r="96" spans="1:3" x14ac:dyDescent="0.25">
      <c r="A96">
        <v>5</v>
      </c>
      <c r="B96">
        <v>10</v>
      </c>
      <c r="C96">
        <v>784.83333333254905</v>
      </c>
    </row>
    <row r="97" spans="1:3" x14ac:dyDescent="0.25">
      <c r="A97">
        <v>6</v>
      </c>
      <c r="B97">
        <v>10</v>
      </c>
      <c r="C97">
        <v>1014.99999999899</v>
      </c>
    </row>
    <row r="98" spans="1:3" x14ac:dyDescent="0.25">
      <c r="A98">
        <v>7</v>
      </c>
      <c r="B98">
        <v>10</v>
      </c>
      <c r="C98">
        <v>23.476190476167002</v>
      </c>
    </row>
    <row r="99" spans="1:3" x14ac:dyDescent="0.25">
      <c r="A99">
        <v>8</v>
      </c>
      <c r="B99">
        <v>10</v>
      </c>
      <c r="C99">
        <v>70.761904761834003</v>
      </c>
    </row>
    <row r="100" spans="1:3" x14ac:dyDescent="0.25">
      <c r="A100">
        <v>9</v>
      </c>
      <c r="B100">
        <v>10</v>
      </c>
      <c r="C100">
        <v>397.76190476150703</v>
      </c>
    </row>
    <row r="101" spans="1:3" x14ac:dyDescent="0.25">
      <c r="A101">
        <v>10</v>
      </c>
      <c r="B101">
        <v>10</v>
      </c>
      <c r="C101">
        <v>4067.9285714245002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722"/>
  <sheetViews>
    <sheetView topLeftCell="A202" workbookViewId="0">
      <selection activeCell="A8" sqref="A8:K719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232</v>
      </c>
      <c r="C8" t="s">
        <v>233</v>
      </c>
      <c r="D8" t="s">
        <v>234</v>
      </c>
      <c r="E8" t="s">
        <v>335</v>
      </c>
      <c r="F8" t="s">
        <v>336</v>
      </c>
      <c r="G8" t="s">
        <v>337</v>
      </c>
      <c r="H8" t="s">
        <v>338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0.48607638888888888</v>
      </c>
      <c r="G9" t="s">
        <v>239</v>
      </c>
      <c r="H9">
        <v>24</v>
      </c>
      <c r="I9" t="s">
        <v>339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</row>
    <row r="12" spans="1:11" x14ac:dyDescent="0.25">
      <c r="B12">
        <v>2</v>
      </c>
      <c r="C12" t="s">
        <v>41</v>
      </c>
      <c r="D12" t="s">
        <v>242</v>
      </c>
      <c r="E12">
        <v>13.7073027249</v>
      </c>
    </row>
    <row r="13" spans="1:11" x14ac:dyDescent="0.25">
      <c r="B13">
        <v>3</v>
      </c>
      <c r="C13" t="s">
        <v>42</v>
      </c>
      <c r="D13" t="s">
        <v>242</v>
      </c>
      <c r="E13" s="243">
        <v>7.0220312730799997E-2</v>
      </c>
    </row>
    <row r="14" spans="1:11" x14ac:dyDescent="0.25">
      <c r="B14">
        <v>4</v>
      </c>
      <c r="C14" t="s">
        <v>43</v>
      </c>
      <c r="D14" t="s">
        <v>242</v>
      </c>
      <c r="E14" s="243">
        <v>-3.3904088920700001E-2</v>
      </c>
    </row>
    <row r="15" spans="1:11" x14ac:dyDescent="0.25">
      <c r="B15">
        <v>5</v>
      </c>
      <c r="C15" t="s">
        <v>44</v>
      </c>
      <c r="D15" t="s">
        <v>242</v>
      </c>
      <c r="E15">
        <v>0.14394271350499999</v>
      </c>
    </row>
    <row r="16" spans="1:11" x14ac:dyDescent="0.25">
      <c r="B16">
        <v>6</v>
      </c>
      <c r="C16" t="s">
        <v>45</v>
      </c>
      <c r="D16" t="s">
        <v>242</v>
      </c>
      <c r="E16" s="243">
        <v>0.36721258210199997</v>
      </c>
    </row>
    <row r="17" spans="2:6" x14ac:dyDescent="0.25">
      <c r="B17">
        <v>7</v>
      </c>
      <c r="C17" t="s">
        <v>46</v>
      </c>
      <c r="D17" t="s">
        <v>242</v>
      </c>
      <c r="E17">
        <v>-6.4918460355300001</v>
      </c>
    </row>
    <row r="18" spans="2:6" x14ac:dyDescent="0.25">
      <c r="B18">
        <v>8</v>
      </c>
      <c r="C18" t="s">
        <v>47</v>
      </c>
      <c r="D18" t="s">
        <v>242</v>
      </c>
      <c r="E18" s="243">
        <v>1.39963442933</v>
      </c>
    </row>
    <row r="19" spans="2:6" x14ac:dyDescent="0.25">
      <c r="B19">
        <v>9</v>
      </c>
      <c r="C19" t="s">
        <v>48</v>
      </c>
      <c r="D19" t="s">
        <v>242</v>
      </c>
      <c r="E19" s="243">
        <v>0.66317866364400002</v>
      </c>
    </row>
    <row r="20" spans="2:6" x14ac:dyDescent="0.25">
      <c r="B20">
        <v>10</v>
      </c>
      <c r="C20" t="s">
        <v>49</v>
      </c>
      <c r="D20" t="s">
        <v>242</v>
      </c>
      <c r="E20">
        <v>-0.38108886824999999</v>
      </c>
    </row>
    <row r="21" spans="2:6" x14ac:dyDescent="0.25">
      <c r="B21">
        <v>11</v>
      </c>
      <c r="C21" t="s">
        <v>50</v>
      </c>
      <c r="D21" t="s">
        <v>242</v>
      </c>
      <c r="E21">
        <v>-0.73323034645999996</v>
      </c>
    </row>
    <row r="22" spans="2:6" x14ac:dyDescent="0.25">
      <c r="B22">
        <v>12</v>
      </c>
      <c r="C22" t="s">
        <v>51</v>
      </c>
      <c r="D22" t="s">
        <v>242</v>
      </c>
      <c r="E22">
        <v>-0.913115187153</v>
      </c>
    </row>
    <row r="23" spans="2:6" x14ac:dyDescent="0.25">
      <c r="B23">
        <v>13</v>
      </c>
      <c r="C23" t="s">
        <v>52</v>
      </c>
      <c r="D23" t="s">
        <v>242</v>
      </c>
      <c r="E23">
        <v>-0.56168035354400003</v>
      </c>
    </row>
    <row r="24" spans="2:6" x14ac:dyDescent="0.25">
      <c r="B24">
        <v>14</v>
      </c>
      <c r="C24" t="s">
        <v>53</v>
      </c>
      <c r="D24" t="s">
        <v>242</v>
      </c>
      <c r="E24">
        <v>-0.30132725845199998</v>
      </c>
    </row>
    <row r="25" spans="2:6" x14ac:dyDescent="0.25">
      <c r="B25">
        <v>15</v>
      </c>
      <c r="C25" t="s">
        <v>54</v>
      </c>
      <c r="D25" t="s">
        <v>242</v>
      </c>
      <c r="E25">
        <v>1.97893419319</v>
      </c>
    </row>
    <row r="26" spans="2:6" x14ac:dyDescent="0.25">
      <c r="B26">
        <v>16</v>
      </c>
      <c r="C26" t="s">
        <v>55</v>
      </c>
      <c r="D26" t="s">
        <v>242</v>
      </c>
      <c r="E26">
        <v>0.89286126056000004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0.55927220197000005</v>
      </c>
      <c r="F30" s="243"/>
    </row>
    <row r="31" spans="2:6" x14ac:dyDescent="0.25">
      <c r="B31">
        <v>21</v>
      </c>
      <c r="C31" t="s">
        <v>60</v>
      </c>
      <c r="D31" t="s">
        <v>242</v>
      </c>
      <c r="E31">
        <v>-10.61007612675</v>
      </c>
    </row>
    <row r="32" spans="2:6" x14ac:dyDescent="0.25">
      <c r="B32">
        <v>22</v>
      </c>
      <c r="C32" t="s">
        <v>61</v>
      </c>
      <c r="D32" t="s">
        <v>242</v>
      </c>
      <c r="E32">
        <v>-9.9650777294258006</v>
      </c>
    </row>
    <row r="33" spans="2:6" x14ac:dyDescent="0.25">
      <c r="B33">
        <v>23</v>
      </c>
      <c r="C33" t="s">
        <v>62</v>
      </c>
      <c r="D33" t="s">
        <v>242</v>
      </c>
      <c r="E33">
        <v>-2.9253534739587002</v>
      </c>
    </row>
    <row r="34" spans="2:6" x14ac:dyDescent="0.25">
      <c r="B34">
        <v>24</v>
      </c>
      <c r="C34" t="s">
        <v>63</v>
      </c>
      <c r="D34" t="s">
        <v>242</v>
      </c>
      <c r="E34">
        <v>0.21220129380800001</v>
      </c>
      <c r="F34" s="243"/>
    </row>
    <row r="35" spans="2:6" x14ac:dyDescent="0.25">
      <c r="B35">
        <v>25</v>
      </c>
      <c r="C35" t="s">
        <v>64</v>
      </c>
      <c r="D35" t="s">
        <v>242</v>
      </c>
      <c r="E35">
        <v>-0.156772126135</v>
      </c>
      <c r="F35" s="243"/>
    </row>
    <row r="36" spans="2:6" x14ac:dyDescent="0.25">
      <c r="B36">
        <v>26</v>
      </c>
      <c r="C36" t="s">
        <v>65</v>
      </c>
      <c r="D36" t="s">
        <v>242</v>
      </c>
      <c r="E36">
        <v>0.78053827557199995</v>
      </c>
      <c r="F36" s="243"/>
    </row>
    <row r="37" spans="2:6" x14ac:dyDescent="0.25">
      <c r="B37">
        <v>27</v>
      </c>
      <c r="C37" t="s">
        <v>66</v>
      </c>
      <c r="D37" t="s">
        <v>242</v>
      </c>
      <c r="E37">
        <v>-10.78255655399</v>
      </c>
    </row>
    <row r="38" spans="2:6" x14ac:dyDescent="0.25">
      <c r="B38">
        <v>28</v>
      </c>
      <c r="C38" t="s">
        <v>67</v>
      </c>
      <c r="D38" t="s">
        <v>242</v>
      </c>
      <c r="E38">
        <v>-6.9986769031299998</v>
      </c>
    </row>
    <row r="39" spans="2:6" x14ac:dyDescent="0.25">
      <c r="B39">
        <v>29</v>
      </c>
      <c r="C39" t="s">
        <v>68</v>
      </c>
      <c r="D39" t="s">
        <v>242</v>
      </c>
      <c r="E39">
        <v>-2.00459272752</v>
      </c>
    </row>
    <row r="40" spans="2:6" x14ac:dyDescent="0.25">
      <c r="B40">
        <v>30</v>
      </c>
      <c r="C40" t="s">
        <v>69</v>
      </c>
      <c r="D40" t="s">
        <v>242</v>
      </c>
      <c r="E40">
        <v>-1.0350332773299999</v>
      </c>
      <c r="F40" s="243"/>
    </row>
    <row r="41" spans="2:6" x14ac:dyDescent="0.25">
      <c r="B41">
        <v>31</v>
      </c>
      <c r="C41" t="s">
        <v>70</v>
      </c>
      <c r="D41" t="s">
        <v>242</v>
      </c>
      <c r="E41" s="243">
        <v>0.161916660248</v>
      </c>
      <c r="F41" s="243"/>
    </row>
    <row r="42" spans="2:6" x14ac:dyDescent="0.25">
      <c r="B42">
        <v>32</v>
      </c>
      <c r="C42" t="s">
        <v>71</v>
      </c>
      <c r="D42" t="s">
        <v>242</v>
      </c>
      <c r="E42">
        <v>-0.164548260329</v>
      </c>
      <c r="F42" s="243"/>
    </row>
    <row r="43" spans="2:6" x14ac:dyDescent="0.25">
      <c r="B43">
        <v>33</v>
      </c>
      <c r="C43" t="s">
        <v>72</v>
      </c>
      <c r="D43" t="s">
        <v>242</v>
      </c>
      <c r="E43">
        <v>0.20498917376299999</v>
      </c>
      <c r="F43" s="243"/>
    </row>
    <row r="44" spans="2:6" x14ac:dyDescent="0.25">
      <c r="B44">
        <v>34</v>
      </c>
      <c r="C44" t="s">
        <v>73</v>
      </c>
      <c r="D44" t="s">
        <v>242</v>
      </c>
      <c r="E44">
        <v>-0.128001396233</v>
      </c>
      <c r="F44" s="243"/>
    </row>
    <row r="45" spans="2:6" x14ac:dyDescent="0.25">
      <c r="B45">
        <v>35</v>
      </c>
      <c r="C45" t="s">
        <v>74</v>
      </c>
      <c r="D45" t="s">
        <v>242</v>
      </c>
      <c r="E45" s="243">
        <v>6.1170505754699997E-2</v>
      </c>
      <c r="F45" s="243"/>
    </row>
    <row r="46" spans="2:6" x14ac:dyDescent="0.25">
      <c r="B46">
        <v>36</v>
      </c>
      <c r="C46" t="s">
        <v>75</v>
      </c>
      <c r="D46" t="s">
        <v>242</v>
      </c>
      <c r="E46" s="243">
        <v>1.3253567635600001</v>
      </c>
      <c r="F46" s="243"/>
    </row>
    <row r="47" spans="2:6" x14ac:dyDescent="0.25">
      <c r="B47">
        <v>37</v>
      </c>
      <c r="C47" t="s">
        <v>76</v>
      </c>
      <c r="D47" t="s">
        <v>242</v>
      </c>
      <c r="E47">
        <v>-6.9137933260202002</v>
      </c>
    </row>
    <row r="48" spans="2:6" x14ac:dyDescent="0.25">
      <c r="B48">
        <v>38</v>
      </c>
      <c r="C48" t="s">
        <v>77</v>
      </c>
      <c r="D48" t="s">
        <v>242</v>
      </c>
      <c r="E48">
        <v>-8.0472299875276008</v>
      </c>
    </row>
    <row r="49" spans="2:6" x14ac:dyDescent="0.25">
      <c r="B49">
        <v>39</v>
      </c>
      <c r="C49" t="s">
        <v>78</v>
      </c>
      <c r="D49" t="s">
        <v>242</v>
      </c>
      <c r="E49">
        <v>-7.9022824261337998</v>
      </c>
    </row>
    <row r="50" spans="2:6" x14ac:dyDescent="0.25">
      <c r="B50">
        <v>40</v>
      </c>
      <c r="C50" t="s">
        <v>79</v>
      </c>
      <c r="D50" t="s">
        <v>242</v>
      </c>
      <c r="E50">
        <v>-4.9378181142914004</v>
      </c>
    </row>
    <row r="51" spans="2:6" x14ac:dyDescent="0.25">
      <c r="B51">
        <v>41</v>
      </c>
      <c r="C51" t="s">
        <v>80</v>
      </c>
      <c r="D51" t="s">
        <v>242</v>
      </c>
      <c r="E51">
        <v>-0.149205194047</v>
      </c>
      <c r="F51" s="243"/>
    </row>
    <row r="52" spans="2:6" x14ac:dyDescent="0.25">
      <c r="B52">
        <v>42</v>
      </c>
      <c r="C52" t="s">
        <v>81</v>
      </c>
      <c r="D52" t="s">
        <v>242</v>
      </c>
      <c r="E52">
        <v>0.517393579278</v>
      </c>
      <c r="F52" s="243"/>
    </row>
    <row r="53" spans="2:6" x14ac:dyDescent="0.25">
      <c r="B53">
        <v>43</v>
      </c>
      <c r="C53" t="s">
        <v>82</v>
      </c>
      <c r="D53" t="s">
        <v>242</v>
      </c>
      <c r="E53">
        <v>0.84374741070500003</v>
      </c>
      <c r="F53" s="243"/>
    </row>
    <row r="54" spans="2:6" x14ac:dyDescent="0.25">
      <c r="B54">
        <v>44</v>
      </c>
      <c r="C54" t="s">
        <v>83</v>
      </c>
      <c r="D54" t="s">
        <v>242</v>
      </c>
      <c r="E54">
        <v>-16.67209755168</v>
      </c>
    </row>
    <row r="55" spans="2:6" x14ac:dyDescent="0.25">
      <c r="B55">
        <v>45</v>
      </c>
      <c r="C55" t="s">
        <v>84</v>
      </c>
      <c r="D55" t="s">
        <v>242</v>
      </c>
      <c r="E55">
        <v>-5.1991311948499996</v>
      </c>
    </row>
    <row r="56" spans="2:6" x14ac:dyDescent="0.25">
      <c r="B56">
        <v>46</v>
      </c>
      <c r="C56" t="s">
        <v>85</v>
      </c>
      <c r="D56" t="s">
        <v>242</v>
      </c>
      <c r="E56">
        <v>-8.9493135929999995E-2</v>
      </c>
    </row>
    <row r="57" spans="2:6" x14ac:dyDescent="0.25">
      <c r="B57">
        <v>47</v>
      </c>
      <c r="C57" t="s">
        <v>86</v>
      </c>
      <c r="D57" t="s">
        <v>242</v>
      </c>
      <c r="E57">
        <v>-4.2477567652300001</v>
      </c>
    </row>
    <row r="58" spans="2:6" x14ac:dyDescent="0.25">
      <c r="B58">
        <v>48</v>
      </c>
      <c r="C58" t="s">
        <v>87</v>
      </c>
      <c r="D58" t="s">
        <v>242</v>
      </c>
      <c r="E58">
        <v>0.16683062839400001</v>
      </c>
      <c r="F58" s="243"/>
    </row>
    <row r="59" spans="2:6" x14ac:dyDescent="0.25">
      <c r="B59">
        <v>49</v>
      </c>
      <c r="C59" t="s">
        <v>88</v>
      </c>
      <c r="D59" t="s">
        <v>242</v>
      </c>
      <c r="E59">
        <v>0.80686039286800004</v>
      </c>
      <c r="F59" s="243"/>
    </row>
    <row r="60" spans="2:6" x14ac:dyDescent="0.25">
      <c r="B60">
        <v>50</v>
      </c>
      <c r="C60" t="s">
        <v>89</v>
      </c>
      <c r="D60" t="s">
        <v>242</v>
      </c>
      <c r="E60">
        <v>-10.358163936068699</v>
      </c>
    </row>
    <row r="61" spans="2:6" x14ac:dyDescent="0.25">
      <c r="B61">
        <v>51</v>
      </c>
      <c r="C61" t="s">
        <v>90</v>
      </c>
      <c r="D61" t="s">
        <v>242</v>
      </c>
      <c r="E61">
        <v>-4.3785453634167997</v>
      </c>
    </row>
    <row r="62" spans="2:6" x14ac:dyDescent="0.25">
      <c r="B62">
        <v>52</v>
      </c>
      <c r="C62" t="s">
        <v>91</v>
      </c>
      <c r="D62" t="s">
        <v>242</v>
      </c>
      <c r="E62">
        <v>-0.82273500843680003</v>
      </c>
    </row>
    <row r="63" spans="2:6" x14ac:dyDescent="0.25">
      <c r="B63">
        <v>53</v>
      </c>
      <c r="C63" t="s">
        <v>92</v>
      </c>
      <c r="D63" t="s">
        <v>242</v>
      </c>
      <c r="E63">
        <v>-0.90634227498279996</v>
      </c>
    </row>
    <row r="64" spans="2:6" x14ac:dyDescent="0.25">
      <c r="B64">
        <v>54</v>
      </c>
      <c r="C64" t="s">
        <v>93</v>
      </c>
      <c r="D64" t="s">
        <v>242</v>
      </c>
      <c r="E64">
        <v>0.21306405683599999</v>
      </c>
      <c r="F64" s="243"/>
    </row>
    <row r="65" spans="2:6" x14ac:dyDescent="0.25">
      <c r="B65">
        <v>55</v>
      </c>
      <c r="C65" t="s">
        <v>94</v>
      </c>
      <c r="D65" t="s">
        <v>242</v>
      </c>
      <c r="E65">
        <v>0.49322187999099998</v>
      </c>
      <c r="F65" s="243"/>
    </row>
    <row r="66" spans="2:6" x14ac:dyDescent="0.25">
      <c r="B66">
        <v>56</v>
      </c>
      <c r="C66" t="s">
        <v>95</v>
      </c>
      <c r="D66" t="s">
        <v>242</v>
      </c>
      <c r="E66">
        <v>-0.81297460986500003</v>
      </c>
      <c r="F66" s="243"/>
    </row>
    <row r="67" spans="2:6" x14ac:dyDescent="0.25">
      <c r="B67">
        <v>57</v>
      </c>
      <c r="C67" t="s">
        <v>96</v>
      </c>
      <c r="D67" t="s">
        <v>242</v>
      </c>
      <c r="E67" s="243">
        <v>8.0759501397E-2</v>
      </c>
      <c r="F67" s="243"/>
    </row>
    <row r="68" spans="2:6" x14ac:dyDescent="0.25">
      <c r="B68">
        <v>70</v>
      </c>
      <c r="C68" t="s">
        <v>97</v>
      </c>
      <c r="D68" t="s">
        <v>242</v>
      </c>
      <c r="E68" s="243">
        <v>1</v>
      </c>
      <c r="F68" s="243"/>
    </row>
    <row r="69" spans="2:6" x14ac:dyDescent="0.25">
      <c r="B69">
        <v>71</v>
      </c>
      <c r="C69" t="s">
        <v>98</v>
      </c>
      <c r="D69" t="s">
        <v>241</v>
      </c>
      <c r="E69">
        <v>0</v>
      </c>
      <c r="F69" s="243"/>
    </row>
    <row r="70" spans="2:6" x14ac:dyDescent="0.25">
      <c r="B70">
        <v>72</v>
      </c>
      <c r="C70" t="s">
        <v>99</v>
      </c>
      <c r="D70" t="s">
        <v>242</v>
      </c>
      <c r="E70">
        <v>-3.51218611463</v>
      </c>
    </row>
    <row r="71" spans="2:6" x14ac:dyDescent="0.25">
      <c r="B71">
        <v>73</v>
      </c>
      <c r="C71" t="s">
        <v>100</v>
      </c>
      <c r="D71" t="s">
        <v>242</v>
      </c>
      <c r="E71">
        <v>-1.9512398226400001</v>
      </c>
    </row>
    <row r="72" spans="2:6" x14ac:dyDescent="0.25">
      <c r="B72">
        <v>74</v>
      </c>
      <c r="C72" t="s">
        <v>101</v>
      </c>
      <c r="D72" t="s">
        <v>242</v>
      </c>
      <c r="E72">
        <v>-2.2875988415099999</v>
      </c>
    </row>
    <row r="73" spans="2:6" x14ac:dyDescent="0.25">
      <c r="B73">
        <v>75</v>
      </c>
      <c r="C73" t="s">
        <v>102</v>
      </c>
      <c r="D73" t="s">
        <v>242</v>
      </c>
      <c r="E73">
        <v>-2.97270473739</v>
      </c>
    </row>
    <row r="74" spans="2:6" x14ac:dyDescent="0.25">
      <c r="B74">
        <v>76</v>
      </c>
      <c r="C74" t="s">
        <v>103</v>
      </c>
      <c r="D74" t="s">
        <v>242</v>
      </c>
      <c r="E74">
        <v>-2.2065775626700002</v>
      </c>
    </row>
    <row r="75" spans="2:6" x14ac:dyDescent="0.25">
      <c r="B75">
        <v>77</v>
      </c>
      <c r="C75" t="s">
        <v>104</v>
      </c>
      <c r="D75" t="s">
        <v>242</v>
      </c>
      <c r="E75">
        <v>-1.91608314575</v>
      </c>
    </row>
    <row r="76" spans="2:6" x14ac:dyDescent="0.25">
      <c r="B76">
        <v>78</v>
      </c>
      <c r="C76" t="s">
        <v>105</v>
      </c>
      <c r="D76" t="s">
        <v>242</v>
      </c>
      <c r="E76">
        <v>-2.9941803696</v>
      </c>
    </row>
    <row r="77" spans="2:6" x14ac:dyDescent="0.25">
      <c r="B77">
        <v>79</v>
      </c>
      <c r="C77" t="s">
        <v>106</v>
      </c>
      <c r="D77" t="s">
        <v>242</v>
      </c>
      <c r="E77">
        <v>-20.893048808300001</v>
      </c>
    </row>
    <row r="78" spans="2:6" x14ac:dyDescent="0.25">
      <c r="B78">
        <v>80</v>
      </c>
      <c r="C78" t="s">
        <v>107</v>
      </c>
      <c r="D78" t="s">
        <v>242</v>
      </c>
      <c r="E78">
        <v>-0.340851234339</v>
      </c>
    </row>
    <row r="79" spans="2:6" x14ac:dyDescent="0.25">
      <c r="B79">
        <v>81</v>
      </c>
      <c r="C79" t="s">
        <v>108</v>
      </c>
      <c r="D79" t="s">
        <v>242</v>
      </c>
      <c r="E79">
        <v>-3.5548804977600001</v>
      </c>
    </row>
    <row r="80" spans="2:6" x14ac:dyDescent="0.25">
      <c r="B80">
        <v>82</v>
      </c>
      <c r="C80" t="s">
        <v>109</v>
      </c>
      <c r="D80" t="s">
        <v>242</v>
      </c>
      <c r="E80">
        <v>-2.04042829643</v>
      </c>
    </row>
    <row r="81" spans="2:5" x14ac:dyDescent="0.25">
      <c r="B81">
        <v>83</v>
      </c>
      <c r="C81" t="s">
        <v>110</v>
      </c>
      <c r="D81" t="s">
        <v>242</v>
      </c>
      <c r="E81">
        <v>-3.1291070048599998</v>
      </c>
    </row>
    <row r="82" spans="2:5" x14ac:dyDescent="0.25">
      <c r="B82">
        <v>84</v>
      </c>
      <c r="C82" t="s">
        <v>111</v>
      </c>
      <c r="D82" t="s">
        <v>242</v>
      </c>
      <c r="E82">
        <v>-1.36058822067</v>
      </c>
    </row>
    <row r="83" spans="2:5" x14ac:dyDescent="0.25">
      <c r="B83">
        <v>85</v>
      </c>
      <c r="C83" t="s">
        <v>112</v>
      </c>
      <c r="D83" t="s">
        <v>242</v>
      </c>
      <c r="E83">
        <v>-3.7593502074299998</v>
      </c>
    </row>
    <row r="84" spans="2:5" x14ac:dyDescent="0.25">
      <c r="B84">
        <v>86</v>
      </c>
      <c r="C84" t="s">
        <v>113</v>
      </c>
      <c r="D84" t="s">
        <v>242</v>
      </c>
      <c r="E84">
        <v>-2.6162258391100002</v>
      </c>
    </row>
    <row r="85" spans="2:5" x14ac:dyDescent="0.25">
      <c r="B85">
        <v>87</v>
      </c>
      <c r="C85" t="s">
        <v>114</v>
      </c>
      <c r="D85" t="s">
        <v>242</v>
      </c>
      <c r="E85">
        <v>-18.920608679800001</v>
      </c>
    </row>
    <row r="86" spans="2:5" x14ac:dyDescent="0.25">
      <c r="B86">
        <v>88</v>
      </c>
      <c r="C86" t="s">
        <v>115</v>
      </c>
      <c r="D86" t="s">
        <v>241</v>
      </c>
      <c r="E86">
        <v>0</v>
      </c>
    </row>
    <row r="87" spans="2:5" x14ac:dyDescent="0.25">
      <c r="B87">
        <v>89</v>
      </c>
      <c r="C87" t="s">
        <v>116</v>
      </c>
      <c r="D87" t="s">
        <v>242</v>
      </c>
      <c r="E87">
        <v>-6.14284833482</v>
      </c>
    </row>
    <row r="88" spans="2:5" x14ac:dyDescent="0.25">
      <c r="B88">
        <v>90</v>
      </c>
      <c r="C88" t="s">
        <v>117</v>
      </c>
      <c r="D88" t="s">
        <v>242</v>
      </c>
      <c r="E88">
        <v>-16.4745846271</v>
      </c>
    </row>
    <row r="89" spans="2:5" x14ac:dyDescent="0.25">
      <c r="B89">
        <v>91</v>
      </c>
      <c r="C89" t="s">
        <v>118</v>
      </c>
      <c r="D89" t="s">
        <v>242</v>
      </c>
      <c r="E89">
        <v>-9.3272520902899991</v>
      </c>
    </row>
    <row r="90" spans="2:5" x14ac:dyDescent="0.25">
      <c r="B90">
        <v>92</v>
      </c>
      <c r="C90" t="s">
        <v>119</v>
      </c>
      <c r="D90" t="s">
        <v>242</v>
      </c>
      <c r="E90">
        <v>-0.748114378523</v>
      </c>
    </row>
    <row r="91" spans="2:5" x14ac:dyDescent="0.25">
      <c r="B91">
        <v>93</v>
      </c>
      <c r="C91" t="s">
        <v>120</v>
      </c>
      <c r="D91" t="s">
        <v>242</v>
      </c>
      <c r="E91">
        <v>-0.29100107664500002</v>
      </c>
    </row>
    <row r="92" spans="2:5" x14ac:dyDescent="0.25">
      <c r="B92">
        <v>94</v>
      </c>
      <c r="C92" t="s">
        <v>121</v>
      </c>
      <c r="D92" t="s">
        <v>241</v>
      </c>
      <c r="E92">
        <v>0</v>
      </c>
    </row>
    <row r="93" spans="2:5" x14ac:dyDescent="0.25">
      <c r="B93">
        <v>95</v>
      </c>
      <c r="C93" t="s">
        <v>122</v>
      </c>
      <c r="D93" t="s">
        <v>242</v>
      </c>
      <c r="E93">
        <v>-10.3298280696</v>
      </c>
    </row>
    <row r="94" spans="2:5" x14ac:dyDescent="0.25">
      <c r="B94">
        <v>96</v>
      </c>
      <c r="C94" t="s">
        <v>123</v>
      </c>
      <c r="D94" t="s">
        <v>242</v>
      </c>
      <c r="E94">
        <v>-16.742935323400001</v>
      </c>
    </row>
    <row r="95" spans="2:5" x14ac:dyDescent="0.25">
      <c r="B95">
        <v>97</v>
      </c>
      <c r="C95" t="s">
        <v>124</v>
      </c>
      <c r="D95" t="s">
        <v>242</v>
      </c>
      <c r="E95">
        <v>-6.97234539975</v>
      </c>
    </row>
    <row r="96" spans="2:5" x14ac:dyDescent="0.25">
      <c r="B96">
        <v>98</v>
      </c>
      <c r="C96" t="s">
        <v>125</v>
      </c>
      <c r="D96" t="s">
        <v>242</v>
      </c>
      <c r="E96">
        <v>-10.7755348742</v>
      </c>
    </row>
    <row r="97" spans="2:5" x14ac:dyDescent="0.25">
      <c r="B97">
        <v>99</v>
      </c>
      <c r="C97" t="s">
        <v>126</v>
      </c>
      <c r="D97" t="s">
        <v>242</v>
      </c>
      <c r="E97">
        <v>-11.547846395100001</v>
      </c>
    </row>
    <row r="98" spans="2:5" x14ac:dyDescent="0.25">
      <c r="B98">
        <v>100</v>
      </c>
      <c r="C98" t="s">
        <v>127</v>
      </c>
      <c r="D98" t="s">
        <v>241</v>
      </c>
      <c r="E98">
        <v>0</v>
      </c>
    </row>
    <row r="99" spans="2:5" x14ac:dyDescent="0.25">
      <c r="B99">
        <v>101</v>
      </c>
      <c r="C99" t="s">
        <v>128</v>
      </c>
      <c r="D99" t="s">
        <v>242</v>
      </c>
      <c r="E99">
        <v>-11.0962758301</v>
      </c>
    </row>
    <row r="100" spans="2:5" x14ac:dyDescent="0.25">
      <c r="B100">
        <v>102</v>
      </c>
      <c r="C100" t="s">
        <v>129</v>
      </c>
      <c r="D100" t="s">
        <v>241</v>
      </c>
      <c r="E100">
        <v>0</v>
      </c>
    </row>
    <row r="101" spans="2:5" x14ac:dyDescent="0.25">
      <c r="B101">
        <v>103</v>
      </c>
      <c r="C101" t="s">
        <v>130</v>
      </c>
      <c r="D101" t="s">
        <v>242</v>
      </c>
      <c r="E101">
        <v>-12.7257909892</v>
      </c>
    </row>
    <row r="102" spans="2:5" x14ac:dyDescent="0.25">
      <c r="B102">
        <v>104</v>
      </c>
      <c r="C102" t="s">
        <v>131</v>
      </c>
      <c r="D102" t="s">
        <v>242</v>
      </c>
      <c r="E102">
        <v>-12.5271034041</v>
      </c>
    </row>
    <row r="103" spans="2:5" x14ac:dyDescent="0.25">
      <c r="B103">
        <v>105</v>
      </c>
      <c r="C103" t="s">
        <v>132</v>
      </c>
      <c r="D103" t="s">
        <v>242</v>
      </c>
      <c r="E103">
        <v>-21.008822510800002</v>
      </c>
    </row>
    <row r="104" spans="2:5" x14ac:dyDescent="0.25">
      <c r="B104">
        <v>106</v>
      </c>
      <c r="C104" t="s">
        <v>133</v>
      </c>
      <c r="D104" t="s">
        <v>242</v>
      </c>
      <c r="E104">
        <v>-1.63176275226</v>
      </c>
    </row>
    <row r="105" spans="2:5" x14ac:dyDescent="0.25">
      <c r="B105">
        <v>107</v>
      </c>
      <c r="C105" t="s">
        <v>134</v>
      </c>
      <c r="D105" t="s">
        <v>242</v>
      </c>
      <c r="E105">
        <v>-4.6653914733199997</v>
      </c>
    </row>
    <row r="106" spans="2:5" x14ac:dyDescent="0.25">
      <c r="B106">
        <v>108</v>
      </c>
      <c r="C106" t="s">
        <v>135</v>
      </c>
      <c r="D106" t="s">
        <v>242</v>
      </c>
      <c r="E106">
        <v>-7.5050624753099999</v>
      </c>
    </row>
    <row r="107" spans="2:5" x14ac:dyDescent="0.25">
      <c r="B107">
        <v>109</v>
      </c>
      <c r="C107" t="s">
        <v>136</v>
      </c>
      <c r="D107" t="s">
        <v>242</v>
      </c>
      <c r="E107">
        <v>-7.2217481188799999</v>
      </c>
    </row>
    <row r="108" spans="2:5" x14ac:dyDescent="0.25">
      <c r="B108">
        <v>110</v>
      </c>
      <c r="C108" t="s">
        <v>137</v>
      </c>
      <c r="D108" t="s">
        <v>242</v>
      </c>
      <c r="E108">
        <v>-3.4793464222399999</v>
      </c>
    </row>
    <row r="109" spans="2:5" x14ac:dyDescent="0.25">
      <c r="B109">
        <v>111</v>
      </c>
      <c r="C109" t="s">
        <v>138</v>
      </c>
      <c r="D109" t="s">
        <v>241</v>
      </c>
      <c r="E109">
        <v>0</v>
      </c>
    </row>
    <row r="110" spans="2:5" x14ac:dyDescent="0.25">
      <c r="B110">
        <v>113</v>
      </c>
      <c r="C110" t="s">
        <v>140</v>
      </c>
      <c r="D110" t="s">
        <v>242</v>
      </c>
      <c r="E110">
        <v>-2.23577200178</v>
      </c>
    </row>
    <row r="111" spans="2:5" x14ac:dyDescent="0.25">
      <c r="B111">
        <v>120</v>
      </c>
      <c r="C111" t="s">
        <v>318</v>
      </c>
      <c r="D111" t="s">
        <v>242</v>
      </c>
      <c r="E111">
        <v>0.37</v>
      </c>
    </row>
    <row r="112" spans="2:5" x14ac:dyDescent="0.25">
      <c r="B112">
        <v>191</v>
      </c>
      <c r="C112" t="s">
        <v>308</v>
      </c>
      <c r="D112" t="s">
        <v>241</v>
      </c>
      <c r="E112">
        <v>-0.1381</v>
      </c>
    </row>
    <row r="113" spans="2:5" x14ac:dyDescent="0.25">
      <c r="B113">
        <v>192</v>
      </c>
      <c r="C113" t="s">
        <v>309</v>
      </c>
      <c r="D113" t="s">
        <v>241</v>
      </c>
      <c r="E113">
        <v>6.6299999999999998E-2</v>
      </c>
    </row>
    <row r="114" spans="2:5" x14ac:dyDescent="0.25">
      <c r="B114">
        <v>193</v>
      </c>
      <c r="C114" t="s">
        <v>310</v>
      </c>
      <c r="D114" t="s">
        <v>241</v>
      </c>
      <c r="E114">
        <v>1.5966</v>
      </c>
    </row>
    <row r="115" spans="2:5" x14ac:dyDescent="0.25">
      <c r="B115">
        <v>194</v>
      </c>
      <c r="C115" t="s">
        <v>311</v>
      </c>
      <c r="D115" t="s">
        <v>241</v>
      </c>
      <c r="E115">
        <v>0.21379999999999999</v>
      </c>
    </row>
    <row r="116" spans="2:5" x14ac:dyDescent="0.25">
      <c r="B116">
        <v>195</v>
      </c>
      <c r="C116" t="s">
        <v>312</v>
      </c>
      <c r="D116" t="s">
        <v>241</v>
      </c>
      <c r="E116">
        <v>-8.4400000000000003E-2</v>
      </c>
    </row>
    <row r="117" spans="2:5" x14ac:dyDescent="0.25">
      <c r="B117">
        <v>196</v>
      </c>
      <c r="C117" t="s">
        <v>313</v>
      </c>
      <c r="D117" t="s">
        <v>241</v>
      </c>
      <c r="E117">
        <v>0.50680000000000003</v>
      </c>
    </row>
    <row r="118" spans="2:5" x14ac:dyDescent="0.25">
      <c r="B118">
        <v>197</v>
      </c>
      <c r="C118" t="s">
        <v>314</v>
      </c>
      <c r="D118" t="s">
        <v>241</v>
      </c>
      <c r="E118">
        <v>8.4599999999999995E-2</v>
      </c>
    </row>
    <row r="119" spans="2:5" x14ac:dyDescent="0.25">
      <c r="B119">
        <v>198</v>
      </c>
      <c r="C119" t="s">
        <v>315</v>
      </c>
      <c r="D119" t="s">
        <v>241</v>
      </c>
      <c r="E119">
        <v>2.12E-2</v>
      </c>
    </row>
    <row r="120" spans="2:5" x14ac:dyDescent="0.25">
      <c r="B120">
        <v>199</v>
      </c>
      <c r="C120" t="s">
        <v>316</v>
      </c>
      <c r="D120" t="s">
        <v>241</v>
      </c>
      <c r="E120">
        <v>0.71619999999999995</v>
      </c>
    </row>
    <row r="121" spans="2:5" x14ac:dyDescent="0.25">
      <c r="B121">
        <v>200</v>
      </c>
      <c r="C121" t="s">
        <v>317</v>
      </c>
      <c r="D121" t="s">
        <v>241</v>
      </c>
      <c r="E121">
        <v>7.17E-2</v>
      </c>
    </row>
    <row r="122" spans="2:5" x14ac:dyDescent="0.25">
      <c r="B122">
        <v>201</v>
      </c>
      <c r="C122" t="s">
        <v>308</v>
      </c>
      <c r="D122" t="s">
        <v>241</v>
      </c>
      <c r="E122">
        <v>8.7900000000000006E-2</v>
      </c>
    </row>
    <row r="123" spans="2:5" x14ac:dyDescent="0.25">
      <c r="B123">
        <v>202</v>
      </c>
      <c r="C123" t="s">
        <v>309</v>
      </c>
      <c r="D123" t="s">
        <v>241</v>
      </c>
      <c r="E123">
        <v>-0.12520000000000001</v>
      </c>
    </row>
    <row r="124" spans="2:5" x14ac:dyDescent="0.25">
      <c r="B124">
        <v>203</v>
      </c>
      <c r="C124" t="s">
        <v>310</v>
      </c>
      <c r="D124" t="s">
        <v>241</v>
      </c>
      <c r="E124">
        <v>0.97909999999999997</v>
      </c>
    </row>
    <row r="125" spans="2:5" x14ac:dyDescent="0.25">
      <c r="B125">
        <v>204</v>
      </c>
      <c r="C125" t="s">
        <v>311</v>
      </c>
      <c r="D125" t="s">
        <v>241</v>
      </c>
      <c r="E125">
        <v>0.61299999999999999</v>
      </c>
    </row>
    <row r="126" spans="2:5" x14ac:dyDescent="0.25">
      <c r="B126">
        <v>205</v>
      </c>
      <c r="C126" t="s">
        <v>312</v>
      </c>
      <c r="D126" t="s">
        <v>241</v>
      </c>
      <c r="E126">
        <v>0.69350000000000001</v>
      </c>
    </row>
    <row r="127" spans="2:5" x14ac:dyDescent="0.25">
      <c r="B127">
        <v>206</v>
      </c>
      <c r="C127" t="s">
        <v>313</v>
      </c>
      <c r="D127" t="s">
        <v>241</v>
      </c>
      <c r="E127">
        <v>0.2006</v>
      </c>
    </row>
    <row r="128" spans="2:5" x14ac:dyDescent="0.25">
      <c r="B128">
        <v>207</v>
      </c>
      <c r="C128" t="s">
        <v>314</v>
      </c>
      <c r="D128" t="s">
        <v>241</v>
      </c>
      <c r="E128">
        <v>-9.6000000000000002E-2</v>
      </c>
    </row>
    <row r="129" spans="2:5" x14ac:dyDescent="0.25">
      <c r="B129">
        <v>208</v>
      </c>
      <c r="C129" t="s">
        <v>315</v>
      </c>
      <c r="D129" t="s">
        <v>241</v>
      </c>
      <c r="E129">
        <v>0.41389999999999999</v>
      </c>
    </row>
    <row r="130" spans="2:5" x14ac:dyDescent="0.25">
      <c r="B130">
        <v>209</v>
      </c>
      <c r="C130" t="s">
        <v>316</v>
      </c>
      <c r="D130" t="s">
        <v>241</v>
      </c>
      <c r="E130">
        <v>0.37680000000000002</v>
      </c>
    </row>
    <row r="131" spans="2:5" x14ac:dyDescent="0.25">
      <c r="B131">
        <v>210</v>
      </c>
      <c r="C131" t="s">
        <v>317</v>
      </c>
      <c r="D131" t="s">
        <v>241</v>
      </c>
      <c r="E131">
        <v>0.27860000000000001</v>
      </c>
    </row>
    <row r="132" spans="2:5" x14ac:dyDescent="0.25">
      <c r="B132">
        <v>211</v>
      </c>
      <c r="C132" t="s">
        <v>308</v>
      </c>
      <c r="D132" t="s">
        <v>241</v>
      </c>
      <c r="E132">
        <v>1.6822999999999999</v>
      </c>
    </row>
    <row r="133" spans="2:5" x14ac:dyDescent="0.25">
      <c r="B133">
        <v>212</v>
      </c>
      <c r="C133" t="s">
        <v>309</v>
      </c>
      <c r="D133" t="s">
        <v>241</v>
      </c>
      <c r="E133">
        <v>0.96660000000000001</v>
      </c>
    </row>
    <row r="134" spans="2:5" x14ac:dyDescent="0.25">
      <c r="B134">
        <v>213</v>
      </c>
      <c r="C134" t="s">
        <v>310</v>
      </c>
      <c r="D134" t="s">
        <v>241</v>
      </c>
      <c r="E134">
        <v>-8.5300000000000001E-2</v>
      </c>
    </row>
    <row r="135" spans="2:5" x14ac:dyDescent="0.25">
      <c r="B135">
        <v>214</v>
      </c>
      <c r="C135" t="s">
        <v>311</v>
      </c>
      <c r="D135" t="s">
        <v>241</v>
      </c>
      <c r="E135">
        <v>0.7339</v>
      </c>
    </row>
    <row r="136" spans="2:5" x14ac:dyDescent="0.25">
      <c r="B136">
        <v>215</v>
      </c>
      <c r="C136" t="s">
        <v>312</v>
      </c>
      <c r="D136" t="s">
        <v>241</v>
      </c>
      <c r="E136">
        <v>1.1149</v>
      </c>
    </row>
    <row r="137" spans="2:5" x14ac:dyDescent="0.25">
      <c r="B137">
        <v>216</v>
      </c>
      <c r="C137" t="s">
        <v>313</v>
      </c>
      <c r="D137" t="s">
        <v>241</v>
      </c>
      <c r="E137">
        <v>-2.9700000000000001E-2</v>
      </c>
    </row>
    <row r="138" spans="2:5" x14ac:dyDescent="0.25">
      <c r="B138">
        <v>217</v>
      </c>
      <c r="C138" t="s">
        <v>314</v>
      </c>
      <c r="D138" t="s">
        <v>241</v>
      </c>
      <c r="E138">
        <v>2.1899999999999999E-2</v>
      </c>
    </row>
    <row r="139" spans="2:5" x14ac:dyDescent="0.25">
      <c r="B139">
        <v>218</v>
      </c>
      <c r="C139" t="s">
        <v>315</v>
      </c>
      <c r="D139" t="s">
        <v>241</v>
      </c>
      <c r="E139">
        <v>0.59409999999999996</v>
      </c>
    </row>
    <row r="140" spans="2:5" x14ac:dyDescent="0.25">
      <c r="B140">
        <v>219</v>
      </c>
      <c r="C140" t="s">
        <v>316</v>
      </c>
      <c r="D140" t="s">
        <v>241</v>
      </c>
      <c r="E140">
        <v>3.9300000000000002E-2</v>
      </c>
    </row>
    <row r="141" spans="2:5" x14ac:dyDescent="0.25">
      <c r="B141">
        <v>220</v>
      </c>
      <c r="C141" t="s">
        <v>317</v>
      </c>
      <c r="D141" t="s">
        <v>241</v>
      </c>
      <c r="E141">
        <v>-0.12989999999999999</v>
      </c>
    </row>
    <row r="142" spans="2:5" x14ac:dyDescent="0.25">
      <c r="B142">
        <v>221</v>
      </c>
      <c r="C142" t="s">
        <v>308</v>
      </c>
      <c r="D142" t="s">
        <v>241</v>
      </c>
      <c r="E142">
        <v>0.26419999999999999</v>
      </c>
    </row>
    <row r="143" spans="2:5" x14ac:dyDescent="0.25">
      <c r="B143">
        <v>222</v>
      </c>
      <c r="C143" t="s">
        <v>309</v>
      </c>
      <c r="D143" t="s">
        <v>241</v>
      </c>
      <c r="E143">
        <v>0.65149999999999997</v>
      </c>
    </row>
    <row r="144" spans="2:5" x14ac:dyDescent="0.25">
      <c r="B144">
        <v>223</v>
      </c>
      <c r="C144" t="s">
        <v>310</v>
      </c>
      <c r="D144" t="s">
        <v>241</v>
      </c>
      <c r="E144">
        <v>0.86060000000000003</v>
      </c>
    </row>
    <row r="145" spans="2:5" x14ac:dyDescent="0.25">
      <c r="B145">
        <v>224</v>
      </c>
      <c r="C145" t="s">
        <v>311</v>
      </c>
      <c r="D145" t="s">
        <v>241</v>
      </c>
      <c r="E145">
        <v>-2.52E-2</v>
      </c>
    </row>
    <row r="146" spans="2:5" x14ac:dyDescent="0.25">
      <c r="B146">
        <v>225</v>
      </c>
      <c r="C146" t="s">
        <v>312</v>
      </c>
      <c r="D146" t="s">
        <v>241</v>
      </c>
      <c r="E146">
        <v>0.68689999999999996</v>
      </c>
    </row>
    <row r="147" spans="2:5" x14ac:dyDescent="0.25">
      <c r="B147">
        <v>226</v>
      </c>
      <c r="C147" t="s">
        <v>313</v>
      </c>
      <c r="D147" t="s">
        <v>241</v>
      </c>
      <c r="E147">
        <v>1.3738999999999999</v>
      </c>
    </row>
    <row r="148" spans="2:5" x14ac:dyDescent="0.25">
      <c r="B148">
        <v>227</v>
      </c>
      <c r="C148" t="s">
        <v>314</v>
      </c>
      <c r="D148" t="s">
        <v>241</v>
      </c>
      <c r="E148">
        <v>1.6093999999999999</v>
      </c>
    </row>
    <row r="149" spans="2:5" x14ac:dyDescent="0.25">
      <c r="B149">
        <v>228</v>
      </c>
      <c r="C149" t="s">
        <v>315</v>
      </c>
      <c r="D149" t="s">
        <v>241</v>
      </c>
      <c r="E149">
        <v>0.83069999999999999</v>
      </c>
    </row>
    <row r="150" spans="2:5" x14ac:dyDescent="0.25">
      <c r="B150">
        <v>229</v>
      </c>
      <c r="C150" t="s">
        <v>316</v>
      </c>
      <c r="D150" t="s">
        <v>241</v>
      </c>
      <c r="E150">
        <v>1.1528</v>
      </c>
    </row>
    <row r="151" spans="2:5" x14ac:dyDescent="0.25">
      <c r="B151">
        <v>230</v>
      </c>
      <c r="C151" t="s">
        <v>317</v>
      </c>
      <c r="D151" t="s">
        <v>241</v>
      </c>
      <c r="E151">
        <v>7.3499999999999996E-2</v>
      </c>
    </row>
    <row r="152" spans="2:5" x14ac:dyDescent="0.25">
      <c r="B152">
        <v>231</v>
      </c>
      <c r="C152" t="s">
        <v>308</v>
      </c>
      <c r="D152" t="s">
        <v>241</v>
      </c>
      <c r="E152">
        <v>-4.0000000000000002E-4</v>
      </c>
    </row>
    <row r="153" spans="2:5" x14ac:dyDescent="0.25">
      <c r="B153">
        <v>232</v>
      </c>
      <c r="C153" t="s">
        <v>309</v>
      </c>
      <c r="D153" t="s">
        <v>241</v>
      </c>
      <c r="E153">
        <v>0.83540000000000003</v>
      </c>
    </row>
    <row r="154" spans="2:5" x14ac:dyDescent="0.25">
      <c r="B154">
        <v>233</v>
      </c>
      <c r="C154" t="s">
        <v>310</v>
      </c>
      <c r="D154" t="s">
        <v>241</v>
      </c>
      <c r="E154">
        <v>1.1353</v>
      </c>
    </row>
    <row r="155" spans="2:5" x14ac:dyDescent="0.25">
      <c r="B155">
        <v>234</v>
      </c>
      <c r="C155" t="s">
        <v>311</v>
      </c>
      <c r="D155" t="s">
        <v>241</v>
      </c>
      <c r="E155">
        <v>0.69320000000000004</v>
      </c>
    </row>
    <row r="156" spans="2:5" x14ac:dyDescent="0.25">
      <c r="B156">
        <v>235</v>
      </c>
      <c r="C156" t="s">
        <v>312</v>
      </c>
      <c r="D156" t="s">
        <v>241</v>
      </c>
      <c r="E156">
        <v>7.1499999999999994E-2</v>
      </c>
    </row>
    <row r="157" spans="2:5" x14ac:dyDescent="0.25">
      <c r="B157">
        <v>236</v>
      </c>
      <c r="C157" t="s">
        <v>313</v>
      </c>
      <c r="D157" t="s">
        <v>241</v>
      </c>
      <c r="E157">
        <v>0.92230000000000001</v>
      </c>
    </row>
    <row r="158" spans="2:5" x14ac:dyDescent="0.25">
      <c r="B158">
        <v>237</v>
      </c>
      <c r="C158" t="s">
        <v>314</v>
      </c>
      <c r="D158" t="s">
        <v>241</v>
      </c>
      <c r="E158">
        <v>1.4819</v>
      </c>
    </row>
    <row r="159" spans="2:5" x14ac:dyDescent="0.25">
      <c r="B159">
        <v>238</v>
      </c>
      <c r="C159" t="s">
        <v>315</v>
      </c>
      <c r="D159" t="s">
        <v>241</v>
      </c>
      <c r="E159">
        <v>1.1681999999999999</v>
      </c>
    </row>
    <row r="160" spans="2:5" x14ac:dyDescent="0.25">
      <c r="B160">
        <v>239</v>
      </c>
      <c r="C160" t="s">
        <v>316</v>
      </c>
      <c r="D160" t="s">
        <v>241</v>
      </c>
      <c r="E160">
        <v>0.26719999999999999</v>
      </c>
    </row>
    <row r="161" spans="2:5" x14ac:dyDescent="0.25">
      <c r="B161">
        <v>240</v>
      </c>
      <c r="C161" t="s">
        <v>317</v>
      </c>
      <c r="D161" t="s">
        <v>241</v>
      </c>
      <c r="E161">
        <v>0.27529999999999999</v>
      </c>
    </row>
    <row r="162" spans="2:5" x14ac:dyDescent="0.25">
      <c r="B162">
        <v>241</v>
      </c>
      <c r="C162" t="s">
        <v>308</v>
      </c>
      <c r="D162" t="s">
        <v>241</v>
      </c>
      <c r="E162">
        <v>0.5554</v>
      </c>
    </row>
    <row r="163" spans="2:5" x14ac:dyDescent="0.25">
      <c r="B163">
        <v>242</v>
      </c>
      <c r="C163" t="s">
        <v>309</v>
      </c>
      <c r="D163" t="s">
        <v>241</v>
      </c>
      <c r="E163">
        <v>0.3085</v>
      </c>
    </row>
    <row r="164" spans="2:5" x14ac:dyDescent="0.25">
      <c r="B164">
        <v>243</v>
      </c>
      <c r="C164" t="s">
        <v>310</v>
      </c>
      <c r="D164" t="s">
        <v>241</v>
      </c>
      <c r="E164">
        <v>-9.7000000000000003E-3</v>
      </c>
    </row>
    <row r="165" spans="2:5" x14ac:dyDescent="0.25">
      <c r="B165">
        <v>244</v>
      </c>
      <c r="C165" t="s">
        <v>311</v>
      </c>
      <c r="D165" t="s">
        <v>241</v>
      </c>
      <c r="E165">
        <v>1.3305</v>
      </c>
    </row>
    <row r="166" spans="2:5" x14ac:dyDescent="0.25">
      <c r="B166">
        <v>245</v>
      </c>
      <c r="C166" t="s">
        <v>312</v>
      </c>
      <c r="D166" t="s">
        <v>241</v>
      </c>
      <c r="E166">
        <v>0.89800000000000002</v>
      </c>
    </row>
    <row r="167" spans="2:5" x14ac:dyDescent="0.25">
      <c r="B167">
        <v>246</v>
      </c>
      <c r="C167" t="s">
        <v>313</v>
      </c>
      <c r="D167" t="s">
        <v>241</v>
      </c>
      <c r="E167">
        <v>0.16389999999999999</v>
      </c>
    </row>
    <row r="168" spans="2:5" x14ac:dyDescent="0.25">
      <c r="B168">
        <v>247</v>
      </c>
      <c r="C168" t="s">
        <v>314</v>
      </c>
      <c r="D168" t="s">
        <v>241</v>
      </c>
      <c r="E168">
        <v>0.72430000000000005</v>
      </c>
    </row>
    <row r="169" spans="2:5" x14ac:dyDescent="0.25">
      <c r="B169">
        <v>248</v>
      </c>
      <c r="C169" t="s">
        <v>315</v>
      </c>
      <c r="D169" t="s">
        <v>241</v>
      </c>
      <c r="E169">
        <v>0.27339999999999998</v>
      </c>
    </row>
    <row r="170" spans="2:5" x14ac:dyDescent="0.25">
      <c r="B170">
        <v>249</v>
      </c>
      <c r="C170" t="s">
        <v>316</v>
      </c>
      <c r="D170" t="s">
        <v>241</v>
      </c>
      <c r="E170">
        <v>0.74839999999999995</v>
      </c>
    </row>
    <row r="171" spans="2:5" x14ac:dyDescent="0.25">
      <c r="B171">
        <v>250</v>
      </c>
      <c r="C171" t="s">
        <v>317</v>
      </c>
      <c r="D171" t="s">
        <v>241</v>
      </c>
      <c r="E171">
        <v>0.27900000000000003</v>
      </c>
    </row>
    <row r="172" spans="2:5" x14ac:dyDescent="0.25">
      <c r="B172">
        <v>251</v>
      </c>
      <c r="C172" t="s">
        <v>308</v>
      </c>
      <c r="D172" t="s">
        <v>241</v>
      </c>
      <c r="E172">
        <v>0.18990000000000001</v>
      </c>
    </row>
    <row r="173" spans="2:5" x14ac:dyDescent="0.25">
      <c r="B173">
        <v>252</v>
      </c>
      <c r="C173" t="s">
        <v>309</v>
      </c>
      <c r="D173" t="s">
        <v>241</v>
      </c>
      <c r="E173">
        <v>0.1439</v>
      </c>
    </row>
    <row r="174" spans="2:5" x14ac:dyDescent="0.25">
      <c r="B174">
        <v>253</v>
      </c>
      <c r="C174" t="s">
        <v>310</v>
      </c>
      <c r="D174" t="s">
        <v>241</v>
      </c>
      <c r="E174">
        <v>6.3E-2</v>
      </c>
    </row>
    <row r="175" spans="2:5" x14ac:dyDescent="0.25">
      <c r="B175">
        <v>254</v>
      </c>
      <c r="C175" t="s">
        <v>311</v>
      </c>
      <c r="D175" t="s">
        <v>241</v>
      </c>
      <c r="E175">
        <v>1.5788</v>
      </c>
    </row>
    <row r="176" spans="2:5" x14ac:dyDescent="0.25">
      <c r="B176">
        <v>255</v>
      </c>
      <c r="C176" t="s">
        <v>312</v>
      </c>
      <c r="D176" t="s">
        <v>241</v>
      </c>
      <c r="E176">
        <v>1.4593</v>
      </c>
    </row>
    <row r="177" spans="2:5" x14ac:dyDescent="0.25">
      <c r="B177">
        <v>256</v>
      </c>
      <c r="C177" t="s">
        <v>313</v>
      </c>
      <c r="D177" t="s">
        <v>241</v>
      </c>
      <c r="E177">
        <v>0.80649999999999999</v>
      </c>
    </row>
    <row r="178" spans="2:5" x14ac:dyDescent="0.25">
      <c r="B178">
        <v>257</v>
      </c>
      <c r="C178" t="s">
        <v>314</v>
      </c>
      <c r="D178" t="s">
        <v>241</v>
      </c>
      <c r="E178">
        <v>0.1139</v>
      </c>
    </row>
    <row r="179" spans="2:5" x14ac:dyDescent="0.25">
      <c r="B179">
        <v>258</v>
      </c>
      <c r="C179" t="s">
        <v>315</v>
      </c>
      <c r="D179" t="s">
        <v>241</v>
      </c>
      <c r="E179">
        <v>0.18029999999999999</v>
      </c>
    </row>
    <row r="180" spans="2:5" x14ac:dyDescent="0.25">
      <c r="B180">
        <v>259</v>
      </c>
      <c r="C180" t="s">
        <v>316</v>
      </c>
      <c r="D180" t="s">
        <v>241</v>
      </c>
      <c r="E180">
        <v>0.34870000000000001</v>
      </c>
    </row>
    <row r="181" spans="2:5" x14ac:dyDescent="0.25">
      <c r="B181">
        <v>260</v>
      </c>
      <c r="C181" t="s">
        <v>317</v>
      </c>
      <c r="D181" t="s">
        <v>241</v>
      </c>
      <c r="E181">
        <v>1.218</v>
      </c>
    </row>
    <row r="182" spans="2:5" x14ac:dyDescent="0.25">
      <c r="B182">
        <v>261</v>
      </c>
      <c r="C182" t="s">
        <v>308</v>
      </c>
      <c r="D182" t="s">
        <v>241</v>
      </c>
      <c r="E182">
        <v>6.0600000000000001E-2</v>
      </c>
    </row>
    <row r="183" spans="2:5" x14ac:dyDescent="0.25">
      <c r="B183">
        <v>262</v>
      </c>
      <c r="C183" t="s">
        <v>309</v>
      </c>
      <c r="D183" t="s">
        <v>241</v>
      </c>
      <c r="E183">
        <v>0.47970000000000002</v>
      </c>
    </row>
    <row r="184" spans="2:5" x14ac:dyDescent="0.25">
      <c r="B184">
        <v>263</v>
      </c>
      <c r="C184" t="s">
        <v>310</v>
      </c>
      <c r="D184" t="s">
        <v>241</v>
      </c>
      <c r="E184">
        <v>0.6462</v>
      </c>
    </row>
    <row r="185" spans="2:5" x14ac:dyDescent="0.25">
      <c r="B185">
        <v>264</v>
      </c>
      <c r="C185" t="s">
        <v>311</v>
      </c>
      <c r="D185" t="s">
        <v>241</v>
      </c>
      <c r="E185">
        <v>0.78149999999999997</v>
      </c>
    </row>
    <row r="186" spans="2:5" x14ac:dyDescent="0.25">
      <c r="B186">
        <v>265</v>
      </c>
      <c r="C186" t="s">
        <v>312</v>
      </c>
      <c r="D186" t="s">
        <v>241</v>
      </c>
      <c r="E186">
        <v>1.0267999999999999</v>
      </c>
    </row>
    <row r="187" spans="2:5" x14ac:dyDescent="0.25">
      <c r="B187">
        <v>266</v>
      </c>
      <c r="C187" t="s">
        <v>313</v>
      </c>
      <c r="D187" t="s">
        <v>241</v>
      </c>
      <c r="E187">
        <v>0.246</v>
      </c>
    </row>
    <row r="188" spans="2:5" x14ac:dyDescent="0.25">
      <c r="B188">
        <v>267</v>
      </c>
      <c r="C188" t="s">
        <v>314</v>
      </c>
      <c r="D188" t="s">
        <v>241</v>
      </c>
      <c r="E188">
        <v>0.2233</v>
      </c>
    </row>
    <row r="189" spans="2:5" x14ac:dyDescent="0.25">
      <c r="B189">
        <v>268</v>
      </c>
      <c r="C189" t="s">
        <v>315</v>
      </c>
      <c r="D189" t="s">
        <v>241</v>
      </c>
      <c r="E189">
        <v>0.85189999999999999</v>
      </c>
    </row>
    <row r="190" spans="2:5" x14ac:dyDescent="0.25">
      <c r="B190">
        <v>269</v>
      </c>
      <c r="C190" t="s">
        <v>316</v>
      </c>
      <c r="D190" t="s">
        <v>241</v>
      </c>
      <c r="E190">
        <v>0.64990000000000003</v>
      </c>
    </row>
    <row r="191" spans="2:5" x14ac:dyDescent="0.25">
      <c r="B191">
        <v>270</v>
      </c>
      <c r="C191" t="s">
        <v>317</v>
      </c>
      <c r="D191" t="s">
        <v>241</v>
      </c>
      <c r="E191">
        <v>2.3668</v>
      </c>
    </row>
    <row r="192" spans="2:5" x14ac:dyDescent="0.25">
      <c r="B192">
        <v>271</v>
      </c>
      <c r="C192" t="s">
        <v>308</v>
      </c>
      <c r="D192" t="s">
        <v>241</v>
      </c>
      <c r="E192">
        <v>0.89259999999999995</v>
      </c>
    </row>
    <row r="193" spans="2:5" x14ac:dyDescent="0.25">
      <c r="B193">
        <v>272</v>
      </c>
      <c r="C193" t="s">
        <v>309</v>
      </c>
      <c r="D193" t="s">
        <v>241</v>
      </c>
      <c r="E193">
        <v>0.61980000000000002</v>
      </c>
    </row>
    <row r="194" spans="2:5" x14ac:dyDescent="0.25">
      <c r="B194">
        <v>273</v>
      </c>
      <c r="C194" t="s">
        <v>310</v>
      </c>
      <c r="D194" t="s">
        <v>241</v>
      </c>
      <c r="E194">
        <v>8.3099999999999993E-2</v>
      </c>
    </row>
    <row r="195" spans="2:5" x14ac:dyDescent="0.25">
      <c r="B195">
        <v>274</v>
      </c>
      <c r="C195" t="s">
        <v>311</v>
      </c>
      <c r="D195" t="s">
        <v>241</v>
      </c>
      <c r="E195">
        <v>1.1513</v>
      </c>
    </row>
    <row r="196" spans="2:5" x14ac:dyDescent="0.25">
      <c r="B196">
        <v>275</v>
      </c>
      <c r="C196" t="s">
        <v>312</v>
      </c>
      <c r="D196" t="s">
        <v>241</v>
      </c>
      <c r="E196">
        <v>0.28210000000000002</v>
      </c>
    </row>
    <row r="197" spans="2:5" x14ac:dyDescent="0.25">
      <c r="B197">
        <v>276</v>
      </c>
      <c r="C197" t="s">
        <v>313</v>
      </c>
      <c r="D197" t="s">
        <v>241</v>
      </c>
      <c r="E197">
        <v>0.80049999999999999</v>
      </c>
    </row>
    <row r="198" spans="2:5" x14ac:dyDescent="0.25">
      <c r="B198">
        <v>277</v>
      </c>
      <c r="C198" t="s">
        <v>314</v>
      </c>
      <c r="D198" t="s">
        <v>241</v>
      </c>
      <c r="E198">
        <v>0.33079999999999998</v>
      </c>
    </row>
    <row r="199" spans="2:5" x14ac:dyDescent="0.25">
      <c r="B199">
        <v>278</v>
      </c>
      <c r="C199" t="s">
        <v>315</v>
      </c>
      <c r="D199" t="s">
        <v>241</v>
      </c>
      <c r="E199">
        <v>0.8478</v>
      </c>
    </row>
    <row r="200" spans="2:5" x14ac:dyDescent="0.25">
      <c r="B200">
        <v>279</v>
      </c>
      <c r="C200" t="s">
        <v>316</v>
      </c>
      <c r="D200" t="s">
        <v>241</v>
      </c>
      <c r="E200">
        <v>0.31509999999999999</v>
      </c>
    </row>
    <row r="201" spans="2:5" x14ac:dyDescent="0.25">
      <c r="B201">
        <v>280</v>
      </c>
      <c r="C201" t="s">
        <v>317</v>
      </c>
      <c r="D201" t="s">
        <v>241</v>
      </c>
      <c r="E201">
        <v>0.31950000000000001</v>
      </c>
    </row>
    <row r="202" spans="2:5" x14ac:dyDescent="0.25">
      <c r="B202">
        <v>281</v>
      </c>
      <c r="C202" t="s">
        <v>308</v>
      </c>
      <c r="D202" t="s">
        <v>241</v>
      </c>
      <c r="E202">
        <v>0.18920000000000001</v>
      </c>
    </row>
    <row r="203" spans="2:5" x14ac:dyDescent="0.25">
      <c r="B203">
        <v>282</v>
      </c>
      <c r="C203" t="s">
        <v>309</v>
      </c>
      <c r="D203" t="s">
        <v>241</v>
      </c>
      <c r="E203">
        <v>0.44640000000000002</v>
      </c>
    </row>
    <row r="204" spans="2:5" x14ac:dyDescent="0.25">
      <c r="B204">
        <v>283</v>
      </c>
      <c r="C204" t="s">
        <v>310</v>
      </c>
      <c r="D204" t="s">
        <v>241</v>
      </c>
      <c r="E204">
        <v>-1.67E-2</v>
      </c>
    </row>
    <row r="205" spans="2:5" x14ac:dyDescent="0.25">
      <c r="B205">
        <v>284</v>
      </c>
      <c r="C205" t="s">
        <v>311</v>
      </c>
      <c r="D205" t="s">
        <v>241</v>
      </c>
      <c r="E205">
        <v>0.14960000000000001</v>
      </c>
    </row>
    <row r="206" spans="2:5" x14ac:dyDescent="0.25">
      <c r="B206">
        <v>285</v>
      </c>
      <c r="C206" t="s">
        <v>312</v>
      </c>
      <c r="D206" t="s">
        <v>241</v>
      </c>
      <c r="E206">
        <v>0.31840000000000002</v>
      </c>
    </row>
    <row r="207" spans="2:5" x14ac:dyDescent="0.25">
      <c r="B207">
        <v>286</v>
      </c>
      <c r="C207" t="s">
        <v>313</v>
      </c>
      <c r="D207" t="s">
        <v>241</v>
      </c>
      <c r="E207">
        <v>0.33479999999999999</v>
      </c>
    </row>
    <row r="208" spans="2:5" x14ac:dyDescent="0.25">
      <c r="B208">
        <v>287</v>
      </c>
      <c r="C208" t="s">
        <v>314</v>
      </c>
      <c r="D208" t="s">
        <v>241</v>
      </c>
      <c r="E208">
        <v>0.50170000000000003</v>
      </c>
    </row>
    <row r="209" spans="2:11" x14ac:dyDescent="0.25">
      <c r="B209">
        <v>288</v>
      </c>
      <c r="C209" t="s">
        <v>315</v>
      </c>
      <c r="D209" t="s">
        <v>241</v>
      </c>
      <c r="E209">
        <v>2.4771999999999998</v>
      </c>
    </row>
    <row r="210" spans="2:11" x14ac:dyDescent="0.25">
      <c r="B210">
        <v>289</v>
      </c>
      <c r="C210" t="s">
        <v>316</v>
      </c>
      <c r="D210" t="s">
        <v>241</v>
      </c>
      <c r="E210">
        <v>0.28899999999999998</v>
      </c>
    </row>
    <row r="211" spans="2:11" x14ac:dyDescent="0.25">
      <c r="B211">
        <v>290</v>
      </c>
      <c r="C211" t="s">
        <v>317</v>
      </c>
      <c r="D211" t="s">
        <v>241</v>
      </c>
      <c r="E211">
        <v>0.17419999999999999</v>
      </c>
    </row>
    <row r="212" spans="2:11" x14ac:dyDescent="0.25">
      <c r="B212">
        <v>-1</v>
      </c>
    </row>
    <row r="213" spans="2:11" x14ac:dyDescent="0.25">
      <c r="B213">
        <v>6224</v>
      </c>
      <c r="C213" s="243">
        <v>-7713.1262757699997</v>
      </c>
      <c r="D213" s="243">
        <v>-24166.840237699998</v>
      </c>
      <c r="E213" s="243">
        <v>-15453.864181499999</v>
      </c>
    </row>
    <row r="214" spans="2:11" x14ac:dyDescent="0.25">
      <c r="B214">
        <v>5</v>
      </c>
      <c r="C214" t="s">
        <v>340</v>
      </c>
      <c r="D214" t="s">
        <v>239</v>
      </c>
      <c r="E214">
        <v>24</v>
      </c>
      <c r="F214" t="s">
        <v>339</v>
      </c>
      <c r="G214">
        <v>12</v>
      </c>
    </row>
    <row r="215" spans="2:11" x14ac:dyDescent="0.25">
      <c r="B215">
        <v>0</v>
      </c>
      <c r="C215">
        <v>0</v>
      </c>
      <c r="D215">
        <v>50095</v>
      </c>
      <c r="E215">
        <v>0</v>
      </c>
      <c r="F215">
        <v>37648</v>
      </c>
      <c r="G215">
        <v>21541</v>
      </c>
      <c r="H215">
        <v>0</v>
      </c>
      <c r="I215">
        <v>36518</v>
      </c>
      <c r="J215">
        <v>39322</v>
      </c>
      <c r="K215">
        <v>-31713</v>
      </c>
    </row>
    <row r="216" spans="2:11" x14ac:dyDescent="0.25">
      <c r="B216">
        <v>0</v>
      </c>
      <c r="C216" s="243">
        <v>51829</v>
      </c>
      <c r="D216" s="243">
        <v>24246</v>
      </c>
      <c r="E216" s="243">
        <v>26401</v>
      </c>
      <c r="F216">
        <v>-18599</v>
      </c>
      <c r="G216">
        <v>0</v>
      </c>
      <c r="H216">
        <v>-31358</v>
      </c>
      <c r="I216">
        <v>2745</v>
      </c>
      <c r="J216">
        <v>-4649</v>
      </c>
      <c r="K216">
        <v>-3404</v>
      </c>
    </row>
    <row r="217" spans="2:11" x14ac:dyDescent="0.25">
      <c r="B217">
        <v>-16445</v>
      </c>
      <c r="C217">
        <v>0</v>
      </c>
      <c r="D217">
        <v>-6300</v>
      </c>
      <c r="E217">
        <v>-1444</v>
      </c>
      <c r="F217">
        <v>-3498</v>
      </c>
      <c r="G217">
        <v>-2333</v>
      </c>
      <c r="H217">
        <v>-3219</v>
      </c>
      <c r="I217">
        <v>4510</v>
      </c>
      <c r="J217">
        <v>0</v>
      </c>
      <c r="K217">
        <v>-737</v>
      </c>
    </row>
    <row r="218" spans="2:11" x14ac:dyDescent="0.25">
      <c r="B218">
        <v>-440</v>
      </c>
      <c r="C218">
        <v>-20</v>
      </c>
      <c r="D218">
        <v>-498</v>
      </c>
      <c r="E218">
        <v>340</v>
      </c>
      <c r="F218">
        <v>-286</v>
      </c>
      <c r="G218">
        <v>7114</v>
      </c>
      <c r="H218">
        <v>0</v>
      </c>
      <c r="I218">
        <v>-7920</v>
      </c>
      <c r="J218">
        <v>19236</v>
      </c>
      <c r="K218">
        <v>-6067</v>
      </c>
    </row>
    <row r="219" spans="2:11" x14ac:dyDescent="0.25">
      <c r="B219">
        <v>2987</v>
      </c>
      <c r="C219">
        <v>-5727</v>
      </c>
      <c r="D219">
        <v>15260</v>
      </c>
      <c r="E219">
        <v>2907</v>
      </c>
      <c r="F219">
        <v>-9592</v>
      </c>
      <c r="G219">
        <v>0</v>
      </c>
      <c r="H219">
        <v>-811</v>
      </c>
      <c r="I219">
        <v>-4969</v>
      </c>
      <c r="J219">
        <v>3346</v>
      </c>
      <c r="K219">
        <v>-312</v>
      </c>
    </row>
    <row r="220" spans="2:11" x14ac:dyDescent="0.25">
      <c r="B220">
        <v>1270</v>
      </c>
      <c r="C220">
        <v>338</v>
      </c>
      <c r="D220">
        <v>2178</v>
      </c>
      <c r="E220">
        <v>-131</v>
      </c>
      <c r="F220">
        <v>6977</v>
      </c>
      <c r="G220">
        <v>0</v>
      </c>
      <c r="H220">
        <v>-5366</v>
      </c>
      <c r="I220">
        <v>7781</v>
      </c>
      <c r="J220">
        <v>-2368</v>
      </c>
      <c r="K220">
        <v>-258</v>
      </c>
    </row>
    <row r="221" spans="2:11" x14ac:dyDescent="0.25">
      <c r="B221">
        <v>-3889</v>
      </c>
      <c r="C221">
        <v>5632</v>
      </c>
      <c r="D221">
        <v>-3037</v>
      </c>
      <c r="E221">
        <v>-71</v>
      </c>
      <c r="F221">
        <v>14660</v>
      </c>
      <c r="G221">
        <v>10088</v>
      </c>
      <c r="H221">
        <v>0</v>
      </c>
      <c r="I221">
        <v>471</v>
      </c>
      <c r="J221">
        <v>-8782</v>
      </c>
      <c r="K221">
        <v>193</v>
      </c>
    </row>
    <row r="222" spans="2:11" x14ac:dyDescent="0.25">
      <c r="B222">
        <v>-415</v>
      </c>
      <c r="C222">
        <v>458</v>
      </c>
      <c r="D222">
        <v>2837</v>
      </c>
      <c r="E222">
        <v>-5459</v>
      </c>
      <c r="F222">
        <v>-1718</v>
      </c>
      <c r="G222">
        <v>5132</v>
      </c>
      <c r="H222">
        <v>-51084</v>
      </c>
      <c r="I222">
        <v>-5971</v>
      </c>
      <c r="J222">
        <v>0</v>
      </c>
      <c r="K222">
        <v>2800</v>
      </c>
    </row>
    <row r="223" spans="2:11" x14ac:dyDescent="0.25">
      <c r="B223">
        <v>-3021</v>
      </c>
      <c r="C223">
        <v>736</v>
      </c>
      <c r="D223">
        <v>112</v>
      </c>
      <c r="E223">
        <v>2528</v>
      </c>
      <c r="F223">
        <v>-32505</v>
      </c>
      <c r="G223">
        <v>-649</v>
      </c>
      <c r="H223">
        <v>-515</v>
      </c>
      <c r="I223">
        <v>15845</v>
      </c>
      <c r="J223">
        <v>11200</v>
      </c>
      <c r="K223">
        <v>8047</v>
      </c>
    </row>
    <row r="224" spans="2:11" x14ac:dyDescent="0.25">
      <c r="B224">
        <v>-2995</v>
      </c>
      <c r="C224">
        <v>0</v>
      </c>
      <c r="D224">
        <v>184</v>
      </c>
      <c r="E224">
        <v>244</v>
      </c>
      <c r="F224">
        <v>-52</v>
      </c>
      <c r="G224">
        <v>-125</v>
      </c>
      <c r="H224">
        <v>380</v>
      </c>
      <c r="I224">
        <v>145</v>
      </c>
      <c r="J224">
        <v>780</v>
      </c>
      <c r="K224">
        <v>-754</v>
      </c>
    </row>
    <row r="225" spans="2:11" x14ac:dyDescent="0.25">
      <c r="B225">
        <v>-302</v>
      </c>
      <c r="C225">
        <v>267</v>
      </c>
      <c r="D225">
        <v>122</v>
      </c>
      <c r="E225">
        <v>-329</v>
      </c>
      <c r="F225">
        <v>171</v>
      </c>
      <c r="G225">
        <v>0</v>
      </c>
      <c r="H225">
        <v>-236</v>
      </c>
      <c r="I225">
        <v>-418</v>
      </c>
      <c r="J225">
        <v>-23</v>
      </c>
      <c r="K225">
        <v>-182</v>
      </c>
    </row>
    <row r="226" spans="2:11" x14ac:dyDescent="0.25">
      <c r="B226">
        <v>38</v>
      </c>
      <c r="C226">
        <v>843</v>
      </c>
      <c r="D226">
        <v>367</v>
      </c>
      <c r="E226">
        <v>-44</v>
      </c>
      <c r="F226">
        <v>21</v>
      </c>
      <c r="G226">
        <v>165</v>
      </c>
      <c r="H226">
        <v>-67</v>
      </c>
      <c r="I226">
        <v>-203</v>
      </c>
      <c r="J226">
        <v>331</v>
      </c>
      <c r="K226">
        <v>1106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-39516</v>
      </c>
      <c r="E232">
        <v>-20630</v>
      </c>
      <c r="F232">
        <v>-15401</v>
      </c>
      <c r="G232">
        <v>-21737</v>
      </c>
      <c r="H232">
        <v>-4342</v>
      </c>
      <c r="I232">
        <v>8825</v>
      </c>
      <c r="J232">
        <v>17967</v>
      </c>
      <c r="K232">
        <v>3076</v>
      </c>
    </row>
    <row r="233" spans="2:11" x14ac:dyDescent="0.25">
      <c r="B233">
        <v>7793</v>
      </c>
      <c r="C233">
        <v>2275</v>
      </c>
      <c r="D233">
        <v>5019</v>
      </c>
      <c r="E233">
        <v>-660</v>
      </c>
      <c r="F233">
        <v>6015</v>
      </c>
      <c r="G233">
        <v>40</v>
      </c>
      <c r="H233">
        <v>244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-1165</v>
      </c>
      <c r="D234">
        <v>-1939</v>
      </c>
      <c r="E234">
        <v>482</v>
      </c>
      <c r="F234">
        <v>-3544</v>
      </c>
      <c r="G234">
        <v>3897</v>
      </c>
      <c r="H234">
        <v>-906</v>
      </c>
      <c r="I234">
        <v>4013</v>
      </c>
      <c r="J234">
        <v>392</v>
      </c>
      <c r="K234">
        <v>1210</v>
      </c>
    </row>
    <row r="235" spans="2:11" x14ac:dyDescent="0.25">
      <c r="B235">
        <v>-706</v>
      </c>
      <c r="C235">
        <v>-1574</v>
      </c>
      <c r="D235">
        <v>1104</v>
      </c>
      <c r="E235">
        <v>2081</v>
      </c>
      <c r="F235">
        <v>-16</v>
      </c>
      <c r="G235">
        <v>115</v>
      </c>
      <c r="H235">
        <v>0</v>
      </c>
      <c r="I235">
        <v>0</v>
      </c>
      <c r="J235">
        <v>0</v>
      </c>
      <c r="K235">
        <v>23746</v>
      </c>
    </row>
    <row r="236" spans="2:11" x14ac:dyDescent="0.25">
      <c r="B236">
        <v>0</v>
      </c>
      <c r="C236">
        <v>6734</v>
      </c>
      <c r="D236">
        <v>5183</v>
      </c>
      <c r="E236">
        <v>-15946</v>
      </c>
      <c r="F236">
        <v>12561</v>
      </c>
      <c r="G236">
        <v>5863</v>
      </c>
      <c r="H236">
        <v>-4009</v>
      </c>
      <c r="I236">
        <v>-14</v>
      </c>
      <c r="J236">
        <v>221</v>
      </c>
      <c r="K236">
        <v>-2240</v>
      </c>
    </row>
    <row r="237" spans="2:11" x14ac:dyDescent="0.25">
      <c r="B237">
        <v>-2835</v>
      </c>
      <c r="C237">
        <v>-3514</v>
      </c>
      <c r="D237">
        <v>-746</v>
      </c>
      <c r="E237">
        <v>-1597</v>
      </c>
      <c r="F237">
        <v>-281</v>
      </c>
      <c r="G237">
        <v>-74</v>
      </c>
      <c r="H237">
        <v>0</v>
      </c>
      <c r="I237">
        <v>0</v>
      </c>
      <c r="J237">
        <v>0</v>
      </c>
      <c r="K237">
        <v>12307</v>
      </c>
    </row>
    <row r="238" spans="2:11" x14ac:dyDescent="0.25">
      <c r="B238">
        <v>-45226</v>
      </c>
      <c r="C238">
        <v>0</v>
      </c>
      <c r="D238">
        <v>-5097</v>
      </c>
      <c r="E238">
        <v>-23128</v>
      </c>
      <c r="F238">
        <v>2054</v>
      </c>
      <c r="G238">
        <v>-23646</v>
      </c>
      <c r="H238">
        <v>10173</v>
      </c>
      <c r="I238">
        <v>-6955</v>
      </c>
      <c r="J238">
        <v>5675</v>
      </c>
      <c r="K238">
        <v>-249</v>
      </c>
    </row>
    <row r="239" spans="2:11" x14ac:dyDescent="0.25">
      <c r="B239">
        <v>-9386</v>
      </c>
      <c r="C239">
        <v>-530</v>
      </c>
      <c r="D239">
        <v>-5108</v>
      </c>
      <c r="E239">
        <v>-698</v>
      </c>
      <c r="F239">
        <v>-2477</v>
      </c>
      <c r="G239">
        <v>95</v>
      </c>
      <c r="H239">
        <v>133</v>
      </c>
      <c r="I239">
        <v>0</v>
      </c>
      <c r="J239">
        <v>0</v>
      </c>
      <c r="K239">
        <v>0</v>
      </c>
    </row>
    <row r="240" spans="2:11" x14ac:dyDescent="0.25">
      <c r="B240">
        <v>68354</v>
      </c>
      <c r="C240">
        <v>26976</v>
      </c>
      <c r="D240">
        <v>-22180</v>
      </c>
      <c r="E240">
        <v>0</v>
      </c>
      <c r="F240">
        <v>838</v>
      </c>
      <c r="G240">
        <v>603</v>
      </c>
      <c r="H240">
        <v>1608</v>
      </c>
      <c r="I240">
        <v>132</v>
      </c>
      <c r="J240">
        <v>-94</v>
      </c>
      <c r="K240">
        <v>-144</v>
      </c>
    </row>
    <row r="241" spans="2:11" x14ac:dyDescent="0.25">
      <c r="B241">
        <v>779</v>
      </c>
      <c r="C241">
        <v>543</v>
      </c>
      <c r="D241">
        <v>-273</v>
      </c>
      <c r="E241">
        <v>516</v>
      </c>
      <c r="F241">
        <v>-628</v>
      </c>
      <c r="G241">
        <v>630</v>
      </c>
      <c r="H241">
        <v>8</v>
      </c>
      <c r="I241">
        <v>648</v>
      </c>
      <c r="J241">
        <v>416</v>
      </c>
      <c r="K241">
        <v>0</v>
      </c>
    </row>
    <row r="242" spans="2:11" x14ac:dyDescent="0.25">
      <c r="B242">
        <v>0</v>
      </c>
      <c r="C242">
        <v>0</v>
      </c>
      <c r="D242">
        <v>2384</v>
      </c>
      <c r="E242">
        <v>1745</v>
      </c>
      <c r="F242">
        <v>4996</v>
      </c>
      <c r="G242">
        <v>532</v>
      </c>
      <c r="H242">
        <v>0</v>
      </c>
      <c r="I242">
        <v>-987</v>
      </c>
      <c r="J242">
        <v>-755</v>
      </c>
      <c r="K242">
        <v>-1369</v>
      </c>
    </row>
    <row r="243" spans="2:11" x14ac:dyDescent="0.25">
      <c r="B243">
        <v>412</v>
      </c>
      <c r="C243">
        <v>-1791</v>
      </c>
      <c r="D243">
        <v>-377</v>
      </c>
      <c r="E243">
        <v>983</v>
      </c>
      <c r="F243">
        <v>398</v>
      </c>
      <c r="G243">
        <v>1891</v>
      </c>
      <c r="H243">
        <v>-1138</v>
      </c>
      <c r="I243">
        <v>-452</v>
      </c>
      <c r="J243">
        <v>1825</v>
      </c>
      <c r="K243">
        <v>4052</v>
      </c>
    </row>
    <row r="244" spans="2:11" x14ac:dyDescent="0.25">
      <c r="B244">
        <v>-1143</v>
      </c>
      <c r="C244">
        <v>-870</v>
      </c>
      <c r="D244">
        <v>0</v>
      </c>
      <c r="E244">
        <v>0</v>
      </c>
      <c r="F244">
        <v>0</v>
      </c>
      <c r="G244">
        <v>3024</v>
      </c>
      <c r="H244">
        <v>-3993</v>
      </c>
      <c r="I244">
        <v>999</v>
      </c>
      <c r="J244">
        <v>661</v>
      </c>
      <c r="K244">
        <v>-19148</v>
      </c>
    </row>
    <row r="245" spans="2:11" x14ac:dyDescent="0.25">
      <c r="B245">
        <v>0</v>
      </c>
      <c r="C245">
        <v>-6177</v>
      </c>
      <c r="D245">
        <v>-5108</v>
      </c>
      <c r="E245">
        <v>-4090</v>
      </c>
      <c r="F245">
        <v>-3073</v>
      </c>
      <c r="G245">
        <v>-4557</v>
      </c>
      <c r="H245">
        <v>-564</v>
      </c>
      <c r="I245">
        <v>17695</v>
      </c>
      <c r="J245">
        <v>2270</v>
      </c>
      <c r="K245">
        <v>6684</v>
      </c>
    </row>
    <row r="246" spans="2:11" x14ac:dyDescent="0.25">
      <c r="B246">
        <v>-7152</v>
      </c>
      <c r="C246">
        <v>-4316</v>
      </c>
      <c r="D246">
        <v>488</v>
      </c>
      <c r="E246">
        <v>69</v>
      </c>
      <c r="F246">
        <v>602</v>
      </c>
      <c r="G246">
        <v>2127</v>
      </c>
      <c r="H246">
        <v>0</v>
      </c>
      <c r="I246">
        <v>0</v>
      </c>
      <c r="J246">
        <v>0</v>
      </c>
      <c r="K246">
        <v>5107</v>
      </c>
    </row>
    <row r="247" spans="2:11" x14ac:dyDescent="0.25">
      <c r="B247">
        <v>966</v>
      </c>
      <c r="C247">
        <v>-46</v>
      </c>
      <c r="D247">
        <v>2037</v>
      </c>
      <c r="E247">
        <v>-2</v>
      </c>
      <c r="F247">
        <v>477</v>
      </c>
      <c r="G247">
        <v>0</v>
      </c>
      <c r="H247">
        <v>5768</v>
      </c>
      <c r="I247">
        <v>1305</v>
      </c>
      <c r="J247">
        <v>2306</v>
      </c>
      <c r="K247">
        <v>413</v>
      </c>
    </row>
    <row r="248" spans="2:11" x14ac:dyDescent="0.25">
      <c r="B248">
        <v>2989</v>
      </c>
      <c r="C248">
        <v>-6243</v>
      </c>
      <c r="D248">
        <v>2928</v>
      </c>
      <c r="E248">
        <v>-51</v>
      </c>
      <c r="F248">
        <v>-57</v>
      </c>
      <c r="G248">
        <v>-3901</v>
      </c>
      <c r="H248">
        <v>-1802</v>
      </c>
      <c r="I248">
        <v>869</v>
      </c>
      <c r="J248">
        <v>-350</v>
      </c>
      <c r="K248">
        <v>847</v>
      </c>
    </row>
    <row r="249" spans="2:11" x14ac:dyDescent="0.25">
      <c r="B249">
        <v>940</v>
      </c>
      <c r="C249">
        <v>0</v>
      </c>
      <c r="D249">
        <v>0</v>
      </c>
      <c r="E249">
        <v>0</v>
      </c>
      <c r="F249">
        <v>-1695</v>
      </c>
      <c r="G249">
        <v>185</v>
      </c>
      <c r="H249">
        <v>415</v>
      </c>
      <c r="I249">
        <v>836</v>
      </c>
      <c r="J249">
        <v>175</v>
      </c>
      <c r="K249">
        <v>-339</v>
      </c>
    </row>
    <row r="250" spans="2:11" x14ac:dyDescent="0.25">
      <c r="B250">
        <v>24569</v>
      </c>
      <c r="C250">
        <v>0</v>
      </c>
      <c r="D250">
        <v>16644</v>
      </c>
      <c r="E250">
        <v>7130</v>
      </c>
      <c r="F250">
        <v>-13002</v>
      </c>
      <c r="G250">
        <v>17312</v>
      </c>
      <c r="H250">
        <v>5964</v>
      </c>
      <c r="I250">
        <v>-10469</v>
      </c>
      <c r="J250">
        <v>2876</v>
      </c>
      <c r="K250">
        <v>-586</v>
      </c>
    </row>
    <row r="251" spans="2:11" x14ac:dyDescent="0.25">
      <c r="B251">
        <v>-7383</v>
      </c>
      <c r="C251">
        <v>-5986</v>
      </c>
      <c r="D251">
        <v>-4485</v>
      </c>
      <c r="E251">
        <v>-138</v>
      </c>
      <c r="F251">
        <v>-2653</v>
      </c>
      <c r="G251">
        <v>-426</v>
      </c>
      <c r="H251">
        <v>752</v>
      </c>
      <c r="I251">
        <v>0</v>
      </c>
      <c r="J251">
        <v>0</v>
      </c>
      <c r="K251">
        <v>0</v>
      </c>
    </row>
    <row r="252" spans="2:11" x14ac:dyDescent="0.25">
      <c r="B252">
        <v>-6594</v>
      </c>
      <c r="C252">
        <v>-355</v>
      </c>
      <c r="D252">
        <v>5682</v>
      </c>
      <c r="E252">
        <v>-1029</v>
      </c>
      <c r="F252">
        <v>-122</v>
      </c>
      <c r="G252">
        <v>-88</v>
      </c>
      <c r="H252">
        <v>32012</v>
      </c>
      <c r="I252">
        <v>-32900</v>
      </c>
      <c r="J252">
        <v>0</v>
      </c>
      <c r="K252">
        <v>10764</v>
      </c>
    </row>
    <row r="253" spans="2:11" x14ac:dyDescent="0.25">
      <c r="B253">
        <v>-17727</v>
      </c>
      <c r="C253">
        <v>9114</v>
      </c>
      <c r="D253">
        <v>-18906</v>
      </c>
      <c r="E253">
        <v>12416</v>
      </c>
      <c r="F253">
        <v>-13823</v>
      </c>
      <c r="G253">
        <v>4345</v>
      </c>
      <c r="H253">
        <v>-80</v>
      </c>
      <c r="I253">
        <v>-17401</v>
      </c>
      <c r="J253">
        <v>-6714</v>
      </c>
      <c r="K253">
        <v>-10504</v>
      </c>
    </row>
    <row r="254" spans="2:11" x14ac:dyDescent="0.25">
      <c r="B254">
        <v>-1379</v>
      </c>
      <c r="C254">
        <v>-5409</v>
      </c>
      <c r="D254">
        <v>732</v>
      </c>
      <c r="E254">
        <v>1016</v>
      </c>
      <c r="F254">
        <v>0</v>
      </c>
      <c r="G254">
        <v>0</v>
      </c>
      <c r="H254">
        <v>0</v>
      </c>
      <c r="I254">
        <v>-2844</v>
      </c>
      <c r="J254">
        <v>865</v>
      </c>
      <c r="K254">
        <v>-356</v>
      </c>
    </row>
    <row r="255" spans="2:11" x14ac:dyDescent="0.25">
      <c r="B255">
        <v>10588</v>
      </c>
      <c r="C255">
        <v>67</v>
      </c>
      <c r="D255">
        <v>-599</v>
      </c>
      <c r="E255">
        <v>56363</v>
      </c>
      <c r="F255">
        <v>24733</v>
      </c>
      <c r="G255">
        <v>-15402</v>
      </c>
      <c r="H255">
        <v>0</v>
      </c>
      <c r="I255">
        <v>24445</v>
      </c>
      <c r="J255">
        <v>9436</v>
      </c>
      <c r="K255">
        <v>8196</v>
      </c>
    </row>
    <row r="256" spans="2:11" x14ac:dyDescent="0.25">
      <c r="B256">
        <v>13013</v>
      </c>
      <c r="C256">
        <v>105</v>
      </c>
      <c r="D256">
        <v>-10300</v>
      </c>
      <c r="E256">
        <v>9017</v>
      </c>
      <c r="F256">
        <v>-768</v>
      </c>
      <c r="G256">
        <v>-6472</v>
      </c>
      <c r="H256">
        <v>-8509</v>
      </c>
      <c r="I256">
        <v>-6960</v>
      </c>
      <c r="J256">
        <v>-1199</v>
      </c>
      <c r="K256">
        <v>-4235</v>
      </c>
    </row>
    <row r="257" spans="2:11" x14ac:dyDescent="0.25">
      <c r="B257">
        <v>303</v>
      </c>
      <c r="C257">
        <v>1564</v>
      </c>
      <c r="D257">
        <v>0</v>
      </c>
      <c r="E257">
        <v>0</v>
      </c>
      <c r="F257">
        <v>0</v>
      </c>
      <c r="G257">
        <v>-11341</v>
      </c>
      <c r="H257">
        <v>-573</v>
      </c>
      <c r="I257">
        <v>1613</v>
      </c>
      <c r="J257">
        <v>-973</v>
      </c>
      <c r="K257">
        <v>259</v>
      </c>
    </row>
    <row r="258" spans="2:11" x14ac:dyDescent="0.25">
      <c r="B258">
        <v>18</v>
      </c>
      <c r="C258">
        <v>73071</v>
      </c>
      <c r="D258">
        <v>17996</v>
      </c>
      <c r="E258">
        <v>35379</v>
      </c>
      <c r="F258">
        <v>26808</v>
      </c>
      <c r="G258">
        <v>0</v>
      </c>
      <c r="H258">
        <v>1460</v>
      </c>
      <c r="I258">
        <v>749</v>
      </c>
      <c r="J258">
        <v>629</v>
      </c>
      <c r="K258">
        <v>231</v>
      </c>
    </row>
    <row r="259" spans="2:11" x14ac:dyDescent="0.25">
      <c r="B259">
        <v>575</v>
      </c>
      <c r="C259">
        <v>-509</v>
      </c>
      <c r="D259">
        <v>-635</v>
      </c>
      <c r="E259">
        <v>-871</v>
      </c>
      <c r="F259">
        <v>-581</v>
      </c>
      <c r="G259">
        <v>-1652</v>
      </c>
      <c r="H259">
        <v>317</v>
      </c>
      <c r="I259">
        <v>1576</v>
      </c>
      <c r="J259">
        <v>51</v>
      </c>
      <c r="K259">
        <v>378</v>
      </c>
    </row>
    <row r="260" spans="2:11" x14ac:dyDescent="0.25">
      <c r="B260">
        <v>-610</v>
      </c>
      <c r="C260">
        <v>0</v>
      </c>
      <c r="D260">
        <v>0</v>
      </c>
      <c r="E260">
        <v>0</v>
      </c>
      <c r="F260">
        <v>-734</v>
      </c>
      <c r="G260">
        <v>-43</v>
      </c>
      <c r="H260">
        <v>53</v>
      </c>
      <c r="I260">
        <v>-68</v>
      </c>
      <c r="J260">
        <v>126</v>
      </c>
      <c r="K260">
        <v>-294</v>
      </c>
    </row>
    <row r="261" spans="2:11" x14ac:dyDescent="0.25">
      <c r="B261">
        <v>610</v>
      </c>
      <c r="C261">
        <v>-449</v>
      </c>
      <c r="D261">
        <v>3459</v>
      </c>
      <c r="E261">
        <v>17</v>
      </c>
      <c r="F261">
        <v>914</v>
      </c>
      <c r="G261">
        <v>0</v>
      </c>
      <c r="H261">
        <v>-917</v>
      </c>
      <c r="I261">
        <v>-565</v>
      </c>
      <c r="J261">
        <v>-820</v>
      </c>
      <c r="K261">
        <v>191</v>
      </c>
    </row>
    <row r="262" spans="2:11" x14ac:dyDescent="0.25">
      <c r="B262">
        <v>-279</v>
      </c>
      <c r="C262">
        <v>1875</v>
      </c>
      <c r="D262">
        <v>229</v>
      </c>
      <c r="E262">
        <v>60</v>
      </c>
      <c r="F262">
        <v>955</v>
      </c>
      <c r="G262">
        <v>530</v>
      </c>
      <c r="H262">
        <v>89</v>
      </c>
      <c r="I262">
        <v>-244</v>
      </c>
      <c r="J262">
        <v>2121</v>
      </c>
      <c r="K262">
        <v>-4367</v>
      </c>
    </row>
    <row r="263" spans="2:11" x14ac:dyDescent="0.25">
      <c r="B263">
        <v>-4193</v>
      </c>
      <c r="C263">
        <v>0</v>
      </c>
      <c r="D263">
        <v>0</v>
      </c>
      <c r="E263">
        <v>0</v>
      </c>
      <c r="F263">
        <v>583</v>
      </c>
      <c r="G263">
        <v>75</v>
      </c>
      <c r="H263">
        <v>92</v>
      </c>
      <c r="I263">
        <v>-180</v>
      </c>
      <c r="J263">
        <v>-870</v>
      </c>
      <c r="K263">
        <v>2243</v>
      </c>
    </row>
    <row r="264" spans="2:11" x14ac:dyDescent="0.25">
      <c r="B264">
        <v>-3862</v>
      </c>
      <c r="C264">
        <v>-1670</v>
      </c>
      <c r="D264">
        <v>-4694</v>
      </c>
      <c r="E264">
        <v>-3420</v>
      </c>
      <c r="F264">
        <v>-3887</v>
      </c>
      <c r="G264">
        <v>-28039</v>
      </c>
      <c r="H264">
        <v>0</v>
      </c>
      <c r="I264">
        <v>20</v>
      </c>
      <c r="J264">
        <v>29</v>
      </c>
      <c r="K264">
        <v>43</v>
      </c>
    </row>
    <row r="265" spans="2:11" x14ac:dyDescent="0.25">
      <c r="B265">
        <v>-343</v>
      </c>
      <c r="C265">
        <v>-436</v>
      </c>
      <c r="D265">
        <v>-1144</v>
      </c>
      <c r="E265">
        <v>995</v>
      </c>
      <c r="F265">
        <v>519</v>
      </c>
      <c r="G265">
        <v>572</v>
      </c>
      <c r="H265">
        <v>-1080</v>
      </c>
      <c r="I265">
        <v>-857</v>
      </c>
      <c r="J265">
        <v>478</v>
      </c>
      <c r="K265">
        <v>1278</v>
      </c>
    </row>
    <row r="266" spans="2:11" x14ac:dyDescent="0.25">
      <c r="B266">
        <v>1588</v>
      </c>
      <c r="C266">
        <v>2040</v>
      </c>
      <c r="D266">
        <v>0</v>
      </c>
      <c r="E266">
        <v>0</v>
      </c>
      <c r="F266">
        <v>0</v>
      </c>
      <c r="G266">
        <v>167</v>
      </c>
      <c r="H266">
        <v>91</v>
      </c>
      <c r="I266">
        <v>29</v>
      </c>
      <c r="J266">
        <v>76</v>
      </c>
      <c r="K266">
        <v>-434</v>
      </c>
    </row>
    <row r="267" spans="2:11" x14ac:dyDescent="0.25">
      <c r="B267">
        <v>1236</v>
      </c>
      <c r="C267">
        <v>3092</v>
      </c>
      <c r="D267">
        <v>-1547</v>
      </c>
      <c r="E267">
        <v>988</v>
      </c>
      <c r="F267">
        <v>1924</v>
      </c>
      <c r="G267">
        <v>3332</v>
      </c>
      <c r="H267">
        <v>-14221</v>
      </c>
      <c r="I267">
        <v>-45264</v>
      </c>
      <c r="J267">
        <v>0</v>
      </c>
      <c r="K267">
        <v>-271</v>
      </c>
    </row>
    <row r="268" spans="2:11" x14ac:dyDescent="0.25">
      <c r="B268">
        <v>352</v>
      </c>
      <c r="C268">
        <v>-329</v>
      </c>
      <c r="D268">
        <v>410</v>
      </c>
      <c r="E268">
        <v>118</v>
      </c>
      <c r="F268">
        <v>-1282</v>
      </c>
      <c r="G268">
        <v>1881</v>
      </c>
      <c r="H268">
        <v>593</v>
      </c>
      <c r="I268">
        <v>1748</v>
      </c>
      <c r="J268">
        <v>-586</v>
      </c>
      <c r="K268">
        <v>-80</v>
      </c>
    </row>
    <row r="269" spans="2:11" x14ac:dyDescent="0.25">
      <c r="B269">
        <v>-55</v>
      </c>
      <c r="C269">
        <v>1385</v>
      </c>
      <c r="D269">
        <v>-1101</v>
      </c>
      <c r="E269">
        <v>-586</v>
      </c>
      <c r="F269">
        <v>0</v>
      </c>
      <c r="G269">
        <v>0</v>
      </c>
      <c r="H269">
        <v>0</v>
      </c>
      <c r="I269">
        <v>607</v>
      </c>
      <c r="J269">
        <v>132</v>
      </c>
      <c r="K269">
        <v>-41</v>
      </c>
    </row>
    <row r="270" spans="2:11" x14ac:dyDescent="0.25">
      <c r="B270">
        <v>-57</v>
      </c>
      <c r="C270">
        <v>907</v>
      </c>
      <c r="D270">
        <v>-2200</v>
      </c>
      <c r="E270">
        <v>3826</v>
      </c>
      <c r="F270">
        <v>4201</v>
      </c>
      <c r="G270">
        <v>3713</v>
      </c>
      <c r="H270">
        <v>5164</v>
      </c>
      <c r="I270">
        <v>-1709</v>
      </c>
      <c r="J270">
        <v>-34470</v>
      </c>
      <c r="K270">
        <v>-6049</v>
      </c>
    </row>
    <row r="271" spans="2:11" x14ac:dyDescent="0.25">
      <c r="B271">
        <v>-17859</v>
      </c>
      <c r="C271">
        <v>0</v>
      </c>
      <c r="D271">
        <v>-1062</v>
      </c>
      <c r="E271">
        <v>-914</v>
      </c>
      <c r="F271">
        <v>-912</v>
      </c>
      <c r="G271">
        <v>-568</v>
      </c>
      <c r="H271">
        <v>-464</v>
      </c>
      <c r="I271">
        <v>1138</v>
      </c>
      <c r="J271">
        <v>3057</v>
      </c>
      <c r="K271">
        <v>312</v>
      </c>
    </row>
    <row r="272" spans="2:11" x14ac:dyDescent="0.25">
      <c r="B272">
        <v>1331</v>
      </c>
      <c r="C272">
        <v>-362</v>
      </c>
      <c r="D272">
        <v>-892</v>
      </c>
      <c r="E272">
        <v>-997</v>
      </c>
      <c r="F272">
        <v>1082</v>
      </c>
      <c r="G272">
        <v>-4214</v>
      </c>
      <c r="H272">
        <v>-2784</v>
      </c>
      <c r="I272">
        <v>0</v>
      </c>
      <c r="J272">
        <v>0</v>
      </c>
      <c r="K272">
        <v>0</v>
      </c>
    </row>
    <row r="273" spans="2:11" x14ac:dyDescent="0.25">
      <c r="B273">
        <v>975</v>
      </c>
      <c r="C273">
        <v>186</v>
      </c>
      <c r="D273">
        <v>45</v>
      </c>
      <c r="E273">
        <v>317</v>
      </c>
      <c r="F273">
        <v>-140</v>
      </c>
      <c r="G273">
        <v>412</v>
      </c>
      <c r="H273">
        <v>10248</v>
      </c>
      <c r="I273">
        <v>3501</v>
      </c>
      <c r="J273">
        <v>2700</v>
      </c>
      <c r="K273">
        <v>2117</v>
      </c>
    </row>
    <row r="274" spans="2:11" x14ac:dyDescent="0.25">
      <c r="B274">
        <v>6050</v>
      </c>
      <c r="C274">
        <v>-20100</v>
      </c>
      <c r="D274">
        <v>-846</v>
      </c>
      <c r="E274">
        <v>-8781</v>
      </c>
      <c r="F274">
        <v>2841</v>
      </c>
      <c r="G274">
        <v>0</v>
      </c>
      <c r="H274">
        <v>-4854</v>
      </c>
      <c r="I274">
        <v>-3651</v>
      </c>
      <c r="J274">
        <v>-3246</v>
      </c>
      <c r="K274">
        <v>-1197</v>
      </c>
    </row>
    <row r="275" spans="2:11" x14ac:dyDescent="0.25">
      <c r="B275">
        <v>-3680</v>
      </c>
      <c r="C275">
        <v>1190</v>
      </c>
      <c r="D275">
        <v>10706</v>
      </c>
      <c r="E275">
        <v>3647</v>
      </c>
      <c r="F275">
        <v>3507</v>
      </c>
      <c r="G275">
        <v>-3955</v>
      </c>
      <c r="H275">
        <v>-5795</v>
      </c>
      <c r="I275">
        <v>-575</v>
      </c>
      <c r="J275">
        <v>-567</v>
      </c>
      <c r="K275">
        <v>897</v>
      </c>
    </row>
    <row r="276" spans="2:11" x14ac:dyDescent="0.25">
      <c r="B276">
        <v>1589</v>
      </c>
      <c r="C276">
        <v>0</v>
      </c>
      <c r="D276">
        <v>0</v>
      </c>
      <c r="E276">
        <v>0</v>
      </c>
      <c r="F276">
        <v>3317</v>
      </c>
      <c r="G276">
        <v>586</v>
      </c>
      <c r="H276">
        <v>95</v>
      </c>
      <c r="I276">
        <v>1117</v>
      </c>
      <c r="J276">
        <v>-53</v>
      </c>
      <c r="K276">
        <v>473</v>
      </c>
    </row>
    <row r="277" spans="2:11" x14ac:dyDescent="0.25">
      <c r="B277">
        <v>3264</v>
      </c>
      <c r="C277">
        <v>437</v>
      </c>
      <c r="D277">
        <v>89</v>
      </c>
      <c r="E277">
        <v>805</v>
      </c>
      <c r="F277">
        <v>821</v>
      </c>
      <c r="G277">
        <v>-185</v>
      </c>
      <c r="H277">
        <v>66</v>
      </c>
      <c r="I277">
        <v>343</v>
      </c>
      <c r="J277">
        <v>216</v>
      </c>
      <c r="K277">
        <v>480</v>
      </c>
    </row>
    <row r="278" spans="2:11" x14ac:dyDescent="0.25">
      <c r="B278">
        <v>0</v>
      </c>
      <c r="C278">
        <v>6163</v>
      </c>
      <c r="D278">
        <v>1270</v>
      </c>
      <c r="E278">
        <v>2765</v>
      </c>
      <c r="F278">
        <v>938</v>
      </c>
      <c r="G278">
        <v>2908</v>
      </c>
      <c r="H278">
        <v>-4564</v>
      </c>
      <c r="I278">
        <v>1845</v>
      </c>
      <c r="J278">
        <v>227</v>
      </c>
      <c r="K278">
        <v>-1296</v>
      </c>
    </row>
    <row r="279" spans="2:11" x14ac:dyDescent="0.25">
      <c r="B279">
        <v>-2101</v>
      </c>
      <c r="C279">
        <v>-3853</v>
      </c>
      <c r="D279">
        <v>-170</v>
      </c>
      <c r="E279">
        <v>-1117</v>
      </c>
      <c r="F279">
        <v>646</v>
      </c>
      <c r="G279">
        <v>615</v>
      </c>
      <c r="H279">
        <v>0</v>
      </c>
      <c r="I279">
        <v>0</v>
      </c>
      <c r="J279">
        <v>0</v>
      </c>
      <c r="K279">
        <v>-2272</v>
      </c>
    </row>
    <row r="280" spans="2:11" x14ac:dyDescent="0.25">
      <c r="B280">
        <v>89</v>
      </c>
      <c r="C280">
        <v>415</v>
      </c>
      <c r="D280">
        <v>700</v>
      </c>
      <c r="E280">
        <v>167</v>
      </c>
      <c r="F280">
        <v>-314</v>
      </c>
      <c r="G280">
        <v>525</v>
      </c>
      <c r="H280">
        <v>792</v>
      </c>
      <c r="I280">
        <v>1377</v>
      </c>
      <c r="J280">
        <v>2169</v>
      </c>
      <c r="K280">
        <v>2412</v>
      </c>
    </row>
    <row r="281" spans="2:11" x14ac:dyDescent="0.25">
      <c r="B281">
        <v>95</v>
      </c>
      <c r="C281">
        <v>-320</v>
      </c>
      <c r="D281">
        <v>54</v>
      </c>
      <c r="E281">
        <v>173</v>
      </c>
      <c r="F281">
        <v>-32</v>
      </c>
      <c r="G281">
        <v>34286</v>
      </c>
      <c r="H281">
        <v>0</v>
      </c>
      <c r="I281">
        <v>16259</v>
      </c>
      <c r="J281">
        <v>7697</v>
      </c>
      <c r="K281">
        <v>-14089</v>
      </c>
    </row>
    <row r="282" spans="2:11" x14ac:dyDescent="0.25">
      <c r="B282">
        <v>18532</v>
      </c>
      <c r="C282">
        <v>5350</v>
      </c>
      <c r="D282">
        <v>-8725</v>
      </c>
      <c r="E282">
        <v>1004</v>
      </c>
      <c r="F282">
        <v>520</v>
      </c>
      <c r="G282">
        <v>-6171</v>
      </c>
      <c r="H282">
        <v>-4538</v>
      </c>
      <c r="I282">
        <v>-5931</v>
      </c>
      <c r="J282">
        <v>-919</v>
      </c>
      <c r="K282">
        <v>-2432</v>
      </c>
    </row>
    <row r="283" spans="2:11" x14ac:dyDescent="0.25">
      <c r="B283">
        <v>364</v>
      </c>
      <c r="C283">
        <v>1074</v>
      </c>
      <c r="D283">
        <v>0</v>
      </c>
      <c r="E283">
        <v>0</v>
      </c>
      <c r="F283">
        <v>0</v>
      </c>
      <c r="G283">
        <v>-6825</v>
      </c>
      <c r="H283">
        <v>-457</v>
      </c>
      <c r="I283">
        <v>5855</v>
      </c>
      <c r="J283">
        <v>-1619</v>
      </c>
      <c r="K283">
        <v>-93</v>
      </c>
    </row>
    <row r="284" spans="2:11" x14ac:dyDescent="0.25">
      <c r="B284">
        <v>-150</v>
      </c>
      <c r="C284">
        <v>-72</v>
      </c>
      <c r="D284">
        <v>1227</v>
      </c>
      <c r="E284">
        <v>8180</v>
      </c>
      <c r="F284">
        <v>1580</v>
      </c>
      <c r="G284">
        <v>5551</v>
      </c>
      <c r="H284">
        <v>229</v>
      </c>
      <c r="I284">
        <v>-283</v>
      </c>
      <c r="J284">
        <v>49</v>
      </c>
      <c r="K284">
        <v>60</v>
      </c>
    </row>
    <row r="285" spans="2:11" x14ac:dyDescent="0.25">
      <c r="B285">
        <v>-91</v>
      </c>
      <c r="C285">
        <v>38942</v>
      </c>
      <c r="D285">
        <v>-20783</v>
      </c>
      <c r="E285">
        <v>0</v>
      </c>
      <c r="F285">
        <v>7921</v>
      </c>
      <c r="G285">
        <v>-15801</v>
      </c>
      <c r="H285">
        <v>7041</v>
      </c>
      <c r="I285">
        <v>-16705</v>
      </c>
      <c r="J285">
        <v>10507</v>
      </c>
      <c r="K285">
        <v>-9701</v>
      </c>
    </row>
    <row r="286" spans="2:11" x14ac:dyDescent="0.25">
      <c r="B286">
        <v>2287</v>
      </c>
      <c r="C286">
        <v>-168</v>
      </c>
      <c r="D286">
        <v>-12833</v>
      </c>
      <c r="E286">
        <v>-3799</v>
      </c>
      <c r="F286">
        <v>-9613</v>
      </c>
      <c r="G286">
        <v>-1058</v>
      </c>
      <c r="H286">
        <v>-3843</v>
      </c>
      <c r="I286">
        <v>647</v>
      </c>
      <c r="J286">
        <v>758</v>
      </c>
      <c r="K286">
        <v>0</v>
      </c>
    </row>
    <row r="287" spans="2:11" x14ac:dyDescent="0.25">
      <c r="B287">
        <v>0</v>
      </c>
      <c r="C287">
        <v>0</v>
      </c>
      <c r="D287">
        <v>-1970</v>
      </c>
      <c r="E287">
        <v>755</v>
      </c>
      <c r="F287">
        <v>-396</v>
      </c>
      <c r="G287">
        <v>8906</v>
      </c>
      <c r="H287">
        <v>-32</v>
      </c>
      <c r="I287">
        <v>-262</v>
      </c>
      <c r="J287">
        <v>1130</v>
      </c>
      <c r="K287">
        <v>1584</v>
      </c>
    </row>
    <row r="288" spans="2:11" x14ac:dyDescent="0.25">
      <c r="B288">
        <v>1482</v>
      </c>
      <c r="C288">
        <v>12083</v>
      </c>
      <c r="D288">
        <v>3610</v>
      </c>
      <c r="E288">
        <v>166</v>
      </c>
      <c r="F288">
        <v>-337</v>
      </c>
      <c r="G288">
        <v>182</v>
      </c>
      <c r="H288">
        <v>-281</v>
      </c>
      <c r="I288">
        <v>112</v>
      </c>
      <c r="J288">
        <v>59823</v>
      </c>
      <c r="K288">
        <v>30658</v>
      </c>
    </row>
    <row r="289" spans="2:11" x14ac:dyDescent="0.25">
      <c r="B289">
        <v>-11348</v>
      </c>
      <c r="C289">
        <v>0</v>
      </c>
      <c r="D289">
        <v>18137</v>
      </c>
      <c r="E289">
        <v>7593</v>
      </c>
      <c r="F289">
        <v>5965</v>
      </c>
      <c r="G289">
        <v>11397</v>
      </c>
      <c r="H289">
        <v>-1161</v>
      </c>
      <c r="I289">
        <v>-5536</v>
      </c>
      <c r="J289">
        <v>4807</v>
      </c>
      <c r="K289">
        <v>-1213</v>
      </c>
    </row>
    <row r="290" spans="2:11" x14ac:dyDescent="0.25">
      <c r="B290">
        <v>-5617</v>
      </c>
      <c r="C290">
        <v>-4837</v>
      </c>
      <c r="D290">
        <v>-8073</v>
      </c>
      <c r="E290">
        <v>-1781</v>
      </c>
      <c r="F290">
        <v>-4359</v>
      </c>
      <c r="G290">
        <v>809</v>
      </c>
      <c r="H290">
        <v>1077</v>
      </c>
      <c r="I290">
        <v>0</v>
      </c>
      <c r="J290">
        <v>0</v>
      </c>
      <c r="K290">
        <v>0</v>
      </c>
    </row>
    <row r="291" spans="2:11" x14ac:dyDescent="0.25">
      <c r="B291">
        <v>-9234</v>
      </c>
      <c r="C291">
        <v>-615</v>
      </c>
      <c r="D291">
        <v>1283</v>
      </c>
      <c r="E291">
        <v>-1339</v>
      </c>
      <c r="F291">
        <v>211</v>
      </c>
      <c r="G291">
        <v>-34</v>
      </c>
      <c r="H291">
        <v>672</v>
      </c>
      <c r="I291">
        <v>1581</v>
      </c>
      <c r="J291">
        <v>4418</v>
      </c>
      <c r="K291">
        <v>3390</v>
      </c>
    </row>
    <row r="292" spans="2:11" x14ac:dyDescent="0.25">
      <c r="B292">
        <v>8145</v>
      </c>
      <c r="C292">
        <v>267</v>
      </c>
      <c r="D292">
        <v>-333</v>
      </c>
      <c r="E292">
        <v>216</v>
      </c>
      <c r="F292">
        <v>-104</v>
      </c>
      <c r="G292">
        <v>-22</v>
      </c>
      <c r="H292">
        <v>75265</v>
      </c>
      <c r="I292">
        <v>25950</v>
      </c>
      <c r="J292">
        <v>40956</v>
      </c>
      <c r="K292">
        <v>27694</v>
      </c>
    </row>
    <row r="293" spans="2:11" x14ac:dyDescent="0.25">
      <c r="B293">
        <v>0</v>
      </c>
      <c r="C293">
        <v>862</v>
      </c>
      <c r="D293">
        <v>398</v>
      </c>
      <c r="E293">
        <v>-703</v>
      </c>
      <c r="F293">
        <v>1046</v>
      </c>
      <c r="G293">
        <v>252</v>
      </c>
      <c r="H293">
        <v>5</v>
      </c>
      <c r="I293">
        <v>1100</v>
      </c>
      <c r="J293">
        <v>420</v>
      </c>
      <c r="K293">
        <v>417</v>
      </c>
    </row>
    <row r="294" spans="2:11" x14ac:dyDescent="0.25">
      <c r="B294">
        <v>-1372</v>
      </c>
      <c r="C294">
        <v>-254</v>
      </c>
      <c r="D294">
        <v>2308</v>
      </c>
      <c r="E294">
        <v>1342</v>
      </c>
      <c r="F294">
        <v>-2167</v>
      </c>
      <c r="G294">
        <v>-2326</v>
      </c>
      <c r="H294">
        <v>0</v>
      </c>
      <c r="I294">
        <v>0</v>
      </c>
      <c r="J294">
        <v>0</v>
      </c>
      <c r="K294">
        <v>-156</v>
      </c>
    </row>
    <row r="295" spans="2:11" x14ac:dyDescent="0.25">
      <c r="B295">
        <v>43</v>
      </c>
      <c r="C295">
        <v>90</v>
      </c>
      <c r="D295">
        <v>-182</v>
      </c>
      <c r="E295">
        <v>1353</v>
      </c>
      <c r="F295">
        <v>-3254</v>
      </c>
      <c r="G295">
        <v>127</v>
      </c>
      <c r="H295">
        <v>274</v>
      </c>
      <c r="I295">
        <v>361</v>
      </c>
      <c r="J295">
        <v>-75</v>
      </c>
      <c r="K295">
        <v>135</v>
      </c>
    </row>
    <row r="296" spans="2:11" x14ac:dyDescent="0.25">
      <c r="B296">
        <v>282</v>
      </c>
      <c r="C296">
        <v>-1338</v>
      </c>
      <c r="D296">
        <v>-944</v>
      </c>
      <c r="E296">
        <v>1858</v>
      </c>
      <c r="F296">
        <v>23</v>
      </c>
      <c r="G296">
        <v>4698</v>
      </c>
      <c r="H296">
        <v>5723</v>
      </c>
      <c r="I296">
        <v>4765</v>
      </c>
      <c r="J296">
        <v>5381</v>
      </c>
      <c r="K296">
        <v>2118</v>
      </c>
    </row>
    <row r="297" spans="2:11" x14ac:dyDescent="0.25">
      <c r="B297">
        <v>0</v>
      </c>
      <c r="C297">
        <v>1130</v>
      </c>
      <c r="D297">
        <v>623</v>
      </c>
      <c r="E297">
        <v>322</v>
      </c>
      <c r="F297">
        <v>482</v>
      </c>
      <c r="G297">
        <v>325</v>
      </c>
      <c r="H297">
        <v>-49</v>
      </c>
      <c r="I297">
        <v>-319</v>
      </c>
      <c r="J297">
        <v>-409</v>
      </c>
      <c r="K297">
        <v>-979</v>
      </c>
    </row>
    <row r="298" spans="2:11" x14ac:dyDescent="0.25">
      <c r="B298">
        <v>-184</v>
      </c>
      <c r="C298">
        <v>-205</v>
      </c>
      <c r="D298">
        <v>392</v>
      </c>
      <c r="E298">
        <v>915</v>
      </c>
      <c r="F298">
        <v>-108</v>
      </c>
      <c r="G298">
        <v>-448</v>
      </c>
      <c r="H298">
        <v>0</v>
      </c>
      <c r="I298">
        <v>0</v>
      </c>
      <c r="J298">
        <v>0</v>
      </c>
      <c r="K298">
        <v>-456</v>
      </c>
    </row>
    <row r="299" spans="2:11" x14ac:dyDescent="0.25">
      <c r="B299">
        <v>14</v>
      </c>
      <c r="C299">
        <v>363</v>
      </c>
      <c r="D299">
        <v>-182</v>
      </c>
      <c r="E299">
        <v>-2333</v>
      </c>
      <c r="F299">
        <v>5950</v>
      </c>
      <c r="G299">
        <v>-176</v>
      </c>
      <c r="H299">
        <v>-421</v>
      </c>
      <c r="I299">
        <v>188</v>
      </c>
      <c r="J299">
        <v>-92</v>
      </c>
      <c r="K299">
        <v>419</v>
      </c>
    </row>
    <row r="300" spans="2:11" x14ac:dyDescent="0.25">
      <c r="B300">
        <v>-366</v>
      </c>
      <c r="C300">
        <v>2761</v>
      </c>
      <c r="D300">
        <v>1553</v>
      </c>
      <c r="E300">
        <v>-3101</v>
      </c>
      <c r="F300">
        <v>303</v>
      </c>
      <c r="G300">
        <v>-5675</v>
      </c>
      <c r="H300">
        <v>-9677</v>
      </c>
      <c r="I300">
        <v>-6094</v>
      </c>
      <c r="J300">
        <v>-5461</v>
      </c>
      <c r="K300">
        <v>-6687</v>
      </c>
    </row>
    <row r="301" spans="2:11" x14ac:dyDescent="0.25">
      <c r="B301">
        <v>-31916</v>
      </c>
      <c r="C301">
        <v>0</v>
      </c>
      <c r="D301">
        <v>-2658</v>
      </c>
      <c r="E301">
        <v>-1567</v>
      </c>
      <c r="F301">
        <v>-2934</v>
      </c>
      <c r="G301">
        <v>-66</v>
      </c>
      <c r="H301">
        <v>-227</v>
      </c>
      <c r="I301">
        <v>3887</v>
      </c>
      <c r="J301">
        <v>10416</v>
      </c>
      <c r="K301">
        <v>770</v>
      </c>
    </row>
    <row r="302" spans="2:11" x14ac:dyDescent="0.25">
      <c r="B302">
        <v>4727</v>
      </c>
      <c r="C302">
        <v>-169</v>
      </c>
      <c r="D302">
        <v>-996</v>
      </c>
      <c r="E302">
        <v>-1222</v>
      </c>
      <c r="F302">
        <v>884</v>
      </c>
      <c r="G302">
        <v>860</v>
      </c>
      <c r="H302">
        <v>3698</v>
      </c>
      <c r="I302">
        <v>0</v>
      </c>
      <c r="J302">
        <v>0</v>
      </c>
      <c r="K302">
        <v>0</v>
      </c>
    </row>
    <row r="303" spans="2:11" x14ac:dyDescent="0.25">
      <c r="B303">
        <v>3076</v>
      </c>
      <c r="C303">
        <v>578</v>
      </c>
      <c r="D303">
        <v>240</v>
      </c>
      <c r="E303">
        <v>573</v>
      </c>
      <c r="F303">
        <v>-120</v>
      </c>
      <c r="G303">
        <v>538</v>
      </c>
      <c r="H303">
        <v>2440</v>
      </c>
      <c r="I303">
        <v>144</v>
      </c>
      <c r="J303">
        <v>42</v>
      </c>
      <c r="K303">
        <v>-183</v>
      </c>
    </row>
    <row r="304" spans="2:11" x14ac:dyDescent="0.25">
      <c r="B304">
        <v>220</v>
      </c>
      <c r="C304">
        <v>-183</v>
      </c>
      <c r="D304">
        <v>169</v>
      </c>
      <c r="E304">
        <v>287</v>
      </c>
      <c r="F304">
        <v>56</v>
      </c>
      <c r="G304">
        <v>385</v>
      </c>
      <c r="H304">
        <v>1614</v>
      </c>
      <c r="I304">
        <v>36</v>
      </c>
      <c r="J304">
        <v>7</v>
      </c>
      <c r="K304">
        <v>-111</v>
      </c>
    </row>
    <row r="305" spans="2:11" x14ac:dyDescent="0.25">
      <c r="B305">
        <v>2</v>
      </c>
      <c r="C305">
        <v>-221</v>
      </c>
      <c r="D305">
        <v>359</v>
      </c>
      <c r="E305">
        <v>0</v>
      </c>
      <c r="F305">
        <v>4017</v>
      </c>
      <c r="G305">
        <v>-253</v>
      </c>
      <c r="H305">
        <v>2227</v>
      </c>
      <c r="I305">
        <v>-493</v>
      </c>
      <c r="J305">
        <v>2744</v>
      </c>
      <c r="K305">
        <v>-8939</v>
      </c>
    </row>
    <row r="306" spans="2:11" x14ac:dyDescent="0.25">
      <c r="B306">
        <v>3069</v>
      </c>
      <c r="C306">
        <v>-624</v>
      </c>
      <c r="D306">
        <v>-844</v>
      </c>
      <c r="E306">
        <v>-362</v>
      </c>
      <c r="F306">
        <v>-1420</v>
      </c>
      <c r="G306">
        <v>-133</v>
      </c>
      <c r="H306">
        <v>-168</v>
      </c>
      <c r="I306">
        <v>-635</v>
      </c>
      <c r="J306">
        <v>2894</v>
      </c>
      <c r="K306">
        <v>0</v>
      </c>
    </row>
    <row r="307" spans="2:11" x14ac:dyDescent="0.25">
      <c r="B307">
        <v>0</v>
      </c>
      <c r="C307">
        <v>0</v>
      </c>
      <c r="D307">
        <v>-764</v>
      </c>
      <c r="E307">
        <v>241</v>
      </c>
      <c r="F307">
        <v>211</v>
      </c>
      <c r="G307">
        <v>1234</v>
      </c>
      <c r="H307">
        <v>37</v>
      </c>
      <c r="I307">
        <v>-22</v>
      </c>
      <c r="J307">
        <v>788</v>
      </c>
      <c r="K307">
        <v>877</v>
      </c>
    </row>
    <row r="308" spans="2:11" x14ac:dyDescent="0.25">
      <c r="B308">
        <v>1074</v>
      </c>
      <c r="C308">
        <v>2121</v>
      </c>
      <c r="D308">
        <v>1760</v>
      </c>
      <c r="E308">
        <v>16</v>
      </c>
      <c r="F308">
        <v>-320</v>
      </c>
      <c r="G308">
        <v>182</v>
      </c>
      <c r="H308">
        <v>109</v>
      </c>
      <c r="I308">
        <v>-86</v>
      </c>
      <c r="J308">
        <v>321</v>
      </c>
      <c r="K308">
        <v>686</v>
      </c>
    </row>
    <row r="309" spans="2:11" x14ac:dyDescent="0.25">
      <c r="B309">
        <v>807</v>
      </c>
      <c r="C309">
        <v>1536</v>
      </c>
      <c r="D309">
        <v>1049</v>
      </c>
      <c r="E309">
        <v>-130</v>
      </c>
      <c r="F309">
        <v>51</v>
      </c>
      <c r="G309">
        <v>36353</v>
      </c>
      <c r="H309">
        <v>0</v>
      </c>
      <c r="I309">
        <v>13905</v>
      </c>
      <c r="J309">
        <v>7272</v>
      </c>
      <c r="K309">
        <v>-9382</v>
      </c>
    </row>
    <row r="310" spans="2:11" x14ac:dyDescent="0.25">
      <c r="B310">
        <v>14491</v>
      </c>
      <c r="C310">
        <v>4956</v>
      </c>
      <c r="D310">
        <v>-14163</v>
      </c>
      <c r="E310">
        <v>-744</v>
      </c>
      <c r="F310">
        <v>-980</v>
      </c>
      <c r="G310">
        <v>-4782</v>
      </c>
      <c r="H310">
        <v>-2297</v>
      </c>
      <c r="I310">
        <v>-2482</v>
      </c>
      <c r="J310">
        <v>-965</v>
      </c>
      <c r="K310">
        <v>-1787</v>
      </c>
    </row>
    <row r="311" spans="2:11" x14ac:dyDescent="0.25">
      <c r="B311">
        <v>1073</v>
      </c>
      <c r="C311">
        <v>1401</v>
      </c>
      <c r="D311">
        <v>0</v>
      </c>
      <c r="E311">
        <v>0</v>
      </c>
      <c r="F311">
        <v>0</v>
      </c>
      <c r="G311">
        <v>-5767</v>
      </c>
      <c r="H311">
        <v>-409</v>
      </c>
      <c r="I311">
        <v>4449</v>
      </c>
      <c r="J311">
        <v>-1268</v>
      </c>
      <c r="K311">
        <v>-96</v>
      </c>
    </row>
    <row r="312" spans="2:11" x14ac:dyDescent="0.25">
      <c r="B312">
        <v>-138</v>
      </c>
      <c r="C312">
        <v>-397</v>
      </c>
      <c r="D312">
        <v>1303</v>
      </c>
      <c r="E312">
        <v>6521</v>
      </c>
      <c r="F312">
        <v>1349</v>
      </c>
      <c r="G312">
        <v>4492</v>
      </c>
      <c r="H312">
        <v>196</v>
      </c>
      <c r="I312">
        <v>-464</v>
      </c>
      <c r="J312">
        <v>111</v>
      </c>
      <c r="K312">
        <v>41</v>
      </c>
    </row>
    <row r="313" spans="2:11" x14ac:dyDescent="0.25">
      <c r="B313">
        <v>-342</v>
      </c>
      <c r="C313">
        <v>-384</v>
      </c>
      <c r="D313">
        <v>1166</v>
      </c>
      <c r="E313">
        <v>6433</v>
      </c>
      <c r="F313">
        <v>688</v>
      </c>
      <c r="G313">
        <v>3286</v>
      </c>
      <c r="H313">
        <v>70</v>
      </c>
      <c r="I313">
        <v>176</v>
      </c>
      <c r="J313">
        <v>23630</v>
      </c>
      <c r="K313">
        <v>-33681</v>
      </c>
    </row>
    <row r="314" spans="2:11" x14ac:dyDescent="0.25">
      <c r="B314">
        <v>0</v>
      </c>
      <c r="C314">
        <v>8629</v>
      </c>
      <c r="D314">
        <v>-16852</v>
      </c>
      <c r="E314">
        <v>6295</v>
      </c>
      <c r="F314">
        <v>-17284</v>
      </c>
      <c r="G314">
        <v>12611</v>
      </c>
      <c r="H314">
        <v>-17722</v>
      </c>
      <c r="I314">
        <v>803</v>
      </c>
      <c r="J314">
        <v>-729</v>
      </c>
      <c r="K314">
        <v>-13118</v>
      </c>
    </row>
    <row r="315" spans="2:11" x14ac:dyDescent="0.25">
      <c r="B315">
        <v>-1955</v>
      </c>
      <c r="C315">
        <v>-6576</v>
      </c>
      <c r="D315">
        <v>-520</v>
      </c>
      <c r="E315">
        <v>-3129</v>
      </c>
      <c r="F315">
        <v>-309</v>
      </c>
      <c r="G315">
        <v>827</v>
      </c>
      <c r="H315">
        <v>0</v>
      </c>
      <c r="I315">
        <v>0</v>
      </c>
      <c r="J315">
        <v>0</v>
      </c>
      <c r="K315">
        <v>-1702</v>
      </c>
    </row>
    <row r="316" spans="2:11" x14ac:dyDescent="0.25">
      <c r="B316">
        <v>822</v>
      </c>
      <c r="C316">
        <v>-122</v>
      </c>
      <c r="D316">
        <v>9614</v>
      </c>
      <c r="E316">
        <v>-93</v>
      </c>
      <c r="F316">
        <v>-281</v>
      </c>
      <c r="G316">
        <v>780</v>
      </c>
      <c r="H316">
        <v>1885</v>
      </c>
      <c r="I316">
        <v>1916</v>
      </c>
      <c r="J316">
        <v>12605</v>
      </c>
      <c r="K316">
        <v>3272</v>
      </c>
    </row>
    <row r="317" spans="2:11" x14ac:dyDescent="0.25">
      <c r="B317">
        <v>171</v>
      </c>
      <c r="C317">
        <v>-478</v>
      </c>
      <c r="D317">
        <v>189</v>
      </c>
      <c r="E317">
        <v>-236</v>
      </c>
      <c r="F317">
        <v>-63</v>
      </c>
      <c r="G317">
        <v>156</v>
      </c>
      <c r="H317">
        <v>1744</v>
      </c>
      <c r="I317">
        <v>1208</v>
      </c>
      <c r="J317">
        <v>10282</v>
      </c>
      <c r="K317">
        <v>1833</v>
      </c>
    </row>
    <row r="318" spans="2:11" x14ac:dyDescent="0.25">
      <c r="B318">
        <v>-320</v>
      </c>
      <c r="C318">
        <v>213</v>
      </c>
      <c r="D318">
        <v>42394</v>
      </c>
      <c r="E318">
        <v>28094</v>
      </c>
      <c r="F318">
        <v>-30450</v>
      </c>
      <c r="G318">
        <v>0</v>
      </c>
      <c r="H318">
        <v>22203</v>
      </c>
      <c r="I318">
        <v>9692</v>
      </c>
      <c r="J318">
        <v>6680</v>
      </c>
      <c r="K318">
        <v>14170</v>
      </c>
    </row>
    <row r="319" spans="2:11" x14ac:dyDescent="0.25">
      <c r="B319">
        <v>1117</v>
      </c>
      <c r="C319">
        <v>-6657</v>
      </c>
      <c r="D319">
        <v>2871</v>
      </c>
      <c r="E319">
        <v>-1312</v>
      </c>
      <c r="F319">
        <v>-7234</v>
      </c>
      <c r="G319">
        <v>-935</v>
      </c>
      <c r="H319">
        <v>-3078</v>
      </c>
      <c r="I319">
        <v>-3161</v>
      </c>
      <c r="J319">
        <v>-2977</v>
      </c>
      <c r="K319">
        <v>908</v>
      </c>
    </row>
    <row r="320" spans="2:11" x14ac:dyDescent="0.25">
      <c r="B320">
        <v>2155</v>
      </c>
      <c r="C320">
        <v>0</v>
      </c>
      <c r="D320">
        <v>0</v>
      </c>
      <c r="E320">
        <v>0</v>
      </c>
      <c r="F320">
        <v>-10875</v>
      </c>
      <c r="G320">
        <v>-847</v>
      </c>
      <c r="H320">
        <v>1572</v>
      </c>
      <c r="I320">
        <v>-2016</v>
      </c>
      <c r="J320">
        <v>197</v>
      </c>
      <c r="K320">
        <v>-81</v>
      </c>
    </row>
    <row r="321" spans="2:11" x14ac:dyDescent="0.25">
      <c r="B321">
        <v>-544</v>
      </c>
      <c r="C321">
        <v>1475</v>
      </c>
      <c r="D321">
        <v>4975</v>
      </c>
      <c r="E321">
        <v>2932</v>
      </c>
      <c r="F321">
        <v>8358</v>
      </c>
      <c r="G321">
        <v>299</v>
      </c>
      <c r="H321">
        <v>-345</v>
      </c>
      <c r="I321">
        <v>142</v>
      </c>
      <c r="J321">
        <v>-247</v>
      </c>
      <c r="K321">
        <v>-232</v>
      </c>
    </row>
    <row r="322" spans="2:11" x14ac:dyDescent="0.25">
      <c r="B322">
        <v>-431</v>
      </c>
      <c r="C322">
        <v>1664</v>
      </c>
      <c r="D322">
        <v>4819</v>
      </c>
      <c r="E322">
        <v>1941</v>
      </c>
      <c r="F322">
        <v>6431</v>
      </c>
      <c r="G322">
        <v>-57</v>
      </c>
      <c r="H322">
        <v>525</v>
      </c>
      <c r="I322">
        <v>66459</v>
      </c>
      <c r="J322">
        <v>24097</v>
      </c>
      <c r="K322">
        <v>27746</v>
      </c>
    </row>
    <row r="323" spans="2:11" x14ac:dyDescent="0.25">
      <c r="B323">
        <v>3114</v>
      </c>
      <c r="C323">
        <v>0</v>
      </c>
      <c r="D323">
        <v>-238</v>
      </c>
      <c r="E323">
        <v>-216</v>
      </c>
      <c r="F323">
        <v>-963</v>
      </c>
      <c r="G323">
        <v>120</v>
      </c>
      <c r="H323">
        <v>-104</v>
      </c>
      <c r="I323">
        <v>1470</v>
      </c>
      <c r="J323">
        <v>2455</v>
      </c>
      <c r="K323">
        <v>1611</v>
      </c>
    </row>
    <row r="324" spans="2:11" x14ac:dyDescent="0.25">
      <c r="B324">
        <v>374</v>
      </c>
      <c r="C324">
        <v>-750</v>
      </c>
      <c r="D324">
        <v>142</v>
      </c>
      <c r="E324">
        <v>371</v>
      </c>
      <c r="F324">
        <v>1770</v>
      </c>
      <c r="G324">
        <v>-2106</v>
      </c>
      <c r="H324">
        <v>-3776</v>
      </c>
      <c r="I324">
        <v>0</v>
      </c>
      <c r="J324">
        <v>0</v>
      </c>
      <c r="K324">
        <v>0</v>
      </c>
    </row>
    <row r="325" spans="2:11" x14ac:dyDescent="0.25">
      <c r="B325">
        <v>629</v>
      </c>
      <c r="C325">
        <v>150</v>
      </c>
      <c r="D325">
        <v>243</v>
      </c>
      <c r="E325">
        <v>3</v>
      </c>
      <c r="F325">
        <v>-991</v>
      </c>
      <c r="G325">
        <v>2640</v>
      </c>
      <c r="H325">
        <v>425</v>
      </c>
      <c r="I325">
        <v>-244</v>
      </c>
      <c r="J325">
        <v>77</v>
      </c>
      <c r="K325">
        <v>-191</v>
      </c>
    </row>
    <row r="326" spans="2:11" x14ac:dyDescent="0.25">
      <c r="B326">
        <v>95</v>
      </c>
      <c r="C326">
        <v>-162</v>
      </c>
      <c r="D326">
        <v>1477</v>
      </c>
      <c r="E326">
        <v>581</v>
      </c>
      <c r="F326">
        <v>-1169</v>
      </c>
      <c r="G326">
        <v>462</v>
      </c>
      <c r="H326">
        <v>377</v>
      </c>
      <c r="I326">
        <v>-200</v>
      </c>
      <c r="J326">
        <v>14</v>
      </c>
      <c r="K326">
        <v>-37</v>
      </c>
    </row>
    <row r="327" spans="2:11" x14ac:dyDescent="0.25">
      <c r="B327">
        <v>13</v>
      </c>
      <c r="C327">
        <v>-1649</v>
      </c>
      <c r="D327">
        <v>3290</v>
      </c>
      <c r="E327">
        <v>8096</v>
      </c>
      <c r="F327">
        <v>4364</v>
      </c>
      <c r="G327">
        <v>-1295</v>
      </c>
      <c r="H327">
        <v>3616</v>
      </c>
      <c r="I327">
        <v>3460</v>
      </c>
      <c r="J327">
        <v>0</v>
      </c>
      <c r="K327">
        <v>-7222</v>
      </c>
    </row>
    <row r="328" spans="2:11" x14ac:dyDescent="0.25">
      <c r="B328">
        <v>-3813</v>
      </c>
      <c r="C328">
        <v>-1231</v>
      </c>
      <c r="D328">
        <v>-3000</v>
      </c>
      <c r="E328">
        <v>-2608</v>
      </c>
      <c r="F328">
        <v>1357</v>
      </c>
      <c r="G328">
        <v>18215</v>
      </c>
      <c r="H328">
        <v>4637</v>
      </c>
      <c r="I328">
        <v>4101</v>
      </c>
      <c r="J328">
        <v>-10485</v>
      </c>
      <c r="K328">
        <v>-9863</v>
      </c>
    </row>
    <row r="329" spans="2:11" x14ac:dyDescent="0.25">
      <c r="B329">
        <v>255</v>
      </c>
      <c r="C329">
        <v>-1346</v>
      </c>
      <c r="D329">
        <v>-11</v>
      </c>
      <c r="E329">
        <v>53</v>
      </c>
      <c r="F329">
        <v>0</v>
      </c>
      <c r="G329">
        <v>0</v>
      </c>
      <c r="H329">
        <v>0</v>
      </c>
      <c r="I329">
        <v>5729</v>
      </c>
      <c r="J329">
        <v>1167</v>
      </c>
      <c r="K329">
        <v>-231</v>
      </c>
    </row>
    <row r="330" spans="2:11" x14ac:dyDescent="0.25">
      <c r="B330">
        <v>1918</v>
      </c>
      <c r="C330">
        <v>149</v>
      </c>
      <c r="D330">
        <v>126</v>
      </c>
      <c r="E330">
        <v>5375</v>
      </c>
      <c r="F330">
        <v>933</v>
      </c>
      <c r="G330">
        <v>-201</v>
      </c>
      <c r="H330">
        <v>1542</v>
      </c>
      <c r="I330">
        <v>1404</v>
      </c>
      <c r="J330">
        <v>-181</v>
      </c>
      <c r="K330">
        <v>-55</v>
      </c>
    </row>
    <row r="331" spans="2:11" x14ac:dyDescent="0.25">
      <c r="B331">
        <v>344</v>
      </c>
      <c r="C331">
        <v>746</v>
      </c>
      <c r="D331">
        <v>858</v>
      </c>
      <c r="E331">
        <v>3660</v>
      </c>
      <c r="F331">
        <v>639</v>
      </c>
      <c r="G331">
        <v>-452</v>
      </c>
      <c r="H331">
        <v>1014</v>
      </c>
      <c r="I331">
        <v>718</v>
      </c>
      <c r="J331">
        <v>392</v>
      </c>
      <c r="K331">
        <v>-571</v>
      </c>
    </row>
    <row r="332" spans="2:11" x14ac:dyDescent="0.25">
      <c r="B332">
        <v>2448</v>
      </c>
      <c r="C332">
        <v>621</v>
      </c>
      <c r="D332">
        <v>-940</v>
      </c>
      <c r="E332">
        <v>275</v>
      </c>
      <c r="F332">
        <v>-912</v>
      </c>
      <c r="G332">
        <v>377</v>
      </c>
      <c r="H332">
        <v>0</v>
      </c>
      <c r="I332">
        <v>6400</v>
      </c>
      <c r="J332">
        <v>1048</v>
      </c>
      <c r="K332">
        <v>3957</v>
      </c>
    </row>
    <row r="333" spans="2:11" x14ac:dyDescent="0.25">
      <c r="B333">
        <v>198</v>
      </c>
      <c r="C333">
        <v>4143</v>
      </c>
      <c r="D333">
        <v>-3867</v>
      </c>
      <c r="E333">
        <v>6654</v>
      </c>
      <c r="F333">
        <v>2258</v>
      </c>
      <c r="G333">
        <v>-1348</v>
      </c>
      <c r="H333">
        <v>-7478</v>
      </c>
      <c r="I333">
        <v>-6238</v>
      </c>
      <c r="J333">
        <v>1033</v>
      </c>
      <c r="K333">
        <v>-1061</v>
      </c>
    </row>
    <row r="334" spans="2:11" x14ac:dyDescent="0.25">
      <c r="B334">
        <v>23</v>
      </c>
      <c r="C334">
        <v>19</v>
      </c>
      <c r="D334">
        <v>0</v>
      </c>
      <c r="E334">
        <v>0</v>
      </c>
      <c r="F334">
        <v>0</v>
      </c>
      <c r="G334">
        <v>-1436</v>
      </c>
      <c r="H334">
        <v>448</v>
      </c>
      <c r="I334">
        <v>426</v>
      </c>
      <c r="J334">
        <v>1307</v>
      </c>
      <c r="K334">
        <v>64</v>
      </c>
    </row>
    <row r="335" spans="2:11" x14ac:dyDescent="0.25">
      <c r="B335">
        <v>103</v>
      </c>
      <c r="C335">
        <v>1909</v>
      </c>
      <c r="D335">
        <v>1154</v>
      </c>
      <c r="E335">
        <v>1603</v>
      </c>
      <c r="F335">
        <v>3104</v>
      </c>
      <c r="G335">
        <v>3348</v>
      </c>
      <c r="H335">
        <v>97</v>
      </c>
      <c r="I335">
        <v>-101</v>
      </c>
      <c r="J335">
        <v>233</v>
      </c>
      <c r="K335">
        <v>186</v>
      </c>
    </row>
    <row r="336" spans="2:11" x14ac:dyDescent="0.25">
      <c r="B336">
        <v>266</v>
      </c>
      <c r="C336">
        <v>1239</v>
      </c>
      <c r="D336">
        <v>1041</v>
      </c>
      <c r="E336">
        <v>1368</v>
      </c>
      <c r="F336">
        <v>2308</v>
      </c>
      <c r="G336">
        <v>2296</v>
      </c>
      <c r="H336">
        <v>106</v>
      </c>
      <c r="I336">
        <v>90</v>
      </c>
      <c r="J336">
        <v>675</v>
      </c>
      <c r="K336">
        <v>823</v>
      </c>
    </row>
    <row r="337" spans="2:11" x14ac:dyDescent="0.25">
      <c r="B337">
        <v>959</v>
      </c>
      <c r="C337">
        <v>2092</v>
      </c>
      <c r="D337">
        <v>1819</v>
      </c>
      <c r="E337">
        <v>206</v>
      </c>
      <c r="F337">
        <v>47471</v>
      </c>
      <c r="G337">
        <v>0</v>
      </c>
      <c r="H337">
        <v>16524</v>
      </c>
      <c r="I337">
        <v>11398</v>
      </c>
      <c r="J337">
        <v>-15081</v>
      </c>
      <c r="K337">
        <v>20839</v>
      </c>
    </row>
    <row r="338" spans="2:11" x14ac:dyDescent="0.25">
      <c r="B338">
        <v>6084</v>
      </c>
      <c r="C338">
        <v>-7164</v>
      </c>
      <c r="D338">
        <v>4622</v>
      </c>
      <c r="E338">
        <v>1388</v>
      </c>
      <c r="F338">
        <v>-3330</v>
      </c>
      <c r="G338">
        <v>-10196</v>
      </c>
      <c r="H338">
        <v>-8572</v>
      </c>
      <c r="I338">
        <v>-1395</v>
      </c>
      <c r="J338">
        <v>-3382</v>
      </c>
      <c r="K338">
        <v>54</v>
      </c>
    </row>
    <row r="339" spans="2:11" x14ac:dyDescent="0.25">
      <c r="B339">
        <v>-89</v>
      </c>
      <c r="C339">
        <v>0</v>
      </c>
      <c r="D339">
        <v>0</v>
      </c>
      <c r="E339">
        <v>0</v>
      </c>
      <c r="F339">
        <v>-6310</v>
      </c>
      <c r="G339">
        <v>-252</v>
      </c>
      <c r="H339">
        <v>6481</v>
      </c>
      <c r="I339">
        <v>-2370</v>
      </c>
      <c r="J339">
        <v>-148</v>
      </c>
      <c r="K339">
        <v>-20</v>
      </c>
    </row>
    <row r="340" spans="2:11" x14ac:dyDescent="0.25">
      <c r="B340">
        <v>1231</v>
      </c>
      <c r="C340">
        <v>1540</v>
      </c>
      <c r="D340">
        <v>8829</v>
      </c>
      <c r="E340">
        <v>1010</v>
      </c>
      <c r="F340">
        <v>6382</v>
      </c>
      <c r="G340">
        <v>229</v>
      </c>
      <c r="H340">
        <v>-177</v>
      </c>
      <c r="I340">
        <v>140</v>
      </c>
      <c r="J340">
        <v>248</v>
      </c>
      <c r="K340">
        <v>188</v>
      </c>
    </row>
    <row r="341" spans="2:11" x14ac:dyDescent="0.25">
      <c r="B341">
        <v>950</v>
      </c>
      <c r="C341">
        <v>1493</v>
      </c>
      <c r="D341">
        <v>8915</v>
      </c>
      <c r="E341">
        <v>367</v>
      </c>
      <c r="F341">
        <v>4845</v>
      </c>
      <c r="G341">
        <v>475</v>
      </c>
      <c r="H341">
        <v>91</v>
      </c>
      <c r="I341">
        <v>623</v>
      </c>
      <c r="J341">
        <v>797</v>
      </c>
      <c r="K341">
        <v>6684</v>
      </c>
    </row>
    <row r="342" spans="2:11" x14ac:dyDescent="0.25">
      <c r="B342">
        <v>234</v>
      </c>
      <c r="C342">
        <v>4943</v>
      </c>
      <c r="D342">
        <v>236</v>
      </c>
      <c r="E342">
        <v>35463</v>
      </c>
      <c r="F342">
        <v>-22517</v>
      </c>
      <c r="G342">
        <v>0</v>
      </c>
      <c r="H342">
        <v>4933</v>
      </c>
      <c r="I342">
        <v>-25567</v>
      </c>
      <c r="J342">
        <v>9281</v>
      </c>
      <c r="K342">
        <v>-25982</v>
      </c>
    </row>
    <row r="343" spans="2:11" x14ac:dyDescent="0.25">
      <c r="B343">
        <v>12654</v>
      </c>
      <c r="C343">
        <v>-10744</v>
      </c>
      <c r="D343">
        <v>7159</v>
      </c>
      <c r="E343">
        <v>632</v>
      </c>
      <c r="F343">
        <v>-15327</v>
      </c>
      <c r="G343">
        <v>-10868</v>
      </c>
      <c r="H343">
        <v>-14021</v>
      </c>
      <c r="I343">
        <v>635</v>
      </c>
      <c r="J343">
        <v>-4477</v>
      </c>
      <c r="K343">
        <v>48</v>
      </c>
    </row>
    <row r="344" spans="2:11" x14ac:dyDescent="0.25">
      <c r="B344">
        <v>105</v>
      </c>
      <c r="C344">
        <v>0</v>
      </c>
      <c r="D344">
        <v>0</v>
      </c>
      <c r="E344">
        <v>0</v>
      </c>
      <c r="F344">
        <v>572</v>
      </c>
      <c r="G344">
        <v>1477</v>
      </c>
      <c r="H344">
        <v>-1225</v>
      </c>
      <c r="I344">
        <v>13080</v>
      </c>
      <c r="J344">
        <v>-17</v>
      </c>
      <c r="K344">
        <v>-338</v>
      </c>
    </row>
    <row r="345" spans="2:11" x14ac:dyDescent="0.25">
      <c r="B345">
        <v>3206</v>
      </c>
      <c r="C345">
        <v>2203</v>
      </c>
      <c r="D345">
        <v>888</v>
      </c>
      <c r="E345">
        <v>16623</v>
      </c>
      <c r="F345">
        <v>4110</v>
      </c>
      <c r="G345">
        <v>193</v>
      </c>
      <c r="H345">
        <v>-370</v>
      </c>
      <c r="I345">
        <v>278</v>
      </c>
      <c r="J345">
        <v>-74</v>
      </c>
      <c r="K345">
        <v>489</v>
      </c>
    </row>
    <row r="346" spans="2:11" x14ac:dyDescent="0.25">
      <c r="B346">
        <v>1913</v>
      </c>
      <c r="C346">
        <v>2116</v>
      </c>
      <c r="D346">
        <v>59</v>
      </c>
      <c r="E346">
        <v>13667</v>
      </c>
      <c r="F346">
        <v>2403</v>
      </c>
      <c r="G346">
        <v>-28</v>
      </c>
      <c r="H346">
        <v>-128</v>
      </c>
      <c r="I346">
        <v>556</v>
      </c>
      <c r="J346">
        <v>1967</v>
      </c>
      <c r="K346">
        <v>-352</v>
      </c>
    </row>
    <row r="347" spans="2:11" x14ac:dyDescent="0.25">
      <c r="B347">
        <v>13805</v>
      </c>
      <c r="C347">
        <v>1224</v>
      </c>
      <c r="D347">
        <v>83</v>
      </c>
      <c r="E347">
        <v>58133</v>
      </c>
      <c r="F347">
        <v>38700</v>
      </c>
      <c r="G347">
        <v>-14191</v>
      </c>
      <c r="H347">
        <v>0</v>
      </c>
      <c r="I347">
        <v>22067</v>
      </c>
      <c r="J347">
        <v>10486</v>
      </c>
      <c r="K347">
        <v>9780</v>
      </c>
    </row>
    <row r="348" spans="2:11" x14ac:dyDescent="0.25">
      <c r="B348">
        <v>14100</v>
      </c>
      <c r="C348">
        <v>-2281</v>
      </c>
      <c r="D348">
        <v>-8229</v>
      </c>
      <c r="E348">
        <v>8682</v>
      </c>
      <c r="F348">
        <v>794</v>
      </c>
      <c r="G348">
        <v>-5269</v>
      </c>
      <c r="H348">
        <v>-10295</v>
      </c>
      <c r="I348">
        <v>-12454</v>
      </c>
      <c r="J348">
        <v>-4219</v>
      </c>
      <c r="K348">
        <v>-6384</v>
      </c>
    </row>
    <row r="349" spans="2:11" x14ac:dyDescent="0.25">
      <c r="B349">
        <v>-28</v>
      </c>
      <c r="C349">
        <v>-94</v>
      </c>
      <c r="D349">
        <v>0</v>
      </c>
      <c r="E349">
        <v>0</v>
      </c>
      <c r="F349">
        <v>0</v>
      </c>
      <c r="G349">
        <v>-11047</v>
      </c>
      <c r="H349">
        <v>-608</v>
      </c>
      <c r="I349">
        <v>1247</v>
      </c>
      <c r="J349">
        <v>-1669</v>
      </c>
      <c r="K349">
        <v>426</v>
      </c>
    </row>
    <row r="350" spans="2:11" x14ac:dyDescent="0.25">
      <c r="B350">
        <v>-419</v>
      </c>
      <c r="C350">
        <v>2091</v>
      </c>
      <c r="D350">
        <v>2417</v>
      </c>
      <c r="E350">
        <v>5325</v>
      </c>
      <c r="F350">
        <v>4580</v>
      </c>
      <c r="G350">
        <v>11048</v>
      </c>
      <c r="H350">
        <v>320</v>
      </c>
      <c r="I350">
        <v>-573</v>
      </c>
      <c r="J350">
        <v>244</v>
      </c>
      <c r="K350">
        <v>301</v>
      </c>
    </row>
    <row r="351" spans="2:11" x14ac:dyDescent="0.25">
      <c r="B351">
        <v>197</v>
      </c>
      <c r="C351">
        <v>1439</v>
      </c>
      <c r="D351">
        <v>2512</v>
      </c>
      <c r="E351">
        <v>5068</v>
      </c>
      <c r="F351">
        <v>3036</v>
      </c>
      <c r="G351">
        <v>8425</v>
      </c>
      <c r="H351">
        <v>374</v>
      </c>
      <c r="I351">
        <v>-193</v>
      </c>
      <c r="J351">
        <v>294</v>
      </c>
      <c r="K351">
        <v>1586</v>
      </c>
    </row>
    <row r="352" spans="2:11" x14ac:dyDescent="0.25">
      <c r="B352">
        <v>3934</v>
      </c>
      <c r="C352">
        <v>2274</v>
      </c>
      <c r="D352">
        <v>8101</v>
      </c>
      <c r="E352">
        <v>-107</v>
      </c>
      <c r="F352">
        <v>74034</v>
      </c>
      <c r="G352">
        <v>36651</v>
      </c>
      <c r="H352">
        <v>37315</v>
      </c>
      <c r="I352">
        <v>26565</v>
      </c>
      <c r="J352">
        <v>0</v>
      </c>
      <c r="K352">
        <v>971</v>
      </c>
    </row>
    <row r="353" spans="2:11" x14ac:dyDescent="0.25">
      <c r="B353">
        <v>246</v>
      </c>
      <c r="C353">
        <v>918</v>
      </c>
      <c r="D353">
        <v>-315</v>
      </c>
      <c r="E353">
        <v>570</v>
      </c>
      <c r="F353">
        <v>-438</v>
      </c>
      <c r="G353">
        <v>226</v>
      </c>
      <c r="H353">
        <v>-180</v>
      </c>
      <c r="I353">
        <v>-266</v>
      </c>
      <c r="J353">
        <v>-235</v>
      </c>
      <c r="K353">
        <v>-428</v>
      </c>
    </row>
    <row r="354" spans="2:11" x14ac:dyDescent="0.25">
      <c r="B354">
        <v>37</v>
      </c>
      <c r="C354">
        <v>1220</v>
      </c>
      <c r="D354">
        <v>89</v>
      </c>
      <c r="E354">
        <v>55</v>
      </c>
      <c r="F354">
        <v>0</v>
      </c>
      <c r="G354">
        <v>0</v>
      </c>
      <c r="H354">
        <v>0</v>
      </c>
      <c r="I354">
        <v>-284</v>
      </c>
      <c r="J354">
        <v>44</v>
      </c>
      <c r="K354">
        <v>-44</v>
      </c>
    </row>
    <row r="355" spans="2:11" x14ac:dyDescent="0.25">
      <c r="B355">
        <v>91</v>
      </c>
      <c r="C355">
        <v>-200</v>
      </c>
      <c r="D355">
        <v>589</v>
      </c>
      <c r="E355">
        <v>17</v>
      </c>
      <c r="F355">
        <v>32</v>
      </c>
      <c r="G355">
        <v>39</v>
      </c>
      <c r="H355">
        <v>276</v>
      </c>
      <c r="I355">
        <v>288</v>
      </c>
      <c r="J355">
        <v>-15</v>
      </c>
      <c r="K355">
        <v>266</v>
      </c>
    </row>
    <row r="356" spans="2:11" x14ac:dyDescent="0.25">
      <c r="B356">
        <v>172</v>
      </c>
      <c r="C356">
        <v>-280</v>
      </c>
      <c r="D356">
        <v>44</v>
      </c>
      <c r="E356">
        <v>21</v>
      </c>
      <c r="F356">
        <v>45</v>
      </c>
      <c r="G356">
        <v>15</v>
      </c>
      <c r="H356">
        <v>250</v>
      </c>
      <c r="I356">
        <v>204</v>
      </c>
      <c r="J356">
        <v>-400</v>
      </c>
      <c r="K356">
        <v>759</v>
      </c>
    </row>
    <row r="357" spans="2:11" x14ac:dyDescent="0.25">
      <c r="B357">
        <v>52</v>
      </c>
      <c r="C357">
        <v>42</v>
      </c>
      <c r="D357">
        <v>-4</v>
      </c>
      <c r="E357">
        <v>212</v>
      </c>
      <c r="F357">
        <v>225</v>
      </c>
      <c r="G357">
        <v>329</v>
      </c>
      <c r="H357">
        <v>-388</v>
      </c>
      <c r="I357">
        <v>-1535</v>
      </c>
      <c r="J357">
        <v>427</v>
      </c>
      <c r="K357">
        <v>-38</v>
      </c>
    </row>
    <row r="358" spans="2:11" x14ac:dyDescent="0.25">
      <c r="B358">
        <v>-32</v>
      </c>
      <c r="C358">
        <v>0</v>
      </c>
      <c r="D358">
        <v>50</v>
      </c>
      <c r="E358">
        <v>479</v>
      </c>
      <c r="F358">
        <v>-475</v>
      </c>
      <c r="G358">
        <v>286</v>
      </c>
      <c r="H358">
        <v>225</v>
      </c>
      <c r="I358">
        <v>-75</v>
      </c>
      <c r="J358">
        <v>577</v>
      </c>
      <c r="K358">
        <v>855</v>
      </c>
    </row>
    <row r="359" spans="2:11" x14ac:dyDescent="0.25">
      <c r="B359">
        <v>640</v>
      </c>
      <c r="C359">
        <v>-902</v>
      </c>
      <c r="D359">
        <v>750</v>
      </c>
      <c r="E359">
        <v>272</v>
      </c>
      <c r="F359">
        <v>355</v>
      </c>
      <c r="G359">
        <v>64</v>
      </c>
      <c r="H359">
        <v>63</v>
      </c>
      <c r="I359">
        <v>0</v>
      </c>
      <c r="J359">
        <v>0</v>
      </c>
      <c r="K359">
        <v>0</v>
      </c>
    </row>
    <row r="360" spans="2:11" x14ac:dyDescent="0.25">
      <c r="B360">
        <v>209</v>
      </c>
      <c r="C360">
        <v>43</v>
      </c>
      <c r="D360">
        <v>140</v>
      </c>
      <c r="E360">
        <v>-113</v>
      </c>
      <c r="F360">
        <v>-194</v>
      </c>
      <c r="G360">
        <v>497</v>
      </c>
      <c r="H360">
        <v>199</v>
      </c>
      <c r="I360">
        <v>19</v>
      </c>
      <c r="J360">
        <v>115</v>
      </c>
      <c r="K360">
        <v>-163</v>
      </c>
    </row>
    <row r="361" spans="2:11" x14ac:dyDescent="0.25">
      <c r="B361">
        <v>45</v>
      </c>
      <c r="C361">
        <v>-27</v>
      </c>
      <c r="D361">
        <v>216</v>
      </c>
      <c r="E361">
        <v>145</v>
      </c>
      <c r="F361">
        <v>-200</v>
      </c>
      <c r="G361">
        <v>48</v>
      </c>
      <c r="H361">
        <v>127</v>
      </c>
      <c r="I361">
        <v>-24</v>
      </c>
      <c r="J361">
        <v>93</v>
      </c>
      <c r="K361">
        <v>-141</v>
      </c>
    </row>
    <row r="362" spans="2:11" x14ac:dyDescent="0.25">
      <c r="B362">
        <v>-29</v>
      </c>
      <c r="C362">
        <v>-329</v>
      </c>
      <c r="D362">
        <v>607</v>
      </c>
      <c r="E362">
        <v>137</v>
      </c>
      <c r="F362">
        <v>15</v>
      </c>
      <c r="G362">
        <v>75</v>
      </c>
      <c r="H362">
        <v>-129</v>
      </c>
      <c r="I362">
        <v>-28</v>
      </c>
      <c r="J362">
        <v>296</v>
      </c>
      <c r="K362">
        <v>46</v>
      </c>
    </row>
    <row r="363" spans="2:11" x14ac:dyDescent="0.25">
      <c r="B363">
        <v>-982</v>
      </c>
      <c r="C363">
        <v>-3067</v>
      </c>
      <c r="D363">
        <v>-868</v>
      </c>
      <c r="E363">
        <v>633</v>
      </c>
      <c r="F363">
        <v>-72974</v>
      </c>
      <c r="G363">
        <v>0</v>
      </c>
      <c r="H363">
        <v>-1471</v>
      </c>
      <c r="I363">
        <v>-856</v>
      </c>
      <c r="J363">
        <v>-1687</v>
      </c>
      <c r="K363">
        <v>786</v>
      </c>
    </row>
    <row r="364" spans="2:11" x14ac:dyDescent="0.25">
      <c r="B364">
        <v>-1856</v>
      </c>
      <c r="C364">
        <v>892</v>
      </c>
      <c r="D364">
        <v>429</v>
      </c>
      <c r="E364">
        <v>1343</v>
      </c>
      <c r="F364">
        <v>923</v>
      </c>
      <c r="G364">
        <v>-1192</v>
      </c>
      <c r="H364">
        <v>-412</v>
      </c>
      <c r="I364">
        <v>2697</v>
      </c>
      <c r="J364">
        <v>1150</v>
      </c>
      <c r="K364">
        <v>-41</v>
      </c>
    </row>
    <row r="365" spans="2:11" x14ac:dyDescent="0.25">
      <c r="B365">
        <v>-30</v>
      </c>
      <c r="C365">
        <v>0</v>
      </c>
      <c r="D365">
        <v>0</v>
      </c>
      <c r="E365">
        <v>0</v>
      </c>
      <c r="F365">
        <v>517</v>
      </c>
      <c r="G365">
        <v>23</v>
      </c>
      <c r="H365">
        <v>46</v>
      </c>
      <c r="I365">
        <v>-321</v>
      </c>
      <c r="J365">
        <v>67</v>
      </c>
      <c r="K365">
        <v>29</v>
      </c>
    </row>
    <row r="366" spans="2:11" x14ac:dyDescent="0.25">
      <c r="B366">
        <v>253</v>
      </c>
      <c r="C366">
        <v>-92</v>
      </c>
      <c r="D366">
        <v>-71</v>
      </c>
      <c r="E366">
        <v>-590</v>
      </c>
      <c r="F366">
        <v>-287</v>
      </c>
      <c r="G366">
        <v>11</v>
      </c>
      <c r="H366">
        <v>3</v>
      </c>
      <c r="I366">
        <v>4</v>
      </c>
      <c r="J366">
        <v>108</v>
      </c>
      <c r="K366">
        <v>37</v>
      </c>
    </row>
    <row r="367" spans="2:11" x14ac:dyDescent="0.25">
      <c r="B367">
        <v>202</v>
      </c>
      <c r="C367">
        <v>-113</v>
      </c>
      <c r="D367">
        <v>-21</v>
      </c>
      <c r="E367">
        <v>-455</v>
      </c>
      <c r="F367">
        <v>-215</v>
      </c>
      <c r="G367">
        <v>213</v>
      </c>
      <c r="H367">
        <v>-184</v>
      </c>
      <c r="I367">
        <v>119</v>
      </c>
      <c r="J367">
        <v>-160</v>
      </c>
      <c r="K367">
        <v>-164</v>
      </c>
    </row>
    <row r="368" spans="2:11" x14ac:dyDescent="0.25">
      <c r="B368">
        <v>-559</v>
      </c>
      <c r="C368">
        <v>-321</v>
      </c>
      <c r="D368">
        <v>20</v>
      </c>
      <c r="E368">
        <v>-1446</v>
      </c>
      <c r="F368">
        <v>1553</v>
      </c>
      <c r="G368">
        <v>5391</v>
      </c>
      <c r="H368">
        <v>2556</v>
      </c>
      <c r="I368">
        <v>-6143</v>
      </c>
      <c r="J368">
        <v>-20957</v>
      </c>
      <c r="K368">
        <v>-15740</v>
      </c>
    </row>
    <row r="369" spans="2:11" x14ac:dyDescent="0.25">
      <c r="B369">
        <v>0</v>
      </c>
      <c r="C369">
        <v>-1494</v>
      </c>
      <c r="D369">
        <v>-1397</v>
      </c>
      <c r="E369">
        <v>-1004</v>
      </c>
      <c r="F369">
        <v>-168</v>
      </c>
      <c r="G369">
        <v>-523</v>
      </c>
      <c r="H369">
        <v>403</v>
      </c>
      <c r="I369">
        <v>2135</v>
      </c>
      <c r="J369">
        <v>824</v>
      </c>
      <c r="K369">
        <v>465</v>
      </c>
    </row>
    <row r="370" spans="2:11" x14ac:dyDescent="0.25">
      <c r="B370">
        <v>-1245</v>
      </c>
      <c r="C370">
        <v>-1539</v>
      </c>
      <c r="D370">
        <v>899</v>
      </c>
      <c r="E370">
        <v>1773</v>
      </c>
      <c r="F370">
        <v>103</v>
      </c>
      <c r="G370">
        <v>104</v>
      </c>
      <c r="H370">
        <v>0</v>
      </c>
      <c r="I370">
        <v>0</v>
      </c>
      <c r="J370">
        <v>0</v>
      </c>
      <c r="K370">
        <v>1075</v>
      </c>
    </row>
    <row r="371" spans="2:11" x14ac:dyDescent="0.25">
      <c r="B371">
        <v>206</v>
      </c>
      <c r="C371">
        <v>61</v>
      </c>
      <c r="D371">
        <v>233</v>
      </c>
      <c r="E371">
        <v>-268</v>
      </c>
      <c r="F371">
        <v>840</v>
      </c>
      <c r="G371">
        <v>655</v>
      </c>
      <c r="H371">
        <v>-32</v>
      </c>
      <c r="I371">
        <v>-76</v>
      </c>
      <c r="J371">
        <v>-17</v>
      </c>
      <c r="K371">
        <v>-113</v>
      </c>
    </row>
    <row r="372" spans="2:11" x14ac:dyDescent="0.25">
      <c r="B372">
        <v>-74</v>
      </c>
      <c r="C372">
        <v>390</v>
      </c>
      <c r="D372">
        <v>251</v>
      </c>
      <c r="E372">
        <v>-273</v>
      </c>
      <c r="F372">
        <v>166</v>
      </c>
      <c r="G372">
        <v>503</v>
      </c>
      <c r="H372">
        <v>-44</v>
      </c>
      <c r="I372">
        <v>-85</v>
      </c>
      <c r="J372">
        <v>33</v>
      </c>
      <c r="K372">
        <v>-113</v>
      </c>
    </row>
    <row r="373" spans="2:11" x14ac:dyDescent="0.25">
      <c r="B373">
        <v>-454</v>
      </c>
      <c r="C373">
        <v>908</v>
      </c>
      <c r="D373">
        <v>414</v>
      </c>
      <c r="E373">
        <v>-20</v>
      </c>
      <c r="F373">
        <v>-221</v>
      </c>
      <c r="G373">
        <v>-101</v>
      </c>
      <c r="H373">
        <v>-297</v>
      </c>
      <c r="I373">
        <v>500</v>
      </c>
      <c r="J373">
        <v>10555</v>
      </c>
      <c r="K373">
        <v>4278</v>
      </c>
    </row>
    <row r="374" spans="2:11" x14ac:dyDescent="0.25">
      <c r="B374">
        <v>4796</v>
      </c>
      <c r="C374">
        <v>4222</v>
      </c>
      <c r="D374">
        <v>5783</v>
      </c>
      <c r="E374">
        <v>-4959</v>
      </c>
      <c r="F374">
        <v>-3604</v>
      </c>
      <c r="G374">
        <v>-10718</v>
      </c>
      <c r="H374">
        <v>0</v>
      </c>
      <c r="I374">
        <v>-1071</v>
      </c>
      <c r="J374">
        <v>-118</v>
      </c>
      <c r="K374">
        <v>252</v>
      </c>
    </row>
    <row r="375" spans="2:11" x14ac:dyDescent="0.25">
      <c r="B375">
        <v>-756</v>
      </c>
      <c r="C375">
        <v>315</v>
      </c>
      <c r="D375">
        <v>838</v>
      </c>
      <c r="E375">
        <v>-518</v>
      </c>
      <c r="F375">
        <v>305</v>
      </c>
      <c r="G375">
        <v>-51</v>
      </c>
      <c r="H375">
        <v>505</v>
      </c>
      <c r="I375">
        <v>-88</v>
      </c>
      <c r="J375">
        <v>598</v>
      </c>
      <c r="K375">
        <v>-956</v>
      </c>
    </row>
    <row r="376" spans="2:11" x14ac:dyDescent="0.25">
      <c r="B376">
        <v>-3060</v>
      </c>
      <c r="C376">
        <v>-2463</v>
      </c>
      <c r="D376">
        <v>0</v>
      </c>
      <c r="E376">
        <v>0</v>
      </c>
      <c r="F376">
        <v>0</v>
      </c>
      <c r="G376">
        <v>86</v>
      </c>
      <c r="H376">
        <v>-163</v>
      </c>
      <c r="I376">
        <v>-1127</v>
      </c>
      <c r="J376">
        <v>153</v>
      </c>
      <c r="K376">
        <v>8315</v>
      </c>
    </row>
    <row r="377" spans="2:11" x14ac:dyDescent="0.25">
      <c r="B377">
        <v>-21045</v>
      </c>
      <c r="C377">
        <v>-413</v>
      </c>
      <c r="D377">
        <v>1304</v>
      </c>
      <c r="E377">
        <v>-295</v>
      </c>
      <c r="F377">
        <v>288</v>
      </c>
      <c r="G377">
        <v>-1193</v>
      </c>
      <c r="H377">
        <v>1426</v>
      </c>
      <c r="I377">
        <v>-9440</v>
      </c>
      <c r="J377">
        <v>-5686</v>
      </c>
      <c r="K377">
        <v>10966</v>
      </c>
    </row>
    <row r="378" spans="2:11" x14ac:dyDescent="0.25">
      <c r="B378">
        <v>-918</v>
      </c>
      <c r="C378">
        <v>-1096</v>
      </c>
      <c r="D378">
        <v>969</v>
      </c>
      <c r="E378">
        <v>61</v>
      </c>
      <c r="F378">
        <v>-633</v>
      </c>
      <c r="G378">
        <v>-932</v>
      </c>
      <c r="H378">
        <v>16348</v>
      </c>
      <c r="I378">
        <v>-28047</v>
      </c>
      <c r="J378">
        <v>-1812</v>
      </c>
      <c r="K378">
        <v>-506</v>
      </c>
    </row>
    <row r="379" spans="2:11" x14ac:dyDescent="0.25">
      <c r="B379">
        <v>-577</v>
      </c>
      <c r="C379">
        <v>-942</v>
      </c>
      <c r="D379">
        <v>-1349</v>
      </c>
      <c r="E379">
        <v>-11430</v>
      </c>
      <c r="F379">
        <v>1124</v>
      </c>
      <c r="G379">
        <v>-439</v>
      </c>
      <c r="H379">
        <v>-120</v>
      </c>
      <c r="I379">
        <v>171</v>
      </c>
      <c r="J379">
        <v>799</v>
      </c>
      <c r="K379">
        <v>-2623</v>
      </c>
    </row>
    <row r="380" spans="2:11" x14ac:dyDescent="0.25">
      <c r="B380">
        <v>-2206</v>
      </c>
      <c r="C380">
        <v>682</v>
      </c>
      <c r="D380">
        <v>-3267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</row>
    <row r="382" spans="2:11" x14ac:dyDescent="0.25"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</row>
    <row r="383" spans="2:11" x14ac:dyDescent="0.25"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</row>
    <row r="384" spans="2:11" x14ac:dyDescent="0.25"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</row>
    <row r="385" spans="2:11" x14ac:dyDescent="0.25"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</row>
    <row r="386" spans="2:11" x14ac:dyDescent="0.25">
      <c r="B386">
        <v>0</v>
      </c>
      <c r="C386">
        <v>0</v>
      </c>
      <c r="D386">
        <v>-592</v>
      </c>
      <c r="E386">
        <v>-23</v>
      </c>
      <c r="F386">
        <v>459</v>
      </c>
      <c r="G386">
        <v>-893</v>
      </c>
      <c r="H386">
        <v>31</v>
      </c>
      <c r="I386">
        <v>179</v>
      </c>
      <c r="J386">
        <v>183</v>
      </c>
      <c r="K386">
        <v>-463</v>
      </c>
    </row>
    <row r="387" spans="2:11" x14ac:dyDescent="0.25">
      <c r="B387">
        <v>-334</v>
      </c>
      <c r="C387">
        <v>-212</v>
      </c>
      <c r="D387">
        <v>-53</v>
      </c>
      <c r="E387">
        <v>475</v>
      </c>
      <c r="F387">
        <v>-419</v>
      </c>
      <c r="G387">
        <v>-321</v>
      </c>
      <c r="H387">
        <v>-105</v>
      </c>
      <c r="I387">
        <v>0</v>
      </c>
      <c r="J387">
        <v>0</v>
      </c>
      <c r="K387">
        <v>0</v>
      </c>
    </row>
    <row r="388" spans="2:11" x14ac:dyDescent="0.25">
      <c r="B388">
        <v>-247</v>
      </c>
      <c r="C388">
        <v>1331</v>
      </c>
      <c r="D388">
        <v>-528</v>
      </c>
      <c r="E388">
        <v>-287</v>
      </c>
      <c r="F388">
        <v>2857</v>
      </c>
      <c r="G388">
        <v>-11339</v>
      </c>
      <c r="H388">
        <v>-31</v>
      </c>
      <c r="I388">
        <v>226</v>
      </c>
      <c r="J388">
        <v>-195</v>
      </c>
      <c r="K388">
        <v>144</v>
      </c>
    </row>
    <row r="389" spans="2:11" x14ac:dyDescent="0.25">
      <c r="B389">
        <v>-265</v>
      </c>
      <c r="C389">
        <v>250</v>
      </c>
      <c r="D389">
        <v>-1633</v>
      </c>
      <c r="E389">
        <v>-949</v>
      </c>
      <c r="F389">
        <v>1843</v>
      </c>
      <c r="G389">
        <v>-178</v>
      </c>
      <c r="H389">
        <v>-180</v>
      </c>
      <c r="I389">
        <v>156</v>
      </c>
      <c r="J389">
        <v>-163</v>
      </c>
      <c r="K389">
        <v>-40</v>
      </c>
    </row>
    <row r="390" spans="2:11" x14ac:dyDescent="0.25">
      <c r="B390">
        <v>-216</v>
      </c>
      <c r="C390">
        <v>2746</v>
      </c>
      <c r="D390">
        <v>-4741</v>
      </c>
      <c r="E390">
        <v>-307</v>
      </c>
      <c r="F390">
        <v>-60</v>
      </c>
      <c r="G390">
        <v>-206</v>
      </c>
      <c r="H390">
        <v>-86</v>
      </c>
      <c r="I390">
        <v>-318</v>
      </c>
      <c r="J390">
        <v>-1960</v>
      </c>
      <c r="K390">
        <v>238</v>
      </c>
    </row>
    <row r="391" spans="2:11" x14ac:dyDescent="0.25">
      <c r="B391">
        <v>-74</v>
      </c>
      <c r="C391">
        <v>-207</v>
      </c>
      <c r="D391">
        <v>146</v>
      </c>
      <c r="E391">
        <v>55</v>
      </c>
      <c r="F391">
        <v>-442</v>
      </c>
      <c r="G391">
        <v>-379</v>
      </c>
      <c r="H391">
        <v>107</v>
      </c>
      <c r="I391">
        <v>-554</v>
      </c>
      <c r="J391">
        <v>16900</v>
      </c>
      <c r="K391">
        <v>0</v>
      </c>
    </row>
    <row r="392" spans="2:11" x14ac:dyDescent="0.25">
      <c r="B392">
        <v>0</v>
      </c>
      <c r="C392">
        <v>-485</v>
      </c>
      <c r="D392">
        <v>-90</v>
      </c>
      <c r="E392">
        <v>444</v>
      </c>
      <c r="F392">
        <v>-597</v>
      </c>
      <c r="G392">
        <v>364</v>
      </c>
      <c r="H392">
        <v>430</v>
      </c>
      <c r="I392">
        <v>572</v>
      </c>
      <c r="J392">
        <v>213</v>
      </c>
      <c r="K392">
        <v>-294</v>
      </c>
    </row>
    <row r="393" spans="2:11" x14ac:dyDescent="0.25">
      <c r="B393">
        <v>-147</v>
      </c>
      <c r="C393">
        <v>14</v>
      </c>
      <c r="D393">
        <v>347</v>
      </c>
      <c r="E393">
        <v>-671</v>
      </c>
      <c r="F393">
        <v>-177</v>
      </c>
      <c r="G393">
        <v>-497</v>
      </c>
      <c r="H393">
        <v>0</v>
      </c>
      <c r="I393">
        <v>0</v>
      </c>
      <c r="J393">
        <v>0</v>
      </c>
      <c r="K393">
        <v>321</v>
      </c>
    </row>
    <row r="394" spans="2:11" x14ac:dyDescent="0.25">
      <c r="B394">
        <v>1642</v>
      </c>
      <c r="C394">
        <v>-1189</v>
      </c>
      <c r="D394">
        <v>379</v>
      </c>
      <c r="E394">
        <v>1873</v>
      </c>
      <c r="F394">
        <v>-9470</v>
      </c>
      <c r="G394">
        <v>50</v>
      </c>
      <c r="H394">
        <v>32</v>
      </c>
      <c r="I394">
        <v>-179</v>
      </c>
      <c r="J394">
        <v>42</v>
      </c>
      <c r="K394">
        <v>-184</v>
      </c>
    </row>
    <row r="395" spans="2:11" x14ac:dyDescent="0.25">
      <c r="B395">
        <v>48</v>
      </c>
      <c r="C395">
        <v>-334</v>
      </c>
      <c r="D395">
        <v>-222</v>
      </c>
      <c r="E395">
        <v>403</v>
      </c>
      <c r="F395">
        <v>-17</v>
      </c>
      <c r="G395">
        <v>1</v>
      </c>
      <c r="H395">
        <v>16</v>
      </c>
      <c r="I395">
        <v>-191</v>
      </c>
      <c r="J395">
        <v>-6</v>
      </c>
      <c r="K395">
        <v>-153</v>
      </c>
    </row>
    <row r="396" spans="2:11" x14ac:dyDescent="0.25">
      <c r="B396">
        <v>598</v>
      </c>
      <c r="C396">
        <v>-1026</v>
      </c>
      <c r="D396">
        <v>-37</v>
      </c>
      <c r="E396">
        <v>-24</v>
      </c>
      <c r="F396">
        <v>-176</v>
      </c>
      <c r="G396">
        <v>-22</v>
      </c>
      <c r="H396">
        <v>-202</v>
      </c>
      <c r="I396">
        <v>-397</v>
      </c>
      <c r="J396">
        <v>182</v>
      </c>
      <c r="K396">
        <v>12</v>
      </c>
    </row>
    <row r="397" spans="2:11" x14ac:dyDescent="0.25">
      <c r="B397">
        <v>-174</v>
      </c>
      <c r="C397">
        <v>96</v>
      </c>
      <c r="D397">
        <v>-88</v>
      </c>
      <c r="E397">
        <v>-102</v>
      </c>
      <c r="F397">
        <v>-79</v>
      </c>
      <c r="G397">
        <v>21</v>
      </c>
      <c r="H397">
        <v>-111</v>
      </c>
      <c r="I397">
        <v>3658</v>
      </c>
      <c r="J397">
        <v>0</v>
      </c>
      <c r="K397">
        <v>22263</v>
      </c>
    </row>
    <row r="398" spans="2:11" x14ac:dyDescent="0.25">
      <c r="B398">
        <v>0</v>
      </c>
      <c r="C398">
        <v>-432</v>
      </c>
      <c r="D398">
        <v>729</v>
      </c>
      <c r="E398">
        <v>232</v>
      </c>
      <c r="F398">
        <v>-297</v>
      </c>
      <c r="G398">
        <v>124</v>
      </c>
      <c r="H398">
        <v>401</v>
      </c>
      <c r="I398">
        <v>873</v>
      </c>
      <c r="J398">
        <v>97</v>
      </c>
      <c r="K398">
        <v>437</v>
      </c>
    </row>
    <row r="399" spans="2:11" x14ac:dyDescent="0.25">
      <c r="B399">
        <v>142</v>
      </c>
      <c r="C399">
        <v>102</v>
      </c>
      <c r="D399">
        <v>-70</v>
      </c>
      <c r="E399">
        <v>-517</v>
      </c>
      <c r="F399">
        <v>-606</v>
      </c>
      <c r="G399">
        <v>-448</v>
      </c>
      <c r="H399">
        <v>0</v>
      </c>
      <c r="I399">
        <v>0</v>
      </c>
      <c r="J399">
        <v>0</v>
      </c>
      <c r="K399">
        <v>173</v>
      </c>
    </row>
    <row r="400" spans="2:11" x14ac:dyDescent="0.25">
      <c r="B400">
        <v>700</v>
      </c>
      <c r="C400">
        <v>97</v>
      </c>
      <c r="D400">
        <v>-708</v>
      </c>
      <c r="E400">
        <v>2473</v>
      </c>
      <c r="F400">
        <v>-7413</v>
      </c>
      <c r="G400">
        <v>75</v>
      </c>
      <c r="H400">
        <v>331</v>
      </c>
      <c r="I400">
        <v>-126</v>
      </c>
      <c r="J400">
        <v>-97</v>
      </c>
      <c r="K400">
        <v>-268</v>
      </c>
    </row>
    <row r="401" spans="2:11" x14ac:dyDescent="0.25">
      <c r="B401">
        <v>328</v>
      </c>
      <c r="C401">
        <v>-2258</v>
      </c>
      <c r="D401">
        <v>-1335</v>
      </c>
      <c r="E401">
        <v>2624</v>
      </c>
      <c r="F401">
        <v>-203</v>
      </c>
      <c r="G401">
        <v>-159</v>
      </c>
      <c r="H401">
        <v>232</v>
      </c>
      <c r="I401">
        <v>-56</v>
      </c>
      <c r="J401">
        <v>-305</v>
      </c>
      <c r="K401">
        <v>-228</v>
      </c>
    </row>
    <row r="402" spans="2:11" x14ac:dyDescent="0.25">
      <c r="B402">
        <v>3871</v>
      </c>
      <c r="C402">
        <v>-6663</v>
      </c>
      <c r="D402">
        <v>-326</v>
      </c>
      <c r="E402">
        <v>-92</v>
      </c>
      <c r="F402">
        <v>-177</v>
      </c>
      <c r="G402">
        <v>-391</v>
      </c>
      <c r="H402">
        <v>-357</v>
      </c>
      <c r="I402">
        <v>-2707</v>
      </c>
      <c r="J402">
        <v>462</v>
      </c>
      <c r="K402">
        <v>-62</v>
      </c>
    </row>
    <row r="403" spans="2:11" x14ac:dyDescent="0.25">
      <c r="B403">
        <v>-28</v>
      </c>
      <c r="C403">
        <v>-137</v>
      </c>
      <c r="D403">
        <v>232</v>
      </c>
      <c r="E403">
        <v>-626</v>
      </c>
      <c r="F403">
        <v>-513</v>
      </c>
      <c r="G403">
        <v>155</v>
      </c>
      <c r="H403">
        <v>-768</v>
      </c>
      <c r="I403">
        <v>23711</v>
      </c>
      <c r="J403">
        <v>0</v>
      </c>
      <c r="K403">
        <v>44494</v>
      </c>
    </row>
    <row r="404" spans="2:11" x14ac:dyDescent="0.25">
      <c r="B404">
        <v>33239</v>
      </c>
      <c r="C404">
        <v>0</v>
      </c>
      <c r="D404">
        <v>-778</v>
      </c>
      <c r="E404">
        <v>48</v>
      </c>
      <c r="F404">
        <v>-70</v>
      </c>
      <c r="G404">
        <v>-240</v>
      </c>
      <c r="H404">
        <v>-312</v>
      </c>
      <c r="I404">
        <v>793</v>
      </c>
      <c r="J404">
        <v>-36</v>
      </c>
      <c r="K404">
        <v>75</v>
      </c>
    </row>
    <row r="405" spans="2:11" x14ac:dyDescent="0.25">
      <c r="B405">
        <v>100</v>
      </c>
      <c r="C405">
        <v>237</v>
      </c>
      <c r="D405">
        <v>87</v>
      </c>
      <c r="E405">
        <v>-164</v>
      </c>
      <c r="F405">
        <v>-663</v>
      </c>
      <c r="G405">
        <v>-557</v>
      </c>
      <c r="H405">
        <v>-241</v>
      </c>
      <c r="I405">
        <v>0</v>
      </c>
      <c r="J405">
        <v>0</v>
      </c>
      <c r="K405">
        <v>0</v>
      </c>
    </row>
    <row r="406" spans="2:11" x14ac:dyDescent="0.25">
      <c r="B406">
        <v>-338</v>
      </c>
      <c r="C406">
        <v>776</v>
      </c>
      <c r="D406">
        <v>98</v>
      </c>
      <c r="E406">
        <v>-1099</v>
      </c>
      <c r="F406">
        <v>2709</v>
      </c>
      <c r="G406">
        <v>-9427</v>
      </c>
      <c r="H406">
        <v>-66</v>
      </c>
      <c r="I406">
        <v>228</v>
      </c>
      <c r="J406">
        <v>-175</v>
      </c>
      <c r="K406">
        <v>-94</v>
      </c>
    </row>
    <row r="407" spans="2:11" x14ac:dyDescent="0.25">
      <c r="B407">
        <v>-371</v>
      </c>
      <c r="C407">
        <v>288</v>
      </c>
      <c r="D407">
        <v>-2015</v>
      </c>
      <c r="E407">
        <v>-1208</v>
      </c>
      <c r="F407">
        <v>2317</v>
      </c>
      <c r="G407">
        <v>-201</v>
      </c>
      <c r="H407">
        <v>-205</v>
      </c>
      <c r="I407">
        <v>163</v>
      </c>
      <c r="J407">
        <v>-87</v>
      </c>
      <c r="K407">
        <v>-258</v>
      </c>
    </row>
    <row r="408" spans="2:11" x14ac:dyDescent="0.25">
      <c r="B408">
        <v>-269</v>
      </c>
      <c r="C408">
        <v>3442</v>
      </c>
      <c r="D408">
        <v>-5958</v>
      </c>
      <c r="E408">
        <v>-352</v>
      </c>
      <c r="F408">
        <v>-151</v>
      </c>
      <c r="G408">
        <v>-221</v>
      </c>
      <c r="H408">
        <v>-361</v>
      </c>
      <c r="I408">
        <v>-374</v>
      </c>
      <c r="J408">
        <v>-2439</v>
      </c>
      <c r="K408">
        <v>272</v>
      </c>
    </row>
    <row r="409" spans="2:11" x14ac:dyDescent="0.25">
      <c r="B409">
        <v>-144</v>
      </c>
      <c r="C409">
        <v>-113</v>
      </c>
      <c r="D409">
        <v>-117</v>
      </c>
      <c r="E409">
        <v>87</v>
      </c>
      <c r="F409">
        <v>-567</v>
      </c>
      <c r="G409">
        <v>-469</v>
      </c>
      <c r="H409">
        <v>142</v>
      </c>
      <c r="I409">
        <v>-697</v>
      </c>
      <c r="J409">
        <v>21204</v>
      </c>
      <c r="K409">
        <v>0</v>
      </c>
    </row>
    <row r="410" spans="2:11" x14ac:dyDescent="0.25">
      <c r="B410">
        <v>42443</v>
      </c>
      <c r="C410">
        <v>29732</v>
      </c>
      <c r="D410">
        <v>59001</v>
      </c>
      <c r="E410">
        <v>0</v>
      </c>
      <c r="F410">
        <v>-557</v>
      </c>
      <c r="G410">
        <v>236</v>
      </c>
      <c r="H410">
        <v>441</v>
      </c>
      <c r="I410">
        <v>-378</v>
      </c>
      <c r="J410">
        <v>272</v>
      </c>
      <c r="K410">
        <v>996</v>
      </c>
    </row>
    <row r="411" spans="2:11" x14ac:dyDescent="0.25">
      <c r="B411">
        <v>443</v>
      </c>
      <c r="C411">
        <v>520</v>
      </c>
      <c r="D411">
        <v>-15</v>
      </c>
      <c r="E411">
        <v>360</v>
      </c>
      <c r="F411">
        <v>191</v>
      </c>
      <c r="G411">
        <v>-187</v>
      </c>
      <c r="H411">
        <v>-1048</v>
      </c>
      <c r="I411">
        <v>-786</v>
      </c>
      <c r="J411">
        <v>-508</v>
      </c>
      <c r="K411">
        <v>0</v>
      </c>
    </row>
    <row r="412" spans="2:11" x14ac:dyDescent="0.25">
      <c r="B412">
        <v>0</v>
      </c>
      <c r="C412">
        <v>0</v>
      </c>
      <c r="D412">
        <v>-651</v>
      </c>
      <c r="E412">
        <v>-190</v>
      </c>
      <c r="F412">
        <v>469</v>
      </c>
      <c r="G412">
        <v>-2315</v>
      </c>
      <c r="H412">
        <v>2347</v>
      </c>
      <c r="I412">
        <v>-7258</v>
      </c>
      <c r="J412">
        <v>-43</v>
      </c>
      <c r="K412">
        <v>255</v>
      </c>
    </row>
    <row r="413" spans="2:11" x14ac:dyDescent="0.25">
      <c r="B413">
        <v>-224</v>
      </c>
      <c r="C413">
        <v>-47</v>
      </c>
      <c r="D413">
        <v>-371</v>
      </c>
      <c r="E413">
        <v>300</v>
      </c>
      <c r="F413">
        <v>-2113</v>
      </c>
      <c r="G413">
        <v>-1288</v>
      </c>
      <c r="H413">
        <v>2454</v>
      </c>
      <c r="I413">
        <v>-194</v>
      </c>
      <c r="J413">
        <v>-199</v>
      </c>
      <c r="K413">
        <v>189</v>
      </c>
    </row>
    <row r="414" spans="2:11" x14ac:dyDescent="0.25">
      <c r="B414">
        <v>-145</v>
      </c>
      <c r="C414">
        <v>-238</v>
      </c>
      <c r="D414">
        <v>-283</v>
      </c>
      <c r="E414">
        <v>3641</v>
      </c>
      <c r="F414">
        <v>-6289</v>
      </c>
      <c r="G414">
        <v>-341</v>
      </c>
      <c r="H414">
        <v>-143</v>
      </c>
      <c r="I414">
        <v>-280</v>
      </c>
      <c r="J414">
        <v>-346</v>
      </c>
      <c r="K414">
        <v>-385</v>
      </c>
    </row>
    <row r="415" spans="2:11" x14ac:dyDescent="0.25">
      <c r="B415">
        <v>-2552</v>
      </c>
      <c r="C415">
        <v>363</v>
      </c>
      <c r="D415">
        <v>-97</v>
      </c>
      <c r="E415">
        <v>-151</v>
      </c>
      <c r="F415">
        <v>-58</v>
      </c>
      <c r="G415">
        <v>122</v>
      </c>
      <c r="H415">
        <v>-599</v>
      </c>
      <c r="I415">
        <v>-491</v>
      </c>
      <c r="J415">
        <v>139</v>
      </c>
      <c r="K415">
        <v>-735</v>
      </c>
    </row>
    <row r="416" spans="2:11" x14ac:dyDescent="0.25">
      <c r="B416">
        <v>22390</v>
      </c>
      <c r="C416">
        <v>0</v>
      </c>
      <c r="D416">
        <v>39372</v>
      </c>
      <c r="E416">
        <v>32286</v>
      </c>
      <c r="F416">
        <v>68075</v>
      </c>
      <c r="G416">
        <v>60658</v>
      </c>
      <c r="H416">
        <v>0</v>
      </c>
      <c r="I416">
        <v>-362</v>
      </c>
      <c r="J416">
        <v>359</v>
      </c>
      <c r="K416">
        <v>166</v>
      </c>
    </row>
    <row r="417" spans="2:11" x14ac:dyDescent="0.25">
      <c r="B417">
        <v>-325</v>
      </c>
      <c r="C417">
        <v>51</v>
      </c>
      <c r="D417">
        <v>458</v>
      </c>
      <c r="E417">
        <v>-14</v>
      </c>
      <c r="F417">
        <v>-149</v>
      </c>
      <c r="G417">
        <v>309</v>
      </c>
      <c r="H417">
        <v>101</v>
      </c>
      <c r="I417">
        <v>70</v>
      </c>
      <c r="J417">
        <v>-92</v>
      </c>
      <c r="K417">
        <v>-740</v>
      </c>
    </row>
    <row r="418" spans="2:11" x14ac:dyDescent="0.25">
      <c r="B418">
        <v>-1191</v>
      </c>
      <c r="C418">
        <v>-965</v>
      </c>
      <c r="D418">
        <v>0</v>
      </c>
      <c r="E418">
        <v>0</v>
      </c>
      <c r="F418">
        <v>0</v>
      </c>
      <c r="G418">
        <v>-1001</v>
      </c>
      <c r="H418">
        <v>125</v>
      </c>
      <c r="I418">
        <v>161</v>
      </c>
      <c r="J418">
        <v>-1228</v>
      </c>
      <c r="K418">
        <v>2501</v>
      </c>
    </row>
    <row r="419" spans="2:11" x14ac:dyDescent="0.25">
      <c r="B419">
        <v>-10406</v>
      </c>
      <c r="C419">
        <v>-57</v>
      </c>
      <c r="D419">
        <v>153</v>
      </c>
      <c r="E419">
        <v>-128</v>
      </c>
      <c r="F419">
        <v>-68</v>
      </c>
      <c r="G419">
        <v>-238</v>
      </c>
      <c r="H419">
        <v>189</v>
      </c>
      <c r="I419">
        <v>-1232</v>
      </c>
      <c r="J419">
        <v>-803</v>
      </c>
      <c r="K419">
        <v>1496</v>
      </c>
    </row>
    <row r="420" spans="2:11" x14ac:dyDescent="0.25">
      <c r="B420">
        <v>-77</v>
      </c>
      <c r="C420">
        <v>-158</v>
      </c>
      <c r="D420">
        <v>109</v>
      </c>
      <c r="E420">
        <v>-88</v>
      </c>
      <c r="F420">
        <v>-175</v>
      </c>
      <c r="G420">
        <v>-183</v>
      </c>
      <c r="H420">
        <v>2230</v>
      </c>
      <c r="I420">
        <v>-3808</v>
      </c>
      <c r="J420">
        <v>-266</v>
      </c>
      <c r="K420">
        <v>-90</v>
      </c>
    </row>
    <row r="421" spans="2:11" x14ac:dyDescent="0.25">
      <c r="B421">
        <v>-152</v>
      </c>
      <c r="C421">
        <v>-217</v>
      </c>
      <c r="D421">
        <v>-267</v>
      </c>
      <c r="E421">
        <v>-1525</v>
      </c>
      <c r="F421">
        <v>180</v>
      </c>
      <c r="G421">
        <v>-79</v>
      </c>
      <c r="H421">
        <v>-78</v>
      </c>
      <c r="I421">
        <v>-81</v>
      </c>
      <c r="J421">
        <v>75</v>
      </c>
      <c r="K421">
        <v>-366</v>
      </c>
    </row>
    <row r="422" spans="2:11" x14ac:dyDescent="0.25">
      <c r="B422">
        <v>-301</v>
      </c>
      <c r="C422">
        <v>78</v>
      </c>
      <c r="D422">
        <v>-459</v>
      </c>
      <c r="E422">
        <v>13601</v>
      </c>
      <c r="F422">
        <v>0</v>
      </c>
      <c r="G422">
        <v>33575</v>
      </c>
      <c r="H422">
        <v>29954</v>
      </c>
      <c r="I422">
        <v>54595</v>
      </c>
      <c r="J422">
        <v>47979</v>
      </c>
      <c r="K422">
        <v>53478</v>
      </c>
    </row>
    <row r="423" spans="2:11" x14ac:dyDescent="0.25">
      <c r="B423">
        <v>0</v>
      </c>
      <c r="C423">
        <v>-406</v>
      </c>
      <c r="D423">
        <v>724</v>
      </c>
      <c r="E423">
        <v>445</v>
      </c>
      <c r="F423">
        <v>-268</v>
      </c>
      <c r="G423">
        <v>100</v>
      </c>
      <c r="H423">
        <v>406</v>
      </c>
      <c r="I423">
        <v>735</v>
      </c>
      <c r="J423">
        <v>-6</v>
      </c>
      <c r="K423">
        <v>-276</v>
      </c>
    </row>
    <row r="424" spans="2:11" x14ac:dyDescent="0.25">
      <c r="B424">
        <v>272</v>
      </c>
      <c r="C424">
        <v>236</v>
      </c>
      <c r="D424">
        <v>-153</v>
      </c>
      <c r="E424">
        <v>103</v>
      </c>
      <c r="F424">
        <v>-703</v>
      </c>
      <c r="G424">
        <v>-340</v>
      </c>
      <c r="H424">
        <v>0</v>
      </c>
      <c r="I424">
        <v>0</v>
      </c>
      <c r="J424">
        <v>0</v>
      </c>
      <c r="K424">
        <v>-129</v>
      </c>
    </row>
    <row r="425" spans="2:11" x14ac:dyDescent="0.25">
      <c r="B425">
        <v>785</v>
      </c>
      <c r="C425">
        <v>-697</v>
      </c>
      <c r="D425">
        <v>-1581</v>
      </c>
      <c r="E425">
        <v>1514</v>
      </c>
      <c r="F425">
        <v>-2416</v>
      </c>
      <c r="G425">
        <v>-40</v>
      </c>
      <c r="H425">
        <v>296</v>
      </c>
      <c r="I425">
        <v>-155</v>
      </c>
      <c r="J425">
        <v>-111</v>
      </c>
      <c r="K425">
        <v>-297</v>
      </c>
    </row>
    <row r="426" spans="2:11" x14ac:dyDescent="0.25">
      <c r="B426">
        <v>337</v>
      </c>
      <c r="C426">
        <v>-2265</v>
      </c>
      <c r="D426">
        <v>-1351</v>
      </c>
      <c r="E426">
        <v>2637</v>
      </c>
      <c r="F426">
        <v>-212</v>
      </c>
      <c r="G426">
        <v>-235</v>
      </c>
      <c r="H426">
        <v>208</v>
      </c>
      <c r="I426">
        <v>-88</v>
      </c>
      <c r="J426">
        <v>-323</v>
      </c>
      <c r="K426">
        <v>-242</v>
      </c>
    </row>
    <row r="427" spans="2:11" x14ac:dyDescent="0.25">
      <c r="B427">
        <v>3913</v>
      </c>
      <c r="C427">
        <v>-6709</v>
      </c>
      <c r="D427">
        <v>-371</v>
      </c>
      <c r="E427">
        <v>-126</v>
      </c>
      <c r="F427">
        <v>-219</v>
      </c>
      <c r="G427">
        <v>-427</v>
      </c>
      <c r="H427">
        <v>-331</v>
      </c>
      <c r="I427">
        <v>-2726</v>
      </c>
      <c r="J427">
        <v>361</v>
      </c>
      <c r="K427">
        <v>-103</v>
      </c>
    </row>
    <row r="428" spans="2:11" x14ac:dyDescent="0.25">
      <c r="B428">
        <v>-102</v>
      </c>
      <c r="C428">
        <v>-179</v>
      </c>
      <c r="D428">
        <v>179</v>
      </c>
      <c r="E428">
        <v>-620</v>
      </c>
      <c r="F428">
        <v>-524</v>
      </c>
      <c r="G428">
        <v>156</v>
      </c>
      <c r="H428">
        <v>-772</v>
      </c>
      <c r="I428">
        <v>23942</v>
      </c>
      <c r="J428">
        <v>0</v>
      </c>
      <c r="K428">
        <v>39839</v>
      </c>
    </row>
    <row r="429" spans="2:11" x14ac:dyDescent="0.25">
      <c r="B429">
        <v>26656</v>
      </c>
      <c r="C429">
        <v>64401</v>
      </c>
      <c r="D429">
        <v>56285</v>
      </c>
      <c r="E429">
        <v>64738</v>
      </c>
      <c r="F429">
        <v>48626</v>
      </c>
      <c r="G429">
        <v>0</v>
      </c>
      <c r="H429">
        <v>-873</v>
      </c>
      <c r="I429">
        <v>151</v>
      </c>
      <c r="J429">
        <v>243</v>
      </c>
      <c r="K429">
        <v>-640</v>
      </c>
    </row>
    <row r="430" spans="2:11" x14ac:dyDescent="0.25">
      <c r="B430">
        <v>114</v>
      </c>
      <c r="C430">
        <v>787</v>
      </c>
      <c r="D430">
        <v>-193</v>
      </c>
      <c r="E430">
        <v>98</v>
      </c>
      <c r="F430">
        <v>884</v>
      </c>
      <c r="G430">
        <v>164</v>
      </c>
      <c r="H430">
        <v>-324</v>
      </c>
      <c r="I430">
        <v>567</v>
      </c>
      <c r="J430">
        <v>-595</v>
      </c>
      <c r="K430">
        <v>-2296</v>
      </c>
    </row>
    <row r="431" spans="2:11" x14ac:dyDescent="0.25">
      <c r="B431">
        <v>-1711</v>
      </c>
      <c r="C431">
        <v>0</v>
      </c>
      <c r="D431">
        <v>0</v>
      </c>
      <c r="E431">
        <v>0</v>
      </c>
      <c r="F431">
        <v>-356</v>
      </c>
      <c r="G431">
        <v>1765</v>
      </c>
      <c r="H431">
        <v>-408</v>
      </c>
      <c r="I431">
        <v>-477</v>
      </c>
      <c r="J431">
        <v>4642</v>
      </c>
      <c r="K431">
        <v>-7445</v>
      </c>
    </row>
    <row r="432" spans="2:11" x14ac:dyDescent="0.25">
      <c r="B432">
        <v>-172</v>
      </c>
      <c r="C432">
        <v>938</v>
      </c>
      <c r="D432">
        <v>-287</v>
      </c>
      <c r="E432">
        <v>91</v>
      </c>
      <c r="F432">
        <v>-856</v>
      </c>
      <c r="G432">
        <v>1006</v>
      </c>
      <c r="H432">
        <v>-6674</v>
      </c>
      <c r="I432">
        <v>-4015</v>
      </c>
      <c r="J432">
        <v>7787</v>
      </c>
      <c r="K432">
        <v>-624</v>
      </c>
    </row>
    <row r="433" spans="2:11" x14ac:dyDescent="0.25">
      <c r="B433">
        <v>-698</v>
      </c>
      <c r="C433">
        <v>691</v>
      </c>
      <c r="D433">
        <v>-25</v>
      </c>
      <c r="E433">
        <v>-529</v>
      </c>
      <c r="F433">
        <v>-670</v>
      </c>
      <c r="G433">
        <v>11586</v>
      </c>
      <c r="H433">
        <v>-19871</v>
      </c>
      <c r="I433">
        <v>-1223</v>
      </c>
      <c r="J433">
        <v>-359</v>
      </c>
      <c r="K433">
        <v>-476</v>
      </c>
    </row>
    <row r="434" spans="2:11" x14ac:dyDescent="0.25">
      <c r="B434">
        <v>-775</v>
      </c>
      <c r="C434">
        <v>-1017</v>
      </c>
      <c r="D434">
        <v>-8086</v>
      </c>
      <c r="E434">
        <v>924</v>
      </c>
      <c r="F434">
        <v>-278</v>
      </c>
      <c r="G434">
        <v>-99</v>
      </c>
      <c r="H434">
        <v>56</v>
      </c>
      <c r="I434">
        <v>596</v>
      </c>
      <c r="J434">
        <v>-1857</v>
      </c>
      <c r="K434">
        <v>-1557</v>
      </c>
    </row>
    <row r="435" spans="2:11" x14ac:dyDescent="0.25">
      <c r="B435">
        <v>494</v>
      </c>
      <c r="C435">
        <v>-2300</v>
      </c>
      <c r="D435">
        <v>70820</v>
      </c>
      <c r="E435">
        <v>0</v>
      </c>
      <c r="F435">
        <v>31449</v>
      </c>
      <c r="G435">
        <v>18525</v>
      </c>
      <c r="H435">
        <v>49118</v>
      </c>
      <c r="I435">
        <v>42274</v>
      </c>
      <c r="J435">
        <v>47638</v>
      </c>
      <c r="K435">
        <v>34680</v>
      </c>
    </row>
    <row r="436" spans="2:11" x14ac:dyDescent="0.25">
      <c r="B436">
        <v>47433</v>
      </c>
      <c r="C436">
        <v>0</v>
      </c>
      <c r="D436">
        <v>-55</v>
      </c>
      <c r="E436">
        <v>-411</v>
      </c>
      <c r="F436">
        <v>1240</v>
      </c>
      <c r="G436">
        <v>-822</v>
      </c>
      <c r="H436">
        <v>581</v>
      </c>
      <c r="I436">
        <v>106</v>
      </c>
      <c r="J436">
        <v>-74</v>
      </c>
      <c r="K436">
        <v>-106</v>
      </c>
    </row>
    <row r="437" spans="2:11" x14ac:dyDescent="0.25">
      <c r="B437">
        <v>-634</v>
      </c>
      <c r="C437">
        <v>-186</v>
      </c>
      <c r="D437">
        <v>-30</v>
      </c>
      <c r="E437">
        <v>598</v>
      </c>
      <c r="F437">
        <v>-909</v>
      </c>
      <c r="G437">
        <v>-512</v>
      </c>
      <c r="H437">
        <v>-413</v>
      </c>
      <c r="I437">
        <v>0</v>
      </c>
      <c r="J437">
        <v>0</v>
      </c>
      <c r="K437">
        <v>0</v>
      </c>
    </row>
    <row r="438" spans="2:11" x14ac:dyDescent="0.25">
      <c r="B438">
        <v>-1015</v>
      </c>
      <c r="C438">
        <v>2140</v>
      </c>
      <c r="D438">
        <v>12</v>
      </c>
      <c r="E438">
        <v>-1459</v>
      </c>
      <c r="F438">
        <v>24695</v>
      </c>
      <c r="G438">
        <v>-20691</v>
      </c>
      <c r="H438">
        <v>-130</v>
      </c>
      <c r="I438">
        <v>405</v>
      </c>
      <c r="J438">
        <v>-219</v>
      </c>
      <c r="K438">
        <v>405</v>
      </c>
    </row>
    <row r="439" spans="2:11" x14ac:dyDescent="0.25">
      <c r="B439">
        <v>-237</v>
      </c>
      <c r="C439">
        <v>399</v>
      </c>
      <c r="D439">
        <v>-2607</v>
      </c>
      <c r="E439">
        <v>-1537</v>
      </c>
      <c r="F439">
        <v>2948</v>
      </c>
      <c r="G439">
        <v>-291</v>
      </c>
      <c r="H439">
        <v>-324</v>
      </c>
      <c r="I439">
        <v>310</v>
      </c>
      <c r="J439">
        <v>-161</v>
      </c>
      <c r="K439">
        <v>80</v>
      </c>
    </row>
    <row r="440" spans="2:11" x14ac:dyDescent="0.25">
      <c r="B440">
        <v>-202</v>
      </c>
      <c r="C440">
        <v>4396</v>
      </c>
      <c r="D440">
        <v>-7591</v>
      </c>
      <c r="E440">
        <v>-522</v>
      </c>
      <c r="F440">
        <v>-69</v>
      </c>
      <c r="G440">
        <v>-253</v>
      </c>
      <c r="H440">
        <v>20</v>
      </c>
      <c r="I440">
        <v>-315</v>
      </c>
      <c r="J440">
        <v>-3135</v>
      </c>
      <c r="K440">
        <v>330</v>
      </c>
    </row>
    <row r="441" spans="2:11" x14ac:dyDescent="0.25">
      <c r="B441">
        <v>-44</v>
      </c>
      <c r="C441">
        <v>-242</v>
      </c>
      <c r="D441">
        <v>413</v>
      </c>
      <c r="E441">
        <v>298</v>
      </c>
      <c r="F441">
        <v>-707</v>
      </c>
      <c r="G441">
        <v>-606</v>
      </c>
      <c r="H441">
        <v>158</v>
      </c>
      <c r="I441">
        <v>-897</v>
      </c>
      <c r="J441">
        <v>27044</v>
      </c>
      <c r="K441">
        <v>0</v>
      </c>
    </row>
    <row r="442" spans="2:11" x14ac:dyDescent="0.25">
      <c r="B442">
        <v>5835</v>
      </c>
      <c r="C442">
        <v>2378</v>
      </c>
      <c r="D442">
        <v>6828</v>
      </c>
      <c r="E442">
        <v>6556</v>
      </c>
      <c r="F442">
        <v>6513</v>
      </c>
      <c r="G442">
        <v>4886</v>
      </c>
      <c r="H442">
        <v>6117</v>
      </c>
      <c r="I442">
        <v>18061</v>
      </c>
      <c r="J442">
        <v>0</v>
      </c>
      <c r="K442">
        <v>-138</v>
      </c>
    </row>
    <row r="443" spans="2:11" x14ac:dyDescent="0.25">
      <c r="B443">
        <v>520</v>
      </c>
      <c r="C443">
        <v>433</v>
      </c>
      <c r="D443">
        <v>-186</v>
      </c>
      <c r="E443">
        <v>37</v>
      </c>
      <c r="F443">
        <v>250</v>
      </c>
      <c r="G443">
        <v>-230</v>
      </c>
      <c r="H443">
        <v>-91</v>
      </c>
      <c r="I443">
        <v>-171</v>
      </c>
      <c r="J443">
        <v>-244</v>
      </c>
      <c r="K443">
        <v>200</v>
      </c>
    </row>
    <row r="444" spans="2:11" x14ac:dyDescent="0.25">
      <c r="B444">
        <v>53</v>
      </c>
      <c r="C444">
        <v>-429</v>
      </c>
      <c r="D444">
        <v>966</v>
      </c>
      <c r="E444">
        <v>-246</v>
      </c>
      <c r="F444">
        <v>0</v>
      </c>
      <c r="G444">
        <v>0</v>
      </c>
      <c r="H444">
        <v>0</v>
      </c>
      <c r="I444">
        <v>27</v>
      </c>
      <c r="J444">
        <v>3118</v>
      </c>
      <c r="K444">
        <v>-808</v>
      </c>
    </row>
    <row r="445" spans="2:11" x14ac:dyDescent="0.25">
      <c r="B445">
        <v>196</v>
      </c>
      <c r="C445">
        <v>11608</v>
      </c>
      <c r="D445">
        <v>-13749</v>
      </c>
      <c r="E445">
        <v>-101</v>
      </c>
      <c r="F445">
        <v>190</v>
      </c>
      <c r="G445">
        <v>-105</v>
      </c>
      <c r="H445">
        <v>-26</v>
      </c>
      <c r="I445">
        <v>-149</v>
      </c>
      <c r="J445">
        <v>211</v>
      </c>
      <c r="K445">
        <v>-1384</v>
      </c>
    </row>
    <row r="446" spans="2:11" x14ac:dyDescent="0.25">
      <c r="B446">
        <v>-767</v>
      </c>
      <c r="C446">
        <v>1495</v>
      </c>
      <c r="D446">
        <v>-204</v>
      </c>
      <c r="E446">
        <v>-181</v>
      </c>
      <c r="F446">
        <v>136</v>
      </c>
      <c r="G446">
        <v>-55</v>
      </c>
      <c r="H446">
        <v>-159</v>
      </c>
      <c r="I446">
        <v>-109</v>
      </c>
      <c r="J446">
        <v>2220</v>
      </c>
      <c r="K446">
        <v>-3882</v>
      </c>
    </row>
    <row r="447" spans="2:11" x14ac:dyDescent="0.25">
      <c r="B447">
        <v>-281</v>
      </c>
      <c r="C447">
        <v>-87</v>
      </c>
      <c r="D447">
        <v>-98</v>
      </c>
      <c r="E447">
        <v>-223</v>
      </c>
      <c r="F447">
        <v>-164</v>
      </c>
      <c r="G447">
        <v>-1629</v>
      </c>
      <c r="H447">
        <v>131</v>
      </c>
      <c r="I447">
        <v>-66</v>
      </c>
      <c r="J447">
        <v>-65</v>
      </c>
      <c r="K447">
        <v>-88</v>
      </c>
    </row>
    <row r="448" spans="2:11" x14ac:dyDescent="0.25">
      <c r="B448">
        <v>143</v>
      </c>
      <c r="C448">
        <v>-363</v>
      </c>
      <c r="D448">
        <v>-304</v>
      </c>
      <c r="E448">
        <v>80</v>
      </c>
      <c r="F448">
        <v>-468</v>
      </c>
      <c r="G448">
        <v>13800</v>
      </c>
      <c r="H448">
        <v>0</v>
      </c>
      <c r="I448">
        <v>3256</v>
      </c>
      <c r="J448">
        <v>1520</v>
      </c>
      <c r="K448">
        <v>3576</v>
      </c>
    </row>
    <row r="449" spans="2:11" x14ac:dyDescent="0.25">
      <c r="B449">
        <v>3518</v>
      </c>
      <c r="C449">
        <v>3374</v>
      </c>
      <c r="D449">
        <v>2730</v>
      </c>
      <c r="E449">
        <v>3034</v>
      </c>
      <c r="F449">
        <v>9017</v>
      </c>
      <c r="G449">
        <v>17701</v>
      </c>
      <c r="H449">
        <v>0</v>
      </c>
      <c r="I449">
        <v>-171</v>
      </c>
      <c r="J449">
        <v>-165</v>
      </c>
      <c r="K449">
        <v>1458</v>
      </c>
    </row>
    <row r="450" spans="2:11" x14ac:dyDescent="0.25">
      <c r="B450">
        <v>-915</v>
      </c>
      <c r="C450">
        <v>380</v>
      </c>
      <c r="D450">
        <v>353</v>
      </c>
      <c r="E450">
        <v>-352</v>
      </c>
      <c r="F450">
        <v>358</v>
      </c>
      <c r="G450">
        <v>-362</v>
      </c>
      <c r="H450">
        <v>111</v>
      </c>
      <c r="I450">
        <v>344</v>
      </c>
      <c r="J450">
        <v>795</v>
      </c>
      <c r="K450">
        <v>-704</v>
      </c>
    </row>
    <row r="451" spans="2:11" x14ac:dyDescent="0.25">
      <c r="B451">
        <v>-1347</v>
      </c>
      <c r="C451">
        <v>-1033</v>
      </c>
      <c r="D451">
        <v>0</v>
      </c>
      <c r="E451">
        <v>0</v>
      </c>
      <c r="F451">
        <v>0</v>
      </c>
      <c r="G451">
        <v>-271</v>
      </c>
      <c r="H451">
        <v>-659</v>
      </c>
      <c r="I451">
        <v>522</v>
      </c>
      <c r="J451">
        <v>-917</v>
      </c>
      <c r="K451">
        <v>36831</v>
      </c>
    </row>
    <row r="452" spans="2:11" x14ac:dyDescent="0.25">
      <c r="B452">
        <v>-25870</v>
      </c>
      <c r="C452">
        <v>-281</v>
      </c>
      <c r="D452">
        <v>722</v>
      </c>
      <c r="E452">
        <v>-346</v>
      </c>
      <c r="F452">
        <v>343</v>
      </c>
      <c r="G452">
        <v>-530</v>
      </c>
      <c r="H452">
        <v>766</v>
      </c>
      <c r="I452">
        <v>-5016</v>
      </c>
      <c r="J452">
        <v>-2990</v>
      </c>
      <c r="K452">
        <v>5762</v>
      </c>
    </row>
    <row r="453" spans="2:11" x14ac:dyDescent="0.25">
      <c r="B453">
        <v>-528</v>
      </c>
      <c r="C453">
        <v>-638</v>
      </c>
      <c r="D453">
        <v>539</v>
      </c>
      <c r="E453">
        <v>-187</v>
      </c>
      <c r="F453">
        <v>-191</v>
      </c>
      <c r="G453">
        <v>-437</v>
      </c>
      <c r="H453">
        <v>8597</v>
      </c>
      <c r="I453">
        <v>-14776</v>
      </c>
      <c r="J453">
        <v>-1005</v>
      </c>
      <c r="K453">
        <v>-226</v>
      </c>
    </row>
    <row r="454" spans="2:11" x14ac:dyDescent="0.25">
      <c r="B454">
        <v>-438</v>
      </c>
      <c r="C454">
        <v>-339</v>
      </c>
      <c r="D454">
        <v>-628</v>
      </c>
      <c r="E454">
        <v>-6052</v>
      </c>
      <c r="F454">
        <v>534</v>
      </c>
      <c r="G454">
        <v>-194</v>
      </c>
      <c r="H454">
        <v>-335</v>
      </c>
      <c r="I454">
        <v>285</v>
      </c>
      <c r="J454">
        <v>492</v>
      </c>
      <c r="K454">
        <v>-1374</v>
      </c>
    </row>
    <row r="455" spans="2:11" x14ac:dyDescent="0.25">
      <c r="B455">
        <v>-1166</v>
      </c>
      <c r="C455">
        <v>347</v>
      </c>
      <c r="D455">
        <v>-1738</v>
      </c>
      <c r="E455">
        <v>52679</v>
      </c>
      <c r="F455">
        <v>0</v>
      </c>
      <c r="G455">
        <v>10105</v>
      </c>
      <c r="H455">
        <v>3263</v>
      </c>
      <c r="I455">
        <v>12873</v>
      </c>
      <c r="J455">
        <v>11944</v>
      </c>
      <c r="K455">
        <v>12231</v>
      </c>
    </row>
    <row r="456" spans="2:11" x14ac:dyDescent="0.25">
      <c r="B456">
        <v>8336</v>
      </c>
      <c r="C456">
        <v>12228</v>
      </c>
      <c r="D456">
        <v>36124</v>
      </c>
      <c r="E456">
        <v>55226</v>
      </c>
      <c r="F456">
        <v>17605</v>
      </c>
      <c r="G456">
        <v>0</v>
      </c>
      <c r="H456">
        <v>25</v>
      </c>
      <c r="I456">
        <v>-151</v>
      </c>
      <c r="J456">
        <v>562</v>
      </c>
      <c r="K456">
        <v>-456</v>
      </c>
    </row>
    <row r="457" spans="2:11" x14ac:dyDescent="0.25">
      <c r="B457">
        <v>319</v>
      </c>
      <c r="C457">
        <v>49</v>
      </c>
      <c r="D457">
        <v>-770</v>
      </c>
      <c r="E457">
        <v>-488</v>
      </c>
      <c r="F457">
        <v>-425</v>
      </c>
      <c r="G457">
        <v>216</v>
      </c>
      <c r="H457">
        <v>231</v>
      </c>
      <c r="I457">
        <v>725</v>
      </c>
      <c r="J457">
        <v>-429</v>
      </c>
      <c r="K457">
        <v>-1039</v>
      </c>
    </row>
    <row r="458" spans="2:11" x14ac:dyDescent="0.25">
      <c r="B458">
        <v>-876</v>
      </c>
      <c r="C458">
        <v>0</v>
      </c>
      <c r="D458">
        <v>0</v>
      </c>
      <c r="E458">
        <v>0</v>
      </c>
      <c r="F458">
        <v>-236</v>
      </c>
      <c r="G458">
        <v>1537</v>
      </c>
      <c r="H458">
        <v>877</v>
      </c>
      <c r="I458">
        <v>-153</v>
      </c>
      <c r="J458">
        <v>30737</v>
      </c>
      <c r="K458">
        <v>-23219</v>
      </c>
    </row>
    <row r="459" spans="2:11" x14ac:dyDescent="0.25">
      <c r="B459">
        <v>-349</v>
      </c>
      <c r="C459">
        <v>627</v>
      </c>
      <c r="D459">
        <v>-111</v>
      </c>
      <c r="E459">
        <v>300</v>
      </c>
      <c r="F459">
        <v>-455</v>
      </c>
      <c r="G459">
        <v>685</v>
      </c>
      <c r="H459">
        <v>-4412</v>
      </c>
      <c r="I459">
        <v>-2631</v>
      </c>
      <c r="J459">
        <v>5046</v>
      </c>
      <c r="K459">
        <v>-484</v>
      </c>
    </row>
    <row r="460" spans="2:11" x14ac:dyDescent="0.25">
      <c r="B460">
        <v>-638</v>
      </c>
      <c r="C460">
        <v>470</v>
      </c>
      <c r="D460">
        <v>37</v>
      </c>
      <c r="E460">
        <v>-160</v>
      </c>
      <c r="F460">
        <v>-360</v>
      </c>
      <c r="G460">
        <v>7554</v>
      </c>
      <c r="H460">
        <v>-12971</v>
      </c>
      <c r="I460">
        <v>-930</v>
      </c>
      <c r="J460">
        <v>-203</v>
      </c>
      <c r="K460">
        <v>-216</v>
      </c>
    </row>
    <row r="461" spans="2:11" x14ac:dyDescent="0.25">
      <c r="B461">
        <v>-265</v>
      </c>
      <c r="C461">
        <v>-499</v>
      </c>
      <c r="D461">
        <v>-5335</v>
      </c>
      <c r="E461">
        <v>302</v>
      </c>
      <c r="F461">
        <v>-233</v>
      </c>
      <c r="G461">
        <v>-130</v>
      </c>
      <c r="H461">
        <v>191</v>
      </c>
      <c r="I461">
        <v>387</v>
      </c>
      <c r="J461">
        <v>-1207</v>
      </c>
      <c r="K461">
        <v>-1032</v>
      </c>
    </row>
    <row r="462" spans="2:11" x14ac:dyDescent="0.25">
      <c r="B462">
        <v>302</v>
      </c>
      <c r="C462">
        <v>-1541</v>
      </c>
      <c r="D462">
        <v>46271</v>
      </c>
      <c r="E462">
        <v>0</v>
      </c>
      <c r="F462">
        <v>8947</v>
      </c>
      <c r="G462">
        <v>2915</v>
      </c>
      <c r="H462">
        <v>11328</v>
      </c>
      <c r="I462">
        <v>10533</v>
      </c>
      <c r="J462">
        <v>10715</v>
      </c>
      <c r="K462">
        <v>7365</v>
      </c>
    </row>
    <row r="463" spans="2:11" x14ac:dyDescent="0.25">
      <c r="B463">
        <v>10706</v>
      </c>
      <c r="C463">
        <v>31793</v>
      </c>
      <c r="D463">
        <v>44970</v>
      </c>
      <c r="E463">
        <v>17805</v>
      </c>
      <c r="F463">
        <v>56970</v>
      </c>
      <c r="G463">
        <v>0</v>
      </c>
      <c r="H463">
        <v>-129</v>
      </c>
      <c r="I463">
        <v>-92</v>
      </c>
      <c r="J463">
        <v>826</v>
      </c>
      <c r="K463">
        <v>-253</v>
      </c>
    </row>
    <row r="464" spans="2:11" x14ac:dyDescent="0.25">
      <c r="B464">
        <v>318</v>
      </c>
      <c r="C464">
        <v>377</v>
      </c>
      <c r="D464">
        <v>-120</v>
      </c>
      <c r="E464">
        <v>-162</v>
      </c>
      <c r="F464">
        <v>-357</v>
      </c>
      <c r="G464">
        <v>306</v>
      </c>
      <c r="H464">
        <v>-427</v>
      </c>
      <c r="I464">
        <v>729</v>
      </c>
      <c r="J464">
        <v>-509</v>
      </c>
      <c r="K464">
        <v>-1351</v>
      </c>
    </row>
    <row r="465" spans="2:11" x14ac:dyDescent="0.25">
      <c r="B465">
        <v>-953</v>
      </c>
      <c r="C465">
        <v>0</v>
      </c>
      <c r="D465">
        <v>0</v>
      </c>
      <c r="E465">
        <v>0</v>
      </c>
      <c r="F465">
        <v>262</v>
      </c>
      <c r="G465">
        <v>63</v>
      </c>
      <c r="H465">
        <v>-54</v>
      </c>
      <c r="I465">
        <v>85</v>
      </c>
      <c r="J465">
        <v>37034</v>
      </c>
      <c r="K465">
        <v>-30231</v>
      </c>
    </row>
    <row r="466" spans="2:11" x14ac:dyDescent="0.25">
      <c r="B466">
        <v>-237</v>
      </c>
      <c r="C466">
        <v>662</v>
      </c>
      <c r="D466">
        <v>-176</v>
      </c>
      <c r="E466">
        <v>224</v>
      </c>
      <c r="F466">
        <v>-463</v>
      </c>
      <c r="G466">
        <v>709</v>
      </c>
      <c r="H466">
        <v>-4658</v>
      </c>
      <c r="I466">
        <v>-2788</v>
      </c>
      <c r="J466">
        <v>5375</v>
      </c>
      <c r="K466">
        <v>-475</v>
      </c>
    </row>
    <row r="467" spans="2:11" x14ac:dyDescent="0.25">
      <c r="B467">
        <v>-559</v>
      </c>
      <c r="C467">
        <v>510</v>
      </c>
      <c r="D467">
        <v>-10</v>
      </c>
      <c r="E467">
        <v>-246</v>
      </c>
      <c r="F467">
        <v>-349</v>
      </c>
      <c r="G467">
        <v>8026</v>
      </c>
      <c r="H467">
        <v>-13764</v>
      </c>
      <c r="I467">
        <v>-896</v>
      </c>
      <c r="J467">
        <v>-216</v>
      </c>
      <c r="K467">
        <v>-307</v>
      </c>
    </row>
    <row r="468" spans="2:11" x14ac:dyDescent="0.25">
      <c r="B468">
        <v>-408</v>
      </c>
      <c r="C468">
        <v>-543</v>
      </c>
      <c r="D468">
        <v>-5634</v>
      </c>
      <c r="E468">
        <v>544</v>
      </c>
      <c r="F468">
        <v>-175</v>
      </c>
      <c r="G468">
        <v>-126</v>
      </c>
      <c r="H468">
        <v>159</v>
      </c>
      <c r="I468">
        <v>512</v>
      </c>
      <c r="J468">
        <v>-1280</v>
      </c>
      <c r="K468">
        <v>-1094</v>
      </c>
    </row>
    <row r="469" spans="2:11" x14ac:dyDescent="0.25">
      <c r="B469">
        <v>332</v>
      </c>
      <c r="C469">
        <v>-1603</v>
      </c>
      <c r="D469">
        <v>49096</v>
      </c>
      <c r="E469">
        <v>0</v>
      </c>
      <c r="F469">
        <v>9911</v>
      </c>
      <c r="G469">
        <v>3604</v>
      </c>
      <c r="H469">
        <v>12143</v>
      </c>
      <c r="I469">
        <v>11435</v>
      </c>
      <c r="J469">
        <v>11528</v>
      </c>
      <c r="K469">
        <v>8239</v>
      </c>
    </row>
    <row r="470" spans="2:11" x14ac:dyDescent="0.25">
      <c r="B470">
        <v>11213</v>
      </c>
      <c r="C470">
        <v>33177</v>
      </c>
      <c r="D470">
        <v>57140</v>
      </c>
      <c r="E470">
        <v>20277</v>
      </c>
      <c r="F470">
        <v>70349</v>
      </c>
      <c r="G470">
        <v>59665</v>
      </c>
      <c r="H470">
        <v>0</v>
      </c>
      <c r="I470">
        <v>252</v>
      </c>
      <c r="J470">
        <v>428</v>
      </c>
      <c r="K470">
        <v>801</v>
      </c>
    </row>
    <row r="471" spans="2:11" x14ac:dyDescent="0.25">
      <c r="B471">
        <v>-142</v>
      </c>
      <c r="C471">
        <v>951</v>
      </c>
      <c r="D471">
        <v>141</v>
      </c>
      <c r="E471">
        <v>-878</v>
      </c>
      <c r="F471">
        <v>-182</v>
      </c>
      <c r="G471">
        <v>-111</v>
      </c>
      <c r="H471">
        <v>-70</v>
      </c>
      <c r="I471">
        <v>131</v>
      </c>
      <c r="J471">
        <v>655</v>
      </c>
      <c r="K471">
        <v>-226</v>
      </c>
    </row>
    <row r="472" spans="2:11" x14ac:dyDescent="0.25">
      <c r="B472">
        <v>-1000</v>
      </c>
      <c r="C472">
        <v>-748</v>
      </c>
      <c r="D472">
        <v>0</v>
      </c>
      <c r="E472">
        <v>0</v>
      </c>
      <c r="F472">
        <v>0</v>
      </c>
      <c r="G472">
        <v>-741</v>
      </c>
      <c r="H472">
        <v>-1401</v>
      </c>
      <c r="I472">
        <v>-506</v>
      </c>
      <c r="J472">
        <v>-545</v>
      </c>
      <c r="K472">
        <v>21041</v>
      </c>
    </row>
    <row r="473" spans="2:11" x14ac:dyDescent="0.25">
      <c r="B473">
        <v>-21448</v>
      </c>
      <c r="C473">
        <v>-332</v>
      </c>
      <c r="D473">
        <v>459</v>
      </c>
      <c r="E473">
        <v>-127</v>
      </c>
      <c r="F473">
        <v>60</v>
      </c>
      <c r="G473">
        <v>-434</v>
      </c>
      <c r="H473">
        <v>511</v>
      </c>
      <c r="I473">
        <v>-3263</v>
      </c>
      <c r="J473">
        <v>-1967</v>
      </c>
      <c r="K473">
        <v>3765</v>
      </c>
    </row>
    <row r="474" spans="2:11" x14ac:dyDescent="0.25">
      <c r="B474">
        <v>-359</v>
      </c>
      <c r="C474">
        <v>-513</v>
      </c>
      <c r="D474">
        <v>343</v>
      </c>
      <c r="E474">
        <v>-8</v>
      </c>
      <c r="F474">
        <v>-253</v>
      </c>
      <c r="G474">
        <v>-337</v>
      </c>
      <c r="H474">
        <v>5627</v>
      </c>
      <c r="I474">
        <v>-9648</v>
      </c>
      <c r="J474">
        <v>-711</v>
      </c>
      <c r="K474">
        <v>-167</v>
      </c>
    </row>
    <row r="475" spans="2:11" x14ac:dyDescent="0.25">
      <c r="B475">
        <v>-185</v>
      </c>
      <c r="C475">
        <v>-332</v>
      </c>
      <c r="D475">
        <v>-435</v>
      </c>
      <c r="E475">
        <v>-3964</v>
      </c>
      <c r="F475">
        <v>230</v>
      </c>
      <c r="G475">
        <v>-156</v>
      </c>
      <c r="H475">
        <v>-86</v>
      </c>
      <c r="I475">
        <v>-20</v>
      </c>
      <c r="J475">
        <v>235</v>
      </c>
      <c r="K475">
        <v>-897</v>
      </c>
    </row>
    <row r="476" spans="2:11" x14ac:dyDescent="0.25">
      <c r="B476">
        <v>-762</v>
      </c>
      <c r="C476">
        <v>220</v>
      </c>
      <c r="D476">
        <v>-1145</v>
      </c>
      <c r="E476">
        <v>34435</v>
      </c>
      <c r="F476">
        <v>0</v>
      </c>
      <c r="G476">
        <v>6950</v>
      </c>
      <c r="H476">
        <v>2538</v>
      </c>
      <c r="I476">
        <v>8503</v>
      </c>
      <c r="J476">
        <v>8014</v>
      </c>
      <c r="K476">
        <v>8094</v>
      </c>
    </row>
    <row r="477" spans="2:11" x14ac:dyDescent="0.25">
      <c r="B477">
        <v>5799</v>
      </c>
      <c r="C477">
        <v>7851</v>
      </c>
      <c r="D477">
        <v>23197</v>
      </c>
      <c r="E477">
        <v>35676</v>
      </c>
      <c r="F477">
        <v>15475</v>
      </c>
      <c r="G477">
        <v>45074</v>
      </c>
      <c r="H477">
        <v>37472</v>
      </c>
      <c r="I477">
        <v>47137</v>
      </c>
      <c r="J477">
        <v>0</v>
      </c>
      <c r="K477">
        <v>192</v>
      </c>
    </row>
    <row r="478" spans="2:11" x14ac:dyDescent="0.25">
      <c r="B478">
        <v>653</v>
      </c>
      <c r="C478">
        <v>1227</v>
      </c>
      <c r="D478">
        <v>-160</v>
      </c>
      <c r="E478">
        <v>600</v>
      </c>
      <c r="F478">
        <v>92</v>
      </c>
      <c r="G478">
        <v>-946</v>
      </c>
      <c r="H478">
        <v>-161</v>
      </c>
      <c r="I478">
        <v>-287</v>
      </c>
      <c r="J478">
        <v>279</v>
      </c>
      <c r="K478">
        <v>263</v>
      </c>
    </row>
    <row r="479" spans="2:11" x14ac:dyDescent="0.25">
      <c r="B479">
        <v>791</v>
      </c>
      <c r="C479">
        <v>-334</v>
      </c>
      <c r="D479">
        <v>-1280</v>
      </c>
      <c r="E479">
        <v>-1061</v>
      </c>
      <c r="F479">
        <v>0</v>
      </c>
      <c r="G479">
        <v>0</v>
      </c>
      <c r="H479">
        <v>0</v>
      </c>
      <c r="I479">
        <v>-28</v>
      </c>
      <c r="J479">
        <v>621</v>
      </c>
      <c r="K479">
        <v>-98</v>
      </c>
    </row>
    <row r="480" spans="2:11" x14ac:dyDescent="0.25">
      <c r="B480">
        <v>380</v>
      </c>
      <c r="C480">
        <v>37143</v>
      </c>
      <c r="D480">
        <v>-20598</v>
      </c>
      <c r="E480">
        <v>-456</v>
      </c>
      <c r="F480">
        <v>705</v>
      </c>
      <c r="G480">
        <v>-224</v>
      </c>
      <c r="H480">
        <v>54</v>
      </c>
      <c r="I480">
        <v>-566</v>
      </c>
      <c r="J480">
        <v>780</v>
      </c>
      <c r="K480">
        <v>-5046</v>
      </c>
    </row>
    <row r="481" spans="2:11" x14ac:dyDescent="0.25">
      <c r="B481">
        <v>-3014</v>
      </c>
      <c r="C481">
        <v>5792</v>
      </c>
      <c r="D481">
        <v>-561</v>
      </c>
      <c r="E481">
        <v>-753</v>
      </c>
      <c r="F481">
        <v>528</v>
      </c>
      <c r="G481">
        <v>-43</v>
      </c>
      <c r="H481">
        <v>-431</v>
      </c>
      <c r="I481">
        <v>-437</v>
      </c>
      <c r="J481">
        <v>8651</v>
      </c>
      <c r="K481">
        <v>-14851</v>
      </c>
    </row>
    <row r="482" spans="2:11" x14ac:dyDescent="0.25">
      <c r="B482">
        <v>-1083</v>
      </c>
      <c r="C482">
        <v>-242</v>
      </c>
      <c r="D482">
        <v>-291</v>
      </c>
      <c r="E482">
        <v>-556</v>
      </c>
      <c r="F482">
        <v>-588</v>
      </c>
      <c r="G482">
        <v>-6108</v>
      </c>
      <c r="H482">
        <v>366</v>
      </c>
      <c r="I482">
        <v>-264</v>
      </c>
      <c r="J482">
        <v>-193</v>
      </c>
      <c r="K482">
        <v>-115</v>
      </c>
    </row>
    <row r="483" spans="2:11" x14ac:dyDescent="0.25">
      <c r="B483">
        <v>458</v>
      </c>
      <c r="C483">
        <v>-1382</v>
      </c>
      <c r="D483">
        <v>-1176</v>
      </c>
      <c r="E483">
        <v>345</v>
      </c>
      <c r="F483">
        <v>-1764</v>
      </c>
      <c r="G483">
        <v>52991</v>
      </c>
      <c r="H483">
        <v>0</v>
      </c>
      <c r="I483">
        <v>9734</v>
      </c>
      <c r="J483">
        <v>2796</v>
      </c>
      <c r="K483">
        <v>12804</v>
      </c>
    </row>
    <row r="484" spans="2:11" x14ac:dyDescent="0.25">
      <c r="B484">
        <v>11723</v>
      </c>
      <c r="C484">
        <v>12095</v>
      </c>
      <c r="D484">
        <v>7946</v>
      </c>
      <c r="E484">
        <v>12416</v>
      </c>
      <c r="F484">
        <v>36814</v>
      </c>
      <c r="G484">
        <v>52274</v>
      </c>
      <c r="H484">
        <v>18244</v>
      </c>
      <c r="I484">
        <v>65858</v>
      </c>
      <c r="J484">
        <v>56577</v>
      </c>
      <c r="K484">
        <v>68572</v>
      </c>
    </row>
    <row r="485" spans="2:11" x14ac:dyDescent="0.25">
      <c r="B485">
        <v>43650</v>
      </c>
      <c r="C485">
        <v>0</v>
      </c>
      <c r="D485">
        <v>-1163</v>
      </c>
      <c r="E485">
        <v>-120</v>
      </c>
      <c r="F485">
        <v>402</v>
      </c>
      <c r="G485">
        <v>-655</v>
      </c>
      <c r="H485">
        <v>-6</v>
      </c>
      <c r="I485">
        <v>808</v>
      </c>
      <c r="J485">
        <v>-542</v>
      </c>
      <c r="K485">
        <v>233</v>
      </c>
    </row>
    <row r="486" spans="2:11" x14ac:dyDescent="0.25">
      <c r="B486">
        <v>-120</v>
      </c>
      <c r="C486">
        <v>528</v>
      </c>
      <c r="D486">
        <v>403</v>
      </c>
      <c r="E486">
        <v>893</v>
      </c>
      <c r="F486">
        <v>-859</v>
      </c>
      <c r="G486">
        <v>-2585</v>
      </c>
      <c r="H486">
        <v>-2099</v>
      </c>
      <c r="I486">
        <v>0</v>
      </c>
      <c r="J486">
        <v>0</v>
      </c>
      <c r="K486">
        <v>0</v>
      </c>
    </row>
    <row r="487" spans="2:11" x14ac:dyDescent="0.25">
      <c r="B487">
        <v>329</v>
      </c>
      <c r="C487">
        <v>2886</v>
      </c>
      <c r="D487">
        <v>-386</v>
      </c>
      <c r="E487">
        <v>221</v>
      </c>
      <c r="F487">
        <v>21871</v>
      </c>
      <c r="G487">
        <v>-17734</v>
      </c>
      <c r="H487">
        <v>-424</v>
      </c>
      <c r="I487">
        <v>1106</v>
      </c>
      <c r="J487">
        <v>-369</v>
      </c>
      <c r="K487">
        <v>115</v>
      </c>
    </row>
    <row r="488" spans="2:11" x14ac:dyDescent="0.25">
      <c r="B488">
        <v>-1132</v>
      </c>
      <c r="C488">
        <v>1248</v>
      </c>
      <c r="D488">
        <v>-8245</v>
      </c>
      <c r="E488">
        <v>-4965</v>
      </c>
      <c r="F488">
        <v>9559</v>
      </c>
      <c r="G488">
        <v>-825</v>
      </c>
      <c r="H488">
        <v>-1010</v>
      </c>
      <c r="I488">
        <v>806</v>
      </c>
      <c r="J488">
        <v>-67</v>
      </c>
      <c r="K488">
        <v>-670</v>
      </c>
    </row>
    <row r="489" spans="2:11" x14ac:dyDescent="0.25">
      <c r="B489">
        <v>-886</v>
      </c>
      <c r="C489">
        <v>14259</v>
      </c>
      <c r="D489">
        <v>-24468</v>
      </c>
      <c r="E489">
        <v>-1614</v>
      </c>
      <c r="F489">
        <v>-455</v>
      </c>
      <c r="G489">
        <v>-571</v>
      </c>
      <c r="H489">
        <v>-918</v>
      </c>
      <c r="I489">
        <v>-1225</v>
      </c>
      <c r="J489">
        <v>-9983</v>
      </c>
      <c r="K489">
        <v>896</v>
      </c>
    </row>
    <row r="490" spans="2:11" x14ac:dyDescent="0.25">
      <c r="B490">
        <v>-451</v>
      </c>
      <c r="C490">
        <v>-268</v>
      </c>
      <c r="D490">
        <v>-19</v>
      </c>
      <c r="E490">
        <v>575</v>
      </c>
      <c r="F490">
        <v>-2293</v>
      </c>
      <c r="G490">
        <v>-1926</v>
      </c>
      <c r="H490">
        <v>603</v>
      </c>
      <c r="I490">
        <v>-2859</v>
      </c>
      <c r="J490">
        <v>87243</v>
      </c>
      <c r="K490">
        <v>0</v>
      </c>
    </row>
    <row r="491" spans="2:11" x14ac:dyDescent="0.25">
      <c r="B491">
        <v>14746</v>
      </c>
      <c r="C491">
        <v>3161</v>
      </c>
      <c r="D491">
        <v>20707</v>
      </c>
      <c r="E491">
        <v>18510</v>
      </c>
      <c r="F491">
        <v>19515</v>
      </c>
      <c r="G491">
        <v>11833</v>
      </c>
      <c r="H491">
        <v>20917</v>
      </c>
      <c r="I491">
        <v>61979</v>
      </c>
      <c r="J491">
        <v>42079</v>
      </c>
      <c r="K491">
        <v>18254</v>
      </c>
    </row>
    <row r="492" spans="2:11" x14ac:dyDescent="0.25">
      <c r="B492">
        <v>65420</v>
      </c>
      <c r="C492">
        <v>56261</v>
      </c>
      <c r="D492">
        <v>63228</v>
      </c>
      <c r="E492">
        <v>41782</v>
      </c>
      <c r="F492">
        <v>65130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-5</v>
      </c>
      <c r="D500">
        <v>143</v>
      </c>
      <c r="E500">
        <v>613</v>
      </c>
      <c r="F500">
        <v>-150</v>
      </c>
      <c r="G500">
        <v>21</v>
      </c>
      <c r="H500">
        <v>-134</v>
      </c>
      <c r="I500">
        <v>-239</v>
      </c>
      <c r="J500">
        <v>152</v>
      </c>
      <c r="K500">
        <v>-241</v>
      </c>
    </row>
    <row r="501" spans="2:11" x14ac:dyDescent="0.25">
      <c r="B501">
        <v>113</v>
      </c>
      <c r="C501">
        <v>-487</v>
      </c>
      <c r="D501">
        <v>247</v>
      </c>
      <c r="E501">
        <v>166</v>
      </c>
      <c r="F501">
        <v>1191</v>
      </c>
      <c r="G501">
        <v>1217</v>
      </c>
      <c r="H501">
        <v>0</v>
      </c>
      <c r="I501">
        <v>0</v>
      </c>
      <c r="J501">
        <v>0</v>
      </c>
      <c r="K501">
        <v>-140</v>
      </c>
    </row>
    <row r="502" spans="2:11" x14ac:dyDescent="0.25">
      <c r="B502">
        <v>-43</v>
      </c>
      <c r="C502">
        <v>-363</v>
      </c>
      <c r="D502">
        <v>-11</v>
      </c>
      <c r="E502">
        <v>2129</v>
      </c>
      <c r="F502">
        <v>-5322</v>
      </c>
      <c r="G502">
        <v>-228</v>
      </c>
      <c r="H502">
        <v>1726</v>
      </c>
      <c r="I502">
        <v>-120</v>
      </c>
      <c r="J502">
        <v>-112</v>
      </c>
      <c r="K502">
        <v>150</v>
      </c>
    </row>
    <row r="503" spans="2:11" x14ac:dyDescent="0.25">
      <c r="B503">
        <v>-16862</v>
      </c>
      <c r="C503">
        <v>-1459</v>
      </c>
      <c r="D503">
        <v>17207</v>
      </c>
      <c r="E503">
        <v>5837</v>
      </c>
      <c r="F503">
        <v>-720</v>
      </c>
      <c r="G503">
        <v>-242</v>
      </c>
      <c r="H503">
        <v>296</v>
      </c>
      <c r="I503">
        <v>10</v>
      </c>
      <c r="J503">
        <v>-115</v>
      </c>
      <c r="K503">
        <v>-115</v>
      </c>
    </row>
    <row r="504" spans="2:11" x14ac:dyDescent="0.25">
      <c r="B504">
        <v>4034</v>
      </c>
      <c r="C504">
        <v>-7060</v>
      </c>
      <c r="D504">
        <v>-414</v>
      </c>
      <c r="E504">
        <v>-63</v>
      </c>
      <c r="F504">
        <v>-107</v>
      </c>
      <c r="G504">
        <v>-214</v>
      </c>
      <c r="H504">
        <v>-206</v>
      </c>
      <c r="I504">
        <v>-2991</v>
      </c>
      <c r="J504">
        <v>284</v>
      </c>
      <c r="K504">
        <v>-74</v>
      </c>
    </row>
    <row r="505" spans="2:11" x14ac:dyDescent="0.25">
      <c r="B505">
        <v>-70</v>
      </c>
      <c r="C505">
        <v>58</v>
      </c>
      <c r="D505">
        <v>323</v>
      </c>
      <c r="E505">
        <v>-646</v>
      </c>
      <c r="F505">
        <v>-559</v>
      </c>
      <c r="G505">
        <v>173</v>
      </c>
      <c r="H505">
        <v>-813</v>
      </c>
      <c r="I505">
        <v>25062</v>
      </c>
      <c r="J505">
        <v>0</v>
      </c>
      <c r="K505">
        <v>4246</v>
      </c>
    </row>
    <row r="506" spans="2:11" x14ac:dyDescent="0.25">
      <c r="B506">
        <v>906</v>
      </c>
      <c r="C506">
        <v>5946</v>
      </c>
      <c r="D506">
        <v>5318</v>
      </c>
      <c r="E506">
        <v>5606</v>
      </c>
      <c r="F506">
        <v>3379</v>
      </c>
      <c r="G506">
        <v>6009</v>
      </c>
      <c r="H506">
        <v>17747</v>
      </c>
      <c r="I506">
        <v>6792</v>
      </c>
      <c r="J506">
        <v>3489</v>
      </c>
      <c r="K506">
        <v>13218</v>
      </c>
    </row>
    <row r="507" spans="2:11" x14ac:dyDescent="0.25">
      <c r="B507">
        <v>11611</v>
      </c>
      <c r="C507">
        <v>12318</v>
      </c>
      <c r="D507">
        <v>8637</v>
      </c>
      <c r="E507">
        <v>13300</v>
      </c>
      <c r="F507">
        <v>21868</v>
      </c>
      <c r="G507">
        <v>0</v>
      </c>
      <c r="H507">
        <v>0</v>
      </c>
      <c r="I507">
        <v>-161</v>
      </c>
      <c r="J507">
        <v>120</v>
      </c>
      <c r="K507">
        <v>189</v>
      </c>
    </row>
    <row r="508" spans="2:11" x14ac:dyDescent="0.25">
      <c r="B508">
        <v>-174</v>
      </c>
      <c r="C508">
        <v>72</v>
      </c>
      <c r="D508">
        <v>185</v>
      </c>
      <c r="E508">
        <v>-33</v>
      </c>
      <c r="F508">
        <v>42</v>
      </c>
      <c r="G508">
        <v>87</v>
      </c>
      <c r="H508">
        <v>215</v>
      </c>
      <c r="I508">
        <v>-30</v>
      </c>
      <c r="J508">
        <v>126</v>
      </c>
      <c r="K508">
        <v>-152</v>
      </c>
    </row>
    <row r="509" spans="2:11" x14ac:dyDescent="0.25">
      <c r="B509">
        <v>122</v>
      </c>
      <c r="C509">
        <v>-16</v>
      </c>
      <c r="D509">
        <v>0</v>
      </c>
      <c r="E509">
        <v>0</v>
      </c>
      <c r="F509">
        <v>0</v>
      </c>
      <c r="G509">
        <v>5</v>
      </c>
      <c r="H509">
        <v>-31</v>
      </c>
      <c r="I509">
        <v>-251</v>
      </c>
      <c r="J509">
        <v>0</v>
      </c>
      <c r="K509">
        <v>1659</v>
      </c>
    </row>
    <row r="510" spans="2:11" x14ac:dyDescent="0.25">
      <c r="B510">
        <v>-4180</v>
      </c>
      <c r="C510">
        <v>231</v>
      </c>
      <c r="D510">
        <v>179</v>
      </c>
      <c r="E510">
        <v>-51</v>
      </c>
      <c r="F510">
        <v>342</v>
      </c>
      <c r="G510">
        <v>108</v>
      </c>
      <c r="H510">
        <v>-122</v>
      </c>
      <c r="I510">
        <v>-4749</v>
      </c>
      <c r="J510">
        <v>3354</v>
      </c>
      <c r="K510">
        <v>1600</v>
      </c>
    </row>
    <row r="511" spans="2:11" x14ac:dyDescent="0.25">
      <c r="B511">
        <v>-473</v>
      </c>
      <c r="C511">
        <v>-206</v>
      </c>
      <c r="D511">
        <v>200</v>
      </c>
      <c r="E511">
        <v>-7</v>
      </c>
      <c r="F511">
        <v>-145</v>
      </c>
      <c r="G511">
        <v>-170</v>
      </c>
      <c r="H511">
        <v>3213</v>
      </c>
      <c r="I511">
        <v>-5559</v>
      </c>
      <c r="J511">
        <v>-333</v>
      </c>
      <c r="K511">
        <v>-89</v>
      </c>
    </row>
    <row r="512" spans="2:11" x14ac:dyDescent="0.25">
      <c r="B512">
        <v>-117</v>
      </c>
      <c r="C512">
        <v>-214</v>
      </c>
      <c r="D512">
        <v>-245</v>
      </c>
      <c r="E512">
        <v>-2298</v>
      </c>
      <c r="F512">
        <v>219</v>
      </c>
      <c r="G512">
        <v>-90</v>
      </c>
      <c r="H512">
        <v>-53</v>
      </c>
      <c r="I512">
        <v>-11</v>
      </c>
      <c r="J512">
        <v>161</v>
      </c>
      <c r="K512">
        <v>-518</v>
      </c>
    </row>
    <row r="513" spans="2:11" x14ac:dyDescent="0.25">
      <c r="B513">
        <v>-437</v>
      </c>
      <c r="C513">
        <v>134</v>
      </c>
      <c r="D513">
        <v>-648</v>
      </c>
      <c r="E513">
        <v>19779</v>
      </c>
      <c r="F513">
        <v>0</v>
      </c>
      <c r="G513">
        <v>3346</v>
      </c>
      <c r="H513">
        <v>722</v>
      </c>
      <c r="I513">
        <v>4694</v>
      </c>
      <c r="J513">
        <v>4196</v>
      </c>
      <c r="K513">
        <v>4429</v>
      </c>
    </row>
    <row r="514" spans="2:11" x14ac:dyDescent="0.25">
      <c r="B514">
        <v>2683</v>
      </c>
      <c r="C514">
        <v>4739</v>
      </c>
      <c r="D514">
        <v>14008</v>
      </c>
      <c r="E514">
        <v>5352</v>
      </c>
      <c r="F514">
        <v>2741</v>
      </c>
      <c r="G514">
        <v>10423</v>
      </c>
      <c r="H514">
        <v>9156</v>
      </c>
      <c r="I514">
        <v>9714</v>
      </c>
      <c r="J514">
        <v>6812</v>
      </c>
      <c r="K514">
        <v>10486</v>
      </c>
    </row>
    <row r="515" spans="2:11" x14ac:dyDescent="0.25">
      <c r="B515">
        <v>17257</v>
      </c>
      <c r="C515">
        <v>0</v>
      </c>
      <c r="D515">
        <v>7641</v>
      </c>
      <c r="E515">
        <v>0</v>
      </c>
      <c r="F515">
        <v>-562</v>
      </c>
      <c r="G515">
        <v>-349</v>
      </c>
      <c r="H515">
        <v>-169</v>
      </c>
      <c r="I515">
        <v>-373</v>
      </c>
      <c r="J515">
        <v>25</v>
      </c>
      <c r="K515">
        <v>529</v>
      </c>
    </row>
    <row r="516" spans="2:11" x14ac:dyDescent="0.25">
      <c r="B516">
        <v>-199</v>
      </c>
      <c r="C516">
        <v>746</v>
      </c>
      <c r="D516">
        <v>199</v>
      </c>
      <c r="E516">
        <v>36</v>
      </c>
      <c r="F516">
        <v>-363</v>
      </c>
      <c r="G516">
        <v>542</v>
      </c>
      <c r="H516">
        <v>243</v>
      </c>
      <c r="I516">
        <v>696</v>
      </c>
      <c r="J516">
        <v>257</v>
      </c>
      <c r="K516">
        <v>0</v>
      </c>
    </row>
    <row r="517" spans="2:11" x14ac:dyDescent="0.25">
      <c r="B517">
        <v>0</v>
      </c>
      <c r="C517">
        <v>0</v>
      </c>
      <c r="D517">
        <v>71</v>
      </c>
      <c r="E517">
        <v>-67</v>
      </c>
      <c r="F517">
        <v>-587</v>
      </c>
      <c r="G517">
        <v>105</v>
      </c>
      <c r="H517">
        <v>4587</v>
      </c>
      <c r="I517">
        <v>-11540</v>
      </c>
      <c r="J517">
        <v>831</v>
      </c>
      <c r="K517">
        <v>2662</v>
      </c>
    </row>
    <row r="518" spans="2:11" x14ac:dyDescent="0.25">
      <c r="B518">
        <v>51</v>
      </c>
      <c r="C518">
        <v>526</v>
      </c>
      <c r="D518">
        <v>368</v>
      </c>
      <c r="E518">
        <v>-145</v>
      </c>
      <c r="F518">
        <v>-10768</v>
      </c>
      <c r="G518">
        <v>15270</v>
      </c>
      <c r="H518">
        <v>2592</v>
      </c>
      <c r="I518">
        <v>-2813</v>
      </c>
      <c r="J518">
        <v>-482</v>
      </c>
      <c r="K518">
        <v>562</v>
      </c>
    </row>
    <row r="519" spans="2:11" x14ac:dyDescent="0.25">
      <c r="B519">
        <v>119</v>
      </c>
      <c r="C519">
        <v>-277</v>
      </c>
      <c r="D519">
        <v>-457</v>
      </c>
      <c r="E519">
        <v>8915</v>
      </c>
      <c r="F519">
        <v>-15402</v>
      </c>
      <c r="G519">
        <v>-867</v>
      </c>
      <c r="H519">
        <v>-280</v>
      </c>
      <c r="I519">
        <v>-288</v>
      </c>
      <c r="J519">
        <v>-518</v>
      </c>
      <c r="K519">
        <v>-690</v>
      </c>
    </row>
    <row r="520" spans="2:11" x14ac:dyDescent="0.25">
      <c r="B520">
        <v>-6344</v>
      </c>
      <c r="C520">
        <v>700</v>
      </c>
      <c r="D520">
        <v>-197</v>
      </c>
      <c r="E520">
        <v>15</v>
      </c>
      <c r="F520">
        <v>192</v>
      </c>
      <c r="G520">
        <v>466</v>
      </c>
      <c r="H520">
        <v>-1426</v>
      </c>
      <c r="I520">
        <v>-1200</v>
      </c>
      <c r="J520">
        <v>408</v>
      </c>
      <c r="K520">
        <v>-1755</v>
      </c>
    </row>
    <row r="521" spans="2:11" x14ac:dyDescent="0.25">
      <c r="B521">
        <v>54783</v>
      </c>
      <c r="C521">
        <v>0</v>
      </c>
      <c r="D521">
        <v>9259</v>
      </c>
      <c r="E521">
        <v>1988</v>
      </c>
      <c r="F521">
        <v>12988</v>
      </c>
      <c r="G521">
        <v>11618</v>
      </c>
      <c r="H521">
        <v>12256</v>
      </c>
      <c r="I521">
        <v>7415</v>
      </c>
      <c r="J521">
        <v>13116</v>
      </c>
      <c r="K521">
        <v>38798</v>
      </c>
    </row>
    <row r="522" spans="2:11" x14ac:dyDescent="0.25">
      <c r="B522">
        <v>14816</v>
      </c>
      <c r="C522">
        <v>7588</v>
      </c>
      <c r="D522">
        <v>28865</v>
      </c>
      <c r="E522">
        <v>25357</v>
      </c>
      <c r="F522">
        <v>26901</v>
      </c>
      <c r="G522">
        <v>18862</v>
      </c>
      <c r="H522">
        <v>29033</v>
      </c>
      <c r="I522">
        <v>47793</v>
      </c>
      <c r="J522">
        <v>0</v>
      </c>
      <c r="K522">
        <v>22283</v>
      </c>
    </row>
    <row r="523" spans="2:11" x14ac:dyDescent="0.25">
      <c r="B523">
        <v>13730</v>
      </c>
      <c r="C523">
        <v>0</v>
      </c>
      <c r="D523">
        <v>-20</v>
      </c>
      <c r="E523">
        <v>-12</v>
      </c>
      <c r="F523">
        <v>591</v>
      </c>
      <c r="G523">
        <v>-87</v>
      </c>
      <c r="H523">
        <v>-323</v>
      </c>
      <c r="I523">
        <v>-517</v>
      </c>
      <c r="J523">
        <v>-117</v>
      </c>
      <c r="K523">
        <v>103</v>
      </c>
    </row>
    <row r="524" spans="2:11" x14ac:dyDescent="0.25">
      <c r="B524">
        <v>203</v>
      </c>
      <c r="C524">
        <v>-144</v>
      </c>
      <c r="D524">
        <v>-456</v>
      </c>
      <c r="E524">
        <v>53</v>
      </c>
      <c r="F524">
        <v>787</v>
      </c>
      <c r="G524">
        <v>4909</v>
      </c>
      <c r="H524">
        <v>3400</v>
      </c>
      <c r="I524">
        <v>0</v>
      </c>
      <c r="J524">
        <v>0</v>
      </c>
      <c r="K524">
        <v>0</v>
      </c>
    </row>
    <row r="525" spans="2:11" x14ac:dyDescent="0.25">
      <c r="B525">
        <v>-109</v>
      </c>
      <c r="C525">
        <v>-24</v>
      </c>
      <c r="D525">
        <v>-351</v>
      </c>
      <c r="E525">
        <v>-21</v>
      </c>
      <c r="F525">
        <v>1704</v>
      </c>
      <c r="G525">
        <v>-4203</v>
      </c>
      <c r="H525">
        <v>1666</v>
      </c>
      <c r="I525">
        <v>528</v>
      </c>
      <c r="J525">
        <v>483</v>
      </c>
      <c r="K525">
        <v>1280</v>
      </c>
    </row>
    <row r="526" spans="2:11" x14ac:dyDescent="0.25">
      <c r="B526">
        <v>1404</v>
      </c>
      <c r="C526">
        <v>-1831</v>
      </c>
      <c r="D526">
        <v>-26039</v>
      </c>
      <c r="E526">
        <v>42498</v>
      </c>
      <c r="F526">
        <v>314</v>
      </c>
      <c r="G526">
        <v>-3780</v>
      </c>
      <c r="H526">
        <v>-58</v>
      </c>
      <c r="I526">
        <v>295</v>
      </c>
      <c r="J526">
        <v>19</v>
      </c>
      <c r="K526">
        <v>-42</v>
      </c>
    </row>
    <row r="527" spans="2:11" x14ac:dyDescent="0.25">
      <c r="B527">
        <v>16</v>
      </c>
      <c r="C527">
        <v>3027</v>
      </c>
      <c r="D527">
        <v>-5553</v>
      </c>
      <c r="E527">
        <v>-183</v>
      </c>
      <c r="F527">
        <v>25</v>
      </c>
      <c r="G527">
        <v>-16</v>
      </c>
      <c r="H527">
        <v>-152</v>
      </c>
      <c r="I527">
        <v>-52</v>
      </c>
      <c r="J527">
        <v>-2512</v>
      </c>
      <c r="K527">
        <v>319</v>
      </c>
    </row>
    <row r="528" spans="2:11" x14ac:dyDescent="0.25">
      <c r="B528">
        <v>-8</v>
      </c>
      <c r="C528">
        <v>-55</v>
      </c>
      <c r="D528">
        <v>98</v>
      </c>
      <c r="E528">
        <v>364</v>
      </c>
      <c r="F528">
        <v>-494</v>
      </c>
      <c r="G528">
        <v>-429</v>
      </c>
      <c r="H528">
        <v>141</v>
      </c>
      <c r="I528">
        <v>-614</v>
      </c>
      <c r="J528">
        <v>19459</v>
      </c>
      <c r="K528">
        <v>0</v>
      </c>
    </row>
    <row r="529" spans="2:11" x14ac:dyDescent="0.25">
      <c r="B529">
        <v>3309</v>
      </c>
      <c r="C529">
        <v>684</v>
      </c>
      <c r="D529">
        <v>4623</v>
      </c>
      <c r="E529">
        <v>4136</v>
      </c>
      <c r="F529">
        <v>4342</v>
      </c>
      <c r="G529">
        <v>2574</v>
      </c>
      <c r="H529">
        <v>4671</v>
      </c>
      <c r="I529">
        <v>13780</v>
      </c>
      <c r="J529">
        <v>5288</v>
      </c>
      <c r="K529">
        <v>2764</v>
      </c>
    </row>
    <row r="530" spans="2:11" x14ac:dyDescent="0.25">
      <c r="B530">
        <v>10279</v>
      </c>
      <c r="C530">
        <v>9034</v>
      </c>
      <c r="D530">
        <v>9575</v>
      </c>
      <c r="E530">
        <v>6708</v>
      </c>
      <c r="F530">
        <v>10344</v>
      </c>
      <c r="G530">
        <v>16981</v>
      </c>
      <c r="H530">
        <v>0</v>
      </c>
      <c r="I530">
        <v>30681</v>
      </c>
      <c r="J530">
        <v>10556</v>
      </c>
      <c r="K530">
        <v>39060</v>
      </c>
    </row>
    <row r="531" spans="2:11" x14ac:dyDescent="0.25">
      <c r="B531">
        <v>0</v>
      </c>
      <c r="C531">
        <v>217</v>
      </c>
      <c r="D531">
        <v>45</v>
      </c>
      <c r="E531">
        <v>407</v>
      </c>
      <c r="F531">
        <v>-174</v>
      </c>
      <c r="G531">
        <v>-403</v>
      </c>
      <c r="H531">
        <v>-1068</v>
      </c>
      <c r="I531">
        <v>85</v>
      </c>
      <c r="J531">
        <v>86</v>
      </c>
      <c r="K531">
        <v>-307</v>
      </c>
    </row>
    <row r="532" spans="2:11" x14ac:dyDescent="0.25">
      <c r="B532">
        <v>-724</v>
      </c>
      <c r="C532">
        <v>-381</v>
      </c>
      <c r="D532">
        <v>239</v>
      </c>
      <c r="E532">
        <v>250</v>
      </c>
      <c r="F532">
        <v>4716</v>
      </c>
      <c r="G532">
        <v>2954</v>
      </c>
      <c r="H532">
        <v>0</v>
      </c>
      <c r="I532">
        <v>0</v>
      </c>
      <c r="J532">
        <v>0</v>
      </c>
      <c r="K532">
        <v>-244</v>
      </c>
    </row>
    <row r="533" spans="2:11" x14ac:dyDescent="0.25">
      <c r="B533">
        <v>-39</v>
      </c>
      <c r="C533">
        <v>-263</v>
      </c>
      <c r="D533">
        <v>81</v>
      </c>
      <c r="E533">
        <v>1649</v>
      </c>
      <c r="F533">
        <v>-4090</v>
      </c>
      <c r="G533">
        <v>1095</v>
      </c>
      <c r="H533">
        <v>1136</v>
      </c>
      <c r="I533">
        <v>-389</v>
      </c>
      <c r="J533">
        <v>1257</v>
      </c>
      <c r="K533">
        <v>1291</v>
      </c>
    </row>
    <row r="534" spans="2:11" x14ac:dyDescent="0.25">
      <c r="B534">
        <v>-2519</v>
      </c>
      <c r="C534">
        <v>-33721</v>
      </c>
      <c r="D534">
        <v>49915</v>
      </c>
      <c r="E534">
        <v>-574</v>
      </c>
      <c r="F534">
        <v>-1863</v>
      </c>
      <c r="G534">
        <v>-45</v>
      </c>
      <c r="H534">
        <v>337</v>
      </c>
      <c r="I534">
        <v>168</v>
      </c>
      <c r="J534">
        <v>124</v>
      </c>
      <c r="K534">
        <v>147</v>
      </c>
    </row>
    <row r="535" spans="2:11" x14ac:dyDescent="0.25">
      <c r="B535">
        <v>2945</v>
      </c>
      <c r="C535">
        <v>-5384</v>
      </c>
      <c r="D535">
        <v>-220</v>
      </c>
      <c r="E535">
        <v>87</v>
      </c>
      <c r="F535">
        <v>143</v>
      </c>
      <c r="G535">
        <v>62</v>
      </c>
      <c r="H535">
        <v>66</v>
      </c>
      <c r="I535">
        <v>-2433</v>
      </c>
      <c r="J535">
        <v>343</v>
      </c>
      <c r="K535">
        <v>62</v>
      </c>
    </row>
    <row r="536" spans="2:11" x14ac:dyDescent="0.25">
      <c r="B536">
        <v>110</v>
      </c>
      <c r="C536">
        <v>309</v>
      </c>
      <c r="D536">
        <v>540</v>
      </c>
      <c r="E536">
        <v>-481</v>
      </c>
      <c r="F536">
        <v>-412</v>
      </c>
      <c r="G536">
        <v>128</v>
      </c>
      <c r="H536">
        <v>-609</v>
      </c>
      <c r="I536">
        <v>18873</v>
      </c>
      <c r="J536">
        <v>0</v>
      </c>
      <c r="K536">
        <v>3214</v>
      </c>
    </row>
    <row r="537" spans="2:11" x14ac:dyDescent="0.25">
      <c r="B537">
        <v>665</v>
      </c>
      <c r="C537">
        <v>4485</v>
      </c>
      <c r="D537">
        <v>4009</v>
      </c>
      <c r="E537">
        <v>4208</v>
      </c>
      <c r="F537">
        <v>2500</v>
      </c>
      <c r="G537">
        <v>4528</v>
      </c>
      <c r="H537">
        <v>13362</v>
      </c>
      <c r="I537">
        <v>5132</v>
      </c>
      <c r="J537">
        <v>2683</v>
      </c>
      <c r="K537">
        <v>9970</v>
      </c>
    </row>
    <row r="538" spans="2:11" x14ac:dyDescent="0.25">
      <c r="B538">
        <v>8765</v>
      </c>
      <c r="C538">
        <v>9283</v>
      </c>
      <c r="D538">
        <v>6502</v>
      </c>
      <c r="E538">
        <v>10030</v>
      </c>
      <c r="F538">
        <v>16469</v>
      </c>
      <c r="G538">
        <v>0</v>
      </c>
      <c r="H538">
        <v>31861</v>
      </c>
      <c r="I538">
        <v>11084</v>
      </c>
      <c r="J538">
        <v>41006</v>
      </c>
      <c r="K538">
        <v>73349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-536</v>
      </c>
      <c r="E547">
        <v>83</v>
      </c>
      <c r="F547">
        <v>159</v>
      </c>
      <c r="G547">
        <v>-372</v>
      </c>
      <c r="H547">
        <v>11</v>
      </c>
      <c r="I547">
        <v>342</v>
      </c>
      <c r="J547">
        <v>79</v>
      </c>
      <c r="K547">
        <v>385</v>
      </c>
    </row>
    <row r="548" spans="2:11" x14ac:dyDescent="0.25">
      <c r="B548">
        <v>329</v>
      </c>
      <c r="C548">
        <v>-483</v>
      </c>
      <c r="D548">
        <v>-314</v>
      </c>
      <c r="E548">
        <v>409</v>
      </c>
      <c r="F548">
        <v>-72</v>
      </c>
      <c r="G548">
        <v>201</v>
      </c>
      <c r="H548">
        <v>-41</v>
      </c>
      <c r="I548">
        <v>0</v>
      </c>
      <c r="J548">
        <v>0</v>
      </c>
      <c r="K548">
        <v>0</v>
      </c>
    </row>
    <row r="549" spans="2:11" x14ac:dyDescent="0.25">
      <c r="B549">
        <v>94</v>
      </c>
      <c r="C549">
        <v>-53</v>
      </c>
      <c r="D549">
        <v>-564</v>
      </c>
      <c r="E549">
        <v>48</v>
      </c>
      <c r="F549">
        <v>4119</v>
      </c>
      <c r="G549">
        <v>-10379</v>
      </c>
      <c r="H549">
        <v>1284</v>
      </c>
      <c r="I549">
        <v>3206</v>
      </c>
      <c r="J549">
        <v>32</v>
      </c>
      <c r="K549">
        <v>1197</v>
      </c>
    </row>
    <row r="550" spans="2:11" x14ac:dyDescent="0.25">
      <c r="B550">
        <v>306</v>
      </c>
      <c r="C550">
        <v>-1490</v>
      </c>
      <c r="D550">
        <v>-9684</v>
      </c>
      <c r="E550">
        <v>15717</v>
      </c>
      <c r="F550">
        <v>7825</v>
      </c>
      <c r="G550">
        <v>-1988</v>
      </c>
      <c r="H550">
        <v>-396</v>
      </c>
      <c r="I550">
        <v>526</v>
      </c>
      <c r="J550">
        <v>63</v>
      </c>
      <c r="K550">
        <v>-292</v>
      </c>
    </row>
    <row r="551" spans="2:11" x14ac:dyDescent="0.25">
      <c r="B551">
        <v>-368</v>
      </c>
      <c r="C551">
        <v>8021</v>
      </c>
      <c r="D551">
        <v>-13850</v>
      </c>
      <c r="E551">
        <v>-776</v>
      </c>
      <c r="F551">
        <v>-217</v>
      </c>
      <c r="G551">
        <v>-264</v>
      </c>
      <c r="H551">
        <v>-499</v>
      </c>
      <c r="I551">
        <v>-615</v>
      </c>
      <c r="J551">
        <v>-5695</v>
      </c>
      <c r="K551">
        <v>760</v>
      </c>
    </row>
    <row r="552" spans="2:11" x14ac:dyDescent="0.25">
      <c r="B552">
        <v>-113</v>
      </c>
      <c r="C552">
        <v>38</v>
      </c>
      <c r="D552">
        <v>164</v>
      </c>
      <c r="E552">
        <v>552</v>
      </c>
      <c r="F552">
        <v>-1284</v>
      </c>
      <c r="G552">
        <v>-1074</v>
      </c>
      <c r="H552">
        <v>352</v>
      </c>
      <c r="I552">
        <v>-1579</v>
      </c>
      <c r="J552">
        <v>49260</v>
      </c>
      <c r="K552">
        <v>0</v>
      </c>
    </row>
    <row r="553" spans="2:11" x14ac:dyDescent="0.25">
      <c r="B553">
        <v>8331</v>
      </c>
      <c r="C553">
        <v>1794</v>
      </c>
      <c r="D553">
        <v>11688</v>
      </c>
      <c r="E553">
        <v>10448</v>
      </c>
      <c r="F553">
        <v>11025</v>
      </c>
      <c r="G553">
        <v>6678</v>
      </c>
      <c r="H553">
        <v>11799</v>
      </c>
      <c r="I553">
        <v>34891</v>
      </c>
      <c r="J553">
        <v>13326</v>
      </c>
      <c r="K553">
        <v>6823</v>
      </c>
    </row>
    <row r="554" spans="2:11" x14ac:dyDescent="0.25">
      <c r="B554">
        <v>25955</v>
      </c>
      <c r="C554">
        <v>22796</v>
      </c>
      <c r="D554">
        <v>24188</v>
      </c>
      <c r="E554">
        <v>16962</v>
      </c>
      <c r="F554">
        <v>26107</v>
      </c>
      <c r="G554">
        <v>42974</v>
      </c>
      <c r="H554">
        <v>0</v>
      </c>
      <c r="I554">
        <v>23267</v>
      </c>
      <c r="J554">
        <v>12365</v>
      </c>
      <c r="K554">
        <v>39714</v>
      </c>
    </row>
    <row r="555" spans="2:11" x14ac:dyDescent="0.25">
      <c r="B555">
        <v>35612</v>
      </c>
      <c r="C555">
        <v>37446</v>
      </c>
      <c r="D555">
        <v>0</v>
      </c>
      <c r="E555">
        <v>0</v>
      </c>
      <c r="F555">
        <v>-973</v>
      </c>
      <c r="G555">
        <v>-209</v>
      </c>
      <c r="H555">
        <v>395</v>
      </c>
      <c r="I555">
        <v>-745</v>
      </c>
      <c r="J555">
        <v>33</v>
      </c>
      <c r="K555">
        <v>381</v>
      </c>
    </row>
    <row r="556" spans="2:11" x14ac:dyDescent="0.25">
      <c r="B556">
        <v>-321</v>
      </c>
      <c r="C556">
        <v>291</v>
      </c>
      <c r="D556">
        <v>158</v>
      </c>
      <c r="E556">
        <v>388</v>
      </c>
      <c r="F556">
        <v>-302</v>
      </c>
      <c r="G556">
        <v>511</v>
      </c>
      <c r="H556">
        <v>-271</v>
      </c>
      <c r="I556">
        <v>-1158</v>
      </c>
      <c r="J556">
        <v>-1166</v>
      </c>
      <c r="K556">
        <v>0</v>
      </c>
    </row>
    <row r="557" spans="2:11" x14ac:dyDescent="0.25">
      <c r="B557">
        <v>0</v>
      </c>
      <c r="C557">
        <v>0</v>
      </c>
      <c r="D557">
        <v>97</v>
      </c>
      <c r="E557">
        <v>-128</v>
      </c>
      <c r="F557">
        <v>-1055</v>
      </c>
      <c r="G557">
        <v>142</v>
      </c>
      <c r="H557">
        <v>7328</v>
      </c>
      <c r="I557">
        <v>-18494</v>
      </c>
      <c r="J557">
        <v>474</v>
      </c>
      <c r="K557">
        <v>2848</v>
      </c>
    </row>
    <row r="558" spans="2:11" x14ac:dyDescent="0.25">
      <c r="B558">
        <v>28</v>
      </c>
      <c r="C558">
        <v>882</v>
      </c>
      <c r="D558">
        <v>-169</v>
      </c>
      <c r="E558">
        <v>-1086</v>
      </c>
      <c r="F558">
        <v>-6781</v>
      </c>
      <c r="G558">
        <v>14246</v>
      </c>
      <c r="H558">
        <v>2699</v>
      </c>
      <c r="I558">
        <v>-1423</v>
      </c>
      <c r="J558">
        <v>-888</v>
      </c>
      <c r="K558">
        <v>885</v>
      </c>
    </row>
    <row r="559" spans="2:11" x14ac:dyDescent="0.25">
      <c r="B559">
        <v>25</v>
      </c>
      <c r="C559">
        <v>-521</v>
      </c>
      <c r="D559">
        <v>-765</v>
      </c>
      <c r="E559">
        <v>14320</v>
      </c>
      <c r="F559">
        <v>-24658</v>
      </c>
      <c r="G559">
        <v>-1528</v>
      </c>
      <c r="H559">
        <v>-399</v>
      </c>
      <c r="I559">
        <v>-501</v>
      </c>
      <c r="J559">
        <v>-804</v>
      </c>
      <c r="K559">
        <v>-1143</v>
      </c>
    </row>
    <row r="560" spans="2:11" x14ac:dyDescent="0.25">
      <c r="B560">
        <v>-10109</v>
      </c>
      <c r="C560">
        <v>1063</v>
      </c>
      <c r="D560">
        <v>-350</v>
      </c>
      <c r="E560">
        <v>-141</v>
      </c>
      <c r="F560">
        <v>202</v>
      </c>
      <c r="G560">
        <v>770</v>
      </c>
      <c r="H560">
        <v>-2295</v>
      </c>
      <c r="I560">
        <v>-1936</v>
      </c>
      <c r="J560">
        <v>607</v>
      </c>
      <c r="K560">
        <v>-2852</v>
      </c>
    </row>
    <row r="561" spans="2:11" x14ac:dyDescent="0.25">
      <c r="B561">
        <v>87819</v>
      </c>
      <c r="C561">
        <v>0</v>
      </c>
      <c r="D561">
        <v>14847</v>
      </c>
      <c r="E561">
        <v>3204</v>
      </c>
      <c r="F561">
        <v>20826</v>
      </c>
      <c r="G561">
        <v>18623</v>
      </c>
      <c r="H561">
        <v>19656</v>
      </c>
      <c r="I561">
        <v>11923</v>
      </c>
      <c r="J561">
        <v>21030</v>
      </c>
      <c r="K561">
        <v>62196</v>
      </c>
    </row>
    <row r="562" spans="2:11" x14ac:dyDescent="0.25">
      <c r="B562">
        <v>23755</v>
      </c>
      <c r="C562">
        <v>12140</v>
      </c>
      <c r="D562">
        <v>46270</v>
      </c>
      <c r="E562">
        <v>40642</v>
      </c>
      <c r="F562">
        <v>43122</v>
      </c>
      <c r="G562">
        <v>30240</v>
      </c>
      <c r="H562">
        <v>46543</v>
      </c>
      <c r="I562">
        <v>76617</v>
      </c>
      <c r="J562">
        <v>0</v>
      </c>
      <c r="K562">
        <v>33969</v>
      </c>
    </row>
    <row r="563" spans="2:11" x14ac:dyDescent="0.25">
      <c r="B563">
        <v>20127</v>
      </c>
      <c r="C563">
        <v>60768</v>
      </c>
      <c r="D563">
        <v>43878</v>
      </c>
      <c r="E563">
        <v>45288</v>
      </c>
      <c r="F563">
        <v>0</v>
      </c>
      <c r="G563">
        <v>54948</v>
      </c>
      <c r="H563">
        <v>0</v>
      </c>
      <c r="I563">
        <v>-558</v>
      </c>
      <c r="J563">
        <v>-285</v>
      </c>
      <c r="K563">
        <v>-71</v>
      </c>
    </row>
    <row r="564" spans="2:11" x14ac:dyDescent="0.25">
      <c r="B564">
        <v>-205</v>
      </c>
      <c r="C564">
        <v>-399</v>
      </c>
      <c r="D564">
        <v>295</v>
      </c>
      <c r="E564">
        <v>307</v>
      </c>
      <c r="F564">
        <v>53</v>
      </c>
      <c r="G564">
        <v>274</v>
      </c>
      <c r="H564">
        <v>-110</v>
      </c>
      <c r="I564">
        <v>276</v>
      </c>
      <c r="J564">
        <v>104</v>
      </c>
      <c r="K564">
        <v>677</v>
      </c>
    </row>
    <row r="565" spans="2:11" x14ac:dyDescent="0.25">
      <c r="B565">
        <v>768</v>
      </c>
      <c r="C565">
        <v>483</v>
      </c>
      <c r="D565">
        <v>0</v>
      </c>
      <c r="E565">
        <v>0</v>
      </c>
      <c r="F565">
        <v>0</v>
      </c>
      <c r="G565">
        <v>223</v>
      </c>
      <c r="H565">
        <v>-6</v>
      </c>
      <c r="I565">
        <v>-268</v>
      </c>
      <c r="J565">
        <v>8</v>
      </c>
      <c r="K565">
        <v>1429</v>
      </c>
    </row>
    <row r="566" spans="2:11" x14ac:dyDescent="0.25">
      <c r="B566">
        <v>-3566</v>
      </c>
      <c r="C566">
        <v>884</v>
      </c>
      <c r="D566">
        <v>2513</v>
      </c>
      <c r="E566">
        <v>-524</v>
      </c>
      <c r="F566">
        <v>1192</v>
      </c>
      <c r="G566">
        <v>400</v>
      </c>
      <c r="H566">
        <v>-14884</v>
      </c>
      <c r="I566">
        <v>4885</v>
      </c>
      <c r="J566">
        <v>20183</v>
      </c>
      <c r="K566">
        <v>441</v>
      </c>
    </row>
    <row r="567" spans="2:11" x14ac:dyDescent="0.25">
      <c r="B567">
        <v>2916</v>
      </c>
      <c r="C567">
        <v>-95</v>
      </c>
      <c r="D567">
        <v>149</v>
      </c>
      <c r="E567">
        <v>-68</v>
      </c>
      <c r="F567">
        <v>-157</v>
      </c>
      <c r="G567">
        <v>-185</v>
      </c>
      <c r="H567">
        <v>2761</v>
      </c>
      <c r="I567">
        <v>-4792</v>
      </c>
      <c r="J567">
        <v>-197</v>
      </c>
      <c r="K567">
        <v>-102</v>
      </c>
    </row>
    <row r="568" spans="2:11" x14ac:dyDescent="0.25">
      <c r="B568">
        <v>-183</v>
      </c>
      <c r="C568">
        <v>-260</v>
      </c>
      <c r="D568">
        <v>-261</v>
      </c>
      <c r="E568">
        <v>-1977</v>
      </c>
      <c r="F568">
        <v>295</v>
      </c>
      <c r="G568">
        <v>-70</v>
      </c>
      <c r="H568">
        <v>-93</v>
      </c>
      <c r="I568">
        <v>10</v>
      </c>
      <c r="J568">
        <v>95</v>
      </c>
      <c r="K568">
        <v>-437</v>
      </c>
    </row>
    <row r="569" spans="2:11" x14ac:dyDescent="0.25">
      <c r="B569">
        <v>-367</v>
      </c>
      <c r="C569">
        <v>139</v>
      </c>
      <c r="D569">
        <v>-524</v>
      </c>
      <c r="E569">
        <v>17006</v>
      </c>
      <c r="F569">
        <v>0</v>
      </c>
      <c r="G569">
        <v>2878</v>
      </c>
      <c r="H569">
        <v>614</v>
      </c>
      <c r="I569">
        <v>4036</v>
      </c>
      <c r="J569">
        <v>3609</v>
      </c>
      <c r="K569">
        <v>3802</v>
      </c>
    </row>
    <row r="570" spans="2:11" x14ac:dyDescent="0.25">
      <c r="B570">
        <v>2293</v>
      </c>
      <c r="C570">
        <v>4080</v>
      </c>
      <c r="D570">
        <v>12046</v>
      </c>
      <c r="E570">
        <v>4599</v>
      </c>
      <c r="F570">
        <v>2363</v>
      </c>
      <c r="G570">
        <v>8963</v>
      </c>
      <c r="H570">
        <v>7873</v>
      </c>
      <c r="I570">
        <v>8351</v>
      </c>
      <c r="J570">
        <v>5852</v>
      </c>
      <c r="K570">
        <v>9013</v>
      </c>
    </row>
    <row r="571" spans="2:11" x14ac:dyDescent="0.25">
      <c r="B571">
        <v>14839</v>
      </c>
      <c r="C571">
        <v>0</v>
      </c>
      <c r="D571">
        <v>10370</v>
      </c>
      <c r="E571">
        <v>6193</v>
      </c>
      <c r="F571">
        <v>21468</v>
      </c>
      <c r="G571">
        <v>31266</v>
      </c>
      <c r="H571">
        <v>32368</v>
      </c>
      <c r="I571">
        <v>0</v>
      </c>
      <c r="J571">
        <v>20960</v>
      </c>
      <c r="K571">
        <v>29384</v>
      </c>
    </row>
    <row r="572" spans="2:11" x14ac:dyDescent="0.25">
      <c r="B572">
        <v>0</v>
      </c>
      <c r="C572">
        <v>-834</v>
      </c>
      <c r="D572">
        <v>-390</v>
      </c>
      <c r="E572">
        <v>-143</v>
      </c>
      <c r="F572">
        <v>-438</v>
      </c>
      <c r="G572">
        <v>-272</v>
      </c>
      <c r="H572">
        <v>526</v>
      </c>
      <c r="I572">
        <v>-496</v>
      </c>
      <c r="J572">
        <v>-116</v>
      </c>
      <c r="K572">
        <v>20</v>
      </c>
    </row>
    <row r="573" spans="2:11" x14ac:dyDescent="0.25">
      <c r="B573">
        <v>-26</v>
      </c>
      <c r="C573">
        <v>21</v>
      </c>
      <c r="D573">
        <v>153</v>
      </c>
      <c r="E573">
        <v>-330</v>
      </c>
      <c r="F573">
        <v>-1131</v>
      </c>
      <c r="G573">
        <v>-919</v>
      </c>
      <c r="H573">
        <v>0</v>
      </c>
      <c r="I573">
        <v>0</v>
      </c>
      <c r="J573">
        <v>0</v>
      </c>
      <c r="K573">
        <v>114</v>
      </c>
    </row>
    <row r="574" spans="2:11" x14ac:dyDescent="0.25">
      <c r="B574">
        <v>-76</v>
      </c>
      <c r="C574">
        <v>-446</v>
      </c>
      <c r="D574">
        <v>83</v>
      </c>
      <c r="E574">
        <v>3080</v>
      </c>
      <c r="F574">
        <v>-7818</v>
      </c>
      <c r="G574">
        <v>-153</v>
      </c>
      <c r="H574">
        <v>458</v>
      </c>
      <c r="I574">
        <v>-170</v>
      </c>
      <c r="J574">
        <v>101</v>
      </c>
      <c r="K574">
        <v>-525</v>
      </c>
    </row>
    <row r="575" spans="2:11" x14ac:dyDescent="0.25">
      <c r="B575">
        <v>530</v>
      </c>
      <c r="C575">
        <v>-3502</v>
      </c>
      <c r="D575">
        <v>-2115</v>
      </c>
      <c r="E575">
        <v>4071</v>
      </c>
      <c r="F575">
        <v>-338</v>
      </c>
      <c r="G575">
        <v>-806</v>
      </c>
      <c r="H575">
        <v>968</v>
      </c>
      <c r="I575">
        <v>-926</v>
      </c>
      <c r="J575">
        <v>-485</v>
      </c>
      <c r="K575">
        <v>-678</v>
      </c>
    </row>
    <row r="576" spans="2:11" x14ac:dyDescent="0.25">
      <c r="B576">
        <v>4787</v>
      </c>
      <c r="C576">
        <v>-10843</v>
      </c>
      <c r="D576">
        <v>-685</v>
      </c>
      <c r="E576">
        <v>-225</v>
      </c>
      <c r="F576">
        <v>-276</v>
      </c>
      <c r="G576">
        <v>-368</v>
      </c>
      <c r="H576">
        <v>-578</v>
      </c>
      <c r="I576">
        <v>-4252</v>
      </c>
      <c r="J576">
        <v>412</v>
      </c>
      <c r="K576">
        <v>-197</v>
      </c>
    </row>
    <row r="577" spans="2:11" x14ac:dyDescent="0.25">
      <c r="B577">
        <v>-101</v>
      </c>
      <c r="C577">
        <v>94</v>
      </c>
      <c r="D577">
        <v>231</v>
      </c>
      <c r="E577">
        <v>-978</v>
      </c>
      <c r="F577">
        <v>-822</v>
      </c>
      <c r="G577">
        <v>258</v>
      </c>
      <c r="H577">
        <v>-1212</v>
      </c>
      <c r="I577">
        <v>37181</v>
      </c>
      <c r="J577">
        <v>0</v>
      </c>
      <c r="K577">
        <v>6284</v>
      </c>
    </row>
    <row r="578" spans="2:11" x14ac:dyDescent="0.25">
      <c r="B578">
        <v>1357</v>
      </c>
      <c r="C578">
        <v>8812</v>
      </c>
      <c r="D578">
        <v>7886</v>
      </c>
      <c r="E578">
        <v>8322</v>
      </c>
      <c r="F578">
        <v>5057</v>
      </c>
      <c r="G578">
        <v>8898</v>
      </c>
      <c r="H578">
        <v>26332</v>
      </c>
      <c r="I578">
        <v>10053</v>
      </c>
      <c r="J578">
        <v>5132</v>
      </c>
      <c r="K578">
        <v>19584</v>
      </c>
    </row>
    <row r="579" spans="2:11" x14ac:dyDescent="0.25">
      <c r="B579">
        <v>17204</v>
      </c>
      <c r="C579">
        <v>18251</v>
      </c>
      <c r="D579">
        <v>12801</v>
      </c>
      <c r="E579">
        <v>19698</v>
      </c>
      <c r="F579">
        <v>32438</v>
      </c>
      <c r="G579">
        <v>0</v>
      </c>
      <c r="H579">
        <v>9317</v>
      </c>
      <c r="I579">
        <v>7353</v>
      </c>
      <c r="J579">
        <v>20370</v>
      </c>
      <c r="K579">
        <v>7236</v>
      </c>
    </row>
    <row r="580" spans="2:11" x14ac:dyDescent="0.25">
      <c r="B580">
        <v>7018</v>
      </c>
      <c r="C580">
        <v>0</v>
      </c>
      <c r="D580">
        <v>18317</v>
      </c>
      <c r="E580">
        <v>32653</v>
      </c>
      <c r="F580">
        <v>6327</v>
      </c>
      <c r="G580">
        <v>0</v>
      </c>
      <c r="H580">
        <v>-517</v>
      </c>
      <c r="I580">
        <v>1</v>
      </c>
      <c r="J580">
        <v>104</v>
      </c>
      <c r="K580">
        <v>-513</v>
      </c>
    </row>
    <row r="581" spans="2:11" x14ac:dyDescent="0.25">
      <c r="B581">
        <v>130</v>
      </c>
      <c r="C581">
        <v>617</v>
      </c>
      <c r="D581">
        <v>-283</v>
      </c>
      <c r="E581">
        <v>273</v>
      </c>
      <c r="F581">
        <v>425</v>
      </c>
      <c r="G581">
        <v>166</v>
      </c>
      <c r="H581">
        <v>65</v>
      </c>
      <c r="I581">
        <v>427</v>
      </c>
      <c r="J581">
        <v>-439</v>
      </c>
      <c r="K581">
        <v>-1881</v>
      </c>
    </row>
    <row r="582" spans="2:11" x14ac:dyDescent="0.25">
      <c r="B582">
        <v>-1367</v>
      </c>
      <c r="C582">
        <v>0</v>
      </c>
      <c r="D582">
        <v>0</v>
      </c>
      <c r="E582">
        <v>0</v>
      </c>
      <c r="F582">
        <v>12</v>
      </c>
      <c r="G582">
        <v>-94</v>
      </c>
      <c r="H582">
        <v>-661</v>
      </c>
      <c r="I582">
        <v>73</v>
      </c>
      <c r="J582">
        <v>4856</v>
      </c>
      <c r="K582">
        <v>-12279</v>
      </c>
    </row>
    <row r="583" spans="2:11" x14ac:dyDescent="0.25">
      <c r="B583">
        <v>-195</v>
      </c>
      <c r="C583">
        <v>774</v>
      </c>
      <c r="D583">
        <v>-172</v>
      </c>
      <c r="E583">
        <v>164</v>
      </c>
      <c r="F583">
        <v>-661</v>
      </c>
      <c r="G583">
        <v>835</v>
      </c>
      <c r="H583">
        <v>-5507</v>
      </c>
      <c r="I583">
        <v>-3316</v>
      </c>
      <c r="J583">
        <v>6413</v>
      </c>
      <c r="K583">
        <v>-523</v>
      </c>
    </row>
    <row r="584" spans="2:11" x14ac:dyDescent="0.25">
      <c r="B584">
        <v>-781</v>
      </c>
      <c r="C584">
        <v>-703</v>
      </c>
      <c r="D584">
        <v>-14</v>
      </c>
      <c r="E584">
        <v>-582</v>
      </c>
      <c r="F584">
        <v>-463</v>
      </c>
      <c r="G584">
        <v>5655</v>
      </c>
      <c r="H584">
        <v>-8188</v>
      </c>
      <c r="I584">
        <v>-1031</v>
      </c>
      <c r="J584">
        <v>-304</v>
      </c>
      <c r="K584">
        <v>-354</v>
      </c>
    </row>
    <row r="585" spans="2:11" x14ac:dyDescent="0.25">
      <c r="B585">
        <v>-565</v>
      </c>
      <c r="C585">
        <v>-778</v>
      </c>
      <c r="D585">
        <v>-6667</v>
      </c>
      <c r="E585">
        <v>675</v>
      </c>
      <c r="F585">
        <v>-242</v>
      </c>
      <c r="G585">
        <v>-51</v>
      </c>
      <c r="H585">
        <v>114</v>
      </c>
      <c r="I585">
        <v>493</v>
      </c>
      <c r="J585">
        <v>-1530</v>
      </c>
      <c r="K585">
        <v>-1283</v>
      </c>
    </row>
    <row r="586" spans="2:11" x14ac:dyDescent="0.25">
      <c r="B586">
        <v>407</v>
      </c>
      <c r="C586">
        <v>-1906</v>
      </c>
      <c r="D586">
        <v>58422</v>
      </c>
      <c r="E586">
        <v>0</v>
      </c>
      <c r="F586">
        <v>9871</v>
      </c>
      <c r="G586">
        <v>2133</v>
      </c>
      <c r="H586">
        <v>13853</v>
      </c>
      <c r="I586">
        <v>12387</v>
      </c>
      <c r="J586">
        <v>13079</v>
      </c>
      <c r="K586">
        <v>7946</v>
      </c>
    </row>
    <row r="587" spans="2:11" x14ac:dyDescent="0.25">
      <c r="B587">
        <v>13985</v>
      </c>
      <c r="C587">
        <v>41379</v>
      </c>
      <c r="D587">
        <v>15795</v>
      </c>
      <c r="E587">
        <v>8060</v>
      </c>
      <c r="F587">
        <v>30775</v>
      </c>
      <c r="G587">
        <v>27031</v>
      </c>
      <c r="H587">
        <v>28680</v>
      </c>
      <c r="I587">
        <v>20115</v>
      </c>
      <c r="J587">
        <v>30954</v>
      </c>
      <c r="K587">
        <v>50967</v>
      </c>
    </row>
    <row r="588" spans="2:11" x14ac:dyDescent="0.25">
      <c r="B588">
        <v>0</v>
      </c>
      <c r="C588">
        <v>14640</v>
      </c>
      <c r="D588">
        <v>11555</v>
      </c>
      <c r="E588">
        <v>32009</v>
      </c>
      <c r="F588">
        <v>11367</v>
      </c>
      <c r="G588">
        <v>11025</v>
      </c>
      <c r="H588">
        <v>0</v>
      </c>
      <c r="I588">
        <v>28782</v>
      </c>
      <c r="J588">
        <v>51306</v>
      </c>
      <c r="K588">
        <v>9938</v>
      </c>
    </row>
    <row r="589" spans="2:11" x14ac:dyDescent="0.25">
      <c r="B589">
        <v>25151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-389</v>
      </c>
    </row>
    <row r="598" spans="2:11" x14ac:dyDescent="0.25">
      <c r="B598">
        <v>-87</v>
      </c>
      <c r="C598">
        <v>242</v>
      </c>
      <c r="D598">
        <v>-433</v>
      </c>
      <c r="E598">
        <v>186</v>
      </c>
      <c r="F598">
        <v>494</v>
      </c>
      <c r="G598">
        <v>86</v>
      </c>
      <c r="H598">
        <v>145</v>
      </c>
      <c r="I598">
        <v>-30</v>
      </c>
      <c r="J598">
        <v>386</v>
      </c>
      <c r="K598">
        <v>-77</v>
      </c>
    </row>
    <row r="599" spans="2:11" x14ac:dyDescent="0.25">
      <c r="B599">
        <v>398</v>
      </c>
      <c r="C599">
        <v>-707</v>
      </c>
      <c r="D599">
        <v>-2039</v>
      </c>
      <c r="E599">
        <v>-1405</v>
      </c>
      <c r="F599">
        <v>0</v>
      </c>
      <c r="G599">
        <v>0</v>
      </c>
      <c r="H599">
        <v>0</v>
      </c>
      <c r="I599">
        <v>-14</v>
      </c>
      <c r="J599">
        <v>-88</v>
      </c>
      <c r="K599">
        <v>-652</v>
      </c>
    </row>
    <row r="600" spans="2:11" x14ac:dyDescent="0.25">
      <c r="B600">
        <v>132</v>
      </c>
      <c r="C600">
        <v>4798</v>
      </c>
      <c r="D600">
        <v>-12128</v>
      </c>
      <c r="E600">
        <v>-187</v>
      </c>
      <c r="F600">
        <v>774</v>
      </c>
      <c r="G600">
        <v>-125</v>
      </c>
      <c r="H600">
        <v>253</v>
      </c>
      <c r="I600">
        <v>-572</v>
      </c>
      <c r="J600">
        <v>823</v>
      </c>
      <c r="K600">
        <v>-5434</v>
      </c>
    </row>
    <row r="601" spans="2:11" x14ac:dyDescent="0.25">
      <c r="B601">
        <v>-3280</v>
      </c>
      <c r="C601">
        <v>6324</v>
      </c>
      <c r="D601">
        <v>-510</v>
      </c>
      <c r="E601">
        <v>302</v>
      </c>
      <c r="F601">
        <v>567</v>
      </c>
      <c r="G601">
        <v>-669</v>
      </c>
      <c r="H601">
        <v>422</v>
      </c>
      <c r="I601">
        <v>70</v>
      </c>
      <c r="J601">
        <v>7477</v>
      </c>
      <c r="K601">
        <v>-9391</v>
      </c>
    </row>
    <row r="602" spans="2:11" x14ac:dyDescent="0.25">
      <c r="B602">
        <v>-1014</v>
      </c>
      <c r="C602">
        <v>-267</v>
      </c>
      <c r="D602">
        <v>-315</v>
      </c>
      <c r="E602">
        <v>-478</v>
      </c>
      <c r="F602">
        <v>-695</v>
      </c>
      <c r="G602">
        <v>-6576</v>
      </c>
      <c r="H602">
        <v>681</v>
      </c>
      <c r="I602">
        <v>-218</v>
      </c>
      <c r="J602">
        <v>-38</v>
      </c>
      <c r="K602">
        <v>186</v>
      </c>
    </row>
    <row r="603" spans="2:11" x14ac:dyDescent="0.25">
      <c r="B603">
        <v>558</v>
      </c>
      <c r="C603">
        <v>-1510</v>
      </c>
      <c r="D603">
        <v>-1272</v>
      </c>
      <c r="E603">
        <v>392</v>
      </c>
      <c r="F603">
        <v>-1883</v>
      </c>
      <c r="G603">
        <v>57640</v>
      </c>
      <c r="H603">
        <v>0</v>
      </c>
      <c r="I603">
        <v>9741</v>
      </c>
      <c r="J603">
        <v>2110</v>
      </c>
      <c r="K603">
        <v>13669</v>
      </c>
    </row>
    <row r="604" spans="2:11" x14ac:dyDescent="0.25">
      <c r="B604">
        <v>12221</v>
      </c>
      <c r="C604">
        <v>12907</v>
      </c>
      <c r="D604">
        <v>7842</v>
      </c>
      <c r="E604">
        <v>13801</v>
      </c>
      <c r="F604">
        <v>40821</v>
      </c>
      <c r="G604">
        <v>15590</v>
      </c>
      <c r="H604">
        <v>7949</v>
      </c>
      <c r="I604">
        <v>30366</v>
      </c>
      <c r="J604">
        <v>26671</v>
      </c>
      <c r="K604">
        <v>28301</v>
      </c>
    </row>
    <row r="605" spans="2:11" x14ac:dyDescent="0.25">
      <c r="B605">
        <v>19845</v>
      </c>
      <c r="C605">
        <v>30541</v>
      </c>
      <c r="D605">
        <v>50286</v>
      </c>
      <c r="E605">
        <v>0</v>
      </c>
      <c r="F605">
        <v>14440</v>
      </c>
      <c r="G605">
        <v>11399</v>
      </c>
      <c r="H605">
        <v>31570</v>
      </c>
      <c r="I605">
        <v>11200</v>
      </c>
      <c r="J605">
        <v>10865</v>
      </c>
      <c r="K605">
        <v>0</v>
      </c>
    </row>
    <row r="606" spans="2:11" x14ac:dyDescent="0.25">
      <c r="B606">
        <v>28388</v>
      </c>
      <c r="C606">
        <v>50614</v>
      </c>
      <c r="D606">
        <v>9799</v>
      </c>
      <c r="E606">
        <v>24109</v>
      </c>
      <c r="F606">
        <v>40288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-398</v>
      </c>
      <c r="I615">
        <v>44</v>
      </c>
      <c r="J615">
        <v>-222</v>
      </c>
      <c r="K615">
        <v>-424</v>
      </c>
    </row>
    <row r="616" spans="2:11" x14ac:dyDescent="0.25">
      <c r="B616">
        <v>395</v>
      </c>
      <c r="C616">
        <v>-354</v>
      </c>
      <c r="D616">
        <v>50</v>
      </c>
      <c r="E616">
        <v>353</v>
      </c>
      <c r="F616">
        <v>574</v>
      </c>
      <c r="G616">
        <v>653</v>
      </c>
      <c r="H616">
        <v>168</v>
      </c>
      <c r="I616">
        <v>183</v>
      </c>
      <c r="J616">
        <v>-50</v>
      </c>
      <c r="K616">
        <v>-885</v>
      </c>
    </row>
    <row r="617" spans="2:11" x14ac:dyDescent="0.25">
      <c r="B617">
        <v>-424</v>
      </c>
      <c r="C617">
        <v>0</v>
      </c>
      <c r="D617">
        <v>0</v>
      </c>
      <c r="E617">
        <v>0</v>
      </c>
      <c r="F617">
        <v>227</v>
      </c>
      <c r="G617">
        <v>-13</v>
      </c>
      <c r="H617">
        <v>-302</v>
      </c>
      <c r="I617">
        <v>93</v>
      </c>
      <c r="J617">
        <v>2593</v>
      </c>
      <c r="K617">
        <v>-6555</v>
      </c>
    </row>
    <row r="618" spans="2:11" x14ac:dyDescent="0.25">
      <c r="B618">
        <v>-71</v>
      </c>
      <c r="C618">
        <v>431</v>
      </c>
      <c r="D618">
        <v>-83</v>
      </c>
      <c r="E618">
        <v>33</v>
      </c>
      <c r="F618">
        <v>-485</v>
      </c>
      <c r="G618">
        <v>431</v>
      </c>
      <c r="H618">
        <v>-2968</v>
      </c>
      <c r="I618">
        <v>-1756</v>
      </c>
      <c r="J618">
        <v>3438</v>
      </c>
      <c r="K618">
        <v>-298</v>
      </c>
    </row>
    <row r="619" spans="2:11" x14ac:dyDescent="0.25">
      <c r="B619">
        <v>-318</v>
      </c>
      <c r="C619">
        <v>303</v>
      </c>
      <c r="D619">
        <v>29</v>
      </c>
      <c r="E619">
        <v>-237</v>
      </c>
      <c r="F619">
        <v>-405</v>
      </c>
      <c r="G619">
        <v>5088</v>
      </c>
      <c r="H619">
        <v>-8756</v>
      </c>
      <c r="I619">
        <v>166</v>
      </c>
      <c r="J619">
        <v>1040</v>
      </c>
      <c r="K619">
        <v>-167</v>
      </c>
    </row>
    <row r="620" spans="2:11" x14ac:dyDescent="0.25">
      <c r="B620">
        <v>599</v>
      </c>
      <c r="C620">
        <v>-195</v>
      </c>
      <c r="D620">
        <v>3200</v>
      </c>
      <c r="E620">
        <v>351</v>
      </c>
      <c r="F620">
        <v>-164</v>
      </c>
      <c r="G620">
        <v>-49</v>
      </c>
      <c r="H620">
        <v>-26</v>
      </c>
      <c r="I620">
        <v>90</v>
      </c>
      <c r="J620">
        <v>-823</v>
      </c>
      <c r="K620">
        <v>-681</v>
      </c>
    </row>
    <row r="621" spans="2:11" x14ac:dyDescent="0.25">
      <c r="B621">
        <v>215</v>
      </c>
      <c r="C621">
        <v>-1019</v>
      </c>
      <c r="D621">
        <v>31164</v>
      </c>
      <c r="E621">
        <v>0</v>
      </c>
      <c r="F621">
        <v>5266</v>
      </c>
      <c r="G621">
        <v>1139</v>
      </c>
      <c r="H621">
        <v>7396</v>
      </c>
      <c r="I621">
        <v>6607</v>
      </c>
      <c r="J621">
        <v>6977</v>
      </c>
      <c r="K621">
        <v>4237</v>
      </c>
    </row>
    <row r="622" spans="2:11" x14ac:dyDescent="0.25">
      <c r="B622">
        <v>7462</v>
      </c>
      <c r="C622">
        <v>22074</v>
      </c>
      <c r="D622">
        <v>8423</v>
      </c>
      <c r="E622">
        <v>4298</v>
      </c>
      <c r="F622">
        <v>16413</v>
      </c>
      <c r="G622">
        <v>14418</v>
      </c>
      <c r="H622">
        <v>15296</v>
      </c>
      <c r="I622">
        <v>10729</v>
      </c>
      <c r="J622">
        <v>16512</v>
      </c>
      <c r="K622">
        <v>27189</v>
      </c>
    </row>
    <row r="623" spans="2:11" x14ac:dyDescent="0.25">
      <c r="B623">
        <v>0</v>
      </c>
      <c r="C623">
        <v>7816</v>
      </c>
      <c r="D623">
        <v>6167</v>
      </c>
      <c r="E623">
        <v>17080</v>
      </c>
      <c r="F623">
        <v>6080</v>
      </c>
      <c r="G623">
        <v>5896</v>
      </c>
      <c r="H623">
        <v>0</v>
      </c>
      <c r="I623">
        <v>15355</v>
      </c>
      <c r="J623">
        <v>27374</v>
      </c>
      <c r="K623">
        <v>5302</v>
      </c>
    </row>
    <row r="624" spans="2:11" x14ac:dyDescent="0.25">
      <c r="B624">
        <v>11583</v>
      </c>
      <c r="C624">
        <v>18208</v>
      </c>
      <c r="D624">
        <v>0</v>
      </c>
      <c r="E624">
        <v>17963</v>
      </c>
      <c r="F624">
        <v>0</v>
      </c>
      <c r="G624">
        <v>0</v>
      </c>
      <c r="H624">
        <v>-1055</v>
      </c>
      <c r="I624">
        <v>-114</v>
      </c>
      <c r="J624">
        <v>136</v>
      </c>
      <c r="K624">
        <v>-723</v>
      </c>
    </row>
    <row r="625" spans="2:11" x14ac:dyDescent="0.25">
      <c r="B625">
        <v>131</v>
      </c>
      <c r="C625">
        <v>1102</v>
      </c>
      <c r="D625">
        <v>322</v>
      </c>
      <c r="E625">
        <v>308</v>
      </c>
      <c r="F625">
        <v>83</v>
      </c>
      <c r="G625">
        <v>78</v>
      </c>
      <c r="H625">
        <v>-136</v>
      </c>
      <c r="I625">
        <v>434</v>
      </c>
      <c r="J625">
        <v>-560</v>
      </c>
      <c r="K625">
        <v>-2499</v>
      </c>
    </row>
    <row r="626" spans="2:11" x14ac:dyDescent="0.25">
      <c r="B626">
        <v>-1339</v>
      </c>
      <c r="C626">
        <v>0</v>
      </c>
      <c r="D626">
        <v>0</v>
      </c>
      <c r="E626">
        <v>0</v>
      </c>
      <c r="F626">
        <v>297</v>
      </c>
      <c r="G626">
        <v>-74</v>
      </c>
      <c r="H626">
        <v>-804</v>
      </c>
      <c r="I626">
        <v>133</v>
      </c>
      <c r="J626">
        <v>5698</v>
      </c>
      <c r="K626">
        <v>-14401</v>
      </c>
    </row>
    <row r="627" spans="2:11" x14ac:dyDescent="0.25">
      <c r="B627">
        <v>-130</v>
      </c>
      <c r="C627">
        <v>885</v>
      </c>
      <c r="D627">
        <v>-257</v>
      </c>
      <c r="E627">
        <v>178</v>
      </c>
      <c r="F627">
        <v>-830</v>
      </c>
      <c r="G627">
        <v>969</v>
      </c>
      <c r="H627">
        <v>-6448</v>
      </c>
      <c r="I627">
        <v>-3888</v>
      </c>
      <c r="J627">
        <v>7530</v>
      </c>
      <c r="K627">
        <v>-586</v>
      </c>
    </row>
    <row r="628" spans="2:11" x14ac:dyDescent="0.25">
      <c r="B628">
        <v>-649</v>
      </c>
      <c r="C628">
        <v>651</v>
      </c>
      <c r="D628">
        <v>-20</v>
      </c>
      <c r="E628">
        <v>-451</v>
      </c>
      <c r="F628">
        <v>-659</v>
      </c>
      <c r="G628">
        <v>11216</v>
      </c>
      <c r="H628">
        <v>-19223</v>
      </c>
      <c r="I628">
        <v>390</v>
      </c>
      <c r="J628">
        <v>3647</v>
      </c>
      <c r="K628">
        <v>-1111</v>
      </c>
    </row>
    <row r="629" spans="2:11" x14ac:dyDescent="0.25">
      <c r="B629">
        <v>207</v>
      </c>
      <c r="C629">
        <v>-754</v>
      </c>
      <c r="D629">
        <v>16205</v>
      </c>
      <c r="E629">
        <v>951</v>
      </c>
      <c r="F629">
        <v>-255</v>
      </c>
      <c r="G629">
        <v>-95</v>
      </c>
      <c r="H629">
        <v>165</v>
      </c>
      <c r="I629">
        <v>551</v>
      </c>
      <c r="J629">
        <v>-1794</v>
      </c>
      <c r="K629">
        <v>-1505</v>
      </c>
    </row>
    <row r="630" spans="2:11" x14ac:dyDescent="0.25">
      <c r="B630">
        <v>480</v>
      </c>
      <c r="C630">
        <v>-2211</v>
      </c>
      <c r="D630">
        <v>68534</v>
      </c>
      <c r="E630">
        <v>0</v>
      </c>
      <c r="F630">
        <v>11585</v>
      </c>
      <c r="G630">
        <v>2512</v>
      </c>
      <c r="H630">
        <v>16258</v>
      </c>
      <c r="I630">
        <v>14535</v>
      </c>
      <c r="J630">
        <v>15351</v>
      </c>
      <c r="K630">
        <v>9323</v>
      </c>
    </row>
    <row r="631" spans="2:11" x14ac:dyDescent="0.25">
      <c r="B631">
        <v>16417</v>
      </c>
      <c r="C631">
        <v>48540</v>
      </c>
      <c r="D631">
        <v>18533</v>
      </c>
      <c r="E631">
        <v>9453</v>
      </c>
      <c r="F631">
        <v>36101</v>
      </c>
      <c r="G631">
        <v>31704</v>
      </c>
      <c r="H631">
        <v>33647</v>
      </c>
      <c r="I631">
        <v>23594</v>
      </c>
      <c r="J631">
        <v>36308</v>
      </c>
      <c r="K631">
        <v>59789</v>
      </c>
    </row>
    <row r="632" spans="2:11" x14ac:dyDescent="0.25">
      <c r="B632">
        <v>0</v>
      </c>
      <c r="C632">
        <v>17173</v>
      </c>
      <c r="D632">
        <v>13554</v>
      </c>
      <c r="E632">
        <v>37545</v>
      </c>
      <c r="F632">
        <v>13327</v>
      </c>
      <c r="G632">
        <v>12922</v>
      </c>
      <c r="H632">
        <v>0</v>
      </c>
      <c r="I632">
        <v>33763</v>
      </c>
      <c r="J632">
        <v>60184</v>
      </c>
      <c r="K632">
        <v>11660</v>
      </c>
    </row>
    <row r="633" spans="2:11" x14ac:dyDescent="0.25">
      <c r="B633">
        <v>25482</v>
      </c>
      <c r="C633">
        <v>40041</v>
      </c>
      <c r="D633">
        <v>0</v>
      </c>
      <c r="E633">
        <v>39505</v>
      </c>
      <c r="F633">
        <v>0</v>
      </c>
      <c r="G633">
        <v>-158</v>
      </c>
      <c r="H633">
        <v>0</v>
      </c>
      <c r="I633">
        <v>-388</v>
      </c>
      <c r="J633">
        <v>29</v>
      </c>
      <c r="K633">
        <v>124</v>
      </c>
    </row>
    <row r="634" spans="2:11" x14ac:dyDescent="0.25">
      <c r="B634">
        <v>-339</v>
      </c>
      <c r="C634">
        <v>96</v>
      </c>
      <c r="D634">
        <v>389</v>
      </c>
      <c r="E634">
        <v>126</v>
      </c>
      <c r="F634">
        <v>234</v>
      </c>
      <c r="G634">
        <v>46</v>
      </c>
      <c r="H634">
        <v>105</v>
      </c>
      <c r="I634">
        <v>-115</v>
      </c>
      <c r="J634">
        <v>264</v>
      </c>
      <c r="K634">
        <v>-406</v>
      </c>
    </row>
    <row r="635" spans="2:11" x14ac:dyDescent="0.25">
      <c r="B635">
        <v>-1174</v>
      </c>
      <c r="C635">
        <v>-449</v>
      </c>
      <c r="D635">
        <v>0</v>
      </c>
      <c r="E635">
        <v>0</v>
      </c>
      <c r="F635">
        <v>0</v>
      </c>
      <c r="G635">
        <v>65</v>
      </c>
      <c r="H635">
        <v>-49</v>
      </c>
      <c r="I635">
        <v>-430</v>
      </c>
      <c r="J635">
        <v>68</v>
      </c>
      <c r="K635">
        <v>3155</v>
      </c>
    </row>
    <row r="636" spans="2:11" x14ac:dyDescent="0.25">
      <c r="B636">
        <v>-7969</v>
      </c>
      <c r="C636">
        <v>-78</v>
      </c>
      <c r="D636">
        <v>513</v>
      </c>
      <c r="E636">
        <v>-100</v>
      </c>
      <c r="F636">
        <v>135</v>
      </c>
      <c r="G636">
        <v>-395</v>
      </c>
      <c r="H636">
        <v>536</v>
      </c>
      <c r="I636">
        <v>-3595</v>
      </c>
      <c r="J636">
        <v>-2138</v>
      </c>
      <c r="K636">
        <v>4157</v>
      </c>
    </row>
    <row r="637" spans="2:11" x14ac:dyDescent="0.25">
      <c r="B637">
        <v>-349</v>
      </c>
      <c r="C637">
        <v>-363</v>
      </c>
      <c r="D637">
        <v>381</v>
      </c>
      <c r="E637">
        <v>33</v>
      </c>
      <c r="F637">
        <v>-223</v>
      </c>
      <c r="G637">
        <v>-316</v>
      </c>
      <c r="H637">
        <v>6186</v>
      </c>
      <c r="I637">
        <v>-10626</v>
      </c>
      <c r="J637">
        <v>919</v>
      </c>
      <c r="K637">
        <v>1606</v>
      </c>
    </row>
    <row r="638" spans="2:11" x14ac:dyDescent="0.25">
      <c r="B638">
        <v>-429</v>
      </c>
      <c r="C638">
        <v>583</v>
      </c>
      <c r="D638">
        <v>335</v>
      </c>
      <c r="E638">
        <v>2755</v>
      </c>
      <c r="F638">
        <v>500</v>
      </c>
      <c r="G638">
        <v>-133</v>
      </c>
      <c r="H638">
        <v>-21</v>
      </c>
      <c r="I638">
        <v>99</v>
      </c>
      <c r="J638">
        <v>357</v>
      </c>
      <c r="K638">
        <v>-992</v>
      </c>
    </row>
    <row r="639" spans="2:11" x14ac:dyDescent="0.25">
      <c r="B639">
        <v>-832</v>
      </c>
      <c r="C639">
        <v>262</v>
      </c>
      <c r="D639">
        <v>-1229</v>
      </c>
      <c r="E639">
        <v>37861</v>
      </c>
      <c r="F639">
        <v>0</v>
      </c>
      <c r="G639">
        <v>6401</v>
      </c>
      <c r="H639">
        <v>1385</v>
      </c>
      <c r="I639">
        <v>8982</v>
      </c>
      <c r="J639">
        <v>8030</v>
      </c>
      <c r="K639">
        <v>8479</v>
      </c>
    </row>
    <row r="640" spans="2:11" x14ac:dyDescent="0.25">
      <c r="B640">
        <v>5147</v>
      </c>
      <c r="C640">
        <v>9069</v>
      </c>
      <c r="D640">
        <v>26816</v>
      </c>
      <c r="E640">
        <v>10240</v>
      </c>
      <c r="F640">
        <v>5225</v>
      </c>
      <c r="G640">
        <v>19946</v>
      </c>
      <c r="H640">
        <v>17518</v>
      </c>
      <c r="I640">
        <v>18590</v>
      </c>
      <c r="J640">
        <v>13035</v>
      </c>
      <c r="K640">
        <v>20061</v>
      </c>
    </row>
    <row r="641" spans="2:11" x14ac:dyDescent="0.25">
      <c r="B641">
        <v>33031</v>
      </c>
      <c r="C641">
        <v>0</v>
      </c>
      <c r="D641">
        <v>9497</v>
      </c>
      <c r="E641">
        <v>7491</v>
      </c>
      <c r="F641">
        <v>20750</v>
      </c>
      <c r="G641">
        <v>7385</v>
      </c>
      <c r="H641">
        <v>7163</v>
      </c>
      <c r="I641">
        <v>0</v>
      </c>
      <c r="J641">
        <v>18658</v>
      </c>
      <c r="K641">
        <v>33255</v>
      </c>
    </row>
    <row r="642" spans="2:11" x14ac:dyDescent="0.25">
      <c r="B642">
        <v>6444</v>
      </c>
      <c r="C642">
        <v>14076</v>
      </c>
      <c r="D642">
        <v>22121</v>
      </c>
      <c r="E642">
        <v>0</v>
      </c>
      <c r="F642">
        <v>21825</v>
      </c>
      <c r="G642">
        <v>0</v>
      </c>
      <c r="H642">
        <v>12710</v>
      </c>
      <c r="I642">
        <v>29254</v>
      </c>
      <c r="J642">
        <v>0</v>
      </c>
      <c r="K642">
        <v>-783</v>
      </c>
    </row>
    <row r="643" spans="2:11" x14ac:dyDescent="0.25">
      <c r="B643">
        <v>-496</v>
      </c>
      <c r="C643">
        <v>-491</v>
      </c>
      <c r="D643">
        <v>-289</v>
      </c>
      <c r="E643">
        <v>-81</v>
      </c>
      <c r="F643">
        <v>397</v>
      </c>
      <c r="G643">
        <v>-286</v>
      </c>
      <c r="H643">
        <v>1153</v>
      </c>
      <c r="I643">
        <v>-115</v>
      </c>
      <c r="J643">
        <v>1043</v>
      </c>
      <c r="K643">
        <v>951</v>
      </c>
    </row>
    <row r="644" spans="2:11" x14ac:dyDescent="0.25">
      <c r="B644">
        <v>-588</v>
      </c>
      <c r="C644">
        <v>25</v>
      </c>
      <c r="D644">
        <v>77</v>
      </c>
      <c r="E644">
        <v>29</v>
      </c>
      <c r="F644">
        <v>0</v>
      </c>
      <c r="G644">
        <v>0</v>
      </c>
      <c r="H644">
        <v>0</v>
      </c>
      <c r="I644">
        <v>385</v>
      </c>
      <c r="J644">
        <v>-6</v>
      </c>
      <c r="K644">
        <v>-6</v>
      </c>
    </row>
    <row r="645" spans="2:11" x14ac:dyDescent="0.25">
      <c r="B645">
        <v>35</v>
      </c>
      <c r="C645">
        <v>-242</v>
      </c>
      <c r="D645">
        <v>569</v>
      </c>
      <c r="E645">
        <v>-117</v>
      </c>
      <c r="F645">
        <v>-158</v>
      </c>
      <c r="G645">
        <v>-182</v>
      </c>
      <c r="H645">
        <v>-207</v>
      </c>
      <c r="I645">
        <v>-393</v>
      </c>
      <c r="J645">
        <v>-73</v>
      </c>
      <c r="K645">
        <v>281</v>
      </c>
    </row>
    <row r="646" spans="2:11" x14ac:dyDescent="0.25">
      <c r="B646">
        <v>134</v>
      </c>
      <c r="C646">
        <v>-317</v>
      </c>
      <c r="D646">
        <v>15</v>
      </c>
      <c r="E646">
        <v>-31</v>
      </c>
      <c r="F646">
        <v>-138</v>
      </c>
      <c r="G646">
        <v>-165</v>
      </c>
      <c r="H646">
        <v>-122</v>
      </c>
      <c r="I646">
        <v>-298</v>
      </c>
      <c r="J646">
        <v>-477</v>
      </c>
      <c r="K646">
        <v>768</v>
      </c>
    </row>
    <row r="647" spans="2:11" x14ac:dyDescent="0.25">
      <c r="B647">
        <v>32</v>
      </c>
      <c r="C647">
        <v>-67</v>
      </c>
      <c r="D647">
        <v>-121</v>
      </c>
      <c r="E647">
        <v>-79</v>
      </c>
      <c r="F647">
        <v>-224</v>
      </c>
      <c r="G647">
        <v>328</v>
      </c>
      <c r="H647">
        <v>-1874</v>
      </c>
      <c r="I647">
        <v>-3154</v>
      </c>
      <c r="J647">
        <v>-776</v>
      </c>
      <c r="K647">
        <v>-807</v>
      </c>
    </row>
    <row r="648" spans="2:11" x14ac:dyDescent="0.25">
      <c r="B648">
        <v>-2485</v>
      </c>
      <c r="C648">
        <v>-5211</v>
      </c>
      <c r="D648">
        <v>-7085</v>
      </c>
      <c r="E648">
        <v>12097</v>
      </c>
      <c r="F648">
        <v>-2219</v>
      </c>
      <c r="G648">
        <v>-2767</v>
      </c>
      <c r="H648">
        <v>0</v>
      </c>
      <c r="I648">
        <v>-476</v>
      </c>
      <c r="J648">
        <v>-97</v>
      </c>
      <c r="K648">
        <v>-659</v>
      </c>
    </row>
    <row r="649" spans="2:11" x14ac:dyDescent="0.25">
      <c r="B649">
        <v>-580</v>
      </c>
      <c r="C649">
        <v>-608</v>
      </c>
      <c r="D649">
        <v>-376</v>
      </c>
      <c r="E649">
        <v>-663</v>
      </c>
      <c r="F649">
        <v>-1968</v>
      </c>
      <c r="G649">
        <v>-755</v>
      </c>
      <c r="H649">
        <v>-385</v>
      </c>
      <c r="I649">
        <v>-1459</v>
      </c>
      <c r="J649">
        <v>-1288</v>
      </c>
      <c r="K649">
        <v>-1369</v>
      </c>
    </row>
    <row r="650" spans="2:11" x14ac:dyDescent="0.25">
      <c r="B650">
        <v>-958</v>
      </c>
      <c r="C650">
        <v>-1473</v>
      </c>
      <c r="D650">
        <v>-2409</v>
      </c>
      <c r="E650">
        <v>0</v>
      </c>
      <c r="F650">
        <v>-702</v>
      </c>
      <c r="G650">
        <v>-548</v>
      </c>
      <c r="H650">
        <v>-1515</v>
      </c>
      <c r="I650">
        <v>-553</v>
      </c>
      <c r="J650">
        <v>-545</v>
      </c>
      <c r="K650">
        <v>0</v>
      </c>
    </row>
    <row r="651" spans="2:11" x14ac:dyDescent="0.25">
      <c r="B651">
        <v>-1374</v>
      </c>
      <c r="C651">
        <v>-2436</v>
      </c>
      <c r="D651">
        <v>-471</v>
      </c>
      <c r="E651">
        <v>-1029</v>
      </c>
      <c r="F651">
        <v>-1618</v>
      </c>
      <c r="G651">
        <v>0</v>
      </c>
      <c r="H651">
        <v>-1598</v>
      </c>
      <c r="I651">
        <v>0</v>
      </c>
      <c r="J651">
        <v>-854</v>
      </c>
      <c r="K651">
        <v>-1898</v>
      </c>
    </row>
    <row r="652" spans="2:11" x14ac:dyDescent="0.25">
      <c r="B652">
        <v>-1050</v>
      </c>
      <c r="C652">
        <v>0</v>
      </c>
      <c r="D652">
        <v>-1404</v>
      </c>
      <c r="E652">
        <v>-1600</v>
      </c>
      <c r="F652">
        <v>-1217</v>
      </c>
      <c r="G652">
        <v>-456</v>
      </c>
      <c r="H652">
        <v>-615</v>
      </c>
      <c r="I652">
        <v>725</v>
      </c>
      <c r="J652">
        <v>344</v>
      </c>
      <c r="K652">
        <v>-836</v>
      </c>
    </row>
    <row r="653" spans="2:11" x14ac:dyDescent="0.25">
      <c r="B653">
        <v>516</v>
      </c>
      <c r="C653">
        <v>928</v>
      </c>
      <c r="D653">
        <v>-2138</v>
      </c>
      <c r="E653">
        <v>779</v>
      </c>
      <c r="F653">
        <v>-463</v>
      </c>
      <c r="G653">
        <v>-9</v>
      </c>
      <c r="H653">
        <v>-251</v>
      </c>
      <c r="I653">
        <v>0</v>
      </c>
      <c r="J653">
        <v>0</v>
      </c>
      <c r="K653">
        <v>0</v>
      </c>
    </row>
    <row r="654" spans="2:11" x14ac:dyDescent="0.25">
      <c r="B654">
        <v>557</v>
      </c>
      <c r="C654">
        <v>68</v>
      </c>
      <c r="D654">
        <v>47</v>
      </c>
      <c r="E654">
        <v>294</v>
      </c>
      <c r="F654">
        <v>22</v>
      </c>
      <c r="G654">
        <v>-15</v>
      </c>
      <c r="H654">
        <v>149</v>
      </c>
      <c r="I654">
        <v>-95</v>
      </c>
      <c r="J654">
        <v>-126</v>
      </c>
      <c r="K654">
        <v>20</v>
      </c>
    </row>
    <row r="655" spans="2:11" x14ac:dyDescent="0.25">
      <c r="B655">
        <v>-367</v>
      </c>
      <c r="C655">
        <v>-30</v>
      </c>
      <c r="D655">
        <v>14</v>
      </c>
      <c r="E655">
        <v>-20</v>
      </c>
      <c r="F655">
        <v>18</v>
      </c>
      <c r="G655">
        <v>40</v>
      </c>
      <c r="H655">
        <v>157</v>
      </c>
      <c r="I655">
        <v>-39</v>
      </c>
      <c r="J655">
        <v>-71</v>
      </c>
      <c r="K655">
        <v>104</v>
      </c>
    </row>
    <row r="656" spans="2:11" x14ac:dyDescent="0.25">
      <c r="B656">
        <v>-191</v>
      </c>
      <c r="C656">
        <v>52</v>
      </c>
      <c r="D656">
        <v>-80</v>
      </c>
      <c r="E656">
        <v>104</v>
      </c>
      <c r="F656">
        <v>-48</v>
      </c>
      <c r="G656">
        <v>-142</v>
      </c>
      <c r="H656">
        <v>56</v>
      </c>
      <c r="I656">
        <v>-330</v>
      </c>
      <c r="J656">
        <v>-22</v>
      </c>
      <c r="K656">
        <v>-1393</v>
      </c>
    </row>
    <row r="657" spans="2:11" x14ac:dyDescent="0.25">
      <c r="B657">
        <v>-278</v>
      </c>
      <c r="C657">
        <v>-533</v>
      </c>
      <c r="D657">
        <v>-2487</v>
      </c>
      <c r="E657">
        <v>-1802</v>
      </c>
      <c r="F657">
        <v>-3162</v>
      </c>
      <c r="G657">
        <v>-2361</v>
      </c>
      <c r="H657">
        <v>10695</v>
      </c>
      <c r="I657">
        <v>-2815</v>
      </c>
      <c r="J657">
        <v>268</v>
      </c>
      <c r="K657">
        <v>0</v>
      </c>
    </row>
    <row r="658" spans="2:11" x14ac:dyDescent="0.25">
      <c r="B658">
        <v>49</v>
      </c>
      <c r="C658">
        <v>14</v>
      </c>
      <c r="D658">
        <v>58</v>
      </c>
      <c r="E658">
        <v>60</v>
      </c>
      <c r="F658">
        <v>56</v>
      </c>
      <c r="G658">
        <v>39</v>
      </c>
      <c r="H658">
        <v>48</v>
      </c>
      <c r="I658">
        <v>200</v>
      </c>
      <c r="J658">
        <v>64</v>
      </c>
      <c r="K658">
        <v>19</v>
      </c>
    </row>
    <row r="659" spans="2:11" x14ac:dyDescent="0.25">
      <c r="B659">
        <v>119</v>
      </c>
      <c r="C659">
        <v>117</v>
      </c>
      <c r="D659">
        <v>139</v>
      </c>
      <c r="E659">
        <v>75</v>
      </c>
      <c r="F659">
        <v>118</v>
      </c>
      <c r="G659">
        <v>229</v>
      </c>
      <c r="H659">
        <v>0</v>
      </c>
      <c r="I659">
        <v>61</v>
      </c>
      <c r="J659">
        <v>53</v>
      </c>
      <c r="K659">
        <v>148</v>
      </c>
    </row>
    <row r="660" spans="2:11" x14ac:dyDescent="0.25">
      <c r="B660">
        <v>34</v>
      </c>
      <c r="C660">
        <v>22</v>
      </c>
      <c r="D660">
        <v>0</v>
      </c>
      <c r="E660">
        <v>121</v>
      </c>
      <c r="F660">
        <v>234</v>
      </c>
      <c r="G660">
        <v>38</v>
      </c>
      <c r="H660">
        <v>103</v>
      </c>
      <c r="I660">
        <v>154</v>
      </c>
      <c r="J660">
        <v>0</v>
      </c>
      <c r="K660">
        <v>158</v>
      </c>
    </row>
    <row r="661" spans="2:11" x14ac:dyDescent="0.25">
      <c r="B661">
        <v>0</v>
      </c>
      <c r="C661">
        <v>90</v>
      </c>
      <c r="D661">
        <v>186</v>
      </c>
      <c r="E661">
        <v>101</v>
      </c>
      <c r="F661">
        <v>-8520</v>
      </c>
      <c r="G661">
        <v>0</v>
      </c>
      <c r="H661">
        <v>-1329</v>
      </c>
      <c r="I661">
        <v>-936</v>
      </c>
      <c r="J661">
        <v>-585</v>
      </c>
      <c r="K661">
        <v>189</v>
      </c>
    </row>
    <row r="662" spans="2:11" x14ac:dyDescent="0.25">
      <c r="B662">
        <v>-1163</v>
      </c>
      <c r="C662">
        <v>762</v>
      </c>
      <c r="D662">
        <v>29</v>
      </c>
      <c r="E662">
        <v>1105</v>
      </c>
      <c r="F662">
        <v>393</v>
      </c>
      <c r="G662">
        <v>1021</v>
      </c>
      <c r="H662">
        <v>382</v>
      </c>
      <c r="I662">
        <v>369</v>
      </c>
      <c r="J662">
        <v>8</v>
      </c>
      <c r="K662">
        <v>-472</v>
      </c>
    </row>
    <row r="663" spans="2:11" x14ac:dyDescent="0.25">
      <c r="B663">
        <v>-346</v>
      </c>
      <c r="C663">
        <v>0</v>
      </c>
      <c r="D663">
        <v>0</v>
      </c>
      <c r="E663">
        <v>0</v>
      </c>
      <c r="F663">
        <v>410</v>
      </c>
      <c r="G663">
        <v>-45</v>
      </c>
      <c r="H663">
        <v>-286</v>
      </c>
      <c r="I663">
        <v>-101</v>
      </c>
      <c r="J663">
        <v>1254</v>
      </c>
      <c r="K663">
        <v>-3116</v>
      </c>
    </row>
    <row r="664" spans="2:11" x14ac:dyDescent="0.25">
      <c r="B664">
        <v>-48</v>
      </c>
      <c r="C664">
        <v>65</v>
      </c>
      <c r="D664">
        <v>-295</v>
      </c>
      <c r="E664">
        <v>-352</v>
      </c>
      <c r="F664">
        <v>-523</v>
      </c>
      <c r="G664">
        <v>177</v>
      </c>
      <c r="H664">
        <v>-1385</v>
      </c>
      <c r="I664">
        <v>-859</v>
      </c>
      <c r="J664">
        <v>1644</v>
      </c>
      <c r="K664">
        <v>-132</v>
      </c>
    </row>
    <row r="665" spans="2:11" x14ac:dyDescent="0.25">
      <c r="B665">
        <v>-117</v>
      </c>
      <c r="C665">
        <v>31</v>
      </c>
      <c r="D665">
        <v>-201</v>
      </c>
      <c r="E665">
        <v>-386</v>
      </c>
      <c r="F665">
        <v>-378</v>
      </c>
      <c r="G665">
        <v>2452</v>
      </c>
      <c r="H665">
        <v>-4215</v>
      </c>
      <c r="I665">
        <v>-225</v>
      </c>
      <c r="J665">
        <v>-164</v>
      </c>
      <c r="K665">
        <v>-286</v>
      </c>
    </row>
    <row r="666" spans="2:11" x14ac:dyDescent="0.25">
      <c r="B666">
        <v>-440</v>
      </c>
      <c r="C666">
        <v>-431</v>
      </c>
      <c r="D666">
        <v>-1691</v>
      </c>
      <c r="E666">
        <v>-295</v>
      </c>
      <c r="F666">
        <v>-988</v>
      </c>
      <c r="G666">
        <v>444</v>
      </c>
      <c r="H666">
        <v>-733</v>
      </c>
      <c r="I666">
        <v>-1244</v>
      </c>
      <c r="J666">
        <v>-9508</v>
      </c>
      <c r="K666">
        <v>-3776</v>
      </c>
    </row>
    <row r="667" spans="2:11" x14ac:dyDescent="0.25">
      <c r="B667">
        <v>21176</v>
      </c>
      <c r="C667">
        <v>-2113</v>
      </c>
      <c r="D667">
        <v>14988</v>
      </c>
      <c r="E667">
        <v>0</v>
      </c>
      <c r="F667">
        <v>2523</v>
      </c>
      <c r="G667">
        <v>550</v>
      </c>
      <c r="H667">
        <v>3550</v>
      </c>
      <c r="I667">
        <v>3184</v>
      </c>
      <c r="J667">
        <v>3362</v>
      </c>
      <c r="K667">
        <v>2034</v>
      </c>
    </row>
    <row r="668" spans="2:11" x14ac:dyDescent="0.25">
      <c r="B668">
        <v>3583</v>
      </c>
      <c r="C668">
        <v>10614</v>
      </c>
      <c r="D668">
        <v>4044</v>
      </c>
      <c r="E668">
        <v>2059</v>
      </c>
      <c r="F668">
        <v>7895</v>
      </c>
      <c r="G668">
        <v>6926</v>
      </c>
      <c r="H668">
        <v>7357</v>
      </c>
      <c r="I668">
        <v>5149</v>
      </c>
      <c r="J668">
        <v>7934</v>
      </c>
      <c r="K668">
        <v>13085</v>
      </c>
    </row>
    <row r="669" spans="2:11" x14ac:dyDescent="0.25">
      <c r="B669">
        <v>0</v>
      </c>
      <c r="C669">
        <v>3754</v>
      </c>
      <c r="D669">
        <v>2965</v>
      </c>
      <c r="E669">
        <v>8219</v>
      </c>
      <c r="F669">
        <v>2914</v>
      </c>
      <c r="G669">
        <v>2813</v>
      </c>
      <c r="H669">
        <v>0</v>
      </c>
      <c r="I669">
        <v>7377</v>
      </c>
      <c r="J669">
        <v>13163</v>
      </c>
      <c r="K669">
        <v>2555</v>
      </c>
    </row>
    <row r="670" spans="2:11" x14ac:dyDescent="0.25">
      <c r="B670">
        <v>5574</v>
      </c>
      <c r="C670">
        <v>8756</v>
      </c>
      <c r="D670">
        <v>0</v>
      </c>
      <c r="E670">
        <v>8638</v>
      </c>
      <c r="F670">
        <v>0</v>
      </c>
      <c r="G670">
        <v>4677</v>
      </c>
      <c r="H670">
        <v>10273</v>
      </c>
      <c r="I670">
        <v>5674</v>
      </c>
      <c r="J670">
        <v>6172</v>
      </c>
      <c r="K670">
        <v>-4647</v>
      </c>
    </row>
    <row r="671" spans="2:11" x14ac:dyDescent="0.25">
      <c r="B671">
        <v>0</v>
      </c>
      <c r="C671">
        <v>-1055</v>
      </c>
      <c r="D671">
        <v>-1703</v>
      </c>
      <c r="E671">
        <v>-766</v>
      </c>
      <c r="F671">
        <v>-72</v>
      </c>
      <c r="G671">
        <v>-514</v>
      </c>
      <c r="H671">
        <v>767</v>
      </c>
      <c r="I671">
        <v>181</v>
      </c>
      <c r="J671">
        <v>1058</v>
      </c>
      <c r="K671">
        <v>-793</v>
      </c>
    </row>
    <row r="672" spans="2:11" x14ac:dyDescent="0.25">
      <c r="B672">
        <v>283</v>
      </c>
      <c r="C672">
        <v>-116</v>
      </c>
      <c r="D672">
        <v>80</v>
      </c>
      <c r="E672">
        <v>438</v>
      </c>
      <c r="F672">
        <v>-366</v>
      </c>
      <c r="G672">
        <v>-272</v>
      </c>
      <c r="H672">
        <v>0</v>
      </c>
      <c r="I672">
        <v>0</v>
      </c>
      <c r="J672">
        <v>0</v>
      </c>
      <c r="K672">
        <v>420</v>
      </c>
    </row>
    <row r="673" spans="2:11" x14ac:dyDescent="0.25">
      <c r="B673">
        <v>7</v>
      </c>
      <c r="C673">
        <v>-134</v>
      </c>
      <c r="D673">
        <v>246</v>
      </c>
      <c r="E673">
        <v>973</v>
      </c>
      <c r="F673">
        <v>-2440</v>
      </c>
      <c r="G673">
        <v>11</v>
      </c>
      <c r="H673">
        <v>58</v>
      </c>
      <c r="I673">
        <v>-100</v>
      </c>
      <c r="J673">
        <v>128</v>
      </c>
      <c r="K673">
        <v>-353</v>
      </c>
    </row>
    <row r="674" spans="2:11" x14ac:dyDescent="0.25">
      <c r="B674">
        <v>143</v>
      </c>
      <c r="C674">
        <v>-1061</v>
      </c>
      <c r="D674">
        <v>-675</v>
      </c>
      <c r="E674">
        <v>1285</v>
      </c>
      <c r="F674">
        <v>-72</v>
      </c>
      <c r="G674">
        <v>-39</v>
      </c>
      <c r="H674">
        <v>45</v>
      </c>
      <c r="I674">
        <v>-34</v>
      </c>
      <c r="J674">
        <v>31</v>
      </c>
      <c r="K674">
        <v>-256</v>
      </c>
    </row>
    <row r="675" spans="2:11" x14ac:dyDescent="0.25">
      <c r="B675">
        <v>1943</v>
      </c>
      <c r="C675">
        <v>-3304</v>
      </c>
      <c r="D675">
        <v>-134</v>
      </c>
      <c r="E675">
        <v>-162</v>
      </c>
      <c r="F675">
        <v>-227</v>
      </c>
      <c r="G675">
        <v>-78</v>
      </c>
      <c r="H675">
        <v>-309</v>
      </c>
      <c r="I675">
        <v>-1290</v>
      </c>
      <c r="J675">
        <v>-699</v>
      </c>
      <c r="K675">
        <v>-773</v>
      </c>
    </row>
    <row r="676" spans="2:11" x14ac:dyDescent="0.25">
      <c r="B676">
        <v>759</v>
      </c>
      <c r="C676">
        <v>-182</v>
      </c>
      <c r="D676">
        <v>-2138</v>
      </c>
      <c r="E676">
        <v>-3937</v>
      </c>
      <c r="F676">
        <v>-7518</v>
      </c>
      <c r="G676">
        <v>22263</v>
      </c>
      <c r="H676">
        <v>-2408</v>
      </c>
      <c r="I676">
        <v>11787</v>
      </c>
      <c r="J676">
        <v>0</v>
      </c>
      <c r="K676">
        <v>1980</v>
      </c>
    </row>
    <row r="677" spans="2:11" x14ac:dyDescent="0.25">
      <c r="B677">
        <v>432</v>
      </c>
      <c r="C677">
        <v>2778</v>
      </c>
      <c r="D677">
        <v>2499</v>
      </c>
      <c r="E677">
        <v>2639</v>
      </c>
      <c r="F677">
        <v>1589</v>
      </c>
      <c r="G677">
        <v>2815</v>
      </c>
      <c r="H677">
        <v>8338</v>
      </c>
      <c r="I677">
        <v>3183</v>
      </c>
      <c r="J677">
        <v>1614</v>
      </c>
      <c r="K677">
        <v>6206</v>
      </c>
    </row>
    <row r="678" spans="2:11" x14ac:dyDescent="0.25">
      <c r="B678">
        <v>5446</v>
      </c>
      <c r="C678">
        <v>5786</v>
      </c>
      <c r="D678">
        <v>4048</v>
      </c>
      <c r="E678">
        <v>6229</v>
      </c>
      <c r="F678">
        <v>10284</v>
      </c>
      <c r="G678">
        <v>0</v>
      </c>
      <c r="H678">
        <v>2952</v>
      </c>
      <c r="I678">
        <v>2328</v>
      </c>
      <c r="J678">
        <v>6475</v>
      </c>
      <c r="K678">
        <v>2292</v>
      </c>
    </row>
    <row r="679" spans="2:11" x14ac:dyDescent="0.25">
      <c r="B679">
        <v>2213</v>
      </c>
      <c r="C679">
        <v>0</v>
      </c>
      <c r="D679">
        <v>5806</v>
      </c>
      <c r="E679">
        <v>10352</v>
      </c>
      <c r="F679">
        <v>2017</v>
      </c>
      <c r="G679">
        <v>4387</v>
      </c>
      <c r="H679">
        <v>6885</v>
      </c>
      <c r="I679">
        <v>0</v>
      </c>
      <c r="J679">
        <v>6793</v>
      </c>
      <c r="K679">
        <v>0</v>
      </c>
    </row>
    <row r="680" spans="2:11" x14ac:dyDescent="0.25">
      <c r="B680">
        <v>3665</v>
      </c>
      <c r="C680">
        <v>8085</v>
      </c>
      <c r="D680">
        <v>4462</v>
      </c>
      <c r="E680">
        <v>5001</v>
      </c>
      <c r="F680">
        <v>1264</v>
      </c>
      <c r="G680">
        <v>9225</v>
      </c>
      <c r="H680">
        <v>0</v>
      </c>
      <c r="I680">
        <v>-1702</v>
      </c>
      <c r="J680">
        <v>-1936</v>
      </c>
      <c r="K680">
        <v>-861</v>
      </c>
    </row>
    <row r="681" spans="2:11" x14ac:dyDescent="0.25">
      <c r="B681">
        <v>-391</v>
      </c>
      <c r="C681">
        <v>-1354</v>
      </c>
      <c r="D681">
        <v>1072</v>
      </c>
      <c r="E681">
        <v>296</v>
      </c>
      <c r="F681">
        <v>-405</v>
      </c>
      <c r="G681">
        <v>146</v>
      </c>
      <c r="H681">
        <v>-662</v>
      </c>
      <c r="I681">
        <v>-342</v>
      </c>
      <c r="J681">
        <v>1899</v>
      </c>
      <c r="K681">
        <v>-212</v>
      </c>
    </row>
    <row r="682" spans="2:11" x14ac:dyDescent="0.25">
      <c r="B682">
        <v>-349</v>
      </c>
      <c r="C682">
        <v>-267</v>
      </c>
      <c r="D682">
        <v>0</v>
      </c>
      <c r="E682">
        <v>0</v>
      </c>
      <c r="F682">
        <v>0</v>
      </c>
      <c r="G682">
        <v>543</v>
      </c>
      <c r="H682">
        <v>12</v>
      </c>
      <c r="I682">
        <v>-251</v>
      </c>
      <c r="J682">
        <v>211</v>
      </c>
      <c r="K682">
        <v>933</v>
      </c>
    </row>
    <row r="683" spans="2:11" x14ac:dyDescent="0.25">
      <c r="B683">
        <v>-2296</v>
      </c>
      <c r="C683">
        <v>149</v>
      </c>
      <c r="D683">
        <v>66</v>
      </c>
      <c r="E683">
        <v>-239</v>
      </c>
      <c r="F683">
        <v>12</v>
      </c>
      <c r="G683">
        <v>-390</v>
      </c>
      <c r="H683">
        <v>163</v>
      </c>
      <c r="I683">
        <v>-1029</v>
      </c>
      <c r="J683">
        <v>-633</v>
      </c>
      <c r="K683">
        <v>1225</v>
      </c>
    </row>
    <row r="684" spans="2:11" x14ac:dyDescent="0.25">
      <c r="B684">
        <v>-75</v>
      </c>
      <c r="C684">
        <v>9</v>
      </c>
      <c r="D684">
        <v>23</v>
      </c>
      <c r="E684">
        <v>-202</v>
      </c>
      <c r="F684">
        <v>-54</v>
      </c>
      <c r="G684">
        <v>-288</v>
      </c>
      <c r="H684">
        <v>1876</v>
      </c>
      <c r="I684">
        <v>-3158</v>
      </c>
      <c r="J684">
        <v>-111</v>
      </c>
      <c r="K684">
        <v>-146</v>
      </c>
    </row>
    <row r="685" spans="2:11" x14ac:dyDescent="0.25">
      <c r="B685">
        <v>-328</v>
      </c>
      <c r="C685">
        <v>-153</v>
      </c>
      <c r="D685">
        <v>-434</v>
      </c>
      <c r="E685">
        <v>-1254</v>
      </c>
      <c r="F685">
        <v>-1388</v>
      </c>
      <c r="G685">
        <v>-1704</v>
      </c>
      <c r="H685">
        <v>2113</v>
      </c>
      <c r="I685">
        <v>-1129</v>
      </c>
      <c r="J685">
        <v>-3644</v>
      </c>
      <c r="K685">
        <v>-9398</v>
      </c>
    </row>
    <row r="686" spans="2:11" x14ac:dyDescent="0.25">
      <c r="B686">
        <v>-18378</v>
      </c>
      <c r="C686">
        <v>51164</v>
      </c>
      <c r="D686">
        <v>-1807</v>
      </c>
      <c r="E686">
        <v>11252</v>
      </c>
      <c r="F686">
        <v>0</v>
      </c>
      <c r="G686">
        <v>1909</v>
      </c>
      <c r="H686">
        <v>418</v>
      </c>
      <c r="I686">
        <v>2657</v>
      </c>
      <c r="J686">
        <v>2388</v>
      </c>
      <c r="K686">
        <v>2513</v>
      </c>
    </row>
    <row r="687" spans="2:11" x14ac:dyDescent="0.25">
      <c r="B687">
        <v>1524</v>
      </c>
      <c r="C687">
        <v>2681</v>
      </c>
      <c r="D687">
        <v>7972</v>
      </c>
      <c r="E687">
        <v>3047</v>
      </c>
      <c r="F687">
        <v>1543</v>
      </c>
      <c r="G687">
        <v>5928</v>
      </c>
      <c r="H687">
        <v>5209</v>
      </c>
      <c r="I687">
        <v>5531</v>
      </c>
      <c r="J687">
        <v>3864</v>
      </c>
      <c r="K687">
        <v>5949</v>
      </c>
    </row>
    <row r="688" spans="2:11" x14ac:dyDescent="0.25">
      <c r="B688">
        <v>9825</v>
      </c>
      <c r="C688">
        <v>0</v>
      </c>
      <c r="D688">
        <v>2816</v>
      </c>
      <c r="E688">
        <v>2224</v>
      </c>
      <c r="F688">
        <v>6175</v>
      </c>
      <c r="G688">
        <v>2187</v>
      </c>
      <c r="H688">
        <v>2117</v>
      </c>
      <c r="I688">
        <v>0</v>
      </c>
      <c r="J688">
        <v>5544</v>
      </c>
      <c r="K688">
        <v>9883</v>
      </c>
    </row>
    <row r="689" spans="2:11" x14ac:dyDescent="0.25">
      <c r="B689">
        <v>1925</v>
      </c>
      <c r="C689">
        <v>4193</v>
      </c>
      <c r="D689">
        <v>6575</v>
      </c>
      <c r="E689">
        <v>0</v>
      </c>
      <c r="F689">
        <v>6488</v>
      </c>
      <c r="G689">
        <v>0</v>
      </c>
      <c r="H689">
        <v>3499</v>
      </c>
      <c r="I689">
        <v>7720</v>
      </c>
      <c r="J689">
        <v>4261</v>
      </c>
      <c r="K689">
        <v>12125</v>
      </c>
    </row>
    <row r="690" spans="2:11" x14ac:dyDescent="0.25">
      <c r="B690">
        <v>2293</v>
      </c>
      <c r="C690">
        <v>18099</v>
      </c>
      <c r="D690">
        <v>18536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</row>
    <row r="691" spans="2:11" x14ac:dyDescent="0.25"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</row>
    <row r="692" spans="2:11" x14ac:dyDescent="0.25"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</row>
    <row r="693" spans="2:11" x14ac:dyDescent="0.25"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</row>
    <row r="694" spans="2:11" x14ac:dyDescent="0.25"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</row>
    <row r="695" spans="2:11" x14ac:dyDescent="0.25"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</row>
    <row r="696" spans="2:11" x14ac:dyDescent="0.25"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</row>
    <row r="697" spans="2:11" x14ac:dyDescent="0.25"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</row>
    <row r="698" spans="2:11" x14ac:dyDescent="0.25"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</row>
    <row r="699" spans="2:11" x14ac:dyDescent="0.25"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</row>
    <row r="700" spans="2:11" x14ac:dyDescent="0.25"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</row>
    <row r="701" spans="2:11" x14ac:dyDescent="0.25"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</row>
    <row r="702" spans="2:11" x14ac:dyDescent="0.25"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</row>
    <row r="703" spans="2:11" x14ac:dyDescent="0.25"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</row>
    <row r="704" spans="2:11" x14ac:dyDescent="0.25"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</row>
    <row r="705" spans="2:11" x14ac:dyDescent="0.25"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</row>
    <row r="706" spans="2:11" x14ac:dyDescent="0.25"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</row>
    <row r="707" spans="2:11" x14ac:dyDescent="0.25"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</row>
    <row r="708" spans="2:11" x14ac:dyDescent="0.25"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</row>
    <row r="709" spans="2:11" x14ac:dyDescent="0.25"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</row>
    <row r="710" spans="2:11" x14ac:dyDescent="0.25">
      <c r="B710">
        <v>0</v>
      </c>
      <c r="C710">
        <v>-509</v>
      </c>
      <c r="D710">
        <v>316</v>
      </c>
      <c r="E710">
        <v>-459</v>
      </c>
      <c r="F710">
        <v>66</v>
      </c>
      <c r="G710">
        <v>-765</v>
      </c>
      <c r="H710">
        <v>232</v>
      </c>
      <c r="I710">
        <v>250</v>
      </c>
      <c r="J710">
        <v>933</v>
      </c>
      <c r="K710">
        <v>-416</v>
      </c>
    </row>
    <row r="711" spans="2:11" x14ac:dyDescent="0.25">
      <c r="B711">
        <v>-158</v>
      </c>
      <c r="C711">
        <v>-293</v>
      </c>
      <c r="D711">
        <v>423</v>
      </c>
      <c r="E711">
        <v>-17</v>
      </c>
      <c r="F711">
        <v>132</v>
      </c>
      <c r="G711">
        <v>104</v>
      </c>
      <c r="H711">
        <v>0</v>
      </c>
      <c r="I711">
        <v>0</v>
      </c>
      <c r="J711">
        <v>0</v>
      </c>
      <c r="K711">
        <v>121</v>
      </c>
    </row>
    <row r="712" spans="2:11" x14ac:dyDescent="0.25">
      <c r="B712">
        <v>-17</v>
      </c>
      <c r="C712">
        <v>70</v>
      </c>
      <c r="D712">
        <v>-170</v>
      </c>
      <c r="E712">
        <v>-356</v>
      </c>
      <c r="F712">
        <v>960</v>
      </c>
      <c r="G712">
        <v>38</v>
      </c>
      <c r="H712">
        <v>-110</v>
      </c>
      <c r="I712">
        <v>0</v>
      </c>
      <c r="J712">
        <v>-212</v>
      </c>
      <c r="K712">
        <v>-21</v>
      </c>
    </row>
    <row r="713" spans="2:11" x14ac:dyDescent="0.25">
      <c r="B713">
        <v>-68</v>
      </c>
      <c r="C713">
        <v>420</v>
      </c>
      <c r="D713">
        <v>265</v>
      </c>
      <c r="E713">
        <v>-491</v>
      </c>
      <c r="F713">
        <v>39</v>
      </c>
      <c r="G713">
        <v>95</v>
      </c>
      <c r="H713">
        <v>-85</v>
      </c>
      <c r="I713">
        <v>2</v>
      </c>
      <c r="J713">
        <v>-140</v>
      </c>
      <c r="K713">
        <v>2</v>
      </c>
    </row>
    <row r="714" spans="2:11" x14ac:dyDescent="0.25">
      <c r="B714">
        <v>-709</v>
      </c>
      <c r="C714">
        <v>1251</v>
      </c>
      <c r="D714">
        <v>71</v>
      </c>
      <c r="E714">
        <v>-32</v>
      </c>
      <c r="F714">
        <v>-1</v>
      </c>
      <c r="G714">
        <v>-164</v>
      </c>
      <c r="H714">
        <v>-11</v>
      </c>
      <c r="I714">
        <v>531</v>
      </c>
      <c r="J714">
        <v>679</v>
      </c>
      <c r="K714">
        <v>664</v>
      </c>
    </row>
    <row r="715" spans="2:11" x14ac:dyDescent="0.25">
      <c r="B715">
        <v>-356</v>
      </c>
      <c r="C715">
        <v>-51</v>
      </c>
      <c r="D715">
        <v>231</v>
      </c>
      <c r="E715">
        <v>-855</v>
      </c>
      <c r="F715">
        <v>1521</v>
      </c>
      <c r="G715">
        <v>2769</v>
      </c>
      <c r="H715">
        <v>688</v>
      </c>
      <c r="I715">
        <v>-4430</v>
      </c>
      <c r="J715">
        <v>0</v>
      </c>
      <c r="K715">
        <v>-744</v>
      </c>
    </row>
    <row r="716" spans="2:11" x14ac:dyDescent="0.25">
      <c r="B716">
        <v>-158</v>
      </c>
      <c r="C716">
        <v>-1044</v>
      </c>
      <c r="D716">
        <v>-935</v>
      </c>
      <c r="E716">
        <v>-989</v>
      </c>
      <c r="F716">
        <v>-602</v>
      </c>
      <c r="G716">
        <v>-1051</v>
      </c>
      <c r="H716">
        <v>-3139</v>
      </c>
      <c r="I716">
        <v>-1208</v>
      </c>
      <c r="J716">
        <v>-609</v>
      </c>
      <c r="K716">
        <v>-2338</v>
      </c>
    </row>
    <row r="717" spans="2:11" x14ac:dyDescent="0.25">
      <c r="B717">
        <v>-2057</v>
      </c>
      <c r="C717">
        <v>-2179</v>
      </c>
      <c r="D717">
        <v>-1536</v>
      </c>
      <c r="E717">
        <v>-2352</v>
      </c>
      <c r="F717">
        <v>-3861</v>
      </c>
      <c r="G717">
        <v>0</v>
      </c>
      <c r="H717">
        <v>-1107</v>
      </c>
      <c r="I717">
        <v>-875</v>
      </c>
      <c r="J717">
        <v>-2421</v>
      </c>
      <c r="K717">
        <v>-863</v>
      </c>
    </row>
    <row r="718" spans="2:11" x14ac:dyDescent="0.25">
      <c r="B718">
        <v>-833</v>
      </c>
      <c r="C718">
        <v>0</v>
      </c>
      <c r="D718">
        <v>-2180</v>
      </c>
      <c r="E718">
        <v>-3890</v>
      </c>
      <c r="F718">
        <v>-752</v>
      </c>
      <c r="G718">
        <v>-1649</v>
      </c>
      <c r="H718">
        <v>-2589</v>
      </c>
      <c r="I718">
        <v>0</v>
      </c>
      <c r="J718">
        <v>-2554</v>
      </c>
      <c r="K718">
        <v>0</v>
      </c>
    </row>
    <row r="719" spans="2:11" x14ac:dyDescent="0.25">
      <c r="B719">
        <v>-1379</v>
      </c>
      <c r="C719">
        <v>-3032</v>
      </c>
      <c r="D719">
        <v>-1675</v>
      </c>
      <c r="E719">
        <v>304</v>
      </c>
      <c r="F719">
        <v>457</v>
      </c>
      <c r="G719">
        <v>20</v>
      </c>
      <c r="H719">
        <v>569</v>
      </c>
      <c r="I719">
        <v>1977</v>
      </c>
      <c r="J719">
        <v>0</v>
      </c>
      <c r="K719">
        <v>0</v>
      </c>
    </row>
    <row r="720" spans="2:11" x14ac:dyDescent="0.25">
      <c r="B720">
        <v>4030</v>
      </c>
      <c r="C720">
        <v>5785</v>
      </c>
      <c r="D720">
        <v>5772</v>
      </c>
      <c r="E720">
        <v>4977</v>
      </c>
      <c r="F720">
        <v>7688</v>
      </c>
      <c r="G720">
        <v>0</v>
      </c>
      <c r="H720">
        <v>-656</v>
      </c>
      <c r="I720">
        <v>2398</v>
      </c>
      <c r="J720">
        <v>4766</v>
      </c>
      <c r="K720">
        <v>-197</v>
      </c>
    </row>
    <row r="721" spans="2:11" x14ac:dyDescent="0.25">
      <c r="B721">
        <v>3495</v>
      </c>
      <c r="C721">
        <v>0</v>
      </c>
      <c r="D721">
        <v>3994</v>
      </c>
      <c r="E721">
        <v>9520</v>
      </c>
      <c r="F721">
        <v>0</v>
      </c>
      <c r="G721">
        <v>1725</v>
      </c>
      <c r="H721">
        <v>4524</v>
      </c>
      <c r="I721">
        <v>0</v>
      </c>
      <c r="J721">
        <v>4558</v>
      </c>
      <c r="K721">
        <v>0</v>
      </c>
    </row>
    <row r="722" spans="2:11" x14ac:dyDescent="0.25">
      <c r="B722">
        <v>0</v>
      </c>
      <c r="C722">
        <v>0</v>
      </c>
      <c r="D722">
        <v>4195</v>
      </c>
      <c r="E722">
        <v>9366</v>
      </c>
      <c r="F722">
        <v>0</v>
      </c>
      <c r="G722">
        <v>20030</v>
      </c>
      <c r="H722">
        <v>12071</v>
      </c>
      <c r="I722">
        <v>19982</v>
      </c>
      <c r="J722">
        <v>32501</v>
      </c>
      <c r="K722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270</v>
      </c>
      <c r="S1" s="203"/>
      <c r="T1" s="203" t="s">
        <v>270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271</v>
      </c>
      <c r="Q2" s="284" t="s">
        <v>272</v>
      </c>
      <c r="T2" s="208"/>
      <c r="U2" s="203" t="s">
        <v>274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275</v>
      </c>
      <c r="V3"/>
      <c r="W3" s="208"/>
    </row>
    <row r="4" spans="3:23" x14ac:dyDescent="0.25">
      <c r="C4" s="217" t="s">
        <v>217</v>
      </c>
      <c r="D4" s="218">
        <f>TLFD!B11</f>
        <v>17794.815215917555</v>
      </c>
      <c r="F4" s="217" t="s">
        <v>217</v>
      </c>
      <c r="G4" s="218">
        <f>TLFD!F11</f>
        <v>18160.999999981839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276</v>
      </c>
      <c r="V4"/>
      <c r="W4" s="208"/>
    </row>
    <row r="5" spans="3:23" x14ac:dyDescent="0.25">
      <c r="C5" s="204" t="s">
        <v>218</v>
      </c>
      <c r="D5" s="220">
        <f>TLFD!B12+TLFD!B13+(TLFD!B14/2)</f>
        <v>23369.379985336611</v>
      </c>
      <c r="F5" s="204" t="s">
        <v>218</v>
      </c>
      <c r="G5" s="220">
        <f>TLFD!F12+TLFD!F13+(TLFD!F14/2)</f>
        <v>29059.333333304272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277</v>
      </c>
      <c r="V5" s="208"/>
      <c r="W5" s="208"/>
    </row>
    <row r="6" spans="3:23" x14ac:dyDescent="0.25">
      <c r="C6" s="204" t="s">
        <v>214</v>
      </c>
      <c r="D6" s="220">
        <f>(TLFD!B14/2)+SUM(TLFD!B15:B20)</f>
        <v>15493.000261271925</v>
      </c>
      <c r="F6" s="204" t="s">
        <v>214</v>
      </c>
      <c r="G6" s="220">
        <f>(TLFD!F14/2)+SUM(TLFD!F15:F20)</f>
        <v>22235.999999977765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278</v>
      </c>
      <c r="V6" s="208"/>
      <c r="W6" s="208"/>
    </row>
    <row r="7" spans="3:23" x14ac:dyDescent="0.25">
      <c r="C7" s="205" t="s">
        <v>215</v>
      </c>
      <c r="D7" s="222">
        <f>SUM(TLFD!B21:B101)</f>
        <v>18390.956841375886</v>
      </c>
      <c r="F7" s="205" t="s">
        <v>215</v>
      </c>
      <c r="G7" s="222">
        <f>SUM(TLFD!F21:F101)</f>
        <v>18301.666666648351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279</v>
      </c>
      <c r="V7" s="208"/>
      <c r="W7" s="208"/>
    </row>
    <row ht="15.75" r="8" spans="3:23" thickBot="1" x14ac:dyDescent="0.3">
      <c r="C8" s="206" t="s">
        <v>4</v>
      </c>
      <c r="D8" s="224">
        <f>SUM(D4:D7)</f>
        <v>75048.152303901981</v>
      </c>
      <c r="E8" s="225"/>
      <c r="F8" s="206" t="s">
        <v>4</v>
      </c>
      <c r="G8" s="224">
        <f>SUM(G4:G7)</f>
        <v>87757.999999912223</v>
      </c>
      <c r="H8" s="254"/>
      <c r="I8" s="254" t="s">
        <v>273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280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275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281</v>
      </c>
      <c r="V11" s="208"/>
      <c r="W11" s="208"/>
    </row>
    <row r="12" spans="3:23" x14ac:dyDescent="0.25">
      <c r="C12" s="217" t="s">
        <v>217</v>
      </c>
      <c r="D12" s="227">
        <f>D4/D$8</f>
        <v>0.23711196971057671</v>
      </c>
      <c r="F12" s="217" t="s">
        <v>217</v>
      </c>
      <c r="G12" s="227">
        <f>G4/G$8</f>
        <v>0.20694409626472804</v>
      </c>
      <c r="H12" s="227"/>
      <c r="I12" s="258">
        <f>D12/G12</f>
        <v>1.1457778887649792</v>
      </c>
      <c r="J12" s="259">
        <f>LN(I12)</f>
        <v>0.13608378516691635</v>
      </c>
      <c r="K12" s="259">
        <f>J8*J12</f>
        <v>0.13608378516691635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282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0.31139181003023264</v>
      </c>
      <c r="F13" s="204" t="s">
        <v>218</v>
      </c>
      <c r="G13" s="228">
        <f ref="G13:G16" si="2" t="shared">G5/G$8</f>
        <v>0.3311303053092976</v>
      </c>
      <c r="H13" s="228"/>
      <c r="I13" s="258">
        <f ref="I13:I15" si="3" t="shared">D13/G13</f>
        <v>0.94039055029823415</v>
      </c>
      <c r="J13" s="259">
        <f ref="J13:J15" si="4" t="shared">LN(I13)</f>
        <v>-6.1460010964929854E-2</v>
      </c>
      <c r="K13" s="259">
        <f>J8*(J13-J12)</f>
        <v>-0.19754379613184619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283</v>
      </c>
      <c r="V13" s="208"/>
      <c r="W13" s="208"/>
    </row>
    <row r="14" spans="3:23" x14ac:dyDescent="0.25">
      <c r="C14" s="204" t="s">
        <v>214</v>
      </c>
      <c r="D14" s="228">
        <f si="1" t="shared"/>
        <v>0.2064407954846664</v>
      </c>
      <c r="F14" s="204" t="s">
        <v>214</v>
      </c>
      <c r="G14" s="228">
        <f si="2" t="shared"/>
        <v>0.25337860935755152</v>
      </c>
      <c r="H14" s="228"/>
      <c r="I14" s="258">
        <f si="3" t="shared"/>
        <v>0.8147522634531098</v>
      </c>
      <c r="J14" s="259">
        <f si="4" t="shared"/>
        <v>-0.20487118317306904</v>
      </c>
      <c r="K14" s="259">
        <f>J8*(J14-J13-J12)</f>
        <v>-0.27949495737505559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284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0.24505542477452419</v>
      </c>
      <c r="F15" s="205" t="s">
        <v>215</v>
      </c>
      <c r="G15" s="228">
        <f si="2" t="shared"/>
        <v>0.20854698906842289</v>
      </c>
      <c r="H15" s="228"/>
      <c r="I15" s="260">
        <f si="3" t="shared"/>
        <v>1.1750609580564269</v>
      </c>
      <c r="J15" s="261">
        <f si="4" t="shared"/>
        <v>0.16132002544740232</v>
      </c>
      <c r="K15" s="261">
        <f>J8*(J15-J14-J13-J12)</f>
        <v>0.29156743441848487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285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278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286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-16.67209755168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-10.61007612675</v>
      </c>
      <c r="Q23" s="285">
        <f si="0" t="shared"/>
        <v>-10.61007612675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-5.1991311948499996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-9.9650777294258006</v>
      </c>
      <c r="Q24" s="285">
        <f si="0" t="shared"/>
        <v>-9.9650777294258006</v>
      </c>
    </row>
    <row r="25" spans="2:23" x14ac:dyDescent="0.25">
      <c r="B25" s="263">
        <v>46</v>
      </c>
      <c r="C25" s="204" t="s">
        <v>214</v>
      </c>
      <c r="D25" s="267">
        <f si="5" t="shared"/>
        <v>-8.9493135929999995E-2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-2.9253534739587002</v>
      </c>
      <c r="Q25" s="285">
        <f si="0" t="shared"/>
        <v>-2.9253534739587002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-4.2477567652300001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-10.78255655399</v>
      </c>
      <c r="Q29" s="285">
        <f si="0" t="shared"/>
        <v>-10.78255655399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-6.9986769031299998</v>
      </c>
      <c r="Q30" s="285">
        <f si="0" t="shared"/>
        <v>-6.9986769031299998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-2.00459272752</v>
      </c>
      <c r="Q31" s="285">
        <f si="0" t="shared"/>
        <v>-2.00459272752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-1.0350332773299999</v>
      </c>
      <c r="Q32" s="285">
        <f si="0" t="shared"/>
        <v>-1.0350332773299999</v>
      </c>
    </row>
    <row r="33" spans="2:18" x14ac:dyDescent="0.25">
      <c r="B33" s="263">
        <f>B23</f>
        <v>44</v>
      </c>
      <c r="C33" s="217" t="s">
        <v>217</v>
      </c>
      <c r="D33" s="269">
        <f>K12</f>
        <v>0.13608378516691635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-0.19754379613184619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-0.27949495737505559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0.29156743441848487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-6.9137933260202002</v>
      </c>
      <c r="Q39" s="285">
        <f si="0" t="shared"/>
        <v>-6.9137933260202002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-8.0472299875276008</v>
      </c>
      <c r="Q40" s="285">
        <f si="0" t="shared"/>
        <v>-8.0472299875276008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-7.9022824261337998</v>
      </c>
      <c r="Q41" s="285">
        <f si="0" t="shared"/>
        <v>-7.9022824261337998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-4.9378181142914004</v>
      </c>
      <c r="Q42" s="285">
        <f si="0" t="shared"/>
        <v>-4.9378181142914004</v>
      </c>
    </row>
    <row r="43" spans="2:18" x14ac:dyDescent="0.25">
      <c r="B43" s="263">
        <f>B33</f>
        <v>44</v>
      </c>
      <c r="C43" s="217" t="s">
        <v>217</v>
      </c>
      <c r="D43" s="271">
        <f>D23+D33</f>
        <v>-16.536013766513083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-5.3966749909818459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-0.36898809330505555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-3.9561893308115152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-16.67209755168</v>
      </c>
      <c r="Q46" s="286">
        <f si="0" t="shared"/>
        <v>-16.536013766513083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-5.1991311948499996</v>
      </c>
      <c r="Q47" s="286">
        <f si="0" t="shared"/>
        <v>-5.3966749909818459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-8.9493135929999995E-2</v>
      </c>
      <c r="Q48" s="286">
        <f si="0" t="shared"/>
        <v>-0.36898809330505555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-4.2477567652300001</v>
      </c>
      <c r="Q49" s="286">
        <f si="0" t="shared"/>
        <v>-3.9561893308115152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-10.358163936068699</v>
      </c>
      <c r="Q52" s="285">
        <f si="0" t="shared"/>
        <v>-10.358163936068699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-4.3785453634167997</v>
      </c>
      <c r="Q53" s="285">
        <f si="0" t="shared"/>
        <v>-4.3785453634167997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-0.82273500843680003</v>
      </c>
      <c r="Q54" s="285">
        <f si="0" t="shared"/>
        <v>-0.82273500843680003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-0.90634227498279996</v>
      </c>
      <c r="Q55" s="285">
        <f si="0" t="shared"/>
        <v>-0.90634227498279996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1</v>
      </c>
      <c r="Q60" s="285">
        <f si="0" t="shared"/>
        <v>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113</v>
      </c>
      <c r="O102" s="212" t="str">
        <f>OtherTourDestination!C110</f>
        <v>Gamma113</v>
      </c>
      <c r="P102" s="213">
        <f>OtherTourDestination!E110</f>
        <v>-2.23577200178</v>
      </c>
      <c r="Q102" s="285">
        <f si="10" t="shared"/>
        <v>-2.23577200178</v>
      </c>
    </row>
    <row r="103" spans="13:17" x14ac:dyDescent="0.25">
      <c r="M103" s="212" t="e">
        <f>VLOOKUP(N103,Coeff_Descr!$A:$D,3,FALSE)</f>
        <v>#N/A</v>
      </c>
      <c r="N103" s="212">
        <f>OtherTourDestination!B111</f>
        <v>120</v>
      </c>
      <c r="O103" s="212" t="str">
        <f>OtherTourDestination!C111</f>
        <v>Gamma120</v>
      </c>
      <c r="P103" s="213">
        <f>OtherTourDestination!E111</f>
        <v>0.37</v>
      </c>
      <c r="Q103" s="285">
        <f si="10" t="shared"/>
        <v>0.37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191</v>
      </c>
      <c r="O104" s="212" t="str">
        <f>OtherTourDestination!C112</f>
        <v>Dist1</v>
      </c>
      <c r="P104" s="213">
        <f>OtherTourDestination!E112</f>
        <v>-0.1381</v>
      </c>
      <c r="Q104" s="285">
        <f si="10" t="shared"/>
        <v>-0.1381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CG101"/>
  <sheetViews>
    <sheetView tabSelected="1" topLeftCell="N1" workbookViewId="0" zoomScale="90" zoomScaleNormal="90">
      <selection activeCell="Z9" sqref="Z9"/>
    </sheetView>
  </sheetViews>
  <sheetFormatPr defaultColWidth="9.140625" defaultRowHeight="15" x14ac:dyDescent="0.25"/>
  <cols>
    <col min="1" max="2" width="9.140625" collapsed="true"/>
    <col min="3" max="3" bestFit="true" customWidth="true" width="19.5703125" collapsed="true"/>
    <col min="4" max="4" bestFit="true" customWidth="true" width="11.85546875" collapsed="true"/>
    <col min="5" max="5" bestFit="true" customWidth="true" width="9.5703125" collapsed="true"/>
    <col min="6" max="6" bestFit="true" customWidth="true" width="11.85546875" collapsed="true"/>
    <col min="7" max="7" bestFit="true" customWidth="true" width="7.42578125" collapsed="true"/>
    <col min="8" max="8" bestFit="true" customWidth="true" width="9.42578125" collapsed="true"/>
    <col min="9" max="9" bestFit="true" customWidth="true" width="14.0" collapsed="true"/>
    <col min="10" max="11" bestFit="true" customWidth="true" width="10.0" collapsed="true"/>
    <col min="12" max="12" bestFit="true" customWidth="true" width="10.140625" collapsed="true"/>
    <col min="13" max="13" bestFit="true" customWidth="true" width="11.5703125" collapsed="true"/>
    <col min="14" max="14" width="9.140625" collapsed="true"/>
    <col min="15" max="15" customWidth="true" width="10.0" collapsed="true"/>
    <col min="16" max="16" customWidth="true" width="12.42578125" collapsed="true"/>
    <col min="17" max="17" bestFit="true" customWidth="true" width="15.7109375" collapsed="true"/>
    <col min="18" max="18" bestFit="true" customWidth="true" width="15.28515625" collapsed="true"/>
    <col min="19" max="19" bestFit="true" customWidth="true" width="7.7109375" collapsed="true"/>
    <col min="20" max="20" bestFit="true" customWidth="true" width="12.85546875" collapsed="true"/>
    <col min="21" max="21" bestFit="true" customWidth="true" width="7.28515625" collapsed="true"/>
    <col min="22" max="22" customWidth="true" width="11.42578125" collapsed="true"/>
    <col min="23" max="23" customWidth="true" width="10.5703125" collapsed="true"/>
    <col min="24" max="24" width="9.140625" collapsed="true"/>
    <col min="25" max="25" customWidth="true" width="9.5703125" collapsed="true"/>
    <col min="26" max="26" width="9.140625" collapsed="true"/>
    <col min="27" max="27" customWidth="true" width="10.140625" collapsed="true"/>
    <col min="28" max="28" customWidth="true" width="15.7109375" collapsed="true"/>
    <col min="29" max="29" customWidth="true" width="10.42578125" collapsed="true"/>
    <col min="30" max="30" customWidth="true" width="10.28515625" collapsed="true"/>
    <col min="31" max="31" customWidth="true" width="9.85546875" collapsed="true"/>
    <col min="32" max="36" bestFit="true" customWidth="true" width="10.5703125" collapsed="true"/>
    <col min="37" max="37" bestFit="true" customWidth="true" width="11.5703125" collapsed="true"/>
    <col min="38" max="38" bestFit="true" customWidth="true" width="10.5703125" collapsed="true"/>
    <col min="39" max="39" bestFit="true" customWidth="true" width="9.5703125" collapsed="true"/>
    <col min="40" max="41" bestFit="true" customWidth="true" width="10.5703125" collapsed="true"/>
    <col min="42" max="42" bestFit="true" customWidth="true" width="9.28515625" collapsed="true"/>
    <col min="43" max="43" bestFit="true" customWidth="true" width="11.5703125" collapsed="true"/>
    <col min="44" max="79" width="9.140625" collapsed="true"/>
    <col min="80" max="80" bestFit="true" customWidth="true" width="9.85546875" collapsed="true"/>
    <col min="81" max="81" bestFit="true" customWidth="true" width="10.85546875" collapsed="true"/>
    <col min="82" max="16384" width="9.140625" collapsed="true"/>
  </cols>
  <sheetData>
    <row ht="15.75" r="1" spans="2:84" thickBot="1" x14ac:dyDescent="0.3"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BR1" t="s">
        <v>303</v>
      </c>
      <c r="BS1" t="s">
        <v>302</v>
      </c>
      <c r="BV1" t="s">
        <v>301</v>
      </c>
      <c r="BW1" t="s">
        <v>300</v>
      </c>
      <c r="BX1" t="s">
        <v>299</v>
      </c>
      <c r="BY1" t="s">
        <v>298</v>
      </c>
      <c r="BZ1" t="s">
        <v>297</v>
      </c>
      <c r="CB1" t="s">
        <v>330</v>
      </c>
      <c r="CC1" t="s">
        <v>331</v>
      </c>
      <c r="CD1" t="s">
        <v>332</v>
      </c>
      <c r="CE1" t="s">
        <v>333</v>
      </c>
      <c r="CF1" t="s">
        <v>334</v>
      </c>
    </row>
    <row r="2" spans="2:84" x14ac:dyDescent="0.25">
      <c r="B2" s="370" t="s">
        <v>296</v>
      </c>
      <c r="C2" s="371"/>
      <c r="D2" s="349"/>
      <c r="E2" s="350"/>
      <c r="F2" s="350"/>
      <c r="G2" s="351"/>
      <c r="H2" s="349"/>
      <c r="I2" s="352"/>
      <c r="J2" s="347"/>
      <c r="K2" s="347"/>
      <c r="L2" s="6"/>
      <c r="M2" s="372"/>
      <c r="N2" s="372"/>
      <c r="O2" s="372"/>
      <c r="P2" s="372"/>
      <c r="Q2" s="372"/>
      <c r="R2" s="372"/>
      <c r="S2" s="347"/>
      <c r="T2" s="347"/>
      <c r="U2" s="347"/>
      <c r="V2" s="353"/>
      <c r="W2" s="354"/>
      <c r="X2" s="354"/>
      <c r="Y2" s="354"/>
      <c r="Z2" s="354"/>
      <c r="AA2" s="354"/>
      <c r="AB2" s="354"/>
      <c r="AC2" s="354"/>
      <c r="AD2" s="354"/>
      <c r="AE2" s="369"/>
      <c r="AF2" s="369"/>
      <c r="AG2" s="6"/>
      <c r="AH2" s="6"/>
      <c r="AI2" s="6"/>
      <c r="BR2">
        <v>190</v>
      </c>
      <c r="BS2">
        <v>10</v>
      </c>
      <c r="BU2">
        <v>1</v>
      </c>
      <c r="BV2">
        <f ref="BV2:BV33" si="0" t="shared">IF(BW2=10,BV1,INT(BX2/($BS$2))-$BS$2+1)</f>
        <v>10</v>
      </c>
      <c r="BW2">
        <f ref="BW2:BW33" si="1" t="shared">IF(MOD(BX2,$BS$2)=0,10,MOD(BX2,$BS$2))</f>
        <v>1</v>
      </c>
      <c r="BX2">
        <f ref="BX2:BX33" si="2" t="shared">$BR$2+BU2</f>
        <v>191</v>
      </c>
      <c r="BY2">
        <f>IFERROR(VLOOKUP(BX2,OtherTourDestination!$B$11:$E$211,4,FALSE),0)</f>
        <v>-0.1381</v>
      </c>
      <c r="BZ2" s="290">
        <f ref="BZ2:BZ33" si="3" t="shared">BY2+SUMIF($BH$50:$BQ$59,BX2,$BH$35:$BQ$44)</f>
        <v>-0.24134468839160209</v>
      </c>
      <c r="CB2" s="246">
        <f>SUMIF($BH$50:$BQ$59,BX2,$C$20:$L$29)</f>
        <v>152569.48153497299</v>
      </c>
      <c r="CC2" s="246">
        <f>SUMIF($BH$50:$BQ$59,BX2,$AF$20:$AO$29)</f>
        <v>169163.34681225207</v>
      </c>
      <c r="CD2" s="336">
        <f>CC2-CB2</f>
        <v>16593.865277279081</v>
      </c>
      <c r="CE2" s="368">
        <f>CD2/CB2</f>
        <v>0.10876267724273105</v>
      </c>
      <c r="CF2">
        <v>5000</v>
      </c>
    </row>
    <row r="3" spans="2:84" x14ac:dyDescent="0.25">
      <c r="B3" s="345" t="s">
        <v>295</v>
      </c>
      <c r="C3" s="346" t="s">
        <v>266</v>
      </c>
      <c r="D3" s="340" t="s">
        <v>319</v>
      </c>
      <c r="E3" s="342" t="s">
        <v>290</v>
      </c>
      <c r="F3" s="343" t="str">
        <f>D3</f>
        <v>2015 OD Data</v>
      </c>
      <c r="G3" s="342" t="s">
        <v>290</v>
      </c>
      <c r="H3" s="341" t="s">
        <v>328</v>
      </c>
      <c r="I3" s="362" t="s">
        <v>329</v>
      </c>
      <c r="J3" s="355"/>
      <c r="K3" s="355"/>
      <c r="L3" s="6"/>
      <c r="M3" s="355"/>
      <c r="N3" s="355"/>
      <c r="O3" s="355"/>
      <c r="P3" s="355"/>
      <c r="Q3" s="344"/>
      <c r="R3" s="344"/>
      <c r="S3" s="355"/>
      <c r="T3" s="6"/>
      <c r="U3" s="344"/>
      <c r="V3" s="344"/>
      <c r="W3" s="6"/>
      <c r="X3" s="6"/>
      <c r="Y3" s="6"/>
      <c r="Z3" s="6"/>
      <c r="AA3" s="6"/>
      <c r="AB3" s="6"/>
      <c r="AC3" s="344"/>
      <c r="AD3" s="344"/>
      <c r="AE3" s="355"/>
      <c r="AF3" s="344"/>
      <c r="AG3" s="6"/>
      <c r="AH3" s="6"/>
      <c r="AI3" s="6"/>
      <c r="BU3">
        <v>2</v>
      </c>
      <c r="BV3">
        <f si="0" t="shared"/>
        <v>10</v>
      </c>
      <c r="BW3">
        <f si="1" t="shared"/>
        <v>2</v>
      </c>
      <c r="BX3">
        <f si="2" t="shared"/>
        <v>192</v>
      </c>
      <c r="BY3">
        <f>IFERROR(VLOOKUP(BX3,OtherTourDestination!$B$11:$E$211,4,FALSE),0)</f>
        <v>6.6299999999999998E-2</v>
      </c>
      <c r="BZ3" s="290">
        <f si="3" t="shared"/>
        <v>1.0761913407599882E-2</v>
      </c>
      <c r="CB3" s="246">
        <f ref="CB3:CB66" si="4" t="shared">SUMIF($BH$50:$BQ$59,BX3,$C$20:$L$29)</f>
        <v>8703.49573106553</v>
      </c>
      <c r="CC3" s="246">
        <f ref="CC3:CC66" si="5" t="shared">SUMIF($BH$50:$BQ$59,BX3,$AF$20:$AO$29)</f>
        <v>9200.5460883071737</v>
      </c>
      <c r="CD3" s="336">
        <f ref="CD3:CD66" si="6" t="shared">CC3-CB3</f>
        <v>497.05035724164372</v>
      </c>
      <c r="CE3" s="368">
        <f ref="CE3:CE66" si="7" t="shared">CD3/CB3</f>
        <v>5.7109277995910736E-2</v>
      </c>
      <c r="CF3">
        <v>10000</v>
      </c>
    </row>
    <row r="4" spans="2:84" x14ac:dyDescent="0.25">
      <c r="B4" s="339">
        <v>1</v>
      </c>
      <c r="C4" s="331"/>
      <c r="D4" s="335">
        <f>$AF$37</f>
        <v>183930.10789502389</v>
      </c>
      <c r="E4" s="334">
        <f>$AF$38</f>
        <v>198921.2812003649</v>
      </c>
      <c r="F4" s="337">
        <f>$AF$39</f>
        <v>0.34795937239403585</v>
      </c>
      <c r="G4" s="338">
        <f>$AF$40</f>
        <v>0.3763197061886196</v>
      </c>
      <c r="H4" s="337">
        <f ref="H4:H13" si="8" t="shared">G4-F4</f>
        <v>2.8360333794583747E-2</v>
      </c>
      <c r="I4" s="363">
        <f ref="I4:I12" si="9" t="shared">(E4-D4)/D4</f>
        <v>8.1504727403830274E-2</v>
      </c>
      <c r="J4" s="310"/>
      <c r="K4" s="310"/>
      <c r="L4" s="6"/>
      <c r="M4" s="330"/>
      <c r="N4" s="330"/>
      <c r="O4" s="295"/>
      <c r="P4" s="295"/>
      <c r="Q4" s="333"/>
      <c r="R4" s="330"/>
      <c r="S4" s="356"/>
      <c r="T4" s="332"/>
      <c r="U4" s="357"/>
      <c r="V4" s="348"/>
      <c r="W4" s="6"/>
      <c r="X4" s="6"/>
      <c r="Y4" s="6"/>
      <c r="Z4" s="6"/>
      <c r="AA4" s="6"/>
      <c r="AB4" s="6"/>
      <c r="AC4" s="358"/>
      <c r="AD4" s="358"/>
      <c r="AE4" s="332"/>
      <c r="AF4" s="357"/>
      <c r="AG4" s="6"/>
      <c r="AH4" s="6"/>
      <c r="AI4" s="6"/>
      <c r="BU4">
        <v>3</v>
      </c>
      <c r="BV4">
        <f si="0" t="shared"/>
        <v>10</v>
      </c>
      <c r="BW4">
        <f si="1" t="shared"/>
        <v>3</v>
      </c>
      <c r="BX4">
        <f si="2" t="shared"/>
        <v>193</v>
      </c>
      <c r="BY4">
        <f>IFERROR(VLOOKUP(BX4,OtherTourDestination!$B$11:$E$211,4,FALSE),0)</f>
        <v>1.5966</v>
      </c>
      <c r="BZ4" s="290">
        <f si="3" t="shared"/>
        <v>1.6473072663774269</v>
      </c>
      <c r="CB4" s="246">
        <f si="4" t="shared"/>
        <v>1856.9497493213401</v>
      </c>
      <c r="CC4" s="246">
        <f si="5" t="shared"/>
        <v>1765.1363781744119</v>
      </c>
      <c r="CD4" s="336">
        <f si="6" t="shared"/>
        <v>-91.813371146928148</v>
      </c>
      <c r="CE4" s="368">
        <f si="7" t="shared"/>
        <v>-4.9443110229818121E-2</v>
      </c>
      <c r="CF4">
        <v>15000</v>
      </c>
    </row>
    <row r="5" spans="2:84" x14ac:dyDescent="0.25">
      <c r="B5" s="306">
        <v>2</v>
      </c>
      <c r="C5" s="331"/>
      <c r="D5" s="335">
        <f>$AG$37</f>
        <v>78100.9855624505</v>
      </c>
      <c r="E5" s="334">
        <f>$AG$38</f>
        <v>81735.491733441042</v>
      </c>
      <c r="F5" s="329">
        <f>$AG$39</f>
        <v>0.14775161190671576</v>
      </c>
      <c r="G5" s="333">
        <f>$AG$40</f>
        <v>0.15462737847203475</v>
      </c>
      <c r="H5" s="329">
        <f si="8" t="shared"/>
        <v>6.8757665653189914E-3</v>
      </c>
      <c r="I5" s="328">
        <f si="9" t="shared"/>
        <v>4.6535983442671756E-2</v>
      </c>
      <c r="J5" s="310"/>
      <c r="K5" s="310"/>
      <c r="L5" s="6"/>
      <c r="M5" s="330"/>
      <c r="N5" s="330"/>
      <c r="O5" s="295"/>
      <c r="P5" s="295"/>
      <c r="Q5" s="333"/>
      <c r="R5" s="330"/>
      <c r="S5" s="356"/>
      <c r="T5" s="332"/>
      <c r="U5" s="357"/>
      <c r="V5" s="348"/>
      <c r="W5" s="6"/>
      <c r="X5" s="6"/>
      <c r="Y5" s="6"/>
      <c r="Z5" s="6"/>
      <c r="AA5" s="6"/>
      <c r="AB5" s="6"/>
      <c r="AC5" s="358"/>
      <c r="AD5" s="358"/>
      <c r="AE5" s="332"/>
      <c r="AF5" s="357"/>
      <c r="AG5" s="6"/>
      <c r="AH5" s="6"/>
      <c r="AI5" s="6"/>
      <c r="AK5" s="336"/>
      <c r="BU5">
        <v>4</v>
      </c>
      <c r="BV5">
        <f si="0" t="shared"/>
        <v>10</v>
      </c>
      <c r="BW5">
        <f si="1" t="shared"/>
        <v>4</v>
      </c>
      <c r="BX5">
        <f si="2" t="shared"/>
        <v>194</v>
      </c>
      <c r="BY5">
        <f>IFERROR(VLOOKUP(BX5,OtherTourDestination!$B$11:$E$211,4,FALSE),0)</f>
        <v>0.21379999999999999</v>
      </c>
      <c r="BZ5" s="290">
        <f si="3" t="shared"/>
        <v>0.23254216295174035</v>
      </c>
      <c r="CB5" s="246">
        <f si="4" t="shared"/>
        <v>9715.7355401545301</v>
      </c>
      <c r="CC5" s="246">
        <f si="5" t="shared"/>
        <v>9535.3374473430613</v>
      </c>
      <c r="CD5" s="336">
        <f si="6" t="shared"/>
        <v>-180.39809281146881</v>
      </c>
      <c r="CE5" s="368">
        <f si="7" t="shared"/>
        <v>-1.8567620749442463E-2</v>
      </c>
      <c r="CF5">
        <v>20000</v>
      </c>
    </row>
    <row r="6" spans="2:84" x14ac:dyDescent="0.25">
      <c r="B6" s="306">
        <v>3</v>
      </c>
      <c r="C6" s="331"/>
      <c r="D6" s="335">
        <f>$AH$37</f>
        <v>89478.354000309628</v>
      </c>
      <c r="E6" s="334">
        <f>$AH$38</f>
        <v>89890.725066519706</v>
      </c>
      <c r="F6" s="329">
        <f>$AH$39</f>
        <v>0.16927534190633417</v>
      </c>
      <c r="G6" s="333">
        <f>$AH$40</f>
        <v>0.17005546637336169</v>
      </c>
      <c r="H6" s="329">
        <f si="8" t="shared"/>
        <v>7.8012446702752092E-4</v>
      </c>
      <c r="I6" s="328">
        <f si="9" t="shared"/>
        <v>4.6086125612978023E-3</v>
      </c>
      <c r="J6" s="310"/>
      <c r="K6" s="310"/>
      <c r="L6" s="6"/>
      <c r="M6" s="330"/>
      <c r="N6" s="330"/>
      <c r="O6" s="295"/>
      <c r="P6" s="295"/>
      <c r="Q6" s="333"/>
      <c r="R6" s="330"/>
      <c r="S6" s="356"/>
      <c r="T6" s="332"/>
      <c r="U6" s="357"/>
      <c r="V6" s="348"/>
      <c r="W6" s="6"/>
      <c r="X6" s="6"/>
      <c r="Y6" s="6"/>
      <c r="Z6" s="6"/>
      <c r="AA6" s="6"/>
      <c r="AB6" s="6"/>
      <c r="AC6" s="358"/>
      <c r="AD6" s="358"/>
      <c r="AE6" s="332"/>
      <c r="AF6" s="357"/>
      <c r="AG6" s="6"/>
      <c r="AH6" s="6"/>
      <c r="AI6" s="6"/>
      <c r="BU6">
        <v>5</v>
      </c>
      <c r="BV6">
        <f si="0" t="shared"/>
        <v>10</v>
      </c>
      <c r="BW6">
        <f si="1" t="shared"/>
        <v>5</v>
      </c>
      <c r="BX6">
        <f si="2" t="shared"/>
        <v>195</v>
      </c>
      <c r="BY6">
        <f>IFERROR(VLOOKUP(BX6,OtherTourDestination!$B$11:$E$211,4,FALSE),0)</f>
        <v>-8.4400000000000003E-2</v>
      </c>
      <c r="BZ6" s="290">
        <f si="3" t="shared"/>
        <v>-8.2004790820972673E-2</v>
      </c>
      <c r="CB6" s="246">
        <f si="4" t="shared"/>
        <v>6117.5843413740604</v>
      </c>
      <c r="CC6" s="246">
        <f si="5" t="shared"/>
        <v>6102.9489815771431</v>
      </c>
      <c r="CD6" s="336">
        <f si="6" t="shared"/>
        <v>-14.635359796917328</v>
      </c>
      <c r="CE6" s="368">
        <f si="7" t="shared"/>
        <v>-2.3923429543809289E-3</v>
      </c>
      <c r="CF6">
        <v>25000</v>
      </c>
    </row>
    <row r="7" spans="2:84" x14ac:dyDescent="0.25">
      <c r="B7" s="306">
        <v>4</v>
      </c>
      <c r="C7" s="331"/>
      <c r="D7" s="335">
        <f>$AI$37</f>
        <v>64094.000786540113</v>
      </c>
      <c r="E7" s="334">
        <f>$AI$38</f>
        <v>60607.936876423089</v>
      </c>
      <c r="F7" s="329">
        <f>$AI$39</f>
        <v>0.12125316808184565</v>
      </c>
      <c r="G7" s="333">
        <f>$AI$40</f>
        <v>0.11465822490385257</v>
      </c>
      <c r="H7" s="329">
        <f si="8" t="shared"/>
        <v>-6.5949431779930845E-3</v>
      </c>
      <c r="I7" s="328">
        <f si="9" t="shared"/>
        <v>-5.4389862816132784E-2</v>
      </c>
      <c r="J7" s="310"/>
      <c r="K7" s="310"/>
      <c r="L7" s="6"/>
      <c r="M7" s="330"/>
      <c r="N7" s="330"/>
      <c r="O7" s="295"/>
      <c r="P7" s="295"/>
      <c r="Q7" s="333"/>
      <c r="R7" s="330"/>
      <c r="S7" s="356"/>
      <c r="T7" s="332"/>
      <c r="U7" s="357"/>
      <c r="V7" s="348"/>
      <c r="W7" s="6"/>
      <c r="X7" s="6"/>
      <c r="Y7" s="6"/>
      <c r="Z7" s="6"/>
      <c r="AA7" s="6"/>
      <c r="AB7" s="6"/>
      <c r="AC7" s="358"/>
      <c r="AD7" s="358"/>
      <c r="AE7" s="332"/>
      <c r="AF7" s="357"/>
      <c r="AG7" s="6"/>
      <c r="AH7" s="6"/>
      <c r="AI7" s="6"/>
      <c r="BU7">
        <v>6</v>
      </c>
      <c r="BV7">
        <f si="0" t="shared"/>
        <v>10</v>
      </c>
      <c r="BW7">
        <f si="1" t="shared"/>
        <v>6</v>
      </c>
      <c r="BX7">
        <f si="2" t="shared"/>
        <v>196</v>
      </c>
      <c r="BY7">
        <f>IFERROR(VLOOKUP(BX7,OtherTourDestination!$B$11:$E$211,4,FALSE),0)</f>
        <v>0.50680000000000003</v>
      </c>
      <c r="BZ7" s="290">
        <f si="3" t="shared"/>
        <v>0.59920329505695868</v>
      </c>
      <c r="CB7" s="246">
        <f si="4" t="shared"/>
        <v>1833.54827379734</v>
      </c>
      <c r="CC7" s="246">
        <f si="5" t="shared"/>
        <v>1671.7144923107999</v>
      </c>
      <c r="CD7" s="336">
        <f si="6" t="shared"/>
        <v>-161.83378148654015</v>
      </c>
      <c r="CE7" s="368">
        <f si="7" t="shared"/>
        <v>-8.8262623787579347E-2</v>
      </c>
      <c r="CF7">
        <v>30000</v>
      </c>
    </row>
    <row r="8" spans="2:84" x14ac:dyDescent="0.25">
      <c r="B8" s="306">
        <v>5</v>
      </c>
      <c r="C8" s="331"/>
      <c r="D8" s="335">
        <f>$AJ$37</f>
        <v>31517.166290048946</v>
      </c>
      <c r="E8" s="334">
        <f>$AJ$38</f>
        <v>28908.87863645691</v>
      </c>
      <c r="F8" s="329">
        <f>$AJ$39</f>
        <v>5.9624242748680466E-2</v>
      </c>
      <c r="G8" s="333">
        <f>$AJ$40</f>
        <v>5.468987857440951E-2</v>
      </c>
      <c r="H8" s="329">
        <f si="8" t="shared"/>
        <v>-4.9343641742709554E-3</v>
      </c>
      <c r="I8" s="328">
        <f si="9" t="shared"/>
        <v>-8.2757682895354803E-2</v>
      </c>
      <c r="J8" s="310"/>
      <c r="K8" s="310"/>
      <c r="L8" s="6"/>
      <c r="M8" s="330"/>
      <c r="N8" s="330"/>
      <c r="O8" s="295"/>
      <c r="P8" s="295"/>
      <c r="Q8" s="333"/>
      <c r="R8" s="330"/>
      <c r="S8" s="356"/>
      <c r="T8" s="332"/>
      <c r="U8" s="357"/>
      <c r="V8" s="348"/>
      <c r="W8" s="6"/>
      <c r="X8" s="6"/>
      <c r="Y8" s="6"/>
      <c r="Z8" s="6"/>
      <c r="AA8" s="6"/>
      <c r="AB8" s="6"/>
      <c r="AC8" s="358"/>
      <c r="AD8" s="358"/>
      <c r="AE8" s="332"/>
      <c r="AF8" s="357"/>
      <c r="AG8" s="6"/>
      <c r="AH8" s="6"/>
      <c r="AI8" s="6"/>
      <c r="BU8">
        <v>7</v>
      </c>
      <c r="BV8">
        <f si="0" t="shared"/>
        <v>10</v>
      </c>
      <c r="BW8">
        <f si="1" t="shared"/>
        <v>7</v>
      </c>
      <c r="BX8">
        <f si="2" t="shared"/>
        <v>197</v>
      </c>
      <c r="BY8">
        <f>IFERROR(VLOOKUP(BX8,OtherTourDestination!$B$11:$E$211,4,FALSE),0)</f>
        <v>8.4599999999999995E-2</v>
      </c>
      <c r="BZ8" s="290">
        <f si="3" t="shared"/>
        <v>0.19836181100909889</v>
      </c>
      <c r="CB8" s="246">
        <f si="4" t="shared"/>
        <v>329.68047218398499</v>
      </c>
      <c r="CC8" s="246">
        <f si="5" t="shared"/>
        <v>294.23009822965781</v>
      </c>
      <c r="CD8" s="336">
        <f si="6" t="shared"/>
        <v>-35.450373954327176</v>
      </c>
      <c r="CE8" s="368">
        <f si="7" t="shared"/>
        <v>-0.10752949278276744</v>
      </c>
      <c r="CF8">
        <v>35000</v>
      </c>
    </row>
    <row r="9" spans="2:84" x14ac:dyDescent="0.25">
      <c r="B9" s="306">
        <v>6</v>
      </c>
      <c r="C9" s="331"/>
      <c r="D9" s="335">
        <f>$AK$37</f>
        <v>32510.511569309609</v>
      </c>
      <c r="E9" s="334">
        <f>$AK$38</f>
        <v>28044.370975922524</v>
      </c>
      <c r="F9" s="329">
        <f>$AK$39</f>
        <v>6.150345547735124E-2</v>
      </c>
      <c r="G9" s="333">
        <f>$AK$40</f>
        <v>5.3054401129025382E-2</v>
      </c>
      <c r="H9" s="329">
        <f si="8" t="shared"/>
        <v>-8.4490543483258587E-3</v>
      </c>
      <c r="I9" s="328">
        <f si="9" t="shared"/>
        <v>-0.13737527888066781</v>
      </c>
      <c r="J9" s="310"/>
      <c r="K9" s="310"/>
      <c r="L9" s="6"/>
      <c r="M9" s="330"/>
      <c r="N9" s="330"/>
      <c r="O9" s="295"/>
      <c r="P9" s="295"/>
      <c r="Q9" s="333"/>
      <c r="R9" s="330"/>
      <c r="S9" s="356"/>
      <c r="T9" s="332"/>
      <c r="U9" s="357"/>
      <c r="V9" s="348"/>
      <c r="W9" s="6"/>
      <c r="X9" s="6"/>
      <c r="Y9" s="6"/>
      <c r="Z9" s="6"/>
      <c r="AA9" s="6"/>
      <c r="AB9" s="6"/>
      <c r="AC9" s="358"/>
      <c r="AD9" s="358"/>
      <c r="AE9" s="332"/>
      <c r="AF9" s="357"/>
      <c r="AG9" s="6"/>
      <c r="AH9" s="6"/>
      <c r="AI9" s="6"/>
      <c r="BU9">
        <v>8</v>
      </c>
      <c r="BV9">
        <f si="0" t="shared"/>
        <v>10</v>
      </c>
      <c r="BW9">
        <f si="1" t="shared"/>
        <v>8</v>
      </c>
      <c r="BX9">
        <f si="2" t="shared"/>
        <v>198</v>
      </c>
      <c r="BY9">
        <f>IFERROR(VLOOKUP(BX9,OtherTourDestination!$B$11:$E$211,4,FALSE),0)</f>
        <v>2.12E-2</v>
      </c>
      <c r="BZ9" s="290">
        <f si="3" t="shared"/>
        <v>0.16058955983216239</v>
      </c>
      <c r="CB9" s="246">
        <f si="4" t="shared"/>
        <v>1265.7725313999099</v>
      </c>
      <c r="CC9" s="246">
        <f si="5" t="shared"/>
        <v>1101.0817137099607</v>
      </c>
      <c r="CD9" s="336">
        <f si="6" t="shared"/>
        <v>-164.6908176899492</v>
      </c>
      <c r="CE9" s="368">
        <f si="7" t="shared"/>
        <v>-0.13011091140349337</v>
      </c>
      <c r="CF9">
        <v>40000</v>
      </c>
    </row>
    <row r="10" spans="2:84" x14ac:dyDescent="0.25">
      <c r="B10" s="306">
        <v>7</v>
      </c>
      <c r="C10" s="331"/>
      <c r="D10" s="335">
        <f>$AL$37</f>
        <v>13633.689905926323</v>
      </c>
      <c r="E10" s="334">
        <f>$AL$38</f>
        <v>11450.974529954163</v>
      </c>
      <c r="F10" s="329">
        <f>$AL$39</f>
        <v>2.5792243789627928E-2</v>
      </c>
      <c r="G10" s="333">
        <f>$AL$40</f>
        <v>2.1662978162428063E-2</v>
      </c>
      <c r="H10" s="329">
        <f si="8" t="shared"/>
        <v>-4.129265627199865E-3</v>
      </c>
      <c r="I10" s="328">
        <f si="9" t="shared"/>
        <v>-0.16009718506384488</v>
      </c>
      <c r="J10" s="310"/>
      <c r="K10" s="310"/>
      <c r="L10" s="6"/>
      <c r="M10" s="330"/>
      <c r="N10" s="330"/>
      <c r="O10" s="295"/>
      <c r="P10" s="295"/>
      <c r="Q10" s="333"/>
      <c r="R10" s="330"/>
      <c r="S10" s="356"/>
      <c r="T10" s="332"/>
      <c r="U10" s="357"/>
      <c r="V10" s="348"/>
      <c r="W10" s="6"/>
      <c r="X10" s="6"/>
      <c r="Y10" s="6"/>
      <c r="Z10" s="6"/>
      <c r="AA10" s="6"/>
      <c r="AB10" s="6"/>
      <c r="AC10" s="358"/>
      <c r="AD10" s="358"/>
      <c r="AE10" s="332"/>
      <c r="AF10" s="357"/>
      <c r="AG10" s="6"/>
      <c r="AH10" s="6"/>
      <c r="AI10" s="6"/>
      <c r="BU10">
        <v>9</v>
      </c>
      <c r="BV10">
        <f si="0" t="shared"/>
        <v>10</v>
      </c>
      <c r="BW10">
        <f si="1" t="shared"/>
        <v>9</v>
      </c>
      <c r="BX10">
        <f si="2" t="shared"/>
        <v>199</v>
      </c>
      <c r="BY10">
        <f>IFERROR(VLOOKUP(BX10,OtherTourDestination!$B$11:$E$211,4,FALSE),0)</f>
        <v>0.71619999999999995</v>
      </c>
      <c r="BZ10" s="290">
        <f si="3" t="shared"/>
        <v>0.82388246283612687</v>
      </c>
      <c r="CB10" s="246">
        <f si="4" t="shared"/>
        <v>269.87492723479301</v>
      </c>
      <c r="CC10" s="246">
        <f si="5" t="shared"/>
        <v>242.32411696798655</v>
      </c>
      <c r="CD10" s="336">
        <f si="6" t="shared"/>
        <v>-27.550810266806451</v>
      </c>
      <c r="CE10" s="368">
        <f si="7" t="shared"/>
        <v>-0.10208732818976199</v>
      </c>
      <c r="CF10">
        <v>45000</v>
      </c>
    </row>
    <row r="11" spans="2:84" x14ac:dyDescent="0.25">
      <c r="B11" s="306">
        <v>8</v>
      </c>
      <c r="C11" s="331"/>
      <c r="D11" s="335">
        <f>$AM$37</f>
        <v>11664.44038512197</v>
      </c>
      <c r="E11" s="334">
        <f>$AM$38</f>
        <v>8810.2743840304647</v>
      </c>
      <c r="F11" s="329">
        <f>$AM$39</f>
        <v>2.2066813324826486E-2</v>
      </c>
      <c r="G11" s="333">
        <f>$AM$40</f>
        <v>1.6667295965683657E-2</v>
      </c>
      <c r="H11" s="329">
        <f si="8" t="shared"/>
        <v>-5.3995173591428296E-3</v>
      </c>
      <c r="I11" s="328">
        <f si="9" t="shared"/>
        <v>-0.24468949275372037</v>
      </c>
      <c r="J11" s="310"/>
      <c r="K11" s="310"/>
      <c r="L11" s="6"/>
      <c r="M11" s="330"/>
      <c r="N11" s="330"/>
      <c r="O11" s="295"/>
      <c r="P11" s="295"/>
      <c r="Q11" s="333"/>
      <c r="R11" s="330"/>
      <c r="S11" s="356"/>
      <c r="T11" s="332"/>
      <c r="U11" s="357"/>
      <c r="V11" s="348"/>
      <c r="W11" s="6"/>
      <c r="X11" s="6"/>
      <c r="Y11" s="6"/>
      <c r="Z11" s="6"/>
      <c r="AA11" s="6"/>
      <c r="AB11" s="6"/>
      <c r="AC11" s="358"/>
      <c r="AD11" s="358"/>
      <c r="AE11" s="332"/>
      <c r="AF11" s="357"/>
      <c r="AG11" s="6"/>
      <c r="AH11" s="6"/>
      <c r="AI11" s="6"/>
      <c r="BU11">
        <v>10</v>
      </c>
      <c r="BV11">
        <f si="0" t="shared"/>
        <v>10</v>
      </c>
      <c r="BW11">
        <f si="1" t="shared"/>
        <v>10</v>
      </c>
      <c r="BX11">
        <f si="2" t="shared"/>
        <v>200</v>
      </c>
      <c r="BY11">
        <f>IFERROR(VLOOKUP(BX11,OtherTourDestination!$B$11:$E$211,4,FALSE),0)</f>
        <v>7.17E-2</v>
      </c>
      <c r="BZ11" s="290">
        <f si="3" t="shared"/>
        <v>0.19664079454222205</v>
      </c>
      <c r="CB11" s="246">
        <f si="4" t="shared"/>
        <v>1452.5323676599201</v>
      </c>
      <c r="CC11" s="246">
        <f si="5" t="shared"/>
        <v>1281.9312104411786</v>
      </c>
      <c r="CD11" s="336">
        <f si="6" t="shared"/>
        <v>-170.60115721874149</v>
      </c>
      <c r="CE11" s="368">
        <f si="7" t="shared"/>
        <v>-0.11745084723556685</v>
      </c>
      <c r="CF11">
        <v>50000</v>
      </c>
    </row>
    <row r="12" spans="2:84" x14ac:dyDescent="0.25">
      <c r="B12" s="306">
        <v>9</v>
      </c>
      <c r="C12" s="331"/>
      <c r="D12" s="335">
        <f>$AN$37</f>
        <v>13401.343661026123</v>
      </c>
      <c r="E12" s="334">
        <f>$AN$38</f>
        <v>11328.047490499122</v>
      </c>
      <c r="F12" s="329">
        <f>$AN$39</f>
        <v>2.5352690665461183E-2</v>
      </c>
      <c r="G12" s="333">
        <f>$AN$40</f>
        <v>2.1430424525676839E-2</v>
      </c>
      <c r="H12" s="329">
        <f si="8" t="shared"/>
        <v>-3.9222661397843445E-3</v>
      </c>
      <c r="I12" s="328">
        <f si="9" t="shared"/>
        <v>-0.15470808173933892</v>
      </c>
      <c r="J12" s="310"/>
      <c r="K12" s="310"/>
      <c r="L12" s="6"/>
      <c r="M12" s="330"/>
      <c r="N12" s="330"/>
      <c r="O12" s="295"/>
      <c r="P12" s="295"/>
      <c r="Q12" s="333"/>
      <c r="R12" s="330"/>
      <c r="S12" s="356"/>
      <c r="T12" s="332"/>
      <c r="U12" s="357"/>
      <c r="V12" s="348"/>
      <c r="W12" s="6"/>
      <c r="X12" s="6"/>
      <c r="Y12" s="6"/>
      <c r="Z12" s="6"/>
      <c r="AA12" s="6"/>
      <c r="AB12" s="6"/>
      <c r="AC12" s="358"/>
      <c r="AD12" s="358"/>
      <c r="AE12" s="332"/>
      <c r="AF12" s="357"/>
      <c r="AG12" s="6"/>
      <c r="AH12" s="6"/>
      <c r="AI12" s="6"/>
      <c r="BU12">
        <v>11</v>
      </c>
      <c r="BV12">
        <f si="0" t="shared"/>
        <v>11</v>
      </c>
      <c r="BW12">
        <f si="1" t="shared"/>
        <v>1</v>
      </c>
      <c r="BX12">
        <f si="2" t="shared"/>
        <v>201</v>
      </c>
      <c r="BY12">
        <f>IFERROR(VLOOKUP(BX12,OtherTourDestination!$B$11:$E$211,4,FALSE),0)</f>
        <v>8.7900000000000006E-2</v>
      </c>
      <c r="BZ12" s="290">
        <f si="3" t="shared"/>
        <v>5.2086445457119421E-2</v>
      </c>
      <c r="CB12" s="246">
        <f si="4" t="shared"/>
        <v>8677.77356730869</v>
      </c>
      <c r="CC12" s="246">
        <f si="5" t="shared"/>
        <v>8994.1876213151991</v>
      </c>
      <c r="CD12" s="336">
        <f si="6" t="shared"/>
        <v>316.4140540065091</v>
      </c>
      <c r="CE12" s="368">
        <f si="7" t="shared"/>
        <v>3.6462584734697247E-2</v>
      </c>
      <c r="CF12">
        <v>55000</v>
      </c>
    </row>
    <row r="13" spans="2:84" x14ac:dyDescent="0.25">
      <c r="B13" s="306">
        <v>10</v>
      </c>
      <c r="C13" s="331"/>
      <c r="D13" s="327">
        <f>$AO$37</f>
        <v>10265.904270437459</v>
      </c>
      <c r="E13" s="326">
        <f>$AO$38</f>
        <v>8898.523432582715</v>
      </c>
      <c r="F13" s="325">
        <f>$AO$39</f>
        <v>1.9421059705121348E-2</v>
      </c>
      <c r="G13" s="16">
        <f>$AO$40</f>
        <v>1.6834245704908175E-2</v>
      </c>
      <c r="H13" s="325">
        <f si="8" t="shared"/>
        <v>-2.586814000213173E-3</v>
      </c>
      <c r="I13" s="364">
        <f>IFERROR((E13-D13)/D13,0)</f>
        <v>-0.13319633632200972</v>
      </c>
      <c r="J13" s="310"/>
      <c r="K13" s="310"/>
      <c r="L13" s="6"/>
      <c r="M13" s="330"/>
      <c r="N13" s="330"/>
      <c r="O13" s="295"/>
      <c r="P13" s="295"/>
      <c r="Q13" s="333"/>
      <c r="R13" s="330"/>
      <c r="S13" s="356"/>
      <c r="T13" s="332"/>
      <c r="U13" s="357"/>
      <c r="V13" s="348"/>
      <c r="W13" s="6"/>
      <c r="X13" s="6"/>
      <c r="Y13" s="6"/>
      <c r="Z13" s="6"/>
      <c r="AA13" s="6"/>
      <c r="AB13" s="6"/>
      <c r="AC13" s="358"/>
      <c r="AD13" s="358"/>
      <c r="AE13" s="332"/>
      <c r="AF13" s="357"/>
      <c r="AG13" s="6"/>
      <c r="AH13" s="6"/>
      <c r="AI13" s="6"/>
      <c r="BU13">
        <v>12</v>
      </c>
      <c r="BV13">
        <f si="0" t="shared"/>
        <v>11</v>
      </c>
      <c r="BW13">
        <f si="1" t="shared"/>
        <v>2</v>
      </c>
      <c r="BX13">
        <f si="2" t="shared"/>
        <v>202</v>
      </c>
      <c r="BY13">
        <f>IFERROR(VLOOKUP(BX13,OtherTourDestination!$B$11:$E$211,4,FALSE),0)</f>
        <v>-0.12520000000000001</v>
      </c>
      <c r="BZ13" s="290">
        <f si="3" t="shared"/>
        <v>-0.18859510305357313</v>
      </c>
      <c r="CB13" s="246">
        <f si="4" t="shared"/>
        <v>60999.161097757598</v>
      </c>
      <c r="CC13" s="246">
        <f si="5" t="shared"/>
        <v>64991.416974888016</v>
      </c>
      <c r="CD13" s="336">
        <f si="6" t="shared"/>
        <v>3992.2558771304175</v>
      </c>
      <c r="CE13" s="368">
        <f si="7" t="shared"/>
        <v>6.5447717727337359E-2</v>
      </c>
      <c r="CF13">
        <v>60000</v>
      </c>
    </row>
    <row ht="15.75" r="14" spans="2:84" thickBot="1" x14ac:dyDescent="0.3">
      <c r="B14" s="324"/>
      <c r="C14" s="323" t="s">
        <v>213</v>
      </c>
      <c r="D14" s="322">
        <f>SUM(D4:D13)</f>
        <v>528596.50432619452</v>
      </c>
      <c r="E14" s="322">
        <f>SUM(E4:E13)</f>
        <v>528596.50432619452</v>
      </c>
      <c r="F14" s="365"/>
      <c r="G14" s="365"/>
      <c r="H14" s="366"/>
      <c r="I14" s="367"/>
      <c r="J14" s="359"/>
      <c r="K14" s="359"/>
      <c r="L14" s="6"/>
      <c r="M14" s="360"/>
      <c r="N14" s="360"/>
      <c r="O14" s="360"/>
      <c r="P14" s="360"/>
      <c r="Q14" s="321"/>
      <c r="R14" s="321"/>
      <c r="S14" s="6"/>
      <c r="T14" s="6"/>
      <c r="U14" s="357"/>
      <c r="V14" s="6"/>
      <c r="W14" s="6"/>
      <c r="X14" s="6"/>
      <c r="Y14" s="6"/>
      <c r="Z14" s="6"/>
      <c r="AA14" s="6"/>
      <c r="AB14" s="6"/>
      <c r="AC14" s="6"/>
      <c r="AD14" s="361"/>
      <c r="AE14" s="6"/>
      <c r="AF14" s="6"/>
      <c r="AG14" s="6"/>
      <c r="AH14" s="6"/>
      <c r="AI14" s="6"/>
      <c r="BU14">
        <v>13</v>
      </c>
      <c r="BV14">
        <f si="0" t="shared"/>
        <v>11</v>
      </c>
      <c r="BW14">
        <f si="1" t="shared"/>
        <v>3</v>
      </c>
      <c r="BX14">
        <f si="2" t="shared"/>
        <v>203</v>
      </c>
      <c r="BY14">
        <f>IFERROR(VLOOKUP(BX14,OtherTourDestination!$B$11:$E$211,4,FALSE),0)</f>
        <v>0.97909999999999997</v>
      </c>
      <c r="BZ14" s="290">
        <f si="3" t="shared"/>
        <v>1.0302609512451462</v>
      </c>
      <c r="CB14" s="246">
        <f si="4" t="shared"/>
        <v>933.60453494550302</v>
      </c>
      <c r="CC14" s="246">
        <f si="5" t="shared"/>
        <v>887.04169431570222</v>
      </c>
      <c r="CD14" s="336">
        <f si="6" t="shared"/>
        <v>-46.562840629800803</v>
      </c>
      <c r="CE14" s="368">
        <f si="7" t="shared"/>
        <v>-4.9874265694862759E-2</v>
      </c>
      <c r="CF14">
        <v>65000</v>
      </c>
    </row>
    <row r="15" spans="2:84" x14ac:dyDescent="0.25"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361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BU15">
        <v>14</v>
      </c>
      <c r="BV15">
        <f si="0" t="shared"/>
        <v>11</v>
      </c>
      <c r="BW15">
        <f si="1" t="shared"/>
        <v>4</v>
      </c>
      <c r="BX15">
        <f si="2" t="shared"/>
        <v>204</v>
      </c>
      <c r="BY15">
        <f>IFERROR(VLOOKUP(BX15,OtherTourDestination!$B$11:$E$211,4,FALSE),0)</f>
        <v>0.61299999999999999</v>
      </c>
      <c r="BZ15" s="290">
        <f si="3" t="shared"/>
        <v>0.59022526264330477</v>
      </c>
      <c r="CB15" s="246">
        <f si="4" t="shared"/>
        <v>782.49863823232795</v>
      </c>
      <c r="CC15" s="246">
        <f si="5" t="shared"/>
        <v>800.52432520674688</v>
      </c>
      <c r="CD15" s="336">
        <f si="6" t="shared"/>
        <v>18.025686974418932</v>
      </c>
      <c r="CE15" s="368">
        <f si="7" t="shared"/>
        <v>2.3036061781703716E-2</v>
      </c>
      <c r="CF15">
        <v>70000</v>
      </c>
    </row>
    <row r="16" spans="2:84" x14ac:dyDescent="0.25">
      <c r="V16" s="320"/>
      <c r="BU16">
        <v>15</v>
      </c>
      <c r="BV16">
        <f si="0" t="shared"/>
        <v>11</v>
      </c>
      <c r="BW16">
        <f si="1" t="shared"/>
        <v>5</v>
      </c>
      <c r="BX16">
        <f si="2" t="shared"/>
        <v>205</v>
      </c>
      <c r="BY16">
        <f>IFERROR(VLOOKUP(BX16,OtherTourDestination!$B$11:$E$211,4,FALSE),0)</f>
        <v>0.69350000000000001</v>
      </c>
      <c r="BZ16" s="290">
        <f si="3" t="shared"/>
        <v>0.64648991513946874</v>
      </c>
      <c r="CB16" s="246">
        <f si="4" t="shared"/>
        <v>1411.76804682749</v>
      </c>
      <c r="CC16" s="246">
        <f si="5" t="shared"/>
        <v>1479.7200842907189</v>
      </c>
      <c r="CD16" s="336">
        <f si="6" t="shared"/>
        <v>67.952037463228862</v>
      </c>
      <c r="CE16" s="368">
        <f si="7" t="shared"/>
        <v>4.8132579297236501E-2</v>
      </c>
      <c r="CF16">
        <v>75000</v>
      </c>
    </row>
    <row ht="15.75" r="17" spans="2:84" thickBot="1" x14ac:dyDescent="0.3">
      <c r="B17" s="4" t="s">
        <v>327</v>
      </c>
      <c r="P17" s="319" t="s">
        <v>324</v>
      </c>
      <c r="AE17" s="319" t="s">
        <v>321</v>
      </c>
      <c r="BU17">
        <v>16</v>
      </c>
      <c r="BV17">
        <f si="0" t="shared"/>
        <v>11</v>
      </c>
      <c r="BW17">
        <f si="1" t="shared"/>
        <v>6</v>
      </c>
      <c r="BX17">
        <f si="2" t="shared"/>
        <v>206</v>
      </c>
      <c r="BY17">
        <f>IFERROR(VLOOKUP(BX17,OtherTourDestination!$B$11:$E$211,4,FALSE),0)</f>
        <v>0.2006</v>
      </c>
      <c r="BZ17" s="290">
        <f si="3" t="shared"/>
        <v>0.25283574737059611</v>
      </c>
      <c r="CB17" s="246">
        <f si="4" t="shared"/>
        <v>2041.61258061529</v>
      </c>
      <c r="CC17" s="246">
        <f si="5" t="shared"/>
        <v>1937.7048950037401</v>
      </c>
      <c r="CD17" s="336">
        <f si="6" t="shared"/>
        <v>-103.90768561154982</v>
      </c>
      <c r="CE17" s="368">
        <f si="7" t="shared"/>
        <v>-5.089490856303143E-2</v>
      </c>
      <c r="CF17">
        <v>80000</v>
      </c>
    </row>
    <row ht="15.75" r="18" spans="2:84" thickBot="1" x14ac:dyDescent="0.3">
      <c r="M18" s="6"/>
      <c r="N18" s="6"/>
      <c r="Q18" s="318">
        <v>1</v>
      </c>
      <c r="R18" s="318">
        <v>1</v>
      </c>
      <c r="S18" s="318">
        <v>1</v>
      </c>
      <c r="T18" s="318">
        <v>1</v>
      </c>
      <c r="U18" s="318">
        <v>1</v>
      </c>
      <c r="V18" s="318">
        <v>1</v>
      </c>
      <c r="W18" s="318">
        <v>1</v>
      </c>
      <c r="X18" s="318">
        <v>1</v>
      </c>
      <c r="Y18" s="318">
        <v>1</v>
      </c>
      <c r="Z18" s="318">
        <v>1</v>
      </c>
      <c r="AA18" s="348">
        <v>1</v>
      </c>
      <c r="BU18">
        <v>17</v>
      </c>
      <c r="BV18">
        <f si="0" t="shared"/>
        <v>11</v>
      </c>
      <c r="BW18">
        <f si="1" t="shared"/>
        <v>7</v>
      </c>
      <c r="BX18">
        <f si="2" t="shared"/>
        <v>207</v>
      </c>
      <c r="BY18">
        <f>IFERROR(VLOOKUP(BX18,OtherTourDestination!$B$11:$E$211,4,FALSE),0)</f>
        <v>-9.6000000000000002E-2</v>
      </c>
      <c r="BZ18" s="290">
        <f si="3" t="shared"/>
        <v>-8.8919000845090773E-2</v>
      </c>
      <c r="CB18" s="246">
        <f si="4" t="shared"/>
        <v>450.015201261568</v>
      </c>
      <c r="CC18" s="246">
        <f si="5" t="shared"/>
        <v>446.83989942415587</v>
      </c>
      <c r="CD18" s="336">
        <f si="6" t="shared"/>
        <v>-3.1753018374121211</v>
      </c>
      <c r="CE18" s="368">
        <f si="7" t="shared"/>
        <v>-7.0559879499859394E-3</v>
      </c>
      <c r="CF18">
        <v>85000</v>
      </c>
    </row>
    <row r="19" spans="2:84" x14ac:dyDescent="0.25">
      <c r="B19" s="2" t="s">
        <v>12</v>
      </c>
      <c r="C19" s="2">
        <v>1</v>
      </c>
      <c r="D19" s="2">
        <v>2</v>
      </c>
      <c r="E19" s="2">
        <v>3</v>
      </c>
      <c r="F19" s="2">
        <v>4</v>
      </c>
      <c r="G19" s="2">
        <v>5</v>
      </c>
      <c r="H19" s="2">
        <v>6</v>
      </c>
      <c r="I19" s="2">
        <v>7</v>
      </c>
      <c r="J19" s="2">
        <v>8</v>
      </c>
      <c r="K19" s="2">
        <v>9</v>
      </c>
      <c r="L19" s="2">
        <v>10</v>
      </c>
      <c r="M19" s="3" t="s">
        <v>13</v>
      </c>
      <c r="N19" s="3" t="s">
        <v>4</v>
      </c>
      <c r="P19" s="2" t="s">
        <v>12</v>
      </c>
      <c r="Q19" s="2">
        <v>1</v>
      </c>
      <c r="R19" s="2">
        <v>2</v>
      </c>
      <c r="S19" s="2">
        <v>3</v>
      </c>
      <c r="T19" s="2">
        <v>4</v>
      </c>
      <c r="U19" s="2">
        <v>5</v>
      </c>
      <c r="V19" s="2">
        <v>6</v>
      </c>
      <c r="W19" s="2">
        <v>7</v>
      </c>
      <c r="X19" s="2">
        <v>8</v>
      </c>
      <c r="Y19" s="2">
        <v>9</v>
      </c>
      <c r="Z19" s="2">
        <v>10</v>
      </c>
      <c r="AA19" s="3" t="s">
        <v>13</v>
      </c>
      <c r="AB19" s="3" t="s">
        <v>4</v>
      </c>
      <c r="AE19" s="2" t="s">
        <v>12</v>
      </c>
      <c r="AF19" s="2">
        <v>1</v>
      </c>
      <c r="AG19" s="2">
        <v>2</v>
      </c>
      <c r="AH19" s="2">
        <v>3</v>
      </c>
      <c r="AI19" s="2">
        <v>4</v>
      </c>
      <c r="AJ19" s="2">
        <v>5</v>
      </c>
      <c r="AK19" s="2">
        <v>6</v>
      </c>
      <c r="AL19" s="2">
        <v>7</v>
      </c>
      <c r="AM19" s="2">
        <v>8</v>
      </c>
      <c r="AN19" s="2">
        <v>9</v>
      </c>
      <c r="AO19" s="2">
        <v>10</v>
      </c>
      <c r="AP19" s="3" t="s">
        <v>13</v>
      </c>
      <c r="AQ19" s="3" t="s">
        <v>4</v>
      </c>
      <c r="AS19" s="2" t="s">
        <v>12</v>
      </c>
      <c r="AT19" s="2">
        <v>1</v>
      </c>
      <c r="AU19" s="2">
        <v>2</v>
      </c>
      <c r="AV19" s="2">
        <v>3</v>
      </c>
      <c r="AW19" s="2">
        <v>4</v>
      </c>
      <c r="AX19" s="2">
        <v>5</v>
      </c>
      <c r="AY19" s="2">
        <v>6</v>
      </c>
      <c r="AZ19" s="2">
        <v>7</v>
      </c>
      <c r="BA19" s="2">
        <v>8</v>
      </c>
      <c r="BB19" s="2">
        <v>9</v>
      </c>
      <c r="BC19" s="2">
        <v>10</v>
      </c>
      <c r="BD19" s="3" t="s">
        <v>13</v>
      </c>
      <c r="BE19" s="3" t="s">
        <v>4</v>
      </c>
      <c r="BG19" s="2" t="s">
        <v>12</v>
      </c>
      <c r="BH19" s="2">
        <v>1</v>
      </c>
      <c r="BI19" s="2">
        <v>2</v>
      </c>
      <c r="BJ19" s="2">
        <v>3</v>
      </c>
      <c r="BK19" s="2">
        <v>4</v>
      </c>
      <c r="BL19" s="2">
        <v>5</v>
      </c>
      <c r="BM19" s="2">
        <v>6</v>
      </c>
      <c r="BN19" s="2">
        <v>7</v>
      </c>
      <c r="BO19" s="2">
        <v>8</v>
      </c>
      <c r="BP19" s="2">
        <v>9</v>
      </c>
      <c r="BQ19" s="2">
        <v>10</v>
      </c>
      <c r="BR19" s="3" t="s">
        <v>13</v>
      </c>
      <c r="BS19" s="3" t="s">
        <v>4</v>
      </c>
      <c r="BU19">
        <v>18</v>
      </c>
      <c r="BV19">
        <f si="0" t="shared"/>
        <v>11</v>
      </c>
      <c r="BW19">
        <f si="1" t="shared"/>
        <v>8</v>
      </c>
      <c r="BX19">
        <f si="2" t="shared"/>
        <v>208</v>
      </c>
      <c r="BY19">
        <f>IFERROR(VLOOKUP(BX19,OtherTourDestination!$B$11:$E$211,4,FALSE),0)</f>
        <v>0.41389999999999999</v>
      </c>
      <c r="BZ19" s="290">
        <f si="3" t="shared"/>
        <v>0.51685437545404289</v>
      </c>
      <c r="CB19" s="246">
        <f si="4" t="shared"/>
        <v>2182.6276743015401</v>
      </c>
      <c r="CC19" s="246">
        <f si="5" t="shared"/>
        <v>1969.0971351679825</v>
      </c>
      <c r="CD19" s="336">
        <f si="6" t="shared"/>
        <v>-213.53053913355757</v>
      </c>
      <c r="CE19" s="368">
        <f si="7" t="shared"/>
        <v>-9.7831866445975121E-2</v>
      </c>
      <c r="CF19">
        <v>90000</v>
      </c>
    </row>
    <row r="20" spans="2:84" x14ac:dyDescent="0.25">
      <c r="B20" s="202">
        <v>1</v>
      </c>
      <c r="C20" s="246">
        <v>152569.48153497299</v>
      </c>
      <c r="D20" s="246">
        <v>8703.49573106553</v>
      </c>
      <c r="E20" s="246">
        <v>1856.9497493213401</v>
      </c>
      <c r="F20" s="246">
        <v>9715.7355401545301</v>
      </c>
      <c r="G20" s="246">
        <v>6117.5843413740604</v>
      </c>
      <c r="H20" s="246">
        <v>1833.54827379734</v>
      </c>
      <c r="I20" s="246">
        <v>329.68047218398499</v>
      </c>
      <c r="J20" s="246">
        <v>1265.7725313999099</v>
      </c>
      <c r="K20" s="246">
        <v>269.87492723479301</v>
      </c>
      <c r="L20" s="246">
        <v>1452.5323676599201</v>
      </c>
      <c r="M20" s="300">
        <v>0</v>
      </c>
      <c r="N20" s="300">
        <f ref="N20:N31" si="10" t="shared">SUM(C20:M20)</f>
        <v>184114.6554691644</v>
      </c>
      <c r="P20" s="202">
        <v>1</v>
      </c>
      <c r="Q20" s="300">
        <f>model_other_auto_dist!C2*Q$18</f>
        <v>181419.54761886701</v>
      </c>
      <c r="R20" s="300">
        <f>model_other_auto_dist!C12*$R$18</f>
        <v>9867.1428571329907</v>
      </c>
      <c r="S20" s="300">
        <f>model_other_auto_dist!C22*S$18</f>
        <v>1893.0238095219199</v>
      </c>
      <c r="T20" s="300">
        <f>model_other_auto_dist!C32*T$18</f>
        <v>10226.1904761802</v>
      </c>
      <c r="U20" s="300">
        <f>model_other_auto_dist!C42*U$18</f>
        <v>6545.1190476125003</v>
      </c>
      <c r="V20" s="300">
        <f>model_other_auto_dist!C52*V$18</f>
        <v>1792.83333333154</v>
      </c>
      <c r="W20" s="300">
        <f>model_other_auto_dist!C62*W$18</f>
        <v>315.54761904730299</v>
      </c>
      <c r="X20" s="300">
        <f>model_other_auto_dist!C72*X$18</f>
        <v>1180.8571428559601</v>
      </c>
      <c r="Y20" s="300">
        <f>model_other_auto_dist!C82*Y$18</f>
        <v>259.88095238069297</v>
      </c>
      <c r="Z20" s="300">
        <f>model_other_auto_dist!C92*Z$18</f>
        <v>1374.8095238081501</v>
      </c>
      <c r="AA20" s="300">
        <v>0</v>
      </c>
      <c r="AB20" s="317">
        <f ref="AB20:AB30" si="11" t="shared">SUM(Q20:AA20)</f>
        <v>214874.95238073831</v>
      </c>
      <c r="AC20" s="316">
        <f ref="AC20:AC29" si="12" t="shared">IFERROR(ABS((AB20-N20)/N20),0)</f>
        <v>0.16707141988881846</v>
      </c>
      <c r="AE20" s="202">
        <v>1</v>
      </c>
      <c r="AF20" s="300">
        <f>IFERROR(Q20*$N$31/$AB$31,0)</f>
        <v>169163.34681225207</v>
      </c>
      <c r="AG20" s="300">
        <f ref="AG20:AO20" si="13" t="shared">IFERROR(R20*$N$31/$AB$31,0)</f>
        <v>9200.5460883071737</v>
      </c>
      <c r="AH20" s="300">
        <f si="13" t="shared"/>
        <v>1765.1363781744119</v>
      </c>
      <c r="AI20" s="300">
        <f si="13" t="shared"/>
        <v>9535.3374473430613</v>
      </c>
      <c r="AJ20" s="300">
        <f si="13" t="shared"/>
        <v>6102.9489815771431</v>
      </c>
      <c r="AK20" s="300">
        <f si="13" t="shared"/>
        <v>1671.7144923107999</v>
      </c>
      <c r="AL20" s="300">
        <f si="13" t="shared"/>
        <v>294.23009822965781</v>
      </c>
      <c r="AM20" s="300">
        <f si="13" t="shared"/>
        <v>1101.0817137099607</v>
      </c>
      <c r="AN20" s="300">
        <f si="13" t="shared"/>
        <v>242.32411696798655</v>
      </c>
      <c r="AO20" s="300">
        <f si="13" t="shared"/>
        <v>1281.9312104411786</v>
      </c>
      <c r="AP20" s="300">
        <f ref="AP20:AP29" si="14" t="shared">IFERROR(AA20*$N20/$AB20,0)</f>
        <v>0</v>
      </c>
      <c r="AQ20" s="300">
        <f ref="AQ20:AQ29" si="15" t="shared">SUM(AF20:AP20)</f>
        <v>200358.59733931345</v>
      </c>
      <c r="AS20" s="202">
        <v>1</v>
      </c>
      <c r="AT20" s="300">
        <f ref="AT20:AT30" si="16" t="shared">ABS(AF20-C20)</f>
        <v>16593.865277279081</v>
      </c>
      <c r="AU20" s="300">
        <f ref="AU20:AU30" si="17" t="shared">ABS(AG20-D20)</f>
        <v>497.05035724164372</v>
      </c>
      <c r="AV20" s="300">
        <f ref="AV20:AV30" si="18" t="shared">ABS(AH20-E20)</f>
        <v>91.813371146928148</v>
      </c>
      <c r="AW20" s="300">
        <f ref="AW20:AW30" si="19" t="shared">ABS(AI20-F20)</f>
        <v>180.39809281146881</v>
      </c>
      <c r="AX20" s="300">
        <f ref="AX20:AX30" si="20" t="shared">ABS(AJ20-G20)</f>
        <v>14.635359796917328</v>
      </c>
      <c r="AY20" s="300">
        <f ref="AY20:AY30" si="21" t="shared">ABS(AK20-H20)</f>
        <v>161.83378148654015</v>
      </c>
      <c r="AZ20" s="300">
        <f ref="AZ20:AZ30" si="22" t="shared">ABS(AL20-I20)</f>
        <v>35.450373954327176</v>
      </c>
      <c r="BA20" s="300">
        <f ref="BA20:BA30" si="23" t="shared">ABS(AM20-J20)</f>
        <v>164.6908176899492</v>
      </c>
      <c r="BB20" s="300">
        <f ref="BB20:BB30" si="24" t="shared">ABS(AN20-K20)</f>
        <v>27.550810266806451</v>
      </c>
      <c r="BC20" s="300">
        <f ref="BC20:BC30" si="25" t="shared">ABS(AO20-L20)</f>
        <v>170.60115721874149</v>
      </c>
      <c r="BD20" s="300">
        <f ref="BD20:BD30" si="26" t="shared">ABS(AP20-M20)</f>
        <v>0</v>
      </c>
      <c r="BE20" s="300">
        <f ref="BE20:BE30" si="27" t="shared">ABS(AQ20-N20)</f>
        <v>16243.94187014905</v>
      </c>
      <c r="BG20" s="202">
        <v>1</v>
      </c>
      <c r="BH20" s="301">
        <f ref="BH20:BQ20" si="28" t="shared">C20/AF20</f>
        <v>0.90190626048740941</v>
      </c>
      <c r="BI20" s="301">
        <f si="28" t="shared"/>
        <v>0.94597599398221188</v>
      </c>
      <c r="BJ20" s="301">
        <f si="28" t="shared"/>
        <v>1.0520148880744762</v>
      </c>
      <c r="BK20" s="301">
        <f si="28" t="shared"/>
        <v>1.0189188997041458</v>
      </c>
      <c r="BL20" s="301">
        <f si="28" t="shared"/>
        <v>1.002398079984135</v>
      </c>
      <c r="BM20" s="301">
        <f si="28" t="shared"/>
        <v>1.0968070697663441</v>
      </c>
      <c r="BN20" s="301">
        <f si="28" t="shared"/>
        <v>1.1204852058563255</v>
      </c>
      <c r="BO20" s="301">
        <f si="28" t="shared"/>
        <v>1.149571839800194</v>
      </c>
      <c r="BP20" s="301">
        <f si="28" t="shared"/>
        <v>1.1136940499836678</v>
      </c>
      <c r="BQ20" s="301">
        <f si="28" t="shared"/>
        <v>1.1330813664798978</v>
      </c>
      <c r="BR20" s="300"/>
      <c r="BS20" s="301">
        <f ref="BS20:BS29" si="29" t="shared">N20/AB20</f>
        <v>0.85684559055971521</v>
      </c>
      <c r="BU20">
        <v>19</v>
      </c>
      <c r="BV20">
        <f si="0" t="shared"/>
        <v>11</v>
      </c>
      <c r="BW20">
        <f si="1" t="shared"/>
        <v>9</v>
      </c>
      <c r="BX20">
        <f si="2" t="shared"/>
        <v>209</v>
      </c>
      <c r="BY20">
        <f>IFERROR(VLOOKUP(BX20,OtherTourDestination!$B$11:$E$211,4,FALSE),0)</f>
        <v>0.37680000000000002</v>
      </c>
      <c r="BZ20" s="290">
        <f si="3" t="shared"/>
        <v>0.444674910228674</v>
      </c>
      <c r="CB20" s="246">
        <f si="4" t="shared"/>
        <v>127.687463508889</v>
      </c>
      <c r="CC20" s="246">
        <f si="5" t="shared"/>
        <v>119.30827343893333</v>
      </c>
      <c r="CD20" s="336">
        <f si="6" t="shared"/>
        <v>-8.3791900699556692</v>
      </c>
      <c r="CE20" s="368">
        <f si="7" t="shared"/>
        <v>-6.5622652684085542E-2</v>
      </c>
      <c r="CF20">
        <v>95000</v>
      </c>
    </row>
    <row r="21" spans="2:84" x14ac:dyDescent="0.25">
      <c r="B21">
        <v>2</v>
      </c>
      <c r="C21" s="246">
        <v>8677.77356730869</v>
      </c>
      <c r="D21" s="246">
        <v>60999.161097757598</v>
      </c>
      <c r="E21" s="246">
        <v>933.60453494550302</v>
      </c>
      <c r="F21" s="246">
        <v>782.49863823232795</v>
      </c>
      <c r="G21" s="246">
        <v>1411.76804682749</v>
      </c>
      <c r="H21" s="246">
        <v>2041.61258061529</v>
      </c>
      <c r="I21" s="246">
        <v>450.015201261568</v>
      </c>
      <c r="J21" s="246">
        <v>2182.6276743015401</v>
      </c>
      <c r="K21" s="246">
        <v>127.687463508889</v>
      </c>
      <c r="L21" s="246">
        <v>191.03314711069001</v>
      </c>
      <c r="M21" s="300">
        <v>0</v>
      </c>
      <c r="N21" s="300">
        <f si="10" t="shared"/>
        <v>77797.781951869591</v>
      </c>
      <c r="P21">
        <v>2</v>
      </c>
      <c r="Q21" s="300">
        <f>model_other_auto_dist!C3*Q$18</f>
        <v>9645.8333333236897</v>
      </c>
      <c r="R21" s="300">
        <f>model_other_auto_dist!C13*$R$18</f>
        <v>69700.166666597099</v>
      </c>
      <c r="S21" s="300">
        <f>model_other_auto_dist!C23*S$18</f>
        <v>951.30952380857298</v>
      </c>
      <c r="T21" s="300">
        <f>model_other_auto_dist!C33*T$18</f>
        <v>858.52380952295096</v>
      </c>
      <c r="U21" s="300">
        <f>model_other_auto_dist!C43*U$18</f>
        <v>1586.9285714269799</v>
      </c>
      <c r="V21" s="300">
        <f>model_other_auto_dist!C53*V$18</f>
        <v>2078.0952380931599</v>
      </c>
      <c r="W21" s="300">
        <f>model_other_auto_dist!C63*W$18</f>
        <v>479.21428571380699</v>
      </c>
      <c r="X21" s="300">
        <f>model_other_auto_dist!C73*X$18</f>
        <v>2111.76190475979</v>
      </c>
      <c r="Y21" s="300">
        <f>model_other_auto_dist!C83*Y$18</f>
        <v>127.95238095225299</v>
      </c>
      <c r="Z21" s="300">
        <f>model_other_auto_dist!C93*Z$18</f>
        <v>199.61904761884799</v>
      </c>
      <c r="AA21" s="300">
        <v>0</v>
      </c>
      <c r="AB21" s="12">
        <f si="11" t="shared"/>
        <v>87739.404761817146</v>
      </c>
      <c r="AC21" s="316">
        <f si="12" t="shared"/>
        <v>0.12778799807040828</v>
      </c>
      <c r="AE21">
        <v>2</v>
      </c>
      <c r="AF21" s="300">
        <f ref="AF21:AF29" si="30" t="shared">IFERROR(Q21*$N$31/$AB$31,0)</f>
        <v>8994.1876213151991</v>
      </c>
      <c r="AG21" s="300">
        <f ref="AG21:AG29" si="31" t="shared">IFERROR(R21*$N$31/$AB$31,0)</f>
        <v>64991.416974888016</v>
      </c>
      <c r="AH21" s="300">
        <f ref="AH21:AH29" si="32" t="shared">IFERROR(S21*$N$31/$AB$31,0)</f>
        <v>887.04169431570222</v>
      </c>
      <c r="AI21" s="300">
        <f ref="AI21:AI29" si="33" t="shared">IFERROR(T21*$N$31/$AB$31,0)</f>
        <v>800.52432520674688</v>
      </c>
      <c r="AJ21" s="300">
        <f ref="AJ21:AJ29" si="34" t="shared">IFERROR(U21*$N$31/$AB$31,0)</f>
        <v>1479.7200842907189</v>
      </c>
      <c r="AK21" s="300">
        <f ref="AK21:AK29" si="35" t="shared">IFERROR(V21*$N$31/$AB$31,0)</f>
        <v>1937.7048950037401</v>
      </c>
      <c r="AL21" s="300">
        <f ref="AL21:AL29" si="36" t="shared">IFERROR(W21*$N$31/$AB$31,0)</f>
        <v>446.83989942415587</v>
      </c>
      <c r="AM21" s="300">
        <f ref="AM21:AM29" si="37" t="shared">IFERROR(X21*$N$31/$AB$31,0)</f>
        <v>1969.0971351679825</v>
      </c>
      <c r="AN21" s="300">
        <f ref="AN21:AN29" si="38" t="shared">IFERROR(Y21*$N$31/$AB$31,0)</f>
        <v>119.30827343893333</v>
      </c>
      <c r="AO21" s="300">
        <f ref="AO21:AO29" si="39" t="shared">IFERROR(Z21*$N$31/$AB$31,0)</f>
        <v>186.13333913509808</v>
      </c>
      <c r="AP21" s="300">
        <f si="14" t="shared"/>
        <v>0</v>
      </c>
      <c r="AQ21" s="300">
        <f si="15" t="shared"/>
        <v>81811.97424218629</v>
      </c>
      <c r="AS21">
        <v>2</v>
      </c>
      <c r="AT21" s="300">
        <f si="16" t="shared"/>
        <v>316.4140540065091</v>
      </c>
      <c r="AU21" s="300">
        <f si="17" t="shared"/>
        <v>3992.2558771304175</v>
      </c>
      <c r="AV21" s="300">
        <f si="18" t="shared"/>
        <v>46.562840629800803</v>
      </c>
      <c r="AW21" s="300">
        <f si="19" t="shared"/>
        <v>18.025686974418932</v>
      </c>
      <c r="AX21" s="300">
        <f si="20" t="shared"/>
        <v>67.952037463228862</v>
      </c>
      <c r="AY21" s="300">
        <f si="21" t="shared"/>
        <v>103.90768561154982</v>
      </c>
      <c r="AZ21" s="300">
        <f si="22" t="shared"/>
        <v>3.1753018374121211</v>
      </c>
      <c r="BA21" s="300">
        <f si="23" t="shared"/>
        <v>213.53053913355757</v>
      </c>
      <c r="BB21" s="300">
        <f si="24" t="shared"/>
        <v>8.3791900699556692</v>
      </c>
      <c r="BC21" s="300">
        <f si="25" t="shared"/>
        <v>4.8998079755919264</v>
      </c>
      <c r="BD21" s="300">
        <f si="26" t="shared"/>
        <v>0</v>
      </c>
      <c r="BE21" s="300">
        <f si="27" t="shared"/>
        <v>4014.1922903166997</v>
      </c>
      <c r="BG21">
        <v>2</v>
      </c>
      <c r="BH21" s="301">
        <f ref="BH21:BH29" si="40" t="shared">C21/AF21</f>
        <v>0.96482016305100815</v>
      </c>
      <c r="BI21" s="301">
        <f ref="BI21:BI29" si="41" t="shared">D21/AG21</f>
        <v>0.93857256753344853</v>
      </c>
      <c r="BJ21" s="301">
        <f ref="BJ21:BJ29" si="42" t="shared">E21/AH21</f>
        <v>1.0524922795942768</v>
      </c>
      <c r="BK21" s="301">
        <f ref="BK21:BK29" si="43" t="shared">F21/AI21</f>
        <v>0.9774826493001777</v>
      </c>
      <c r="BL21" s="301">
        <f ref="BL21:BL29" si="44" t="shared">G21/AJ21</f>
        <v>0.95407777580054909</v>
      </c>
      <c r="BM21" s="301">
        <f ref="BM21:BM29" si="45" t="shared">H21/AK21</f>
        <v>1.0536241023488508</v>
      </c>
      <c r="BN21" s="301">
        <f ref="BN21:BN29" si="46" t="shared">I21/AL21</f>
        <v>1.0071061287085243</v>
      </c>
      <c r="BO21" s="301">
        <f ref="BO21:BO29" si="47" t="shared">J21/AM21</f>
        <v>1.1084408358124707</v>
      </c>
      <c r="BP21" s="301">
        <f ref="BP21:BP29" si="48" t="shared">K21/AN21</f>
        <v>1.0702314251009966</v>
      </c>
      <c r="BQ21" s="301">
        <f ref="BQ21:BQ29" si="49" t="shared">L21/AO21</f>
        <v>1.0263241824294334</v>
      </c>
      <c r="BR21" s="300"/>
      <c r="BS21" s="301">
        <f si="29" t="shared"/>
        <v>0.88669147189981856</v>
      </c>
      <c r="BU21">
        <v>20</v>
      </c>
      <c r="BV21">
        <f si="0" t="shared"/>
        <v>11</v>
      </c>
      <c r="BW21">
        <f si="1" t="shared"/>
        <v>10</v>
      </c>
      <c r="BX21">
        <f si="2" t="shared"/>
        <v>210</v>
      </c>
      <c r="BY21">
        <f>IFERROR(VLOOKUP(BX21,OtherTourDestination!$B$11:$E$211,4,FALSE),0)</f>
        <v>0.27860000000000001</v>
      </c>
      <c r="BZ21" s="290">
        <f si="3" t="shared"/>
        <v>0.30458366412157861</v>
      </c>
      <c r="CB21" s="246">
        <f si="4" t="shared"/>
        <v>191.03314711069001</v>
      </c>
      <c r="CC21" s="246">
        <f si="5" t="shared"/>
        <v>186.13333913509808</v>
      </c>
      <c r="CD21" s="336">
        <f si="6" t="shared"/>
        <v>-4.8998079755919264</v>
      </c>
      <c r="CE21" s="368">
        <f si="7" t="shared"/>
        <v>-2.5648993641678525E-2</v>
      </c>
      <c r="CF21">
        <v>100000</v>
      </c>
    </row>
    <row r="22" spans="2:84" x14ac:dyDescent="0.25">
      <c r="B22">
        <v>3</v>
      </c>
      <c r="C22" s="246">
        <v>1735.9715478427099</v>
      </c>
      <c r="D22" s="246">
        <v>859.01550215396105</v>
      </c>
      <c r="E22" s="246">
        <v>73504.489393566299</v>
      </c>
      <c r="F22" s="246">
        <v>269.21256298887801</v>
      </c>
      <c r="G22" s="246">
        <v>1011.02477059698</v>
      </c>
      <c r="H22" s="246">
        <v>4737.8268265010602</v>
      </c>
      <c r="I22" s="246">
        <v>993.37826076184001</v>
      </c>
      <c r="J22" s="246">
        <v>282.34772330249598</v>
      </c>
      <c r="K22" s="246">
        <v>5242.0179649538604</v>
      </c>
      <c r="L22" s="246">
        <v>793.71577473311595</v>
      </c>
      <c r="M22" s="300">
        <v>0</v>
      </c>
      <c r="N22" s="300">
        <f si="10" t="shared"/>
        <v>89429.000327401198</v>
      </c>
      <c r="P22">
        <v>3</v>
      </c>
      <c r="Q22" s="300">
        <f>model_other_auto_dist!C4*Q$18</f>
        <v>1875.4999999981201</v>
      </c>
      <c r="R22" s="300">
        <f>model_other_auto_dist!C14*$R$18</f>
        <v>946.83333333238704</v>
      </c>
      <c r="S22" s="300">
        <f>model_other_auto_dist!C24*S$18</f>
        <v>81391.738095156994</v>
      </c>
      <c r="T22" s="300">
        <f>model_other_auto_dist!C34*T$18</f>
        <v>270.57142857115798</v>
      </c>
      <c r="U22" s="300">
        <f>model_other_auto_dist!C44*U$18</f>
        <v>1005.88095237995</v>
      </c>
      <c r="V22" s="300">
        <f>model_other_auto_dist!C54*V$18</f>
        <v>4646.8333333286901</v>
      </c>
      <c r="W22" s="300">
        <f>model_other_auto_dist!C64*W$18</f>
        <v>949.19047618952698</v>
      </c>
      <c r="X22" s="300">
        <f>model_other_auto_dist!C74*X$18</f>
        <v>250.69047619022601</v>
      </c>
      <c r="Y22" s="300">
        <f>model_other_auto_dist!C84*Y$18</f>
        <v>4961.8333333283699</v>
      </c>
      <c r="Z22" s="300">
        <f>model_other_auto_dist!C94*Z$18</f>
        <v>812.28571428490204</v>
      </c>
      <c r="AA22" s="300">
        <v>0</v>
      </c>
      <c r="AB22" s="12">
        <f si="11" t="shared"/>
        <v>97111.357142760302</v>
      </c>
      <c r="AC22" s="316">
        <f si="12" t="shared"/>
        <v>8.590453641697722E-2</v>
      </c>
      <c r="AE22">
        <v>3</v>
      </c>
      <c r="AF22" s="300">
        <f si="30" t="shared"/>
        <v>1748.7964285556745</v>
      </c>
      <c r="AG22" s="300">
        <f si="31" t="shared"/>
        <v>882.86790283700498</v>
      </c>
      <c r="AH22" s="300">
        <f si="32" t="shared"/>
        <v>75893.138307060552</v>
      </c>
      <c r="AI22" s="300">
        <f si="33" t="shared"/>
        <v>252.29237427615152</v>
      </c>
      <c r="AJ22" s="300">
        <f si="34" t="shared"/>
        <v>937.9264287262065</v>
      </c>
      <c r="AK22" s="300">
        <f si="35" t="shared"/>
        <v>4332.9061783134202</v>
      </c>
      <c r="AL22" s="300">
        <f si="36" t="shared"/>
        <v>885.06580366887169</v>
      </c>
      <c r="AM22" s="300">
        <f si="37" t="shared"/>
        <v>233.75452382555483</v>
      </c>
      <c r="AN22" s="300">
        <f si="38" t="shared"/>
        <v>4626.6256531174886</v>
      </c>
      <c r="AO22" s="300">
        <f si="39" t="shared"/>
        <v>757.40994727254372</v>
      </c>
      <c r="AP22" s="300">
        <f si="14" t="shared"/>
        <v>0</v>
      </c>
      <c r="AQ22" s="300">
        <f si="15" t="shared"/>
        <v>90550.783547653467</v>
      </c>
      <c r="AS22">
        <v>3</v>
      </c>
      <c r="AT22" s="300">
        <f si="16" t="shared"/>
        <v>12.824880712964614</v>
      </c>
      <c r="AU22" s="300">
        <f si="17" t="shared"/>
        <v>23.852400683043925</v>
      </c>
      <c r="AV22" s="300">
        <f si="18" t="shared"/>
        <v>2388.6489134942531</v>
      </c>
      <c r="AW22" s="300">
        <f si="19" t="shared"/>
        <v>16.920188712726485</v>
      </c>
      <c r="AX22" s="300">
        <f si="20" t="shared"/>
        <v>73.098341870773538</v>
      </c>
      <c r="AY22" s="300">
        <f si="21" t="shared"/>
        <v>404.92064818763993</v>
      </c>
      <c r="AZ22" s="300">
        <f si="22" t="shared"/>
        <v>108.31245709296832</v>
      </c>
      <c r="BA22" s="300">
        <f si="23" t="shared"/>
        <v>48.593199476941152</v>
      </c>
      <c r="BB22" s="300">
        <f si="24" t="shared"/>
        <v>615.39231183637185</v>
      </c>
      <c r="BC22" s="300">
        <f si="25" t="shared"/>
        <v>36.305827460572232</v>
      </c>
      <c r="BD22" s="300">
        <f si="26" t="shared"/>
        <v>0</v>
      </c>
      <c r="BE22" s="300">
        <f si="27" t="shared"/>
        <v>1121.7832202522695</v>
      </c>
      <c r="BG22">
        <v>3</v>
      </c>
      <c r="BH22" s="301">
        <f si="40" t="shared"/>
        <v>0.99266645305105261</v>
      </c>
      <c r="BI22" s="301">
        <f si="41" t="shared"/>
        <v>0.97298304694689131</v>
      </c>
      <c r="BJ22" s="301">
        <f si="42" t="shared"/>
        <v>0.96852615444851053</v>
      </c>
      <c r="BK22" s="301">
        <f si="43" t="shared"/>
        <v>1.0670657952356744</v>
      </c>
      <c r="BL22" s="301">
        <f si="44" t="shared"/>
        <v>1.0779361148507651</v>
      </c>
      <c r="BM22" s="301">
        <f si="45" t="shared"/>
        <v>1.0934524385075088</v>
      </c>
      <c r="BN22" s="301">
        <f si="46" t="shared"/>
        <v>1.1223778578315642</v>
      </c>
      <c r="BO22" s="301">
        <f si="47" t="shared"/>
        <v>1.207881322173705</v>
      </c>
      <c r="BP22" s="301">
        <f si="48" t="shared"/>
        <v>1.1330110447603885</v>
      </c>
      <c r="BQ22" s="301">
        <f si="49" t="shared"/>
        <v>1.0479341835835543</v>
      </c>
      <c r="BR22" s="300"/>
      <c r="BS22" s="301">
        <f si="29" t="shared"/>
        <v>0.92089126296458279</v>
      </c>
      <c r="BU22">
        <v>21</v>
      </c>
      <c r="BV22">
        <f si="0" t="shared"/>
        <v>12</v>
      </c>
      <c r="BW22">
        <f si="1" t="shared"/>
        <v>1</v>
      </c>
      <c r="BX22">
        <f si="2" t="shared"/>
        <v>211</v>
      </c>
      <c r="BY22">
        <f>IFERROR(VLOOKUP(BX22,OtherTourDestination!$B$11:$E$211,4,FALSE),0)</f>
        <v>1.6822999999999999</v>
      </c>
      <c r="BZ22" s="290">
        <f si="3" t="shared"/>
        <v>1.6749394303999832</v>
      </c>
      <c r="CB22" s="246">
        <f si="4" t="shared"/>
        <v>1735.9715478427099</v>
      </c>
      <c r="CC22" s="246">
        <f si="5" t="shared"/>
        <v>1748.7964285556745</v>
      </c>
      <c r="CD22" s="336">
        <f si="6" t="shared"/>
        <v>12.824880712964614</v>
      </c>
      <c r="CE22" s="368">
        <f si="7" t="shared"/>
        <v>7.3877251783890582E-3</v>
      </c>
      <c r="CF22">
        <v>105000</v>
      </c>
    </row>
    <row r="23" spans="2:84" x14ac:dyDescent="0.25">
      <c r="B23">
        <v>4</v>
      </c>
      <c r="C23" s="246">
        <v>9549.3419714233805</v>
      </c>
      <c r="D23" s="246">
        <v>784.21003794710396</v>
      </c>
      <c r="E23" s="246">
        <v>270.60276385475601</v>
      </c>
      <c r="F23" s="246">
        <v>49885.818964235899</v>
      </c>
      <c r="G23" s="246">
        <v>1440.62028102571</v>
      </c>
      <c r="H23" s="246">
        <v>526.63698676752301</v>
      </c>
      <c r="I23" s="246">
        <v>136.104987078308</v>
      </c>
      <c r="J23" s="246">
        <v>406.01133891952298</v>
      </c>
      <c r="K23" s="246">
        <v>62.3332243466729</v>
      </c>
      <c r="L23" s="246">
        <v>844.86156863135795</v>
      </c>
      <c r="M23" s="300">
        <v>0</v>
      </c>
      <c r="N23" s="300">
        <f si="10" t="shared"/>
        <v>63906.54212423024</v>
      </c>
      <c r="P23">
        <v>4</v>
      </c>
      <c r="Q23" s="300">
        <f>model_other_auto_dist!C5*Q$18</f>
        <v>9708.1190476093398</v>
      </c>
      <c r="R23" s="300">
        <f>model_other_auto_dist!C15*$R$18</f>
        <v>811.19047618966499</v>
      </c>
      <c r="S23" s="300">
        <f>model_other_auto_dist!C25*S$18</f>
        <v>258.80952380926499</v>
      </c>
      <c r="T23" s="300">
        <f>model_other_auto_dist!C35*T$18</f>
        <v>50459.833333283001</v>
      </c>
      <c r="U23" s="300">
        <f>model_other_auto_dist!C45*U$18</f>
        <v>1411.2619047604901</v>
      </c>
      <c r="V23" s="300">
        <f>model_other_auto_dist!C55*V$18</f>
        <v>489.23809523760599</v>
      </c>
      <c r="W23" s="300">
        <f>model_other_auto_dist!C65*W$18</f>
        <v>112.976190476078</v>
      </c>
      <c r="X23" s="300">
        <f>model_other_auto_dist!C75*X$18</f>
        <v>398.738095237697</v>
      </c>
      <c r="Y23" s="300">
        <f>model_other_auto_dist!C85*Y$18</f>
        <v>46.309523809477497</v>
      </c>
      <c r="Z23" s="300">
        <f>model_other_auto_dist!C95*Z$18</f>
        <v>796.76190476110798</v>
      </c>
      <c r="AA23" s="300">
        <v>0</v>
      </c>
      <c r="AB23" s="12">
        <f si="11" t="shared"/>
        <v>64493.238095173721</v>
      </c>
      <c r="AC23" s="316">
        <f si="12" t="shared"/>
        <v>9.1805306849959412E-3</v>
      </c>
      <c r="AE23">
        <v>4</v>
      </c>
      <c r="AF23" s="300">
        <f si="30" t="shared"/>
        <v>9052.2654857209</v>
      </c>
      <c r="AG23" s="300">
        <f si="31" t="shared"/>
        <v>756.38870042137307</v>
      </c>
      <c r="AH23" s="300">
        <f si="32" t="shared"/>
        <v>241.32507113531918</v>
      </c>
      <c r="AI23" s="300">
        <f si="33" t="shared"/>
        <v>47050.907128151608</v>
      </c>
      <c r="AJ23" s="300">
        <f si="34" t="shared"/>
        <v>1315.9209697703532</v>
      </c>
      <c r="AK23" s="300">
        <f si="35" t="shared"/>
        <v>456.18652821421699</v>
      </c>
      <c r="AL23" s="300">
        <f si="36" t="shared"/>
        <v>105.3438328001007</v>
      </c>
      <c r="AM23" s="300">
        <f si="37" t="shared"/>
        <v>371.80045688161869</v>
      </c>
      <c r="AN23" s="300">
        <f si="38" t="shared"/>
        <v>43.180980989714421</v>
      </c>
      <c r="AO23" s="300">
        <f si="39" t="shared"/>
        <v>742.93488320812514</v>
      </c>
      <c r="AP23" s="300">
        <f si="14" t="shared"/>
        <v>0</v>
      </c>
      <c r="AQ23" s="300">
        <f si="15" t="shared"/>
        <v>60136.254037293329</v>
      </c>
      <c r="AS23">
        <v>4</v>
      </c>
      <c r="AT23" s="300">
        <f si="16" t="shared"/>
        <v>497.07648570248057</v>
      </c>
      <c r="AU23" s="300">
        <f si="17" t="shared"/>
        <v>27.821337525730883</v>
      </c>
      <c r="AV23" s="300">
        <f si="18" t="shared"/>
        <v>29.277692719436828</v>
      </c>
      <c r="AW23" s="300">
        <f si="19" t="shared"/>
        <v>2834.9118360842913</v>
      </c>
      <c r="AX23" s="300">
        <f si="20" t="shared"/>
        <v>124.69931125535686</v>
      </c>
      <c r="AY23" s="300">
        <f si="21" t="shared"/>
        <v>70.450458553306021</v>
      </c>
      <c r="AZ23" s="300">
        <f si="22" t="shared"/>
        <v>30.7611542782073</v>
      </c>
      <c r="BA23" s="300">
        <f si="23" t="shared"/>
        <v>34.210882037904298</v>
      </c>
      <c r="BB23" s="300">
        <f si="24" t="shared"/>
        <v>19.152243356958479</v>
      </c>
      <c r="BC23" s="300">
        <f si="25" t="shared"/>
        <v>101.92668542323281</v>
      </c>
      <c r="BD23" s="300">
        <f si="26" t="shared"/>
        <v>0</v>
      </c>
      <c r="BE23" s="300">
        <f si="27" t="shared"/>
        <v>3770.288086936911</v>
      </c>
      <c r="BG23">
        <v>4</v>
      </c>
      <c r="BH23" s="301">
        <f si="40" t="shared"/>
        <v>1.0549118324563693</v>
      </c>
      <c r="BI23" s="301">
        <f si="41" t="shared"/>
        <v>1.0367817995036575</v>
      </c>
      <c r="BJ23" s="301">
        <f si="42" t="shared"/>
        <v>1.1213205597814568</v>
      </c>
      <c r="BK23" s="301">
        <f si="43" t="shared"/>
        <v>1.0602520123227996</v>
      </c>
      <c r="BL23" s="301">
        <f si="44" t="shared"/>
        <v>1.0947620063210322</v>
      </c>
      <c r="BM23" s="301">
        <f si="45" t="shared"/>
        <v>1.1544334481535232</v>
      </c>
      <c r="BN23" s="301">
        <f si="46" t="shared"/>
        <v>1.292007167961881</v>
      </c>
      <c r="BO23" s="301">
        <f si="47" t="shared"/>
        <v>1.0920140935942879</v>
      </c>
      <c r="BP23" s="301">
        <f si="48" t="shared"/>
        <v>1.4435342347020899</v>
      </c>
      <c r="BQ23" s="301">
        <f si="49" t="shared"/>
        <v>1.1371946421240786</v>
      </c>
      <c r="BR23" s="300"/>
      <c r="BS23" s="301">
        <f si="29" t="shared"/>
        <v>0.99090298474271543</v>
      </c>
      <c r="BU23">
        <v>22</v>
      </c>
      <c r="BV23">
        <f si="0" t="shared"/>
        <v>12</v>
      </c>
      <c r="BW23">
        <f si="1" t="shared"/>
        <v>2</v>
      </c>
      <c r="BX23">
        <f si="2" t="shared"/>
        <v>212</v>
      </c>
      <c r="BY23">
        <f>IFERROR(VLOOKUP(BX23,OtherTourDestination!$B$11:$E$211,4,FALSE),0)</f>
        <v>0.96660000000000001</v>
      </c>
      <c r="BZ23" s="290">
        <f si="3" t="shared"/>
        <v>0.93921137956481249</v>
      </c>
      <c r="CB23" s="246">
        <f si="4" t="shared"/>
        <v>859.01550215396105</v>
      </c>
      <c r="CC23" s="246">
        <f si="5" t="shared"/>
        <v>882.86790283700498</v>
      </c>
      <c r="CD23" s="336">
        <f si="6" t="shared"/>
        <v>23.852400683043925</v>
      </c>
      <c r="CE23" s="368">
        <f si="7" t="shared"/>
        <v>2.7767136475691758E-2</v>
      </c>
      <c r="CF23">
        <v>110000</v>
      </c>
    </row>
    <row r="24" spans="2:84" x14ac:dyDescent="0.25">
      <c r="B24">
        <v>5</v>
      </c>
      <c r="C24" s="300">
        <v>6229.8856866349897</v>
      </c>
      <c r="D24" s="300">
        <v>1520.32626777063</v>
      </c>
      <c r="E24" s="300">
        <v>1026.87430317597</v>
      </c>
      <c r="F24" s="300">
        <v>1482.85600376761</v>
      </c>
      <c r="G24" s="300">
        <v>18669.323433482201</v>
      </c>
      <c r="H24" s="300">
        <v>1688.02167937381</v>
      </c>
      <c r="I24" s="300">
        <v>148.881603963733</v>
      </c>
      <c r="J24" s="300">
        <v>157.35707000563301</v>
      </c>
      <c r="K24" s="300">
        <v>80.070214942591306</v>
      </c>
      <c r="L24" s="300">
        <v>870.45923688240202</v>
      </c>
      <c r="M24" s="300">
        <v>0</v>
      </c>
      <c r="N24" s="300">
        <f si="10" t="shared"/>
        <v>31874.055499999573</v>
      </c>
      <c r="P24">
        <v>5</v>
      </c>
      <c r="Q24" s="300">
        <f>model_other_auto_dist!C6*Q$18</f>
        <v>6045.4523809463399</v>
      </c>
      <c r="R24" s="300">
        <f>model_other_auto_dist!C16*$R$18</f>
        <v>1531.61904761752</v>
      </c>
      <c r="S24" s="300">
        <f>model_other_auto_dist!C26*S$18</f>
        <v>990.69047618948605</v>
      </c>
      <c r="T24" s="300">
        <f>model_other_auto_dist!C36*T$18</f>
        <v>1415.7142857128699</v>
      </c>
      <c r="U24" s="300">
        <f>model_other_auto_dist!C46*U$18</f>
        <v>17866.6904761726</v>
      </c>
      <c r="V24" s="300">
        <f>model_other_auto_dist!C56*V$18</f>
        <v>1526.4761904746599</v>
      </c>
      <c r="W24" s="300">
        <f>model_other_auto_dist!C66*W$18</f>
        <v>134.57142857129401</v>
      </c>
      <c r="X24" s="300">
        <f>model_other_auto_dist!C76*X$18</f>
        <v>134.57142857129401</v>
      </c>
      <c r="Y24" s="300">
        <f>model_other_auto_dist!C86*Y$18</f>
        <v>61.214285714224502</v>
      </c>
      <c r="Z24" s="300">
        <f>model_other_auto_dist!C96*Z$18</f>
        <v>784.83333333254905</v>
      </c>
      <c r="AA24" s="300">
        <v>0</v>
      </c>
      <c r="AB24" s="12">
        <f si="11" t="shared"/>
        <v>30491.833333302835</v>
      </c>
      <c r="AC24" s="316">
        <f si="12" t="shared"/>
        <v>4.3365117648639234E-2</v>
      </c>
      <c r="AE24">
        <v>5</v>
      </c>
      <c r="AF24" s="300">
        <f si="30" t="shared"/>
        <v>5637.0384072583074</v>
      </c>
      <c r="AG24" s="300">
        <f si="31" t="shared"/>
        <v>1428.1471183066101</v>
      </c>
      <c r="AH24" s="300">
        <f si="32" t="shared"/>
        <v>923.7621789208373</v>
      </c>
      <c r="AI24" s="300">
        <f si="33" t="shared"/>
        <v>1320.0725602305499</v>
      </c>
      <c r="AJ24" s="300">
        <f si="34" t="shared"/>
        <v>16659.666486201892</v>
      </c>
      <c r="AK24" s="300">
        <f si="35" t="shared"/>
        <v>1423.3516983098016</v>
      </c>
      <c r="AL24" s="300">
        <f si="36" t="shared"/>
        <v>125.48015658296451</v>
      </c>
      <c r="AM24" s="300">
        <f si="37" t="shared"/>
        <v>125.48015658296451</v>
      </c>
      <c r="AN24" s="300">
        <f si="38" t="shared"/>
        <v>57.078818573036401</v>
      </c>
      <c r="AO24" s="300">
        <f si="39" t="shared"/>
        <v>731.81217293776751</v>
      </c>
      <c r="AP24" s="300">
        <f si="14" t="shared"/>
        <v>0</v>
      </c>
      <c r="AQ24" s="300">
        <f si="15" t="shared"/>
        <v>28431.889753904736</v>
      </c>
      <c r="AS24">
        <v>5</v>
      </c>
      <c r="AT24" s="300">
        <f si="16" t="shared"/>
        <v>592.84727937668231</v>
      </c>
      <c r="AU24" s="300">
        <f si="17" t="shared"/>
        <v>92.179149464019929</v>
      </c>
      <c r="AV24" s="300">
        <f si="18" t="shared"/>
        <v>103.1121242551327</v>
      </c>
      <c r="AW24" s="300">
        <f si="19" t="shared"/>
        <v>162.78344353706007</v>
      </c>
      <c r="AX24" s="300">
        <f si="20" t="shared"/>
        <v>2009.6569472803094</v>
      </c>
      <c r="AY24" s="300">
        <f si="21" t="shared"/>
        <v>264.66998106400843</v>
      </c>
      <c r="AZ24" s="300">
        <f si="22" t="shared"/>
        <v>23.401447380768488</v>
      </c>
      <c r="BA24" s="300">
        <f si="23" t="shared"/>
        <v>31.876913422668494</v>
      </c>
      <c r="BB24" s="300">
        <f si="24" t="shared"/>
        <v>22.991396369554906</v>
      </c>
      <c r="BC24" s="300">
        <f si="25" t="shared"/>
        <v>138.64706394463451</v>
      </c>
      <c r="BD24" s="300">
        <f si="26" t="shared"/>
        <v>0</v>
      </c>
      <c r="BE24" s="300">
        <f si="27" t="shared"/>
        <v>3442.1657460948372</v>
      </c>
      <c r="BG24">
        <v>5</v>
      </c>
      <c r="BH24" s="301">
        <f si="40" t="shared"/>
        <v>1.1051699911452308</v>
      </c>
      <c r="BI24" s="301">
        <f si="41" t="shared"/>
        <v>1.0645445754729521</v>
      </c>
      <c r="BJ24" s="301">
        <f si="42" t="shared"/>
        <v>1.1116219375592871</v>
      </c>
      <c r="BK24" s="301">
        <f si="43" t="shared"/>
        <v>1.123314012002969</v>
      </c>
      <c r="BL24" s="301">
        <f si="44" t="shared"/>
        <v>1.120630082777754</v>
      </c>
      <c r="BM24" s="301">
        <f si="45" t="shared"/>
        <v>1.1859484071142066</v>
      </c>
      <c r="BN24" s="301">
        <f si="46" t="shared"/>
        <v>1.186495203847598</v>
      </c>
      <c r="BO24" s="301">
        <f si="47" t="shared"/>
        <v>1.2540394775614758</v>
      </c>
      <c r="BP24" s="301">
        <f si="48" t="shared"/>
        <v>1.4028008452931762</v>
      </c>
      <c r="BQ24" s="301">
        <f si="49" t="shared"/>
        <v>1.1894571709405344</v>
      </c>
      <c r="BR24" s="300"/>
      <c r="BS24" s="301">
        <f si="29" t="shared"/>
        <v>1.0453308973451292</v>
      </c>
      <c r="BU24">
        <v>23</v>
      </c>
      <c r="BV24">
        <f si="0" t="shared"/>
        <v>12</v>
      </c>
      <c r="BW24">
        <f si="1" t="shared"/>
        <v>3</v>
      </c>
      <c r="BX24">
        <f si="2" t="shared"/>
        <v>213</v>
      </c>
      <c r="BY24">
        <f>IFERROR(VLOOKUP(BX24,OtherTourDestination!$B$11:$E$211,4,FALSE),0)</f>
        <v>-8.5300000000000001E-2</v>
      </c>
      <c r="BZ24" s="290">
        <f si="3" t="shared"/>
        <v>-0.1172797913902594</v>
      </c>
      <c r="CB24" s="246">
        <f si="4" t="shared"/>
        <v>73504.489393566299</v>
      </c>
      <c r="CC24" s="246">
        <f si="5" t="shared"/>
        <v>75893.138307060552</v>
      </c>
      <c r="CD24" s="336">
        <f si="6" t="shared"/>
        <v>2388.6489134942531</v>
      </c>
      <c r="CE24" s="368">
        <f si="7" t="shared"/>
        <v>3.2496639772635803E-2</v>
      </c>
      <c r="CF24">
        <v>115000</v>
      </c>
    </row>
    <row r="25" spans="2:84" x14ac:dyDescent="0.25">
      <c r="B25">
        <v>6</v>
      </c>
      <c r="C25" s="300">
        <v>1800.4108128369701</v>
      </c>
      <c r="D25" s="300">
        <v>2094.4503335650702</v>
      </c>
      <c r="E25" s="300">
        <v>4681.0725938529204</v>
      </c>
      <c r="F25" s="300">
        <v>521.20277354264397</v>
      </c>
      <c r="G25" s="300">
        <v>1646.2060497226501</v>
      </c>
      <c r="H25" s="300">
        <v>18680.392191572799</v>
      </c>
      <c r="I25" s="300">
        <v>671.57180396227102</v>
      </c>
      <c r="J25" s="300">
        <v>570.56872423990797</v>
      </c>
      <c r="K25" s="300">
        <v>559.24365015967703</v>
      </c>
      <c r="L25" s="300">
        <v>1117.07461657095</v>
      </c>
      <c r="M25" s="300">
        <v>0</v>
      </c>
      <c r="N25" s="300">
        <f si="10" t="shared"/>
        <v>32342.193550025859</v>
      </c>
      <c r="P25">
        <v>6</v>
      </c>
      <c r="Q25" s="300">
        <f>model_other_auto_dist!C7*Q$18</f>
        <v>1723.6666666649401</v>
      </c>
      <c r="R25" s="300">
        <f>model_other_auto_dist!C17*$R$18</f>
        <v>1975.30952380755</v>
      </c>
      <c r="S25" s="300">
        <f>model_other_auto_dist!C27*S$18</f>
        <v>4436.6428571384204</v>
      </c>
      <c r="T25" s="300">
        <f>model_other_auto_dist!C37*T$18</f>
        <v>484.57142857094402</v>
      </c>
      <c r="U25" s="300">
        <f>model_other_auto_dist!C47*U$18</f>
        <v>1519.61904761753</v>
      </c>
      <c r="V25" s="300">
        <f>model_other_auto_dist!C57*V$18</f>
        <v>16971.333333316401</v>
      </c>
      <c r="W25" s="300">
        <f>model_other_auto_dist!C67*W$18</f>
        <v>612.64285714224502</v>
      </c>
      <c r="X25" s="300">
        <f>model_other_auto_dist!C77*X$18</f>
        <v>466.23809523762901</v>
      </c>
      <c r="Y25" s="300">
        <f>model_other_auto_dist!C87*Y$18</f>
        <v>507.73809523758803</v>
      </c>
      <c r="Z25" s="300">
        <f>model_other_auto_dist!C97*Z$18</f>
        <v>1014.99999999899</v>
      </c>
      <c r="AA25" s="300">
        <v>0</v>
      </c>
      <c r="AB25" s="12">
        <f si="11" t="shared"/>
        <v>29712.761904732241</v>
      </c>
      <c r="AC25" s="316">
        <f si="12" t="shared"/>
        <v>8.1300349687985704E-2</v>
      </c>
      <c r="AE25">
        <v>6</v>
      </c>
      <c r="AF25" s="300">
        <f si="30" t="shared"/>
        <v>1607.2205335575222</v>
      </c>
      <c r="AG25" s="300">
        <f si="31" t="shared"/>
        <v>1841.8630981232291</v>
      </c>
      <c r="AH25" s="300">
        <f si="32" t="shared"/>
        <v>4136.9155869626711</v>
      </c>
      <c r="AI25" s="300">
        <f si="33" t="shared"/>
        <v>451.83512858748998</v>
      </c>
      <c r="AJ25" s="300">
        <f si="34" t="shared"/>
        <v>1416.9578049807387</v>
      </c>
      <c r="AK25" s="300">
        <f si="35" t="shared"/>
        <v>15824.797185369951</v>
      </c>
      <c r="AL25" s="300">
        <f si="36" t="shared"/>
        <v>571.25440711894225</v>
      </c>
      <c r="AM25" s="300">
        <f si="37" t="shared"/>
        <v>434.74034433963391</v>
      </c>
      <c r="AN25" s="300">
        <f si="38" t="shared"/>
        <v>473.43671959159951</v>
      </c>
      <c r="AO25" s="300">
        <f si="39" t="shared"/>
        <v>946.42941881312856</v>
      </c>
      <c r="AP25" s="300">
        <f si="14" t="shared"/>
        <v>0</v>
      </c>
      <c r="AQ25" s="300">
        <f si="15" t="shared"/>
        <v>27705.450227444901</v>
      </c>
      <c r="AS25">
        <v>6</v>
      </c>
      <c r="AT25" s="300">
        <f si="16" t="shared"/>
        <v>193.19027927944785</v>
      </c>
      <c r="AU25" s="300">
        <f si="17" t="shared"/>
        <v>252.58723544184113</v>
      </c>
      <c r="AV25" s="300">
        <f si="18" t="shared"/>
        <v>544.15700689024925</v>
      </c>
      <c r="AW25" s="300">
        <f si="19" t="shared"/>
        <v>69.367644955153992</v>
      </c>
      <c r="AX25" s="300">
        <f si="20" t="shared"/>
        <v>229.24824474191132</v>
      </c>
      <c r="AY25" s="300">
        <f si="21" t="shared"/>
        <v>2855.5950062028478</v>
      </c>
      <c r="AZ25" s="300">
        <f si="22" t="shared"/>
        <v>100.31739684332877</v>
      </c>
      <c r="BA25" s="300">
        <f si="23" t="shared"/>
        <v>135.82837990027406</v>
      </c>
      <c r="BB25" s="300">
        <f si="24" t="shared"/>
        <v>85.806930568077519</v>
      </c>
      <c r="BC25" s="300">
        <f si="25" t="shared"/>
        <v>170.64519775782139</v>
      </c>
      <c r="BD25" s="300">
        <f si="26" t="shared"/>
        <v>0</v>
      </c>
      <c r="BE25" s="300">
        <f si="27" t="shared"/>
        <v>4636.7433225809582</v>
      </c>
      <c r="BG25">
        <v>6</v>
      </c>
      <c r="BH25" s="301">
        <f si="40" t="shared"/>
        <v>1.1202014753083251</v>
      </c>
      <c r="BI25" s="301">
        <f si="41" t="shared"/>
        <v>1.1371368130993098</v>
      </c>
      <c r="BJ25" s="301">
        <f si="42" t="shared"/>
        <v>1.1315368891270441</v>
      </c>
      <c r="BK25" s="301">
        <f si="43" t="shared"/>
        <v>1.153524240516687</v>
      </c>
      <c r="BL25" s="301">
        <f si="44" t="shared"/>
        <v>1.16178904123756</v>
      </c>
      <c r="BM25" s="301">
        <f si="45" t="shared"/>
        <v>1.1804506542960846</v>
      </c>
      <c r="BN25" s="301">
        <f si="46" t="shared"/>
        <v>1.175608967901479</v>
      </c>
      <c r="BO25" s="301">
        <f si="47" t="shared"/>
        <v>1.3124356450206984</v>
      </c>
      <c r="BP25" s="301">
        <f si="48" t="shared"/>
        <v>1.1812426603540536</v>
      </c>
      <c r="BQ25" s="301">
        <f si="49" t="shared"/>
        <v>1.1803041984597429</v>
      </c>
      <c r="BR25" s="300"/>
      <c r="BS25" s="301">
        <f si="29" t="shared"/>
        <v>1.0884950262693296</v>
      </c>
      <c r="BU25">
        <v>24</v>
      </c>
      <c r="BV25">
        <f si="0" t="shared"/>
        <v>12</v>
      </c>
      <c r="BW25">
        <f si="1" t="shared"/>
        <v>4</v>
      </c>
      <c r="BX25">
        <f si="2" t="shared"/>
        <v>214</v>
      </c>
      <c r="BY25">
        <f>IFERROR(VLOOKUP(BX25,OtherTourDestination!$B$11:$E$211,4,FALSE),0)</f>
        <v>0.7339</v>
      </c>
      <c r="BZ25" s="290">
        <f si="3" t="shared"/>
        <v>0.79881263418200321</v>
      </c>
      <c r="CB25" s="246">
        <f si="4" t="shared"/>
        <v>269.21256298887801</v>
      </c>
      <c r="CC25" s="246">
        <f si="5" t="shared"/>
        <v>252.29237427615152</v>
      </c>
      <c r="CD25" s="336">
        <f si="6" t="shared"/>
        <v>-16.920188712726485</v>
      </c>
      <c r="CE25" s="368">
        <f si="7" t="shared"/>
        <v>-6.285066538081846E-2</v>
      </c>
      <c r="CF25">
        <v>120000</v>
      </c>
    </row>
    <row r="26" spans="2:84" x14ac:dyDescent="0.25">
      <c r="B26">
        <v>7</v>
      </c>
      <c r="C26" s="300">
        <v>349.75061950297197</v>
      </c>
      <c r="D26" s="300">
        <v>518.17331426807505</v>
      </c>
      <c r="E26" s="300">
        <v>989.66475610707596</v>
      </c>
      <c r="F26" s="300">
        <v>129.192930009995</v>
      </c>
      <c r="G26" s="300">
        <v>158.38023117937499</v>
      </c>
      <c r="H26" s="300">
        <v>728.82634139336096</v>
      </c>
      <c r="I26" s="300">
        <v>8963.6408266327999</v>
      </c>
      <c r="J26" s="300">
        <v>1462.9088506027799</v>
      </c>
      <c r="K26" s="300">
        <v>416.94112654493898</v>
      </c>
      <c r="L26" s="300">
        <v>29.920811801705799</v>
      </c>
      <c r="M26" s="300">
        <v>0</v>
      </c>
      <c r="N26" s="300">
        <f si="10" t="shared"/>
        <v>13747.399808043079</v>
      </c>
      <c r="P26">
        <v>7</v>
      </c>
      <c r="Q26" s="300">
        <f>model_other_auto_dist!C8*Q$18</f>
        <v>309.642857142548</v>
      </c>
      <c r="R26" s="300">
        <f>model_other_auto_dist!C18*$R$18</f>
        <v>458.80952380906501</v>
      </c>
      <c r="S26" s="300">
        <f>model_other_auto_dist!C28*S$18</f>
        <v>901.69047618957404</v>
      </c>
      <c r="T26" s="300">
        <f>model_other_auto_dist!C38*T$18</f>
        <v>114.166666666553</v>
      </c>
      <c r="U26" s="300">
        <f>model_other_auto_dist!C48*U$18</f>
        <v>132.99999999986699</v>
      </c>
      <c r="V26" s="300">
        <f>model_other_auto_dist!C58*V$18</f>
        <v>615.30952380890903</v>
      </c>
      <c r="W26" s="300">
        <f>model_other_auto_dist!C68*W$18</f>
        <v>8076.47619046811</v>
      </c>
      <c r="X26" s="300">
        <f>model_other_auto_dist!C78*X$18</f>
        <v>1190.1904761892899</v>
      </c>
      <c r="Y26" s="300">
        <f>model_other_auto_dist!C88*Y$18</f>
        <v>384.857142856758</v>
      </c>
      <c r="Z26" s="300">
        <f>model_other_auto_dist!C98*Z$18</f>
        <v>23.476190476167002</v>
      </c>
      <c r="AA26" s="300">
        <v>0</v>
      </c>
      <c r="AB26" s="12">
        <f si="11" t="shared"/>
        <v>12207.61904760684</v>
      </c>
      <c r="AC26" s="316">
        <f si="12" t="shared"/>
        <v>0.11200523604000895</v>
      </c>
      <c r="AE26">
        <v>7</v>
      </c>
      <c r="AF26" s="300">
        <f si="30" t="shared"/>
        <v>288.72424564073879</v>
      </c>
      <c r="AG26" s="300">
        <f si="31" t="shared"/>
        <v>427.81362656647661</v>
      </c>
      <c r="AH26" s="300">
        <f si="32" t="shared"/>
        <v>840.77477175397132</v>
      </c>
      <c r="AI26" s="300">
        <f si="33" t="shared"/>
        <v>106.45388372528616</v>
      </c>
      <c r="AJ26" s="300">
        <f si="34" t="shared"/>
        <v>124.01488936171968</v>
      </c>
      <c r="AK26" s="300">
        <f si="35" t="shared"/>
        <v>573.74092119135776</v>
      </c>
      <c r="AL26" s="300">
        <f si="36" t="shared"/>
        <v>7530.8518886802067</v>
      </c>
      <c r="AM26" s="300">
        <f si="37" t="shared"/>
        <v>1109.78451296342</v>
      </c>
      <c r="AN26" s="300">
        <f si="38" t="shared"/>
        <v>358.85726309395579</v>
      </c>
      <c r="AO26" s="300">
        <f si="39" t="shared"/>
        <v>21.890204244657291</v>
      </c>
      <c r="AP26" s="300">
        <f si="14" t="shared"/>
        <v>0</v>
      </c>
      <c r="AQ26" s="300">
        <f si="15" t="shared"/>
        <v>11382.906207221791</v>
      </c>
      <c r="AS26">
        <v>7</v>
      </c>
      <c r="AT26" s="300">
        <f si="16" t="shared"/>
        <v>61.026373862233186</v>
      </c>
      <c r="AU26" s="300">
        <f si="17" t="shared"/>
        <v>90.359687701598432</v>
      </c>
      <c r="AV26" s="300">
        <f si="18" t="shared"/>
        <v>148.88998435310464</v>
      </c>
      <c r="AW26" s="300">
        <f si="19" t="shared"/>
        <v>22.739046284708834</v>
      </c>
      <c r="AX26" s="300">
        <f si="20" t="shared"/>
        <v>34.365341817655306</v>
      </c>
      <c r="AY26" s="300">
        <f si="21" t="shared"/>
        <v>155.08542020200321</v>
      </c>
      <c r="AZ26" s="300">
        <f si="22" t="shared"/>
        <v>1432.7889379525932</v>
      </c>
      <c r="BA26" s="300">
        <f si="23" t="shared"/>
        <v>353.12433763935996</v>
      </c>
      <c r="BB26" s="300">
        <f si="24" t="shared"/>
        <v>58.083863450983188</v>
      </c>
      <c r="BC26" s="300">
        <f si="25" t="shared"/>
        <v>8.0306075570485085</v>
      </c>
      <c r="BD26" s="300">
        <f si="26" t="shared"/>
        <v>0</v>
      </c>
      <c r="BE26" s="300">
        <f si="27" t="shared"/>
        <v>2364.4936008212881</v>
      </c>
      <c r="BG26">
        <v>7</v>
      </c>
      <c r="BH26" s="301">
        <f si="40" t="shared"/>
        <v>1.2113656015510683</v>
      </c>
      <c r="BI26" s="301">
        <f si="41" t="shared"/>
        <v>1.2112127386563216</v>
      </c>
      <c r="BJ26" s="301">
        <f si="42" t="shared"/>
        <v>1.1770866459783276</v>
      </c>
      <c r="BK26" s="301">
        <f si="43" t="shared"/>
        <v>1.2136046660673179</v>
      </c>
      <c r="BL26" s="301">
        <f si="44" t="shared"/>
        <v>1.2771065796577088</v>
      </c>
      <c r="BM26" s="301">
        <f si="45" t="shared"/>
        <v>1.2703056631902296</v>
      </c>
      <c r="BN26" s="301">
        <f si="46" t="shared"/>
        <v>1.1902558912499992</v>
      </c>
      <c r="BO26" s="301">
        <f si="47" t="shared"/>
        <v>1.3181918052689563</v>
      </c>
      <c r="BP26" s="301">
        <f si="48" t="shared"/>
        <v>1.1618578455127315</v>
      </c>
      <c r="BQ26" s="301">
        <f si="49" t="shared"/>
        <v>1.3668585028853044</v>
      </c>
      <c r="BR26" s="300"/>
      <c r="BS26" s="301">
        <f si="29" t="shared"/>
        <v>1.1261327663020493</v>
      </c>
      <c r="BU26">
        <v>25</v>
      </c>
      <c r="BV26">
        <f si="0" t="shared"/>
        <v>12</v>
      </c>
      <c r="BW26">
        <f si="1" t="shared"/>
        <v>5</v>
      </c>
      <c r="BX26">
        <f si="2" t="shared"/>
        <v>215</v>
      </c>
      <c r="BY26">
        <f>IFERROR(VLOOKUP(BX26,OtherTourDestination!$B$11:$E$211,4,FALSE),0)</f>
        <v>1.1149</v>
      </c>
      <c r="BZ26" s="290">
        <f si="3" t="shared"/>
        <v>1.1899482080690766</v>
      </c>
      <c r="CB26" s="246">
        <f si="4" t="shared"/>
        <v>1011.02477059698</v>
      </c>
      <c r="CC26" s="246">
        <f si="5" t="shared"/>
        <v>937.9264287262065</v>
      </c>
      <c r="CD26" s="336">
        <f si="6" t="shared"/>
        <v>-73.098341870773538</v>
      </c>
      <c r="CE26" s="368">
        <f si="7" t="shared"/>
        <v>-7.2301237315492428E-2</v>
      </c>
      <c r="CF26">
        <v>125000</v>
      </c>
    </row>
    <row r="27" spans="2:84" x14ac:dyDescent="0.25">
      <c r="B27">
        <v>8</v>
      </c>
      <c r="C27" s="300">
        <v>1277.9266552479701</v>
      </c>
      <c r="D27" s="300">
        <v>2280.6389495757999</v>
      </c>
      <c r="E27" s="300">
        <v>297.34606774686699</v>
      </c>
      <c r="F27" s="300">
        <v>383.50191331375601</v>
      </c>
      <c r="G27" s="300">
        <v>137.10696332886201</v>
      </c>
      <c r="H27" s="300">
        <v>569.39619174423206</v>
      </c>
      <c r="I27" s="300">
        <v>1523.05741860482</v>
      </c>
      <c r="J27" s="300">
        <v>5189.0460589788399</v>
      </c>
      <c r="K27" s="300">
        <v>58.227067413760999</v>
      </c>
      <c r="L27" s="300">
        <v>85.134204286849595</v>
      </c>
      <c r="M27" s="300">
        <v>0</v>
      </c>
      <c r="N27" s="300">
        <f si="10" t="shared"/>
        <v>11801.381490241758</v>
      </c>
      <c r="P27">
        <v>8</v>
      </c>
      <c r="Q27" s="300">
        <f>model_other_auto_dist!C9*Q$18</f>
        <v>1116.7142857131701</v>
      </c>
      <c r="R27" s="300">
        <f>model_other_auto_dist!C19*$R$18</f>
        <v>2063.11904761698</v>
      </c>
      <c r="S27" s="300">
        <f>model_other_auto_dist!C29*S$18</f>
        <v>260.71428571402498</v>
      </c>
      <c r="T27" s="300">
        <f>model_other_auto_dist!C39*T$18</f>
        <v>379.59523809485898</v>
      </c>
      <c r="U27" s="300">
        <f>model_other_auto_dist!C49*U$18</f>
        <v>134.76190476177001</v>
      </c>
      <c r="V27" s="300">
        <f>model_other_auto_dist!C59*V$18</f>
        <v>481.83333333285202</v>
      </c>
      <c r="W27" s="300">
        <f>model_other_auto_dist!C69*W$18</f>
        <v>1201.6666666654701</v>
      </c>
      <c r="X27" s="300">
        <f>model_other_auto_dist!C79*X$18</f>
        <v>3576.4523809488001</v>
      </c>
      <c r="Y27" s="300">
        <f>model_other_auto_dist!C89*Y$18</f>
        <v>64.595238095173499</v>
      </c>
      <c r="Z27" s="300">
        <f>model_other_auto_dist!C99*Z$18</f>
        <v>70.761904761834003</v>
      </c>
      <c r="AA27" s="300">
        <v>0</v>
      </c>
      <c r="AB27" s="12">
        <f si="11" t="shared"/>
        <v>9350.214285704933</v>
      </c>
      <c r="AC27" s="316">
        <f si="12" t="shared"/>
        <v>0.20770171751193947</v>
      </c>
      <c r="AE27">
        <v>8</v>
      </c>
      <c r="AF27" s="300">
        <f si="30" t="shared"/>
        <v>1041.2721698609707</v>
      </c>
      <c r="AG27" s="300">
        <f si="31" t="shared"/>
        <v>1923.7404543649031</v>
      </c>
      <c r="AH27" s="300">
        <f si="32" t="shared"/>
        <v>243.10115261561589</v>
      </c>
      <c r="AI27" s="300">
        <f si="33" t="shared"/>
        <v>353.95083800463647</v>
      </c>
      <c r="AJ27" s="300">
        <f si="34" t="shared"/>
        <v>125.65776473099416</v>
      </c>
      <c r="AK27" s="300">
        <f si="35" t="shared"/>
        <v>449.28201145956393</v>
      </c>
      <c r="AL27" s="300">
        <f si="36" t="shared"/>
        <v>1120.4854038822089</v>
      </c>
      <c r="AM27" s="300">
        <f si="37" t="shared"/>
        <v>3334.8371904606611</v>
      </c>
      <c r="AN27" s="300">
        <f si="38" t="shared"/>
        <v>60.231363200563109</v>
      </c>
      <c r="AO27" s="300">
        <f si="39" t="shared"/>
        <v>65.981426993023803</v>
      </c>
      <c r="AP27" s="300">
        <f si="14" t="shared"/>
        <v>0</v>
      </c>
      <c r="AQ27" s="300">
        <f si="15" t="shared"/>
        <v>8718.5397755731392</v>
      </c>
      <c r="AS27">
        <v>8</v>
      </c>
      <c r="AT27" s="300">
        <f si="16" t="shared"/>
        <v>236.65448538699934</v>
      </c>
      <c r="AU27" s="300">
        <f si="17" t="shared"/>
        <v>356.89849521089673</v>
      </c>
      <c r="AV27" s="300">
        <f si="18" t="shared"/>
        <v>54.244915131251105</v>
      </c>
      <c r="AW27" s="300">
        <f si="19" t="shared"/>
        <v>29.55107530911954</v>
      </c>
      <c r="AX27" s="300">
        <f si="20" t="shared"/>
        <v>11.449198597867849</v>
      </c>
      <c r="AY27" s="300">
        <f si="21" t="shared"/>
        <v>120.11418028466812</v>
      </c>
      <c r="AZ27" s="300">
        <f si="22" t="shared"/>
        <v>402.57201472261113</v>
      </c>
      <c r="BA27" s="300">
        <f si="23" t="shared"/>
        <v>1854.2088685181789</v>
      </c>
      <c r="BB27" s="300">
        <f si="24" t="shared"/>
        <v>2.0042957868021105</v>
      </c>
      <c r="BC27" s="300">
        <f si="25" t="shared"/>
        <v>19.152777293825793</v>
      </c>
      <c r="BD27" s="300">
        <f si="26" t="shared"/>
        <v>0</v>
      </c>
      <c r="BE27" s="300">
        <f si="27" t="shared"/>
        <v>3082.8417146686188</v>
      </c>
      <c r="BG27">
        <v>8</v>
      </c>
      <c r="BH27" s="301">
        <f si="40" t="shared"/>
        <v>1.2272743786272489</v>
      </c>
      <c r="BI27" s="301">
        <f si="41" t="shared"/>
        <v>1.1855232052749662</v>
      </c>
      <c r="BJ27" s="301">
        <f si="42" t="shared"/>
        <v>1.2231372190037351</v>
      </c>
      <c r="BK27" s="301">
        <f si="43" t="shared"/>
        <v>1.083489208489266</v>
      </c>
      <c r="BL27" s="301">
        <f si="44" t="shared"/>
        <v>1.0911141354645142</v>
      </c>
      <c r="BM27" s="301">
        <f si="45" t="shared"/>
        <v>1.2673469607529091</v>
      </c>
      <c r="BN27" s="301">
        <f si="46" t="shared"/>
        <v>1.3592835866739514</v>
      </c>
      <c r="BO27" s="301">
        <f si="47" t="shared"/>
        <v>1.5560118118576116</v>
      </c>
      <c r="BP27" s="301">
        <f si="48" t="shared"/>
        <v>0.96672338661623758</v>
      </c>
      <c r="BQ27" s="301">
        <f si="49" t="shared"/>
        <v>1.2902752814947578</v>
      </c>
      <c r="BR27" s="300"/>
      <c r="BS27" s="301">
        <f si="29" t="shared"/>
        <v>1.2621509122292833</v>
      </c>
      <c r="BU27">
        <v>26</v>
      </c>
      <c r="BV27">
        <f si="0" t="shared"/>
        <v>12</v>
      </c>
      <c r="BW27">
        <f si="1" t="shared"/>
        <v>6</v>
      </c>
      <c r="BX27">
        <f si="2" t="shared"/>
        <v>216</v>
      </c>
      <c r="BY27">
        <f>IFERROR(VLOOKUP(BX27,OtherTourDestination!$B$11:$E$211,4,FALSE),0)</f>
        <v>-2.9700000000000001E-2</v>
      </c>
      <c r="BZ27" s="290">
        <f si="3" t="shared"/>
        <v>5.9640065453973629E-2</v>
      </c>
      <c r="CB27" s="246">
        <f si="4" t="shared"/>
        <v>4737.8268265010602</v>
      </c>
      <c r="CC27" s="246">
        <f si="5" t="shared"/>
        <v>4332.9061783134202</v>
      </c>
      <c r="CD27" s="336">
        <f si="6" t="shared"/>
        <v>-404.92064818763993</v>
      </c>
      <c r="CE27" s="368">
        <f si="7" t="shared"/>
        <v>-8.5465480908401739E-2</v>
      </c>
      <c r="CF27">
        <v>130000</v>
      </c>
    </row>
    <row r="28" spans="2:84" x14ac:dyDescent="0.25">
      <c r="B28">
        <v>9</v>
      </c>
      <c r="C28" s="300">
        <v>295.85320244962298</v>
      </c>
      <c r="D28" s="300">
        <v>136.60915803073499</v>
      </c>
      <c r="E28" s="300">
        <v>5100.3175534420197</v>
      </c>
      <c r="F28" s="300">
        <v>61.7512649844913</v>
      </c>
      <c r="G28" s="300">
        <v>71.712371055554698</v>
      </c>
      <c r="H28" s="300">
        <v>563.99052182078105</v>
      </c>
      <c r="I28" s="300">
        <v>401.78526928481301</v>
      </c>
      <c r="J28" s="300">
        <v>67.024780248843697</v>
      </c>
      <c r="K28" s="300">
        <v>6137.4068286740503</v>
      </c>
      <c r="L28" s="300">
        <v>459.41013892848798</v>
      </c>
      <c r="M28" s="300">
        <v>0</v>
      </c>
      <c r="N28" s="300">
        <f si="10" t="shared"/>
        <v>13295.861088919399</v>
      </c>
      <c r="P28">
        <v>9</v>
      </c>
      <c r="Q28" s="300">
        <f>model_other_auto_dist!C10*Q$18</f>
        <v>248.071428571181</v>
      </c>
      <c r="R28" s="300">
        <f>model_other_auto_dist!C20*$R$18</f>
        <v>122.690476190354</v>
      </c>
      <c r="S28" s="300">
        <f>model_other_auto_dist!C30*S$18</f>
        <v>4592.9285714239804</v>
      </c>
      <c r="T28" s="300">
        <f>model_other_auto_dist!C40*T$18</f>
        <v>43.833333333289502</v>
      </c>
      <c r="U28" s="300">
        <f>model_other_auto_dist!C50*U$18</f>
        <v>59.571428571368997</v>
      </c>
      <c r="V28" s="300">
        <f>model_other_auto_dist!C60*V$18</f>
        <v>500.33333333283298</v>
      </c>
      <c r="W28" s="300">
        <f>model_other_auto_dist!C70*W$18</f>
        <v>372.14285714248501</v>
      </c>
      <c r="X28" s="300">
        <f>model_other_auto_dist!C80*X$18</f>
        <v>63.642857142793503</v>
      </c>
      <c r="Y28" s="300">
        <f>model_other_auto_dist!C90*Y$18</f>
        <v>5337.5238095184704</v>
      </c>
      <c r="Z28" s="300">
        <f>model_other_auto_dist!C100*Z$18</f>
        <v>397.76190476150703</v>
      </c>
      <c r="AA28" s="300">
        <v>0</v>
      </c>
      <c r="AB28" s="12">
        <f si="11" t="shared"/>
        <v>11738.499999988262</v>
      </c>
      <c r="AC28" s="316">
        <f si="12" t="shared"/>
        <v>0.11713126953688029</v>
      </c>
      <c r="AE28">
        <v>9</v>
      </c>
      <c r="AF28" s="300">
        <f si="30" t="shared"/>
        <v>231.3124117901468</v>
      </c>
      <c r="AG28" s="300">
        <f si="31" t="shared"/>
        <v>114.40184834961406</v>
      </c>
      <c r="AH28" s="300">
        <f si="32" t="shared"/>
        <v>4282.6430724210204</v>
      </c>
      <c r="AI28" s="300">
        <f si="33" t="shared"/>
        <v>40.872075065328666</v>
      </c>
      <c r="AJ28" s="300">
        <f si="34" t="shared"/>
        <v>55.546948296280455</v>
      </c>
      <c r="AK28" s="300">
        <f si="35" t="shared"/>
        <v>466.53220283694549</v>
      </c>
      <c r="AL28" s="300">
        <f si="36" t="shared"/>
        <v>347.00191921297505</v>
      </c>
      <c r="AM28" s="300">
        <f si="37" t="shared"/>
        <v>59.343322460414733</v>
      </c>
      <c r="AN28" s="300">
        <f si="38" t="shared"/>
        <v>4976.9355240875157</v>
      </c>
      <c r="AO28" s="300">
        <f si="39" t="shared"/>
        <v>370.8902151229662</v>
      </c>
      <c r="AP28" s="300">
        <f si="14" t="shared"/>
        <v>0</v>
      </c>
      <c r="AQ28" s="300">
        <f si="15" t="shared"/>
        <v>10945.479539643209</v>
      </c>
      <c r="AS28">
        <v>9</v>
      </c>
      <c r="AT28" s="300">
        <f si="16" t="shared"/>
        <v>64.540790659476187</v>
      </c>
      <c r="AU28" s="300">
        <f si="17" t="shared"/>
        <v>22.207309681120933</v>
      </c>
      <c r="AV28" s="300">
        <f si="18" t="shared"/>
        <v>817.67448102099934</v>
      </c>
      <c r="AW28" s="300">
        <f si="19" t="shared"/>
        <v>20.879189919162634</v>
      </c>
      <c r="AX28" s="300">
        <f si="20" t="shared"/>
        <v>16.165422759274243</v>
      </c>
      <c r="AY28" s="300">
        <f si="21" t="shared"/>
        <v>97.458318983835568</v>
      </c>
      <c r="AZ28" s="300">
        <f si="22" t="shared"/>
        <v>54.783350071837958</v>
      </c>
      <c r="BA28" s="300">
        <f si="23" t="shared"/>
        <v>7.6814577884289648</v>
      </c>
      <c r="BB28" s="300">
        <f si="24" t="shared"/>
        <v>1160.4713045865346</v>
      </c>
      <c r="BC28" s="300">
        <f si="25" t="shared"/>
        <v>88.519923805521785</v>
      </c>
      <c r="BD28" s="300">
        <f si="26" t="shared"/>
        <v>0</v>
      </c>
      <c r="BE28" s="300">
        <f si="27" t="shared"/>
        <v>2350.3815492761896</v>
      </c>
      <c r="BG28">
        <v>9</v>
      </c>
      <c r="BH28" s="301">
        <f si="40" t="shared"/>
        <v>1.2790200065789354</v>
      </c>
      <c r="BI28" s="301">
        <f si="41" t="shared"/>
        <v>1.1941167035453397</v>
      </c>
      <c r="BJ28" s="301">
        <f si="42" t="shared"/>
        <v>1.1909275340470435</v>
      </c>
      <c r="BK28" s="301">
        <f si="43" t="shared"/>
        <v>1.5108424244619334</v>
      </c>
      <c r="BL28" s="301">
        <f si="44" t="shared"/>
        <v>1.2910226980076369</v>
      </c>
      <c r="BM28" s="301">
        <f si="45" t="shared"/>
        <v>1.2088994465788196</v>
      </c>
      <c r="BN28" s="301">
        <f si="46" t="shared"/>
        <v>1.1578762163508791</v>
      </c>
      <c r="BO28" s="301">
        <f si="47" t="shared"/>
        <v>1.1294409795399123</v>
      </c>
      <c r="BP28" s="301">
        <f si="48" t="shared"/>
        <v>1.2331698489904184</v>
      </c>
      <c r="BQ28" s="301">
        <f si="49" t="shared"/>
        <v>1.2386688033173741</v>
      </c>
      <c r="BR28" s="300"/>
      <c r="BS28" s="301">
        <f si="29" t="shared"/>
        <v>1.1326712176966984</v>
      </c>
      <c r="BU28">
        <v>27</v>
      </c>
      <c r="BV28">
        <f si="0" t="shared"/>
        <v>12</v>
      </c>
      <c r="BW28">
        <f si="1" t="shared"/>
        <v>7</v>
      </c>
      <c r="BX28">
        <f si="2" t="shared"/>
        <v>217</v>
      </c>
      <c r="BY28">
        <f>IFERROR(VLOOKUP(BX28,OtherTourDestination!$B$11:$E$211,4,FALSE),0)</f>
        <v>2.1899999999999999E-2</v>
      </c>
      <c r="BZ28" s="290">
        <f si="3" t="shared"/>
        <v>0.13734952209153489</v>
      </c>
      <c r="CB28" s="246">
        <f si="4" t="shared"/>
        <v>993.37826076184001</v>
      </c>
      <c r="CC28" s="246">
        <f si="5" t="shared"/>
        <v>885.06580366887169</v>
      </c>
      <c r="CD28" s="336">
        <f si="6" t="shared"/>
        <v>-108.31245709296832</v>
      </c>
      <c r="CE28" s="368">
        <f si="7" t="shared"/>
        <v>-0.10903445482076636</v>
      </c>
      <c r="CF28">
        <v>135000</v>
      </c>
    </row>
    <row r="29" spans="2:84" x14ac:dyDescent="0.25">
      <c r="B29">
        <v>10</v>
      </c>
      <c r="C29" s="300">
        <v>1443.7122968035501</v>
      </c>
      <c r="D29" s="300">
        <v>204.90517031599299</v>
      </c>
      <c r="E29" s="300">
        <v>817.432284296891</v>
      </c>
      <c r="F29" s="300">
        <v>862.23019530998101</v>
      </c>
      <c r="G29" s="300">
        <v>853.43980145606702</v>
      </c>
      <c r="H29" s="300">
        <v>1140.25997572341</v>
      </c>
      <c r="I29" s="300">
        <v>15.5740621921843</v>
      </c>
      <c r="J29" s="300">
        <v>80.775633122497297</v>
      </c>
      <c r="K29" s="300">
        <v>447.54119324688799</v>
      </c>
      <c r="L29" s="300">
        <v>4421.76240383198</v>
      </c>
      <c r="M29" s="300">
        <v>0</v>
      </c>
      <c r="N29" s="300">
        <f si="10" t="shared"/>
        <v>10287.633016299442</v>
      </c>
      <c r="P29">
        <v>10</v>
      </c>
      <c r="Q29" s="300">
        <f>model_other_auto_dist!C11*Q$18</f>
        <v>1240.95238095114</v>
      </c>
      <c r="R29" s="300">
        <f>model_other_auto_dist!C21*$R$18</f>
        <v>180.49999999982001</v>
      </c>
      <c r="S29" s="300">
        <f>model_other_auto_dist!C31*S$18</f>
        <v>725.92857142784601</v>
      </c>
      <c r="T29" s="300">
        <f>model_other_auto_dist!C41*T$18</f>
        <v>746.09523809449195</v>
      </c>
      <c r="U29" s="300">
        <f>model_other_auto_dist!C51*U$18</f>
        <v>740.54761904687905</v>
      </c>
      <c r="V29" s="300">
        <f>model_other_auto_dist!C61*V$18</f>
        <v>973.95238095140701</v>
      </c>
      <c r="W29" s="300">
        <f>model_other_auto_dist!C71*W$18</f>
        <v>26.190476190449999</v>
      </c>
      <c r="X29" s="300">
        <f>model_other_auto_dist!C81*X$18</f>
        <v>75.452380952305504</v>
      </c>
      <c r="Y29" s="300">
        <f>model_other_auto_dist!C91*Y$18</f>
        <v>396.88095238055598</v>
      </c>
      <c r="Z29" s="300">
        <f>model_other_auto_dist!C101*Z$18</f>
        <v>4067.9285714245002</v>
      </c>
      <c r="AA29" s="300">
        <v>0</v>
      </c>
      <c r="AB29" s="12">
        <f si="11" t="shared"/>
        <v>9174.4285714193938</v>
      </c>
      <c r="AC29" s="316">
        <f si="12" t="shared"/>
        <v>0.10820802444219361</v>
      </c>
      <c r="AE29">
        <v>10</v>
      </c>
      <c r="AF29" s="300">
        <f si="30" t="shared"/>
        <v>1157.1170844133242</v>
      </c>
      <c r="AG29" s="300">
        <f si="31" t="shared"/>
        <v>168.30592127662004</v>
      </c>
      <c r="AH29" s="300">
        <f si="32" t="shared"/>
        <v>676.88685315959071</v>
      </c>
      <c r="AI29" s="300">
        <f si="33" t="shared"/>
        <v>695.69111583223196</v>
      </c>
      <c r="AJ29" s="300">
        <f si="34" t="shared"/>
        <v>690.51827852086831</v>
      </c>
      <c r="AK29" s="300">
        <f si="35" t="shared"/>
        <v>908.1548629127293</v>
      </c>
      <c r="AL29" s="300">
        <f si="36" t="shared"/>
        <v>24.421120354080138</v>
      </c>
      <c r="AM29" s="300">
        <f si="37" t="shared"/>
        <v>70.355027638254512</v>
      </c>
      <c r="AN29" s="300">
        <f si="38" t="shared"/>
        <v>370.06877743832939</v>
      </c>
      <c r="AO29" s="300">
        <f si="39" t="shared"/>
        <v>3793.1106144142273</v>
      </c>
      <c r="AP29" s="300">
        <f si="14" t="shared"/>
        <v>0</v>
      </c>
      <c r="AQ29" s="300">
        <f si="15" t="shared"/>
        <v>8554.6296559602561</v>
      </c>
      <c r="AS29">
        <v>10</v>
      </c>
      <c r="AT29" s="300">
        <f si="16" t="shared"/>
        <v>286.59521239022592</v>
      </c>
      <c r="AU29" s="300">
        <f si="17" t="shared"/>
        <v>36.59924903937295</v>
      </c>
      <c r="AV29" s="300">
        <f si="18" t="shared"/>
        <v>140.54543113730028</v>
      </c>
      <c r="AW29" s="300">
        <f si="19" t="shared"/>
        <v>166.53907947774906</v>
      </c>
      <c r="AX29" s="300">
        <f si="20" t="shared"/>
        <v>162.92152293519871</v>
      </c>
      <c r="AY29" s="300">
        <f si="21" t="shared"/>
        <v>232.10511281068068</v>
      </c>
      <c r="AZ29" s="300">
        <f si="22" t="shared"/>
        <v>8.8470581618958377</v>
      </c>
      <c r="BA29" s="300">
        <f si="23" t="shared"/>
        <v>10.420605484242785</v>
      </c>
      <c r="BB29" s="300">
        <f si="24" t="shared"/>
        <v>77.472415808558594</v>
      </c>
      <c r="BC29" s="300">
        <f si="25" t="shared"/>
        <v>628.65178941775275</v>
      </c>
      <c r="BD29" s="300">
        <f si="26" t="shared"/>
        <v>0</v>
      </c>
      <c r="BE29" s="300">
        <f si="27" t="shared"/>
        <v>1733.0033603391857</v>
      </c>
      <c r="BG29">
        <v>10</v>
      </c>
      <c r="BH29" s="301">
        <f si="40" t="shared"/>
        <v>1.2476803914234262</v>
      </c>
      <c r="BI29" s="301">
        <f si="41" t="shared"/>
        <v>1.2174566929182489</v>
      </c>
      <c r="BJ29" s="301">
        <f si="42" t="shared"/>
        <v>1.2076350434068241</v>
      </c>
      <c r="BK29" s="301">
        <f si="43" t="shared"/>
        <v>1.2393865261288035</v>
      </c>
      <c r="BL29" s="301">
        <f si="44" t="shared"/>
        <v>1.235940927275939</v>
      </c>
      <c r="BM29" s="301">
        <f si="45" t="shared"/>
        <v>1.2555787809870322</v>
      </c>
      <c r="BN29" s="301">
        <f si="46" t="shared"/>
        <v>0.63772922643912511</v>
      </c>
      <c r="BO29" s="301">
        <f si="47" t="shared"/>
        <v>1.1481145816305065</v>
      </c>
      <c r="BP29" s="301">
        <f si="48" t="shared"/>
        <v>1.2093459933173343</v>
      </c>
      <c r="BQ29" s="301">
        <f si="49" t="shared"/>
        <v>1.1657351586396687</v>
      </c>
      <c r="BR29" s="300"/>
      <c r="BS29" s="301">
        <f si="29" t="shared"/>
        <v>1.1213377417693298</v>
      </c>
      <c r="BU29">
        <v>28</v>
      </c>
      <c r="BV29">
        <f si="0" t="shared"/>
        <v>12</v>
      </c>
      <c r="BW29">
        <f si="1" t="shared"/>
        <v>8</v>
      </c>
      <c r="BX29">
        <f si="2" t="shared"/>
        <v>218</v>
      </c>
      <c r="BY29">
        <f>IFERROR(VLOOKUP(BX29,OtherTourDestination!$B$11:$E$211,4,FALSE),0)</f>
        <v>0.59409999999999996</v>
      </c>
      <c r="BZ29" s="290">
        <f si="3" t="shared"/>
        <v>0.78296785145275272</v>
      </c>
      <c r="CB29" s="246">
        <f si="4" t="shared"/>
        <v>282.34772330249598</v>
      </c>
      <c r="CC29" s="246">
        <f si="5" t="shared"/>
        <v>233.75452382555483</v>
      </c>
      <c r="CD29" s="336">
        <f si="6" t="shared"/>
        <v>-48.593199476941152</v>
      </c>
      <c r="CE29" s="368">
        <f si="7" t="shared"/>
        <v>-0.17210409529274071</v>
      </c>
      <c r="CF29">
        <v>140000</v>
      </c>
    </row>
    <row r="30" spans="2:84" x14ac:dyDescent="0.25">
      <c r="B30" s="294" t="s">
        <v>13</v>
      </c>
      <c r="C30" s="300">
        <v>0</v>
      </c>
      <c r="D30" s="300">
        <v>0</v>
      </c>
      <c r="E30" s="300">
        <v>0</v>
      </c>
      <c r="F30" s="300">
        <v>0</v>
      </c>
      <c r="G30" s="300">
        <v>0</v>
      </c>
      <c r="H30" s="300">
        <v>0</v>
      </c>
      <c r="I30" s="300">
        <v>0</v>
      </c>
      <c r="J30" s="300">
        <v>0</v>
      </c>
      <c r="K30" s="300">
        <v>0</v>
      </c>
      <c r="L30" s="300">
        <v>0</v>
      </c>
      <c r="M30" s="300">
        <v>0</v>
      </c>
      <c r="N30" s="300">
        <f si="10" t="shared"/>
        <v>0</v>
      </c>
      <c r="P30" s="294" t="s">
        <v>13</v>
      </c>
      <c r="Q30" s="300">
        <v>0</v>
      </c>
      <c r="R30" s="300">
        <v>0</v>
      </c>
      <c r="S30" s="300">
        <v>0</v>
      </c>
      <c r="T30" s="300">
        <v>0</v>
      </c>
      <c r="U30" s="300">
        <v>0</v>
      </c>
      <c r="V30" s="300">
        <v>0</v>
      </c>
      <c r="W30" s="300">
        <v>0</v>
      </c>
      <c r="X30" s="300">
        <v>0</v>
      </c>
      <c r="Y30" s="300">
        <v>0</v>
      </c>
      <c r="Z30" s="300">
        <v>0</v>
      </c>
      <c r="AA30" s="300">
        <v>0</v>
      </c>
      <c r="AB30" s="13">
        <f si="11" t="shared"/>
        <v>0</v>
      </c>
      <c r="AE30" s="294" t="s">
        <v>13</v>
      </c>
      <c r="AF30" s="300">
        <f ref="AF30:AP30" si="50" t="shared">ABS(Q30-C30)</f>
        <v>0</v>
      </c>
      <c r="AG30" s="300">
        <f si="50" t="shared"/>
        <v>0</v>
      </c>
      <c r="AH30" s="300">
        <f si="50" t="shared"/>
        <v>0</v>
      </c>
      <c r="AI30" s="300">
        <f si="50" t="shared"/>
        <v>0</v>
      </c>
      <c r="AJ30" s="300">
        <f si="50" t="shared"/>
        <v>0</v>
      </c>
      <c r="AK30" s="300">
        <f si="50" t="shared"/>
        <v>0</v>
      </c>
      <c r="AL30" s="300">
        <f si="50" t="shared"/>
        <v>0</v>
      </c>
      <c r="AM30" s="300">
        <f si="50" t="shared"/>
        <v>0</v>
      </c>
      <c r="AN30" s="300">
        <f si="50" t="shared"/>
        <v>0</v>
      </c>
      <c r="AO30" s="300">
        <f si="50" t="shared"/>
        <v>0</v>
      </c>
      <c r="AP30" s="300">
        <f si="50" t="shared"/>
        <v>0</v>
      </c>
      <c r="AQ30" s="13"/>
      <c r="AS30" s="294" t="s">
        <v>13</v>
      </c>
      <c r="AT30" s="300">
        <f si="16" t="shared"/>
        <v>0</v>
      </c>
      <c r="AU30" s="300">
        <f si="17" t="shared"/>
        <v>0</v>
      </c>
      <c r="AV30" s="300">
        <f si="18" t="shared"/>
        <v>0</v>
      </c>
      <c r="AW30" s="300">
        <f si="19" t="shared"/>
        <v>0</v>
      </c>
      <c r="AX30" s="300">
        <f si="20" t="shared"/>
        <v>0</v>
      </c>
      <c r="AY30" s="300">
        <f si="21" t="shared"/>
        <v>0</v>
      </c>
      <c r="AZ30" s="300">
        <f si="22" t="shared"/>
        <v>0</v>
      </c>
      <c r="BA30" s="300">
        <f si="23" t="shared"/>
        <v>0</v>
      </c>
      <c r="BB30" s="300">
        <f si="24" t="shared"/>
        <v>0</v>
      </c>
      <c r="BC30" s="300">
        <f si="25" t="shared"/>
        <v>0</v>
      </c>
      <c r="BD30" s="300">
        <f si="26" t="shared"/>
        <v>0</v>
      </c>
      <c r="BE30" s="13">
        <f si="27" t="shared"/>
        <v>0</v>
      </c>
      <c r="BG30" s="294" t="s">
        <v>13</v>
      </c>
      <c r="BH30" s="300">
        <f ref="BH30:BR30" si="51" t="shared">ABS(AT30-Q30)</f>
        <v>0</v>
      </c>
      <c r="BI30" s="300">
        <f si="51" t="shared"/>
        <v>0</v>
      </c>
      <c r="BJ30" s="300">
        <f si="51" t="shared"/>
        <v>0</v>
      </c>
      <c r="BK30" s="300">
        <f si="51" t="shared"/>
        <v>0</v>
      </c>
      <c r="BL30" s="300">
        <f si="51" t="shared"/>
        <v>0</v>
      </c>
      <c r="BM30" s="300">
        <f si="51" t="shared"/>
        <v>0</v>
      </c>
      <c r="BN30" s="300">
        <f si="51" t="shared"/>
        <v>0</v>
      </c>
      <c r="BO30" s="300">
        <f si="51" t="shared"/>
        <v>0</v>
      </c>
      <c r="BP30" s="300">
        <f si="51" t="shared"/>
        <v>0</v>
      </c>
      <c r="BQ30" s="300">
        <f si="51" t="shared"/>
        <v>0</v>
      </c>
      <c r="BR30" s="300">
        <f si="51" t="shared"/>
        <v>0</v>
      </c>
      <c r="BS30" s="13"/>
      <c r="BU30">
        <v>29</v>
      </c>
      <c r="BV30">
        <f si="0" t="shared"/>
        <v>12</v>
      </c>
      <c r="BW30">
        <f si="1" t="shared"/>
        <v>9</v>
      </c>
      <c r="BX30">
        <f si="2" t="shared"/>
        <v>219</v>
      </c>
      <c r="BY30">
        <f>IFERROR(VLOOKUP(BX30,OtherTourDestination!$B$11:$E$211,4,FALSE),0)</f>
        <v>3.9300000000000002E-2</v>
      </c>
      <c r="BZ30" s="290">
        <f si="3" t="shared"/>
        <v>0.1641787302422994</v>
      </c>
      <c r="CB30" s="246">
        <f si="4" t="shared"/>
        <v>5242.0179649538604</v>
      </c>
      <c r="CC30" s="246">
        <f si="5" t="shared"/>
        <v>4626.6256531174886</v>
      </c>
      <c r="CD30" s="336">
        <f si="6" t="shared"/>
        <v>-615.39231183637185</v>
      </c>
      <c r="CE30" s="368">
        <f si="7" t="shared"/>
        <v>-0.1173960707404383</v>
      </c>
      <c r="CF30">
        <v>145000</v>
      </c>
    </row>
    <row ht="15.75" r="31" spans="2:84" thickBot="1" x14ac:dyDescent="0.3">
      <c r="B31" s="1" t="s">
        <v>4</v>
      </c>
      <c r="C31" s="315">
        <f ref="C31:M31" si="52" t="shared">SUM(C20:C30)</f>
        <v>183930.10789502389</v>
      </c>
      <c r="D31" s="315">
        <f si="52" t="shared"/>
        <v>78100.9855624505</v>
      </c>
      <c r="E31" s="315">
        <f si="52" t="shared"/>
        <v>89478.354000309628</v>
      </c>
      <c r="F31" s="315">
        <f si="52" t="shared"/>
        <v>64094.000786540113</v>
      </c>
      <c r="G31" s="315">
        <f si="52" t="shared"/>
        <v>31517.166290048946</v>
      </c>
      <c r="H31" s="315">
        <f si="52" t="shared"/>
        <v>32510.511569309609</v>
      </c>
      <c r="I31" s="315">
        <f si="52" t="shared"/>
        <v>13633.689905926323</v>
      </c>
      <c r="J31" s="315">
        <f si="52" t="shared"/>
        <v>11664.44038512197</v>
      </c>
      <c r="K31" s="315">
        <f si="52" t="shared"/>
        <v>13401.343661026123</v>
      </c>
      <c r="L31" s="315">
        <f si="52" t="shared"/>
        <v>10265.904270437459</v>
      </c>
      <c r="M31" s="315">
        <f si="52" t="shared"/>
        <v>0</v>
      </c>
      <c r="N31" s="315">
        <f si="10" t="shared"/>
        <v>528596.50432619452</v>
      </c>
      <c r="P31" s="1" t="s">
        <v>4</v>
      </c>
      <c r="Q31" s="314">
        <f ref="Q31:AB31" si="53" t="shared">SUM(Q20:Q30)</f>
        <v>213333.49999978748</v>
      </c>
      <c r="R31" s="314">
        <f si="53" t="shared"/>
        <v>87657.380952293432</v>
      </c>
      <c r="S31" s="314">
        <f si="53" t="shared"/>
        <v>96403.476190380083</v>
      </c>
      <c r="T31" s="314">
        <f si="53" t="shared"/>
        <v>64999.095238030328</v>
      </c>
      <c r="U31" s="314">
        <f si="53" t="shared"/>
        <v>31003.380952349933</v>
      </c>
      <c r="V31" s="314">
        <f si="53" t="shared"/>
        <v>30076.238095208057</v>
      </c>
      <c r="W31" s="314">
        <f si="53" t="shared"/>
        <v>12280.619047606771</v>
      </c>
      <c r="X31" s="314">
        <f si="53" t="shared"/>
        <v>9448.5952380857852</v>
      </c>
      <c r="Y31" s="314">
        <f si="53" t="shared"/>
        <v>12148.785714273563</v>
      </c>
      <c r="Z31" s="314">
        <f si="53" t="shared"/>
        <v>9543.2380952285548</v>
      </c>
      <c r="AA31" s="314">
        <f si="53" t="shared"/>
        <v>0</v>
      </c>
      <c r="AB31" s="314">
        <f si="53" t="shared"/>
        <v>566894.30952324392</v>
      </c>
      <c r="AE31" s="1" t="s">
        <v>4</v>
      </c>
      <c r="AF31" s="314">
        <f ref="AF31:AQ31" si="54" t="shared">ABS(SUM(AF20:AF30))</f>
        <v>198921.2812003649</v>
      </c>
      <c r="AG31" s="314">
        <f si="54" t="shared"/>
        <v>81735.491733441042</v>
      </c>
      <c r="AH31" s="314">
        <f si="54" t="shared"/>
        <v>89890.725066519706</v>
      </c>
      <c r="AI31" s="314">
        <f si="54" t="shared"/>
        <v>60607.936876423089</v>
      </c>
      <c r="AJ31" s="314">
        <f si="54" t="shared"/>
        <v>28908.87863645691</v>
      </c>
      <c r="AK31" s="314">
        <f si="54" t="shared"/>
        <v>28044.370975922524</v>
      </c>
      <c r="AL31" s="314">
        <f si="54" t="shared"/>
        <v>11450.974529954163</v>
      </c>
      <c r="AM31" s="314">
        <f si="54" t="shared"/>
        <v>8810.2743840304647</v>
      </c>
      <c r="AN31" s="314">
        <f si="54" t="shared"/>
        <v>11328.047490499122</v>
      </c>
      <c r="AO31" s="314">
        <f si="54" t="shared"/>
        <v>8898.523432582715</v>
      </c>
      <c r="AP31" s="314">
        <f si="54" t="shared"/>
        <v>0</v>
      </c>
      <c r="AQ31" s="314">
        <f si="54" t="shared"/>
        <v>528596.50432619452</v>
      </c>
      <c r="AS31" s="1" t="s">
        <v>4</v>
      </c>
      <c r="AT31" s="314">
        <f ref="AT31:BC31" si="55" t="shared">SUM(AT20:AT29)</f>
        <v>18855.035118656098</v>
      </c>
      <c r="AU31" s="314">
        <f si="55" t="shared"/>
        <v>5391.8110991196872</v>
      </c>
      <c r="AV31" s="314">
        <f si="55" t="shared"/>
        <v>4364.9267607784568</v>
      </c>
      <c r="AW31" s="314">
        <f si="55" t="shared"/>
        <v>3522.1152840658597</v>
      </c>
      <c r="AX31" s="314">
        <f si="55" t="shared"/>
        <v>2744.1917285184945</v>
      </c>
      <c r="AY31" s="314">
        <f si="55" t="shared"/>
        <v>4466.1405933870801</v>
      </c>
      <c r="AZ31" s="314">
        <f si="55" t="shared"/>
        <v>2200.4094922959503</v>
      </c>
      <c r="BA31" s="314">
        <f si="55" t="shared"/>
        <v>2854.1660010915052</v>
      </c>
      <c r="BB31" s="314">
        <f si="55" t="shared"/>
        <v>2077.3047621006035</v>
      </c>
      <c r="BC31" s="314">
        <f si="55" t="shared"/>
        <v>1367.3808378547433</v>
      </c>
      <c r="BD31" s="314">
        <f>ABS(AP31-M31)</f>
        <v>0</v>
      </c>
      <c r="BE31" s="314">
        <f>ABS(AQ31-N31)</f>
        <v>0</v>
      </c>
      <c r="BG31" s="1" t="s">
        <v>4</v>
      </c>
      <c r="BH31" s="299">
        <f ref="BH31:BQ31" si="56" t="shared">C31/Q31</f>
        <v>0.86217170718713709</v>
      </c>
      <c r="BI31" s="299">
        <f si="56" t="shared"/>
        <v>0.89098014010886439</v>
      </c>
      <c r="BJ31" s="299">
        <f si="56" t="shared"/>
        <v>0.92816522324989048</v>
      </c>
      <c r="BK31" s="299">
        <f si="56" t="shared"/>
        <v>0.98607527615306478</v>
      </c>
      <c r="BL31" s="299">
        <f si="56" t="shared"/>
        <v>1.0165719131887154</v>
      </c>
      <c r="BM31" s="299">
        <f si="56" t="shared"/>
        <v>1.0809367669718439</v>
      </c>
      <c r="BN31" s="299">
        <f si="56" t="shared"/>
        <v>1.1101793690590245</v>
      </c>
      <c r="BO31" s="299">
        <f si="56" t="shared"/>
        <v>1.2345158292001404</v>
      </c>
      <c r="BP31" s="299">
        <f si="56" t="shared"/>
        <v>1.1031014931213194</v>
      </c>
      <c r="BQ31" s="299">
        <f si="56" t="shared"/>
        <v>1.0757254684413904</v>
      </c>
      <c r="BR31" s="299"/>
      <c r="BS31" s="299">
        <f>N31/AB31</f>
        <v>0.93244277715671953</v>
      </c>
      <c r="BU31">
        <v>30</v>
      </c>
      <c r="BV31">
        <f si="0" t="shared"/>
        <v>12</v>
      </c>
      <c r="BW31">
        <f si="1" t="shared"/>
        <v>10</v>
      </c>
      <c r="BX31">
        <f si="2" t="shared"/>
        <v>220</v>
      </c>
      <c r="BY31">
        <f>IFERROR(VLOOKUP(BX31,OtherTourDestination!$B$11:$E$211,4,FALSE),0)</f>
        <v>-0.12989999999999999</v>
      </c>
      <c r="BZ31" s="290">
        <f si="3" t="shared"/>
        <v>-8.3079217997362398E-2</v>
      </c>
      <c r="CB31" s="246">
        <f si="4" t="shared"/>
        <v>793.71577473311595</v>
      </c>
      <c r="CC31" s="246">
        <f si="5" t="shared"/>
        <v>757.40994727254372</v>
      </c>
      <c r="CD31" s="336">
        <f si="6" t="shared"/>
        <v>-36.305827460572232</v>
      </c>
      <c r="CE31" s="368">
        <f si="7" t="shared"/>
        <v>-4.5741597453798792E-2</v>
      </c>
      <c r="CF31">
        <v>150000</v>
      </c>
    </row>
    <row r="32" spans="2:84" x14ac:dyDescent="0.25">
      <c r="BU32">
        <v>31</v>
      </c>
      <c r="BV32">
        <f si="0" t="shared"/>
        <v>13</v>
      </c>
      <c r="BW32">
        <f si="1" t="shared"/>
        <v>1</v>
      </c>
      <c r="BX32">
        <f si="2" t="shared"/>
        <v>221</v>
      </c>
      <c r="BY32">
        <f>IFERROR(VLOOKUP(BX32,OtherTourDestination!$B$11:$E$211,4,FALSE),0)</f>
        <v>0.26419999999999999</v>
      </c>
      <c r="BZ32" s="290">
        <f si="3" t="shared"/>
        <v>0.31765719230436473</v>
      </c>
      <c r="CB32" s="246">
        <f si="4" t="shared"/>
        <v>9549.3419714233805</v>
      </c>
      <c r="CC32" s="246">
        <f si="5" t="shared"/>
        <v>9052.2654857209</v>
      </c>
      <c r="CD32" s="336">
        <f si="6" t="shared"/>
        <v>-497.07648570248057</v>
      </c>
      <c r="CE32" s="368">
        <f si="7" t="shared"/>
        <v>-5.2053480458652865E-2</v>
      </c>
      <c r="CF32">
        <v>155000</v>
      </c>
    </row>
    <row ht="15.75" r="33" spans="2:84" thickBot="1" x14ac:dyDescent="0.3">
      <c r="BH33" t="s">
        <v>294</v>
      </c>
      <c r="BI33" s="313">
        <v>1</v>
      </c>
      <c r="BU33">
        <v>32</v>
      </c>
      <c r="BV33">
        <f si="0" t="shared"/>
        <v>13</v>
      </c>
      <c r="BW33">
        <f si="1" t="shared"/>
        <v>2</v>
      </c>
      <c r="BX33">
        <f si="2" t="shared"/>
        <v>222</v>
      </c>
      <c r="BY33">
        <f>IFERROR(VLOOKUP(BX33,OtherTourDestination!$B$11:$E$211,4,FALSE),0)</f>
        <v>0.65149999999999997</v>
      </c>
      <c r="BZ33" s="290">
        <f si="3" t="shared"/>
        <v>0.6876214919707202</v>
      </c>
      <c r="CB33" s="246">
        <f si="4" t="shared"/>
        <v>784.21003794710396</v>
      </c>
      <c r="CC33" s="246">
        <f si="5" t="shared"/>
        <v>756.38870042137307</v>
      </c>
      <c r="CD33" s="336">
        <f si="6" t="shared"/>
        <v>-27.821337525730883</v>
      </c>
      <c r="CE33" s="368">
        <f si="7" t="shared"/>
        <v>-3.5476895448266973E-2</v>
      </c>
      <c r="CF33">
        <v>160000</v>
      </c>
    </row>
    <row r="34" spans="2:84" x14ac:dyDescent="0.25">
      <c r="BG34" s="2" t="s">
        <v>12</v>
      </c>
      <c r="BH34" s="2">
        <v>1</v>
      </c>
      <c r="BI34" s="2">
        <v>2</v>
      </c>
      <c r="BJ34" s="2">
        <v>3</v>
      </c>
      <c r="BK34" s="2">
        <v>4</v>
      </c>
      <c r="BL34" s="2">
        <v>5</v>
      </c>
      <c r="BM34" s="2">
        <v>6</v>
      </c>
      <c r="BN34" s="2">
        <v>7</v>
      </c>
      <c r="BO34" s="2">
        <v>8</v>
      </c>
      <c r="BP34" s="2">
        <v>9</v>
      </c>
      <c r="BQ34" s="2">
        <v>10</v>
      </c>
      <c r="BR34" s="3" t="s">
        <v>13</v>
      </c>
      <c r="BS34" s="3" t="s">
        <v>4</v>
      </c>
      <c r="BU34">
        <v>33</v>
      </c>
      <c r="BV34">
        <f ref="BV34:BV65" si="57" t="shared">IF(BW34=10,BV33,INT(BX34/($BS$2))-$BS$2+1)</f>
        <v>13</v>
      </c>
      <c r="BW34">
        <f ref="BW34:BW65" si="58" t="shared">IF(MOD(BX34,$BS$2)=0,10,MOD(BX34,$BS$2))</f>
        <v>3</v>
      </c>
      <c r="BX34">
        <f ref="BX34:BX65" si="59" t="shared">$BR$2+BU34</f>
        <v>223</v>
      </c>
      <c r="BY34">
        <f>IFERROR(VLOOKUP(BX34,OtherTourDestination!$B$11:$E$211,4,FALSE),0)</f>
        <v>0.86060000000000003</v>
      </c>
      <c r="BZ34" s="290">
        <f ref="BZ34:BZ65" si="60" t="shared">BY34+SUMIF($BH$50:$BQ$59,BX34,$BH$35:$BQ$44)</f>
        <v>0.97510706198186248</v>
      </c>
      <c r="CB34" s="246">
        <f si="4" t="shared"/>
        <v>270.60276385475601</v>
      </c>
      <c r="CC34" s="246">
        <f si="5" t="shared"/>
        <v>241.32507113531918</v>
      </c>
      <c r="CD34" s="336">
        <f si="6" t="shared"/>
        <v>-29.277692719436828</v>
      </c>
      <c r="CE34" s="368">
        <f si="7" t="shared"/>
        <v>-0.10819435951937065</v>
      </c>
      <c r="CF34">
        <v>165000</v>
      </c>
    </row>
    <row ht="15.75" r="35" spans="2:84" thickBot="1" x14ac:dyDescent="0.3">
      <c r="B35" s="4" t="s">
        <v>327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6"/>
      <c r="N35" s="6"/>
      <c r="P35" s="4" t="s">
        <v>324</v>
      </c>
      <c r="Q35" s="1"/>
      <c r="R35" s="1"/>
      <c r="S35" s="1"/>
      <c r="T35" s="1"/>
      <c r="U35" s="1"/>
      <c r="V35" s="1"/>
      <c r="W35" s="1"/>
      <c r="X35" s="1"/>
      <c r="Y35" s="1"/>
      <c r="AE35" s="9" t="s">
        <v>320</v>
      </c>
      <c r="BG35" s="202">
        <v>1</v>
      </c>
      <c r="BH35" s="302">
        <f ref="BH35:BQ35" si="61" t="shared">LN(BH20)*$BI$33</f>
        <v>-0.10324468839160209</v>
      </c>
      <c r="BI35" s="302">
        <f si="61" t="shared"/>
        <v>-5.5538086592400115E-2</v>
      </c>
      <c r="BJ35" s="302">
        <f si="61" t="shared"/>
        <v>5.070726637742682E-2</v>
      </c>
      <c r="BK35" s="302">
        <f si="61" t="shared"/>
        <v>1.8742162951740356E-2</v>
      </c>
      <c r="BL35" s="302">
        <f si="61" t="shared"/>
        <v>2.395209179027333E-3</v>
      </c>
      <c r="BM35" s="302">
        <f si="61" t="shared"/>
        <v>9.240329505695867E-2</v>
      </c>
      <c r="BN35" s="302">
        <f si="61" t="shared"/>
        <v>0.11376181100909889</v>
      </c>
      <c r="BO35" s="302">
        <f si="61" t="shared"/>
        <v>0.13938955983216239</v>
      </c>
      <c r="BP35" s="302">
        <f si="61" t="shared"/>
        <v>0.10768246283612691</v>
      </c>
      <c r="BQ35" s="302">
        <f si="61" t="shared"/>
        <v>0.12494079454222205</v>
      </c>
      <c r="BR35" s="300"/>
      <c r="BS35" s="301"/>
      <c r="BU35">
        <v>34</v>
      </c>
      <c r="BV35">
        <f si="57" t="shared"/>
        <v>13</v>
      </c>
      <c r="BW35">
        <f si="58" t="shared"/>
        <v>4</v>
      </c>
      <c r="BX35">
        <f si="59" t="shared"/>
        <v>224</v>
      </c>
      <c r="BY35">
        <f>IFERROR(VLOOKUP(BX35,OtherTourDestination!$B$11:$E$211,4,FALSE),0)</f>
        <v>-2.52E-2</v>
      </c>
      <c r="BZ35" s="290">
        <f si="60" t="shared"/>
        <v>3.3306627340862954E-2</v>
      </c>
      <c r="CB35" s="246">
        <f si="4" t="shared"/>
        <v>49885.818964235899</v>
      </c>
      <c r="CC35" s="246">
        <f si="5" t="shared"/>
        <v>47050.907128151608</v>
      </c>
      <c r="CD35" s="336">
        <f si="6" t="shared"/>
        <v>-2834.9118360842913</v>
      </c>
      <c r="CE35" s="368">
        <f si="7" t="shared"/>
        <v>-5.6828010343314077E-2</v>
      </c>
      <c r="CF35">
        <v>170000</v>
      </c>
    </row>
    <row r="36" spans="2:84" x14ac:dyDescent="0.25">
      <c r="B36" s="2" t="s">
        <v>12</v>
      </c>
      <c r="C36" s="2">
        <v>1</v>
      </c>
      <c r="D36" s="2">
        <v>2</v>
      </c>
      <c r="E36" s="2">
        <v>3</v>
      </c>
      <c r="F36" s="2">
        <v>4</v>
      </c>
      <c r="G36" s="2">
        <v>5</v>
      </c>
      <c r="H36" s="2">
        <v>6</v>
      </c>
      <c r="I36" s="2">
        <v>7</v>
      </c>
      <c r="J36" s="2">
        <v>8</v>
      </c>
      <c r="K36" s="2">
        <v>9</v>
      </c>
      <c r="L36" s="2">
        <v>10</v>
      </c>
      <c r="M36" s="3" t="s">
        <v>13</v>
      </c>
      <c r="N36" s="3" t="s">
        <v>4</v>
      </c>
      <c r="P36" s="2" t="s">
        <v>12</v>
      </c>
      <c r="Q36" s="2">
        <v>1</v>
      </c>
      <c r="R36" s="2">
        <v>2</v>
      </c>
      <c r="S36" s="2">
        <v>3</v>
      </c>
      <c r="T36" s="2">
        <v>4</v>
      </c>
      <c r="U36" s="2">
        <v>5</v>
      </c>
      <c r="V36" s="2">
        <v>6</v>
      </c>
      <c r="W36" s="2">
        <v>7</v>
      </c>
      <c r="X36" s="2">
        <v>8</v>
      </c>
      <c r="Y36" s="2">
        <v>9</v>
      </c>
      <c r="Z36" s="2">
        <v>10</v>
      </c>
      <c r="AA36" s="3" t="s">
        <v>13</v>
      </c>
      <c r="AB36" s="3" t="s">
        <v>4</v>
      </c>
      <c r="AE36" s="312" t="s">
        <v>293</v>
      </c>
      <c r="AF36" s="2">
        <v>1</v>
      </c>
      <c r="AG36" s="2">
        <v>2</v>
      </c>
      <c r="AH36" s="2">
        <v>3</v>
      </c>
      <c r="AI36" s="2">
        <v>4</v>
      </c>
      <c r="AJ36" s="2">
        <v>5</v>
      </c>
      <c r="AK36" s="2">
        <v>6</v>
      </c>
      <c r="AL36" s="2">
        <v>7</v>
      </c>
      <c r="AM36" s="2">
        <v>8</v>
      </c>
      <c r="AN36" s="2">
        <v>9</v>
      </c>
      <c r="AO36" s="2">
        <v>10</v>
      </c>
      <c r="AP36" s="3" t="s">
        <v>13</v>
      </c>
      <c r="AQ36" s="311" t="s">
        <v>4</v>
      </c>
      <c r="BG36">
        <v>2</v>
      </c>
      <c r="BH36" s="302">
        <f ref="BH36:BQ36" si="62" t="shared">LN(BH21)*$BI$33</f>
        <v>-3.5813554542880585E-2</v>
      </c>
      <c r="BI36" s="302">
        <f si="62" t="shared"/>
        <v>-6.3395103053573112E-2</v>
      </c>
      <c r="BJ36" s="302">
        <f si="62" t="shared"/>
        <v>5.1160951245146156E-2</v>
      </c>
      <c r="BK36" s="302">
        <f si="62" t="shared"/>
        <v>-2.2774737356695243E-2</v>
      </c>
      <c r="BL36" s="302">
        <f si="62" t="shared"/>
        <v>-4.7010084860531265E-2</v>
      </c>
      <c r="BM36" s="302">
        <f si="62" t="shared"/>
        <v>5.2235747370596108E-2</v>
      </c>
      <c r="BN36" s="302">
        <f si="62" t="shared"/>
        <v>7.0809991549092358E-3</v>
      </c>
      <c r="BO36" s="302">
        <f si="62" t="shared"/>
        <v>0.1029543754540429</v>
      </c>
      <c r="BP36" s="302">
        <f si="62" t="shared"/>
        <v>6.7874910228673951E-2</v>
      </c>
      <c r="BQ36" s="302">
        <f si="62" t="shared"/>
        <v>2.5983664121578601E-2</v>
      </c>
      <c r="BR36" s="300"/>
      <c r="BS36" s="301"/>
      <c r="BU36">
        <v>35</v>
      </c>
      <c r="BV36">
        <f si="57" t="shared"/>
        <v>13</v>
      </c>
      <c r="BW36">
        <f si="58" t="shared"/>
        <v>5</v>
      </c>
      <c r="BX36">
        <f si="59" t="shared"/>
        <v>225</v>
      </c>
      <c r="BY36">
        <f>IFERROR(VLOOKUP(BX36,OtherTourDestination!$B$11:$E$211,4,FALSE),0)</f>
        <v>0.68689999999999996</v>
      </c>
      <c r="BZ36" s="290">
        <f si="60" t="shared"/>
        <v>0.77743699381989573</v>
      </c>
      <c r="CB36" s="246">
        <f si="4" t="shared"/>
        <v>1440.62028102571</v>
      </c>
      <c r="CC36" s="246">
        <f si="5" t="shared"/>
        <v>1315.9209697703532</v>
      </c>
      <c r="CD36" s="336">
        <f si="6" t="shared"/>
        <v>-124.69931125535686</v>
      </c>
      <c r="CE36" s="368">
        <f si="7" t="shared"/>
        <v>-8.655945837897823E-2</v>
      </c>
      <c r="CF36">
        <v>175000</v>
      </c>
    </row>
    <row r="37" spans="2:84" x14ac:dyDescent="0.25">
      <c r="B37" s="202">
        <v>1</v>
      </c>
      <c r="C37" s="296">
        <f ref="C37:N37" si="63" t="shared">IF($N$31&gt;0,C20/$N$31,0)</f>
        <v>0.28863127222048945</v>
      </c>
      <c r="D37" s="296">
        <f si="63" t="shared"/>
        <v>1.6465291881110591E-2</v>
      </c>
      <c r="E37" s="296">
        <f si="63" t="shared"/>
        <v>3.5129815163806393E-3</v>
      </c>
      <c r="F37" s="296">
        <f si="63" t="shared"/>
        <v>1.8380249321813511E-2</v>
      </c>
      <c r="G37" s="296">
        <f si="63" t="shared"/>
        <v>1.1573259170853174E-2</v>
      </c>
      <c r="H37" s="296">
        <f si="63" t="shared"/>
        <v>3.4687105548202144E-3</v>
      </c>
      <c r="I37" s="296">
        <f si="63" t="shared"/>
        <v>6.2369022399085081E-4</v>
      </c>
      <c r="J37" s="296">
        <f si="63" t="shared"/>
        <v>2.3945911882512325E-3</v>
      </c>
      <c r="K37" s="296">
        <f si="63" t="shared"/>
        <v>5.10549965854966E-4</v>
      </c>
      <c r="L37" s="296">
        <f si="63" t="shared"/>
        <v>2.7479038468320419E-3</v>
      </c>
      <c r="M37" s="296">
        <f si="63" t="shared"/>
        <v>0</v>
      </c>
      <c r="N37" s="296">
        <f si="63" t="shared"/>
        <v>0.34830849989039669</v>
      </c>
      <c r="P37" s="202">
        <v>1</v>
      </c>
      <c r="Q37" s="296">
        <f ref="Q37:Q48" si="64" t="shared">IF($AQ$31&gt;0,AF20/$AQ$31,0)</f>
        <v>0.3200235821231654</v>
      </c>
      <c r="R37" s="296">
        <f ref="R37:R48" si="65" t="shared">IF($AQ$31&gt;0,AG20/$AQ$31,0)</f>
        <v>1.7405612812432747E-2</v>
      </c>
      <c r="S37" s="296">
        <f ref="S37:S48" si="66" t="shared">IF($AQ$31&gt;0,AH20/$AQ$31,0)</f>
        <v>3.3392887840309176E-3</v>
      </c>
      <c r="T37" s="296">
        <f ref="T37:T48" si="67" t="shared">IF($AQ$31&gt;0,AI20/$AQ$31,0)</f>
        <v>1.8038971823125881E-2</v>
      </c>
      <c r="U37" s="296">
        <f ref="U37:U48" si="68" t="shared">IF($AQ$31&gt;0,AJ20/$AQ$31,0)</f>
        <v>1.154557196581656E-2</v>
      </c>
      <c r="V37" s="296">
        <f ref="V37:V48" si="69" t="shared">IF($AQ$31&gt;0,AK20/$AQ$31,0)</f>
        <v>3.1625530600921121E-3</v>
      </c>
      <c r="W37" s="296">
        <f ref="W37:W48" si="70" t="shared">IF($AQ$31&gt;0,AL20/$AQ$31,0)</f>
        <v>5.5662513055154401E-4</v>
      </c>
      <c r="X37" s="296">
        <f ref="X37:X48" si="71" t="shared">IF($AQ$31&gt;0,AM20/$AQ$31,0)</f>
        <v>2.0830287463090903E-3</v>
      </c>
      <c r="Y37" s="296">
        <f ref="Y37:Y48" si="72" t="shared">IF($AQ$31&gt;0,AN20/$AQ$31,0)</f>
        <v>4.5842928393345829E-4</v>
      </c>
      <c r="Z37" s="296">
        <f ref="Z37:Z48" si="73" t="shared">IF($AQ$31&gt;0,AO20/$AQ$31,0)</f>
        <v>2.4251602118997451E-3</v>
      </c>
      <c r="AA37" s="296">
        <f ref="AA37:AA48" si="74" t="shared">IF($AQ$31&gt;0,AP20/$AQ$31,0)</f>
        <v>0</v>
      </c>
      <c r="AB37" s="296">
        <f ref="AB37:AB48" si="75" t="shared">IF($AQ$31&gt;0,AQ20/$AQ$31,0)</f>
        <v>0.37903882394135746</v>
      </c>
      <c r="AD37" t="s">
        <v>212</v>
      </c>
      <c r="AE37" s="306" t="s">
        <v>291</v>
      </c>
      <c r="AF37" s="310">
        <f>C31</f>
        <v>183930.10789502389</v>
      </c>
      <c r="AG37" s="310">
        <f ref="AG37:AQ37" si="76" t="shared">D31</f>
        <v>78100.9855624505</v>
      </c>
      <c r="AH37" s="310">
        <f si="76" t="shared"/>
        <v>89478.354000309628</v>
      </c>
      <c r="AI37" s="310">
        <f si="76" t="shared"/>
        <v>64094.000786540113</v>
      </c>
      <c r="AJ37" s="310">
        <f si="76" t="shared"/>
        <v>31517.166290048946</v>
      </c>
      <c r="AK37" s="310">
        <f si="76" t="shared"/>
        <v>32510.511569309609</v>
      </c>
      <c r="AL37" s="310">
        <f si="76" t="shared"/>
        <v>13633.689905926323</v>
      </c>
      <c r="AM37" s="310">
        <f si="76" t="shared"/>
        <v>11664.44038512197</v>
      </c>
      <c r="AN37" s="310">
        <f si="76" t="shared"/>
        <v>13401.343661026123</v>
      </c>
      <c r="AO37" s="310">
        <f si="76" t="shared"/>
        <v>10265.904270437459</v>
      </c>
      <c r="AP37" s="310">
        <f si="76" t="shared"/>
        <v>0</v>
      </c>
      <c r="AQ37" s="309">
        <f si="76" t="shared"/>
        <v>528596.50432619452</v>
      </c>
      <c r="BG37">
        <v>3</v>
      </c>
      <c r="BH37" s="302">
        <f ref="BH37:BQ37" si="77" t="shared">LN(BH22)*$BI$33</f>
        <v>-7.360569600016801E-3</v>
      </c>
      <c r="BI37" s="302">
        <f si="77" t="shared"/>
        <v>-2.7388620435187552E-2</v>
      </c>
      <c r="BJ37" s="302">
        <f si="77" t="shared"/>
        <v>-3.1979791390259409E-2</v>
      </c>
      <c r="BK37" s="302">
        <f si="77" t="shared"/>
        <v>6.4912634182003215E-2</v>
      </c>
      <c r="BL37" s="302">
        <f si="77" t="shared"/>
        <v>7.5048208069076597E-2</v>
      </c>
      <c r="BM37" s="302">
        <f si="77" t="shared"/>
        <v>8.9340065453973633E-2</v>
      </c>
      <c r="BN37" s="302">
        <f si="77" t="shared"/>
        <v>0.1154495220915349</v>
      </c>
      <c r="BO37" s="302">
        <f si="77" t="shared"/>
        <v>0.18886785145275273</v>
      </c>
      <c r="BP37" s="302">
        <f si="77" t="shared"/>
        <v>0.1248787302422994</v>
      </c>
      <c r="BQ37" s="302">
        <f si="77" t="shared"/>
        <v>4.682078200263759E-2</v>
      </c>
      <c r="BR37" s="300"/>
      <c r="BS37" s="301"/>
      <c r="BU37">
        <v>36</v>
      </c>
      <c r="BV37">
        <f si="57" t="shared"/>
        <v>13</v>
      </c>
      <c r="BW37">
        <f si="58" t="shared"/>
        <v>6</v>
      </c>
      <c r="BX37">
        <f si="59" t="shared"/>
        <v>226</v>
      </c>
      <c r="BY37">
        <f>IFERROR(VLOOKUP(BX37,OtherTourDestination!$B$11:$E$211,4,FALSE),0)</f>
        <v>1.3738999999999999</v>
      </c>
      <c r="BZ37" s="290">
        <f si="60" t="shared"/>
        <v>1.5175097025497355</v>
      </c>
      <c r="CB37" s="246">
        <f si="4" t="shared"/>
        <v>526.63698676752301</v>
      </c>
      <c r="CC37" s="246">
        <f si="5" t="shared"/>
        <v>456.18652821421699</v>
      </c>
      <c r="CD37" s="336">
        <f si="6" t="shared"/>
        <v>-70.450458553306021</v>
      </c>
      <c r="CE37" s="368">
        <f si="7" t="shared"/>
        <v>-0.13377423220068183</v>
      </c>
      <c r="CF37">
        <v>180000</v>
      </c>
    </row>
    <row r="38" spans="2:84" x14ac:dyDescent="0.25">
      <c r="B38">
        <v>2</v>
      </c>
      <c r="C38" s="295">
        <f ref="C38:N38" si="78" t="shared">IF($N$31&gt;0,C21/$N$31,0)</f>
        <v>1.6416630636576581E-2</v>
      </c>
      <c r="D38" s="295">
        <f si="78" t="shared"/>
        <v>0.11539834372441345</v>
      </c>
      <c r="E38" s="295">
        <f si="78" t="shared"/>
        <v>1.766195060513264E-3</v>
      </c>
      <c r="F38" s="295">
        <f si="78" t="shared"/>
        <v>1.4803326011960374E-3</v>
      </c>
      <c r="G38" s="295">
        <f si="78" t="shared"/>
        <v>2.6707858172976004E-3</v>
      </c>
      <c r="H38" s="295">
        <f si="78" t="shared"/>
        <v>3.8623270564714517E-3</v>
      </c>
      <c r="I38" s="295">
        <f si="78" t="shared"/>
        <v>8.5133972241304421E-4</v>
      </c>
      <c r="J38" s="295">
        <f si="78" t="shared"/>
        <v>4.1290997129913871E-3</v>
      </c>
      <c r="K38" s="295">
        <f si="78" t="shared"/>
        <v>2.4155941718088554E-4</v>
      </c>
      <c r="L38" s="295">
        <f si="78" t="shared"/>
        <v>3.6139691720852608E-4</v>
      </c>
      <c r="M38" s="295">
        <f si="78" t="shared"/>
        <v>0</v>
      </c>
      <c r="N38" s="295">
        <f si="78" t="shared"/>
        <v>0.14717801066626224</v>
      </c>
      <c r="P38">
        <v>2</v>
      </c>
      <c r="Q38" s="295">
        <f si="64" t="shared"/>
        <v>1.701522342222098E-2</v>
      </c>
      <c r="R38" s="295">
        <f si="65" t="shared"/>
        <v>0.12295090195069111</v>
      </c>
      <c r="S38" s="295">
        <f si="66" t="shared"/>
        <v>1.6781073787962713E-3</v>
      </c>
      <c r="T38" s="295">
        <f si="67" t="shared"/>
        <v>1.5144336344546595E-3</v>
      </c>
      <c r="U38" s="295">
        <f si="68" t="shared"/>
        <v>2.7993376274346119E-3</v>
      </c>
      <c r="V38" s="295">
        <f si="69" t="shared"/>
        <v>3.665754274091815E-3</v>
      </c>
      <c r="W38" s="295">
        <f si="70" t="shared"/>
        <v>8.4533267959035346E-4</v>
      </c>
      <c r="X38" s="295">
        <f si="71" t="shared"/>
        <v>3.7251421813278992E-3</v>
      </c>
      <c r="Y38" s="295">
        <f si="72" t="shared"/>
        <v>2.2570764744465416E-4</v>
      </c>
      <c r="Z38" s="295">
        <f si="73" t="shared"/>
        <v>3.5212744997692235E-4</v>
      </c>
      <c r="AA38" s="295">
        <f si="74" t="shared"/>
        <v>0</v>
      </c>
      <c r="AB38" s="295">
        <f si="75" t="shared"/>
        <v>0.15477206824602929</v>
      </c>
      <c r="AE38" s="308" t="s">
        <v>290</v>
      </c>
      <c r="AF38" s="251">
        <f ref="AF38:AQ38" si="79" t="shared">AF31</f>
        <v>198921.2812003649</v>
      </c>
      <c r="AG38" s="251">
        <f si="79" t="shared"/>
        <v>81735.491733441042</v>
      </c>
      <c r="AH38" s="251">
        <f si="79" t="shared"/>
        <v>89890.725066519706</v>
      </c>
      <c r="AI38" s="251">
        <f si="79" t="shared"/>
        <v>60607.936876423089</v>
      </c>
      <c r="AJ38" s="251">
        <f si="79" t="shared"/>
        <v>28908.87863645691</v>
      </c>
      <c r="AK38" s="251">
        <f si="79" t="shared"/>
        <v>28044.370975922524</v>
      </c>
      <c r="AL38" s="251">
        <f si="79" t="shared"/>
        <v>11450.974529954163</v>
      </c>
      <c r="AM38" s="251">
        <f si="79" t="shared"/>
        <v>8810.2743840304647</v>
      </c>
      <c r="AN38" s="251">
        <f si="79" t="shared"/>
        <v>11328.047490499122</v>
      </c>
      <c r="AO38" s="251">
        <f si="79" t="shared"/>
        <v>8898.523432582715</v>
      </c>
      <c r="AP38" s="251">
        <f si="79" t="shared"/>
        <v>0</v>
      </c>
      <c r="AQ38" s="307">
        <f si="79" t="shared"/>
        <v>528596.50432619452</v>
      </c>
      <c r="BG38">
        <v>4</v>
      </c>
      <c r="BH38" s="302">
        <f ref="BH38:BQ38" si="80" t="shared">LN(BH23)*$BI$33</f>
        <v>5.3457192304364763E-2</v>
      </c>
      <c r="BI38" s="302">
        <f si="80" t="shared"/>
        <v>3.6121491970720183E-2</v>
      </c>
      <c r="BJ38" s="302">
        <f si="80" t="shared"/>
        <v>0.11450706198186243</v>
      </c>
      <c r="BK38" s="302">
        <f si="80" t="shared"/>
        <v>5.8506627340862954E-2</v>
      </c>
      <c r="BL38" s="302">
        <f si="80" t="shared"/>
        <v>9.0536993819895814E-2</v>
      </c>
      <c r="BM38" s="302">
        <f si="80" t="shared"/>
        <v>0.14360970254973557</v>
      </c>
      <c r="BN38" s="302">
        <f si="80" t="shared"/>
        <v>0.25619695330313247</v>
      </c>
      <c r="BO38" s="302">
        <f si="80" t="shared"/>
        <v>8.8023783461304114E-2</v>
      </c>
      <c r="BP38" s="302">
        <f si="80" t="shared"/>
        <v>0.3670944362941353</v>
      </c>
      <c r="BQ38" s="302">
        <f si="80" t="shared"/>
        <v>0.12856438932043476</v>
      </c>
      <c r="BR38" s="300"/>
      <c r="BS38" s="301"/>
      <c r="BU38">
        <v>37</v>
      </c>
      <c r="BV38">
        <f si="57" t="shared"/>
        <v>13</v>
      </c>
      <c r="BW38">
        <f si="58" t="shared"/>
        <v>7</v>
      </c>
      <c r="BX38">
        <f si="59" t="shared"/>
        <v>227</v>
      </c>
      <c r="BY38">
        <f>IFERROR(VLOOKUP(BX38,OtherTourDestination!$B$11:$E$211,4,FALSE),0)</f>
        <v>1.6093999999999999</v>
      </c>
      <c r="BZ38" s="290">
        <f si="60" t="shared"/>
        <v>1.8655969533031325</v>
      </c>
      <c r="CB38" s="246">
        <f si="4" t="shared"/>
        <v>136.104987078308</v>
      </c>
      <c r="CC38" s="246">
        <f si="5" t="shared"/>
        <v>105.3438328001007</v>
      </c>
      <c r="CD38" s="336">
        <f si="6" t="shared"/>
        <v>-30.7611542782073</v>
      </c>
      <c r="CE38" s="368">
        <f si="7" t="shared"/>
        <v>-0.22601048601186724</v>
      </c>
      <c r="CF38">
        <v>185000</v>
      </c>
    </row>
    <row r="39" spans="2:84" x14ac:dyDescent="0.25">
      <c r="B39">
        <v>3</v>
      </c>
      <c r="C39" s="295">
        <f ref="C39:N39" si="81" t="shared">IF($N$31&gt;0,C22/$N$31,0)</f>
        <v>3.2841146954907777E-3</v>
      </c>
      <c r="D39" s="295">
        <f si="81" t="shared"/>
        <v>1.625087368386883E-3</v>
      </c>
      <c r="E39" s="295">
        <f si="81" t="shared"/>
        <v>0.13905595060123024</v>
      </c>
      <c r="F39" s="295">
        <f si="81" t="shared"/>
        <v>5.0929690375467961E-4</v>
      </c>
      <c r="G39" s="295">
        <f si="81" t="shared"/>
        <v>1.9126588282791239E-3</v>
      </c>
      <c r="H39" s="295">
        <f si="81" t="shared"/>
        <v>8.9630309465258372E-3</v>
      </c>
      <c r="I39" s="295">
        <f si="81" t="shared"/>
        <v>1.8792751231454055E-3</v>
      </c>
      <c r="J39" s="295">
        <f si="81" t="shared"/>
        <v>5.3414602819291533E-4</v>
      </c>
      <c r="K39" s="295">
        <f si="81" t="shared"/>
        <v>9.9168608230504572E-3</v>
      </c>
      <c r="L39" s="295">
        <f si="81" t="shared"/>
        <v>1.5015532040736266E-3</v>
      </c>
      <c r="M39" s="295">
        <f si="81" t="shared"/>
        <v>0</v>
      </c>
      <c r="N39" s="295">
        <f si="81" t="shared"/>
        <v>0.16918197452212996</v>
      </c>
      <c r="P39">
        <v>3</v>
      </c>
      <c r="Q39" s="295">
        <f si="64" t="shared"/>
        <v>3.3083768323153725E-3</v>
      </c>
      <c r="R39" s="295">
        <f si="65" t="shared"/>
        <v>1.6702113911298043E-3</v>
      </c>
      <c r="S39" s="295">
        <f si="66" t="shared"/>
        <v>0.14357480173615986</v>
      </c>
      <c r="T39" s="295">
        <f si="67" t="shared"/>
        <v>4.772872544773074E-4</v>
      </c>
      <c r="U39" s="295">
        <f si="68" t="shared"/>
        <v>1.7743712284321433E-3</v>
      </c>
      <c r="V39" s="295">
        <f si="69" t="shared"/>
        <v>8.1970011962841198E-3</v>
      </c>
      <c r="W39" s="295">
        <f si="70" t="shared"/>
        <v>1.6743693846350174E-3</v>
      </c>
      <c r="X39" s="295">
        <f si="71" t="shared"/>
        <v>4.4221730925656286E-4</v>
      </c>
      <c r="Y39" s="295">
        <f si="72" t="shared"/>
        <v>8.7526603283445449E-3</v>
      </c>
      <c r="Z39" s="295">
        <f si="73" t="shared"/>
        <v>1.4328697618574289E-3</v>
      </c>
      <c r="AA39" s="295">
        <f si="74" t="shared"/>
        <v>0</v>
      </c>
      <c r="AB39" s="295">
        <f si="75" t="shared"/>
        <v>0.17130416642289217</v>
      </c>
      <c r="AD39" t="s">
        <v>292</v>
      </c>
      <c r="AE39" s="306" t="s">
        <v>291</v>
      </c>
      <c r="AF39" s="295">
        <f ref="AF39:AQ39" si="82" t="shared">C48</f>
        <v>0.34795937239403585</v>
      </c>
      <c r="AG39" s="295">
        <f si="82" t="shared"/>
        <v>0.14775161190671576</v>
      </c>
      <c r="AH39" s="295">
        <f si="82" t="shared"/>
        <v>0.16927534190633417</v>
      </c>
      <c r="AI39" s="295">
        <f si="82" t="shared"/>
        <v>0.12125316808184565</v>
      </c>
      <c r="AJ39" s="295">
        <f si="82" t="shared"/>
        <v>5.9624242748680466E-2</v>
      </c>
      <c r="AK39" s="295">
        <f si="82" t="shared"/>
        <v>6.150345547735124E-2</v>
      </c>
      <c r="AL39" s="295">
        <f si="82" t="shared"/>
        <v>2.5792243789627928E-2</v>
      </c>
      <c r="AM39" s="295">
        <f si="82" t="shared"/>
        <v>2.2066813324826486E-2</v>
      </c>
      <c r="AN39" s="295">
        <f si="82" t="shared"/>
        <v>2.5352690665461183E-2</v>
      </c>
      <c r="AO39" s="295">
        <f si="82" t="shared"/>
        <v>1.9421059705121348E-2</v>
      </c>
      <c r="AP39" s="295">
        <f si="82" t="shared"/>
        <v>0</v>
      </c>
      <c r="AQ39" s="305">
        <f si="82" t="shared"/>
        <v>1</v>
      </c>
      <c r="BG39">
        <v>5</v>
      </c>
      <c r="BH39" s="302">
        <f ref="BH39:BQ39" si="83" t="shared">LN(BH24)*$BI$33</f>
        <v>9.9999161278323256E-2</v>
      </c>
      <c r="BI39" s="302">
        <f si="83" t="shared"/>
        <v>6.2547079038281966E-2</v>
      </c>
      <c r="BJ39" s="302">
        <f si="83" t="shared"/>
        <v>0.10582015381138228</v>
      </c>
      <c r="BK39" s="302">
        <f si="83" t="shared"/>
        <v>0.11628325555088202</v>
      </c>
      <c r="BL39" s="302">
        <f si="83" t="shared"/>
        <v>0.11389110103033526</v>
      </c>
      <c r="BM39" s="302">
        <f si="83" t="shared"/>
        <v>0.17054279803926706</v>
      </c>
      <c r="BN39" s="302">
        <f si="83" t="shared"/>
        <v>0.1710037546163144</v>
      </c>
      <c r="BO39" s="302">
        <f si="83" t="shared"/>
        <v>0.22636992302419484</v>
      </c>
      <c r="BP39" s="302">
        <f si="83" t="shared"/>
        <v>0.33847084185939319</v>
      </c>
      <c r="BQ39" s="302">
        <f si="83" t="shared"/>
        <v>0.17349704417782841</v>
      </c>
      <c r="BR39" s="300"/>
      <c r="BS39" s="301"/>
      <c r="BU39">
        <v>38</v>
      </c>
      <c r="BV39">
        <f si="57" t="shared"/>
        <v>13</v>
      </c>
      <c r="BW39">
        <f si="58" t="shared"/>
        <v>8</v>
      </c>
      <c r="BX39">
        <f si="59" t="shared"/>
        <v>228</v>
      </c>
      <c r="BY39">
        <f>IFERROR(VLOOKUP(BX39,OtherTourDestination!$B$11:$E$211,4,FALSE),0)</f>
        <v>0.83069999999999999</v>
      </c>
      <c r="BZ39" s="290">
        <f si="60" t="shared"/>
        <v>0.91872378346130412</v>
      </c>
      <c r="CB39" s="246">
        <f si="4" t="shared"/>
        <v>406.01133891952298</v>
      </c>
      <c r="CC39" s="246">
        <f si="5" t="shared"/>
        <v>371.80045688161869</v>
      </c>
      <c r="CD39" s="336">
        <f si="6" t="shared"/>
        <v>-34.210882037904298</v>
      </c>
      <c r="CE39" s="368">
        <f si="7" t="shared"/>
        <v>-8.4260902981050392E-2</v>
      </c>
      <c r="CF39">
        <v>190000</v>
      </c>
    </row>
    <row ht="15.75" r="40" spans="2:84" thickBot="1" x14ac:dyDescent="0.3">
      <c r="B40">
        <v>4</v>
      </c>
      <c r="C40" s="295">
        <f ref="C40:N40" si="84" t="shared">IF($N$31&gt;0,C23/$N$31,0)</f>
        <v>1.8065465611801557E-2</v>
      </c>
      <c r="D40" s="295">
        <f si="84" t="shared"/>
        <v>1.4835702308450597E-3</v>
      </c>
      <c r="E40" s="295">
        <f si="84" t="shared"/>
        <v>5.1192688873282497E-4</v>
      </c>
      <c r="F40" s="295">
        <f si="84" t="shared"/>
        <v>9.4374099253315497E-2</v>
      </c>
      <c r="G40" s="295">
        <f si="84" t="shared"/>
        <v>2.7253685358023284E-3</v>
      </c>
      <c r="H40" s="295">
        <f si="84" t="shared"/>
        <v>9.9629298048202323E-4</v>
      </c>
      <c r="I40" s="295">
        <f si="84" t="shared"/>
        <v>2.5748370631357455E-4</v>
      </c>
      <c r="J40" s="295">
        <f si="84" t="shared"/>
        <v>7.6809312130633235E-4</v>
      </c>
      <c r="K40" s="295">
        <f si="84" t="shared"/>
        <v>1.1792212743845038E-4</v>
      </c>
      <c r="L40" s="295">
        <f si="84" t="shared"/>
        <v>1.5983109266080157E-3</v>
      </c>
      <c r="M40" s="295">
        <f si="84" t="shared"/>
        <v>0</v>
      </c>
      <c r="N40" s="295">
        <f si="84" t="shared"/>
        <v>0.12089853338264568</v>
      </c>
      <c r="P40">
        <v>4</v>
      </c>
      <c r="Q40" s="295">
        <f si="64" t="shared"/>
        <v>1.7125095250601179E-2</v>
      </c>
      <c r="R40" s="295">
        <f si="65" t="shared"/>
        <v>1.4309377648752081E-3</v>
      </c>
      <c r="S40" s="295">
        <f si="66" t="shared"/>
        <v>4.5653928688563282E-4</v>
      </c>
      <c r="T40" s="295">
        <f si="67" t="shared"/>
        <v>8.9011006964807141E-2</v>
      </c>
      <c r="U40" s="295">
        <f si="68" t="shared"/>
        <v>2.4894621114601701E-3</v>
      </c>
      <c r="V40" s="295">
        <f si="69" t="shared"/>
        <v>8.630146519711117E-4</v>
      </c>
      <c r="W40" s="295">
        <f si="70" t="shared"/>
        <v>1.9928968870950667E-4</v>
      </c>
      <c r="X40" s="295">
        <f si="71" t="shared"/>
        <v>7.0337290133152739E-4</v>
      </c>
      <c r="Y40" s="295">
        <f si="72" t="shared"/>
        <v>8.1689872400419114E-5</v>
      </c>
      <c r="Z40" s="295">
        <f si="73" t="shared"/>
        <v>1.4054858046311698E-3</v>
      </c>
      <c r="AA40" s="295">
        <f si="74" t="shared"/>
        <v>0</v>
      </c>
      <c r="AB40" s="295">
        <f si="75" t="shared"/>
        <v>0.11376589429767306</v>
      </c>
      <c r="AE40" s="304" t="s">
        <v>290</v>
      </c>
      <c r="AF40" s="292">
        <f ref="AF40:AQ40" si="85" t="shared">Q48</f>
        <v>0.3763197061886196</v>
      </c>
      <c r="AG40" s="292">
        <f si="85" t="shared"/>
        <v>0.15462737847203475</v>
      </c>
      <c r="AH40" s="292">
        <f si="85" t="shared"/>
        <v>0.17005546637336169</v>
      </c>
      <c r="AI40" s="292">
        <f si="85" t="shared"/>
        <v>0.11465822490385257</v>
      </c>
      <c r="AJ40" s="292">
        <f si="85" t="shared"/>
        <v>5.468987857440951E-2</v>
      </c>
      <c r="AK40" s="292">
        <f si="85" t="shared"/>
        <v>5.3054401129025382E-2</v>
      </c>
      <c r="AL40" s="292">
        <f si="85" t="shared"/>
        <v>2.1662978162428063E-2</v>
      </c>
      <c r="AM40" s="292">
        <f si="85" t="shared"/>
        <v>1.6667295965683657E-2</v>
      </c>
      <c r="AN40" s="292">
        <f si="85" t="shared"/>
        <v>2.1430424525676839E-2</v>
      </c>
      <c r="AO40" s="292">
        <f si="85" t="shared"/>
        <v>1.6834245704908175E-2</v>
      </c>
      <c r="AP40" s="292">
        <f si="85" t="shared"/>
        <v>0</v>
      </c>
      <c r="AQ40" s="303">
        <f si="85" t="shared"/>
        <v>1</v>
      </c>
      <c r="BG40">
        <v>6</v>
      </c>
      <c r="BH40" s="302">
        <f ref="BH40:BQ40" si="86" t="shared">LN(BH25)*$BI$33</f>
        <v>0.11350855779712429</v>
      </c>
      <c r="BI40" s="302">
        <f si="86" t="shared"/>
        <v>0.1285135356731808</v>
      </c>
      <c r="BJ40" s="302">
        <f si="86" t="shared"/>
        <v>0.12357678752824519</v>
      </c>
      <c r="BK40" s="302">
        <f si="86" t="shared"/>
        <v>0.14282181316308556</v>
      </c>
      <c r="BL40" s="302">
        <f si="86" t="shared"/>
        <v>0.14996109395955812</v>
      </c>
      <c r="BM40" s="302">
        <f si="86" t="shared"/>
        <v>0.16589627598876211</v>
      </c>
      <c r="BN40" s="302">
        <f si="86" t="shared"/>
        <v>0.16178628389477387</v>
      </c>
      <c r="BO40" s="302">
        <f si="86" t="shared"/>
        <v>0.27188468191633391</v>
      </c>
      <c r="BP40" s="302">
        <f si="86" t="shared"/>
        <v>0.166566986349626</v>
      </c>
      <c r="BQ40" s="302">
        <f si="86" t="shared"/>
        <v>0.16577220055894043</v>
      </c>
      <c r="BR40" s="300"/>
      <c r="BS40" s="301"/>
      <c r="BU40">
        <v>39</v>
      </c>
      <c r="BV40">
        <f si="57" t="shared"/>
        <v>13</v>
      </c>
      <c r="BW40">
        <f si="58" t="shared"/>
        <v>9</v>
      </c>
      <c r="BX40">
        <f si="59" t="shared"/>
        <v>229</v>
      </c>
      <c r="BY40">
        <f>IFERROR(VLOOKUP(BX40,OtherTourDestination!$B$11:$E$211,4,FALSE),0)</f>
        <v>1.1528</v>
      </c>
      <c r="BZ40" s="290">
        <f si="60" t="shared"/>
        <v>1.5198944362941353</v>
      </c>
      <c r="CB40" s="246">
        <f si="4" t="shared"/>
        <v>62.3332243466729</v>
      </c>
      <c r="CC40" s="246">
        <f si="5" t="shared"/>
        <v>43.180980989714421</v>
      </c>
      <c r="CD40" s="336">
        <f si="6" t="shared"/>
        <v>-19.152243356958479</v>
      </c>
      <c r="CE40" s="368">
        <f si="7" t="shared"/>
        <v>-0.30725577824181255</v>
      </c>
      <c r="CF40">
        <v>195000</v>
      </c>
    </row>
    <row r="41" spans="2:84" x14ac:dyDescent="0.25">
      <c r="B41">
        <v>5</v>
      </c>
      <c r="C41" s="295">
        <f ref="C41:N41" si="87" t="shared">IF($N$31&gt;0,C24/$N$31,0)</f>
        <v>1.1785711096550414E-2</v>
      </c>
      <c r="D41" s="295">
        <f si="87" t="shared"/>
        <v>2.8761564923865698E-3</v>
      </c>
      <c r="E41" s="295">
        <f si="87" t="shared"/>
        <v>1.9426430079876021E-3</v>
      </c>
      <c r="F41" s="295">
        <f si="87" t="shared"/>
        <v>2.8052701666232477E-3</v>
      </c>
      <c r="G41" s="295">
        <f si="87" t="shared"/>
        <v>3.5318666091596861E-2</v>
      </c>
      <c r="H41" s="295">
        <f si="87" t="shared"/>
        <v>3.1934030315345016E-3</v>
      </c>
      <c r="I41" s="295">
        <f si="87" t="shared"/>
        <v>2.8165453752576999E-4</v>
      </c>
      <c r="J41" s="295">
        <f si="87" t="shared"/>
        <v>2.9768844235210579E-4</v>
      </c>
      <c r="K41" s="295">
        <f si="87" t="shared"/>
        <v>1.5147700426936675E-4</v>
      </c>
      <c r="L41" s="295">
        <f si="87" t="shared"/>
        <v>1.6467366502772888E-3</v>
      </c>
      <c r="M41" s="295">
        <f si="87" t="shared"/>
        <v>0</v>
      </c>
      <c r="N41" s="295">
        <f si="87" t="shared"/>
        <v>6.0299406521103736E-2</v>
      </c>
      <c r="P41">
        <v>5</v>
      </c>
      <c r="Q41" s="295">
        <f si="64" t="shared"/>
        <v>1.0664161342579966E-2</v>
      </c>
      <c r="R41" s="295">
        <f si="65" t="shared"/>
        <v>2.7017717798324807E-3</v>
      </c>
      <c r="S41" s="295">
        <f si="66" t="shared"/>
        <v>1.7475752702874247E-3</v>
      </c>
      <c r="T41" s="295">
        <f si="67" t="shared"/>
        <v>2.4973160991922472E-3</v>
      </c>
      <c r="U41" s="295">
        <f si="68" t="shared"/>
        <v>3.1516792770769603E-2</v>
      </c>
      <c r="V41" s="295">
        <f si="69" t="shared"/>
        <v>2.6926997940029088E-3</v>
      </c>
      <c r="W41" s="295">
        <f si="70" t="shared"/>
        <v>2.3738362920677067E-4</v>
      </c>
      <c r="X41" s="295">
        <f si="71" t="shared"/>
        <v>2.3738362920677067E-4</v>
      </c>
      <c r="Y41" s="295">
        <f si="72" t="shared"/>
        <v>1.0798183133237922E-4</v>
      </c>
      <c r="Z41" s="295">
        <f si="73" t="shared"/>
        <v>1.3844438374987238E-3</v>
      </c>
      <c r="AA41" s="295">
        <f si="74" t="shared"/>
        <v>0</v>
      </c>
      <c r="AB41" s="295">
        <f si="75" t="shared"/>
        <v>5.3787509983909285E-2</v>
      </c>
      <c r="BG41">
        <v>7</v>
      </c>
      <c r="BH41" s="302">
        <f ref="BH41:BQ41" si="88" t="shared">LN(BH26)*$BI$33</f>
        <v>0.19174831954578661</v>
      </c>
      <c r="BI41" s="302">
        <f si="88" t="shared"/>
        <v>0.19162212103041767</v>
      </c>
      <c r="BJ41" s="302">
        <f si="88" t="shared"/>
        <v>0.16304244152301722</v>
      </c>
      <c r="BK41" s="302">
        <f si="88" t="shared"/>
        <v>0.19359499385965728</v>
      </c>
      <c r="BL41" s="302">
        <f si="88" t="shared"/>
        <v>0.24459703453696097</v>
      </c>
      <c r="BM41" s="302">
        <f si="88" t="shared"/>
        <v>0.23925755118913897</v>
      </c>
      <c r="BN41" s="302">
        <f si="88" t="shared"/>
        <v>0.17416831867066343</v>
      </c>
      <c r="BO41" s="302">
        <f si="88" t="shared"/>
        <v>0.27626095301038966</v>
      </c>
      <c r="BP41" s="302">
        <f si="88" t="shared"/>
        <v>0.15002031489849163</v>
      </c>
      <c r="BQ41" s="302">
        <f si="88" t="shared"/>
        <v>0.31251504315634832</v>
      </c>
      <c r="BR41" s="300"/>
      <c r="BS41" s="301"/>
      <c r="BU41">
        <v>40</v>
      </c>
      <c r="BV41">
        <f si="57" t="shared"/>
        <v>13</v>
      </c>
      <c r="BW41">
        <f si="58" t="shared"/>
        <v>10</v>
      </c>
      <c r="BX41">
        <f si="59" t="shared"/>
        <v>230</v>
      </c>
      <c r="BY41">
        <f>IFERROR(VLOOKUP(BX41,OtherTourDestination!$B$11:$E$211,4,FALSE),0)</f>
        <v>7.3499999999999996E-2</v>
      </c>
      <c r="BZ41" s="290">
        <f si="60" t="shared"/>
        <v>0.20206438932043475</v>
      </c>
      <c r="CB41" s="246">
        <f si="4" t="shared"/>
        <v>844.86156863135795</v>
      </c>
      <c r="CC41" s="246">
        <f si="5" t="shared"/>
        <v>742.93488320812514</v>
      </c>
      <c r="CD41" s="336">
        <f si="6" t="shared"/>
        <v>-101.92668542323281</v>
      </c>
      <c r="CE41" s="368">
        <f si="7" t="shared"/>
        <v>-0.12064306060027086</v>
      </c>
      <c r="CF41">
        <v>200000</v>
      </c>
    </row>
    <row r="42" spans="2:84" x14ac:dyDescent="0.25">
      <c r="B42">
        <v>6</v>
      </c>
      <c r="C42" s="295">
        <f ref="C42:N42" si="89" t="shared">IF($N$31&gt;0,C25/$N$31,0)</f>
        <v>3.4060210351409071E-3</v>
      </c>
      <c r="D42" s="295">
        <f si="89" t="shared"/>
        <v>3.9622856307664767E-3</v>
      </c>
      <c r="E42" s="295">
        <f si="89" t="shared"/>
        <v>8.8556631675419696E-3</v>
      </c>
      <c r="F42" s="295">
        <f si="89" t="shared"/>
        <v>9.8601252425425056E-4</v>
      </c>
      <c r="G42" s="295">
        <f si="89" t="shared"/>
        <v>3.1142961337231692E-3</v>
      </c>
      <c r="H42" s="295">
        <f si="89" t="shared"/>
        <v>3.5339605991879984E-2</v>
      </c>
      <c r="I42" s="295">
        <f si="89" t="shared"/>
        <v>1.2704809783377741E-3</v>
      </c>
      <c r="J42" s="295">
        <f si="89" t="shared"/>
        <v>1.0794031356057031E-3</v>
      </c>
      <c r="K42" s="295">
        <f si="89" t="shared"/>
        <v>1.0579783361839455E-3</v>
      </c>
      <c r="L42" s="295">
        <f si="89" t="shared"/>
        <v>2.113284154224388E-3</v>
      </c>
      <c r="M42" s="295">
        <f si="89" t="shared"/>
        <v>0</v>
      </c>
      <c r="N42" s="295">
        <f si="89" t="shared"/>
        <v>6.1185031087658569E-2</v>
      </c>
      <c r="P42">
        <v>6</v>
      </c>
      <c r="Q42" s="295">
        <f si="64" t="shared"/>
        <v>3.0405432506714304E-3</v>
      </c>
      <c r="R42" s="295">
        <f si="65" t="shared"/>
        <v>3.4844405573038442E-3</v>
      </c>
      <c r="S42" s="295">
        <f si="66" t="shared"/>
        <v>7.8262257754353193E-3</v>
      </c>
      <c r="T42" s="295">
        <f si="67" t="shared"/>
        <v>8.5478266482947555E-4</v>
      </c>
      <c r="U42" s="295">
        <f si="68" t="shared"/>
        <v>2.6806038128968411E-3</v>
      </c>
      <c r="V42" s="295">
        <f si="69" t="shared"/>
        <v>2.9937385237804259E-2</v>
      </c>
      <c r="W42" s="295">
        <f si="70" t="shared"/>
        <v>1.0807003119461111E-3</v>
      </c>
      <c r="X42" s="295">
        <f si="71" t="shared"/>
        <v>8.2244271534447685E-4</v>
      </c>
      <c r="Y42" s="295">
        <f si="72" t="shared"/>
        <v>8.9564860099688407E-4</v>
      </c>
      <c r="Z42" s="295">
        <f si="73" t="shared"/>
        <v>1.7904572033058531E-3</v>
      </c>
      <c r="AA42" s="295">
        <f si="74" t="shared"/>
        <v>0</v>
      </c>
      <c r="AB42" s="295">
        <f si="75" t="shared"/>
        <v>5.2413230130534484E-2</v>
      </c>
      <c r="BG42">
        <v>8</v>
      </c>
      <c r="BH42" s="302">
        <f ref="BH42:BQ42" si="90" t="shared">LN(BH27)*$BI$33</f>
        <v>0.20479575819323667</v>
      </c>
      <c r="BI42" s="302">
        <f si="90" t="shared"/>
        <v>0.17018420058309222</v>
      </c>
      <c r="BJ42" s="302">
        <f si="90" t="shared"/>
        <v>0.20141904910602815</v>
      </c>
      <c r="BK42" s="302">
        <f si="90" t="shared"/>
        <v>8.0186582082439742E-2</v>
      </c>
      <c r="BL42" s="302">
        <f si="90" t="shared"/>
        <v>8.719931683696823E-2</v>
      </c>
      <c r="BM42" s="302">
        <f si="90" t="shared"/>
        <v>0.23692570817007114</v>
      </c>
      <c r="BN42" s="302">
        <f si="90" t="shared"/>
        <v>0.30695778644907951</v>
      </c>
      <c r="BO42" s="302">
        <f si="90" t="shared"/>
        <v>0.44212601689551795</v>
      </c>
      <c r="BP42" s="302">
        <f si="90" t="shared"/>
        <v>-3.3842877587138401E-2</v>
      </c>
      <c r="BQ42" s="302">
        <f si="90" t="shared"/>
        <v>0.25485559211534892</v>
      </c>
      <c r="BR42" s="300"/>
      <c r="BS42" s="301"/>
      <c r="BU42">
        <v>41</v>
      </c>
      <c r="BV42">
        <f si="57" t="shared"/>
        <v>14</v>
      </c>
      <c r="BW42">
        <f si="58" t="shared"/>
        <v>1</v>
      </c>
      <c r="BX42">
        <f si="59" t="shared"/>
        <v>231</v>
      </c>
      <c r="BY42">
        <f>IFERROR(VLOOKUP(BX42,OtherTourDestination!$B$11:$E$211,4,FALSE),0)</f>
        <v>-4.0000000000000002E-4</v>
      </c>
      <c r="BZ42" s="290">
        <f si="60" t="shared"/>
        <v>9.9599161278323259E-2</v>
      </c>
      <c r="CB42" s="246">
        <f si="4" t="shared"/>
        <v>6229.8856866349897</v>
      </c>
      <c r="CC42" s="246">
        <f si="5" t="shared"/>
        <v>5637.0384072583074</v>
      </c>
      <c r="CD42" s="336">
        <f si="6" t="shared"/>
        <v>-592.84727937668231</v>
      </c>
      <c r="CE42" s="368">
        <f si="7" t="shared"/>
        <v>-9.516182305696573E-2</v>
      </c>
    </row>
    <row r="43" spans="2:84" x14ac:dyDescent="0.25">
      <c r="B43">
        <v>7</v>
      </c>
      <c r="C43" s="295">
        <f ref="C43:N43" si="91" t="shared">IF($N$31&gt;0,C26/$N$31,0)</f>
        <v>6.6165897171189473E-4</v>
      </c>
      <c r="D43" s="295">
        <f si="91" t="shared"/>
        <v>9.8028138670457911E-4</v>
      </c>
      <c r="E43" s="295">
        <f si="91" t="shared"/>
        <v>1.87224990707914E-3</v>
      </c>
      <c r="F43" s="295">
        <f si="91" t="shared"/>
        <v>2.4440746193484214E-4</v>
      </c>
      <c r="G43" s="295">
        <f si="91" t="shared"/>
        <v>2.9962406085387062E-4</v>
      </c>
      <c r="H43" s="295">
        <f si="91" t="shared"/>
        <v>1.3787952349824952E-3</v>
      </c>
      <c r="I43" s="295">
        <f si="91" t="shared"/>
        <v>1.6957434930559772E-2</v>
      </c>
      <c r="J43" s="295">
        <f si="91" t="shared"/>
        <v>2.7675340995066918E-3</v>
      </c>
      <c r="K43" s="295">
        <f si="91" t="shared"/>
        <v>7.8877011696552293E-4</v>
      </c>
      <c r="L43" s="295">
        <f si="91" t="shared"/>
        <v>5.6604255905638377E-5</v>
      </c>
      <c r="M43" s="295">
        <f si="91" t="shared"/>
        <v>0</v>
      </c>
      <c r="N43" s="295">
        <f si="91" t="shared"/>
        <v>2.6007360426204447E-2</v>
      </c>
      <c r="P43">
        <v>7</v>
      </c>
      <c r="Q43" s="295">
        <f si="64" t="shared"/>
        <v>5.4620914682131224E-4</v>
      </c>
      <c r="R43" s="295">
        <f si="65" t="shared"/>
        <v>8.0933873581289287E-4</v>
      </c>
      <c r="S43" s="295">
        <f si="66" t="shared"/>
        <v>1.5905795155147923E-3</v>
      </c>
      <c r="T43" s="295">
        <f si="67" t="shared"/>
        <v>2.0138968542931178E-4</v>
      </c>
      <c r="U43" s="295">
        <f si="68" t="shared"/>
        <v>2.3461163353662788E-4</v>
      </c>
      <c r="V43" s="295">
        <f si="69" t="shared"/>
        <v>1.0854043045984746E-3</v>
      </c>
      <c r="W43" s="295">
        <f si="70" t="shared"/>
        <v>1.4246881746370671E-2</v>
      </c>
      <c r="X43" s="295">
        <f si="71" t="shared"/>
        <v>2.0994927205923723E-3</v>
      </c>
      <c r="Y43" s="295">
        <f si="72" t="shared"/>
        <v>6.7888693957859881E-4</v>
      </c>
      <c r="Z43" s="295">
        <f si="73" t="shared"/>
        <v>4.1411935314556952E-5</v>
      </c>
      <c r="AA43" s="295">
        <f si="74" t="shared"/>
        <v>0</v>
      </c>
      <c r="AB43" s="295">
        <f si="75" t="shared"/>
        <v>2.1534206363569616E-2</v>
      </c>
      <c r="BG43">
        <v>9</v>
      </c>
      <c r="BH43" s="302">
        <f ref="BH43:BQ43" si="92" t="shared">LN(BH28)*$BI$33</f>
        <v>0.24609416483475255</v>
      </c>
      <c r="BI43" s="302">
        <f si="92" t="shared"/>
        <v>0.17740675185676885</v>
      </c>
      <c r="BJ43" s="302">
        <f si="92" t="shared"/>
        <v>0.1747324438932068</v>
      </c>
      <c r="BK43" s="302">
        <f si="92" t="shared"/>
        <v>0.41266739225481996</v>
      </c>
      <c r="BL43" s="302">
        <f si="92" t="shared"/>
        <v>0.25543469343546144</v>
      </c>
      <c r="BM43" s="302">
        <f si="92" t="shared"/>
        <v>0.18971039743665619</v>
      </c>
      <c r="BN43" s="302">
        <f si="92" t="shared"/>
        <v>0.1465874790942592</v>
      </c>
      <c r="BO43" s="302">
        <f si="92" t="shared"/>
        <v>0.12172280194393094</v>
      </c>
      <c r="BP43" s="302">
        <f si="92" t="shared"/>
        <v>0.20958796732326174</v>
      </c>
      <c r="BQ43" s="302">
        <f si="92" t="shared"/>
        <v>0.21403725724219977</v>
      </c>
      <c r="BR43" s="300"/>
      <c r="BS43" s="301"/>
      <c r="BU43">
        <v>42</v>
      </c>
      <c r="BV43">
        <f si="57" t="shared"/>
        <v>14</v>
      </c>
      <c r="BW43">
        <f si="58" t="shared"/>
        <v>2</v>
      </c>
      <c r="BX43">
        <f si="59" t="shared"/>
        <v>232</v>
      </c>
      <c r="BY43">
        <f>IFERROR(VLOOKUP(BX43,OtherTourDestination!$B$11:$E$211,4,FALSE),0)</f>
        <v>0.83540000000000003</v>
      </c>
      <c r="BZ43" s="290">
        <f si="60" t="shared"/>
        <v>0.89794707903828197</v>
      </c>
      <c r="CB43" s="246">
        <f si="4" t="shared"/>
        <v>1520.32626777063</v>
      </c>
      <c r="CC43" s="246">
        <f si="5" t="shared"/>
        <v>1428.1471183066101</v>
      </c>
      <c r="CD43" s="336">
        <f si="6" t="shared"/>
        <v>-92.179149464019929</v>
      </c>
      <c r="CE43" s="368">
        <f si="7" t="shared"/>
        <v>-6.0631162809012845E-2</v>
      </c>
    </row>
    <row r="44" spans="2:84" x14ac:dyDescent="0.25">
      <c r="B44">
        <v>8</v>
      </c>
      <c r="C44" s="295">
        <f ref="C44:N44" si="93" t="shared">IF($N$31&gt;0,C27/$N$31,0)</f>
        <v>2.4175843858009458E-3</v>
      </c>
      <c r="D44" s="295">
        <f si="93" t="shared"/>
        <v>4.3145176536552119E-3</v>
      </c>
      <c r="E44" s="295">
        <f si="93" t="shared"/>
        <v>5.6251992836368826E-4</v>
      </c>
      <c r="F44" s="295">
        <f si="93" t="shared"/>
        <v>7.2550974169344618E-4</v>
      </c>
      <c r="G44" s="295">
        <f si="93" t="shared"/>
        <v>2.5937924713223965E-4</v>
      </c>
      <c r="H44" s="295">
        <f si="93" t="shared"/>
        <v>1.0771849361169068E-3</v>
      </c>
      <c r="I44" s="295">
        <f si="93" t="shared"/>
        <v>2.8813232893892694E-3</v>
      </c>
      <c r="J44" s="295">
        <f si="93" t="shared"/>
        <v>9.8166484577747095E-3</v>
      </c>
      <c r="K44" s="295">
        <f si="93" t="shared"/>
        <v>1.1015409095068351E-4</v>
      </c>
      <c r="L44" s="295">
        <f si="93" t="shared"/>
        <v>1.610570701661577E-4</v>
      </c>
      <c r="M44" s="295">
        <f si="93" t="shared"/>
        <v>0</v>
      </c>
      <c r="N44" s="295">
        <f si="93" t="shared"/>
        <v>2.232587880104326E-2</v>
      </c>
      <c r="P44">
        <v>8</v>
      </c>
      <c r="Q44" s="295">
        <f si="64" t="shared"/>
        <v>1.9698809230459958E-3</v>
      </c>
      <c r="R44" s="295">
        <f si="65" t="shared"/>
        <v>3.6393363153566591E-3</v>
      </c>
      <c r="S44" s="295">
        <f si="66" t="shared"/>
        <v>4.5989928163732099E-4</v>
      </c>
      <c r="T44" s="295">
        <f si="67" t="shared"/>
        <v>6.6960495407706103E-4</v>
      </c>
      <c r="U44" s="295">
        <f si="68" t="shared"/>
        <v>2.3771962868193944E-4</v>
      </c>
      <c r="V44" s="295">
        <f si="69" t="shared"/>
        <v>8.4995267237392483E-4</v>
      </c>
      <c r="W44" s="295">
        <f si="70" t="shared"/>
        <v>2.1197366889712959E-3</v>
      </c>
      <c r="X44" s="295">
        <f si="71" t="shared"/>
        <v>6.3088521455729263E-3</v>
      </c>
      <c r="Y44" s="295">
        <f si="72" t="shared"/>
        <v>1.1394582201662576E-4</v>
      </c>
      <c r="Z44" s="295">
        <f si="73" t="shared"/>
        <v>1.2482380502521628E-4</v>
      </c>
      <c r="AA44" s="295">
        <f si="74" t="shared"/>
        <v>0</v>
      </c>
      <c r="AB44" s="295">
        <f si="75" t="shared"/>
        <v>1.6493752236758964E-2</v>
      </c>
      <c r="BG44">
        <v>10</v>
      </c>
      <c r="BH44" s="302">
        <f ref="BH44:BQ44" si="94" t="shared">LN(BH29)*$BI$33</f>
        <v>0.22128614053305343</v>
      </c>
      <c r="BI44" s="302">
        <f si="94" t="shared"/>
        <v>0.1967640048436044</v>
      </c>
      <c r="BJ44" s="302">
        <f si="94" t="shared"/>
        <v>0.18866393748119489</v>
      </c>
      <c r="BK44" s="302">
        <f si="94" t="shared"/>
        <v>0.21461652020131933</v>
      </c>
      <c r="BL44" s="302">
        <f si="94" t="shared"/>
        <v>0.21183256442728612</v>
      </c>
      <c r="BM44" s="302">
        <f si="94" t="shared"/>
        <v>0.2275966463422518</v>
      </c>
      <c r="BN44" s="302">
        <f si="94" t="shared"/>
        <v>-0.44984149569477205</v>
      </c>
      <c r="BO44" s="302">
        <f si="94" t="shared"/>
        <v>0.13812110269938091</v>
      </c>
      <c r="BP44" s="302">
        <f si="94" t="shared"/>
        <v>0.19007971209448457</v>
      </c>
      <c r="BQ44" s="302">
        <f si="94" t="shared"/>
        <v>0.1533519254561915</v>
      </c>
      <c r="BR44" s="300"/>
      <c r="BS44" s="301"/>
      <c r="BU44">
        <v>43</v>
      </c>
      <c r="BV44">
        <f si="57" t="shared"/>
        <v>14</v>
      </c>
      <c r="BW44">
        <f si="58" t="shared"/>
        <v>3</v>
      </c>
      <c r="BX44">
        <f si="59" t="shared"/>
        <v>233</v>
      </c>
      <c r="BY44">
        <f>IFERROR(VLOOKUP(BX44,OtherTourDestination!$B$11:$E$211,4,FALSE),0)</f>
        <v>1.1353</v>
      </c>
      <c r="BZ44" s="290">
        <f si="60" t="shared"/>
        <v>1.2411201538113823</v>
      </c>
      <c r="CB44" s="246">
        <f si="4" t="shared"/>
        <v>1026.87430317597</v>
      </c>
      <c r="CC44" s="246">
        <f si="5" t="shared"/>
        <v>923.7621789208373</v>
      </c>
      <c r="CD44" s="336">
        <f si="6" t="shared"/>
        <v>-103.1121242551327</v>
      </c>
      <c r="CE44" s="368">
        <f si="7" t="shared"/>
        <v>-0.10041357928251021</v>
      </c>
    </row>
    <row r="45" spans="2:84" x14ac:dyDescent="0.25">
      <c r="B45">
        <v>9</v>
      </c>
      <c r="C45" s="295">
        <f ref="C45:N45" si="95" t="shared">IF($N$31&gt;0,C28/$N$31,0)</f>
        <v>5.5969572259421019E-4</v>
      </c>
      <c r="D45" s="295">
        <f si="95" t="shared"/>
        <v>2.5843749800213224E-4</v>
      </c>
      <c r="E45" s="295">
        <f si="95" t="shared"/>
        <v>9.6487916807990026E-3</v>
      </c>
      <c r="F45" s="295">
        <f si="95" t="shared"/>
        <v>1.1682117546956927E-4</v>
      </c>
      <c r="G45" s="295">
        <f si="95" t="shared"/>
        <v>1.3566561728773998E-4</v>
      </c>
      <c r="H45" s="295">
        <f si="95" t="shared"/>
        <v>1.0669584781679621E-3</v>
      </c>
      <c r="I45" s="295">
        <f si="95" t="shared"/>
        <v>7.6009823371225534E-4</v>
      </c>
      <c r="J45" s="295">
        <f si="95" t="shared"/>
        <v>1.2679762295114046E-4</v>
      </c>
      <c r="K45" s="295">
        <f si="95" t="shared"/>
        <v>1.1610759394819387E-2</v>
      </c>
      <c r="L45" s="295">
        <f si="95" t="shared"/>
        <v>8.6911308563060051E-4</v>
      </c>
      <c r="M45" s="295">
        <f si="95" t="shared"/>
        <v>0</v>
      </c>
      <c r="N45" s="295">
        <f si="95" t="shared"/>
        <v>2.5153138509433997E-2</v>
      </c>
      <c r="P45">
        <v>9</v>
      </c>
      <c r="Q45" s="295">
        <f si="64" t="shared"/>
        <v>4.3759731647299155E-4</v>
      </c>
      <c r="R45" s="295">
        <f si="65" t="shared"/>
        <v>2.1642566194311644E-4</v>
      </c>
      <c r="S45" s="295">
        <f si="66" t="shared"/>
        <v>8.1019133448113397E-3</v>
      </c>
      <c r="T45" s="295">
        <f si="67" t="shared"/>
        <v>7.7321879223224473E-5</v>
      </c>
      <c r="U45" s="295">
        <f si="68" t="shared"/>
        <v>1.0508383585904814E-4</v>
      </c>
      <c r="V45" s="295">
        <f si="69" t="shared"/>
        <v>8.8258662139969535E-4</v>
      </c>
      <c r="W45" s="295">
        <f si="70" t="shared"/>
        <v>6.5645897461108016E-4</v>
      </c>
      <c r="X45" s="295">
        <f si="71" t="shared"/>
        <v>1.1226582464078166E-4</v>
      </c>
      <c r="Y45" s="295">
        <f si="72" t="shared"/>
        <v>9.4153772931806438E-3</v>
      </c>
      <c r="Z45" s="295">
        <f si="73" t="shared"/>
        <v>7.0165090402128638E-4</v>
      </c>
      <c r="AA45" s="295">
        <f si="74" t="shared"/>
        <v>0</v>
      </c>
      <c r="AB45" s="295">
        <f si="75" t="shared"/>
        <v>2.0706681656163212E-2</v>
      </c>
      <c r="BG45" s="294" t="s">
        <v>13</v>
      </c>
      <c r="BH45" s="300"/>
      <c r="BI45" s="300"/>
      <c r="BJ45" s="300"/>
      <c r="BK45" s="300"/>
      <c r="BL45" s="300"/>
      <c r="BM45" s="300"/>
      <c r="BN45" s="300"/>
      <c r="BO45" s="300"/>
      <c r="BP45" s="300"/>
      <c r="BQ45" s="300"/>
      <c r="BR45" s="300"/>
      <c r="BS45" s="13"/>
      <c r="BU45">
        <v>44</v>
      </c>
      <c r="BV45">
        <f si="57" t="shared"/>
        <v>14</v>
      </c>
      <c r="BW45">
        <f si="58" t="shared"/>
        <v>4</v>
      </c>
      <c r="BX45">
        <f si="59" t="shared"/>
        <v>234</v>
      </c>
      <c r="BY45">
        <f>IFERROR(VLOOKUP(BX45,OtherTourDestination!$B$11:$E$211,4,FALSE),0)</f>
        <v>0.69320000000000004</v>
      </c>
      <c r="BZ45" s="290">
        <f si="60" t="shared"/>
        <v>0.80948325555088207</v>
      </c>
      <c r="CB45" s="246">
        <f si="4" t="shared"/>
        <v>1482.85600376761</v>
      </c>
      <c r="CC45" s="246">
        <f si="5" t="shared"/>
        <v>1320.0725602305499</v>
      </c>
      <c r="CD45" s="336">
        <f si="6" t="shared"/>
        <v>-162.78344353706007</v>
      </c>
      <c r="CE45" s="368">
        <f si="7" t="shared"/>
        <v>-0.10977697303275789</v>
      </c>
    </row>
    <row ht="15.75" r="46" spans="2:84" thickBot="1" x14ac:dyDescent="0.3">
      <c r="B46">
        <v>10</v>
      </c>
      <c r="C46" s="295">
        <f ref="C46:N46" si="96" t="shared">IF($N$31&gt;0,C29/$N$31,0)</f>
        <v>2.7312180178789866E-3</v>
      </c>
      <c r="D46" s="295">
        <f si="96" t="shared"/>
        <v>3.8764004044481332E-4</v>
      </c>
      <c r="E46" s="295">
        <f si="96" t="shared"/>
        <v>1.5464201477058145E-3</v>
      </c>
      <c r="F46" s="295">
        <f si="96" t="shared"/>
        <v>1.6311689317905565E-3</v>
      </c>
      <c r="G46" s="295">
        <f si="96" t="shared"/>
        <v>1.6145392458543637E-3</v>
      </c>
      <c r="H46" s="295">
        <f si="96" t="shared"/>
        <v>2.1571462663698597E-3</v>
      </c>
      <c r="I46" s="295">
        <f si="96" t="shared"/>
        <v>2.9463044240212411E-5</v>
      </c>
      <c r="J46" s="295">
        <f si="96" t="shared"/>
        <v>1.5281151589426899E-4</v>
      </c>
      <c r="K46" s="295">
        <f si="96" t="shared"/>
        <v>8.4665938874751306E-4</v>
      </c>
      <c r="L46" s="295">
        <f si="96" t="shared"/>
        <v>8.3650995941950655E-3</v>
      </c>
      <c r="M46" s="295">
        <f si="96" t="shared"/>
        <v>0</v>
      </c>
      <c r="N46" s="295">
        <f si="96" t="shared"/>
        <v>1.9462166193121456E-2</v>
      </c>
      <c r="P46">
        <v>10</v>
      </c>
      <c r="Q46" s="295">
        <f si="64" t="shared"/>
        <v>2.1890365807248555E-3</v>
      </c>
      <c r="R46" s="295">
        <f si="65" t="shared"/>
        <v>3.1840150265685299E-4</v>
      </c>
      <c r="S46" s="295">
        <f si="66" t="shared"/>
        <v>1.2805359998027661E-3</v>
      </c>
      <c r="T46" s="295">
        <f si="67" t="shared"/>
        <v>1.316109944236264E-3</v>
      </c>
      <c r="U46" s="295">
        <f si="68" t="shared"/>
        <v>1.3063239595219732E-3</v>
      </c>
      <c r="V46" s="295">
        <f si="69" t="shared"/>
        <v>1.7180493164069639E-3</v>
      </c>
      <c r="W46" s="295">
        <f si="70" t="shared"/>
        <v>4.6199927835712615E-5</v>
      </c>
      <c r="X46" s="295">
        <f si="71" t="shared"/>
        <v>1.3309779210124843E-4</v>
      </c>
      <c r="Y46" s="295">
        <f si="72" t="shared"/>
        <v>7.0009690644863142E-4</v>
      </c>
      <c r="Z46" s="295">
        <f si="73" t="shared"/>
        <v>7.1758147913772727E-3</v>
      </c>
      <c r="AA46" s="295">
        <f si="74" t="shared"/>
        <v>0</v>
      </c>
      <c r="AB46" s="295">
        <f si="75" t="shared"/>
        <v>1.6183666721112541E-2</v>
      </c>
      <c r="BG46" s="1" t="s">
        <v>4</v>
      </c>
      <c r="BH46" s="299"/>
      <c r="BI46" s="299"/>
      <c r="BJ46" s="299"/>
      <c r="BK46" s="299"/>
      <c r="BL46" s="299"/>
      <c r="BM46" s="299"/>
      <c r="BN46" s="299"/>
      <c r="BO46" s="299"/>
      <c r="BP46" s="299"/>
      <c r="BQ46" s="299"/>
      <c r="BR46" s="299"/>
      <c r="BS46" s="299"/>
      <c r="BU46">
        <v>45</v>
      </c>
      <c r="BV46">
        <f si="57" t="shared"/>
        <v>14</v>
      </c>
      <c r="BW46">
        <f si="58" t="shared"/>
        <v>5</v>
      </c>
      <c r="BX46">
        <f si="59" t="shared"/>
        <v>235</v>
      </c>
      <c r="BY46">
        <f>IFERROR(VLOOKUP(BX46,OtherTourDestination!$B$11:$E$211,4,FALSE),0)</f>
        <v>7.1499999999999994E-2</v>
      </c>
      <c r="BZ46" s="290">
        <f si="60" t="shared"/>
        <v>0.18539110103033524</v>
      </c>
      <c r="CB46" s="246">
        <f si="4" t="shared"/>
        <v>18669.323433482201</v>
      </c>
      <c r="CC46" s="246">
        <f si="5" t="shared"/>
        <v>16659.666486201892</v>
      </c>
      <c r="CD46" s="336">
        <f si="6" t="shared"/>
        <v>-2009.6569472803094</v>
      </c>
      <c r="CE46" s="368">
        <f si="7" t="shared"/>
        <v>-0.10764487285469178</v>
      </c>
    </row>
    <row r="47" spans="2:84" x14ac:dyDescent="0.25">
      <c r="B47" s="294" t="s">
        <v>13</v>
      </c>
      <c r="C47" s="293">
        <f ref="C47:N47" si="97" t="shared">IF($N$31&gt;0,C30/$N$31,0)</f>
        <v>0</v>
      </c>
      <c r="D47" s="293">
        <f si="97" t="shared"/>
        <v>0</v>
      </c>
      <c r="E47" s="293">
        <f si="97" t="shared"/>
        <v>0</v>
      </c>
      <c r="F47" s="293">
        <f si="97" t="shared"/>
        <v>0</v>
      </c>
      <c r="G47" s="293">
        <f si="97" t="shared"/>
        <v>0</v>
      </c>
      <c r="H47" s="293">
        <f si="97" t="shared"/>
        <v>0</v>
      </c>
      <c r="I47" s="293">
        <f si="97" t="shared"/>
        <v>0</v>
      </c>
      <c r="J47" s="293">
        <f si="97" t="shared"/>
        <v>0</v>
      </c>
      <c r="K47" s="293">
        <f si="97" t="shared"/>
        <v>0</v>
      </c>
      <c r="L47" s="293">
        <f si="97" t="shared"/>
        <v>0</v>
      </c>
      <c r="M47" s="293">
        <f si="97" t="shared"/>
        <v>0</v>
      </c>
      <c r="N47" s="293">
        <f si="97" t="shared"/>
        <v>0</v>
      </c>
      <c r="P47" s="294" t="s">
        <v>13</v>
      </c>
      <c r="Q47" s="293">
        <f si="64" t="shared"/>
        <v>0</v>
      </c>
      <c r="R47" s="293">
        <f si="65" t="shared"/>
        <v>0</v>
      </c>
      <c r="S47" s="293">
        <f si="66" t="shared"/>
        <v>0</v>
      </c>
      <c r="T47" s="293">
        <f si="67" t="shared"/>
        <v>0</v>
      </c>
      <c r="U47" s="293">
        <f si="68" t="shared"/>
        <v>0</v>
      </c>
      <c r="V47" s="293">
        <f si="69" t="shared"/>
        <v>0</v>
      </c>
      <c r="W47" s="293">
        <f si="70" t="shared"/>
        <v>0</v>
      </c>
      <c r="X47" s="293">
        <f si="71" t="shared"/>
        <v>0</v>
      </c>
      <c r="Y47" s="293">
        <f si="72" t="shared"/>
        <v>0</v>
      </c>
      <c r="Z47" s="293">
        <f si="73" t="shared"/>
        <v>0</v>
      </c>
      <c r="AA47" s="293">
        <f si="74" t="shared"/>
        <v>0</v>
      </c>
      <c r="AB47" s="293">
        <f si="75" t="shared"/>
        <v>0</v>
      </c>
      <c r="BU47">
        <v>46</v>
      </c>
      <c r="BV47">
        <f si="57" t="shared"/>
        <v>14</v>
      </c>
      <c r="BW47">
        <f si="58" t="shared"/>
        <v>6</v>
      </c>
      <c r="BX47">
        <f si="59" t="shared"/>
        <v>236</v>
      </c>
      <c r="BY47">
        <f>IFERROR(VLOOKUP(BX47,OtherTourDestination!$B$11:$E$211,4,FALSE),0)</f>
        <v>0.92230000000000001</v>
      </c>
      <c r="BZ47" s="290">
        <f si="60" t="shared"/>
        <v>1.092842798039267</v>
      </c>
      <c r="CB47" s="246">
        <f si="4" t="shared"/>
        <v>1688.02167937381</v>
      </c>
      <c r="CC47" s="246">
        <f si="5" t="shared"/>
        <v>1423.3516983098016</v>
      </c>
      <c r="CD47" s="336">
        <f si="6" t="shared"/>
        <v>-264.66998106400843</v>
      </c>
      <c r="CE47" s="368">
        <f si="7" t="shared"/>
        <v>-0.15679299874998681</v>
      </c>
    </row>
    <row ht="15.75" r="48" spans="2:84" thickBot="1" x14ac:dyDescent="0.3">
      <c r="B48" s="1" t="s">
        <v>4</v>
      </c>
      <c r="C48" s="292">
        <f ref="C48:N48" si="98" t="shared">IF($N$31&gt;0,C31/$N$31,0)</f>
        <v>0.34795937239403585</v>
      </c>
      <c r="D48" s="292">
        <f si="98" t="shared"/>
        <v>0.14775161190671576</v>
      </c>
      <c r="E48" s="292">
        <f si="98" t="shared"/>
        <v>0.16927534190633417</v>
      </c>
      <c r="F48" s="292">
        <f si="98" t="shared"/>
        <v>0.12125316808184565</v>
      </c>
      <c r="G48" s="292">
        <f si="98" t="shared"/>
        <v>5.9624242748680466E-2</v>
      </c>
      <c r="H48" s="292">
        <f si="98" t="shared"/>
        <v>6.150345547735124E-2</v>
      </c>
      <c r="I48" s="292">
        <f si="98" t="shared"/>
        <v>2.5792243789627928E-2</v>
      </c>
      <c r="J48" s="292">
        <f si="98" t="shared"/>
        <v>2.2066813324826486E-2</v>
      </c>
      <c r="K48" s="292">
        <f si="98" t="shared"/>
        <v>2.5352690665461183E-2</v>
      </c>
      <c r="L48" s="292">
        <f si="98" t="shared"/>
        <v>1.9421059705121348E-2</v>
      </c>
      <c r="M48" s="292">
        <f si="98" t="shared"/>
        <v>0</v>
      </c>
      <c r="N48" s="292">
        <f si="98" t="shared"/>
        <v>1</v>
      </c>
      <c r="P48" s="1" t="s">
        <v>4</v>
      </c>
      <c r="Q48" s="292">
        <f si="64" t="shared"/>
        <v>0.3763197061886196</v>
      </c>
      <c r="R48" s="292">
        <f si="65" t="shared"/>
        <v>0.15462737847203475</v>
      </c>
      <c r="S48" s="292">
        <f si="66" t="shared"/>
        <v>0.17005546637336169</v>
      </c>
      <c r="T48" s="292">
        <f si="67" t="shared"/>
        <v>0.11465822490385257</v>
      </c>
      <c r="U48" s="292">
        <f si="68" t="shared"/>
        <v>5.468987857440951E-2</v>
      </c>
      <c r="V48" s="292">
        <f si="69" t="shared"/>
        <v>5.3054401129025382E-2</v>
      </c>
      <c r="W48" s="292">
        <f si="70" t="shared"/>
        <v>2.1662978162428063E-2</v>
      </c>
      <c r="X48" s="292">
        <f si="71" t="shared"/>
        <v>1.6667295965683657E-2</v>
      </c>
      <c r="Y48" s="292">
        <f si="72" t="shared"/>
        <v>2.1430424525676839E-2</v>
      </c>
      <c r="Z48" s="292">
        <f si="73" t="shared"/>
        <v>1.6834245704908175E-2</v>
      </c>
      <c r="AA48" s="292">
        <f si="74" t="shared"/>
        <v>0</v>
      </c>
      <c r="AB48" s="292">
        <f si="75" t="shared"/>
        <v>1</v>
      </c>
      <c r="BU48">
        <v>47</v>
      </c>
      <c r="BV48">
        <f si="57" t="shared"/>
        <v>14</v>
      </c>
      <c r="BW48">
        <f si="58" t="shared"/>
        <v>7</v>
      </c>
      <c r="BX48">
        <f si="59" t="shared"/>
        <v>237</v>
      </c>
      <c r="BY48">
        <f>IFERROR(VLOOKUP(BX48,OtherTourDestination!$B$11:$E$211,4,FALSE),0)</f>
        <v>1.4819</v>
      </c>
      <c r="BZ48" s="290">
        <f si="60" t="shared"/>
        <v>1.6529037546163143</v>
      </c>
      <c r="CB48" s="246">
        <f si="4" t="shared"/>
        <v>148.881603963733</v>
      </c>
      <c r="CC48" s="246">
        <f si="5" t="shared"/>
        <v>125.48015658296451</v>
      </c>
      <c r="CD48" s="336">
        <f si="6" t="shared"/>
        <v>-23.401447380768488</v>
      </c>
      <c r="CE48" s="368">
        <f si="7" t="shared"/>
        <v>-0.15718159099406931</v>
      </c>
    </row>
    <row r="49" spans="16:83" x14ac:dyDescent="0.25">
      <c r="BG49" s="2" t="s">
        <v>12</v>
      </c>
      <c r="BH49" s="2">
        <v>1</v>
      </c>
      <c r="BI49" s="2">
        <v>2</v>
      </c>
      <c r="BJ49" s="2">
        <v>3</v>
      </c>
      <c r="BK49" s="2">
        <v>4</v>
      </c>
      <c r="BL49" s="2">
        <v>5</v>
      </c>
      <c r="BM49" s="2">
        <v>6</v>
      </c>
      <c r="BN49" s="2">
        <v>7</v>
      </c>
      <c r="BO49" s="2">
        <v>8</v>
      </c>
      <c r="BP49" s="2">
        <v>9</v>
      </c>
      <c r="BQ49" s="2">
        <v>10</v>
      </c>
      <c r="BR49" s="3" t="s">
        <v>13</v>
      </c>
      <c r="BS49" s="3" t="s">
        <v>4</v>
      </c>
      <c r="BU49">
        <v>48</v>
      </c>
      <c r="BV49">
        <f si="57" t="shared"/>
        <v>14</v>
      </c>
      <c r="BW49">
        <f si="58" t="shared"/>
        <v>8</v>
      </c>
      <c r="BX49">
        <f si="59" t="shared"/>
        <v>238</v>
      </c>
      <c r="BY49">
        <f>IFERROR(VLOOKUP(BX49,OtherTourDestination!$B$11:$E$211,4,FALSE),0)</f>
        <v>1.1681999999999999</v>
      </c>
      <c r="BZ49" s="290">
        <f si="60" t="shared"/>
        <v>1.3945699230241948</v>
      </c>
      <c r="CB49" s="246">
        <f si="4" t="shared"/>
        <v>157.35707000563301</v>
      </c>
      <c r="CC49" s="246">
        <f si="5" t="shared"/>
        <v>125.48015658296451</v>
      </c>
      <c r="CD49" s="336">
        <f si="6" t="shared"/>
        <v>-31.876913422668494</v>
      </c>
      <c r="CE49" s="368">
        <f si="7" t="shared"/>
        <v>-0.20257693805259197</v>
      </c>
    </row>
    <row r="50" spans="16:83" x14ac:dyDescent="0.25">
      <c r="BG50" s="202">
        <v>1</v>
      </c>
      <c r="BH50" s="300">
        <f ref="BH50:BQ59" si="99" t="shared">$BR$2+($BG50-1)*$BS$2+BH$49</f>
        <v>191</v>
      </c>
      <c r="BI50" s="300">
        <f si="99" t="shared"/>
        <v>192</v>
      </c>
      <c r="BJ50" s="300">
        <f si="99" t="shared"/>
        <v>193</v>
      </c>
      <c r="BK50" s="300">
        <f si="99" t="shared"/>
        <v>194</v>
      </c>
      <c r="BL50" s="300">
        <f si="99" t="shared"/>
        <v>195</v>
      </c>
      <c r="BM50" s="300">
        <f si="99" t="shared"/>
        <v>196</v>
      </c>
      <c r="BN50" s="300">
        <f si="99" t="shared"/>
        <v>197</v>
      </c>
      <c r="BO50" s="300">
        <f si="99" t="shared"/>
        <v>198</v>
      </c>
      <c r="BP50" s="300">
        <f si="99" t="shared"/>
        <v>199</v>
      </c>
      <c r="BQ50" s="300">
        <f si="99" t="shared"/>
        <v>200</v>
      </c>
      <c r="BR50" s="300"/>
      <c r="BS50" s="301"/>
      <c r="BU50">
        <v>49</v>
      </c>
      <c r="BV50">
        <f si="57" t="shared"/>
        <v>14</v>
      </c>
      <c r="BW50">
        <f si="58" t="shared"/>
        <v>9</v>
      </c>
      <c r="BX50">
        <f si="59" t="shared"/>
        <v>239</v>
      </c>
      <c r="BY50">
        <f>IFERROR(VLOOKUP(BX50,OtherTourDestination!$B$11:$E$211,4,FALSE),0)</f>
        <v>0.26719999999999999</v>
      </c>
      <c r="BZ50" s="290">
        <f si="60" t="shared"/>
        <v>0.60567084185939324</v>
      </c>
      <c r="CB50" s="246">
        <f si="4" t="shared"/>
        <v>80.070214942591306</v>
      </c>
      <c r="CC50" s="246">
        <f si="5" t="shared"/>
        <v>57.078818573036401</v>
      </c>
      <c r="CD50" s="336">
        <f si="6" t="shared"/>
        <v>-22.991396369554906</v>
      </c>
      <c r="CE50" s="368">
        <f si="7" t="shared"/>
        <v>-0.28714043525472316</v>
      </c>
    </row>
    <row r="51" spans="16:83" x14ac:dyDescent="0.25">
      <c r="BG51">
        <v>2</v>
      </c>
      <c r="BH51" s="300">
        <f si="99" t="shared"/>
        <v>201</v>
      </c>
      <c r="BI51" s="300">
        <f si="99" t="shared"/>
        <v>202</v>
      </c>
      <c r="BJ51" s="300">
        <f si="99" t="shared"/>
        <v>203</v>
      </c>
      <c r="BK51" s="300">
        <f si="99" t="shared"/>
        <v>204</v>
      </c>
      <c r="BL51" s="300">
        <f si="99" t="shared"/>
        <v>205</v>
      </c>
      <c r="BM51" s="300">
        <f si="99" t="shared"/>
        <v>206</v>
      </c>
      <c r="BN51" s="300">
        <f si="99" t="shared"/>
        <v>207</v>
      </c>
      <c r="BO51" s="300">
        <f si="99" t="shared"/>
        <v>208</v>
      </c>
      <c r="BP51" s="300">
        <f si="99" t="shared"/>
        <v>209</v>
      </c>
      <c r="BQ51" s="300">
        <f si="99" t="shared"/>
        <v>210</v>
      </c>
      <c r="BR51" s="300"/>
      <c r="BS51" s="301"/>
      <c r="BU51">
        <v>50</v>
      </c>
      <c r="BV51">
        <f si="57" t="shared"/>
        <v>14</v>
      </c>
      <c r="BW51">
        <f si="58" t="shared"/>
        <v>10</v>
      </c>
      <c r="BX51">
        <f si="59" t="shared"/>
        <v>240</v>
      </c>
      <c r="BY51">
        <f>IFERROR(VLOOKUP(BX51,OtherTourDestination!$B$11:$E$211,4,FALSE),0)</f>
        <v>0.27529999999999999</v>
      </c>
      <c r="BZ51" s="290">
        <f si="60" t="shared"/>
        <v>0.4487970441778284</v>
      </c>
      <c r="CB51" s="246">
        <f si="4" t="shared"/>
        <v>870.45923688240202</v>
      </c>
      <c r="CC51" s="246">
        <f si="5" t="shared"/>
        <v>731.81217293776751</v>
      </c>
      <c r="CD51" s="336">
        <f si="6" t="shared"/>
        <v>-138.64706394463451</v>
      </c>
      <c r="CE51" s="368">
        <f si="7" t="shared"/>
        <v>-0.15928036382405067</v>
      </c>
    </row>
    <row ht="15.75" r="52" spans="16:83" thickBot="1" x14ac:dyDescent="0.3">
      <c r="P52" s="298" t="s">
        <v>325</v>
      </c>
      <c r="Q52" s="297"/>
      <c r="R52" s="297"/>
      <c r="S52" s="297"/>
      <c r="T52" s="297"/>
      <c r="U52" s="297"/>
      <c r="V52" s="297"/>
      <c r="W52" s="297"/>
      <c r="X52" s="297"/>
      <c r="Y52" s="297"/>
      <c r="BG52">
        <v>3</v>
      </c>
      <c r="BH52" s="300">
        <f si="99" t="shared"/>
        <v>211</v>
      </c>
      <c r="BI52" s="300">
        <f si="99" t="shared"/>
        <v>212</v>
      </c>
      <c r="BJ52" s="300">
        <f si="99" t="shared"/>
        <v>213</v>
      </c>
      <c r="BK52" s="300">
        <f si="99" t="shared"/>
        <v>214</v>
      </c>
      <c r="BL52" s="300">
        <f si="99" t="shared"/>
        <v>215</v>
      </c>
      <c r="BM52" s="300">
        <f si="99" t="shared"/>
        <v>216</v>
      </c>
      <c r="BN52" s="300">
        <f si="99" t="shared"/>
        <v>217</v>
      </c>
      <c r="BO52" s="300">
        <f si="99" t="shared"/>
        <v>218</v>
      </c>
      <c r="BP52" s="300">
        <f si="99" t="shared"/>
        <v>219</v>
      </c>
      <c r="BQ52" s="300">
        <f si="99" t="shared"/>
        <v>220</v>
      </c>
      <c r="BR52" s="300"/>
      <c r="BS52" s="301"/>
      <c r="BU52">
        <v>51</v>
      </c>
      <c r="BV52">
        <f si="57" t="shared"/>
        <v>15</v>
      </c>
      <c r="BW52">
        <f si="58" t="shared"/>
        <v>1</v>
      </c>
      <c r="BX52">
        <f si="59" t="shared"/>
        <v>241</v>
      </c>
      <c r="BY52">
        <f>IFERROR(VLOOKUP(BX52,OtherTourDestination!$B$11:$E$211,4,FALSE),0)</f>
        <v>0.5554</v>
      </c>
      <c r="BZ52" s="290">
        <f si="60" t="shared"/>
        <v>0.66890855779712433</v>
      </c>
      <c r="CB52" s="246">
        <f si="4" t="shared"/>
        <v>1800.4108128369701</v>
      </c>
      <c r="CC52" s="246">
        <f si="5" t="shared"/>
        <v>1607.2205335575222</v>
      </c>
      <c r="CD52" s="336">
        <f si="6" t="shared"/>
        <v>-193.19027927944785</v>
      </c>
      <c r="CE52" s="368">
        <f si="7" t="shared"/>
        <v>-0.10730344313753104</v>
      </c>
    </row>
    <row r="53" spans="16:83" x14ac:dyDescent="0.25">
      <c r="P53" s="2" t="s">
        <v>12</v>
      </c>
      <c r="Q53" s="2">
        <v>1</v>
      </c>
      <c r="R53" s="2">
        <v>2</v>
      </c>
      <c r="S53" s="2">
        <v>3</v>
      </c>
      <c r="T53" s="2">
        <v>4</v>
      </c>
      <c r="U53" s="2">
        <v>5</v>
      </c>
      <c r="V53" s="2">
        <v>6</v>
      </c>
      <c r="W53" s="2">
        <v>7</v>
      </c>
      <c r="X53" s="2">
        <v>8</v>
      </c>
      <c r="Y53" s="2">
        <v>9</v>
      </c>
      <c r="Z53" s="2">
        <v>10</v>
      </c>
      <c r="AA53" s="3" t="s">
        <v>13</v>
      </c>
      <c r="AB53" s="3" t="s">
        <v>4</v>
      </c>
      <c r="BG53">
        <v>4</v>
      </c>
      <c r="BH53" s="300">
        <f si="99" t="shared"/>
        <v>221</v>
      </c>
      <c r="BI53" s="300">
        <f si="99" t="shared"/>
        <v>222</v>
      </c>
      <c r="BJ53" s="300">
        <f si="99" t="shared"/>
        <v>223</v>
      </c>
      <c r="BK53" s="300">
        <f si="99" t="shared"/>
        <v>224</v>
      </c>
      <c r="BL53" s="300">
        <f si="99" t="shared"/>
        <v>225</v>
      </c>
      <c r="BM53" s="300">
        <f si="99" t="shared"/>
        <v>226</v>
      </c>
      <c r="BN53" s="300">
        <f si="99" t="shared"/>
        <v>227</v>
      </c>
      <c r="BO53" s="300">
        <f si="99" t="shared"/>
        <v>228</v>
      </c>
      <c r="BP53" s="300">
        <f si="99" t="shared"/>
        <v>229</v>
      </c>
      <c r="BQ53" s="300">
        <f si="99" t="shared"/>
        <v>230</v>
      </c>
      <c r="BR53" s="300"/>
      <c r="BS53" s="301"/>
      <c r="BU53">
        <v>52</v>
      </c>
      <c r="BV53">
        <f si="57" t="shared"/>
        <v>15</v>
      </c>
      <c r="BW53">
        <f si="58" t="shared"/>
        <v>2</v>
      </c>
      <c r="BX53">
        <f si="59" t="shared"/>
        <v>242</v>
      </c>
      <c r="BY53">
        <f>IFERROR(VLOOKUP(BX53,OtherTourDestination!$B$11:$E$211,4,FALSE),0)</f>
        <v>0.3085</v>
      </c>
      <c r="BZ53" s="290">
        <f si="60" t="shared"/>
        <v>0.4370135356731808</v>
      </c>
      <c r="CB53" s="246">
        <f si="4" t="shared"/>
        <v>2094.4503335650702</v>
      </c>
      <c r="CC53" s="246">
        <f si="5" t="shared"/>
        <v>1841.8630981232291</v>
      </c>
      <c r="CD53" s="336">
        <f si="6" t="shared"/>
        <v>-252.58723544184113</v>
      </c>
      <c r="CE53" s="368">
        <f si="7" t="shared"/>
        <v>-0.12059834095559553</v>
      </c>
    </row>
    <row r="54" spans="16:83" x14ac:dyDescent="0.25">
      <c r="P54" s="202">
        <v>1</v>
      </c>
      <c r="Q54" s="296">
        <f>Q37-C37</f>
        <v>3.1392309902675941E-2</v>
      </c>
      <c r="R54" s="296">
        <f ref="R54:R65" si="100" t="shared">R37-D37</f>
        <v>9.4032093132215624E-4</v>
      </c>
      <c r="S54" s="296">
        <f ref="S54:S65" si="101" t="shared">S37-E37</f>
        <v>-1.736927323497217E-4</v>
      </c>
      <c r="T54" s="296">
        <f ref="T54:T65" si="102" t="shared">T37-F37</f>
        <v>-3.4127749868763033E-4</v>
      </c>
      <c r="U54" s="296">
        <f ref="U54:U65" si="103" t="shared">U37-G37</f>
        <v>-2.7687205036614621E-5</v>
      </c>
      <c r="V54" s="296">
        <f ref="V54:V65" si="104" t="shared">V37-H37</f>
        <v>-3.0615749472810228E-4</v>
      </c>
      <c r="W54" s="296">
        <f ref="W54:W65" si="105" t="shared">W37-I37</f>
        <v>-6.7065093439306798E-5</v>
      </c>
      <c r="X54" s="296">
        <f ref="X54:X65" si="106" t="shared">X37-J37</f>
        <v>-3.1156244194214221E-4</v>
      </c>
      <c r="Y54" s="296">
        <f ref="Y54:Y65" si="107" t="shared">Y37-K37</f>
        <v>-5.2120681921507715E-5</v>
      </c>
      <c r="Z54" s="296">
        <f ref="Z54:Z65" si="108" t="shared">Z37-L37</f>
        <v>-3.2274363493229674E-4</v>
      </c>
      <c r="AA54" s="296">
        <f ref="AA54:AA65" si="109" t="shared">AA37-M37</f>
        <v>0</v>
      </c>
      <c r="AB54" s="296">
        <f ref="AB54:AB65" si="110" t="shared">AB37-N37</f>
        <v>3.0730324050960767E-2</v>
      </c>
      <c r="BG54">
        <v>5</v>
      </c>
      <c r="BH54" s="300">
        <f si="99" t="shared"/>
        <v>231</v>
      </c>
      <c r="BI54" s="300">
        <f si="99" t="shared"/>
        <v>232</v>
      </c>
      <c r="BJ54" s="300">
        <f si="99" t="shared"/>
        <v>233</v>
      </c>
      <c r="BK54" s="300">
        <f si="99" t="shared"/>
        <v>234</v>
      </c>
      <c r="BL54" s="300">
        <f si="99" t="shared"/>
        <v>235</v>
      </c>
      <c r="BM54" s="300">
        <f si="99" t="shared"/>
        <v>236</v>
      </c>
      <c r="BN54" s="300">
        <f si="99" t="shared"/>
        <v>237</v>
      </c>
      <c r="BO54" s="300">
        <f si="99" t="shared"/>
        <v>238</v>
      </c>
      <c r="BP54" s="300">
        <f si="99" t="shared"/>
        <v>239</v>
      </c>
      <c r="BQ54" s="300">
        <f si="99" t="shared"/>
        <v>240</v>
      </c>
      <c r="BR54" s="300"/>
      <c r="BS54" s="301"/>
      <c r="BU54">
        <v>53</v>
      </c>
      <c r="BV54">
        <f si="57" t="shared"/>
        <v>15</v>
      </c>
      <c r="BW54">
        <f si="58" t="shared"/>
        <v>3</v>
      </c>
      <c r="BX54">
        <f si="59" t="shared"/>
        <v>243</v>
      </c>
      <c r="BY54">
        <f>IFERROR(VLOOKUP(BX54,OtherTourDestination!$B$11:$E$211,4,FALSE),0)</f>
        <v>-9.7000000000000003E-3</v>
      </c>
      <c r="BZ54" s="290">
        <f si="60" t="shared"/>
        <v>0.11387678752824519</v>
      </c>
      <c r="CB54" s="246">
        <f si="4" t="shared"/>
        <v>4681.0725938529204</v>
      </c>
      <c r="CC54" s="246">
        <f si="5" t="shared"/>
        <v>4136.9155869626711</v>
      </c>
      <c r="CD54" s="336">
        <f si="6" t="shared"/>
        <v>-544.15700689024925</v>
      </c>
      <c r="CE54" s="368">
        <f si="7" t="shared"/>
        <v>-0.11624622262957938</v>
      </c>
    </row>
    <row r="55" spans="16:83" x14ac:dyDescent="0.25">
      <c r="P55">
        <v>2</v>
      </c>
      <c r="Q55" s="295">
        <f ref="Q55:Q65" si="111" t="shared">Q38-C38</f>
        <v>5.9859278564439872E-4</v>
      </c>
      <c r="R55" s="295">
        <f si="100" t="shared"/>
        <v>7.5525582262776642E-3</v>
      </c>
      <c r="S55" s="295">
        <f si="101" t="shared"/>
        <v>-8.8087681716992683E-5</v>
      </c>
      <c r="T55" s="295">
        <f si="102" t="shared"/>
        <v>3.4101033258622125E-5</v>
      </c>
      <c r="U55" s="295">
        <f si="103" t="shared"/>
        <v>1.2855181013701148E-4</v>
      </c>
      <c r="V55" s="295">
        <f si="104" t="shared"/>
        <v>-1.9657278237963666E-4</v>
      </c>
      <c r="W55" s="295">
        <f si="105" t="shared"/>
        <v>-6.0070428226907452E-6</v>
      </c>
      <c r="X55" s="295">
        <f si="106" t="shared"/>
        <v>-4.039575316634879E-4</v>
      </c>
      <c r="Y55" s="295">
        <f si="107" t="shared"/>
        <v>-1.5851769736231373E-5</v>
      </c>
      <c r="Z55" s="295">
        <f si="108" t="shared"/>
        <v>-9.2694672316037305E-6</v>
      </c>
      <c r="AA55" s="295">
        <f si="109" t="shared"/>
        <v>0</v>
      </c>
      <c r="AB55" s="295">
        <f si="110" t="shared"/>
        <v>7.5940575797670551E-3</v>
      </c>
      <c r="BG55">
        <v>6</v>
      </c>
      <c r="BH55" s="300">
        <f si="99" t="shared"/>
        <v>241</v>
      </c>
      <c r="BI55" s="300">
        <f si="99" t="shared"/>
        <v>242</v>
      </c>
      <c r="BJ55" s="300">
        <f si="99" t="shared"/>
        <v>243</v>
      </c>
      <c r="BK55" s="300">
        <f si="99" t="shared"/>
        <v>244</v>
      </c>
      <c r="BL55" s="300">
        <f si="99" t="shared"/>
        <v>245</v>
      </c>
      <c r="BM55" s="300">
        <f si="99" t="shared"/>
        <v>246</v>
      </c>
      <c r="BN55" s="300">
        <f si="99" t="shared"/>
        <v>247</v>
      </c>
      <c r="BO55" s="300">
        <f si="99" t="shared"/>
        <v>248</v>
      </c>
      <c r="BP55" s="300">
        <f si="99" t="shared"/>
        <v>249</v>
      </c>
      <c r="BQ55" s="300">
        <f si="99" t="shared"/>
        <v>250</v>
      </c>
      <c r="BR55" s="300"/>
      <c r="BS55" s="301"/>
      <c r="BU55">
        <v>54</v>
      </c>
      <c r="BV55">
        <f si="57" t="shared"/>
        <v>15</v>
      </c>
      <c r="BW55">
        <f si="58" t="shared"/>
        <v>4</v>
      </c>
      <c r="BX55">
        <f si="59" t="shared"/>
        <v>244</v>
      </c>
      <c r="BY55">
        <f>IFERROR(VLOOKUP(BX55,OtherTourDestination!$B$11:$E$211,4,FALSE),0)</f>
        <v>1.3305</v>
      </c>
      <c r="BZ55" s="290">
        <f si="60" t="shared"/>
        <v>1.4733218131630856</v>
      </c>
      <c r="CB55" s="246">
        <f si="4" t="shared"/>
        <v>521.20277354264397</v>
      </c>
      <c r="CC55" s="246">
        <f si="5" t="shared"/>
        <v>451.83512858748998</v>
      </c>
      <c r="CD55" s="336">
        <f si="6" t="shared"/>
        <v>-69.367644955153992</v>
      </c>
      <c r="CE55" s="368">
        <f si="7" t="shared"/>
        <v>-0.13309147317781578</v>
      </c>
    </row>
    <row r="56" spans="16:83" x14ac:dyDescent="0.25">
      <c r="P56">
        <v>3</v>
      </c>
      <c r="Q56" s="295">
        <f si="111" t="shared"/>
        <v>2.4262136824594778E-5</v>
      </c>
      <c r="R56" s="295">
        <f si="100" t="shared"/>
        <v>4.512402274292138E-5</v>
      </c>
      <c r="S56" s="295">
        <f si="101" t="shared"/>
        <v>4.5188511349296134E-3</v>
      </c>
      <c r="T56" s="295">
        <f si="102" t="shared"/>
        <v>-3.2009649277372207E-5</v>
      </c>
      <c r="U56" s="295">
        <f si="103" t="shared"/>
        <v>-1.3828759984698064E-4</v>
      </c>
      <c r="V56" s="295">
        <f si="104" t="shared"/>
        <v>-7.6602975024171738E-4</v>
      </c>
      <c r="W56" s="295">
        <f si="105" t="shared"/>
        <v>-2.0490573851038806E-4</v>
      </c>
      <c r="X56" s="295">
        <f si="106" t="shared"/>
        <v>-9.1928718936352472E-5</v>
      </c>
      <c r="Y56" s="295">
        <f si="107" t="shared"/>
        <v>-1.1642004947059123E-3</v>
      </c>
      <c r="Z56" s="295">
        <f si="108" t="shared"/>
        <v>-6.8683442216197627E-5</v>
      </c>
      <c r="AA56" s="295">
        <f si="109" t="shared"/>
        <v>0</v>
      </c>
      <c r="AB56" s="295">
        <f si="110" t="shared"/>
        <v>2.1221919007622103E-3</v>
      </c>
      <c r="BG56">
        <v>7</v>
      </c>
      <c r="BH56" s="300">
        <f si="99" t="shared"/>
        <v>251</v>
      </c>
      <c r="BI56" s="300">
        <f si="99" t="shared"/>
        <v>252</v>
      </c>
      <c r="BJ56" s="300">
        <f si="99" t="shared"/>
        <v>253</v>
      </c>
      <c r="BK56" s="300">
        <f si="99" t="shared"/>
        <v>254</v>
      </c>
      <c r="BL56" s="300">
        <f si="99" t="shared"/>
        <v>255</v>
      </c>
      <c r="BM56" s="300">
        <f si="99" t="shared"/>
        <v>256</v>
      </c>
      <c r="BN56" s="300">
        <f si="99" t="shared"/>
        <v>257</v>
      </c>
      <c r="BO56" s="300">
        <f si="99" t="shared"/>
        <v>258</v>
      </c>
      <c r="BP56" s="300">
        <f si="99" t="shared"/>
        <v>259</v>
      </c>
      <c r="BQ56" s="300">
        <f si="99" t="shared"/>
        <v>260</v>
      </c>
      <c r="BR56" s="300"/>
      <c r="BS56" s="301"/>
      <c r="BU56">
        <v>55</v>
      </c>
      <c r="BV56">
        <f si="57" t="shared"/>
        <v>15</v>
      </c>
      <c r="BW56">
        <f si="58" t="shared"/>
        <v>5</v>
      </c>
      <c r="BX56">
        <f si="59" t="shared"/>
        <v>245</v>
      </c>
      <c r="BY56">
        <f>IFERROR(VLOOKUP(BX56,OtherTourDestination!$B$11:$E$211,4,FALSE),0)</f>
        <v>0.89800000000000002</v>
      </c>
      <c r="BZ56" s="290">
        <f si="60" t="shared"/>
        <v>1.0479610939595581</v>
      </c>
      <c r="CB56" s="246">
        <f si="4" t="shared"/>
        <v>1646.2060497226501</v>
      </c>
      <c r="CC56" s="246">
        <f si="5" t="shared"/>
        <v>1416.9578049807387</v>
      </c>
      <c r="CD56" s="336">
        <f si="6" t="shared"/>
        <v>-229.24824474191132</v>
      </c>
      <c r="CE56" s="368">
        <f si="7" t="shared"/>
        <v>-0.13925853618417613</v>
      </c>
    </row>
    <row r="57" spans="16:83" x14ac:dyDescent="0.25">
      <c r="P57">
        <v>4</v>
      </c>
      <c r="Q57" s="295">
        <f si="111" t="shared"/>
        <v>-9.4037036120037804E-4</v>
      </c>
      <c r="R57" s="295">
        <f si="100" t="shared"/>
        <v>-5.2632465969851619E-5</v>
      </c>
      <c r="S57" s="295">
        <f si="101" t="shared"/>
        <v>-5.538760184719215E-5</v>
      </c>
      <c r="T57" s="295">
        <f si="102" t="shared"/>
        <v>-5.363092288508356E-3</v>
      </c>
      <c r="U57" s="295">
        <f si="103" t="shared"/>
        <v>-2.3590642434215834E-4</v>
      </c>
      <c r="V57" s="295">
        <f si="104" t="shared"/>
        <v>-1.3327832851091153E-4</v>
      </c>
      <c r="W57" s="295">
        <f si="105" t="shared"/>
        <v>-5.8194017604067881E-5</v>
      </c>
      <c r="X57" s="295">
        <f si="106" t="shared"/>
        <v>-6.4720219974804963E-5</v>
      </c>
      <c r="Y57" s="295">
        <f si="107" t="shared"/>
        <v>-3.6232255038031263E-5</v>
      </c>
      <c r="Z57" s="295">
        <f si="108" t="shared"/>
        <v>-1.9282512197684593E-4</v>
      </c>
      <c r="AA57" s="295">
        <f si="109" t="shared"/>
        <v>0</v>
      </c>
      <c r="AB57" s="295">
        <f si="110" t="shared"/>
        <v>-7.1326390849726223E-3</v>
      </c>
      <c r="BG57">
        <v>8</v>
      </c>
      <c r="BH57" s="300">
        <f si="99" t="shared"/>
        <v>261</v>
      </c>
      <c r="BI57" s="300">
        <f si="99" t="shared"/>
        <v>262</v>
      </c>
      <c r="BJ57" s="300">
        <f si="99" t="shared"/>
        <v>263</v>
      </c>
      <c r="BK57" s="300">
        <f si="99" t="shared"/>
        <v>264</v>
      </c>
      <c r="BL57" s="300">
        <f si="99" t="shared"/>
        <v>265</v>
      </c>
      <c r="BM57" s="300">
        <f si="99" t="shared"/>
        <v>266</v>
      </c>
      <c r="BN57" s="300">
        <f si="99" t="shared"/>
        <v>267</v>
      </c>
      <c r="BO57" s="300">
        <f si="99" t="shared"/>
        <v>268</v>
      </c>
      <c r="BP57" s="300">
        <f si="99" t="shared"/>
        <v>269</v>
      </c>
      <c r="BQ57" s="300">
        <f si="99" t="shared"/>
        <v>270</v>
      </c>
      <c r="BR57" s="300"/>
      <c r="BS57" s="301"/>
      <c r="BU57">
        <v>56</v>
      </c>
      <c r="BV57">
        <f si="57" t="shared"/>
        <v>15</v>
      </c>
      <c r="BW57">
        <f si="58" t="shared"/>
        <v>6</v>
      </c>
      <c r="BX57">
        <f si="59" t="shared"/>
        <v>246</v>
      </c>
      <c r="BY57">
        <f>IFERROR(VLOOKUP(BX57,OtherTourDestination!$B$11:$E$211,4,FALSE),0)</f>
        <v>0.16389999999999999</v>
      </c>
      <c r="BZ57" s="290">
        <f si="60" t="shared"/>
        <v>0.3297962759887621</v>
      </c>
      <c r="CB57" s="246">
        <f si="4" t="shared"/>
        <v>18680.392191572799</v>
      </c>
      <c r="CC57" s="246">
        <f si="5" t="shared"/>
        <v>15824.797185369951</v>
      </c>
      <c r="CD57" s="336">
        <f si="6" t="shared"/>
        <v>-2855.5950062028478</v>
      </c>
      <c r="CE57" s="368">
        <f si="7" t="shared"/>
        <v>-0.15286590222078311</v>
      </c>
    </row>
    <row r="58" spans="16:83" x14ac:dyDescent="0.25">
      <c r="P58">
        <v>5</v>
      </c>
      <c r="Q58" s="295">
        <f si="111" t="shared"/>
        <v>-1.121549753970448E-3</v>
      </c>
      <c r="R58" s="295">
        <f si="100" t="shared"/>
        <v>-1.7438471255408917E-4</v>
      </c>
      <c r="S58" s="295">
        <f si="101" t="shared"/>
        <v>-1.9506773770017736E-4</v>
      </c>
      <c r="T58" s="295">
        <f si="102" t="shared"/>
        <v>-3.0795406743100049E-4</v>
      </c>
      <c r="U58" s="295">
        <f si="103" t="shared"/>
        <v>-3.8018733208272579E-3</v>
      </c>
      <c r="V58" s="295">
        <f si="104" t="shared"/>
        <v>-5.0070323753159283E-4</v>
      </c>
      <c r="W58" s="295">
        <f si="105" t="shared"/>
        <v>-4.4270908318999315E-5</v>
      </c>
      <c r="X58" s="295">
        <f si="106" t="shared"/>
        <v>-6.0304813145335121E-5</v>
      </c>
      <c r="Y58" s="295">
        <f si="107" t="shared"/>
        <v>-4.3495172936987528E-5</v>
      </c>
      <c r="Z58" s="295">
        <f si="108" t="shared"/>
        <v>-2.6229281277856506E-4</v>
      </c>
      <c r="AA58" s="295">
        <f si="109" t="shared"/>
        <v>0</v>
      </c>
      <c r="AB58" s="295">
        <f si="110" t="shared"/>
        <v>-6.5118965371944518E-3</v>
      </c>
      <c r="BG58">
        <v>9</v>
      </c>
      <c r="BH58" s="300">
        <f si="99" t="shared"/>
        <v>271</v>
      </c>
      <c r="BI58" s="300">
        <f si="99" t="shared"/>
        <v>272</v>
      </c>
      <c r="BJ58" s="300">
        <f si="99" t="shared"/>
        <v>273</v>
      </c>
      <c r="BK58" s="300">
        <f si="99" t="shared"/>
        <v>274</v>
      </c>
      <c r="BL58" s="300">
        <f si="99" t="shared"/>
        <v>275</v>
      </c>
      <c r="BM58" s="300">
        <f si="99" t="shared"/>
        <v>276</v>
      </c>
      <c r="BN58" s="300">
        <f si="99" t="shared"/>
        <v>277</v>
      </c>
      <c r="BO58" s="300">
        <f si="99" t="shared"/>
        <v>278</v>
      </c>
      <c r="BP58" s="300">
        <f si="99" t="shared"/>
        <v>279</v>
      </c>
      <c r="BQ58" s="300">
        <f si="99" t="shared"/>
        <v>280</v>
      </c>
      <c r="BR58" s="300"/>
      <c r="BS58" s="301"/>
      <c r="BU58">
        <v>57</v>
      </c>
      <c r="BV58">
        <f si="57" t="shared"/>
        <v>15</v>
      </c>
      <c r="BW58">
        <f si="58" t="shared"/>
        <v>7</v>
      </c>
      <c r="BX58">
        <f si="59" t="shared"/>
        <v>247</v>
      </c>
      <c r="BY58">
        <f>IFERROR(VLOOKUP(BX58,OtherTourDestination!$B$11:$E$211,4,FALSE),0)</f>
        <v>0.72430000000000005</v>
      </c>
      <c r="BZ58" s="290">
        <f si="60" t="shared"/>
        <v>0.88608628389477395</v>
      </c>
      <c r="CB58" s="246">
        <f si="4" t="shared"/>
        <v>671.57180396227102</v>
      </c>
      <c r="CC58" s="246">
        <f si="5" t="shared"/>
        <v>571.25440711894225</v>
      </c>
      <c r="CD58" s="336">
        <f si="6" t="shared"/>
        <v>-100.31739684332877</v>
      </c>
      <c r="CE58" s="368">
        <f si="7" t="shared"/>
        <v>-0.14937702305465553</v>
      </c>
    </row>
    <row r="59" spans="16:83" x14ac:dyDescent="0.25">
      <c r="P59">
        <v>6</v>
      </c>
      <c r="Q59" s="295">
        <f si="111" t="shared"/>
        <v>-3.6547778446947669E-4</v>
      </c>
      <c r="R59" s="295">
        <f si="100" t="shared"/>
        <v>-4.7784507346263242E-4</v>
      </c>
      <c r="S59" s="295">
        <f si="101" t="shared"/>
        <v>-1.0294373921066503E-3</v>
      </c>
      <c r="T59" s="295">
        <f si="102" t="shared"/>
        <v>-1.3122985942477501E-4</v>
      </c>
      <c r="U59" s="295">
        <f si="103" t="shared"/>
        <v>-4.3369232082632802E-4</v>
      </c>
      <c r="V59" s="295">
        <f si="104" t="shared"/>
        <v>-5.4022207540757247E-3</v>
      </c>
      <c r="W59" s="295">
        <f si="105" t="shared"/>
        <v>-1.8978066639166306E-4</v>
      </c>
      <c r="X59" s="295">
        <f si="106" t="shared"/>
        <v>-2.569604202612263E-4</v>
      </c>
      <c r="Y59" s="295">
        <f si="107" t="shared"/>
        <v>-1.6232973518706141E-4</v>
      </c>
      <c r="Z59" s="295">
        <f si="108" t="shared"/>
        <v>-3.228269509185349E-4</v>
      </c>
      <c r="AA59" s="295">
        <f si="109" t="shared"/>
        <v>0</v>
      </c>
      <c r="AB59" s="295">
        <f si="110" t="shared"/>
        <v>-8.7718009571240846E-3</v>
      </c>
      <c r="BG59">
        <v>10</v>
      </c>
      <c r="BH59" s="300">
        <f si="99" t="shared"/>
        <v>281</v>
      </c>
      <c r="BI59" s="300">
        <f si="99" t="shared"/>
        <v>282</v>
      </c>
      <c r="BJ59" s="300">
        <f si="99" t="shared"/>
        <v>283</v>
      </c>
      <c r="BK59" s="300">
        <f si="99" t="shared"/>
        <v>284</v>
      </c>
      <c r="BL59" s="300">
        <f si="99" t="shared"/>
        <v>285</v>
      </c>
      <c r="BM59" s="300">
        <f si="99" t="shared"/>
        <v>286</v>
      </c>
      <c r="BN59" s="300">
        <f si="99" t="shared"/>
        <v>287</v>
      </c>
      <c r="BO59" s="300">
        <f si="99" t="shared"/>
        <v>288</v>
      </c>
      <c r="BP59" s="300">
        <f si="99" t="shared"/>
        <v>289</v>
      </c>
      <c r="BQ59" s="300">
        <f si="99" t="shared"/>
        <v>290</v>
      </c>
      <c r="BR59" s="300"/>
      <c r="BS59" s="301"/>
      <c r="BU59">
        <v>58</v>
      </c>
      <c r="BV59">
        <f si="57" t="shared"/>
        <v>15</v>
      </c>
      <c r="BW59">
        <f si="58" t="shared"/>
        <v>8</v>
      </c>
      <c r="BX59">
        <f si="59" t="shared"/>
        <v>248</v>
      </c>
      <c r="BY59">
        <f>IFERROR(VLOOKUP(BX59,OtherTourDestination!$B$11:$E$211,4,FALSE),0)</f>
        <v>0.27339999999999998</v>
      </c>
      <c r="BZ59" s="290">
        <f si="60" t="shared"/>
        <v>0.54528468191633395</v>
      </c>
      <c r="CB59" s="246">
        <f si="4" t="shared"/>
        <v>570.56872423990797</v>
      </c>
      <c r="CC59" s="246">
        <f si="5" t="shared"/>
        <v>434.74034433963391</v>
      </c>
      <c r="CD59" s="336">
        <f si="6" t="shared"/>
        <v>-135.82837990027406</v>
      </c>
      <c r="CE59" s="368">
        <f si="7" t="shared"/>
        <v>-0.23805787827087782</v>
      </c>
    </row>
    <row r="60" spans="16:83" x14ac:dyDescent="0.25">
      <c r="P60">
        <v>7</v>
      </c>
      <c r="Q60" s="295">
        <f si="111" t="shared"/>
        <v>-1.1544982489058249E-4</v>
      </c>
      <c r="R60" s="295">
        <f si="100" t="shared"/>
        <v>-1.7094265089168624E-4</v>
      </c>
      <c r="S60" s="295">
        <f si="101" t="shared"/>
        <v>-2.8167039156434771E-4</v>
      </c>
      <c r="T60" s="295">
        <f si="102" t="shared"/>
        <v>-4.3017776505530352E-5</v>
      </c>
      <c r="U60" s="295">
        <f si="103" t="shared"/>
        <v>-6.5012427317242741E-5</v>
      </c>
      <c r="V60" s="295">
        <f si="104" t="shared"/>
        <v>-2.9339093038402062E-4</v>
      </c>
      <c r="W60" s="295">
        <f si="105" t="shared"/>
        <v>-2.7105531841891007E-3</v>
      </c>
      <c r="X60" s="295">
        <f si="106" t="shared"/>
        <v>-6.6804137891431949E-4</v>
      </c>
      <c r="Y60" s="295">
        <f si="107" t="shared"/>
        <v>-1.0988317738692412E-4</v>
      </c>
      <c r="Z60" s="295">
        <f si="108" t="shared"/>
        <v>-1.5192320591081425E-5</v>
      </c>
      <c r="AA60" s="295">
        <f si="109" t="shared"/>
        <v>0</v>
      </c>
      <c r="AB60" s="295">
        <f si="110" t="shared"/>
        <v>-4.4731540626348314E-3</v>
      </c>
      <c r="BG60" s="294" t="s">
        <v>13</v>
      </c>
      <c r="BH60" s="300"/>
      <c r="BI60" s="300"/>
      <c r="BJ60" s="300"/>
      <c r="BK60" s="300"/>
      <c r="BL60" s="300"/>
      <c r="BM60" s="300"/>
      <c r="BN60" s="300"/>
      <c r="BO60" s="300"/>
      <c r="BP60" s="300"/>
      <c r="BQ60" s="300"/>
      <c r="BR60" s="300"/>
      <c r="BS60" s="13"/>
      <c r="BU60">
        <v>59</v>
      </c>
      <c r="BV60">
        <f si="57" t="shared"/>
        <v>15</v>
      </c>
      <c r="BW60">
        <f si="58" t="shared"/>
        <v>9</v>
      </c>
      <c r="BX60">
        <f si="59" t="shared"/>
        <v>249</v>
      </c>
      <c r="BY60">
        <f>IFERROR(VLOOKUP(BX60,OtherTourDestination!$B$11:$E$211,4,FALSE),0)</f>
        <v>0.74839999999999995</v>
      </c>
      <c r="BZ60" s="290">
        <f si="60" t="shared"/>
        <v>0.91496698634962592</v>
      </c>
      <c r="CB60" s="246">
        <f si="4" t="shared"/>
        <v>559.24365015967703</v>
      </c>
      <c r="CC60" s="246">
        <f si="5" t="shared"/>
        <v>473.43671959159951</v>
      </c>
      <c r="CD60" s="336">
        <f si="6" t="shared"/>
        <v>-85.806930568077519</v>
      </c>
      <c r="CE60" s="368">
        <f si="7" t="shared"/>
        <v>-0.15343389333714857</v>
      </c>
    </row>
    <row ht="15.75" r="61" spans="16:83" thickBot="1" x14ac:dyDescent="0.3">
      <c r="P61">
        <v>8</v>
      </c>
      <c r="Q61" s="295">
        <f si="111" t="shared"/>
        <v>-4.4770346275495006E-4</v>
      </c>
      <c r="R61" s="295">
        <f si="100" t="shared"/>
        <v>-6.7518133829855276E-4</v>
      </c>
      <c r="S61" s="295">
        <f si="101" t="shared"/>
        <v>-1.0262064672636727E-4</v>
      </c>
      <c r="T61" s="295">
        <f si="102" t="shared"/>
        <v>-5.5904787616385156E-5</v>
      </c>
      <c r="U61" s="295">
        <f si="103" t="shared"/>
        <v>-2.1659618450300212E-5</v>
      </c>
      <c r="V61" s="295">
        <f si="104" t="shared"/>
        <v>-2.2723226374298194E-4</v>
      </c>
      <c r="W61" s="295">
        <f si="105" t="shared"/>
        <v>-7.6158660041797345E-4</v>
      </c>
      <c r="X61" s="295">
        <f si="106" t="shared"/>
        <v>-3.5077963122017832E-3</v>
      </c>
      <c r="Y61" s="295">
        <f si="107" t="shared"/>
        <v>3.7917310659422445E-6</v>
      </c>
      <c r="Z61" s="295">
        <f si="108" t="shared"/>
        <v>-3.6233265140941419E-5</v>
      </c>
      <c r="AA61" s="295">
        <f si="109" t="shared"/>
        <v>0</v>
      </c>
      <c r="AB61" s="295">
        <f si="110" t="shared"/>
        <v>-5.8321265642842963E-3</v>
      </c>
      <c r="BG61" s="1" t="s">
        <v>4</v>
      </c>
      <c r="BH61" s="299"/>
      <c r="BI61" s="299"/>
      <c r="BJ61" s="299"/>
      <c r="BK61" s="299"/>
      <c r="BL61" s="299"/>
      <c r="BM61" s="299"/>
      <c r="BN61" s="299"/>
      <c r="BO61" s="299"/>
      <c r="BP61" s="299"/>
      <c r="BQ61" s="299"/>
      <c r="BR61" s="299"/>
      <c r="BS61" s="299"/>
      <c r="BU61">
        <v>60</v>
      </c>
      <c r="BV61">
        <f si="57" t="shared"/>
        <v>15</v>
      </c>
      <c r="BW61">
        <f si="58" t="shared"/>
        <v>10</v>
      </c>
      <c r="BX61">
        <f si="59" t="shared"/>
        <v>250</v>
      </c>
      <c r="BY61">
        <f>IFERROR(VLOOKUP(BX61,OtherTourDestination!$B$11:$E$211,4,FALSE),0)</f>
        <v>0.27900000000000003</v>
      </c>
      <c r="BZ61" s="290">
        <f si="60" t="shared"/>
        <v>0.44477220055894046</v>
      </c>
      <c r="CB61" s="246">
        <f si="4" t="shared"/>
        <v>1117.07461657095</v>
      </c>
      <c r="CC61" s="246">
        <f si="5" t="shared"/>
        <v>946.42941881312856</v>
      </c>
      <c r="CD61" s="336">
        <f si="6" t="shared"/>
        <v>-170.64519775782139</v>
      </c>
      <c r="CE61" s="368">
        <f si="7" t="shared"/>
        <v>-0.15276078717252189</v>
      </c>
    </row>
    <row r="62" spans="16:83" x14ac:dyDescent="0.25">
      <c r="P62">
        <v>9</v>
      </c>
      <c r="Q62" s="295">
        <f si="111" t="shared"/>
        <v>-1.2209840612121864E-4</v>
      </c>
      <c r="R62" s="295">
        <f si="100" t="shared"/>
        <v>-4.2011836059015803E-5</v>
      </c>
      <c r="S62" s="295">
        <f si="101" t="shared"/>
        <v>-1.5468783359876628E-3</v>
      </c>
      <c r="T62" s="295">
        <f si="102" t="shared"/>
        <v>-3.9499296246344793E-5</v>
      </c>
      <c r="U62" s="295">
        <f si="103" t="shared"/>
        <v>-3.0581781428691839E-5</v>
      </c>
      <c r="V62" s="295">
        <f si="104" t="shared"/>
        <v>-1.843718567682667E-4</v>
      </c>
      <c r="W62" s="295">
        <f si="105" t="shared"/>
        <v>-1.0363925910117518E-4</v>
      </c>
      <c r="X62" s="295">
        <f si="106" t="shared"/>
        <v>-1.4531798310358804E-5</v>
      </c>
      <c r="Y62" s="295">
        <f si="107" t="shared"/>
        <v>-2.1953821016387435E-3</v>
      </c>
      <c r="Z62" s="295">
        <f si="108" t="shared"/>
        <v>-1.6746218160931413E-4</v>
      </c>
      <c r="AA62" s="295">
        <f si="109" t="shared"/>
        <v>0</v>
      </c>
      <c r="AB62" s="295">
        <f si="110" t="shared"/>
        <v>-4.4464568532707853E-3</v>
      </c>
      <c r="BU62">
        <v>61</v>
      </c>
      <c r="BV62">
        <f si="57" t="shared"/>
        <v>16</v>
      </c>
      <c r="BW62">
        <f si="58" t="shared"/>
        <v>1</v>
      </c>
      <c r="BX62">
        <f si="59" t="shared"/>
        <v>251</v>
      </c>
      <c r="BY62">
        <f>IFERROR(VLOOKUP(BX62,OtherTourDestination!$B$11:$E$211,4,FALSE),0)</f>
        <v>0.18990000000000001</v>
      </c>
      <c r="BZ62" s="290">
        <f si="60" t="shared"/>
        <v>0.3816483195457866</v>
      </c>
      <c r="CB62" s="246">
        <f si="4" t="shared"/>
        <v>349.75061950297197</v>
      </c>
      <c r="CC62" s="246">
        <f si="5" t="shared"/>
        <v>288.72424564073879</v>
      </c>
      <c r="CD62" s="336">
        <f si="6" t="shared"/>
        <v>-61.026373862233186</v>
      </c>
      <c r="CE62" s="368">
        <f si="7" t="shared"/>
        <v>-0.17448539175986968</v>
      </c>
    </row>
    <row r="63" spans="16:83" x14ac:dyDescent="0.25">
      <c r="P63">
        <v>10</v>
      </c>
      <c r="Q63" s="295">
        <f si="111" t="shared"/>
        <v>-5.4218143715413112E-4</v>
      </c>
      <c r="R63" s="295">
        <f si="100" t="shared"/>
        <v>-6.9238537787960327E-5</v>
      </c>
      <c r="S63" s="295">
        <f si="101" t="shared"/>
        <v>-2.658841479030484E-4</v>
      </c>
      <c r="T63" s="295">
        <f si="102" t="shared"/>
        <v>-3.1505898755429247E-4</v>
      </c>
      <c r="U63" s="295">
        <f si="103" t="shared"/>
        <v>-3.0821528633239044E-4</v>
      </c>
      <c r="V63" s="295">
        <f si="104" t="shared"/>
        <v>-4.3909694996289582E-4</v>
      </c>
      <c r="W63" s="295">
        <f si="105" t="shared"/>
        <v>1.6736883595500204E-5</v>
      </c>
      <c r="X63" s="295">
        <f si="106" t="shared"/>
        <v>-1.971372379302056E-5</v>
      </c>
      <c r="Y63" s="295">
        <f si="107" t="shared"/>
        <v>-1.4656248229888164E-4</v>
      </c>
      <c r="Z63" s="295">
        <f si="108" t="shared"/>
        <v>-1.1892848028177928E-3</v>
      </c>
      <c r="AA63" s="295">
        <f si="109" t="shared"/>
        <v>0</v>
      </c>
      <c r="AB63" s="295">
        <f si="110" t="shared"/>
        <v>-3.2784994720089153E-3</v>
      </c>
      <c r="BU63">
        <v>62</v>
      </c>
      <c r="BV63">
        <f si="57" t="shared"/>
        <v>16</v>
      </c>
      <c r="BW63">
        <f si="58" t="shared"/>
        <v>2</v>
      </c>
      <c r="BX63">
        <f si="59" t="shared"/>
        <v>252</v>
      </c>
      <c r="BY63">
        <f>IFERROR(VLOOKUP(BX63,OtherTourDestination!$B$11:$E$211,4,FALSE),0)</f>
        <v>0.1439</v>
      </c>
      <c r="BZ63" s="290">
        <f si="60" t="shared"/>
        <v>0.33552212103041767</v>
      </c>
      <c r="CB63" s="246">
        <f si="4" t="shared"/>
        <v>518.17331426807505</v>
      </c>
      <c r="CC63" s="246">
        <f si="5" t="shared"/>
        <v>427.81362656647661</v>
      </c>
      <c r="CD63" s="336">
        <f si="6" t="shared"/>
        <v>-90.359687701598432</v>
      </c>
      <c r="CE63" s="368">
        <f si="7" t="shared"/>
        <v>-0.17438120646801811</v>
      </c>
    </row>
    <row r="64" spans="16:83" x14ac:dyDescent="0.25">
      <c r="P64" s="294" t="s">
        <v>13</v>
      </c>
      <c r="Q64" s="293">
        <f si="111" t="shared"/>
        <v>0</v>
      </c>
      <c r="R64" s="293">
        <f si="100" t="shared"/>
        <v>0</v>
      </c>
      <c r="S64" s="293">
        <f si="101" t="shared"/>
        <v>0</v>
      </c>
      <c r="T64" s="293">
        <f si="102" t="shared"/>
        <v>0</v>
      </c>
      <c r="U64" s="293">
        <f si="103" t="shared"/>
        <v>0</v>
      </c>
      <c r="V64" s="293">
        <f si="104" t="shared"/>
        <v>0</v>
      </c>
      <c r="W64" s="293">
        <f si="105" t="shared"/>
        <v>0</v>
      </c>
      <c r="X64" s="293">
        <f si="106" t="shared"/>
        <v>0</v>
      </c>
      <c r="Y64" s="293">
        <f si="107" t="shared"/>
        <v>0</v>
      </c>
      <c r="Z64" s="293">
        <f si="108" t="shared"/>
        <v>0</v>
      </c>
      <c r="AA64" s="293">
        <f si="109" t="shared"/>
        <v>0</v>
      </c>
      <c r="AB64" s="293">
        <f si="110" t="shared"/>
        <v>0</v>
      </c>
      <c r="BU64">
        <v>63</v>
      </c>
      <c r="BV64">
        <f si="57" t="shared"/>
        <v>16</v>
      </c>
      <c r="BW64">
        <f si="58" t="shared"/>
        <v>3</v>
      </c>
      <c r="BX64">
        <f si="59" t="shared"/>
        <v>253</v>
      </c>
      <c r="BY64">
        <f>IFERROR(VLOOKUP(BX64,OtherTourDestination!$B$11:$E$211,4,FALSE),0)</f>
        <v>6.3E-2</v>
      </c>
      <c r="BZ64" s="290">
        <f si="60" t="shared"/>
        <v>0.22604244152301722</v>
      </c>
      <c r="CB64" s="246">
        <f si="4" t="shared"/>
        <v>989.66475610707596</v>
      </c>
      <c r="CC64" s="246">
        <f si="5" t="shared"/>
        <v>840.77477175397132</v>
      </c>
      <c r="CD64" s="336">
        <f si="6" t="shared"/>
        <v>-148.88998435310464</v>
      </c>
      <c r="CE64" s="368">
        <f si="7" t="shared"/>
        <v>-0.15044486876422181</v>
      </c>
    </row>
    <row ht="15.75" r="65" spans="16:83" thickBot="1" x14ac:dyDescent="0.3">
      <c r="P65" s="1" t="s">
        <v>4</v>
      </c>
      <c r="Q65" s="292">
        <f si="111" t="shared"/>
        <v>2.8360333794583747E-2</v>
      </c>
      <c r="R65" s="292">
        <f si="100" t="shared"/>
        <v>6.8757665653189914E-3</v>
      </c>
      <c r="S65" s="292">
        <f si="101" t="shared"/>
        <v>7.8012446702752092E-4</v>
      </c>
      <c r="T65" s="292">
        <f si="102" t="shared"/>
        <v>-6.5949431779930845E-3</v>
      </c>
      <c r="U65" s="292">
        <f si="103" t="shared"/>
        <v>-4.9343641742709554E-3</v>
      </c>
      <c r="V65" s="292">
        <f si="104" t="shared"/>
        <v>-8.4490543483258587E-3</v>
      </c>
      <c r="W65" s="292">
        <f si="105" t="shared"/>
        <v>-4.129265627199865E-3</v>
      </c>
      <c r="X65" s="292">
        <f si="106" t="shared"/>
        <v>-5.3995173591428296E-3</v>
      </c>
      <c r="Y65" s="292">
        <f si="107" t="shared"/>
        <v>-3.9222661397843445E-3</v>
      </c>
      <c r="Z65" s="292">
        <f si="108" t="shared"/>
        <v>-2.586814000213173E-3</v>
      </c>
      <c r="AA65" s="292">
        <f si="109" t="shared"/>
        <v>0</v>
      </c>
      <c r="AB65" s="292">
        <f si="110" t="shared"/>
        <v>0</v>
      </c>
      <c r="BU65">
        <v>64</v>
      </c>
      <c r="BV65">
        <f si="57" t="shared"/>
        <v>16</v>
      </c>
      <c r="BW65">
        <f si="58" t="shared"/>
        <v>4</v>
      </c>
      <c r="BX65">
        <f si="59" t="shared"/>
        <v>254</v>
      </c>
      <c r="BY65">
        <f>IFERROR(VLOOKUP(BX65,OtherTourDestination!$B$11:$E$211,4,FALSE),0)</f>
        <v>1.5788</v>
      </c>
      <c r="BZ65" s="290">
        <f si="60" t="shared"/>
        <v>1.7723949938596573</v>
      </c>
      <c r="CB65" s="246">
        <f si="4" t="shared"/>
        <v>129.192930009995</v>
      </c>
      <c r="CC65" s="246">
        <f si="5" t="shared"/>
        <v>106.45388372528616</v>
      </c>
      <c r="CD65" s="336">
        <f si="6" t="shared"/>
        <v>-22.739046284708834</v>
      </c>
      <c r="CE65" s="368">
        <f si="7" t="shared"/>
        <v>-0.17600844166123975</v>
      </c>
    </row>
    <row r="66" spans="16:83" x14ac:dyDescent="0.25">
      <c r="BU66">
        <v>65</v>
      </c>
      <c r="BV66">
        <f ref="BV66:BV97" si="112" t="shared">IF(BW66=10,BV65,INT(BX66/($BS$2))-$BS$2+1)</f>
        <v>16</v>
      </c>
      <c r="BW66">
        <f ref="BW66:BW97" si="113" t="shared">IF(MOD(BX66,$BS$2)=0,10,MOD(BX66,$BS$2))</f>
        <v>5</v>
      </c>
      <c r="BX66">
        <f ref="BX66:BX101" si="114" t="shared">$BR$2+BU66</f>
        <v>255</v>
      </c>
      <c r="BY66">
        <f>IFERROR(VLOOKUP(BX66,OtherTourDestination!$B$11:$E$211,4,FALSE),0)</f>
        <v>1.4593</v>
      </c>
      <c r="BZ66" s="290">
        <f ref="BZ66:BZ97" si="115" t="shared">BY66+SUMIF($BH$50:$BQ$59,BX66,$BH$35:$BQ$44)</f>
        <v>1.7038970345369611</v>
      </c>
      <c r="CB66" s="246">
        <f si="4" t="shared"/>
        <v>158.38023117937499</v>
      </c>
      <c r="CC66" s="246">
        <f si="5" t="shared"/>
        <v>124.01488936171968</v>
      </c>
      <c r="CD66" s="336">
        <f si="6" t="shared"/>
        <v>-34.365341817655306</v>
      </c>
      <c r="CE66" s="368">
        <f si="7" t="shared"/>
        <v>-0.21697999530468245</v>
      </c>
    </row>
    <row r="67" spans="16:83" x14ac:dyDescent="0.25">
      <c r="BU67">
        <v>66</v>
      </c>
      <c r="BV67">
        <f si="112" t="shared"/>
        <v>16</v>
      </c>
      <c r="BW67">
        <f si="113" t="shared"/>
        <v>6</v>
      </c>
      <c r="BX67">
        <f si="114" t="shared"/>
        <v>256</v>
      </c>
      <c r="BY67">
        <f>IFERROR(VLOOKUP(BX67,OtherTourDestination!$B$11:$E$211,4,FALSE),0)</f>
        <v>0.80649999999999999</v>
      </c>
      <c r="BZ67" s="290">
        <f si="115" t="shared"/>
        <v>1.045757551189139</v>
      </c>
      <c r="CB67" s="246">
        <f ref="CB67:CB101" si="116" t="shared">SUMIF($BH$50:$BQ$59,BX67,$C$20:$L$29)</f>
        <v>728.82634139336096</v>
      </c>
      <c r="CC67" s="246">
        <f ref="CC67:CC101" si="117" t="shared">SUMIF($BH$50:$BQ$59,BX67,$AF$20:$AO$29)</f>
        <v>573.74092119135776</v>
      </c>
      <c r="CD67" s="336">
        <f ref="CD67:CD101" si="118" t="shared">CC67-CB67</f>
        <v>-155.08542020200321</v>
      </c>
      <c r="CE67" s="368">
        <f ref="CE67:CE101" si="119" t="shared">CD67/CB67</f>
        <v>-0.21278789115321062</v>
      </c>
    </row>
    <row ht="15.75" r="68" spans="16:83" thickBot="1" x14ac:dyDescent="0.3">
      <c r="P68" s="298" t="s">
        <v>326</v>
      </c>
      <c r="Q68" s="297"/>
      <c r="R68" s="297"/>
      <c r="S68" s="297"/>
      <c r="T68" s="297"/>
      <c r="U68" s="297"/>
      <c r="V68" s="297"/>
      <c r="W68" s="297"/>
      <c r="X68" s="297"/>
      <c r="Y68" s="297"/>
      <c r="BU68">
        <v>67</v>
      </c>
      <c r="BV68">
        <f si="112" t="shared"/>
        <v>16</v>
      </c>
      <c r="BW68">
        <f si="113" t="shared"/>
        <v>7</v>
      </c>
      <c r="BX68">
        <f si="114" t="shared"/>
        <v>257</v>
      </c>
      <c r="BY68">
        <f>IFERROR(VLOOKUP(BX68,OtherTourDestination!$B$11:$E$211,4,FALSE),0)</f>
        <v>0.1139</v>
      </c>
      <c r="BZ68" s="290">
        <f si="115" t="shared"/>
        <v>0.2880683186706634</v>
      </c>
      <c r="CB68" s="246">
        <f si="116" t="shared"/>
        <v>8963.6408266327999</v>
      </c>
      <c r="CC68" s="246">
        <f si="117" t="shared"/>
        <v>7530.8518886802067</v>
      </c>
      <c r="CD68" s="336">
        <f si="118" t="shared"/>
        <v>-1432.7889379525932</v>
      </c>
      <c r="CE68" s="368">
        <f si="119" t="shared"/>
        <v>-0.15984452809571373</v>
      </c>
    </row>
    <row r="69" spans="16:83" x14ac:dyDescent="0.25">
      <c r="P69" s="2" t="s">
        <v>12</v>
      </c>
      <c r="Q69" s="2">
        <v>1</v>
      </c>
      <c r="R69" s="2">
        <v>2</v>
      </c>
      <c r="S69" s="2">
        <v>3</v>
      </c>
      <c r="T69" s="2">
        <v>4</v>
      </c>
      <c r="U69" s="2">
        <v>5</v>
      </c>
      <c r="V69" s="2">
        <v>6</v>
      </c>
      <c r="W69" s="2">
        <v>7</v>
      </c>
      <c r="X69" s="2">
        <v>8</v>
      </c>
      <c r="Y69" s="2">
        <v>9</v>
      </c>
      <c r="Z69" s="2">
        <v>10</v>
      </c>
      <c r="AA69" s="3" t="s">
        <v>13</v>
      </c>
      <c r="AB69" s="3" t="s">
        <v>4</v>
      </c>
      <c r="BU69">
        <v>68</v>
      </c>
      <c r="BV69">
        <f si="112" t="shared"/>
        <v>16</v>
      </c>
      <c r="BW69">
        <f si="113" t="shared"/>
        <v>8</v>
      </c>
      <c r="BX69">
        <f si="114" t="shared"/>
        <v>258</v>
      </c>
      <c r="BY69">
        <f>IFERROR(VLOOKUP(BX69,OtherTourDestination!$B$11:$E$211,4,FALSE),0)</f>
        <v>0.18029999999999999</v>
      </c>
      <c r="BZ69" s="290">
        <f si="115" t="shared"/>
        <v>0.45656095301038968</v>
      </c>
      <c r="CB69" s="246">
        <f si="116" t="shared"/>
        <v>1462.9088506027799</v>
      </c>
      <c r="CC69" s="246">
        <f si="117" t="shared"/>
        <v>1109.78451296342</v>
      </c>
      <c r="CD69" s="336">
        <f si="118" t="shared"/>
        <v>-353.12433763935996</v>
      </c>
      <c r="CE69" s="368">
        <f si="119" t="shared"/>
        <v>-0.24138505792336815</v>
      </c>
    </row>
    <row r="70" spans="16:83" x14ac:dyDescent="0.25">
      <c r="P70" s="202">
        <v>1</v>
      </c>
      <c r="Q70" s="296">
        <f ref="Q70:Q81" si="120" t="shared">IF(C20&gt;0,(AF20-C20)/C20,0)</f>
        <v>0.10876267724273105</v>
      </c>
      <c r="R70" s="296">
        <f ref="R70:R81" si="121" t="shared">IF(D20&gt;0,(AG20-D20)/D20,0)</f>
        <v>5.7109277995910736E-2</v>
      </c>
      <c r="S70" s="296">
        <f ref="S70:S81" si="122" t="shared">IF(E20&gt;0,(AH20-E20)/E20,0)</f>
        <v>-4.9443110229818121E-2</v>
      </c>
      <c r="T70" s="296">
        <f ref="T70:T81" si="123" t="shared">IF(F20&gt;0,(AI20-F20)/F20,0)</f>
        <v>-1.8567620749442463E-2</v>
      </c>
      <c r="U70" s="296">
        <f ref="U70:U81" si="124" t="shared">IF(G20&gt;0,(AJ20-G20)/G20,0)</f>
        <v>-2.3923429543809289E-3</v>
      </c>
      <c r="V70" s="296">
        <f ref="V70:V81" si="125" t="shared">IF(H20&gt;0,(AK20-H20)/H20,0)</f>
        <v>-8.8262623787579347E-2</v>
      </c>
      <c r="W70" s="296">
        <f ref="W70:W81" si="126" t="shared">IF(I20&gt;0,(AL20-I20)/I20,0)</f>
        <v>-0.10752949278276744</v>
      </c>
      <c r="X70" s="296">
        <f ref="X70:X81" si="127" t="shared">IF(J20&gt;0,(AM20-J20)/J20,0)</f>
        <v>-0.13011091140349337</v>
      </c>
      <c r="Y70" s="296">
        <f ref="Y70:Y81" si="128" t="shared">IF(K20&gt;0,(AN20-K20)/K20,0)</f>
        <v>-0.10208732818976199</v>
      </c>
      <c r="Z70" s="296">
        <f ref="Z70:Z81" si="129" t="shared">IF(L20&gt;0,(AO20-L20)/L20,0)</f>
        <v>-0.11745084723556685</v>
      </c>
      <c r="AA70" s="296">
        <f ref="AA70:AA81" si="130" t="shared">IF(M20&gt;0,(AP20-M20)/M20,0)</f>
        <v>0</v>
      </c>
      <c r="AB70" s="296">
        <f ref="AB70:AB81" si="131" t="shared">IF(N20&gt;0,(AQ20-N20)/N20,0)</f>
        <v>8.8227315901365566E-2</v>
      </c>
      <c r="BU70">
        <v>69</v>
      </c>
      <c r="BV70">
        <f si="112" t="shared"/>
        <v>16</v>
      </c>
      <c r="BW70">
        <f si="113" t="shared"/>
        <v>9</v>
      </c>
      <c r="BX70">
        <f si="114" t="shared"/>
        <v>259</v>
      </c>
      <c r="BY70">
        <f>IFERROR(VLOOKUP(BX70,OtherTourDestination!$B$11:$E$211,4,FALSE),0)</f>
        <v>0.34870000000000001</v>
      </c>
      <c r="BZ70" s="290">
        <f si="115" t="shared"/>
        <v>0.49872031489849167</v>
      </c>
      <c r="CB70" s="246">
        <f si="116" t="shared"/>
        <v>416.94112654493898</v>
      </c>
      <c r="CC70" s="246">
        <f si="117" t="shared"/>
        <v>358.85726309395579</v>
      </c>
      <c r="CD70" s="336">
        <f si="118" t="shared"/>
        <v>-58.083863450983188</v>
      </c>
      <c r="CE70" s="368">
        <f si="119" t="shared"/>
        <v>-0.13930950859251051</v>
      </c>
    </row>
    <row r="71" spans="16:83" x14ac:dyDescent="0.25">
      <c r="P71">
        <v>2</v>
      </c>
      <c r="Q71" s="295">
        <f si="120" t="shared"/>
        <v>3.6462584734697247E-2</v>
      </c>
      <c r="R71" s="295">
        <f si="121" t="shared"/>
        <v>6.5447717727337359E-2</v>
      </c>
      <c r="S71" s="295">
        <f si="122" t="shared"/>
        <v>-4.9874265694862759E-2</v>
      </c>
      <c r="T71" s="295">
        <f si="123" t="shared"/>
        <v>2.3036061781703716E-2</v>
      </c>
      <c r="U71" s="295">
        <f si="124" t="shared"/>
        <v>4.8132579297236501E-2</v>
      </c>
      <c r="V71" s="295">
        <f si="125" t="shared"/>
        <v>-5.089490856303143E-2</v>
      </c>
      <c r="W71" s="295">
        <f si="126" t="shared"/>
        <v>-7.0559879499859394E-3</v>
      </c>
      <c r="X71" s="295">
        <f si="127" t="shared"/>
        <v>-9.7831866445975121E-2</v>
      </c>
      <c r="Y71" s="295">
        <f si="128" t="shared"/>
        <v>-6.5622652684085542E-2</v>
      </c>
      <c r="Z71" s="295">
        <f si="129" t="shared"/>
        <v>-2.5648993641678525E-2</v>
      </c>
      <c r="AA71" s="295">
        <f si="130" t="shared"/>
        <v>0</v>
      </c>
      <c r="AB71" s="295">
        <f si="131" t="shared"/>
        <v>5.1597772964788659E-2</v>
      </c>
      <c r="BU71">
        <v>70</v>
      </c>
      <c r="BV71">
        <f si="112" t="shared"/>
        <v>16</v>
      </c>
      <c r="BW71">
        <f si="113" t="shared"/>
        <v>10</v>
      </c>
      <c r="BX71">
        <f si="114" t="shared"/>
        <v>260</v>
      </c>
      <c r="BY71">
        <f>IFERROR(VLOOKUP(BX71,OtherTourDestination!$B$11:$E$211,4,FALSE),0)</f>
        <v>1.218</v>
      </c>
      <c r="BZ71" s="290">
        <f si="115" t="shared"/>
        <v>1.5305150431563483</v>
      </c>
      <c r="CB71" s="246">
        <f si="116" t="shared"/>
        <v>29.920811801705799</v>
      </c>
      <c r="CC71" s="246">
        <f si="117" t="shared"/>
        <v>21.890204244657291</v>
      </c>
      <c r="CD71" s="336">
        <f si="118" t="shared"/>
        <v>-8.0306075570485085</v>
      </c>
      <c r="CE71" s="368">
        <f si="119" t="shared"/>
        <v>-0.26839537677887071</v>
      </c>
    </row>
    <row r="72" spans="16:83" x14ac:dyDescent="0.25">
      <c r="P72">
        <v>3</v>
      </c>
      <c r="Q72" s="295">
        <f si="120" t="shared"/>
        <v>7.3877251783890582E-3</v>
      </c>
      <c r="R72" s="295">
        <f si="121" t="shared"/>
        <v>2.7767136475691758E-2</v>
      </c>
      <c r="S72" s="295">
        <f si="122" t="shared"/>
        <v>3.2496639772635803E-2</v>
      </c>
      <c r="T72" s="295">
        <f si="123" t="shared"/>
        <v>-6.285066538081846E-2</v>
      </c>
      <c r="U72" s="295">
        <f si="124" t="shared"/>
        <v>-7.2301237315492428E-2</v>
      </c>
      <c r="V72" s="295">
        <f si="125" t="shared"/>
        <v>-8.5465480908401739E-2</v>
      </c>
      <c r="W72" s="295">
        <f si="126" t="shared"/>
        <v>-0.10903445482076636</v>
      </c>
      <c r="X72" s="295">
        <f si="127" t="shared"/>
        <v>-0.17210409529274071</v>
      </c>
      <c r="Y72" s="295">
        <f si="128" t="shared"/>
        <v>-0.1173960707404383</v>
      </c>
      <c r="Z72" s="295">
        <f si="129" t="shared"/>
        <v>-4.5741597453798792E-2</v>
      </c>
      <c r="AA72" s="295">
        <f si="130" t="shared"/>
        <v>0</v>
      </c>
      <c r="AB72" s="295">
        <f si="131" t="shared"/>
        <v>1.2543841663726541E-2</v>
      </c>
      <c r="BU72">
        <v>71</v>
      </c>
      <c r="BV72">
        <f si="112" t="shared"/>
        <v>17</v>
      </c>
      <c r="BW72">
        <f si="113" t="shared"/>
        <v>1</v>
      </c>
      <c r="BX72">
        <f si="114" t="shared"/>
        <v>261</v>
      </c>
      <c r="BY72">
        <f>IFERROR(VLOOKUP(BX72,OtherTourDestination!$B$11:$E$211,4,FALSE),0)</f>
        <v>6.0600000000000001E-2</v>
      </c>
      <c r="BZ72" s="290">
        <f si="115" t="shared"/>
        <v>0.26539575819323669</v>
      </c>
      <c r="CB72" s="246">
        <f si="116" t="shared"/>
        <v>1277.9266552479701</v>
      </c>
      <c r="CC72" s="246">
        <f si="117" t="shared"/>
        <v>1041.2721698609707</v>
      </c>
      <c r="CD72" s="336">
        <f si="118" t="shared"/>
        <v>-236.65448538699934</v>
      </c>
      <c r="CE72" s="368">
        <f si="119" t="shared"/>
        <v>-0.18518628155625932</v>
      </c>
    </row>
    <row r="73" spans="16:83" x14ac:dyDescent="0.25">
      <c r="P73">
        <v>4</v>
      </c>
      <c r="Q73" s="295">
        <f si="120" t="shared"/>
        <v>-5.2053480458652865E-2</v>
      </c>
      <c r="R73" s="295">
        <f si="121" t="shared"/>
        <v>-3.5476895448266973E-2</v>
      </c>
      <c r="S73" s="295">
        <f si="122" t="shared"/>
        <v>-0.10819435951937065</v>
      </c>
      <c r="T73" s="295">
        <f si="123" t="shared"/>
        <v>-5.6828010343314077E-2</v>
      </c>
      <c r="U73" s="295">
        <f si="124" t="shared"/>
        <v>-8.655945837897823E-2</v>
      </c>
      <c r="V73" s="295">
        <f si="125" t="shared"/>
        <v>-0.13377423220068183</v>
      </c>
      <c r="W73" s="295">
        <f si="126" t="shared"/>
        <v>-0.22601048601186724</v>
      </c>
      <c r="X73" s="295">
        <f si="127" t="shared"/>
        <v>-8.4260902981050392E-2</v>
      </c>
      <c r="Y73" s="295">
        <f si="128" t="shared"/>
        <v>-0.30725577824181255</v>
      </c>
      <c r="Z73" s="295">
        <f si="129" t="shared"/>
        <v>-0.12064306060027086</v>
      </c>
      <c r="AA73" s="295">
        <f si="130" t="shared"/>
        <v>0</v>
      </c>
      <c r="AB73" s="295">
        <f si="131" t="shared"/>
        <v>-5.8996903315590314E-2</v>
      </c>
      <c r="BU73">
        <v>72</v>
      </c>
      <c r="BV73">
        <f si="112" t="shared"/>
        <v>17</v>
      </c>
      <c r="BW73">
        <f si="113" t="shared"/>
        <v>2</v>
      </c>
      <c r="BX73">
        <f si="114" t="shared"/>
        <v>262</v>
      </c>
      <c r="BY73">
        <f>IFERROR(VLOOKUP(BX73,OtherTourDestination!$B$11:$E$211,4,FALSE),0)</f>
        <v>0.47970000000000002</v>
      </c>
      <c r="BZ73" s="290">
        <f si="115" t="shared"/>
        <v>0.64988420058309226</v>
      </c>
      <c r="CB73" s="246">
        <f si="116" t="shared"/>
        <v>2280.6389495757999</v>
      </c>
      <c r="CC73" s="246">
        <f si="117" t="shared"/>
        <v>1923.7404543649031</v>
      </c>
      <c r="CD73" s="336">
        <f si="118" t="shared"/>
        <v>-356.89849521089673</v>
      </c>
      <c r="CE73" s="368">
        <f si="119" t="shared"/>
        <v>-0.15649057264293414</v>
      </c>
    </row>
    <row r="74" spans="16:83" x14ac:dyDescent="0.25">
      <c r="P74">
        <v>5</v>
      </c>
      <c r="Q74" s="295">
        <f si="120" t="shared"/>
        <v>-9.516182305696573E-2</v>
      </c>
      <c r="R74" s="295">
        <f si="121" t="shared"/>
        <v>-6.0631162809012845E-2</v>
      </c>
      <c r="S74" s="295">
        <f si="122" t="shared"/>
        <v>-0.10041357928251021</v>
      </c>
      <c r="T74" s="295">
        <f si="123" t="shared"/>
        <v>-0.10977697303275789</v>
      </c>
      <c r="U74" s="295">
        <f si="124" t="shared"/>
        <v>-0.10764487285469178</v>
      </c>
      <c r="V74" s="295">
        <f si="125" t="shared"/>
        <v>-0.15679299874998681</v>
      </c>
      <c r="W74" s="295">
        <f si="126" t="shared"/>
        <v>-0.15718159099406931</v>
      </c>
      <c r="X74" s="295">
        <f si="127" t="shared"/>
        <v>-0.20257693805259197</v>
      </c>
      <c r="Y74" s="295">
        <f si="128" t="shared"/>
        <v>-0.28714043525472316</v>
      </c>
      <c r="Z74" s="295">
        <f si="129" t="shared"/>
        <v>-0.15928036382405067</v>
      </c>
      <c r="AA74" s="295">
        <f si="130" t="shared"/>
        <v>0</v>
      </c>
      <c r="AB74" s="295">
        <f si="131" t="shared"/>
        <v>-0.10799271357530527</v>
      </c>
      <c r="BU74">
        <v>73</v>
      </c>
      <c r="BV74">
        <f si="112" t="shared"/>
        <v>17</v>
      </c>
      <c r="BW74">
        <f si="113" t="shared"/>
        <v>3</v>
      </c>
      <c r="BX74">
        <f si="114" t="shared"/>
        <v>263</v>
      </c>
      <c r="BY74">
        <f>IFERROR(VLOOKUP(BX74,OtherTourDestination!$B$11:$E$211,4,FALSE),0)</f>
        <v>0.6462</v>
      </c>
      <c r="BZ74" s="290">
        <f si="115" t="shared"/>
        <v>0.84761904910602814</v>
      </c>
      <c r="CB74" s="246">
        <f si="116" t="shared"/>
        <v>297.34606774686699</v>
      </c>
      <c r="CC74" s="246">
        <f si="117" t="shared"/>
        <v>243.10115261561589</v>
      </c>
      <c r="CD74" s="336">
        <f si="118" t="shared"/>
        <v>-54.244915131251105</v>
      </c>
      <c r="CE74" s="368">
        <f si="119" t="shared"/>
        <v>-0.18243024211583056</v>
      </c>
    </row>
    <row r="75" spans="16:83" x14ac:dyDescent="0.25">
      <c r="P75">
        <v>6</v>
      </c>
      <c r="Q75" s="295">
        <f si="120" t="shared"/>
        <v>-0.10730344313753104</v>
      </c>
      <c r="R75" s="295">
        <f si="121" t="shared"/>
        <v>-0.12059834095559553</v>
      </c>
      <c r="S75" s="295">
        <f si="122" t="shared"/>
        <v>-0.11624622262957938</v>
      </c>
      <c r="T75" s="295">
        <f si="123" t="shared"/>
        <v>-0.13309147317781578</v>
      </c>
      <c r="U75" s="295">
        <f si="124" t="shared"/>
        <v>-0.13925853618417613</v>
      </c>
      <c r="V75" s="295">
        <f si="125" t="shared"/>
        <v>-0.15286590222078311</v>
      </c>
      <c r="W75" s="295">
        <f si="126" t="shared"/>
        <v>-0.14937702305465553</v>
      </c>
      <c r="X75" s="295">
        <f si="127" t="shared"/>
        <v>-0.23805787827087782</v>
      </c>
      <c r="Y75" s="295">
        <f si="128" t="shared"/>
        <v>-0.15343389333714857</v>
      </c>
      <c r="Z75" s="295">
        <f si="129" t="shared"/>
        <v>-0.15276078717252189</v>
      </c>
      <c r="AA75" s="295">
        <f si="130" t="shared"/>
        <v>0</v>
      </c>
      <c r="AB75" s="295">
        <f si="131" t="shared"/>
        <v>-0.1433651466901586</v>
      </c>
      <c r="BU75">
        <v>74</v>
      </c>
      <c r="BV75">
        <f si="112" t="shared"/>
        <v>17</v>
      </c>
      <c r="BW75">
        <f si="113" t="shared"/>
        <v>4</v>
      </c>
      <c r="BX75">
        <f si="114" t="shared"/>
        <v>264</v>
      </c>
      <c r="BY75">
        <f>IFERROR(VLOOKUP(BX75,OtherTourDestination!$B$11:$E$211,4,FALSE),0)</f>
        <v>0.78149999999999997</v>
      </c>
      <c r="BZ75" s="290">
        <f si="115" t="shared"/>
        <v>0.86168658208243976</v>
      </c>
      <c r="CB75" s="246">
        <f si="116" t="shared"/>
        <v>383.50191331375601</v>
      </c>
      <c r="CC75" s="246">
        <f si="117" t="shared"/>
        <v>353.95083800463647</v>
      </c>
      <c r="CD75" s="336">
        <f si="118" t="shared"/>
        <v>-29.55107530911954</v>
      </c>
      <c r="CE75" s="368">
        <f si="119" t="shared"/>
        <v>-7.7055874516440276E-2</v>
      </c>
    </row>
    <row r="76" spans="16:83" x14ac:dyDescent="0.25">
      <c r="P76">
        <v>7</v>
      </c>
      <c r="Q76" s="295">
        <f si="120" t="shared"/>
        <v>-0.17448539175986968</v>
      </c>
      <c r="R76" s="295">
        <f si="121" t="shared"/>
        <v>-0.17438120646801811</v>
      </c>
      <c r="S76" s="295">
        <f si="122" t="shared"/>
        <v>-0.15044486876422181</v>
      </c>
      <c r="T76" s="295">
        <f si="123" t="shared"/>
        <v>-0.17600844166123975</v>
      </c>
      <c r="U76" s="295">
        <f si="124" t="shared"/>
        <v>-0.21697999530468245</v>
      </c>
      <c r="V76" s="295">
        <f si="125" t="shared"/>
        <v>-0.21278789115321062</v>
      </c>
      <c r="W76" s="295">
        <f si="126" t="shared"/>
        <v>-0.15984452809571373</v>
      </c>
      <c r="X76" s="295">
        <f si="127" t="shared"/>
        <v>-0.24138505792336815</v>
      </c>
      <c r="Y76" s="295">
        <f si="128" t="shared"/>
        <v>-0.13930950859251051</v>
      </c>
      <c r="Z76" s="295">
        <f si="129" t="shared"/>
        <v>-0.26839537677887071</v>
      </c>
      <c r="AA76" s="295">
        <f si="130" t="shared"/>
        <v>0</v>
      </c>
      <c r="AB76" s="295">
        <f si="131" t="shared"/>
        <v>-0.1719956961925202</v>
      </c>
      <c r="BU76">
        <v>75</v>
      </c>
      <c r="BV76">
        <f si="112" t="shared"/>
        <v>17</v>
      </c>
      <c r="BW76">
        <f si="113" t="shared"/>
        <v>5</v>
      </c>
      <c r="BX76">
        <f si="114" t="shared"/>
        <v>265</v>
      </c>
      <c r="BY76">
        <f>IFERROR(VLOOKUP(BX76,OtherTourDestination!$B$11:$E$211,4,FALSE),0)</f>
        <v>1.0267999999999999</v>
      </c>
      <c r="BZ76" s="290">
        <f si="115" t="shared"/>
        <v>1.1139993168369682</v>
      </c>
      <c r="CB76" s="246">
        <f si="116" t="shared"/>
        <v>137.10696332886201</v>
      </c>
      <c r="CC76" s="246">
        <f si="117" t="shared"/>
        <v>125.65776473099416</v>
      </c>
      <c r="CD76" s="336">
        <f si="118" t="shared"/>
        <v>-11.449198597867849</v>
      </c>
      <c r="CE76" s="368">
        <f si="119" t="shared"/>
        <v>-8.3505595338772332E-2</v>
      </c>
    </row>
    <row r="77" spans="16:83" x14ac:dyDescent="0.25">
      <c r="P77">
        <v>8</v>
      </c>
      <c r="Q77" s="295">
        <f si="120" t="shared"/>
        <v>-0.18518628155625932</v>
      </c>
      <c r="R77" s="295">
        <f si="121" t="shared"/>
        <v>-0.15649057264293414</v>
      </c>
      <c r="S77" s="295">
        <f si="122" t="shared"/>
        <v>-0.18243024211583056</v>
      </c>
      <c r="T77" s="295">
        <f si="123" t="shared"/>
        <v>-7.7055874516440276E-2</v>
      </c>
      <c r="U77" s="295">
        <f si="124" t="shared"/>
        <v>-8.3505595338772332E-2</v>
      </c>
      <c r="V77" s="295">
        <f si="125" t="shared"/>
        <v>-0.21095009419842131</v>
      </c>
      <c r="W77" s="295">
        <f si="126" t="shared"/>
        <v>-0.26431834401317766</v>
      </c>
      <c r="X77" s="295">
        <f si="127" t="shared"/>
        <v>-0.35733135675482353</v>
      </c>
      <c r="Y77" s="295">
        <f si="128" t="shared"/>
        <v>3.4422063068359654E-2</v>
      </c>
      <c r="Z77" s="295">
        <f si="129" t="shared"/>
        <v>-0.22497158990636457</v>
      </c>
      <c r="AA77" s="295">
        <f si="130" t="shared"/>
        <v>0</v>
      </c>
      <c r="AB77" s="295">
        <f si="131" t="shared"/>
        <v>-0.26122718914033388</v>
      </c>
      <c r="BU77">
        <v>76</v>
      </c>
      <c r="BV77">
        <f si="112" t="shared"/>
        <v>17</v>
      </c>
      <c r="BW77">
        <f si="113" t="shared"/>
        <v>6</v>
      </c>
      <c r="BX77">
        <f si="114" t="shared"/>
        <v>266</v>
      </c>
      <c r="BY77">
        <f>IFERROR(VLOOKUP(BX77,OtherTourDestination!$B$11:$E$211,4,FALSE),0)</f>
        <v>0.246</v>
      </c>
      <c r="BZ77" s="290">
        <f si="115" t="shared"/>
        <v>0.48292570817007113</v>
      </c>
      <c r="CB77" s="246">
        <f si="116" t="shared"/>
        <v>569.39619174423206</v>
      </c>
      <c r="CC77" s="246">
        <f si="117" t="shared"/>
        <v>449.28201145956393</v>
      </c>
      <c r="CD77" s="336">
        <f si="118" t="shared"/>
        <v>-120.11418028466812</v>
      </c>
      <c r="CE77" s="368">
        <f si="119" t="shared"/>
        <v>-0.21095009419842131</v>
      </c>
    </row>
    <row r="78" spans="16:83" x14ac:dyDescent="0.25">
      <c r="P78">
        <v>9</v>
      </c>
      <c r="Q78" s="295">
        <f si="120" t="shared"/>
        <v>-0.21815140118507254</v>
      </c>
      <c r="R78" s="295">
        <f si="121" t="shared"/>
        <v>-0.16256091466521319</v>
      </c>
      <c r="S78" s="295">
        <f si="122" t="shared"/>
        <v>-0.16031834732901687</v>
      </c>
      <c r="T78" s="295">
        <f si="123" t="shared"/>
        <v>-0.33811760656897311</v>
      </c>
      <c r="U78" s="295">
        <f si="124" t="shared"/>
        <v>-0.22542027995073663</v>
      </c>
      <c r="V78" s="295">
        <f si="125" t="shared"/>
        <v>-0.17280134188993487</v>
      </c>
      <c r="W78" s="295">
        <f si="126" t="shared"/>
        <v>-0.13634982230521686</v>
      </c>
      <c r="X78" s="295">
        <f si="127" t="shared"/>
        <v>-0.11460623608029635</v>
      </c>
      <c r="Y78" s="295">
        <f si="128" t="shared"/>
        <v>-0.18908169801695343</v>
      </c>
      <c r="Z78" s="295">
        <f si="129" t="shared"/>
        <v>-0.19268169399130489</v>
      </c>
      <c r="AA78" s="295">
        <f si="130" t="shared"/>
        <v>0</v>
      </c>
      <c r="AB78" s="295">
        <f si="131" t="shared"/>
        <v>-0.17677542910214125</v>
      </c>
      <c r="BU78">
        <v>77</v>
      </c>
      <c r="BV78">
        <f si="112" t="shared"/>
        <v>17</v>
      </c>
      <c r="BW78">
        <f si="113" t="shared"/>
        <v>7</v>
      </c>
      <c r="BX78">
        <f si="114" t="shared"/>
        <v>267</v>
      </c>
      <c r="BY78">
        <f>IFERROR(VLOOKUP(BX78,OtherTourDestination!$B$11:$E$211,4,FALSE),0)</f>
        <v>0.2233</v>
      </c>
      <c r="BZ78" s="290">
        <f si="115" t="shared"/>
        <v>0.5302577864490795</v>
      </c>
      <c r="CB78" s="246">
        <f si="116" t="shared"/>
        <v>1523.05741860482</v>
      </c>
      <c r="CC78" s="246">
        <f si="117" t="shared"/>
        <v>1120.4854038822089</v>
      </c>
      <c r="CD78" s="336">
        <f si="118" t="shared"/>
        <v>-402.57201472261113</v>
      </c>
      <c r="CE78" s="368">
        <f si="119" t="shared"/>
        <v>-0.26431834401317766</v>
      </c>
    </row>
    <row r="79" spans="16:83" x14ac:dyDescent="0.25">
      <c r="P79">
        <v>10</v>
      </c>
      <c r="Q79" s="295">
        <f si="120" t="shared"/>
        <v>-0.19851269053035137</v>
      </c>
      <c r="R79" s="295">
        <f si="121" t="shared"/>
        <v>-0.17861554680602587</v>
      </c>
      <c r="S79" s="295">
        <f si="122" t="shared"/>
        <v>-0.17193525853727384</v>
      </c>
      <c r="T79" s="295">
        <f si="123" t="shared"/>
        <v>-0.19314920816230111</v>
      </c>
      <c r="U79" s="295">
        <f si="124" t="shared"/>
        <v>-0.19089984162589529</v>
      </c>
      <c r="V79" s="295">
        <f si="125" t="shared"/>
        <v>-0.20355455576122217</v>
      </c>
      <c r="W79" s="295">
        <f si="126" t="shared"/>
        <v>0.56806362095662188</v>
      </c>
      <c r="X79" s="295">
        <f si="127" t="shared"/>
        <v>-0.12900679426974965</v>
      </c>
      <c r="Y79" s="295">
        <f si="128" t="shared"/>
        <v>-0.17310678207407068</v>
      </c>
      <c r="Z79" s="295">
        <f si="129" t="shared"/>
        <v>-0.14217222274832125</v>
      </c>
      <c r="AA79" s="295">
        <f si="130" t="shared"/>
        <v>0</v>
      </c>
      <c r="AB79" s="295">
        <f si="131" t="shared"/>
        <v>-0.16845501366480151</v>
      </c>
      <c r="BU79">
        <v>78</v>
      </c>
      <c r="BV79">
        <f si="112" t="shared"/>
        <v>17</v>
      </c>
      <c r="BW79">
        <f si="113" t="shared"/>
        <v>8</v>
      </c>
      <c r="BX79">
        <f si="114" t="shared"/>
        <v>268</v>
      </c>
      <c r="BY79">
        <f>IFERROR(VLOOKUP(BX79,OtherTourDestination!$B$11:$E$211,4,FALSE),0)</f>
        <v>0.85189999999999999</v>
      </c>
      <c r="BZ79" s="290">
        <f si="115" t="shared"/>
        <v>1.294026016895518</v>
      </c>
      <c r="CB79" s="246">
        <f si="116" t="shared"/>
        <v>5189.0460589788399</v>
      </c>
      <c r="CC79" s="246">
        <f si="117" t="shared"/>
        <v>3334.8371904606611</v>
      </c>
      <c r="CD79" s="336">
        <f si="118" t="shared"/>
        <v>-1854.2088685181789</v>
      </c>
      <c r="CE79" s="368">
        <f si="119" t="shared"/>
        <v>-0.35733135675482353</v>
      </c>
    </row>
    <row r="80" spans="16:83" x14ac:dyDescent="0.25">
      <c r="P80" s="294" t="s">
        <v>13</v>
      </c>
      <c r="Q80" s="293">
        <f si="120" t="shared"/>
        <v>0</v>
      </c>
      <c r="R80" s="293">
        <f si="121" t="shared"/>
        <v>0</v>
      </c>
      <c r="S80" s="293">
        <f si="122" t="shared"/>
        <v>0</v>
      </c>
      <c r="T80" s="293">
        <f si="123" t="shared"/>
        <v>0</v>
      </c>
      <c r="U80" s="293">
        <f si="124" t="shared"/>
        <v>0</v>
      </c>
      <c r="V80" s="293">
        <f si="125" t="shared"/>
        <v>0</v>
      </c>
      <c r="W80" s="293">
        <f si="126" t="shared"/>
        <v>0</v>
      </c>
      <c r="X80" s="293">
        <f si="127" t="shared"/>
        <v>0</v>
      </c>
      <c r="Y80" s="293">
        <f si="128" t="shared"/>
        <v>0</v>
      </c>
      <c r="Z80" s="293">
        <f si="129" t="shared"/>
        <v>0</v>
      </c>
      <c r="AA80" s="293">
        <f si="130" t="shared"/>
        <v>0</v>
      </c>
      <c r="AB80" s="293">
        <f si="131" t="shared"/>
        <v>0</v>
      </c>
      <c r="BU80">
        <v>79</v>
      </c>
      <c r="BV80">
        <f si="112" t="shared"/>
        <v>17</v>
      </c>
      <c r="BW80">
        <f si="113" t="shared"/>
        <v>9</v>
      </c>
      <c r="BX80">
        <f si="114" t="shared"/>
        <v>269</v>
      </c>
      <c r="BY80">
        <f>IFERROR(VLOOKUP(BX80,OtherTourDestination!$B$11:$E$211,4,FALSE),0)</f>
        <v>0.64990000000000003</v>
      </c>
      <c r="BZ80" s="290">
        <f si="115" t="shared"/>
        <v>0.61605712241286159</v>
      </c>
      <c r="CB80" s="246">
        <f si="116" t="shared"/>
        <v>58.227067413760999</v>
      </c>
      <c r="CC80" s="246">
        <f si="117" t="shared"/>
        <v>60.231363200563109</v>
      </c>
      <c r="CD80" s="336">
        <f si="118" t="shared"/>
        <v>2.0042957868021105</v>
      </c>
      <c r="CE80" s="368">
        <f si="119" t="shared"/>
        <v>3.4422063068359654E-2</v>
      </c>
    </row>
    <row ht="15.75" r="81" spans="16:83" thickBot="1" x14ac:dyDescent="0.3">
      <c r="P81" s="1" t="s">
        <v>4</v>
      </c>
      <c r="Q81" s="292">
        <f si="120" t="shared"/>
        <v>8.1504727403830274E-2</v>
      </c>
      <c r="R81" s="292">
        <f si="121" t="shared"/>
        <v>4.6535983442671756E-2</v>
      </c>
      <c r="S81" s="292">
        <f si="122" t="shared"/>
        <v>4.6086125612978023E-3</v>
      </c>
      <c r="T81" s="292">
        <f si="123" t="shared"/>
        <v>-5.4389862816132784E-2</v>
      </c>
      <c r="U81" s="292">
        <f si="124" t="shared"/>
        <v>-8.2757682895354803E-2</v>
      </c>
      <c r="V81" s="292">
        <f si="125" t="shared"/>
        <v>-0.13737527888066781</v>
      </c>
      <c r="W81" s="292">
        <f si="126" t="shared"/>
        <v>-0.16009718506384488</v>
      </c>
      <c r="X81" s="292">
        <f si="127" t="shared"/>
        <v>-0.24468949275372037</v>
      </c>
      <c r="Y81" s="292">
        <f si="128" t="shared"/>
        <v>-0.15470808173933892</v>
      </c>
      <c r="Z81" s="292">
        <f si="129" t="shared"/>
        <v>-0.13319633632200972</v>
      </c>
      <c r="AA81" s="292">
        <f si="130" t="shared"/>
        <v>0</v>
      </c>
      <c r="AB81" s="292">
        <f si="131" t="shared"/>
        <v>0</v>
      </c>
      <c r="BU81">
        <v>80</v>
      </c>
      <c r="BV81">
        <f si="112" t="shared"/>
        <v>17</v>
      </c>
      <c r="BW81">
        <f si="113" t="shared"/>
        <v>10</v>
      </c>
      <c r="BX81">
        <f si="114" t="shared"/>
        <v>270</v>
      </c>
      <c r="BY81">
        <f>IFERROR(VLOOKUP(BX81,OtherTourDestination!$B$11:$E$211,4,FALSE),0)</f>
        <v>2.3668</v>
      </c>
      <c r="BZ81" s="290">
        <f si="115" t="shared"/>
        <v>2.6216555921153488</v>
      </c>
      <c r="CB81" s="246">
        <f si="116" t="shared"/>
        <v>85.134204286849595</v>
      </c>
      <c r="CC81" s="246">
        <f si="117" t="shared"/>
        <v>65.981426993023803</v>
      </c>
      <c r="CD81" s="336">
        <f si="118" t="shared"/>
        <v>-19.152777293825793</v>
      </c>
      <c r="CE81" s="368">
        <f si="119" t="shared"/>
        <v>-0.22497158990636457</v>
      </c>
    </row>
    <row r="82" spans="16:83" x14ac:dyDescent="0.25">
      <c r="BU82">
        <v>81</v>
      </c>
      <c r="BV82">
        <f si="112" t="shared"/>
        <v>18</v>
      </c>
      <c r="BW82">
        <f si="113" t="shared"/>
        <v>1</v>
      </c>
      <c r="BX82">
        <f si="114" t="shared"/>
        <v>271</v>
      </c>
      <c r="BY82">
        <f>IFERROR(VLOOKUP(BX82,OtherTourDestination!$B$11:$E$211,4,FALSE),0)</f>
        <v>0.89259999999999995</v>
      </c>
      <c r="BZ82" s="290">
        <f si="115" t="shared"/>
        <v>1.1386941648347526</v>
      </c>
      <c r="CB82" s="246">
        <f si="116" t="shared"/>
        <v>295.85320244962298</v>
      </c>
      <c r="CC82" s="246">
        <f si="117" t="shared"/>
        <v>231.3124117901468</v>
      </c>
      <c r="CD82" s="336">
        <f si="118" t="shared"/>
        <v>-64.540790659476187</v>
      </c>
      <c r="CE82" s="368">
        <f si="119" t="shared"/>
        <v>-0.21815140118507254</v>
      </c>
    </row>
    <row r="83" spans="16:83" x14ac:dyDescent="0.25">
      <c r="BU83">
        <v>82</v>
      </c>
      <c r="BV83">
        <f si="112" t="shared"/>
        <v>18</v>
      </c>
      <c r="BW83">
        <f si="113" t="shared"/>
        <v>2</v>
      </c>
      <c r="BX83">
        <f si="114" t="shared"/>
        <v>272</v>
      </c>
      <c r="BY83">
        <f>IFERROR(VLOOKUP(BX83,OtherTourDestination!$B$11:$E$211,4,FALSE),0)</f>
        <v>0.61980000000000002</v>
      </c>
      <c r="BZ83" s="290">
        <f si="115" t="shared"/>
        <v>0.79720675185676892</v>
      </c>
      <c r="CB83" s="246">
        <f si="116" t="shared"/>
        <v>136.60915803073499</v>
      </c>
      <c r="CC83" s="246">
        <f si="117" t="shared"/>
        <v>114.40184834961406</v>
      </c>
      <c r="CD83" s="336">
        <f si="118" t="shared"/>
        <v>-22.207309681120933</v>
      </c>
      <c r="CE83" s="368">
        <f si="119" t="shared"/>
        <v>-0.16256091466521319</v>
      </c>
    </row>
    <row ht="15.75" r="84" spans="16:83" thickBot="1" x14ac:dyDescent="0.3">
      <c r="P84" s="298" t="s">
        <v>323</v>
      </c>
      <c r="Q84" s="297"/>
      <c r="R84" s="297"/>
      <c r="S84" s="297"/>
      <c r="T84" s="297"/>
      <c r="U84" s="297"/>
      <c r="V84" s="297"/>
      <c r="W84" s="297"/>
      <c r="X84" s="297"/>
      <c r="Y84" s="297"/>
      <c r="BU84">
        <v>83</v>
      </c>
      <c r="BV84">
        <f si="112" t="shared"/>
        <v>18</v>
      </c>
      <c r="BW84">
        <f si="113" t="shared"/>
        <v>3</v>
      </c>
      <c r="BX84">
        <f si="114" t="shared"/>
        <v>273</v>
      </c>
      <c r="BY84">
        <f>IFERROR(VLOOKUP(BX84,OtherTourDestination!$B$11:$E$211,4,FALSE),0)</f>
        <v>8.3099999999999993E-2</v>
      </c>
      <c r="BZ84" s="290">
        <f si="115" t="shared"/>
        <v>0.25783244389320681</v>
      </c>
      <c r="CB84" s="246">
        <f si="116" t="shared"/>
        <v>5100.3175534420197</v>
      </c>
      <c r="CC84" s="246">
        <f si="117" t="shared"/>
        <v>4282.6430724210204</v>
      </c>
      <c r="CD84" s="336">
        <f si="118" t="shared"/>
        <v>-817.67448102099934</v>
      </c>
      <c r="CE84" s="368">
        <f si="119" t="shared"/>
        <v>-0.16031834732901687</v>
      </c>
    </row>
    <row r="85" spans="16:83" x14ac:dyDescent="0.25">
      <c r="P85" s="2" t="s">
        <v>12</v>
      </c>
      <c r="Q85" s="2">
        <v>1</v>
      </c>
      <c r="R85" s="2">
        <v>2</v>
      </c>
      <c r="S85" s="2">
        <v>3</v>
      </c>
      <c r="T85" s="2">
        <v>4</v>
      </c>
      <c r="U85" s="2">
        <v>5</v>
      </c>
      <c r="V85" s="2">
        <v>6</v>
      </c>
      <c r="W85" s="2">
        <v>7</v>
      </c>
      <c r="X85" s="2">
        <v>8</v>
      </c>
      <c r="Y85" s="2">
        <v>9</v>
      </c>
      <c r="Z85" s="2">
        <v>10</v>
      </c>
      <c r="AA85" s="3" t="s">
        <v>13</v>
      </c>
      <c r="AB85" s="3" t="s">
        <v>4</v>
      </c>
      <c r="BU85">
        <v>84</v>
      </c>
      <c r="BV85">
        <f si="112" t="shared"/>
        <v>18</v>
      </c>
      <c r="BW85">
        <f si="113" t="shared"/>
        <v>4</v>
      </c>
      <c r="BX85">
        <f si="114" t="shared"/>
        <v>274</v>
      </c>
      <c r="BY85">
        <f>IFERROR(VLOOKUP(BX85,OtherTourDestination!$B$11:$E$211,4,FALSE),0)</f>
        <v>1.1513</v>
      </c>
      <c r="BZ85" s="290">
        <f si="115" t="shared"/>
        <v>1.5639673922548201</v>
      </c>
      <c r="CB85" s="246">
        <f si="116" t="shared"/>
        <v>61.7512649844913</v>
      </c>
      <c r="CC85" s="246">
        <f si="117" t="shared"/>
        <v>40.872075065328666</v>
      </c>
      <c r="CD85" s="336">
        <f si="118" t="shared"/>
        <v>-20.879189919162634</v>
      </c>
      <c r="CE85" s="368">
        <f si="119" t="shared"/>
        <v>-0.33811760656897311</v>
      </c>
    </row>
    <row r="86" spans="16:83" x14ac:dyDescent="0.25">
      <c r="P86" s="202">
        <v>1</v>
      </c>
      <c r="Q86" s="296">
        <f ref="Q86:AB86" si="132" t="shared">ABS(Q70)</f>
        <v>0.10876267724273105</v>
      </c>
      <c r="R86" s="296">
        <f si="132" t="shared"/>
        <v>5.7109277995910736E-2</v>
      </c>
      <c r="S86" s="296">
        <f si="132" t="shared"/>
        <v>4.9443110229818121E-2</v>
      </c>
      <c r="T86" s="296">
        <f si="132" t="shared"/>
        <v>1.8567620749442463E-2</v>
      </c>
      <c r="U86" s="296">
        <f si="132" t="shared"/>
        <v>2.3923429543809289E-3</v>
      </c>
      <c r="V86" s="296">
        <f si="132" t="shared"/>
        <v>8.8262623787579347E-2</v>
      </c>
      <c r="W86" s="296">
        <f si="132" t="shared"/>
        <v>0.10752949278276744</v>
      </c>
      <c r="X86" s="296">
        <f si="132" t="shared"/>
        <v>0.13011091140349337</v>
      </c>
      <c r="Y86" s="296">
        <f si="132" t="shared"/>
        <v>0.10208732818976199</v>
      </c>
      <c r="Z86" s="296">
        <f si="132" t="shared"/>
        <v>0.11745084723556685</v>
      </c>
      <c r="AA86" s="296">
        <f si="132" t="shared"/>
        <v>0</v>
      </c>
      <c r="AB86" s="296">
        <f si="132" t="shared"/>
        <v>8.8227315901365566E-2</v>
      </c>
      <c r="BU86">
        <v>85</v>
      </c>
      <c r="BV86">
        <f si="112" t="shared"/>
        <v>18</v>
      </c>
      <c r="BW86">
        <f si="113" t="shared"/>
        <v>5</v>
      </c>
      <c r="BX86">
        <f si="114" t="shared"/>
        <v>275</v>
      </c>
      <c r="BY86">
        <f>IFERROR(VLOOKUP(BX86,OtherTourDestination!$B$11:$E$211,4,FALSE),0)</f>
        <v>0.28210000000000002</v>
      </c>
      <c r="BZ86" s="290">
        <f si="115" t="shared"/>
        <v>0.53753469343546145</v>
      </c>
      <c r="CB86" s="246">
        <f si="116" t="shared"/>
        <v>71.712371055554698</v>
      </c>
      <c r="CC86" s="246">
        <f si="117" t="shared"/>
        <v>55.546948296280455</v>
      </c>
      <c r="CD86" s="336">
        <f si="118" t="shared"/>
        <v>-16.165422759274243</v>
      </c>
      <c r="CE86" s="368">
        <f si="119" t="shared"/>
        <v>-0.22542027995073663</v>
      </c>
    </row>
    <row r="87" spans="16:83" x14ac:dyDescent="0.25">
      <c r="P87">
        <v>2</v>
      </c>
      <c r="Q87" s="295">
        <f ref="Q87:AB87" si="133" t="shared">ABS(Q71)</f>
        <v>3.6462584734697247E-2</v>
      </c>
      <c r="R87" s="295">
        <f si="133" t="shared"/>
        <v>6.5447717727337359E-2</v>
      </c>
      <c r="S87" s="295">
        <f si="133" t="shared"/>
        <v>4.9874265694862759E-2</v>
      </c>
      <c r="T87" s="295">
        <f si="133" t="shared"/>
        <v>2.3036061781703716E-2</v>
      </c>
      <c r="U87" s="295">
        <f si="133" t="shared"/>
        <v>4.8132579297236501E-2</v>
      </c>
      <c r="V87" s="295">
        <f si="133" t="shared"/>
        <v>5.089490856303143E-2</v>
      </c>
      <c r="W87" s="295">
        <f si="133" t="shared"/>
        <v>7.0559879499859394E-3</v>
      </c>
      <c r="X87" s="295">
        <f si="133" t="shared"/>
        <v>9.7831866445975121E-2</v>
      </c>
      <c r="Y87" s="295">
        <f si="133" t="shared"/>
        <v>6.5622652684085542E-2</v>
      </c>
      <c r="Z87" s="295">
        <f si="133" t="shared"/>
        <v>2.5648993641678525E-2</v>
      </c>
      <c r="AA87" s="295">
        <f si="133" t="shared"/>
        <v>0</v>
      </c>
      <c r="AB87" s="295">
        <f si="133" t="shared"/>
        <v>5.1597772964788659E-2</v>
      </c>
      <c r="BU87">
        <v>86</v>
      </c>
      <c r="BV87">
        <f si="112" t="shared"/>
        <v>18</v>
      </c>
      <c r="BW87">
        <f si="113" t="shared"/>
        <v>6</v>
      </c>
      <c r="BX87">
        <f si="114" t="shared"/>
        <v>276</v>
      </c>
      <c r="BY87">
        <f>IFERROR(VLOOKUP(BX87,OtherTourDestination!$B$11:$E$211,4,FALSE),0)</f>
        <v>0.80049999999999999</v>
      </c>
      <c r="BZ87" s="290">
        <f si="115" t="shared"/>
        <v>0.99021039743665618</v>
      </c>
      <c r="CB87" s="246">
        <f si="116" t="shared"/>
        <v>563.99052182078105</v>
      </c>
      <c r="CC87" s="246">
        <f si="117" t="shared"/>
        <v>466.53220283694549</v>
      </c>
      <c r="CD87" s="336">
        <f si="118" t="shared"/>
        <v>-97.458318983835568</v>
      </c>
      <c r="CE87" s="368">
        <f si="119" t="shared"/>
        <v>-0.17280134188993487</v>
      </c>
    </row>
    <row r="88" spans="16:83" x14ac:dyDescent="0.25">
      <c r="P88">
        <v>3</v>
      </c>
      <c r="Q88" s="295">
        <f ref="Q88:AB88" si="134" t="shared">ABS(Q72)</f>
        <v>7.3877251783890582E-3</v>
      </c>
      <c r="R88" s="295">
        <f si="134" t="shared"/>
        <v>2.7767136475691758E-2</v>
      </c>
      <c r="S88" s="295">
        <f si="134" t="shared"/>
        <v>3.2496639772635803E-2</v>
      </c>
      <c r="T88" s="295">
        <f si="134" t="shared"/>
        <v>6.285066538081846E-2</v>
      </c>
      <c r="U88" s="295">
        <f si="134" t="shared"/>
        <v>7.2301237315492428E-2</v>
      </c>
      <c r="V88" s="295">
        <f si="134" t="shared"/>
        <v>8.5465480908401739E-2</v>
      </c>
      <c r="W88" s="295">
        <f si="134" t="shared"/>
        <v>0.10903445482076636</v>
      </c>
      <c r="X88" s="295">
        <f si="134" t="shared"/>
        <v>0.17210409529274071</v>
      </c>
      <c r="Y88" s="295">
        <f si="134" t="shared"/>
        <v>0.1173960707404383</v>
      </c>
      <c r="Z88" s="295">
        <f si="134" t="shared"/>
        <v>4.5741597453798792E-2</v>
      </c>
      <c r="AA88" s="295">
        <f si="134" t="shared"/>
        <v>0</v>
      </c>
      <c r="AB88" s="295">
        <f si="134" t="shared"/>
        <v>1.2543841663726541E-2</v>
      </c>
      <c r="BU88">
        <v>87</v>
      </c>
      <c r="BV88">
        <f si="112" t="shared"/>
        <v>18</v>
      </c>
      <c r="BW88">
        <f si="113" t="shared"/>
        <v>7</v>
      </c>
      <c r="BX88">
        <f si="114" t="shared"/>
        <v>277</v>
      </c>
      <c r="BY88">
        <f>IFERROR(VLOOKUP(BX88,OtherTourDestination!$B$11:$E$211,4,FALSE),0)</f>
        <v>0.33079999999999998</v>
      </c>
      <c r="BZ88" s="290">
        <f si="115" t="shared"/>
        <v>0.47738747909425916</v>
      </c>
      <c r="CB88" s="246">
        <f si="116" t="shared"/>
        <v>401.78526928481301</v>
      </c>
      <c r="CC88" s="246">
        <f si="117" t="shared"/>
        <v>347.00191921297505</v>
      </c>
      <c r="CD88" s="336">
        <f si="118" t="shared"/>
        <v>-54.783350071837958</v>
      </c>
      <c r="CE88" s="368">
        <f si="119" t="shared"/>
        <v>-0.13634982230521686</v>
      </c>
    </row>
    <row r="89" spans="16:83" x14ac:dyDescent="0.25">
      <c r="P89">
        <v>4</v>
      </c>
      <c r="Q89" s="295">
        <f ref="Q89:AB89" si="135" t="shared">ABS(Q73)</f>
        <v>5.2053480458652865E-2</v>
      </c>
      <c r="R89" s="295">
        <f si="135" t="shared"/>
        <v>3.5476895448266973E-2</v>
      </c>
      <c r="S89" s="295">
        <f si="135" t="shared"/>
        <v>0.10819435951937065</v>
      </c>
      <c r="T89" s="295">
        <f si="135" t="shared"/>
        <v>5.6828010343314077E-2</v>
      </c>
      <c r="U89" s="295">
        <f si="135" t="shared"/>
        <v>8.655945837897823E-2</v>
      </c>
      <c r="V89" s="295">
        <f si="135" t="shared"/>
        <v>0.13377423220068183</v>
      </c>
      <c r="W89" s="295">
        <f si="135" t="shared"/>
        <v>0.22601048601186724</v>
      </c>
      <c r="X89" s="295">
        <f si="135" t="shared"/>
        <v>8.4260902981050392E-2</v>
      </c>
      <c r="Y89" s="295">
        <f si="135" t="shared"/>
        <v>0.30725577824181255</v>
      </c>
      <c r="Z89" s="295">
        <f si="135" t="shared"/>
        <v>0.12064306060027086</v>
      </c>
      <c r="AA89" s="295">
        <f si="135" t="shared"/>
        <v>0</v>
      </c>
      <c r="AB89" s="295">
        <f si="135" t="shared"/>
        <v>5.8996903315590314E-2</v>
      </c>
      <c r="BU89">
        <v>88</v>
      </c>
      <c r="BV89">
        <f si="112" t="shared"/>
        <v>18</v>
      </c>
      <c r="BW89">
        <f si="113" t="shared"/>
        <v>8</v>
      </c>
      <c r="BX89">
        <f si="114" t="shared"/>
        <v>278</v>
      </c>
      <c r="BY89">
        <f>IFERROR(VLOOKUP(BX89,OtherTourDestination!$B$11:$E$211,4,FALSE),0)</f>
        <v>0.8478</v>
      </c>
      <c r="BZ89" s="290">
        <f si="115" t="shared"/>
        <v>0.96952280194393092</v>
      </c>
      <c r="CB89" s="246">
        <f si="116" t="shared"/>
        <v>67.024780248843697</v>
      </c>
      <c r="CC89" s="246">
        <f si="117" t="shared"/>
        <v>59.343322460414733</v>
      </c>
      <c r="CD89" s="336">
        <f si="118" t="shared"/>
        <v>-7.6814577884289648</v>
      </c>
      <c r="CE89" s="368">
        <f si="119" t="shared"/>
        <v>-0.11460623608029635</v>
      </c>
    </row>
    <row r="90" spans="16:83" x14ac:dyDescent="0.25">
      <c r="P90">
        <v>5</v>
      </c>
      <c r="Q90" s="295">
        <f ref="Q90:AB90" si="136" t="shared">ABS(Q74)</f>
        <v>9.516182305696573E-2</v>
      </c>
      <c r="R90" s="295">
        <f si="136" t="shared"/>
        <v>6.0631162809012845E-2</v>
      </c>
      <c r="S90" s="295">
        <f si="136" t="shared"/>
        <v>0.10041357928251021</v>
      </c>
      <c r="T90" s="295">
        <f si="136" t="shared"/>
        <v>0.10977697303275789</v>
      </c>
      <c r="U90" s="295">
        <f si="136" t="shared"/>
        <v>0.10764487285469178</v>
      </c>
      <c r="V90" s="295">
        <f si="136" t="shared"/>
        <v>0.15679299874998681</v>
      </c>
      <c r="W90" s="295">
        <f si="136" t="shared"/>
        <v>0.15718159099406931</v>
      </c>
      <c r="X90" s="295">
        <f si="136" t="shared"/>
        <v>0.20257693805259197</v>
      </c>
      <c r="Y90" s="295">
        <f si="136" t="shared"/>
        <v>0.28714043525472316</v>
      </c>
      <c r="Z90" s="295">
        <f si="136" t="shared"/>
        <v>0.15928036382405067</v>
      </c>
      <c r="AA90" s="295">
        <f si="136" t="shared"/>
        <v>0</v>
      </c>
      <c r="AB90" s="295">
        <f si="136" t="shared"/>
        <v>0.10799271357530527</v>
      </c>
      <c r="BU90">
        <v>89</v>
      </c>
      <c r="BV90">
        <f si="112" t="shared"/>
        <v>18</v>
      </c>
      <c r="BW90">
        <f si="113" t="shared"/>
        <v>9</v>
      </c>
      <c r="BX90">
        <f si="114" t="shared"/>
        <v>279</v>
      </c>
      <c r="BY90">
        <f>IFERROR(VLOOKUP(BX90,OtherTourDestination!$B$11:$E$211,4,FALSE),0)</f>
        <v>0.31509999999999999</v>
      </c>
      <c r="BZ90" s="290">
        <f si="115" t="shared"/>
        <v>0.52468796732326173</v>
      </c>
      <c r="CB90" s="246">
        <f si="116" t="shared"/>
        <v>6137.4068286740503</v>
      </c>
      <c r="CC90" s="246">
        <f si="117" t="shared"/>
        <v>4976.9355240875157</v>
      </c>
      <c r="CD90" s="336">
        <f si="118" t="shared"/>
        <v>-1160.4713045865346</v>
      </c>
      <c r="CE90" s="368">
        <f si="119" t="shared"/>
        <v>-0.18908169801695343</v>
      </c>
    </row>
    <row r="91" spans="16:83" x14ac:dyDescent="0.25">
      <c r="P91">
        <v>6</v>
      </c>
      <c r="Q91" s="295">
        <f ref="Q91:AB91" si="137" t="shared">ABS(Q75)</f>
        <v>0.10730344313753104</v>
      </c>
      <c r="R91" s="295">
        <f si="137" t="shared"/>
        <v>0.12059834095559553</v>
      </c>
      <c r="S91" s="295">
        <f si="137" t="shared"/>
        <v>0.11624622262957938</v>
      </c>
      <c r="T91" s="295">
        <f si="137" t="shared"/>
        <v>0.13309147317781578</v>
      </c>
      <c r="U91" s="295">
        <f si="137" t="shared"/>
        <v>0.13925853618417613</v>
      </c>
      <c r="V91" s="295">
        <f si="137" t="shared"/>
        <v>0.15286590222078311</v>
      </c>
      <c r="W91" s="295">
        <f si="137" t="shared"/>
        <v>0.14937702305465553</v>
      </c>
      <c r="X91" s="295">
        <f si="137" t="shared"/>
        <v>0.23805787827087782</v>
      </c>
      <c r="Y91" s="295">
        <f si="137" t="shared"/>
        <v>0.15343389333714857</v>
      </c>
      <c r="Z91" s="295">
        <f si="137" t="shared"/>
        <v>0.15276078717252189</v>
      </c>
      <c r="AA91" s="295">
        <f si="137" t="shared"/>
        <v>0</v>
      </c>
      <c r="AB91" s="295">
        <f si="137" t="shared"/>
        <v>0.1433651466901586</v>
      </c>
      <c r="BU91">
        <v>90</v>
      </c>
      <c r="BV91">
        <f si="112" t="shared"/>
        <v>18</v>
      </c>
      <c r="BW91">
        <f si="113" t="shared"/>
        <v>10</v>
      </c>
      <c r="BX91">
        <f si="114" t="shared"/>
        <v>280</v>
      </c>
      <c r="BY91">
        <f>IFERROR(VLOOKUP(BX91,OtherTourDestination!$B$11:$E$211,4,FALSE),0)</f>
        <v>0.31950000000000001</v>
      </c>
      <c r="BZ91" s="290">
        <f si="115" t="shared"/>
        <v>0.5335372572421998</v>
      </c>
      <c r="CB91" s="246">
        <f si="116" t="shared"/>
        <v>459.41013892848798</v>
      </c>
      <c r="CC91" s="246">
        <f si="117" t="shared"/>
        <v>370.8902151229662</v>
      </c>
      <c r="CD91" s="336">
        <f si="118" t="shared"/>
        <v>-88.519923805521785</v>
      </c>
      <c r="CE91" s="368">
        <f si="119" t="shared"/>
        <v>-0.19268169399130489</v>
      </c>
    </row>
    <row r="92" spans="16:83" x14ac:dyDescent="0.25">
      <c r="P92">
        <v>7</v>
      </c>
      <c r="Q92" s="295">
        <f ref="Q92:AB92" si="138" t="shared">ABS(Q76)</f>
        <v>0.17448539175986968</v>
      </c>
      <c r="R92" s="295">
        <f si="138" t="shared"/>
        <v>0.17438120646801811</v>
      </c>
      <c r="S92" s="295">
        <f si="138" t="shared"/>
        <v>0.15044486876422181</v>
      </c>
      <c r="T92" s="295">
        <f si="138" t="shared"/>
        <v>0.17600844166123975</v>
      </c>
      <c r="U92" s="295">
        <f si="138" t="shared"/>
        <v>0.21697999530468245</v>
      </c>
      <c r="V92" s="295">
        <f si="138" t="shared"/>
        <v>0.21278789115321062</v>
      </c>
      <c r="W92" s="295">
        <f si="138" t="shared"/>
        <v>0.15984452809571373</v>
      </c>
      <c r="X92" s="295">
        <f si="138" t="shared"/>
        <v>0.24138505792336815</v>
      </c>
      <c r="Y92" s="295">
        <f si="138" t="shared"/>
        <v>0.13930950859251051</v>
      </c>
      <c r="Z92" s="295">
        <f si="138" t="shared"/>
        <v>0.26839537677887071</v>
      </c>
      <c r="AA92" s="295">
        <f si="138" t="shared"/>
        <v>0</v>
      </c>
      <c r="AB92" s="295">
        <f si="138" t="shared"/>
        <v>0.1719956961925202</v>
      </c>
      <c r="BU92">
        <v>91</v>
      </c>
      <c r="BV92">
        <f si="112" t="shared"/>
        <v>19</v>
      </c>
      <c r="BW92">
        <f si="113" t="shared"/>
        <v>1</v>
      </c>
      <c r="BX92">
        <f si="114" t="shared"/>
        <v>281</v>
      </c>
      <c r="BY92">
        <f>IFERROR(VLOOKUP(BX92,OtherTourDestination!$B$11:$E$211,4,FALSE),0)</f>
        <v>0.18920000000000001</v>
      </c>
      <c r="BZ92" s="290">
        <f si="115" t="shared"/>
        <v>0.41048614053305343</v>
      </c>
      <c r="CB92" s="246">
        <f si="116" t="shared"/>
        <v>1443.7122968035501</v>
      </c>
      <c r="CC92" s="246">
        <f si="117" t="shared"/>
        <v>1157.1170844133242</v>
      </c>
      <c r="CD92" s="336">
        <f si="118" t="shared"/>
        <v>-286.59521239022592</v>
      </c>
      <c r="CE92" s="368">
        <f si="119" t="shared"/>
        <v>-0.19851269053035137</v>
      </c>
    </row>
    <row r="93" spans="16:83" x14ac:dyDescent="0.25">
      <c r="P93">
        <v>8</v>
      </c>
      <c r="Q93" s="295">
        <f ref="Q93:AB93" si="139" t="shared">ABS(Q77)</f>
        <v>0.18518628155625932</v>
      </c>
      <c r="R93" s="295">
        <f si="139" t="shared"/>
        <v>0.15649057264293414</v>
      </c>
      <c r="S93" s="295">
        <f si="139" t="shared"/>
        <v>0.18243024211583056</v>
      </c>
      <c r="T93" s="295">
        <f si="139" t="shared"/>
        <v>7.7055874516440276E-2</v>
      </c>
      <c r="U93" s="295">
        <f si="139" t="shared"/>
        <v>8.3505595338772332E-2</v>
      </c>
      <c r="V93" s="295">
        <f si="139" t="shared"/>
        <v>0.21095009419842131</v>
      </c>
      <c r="W93" s="295">
        <f si="139" t="shared"/>
        <v>0.26431834401317766</v>
      </c>
      <c r="X93" s="295">
        <f si="139" t="shared"/>
        <v>0.35733135675482353</v>
      </c>
      <c r="Y93" s="295">
        <f si="139" t="shared"/>
        <v>3.4422063068359654E-2</v>
      </c>
      <c r="Z93" s="295">
        <f si="139" t="shared"/>
        <v>0.22497158990636457</v>
      </c>
      <c r="AA93" s="295">
        <f si="139" t="shared"/>
        <v>0</v>
      </c>
      <c r="AB93" s="295">
        <f si="139" t="shared"/>
        <v>0.26122718914033388</v>
      </c>
      <c r="BU93">
        <v>92</v>
      </c>
      <c r="BV93">
        <f si="112" t="shared"/>
        <v>19</v>
      </c>
      <c r="BW93">
        <f si="113" t="shared"/>
        <v>2</v>
      </c>
      <c r="BX93">
        <f si="114" t="shared"/>
        <v>282</v>
      </c>
      <c r="BY93">
        <f>IFERROR(VLOOKUP(BX93,OtherTourDestination!$B$11:$E$211,4,FALSE),0)</f>
        <v>0.44640000000000002</v>
      </c>
      <c r="BZ93" s="290">
        <f si="115" t="shared"/>
        <v>0.64316400484360448</v>
      </c>
      <c r="CB93" s="246">
        <f si="116" t="shared"/>
        <v>204.90517031599299</v>
      </c>
      <c r="CC93" s="246">
        <f si="117" t="shared"/>
        <v>168.30592127662004</v>
      </c>
      <c r="CD93" s="336">
        <f si="118" t="shared"/>
        <v>-36.59924903937295</v>
      </c>
      <c r="CE93" s="368">
        <f si="119" t="shared"/>
        <v>-0.17861554680602587</v>
      </c>
    </row>
    <row r="94" spans="16:83" x14ac:dyDescent="0.25">
      <c r="P94">
        <v>9</v>
      </c>
      <c r="Q94" s="295">
        <f ref="Q94:AB94" si="140" t="shared">ABS(Q78)</f>
        <v>0.21815140118507254</v>
      </c>
      <c r="R94" s="295">
        <f si="140" t="shared"/>
        <v>0.16256091466521319</v>
      </c>
      <c r="S94" s="295">
        <f si="140" t="shared"/>
        <v>0.16031834732901687</v>
      </c>
      <c r="T94" s="295">
        <f si="140" t="shared"/>
        <v>0.33811760656897311</v>
      </c>
      <c r="U94" s="295">
        <f si="140" t="shared"/>
        <v>0.22542027995073663</v>
      </c>
      <c r="V94" s="295">
        <f si="140" t="shared"/>
        <v>0.17280134188993487</v>
      </c>
      <c r="W94" s="295">
        <f si="140" t="shared"/>
        <v>0.13634982230521686</v>
      </c>
      <c r="X94" s="295">
        <f si="140" t="shared"/>
        <v>0.11460623608029635</v>
      </c>
      <c r="Y94" s="295">
        <f si="140" t="shared"/>
        <v>0.18908169801695343</v>
      </c>
      <c r="Z94" s="295">
        <f si="140" t="shared"/>
        <v>0.19268169399130489</v>
      </c>
      <c r="AA94" s="295">
        <f si="140" t="shared"/>
        <v>0</v>
      </c>
      <c r="AB94" s="295">
        <f si="140" t="shared"/>
        <v>0.17677542910214125</v>
      </c>
      <c r="BU94">
        <v>93</v>
      </c>
      <c r="BV94">
        <f si="112" t="shared"/>
        <v>19</v>
      </c>
      <c r="BW94">
        <f si="113" t="shared"/>
        <v>3</v>
      </c>
      <c r="BX94">
        <f si="114" t="shared"/>
        <v>283</v>
      </c>
      <c r="BY94">
        <f>IFERROR(VLOOKUP(BX94,OtherTourDestination!$B$11:$E$211,4,FALSE),0)</f>
        <v>-1.67E-2</v>
      </c>
      <c r="BZ94" s="290">
        <f si="115" t="shared"/>
        <v>0.1719639374811949</v>
      </c>
      <c r="CB94" s="246">
        <f si="116" t="shared"/>
        <v>817.432284296891</v>
      </c>
      <c r="CC94" s="246">
        <f si="117" t="shared"/>
        <v>676.88685315959071</v>
      </c>
      <c r="CD94" s="336">
        <f si="118" t="shared"/>
        <v>-140.54543113730028</v>
      </c>
      <c r="CE94" s="368">
        <f si="119" t="shared"/>
        <v>-0.17193525853727384</v>
      </c>
    </row>
    <row r="95" spans="16:83" x14ac:dyDescent="0.25">
      <c r="P95">
        <v>10</v>
      </c>
      <c r="Q95" s="295">
        <f ref="Q95:AB95" si="141" t="shared">ABS(Q79)</f>
        <v>0.19851269053035137</v>
      </c>
      <c r="R95" s="295">
        <f si="141" t="shared"/>
        <v>0.17861554680602587</v>
      </c>
      <c r="S95" s="295">
        <f si="141" t="shared"/>
        <v>0.17193525853727384</v>
      </c>
      <c r="T95" s="295">
        <f si="141" t="shared"/>
        <v>0.19314920816230111</v>
      </c>
      <c r="U95" s="295">
        <f si="141" t="shared"/>
        <v>0.19089984162589529</v>
      </c>
      <c r="V95" s="295">
        <f si="141" t="shared"/>
        <v>0.20355455576122217</v>
      </c>
      <c r="W95" s="295">
        <f si="141" t="shared"/>
        <v>0.56806362095662188</v>
      </c>
      <c r="X95" s="295">
        <f si="141" t="shared"/>
        <v>0.12900679426974965</v>
      </c>
      <c r="Y95" s="295">
        <f si="141" t="shared"/>
        <v>0.17310678207407068</v>
      </c>
      <c r="Z95" s="295">
        <f si="141" t="shared"/>
        <v>0.14217222274832125</v>
      </c>
      <c r="AA95" s="295">
        <f si="141" t="shared"/>
        <v>0</v>
      </c>
      <c r="AB95" s="295">
        <f si="141" t="shared"/>
        <v>0.16845501366480151</v>
      </c>
      <c r="BU95">
        <v>94</v>
      </c>
      <c r="BV95">
        <f si="112" t="shared"/>
        <v>19</v>
      </c>
      <c r="BW95">
        <f si="113" t="shared"/>
        <v>4</v>
      </c>
      <c r="BX95">
        <f si="114" t="shared"/>
        <v>284</v>
      </c>
      <c r="BY95">
        <f>IFERROR(VLOOKUP(BX95,OtherTourDestination!$B$11:$E$211,4,FALSE),0)</f>
        <v>0.14960000000000001</v>
      </c>
      <c r="BZ95" s="290">
        <f si="115" t="shared"/>
        <v>0.36421652020131934</v>
      </c>
      <c r="CB95" s="246">
        <f si="116" t="shared"/>
        <v>862.23019530998101</v>
      </c>
      <c r="CC95" s="246">
        <f si="117" t="shared"/>
        <v>695.69111583223196</v>
      </c>
      <c r="CD95" s="336">
        <f si="118" t="shared"/>
        <v>-166.53907947774906</v>
      </c>
      <c r="CE95" s="368">
        <f si="119" t="shared"/>
        <v>-0.19314920816230111</v>
      </c>
    </row>
    <row r="96" spans="16:83" x14ac:dyDescent="0.25">
      <c r="P96" s="294" t="s">
        <v>13</v>
      </c>
      <c r="Q96" s="293">
        <f ref="Q96:AB96" si="142" t="shared">ABS(Q80)</f>
        <v>0</v>
      </c>
      <c r="R96" s="293">
        <f si="142" t="shared"/>
        <v>0</v>
      </c>
      <c r="S96" s="293">
        <f si="142" t="shared"/>
        <v>0</v>
      </c>
      <c r="T96" s="293">
        <f si="142" t="shared"/>
        <v>0</v>
      </c>
      <c r="U96" s="293">
        <f si="142" t="shared"/>
        <v>0</v>
      </c>
      <c r="V96" s="293">
        <f si="142" t="shared"/>
        <v>0</v>
      </c>
      <c r="W96" s="293">
        <f si="142" t="shared"/>
        <v>0</v>
      </c>
      <c r="X96" s="293">
        <f si="142" t="shared"/>
        <v>0</v>
      </c>
      <c r="Y96" s="293">
        <f si="142" t="shared"/>
        <v>0</v>
      </c>
      <c r="Z96" s="293">
        <f si="142" t="shared"/>
        <v>0</v>
      </c>
      <c r="AA96" s="293">
        <f si="142" t="shared"/>
        <v>0</v>
      </c>
      <c r="AB96" s="293">
        <f si="142" t="shared"/>
        <v>0</v>
      </c>
      <c r="BU96">
        <v>95</v>
      </c>
      <c r="BV96">
        <f si="112" t="shared"/>
        <v>19</v>
      </c>
      <c r="BW96">
        <f si="113" t="shared"/>
        <v>5</v>
      </c>
      <c r="BX96">
        <f si="114" t="shared"/>
        <v>285</v>
      </c>
      <c r="BY96">
        <f>IFERROR(VLOOKUP(BX96,OtherTourDestination!$B$11:$E$211,4,FALSE),0)</f>
        <v>0.31840000000000002</v>
      </c>
      <c r="BZ96" s="290">
        <f si="115" t="shared"/>
        <v>0.53023256442728617</v>
      </c>
      <c r="CB96" s="246">
        <f si="116" t="shared"/>
        <v>853.43980145606702</v>
      </c>
      <c r="CC96" s="246">
        <f si="117" t="shared"/>
        <v>690.51827852086831</v>
      </c>
      <c r="CD96" s="336">
        <f si="118" t="shared"/>
        <v>-162.92152293519871</v>
      </c>
      <c r="CE96" s="368">
        <f si="119" t="shared"/>
        <v>-0.19089984162589529</v>
      </c>
    </row>
    <row ht="15.75" r="97" spans="16:83" thickBot="1" x14ac:dyDescent="0.3">
      <c r="P97" s="1" t="s">
        <v>4</v>
      </c>
      <c r="Q97" s="292">
        <f ref="Q97:AB97" si="143" t="shared">ABS(Q81)</f>
        <v>8.1504727403830274E-2</v>
      </c>
      <c r="R97" s="292">
        <f si="143" t="shared"/>
        <v>4.6535983442671756E-2</v>
      </c>
      <c r="S97" s="292">
        <f si="143" t="shared"/>
        <v>4.6086125612978023E-3</v>
      </c>
      <c r="T97" s="292">
        <f si="143" t="shared"/>
        <v>5.4389862816132784E-2</v>
      </c>
      <c r="U97" s="292">
        <f si="143" t="shared"/>
        <v>8.2757682895354803E-2</v>
      </c>
      <c r="V97" s="292">
        <f si="143" t="shared"/>
        <v>0.13737527888066781</v>
      </c>
      <c r="W97" s="292">
        <f si="143" t="shared"/>
        <v>0.16009718506384488</v>
      </c>
      <c r="X97" s="292">
        <f si="143" t="shared"/>
        <v>0.24468949275372037</v>
      </c>
      <c r="Y97" s="292">
        <f si="143" t="shared"/>
        <v>0.15470808173933892</v>
      </c>
      <c r="Z97" s="292">
        <f si="143" t="shared"/>
        <v>0.13319633632200972</v>
      </c>
      <c r="AA97" s="292">
        <f si="143" t="shared"/>
        <v>0</v>
      </c>
      <c r="AB97" s="292">
        <f si="143" t="shared"/>
        <v>0</v>
      </c>
      <c r="BU97">
        <v>96</v>
      </c>
      <c r="BV97">
        <f si="112" t="shared"/>
        <v>19</v>
      </c>
      <c r="BW97">
        <f si="113" t="shared"/>
        <v>6</v>
      </c>
      <c r="BX97">
        <f si="114" t="shared"/>
        <v>286</v>
      </c>
      <c r="BY97">
        <f>IFERROR(VLOOKUP(BX97,OtherTourDestination!$B$11:$E$211,4,FALSE),0)</f>
        <v>0.33479999999999999</v>
      </c>
      <c r="BZ97" s="290">
        <f si="115" t="shared"/>
        <v>0.56239664634225184</v>
      </c>
      <c r="CB97" s="246">
        <f si="116" t="shared"/>
        <v>1140.25997572341</v>
      </c>
      <c r="CC97" s="246">
        <f si="117" t="shared"/>
        <v>908.1548629127293</v>
      </c>
      <c r="CD97" s="336">
        <f si="118" t="shared"/>
        <v>-232.10511281068068</v>
      </c>
      <c r="CE97" s="368">
        <f si="119" t="shared"/>
        <v>-0.20355455576122217</v>
      </c>
    </row>
    <row r="98" spans="16:83" x14ac:dyDescent="0.25">
      <c r="BU98">
        <v>97</v>
      </c>
      <c r="BV98">
        <f ref="BV98:BV101" si="144" t="shared">IF(BW98=10,BV97,INT(BX98/($BS$2))-$BS$2+1)</f>
        <v>19</v>
      </c>
      <c r="BW98">
        <f ref="BW98:BW101" si="145" t="shared">IF(MOD(BX98,$BS$2)=0,10,MOD(BX98,$BS$2))</f>
        <v>7</v>
      </c>
      <c r="BX98">
        <f si="114" t="shared"/>
        <v>287</v>
      </c>
      <c r="BY98">
        <f>IFERROR(VLOOKUP(BX98,OtherTourDestination!$B$11:$E$211,4,FALSE),0)</f>
        <v>0.50170000000000003</v>
      </c>
      <c r="BZ98" s="290">
        <f ref="BZ98:BZ101" si="146" t="shared">BY98+SUMIF($BH$50:$BQ$59,BX98,$BH$35:$BQ$44)</f>
        <v>5.1858504305227981E-2</v>
      </c>
      <c r="CB98" s="246">
        <f si="116" t="shared"/>
        <v>15.5740621921843</v>
      </c>
      <c r="CC98" s="246">
        <f si="117" t="shared"/>
        <v>24.421120354080138</v>
      </c>
      <c r="CD98" s="336">
        <f si="118" t="shared"/>
        <v>8.8470581618958377</v>
      </c>
      <c r="CE98" s="368">
        <f si="119" t="shared"/>
        <v>0.56806362095662188</v>
      </c>
    </row>
    <row r="99" spans="16:83" x14ac:dyDescent="0.25">
      <c r="Q99" s="291" t="s">
        <v>289</v>
      </c>
      <c r="R99" s="291" t="s">
        <v>288</v>
      </c>
      <c r="S99" s="291" t="s">
        <v>287</v>
      </c>
      <c r="BU99">
        <v>98</v>
      </c>
      <c r="BV99">
        <f si="144" t="shared"/>
        <v>19</v>
      </c>
      <c r="BW99">
        <f si="145" t="shared"/>
        <v>8</v>
      </c>
      <c r="BX99">
        <f si="114" t="shared"/>
        <v>288</v>
      </c>
      <c r="BY99">
        <f>IFERROR(VLOOKUP(BX99,OtherTourDestination!$B$11:$E$211,4,FALSE),0)</f>
        <v>2.4771999999999998</v>
      </c>
      <c r="BZ99" s="290">
        <f si="146" t="shared"/>
        <v>2.6153211026993808</v>
      </c>
      <c r="CB99" s="246">
        <f si="116" t="shared"/>
        <v>80.775633122497297</v>
      </c>
      <c r="CC99" s="246">
        <f si="117" t="shared"/>
        <v>70.355027638254512</v>
      </c>
      <c r="CD99" s="336">
        <f si="118" t="shared"/>
        <v>-10.420605484242785</v>
      </c>
      <c r="CE99" s="368">
        <f si="119" t="shared"/>
        <v>-0.12900679426974965</v>
      </c>
    </row>
    <row r="100" spans="16:83" x14ac:dyDescent="0.25">
      <c r="P100" t="s">
        <v>322</v>
      </c>
      <c r="Q100" s="8">
        <f>SUM(Q86:Z95)</f>
        <v>13.844710000735175</v>
      </c>
      <c r="R100" s="8">
        <f>MIN($Q$86:$Z$95)</f>
        <v>2.3923429543809289E-3</v>
      </c>
      <c r="S100" s="8">
        <f>MAX($Q$86:$Z$95)</f>
        <v>0.56806362095662188</v>
      </c>
      <c r="BU100">
        <v>99</v>
      </c>
      <c r="BV100">
        <f si="144" t="shared"/>
        <v>19</v>
      </c>
      <c r="BW100">
        <f si="145" t="shared"/>
        <v>9</v>
      </c>
      <c r="BX100">
        <f si="114" t="shared"/>
        <v>289</v>
      </c>
      <c r="BY100">
        <f>IFERROR(VLOOKUP(BX100,OtherTourDestination!$B$11:$E$211,4,FALSE),0)</f>
        <v>0.28899999999999998</v>
      </c>
      <c r="BZ100" s="290">
        <f si="146" t="shared"/>
        <v>0.47907971209448452</v>
      </c>
      <c r="CB100" s="246">
        <f si="116" t="shared"/>
        <v>447.54119324688799</v>
      </c>
      <c r="CC100" s="246">
        <f si="117" t="shared"/>
        <v>370.06877743832939</v>
      </c>
      <c r="CD100" s="336">
        <f si="118" t="shared"/>
        <v>-77.472415808558594</v>
      </c>
      <c r="CE100" s="368">
        <f si="119" t="shared"/>
        <v>-0.17310678207407068</v>
      </c>
    </row>
    <row r="101" spans="16:83" x14ac:dyDescent="0.25">
      <c r="Q101" s="8"/>
      <c r="R101" s="8"/>
      <c r="S101" s="8"/>
      <c r="BU101">
        <v>100</v>
      </c>
      <c r="BV101">
        <f si="144" t="shared"/>
        <v>19</v>
      </c>
      <c r="BW101">
        <f si="145" t="shared"/>
        <v>10</v>
      </c>
      <c r="BX101">
        <f si="114" t="shared"/>
        <v>290</v>
      </c>
      <c r="BY101">
        <f>IFERROR(VLOOKUP(BX101,OtherTourDestination!$B$11:$E$211,4,FALSE),0)</f>
        <v>0.17419999999999999</v>
      </c>
      <c r="BZ101" s="290">
        <f si="146" t="shared"/>
        <v>0.3275519254561915</v>
      </c>
      <c r="CB101" s="246">
        <f si="116" t="shared"/>
        <v>4421.76240383198</v>
      </c>
      <c r="CC101" s="246">
        <f si="117" t="shared"/>
        <v>3793.1106144142273</v>
      </c>
      <c r="CD101" s="336">
        <f si="118" t="shared"/>
        <v>-628.65178941775275</v>
      </c>
      <c r="CE101" s="368">
        <f si="119" t="shared"/>
        <v>-0.14217222274832125</v>
      </c>
    </row>
  </sheetData>
  <mergeCells count="4">
    <mergeCell ref="AE2:AF2"/>
    <mergeCell ref="B2:C2"/>
    <mergeCell ref="M2:P2"/>
    <mergeCell ref="Q2:R2"/>
  </mergeCells>
  <conditionalFormatting sqref="Q65:AA65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81:Z8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54:AB64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54:AA64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70:Z79">
    <cfRule priority="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12">
    <cfRule priority="8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12">
    <cfRule priority="9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4:I1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4:H1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3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13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AFE6CEC6-5FCC-46B6-8837-605BEE03A8B4}"/>
</file>

<file path=customXml/itemProps2.xml><?xml version="1.0" encoding="utf-8"?>
<ds:datastoreItem xmlns:ds="http://schemas.openxmlformats.org/officeDocument/2006/customXml" ds:itemID="{A8D386A6-C9F5-4128-A3D3-BB5420D35FE2}"/>
</file>

<file path=customXml/itemProps3.xml><?xml version="1.0" encoding="utf-8"?>
<ds:datastoreItem xmlns:ds="http://schemas.openxmlformats.org/officeDocument/2006/customXml" ds:itemID="{16067C37-8546-4998-91AC-D68F9BDECE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baseType="lpstr" size="35">
      <vt:lpstr>TLFD</vt:lpstr>
      <vt:lpstr>TDFD</vt:lpstr>
      <vt:lpstr>County_Flow</vt:lpstr>
      <vt:lpstr>Documentation</vt:lpstr>
      <vt:lpstr>survey_other_auto_dist</vt:lpstr>
      <vt:lpstr>model_other_auto_dist</vt:lpstr>
      <vt:lpstr>Coeff_Descr</vt:lpstr>
      <vt:lpstr>OtherTourDestination</vt:lpstr>
      <vt:lpstr>Calibration</vt:lpstr>
      <vt:lpstr>calibration_flow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Hannah Carson</cp:lastModifiedBy>
  <dcterms:modified xsi:type="dcterms:W3CDTF">2022-09-01T18:04:24Z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