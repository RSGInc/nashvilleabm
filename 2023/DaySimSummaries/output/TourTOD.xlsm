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FC1A37D5-3F9A-43A0-A097-79338E134DC5}" revIDLastSave="0" xr10:uidLastSave="{00000000-0000-0000-0000-000000000000}" xr6:coauthVersionLast="47" xr6:coauthVersionMax="47"/>
  <bookViews>
    <workbookView activeTab="1" windowHeight="11596" windowWidth="19396" xWindow="-98" xr2:uid="{00000000-000D-0000-FFFF-FFFF00000000}" yWindow="-98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TourTime" r:id="rId14" sheetId="26"/>
    <sheet name="WorkBasedSubtourTime" r:id="rId15" sheetId="25"/>
    <sheet name="Calibration_Work" r:id="rId16" sheetId="27"/>
    <sheet name="Calibration_School" r:id="rId17" sheetId="23"/>
    <sheet name="Calibration_WorkBased" r:id="rId18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28" l="1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H28"/>
  <c i="28" r="O27"/>
  <c i="28" r="H27"/>
  <c i="28" r="O26"/>
  <c i="28" r="H26"/>
  <c i="28" r="O25"/>
  <c i="28" r="H25"/>
  <c i="28" r="O24"/>
  <c i="28" r="H24"/>
  <c i="28" r="O23"/>
  <c i="28" r="H23"/>
  <c i="28" r="O22"/>
  <c i="28" r="H22"/>
  <c i="28" r="O21"/>
  <c i="28" r="H21"/>
  <c i="28" r="O20"/>
  <c i="28" l="1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7" r="H29"/>
  <c i="27" r="H28"/>
  <c i="27" r="H27"/>
  <c i="27" r="H26"/>
  <c i="27" r="H25"/>
  <c i="27" r="H24"/>
  <c i="27" r="H23"/>
  <c i="27" r="H22"/>
  <c i="27" r="H21"/>
  <c i="27" r="H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H39"/>
  <c i="28" r="D39"/>
  <c i="28" r="C39"/>
  <c i="28" r="H38"/>
  <c i="28" r="D38"/>
  <c i="28" r="C38"/>
  <c i="28" r="H37"/>
  <c i="28" r="D37"/>
  <c i="28" r="C37"/>
  <c i="28" r="R52"/>
  <c i="28" r="Q52"/>
  <c i="28" r="H36"/>
  <c i="28" r="D36"/>
  <c i="28" r="C36"/>
  <c i="28" r="R51"/>
  <c i="28" r="Q51"/>
  <c i="28" r="S51" s="1"/>
  <c i="28" r="T51" s="1"/>
  <c i="28" r="R50"/>
  <c i="28" r="Q50"/>
  <c i="28" r="R49"/>
  <c i="28" r="Q49"/>
  <c i="28" r="R48"/>
  <c i="28" r="Q48"/>
  <c i="28" r="S48" s="1"/>
  <c i="28" r="T48" s="1"/>
  <c i="28" r="R47"/>
  <c i="28" r="Q47"/>
  <c i="28" r="R46"/>
  <c i="28" r="Q46"/>
  <c i="28" r="R45"/>
  <c i="28" r="Q45"/>
  <c i="28" r="D13"/>
  <c i="28" r="C13"/>
  <c i="28" r="R44"/>
  <c i="28" r="Q44"/>
  <c i="28" r="H12"/>
  <c i="28" r="D12"/>
  <c i="28" r="C12"/>
  <c i="28" r="R43"/>
  <c i="28" r="Q43"/>
  <c i="28" r="S43" s="1"/>
  <c i="28" r="T43" s="1"/>
  <c i="28" r="H11"/>
  <c i="28" r="D11"/>
  <c i="28" r="C11"/>
  <c i="28" r="R42"/>
  <c i="28" r="Q42"/>
  <c i="28" r="H10"/>
  <c i="28" r="D10"/>
  <c i="28" r="C10"/>
  <c i="28" r="R41"/>
  <c i="28" r="Q41"/>
  <c i="28" r="S41" s="1"/>
  <c i="28" r="T41" s="1"/>
  <c i="28" r="H9"/>
  <c i="28" r="D9"/>
  <c i="28" r="C9"/>
  <c i="28" r="R40"/>
  <c i="28" r="Q40"/>
  <c i="28" r="H8"/>
  <c i="28" r="D8"/>
  <c i="28" r="C8"/>
  <c i="28" r="R39"/>
  <c i="28" r="Q39"/>
  <c i="28" r="S39" s="1"/>
  <c i="28" r="T39" s="1"/>
  <c i="28" r="H7"/>
  <c i="28" r="D7"/>
  <c i="28" r="C7"/>
  <c i="28" r="R38"/>
  <c i="28" r="Q38"/>
  <c i="28" r="H6"/>
  <c i="28" r="D6"/>
  <c i="28" r="C6"/>
  <c i="28" r="R37"/>
  <c i="28" r="Q37"/>
  <c i="28" r="H5"/>
  <c i="28" r="D5"/>
  <c i="28" r="C5"/>
  <c i="28" r="R36"/>
  <c i="28" r="Q36"/>
  <c i="28" r="D4"/>
  <c i="28" r="C4"/>
  <c i="28" r="R35"/>
  <c i="28" r="Q35"/>
  <c i="28" r="S35" s="1"/>
  <c i="28" r="T35" s="1"/>
  <c i="28" r="R34"/>
  <c i="28" r="Q34"/>
  <c i="28" r="R33"/>
  <c i="28" r="Q33"/>
  <c i="28" r="S33" s="1"/>
  <c i="28" r="R32"/>
  <c i="28" r="Q32"/>
  <c i="28" r="S32" s="1"/>
  <c i="28" r="T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27" l="1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M37"/>
  <c i="28" r="S47"/>
  <c i="28" r="T47" s="1"/>
  <c i="28" r="S50"/>
  <c i="28" r="T50" s="1"/>
  <c i="28" r="C46"/>
  <c i="28" r="E46" s="1"/>
  <c i="28" r="T33"/>
  <c i="28" r="D46"/>
  <c i="28" r="F37" s="1"/>
  <c i="28" r="S44"/>
  <c i="28" r="T44" s="1"/>
  <c i="28" r="S37"/>
  <c i="28" r="T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S6"/>
  <c i="28" r="S13"/>
  <c i="28" r="M4" s="1"/>
  <c i="28" r="S46"/>
  <c i="28" r="T46" s="1"/>
  <c i="28" r="S49"/>
  <c i="28" r="T49" s="1"/>
  <c i="28" r="M36"/>
  <c i="28" r="S31"/>
  <c i="28" r="M44" s="1"/>
  <c i="28" r="S34"/>
  <c i="28" r="T34" s="1"/>
  <c i="28" r="S36"/>
  <c i="28" r="T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S52"/>
  <c i="28" r="T52" s="1"/>
  <c i="28" r="M12"/>
  <c i="28" r="S7"/>
  <c i="28" r="S11"/>
  <c i="28" r="S14"/>
  <c i="28" r="M5" s="1"/>
  <c i="28" r="S17"/>
  <c i="28" r="M8" s="1"/>
  <c i="28" r="S38"/>
  <c i="28" r="T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H44"/>
  <c i="27" r="H43"/>
  <c i="27" r="H42"/>
  <c i="27" r="H41"/>
  <c i="27" r="H40"/>
  <c i="27" r="H39"/>
  <c i="27" r="H38"/>
  <c i="27" r="H37"/>
  <c i="27" r="H36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28" l="1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F11"/>
  <c i="28" r="F7"/>
  <c i="28" r="F8"/>
  <c i="28" r="F5"/>
  <c i="28" r="F12"/>
  <c i="28" r="F6"/>
  <c i="28" r="F10"/>
  <c i="28" r="F4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"/>
  <c i="28" r="G20"/>
  <c i="28" r="G40"/>
  <c i="28" r="G12"/>
  <c i="28" r="G5"/>
  <c i="28" r="G8"/>
  <c i="28" r="I8" s="1"/>
  <c i="28" r="N8" s="1"/>
  <c i="28" r="T17" s="1"/>
  <c i="28" r="G14"/>
  <c i="28" r="G11"/>
  <c i="28" r="G7"/>
  <c i="28" r="G10"/>
  <c i="28" r="I10" s="1"/>
  <c i="28" r="N10" s="1"/>
  <c i="28" r="T19" s="1"/>
  <c i="28" r="G6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G24"/>
  <c i="28" r="I24" s="1"/>
  <c i="28" r="N24" s="1"/>
  <c i="28" r="T7" s="1"/>
  <c i="28" r="G25"/>
  <c i="28" r="I25" s="1"/>
  <c i="28" r="N25" s="1"/>
  <c i="28" r="T8" s="1"/>
  <c i="28" r="G30"/>
  <c i="28" r="G39"/>
  <c i="28" r="G42"/>
  <c i="28" r="G38"/>
  <c i="28" r="G44"/>
  <c i="28" r="G36"/>
  <c i="28" r="G43"/>
  <c i="28" r="I5"/>
  <c i="28" r="N5" s="1"/>
  <c i="28" r="T14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4"/>
  <c i="28" r="N4" s="1"/>
  <c i="28" r="T13" s="1"/>
  <c i="28" r="I11"/>
  <c i="28" r="N11" s="1"/>
  <c i="28" r="T20" s="1"/>
  <c i="27" r="F39"/>
  <c i="27" r="F42"/>
  <c i="27" r="F45"/>
  <c i="27" r="F46"/>
  <c i="27" r="G46" s="1"/>
  <c i="27" r="F40"/>
  <c i="27" r="F8"/>
  <c i="27" r="F5"/>
  <c i="27" r="G5" s="1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7"/>
  <c i="28" r="N7" s="1"/>
  <c i="28" r="T16" s="1"/>
  <c i="27" r="G39"/>
  <c i="27" r="I39" s="1"/>
  <c i="27" r="N39" s="1"/>
  <c i="27" r="U26" s="1"/>
  <c i="28" r="I9"/>
  <c i="28" r="N9" s="1"/>
  <c i="28" r="T18" s="1"/>
  <c i="28" r="I6"/>
  <c i="28" r="N6" s="1"/>
  <c i="28" r="T15" s="1"/>
  <c i="28" r="I43"/>
  <c i="28" r="N43" s="1"/>
  <c i="28" r="T30" s="1"/>
  <c i="28" r="I36"/>
  <c i="28" r="N36" s="1"/>
  <c i="28" r="T23" s="1"/>
  <c i="28" r="I12"/>
  <c i="28" r="N12" s="1"/>
  <c i="28" r="T21" s="1"/>
  <c i="28" r="I44"/>
  <c i="28" r="N44" s="1"/>
  <c i="28" r="T31" s="1"/>
  <c i="28" r="I41"/>
  <c i="28" r="N41" s="1"/>
  <c i="28" r="T28" s="1"/>
  <c i="28" r="I13"/>
  <c i="28" r="N13" s="1"/>
  <c i="28" r="T22" s="1"/>
  <c i="28" r="I38"/>
  <c i="28" r="N38" s="1"/>
  <c i="28" r="T25" s="1"/>
  <c i="28" r="I40"/>
  <c i="28" r="N40" s="1"/>
  <c i="28" r="T27" s="1"/>
  <c i="28" r="I45"/>
  <c i="28" r="I39"/>
  <c i="28" r="N39" s="1"/>
  <c i="28" r="T26" s="1"/>
  <c i="27" r="G43"/>
  <c i="27" r="I43" s="1"/>
  <c i="27" r="N43" s="1"/>
  <c i="27" r="U30" s="1"/>
  <c i="28" r="I27"/>
  <c i="28" r="N27" s="1"/>
  <c i="28" r="T10" s="1"/>
  <c i="28" r="I26"/>
  <c i="28" r="N26" s="1"/>
  <c i="28" r="T9" s="1"/>
  <c i="27" r="G38"/>
  <c i="27" r="I38" s="1"/>
  <c i="27" r="N38" s="1"/>
  <c i="27" r="U25" s="1"/>
  <c i="28" r="I29"/>
  <c i="28" r="N29" s="1"/>
  <c i="28" r="T12" s="1"/>
  <c i="28" r="I28"/>
  <c i="28" r="N28" s="1"/>
  <c i="28" r="T11" s="1"/>
  <c i="28" r="I21"/>
  <c i="28" r="N21" s="1"/>
  <c i="28" r="T4" s="1"/>
  <c i="27" r="G11"/>
  <c i="28" r="I22"/>
  <c i="28" r="N22" s="1"/>
  <c i="28" r="T5" s="1"/>
  <c i="27" r="G4"/>
  <c i="27" r="I4" s="1"/>
  <c i="27" r="N4" s="1"/>
  <c i="27" r="U13" s="1"/>
  <c i="28" r="I20"/>
  <c i="28" r="N20" s="1"/>
  <c i="28" r="T3" s="1"/>
  <c i="28" r="I37"/>
  <c i="28" r="N37" s="1"/>
  <c i="28" r="T24" s="1"/>
  <c i="28" r="I42"/>
  <c i="28" r="N42" s="1"/>
  <c i="28" r="T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11"/>
  <c i="27" r="N11" s="1"/>
  <c i="27" r="U20" s="1"/>
  <c i="27" r="I7"/>
  <c i="27" r="N7" s="1"/>
  <c i="27" r="U16" s="1"/>
  <c i="27" r="I26"/>
  <c i="27" r="N26" s="1"/>
  <c i="27" r="U9" s="1"/>
  <c i="27" r="I12"/>
  <c i="27" r="N12" s="1"/>
  <c i="27" r="U21" s="1"/>
  <c i="27" r="I5"/>
  <c i="27" r="N5" s="1"/>
  <c i="27" r="U14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H8"/>
  <c i="23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U33" s="1"/>
  <c i="23" r="S33"/>
  <c i="23" r="R34"/>
  <c i="23" r="S34"/>
  <c i="23" r="R35"/>
  <c i="23" r="T35" s="1"/>
  <c i="23" r="U35" s="1"/>
  <c i="23" r="S35"/>
  <c i="23" r="R36"/>
  <c i="23" r="T36" s="1"/>
  <c i="23" r="S36"/>
  <c i="23" r="R37"/>
  <c i="23" r="T37" s="1"/>
  <c i="23" r="U37" s="1"/>
  <c i="23" r="S37"/>
  <c i="23" r="R38"/>
  <c i="23" r="T38" s="1"/>
  <c i="23" r="U38" s="1"/>
  <c i="23" r="S38"/>
  <c i="23" r="R39"/>
  <c i="23" r="T39" s="1"/>
  <c i="23" r="U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U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U57" s="1"/>
  <c i="23" r="S57"/>
  <c i="23" r="R58"/>
  <c i="23" r="S58"/>
  <c i="23" r="R59"/>
  <c i="23" r="T59" s="1"/>
  <c i="23" r="U59" s="1"/>
  <c i="23" r="S59"/>
  <c i="23" r="R60"/>
  <c i="23" r="T60" s="1"/>
  <c i="23" r="S60"/>
  <c i="23" r="R61"/>
  <c i="23" r="T61" s="1"/>
  <c i="23" r="U61" s="1"/>
  <c i="23" r="S61"/>
  <c i="23" r="R62"/>
  <c i="23" r="T62" s="1"/>
  <c i="23" r="U62" s="1"/>
  <c i="23" r="S62"/>
  <c i="23" r="R63"/>
  <c i="23" r="T63" s="1"/>
  <c i="23" r="U63" s="1"/>
  <c i="23" r="S63"/>
  <c i="23" r="R64"/>
  <c i="23" r="T64" s="1"/>
  <c i="23" r="S64"/>
  <c i="23" r="S3"/>
  <c i="23" r="R3"/>
  <c i="23" l="1" r="M29"/>
  <c i="23" r="M27"/>
  <c i="23" r="M26"/>
  <c i="23" r="M46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U58" s="1"/>
  <c i="23" r="U47"/>
  <c i="23" r="T40"/>
  <c i="23" r="U40" s="1"/>
  <c i="23" r="U48"/>
  <c i="23" r="U46"/>
  <c i="23" r="T34"/>
  <c i="23" r="U34" s="1"/>
  <c i="23" r="U45"/>
  <c i="23" r="M6"/>
  <c i="23" r="U50"/>
  <c i="23" r="U64"/>
  <c i="23" r="M8"/>
  <c i="23" r="M5"/>
  <c i="23" r="M7"/>
  <c i="23" r="U60"/>
  <c i="23" r="U36"/>
  <c i="23" r="T43"/>
  <c i="23" r="U43" s="1"/>
  <c i="23" r="T42"/>
  <c i="23" r="U42" s="1"/>
  <c i="23" r="U56"/>
  <c i="23" r="T3"/>
  <c i="23" r="M20" s="1"/>
  <c i="23" r="T41"/>
  <c i="23" r="U41" s="1"/>
  <c i="23" r="U55"/>
  <c i="23" r="U53"/>
  <c i="23" r="U52"/>
  <c i="23" r="U54"/>
  <c i="23" r="U51"/>
  <c i="23" r="M4"/>
  <c i="23" r="T8"/>
  <c i="23" r="M25" s="1"/>
  <c i="23" r="M13"/>
  <c i="23" r="U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H45"/>
  <c i="23" r="H44"/>
  <c i="23" r="H43"/>
  <c i="23" r="H42"/>
  <c i="23" r="H41"/>
  <c i="23" r="H40"/>
  <c i="23" r="H39"/>
  <c i="23" r="H38"/>
  <c i="23" r="H37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44"/>
  <c i="23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E22"/>
  <c i="23" r="G22" s="1"/>
  <c i="23" r="E27"/>
  <c i="23" r="E24"/>
  <c i="23" r="E28"/>
  <c i="23" r="G28" s="1"/>
  <c i="23" r="E21"/>
  <c i="23" r="G21" s="1"/>
  <c i="23" r="E23"/>
  <c i="23" r="E20"/>
  <c i="23" r="G20" s="1"/>
  <c i="23" r="E25"/>
  <c i="23" r="G25" s="1"/>
  <c i="23" r="E30"/>
  <c i="23" r="G30" s="1"/>
  <c i="23" r="F45"/>
  <c i="23" r="F40"/>
  <c i="23" r="E41"/>
  <c i="23" r="G41" s="1"/>
  <c i="23" r="E11"/>
  <c i="23" r="E7"/>
  <c i="23" r="E14"/>
  <c i="23" r="E9"/>
  <c i="23" r="E6"/>
  <c i="23" r="E8"/>
  <c i="23" r="E5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G40" s="1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29"/>
  <c i="23" r="G23"/>
  <c i="23" r="I23" s="1"/>
  <c i="23" r="N23" s="1"/>
  <c i="23" r="U6" s="1"/>
  <c i="23" r="G6"/>
  <c i="23" r="G5"/>
  <c i="23" r="G24"/>
  <c i="23" r="I24" s="1"/>
  <c i="23" r="N24" s="1"/>
  <c i="23" r="U7" s="1"/>
  <c i="23" r="G27"/>
  <c i="23" r="I27" s="1"/>
  <c i="23" r="N27" s="1"/>
  <c i="23" r="U10" s="1"/>
  <c i="23" r="G7"/>
  <c i="23" r="I28"/>
  <c i="23" r="N28" s="1"/>
  <c i="23" r="U11" s="1"/>
  <c i="23" r="G45"/>
  <c i="23" r="I22"/>
  <c i="23" r="N22" s="1"/>
  <c i="23" r="U5" s="1"/>
  <c i="23" r="I29"/>
  <c i="23" r="N29" s="1"/>
  <c i="23" r="U12" s="1"/>
  <c i="23" r="I26"/>
  <c i="23" r="N26" s="1"/>
  <c i="23" r="U9" s="1"/>
  <c i="23" r="G12"/>
  <c i="23" r="G11"/>
  <c i="23" r="G14"/>
  <c i="23" r="G9"/>
  <c i="23" r="I43"/>
  <c i="23" r="I39"/>
  <c i="23" r="I38"/>
  <c i="23" r="I45"/>
  <c i="23" r="I37"/>
  <c i="23" r="I42"/>
  <c i="23" r="I46"/>
  <c i="23" r="I44"/>
  <c i="23" r="I40"/>
  <c i="23" r="G8"/>
  <c i="23" r="I4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21"/>
  <c i="23" r="N21" s="1"/>
  <c i="23" r="U4" s="1"/>
  <c i="23" r="I20"/>
  <c i="23" r="N20" s="1"/>
  <c i="23" r="U3" s="1"/>
  <c i="23" r="I25"/>
  <c i="23" r="N25" s="1"/>
  <c i="23" r="U8" s="1"/>
  <c i="23" r="I11"/>
  <c i="23" r="N11" s="1"/>
  <c i="23" r="U20" s="1"/>
  <c i="23" r="U26"/>
  <c i="23" r="N40"/>
  <c i="23" r="U30"/>
  <c i="23" r="N44"/>
  <c i="23" r="U32"/>
  <c i="23" r="N46"/>
  <c i="23" r="U28"/>
  <c i="23" r="N42"/>
  <c i="23" r="U23"/>
  <c i="23" r="N37"/>
  <c i="23" r="U31"/>
  <c i="23" r="N45"/>
  <c i="23" r="U24"/>
  <c i="23" r="N38"/>
  <c i="23" r="U25"/>
  <c i="23" r="N39"/>
  <c i="23" r="U29"/>
  <c i="23" r="N43"/>
  <c i="23" r="U27"/>
  <c i="23" r="N41"/>
  <c i="23" r="I9"/>
  <c i="23" r="N9" s="1"/>
  <c i="23" r="U18" s="1"/>
  <c i="23" r="I13"/>
  <c i="23" r="N13" s="1"/>
  <c i="23" r="U22" s="1"/>
  <c i="23" r="I8"/>
  <c i="23" r="N8" s="1"/>
  <c i="23" r="U17" s="1"/>
  <c i="23" r="I6"/>
  <c i="23" r="N6" s="1"/>
  <c i="23" r="U15" s="1"/>
  <c i="3" r="K110"/>
  <c i="3" r="K89"/>
  <c i="23" r="I10"/>
  <c i="23" r="N10" s="1"/>
  <c i="23" r="U19" s="1"/>
  <c i="3" r="L89"/>
  <c i="3" r="L91"/>
  <c i="23" r="I12"/>
  <c i="23" r="N12" s="1"/>
  <c i="23" r="U21" s="1"/>
  <c i="3" r="L94"/>
  <c i="23" r="I5"/>
  <c i="23" r="N5" s="1"/>
  <c i="23" r="U14" s="1"/>
  <c i="3" r="K100"/>
  <c i="23" r="I7"/>
  <c i="23" r="N7" s="1"/>
  <c i="23" r="U16" s="1"/>
  <c i="3" r="K103"/>
  <c i="23" r="I4"/>
  <c i="23" r="N4" s="1"/>
  <c i="23" r="U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<sst xmlns="http://schemas.openxmlformats.org/spreadsheetml/2006/main" count="1034" uniqueCount="237">
  <si>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</si>
  <si>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</si>
  <si>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</si>
  <si>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</si>
  <si>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</si>
  <si>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</si>
  <si>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</si>
  <si>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</si>
  <si>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</si>
  <si>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</si>
  <si>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</si>
  <si>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</si>
  <si>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</si>
  <si>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</si>
  <si>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</si>
  <si>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</si>
  <si>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</si>
  <si>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</si>
  <si>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</si>
  <si>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</si>
  <si>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</si>
  <si>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</si>
  <si>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</si>
  <si>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</si>
  <si>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</si>
  <si>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</si>
  <si>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</si>
  <si>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</si>
  <si>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</si>
  <si>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</si>
  <si>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</si>
  <si>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</si>
  <si>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</si>
  <si>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</si>
  <si>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</si>
  <si>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</si>
  <si>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</si>
  <si>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</si>
  <si>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</si>
  <si>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</si>
  <si>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</si>
  <si>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</si>
  <si>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</si>
  <si>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</si>
  <si>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</si>
  <si>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</si>
  <si>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</si>
  <si>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</si>
  <si>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</si>
  <si>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</si>
  <si>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</si>
  <si>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</si>
  <si>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</si>
  <si>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</si>
  <si>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</si>
  <si>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</si>
  <si>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</si>
  <si>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</si>
  <si>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</si>
  <si>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</si>
  <si>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</si>
  <si>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</si>
  <si>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</si>
  <si>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</si>
  <si>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</si>
  <si>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</si>
  <si>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</si>
  <si>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</si>
  <si>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</si>
  <si>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</si>
  <si>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</si>
  <si>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</si>
  <si>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</si>
  <si>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</si>
  <si>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</si>
  <si>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</si>
  <si>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</si>
  <si>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</si>
  <si>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</si>
  <si>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</si>
  <si>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</si>
  <si>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</si>
  <si>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</si>
  <si>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</si>
  <si>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</si>
  <si>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</si>
  <si>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</si>
  <si>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</si>
  <si>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</si>
  <si>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</si>
  <si>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</si>
  <si>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</si>
  <si>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</si>
  <si>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</si>
  <si>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</si>
  <si>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</si>
  <si>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</si>
  <si>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</si>
  <si>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</si>
  <si>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</si>
  <si>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</si>
  <si>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</si>
  <si>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</si>
  <si>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</si>
  <si>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</si>
  <si>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</si>
  <si>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</si>
  <si>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</si>
  <si>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</si>
  <si>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</si>
  <si>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</si>
  <si>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</si>
  <si>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</si>
  <si>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</si>
  <si>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</si>
  <si>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</si>
  <si>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</si>
  <si>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</si>
  <si>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</si>
  <si>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</si>
  <si>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</si>
  <si>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</si>
  <si>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</si>
  <si>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</si>
  <si>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</si>
  <si>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</si>
  <si>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</si>
  <si>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</si>
  <si>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</si>
  <si>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</si>
  <si>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</si>
  <si>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</si>
  <si>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</si>
  <si>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</si>
  <si>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</si>
  <si>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</si>
  <si>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</si>
  <si>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</si>
  <si>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</si>
  <si>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</si>
  <si>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</si>
  <si>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</si>
  <si>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</si>
  <si>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</si>
  <si>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</si>
  <si>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</si>
  <si>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</si>
  <si>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</si>
  <si>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</si>
  <si>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</si>
  <si>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</si>
  <si>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</si>
  <si>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</si>
  <si>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</si>
  <si>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</si>
  <si>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</si>
  <si>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</si>
  <si>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</si>
  <si>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</si>
  <si>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</si>
  <si>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</si>
  <si>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</si>
  <si>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</si>
  <si>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</si>
  <si>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</si>
  <si>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</si>
  <si>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</si>
  <si>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</si>
  <si>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</si>
  <si>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</si>
  <si>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</si>
  <si>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</si>
  <si>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</si>
  <si>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</si>
  <si>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</si>
  <si>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</si>
  <si>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</si>
  <si>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</si>
  <si>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</si>
  <si>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</si>
  <si>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</si>
  <si>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</si>
  <si>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</si>
  <si>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</si>
  <si>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</si>
  <si>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</si>
  <si>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</si>
  <si>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</si>
  <si>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</si>
  <si>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</si>
  <si>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</si>
  <si>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</si>
  <si>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</si>
  <si>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</si>
  <si>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</si>
  <si>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</si>
  <si>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Open "WorkTourTime_SACOG-v1.5.F12" in Notepad+</t>
  </si>
  <si>
    <t>Open "SchoolTourTime_SACOG-v1.5.F12" in Notepad+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</si>
  <si>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</si>
  <si>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</si>
  <si>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</si>
  <si>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</si>
  <si>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</si>
  <si>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</si>
  <si>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</si>
  <si>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</si>
  <si>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</si>
  <si>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</si>
  <si>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</si>
  <si>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</si>
  <si>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</si>
  <si>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</si>
  <si>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</si>
  <si>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</si>
  <si>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</si>
  <si>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</si>
  <si>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</si>
  <si>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</si>
  <si>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</si>
  <si>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</si>
  <si>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</si>
  <si>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</si>
  <si>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Open "WorkbasedSubtourTimeCoefficients_SACOG-v1.5.F12" in Notepad+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</si>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</sst>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NumberFormat="1" borderId="0" fillId="0" fontId="0" numFmtId="20" xfId="0"/>
    <xf applyBorder="1" applyNumberFormat="1" borderId="1" fillId="0" fontId="0" numFmtId="20" xfId="0"/>
    <xf applyAlignment="1" borderId="0" fillId="0" fontId="0" numFmtId="0" xfId="0">
      <alignment horizontal="center" vertical="top"/>
    </xf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NumberFormat="1" borderId="0" fillId="0" fontId="0" numFmtId="168" xfId="0"/>
    <xf applyAlignment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3" fillId="6" fontId="0" numFmtId="0" xfId="0"/>
    <xf applyBorder="1" applyFill="1" applyNumberFormat="1" borderId="3" fillId="6" fontId="0" numFmtId="167" xfId="0"/>
    <xf applyFont="1" borderId="0" fillId="0" fontId="4" numFmtId="0" xfId="0"/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Font="1" applyNumberFormat="1" borderId="0" fillId="0" fontId="1" numFmtId="165" xfId="0"/>
    <xf applyBorder="1" applyFill="1" applyFont="1" applyNumberFormat="1" borderId="0" fillId="0" fontId="1" numFmtId="166" xfId="9"/>
    <xf applyFont="1" applyNumberFormat="1" borderId="0" fillId="0" fontId="1" numFmtId="2" xfId="0"/>
    <xf applyNumberFormat="1" borderId="0" fillId="0" fontId="0" numFmtId="46" xfId="0"/>
    <xf applyAlignment="1" applyBorder="1" applyFill="1" applyFont="1" borderId="2" fillId="6" fontId="1" numFmtId="0" xfId="0">
      <alignment horizontal="left"/>
    </xf>
    <xf applyAlignment="1" applyBorder="1" applyFill="1" applyFont="1" borderId="2" fillId="6" fontId="1" numFmtId="0" xfId="0">
      <alignment horizontal="right"/>
    </xf>
    <xf applyAlignment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../customXml/item1.xml" Type="http://schemas.openxmlformats.org/officeDocument/2006/relationships/customXml"/>
    <Relationship Id="rId24" Target="../customXml/item2.xml" Type="http://schemas.openxmlformats.org/officeDocument/2006/relationships/customXml"/>
    <Relationship Id="rId25" Target="../customXml/item3.xml" Type="http://schemas.openxmlformats.org/officeDocument/2006/relationships/customXml"/>
    <Relationship Id="rId26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1.7241717841011651E-3</c:v>
                </c:pt>
                <c:pt idx="2">
                  <c:v>4.2619654145073941E-3</c:v>
                </c:pt>
                <c:pt idx="3">
                  <c:v>8.5830148443116205E-3</c:v>
                </c:pt>
                <c:pt idx="4">
                  <c:v>1.5852800183477327E-2</c:v>
                </c:pt>
                <c:pt idx="5">
                  <c:v>2.7192117894400108E-2</c:v>
                </c:pt>
                <c:pt idx="6">
                  <c:v>4.3047461207725193E-2</c:v>
                </c:pt>
                <c:pt idx="7">
                  <c:v>6.234876672383572E-2</c:v>
                </c:pt>
                <c:pt idx="8">
                  <c:v>8.202256914896125E-2</c:v>
                </c:pt>
                <c:pt idx="9">
                  <c:v>9.752623297900434E-2</c:v>
                </c:pt>
                <c:pt idx="10">
                  <c:v>0.10453965609695687</c:v>
                </c:pt>
                <c:pt idx="11">
                  <c:v>0.10101956263420703</c:v>
                </c:pt>
                <c:pt idx="12">
                  <c:v>8.8293051133099931E-2</c:v>
                </c:pt>
                <c:pt idx="13">
                  <c:v>7.0388665440473744E-2</c:v>
                </c:pt>
                <c:pt idx="14">
                  <c:v>5.2056591042737063E-2</c:v>
                </c:pt>
                <c:pt idx="15">
                  <c:v>3.6811248129361429E-2</c:v>
                </c:pt>
                <c:pt idx="16">
                  <c:v>2.6087025184219619E-2</c:v>
                </c:pt>
                <c:pt idx="17">
                  <c:v>1.9600201714144058E-2</c:v>
                </c:pt>
                <c:pt idx="18">
                  <c:v>1.6240236069040535E-2</c:v>
                </c:pt>
                <c:pt idx="19">
                  <c:v>1.4798132712766044E-2</c:v>
                </c:pt>
                <c:pt idx="20">
                  <c:v>1.4293957337639674E-2</c:v>
                </c:pt>
                <c:pt idx="21">
                  <c:v>1.4035623995997244E-2</c:v>
                </c:pt>
                <c:pt idx="22">
                  <c:v>1.3598344130151744E-2</c:v>
                </c:pt>
                <c:pt idx="23">
                  <c:v>1.280085564417675E-2</c:v>
                </c:pt>
                <c:pt idx="24">
                  <c:v>1.1668452360216418E-2</c:v>
                </c:pt>
                <c:pt idx="25">
                  <c:v>1.0363142322853987E-2</c:v>
                </c:pt>
                <c:pt idx="26">
                  <c:v>9.0833713668614455E-3</c:v>
                </c:pt>
                <c:pt idx="27">
                  <c:v>7.9616345279930455E-3</c:v>
                </c:pt>
                <c:pt idx="28">
                  <c:v>7.0077044565774209E-3</c:v>
                </c:pt>
                <c:pt idx="29">
                  <c:v>6.1321660171411016E-3</c:v>
                </c:pt>
                <c:pt idx="30">
                  <c:v>5.2316271454103938E-3</c:v>
                </c:pt>
                <c:pt idx="31">
                  <c:v>4.2694983847176987E-3</c:v>
                </c:pt>
                <c:pt idx="32">
                  <c:v>3.2959753959710485E-3</c:v>
                </c:pt>
                <c:pt idx="33">
                  <c:v>2.4065384767258252E-3</c:v>
                </c:pt>
                <c:pt idx="34">
                  <c:v>1.6821656790440664E-3</c:v>
                </c:pt>
                <c:pt idx="35">
                  <c:v>1.1531654074510916E-3</c:v>
                </c:pt>
                <c:pt idx="36">
                  <c:v>7.9895612857032862E-4</c:v>
                </c:pt>
                <c:pt idx="37">
                  <c:v>5.7084614949356094E-4</c:v>
                </c:pt>
                <c:pt idx="38">
                  <c:v>4.1818993310024748E-4</c:v>
                </c:pt>
                <c:pt idx="39">
                  <c:v>3.0501408282540072E-4</c:v>
                </c:pt>
                <c:pt idx="40">
                  <c:v>2.1388754592971843E-4</c:v>
                </c:pt>
                <c:pt idx="41">
                  <c:v>1.4050844506527193E-4</c:v>
                </c:pt>
                <c:pt idx="42">
                  <c:v>8.5303302061046822E-5</c:v>
                </c:pt>
                <c:pt idx="43">
                  <c:v>4.7595023927801832E-5</c:v>
                </c:pt>
                <c:pt idx="44">
                  <c:v>2.4269852503914678E-5</c:v>
                </c:pt>
                <c:pt idx="45">
                  <c:v>1.1157751165052694E-5</c:v>
                </c:pt>
                <c:pt idx="46">
                  <c:v>4.5095167704345874E-6</c:v>
                </c:pt>
                <c:pt idx="47">
                  <c:v>1.5466734958213296E-6</c:v>
                </c:pt>
                <c:pt idx="48">
                  <c:v>4.3121821127472231E-7</c:v>
                </c:pt>
                <c:pt idx="49">
                  <c:v>9.1390620778807883E-8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8.8178575523651824E-4</c:v>
                </c:pt>
                <c:pt idx="1">
                  <c:v>2.6445596148567344E-3</c:v>
                </c:pt>
                <c:pt idx="2">
                  <c:v>4.7840799833253752E-3</c:v>
                </c:pt>
                <c:pt idx="3">
                  <c:v>8.0197061116087948E-3</c:v>
                </c:pt>
                <c:pt idx="4">
                  <c:v>1.3568696874591692E-2</c:v>
                </c:pt>
                <c:pt idx="5">
                  <c:v>2.2903170755949959E-2</c:v>
                </c:pt>
                <c:pt idx="6">
                  <c:v>3.7005732964388791E-2</c:v>
                </c:pt>
                <c:pt idx="7">
                  <c:v>5.5356069076527112E-2</c:v>
                </c:pt>
                <c:pt idx="8">
                  <c:v>7.5273599827312021E-2</c:v>
                </c:pt>
                <c:pt idx="9">
                  <c:v>9.2303966602732518E-2</c:v>
                </c:pt>
                <c:pt idx="10">
                  <c:v>0.10181090426823307</c:v>
                </c:pt>
                <c:pt idx="11">
                  <c:v>0.10106170764004647</c:v>
                </c:pt>
                <c:pt idx="12">
                  <c:v>9.0565373194783083E-2</c:v>
                </c:pt>
                <c:pt idx="13">
                  <c:v>7.3787950287197784E-2</c:v>
                </c:pt>
                <c:pt idx="14">
                  <c:v>5.5439302093029538E-2</c:v>
                </c:pt>
                <c:pt idx="15">
                  <c:v>3.9448617622467777E-2</c:v>
                </c:pt>
                <c:pt idx="16">
                  <c:v>2.7786067327093284E-2</c:v>
                </c:pt>
                <c:pt idx="17">
                  <c:v>2.0513724949110353E-2</c:v>
                </c:pt>
                <c:pt idx="18">
                  <c:v>1.660545327127862E-2</c:v>
                </c:pt>
                <c:pt idx="19">
                  <c:v>1.4806423366304493E-2</c:v>
                </c:pt>
                <c:pt idx="20">
                  <c:v>1.4107461158629365E-2</c:v>
                </c:pt>
                <c:pt idx="21">
                  <c:v>1.3840138672368748E-2</c:v>
                </c:pt>
                <c:pt idx="22">
                  <c:v>1.3599979521398334E-2</c:v>
                </c:pt>
                <c:pt idx="23">
                  <c:v>1.3161760004749799E-2</c:v>
                </c:pt>
                <c:pt idx="24">
                  <c:v>1.2435022594174784E-2</c:v>
                </c:pt>
                <c:pt idx="25">
                  <c:v>1.1442782836281676E-2</c:v>
                </c:pt>
                <c:pt idx="26">
                  <c:v>1.0296069854963164E-2</c:v>
                </c:pt>
                <c:pt idx="27">
                  <c:v>9.1455787147470321E-3</c:v>
                </c:pt>
                <c:pt idx="28">
                  <c:v>8.1115573390879402E-3</c:v>
                </c:pt>
                <c:pt idx="29">
                  <c:v>7.2235901560590695E-3</c:v>
                </c:pt>
                <c:pt idx="30">
                  <c:v>6.4152260209052615E-3</c:v>
                </c:pt>
                <c:pt idx="31">
                  <c:v>5.5865595016055831E-3</c:v>
                </c:pt>
                <c:pt idx="32">
                  <c:v>4.6905271577941691E-3</c:v>
                </c:pt>
                <c:pt idx="33">
                  <c:v>3.7730020899868545E-3</c:v>
                </c:pt>
                <c:pt idx="34">
                  <c:v>2.9353773481602557E-3</c:v>
                </c:pt>
                <c:pt idx="35">
                  <c:v>2.2574729361248165E-3</c:v>
                </c:pt>
                <c:pt idx="36">
                  <c:v>1.7493977209435388E-3</c:v>
                </c:pt>
                <c:pt idx="37">
                  <c:v>1.3650822321190591E-3</c:v>
                </c:pt>
                <c:pt idx="38">
                  <c:v>1.0507242602580534E-3</c:v>
                </c:pt>
                <c:pt idx="39">
                  <c:v>7.7954833854810982E-4</c:v>
                </c:pt>
                <c:pt idx="40">
                  <c:v>5.5136597264632942E-4</c:v>
                </c:pt>
                <c:pt idx="41">
                  <c:v>3.7240643594691278E-4</c:v>
                </c:pt>
                <c:pt idx="42">
                  <c:v>2.4095759320953488E-4</c:v>
                </c:pt>
                <c:pt idx="43">
                  <c:v>1.4794121433307799E-4</c:v>
                </c:pt>
                <c:pt idx="44">
                  <c:v>8.3916765772311285E-5</c:v>
                </c:pt>
                <c:pt idx="45">
                  <c:v>4.2394578309879383E-5</c:v>
                </c:pt>
                <c:pt idx="46">
                  <c:v>1.8374596846339276E-5</c:v>
                </c:pt>
                <c:pt idx="47">
                  <c:v>6.5951571888605771E-6</c:v>
                </c:pt>
                <c:pt idx="48">
                  <c:v>1.890141945086486E-6</c:v>
                </c:pt>
                <c:pt idx="49">
                  <c:v>4.074988220701702E-7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1.79483781353465E-4</c:v>
                </c:pt>
                <c:pt idx="2">
                  <c:v>8.4680573981845688E-4</c:v>
                </c:pt>
                <c:pt idx="3">
                  <c:v>3.0947913356306504E-3</c:v>
                </c:pt>
                <c:pt idx="4">
                  <c:v>9.1377704197389848E-3</c:v>
                </c:pt>
                <c:pt idx="5">
                  <c:v>2.2184577219697538E-2</c:v>
                </c:pt>
                <c:pt idx="6">
                  <c:v>4.4867444247194618E-2</c:v>
                </c:pt>
                <c:pt idx="7">
                  <c:v>7.6340291216529771E-2</c:v>
                </c:pt>
                <c:pt idx="8">
                  <c:v>0.11008519903085601</c:v>
                </c:pt>
                <c:pt idx="9">
                  <c:v>0.13528975061039672</c:v>
                </c:pt>
                <c:pt idx="10">
                  <c:v>0.14229849654503363</c:v>
                </c:pt>
                <c:pt idx="11">
                  <c:v>0.12854943961350257</c:v>
                </c:pt>
                <c:pt idx="12">
                  <c:v>0.10012210592793432</c:v>
                </c:pt>
                <c:pt idx="13">
                  <c:v>6.7646682112451062E-2</c:v>
                </c:pt>
                <c:pt idx="14">
                  <c:v>4.0185898686199491E-2</c:v>
                </c:pt>
                <c:pt idx="15">
                  <c:v>2.1699977034080876E-2</c:v>
                </c:pt>
                <c:pt idx="16">
                  <c:v>1.1514488761948487E-2</c:v>
                </c:pt>
                <c:pt idx="17">
                  <c:v>6.8716411341301249E-3</c:v>
                </c:pt>
                <c:pt idx="18">
                  <c:v>5.1077334591304964E-3</c:v>
                </c:pt>
                <c:pt idx="19">
                  <c:v>4.5017007320948864E-3</c:v>
                </c:pt>
                <c:pt idx="20">
                  <c:v>4.1933502019481008E-3</c:v>
                </c:pt>
                <c:pt idx="21">
                  <c:v>3.8520007119755648E-3</c:v>
                </c:pt>
                <c:pt idx="22">
                  <c:v>3.4385665398787096E-3</c:v>
                </c:pt>
                <c:pt idx="23">
                  <c:v>3.0816667507524969E-3</c:v>
                </c:pt>
                <c:pt idx="24">
                  <c:v>2.9882698242951213E-3</c:v>
                </c:pt>
                <c:pt idx="25">
                  <c:v>3.3429572720508768E-3</c:v>
                </c:pt>
                <c:pt idx="26">
                  <c:v>4.1996081943119316E-3</c:v>
                </c:pt>
                <c:pt idx="27">
                  <c:v>5.3992559110695804E-3</c:v>
                </c:pt>
                <c:pt idx="28">
                  <c:v>6.5688844035450894E-3</c:v>
                </c:pt>
                <c:pt idx="29">
                  <c:v>7.2480126834848155E-3</c:v>
                </c:pt>
                <c:pt idx="30">
                  <c:v>7.1125567181561464E-3</c:v>
                </c:pt>
                <c:pt idx="31">
                  <c:v>6.1585744581859501E-3</c:v>
                </c:pt>
                <c:pt idx="32">
                  <c:v>4.7000195281157366E-3</c:v>
                </c:pt>
                <c:pt idx="33">
                  <c:v>3.1759766444654221E-3</c:v>
                </c:pt>
                <c:pt idx="34">
                  <c:v>1.9209495314831276E-3</c:v>
                </c:pt>
                <c:pt idx="35">
                  <c:v>1.058384451749681E-3</c:v>
                </c:pt>
                <c:pt idx="36">
                  <c:v>5.4348978845424663E-4</c:v>
                </c:pt>
                <c:pt idx="37">
                  <c:v>2.6628872617351238E-4</c:v>
                </c:pt>
                <c:pt idx="38">
                  <c:v>1.2660888465915857E-4</c:v>
                </c:pt>
                <c:pt idx="39">
                  <c:v>5.8582698473194379E-5</c:v>
                </c:pt>
                <c:pt idx="40">
                  <c:v>2.593553048712439E-5</c:v>
                </c:pt>
                <c:pt idx="41">
                  <c:v>1.0582034608508889E-5</c:v>
                </c:pt>
                <c:pt idx="42">
                  <c:v>3.7803119884677874E-6</c:v>
                </c:pt>
                <c:pt idx="43">
                  <c:v>1.1169128522775929E-6</c:v>
                </c:pt>
                <c:pt idx="44">
                  <c:v>2.5657410859481518E-7</c:v>
                </c:pt>
                <c:pt idx="45">
                  <c:v>4.2422761500500038E-8</c:v>
                </c:pt>
                <c:pt idx="46">
                  <c:v>4.4592788160762171E-9</c:v>
                </c:pt>
                <c:pt idx="47">
                  <c:v>2.2296394080381087E-10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4.497400894795743E-6</c:v>
                </c:pt>
                <c:pt idx="1">
                  <c:v>1.6812508263813197E-4</c:v>
                </c:pt>
                <c:pt idx="2">
                  <c:v>7.1478764926066925E-4</c:v>
                </c:pt>
                <c:pt idx="3">
                  <c:v>2.5171892581251297E-3</c:v>
                </c:pt>
                <c:pt idx="4">
                  <c:v>7.4144789122907217E-3</c:v>
                </c:pt>
                <c:pt idx="5">
                  <c:v>1.8256910141723311E-2</c:v>
                </c:pt>
                <c:pt idx="6">
                  <c:v>3.7783228164554816E-2</c:v>
                </c:pt>
                <c:pt idx="7">
                  <c:v>6.6188754026465721E-2</c:v>
                </c:pt>
                <c:pt idx="8">
                  <c:v>9.8842250597429154E-2</c:v>
                </c:pt>
                <c:pt idx="9">
                  <c:v>0.12663235903416778</c:v>
                </c:pt>
                <c:pt idx="10">
                  <c:v>0.13995332530771512</c:v>
                </c:pt>
                <c:pt idx="11">
                  <c:v>0.13404640392404263</c:v>
                </c:pt>
                <c:pt idx="12">
                  <c:v>0.11169027901615364</c:v>
                </c:pt>
                <c:pt idx="13">
                  <c:v>8.1244540956301306E-2</c:v>
                </c:pt>
                <c:pt idx="14">
                  <c:v>5.1835812187617583E-2</c:v>
                </c:pt>
                <c:pt idx="15">
                  <c:v>2.9291240359414595E-2</c:v>
                </c:pt>
                <c:pt idx="16">
                  <c:v>1.5019537130440656E-2</c:v>
                </c:pt>
                <c:pt idx="17">
                  <c:v>7.4138562186026073E-3</c:v>
                </c:pt>
                <c:pt idx="18">
                  <c:v>3.9555201149077774E-3</c:v>
                </c:pt>
                <c:pt idx="19">
                  <c:v>2.6011808841968557E-3</c:v>
                </c:pt>
                <c:pt idx="20">
                  <c:v>2.1645449751084346E-3</c:v>
                </c:pt>
                <c:pt idx="21">
                  <c:v>2.1200357411058912E-3</c:v>
                </c:pt>
                <c:pt idx="22">
                  <c:v>2.2977017509989454E-3</c:v>
                </c:pt>
                <c:pt idx="23">
                  <c:v>2.675387214063788E-3</c:v>
                </c:pt>
                <c:pt idx="24">
                  <c:v>3.2677846466744329E-3</c:v>
                </c:pt>
                <c:pt idx="25">
                  <c:v>4.0573525314812888E-3</c:v>
                </c:pt>
                <c:pt idx="26">
                  <c:v>4.947394737679113E-3</c:v>
                </c:pt>
                <c:pt idx="27">
                  <c:v>5.7586577257344677E-3</c:v>
                </c:pt>
                <c:pt idx="28">
                  <c:v>6.283897201022519E-3</c:v>
                </c:pt>
                <c:pt idx="29">
                  <c:v>6.3699228517245477E-3</c:v>
                </c:pt>
                <c:pt idx="30">
                  <c:v>5.9742471245659411E-3</c:v>
                </c:pt>
                <c:pt idx="31">
                  <c:v>5.172431480858667E-3</c:v>
                </c:pt>
                <c:pt idx="32">
                  <c:v>4.129113584898883E-3</c:v>
                </c:pt>
                <c:pt idx="33">
                  <c:v>3.048173777727516E-3</c:v>
                </c:pt>
                <c:pt idx="34">
                  <c:v>2.1086452786635767E-3</c:v>
                </c:pt>
                <c:pt idx="35">
                  <c:v>1.4069937632592039E-3</c:v>
                </c:pt>
                <c:pt idx="36">
                  <c:v>9.404456450056145E-4</c:v>
                </c:pt>
                <c:pt idx="37">
                  <c:v>6.4251557200978922E-4</c:v>
                </c:pt>
                <c:pt idx="38">
                  <c:v>4.3975833736640055E-4</c:v>
                </c:pt>
                <c:pt idx="39">
                  <c:v>2.877318436621524E-4</c:v>
                </c:pt>
                <c:pt idx="40">
                  <c:v>1.721472132681569E-4</c:v>
                </c:pt>
                <c:pt idx="41">
                  <c:v>9.1493356095142292E-5</c:v>
                </c:pt>
                <c:pt idx="42">
                  <c:v>4.2617545975495332E-5</c:v>
                </c:pt>
                <c:pt idx="43">
                  <c:v>1.740768165478044E-5</c:v>
                </c:pt>
                <c:pt idx="44">
                  <c:v>6.3311352009015302E-6</c:v>
                </c:pt>
                <c:pt idx="45">
                  <c:v>2.1043994566213248E-6</c:v>
                </c:pt>
                <c:pt idx="46">
                  <c:v>6.5041385525827445E-7</c:v>
                </c:pt>
                <c:pt idx="47">
                  <c:v>1.8333997597593195E-7</c:v>
                </c:pt>
                <c:pt idx="48">
                  <c:v>4.4365992408530389E-8</c:v>
                </c:pt>
                <c:pt idx="49">
                  <c:v>8.3979711074925086E-9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1.2655551986635962E-3</c:v>
                </c:pt>
                <c:pt idx="1">
                  <c:v>9.9127670175728848E-4</c:v>
                </c:pt>
                <c:pt idx="2">
                  <c:v>8.9672114620335092E-4</c:v>
                </c:pt>
                <c:pt idx="3">
                  <c:v>1.1784367325458731E-3</c:v>
                </c:pt>
                <c:pt idx="4">
                  <c:v>2.0758373819747588E-3</c:v>
                </c:pt>
                <c:pt idx="5">
                  <c:v>3.8756654503656449E-3</c:v>
                </c:pt>
                <c:pt idx="6">
                  <c:v>6.8279328328308747E-3</c:v>
                </c:pt>
                <c:pt idx="7">
                  <c:v>1.0947190782974986E-2</c:v>
                </c:pt>
                <c:pt idx="8">
                  <c:v>1.5812672956167513E-2</c:v>
                </c:pt>
                <c:pt idx="9">
                  <c:v>2.0591269721275725E-2</c:v>
                </c:pt>
                <c:pt idx="10">
                  <c:v>2.4393233275139224E-2</c:v>
                </c:pt>
                <c:pt idx="11">
                  <c:v>2.6756453707297102E-2</c:v>
                </c:pt>
                <c:pt idx="12">
                  <c:v>2.7869372775069717E-2</c:v>
                </c:pt>
                <c:pt idx="13">
                  <c:v>2.8338532650738293E-2</c:v>
                </c:pt>
                <c:pt idx="14">
                  <c:v>2.8703587705417342E-2</c:v>
                </c:pt>
                <c:pt idx="15">
                  <c:v>2.9096786926779236E-2</c:v>
                </c:pt>
                <c:pt idx="16">
                  <c:v>2.9283139597340649E-2</c:v>
                </c:pt>
                <c:pt idx="17">
                  <c:v>2.8996391732322397E-2</c:v>
                </c:pt>
                <c:pt idx="18">
                  <c:v>2.8276695134854188E-2</c:v>
                </c:pt>
                <c:pt idx="19">
                  <c:v>2.7546865424938012E-2</c:v>
                </c:pt>
                <c:pt idx="20">
                  <c:v>2.7379007367691416E-2</c:v>
                </c:pt>
                <c:pt idx="21">
                  <c:v>2.8129179703701983E-2</c:v>
                </c:pt>
                <c:pt idx="22">
                  <c:v>2.9701972165187707E-2</c:v>
                </c:pt>
                <c:pt idx="23">
                  <c:v>3.1617449083862902E-2</c:v>
                </c:pt>
                <c:pt idx="24">
                  <c:v>3.3357170099990015E-2</c:v>
                </c:pt>
                <c:pt idx="25">
                  <c:v>3.4771698518930194E-2</c:v>
                </c:pt>
                <c:pt idx="26">
                  <c:v>3.6258832245621139E-2</c:v>
                </c:pt>
                <c:pt idx="27">
                  <c:v>3.8536569801872679E-2</c:v>
                </c:pt>
                <c:pt idx="28">
                  <c:v>4.2080857094695341E-2</c:v>
                </c:pt>
                <c:pt idx="29">
                  <c:v>4.6540438861438028E-2</c:v>
                </c:pt>
                <c:pt idx="30">
                  <c:v>5.054982670783606E-2</c:v>
                </c:pt>
                <c:pt idx="31">
                  <c:v>5.2213123140022112E-2</c:v>
                </c:pt>
                <c:pt idx="32">
                  <c:v>5.0092405190388427E-2</c:v>
                </c:pt>
                <c:pt idx="33">
                  <c:v>4.4072717100435393E-2</c:v>
                </c:pt>
                <c:pt idx="34">
                  <c:v>3.5464842308576355E-2</c:v>
                </c:pt>
                <c:pt idx="35">
                  <c:v>2.6272937538523548E-2</c:v>
                </c:pt>
                <c:pt idx="36">
                  <c:v>1.8194676570778112E-2</c:v>
                </c:pt>
                <c:pt idx="37">
                  <c:v>1.2032086645415635E-2</c:v>
                </c:pt>
                <c:pt idx="38">
                  <c:v>7.7455652421006939E-3</c:v>
                </c:pt>
                <c:pt idx="39">
                  <c:v>4.8830797018031401E-3</c:v>
                </c:pt>
                <c:pt idx="40">
                  <c:v>2.979261478647412E-3</c:v>
                </c:pt>
                <c:pt idx="41">
                  <c:v>1.7201166795769792E-3</c:v>
                </c:pt>
                <c:pt idx="42">
                  <c:v>9.1977608877815505E-4</c:v>
                </c:pt>
                <c:pt idx="43">
                  <c:v>4.4882282395957188E-4</c:v>
                </c:pt>
                <c:pt idx="44">
                  <c:v>1.9802215961650194E-4</c:v>
                </c:pt>
                <c:pt idx="45">
                  <c:v>7.824138132420878E-5</c:v>
                </c:pt>
                <c:pt idx="46">
                  <c:v>2.722803052098079E-5</c:v>
                </c:pt>
                <c:pt idx="47">
                  <c:v>8.1148533684141892E-6</c:v>
                </c:pt>
                <c:pt idx="48">
                  <c:v>1.9886258268054828E-6</c:v>
                </c:pt>
                <c:pt idx="49">
                  <c:v>3.7495485433402092E-7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2.402897204804492E-4</c:v>
                </c:pt>
                <c:pt idx="1">
                  <c:v>5.512605848496079E-4</c:v>
                </c:pt>
                <c:pt idx="2">
                  <c:v>8.9956321867552282E-4</c:v>
                </c:pt>
                <c:pt idx="3">
                  <c:v>1.4162930305979514E-3</c:v>
                </c:pt>
                <c:pt idx="4">
                  <c:v>2.366498683528959E-3</c:v>
                </c:pt>
                <c:pt idx="5">
                  <c:v>4.0979464493530919E-3</c:v>
                </c:pt>
                <c:pt idx="6">
                  <c:v>6.8977256260822906E-3</c:v>
                </c:pt>
                <c:pt idx="7">
                  <c:v>1.0809772072460172E-2</c:v>
                </c:pt>
                <c:pt idx="8">
                  <c:v>1.5511058771555408E-2</c:v>
                </c:pt>
                <c:pt idx="9">
                  <c:v>2.0343957901403024E-2</c:v>
                </c:pt>
                <c:pt idx="10">
                  <c:v>2.4535653620047292E-2</c:v>
                </c:pt>
                <c:pt idx="11">
                  <c:v>2.7517649328658685E-2</c:v>
                </c:pt>
                <c:pt idx="12">
                  <c:v>2.9158709266505801E-2</c:v>
                </c:pt>
                <c:pt idx="13">
                  <c:v>2.9747618393368053E-2</c:v>
                </c:pt>
                <c:pt idx="14">
                  <c:v>2.9743015969090056E-2</c:v>
                </c:pt>
                <c:pt idx="15">
                  <c:v>2.9505333177262866E-2</c:v>
                </c:pt>
                <c:pt idx="16">
                  <c:v>2.9223096330703944E-2</c:v>
                </c:pt>
                <c:pt idx="17">
                  <c:v>2.9023477477517334E-2</c:v>
                </c:pt>
                <c:pt idx="18">
                  <c:v>2.9066404035525049E-2</c:v>
                </c:pt>
                <c:pt idx="19">
                  <c:v>2.9483622953540366E-2</c:v>
                </c:pt>
                <c:pt idx="20">
                  <c:v>3.0246704619594555E-2</c:v>
                </c:pt>
                <c:pt idx="21">
                  <c:v>3.1153906946542648E-2</c:v>
                </c:pt>
                <c:pt idx="22">
                  <c:v>3.1998247211966702E-2</c:v>
                </c:pt>
                <c:pt idx="23">
                  <c:v>3.2773927863726592E-2</c:v>
                </c:pt>
                <c:pt idx="24">
                  <c:v>3.371960668550017E-2</c:v>
                </c:pt>
                <c:pt idx="25">
                  <c:v>3.5141631213685305E-2</c:v>
                </c:pt>
                <c:pt idx="26">
                  <c:v>3.7161836495087051E-2</c:v>
                </c:pt>
                <c:pt idx="27">
                  <c:v>3.9592660183437683E-2</c:v>
                </c:pt>
                <c:pt idx="28">
                  <c:v>4.2001062052811129E-2</c:v>
                </c:pt>
                <c:pt idx="29">
                  <c:v>4.3848456963513575E-2</c:v>
                </c:pt>
                <c:pt idx="30">
                  <c:v>4.4596236941640388E-2</c:v>
                </c:pt>
                <c:pt idx="31">
                  <c:v>4.3808177696172672E-2</c:v>
                </c:pt>
                <c:pt idx="32">
                  <c:v>4.1309571499713892E-2</c:v>
                </c:pt>
                <c:pt idx="33">
                  <c:v>3.7310378816968588E-2</c:v>
                </c:pt>
                <c:pt idx="34">
                  <c:v>3.2327964906424554E-2</c:v>
                </c:pt>
                <c:pt idx="35">
                  <c:v>2.6928506221280082E-2</c:v>
                </c:pt>
                <c:pt idx="36">
                  <c:v>2.1515606940910065E-2</c:v>
                </c:pt>
                <c:pt idx="37">
                  <c:v>1.6333396572917793E-2</c:v>
                </c:pt>
                <c:pt idx="38">
                  <c:v>1.1601561808916661E-2</c:v>
                </c:pt>
                <c:pt idx="39">
                  <c:v>7.5813160989158411E-3</c:v>
                </c:pt>
                <c:pt idx="40">
                  <c:v>4.4950272142830735E-3</c:v>
                </c:pt>
                <c:pt idx="41">
                  <c:v>2.4010120974479569E-3</c:v>
                </c:pt>
                <c:pt idx="42">
                  <c:v>1.1590373472622202E-3</c:v>
                </c:pt>
                <c:pt idx="43">
                  <c:v>5.1346869603973832E-4</c:v>
                </c:pt>
                <c:pt idx="44">
                  <c:v>2.1345526152122756E-4</c:v>
                </c:pt>
                <c:pt idx="45">
                  <c:v>8.4177345174069263E-5</c:v>
                </c:pt>
                <c:pt idx="46">
                  <c:v>3.085877427289065E-5</c:v>
                </c:pt>
                <c:pt idx="47">
                  <c:v>1.0004516547915286E-5</c:v>
                </c:pt>
                <c:pt idx="48">
                  <c:v>2.6962410801159161E-6</c:v>
                </c:pt>
                <c:pt idx="49">
                  <c:v>5.5815543892081199E-7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2.9843630900619083E-6</c:v>
                </c:pt>
                <c:pt idx="2">
                  <c:v>1.3881907788204465E-5</c:v>
                </c:pt>
                <c:pt idx="3">
                  <c:v>5.0173476012046087E-5</c:v>
                </c:pt>
                <c:pt idx="4">
                  <c:v>1.5049621006449753E-4</c:v>
                </c:pt>
                <c:pt idx="5">
                  <c:v>3.8752240406847823E-4</c:v>
                </c:pt>
                <c:pt idx="6">
                  <c:v>8.7495157965776244E-4</c:v>
                </c:pt>
                <c:pt idx="7">
                  <c:v>1.7536233949485569E-3</c:v>
                </c:pt>
                <c:pt idx="8">
                  <c:v>3.1462080257019936E-3</c:v>
                </c:pt>
                <c:pt idx="9">
                  <c:v>5.104043993401081E-3</c:v>
                </c:pt>
                <c:pt idx="10">
                  <c:v>7.6247610780463297E-3</c:v>
                </c:pt>
                <c:pt idx="11">
                  <c:v>1.0845048870764576E-2</c:v>
                </c:pt>
                <c:pt idx="12">
                  <c:v>1.543109140757129E-2</c:v>
                </c:pt>
                <c:pt idx="13">
                  <c:v>2.2930760760757871E-2</c:v>
                </c:pt>
                <c:pt idx="14">
                  <c:v>3.5512186442074066E-2</c:v>
                </c:pt>
                <c:pt idx="15">
                  <c:v>5.4564956124824662E-2</c:v>
                </c:pt>
                <c:pt idx="16">
                  <c:v>7.8597503601428906E-2</c:v>
                </c:pt>
                <c:pt idx="17">
                  <c:v>0.10221144611416164</c:v>
                </c:pt>
                <c:pt idx="18">
                  <c:v>0.11791011557172276</c:v>
                </c:pt>
                <c:pt idx="19">
                  <c:v>0.12020219680205768</c:v>
                </c:pt>
                <c:pt idx="20">
                  <c:v>0.10891980219763939</c:v>
                </c:pt>
                <c:pt idx="21">
                  <c:v>8.8989939337570101E-2</c:v>
                </c:pt>
                <c:pt idx="22">
                  <c:v>6.7074391972688691E-2</c:v>
                </c:pt>
                <c:pt idx="23">
                  <c:v>4.8045961652623342E-2</c:v>
                </c:pt>
                <c:pt idx="24">
                  <c:v>3.367973456311834E-2</c:v>
                </c:pt>
                <c:pt idx="25">
                  <c:v>2.3513879503974284E-2</c:v>
                </c:pt>
                <c:pt idx="26">
                  <c:v>1.6357766728736543E-2</c:v>
                </c:pt>
                <c:pt idx="27">
                  <c:v>1.1246171329904011E-2</c:v>
                </c:pt>
                <c:pt idx="28">
                  <c:v>7.6339808036852618E-3</c:v>
                </c:pt>
                <c:pt idx="29">
                  <c:v>5.2025035290614299E-3</c:v>
                </c:pt>
                <c:pt idx="30">
                  <c:v>3.6586520561864904E-3</c:v>
                </c:pt>
                <c:pt idx="31">
                  <c:v>2.6836737559898997E-3</c:v>
                </c:pt>
                <c:pt idx="32">
                  <c:v>1.9970662077472803E-3</c:v>
                </c:pt>
                <c:pt idx="33">
                  <c:v>1.4311577094664951E-3</c:v>
                </c:pt>
                <c:pt idx="34">
                  <c:v>9.4208996344644135E-4</c:v>
                </c:pt>
                <c:pt idx="35">
                  <c:v>5.5529168107466321E-4</c:v>
                </c:pt>
                <c:pt idx="36">
                  <c:v>2.9626632430605299E-4</c:v>
                </c:pt>
                <c:pt idx="37">
                  <c:v>1.5526434209429425E-4</c:v>
                </c:pt>
                <c:pt idx="38">
                  <c:v>9.3929428011584658E-5</c:v>
                </c:pt>
                <c:pt idx="39">
                  <c:v>6.9988412439182587E-5</c:v>
                </c:pt>
                <c:pt idx="40">
                  <c:v>5.542023021553077E-5</c:v>
                </c:pt>
                <c:pt idx="41">
                  <c:v>3.9914895004968796E-5</c:v>
                </c:pt>
                <c:pt idx="42">
                  <c:v>2.4300647907269595E-5</c:v>
                </c:pt>
                <c:pt idx="43">
                  <c:v>1.2119182528312603E-5</c:v>
                </c:pt>
                <c:pt idx="44">
                  <c:v>4.8452081408647741E-6</c:v>
                </c:pt>
                <c:pt idx="45">
                  <c:v>1.514029889873578E-6</c:v>
                </c:pt>
                <c:pt idx="46">
                  <c:v>3.5624232702907715E-7</c:v>
                </c:pt>
                <c:pt idx="47">
                  <c:v>5.9373721171512862E-8</c:v>
                </c:pt>
                <c:pt idx="48">
                  <c:v>6.2498653864750385E-9</c:v>
                </c:pt>
                <c:pt idx="49">
                  <c:v>3.1249326932375189E-10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1.8117893470775886E-4</c:v>
                </c:pt>
                <c:pt idx="1">
                  <c:v>1.5698135278642309E-4</c:v>
                </c:pt>
                <c:pt idx="2">
                  <c:v>1.4325772150988099E-4</c:v>
                </c:pt>
                <c:pt idx="3">
                  <c:v>1.4855679510227505E-4</c:v>
                </c:pt>
                <c:pt idx="4">
                  <c:v>1.8326121151468255E-4</c:v>
                </c:pt>
                <c:pt idx="5">
                  <c:v>2.7050116448005439E-4</c:v>
                </c:pt>
                <c:pt idx="6">
                  <c:v>4.589342793143564E-4</c:v>
                </c:pt>
                <c:pt idx="7">
                  <c:v>8.3206280879184584E-4</c:v>
                </c:pt>
                <c:pt idx="8">
                  <c:v>1.5285361980454345E-3</c:v>
                </c:pt>
                <c:pt idx="9">
                  <c:v>2.8171779897559518E-3</c:v>
                </c:pt>
                <c:pt idx="10">
                  <c:v>5.2497904919500127E-3</c:v>
                </c:pt>
                <c:pt idx="11">
                  <c:v>9.7878922316983717E-3</c:v>
                </c:pt>
                <c:pt idx="12">
                  <c:v>1.7655687885335742E-2</c:v>
                </c:pt>
                <c:pt idx="13">
                  <c:v>2.9760160885451789E-2</c:v>
                </c:pt>
                <c:pt idx="14">
                  <c:v>4.5920533587572358E-2</c:v>
                </c:pt>
                <c:pt idx="15">
                  <c:v>6.4466968179014525E-2</c:v>
                </c:pt>
                <c:pt idx="16">
                  <c:v>8.2532780284988227E-2</c:v>
                </c:pt>
                <c:pt idx="17">
                  <c:v>9.6810381884445379E-2</c:v>
                </c:pt>
                <c:pt idx="18">
                  <c:v>0.10439748801952659</c:v>
                </c:pt>
                <c:pt idx="19">
                  <c:v>0.10366413615147278</c:v>
                </c:pt>
                <c:pt idx="20">
                  <c:v>9.5038191326894977E-2</c:v>
                </c:pt>
                <c:pt idx="21">
                  <c:v>8.1109120066809176E-2</c:v>
                </c:pt>
                <c:pt idx="22">
                  <c:v>6.5521293068491776E-2</c:v>
                </c:pt>
                <c:pt idx="23">
                  <c:v>5.120615615904936E-2</c:v>
                </c:pt>
                <c:pt idx="24">
                  <c:v>3.9319931637045911E-2</c:v>
                </c:pt>
                <c:pt idx="25">
                  <c:v>2.9600737416004077E-2</c:v>
                </c:pt>
                <c:pt idx="26">
                  <c:v>2.1478481458141702E-2</c:v>
                </c:pt>
                <c:pt idx="27">
                  <c:v>1.4795265718893452E-2</c:v>
                </c:pt>
                <c:pt idx="28">
                  <c:v>9.726479557157686E-3</c:v>
                </c:pt>
                <c:pt idx="29">
                  <c:v>6.3407381464903488E-3</c:v>
                </c:pt>
                <c:pt idx="30">
                  <c:v>4.3602950725771684E-3</c:v>
                </c:pt>
                <c:pt idx="31">
                  <c:v>3.274844258500081E-3</c:v>
                </c:pt>
                <c:pt idx="32">
                  <c:v>2.6064810195779919E-3</c:v>
                </c:pt>
                <c:pt idx="33">
                  <c:v>2.0822816994871111E-3</c:v>
                </c:pt>
                <c:pt idx="34">
                  <c:v>1.6299857466063224E-3</c:v>
                </c:pt>
                <c:pt idx="35">
                  <c:v>1.2677956702902729E-3</c:v>
                </c:pt>
                <c:pt idx="36">
                  <c:v>1.0040087942924478E-3</c:v>
                </c:pt>
                <c:pt idx="37">
                  <c:v>8.0823551571253206E-4</c:v>
                </c:pt>
                <c:pt idx="38">
                  <c:v>6.3864690003597553E-4</c:v>
                </c:pt>
                <c:pt idx="39">
                  <c:v>4.746915073012717E-4</c:v>
                </c:pt>
                <c:pt idx="40">
                  <c:v>3.2286532490383981E-4</c:v>
                </c:pt>
                <c:pt idx="41">
                  <c:v>1.9960220961889053E-4</c:v>
                </c:pt>
                <c:pt idx="42">
                  <c:v>1.1341835920771356E-4</c:v>
                </c:pt>
                <c:pt idx="43">
                  <c:v>6.0413545796483495E-5</c:v>
                </c:pt>
                <c:pt idx="44">
                  <c:v>3.0478596628102268E-5</c:v>
                </c:pt>
                <c:pt idx="45">
                  <c:v>1.4333692101685996E-5</c:v>
                </c:pt>
                <c:pt idx="46">
                  <c:v>6.0334582733089481E-6</c:v>
                </c:pt>
                <c:pt idx="47">
                  <c:v>2.1617673213918681E-6</c:v>
                </c:pt>
                <c:pt idx="48">
                  <c:v>6.2690288358056248E-7</c:v>
                </c:pt>
                <c:pt idx="49">
                  <c:v>1.3734644091211028E-7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9.3378072063460202E-3</c:v>
                </c:pt>
                <c:pt idx="1">
                  <c:v>6.1999340455696703E-3</c:v>
                </c:pt>
                <c:pt idx="2">
                  <c:v>3.5886334486488693E-3</c:v>
                </c:pt>
                <c:pt idx="3">
                  <c:v>1.7896693364728928E-3</c:v>
                </c:pt>
                <c:pt idx="4">
                  <c:v>7.8010404996648852E-4</c:v>
                </c:pt>
                <c:pt idx="5">
                  <c:v>3.4496710165617182E-4</c:v>
                </c:pt>
                <c:pt idx="6">
                  <c:v>2.4842242566966151E-4</c:v>
                </c:pt>
                <c:pt idx="7">
                  <c:v>3.3603612666012369E-4</c:v>
                </c:pt>
                <c:pt idx="8">
                  <c:v>5.4505460087019063E-4</c:v>
                </c:pt>
                <c:pt idx="9">
                  <c:v>8.6965375750905176E-4</c:v>
                </c:pt>
                <c:pt idx="10">
                  <c:v>1.327665414811788E-3</c:v>
                </c:pt>
                <c:pt idx="11">
                  <c:v>1.9484311822891931E-3</c:v>
                </c:pt>
                <c:pt idx="12">
                  <c:v>2.7833753687250048E-3</c:v>
                </c:pt>
                <c:pt idx="13">
                  <c:v>3.9207902543519219E-3</c:v>
                </c:pt>
                <c:pt idx="14">
                  <c:v>5.4617581353866677E-3</c:v>
                </c:pt>
                <c:pt idx="15">
                  <c:v>7.4311984935654298E-3</c:v>
                </c:pt>
                <c:pt idx="16">
                  <c:v>9.6813437262533979E-3</c:v>
                </c:pt>
                <c:pt idx="17">
                  <c:v>1.191100468684295E-2</c:v>
                </c:pt>
                <c:pt idx="18">
                  <c:v>1.3860076066618132E-2</c:v>
                </c:pt>
                <c:pt idx="19">
                  <c:v>1.5580662444265203E-2</c:v>
                </c:pt>
                <c:pt idx="20">
                  <c:v>1.7604628403773779E-2</c:v>
                </c:pt>
                <c:pt idx="21">
                  <c:v>2.0899196743218957E-2</c:v>
                </c:pt>
                <c:pt idx="22">
                  <c:v>2.6615124095793304E-2</c:v>
                </c:pt>
                <c:pt idx="23">
                  <c:v>3.5671782498839517E-2</c:v>
                </c:pt>
                <c:pt idx="24">
                  <c:v>4.8236625640044405E-2</c:v>
                </c:pt>
                <c:pt idx="25">
                  <c:v>6.3245484670873375E-2</c:v>
                </c:pt>
                <c:pt idx="26">
                  <c:v>7.8246587683092464E-2</c:v>
                </c:pt>
                <c:pt idx="27">
                  <c:v>8.9865202078622364E-2</c:v>
                </c:pt>
                <c:pt idx="28">
                  <c:v>9.4926390849310593E-2</c:v>
                </c:pt>
                <c:pt idx="29">
                  <c:v>9.1803687027693495E-2</c:v>
                </c:pt>
                <c:pt idx="30">
                  <c:v>8.122967990407054E-2</c:v>
                </c:pt>
                <c:pt idx="31">
                  <c:v>6.600306120526038E-2</c:v>
                </c:pt>
                <c:pt idx="32">
                  <c:v>4.9730953822390241E-2</c:v>
                </c:pt>
                <c:pt idx="33">
                  <c:v>3.538883189706802E-2</c:v>
                </c:pt>
                <c:pt idx="34">
                  <c:v>2.4498100333523138E-2</c:v>
                </c:pt>
                <c:pt idx="35">
                  <c:v>1.7166429718483062E-2</c:v>
                </c:pt>
                <c:pt idx="36">
                  <c:v>1.2665722781422365E-2</c:v>
                </c:pt>
                <c:pt idx="37">
                  <c:v>1.0053024894078093E-2</c:v>
                </c:pt>
                <c:pt idx="38">
                  <c:v>8.5285222344192203E-3</c:v>
                </c:pt>
                <c:pt idx="39">
                  <c:v>7.5098950678663574E-3</c:v>
                </c:pt>
                <c:pt idx="40">
                  <c:v>6.584652398830609E-3</c:v>
                </c:pt>
                <c:pt idx="41">
                  <c:v>5.5000920407313469E-3</c:v>
                </c:pt>
                <c:pt idx="42">
                  <c:v>4.2071336141577724E-3</c:v>
                </c:pt>
                <c:pt idx="43">
                  <c:v>2.8554610528984015E-3</c:v>
                </c:pt>
                <c:pt idx="44">
                  <c:v>1.678086911804891E-3</c:v>
                </c:pt>
                <c:pt idx="45">
                  <c:v>8.3675758912378094E-4</c:v>
                </c:pt>
                <c:pt idx="46">
                  <c:v>3.472383769739747E-4</c:v>
                </c:pt>
                <c:pt idx="47">
                  <c:v>1.1734580341119248E-4</c:v>
                </c:pt>
                <c:pt idx="48">
                  <c:v>3.1402080632578971E-5</c:v>
                </c:pt>
                <c:pt idx="49">
                  <c:v>6.310709113014297E-6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7.7292455088739257E-3</c:v>
                </c:pt>
                <c:pt idx="1">
                  <c:v>5.1679050923502936E-3</c:v>
                </c:pt>
                <c:pt idx="2">
                  <c:v>3.0459890802770066E-3</c:v>
                </c:pt>
                <c:pt idx="3">
                  <c:v>1.6031896972580719E-3</c:v>
                </c:pt>
                <c:pt idx="4">
                  <c:v>8.2269915356931111E-4</c:v>
                </c:pt>
                <c:pt idx="5">
                  <c:v>5.2675487640826426E-4</c:v>
                </c:pt>
                <c:pt idx="6">
                  <c:v>5.1718298106237536E-4</c:v>
                </c:pt>
                <c:pt idx="7">
                  <c:v>6.6013608411739791E-4</c:v>
                </c:pt>
                <c:pt idx="8">
                  <c:v>8.9782506839594233E-4</c:v>
                </c:pt>
                <c:pt idx="9">
                  <c:v>1.2286635406630702E-3</c:v>
                </c:pt>
                <c:pt idx="10">
                  <c:v>1.6942542955387697E-3</c:v>
                </c:pt>
                <c:pt idx="11">
                  <c:v>2.3761275349677403E-3</c:v>
                </c:pt>
                <c:pt idx="12">
                  <c:v>3.3764099270433001E-3</c:v>
                </c:pt>
                <c:pt idx="13">
                  <c:v>4.762497136102487E-3</c:v>
                </c:pt>
                <c:pt idx="14">
                  <c:v>6.5002914202854818E-3</c:v>
                </c:pt>
                <c:pt idx="15">
                  <c:v>8.4407100496832598E-3</c:v>
                </c:pt>
                <c:pt idx="16">
                  <c:v>1.0399198701576434E-2</c:v>
                </c:pt>
                <c:pt idx="17">
                  <c:v>1.2285467556806963E-2</c:v>
                </c:pt>
                <c:pt idx="18">
                  <c:v>1.4193426804140496E-2</c:v>
                </c:pt>
                <c:pt idx="19">
                  <c:v>1.6413491458877473E-2</c:v>
                </c:pt>
                <c:pt idx="20">
                  <c:v>1.9415708649803166E-2</c:v>
                </c:pt>
                <c:pt idx="21">
                  <c:v>2.3845762843986412E-2</c:v>
                </c:pt>
                <c:pt idx="22">
                  <c:v>3.0461636200958143E-2</c:v>
                </c:pt>
                <c:pt idx="23">
                  <c:v>3.9871098113401553E-2</c:v>
                </c:pt>
                <c:pt idx="24">
                  <c:v>5.205973539234833E-2</c:v>
                </c:pt>
                <c:pt idx="25">
                  <c:v>6.5945139710186659E-2</c:v>
                </c:pt>
                <c:pt idx="26">
                  <c:v>7.9295293375043152E-2</c:v>
                </c:pt>
                <c:pt idx="27">
                  <c:v>8.9190456734442994E-2</c:v>
                </c:pt>
                <c:pt idx="28">
                  <c:v>9.2937442578272703E-2</c:v>
                </c:pt>
                <c:pt idx="29">
                  <c:v>8.9123429777122357E-2</c:v>
                </c:pt>
                <c:pt idx="30">
                  <c:v>7.8341528057638984E-2</c:v>
                </c:pt>
                <c:pt idx="31">
                  <c:v>6.3119911034156054E-2</c:v>
                </c:pt>
                <c:pt idx="32">
                  <c:v>4.6938440382146361E-2</c:v>
                </c:pt>
                <c:pt idx="33">
                  <c:v>3.2824298548879013E-2</c:v>
                </c:pt>
                <c:pt idx="34">
                  <c:v>2.2351161981907709E-2</c:v>
                </c:pt>
                <c:pt idx="35">
                  <c:v>1.5544655034882586E-2</c:v>
                </c:pt>
                <c:pt idx="36">
                  <c:v>1.1511490097724472E-2</c:v>
                </c:pt>
                <c:pt idx="37">
                  <c:v>9.1964552672359375E-3</c:v>
                </c:pt>
                <c:pt idx="38">
                  <c:v>7.8047013036665483E-3</c:v>
                </c:pt>
                <c:pt idx="39">
                  <c:v>6.8388168087449956E-3</c:v>
                </c:pt>
                <c:pt idx="40">
                  <c:v>5.9795478091192221E-3</c:v>
                </c:pt>
                <c:pt idx="41">
                  <c:v>5.0233350218331918E-3</c:v>
                </c:pt>
                <c:pt idx="42">
                  <c:v>3.9080322338043644E-3</c:v>
                </c:pt>
                <c:pt idx="43">
                  <c:v>2.7282541286081348E-3</c:v>
                </c:pt>
                <c:pt idx="44">
                  <c:v>1.665958928748007E-3</c:v>
                </c:pt>
                <c:pt idx="45">
                  <c:v>8.7065334386136504E-4</c:v>
                </c:pt>
                <c:pt idx="46">
                  <c:v>3.8137322386389282E-4</c:v>
                </c:pt>
                <c:pt idx="47">
                  <c:v>1.3681042039083435E-4</c:v>
                </c:pt>
                <c:pt idx="48">
                  <c:v>3.9032620489401791E-5</c:v>
                </c:pt>
                <c:pt idx="49">
                  <c:v>8.374408735380775E-6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3.264940663043686E-3</c:v>
                </c:pt>
                <c:pt idx="1">
                  <c:v>2.2508205374028854E-3</c:v>
                </c:pt>
                <c:pt idx="2">
                  <c:v>1.4825265253057796E-3</c:v>
                </c:pt>
                <c:pt idx="3">
                  <c:v>1.1644852774042656E-3</c:v>
                </c:pt>
                <c:pt idx="4">
                  <c:v>1.4716092249008259E-3</c:v>
                </c:pt>
                <c:pt idx="5">
                  <c:v>2.5911952858658125E-3</c:v>
                </c:pt>
                <c:pt idx="6">
                  <c:v>4.6991540347687604E-3</c:v>
                </c:pt>
                <c:pt idx="7">
                  <c:v>7.8053025638294676E-3</c:v>
                </c:pt>
                <c:pt idx="8">
                  <c:v>1.1553611920965457E-2</c:v>
                </c:pt>
                <c:pt idx="9">
                  <c:v>1.519960149017892E-2</c:v>
                </c:pt>
                <c:pt idx="10">
                  <c:v>1.7907949198864202E-2</c:v>
                </c:pt>
                <c:pt idx="11">
                  <c:v>1.9218223290350681E-2</c:v>
                </c:pt>
                <c:pt idx="12">
                  <c:v>1.9317340255342302E-2</c:v>
                </c:pt>
                <c:pt idx="13">
                  <c:v>1.8901830918459928E-2</c:v>
                </c:pt>
                <c:pt idx="14">
                  <c:v>1.8766182334629667E-2</c:v>
                </c:pt>
                <c:pt idx="15">
                  <c:v>1.942876649875892E-2</c:v>
                </c:pt>
                <c:pt idx="16">
                  <c:v>2.097993368370028E-2</c:v>
                </c:pt>
                <c:pt idx="17">
                  <c:v>2.3141136539510138E-2</c:v>
                </c:pt>
                <c:pt idx="18">
                  <c:v>2.5460934554731557E-2</c:v>
                </c:pt>
                <c:pt idx="19">
                  <c:v>2.75776221339929E-2</c:v>
                </c:pt>
                <c:pt idx="20">
                  <c:v>2.9425421223741526E-2</c:v>
                </c:pt>
                <c:pt idx="21">
                  <c:v>3.1216664117037923E-2</c:v>
                </c:pt>
                <c:pt idx="22">
                  <c:v>3.315417606493011E-2</c:v>
                </c:pt>
                <c:pt idx="23">
                  <c:v>3.5091133089025325E-2</c:v>
                </c:pt>
                <c:pt idx="24">
                  <c:v>3.6491057658707554E-2</c:v>
                </c:pt>
                <c:pt idx="25">
                  <c:v>3.6818528209471443E-2</c:v>
                </c:pt>
                <c:pt idx="26">
                  <c:v>3.6058542122524989E-2</c:v>
                </c:pt>
                <c:pt idx="27">
                  <c:v>3.4877735367743364E-2</c:v>
                </c:pt>
                <c:pt idx="28">
                  <c:v>3.4252197569432222E-2</c:v>
                </c:pt>
                <c:pt idx="29">
                  <c:v>3.4878187603049435E-2</c:v>
                </c:pt>
                <c:pt idx="30">
                  <c:v>3.6827391031615149E-2</c:v>
                </c:pt>
                <c:pt idx="31">
                  <c:v>3.9605151562724455E-2</c:v>
                </c:pt>
                <c:pt idx="32">
                  <c:v>4.241091545308711E-2</c:v>
                </c:pt>
                <c:pt idx="33">
                  <c:v>4.4354496306240762E-2</c:v>
                </c:pt>
                <c:pt idx="34">
                  <c:v>4.4600607906902311E-2</c:v>
                </c:pt>
                <c:pt idx="35">
                  <c:v>4.2565356187197922E-2</c:v>
                </c:pt>
                <c:pt idx="36">
                  <c:v>3.8177090175380374E-2</c:v>
                </c:pt>
                <c:pt idx="37">
                  <c:v>3.200667056719235E-2</c:v>
                </c:pt>
                <c:pt idx="38">
                  <c:v>2.5078683012848376E-2</c:v>
                </c:pt>
                <c:pt idx="39">
                  <c:v>1.8439210917138214E-2</c:v>
                </c:pt>
                <c:pt idx="40">
                  <c:v>1.2780639457079664E-2</c:v>
                </c:pt>
                <c:pt idx="41">
                  <c:v>8.3499871762070903E-3</c:v>
                </c:pt>
                <c:pt idx="42">
                  <c:v>5.0967280394792628E-3</c:v>
                </c:pt>
                <c:pt idx="43">
                  <c:v>2.8559742803615702E-3</c:v>
                </c:pt>
                <c:pt idx="44">
                  <c:v>1.4362248008838382E-3</c:v>
                </c:pt>
                <c:pt idx="45">
                  <c:v>6.3264882505179249E-4</c:v>
                </c:pt>
                <c:pt idx="46">
                  <c:v>2.381867955255147E-4</c:v>
                </c:pt>
                <c:pt idx="47">
                  <c:v>7.467351496371362E-5</c:v>
                </c:pt>
                <c:pt idx="48">
                  <c:v>1.8898309407588625E-5</c:v>
                </c:pt>
                <c:pt idx="49">
                  <c:v>3.6557230426279724E-6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2.0392259515453356E-3</c:v>
                </c:pt>
                <c:pt idx="1">
                  <c:v>1.6318866333183048E-3</c:v>
                </c:pt>
                <c:pt idx="2">
                  <c:v>1.3450418265247292E-3</c:v>
                </c:pt>
                <c:pt idx="3">
                  <c:v>1.3037265853126777E-3</c:v>
                </c:pt>
                <c:pt idx="4">
                  <c:v>1.6566745369671072E-3</c:v>
                </c:pt>
                <c:pt idx="5">
                  <c:v>2.5880382672820801E-3</c:v>
                </c:pt>
                <c:pt idx="6">
                  <c:v>4.2779367657721752E-3</c:v>
                </c:pt>
                <c:pt idx="7">
                  <c:v>6.8008057127818579E-3</c:v>
                </c:pt>
                <c:pt idx="8">
                  <c:v>1.0016365818505587E-2</c:v>
                </c:pt>
                <c:pt idx="9">
                  <c:v>1.3544168812619641E-2</c:v>
                </c:pt>
                <c:pt idx="10">
                  <c:v>1.6874527578565342E-2</c:v>
                </c:pt>
                <c:pt idx="11">
                  <c:v>1.9572852509496006E-2</c:v>
                </c:pt>
                <c:pt idx="12">
                  <c:v>2.1452722744840728E-2</c:v>
                </c:pt>
                <c:pt idx="13">
                  <c:v>2.2601312434723776E-2</c:v>
                </c:pt>
                <c:pt idx="14">
                  <c:v>2.3251935063536011E-2</c:v>
                </c:pt>
                <c:pt idx="15">
                  <c:v>2.362699979174309E-2</c:v>
                </c:pt>
                <c:pt idx="16">
                  <c:v>2.3891933919462129E-2</c:v>
                </c:pt>
                <c:pt idx="17">
                  <c:v>2.4230081757871141E-2</c:v>
                </c:pt>
                <c:pt idx="18">
                  <c:v>2.4899894523991828E-2</c:v>
                </c:pt>
                <c:pt idx="19">
                  <c:v>2.6146032440063405E-2</c:v>
                </c:pt>
                <c:pt idx="20">
                  <c:v>2.8014527672266028E-2</c:v>
                </c:pt>
                <c:pt idx="21">
                  <c:v>3.0264736082907428E-2</c:v>
                </c:pt>
                <c:pt idx="22">
                  <c:v>3.2490969557566765E-2</c:v>
                </c:pt>
                <c:pt idx="23">
                  <c:v>3.4347103786816394E-2</c:v>
                </c:pt>
                <c:pt idx="24">
                  <c:v>3.5676338034397952E-2</c:v>
                </c:pt>
                <c:pt idx="25">
                  <c:v>3.6486495633664212E-2</c:v>
                </c:pt>
                <c:pt idx="26">
                  <c:v>3.6880570163886392E-2</c:v>
                </c:pt>
                <c:pt idx="27">
                  <c:v>3.7043261346346508E-2</c:v>
                </c:pt>
                <c:pt idx="28">
                  <c:v>3.724935202393611E-2</c:v>
                </c:pt>
                <c:pt idx="29">
                  <c:v>3.7795411161645358E-2</c:v>
                </c:pt>
                <c:pt idx="30">
                  <c:v>3.8833965306770718E-2</c:v>
                </c:pt>
                <c:pt idx="31">
                  <c:v>4.0208227370904431E-2</c:v>
                </c:pt>
                <c:pt idx="32">
                  <c:v>4.1419121067985475E-2</c:v>
                </c:pt>
                <c:pt idx="33">
                  <c:v>4.1776173980157975E-2</c:v>
                </c:pt>
                <c:pt idx="34">
                  <c:v>4.066767452266145E-2</c:v>
                </c:pt>
                <c:pt idx="35">
                  <c:v>3.7823672256041843E-2</c:v>
                </c:pt>
                <c:pt idx="36">
                  <c:v>3.3451139023572982E-2</c:v>
                </c:pt>
                <c:pt idx="37">
                  <c:v>2.8165203879283809E-2</c:v>
                </c:pt>
                <c:pt idx="38">
                  <c:v>2.2729547908724581E-2</c:v>
                </c:pt>
                <c:pt idx="39">
                  <c:v>1.7742670972109284E-2</c:v>
                </c:pt>
                <c:pt idx="40">
                  <c:v>1.3463714007772031E-2</c:v>
                </c:pt>
                <c:pt idx="41">
                  <c:v>9.8709806923699458E-3</c:v>
                </c:pt>
                <c:pt idx="42">
                  <c:v>6.8604630255007871E-3</c:v>
                </c:pt>
                <c:pt idx="43">
                  <c:v>4.3990791043197709E-3</c:v>
                </c:pt>
                <c:pt idx="44">
                  <c:v>2.5280462211336643E-3</c:v>
                </c:pt>
                <c:pt idx="45">
                  <c:v>1.2665807056227096E-3</c:v>
                </c:pt>
                <c:pt idx="46">
                  <c:v>5.3884269349116986E-4</c:v>
                </c:pt>
                <c:pt idx="47">
                  <c:v>1.8940281562573655E-4</c:v>
                </c:pt>
                <c:pt idx="48">
                  <c:v>5.3258193761568385E-5</c:v>
                </c:pt>
                <c:pt idx="49">
                  <c:v>1.1307113833953618E-5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5.5756823342205453E-7</c:v>
                </c:pt>
                <c:pt idx="2">
                  <c:v>3.7018280841059135E-6</c:v>
                </c:pt>
                <c:pt idx="3">
                  <c:v>1.7658115737476704E-5</c:v>
                </c:pt>
                <c:pt idx="4">
                  <c:v>6.5015227170618295E-5</c:v>
                </c:pt>
                <c:pt idx="5">
                  <c:v>1.9312835425247356E-4</c:v>
                </c:pt>
                <c:pt idx="6">
                  <c:v>4.7804731198486372E-4</c:v>
                </c:pt>
                <c:pt idx="7">
                  <c:v>1.0114566745880102E-3</c:v>
                </c:pt>
                <c:pt idx="8">
                  <c:v>1.869234913053783E-3</c:v>
                </c:pt>
                <c:pt idx="9">
                  <c:v>3.0797780037683533E-3</c:v>
                </c:pt>
                <c:pt idx="10">
                  <c:v>4.629490880094329E-3</c:v>
                </c:pt>
                <c:pt idx="11">
                  <c:v>6.5496513508998874E-3</c:v>
                </c:pt>
                <c:pt idx="12">
                  <c:v>9.1129340718036668E-3</c:v>
                </c:pt>
                <c:pt idx="13">
                  <c:v>1.310676325362215E-2</c:v>
                </c:pt>
                <c:pt idx="14">
                  <c:v>2.0009093148052121E-2</c:v>
                </c:pt>
                <c:pt idx="15">
                  <c:v>3.1712405792755131E-2</c:v>
                </c:pt>
                <c:pt idx="16">
                  <c:v>4.9473544503156712E-2</c:v>
                </c:pt>
                <c:pt idx="17">
                  <c:v>7.2319400612557302E-2</c:v>
                </c:pt>
                <c:pt idx="18">
                  <c:v>9.6020510412213086E-2</c:v>
                </c:pt>
                <c:pt idx="19">
                  <c:v>0.11399940416925922</c:v>
                </c:pt>
                <c:pt idx="20">
                  <c:v>0.12034213358719491</c:v>
                </c:pt>
                <c:pt idx="21">
                  <c:v>0.11311442305679961</c:v>
                </c:pt>
                <c:pt idx="22">
                  <c:v>9.5456763602264391E-2</c:v>
                </c:pt>
                <c:pt idx="23">
                  <c:v>7.355780004927695E-2</c:v>
                </c:pt>
                <c:pt idx="24">
                  <c:v>5.3163721913302021E-2</c:v>
                </c:pt>
                <c:pt idx="25">
                  <c:v>3.7229527999518348E-2</c:v>
                </c:pt>
                <c:pt idx="26">
                  <c:v>2.5903357246226725E-2</c:v>
                </c:pt>
                <c:pt idx="27">
                  <c:v>1.7987382250649227E-2</c:v>
                </c:pt>
                <c:pt idx="28">
                  <c:v>1.230952652384973E-2</c:v>
                </c:pt>
                <c:pt idx="29">
                  <c:v>8.2149586664485557E-3</c:v>
                </c:pt>
                <c:pt idx="30">
                  <c:v>5.3979736939041758E-3</c:v>
                </c:pt>
                <c:pt idx="31">
                  <c:v>3.6186031469849448E-3</c:v>
                </c:pt>
                <c:pt idx="32">
                  <c:v>2.589390838646669E-3</c:v>
                </c:pt>
                <c:pt idx="33">
                  <c:v>2.0094284646102931E-3</c:v>
                </c:pt>
                <c:pt idx="34">
                  <c:v>1.6317883511934124E-3</c:v>
                </c:pt>
                <c:pt idx="35">
                  <c:v>1.3035150066611097E-3</c:v>
                </c:pt>
                <c:pt idx="36">
                  <c:v>9.7061021889290305E-4</c:v>
                </c:pt>
                <c:pt idx="37">
                  <c:v>6.5225148998121138E-4</c:v>
                </c:pt>
                <c:pt idx="38">
                  <c:v>3.9331545076813819E-4</c:v>
                </c:pt>
                <c:pt idx="39">
                  <c:v>2.196098690514114E-4</c:v>
                </c:pt>
                <c:pt idx="40">
                  <c:v>1.2214060199726567E-4</c:v>
                </c:pt>
                <c:pt idx="41">
                  <c:v>7.2133901919967851E-5</c:v>
                </c:pt>
                <c:pt idx="42">
                  <c:v>4.3916693413221249E-5</c:v>
                </c:pt>
                <c:pt idx="43">
                  <c:v>2.4975670932380997E-5</c:v>
                </c:pt>
                <c:pt idx="44">
                  <c:v>1.2190813091019751E-5</c:v>
                </c:pt>
                <c:pt idx="45">
                  <c:v>4.8488063627048416E-6</c:v>
                </c:pt>
                <c:pt idx="46">
                  <c:v>1.5140290830735804E-6</c:v>
                </c:pt>
                <c:pt idx="47">
                  <c:v>3.562421371937836E-7</c:v>
                </c:pt>
                <c:pt idx="48">
                  <c:v>5.9373689532297272E-8</c:v>
                </c:pt>
                <c:pt idx="49">
                  <c:v>6.2498620560312927E-9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1.8117656554519804E-4</c:v>
                </c:pt>
                <c:pt idx="1">
                  <c:v>1.5025143127737257E-4</c:v>
                </c:pt>
                <c:pt idx="2">
                  <c:v>1.2965311745728725E-4</c:v>
                </c:pt>
                <c:pt idx="3">
                  <c:v>1.2663753722004013E-4</c:v>
                </c:pt>
                <c:pt idx="4">
                  <c:v>1.460978993220996E-4</c:v>
                </c:pt>
                <c:pt idx="5">
                  <c:v>1.9623029523794253E-4</c:v>
                </c:pt>
                <c:pt idx="6">
                  <c:v>2.9632642315323291E-4</c:v>
                </c:pt>
                <c:pt idx="7">
                  <c:v>4.8395223052798868E-4</c:v>
                </c:pt>
                <c:pt idx="8">
                  <c:v>8.3162724493058974E-4</c:v>
                </c:pt>
                <c:pt idx="9">
                  <c:v>1.5053789348499675E-3</c:v>
                </c:pt>
                <c:pt idx="10">
                  <c:v>2.8921951754507162E-3</c:v>
                </c:pt>
                <c:pt idx="11">
                  <c:v>5.7402981001988236E-3</c:v>
                </c:pt>
                <c:pt idx="12">
                  <c:v>1.1129596723535105E-2</c:v>
                </c:pt>
                <c:pt idx="13">
                  <c:v>2.0094645644376061E-2</c:v>
                </c:pt>
                <c:pt idx="14">
                  <c:v>3.2988556407946262E-2</c:v>
                </c:pt>
                <c:pt idx="15">
                  <c:v>4.8997135536293417E-2</c:v>
                </c:pt>
                <c:pt idx="16">
                  <c:v>6.6176032712678592E-2</c:v>
                </c:pt>
                <c:pt idx="17">
                  <c:v>8.1961892189767016E-2</c:v>
                </c:pt>
                <c:pt idx="18">
                  <c:v>9.381418147545989E-2</c:v>
                </c:pt>
                <c:pt idx="19">
                  <c:v>9.9794886230757759E-2</c:v>
                </c:pt>
                <c:pt idx="20">
                  <c:v>9.9091511629868123E-2</c:v>
                </c:pt>
                <c:pt idx="21">
                  <c:v>9.2318883572071173E-2</c:v>
                </c:pt>
                <c:pt idx="22">
                  <c:v>8.125929942483727E-2</c:v>
                </c:pt>
                <c:pt idx="23">
                  <c:v>6.8057988975029252E-2</c:v>
                </c:pt>
                <c:pt idx="24">
                  <c:v>5.4447166346542612E-2</c:v>
                </c:pt>
                <c:pt idx="25">
                  <c:v>4.1530184701789173E-2</c:v>
                </c:pt>
                <c:pt idx="26">
                  <c:v>3.0030273086405629E-2</c:v>
                </c:pt>
                <c:pt idx="27">
                  <c:v>2.0513289454997318E-2</c:v>
                </c:pt>
                <c:pt idx="28">
                  <c:v>1.3334055099464044E-2</c:v>
                </c:pt>
                <c:pt idx="29">
                  <c:v>8.4758146187900677E-3</c:v>
                </c:pt>
                <c:pt idx="30">
                  <c:v>5.5365915020045807E-3</c:v>
                </c:pt>
                <c:pt idx="31">
                  <c:v>3.9070496252296485E-3</c:v>
                </c:pt>
                <c:pt idx="32">
                  <c:v>3.0052430588869998E-3</c:v>
                </c:pt>
                <c:pt idx="33">
                  <c:v>2.428754394143179E-3</c:v>
                </c:pt>
                <c:pt idx="34">
                  <c:v>1.978846093489384E-3</c:v>
                </c:pt>
                <c:pt idx="35">
                  <c:v>1.5958771247008149E-3</c:v>
                </c:pt>
                <c:pt idx="36">
                  <c:v>1.2751403667829702E-3</c:v>
                </c:pt>
                <c:pt idx="37">
                  <c:v>1.0133187142127925E-3</c:v>
                </c:pt>
                <c:pt idx="38">
                  <c:v>7.9614796666732483E-4</c:v>
                </c:pt>
                <c:pt idx="39">
                  <c:v>6.0847599883321582E-4</c:v>
                </c:pt>
                <c:pt idx="40">
                  <c:v>4.4383878225622133E-4</c:v>
                </c:pt>
                <c:pt idx="41">
                  <c:v>3.0417146415245161E-4</c:v>
                </c:pt>
                <c:pt idx="42">
                  <c:v>1.9355889960778733E-4</c:v>
                </c:pt>
                <c:pt idx="43">
                  <c:v>1.1311690587255039E-4</c:v>
                </c:pt>
                <c:pt idx="44">
                  <c:v>5.9859430489540849E-5</c:v>
                </c:pt>
                <c:pt idx="45">
                  <c:v>2.812846155176618E-5</c:v>
                </c:pt>
                <c:pt idx="46">
                  <c:v>1.1444392814030273E-5</c:v>
                </c:pt>
                <c:pt idx="47">
                  <c:v>3.9099345902821652E-6</c:v>
                </c:pt>
                <c:pt idx="48">
                  <c:v>1.0808877143928473E-6</c:v>
                </c:pt>
                <c:pt idx="49">
                  <c:v>2.2721022004312076E-7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1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1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3.908204092126334E-8</c:v>
                </c:pt>
                <c:pt idx="2">
                  <c:v>2.7058766598239309E-7</c:v>
                </c:pt>
                <c:pt idx="3">
                  <c:v>1.4266203032662884E-6</c:v>
                </c:pt>
                <c:pt idx="4">
                  <c:v>6.0544700250467658E-6</c:v>
                </c:pt>
                <c:pt idx="5">
                  <c:v>2.1122386142364346E-5</c:v>
                </c:pt>
                <c:pt idx="6">
                  <c:v>6.1188972626793298E-5</c:v>
                </c:pt>
                <c:pt idx="7">
                  <c:v>1.4842596085714425E-4</c:v>
                </c:pt>
                <c:pt idx="8">
                  <c:v>3.0480004443486267E-4</c:v>
                </c:pt>
                <c:pt idx="9">
                  <c:v>5.3856929300435193E-4</c:v>
                </c:pt>
                <c:pt idx="10">
                  <c:v>8.3934476497719542E-4</c:v>
                </c:pt>
                <c:pt idx="11">
                  <c:v>1.1970755963744912E-3</c:v>
                </c:pt>
                <c:pt idx="12">
                  <c:v>1.6397136384002559E-3</c:v>
                </c:pt>
                <c:pt idx="13">
                  <c:v>2.2584526125812342E-3</c:v>
                </c:pt>
                <c:pt idx="14">
                  <c:v>3.1864195135479514E-3</c:v>
                </c:pt>
                <c:pt idx="15">
                  <c:v>4.5270389379840174E-3</c:v>
                </c:pt>
                <c:pt idx="16">
                  <c:v>6.2914490912077889E-3</c:v>
                </c:pt>
                <c:pt idx="17">
                  <c:v>8.4863282647268511E-3</c:v>
                </c:pt>
                <c:pt idx="18">
                  <c:v>1.1499858161324313E-2</c:v>
                </c:pt>
                <c:pt idx="19">
                  <c:v>1.6689275170677625E-2</c:v>
                </c:pt>
                <c:pt idx="20">
                  <c:v>2.6574824335406672E-2</c:v>
                </c:pt>
                <c:pt idx="21">
                  <c:v>4.3782105129607361E-2</c:v>
                </c:pt>
                <c:pt idx="22">
                  <c:v>6.8604378193037191E-2</c:v>
                </c:pt>
                <c:pt idx="23">
                  <c:v>9.6733399429140929E-2</c:v>
                </c:pt>
                <c:pt idx="24">
                  <c:v>0.11969600305641105</c:v>
                </c:pt>
                <c:pt idx="25">
                  <c:v>0.12894231585950558</c:v>
                </c:pt>
                <c:pt idx="26">
                  <c:v>0.12106069031351739</c:v>
                </c:pt>
                <c:pt idx="27">
                  <c:v>9.9873461195587751E-2</c:v>
                </c:pt>
                <c:pt idx="28">
                  <c:v>7.3651233673502167E-2</c:v>
                </c:pt>
                <c:pt idx="29">
                  <c:v>5.0019734038813067E-2</c:v>
                </c:pt>
                <c:pt idx="30">
                  <c:v>3.2672461285012194E-2</c:v>
                </c:pt>
                <c:pt idx="31">
                  <c:v>2.1534641274454473E-2</c:v>
                </c:pt>
                <c:pt idx="32">
                  <c:v>1.4836560595907143E-2</c:v>
                </c:pt>
                <c:pt idx="33">
                  <c:v>1.0838529107784177E-2</c:v>
                </c:pt>
                <c:pt idx="34">
                  <c:v>8.3785436462317248E-3</c:v>
                </c:pt>
                <c:pt idx="35">
                  <c:v>6.7387682569013648E-3</c:v>
                </c:pt>
                <c:pt idx="36">
                  <c:v>5.4657868193431535E-3</c:v>
                </c:pt>
                <c:pt idx="37">
                  <c:v>4.3168872455508879E-3</c:v>
                </c:pt>
                <c:pt idx="38">
                  <c:v>3.2302064731421685E-3</c:v>
                </c:pt>
                <c:pt idx="39">
                  <c:v>2.2514925131416098E-3</c:v>
                </c:pt>
                <c:pt idx="40">
                  <c:v>1.4473220604157382E-3</c:v>
                </c:pt>
                <c:pt idx="41">
                  <c:v>8.5129246756059497E-4</c:v>
                </c:pt>
                <c:pt idx="42">
                  <c:v>4.5359197653121054E-4</c:v>
                </c:pt>
                <c:pt idx="43">
                  <c:v>2.1572496912675141E-4</c:v>
                </c:pt>
                <c:pt idx="44">
                  <c:v>8.9696035039108567E-5</c:v>
                </c:pt>
                <c:pt idx="45">
                  <c:v>3.173755246928489E-5</c:v>
                </c:pt>
                <c:pt idx="46">
                  <c:v>9.2387830335265319E-6</c:v>
                </c:pt>
                <c:pt idx="47">
                  <c:v>2.1187217719225769E-6</c:v>
                </c:pt>
                <c:pt idx="48">
                  <c:v>3.6048085742884425E-7</c:v>
                </c:pt>
                <c:pt idx="49">
                  <c:v>4.1342293920574702E-8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ABM</c:v>
                </c:pt>
              </c:strCache>
            </c:strRef>
          </c:tx>
          <c:spPr>
            <a:ln cap="rnd" w="28575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4.4971674562474814E-6</c:v>
                </c:pt>
                <c:pt idx="1">
                  <c:v>1.0146662878528927E-5</c:v>
                </c:pt>
                <c:pt idx="2">
                  <c:v>1.4421231319240904E-5</c:v>
                </c:pt>
                <c:pt idx="3">
                  <c:v>2.0926807850034456E-5</c:v>
                </c:pt>
                <c:pt idx="4">
                  <c:v>4.169382235644397E-5</c:v>
                </c:pt>
                <c:pt idx="5">
                  <c:v>9.6781417441789774E-5</c:v>
                </c:pt>
                <c:pt idx="6">
                  <c:v>2.0662185990022439E-4</c:v>
                </c:pt>
                <c:pt idx="7">
                  <c:v>3.7665631508621613E-4</c:v>
                </c:pt>
                <c:pt idx="8">
                  <c:v>5.8367382841754501E-4</c:v>
                </c:pt>
                <c:pt idx="9">
                  <c:v>7.8051116163967149E-4</c:v>
                </c:pt>
                <c:pt idx="10">
                  <c:v>9.2540427990947809E-4</c:v>
                </c:pt>
                <c:pt idx="11">
                  <c:v>1.017503531079269E-3</c:v>
                </c:pt>
                <c:pt idx="12">
                  <c:v>1.1078623694884089E-3</c:v>
                </c:pt>
                <c:pt idx="13">
                  <c:v>1.2773414808316657E-3</c:v>
                </c:pt>
                <c:pt idx="14">
                  <c:v>1.6166718970322287E-3</c:v>
                </c:pt>
                <c:pt idx="15">
                  <c:v>2.268415982878426E-3</c:v>
                </c:pt>
                <c:pt idx="16">
                  <c:v>3.5578133821307367E-3</c:v>
                </c:pt>
                <c:pt idx="17">
                  <c:v>6.1502082676805165E-3</c:v>
                </c:pt>
                <c:pt idx="18">
                  <c:v>1.1095321413079598E-2</c:v>
                </c:pt>
                <c:pt idx="19">
                  <c:v>1.9651831094531252E-2</c:v>
                </c:pt>
                <c:pt idx="20">
                  <c:v>3.2910716081013008E-2</c:v>
                </c:pt>
                <c:pt idx="21">
                  <c:v>5.1267344265988002E-2</c:v>
                </c:pt>
                <c:pt idx="22">
                  <c:v>7.3701004264215955E-2</c:v>
                </c:pt>
                <c:pt idx="23">
                  <c:v>9.700114786272894E-2</c:v>
                </c:pt>
                <c:pt idx="24">
                  <c:v>0.11572617199304132</c:v>
                </c:pt>
                <c:pt idx="25">
                  <c:v>0.12390387006637622</c:v>
                </c:pt>
                <c:pt idx="26">
                  <c:v>0.11818227054184963</c:v>
                </c:pt>
                <c:pt idx="27">
                  <c:v>0.1001922257727228</c:v>
                </c:pt>
                <c:pt idx="28">
                  <c:v>7.5864651649994549E-2</c:v>
                </c:pt>
                <c:pt idx="29">
                  <c:v>5.2051314508765156E-2</c:v>
                </c:pt>
                <c:pt idx="30">
                  <c:v>3.3221553673115863E-2</c:v>
                </c:pt>
                <c:pt idx="31">
                  <c:v>2.0498401998707977E-2</c:v>
                </c:pt>
                <c:pt idx="32">
                  <c:v>1.2814433152326412E-2</c:v>
                </c:pt>
                <c:pt idx="33">
                  <c:v>8.4953946032164593E-3</c:v>
                </c:pt>
                <c:pt idx="34">
                  <c:v>6.1374408232709819E-3</c:v>
                </c:pt>
                <c:pt idx="35">
                  <c:v>4.7975394678425268E-3</c:v>
                </c:pt>
                <c:pt idx="36">
                  <c:v>3.9337373489433643E-3</c:v>
                </c:pt>
                <c:pt idx="37">
                  <c:v>3.3114407728651752E-3</c:v>
                </c:pt>
                <c:pt idx="38">
                  <c:v>2.8775824894196754E-3</c:v>
                </c:pt>
                <c:pt idx="39">
                  <c:v>2.6129679204239275E-3</c:v>
                </c:pt>
                <c:pt idx="40">
                  <c:v>2.4377533825984056E-3</c:v>
                </c:pt>
                <c:pt idx="41">
                  <c:v>2.2232776785723655E-3</c:v>
                </c:pt>
                <c:pt idx="42">
                  <c:v>1.8765184844944879E-3</c:v>
                </c:pt>
                <c:pt idx="43">
                  <c:v>1.4065273568884828E-3</c:v>
                </c:pt>
                <c:pt idx="44">
                  <c:v>9.1060349114975559E-4</c:v>
                </c:pt>
                <c:pt idx="45">
                  <c:v>4.9888201545901447E-4</c:v>
                </c:pt>
                <c:pt idx="46">
                  <c:v>2.2699036890151827E-4</c:v>
                </c:pt>
                <c:pt idx="47">
                  <c:v>8.3979169151651145E-5</c:v>
                </c:pt>
                <c:pt idx="48">
                  <c:v>2.4573426792468317E-5</c:v>
                </c:pt>
                <c:pt idx="49">
                  <c:v>5.3813961763922715E-6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2.2893495197098681E-2</c:v>
                </c:pt>
                <c:pt idx="1">
                  <c:v>2.08712175199171E-2</c:v>
                </c:pt>
                <c:pt idx="2">
                  <c:v>1.9289194840101085E-2</c:v>
                </c:pt>
                <c:pt idx="3">
                  <c:v>1.8420231738676313E-2</c:v>
                </c:pt>
                <c:pt idx="4">
                  <c:v>1.8316232563874546E-2</c:v>
                </c:pt>
                <c:pt idx="5">
                  <c:v>1.8858271427083066E-2</c:v>
                </c:pt>
                <c:pt idx="6">
                  <c:v>1.9821829736963663E-2</c:v>
                </c:pt>
                <c:pt idx="7">
                  <c:v>2.092901135003928E-2</c:v>
                </c:pt>
                <c:pt idx="8">
                  <c:v>2.1947377485372708E-2</c:v>
                </c:pt>
                <c:pt idx="9">
                  <c:v>2.2872885077329565E-2</c:v>
                </c:pt>
                <c:pt idx="10">
                  <c:v>2.4130181711959586E-2</c:v>
                </c:pt>
                <c:pt idx="11">
                  <c:v>2.6661790753071138E-2</c:v>
                </c:pt>
                <c:pt idx="12">
                  <c:v>3.1783092761566767E-2</c:v>
                </c:pt>
                <c:pt idx="13">
                  <c:v>4.0691779703884955E-2</c:v>
                </c:pt>
                <c:pt idx="14">
                  <c:v>5.3610161903765996E-2</c:v>
                </c:pt>
                <c:pt idx="15">
                  <c:v>6.8884702002953907E-2</c:v>
                </c:pt>
                <c:pt idx="16">
                  <c:v>8.2815020449457419E-2</c:v>
                </c:pt>
                <c:pt idx="17">
                  <c:v>9.0878161998068349E-2</c:v>
                </c:pt>
                <c:pt idx="18">
                  <c:v>8.9978191628756671E-2</c:v>
                </c:pt>
                <c:pt idx="19">
                  <c:v>8.0203004558642946E-2</c:v>
                </c:pt>
                <c:pt idx="20">
                  <c:v>6.4697592666489945E-2</c:v>
                </c:pt>
                <c:pt idx="21">
                  <c:v>4.7796897337235932E-2</c:v>
                </c:pt>
                <c:pt idx="22">
                  <c:v>3.2931609886102088E-2</c:v>
                </c:pt>
                <c:pt idx="23">
                  <c:v>2.1658567230495977E-2</c:v>
                </c:pt>
                <c:pt idx="24">
                  <c:v>1.3944396150506357E-2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2.4266668172913657E-2</c:v>
                </c:pt>
                <c:pt idx="1">
                  <c:v>2.2983545236980062E-2</c:v>
                </c:pt>
                <c:pt idx="2">
                  <c:v>2.2075066158500595E-2</c:v>
                </c:pt>
                <c:pt idx="3">
                  <c:v>2.1688952860352689E-2</c:v>
                </c:pt>
                <c:pt idx="4">
                  <c:v>2.1714936649587593E-2</c:v>
                </c:pt>
                <c:pt idx="5">
                  <c:v>2.1939635968946963E-2</c:v>
                </c:pt>
                <c:pt idx="6">
                  <c:v>2.2220283194738073E-2</c:v>
                </c:pt>
                <c:pt idx="7">
                  <c:v>2.2567773225695042E-2</c:v>
                </c:pt>
                <c:pt idx="8">
                  <c:v>2.3177238581568029E-2</c:v>
                </c:pt>
                <c:pt idx="9">
                  <c:v>2.4469635820116301E-2</c:v>
                </c:pt>
                <c:pt idx="10">
                  <c:v>2.7103734245705103E-2</c:v>
                </c:pt>
                <c:pt idx="11">
                  <c:v>3.1858487637095388E-2</c:v>
                </c:pt>
                <c:pt idx="12">
                  <c:v>3.9358560884567205E-2</c:v>
                </c:pt>
                <c:pt idx="13">
                  <c:v>4.9714149493693592E-2</c:v>
                </c:pt>
                <c:pt idx="14">
                  <c:v>6.2162478503637097E-2</c:v>
                </c:pt>
                <c:pt idx="15">
                  <c:v>7.4814174164612057E-2</c:v>
                </c:pt>
                <c:pt idx="16">
                  <c:v>8.4744544336451996E-2</c:v>
                </c:pt>
                <c:pt idx="17">
                  <c:v>8.8753241792087142E-2</c:v>
                </c:pt>
                <c:pt idx="18">
                  <c:v>8.4762712685135563E-2</c:v>
                </c:pt>
                <c:pt idx="19">
                  <c:v>7.3104023005209059E-2</c:v>
                </c:pt>
                <c:pt idx="20">
                  <c:v>5.664347021203546E-2</c:v>
                </c:pt>
                <c:pt idx="21">
                  <c:v>3.9451109232266406E-2</c:v>
                </c:pt>
                <c:pt idx="22">
                  <c:v>2.4910585505778859E-2</c:v>
                </c:pt>
                <c:pt idx="23">
                  <c:v>1.4559700124807168E-2</c:v>
                </c:pt>
                <c:pt idx="24">
                  <c:v>8.1805841766203827E-3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8.6645598230347468E-3</c:v>
                </c:pt>
                <c:pt idx="1">
                  <c:v>1.0859391180109758E-2</c:v>
                </c:pt>
                <c:pt idx="2">
                  <c:v>1.2495760480301425E-2</c:v>
                </c:pt>
                <c:pt idx="3">
                  <c:v>1.3350555488068796E-2</c:v>
                </c:pt>
                <c:pt idx="4">
                  <c:v>1.3594104618436974E-2</c:v>
                </c:pt>
                <c:pt idx="5">
                  <c:v>1.3572738736453153E-2</c:v>
                </c:pt>
                <c:pt idx="6">
                  <c:v>1.3587124799982231E-2</c:v>
                </c:pt>
                <c:pt idx="7">
                  <c:v>1.3969168054268236E-2</c:v>
                </c:pt>
                <c:pt idx="8">
                  <c:v>1.5560677153770535E-2</c:v>
                </c:pt>
                <c:pt idx="9">
                  <c:v>2.031593604702708E-2</c:v>
                </c:pt>
                <c:pt idx="10">
                  <c:v>3.1242827710956621E-2</c:v>
                </c:pt>
                <c:pt idx="11">
                  <c:v>5.0769309350660347E-2</c:v>
                </c:pt>
                <c:pt idx="12">
                  <c:v>7.7769279153587931E-2</c:v>
                </c:pt>
                <c:pt idx="13">
                  <c:v>0.10561600785330427</c:v>
                </c:pt>
                <c:pt idx="14">
                  <c:v>0.12420143796269362</c:v>
                </c:pt>
                <c:pt idx="15">
                  <c:v>0.12576242420810763</c:v>
                </c:pt>
                <c:pt idx="16">
                  <c:v>0.11005209160989363</c:v>
                </c:pt>
                <c:pt idx="17">
                  <c:v>8.4213803291028719E-2</c:v>
                </c:pt>
                <c:pt idx="18">
                  <c:v>5.7639767119503929E-2</c:v>
                </c:pt>
                <c:pt idx="19">
                  <c:v>3.6593351248227581E-2</c:v>
                </c:pt>
                <c:pt idx="20">
                  <c:v>2.2554482440346371E-2</c:v>
                </c:pt>
                <c:pt idx="21">
                  <c:v>1.4000137252569303E-2</c:v>
                </c:pt>
                <c:pt idx="22">
                  <c:v>8.8330667099912018E-3</c:v>
                </c:pt>
                <c:pt idx="23">
                  <c:v>5.5904875700707787E-3</c:v>
                </c:pt>
                <c:pt idx="24">
                  <c:v>3.496227587697466E-3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2.2210947311535674E-2</c:v>
                </c:pt>
                <c:pt idx="1">
                  <c:v>1.7125626743528143E-2</c:v>
                </c:pt>
                <c:pt idx="2">
                  <c:v>1.2816452987709901E-2</c:v>
                </c:pt>
                <c:pt idx="3">
                  <c:v>9.7885842351276842E-3</c:v>
                </c:pt>
                <c:pt idx="4">
                  <c:v>8.2385039098406641E-3</c:v>
                </c:pt>
                <c:pt idx="5">
                  <c:v>8.2697849828555631E-3</c:v>
                </c:pt>
                <c:pt idx="6">
                  <c:v>1.0163125255517613E-2</c:v>
                </c:pt>
                <c:pt idx="7">
                  <c:v>1.4476952467036307E-2</c:v>
                </c:pt>
                <c:pt idx="8">
                  <c:v>2.1925207703611348E-2</c:v>
                </c:pt>
                <c:pt idx="9">
                  <c:v>3.3135810107565021E-2</c:v>
                </c:pt>
                <c:pt idx="10">
                  <c:v>4.8337754007764439E-2</c:v>
                </c:pt>
                <c:pt idx="11">
                  <c:v>6.6873459185461531E-2</c:v>
                </c:pt>
                <c:pt idx="12">
                  <c:v>8.6575828502666582E-2</c:v>
                </c:pt>
                <c:pt idx="13">
                  <c:v>0.10354744997161842</c:v>
                </c:pt>
                <c:pt idx="14">
                  <c:v>0.11307794346426202</c:v>
                </c:pt>
                <c:pt idx="15">
                  <c:v>0.1116953741397205</c:v>
                </c:pt>
                <c:pt idx="16">
                  <c:v>9.914962915465915E-2</c:v>
                </c:pt>
                <c:pt idx="17">
                  <c:v>7.8802022518601952E-2</c:v>
                </c:pt>
                <c:pt idx="18">
                  <c:v>5.6014670157511048E-2</c:v>
                </c:pt>
                <c:pt idx="19">
                  <c:v>3.5673274972278825E-2</c:v>
                </c:pt>
                <c:pt idx="20">
                  <c:v>2.0467976010883075E-2</c:v>
                </c:pt>
                <c:pt idx="21">
                  <c:v>1.0703497921615901E-2</c:v>
                </c:pt>
                <c:pt idx="22">
                  <c:v>5.2139519999304879E-3</c:v>
                </c:pt>
                <c:pt idx="23">
                  <c:v>2.4595270330567344E-3</c:v>
                </c:pt>
                <c:pt idx="24">
                  <c:v>1.1946653299962102E-3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0.30665111027188857</c:v>
                </c:pt>
                <c:pt idx="1">
                  <c:v>0.22871695398649927</c:v>
                </c:pt>
                <c:pt idx="2">
                  <c:v>0.15997561240910921</c:v>
                </c:pt>
                <c:pt idx="3">
                  <c:v>0.10606149585825921</c:v>
                </c:pt>
                <c:pt idx="4">
                  <c:v>6.7808620094556807E-2</c:v>
                </c:pt>
                <c:pt idx="5">
                  <c:v>4.2599660673951462E-2</c:v>
                </c:pt>
                <c:pt idx="6">
                  <c:v>2.6697812899136329E-2</c:v>
                </c:pt>
                <c:pt idx="7">
                  <c:v>1.6885198953303943E-2</c:v>
                </c:pt>
                <c:pt idx="8">
                  <c:v>1.0934456130761971E-2</c:v>
                </c:pt>
                <c:pt idx="9">
                  <c:v>7.4039358382218456E-3</c:v>
                </c:pt>
                <c:pt idx="10">
                  <c:v>5.337966545198386E-3</c:v>
                </c:pt>
                <c:pt idx="11">
                  <c:v>4.0967435780657063E-3</c:v>
                </c:pt>
                <c:pt idx="12">
                  <c:v>3.2804292605988165E-3</c:v>
                </c:pt>
                <c:pt idx="13">
                  <c:v>2.6733881171805245E-3</c:v>
                </c:pt>
                <c:pt idx="14">
                  <c:v>2.183688367759814E-3</c:v>
                </c:pt>
                <c:pt idx="15">
                  <c:v>1.784303632124716E-3</c:v>
                </c:pt>
                <c:pt idx="16">
                  <c:v>1.4663794568058473E-3</c:v>
                </c:pt>
                <c:pt idx="17">
                  <c:v>1.2129266051920011E-3</c:v>
                </c:pt>
                <c:pt idx="18">
                  <c:v>9.969998430820531E-4</c:v>
                </c:pt>
                <c:pt idx="19">
                  <c:v>7.9661781526684156E-4</c:v>
                </c:pt>
                <c:pt idx="20">
                  <c:v>6.0811304202036274E-4</c:v>
                </c:pt>
                <c:pt idx="21">
                  <c:v>4.4434105890261782E-4</c:v>
                </c:pt>
                <c:pt idx="22">
                  <c:v>3.204333965119059E-4</c:v>
                </c:pt>
                <c:pt idx="23">
                  <c:v>2.4016152659909408E-4</c:v>
                </c:pt>
                <c:pt idx="24">
                  <c:v>1.9286540710656828E-4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0.32861710581269782</c:v>
                </c:pt>
                <c:pt idx="1">
                  <c:v>0.23391306272200971</c:v>
                </c:pt>
                <c:pt idx="2">
                  <c:v>0.15296900701738064</c:v>
                </c:pt>
                <c:pt idx="3">
                  <c:v>9.3702147335049321E-2</c:v>
                </c:pt>
                <c:pt idx="4">
                  <c:v>5.6219417254732965E-2</c:v>
                </c:pt>
                <c:pt idx="5">
                  <c:v>3.5222109428356817E-2</c:v>
                </c:pt>
                <c:pt idx="6">
                  <c:v>2.4100734404072552E-2</c:v>
                </c:pt>
                <c:pt idx="7">
                  <c:v>1.7816553558952824E-2</c:v>
                </c:pt>
                <c:pt idx="8">
                  <c:v>1.3629895828890147E-2</c:v>
                </c:pt>
                <c:pt idx="9">
                  <c:v>1.0459463068757455E-2</c:v>
                </c:pt>
                <c:pt idx="10">
                  <c:v>7.9879936574348987E-3</c:v>
                </c:pt>
                <c:pt idx="11">
                  <c:v>6.0958920810072516E-3</c:v>
                </c:pt>
                <c:pt idx="12">
                  <c:v>4.6640990223926464E-3</c:v>
                </c:pt>
                <c:pt idx="13">
                  <c:v>3.5700423432849251E-3</c:v>
                </c:pt>
                <c:pt idx="14">
                  <c:v>2.7203158402928558E-3</c:v>
                </c:pt>
                <c:pt idx="15">
                  <c:v>2.0574142249583779E-3</c:v>
                </c:pt>
                <c:pt idx="16">
                  <c:v>1.5457314690296097E-3</c:v>
                </c:pt>
                <c:pt idx="17">
                  <c:v>1.1580550853239778E-3</c:v>
                </c:pt>
                <c:pt idx="18">
                  <c:v>8.7022101743478323E-4</c:v>
                </c:pt>
                <c:pt idx="19">
                  <c:v>6.5981834514809181E-4</c:v>
                </c:pt>
                <c:pt idx="20">
                  <c:v>5.0555041537403856E-4</c:v>
                </c:pt>
                <c:pt idx="21">
                  <c:v>3.8820284329500938E-4</c:v>
                </c:pt>
                <c:pt idx="22">
                  <c:v>2.9365954300435387E-4</c:v>
                </c:pt>
                <c:pt idx="23">
                  <c:v>2.1523270847187591E-4</c:v>
                </c:pt>
                <c:pt idx="24">
                  <c:v>1.5246911418115779E-4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0.35334778096077446</c:v>
                </c:pt>
                <c:pt idx="1">
                  <c:v>0.25687420707472741</c:v>
                </c:pt>
                <c:pt idx="2">
                  <c:v>0.17156018259652739</c:v>
                </c:pt>
                <c:pt idx="3">
                  <c:v>0.1047572691603295</c:v>
                </c:pt>
                <c:pt idx="4">
                  <c:v>5.8338011548057317E-2</c:v>
                </c:pt>
                <c:pt idx="5">
                  <c:v>2.9637181322169491E-2</c:v>
                </c:pt>
                <c:pt idx="6">
                  <c:v>1.3802361253679401E-2</c:v>
                </c:pt>
                <c:pt idx="7">
                  <c:v>5.9802242267079702E-3</c:v>
                </c:pt>
                <c:pt idx="8">
                  <c:v>2.5014934798204729E-3</c:v>
                </c:pt>
                <c:pt idx="9">
                  <c:v>1.0952332799607633E-3</c:v>
                </c:pt>
                <c:pt idx="10">
                  <c:v>5.7166194061999921E-4</c:v>
                </c:pt>
                <c:pt idx="11">
                  <c:v>3.8867741929489018E-4</c:v>
                </c:pt>
                <c:pt idx="12">
                  <c:v>3.2094016981134318E-4</c:v>
                </c:pt>
                <c:pt idx="13">
                  <c:v>2.7695058732981861E-4</c:v>
                </c:pt>
                <c:pt idx="14">
                  <c:v>2.2321704732545738E-4</c:v>
                </c:pt>
                <c:pt idx="15">
                  <c:v>1.5778904727911636E-4</c:v>
                </c:pt>
                <c:pt idx="16">
                  <c:v>9.4364440615950132E-5</c:v>
                </c:pt>
                <c:pt idx="17">
                  <c:v>4.6558271457456398E-5</c:v>
                </c:pt>
                <c:pt idx="18">
                  <c:v>1.8515087494638909E-5</c:v>
                </c:pt>
                <c:pt idx="19">
                  <c:v>5.772666447632569E-6</c:v>
                </c:pt>
                <c:pt idx="20">
                  <c:v>1.3572501948693324E-6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0.38222214787307596</c:v>
                </c:pt>
                <c:pt idx="1">
                  <c:v>0.26527058257896119</c:v>
                </c:pt>
                <c:pt idx="2">
                  <c:v>0.16559190295829343</c:v>
                </c:pt>
                <c:pt idx="3">
                  <c:v>9.3070216883971976E-2</c:v>
                </c:pt>
                <c:pt idx="4">
                  <c:v>4.7798366312011342E-2</c:v>
                </c:pt>
                <c:pt idx="5">
                  <c:v>2.3211132352470323E-2</c:v>
                </c:pt>
                <c:pt idx="6">
                  <c:v>1.1211512358750671E-2</c:v>
                </c:pt>
                <c:pt idx="7">
                  <c:v>5.618276094642799E-3</c:v>
                </c:pt>
                <c:pt idx="8">
                  <c:v>2.9282810766651434E-3</c:v>
                </c:pt>
                <c:pt idx="9">
                  <c:v>1.5377809430197986E-3</c:v>
                </c:pt>
                <c:pt idx="10">
                  <c:v>7.855919800131379E-4</c:v>
                </c:pt>
                <c:pt idx="11">
                  <c:v>3.8239293883100345E-4</c:v>
                </c:pt>
                <c:pt idx="12">
                  <c:v>1.7767297395642221E-4</c:v>
                </c:pt>
                <c:pt idx="13">
                  <c:v>8.2286713865826089E-5</c:v>
                </c:pt>
                <c:pt idx="14">
                  <c:v>4.189033059071374E-5</c:v>
                </c:pt>
                <c:pt idx="15">
                  <c:v>2.5350439645994963E-5</c:v>
                </c:pt>
                <c:pt idx="16">
                  <c:v>1.7318390600125583E-5</c:v>
                </c:pt>
                <c:pt idx="17">
                  <c:v>1.1888110344812115E-5</c:v>
                </c:pt>
                <c:pt idx="18">
                  <c:v>7.5808371068644133E-6</c:v>
                </c:pt>
                <c:pt idx="19">
                  <c:v>4.3217824800802791E-6</c:v>
                </c:pt>
                <c:pt idx="20">
                  <c:v>2.1516077181378145E-6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1386.5552240850416</c:v>
                </c:pt>
                <c:pt idx="2">
                  <c:v>3427.4139414917272</c:v>
                </c:pt>
                <c:pt idx="3">
                  <c:v>6902.3424350861906</c:v>
                </c:pt>
                <c:pt idx="4">
                  <c:v>12748.603772237047</c:v>
                </c:pt>
                <c:pt idx="5">
                  <c:v>21867.527045788011</c:v>
                </c:pt>
                <c:pt idx="6">
                  <c:v>34618.175968055031</c:v>
                </c:pt>
                <c:pt idx="7">
                  <c:v>50140.020277191579</c:v>
                </c:pt>
                <c:pt idx="8">
                  <c:v>65961.421474982111</c:v>
                </c:pt>
                <c:pt idx="9">
                  <c:v>78429.254595920851</c:v>
                </c:pt>
                <c:pt idx="10">
                  <c:v>84069.352962328921</c:v>
                </c:pt>
                <c:pt idx="11">
                  <c:v>81238.542236245819</c:v>
                </c:pt>
                <c:pt idx="12">
                  <c:v>71004.056804483858</c:v>
                </c:pt>
                <c:pt idx="13">
                  <c:v>56605.596195707461</c:v>
                </c:pt>
                <c:pt idx="14">
                  <c:v>41863.194215299001</c:v>
                </c:pt>
                <c:pt idx="15">
                  <c:v>29603.099221035616</c:v>
                </c:pt>
                <c:pt idx="16">
                  <c:v>20978.826694391279</c:v>
                </c:pt>
                <c:pt idx="17">
                  <c:v>15762.212518768627</c:v>
                </c:pt>
                <c:pt idx="18">
                  <c:v>13060.174380270009</c:v>
                </c:pt>
                <c:pt idx="19">
                  <c:v>11900.45470456765</c:v>
                </c:pt>
                <c:pt idx="20">
                  <c:v>11495.003805369148</c:v>
                </c:pt>
                <c:pt idx="21">
                  <c:v>11287.255686699877</c:v>
                </c:pt>
                <c:pt idx="22">
                  <c:v>10935.60123557953</c:v>
                </c:pt>
                <c:pt idx="23">
                  <c:v>10294.271968639492</c:v>
                </c:pt>
                <c:pt idx="24">
                  <c:v>9383.6088296038452</c:v>
                </c:pt>
                <c:pt idx="25">
                  <c:v>8333.896458687721</c:v>
                </c:pt>
                <c:pt idx="26">
                  <c:v>7304.7222655902378</c:v>
                </c:pt>
                <c:pt idx="27">
                  <c:v>6402.6369349267097</c:v>
                </c:pt>
                <c:pt idx="28">
                  <c:v>5635.4994976192784</c:v>
                </c:pt>
                <c:pt idx="29">
                  <c:v>4931.4035320768662</c:v>
                </c:pt>
                <c:pt idx="30">
                  <c:v>4207.2025628904921</c:v>
                </c:pt>
                <c:pt idx="31">
                  <c:v>3433.4718524808104</c:v>
                </c:pt>
                <c:pt idx="32">
                  <c:v>2650.5780606552803</c:v>
                </c:pt>
                <c:pt idx="33">
                  <c:v>1935.3051288943177</c:v>
                </c:pt>
                <c:pt idx="34">
                  <c:v>1352.7744924042079</c:v>
                </c:pt>
                <c:pt idx="35">
                  <c:v>927.35975305906629</c:v>
                </c:pt>
                <c:pt idx="36">
                  <c:v>642.50952492037175</c:v>
                </c:pt>
                <c:pt idx="37">
                  <c:v>459.06661855144125</c:v>
                </c:pt>
                <c:pt idx="38">
                  <c:v>336.30258988503437</c:v>
                </c:pt>
                <c:pt idx="39">
                  <c:v>245.28812839930592</c:v>
                </c:pt>
                <c:pt idx="40">
                  <c:v>172.00542133345769</c:v>
                </c:pt>
                <c:pt idx="41">
                  <c:v>112.99495811833083</c:v>
                </c:pt>
                <c:pt idx="42">
                  <c:v>68.599741739834016</c:v>
                </c:pt>
                <c:pt idx="43">
                  <c:v>38.275263332852482</c:v>
                </c:pt>
                <c:pt idx="44">
                  <c:v>19.517481429276096</c:v>
                </c:pt>
                <c:pt idx="45">
                  <c:v>8.972909955726907</c:v>
                </c:pt>
                <c:pt idx="46">
                  <c:v>3.6264913356094617</c:v>
                </c:pt>
                <c:pt idx="47">
                  <c:v>1.2438135430356327</c:v>
                </c:pt>
                <c:pt idx="48">
                  <c:v>0.34677975192319432</c:v>
                </c:pt>
                <c:pt idx="49">
                  <c:v>7.3495079690850507E-2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594</c:v>
                </c:pt>
                <c:pt idx="1">
                  <c:v>1781.4626760482788</c:v>
                </c:pt>
                <c:pt idx="2">
                  <c:v>3222.7142400741577</c:v>
                </c:pt>
                <c:pt idx="3">
                  <c:v>5402.3388357162476</c:v>
                </c:pt>
                <c:pt idx="4">
                  <c:v>9140.3222332000732</c:v>
                </c:pt>
                <c:pt idx="5">
                  <c:v>15428.332050323486</c:v>
                </c:pt>
                <c:pt idx="6">
                  <c:v>24928.283599853516</c:v>
                </c:pt>
                <c:pt idx="7">
                  <c:v>37289.675906181335</c:v>
                </c:pt>
                <c:pt idx="8">
                  <c:v>50706.782267570496</c:v>
                </c:pt>
                <c:pt idx="9">
                  <c:v>62178.999645233154</c:v>
                </c:pt>
                <c:pt idx="10">
                  <c:v>68583.186761856079</c:v>
                </c:pt>
                <c:pt idx="11">
                  <c:v>68078.503175735474</c:v>
                </c:pt>
                <c:pt idx="12">
                  <c:v>61007.825719833374</c:v>
                </c:pt>
                <c:pt idx="13">
                  <c:v>49705.999683380127</c:v>
                </c:pt>
                <c:pt idx="14">
                  <c:v>37345.744414329529</c:v>
                </c:pt>
                <c:pt idx="15">
                  <c:v>26573.891366004944</c:v>
                </c:pt>
                <c:pt idx="16">
                  <c:v>18717.612406730652</c:v>
                </c:pt>
                <c:pt idx="17">
                  <c:v>13818.722458839417</c:v>
                </c:pt>
                <c:pt idx="18">
                  <c:v>11185.981611251831</c:v>
                </c:pt>
                <c:pt idx="19">
                  <c:v>9974.0956659317017</c:v>
                </c:pt>
                <c:pt idx="20">
                  <c:v>9503.2516441345215</c:v>
                </c:pt>
                <c:pt idx="21">
                  <c:v>9323.1743907928467</c:v>
                </c:pt>
                <c:pt idx="22">
                  <c:v>9161.3952569961548</c:v>
                </c:pt>
                <c:pt idx="23">
                  <c:v>8866.1961212158203</c:v>
                </c:pt>
                <c:pt idx="24">
                  <c:v>8376.6418056488037</c:v>
                </c:pt>
                <c:pt idx="25">
                  <c:v>7708.2363424301147</c:v>
                </c:pt>
                <c:pt idx="26">
                  <c:v>6935.7726154327393</c:v>
                </c:pt>
                <c:pt idx="27">
                  <c:v>6160.7637958526611</c:v>
                </c:pt>
                <c:pt idx="28">
                  <c:v>5464.2128553390503</c:v>
                </c:pt>
                <c:pt idx="29">
                  <c:v>4866.0488414764404</c:v>
                </c:pt>
                <c:pt idx="30">
                  <c:v>4321.5080690383911</c:v>
                </c:pt>
                <c:pt idx="31">
                  <c:v>3763.290940284729</c:v>
                </c:pt>
                <c:pt idx="32">
                  <c:v>3159.6939678192139</c:v>
                </c:pt>
                <c:pt idx="33">
                  <c:v>2541.6187868118286</c:v>
                </c:pt>
                <c:pt idx="34">
                  <c:v>1977.3671035766602</c:v>
                </c:pt>
                <c:pt idx="35">
                  <c:v>1520.7083082199097</c:v>
                </c:pt>
                <c:pt idx="36">
                  <c:v>1178.4520673751831</c:v>
                </c:pt>
                <c:pt idx="37">
                  <c:v>919.5644645690918</c:v>
                </c:pt>
                <c:pt idx="38">
                  <c:v>707.80255508422852</c:v>
                </c:pt>
                <c:pt idx="39">
                  <c:v>525.12950038909912</c:v>
                </c:pt>
                <c:pt idx="40">
                  <c:v>371.41832447052002</c:v>
                </c:pt>
                <c:pt idx="41">
                  <c:v>250.86527156829834</c:v>
                </c:pt>
                <c:pt idx="42">
                  <c:v>162.31699085235596</c:v>
                </c:pt>
                <c:pt idx="43">
                  <c:v>99.658086776733398</c:v>
                </c:pt>
                <c:pt idx="44">
                  <c:v>56.529104232788086</c:v>
                </c:pt>
                <c:pt idx="45">
                  <c:v>28.558387756347656</c:v>
                </c:pt>
                <c:pt idx="46">
                  <c:v>12.377735137939453</c:v>
                </c:pt>
                <c:pt idx="47">
                  <c:v>4.4427156448364258</c:v>
                </c:pt>
                <c:pt idx="48">
                  <c:v>1.2732620239257813</c:v>
                </c:pt>
                <c:pt idx="49">
                  <c:v>0.27450466156005859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48.55853191720476</c:v>
                </c:pt>
                <c:pt idx="2">
                  <c:v>229.09949430844711</c:v>
                </c:pt>
                <c:pt idx="3">
                  <c:v>837.2819132462995</c:v>
                </c:pt>
                <c:pt idx="4">
                  <c:v>2472.1827968687312</c:v>
                </c:pt>
                <c:pt idx="5">
                  <c:v>6001.9378512585554</c:v>
                </c:pt>
                <c:pt idx="6">
                  <c:v>12138.68577478989</c:v>
                </c:pt>
                <c:pt idx="7">
                  <c:v>20653.523341511671</c:v>
                </c:pt>
                <c:pt idx="8">
                  <c:v>29783.056777839953</c:v>
                </c:pt>
                <c:pt idx="9">
                  <c:v>36602.035145159352</c:v>
                </c:pt>
                <c:pt idx="10">
                  <c:v>38498.219917957336</c:v>
                </c:pt>
                <c:pt idx="11">
                  <c:v>34778.474240622752</c:v>
                </c:pt>
                <c:pt idx="12">
                  <c:v>27087.586631266917</c:v>
                </c:pt>
                <c:pt idx="13">
                  <c:v>18301.506396176916</c:v>
                </c:pt>
                <c:pt idx="14">
                  <c:v>10872.114623730053</c:v>
                </c:pt>
                <c:pt idx="15">
                  <c:v>5870.8314448584806</c:v>
                </c:pt>
                <c:pt idx="16">
                  <c:v>3115.1932828752888</c:v>
                </c:pt>
                <c:pt idx="17">
                  <c:v>1859.0916840453172</c:v>
                </c:pt>
                <c:pt idx="18">
                  <c:v>1381.8743751075681</c:v>
                </c:pt>
                <c:pt idx="19">
                  <c:v>1217.9149393484374</c:v>
                </c:pt>
                <c:pt idx="20">
                  <c:v>1134.4920866153952</c:v>
                </c:pt>
                <c:pt idx="21">
                  <c:v>1042.1415133281619</c:v>
                </c:pt>
                <c:pt idx="22">
                  <c:v>930.28875264951171</c:v>
                </c:pt>
                <c:pt idx="23">
                  <c:v>833.73111568175091</c:v>
                </c:pt>
                <c:pt idx="24">
                  <c:v>808.46299618844739</c:v>
                </c:pt>
                <c:pt idx="25">
                  <c:v>904.42209412254738</c:v>
                </c:pt>
                <c:pt idx="26">
                  <c:v>1136.1851583773403</c:v>
                </c:pt>
                <c:pt idx="27">
                  <c:v>1460.7444667688756</c:v>
                </c:pt>
                <c:pt idx="28">
                  <c:v>1777.1822086910515</c:v>
                </c:pt>
                <c:pt idx="29">
                  <c:v>1960.9173183965111</c:v>
                </c:pt>
                <c:pt idx="30">
                  <c:v>1924.2703146049289</c:v>
                </c:pt>
                <c:pt idx="31">
                  <c:v>1666.1746935416409</c:v>
                </c:pt>
                <c:pt idx="32">
                  <c:v>1271.5691999938335</c:v>
                </c:pt>
                <c:pt idx="33">
                  <c:v>859.24623437065657</c:v>
                </c:pt>
                <c:pt idx="34">
                  <c:v>519.70427875132452</c:v>
                </c:pt>
                <c:pt idx="35">
                  <c:v>286.34116572209143</c:v>
                </c:pt>
                <c:pt idx="36">
                  <c:v>147.03872428092737</c:v>
                </c:pt>
                <c:pt idx="37">
                  <c:v>72.043220348826623</c:v>
                </c:pt>
                <c:pt idx="38">
                  <c:v>34.253465802662397</c:v>
                </c:pt>
                <c:pt idx="39">
                  <c:v>15.849286281775086</c:v>
                </c:pt>
                <c:pt idx="40">
                  <c:v>7.0167414317424832</c:v>
                </c:pt>
                <c:pt idx="41">
                  <c:v>2.8629219944631177</c:v>
                </c:pt>
                <c:pt idx="42">
                  <c:v>1.0227464507642603</c:v>
                </c:pt>
                <c:pt idx="43">
                  <c:v>0.30217576193833995</c:v>
                </c:pt>
                <c:pt idx="44">
                  <c:v>6.941497414072155E-2</c:v>
                </c:pt>
                <c:pt idx="45">
                  <c:v>1.1477287824024485E-2</c:v>
                </c:pt>
                <c:pt idx="46">
                  <c:v>1.2064378802657298E-3</c:v>
                </c:pt>
                <c:pt idx="47">
                  <c:v>6.0321894013286497E-5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37.382720947265625</c:v>
                </c:pt>
                <c:pt idx="2">
                  <c:v>158.93349647521973</c:v>
                </c:pt>
                <c:pt idx="3">
                  <c:v>559.6986608505249</c:v>
                </c:pt>
                <c:pt idx="4">
                  <c:v>1648.614185333252</c:v>
                </c:pt>
                <c:pt idx="5">
                  <c:v>4059.4357872009277</c:v>
                </c:pt>
                <c:pt idx="6">
                  <c:v>8401.1252384185791</c:v>
                </c:pt>
                <c:pt idx="7">
                  <c:v>14717.112299919128</c:v>
                </c:pt>
                <c:pt idx="8">
                  <c:v>21977.638398170471</c:v>
                </c:pt>
                <c:pt idx="9">
                  <c:v>28156.786996841431</c:v>
                </c:pt>
                <c:pt idx="10">
                  <c:v>31118.712470054626</c:v>
                </c:pt>
                <c:pt idx="11">
                  <c:v>29805.304677009583</c:v>
                </c:pt>
                <c:pt idx="12">
                  <c:v>24834.405833244324</c:v>
                </c:pt>
                <c:pt idx="13">
                  <c:v>18064.776268959045</c:v>
                </c:pt>
                <c:pt idx="14">
                  <c:v>11525.726391792297</c:v>
                </c:pt>
                <c:pt idx="15">
                  <c:v>6512.9262533187866</c:v>
                </c:pt>
                <c:pt idx="16">
                  <c:v>3339.6038026809692</c:v>
                </c:pt>
                <c:pt idx="17">
                  <c:v>1648.4757289886475</c:v>
                </c:pt>
                <c:pt idx="18">
                  <c:v>879.51245784759521</c:v>
                </c:pt>
                <c:pt idx="19">
                  <c:v>578.37425327301025</c:v>
                </c:pt>
                <c:pt idx="20">
                  <c:v>481.28797626495361</c:v>
                </c:pt>
                <c:pt idx="21">
                  <c:v>471.39131927490234</c:v>
                </c:pt>
                <c:pt idx="22">
                  <c:v>510.89547157287598</c:v>
                </c:pt>
                <c:pt idx="23">
                  <c:v>594.87407875061035</c:v>
                </c:pt>
                <c:pt idx="24">
                  <c:v>726.59403133392334</c:v>
                </c:pt>
                <c:pt idx="25">
                  <c:v>902.15496158599854</c:v>
                </c:pt>
                <c:pt idx="26">
                  <c:v>1100.0564222335815</c:v>
                </c:pt>
                <c:pt idx="27">
                  <c:v>1280.4412727355957</c:v>
                </c:pt>
                <c:pt idx="28">
                  <c:v>1397.2286100387573</c:v>
                </c:pt>
                <c:pt idx="29">
                  <c:v>1416.3564691543579</c:v>
                </c:pt>
                <c:pt idx="30">
                  <c:v>1328.3777151107788</c:v>
                </c:pt>
                <c:pt idx="31">
                  <c:v>1150.093487739563</c:v>
                </c:pt>
                <c:pt idx="32">
                  <c:v>918.1110782623291</c:v>
                </c:pt>
                <c:pt idx="33">
                  <c:v>677.76341247558594</c:v>
                </c:pt>
                <c:pt idx="34">
                  <c:v>468.858642578125</c:v>
                </c:pt>
                <c:pt idx="35">
                  <c:v>312.84597396850586</c:v>
                </c:pt>
                <c:pt idx="36">
                  <c:v>209.10869789123535</c:v>
                </c:pt>
                <c:pt idx="37">
                  <c:v>142.86375331878662</c:v>
                </c:pt>
                <c:pt idx="38">
                  <c:v>97.780550956726074</c:v>
                </c:pt>
                <c:pt idx="39">
                  <c:v>63.977361679077148</c:v>
                </c:pt>
                <c:pt idx="40">
                  <c:v>38.277044296264648</c:v>
                </c:pt>
                <c:pt idx="41">
                  <c:v>20.343606948852539</c:v>
                </c:pt>
                <c:pt idx="42">
                  <c:v>9.476038932800293</c:v>
                </c:pt>
                <c:pt idx="43">
                  <c:v>3.8706092834472656</c:v>
                </c:pt>
                <c:pt idx="44">
                  <c:v>1.4077320098876953</c:v>
                </c:pt>
                <c:pt idx="45">
                  <c:v>0.46791458129882813</c:v>
                </c:pt>
                <c:pt idx="46">
                  <c:v>0.14461994171142578</c:v>
                </c:pt>
                <c:pt idx="47">
                  <c:v>4.0765762329101563E-2</c:v>
                </c:pt>
                <c:pt idx="48">
                  <c:v>9.86480712890625E-3</c:v>
                </c:pt>
                <c:pt idx="49">
                  <c:v>1.8672943115234375E-3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1003.5138542992438</c:v>
                </c:pt>
                <c:pt idx="1">
                  <c:v>786.02648442987493</c:v>
                </c:pt>
                <c:pt idx="2">
                  <c:v>711.04926486684201</c:v>
                </c:pt>
                <c:pt idx="3">
                  <c:v>934.43382696677065</c:v>
                </c:pt>
                <c:pt idx="4">
                  <c:v>1646.0218995455045</c:v>
                </c:pt>
                <c:pt idx="5">
                  <c:v>3073.183989270367</c:v>
                </c:pt>
                <c:pt idx="6">
                  <c:v>5414.1654202092295</c:v>
                </c:pt>
                <c:pt idx="7">
                  <c:v>8680.5045153092033</c:v>
                </c:pt>
                <c:pt idx="8">
                  <c:v>12538.557308107658</c:v>
                </c:pt>
                <c:pt idx="9">
                  <c:v>16327.714875442129</c:v>
                </c:pt>
                <c:pt idx="10">
                  <c:v>19342.457419956758</c:v>
                </c:pt>
                <c:pt idx="11">
                  <c:v>21216.357860599539</c:v>
                </c:pt>
                <c:pt idx="12">
                  <c:v>22098.839876716229</c:v>
                </c:pt>
                <c:pt idx="13">
                  <c:v>22470.8571823319</c:v>
                </c:pt>
                <c:pt idx="14">
                  <c:v>22760.325239781501</c:v>
                </c:pt>
                <c:pt idx="15">
                  <c:v>23072.110033169418</c:v>
                </c:pt>
                <c:pt idx="16">
                  <c:v>23219.877184607394</c:v>
                </c:pt>
                <c:pt idx="17">
                  <c:v>22992.502309500876</c:v>
                </c:pt>
                <c:pt idx="18">
                  <c:v>22421.823521871513</c:v>
                </c:pt>
                <c:pt idx="19">
                  <c:v>21843.109747906161</c:v>
                </c:pt>
                <c:pt idx="20">
                  <c:v>21710.007781132528</c:v>
                </c:pt>
                <c:pt idx="21">
                  <c:v>22304.85210960875</c:v>
                </c:pt>
                <c:pt idx="22">
                  <c:v>23551.98777520833</c:v>
                </c:pt>
                <c:pt idx="23">
                  <c:v>25070.852876873432</c:v>
                </c:pt>
                <c:pt idx="24">
                  <c:v>26450.353466134718</c:v>
                </c:pt>
                <c:pt idx="25">
                  <c:v>27571.994677205901</c:v>
                </c:pt>
                <c:pt idx="26">
                  <c:v>28751.207800036056</c:v>
                </c:pt>
                <c:pt idx="27">
                  <c:v>30557.325144083814</c:v>
                </c:pt>
                <c:pt idx="28">
                  <c:v>33367.744954867376</c:v>
                </c:pt>
                <c:pt idx="29">
                  <c:v>36903.941631260757</c:v>
                </c:pt>
                <c:pt idx="30">
                  <c:v>40083.159934317111</c:v>
                </c:pt>
                <c:pt idx="31">
                  <c:v>41402.06014133124</c:v>
                </c:pt>
                <c:pt idx="32">
                  <c:v>39720.450484347639</c:v>
                </c:pt>
                <c:pt idx="33">
                  <c:v>34947.177534098591</c:v>
                </c:pt>
                <c:pt idx="34">
                  <c:v>28121.618586669454</c:v>
                </c:pt>
                <c:pt idx="35">
                  <c:v>20832.95682471084</c:v>
                </c:pt>
                <c:pt idx="36">
                  <c:v>14427.351752456516</c:v>
                </c:pt>
                <c:pt idx="37">
                  <c:v>9540.7657110126966</c:v>
                </c:pt>
                <c:pt idx="38">
                  <c:v>6141.7961366162799</c:v>
                </c:pt>
                <c:pt idx="39">
                  <c:v>3872.0066399169605</c:v>
                </c:pt>
                <c:pt idx="40">
                  <c:v>2362.3862258713252</c:v>
                </c:pt>
                <c:pt idx="41">
                  <c:v>1363.9554566956119</c:v>
                </c:pt>
                <c:pt idx="42">
                  <c:v>729.33053328430844</c:v>
                </c:pt>
                <c:pt idx="43">
                  <c:v>355.89117127783538</c:v>
                </c:pt>
                <c:pt idx="44">
                  <c:v>157.02039772208951</c:v>
                </c:pt>
                <c:pt idx="45">
                  <c:v>62.041000045881397</c:v>
                </c:pt>
                <c:pt idx="46">
                  <c:v>21.590291661667713</c:v>
                </c:pt>
                <c:pt idx="47">
                  <c:v>6.4346207809898557</c:v>
                </c:pt>
                <c:pt idx="48">
                  <c:v>1.5768680578483836</c:v>
                </c:pt>
                <c:pt idx="49">
                  <c:v>0.29731803990713462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205</c:v>
                </c:pt>
                <c:pt idx="1">
                  <c:v>470.30068397521973</c:v>
                </c:pt>
                <c:pt idx="2">
                  <c:v>767.45047378540039</c:v>
                </c:pt>
                <c:pt idx="3">
                  <c:v>1208.2916851043701</c:v>
                </c:pt>
                <c:pt idx="4">
                  <c:v>2018.9470825195313</c:v>
                </c:pt>
                <c:pt idx="5">
                  <c:v>3496.108865737915</c:v>
                </c:pt>
                <c:pt idx="6">
                  <c:v>5884.7034759521484</c:v>
                </c:pt>
                <c:pt idx="7">
                  <c:v>9222.2142105102539</c:v>
                </c:pt>
                <c:pt idx="8">
                  <c:v>13233.054838180542</c:v>
                </c:pt>
                <c:pt idx="9">
                  <c:v>17356.178872108459</c:v>
                </c:pt>
                <c:pt idx="10">
                  <c:v>20932.268688201904</c:v>
                </c:pt>
                <c:pt idx="11">
                  <c:v>23476.31892490387</c:v>
                </c:pt>
                <c:pt idx="12">
                  <c:v>24876.367527008057</c:v>
                </c:pt>
                <c:pt idx="13">
                  <c:v>25378.787567138672</c:v>
                </c:pt>
                <c:pt idx="14">
                  <c:v>25374.86106967926</c:v>
                </c:pt>
                <c:pt idx="15">
                  <c:v>25172.085136413574</c:v>
                </c:pt>
                <c:pt idx="16">
                  <c:v>24931.298500061035</c:v>
                </c:pt>
                <c:pt idx="17">
                  <c:v>24760.996313095093</c:v>
                </c:pt>
                <c:pt idx="18">
                  <c:v>24797.618538856506</c:v>
                </c:pt>
                <c:pt idx="19">
                  <c:v>25153.563345909119</c:v>
                </c:pt>
                <c:pt idx="20">
                  <c:v>25804.576386451721</c:v>
                </c:pt>
                <c:pt idx="21">
                  <c:v>26578.54406452179</c:v>
                </c:pt>
                <c:pt idx="22">
                  <c:v>27298.881805419922</c:v>
                </c:pt>
                <c:pt idx="23">
                  <c:v>27960.643504142761</c:v>
                </c:pt>
                <c:pt idx="24">
                  <c:v>28767.436895370483</c:v>
                </c:pt>
                <c:pt idx="25">
                  <c:v>29980.61833190918</c:v>
                </c:pt>
                <c:pt idx="26">
                  <c:v>31704.129774093628</c:v>
                </c:pt>
                <c:pt idx="27">
                  <c:v>33777.954884529114</c:v>
                </c:pt>
                <c:pt idx="28">
                  <c:v>35832.651116371155</c:v>
                </c:pt>
                <c:pt idx="29">
                  <c:v>37408.731674194336</c:v>
                </c:pt>
                <c:pt idx="30">
                  <c:v>38046.690281867981</c:v>
                </c:pt>
                <c:pt idx="31">
                  <c:v>37374.367949485779</c:v>
                </c:pt>
                <c:pt idx="32">
                  <c:v>35242.715087890625</c:v>
                </c:pt>
                <c:pt idx="33">
                  <c:v>31830.856693267822</c:v>
                </c:pt>
                <c:pt idx="34">
                  <c:v>27580.176099777222</c:v>
                </c:pt>
                <c:pt idx="35">
                  <c:v>22973.69926738739</c:v>
                </c:pt>
                <c:pt idx="36">
                  <c:v>18355.75576877594</c:v>
                </c:pt>
                <c:pt idx="37">
                  <c:v>13934.621467590332</c:v>
                </c:pt>
                <c:pt idx="38">
                  <c:v>9897.7191619873047</c:v>
                </c:pt>
                <c:pt idx="39">
                  <c:v>6467.8996553421021</c:v>
                </c:pt>
                <c:pt idx="40">
                  <c:v>3834.8730735778809</c:v>
                </c:pt>
                <c:pt idx="41">
                  <c:v>2048.3917455673218</c:v>
                </c:pt>
                <c:pt idx="42">
                  <c:v>988.81739807128906</c:v>
                </c:pt>
                <c:pt idx="43">
                  <c:v>438.05903339385986</c:v>
                </c:pt>
                <c:pt idx="44">
                  <c:v>182.10653591156006</c:v>
                </c:pt>
                <c:pt idx="45">
                  <c:v>71.814789772033691</c:v>
                </c:pt>
                <c:pt idx="46">
                  <c:v>26.326755523681641</c:v>
                </c:pt>
                <c:pt idx="47">
                  <c:v>8.5352210998535156</c:v>
                </c:pt>
                <c:pt idx="48">
                  <c:v>2.300262451171875</c:v>
                </c:pt>
                <c:pt idx="49">
                  <c:v>0.47618293762207031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0.37311526997922256</c:v>
                </c:pt>
                <c:pt idx="2">
                  <c:v>1.735563541001687</c:v>
                </c:pt>
                <c:pt idx="3">
                  <c:v>6.272859395148962</c:v>
                </c:pt>
                <c:pt idx="4">
                  <c:v>18.815550371888545</c:v>
                </c:pt>
                <c:pt idx="5">
                  <c:v>48.449374976691665</c:v>
                </c:pt>
                <c:pt idx="6">
                  <c:v>109.38943587322721</c:v>
                </c:pt>
                <c:pt idx="7">
                  <c:v>219.24398831595875</c:v>
                </c:pt>
                <c:pt idx="8">
                  <c:v>393.34967679694915</c:v>
                </c:pt>
                <c:pt idx="9">
                  <c:v>638.12501867665458</c:v>
                </c:pt>
                <c:pt idx="10">
                  <c:v>953.27368095257771</c:v>
                </c:pt>
                <c:pt idx="11">
                  <c:v>1355.8850633249342</c:v>
                </c:pt>
                <c:pt idx="12">
                  <c:v>1929.2477700796746</c:v>
                </c:pt>
                <c:pt idx="13">
                  <c:v>2866.8820561983475</c:v>
                </c:pt>
                <c:pt idx="14">
                  <c:v>4439.8548809327649</c:v>
                </c:pt>
                <c:pt idx="15">
                  <c:v>6821.8972429041978</c:v>
                </c:pt>
                <c:pt idx="16">
                  <c:v>9826.5284387134398</c:v>
                </c:pt>
                <c:pt idx="17">
                  <c:v>12778.82421172186</c:v>
                </c:pt>
                <c:pt idx="18">
                  <c:v>14741.525503826031</c:v>
                </c:pt>
                <c:pt idx="19">
                  <c:v>15028.089330432327</c:v>
                </c:pt>
                <c:pt idx="20">
                  <c:v>13617.52580923815</c:v>
                </c:pt>
                <c:pt idx="21">
                  <c:v>11125.826261536877</c:v>
                </c:pt>
                <c:pt idx="22">
                  <c:v>8385.8696526979202</c:v>
                </c:pt>
                <c:pt idx="23">
                  <c:v>6006.8702810079531</c:v>
                </c:pt>
                <c:pt idx="24">
                  <c:v>4210.7554862185943</c:v>
                </c:pt>
                <c:pt idx="25">
                  <c:v>2939.7855537753207</c:v>
                </c:pt>
                <c:pt idx="26">
                  <c:v>2045.1038848369722</c:v>
                </c:pt>
                <c:pt idx="27">
                  <c:v>1406.0347636529318</c:v>
                </c:pt>
                <c:pt idx="28">
                  <c:v>954.42636255233344</c:v>
                </c:pt>
                <c:pt idx="29">
                  <c:v>650.43476622455705</c:v>
                </c:pt>
                <c:pt idx="30">
                  <c:v>457.41718031894789</c:v>
                </c:pt>
                <c:pt idx="31">
                  <c:v>335.52206208982233</c:v>
                </c:pt>
                <c:pt idx="32">
                  <c:v>249.68004052568261</c:v>
                </c:pt>
                <c:pt idx="33">
                  <c:v>178.92822657157308</c:v>
                </c:pt>
                <c:pt idx="34">
                  <c:v>117.78330600139647</c:v>
                </c:pt>
                <c:pt idx="35">
                  <c:v>69.424463193281014</c:v>
                </c:pt>
                <c:pt idx="36">
                  <c:v>37.040228096679677</c:v>
                </c:pt>
                <c:pt idx="37">
                  <c:v>19.411678529189032</c:v>
                </c:pt>
                <c:pt idx="38">
                  <c:v>11.743378011959447</c:v>
                </c:pt>
                <c:pt idx="39">
                  <c:v>8.7501904475440639</c:v>
                </c:pt>
                <c:pt idx="40">
                  <c:v>6.9288265318780233</c:v>
                </c:pt>
                <c:pt idx="41">
                  <c:v>4.9902965478849683</c:v>
                </c:pt>
                <c:pt idx="42">
                  <c:v>3.0381500276505697</c:v>
                </c:pt>
                <c:pt idx="43">
                  <c:v>1.5151816064328258</c:v>
                </c:pt>
                <c:pt idx="44">
                  <c:v>0.60576447604664141</c:v>
                </c:pt>
                <c:pt idx="45">
                  <c:v>0.18928918970951158</c:v>
                </c:pt>
                <c:pt idx="46">
                  <c:v>4.453863287282625E-2</c:v>
                </c:pt>
                <c:pt idx="47">
                  <c:v>7.4231054788043756E-3</c:v>
                </c:pt>
                <c:pt idx="48">
                  <c:v>7.8137952408467118E-4</c:v>
                </c:pt>
                <c:pt idx="49">
                  <c:v>3.9068976204233551E-5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19</c:v>
                </c:pt>
                <c:pt idx="1">
                  <c:v>16.462430953979492</c:v>
                </c:pt>
                <c:pt idx="2">
                  <c:v>15.023251533508301</c:v>
                </c:pt>
                <c:pt idx="3">
                  <c:v>15.578958511352539</c:v>
                </c:pt>
                <c:pt idx="4">
                  <c:v>19.218365669250488</c:v>
                </c:pt>
                <c:pt idx="5">
                  <c:v>28.367106437683105</c:v>
                </c:pt>
                <c:pt idx="6">
                  <c:v>48.127842903137207</c:v>
                </c:pt>
                <c:pt idx="7">
                  <c:v>87.25734806060791</c:v>
                </c:pt>
                <c:pt idx="8">
                  <c:v>160.29560947418213</c:v>
                </c:pt>
                <c:pt idx="9">
                  <c:v>295.43380355834961</c:v>
                </c:pt>
                <c:pt idx="10">
                  <c:v>550.53872299194336</c:v>
                </c:pt>
                <c:pt idx="11">
                  <c:v>1026.4435691833496</c:v>
                </c:pt>
                <c:pt idx="12">
                  <c:v>1851.5290994644165</c:v>
                </c:pt>
                <c:pt idx="13">
                  <c:v>3120.9094905853271</c:v>
                </c:pt>
                <c:pt idx="14">
                  <c:v>4815.6268253326416</c:v>
                </c:pt>
                <c:pt idx="15">
                  <c:v>6760.5673770904541</c:v>
                </c:pt>
                <c:pt idx="16">
                  <c:v>8655.1056718826294</c:v>
                </c:pt>
                <c:pt idx="17">
                  <c:v>10152.379241943359</c:v>
                </c:pt>
                <c:pt idx="18">
                  <c:v>10948.029226303101</c:v>
                </c:pt>
                <c:pt idx="19">
                  <c:v>10871.123566627502</c:v>
                </c:pt>
                <c:pt idx="20">
                  <c:v>9966.5319156646729</c:v>
                </c:pt>
                <c:pt idx="21">
                  <c:v>8505.8082704544067</c:v>
                </c:pt>
                <c:pt idx="22">
                  <c:v>6871.1330614089966</c:v>
                </c:pt>
                <c:pt idx="23">
                  <c:v>5369.9232120513916</c:v>
                </c:pt>
                <c:pt idx="24">
                  <c:v>4123.4302558898926</c:v>
                </c:pt>
                <c:pt idx="25">
                  <c:v>3104.1909580230713</c:v>
                </c:pt>
                <c:pt idx="26">
                  <c:v>2252.4205055236816</c:v>
                </c:pt>
                <c:pt idx="27">
                  <c:v>1551.5603351593018</c:v>
                </c:pt>
                <c:pt idx="28">
                  <c:v>1020.0033016204834</c:v>
                </c:pt>
                <c:pt idx="29">
                  <c:v>664.94498920440674</c:v>
                </c:pt>
                <c:pt idx="30">
                  <c:v>457.25849151611328</c:v>
                </c:pt>
                <c:pt idx="31">
                  <c:v>343.42867183685303</c:v>
                </c:pt>
                <c:pt idx="32">
                  <c:v>273.33828544616699</c:v>
                </c:pt>
                <c:pt idx="33">
                  <c:v>218.36618232727051</c:v>
                </c:pt>
                <c:pt idx="34">
                  <c:v>170.93449211120605</c:v>
                </c:pt>
                <c:pt idx="35">
                  <c:v>132.95208835601807</c:v>
                </c:pt>
                <c:pt idx="36">
                  <c:v>105.28910064697266</c:v>
                </c:pt>
                <c:pt idx="37">
                  <c:v>84.758610725402832</c:v>
                </c:pt>
                <c:pt idx="38">
                  <c:v>66.974072456359863</c:v>
                </c:pt>
                <c:pt idx="39">
                  <c:v>49.780282974243164</c:v>
                </c:pt>
                <c:pt idx="40">
                  <c:v>33.858468055725098</c:v>
                </c:pt>
                <c:pt idx="41">
                  <c:v>20.932024955749512</c:v>
                </c:pt>
                <c:pt idx="42">
                  <c:v>11.894036293029785</c:v>
                </c:pt>
                <c:pt idx="43">
                  <c:v>6.3354902267456055</c:v>
                </c:pt>
                <c:pt idx="44">
                  <c:v>3.1962509155273438</c:v>
                </c:pt>
                <c:pt idx="45">
                  <c:v>1.5031557083129883</c:v>
                </c:pt>
                <c:pt idx="46">
                  <c:v>0.632720947265625</c:v>
                </c:pt>
                <c:pt idx="47">
                  <c:v>0.22670173645019531</c:v>
                </c:pt>
                <c:pt idx="48">
                  <c:v>6.574249267578125E-2</c:v>
                </c:pt>
                <c:pt idx="49">
                  <c:v>1.4403343200683594E-2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1386.5552240850416</c:v>
                </c:pt>
                <c:pt idx="2">
                  <c:v>3427.4139414917272</c:v>
                </c:pt>
                <c:pt idx="3">
                  <c:v>6902.3424350861906</c:v>
                </c:pt>
                <c:pt idx="4">
                  <c:v>12748.603772237047</c:v>
                </c:pt>
                <c:pt idx="5">
                  <c:v>21867.527045788011</c:v>
                </c:pt>
                <c:pt idx="6">
                  <c:v>34618.175968055031</c:v>
                </c:pt>
                <c:pt idx="7">
                  <c:v>50140.020277191579</c:v>
                </c:pt>
                <c:pt idx="8">
                  <c:v>65961.421474982111</c:v>
                </c:pt>
                <c:pt idx="9">
                  <c:v>78429.254595920851</c:v>
                </c:pt>
                <c:pt idx="10">
                  <c:v>84069.352962328921</c:v>
                </c:pt>
                <c:pt idx="11">
                  <c:v>81238.542236245819</c:v>
                </c:pt>
                <c:pt idx="12">
                  <c:v>71004.056804483858</c:v>
                </c:pt>
                <c:pt idx="13">
                  <c:v>56605.596195707461</c:v>
                </c:pt>
                <c:pt idx="14">
                  <c:v>41863.194215299001</c:v>
                </c:pt>
                <c:pt idx="15">
                  <c:v>29603.099221035616</c:v>
                </c:pt>
                <c:pt idx="16">
                  <c:v>20978.826694391279</c:v>
                </c:pt>
                <c:pt idx="17">
                  <c:v>15762.212518768627</c:v>
                </c:pt>
                <c:pt idx="18">
                  <c:v>13060.174380270009</c:v>
                </c:pt>
                <c:pt idx="19">
                  <c:v>11900.45470456765</c:v>
                </c:pt>
                <c:pt idx="20">
                  <c:v>11495.003805369148</c:v>
                </c:pt>
                <c:pt idx="21">
                  <c:v>11287.255686699877</c:v>
                </c:pt>
                <c:pt idx="22">
                  <c:v>10935.60123557953</c:v>
                </c:pt>
                <c:pt idx="23">
                  <c:v>10294.271968639492</c:v>
                </c:pt>
                <c:pt idx="24">
                  <c:v>9383.6088296038452</c:v>
                </c:pt>
                <c:pt idx="25">
                  <c:v>8333.896458687721</c:v>
                </c:pt>
                <c:pt idx="26">
                  <c:v>7304.7222655902378</c:v>
                </c:pt>
                <c:pt idx="27">
                  <c:v>6402.6369349267097</c:v>
                </c:pt>
                <c:pt idx="28">
                  <c:v>5635.4994976192784</c:v>
                </c:pt>
                <c:pt idx="29">
                  <c:v>4931.4035320768662</c:v>
                </c:pt>
                <c:pt idx="30">
                  <c:v>4207.2025628904921</c:v>
                </c:pt>
                <c:pt idx="31">
                  <c:v>3433.4718524808104</c:v>
                </c:pt>
                <c:pt idx="32">
                  <c:v>2650.5780606552803</c:v>
                </c:pt>
                <c:pt idx="33">
                  <c:v>1935.3051288943177</c:v>
                </c:pt>
                <c:pt idx="34">
                  <c:v>1352.7744924042079</c:v>
                </c:pt>
                <c:pt idx="35">
                  <c:v>927.35975305906629</c:v>
                </c:pt>
                <c:pt idx="36">
                  <c:v>642.50952492037175</c:v>
                </c:pt>
                <c:pt idx="37">
                  <c:v>459.06661855144125</c:v>
                </c:pt>
                <c:pt idx="38">
                  <c:v>336.30258988503437</c:v>
                </c:pt>
                <c:pt idx="39">
                  <c:v>245.28812839930592</c:v>
                </c:pt>
                <c:pt idx="40">
                  <c:v>172.00542133345769</c:v>
                </c:pt>
                <c:pt idx="41">
                  <c:v>112.99495811833083</c:v>
                </c:pt>
                <c:pt idx="42">
                  <c:v>68.599741739834016</c:v>
                </c:pt>
                <c:pt idx="43">
                  <c:v>38.275263332852482</c:v>
                </c:pt>
                <c:pt idx="44">
                  <c:v>19.517481429276096</c:v>
                </c:pt>
                <c:pt idx="45">
                  <c:v>8.972909955726907</c:v>
                </c:pt>
                <c:pt idx="46">
                  <c:v>3.6264913356094617</c:v>
                </c:pt>
                <c:pt idx="47">
                  <c:v>1.2438135430356327</c:v>
                </c:pt>
                <c:pt idx="48">
                  <c:v>0.34677975192319432</c:v>
                </c:pt>
                <c:pt idx="49">
                  <c:v>7.3495079690850507E-2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594</c:v>
                </c:pt>
                <c:pt idx="1">
                  <c:v>1781.4626760482788</c:v>
                </c:pt>
                <c:pt idx="2">
                  <c:v>3222.7142400741577</c:v>
                </c:pt>
                <c:pt idx="3">
                  <c:v>5402.3388357162476</c:v>
                </c:pt>
                <c:pt idx="4">
                  <c:v>9140.3222332000732</c:v>
                </c:pt>
                <c:pt idx="5">
                  <c:v>15428.332050323486</c:v>
                </c:pt>
                <c:pt idx="6">
                  <c:v>24928.283599853516</c:v>
                </c:pt>
                <c:pt idx="7">
                  <c:v>37289.675906181335</c:v>
                </c:pt>
                <c:pt idx="8">
                  <c:v>50706.782267570496</c:v>
                </c:pt>
                <c:pt idx="9">
                  <c:v>62178.999645233154</c:v>
                </c:pt>
                <c:pt idx="10">
                  <c:v>68583.186761856079</c:v>
                </c:pt>
                <c:pt idx="11">
                  <c:v>68078.503175735474</c:v>
                </c:pt>
                <c:pt idx="12">
                  <c:v>61007.825719833374</c:v>
                </c:pt>
                <c:pt idx="13">
                  <c:v>49705.999683380127</c:v>
                </c:pt>
                <c:pt idx="14">
                  <c:v>37345.744414329529</c:v>
                </c:pt>
                <c:pt idx="15">
                  <c:v>26573.891366004944</c:v>
                </c:pt>
                <c:pt idx="16">
                  <c:v>18717.612406730652</c:v>
                </c:pt>
                <c:pt idx="17">
                  <c:v>13818.722458839417</c:v>
                </c:pt>
                <c:pt idx="18">
                  <c:v>11185.981611251831</c:v>
                </c:pt>
                <c:pt idx="19">
                  <c:v>9974.0956659317017</c:v>
                </c:pt>
                <c:pt idx="20">
                  <c:v>9503.2516441345215</c:v>
                </c:pt>
                <c:pt idx="21">
                  <c:v>9323.1743907928467</c:v>
                </c:pt>
                <c:pt idx="22">
                  <c:v>9161.3952569961548</c:v>
                </c:pt>
                <c:pt idx="23">
                  <c:v>8866.1961212158203</c:v>
                </c:pt>
                <c:pt idx="24">
                  <c:v>8376.6418056488037</c:v>
                </c:pt>
                <c:pt idx="25">
                  <c:v>7708.2363424301147</c:v>
                </c:pt>
                <c:pt idx="26">
                  <c:v>6935.7726154327393</c:v>
                </c:pt>
                <c:pt idx="27">
                  <c:v>6160.7637958526611</c:v>
                </c:pt>
                <c:pt idx="28">
                  <c:v>5464.2128553390503</c:v>
                </c:pt>
                <c:pt idx="29">
                  <c:v>4866.0488414764404</c:v>
                </c:pt>
                <c:pt idx="30">
                  <c:v>4321.5080690383911</c:v>
                </c:pt>
                <c:pt idx="31">
                  <c:v>3763.290940284729</c:v>
                </c:pt>
                <c:pt idx="32">
                  <c:v>3159.6939678192139</c:v>
                </c:pt>
                <c:pt idx="33">
                  <c:v>2541.6187868118286</c:v>
                </c:pt>
                <c:pt idx="34">
                  <c:v>1977.3671035766602</c:v>
                </c:pt>
                <c:pt idx="35">
                  <c:v>1520.7083082199097</c:v>
                </c:pt>
                <c:pt idx="36">
                  <c:v>1178.4520673751831</c:v>
                </c:pt>
                <c:pt idx="37">
                  <c:v>919.5644645690918</c:v>
                </c:pt>
                <c:pt idx="38">
                  <c:v>707.80255508422852</c:v>
                </c:pt>
                <c:pt idx="39">
                  <c:v>525.12950038909912</c:v>
                </c:pt>
                <c:pt idx="40">
                  <c:v>371.41832447052002</c:v>
                </c:pt>
                <c:pt idx="41">
                  <c:v>250.86527156829834</c:v>
                </c:pt>
                <c:pt idx="42">
                  <c:v>162.31699085235596</c:v>
                </c:pt>
                <c:pt idx="43">
                  <c:v>99.658086776733398</c:v>
                </c:pt>
                <c:pt idx="44">
                  <c:v>56.529104232788086</c:v>
                </c:pt>
                <c:pt idx="45">
                  <c:v>28.558387756347656</c:v>
                </c:pt>
                <c:pt idx="46">
                  <c:v>12.377735137939453</c:v>
                </c:pt>
                <c:pt idx="47">
                  <c:v>4.4427156448364258</c:v>
                </c:pt>
                <c:pt idx="48">
                  <c:v>1.2732620239257813</c:v>
                </c:pt>
                <c:pt idx="49">
                  <c:v>0.27450466156005859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1.0573879276839195E-2</c:v>
                </c:pt>
                <c:pt idx="2">
                  <c:v>7.3209106956920511E-2</c:v>
                </c:pt>
                <c:pt idx="3">
                  <c:v>0.38598063215317441</c:v>
                </c:pt>
                <c:pt idx="4">
                  <c:v>1.6380729772803442</c:v>
                </c:pt>
                <c:pt idx="5">
                  <c:v>5.7147875556986651</c:v>
                </c:pt>
                <c:pt idx="6">
                  <c:v>16.55504150699343</c:v>
                </c:pt>
                <c:pt idx="7">
                  <c:v>40.15752899942386</c:v>
                </c:pt>
                <c:pt idx="8">
                  <c:v>82.465470007631282</c:v>
                </c:pt>
                <c:pt idx="9">
                  <c:v>145.71313452932563</c:v>
                </c:pt>
                <c:pt idx="10">
                  <c:v>227.08973245271704</c:v>
                </c:pt>
                <c:pt idx="11">
                  <c:v>323.87594257974047</c:v>
                </c:pt>
                <c:pt idx="12">
                  <c:v>443.63430497300146</c:v>
                </c:pt>
                <c:pt idx="13">
                  <c:v>611.03782491828224</c:v>
                </c:pt>
                <c:pt idx="14">
                  <c:v>862.10480485141397</c:v>
                </c:pt>
                <c:pt idx="15">
                  <c:v>1224.8173862831613</c:v>
                </c:pt>
                <c:pt idx="16">
                  <c:v>1702.1890770964474</c:v>
                </c:pt>
                <c:pt idx="17">
                  <c:v>2296.0267288914488</c:v>
                </c:pt>
                <c:pt idx="18">
                  <c:v>3111.3552166734335</c:v>
                </c:pt>
                <c:pt idx="19">
                  <c:v>4515.3829409324153</c:v>
                </c:pt>
                <c:pt idx="20">
                  <c:v>7189.9772299996666</c:v>
                </c:pt>
                <c:pt idx="21">
                  <c:v>11845.509682030837</c:v>
                </c:pt>
                <c:pt idx="22">
                  <c:v>18561.3237122711</c:v>
                </c:pt>
                <c:pt idx="23">
                  <c:v>26171.798183791929</c:v>
                </c:pt>
                <c:pt idx="24">
                  <c:v>32384.467556044743</c:v>
                </c:pt>
                <c:pt idx="25">
                  <c:v>34886.112634734098</c:v>
                </c:pt>
                <c:pt idx="26">
                  <c:v>32753.691833158497</c:v>
                </c:pt>
                <c:pt idx="27">
                  <c:v>27021.360623663448</c:v>
                </c:pt>
                <c:pt idx="28">
                  <c:v>19926.780564578337</c:v>
                </c:pt>
                <c:pt idx="29">
                  <c:v>13533.137387875104</c:v>
                </c:pt>
                <c:pt idx="30">
                  <c:v>8839.7292761893405</c:v>
                </c:pt>
                <c:pt idx="31">
                  <c:v>5826.3256405893844</c:v>
                </c:pt>
                <c:pt idx="32">
                  <c:v>4014.1199621762325</c:v>
                </c:pt>
                <c:pt idx="33">
                  <c:v>2932.4286967281778</c:v>
                </c:pt>
                <c:pt idx="34">
                  <c:v>2266.8649574741439</c:v>
                </c:pt>
                <c:pt idx="35">
                  <c:v>1823.2139454186877</c:v>
                </c:pt>
                <c:pt idx="36">
                  <c:v>1478.8012247648289</c:v>
                </c:pt>
                <c:pt idx="37">
                  <c:v>1167.9595924415314</c:v>
                </c:pt>
                <c:pt idx="38">
                  <c:v>873.95162793779969</c:v>
                </c:pt>
                <c:pt idx="39">
                  <c:v>609.15472850124377</c:v>
                </c:pt>
                <c:pt idx="40">
                  <c:v>391.58161602599034</c:v>
                </c:pt>
                <c:pt idx="41">
                  <c:v>230.32225464895973</c:v>
                </c:pt>
                <c:pt idx="42">
                  <c:v>122.72201470866426</c:v>
                </c:pt>
                <c:pt idx="43">
                  <c:v>58.365677093006745</c:v>
                </c:pt>
                <c:pt idx="44">
                  <c:v>24.267797273572221</c:v>
                </c:pt>
                <c:pt idx="45">
                  <c:v>8.5867841198125472</c:v>
                </c:pt>
                <c:pt idx="46">
                  <c:v>2.4996078546212708</c:v>
                </c:pt>
                <c:pt idx="47">
                  <c:v>0.57323281255077219</c:v>
                </c:pt>
                <c:pt idx="48">
                  <c:v>9.7530246072442497E-2</c:v>
                </c:pt>
                <c:pt idx="49">
                  <c:v>1.118540420712576E-2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2.2562341690063477</c:v>
                </c:pt>
                <c:pt idx="2">
                  <c:v>3.2067365646362305</c:v>
                </c:pt>
                <c:pt idx="3">
                  <c:v>4.6533308029174805</c:v>
                </c:pt>
                <c:pt idx="4">
                  <c:v>9.2711296081542969</c:v>
                </c:pt>
                <c:pt idx="5">
                  <c:v>21.520527839660645</c:v>
                </c:pt>
                <c:pt idx="6">
                  <c:v>45.944889068603516</c:v>
                </c:pt>
                <c:pt idx="7">
                  <c:v>83.754122734069824</c:v>
                </c:pt>
                <c:pt idx="8">
                  <c:v>129.78699016571045</c:v>
                </c:pt>
                <c:pt idx="9">
                  <c:v>173.55617046356201</c:v>
                </c:pt>
                <c:pt idx="10">
                  <c:v>205.77492141723633</c:v>
                </c:pt>
                <c:pt idx="11">
                  <c:v>226.25431251525879</c:v>
                </c:pt>
                <c:pt idx="12">
                  <c:v>246.34670162200928</c:v>
                </c:pt>
                <c:pt idx="13">
                  <c:v>284.03244781494141</c:v>
                </c:pt>
                <c:pt idx="14">
                  <c:v>359.48670196533203</c:v>
                </c:pt>
                <c:pt idx="15">
                  <c:v>504.40994358062744</c:v>
                </c:pt>
                <c:pt idx="16">
                  <c:v>791.12317180633545</c:v>
                </c:pt>
                <c:pt idx="17">
                  <c:v>1367.5737733840942</c:v>
                </c:pt>
                <c:pt idx="18">
                  <c:v>2467.1799573898315</c:v>
                </c:pt>
                <c:pt idx="19">
                  <c:v>4369.8241806030273</c:v>
                </c:pt>
                <c:pt idx="20">
                  <c:v>7318.0988702774048</c:v>
                </c:pt>
                <c:pt idx="21">
                  <c:v>11399.91889667511</c:v>
                </c:pt>
                <c:pt idx="22">
                  <c:v>16388.316641807556</c:v>
                </c:pt>
                <c:pt idx="23">
                  <c:v>21569.387577056885</c:v>
                </c:pt>
                <c:pt idx="24">
                  <c:v>25733.124932289124</c:v>
                </c:pt>
                <c:pt idx="25">
                  <c:v>27551.53577709198</c:v>
                </c:pt>
                <c:pt idx="26">
                  <c:v>26279.268382072449</c:v>
                </c:pt>
                <c:pt idx="27">
                  <c:v>22278.962646484375</c:v>
                </c:pt>
                <c:pt idx="28">
                  <c:v>16869.430010795593</c:v>
                </c:pt>
                <c:pt idx="29">
                  <c:v>11574.244235992432</c:v>
                </c:pt>
                <c:pt idx="30">
                  <c:v>7387.2173976898193</c:v>
                </c:pt>
                <c:pt idx="31">
                  <c:v>4558.0695400238037</c:v>
                </c:pt>
                <c:pt idx="32">
                  <c:v>2849.4454069137573</c:v>
                </c:pt>
                <c:pt idx="33">
                  <c:v>1889.0545406341553</c:v>
                </c:pt>
                <c:pt idx="34">
                  <c:v>1364.7347764968872</c:v>
                </c:pt>
                <c:pt idx="35">
                  <c:v>1066.7913780212402</c:v>
                </c:pt>
                <c:pt idx="36">
                  <c:v>874.71444797515869</c:v>
                </c:pt>
                <c:pt idx="37">
                  <c:v>736.33921909332275</c:v>
                </c:pt>
                <c:pt idx="38">
                  <c:v>639.86554145812988</c:v>
                </c:pt>
                <c:pt idx="39">
                  <c:v>581.02526664733887</c:v>
                </c:pt>
                <c:pt idx="40">
                  <c:v>542.06417846679688</c:v>
                </c:pt>
                <c:pt idx="41">
                  <c:v>494.37289142608643</c:v>
                </c:pt>
                <c:pt idx="42">
                  <c:v>417.26675796508789</c:v>
                </c:pt>
                <c:pt idx="43">
                  <c:v>312.75850200653076</c:v>
                </c:pt>
                <c:pt idx="44">
                  <c:v>202.48378562927246</c:v>
                </c:pt>
                <c:pt idx="45">
                  <c:v>110.93249702453613</c:v>
                </c:pt>
                <c:pt idx="46">
                  <c:v>50.474075317382813</c:v>
                </c:pt>
                <c:pt idx="47">
                  <c:v>18.673791885375977</c:v>
                </c:pt>
                <c:pt idx="48">
                  <c:v>5.4642009735107422</c:v>
                </c:pt>
                <c:pt idx="49">
                  <c:v>1.1966190338134766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1003.5138542992438</c:v>
                </c:pt>
                <c:pt idx="1">
                  <c:v>786.02648442987493</c:v>
                </c:pt>
                <c:pt idx="2">
                  <c:v>711.04926486684201</c:v>
                </c:pt>
                <c:pt idx="3">
                  <c:v>934.43382696677065</c:v>
                </c:pt>
                <c:pt idx="4">
                  <c:v>1646.0218995455045</c:v>
                </c:pt>
                <c:pt idx="5">
                  <c:v>3073.183989270367</c:v>
                </c:pt>
                <c:pt idx="6">
                  <c:v>5414.1654202092295</c:v>
                </c:pt>
                <c:pt idx="7">
                  <c:v>8680.5045153092033</c:v>
                </c:pt>
                <c:pt idx="8">
                  <c:v>12538.557308107658</c:v>
                </c:pt>
                <c:pt idx="9">
                  <c:v>16327.714875442129</c:v>
                </c:pt>
                <c:pt idx="10">
                  <c:v>19342.457419956758</c:v>
                </c:pt>
                <c:pt idx="11">
                  <c:v>21216.357860599539</c:v>
                </c:pt>
                <c:pt idx="12">
                  <c:v>22098.839876716229</c:v>
                </c:pt>
                <c:pt idx="13">
                  <c:v>22470.8571823319</c:v>
                </c:pt>
                <c:pt idx="14">
                  <c:v>22760.325239781501</c:v>
                </c:pt>
                <c:pt idx="15">
                  <c:v>23072.110033169418</c:v>
                </c:pt>
                <c:pt idx="16">
                  <c:v>23219.877184607394</c:v>
                </c:pt>
                <c:pt idx="17">
                  <c:v>22992.502309500876</c:v>
                </c:pt>
                <c:pt idx="18">
                  <c:v>22421.823521871513</c:v>
                </c:pt>
                <c:pt idx="19">
                  <c:v>21843.109747906161</c:v>
                </c:pt>
                <c:pt idx="20">
                  <c:v>21710.007781132528</c:v>
                </c:pt>
                <c:pt idx="21">
                  <c:v>22304.85210960875</c:v>
                </c:pt>
                <c:pt idx="22">
                  <c:v>23551.98777520833</c:v>
                </c:pt>
                <c:pt idx="23">
                  <c:v>25070.852876873432</c:v>
                </c:pt>
                <c:pt idx="24">
                  <c:v>26450.353466134718</c:v>
                </c:pt>
                <c:pt idx="25">
                  <c:v>27571.994677205901</c:v>
                </c:pt>
                <c:pt idx="26">
                  <c:v>28751.207800036056</c:v>
                </c:pt>
                <c:pt idx="27">
                  <c:v>30557.325144083814</c:v>
                </c:pt>
                <c:pt idx="28">
                  <c:v>33367.744954867376</c:v>
                </c:pt>
                <c:pt idx="29">
                  <c:v>36903.941631260757</c:v>
                </c:pt>
                <c:pt idx="30">
                  <c:v>40083.159934317111</c:v>
                </c:pt>
                <c:pt idx="31">
                  <c:v>41402.06014133124</c:v>
                </c:pt>
                <c:pt idx="32">
                  <c:v>39720.450484347639</c:v>
                </c:pt>
                <c:pt idx="33">
                  <c:v>34947.177534098591</c:v>
                </c:pt>
                <c:pt idx="34">
                  <c:v>28121.618586669454</c:v>
                </c:pt>
                <c:pt idx="35">
                  <c:v>20832.95682471084</c:v>
                </c:pt>
                <c:pt idx="36">
                  <c:v>14427.351752456516</c:v>
                </c:pt>
                <c:pt idx="37">
                  <c:v>9540.7657110126966</c:v>
                </c:pt>
                <c:pt idx="38">
                  <c:v>6141.7961366162799</c:v>
                </c:pt>
                <c:pt idx="39">
                  <c:v>3872.0066399169605</c:v>
                </c:pt>
                <c:pt idx="40">
                  <c:v>2362.3862258713252</c:v>
                </c:pt>
                <c:pt idx="41">
                  <c:v>1363.9554566956119</c:v>
                </c:pt>
                <c:pt idx="42">
                  <c:v>729.33053328430844</c:v>
                </c:pt>
                <c:pt idx="43">
                  <c:v>355.89117127783538</c:v>
                </c:pt>
                <c:pt idx="44">
                  <c:v>157.02039772208951</c:v>
                </c:pt>
                <c:pt idx="45">
                  <c:v>62.041000045881397</c:v>
                </c:pt>
                <c:pt idx="46">
                  <c:v>21.590291661667713</c:v>
                </c:pt>
                <c:pt idx="47">
                  <c:v>6.4346207809898557</c:v>
                </c:pt>
                <c:pt idx="48">
                  <c:v>1.5768680578483836</c:v>
                </c:pt>
                <c:pt idx="49">
                  <c:v>0.29731803990713462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205</c:v>
                </c:pt>
                <c:pt idx="1">
                  <c:v>470.30068397521973</c:v>
                </c:pt>
                <c:pt idx="2">
                  <c:v>767.45047378540039</c:v>
                </c:pt>
                <c:pt idx="3">
                  <c:v>1208.2916851043701</c:v>
                </c:pt>
                <c:pt idx="4">
                  <c:v>2018.9470825195313</c:v>
                </c:pt>
                <c:pt idx="5">
                  <c:v>3496.108865737915</c:v>
                </c:pt>
                <c:pt idx="6">
                  <c:v>5884.7034759521484</c:v>
                </c:pt>
                <c:pt idx="7">
                  <c:v>9222.2142105102539</c:v>
                </c:pt>
                <c:pt idx="8">
                  <c:v>13233.054838180542</c:v>
                </c:pt>
                <c:pt idx="9">
                  <c:v>17356.178872108459</c:v>
                </c:pt>
                <c:pt idx="10">
                  <c:v>20932.268688201904</c:v>
                </c:pt>
                <c:pt idx="11">
                  <c:v>23476.31892490387</c:v>
                </c:pt>
                <c:pt idx="12">
                  <c:v>24876.367527008057</c:v>
                </c:pt>
                <c:pt idx="13">
                  <c:v>25378.787567138672</c:v>
                </c:pt>
                <c:pt idx="14">
                  <c:v>25374.86106967926</c:v>
                </c:pt>
                <c:pt idx="15">
                  <c:v>25172.085136413574</c:v>
                </c:pt>
                <c:pt idx="16">
                  <c:v>24931.298500061035</c:v>
                </c:pt>
                <c:pt idx="17">
                  <c:v>24760.996313095093</c:v>
                </c:pt>
                <c:pt idx="18">
                  <c:v>24797.618538856506</c:v>
                </c:pt>
                <c:pt idx="19">
                  <c:v>25153.563345909119</c:v>
                </c:pt>
                <c:pt idx="20">
                  <c:v>25804.576386451721</c:v>
                </c:pt>
                <c:pt idx="21">
                  <c:v>26578.54406452179</c:v>
                </c:pt>
                <c:pt idx="22">
                  <c:v>27298.881805419922</c:v>
                </c:pt>
                <c:pt idx="23">
                  <c:v>27960.643504142761</c:v>
                </c:pt>
                <c:pt idx="24">
                  <c:v>28767.436895370483</c:v>
                </c:pt>
                <c:pt idx="25">
                  <c:v>29980.61833190918</c:v>
                </c:pt>
                <c:pt idx="26">
                  <c:v>31704.129774093628</c:v>
                </c:pt>
                <c:pt idx="27">
                  <c:v>33777.954884529114</c:v>
                </c:pt>
                <c:pt idx="28">
                  <c:v>35832.651116371155</c:v>
                </c:pt>
                <c:pt idx="29">
                  <c:v>37408.731674194336</c:v>
                </c:pt>
                <c:pt idx="30">
                  <c:v>38046.690281867981</c:v>
                </c:pt>
                <c:pt idx="31">
                  <c:v>37374.367949485779</c:v>
                </c:pt>
                <c:pt idx="32">
                  <c:v>35242.715087890625</c:v>
                </c:pt>
                <c:pt idx="33">
                  <c:v>31830.856693267822</c:v>
                </c:pt>
                <c:pt idx="34">
                  <c:v>27580.176099777222</c:v>
                </c:pt>
                <c:pt idx="35">
                  <c:v>22973.69926738739</c:v>
                </c:pt>
                <c:pt idx="36">
                  <c:v>18355.75576877594</c:v>
                </c:pt>
                <c:pt idx="37">
                  <c:v>13934.621467590332</c:v>
                </c:pt>
                <c:pt idx="38">
                  <c:v>9897.7191619873047</c:v>
                </c:pt>
                <c:pt idx="39">
                  <c:v>6467.8996553421021</c:v>
                </c:pt>
                <c:pt idx="40">
                  <c:v>3834.8730735778809</c:v>
                </c:pt>
                <c:pt idx="41">
                  <c:v>2048.3917455673218</c:v>
                </c:pt>
                <c:pt idx="42">
                  <c:v>988.81739807128906</c:v>
                </c:pt>
                <c:pt idx="43">
                  <c:v>438.05903339385986</c:v>
                </c:pt>
                <c:pt idx="44">
                  <c:v>182.10653591156006</c:v>
                </c:pt>
                <c:pt idx="45">
                  <c:v>71.814789772033691</c:v>
                </c:pt>
                <c:pt idx="46">
                  <c:v>26.326755523681641</c:v>
                </c:pt>
                <c:pt idx="47">
                  <c:v>8.5352210998535156</c:v>
                </c:pt>
                <c:pt idx="48">
                  <c:v>2.300262451171875</c:v>
                </c:pt>
                <c:pt idx="49">
                  <c:v>0.47618293762207031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0.37311526997922256</c:v>
                </c:pt>
                <c:pt idx="2">
                  <c:v>1.735563541001687</c:v>
                </c:pt>
                <c:pt idx="3">
                  <c:v>6.272859395148962</c:v>
                </c:pt>
                <c:pt idx="4">
                  <c:v>18.815550371888545</c:v>
                </c:pt>
                <c:pt idx="5">
                  <c:v>48.449374976691665</c:v>
                </c:pt>
                <c:pt idx="6">
                  <c:v>109.38943587322721</c:v>
                </c:pt>
                <c:pt idx="7">
                  <c:v>219.24398831595875</c:v>
                </c:pt>
                <c:pt idx="8">
                  <c:v>393.34967679694915</c:v>
                </c:pt>
                <c:pt idx="9">
                  <c:v>638.12501867665458</c:v>
                </c:pt>
                <c:pt idx="10">
                  <c:v>953.27368095257771</c:v>
                </c:pt>
                <c:pt idx="11">
                  <c:v>1355.8850633249342</c:v>
                </c:pt>
                <c:pt idx="12">
                  <c:v>1929.2477700796746</c:v>
                </c:pt>
                <c:pt idx="13">
                  <c:v>2866.8820561983475</c:v>
                </c:pt>
                <c:pt idx="14">
                  <c:v>4439.8548809327649</c:v>
                </c:pt>
                <c:pt idx="15">
                  <c:v>6821.8972429041978</c:v>
                </c:pt>
                <c:pt idx="16">
                  <c:v>9826.5284387134398</c:v>
                </c:pt>
                <c:pt idx="17">
                  <c:v>12778.82421172186</c:v>
                </c:pt>
                <c:pt idx="18">
                  <c:v>14741.525503826031</c:v>
                </c:pt>
                <c:pt idx="19">
                  <c:v>15028.089330432327</c:v>
                </c:pt>
                <c:pt idx="20">
                  <c:v>13617.52580923815</c:v>
                </c:pt>
                <c:pt idx="21">
                  <c:v>11125.826261536877</c:v>
                </c:pt>
                <c:pt idx="22">
                  <c:v>8385.8696526979202</c:v>
                </c:pt>
                <c:pt idx="23">
                  <c:v>6006.8702810079531</c:v>
                </c:pt>
                <c:pt idx="24">
                  <c:v>4210.7554862185943</c:v>
                </c:pt>
                <c:pt idx="25">
                  <c:v>2939.7855537753207</c:v>
                </c:pt>
                <c:pt idx="26">
                  <c:v>2045.1038848369722</c:v>
                </c:pt>
                <c:pt idx="27">
                  <c:v>1406.0347636529318</c:v>
                </c:pt>
                <c:pt idx="28">
                  <c:v>954.42636255233344</c:v>
                </c:pt>
                <c:pt idx="29">
                  <c:v>650.43476622455705</c:v>
                </c:pt>
                <c:pt idx="30">
                  <c:v>457.41718031894789</c:v>
                </c:pt>
                <c:pt idx="31">
                  <c:v>335.52206208982233</c:v>
                </c:pt>
                <c:pt idx="32">
                  <c:v>249.68004052568261</c:v>
                </c:pt>
                <c:pt idx="33">
                  <c:v>178.92822657157308</c:v>
                </c:pt>
                <c:pt idx="34">
                  <c:v>117.78330600139647</c:v>
                </c:pt>
                <c:pt idx="35">
                  <c:v>69.424463193281014</c:v>
                </c:pt>
                <c:pt idx="36">
                  <c:v>37.040228096679677</c:v>
                </c:pt>
                <c:pt idx="37">
                  <c:v>19.411678529189032</c:v>
                </c:pt>
                <c:pt idx="38">
                  <c:v>11.743378011959447</c:v>
                </c:pt>
                <c:pt idx="39">
                  <c:v>8.7501904475440639</c:v>
                </c:pt>
                <c:pt idx="40">
                  <c:v>6.9288265318780233</c:v>
                </c:pt>
                <c:pt idx="41">
                  <c:v>4.9902965478849683</c:v>
                </c:pt>
                <c:pt idx="42">
                  <c:v>3.0381500276505697</c:v>
                </c:pt>
                <c:pt idx="43">
                  <c:v>1.5151816064328258</c:v>
                </c:pt>
                <c:pt idx="44">
                  <c:v>0.60576447604664141</c:v>
                </c:pt>
                <c:pt idx="45">
                  <c:v>0.18928918970951158</c:v>
                </c:pt>
                <c:pt idx="46">
                  <c:v>4.453863287282625E-2</c:v>
                </c:pt>
                <c:pt idx="47">
                  <c:v>7.4231054788043756E-3</c:v>
                </c:pt>
                <c:pt idx="48">
                  <c:v>7.8137952408467118E-4</c:v>
                </c:pt>
                <c:pt idx="49">
                  <c:v>3.9068976204233551E-5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19</c:v>
                </c:pt>
                <c:pt idx="1">
                  <c:v>16.462430953979492</c:v>
                </c:pt>
                <c:pt idx="2">
                  <c:v>15.023251533508301</c:v>
                </c:pt>
                <c:pt idx="3">
                  <c:v>15.578958511352539</c:v>
                </c:pt>
                <c:pt idx="4">
                  <c:v>19.218365669250488</c:v>
                </c:pt>
                <c:pt idx="5">
                  <c:v>28.367106437683105</c:v>
                </c:pt>
                <c:pt idx="6">
                  <c:v>48.127842903137207</c:v>
                </c:pt>
                <c:pt idx="7">
                  <c:v>87.25734806060791</c:v>
                </c:pt>
                <c:pt idx="8">
                  <c:v>160.29560947418213</c:v>
                </c:pt>
                <c:pt idx="9">
                  <c:v>295.43380355834961</c:v>
                </c:pt>
                <c:pt idx="10">
                  <c:v>550.53872299194336</c:v>
                </c:pt>
                <c:pt idx="11">
                  <c:v>1026.4435691833496</c:v>
                </c:pt>
                <c:pt idx="12">
                  <c:v>1851.5290994644165</c:v>
                </c:pt>
                <c:pt idx="13">
                  <c:v>3120.9094905853271</c:v>
                </c:pt>
                <c:pt idx="14">
                  <c:v>4815.6268253326416</c:v>
                </c:pt>
                <c:pt idx="15">
                  <c:v>6760.5673770904541</c:v>
                </c:pt>
                <c:pt idx="16">
                  <c:v>8655.1056718826294</c:v>
                </c:pt>
                <c:pt idx="17">
                  <c:v>10152.379241943359</c:v>
                </c:pt>
                <c:pt idx="18">
                  <c:v>10948.029226303101</c:v>
                </c:pt>
                <c:pt idx="19">
                  <c:v>10871.123566627502</c:v>
                </c:pt>
                <c:pt idx="20">
                  <c:v>9966.5319156646729</c:v>
                </c:pt>
                <c:pt idx="21">
                  <c:v>8505.8082704544067</c:v>
                </c:pt>
                <c:pt idx="22">
                  <c:v>6871.1330614089966</c:v>
                </c:pt>
                <c:pt idx="23">
                  <c:v>5369.9232120513916</c:v>
                </c:pt>
                <c:pt idx="24">
                  <c:v>4123.4302558898926</c:v>
                </c:pt>
                <c:pt idx="25">
                  <c:v>3104.1909580230713</c:v>
                </c:pt>
                <c:pt idx="26">
                  <c:v>2252.4205055236816</c:v>
                </c:pt>
                <c:pt idx="27">
                  <c:v>1551.5603351593018</c:v>
                </c:pt>
                <c:pt idx="28">
                  <c:v>1020.0033016204834</c:v>
                </c:pt>
                <c:pt idx="29">
                  <c:v>664.94498920440674</c:v>
                </c:pt>
                <c:pt idx="30">
                  <c:v>457.25849151611328</c:v>
                </c:pt>
                <c:pt idx="31">
                  <c:v>343.42867183685303</c:v>
                </c:pt>
                <c:pt idx="32">
                  <c:v>273.33828544616699</c:v>
                </c:pt>
                <c:pt idx="33">
                  <c:v>218.36618232727051</c:v>
                </c:pt>
                <c:pt idx="34">
                  <c:v>170.93449211120605</c:v>
                </c:pt>
                <c:pt idx="35">
                  <c:v>132.95208835601807</c:v>
                </c:pt>
                <c:pt idx="36">
                  <c:v>105.28910064697266</c:v>
                </c:pt>
                <c:pt idx="37">
                  <c:v>84.758610725402832</c:v>
                </c:pt>
                <c:pt idx="38">
                  <c:v>66.974072456359863</c:v>
                </c:pt>
                <c:pt idx="39">
                  <c:v>49.780282974243164</c:v>
                </c:pt>
                <c:pt idx="40">
                  <c:v>33.858468055725098</c:v>
                </c:pt>
                <c:pt idx="41">
                  <c:v>20.932024955749512</c:v>
                </c:pt>
                <c:pt idx="42">
                  <c:v>11.894036293029785</c:v>
                </c:pt>
                <c:pt idx="43">
                  <c:v>6.3354902267456055</c:v>
                </c:pt>
                <c:pt idx="44">
                  <c:v>3.1962509155273438</c:v>
                </c:pt>
                <c:pt idx="45">
                  <c:v>1.5031557083129883</c:v>
                </c:pt>
                <c:pt idx="46">
                  <c:v>0.632720947265625</c:v>
                </c:pt>
                <c:pt idx="47">
                  <c:v>0.22670173645019531</c:v>
                </c:pt>
                <c:pt idx="48">
                  <c:v>6.574249267578125E-2</c:v>
                </c:pt>
                <c:pt idx="49">
                  <c:v>1.4403343200683594E-2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    <Relationship Id="rId2" Target="../charts/chart6.xml" Type="http://schemas.openxmlformats.org/officeDocument/2006/relationships/chart"/>
    <Relationship Id="rId3" Target="../charts/chart7.xml" Type="http://schemas.openxmlformats.org/officeDocument/2006/relationships/chart"/>
    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    <Relationship Id="rId2" Target="../charts/chart10.xml" Type="http://schemas.openxmlformats.org/officeDocument/2006/relationships/chart"/>
    <Relationship Id="rId3" Target="../charts/chart11.xml" Type="http://schemas.openxmlformats.org/officeDocument/2006/relationships/chart"/>
    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drawings/drawing11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115"/>
  <sheetViews>
    <sheetView topLeftCell="H66" workbookViewId="0">
      <selection activeCell="O85" sqref="O85"/>
    </sheetView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7" x14ac:dyDescent="0.45">
      <c r="A1" t="s">
        <v>9</v>
      </c>
    </row>
    <row r="2" spans="1:17" x14ac:dyDescent="0.45">
      <c r="A2" t="s">
        <v>59</v>
      </c>
    </row>
    <row r="3" spans="1:17" x14ac:dyDescent="0.45">
      <c r="A3" t="s">
        <v>7</v>
      </c>
    </row>
    <row ht="14.65" r="6" spans="1:17" thickBot="1" x14ac:dyDescent="0.5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7"/>
    </row>
    <row r="7" spans="1:17" x14ac:dyDescent="0.4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P7" s="12"/>
      <c r="Q7" s="12"/>
    </row>
    <row r="8" spans="1:17" x14ac:dyDescent="0.45">
      <c r="A8" t="s">
        <v>5</v>
      </c>
      <c r="B8" s="5" t="n">
        <v>0.0</v>
      </c>
      <c r="C8" s="5" t="n">
        <v>0.0</v>
      </c>
      <c r="D8" s="5" t="n">
        <v>1003.5138542992437</v>
      </c>
      <c r="E8" s="5" t="n">
        <v>0.0</v>
      </c>
      <c r="F8" s="5">
        <f>SUM(B8:E8)</f>
        <v>1003.5138542992437</v>
      </c>
      <c r="H8" t="s">
        <v>5</v>
      </c>
      <c r="I8" s="8" t="n">
        <v>574.0</v>
      </c>
      <c r="J8" s="8" t="n">
        <v>1.0</v>
      </c>
      <c r="K8" s="8" t="n">
        <v>199.0</v>
      </c>
      <c r="L8" s="8" t="n">
        <v>21.0</v>
      </c>
      <c r="M8">
        <f>SUM(I8:L8)</f>
        <v>819</v>
      </c>
      <c r="P8" s="5"/>
      <c r="Q8" s="5"/>
    </row>
    <row r="9" spans="1:17" x14ac:dyDescent="0.45">
      <c r="A9" s="10">
        <v>0.125</v>
      </c>
      <c r="B9" s="5" t="n">
        <v>1386.5552240850416</v>
      </c>
      <c r="C9" s="5" t="n">
        <v>48.55853191720476</v>
      </c>
      <c r="D9" s="5" t="n">
        <v>786.0264844298749</v>
      </c>
      <c r="E9" s="5" t="n">
        <v>0.3731152699792226</v>
      </c>
      <c r="F9" s="5">
        <f ref="F9:F58" si="0" t="shared">SUM(B9:E9)</f>
        <v>2221.5133557021009</v>
      </c>
      <c r="H9" s="10">
        <v>0.125</v>
      </c>
      <c r="I9" s="8" t="n">
        <v>1843.3616638183594</v>
      </c>
      <c r="J9" s="8" t="n">
        <v>37.51228427886963</v>
      </c>
      <c r="K9" s="8" t="n">
        <v>467.0085802078247</v>
      </c>
      <c r="L9" s="8" t="n">
        <v>16.988375663757324</v>
      </c>
      <c r="M9">
        <f ref="M9:M58" si="1" t="shared">SUM(I9:L9)</f>
        <v>2305.6085119247437</v>
      </c>
      <c r="P9" s="5"/>
      <c r="Q9" s="5"/>
    </row>
    <row r="10" spans="1:17" x14ac:dyDescent="0.45">
      <c r="A10" s="10">
        <v>0.14583333333333334</v>
      </c>
      <c r="B10" s="5" t="n">
        <v>3427.4139414917267</v>
      </c>
      <c r="C10" s="5" t="n">
        <v>229.09949430844716</v>
      </c>
      <c r="D10" s="5" t="n">
        <v>711.049264866842</v>
      </c>
      <c r="E10" s="5" t="n">
        <v>1.735563541001687</v>
      </c>
      <c r="F10" s="5">
        <f si="0" t="shared"/>
        <v>4369.2982642080169</v>
      </c>
      <c r="H10" s="10">
        <v>0.14583333333333334</v>
      </c>
      <c r="I10" s="8" t="n">
        <v>3345.057816505432</v>
      </c>
      <c r="J10" s="8" t="n">
        <v>158.72541046142578</v>
      </c>
      <c r="K10" s="8" t="n">
        <v>764.3379354476929</v>
      </c>
      <c r="L10" s="8" t="n">
        <v>14.30577278137207</v>
      </c>
      <c r="M10">
        <f si="1" t="shared"/>
        <v>4164.1214618682861</v>
      </c>
      <c r="P10" s="5"/>
      <c r="Q10" s="5"/>
    </row>
    <row r="11" spans="1:17" x14ac:dyDescent="0.45">
      <c r="A11" s="10">
        <v>0.16666666666666666</v>
      </c>
      <c r="B11" s="5" t="n">
        <v>6902.342435086191</v>
      </c>
      <c r="C11" s="5" t="n">
        <v>837.2819132462996</v>
      </c>
      <c r="D11" s="5" t="n">
        <v>934.4338269667707</v>
      </c>
      <c r="E11" s="5" t="n">
        <v>6.272859395148961</v>
      </c>
      <c r="F11" s="5">
        <f si="0" t="shared"/>
        <v>8680.3310346944108</v>
      </c>
      <c r="H11" s="10">
        <v>0.16666666666666666</v>
      </c>
      <c r="I11" s="8" t="n">
        <v>5542.160848617554</v>
      </c>
      <c r="J11" s="8" t="n">
        <v>558.0190267562866</v>
      </c>
      <c r="K11" s="8" t="n">
        <v>1200.2772188186646</v>
      </c>
      <c r="L11" s="8" t="n">
        <v>14.009148597717285</v>
      </c>
      <c r="M11">
        <f si="1" t="shared"/>
        <v>7185.9081401824951</v>
      </c>
      <c r="P11" s="5"/>
      <c r="Q11" s="5"/>
    </row>
    <row r="12" spans="1:17" x14ac:dyDescent="0.45">
      <c r="A12" s="10">
        <v>0.1875</v>
      </c>
      <c r="B12" s="5" t="n">
        <v>12748.603772237047</v>
      </c>
      <c r="C12" s="5" t="n">
        <v>2472.1827968687317</v>
      </c>
      <c r="D12" s="5" t="n">
        <v>1646.021899545505</v>
      </c>
      <c r="E12" s="5" t="n">
        <v>18.81555037188855</v>
      </c>
      <c r="F12" s="5">
        <f si="0" t="shared"/>
        <v>16885.624019023173</v>
      </c>
      <c r="H12" s="10">
        <v>0.1875</v>
      </c>
      <c r="I12" s="8" t="n">
        <v>9232.635773658752</v>
      </c>
      <c r="J12" s="8" t="n">
        <v>1643.1733150482178</v>
      </c>
      <c r="K12" s="8" t="n">
        <v>1998.7785692214966</v>
      </c>
      <c r="L12" s="8" t="n">
        <v>17.286139488220215</v>
      </c>
      <c r="M12">
        <f si="1" t="shared"/>
        <v>12827.101866722107</v>
      </c>
    </row>
    <row r="13" spans="1:17" x14ac:dyDescent="0.45">
      <c r="A13" s="10">
        <v>0.20833333333333334</v>
      </c>
      <c r="B13" s="5" t="n">
        <v>21867.527045788018</v>
      </c>
      <c r="C13" s="5" t="n">
        <v>6001.937851258558</v>
      </c>
      <c r="D13" s="5" t="n">
        <v>3073.183989270367</v>
      </c>
      <c r="E13" s="5" t="n">
        <v>48.44937497669167</v>
      </c>
      <c r="F13" s="5">
        <f si="0" t="shared"/>
        <v>30991.098261293635</v>
      </c>
      <c r="H13" s="10">
        <v>0.20833333333333334</v>
      </c>
      <c r="I13" s="8" t="n">
        <v>15387.578714370728</v>
      </c>
      <c r="J13" s="8" t="n">
        <v>4046.2197732925415</v>
      </c>
      <c r="K13" s="8" t="n">
        <v>3455.741047859192</v>
      </c>
      <c r="L13" s="8" t="n">
        <v>26.62240695953369</v>
      </c>
      <c r="M13">
        <f si="1" t="shared"/>
        <v>23012.243809700012</v>
      </c>
    </row>
    <row r="14" spans="1:17" x14ac:dyDescent="0.45">
      <c r="A14" s="10">
        <v>0.22916666666666666</v>
      </c>
      <c r="B14" s="5" t="n">
        <v>34618.17596805504</v>
      </c>
      <c r="C14" s="5" t="n">
        <v>12138.685774789892</v>
      </c>
      <c r="D14" s="5" t="n">
        <v>5414.1654202092295</v>
      </c>
      <c r="E14" s="5" t="n">
        <v>109.38943587322721</v>
      </c>
      <c r="F14" s="5">
        <f si="0" t="shared"/>
        <v>52280.41659892739</v>
      </c>
      <c r="H14" s="10">
        <v>0.22916666666666666</v>
      </c>
      <c r="I14" s="8" t="n">
        <v>24658.52188205719</v>
      </c>
      <c r="J14" s="8" t="n">
        <v>8374.567030906677</v>
      </c>
      <c r="K14" s="8" t="n">
        <v>5817.921335220337</v>
      </c>
      <c r="L14" s="8" t="n">
        <v>47.08297920227051</v>
      </c>
      <c r="M14">
        <f si="1" t="shared"/>
        <v>39262.24015712738</v>
      </c>
    </row>
    <row r="15" spans="1:17" x14ac:dyDescent="0.45">
      <c r="A15" s="10">
        <v>0.25</v>
      </c>
      <c r="B15" s="5" t="n">
        <v>50140.02027719159</v>
      </c>
      <c r="C15" s="5" t="n">
        <v>20653.523341511675</v>
      </c>
      <c r="D15" s="5" t="n">
        <v>8680.504515309203</v>
      </c>
      <c r="E15" s="5" t="n">
        <v>219.2439883159588</v>
      </c>
      <c r="F15" s="5">
        <f si="0" t="shared"/>
        <v>79693.292122328421</v>
      </c>
      <c r="H15" s="10">
        <v>0.25</v>
      </c>
      <c r="I15" s="8" t="n">
        <v>36710.490758895874</v>
      </c>
      <c r="J15" s="8" t="n">
        <v>14671.970594406128</v>
      </c>
      <c r="K15" s="8" t="n">
        <v>9128.039130210876</v>
      </c>
      <c r="L15" s="8" t="n">
        <v>87.21581172943115</v>
      </c>
      <c r="M15">
        <f si="1" t="shared"/>
        <v>61316.259764671326</v>
      </c>
    </row>
    <row r="16" spans="1:17" x14ac:dyDescent="0.45">
      <c r="A16" s="10">
        <v>0.27083333333333331</v>
      </c>
      <c r="B16" s="5" t="n">
        <v>65961.4214749821</v>
      </c>
      <c r="C16" s="5" t="n">
        <v>29783.056777839953</v>
      </c>
      <c r="D16" s="5" t="n">
        <v>12538.55730810766</v>
      </c>
      <c r="E16" s="5" t="n">
        <v>393.3496767969492</v>
      </c>
      <c r="F16" s="5">
        <f si="0" t="shared"/>
        <v>108676.38523772666</v>
      </c>
      <c r="H16" s="10">
        <v>0.27083333333333331</v>
      </c>
      <c r="I16" s="8" t="n">
        <v>49793.46694564819</v>
      </c>
      <c r="J16" s="8" t="n">
        <v>21912.425184249878</v>
      </c>
      <c r="K16" s="8" t="n">
        <v>13118.851516723633</v>
      </c>
      <c r="L16" s="8" t="n">
        <v>161.21838092803955</v>
      </c>
      <c r="M16">
        <f si="1" t="shared"/>
        <v>86077.771113395691</v>
      </c>
    </row>
    <row r="17" spans="1:13" x14ac:dyDescent="0.45">
      <c r="A17" s="10">
        <v>0.29166666666666669</v>
      </c>
      <c r="B17" s="5" t="n">
        <v>78429.25459592084</v>
      </c>
      <c r="C17" s="5" t="n">
        <v>36602.035145159345</v>
      </c>
      <c r="D17" s="5" t="n">
        <v>16327.714875442127</v>
      </c>
      <c r="E17" s="5" t="n">
        <v>638.1250186766546</v>
      </c>
      <c r="F17" s="5">
        <f si="0" t="shared"/>
        <v>131997.12963519897</v>
      </c>
      <c r="H17" s="10">
        <v>0.29166666666666669</v>
      </c>
      <c r="I17" s="8" t="n">
        <v>61000.41055393219</v>
      </c>
      <c r="J17" s="8" t="n">
        <v>28076.64761543274</v>
      </c>
      <c r="K17" s="8" t="n">
        <v>17239.224754333496</v>
      </c>
      <c r="L17" s="8" t="n">
        <v>296.8161859512329</v>
      </c>
      <c r="M17">
        <f si="1" t="shared"/>
        <v>107987.39931774139</v>
      </c>
    </row>
    <row r="18" spans="1:13" x14ac:dyDescent="0.45">
      <c r="A18" s="10">
        <v>0.3125</v>
      </c>
      <c r="B18" s="5" t="n">
        <v>84069.3529623289</v>
      </c>
      <c r="C18" s="5" t="n">
        <v>38498.21991795734</v>
      </c>
      <c r="D18" s="5" t="n">
        <v>19342.457419956758</v>
      </c>
      <c r="E18" s="5" t="n">
        <v>953.2736809525778</v>
      </c>
      <c r="F18" s="5">
        <f si="0" t="shared"/>
        <v>142863.30398119558</v>
      </c>
      <c r="H18" s="10">
        <v>0.3125</v>
      </c>
      <c r="I18" s="8" t="n">
        <v>67309.1742887497</v>
      </c>
      <c r="J18" s="8" t="n">
        <v>31034.95934677124</v>
      </c>
      <c r="K18" s="8" t="n">
        <v>20838.74104309082</v>
      </c>
      <c r="L18" s="8" t="n">
        <v>550.9806051254272</v>
      </c>
      <c r="M18">
        <f si="1" t="shared"/>
        <v>121184.70664310455</v>
      </c>
    </row>
    <row r="19" spans="1:13" x14ac:dyDescent="0.45">
      <c r="A19" s="10">
        <v>0.33333333333333331</v>
      </c>
      <c r="B19" s="5" t="n">
        <v>81238.54223624582</v>
      </c>
      <c r="C19" s="5" t="n">
        <v>34778.47424062276</v>
      </c>
      <c r="D19" s="5" t="n">
        <v>21216.35786059954</v>
      </c>
      <c r="E19" s="5" t="n">
        <v>1355.8850633249347</v>
      </c>
      <c r="F19" s="5">
        <f si="0" t="shared"/>
        <v>138589.25940079306</v>
      </c>
      <c r="H19" s="10">
        <v>0.33333333333333331</v>
      </c>
      <c r="I19" s="8" t="n">
        <v>66936.0707950592</v>
      </c>
      <c r="J19" s="8" t="n">
        <v>29730.879804611206</v>
      </c>
      <c r="K19" s="8" t="n">
        <v>23436.97158718109</v>
      </c>
      <c r="L19" s="8" t="n">
        <v>1022.8414869308472</v>
      </c>
      <c r="M19">
        <f si="1" t="shared"/>
        <v>122386.57034683228</v>
      </c>
    </row>
    <row r="20" spans="1:13" x14ac:dyDescent="0.45">
      <c r="A20" s="10">
        <v>0.35416666666666669</v>
      </c>
      <c r="B20" s="5" t="n">
        <v>71004.05680448386</v>
      </c>
      <c r="C20" s="5" t="n">
        <v>27087.586631266924</v>
      </c>
      <c r="D20" s="5" t="n">
        <v>22098.839876716236</v>
      </c>
      <c r="E20" s="5" t="n">
        <v>1929.2477700796749</v>
      </c>
      <c r="F20" s="5">
        <f si="0" t="shared"/>
        <v>122119.7310825467</v>
      </c>
      <c r="H20" s="10">
        <v>0.35416666666666669</v>
      </c>
      <c r="I20" s="8" t="n">
        <v>60196.64196109772</v>
      </c>
      <c r="J20" s="8" t="n">
        <v>24778.017329216003</v>
      </c>
      <c r="K20" s="8" t="n">
        <v>24918.953589439392</v>
      </c>
      <c r="L20" s="8" t="n">
        <v>1838.7084655761719</v>
      </c>
      <c r="M20">
        <f si="1" t="shared"/>
        <v>112570.12817955017</v>
      </c>
    </row>
    <row r="21" spans="1:13" x14ac:dyDescent="0.45">
      <c r="A21" s="10">
        <v>0.375</v>
      </c>
      <c r="B21" s="5" t="n">
        <v>56605.59619570748</v>
      </c>
      <c r="C21" s="5" t="n">
        <v>18301.50639617692</v>
      </c>
      <c r="D21" s="5" t="n">
        <v>22470.8571823319</v>
      </c>
      <c r="E21" s="5" t="n">
        <v>2866.8820561983475</v>
      </c>
      <c r="F21" s="5">
        <f si="0" t="shared"/>
        <v>100244.84183041466</v>
      </c>
      <c r="H21" s="10">
        <v>0.375</v>
      </c>
      <c r="I21" s="8" t="n">
        <v>49319.44362163544</v>
      </c>
      <c r="J21" s="8" t="n">
        <v>18027.86022758484</v>
      </c>
      <c r="K21" s="8" t="n">
        <v>25519.072017669678</v>
      </c>
      <c r="L21" s="8" t="n">
        <v>3092.7663984298706</v>
      </c>
      <c r="M21">
        <f si="1" t="shared"/>
        <v>96270.473010063171</v>
      </c>
    </row>
    <row r="22" spans="1:13" x14ac:dyDescent="0.45">
      <c r="A22" s="10">
        <v>0.39583333333333331</v>
      </c>
      <c r="B22" s="5" t="n">
        <v>41863.194215299</v>
      </c>
      <c r="C22" s="5" t="n">
        <v>10872.114623730056</v>
      </c>
      <c r="D22" s="5" t="n">
        <v>22760.3252397815</v>
      </c>
      <c r="E22" s="5" t="n">
        <v>4439.854880932766</v>
      </c>
      <c r="F22" s="5">
        <f si="0" t="shared"/>
        <v>79935.488959743321</v>
      </c>
      <c r="H22" s="10">
        <v>0.39583333333333331</v>
      </c>
      <c r="I22" s="8" t="n">
        <v>37347.48366069794</v>
      </c>
      <c r="J22" s="8" t="n">
        <v>11504.050806045532</v>
      </c>
      <c r="K22" s="8" t="n">
        <v>25610.14366054535</v>
      </c>
      <c r="L22" s="8" t="n">
        <v>4767.484977722168</v>
      </c>
      <c r="M22">
        <f si="1" t="shared"/>
        <v>79061.958701133728</v>
      </c>
    </row>
    <row r="23" spans="1:13" x14ac:dyDescent="0.45">
      <c r="A23" s="10">
        <v>0.41666666666666669</v>
      </c>
      <c r="B23" s="5" t="n">
        <v>29603.099221035623</v>
      </c>
      <c r="C23" s="5" t="n">
        <v>5870.831444858481</v>
      </c>
      <c r="D23" s="5" t="n">
        <v>23072.110033169418</v>
      </c>
      <c r="E23" s="5" t="n">
        <v>6821.8972429042</v>
      </c>
      <c r="F23" s="5">
        <f si="0" t="shared"/>
        <v>65367.937941967721</v>
      </c>
      <c r="H23" s="10">
        <v>0.41666666666666669</v>
      </c>
      <c r="I23" s="8" t="n">
        <v>26840.654631614685</v>
      </c>
      <c r="J23" s="8" t="n">
        <v>6500.843944549561</v>
      </c>
      <c r="K23" s="8" t="n">
        <v>25481.384674072266</v>
      </c>
      <c r="L23" s="8" t="n">
        <v>6690.981366157532</v>
      </c>
      <c r="M23">
        <f si="1" t="shared"/>
        <v>65019.470132827759</v>
      </c>
    </row>
    <row r="24" spans="1:13" x14ac:dyDescent="0.45">
      <c r="A24" s="10">
        <v>0.4375</v>
      </c>
      <c r="B24" s="5" t="n">
        <v>20978.826694391275</v>
      </c>
      <c r="C24" s="5" t="n">
        <v>3115.1932828752883</v>
      </c>
      <c r="D24" s="5" t="n">
        <v>23219.877184607394</v>
      </c>
      <c r="E24" s="5" t="n">
        <v>9826.528438713442</v>
      </c>
      <c r="F24" s="5">
        <f si="0" t="shared"/>
        <v>57140.425600587405</v>
      </c>
      <c r="H24" s="10">
        <v>0.4375</v>
      </c>
      <c r="I24" s="8" t="n">
        <v>19111.01881980896</v>
      </c>
      <c r="J24" s="8" t="n">
        <v>3333.378170967102</v>
      </c>
      <c r="K24" s="8" t="n">
        <v>25283.372730255127</v>
      </c>
      <c r="L24" s="8" t="n">
        <v>8566.026383399963</v>
      </c>
      <c r="M24">
        <f si="1" t="shared"/>
        <v>55643.620381355286</v>
      </c>
    </row>
    <row r="25" spans="1:13" x14ac:dyDescent="0.45">
      <c r="A25" s="10">
        <v>0.45833333333333331</v>
      </c>
      <c r="B25" s="5" t="n">
        <v>15762.21251876863</v>
      </c>
      <c r="C25" s="5" t="n">
        <v>1859.0916840453174</v>
      </c>
      <c r="D25" s="5" t="n">
        <v>22992.502309500873</v>
      </c>
      <c r="E25" s="5" t="n">
        <v>12778.824211721862</v>
      </c>
      <c r="F25" s="5">
        <f si="0" t="shared"/>
        <v>53392.63072403668</v>
      </c>
      <c r="H25" s="10">
        <v>0.45833333333333331</v>
      </c>
      <c r="I25" s="8" t="n">
        <v>14237.655394554138</v>
      </c>
      <c r="J25" s="8" t="n">
        <v>1646.8046045303345</v>
      </c>
      <c r="K25" s="8" t="n">
        <v>25126.540088653564</v>
      </c>
      <c r="L25" s="8" t="n">
        <v>10048.600959777832</v>
      </c>
      <c r="M25">
        <f si="1" t="shared"/>
        <v>50380.573742866516</v>
      </c>
    </row>
    <row r="26" spans="1:13" x14ac:dyDescent="0.45">
      <c r="A26" s="10">
        <v>0.47916666666666669</v>
      </c>
      <c r="B26" s="5" t="n">
        <v>13060.174380270011</v>
      </c>
      <c r="C26" s="5" t="n">
        <v>1381.8743751075683</v>
      </c>
      <c r="D26" s="5" t="n">
        <v>22421.823521871513</v>
      </c>
      <c r="E26" s="5" t="n">
        <v>14741.52550382603</v>
      </c>
      <c r="F26" s="5">
        <f si="0" t="shared"/>
        <v>51605.397781075124</v>
      </c>
      <c r="H26" s="10">
        <v>0.47916666666666669</v>
      </c>
      <c r="I26" s="8" t="n">
        <v>11579.500275611877</v>
      </c>
      <c r="J26" s="8" t="n">
        <v>882.0780229568481</v>
      </c>
      <c r="K26" s="8" t="n">
        <v>25158.621395111084</v>
      </c>
      <c r="L26" s="8" t="n">
        <v>10837.05057144165</v>
      </c>
      <c r="M26">
        <f si="1" t="shared"/>
        <v>47811.141834259033</v>
      </c>
    </row>
    <row r="27" spans="1:13" x14ac:dyDescent="0.45">
      <c r="A27" s="10">
        <v>0.5</v>
      </c>
      <c r="B27" s="5" t="n">
        <v>11900.454704567648</v>
      </c>
      <c r="C27" s="5" t="n">
        <v>1217.9149393484377</v>
      </c>
      <c r="D27" s="5" t="n">
        <v>21843.10974790616</v>
      </c>
      <c r="E27" s="5" t="n">
        <v>15028.089330432324</v>
      </c>
      <c r="F27" s="5">
        <f si="0" t="shared"/>
        <v>49989.568722254568</v>
      </c>
      <c r="H27" s="10">
        <v>0.5</v>
      </c>
      <c r="I27" s="8" t="n">
        <v>10327.352425575256</v>
      </c>
      <c r="J27" s="8" t="n">
        <v>584.3405265808105</v>
      </c>
      <c r="K27" s="8" t="n">
        <v>25503.77109146118</v>
      </c>
      <c r="L27" s="8" t="n">
        <v>10762.73475074768</v>
      </c>
      <c r="M27">
        <f si="1" t="shared"/>
        <v>46577.156831741333</v>
      </c>
    </row>
    <row r="28" spans="1:13" x14ac:dyDescent="0.45">
      <c r="A28" s="10">
        <v>0.52083333333333337</v>
      </c>
      <c r="B28" s="5" t="n">
        <v>11495.003805369146</v>
      </c>
      <c r="C28" s="5" t="n">
        <v>1134.4920866153952</v>
      </c>
      <c r="D28" s="5" t="n">
        <v>21710.00778113253</v>
      </c>
      <c r="E28" s="5" t="n">
        <v>13617.525809238146</v>
      </c>
      <c r="F28" s="5">
        <f si="0" t="shared"/>
        <v>47957.029482355218</v>
      </c>
      <c r="H28" s="10">
        <v>0.52083333333333337</v>
      </c>
      <c r="I28" s="8" t="n">
        <v>9817.556200027466</v>
      </c>
      <c r="J28" s="8" t="n">
        <v>488.84045124053955</v>
      </c>
      <c r="K28" s="8" t="n">
        <v>26140.504424095154</v>
      </c>
      <c r="L28" s="8" t="n">
        <v>9870.847877502441</v>
      </c>
      <c r="M28">
        <f si="1" t="shared"/>
        <v>45755.647922515869</v>
      </c>
    </row>
    <row r="29" spans="1:13" x14ac:dyDescent="0.45">
      <c r="A29" s="10">
        <v>0.54166666666666663</v>
      </c>
      <c r="B29" s="5" t="n">
        <v>11287.255686699875</v>
      </c>
      <c r="C29" s="5" t="n">
        <v>1042.1415133281619</v>
      </c>
      <c r="D29" s="5" t="n">
        <v>22304.85210960875</v>
      </c>
      <c r="E29" s="5" t="n">
        <v>11125.826261536873</v>
      </c>
      <c r="F29" s="5">
        <f si="0" t="shared"/>
        <v>45760.075571173656</v>
      </c>
      <c r="H29" s="10">
        <v>0.54166666666666663</v>
      </c>
      <c r="I29" s="8" t="n">
        <v>9601.685106277466</v>
      </c>
      <c r="J29" s="8" t="n">
        <v>478.16148471832275</v>
      </c>
      <c r="K29" s="8" t="n">
        <v>26887.25800228119</v>
      </c>
      <c r="L29" s="8" t="n">
        <v>8430.354264259338</v>
      </c>
      <c r="M29">
        <f si="1" t="shared"/>
        <v>44878.918045043945</v>
      </c>
    </row>
    <row r="30" spans="1:13" x14ac:dyDescent="0.45">
      <c r="A30" s="10">
        <v>0.5625</v>
      </c>
      <c r="B30" s="5" t="n">
        <v>10935.601235579528</v>
      </c>
      <c r="C30" s="5" t="n">
        <v>930.2887526495117</v>
      </c>
      <c r="D30" s="5" t="n">
        <v>23551.98777520833</v>
      </c>
      <c r="E30" s="5" t="n">
        <v>8385.869652697918</v>
      </c>
      <c r="F30" s="5">
        <f si="0" t="shared"/>
        <v>43803.747416135287</v>
      </c>
      <c r="H30" s="10">
        <v>0.5625</v>
      </c>
      <c r="I30" s="8" t="n">
        <v>9402.367395401001</v>
      </c>
      <c r="J30" s="8" t="n">
        <v>514.6385660171509</v>
      </c>
      <c r="K30" s="8" t="n">
        <v>27551.77223587036</v>
      </c>
      <c r="L30" s="8" t="n">
        <v>6819.037974357605</v>
      </c>
      <c r="M30">
        <f si="1" t="shared"/>
        <v>43842.305595397949</v>
      </c>
    </row>
    <row r="31" spans="1:13" x14ac:dyDescent="0.45">
      <c r="A31" s="10">
        <v>0.58333333333333337</v>
      </c>
      <c r="B31" s="5" t="n">
        <v>10294.27196863949</v>
      </c>
      <c r="C31" s="5" t="n">
        <v>833.7311156817509</v>
      </c>
      <c r="D31" s="5" t="n">
        <v>25070.852876873436</v>
      </c>
      <c r="E31" s="5" t="n">
        <v>6006.870281007952</v>
      </c>
      <c r="F31" s="5">
        <f si="0" t="shared"/>
        <v>42205.726242202625</v>
      </c>
      <c r="H31" s="10">
        <v>0.58333333333333337</v>
      </c>
      <c r="I31" s="8" t="n">
        <v>9062.705227851868</v>
      </c>
      <c r="J31" s="8" t="n">
        <v>594.0228004455566</v>
      </c>
      <c r="K31" s="8" t="n">
        <v>28119.006232261658</v>
      </c>
      <c r="L31" s="8" t="n">
        <v>5340.104077339172</v>
      </c>
      <c r="M31">
        <f si="1" t="shared"/>
        <v>42791.636916160583</v>
      </c>
    </row>
    <row r="32" spans="1:13" x14ac:dyDescent="0.45">
      <c r="A32" s="10">
        <v>0.60416666666666663</v>
      </c>
      <c r="B32" s="5" t="n">
        <v>9383.608829603845</v>
      </c>
      <c r="C32" s="5" t="n">
        <v>808.4629961884474</v>
      </c>
      <c r="D32" s="5" t="n">
        <v>26450.35346613472</v>
      </c>
      <c r="E32" s="5" t="n">
        <v>4210.755486218593</v>
      </c>
      <c r="F32" s="5">
        <f si="0" t="shared"/>
        <v>40853.180778145601</v>
      </c>
      <c r="H32" s="10">
        <v>0.60416666666666663</v>
      </c>
      <c r="I32" s="8" t="n">
        <v>8520.696587562561</v>
      </c>
      <c r="J32" s="8" t="n">
        <v>720.6460695266724</v>
      </c>
      <c r="K32" s="8" t="n">
        <v>28797.998012542725</v>
      </c>
      <c r="L32" s="8" t="n">
        <v>4111.768867492676</v>
      </c>
      <c r="M32">
        <f si="1" t="shared"/>
        <v>41994.102988243103</v>
      </c>
    </row>
    <row r="33" spans="1:13" x14ac:dyDescent="0.45">
      <c r="A33" s="10">
        <v>0.625</v>
      </c>
      <c r="B33" s="5" t="n">
        <v>8333.89645868772</v>
      </c>
      <c r="C33" s="5" t="n">
        <v>904.4220941225475</v>
      </c>
      <c r="D33" s="5" t="n">
        <v>27571.99467720591</v>
      </c>
      <c r="E33" s="5" t="n">
        <v>2939.7855537753207</v>
      </c>
      <c r="F33" s="5">
        <f si="0" t="shared"/>
        <v>39750.098783791494</v>
      </c>
      <c r="H33" s="10">
        <v>0.625</v>
      </c>
      <c r="I33" s="8" t="n">
        <v>7795.690166473389</v>
      </c>
      <c r="J33" s="8" t="n">
        <v>891.8867874145508</v>
      </c>
      <c r="K33" s="8" t="n">
        <v>29872.200484275818</v>
      </c>
      <c r="L33" s="8" t="n">
        <v>3104.6523008346558</v>
      </c>
      <c r="M33">
        <f si="1" t="shared"/>
        <v>41695.200593948364</v>
      </c>
    </row>
    <row r="34" spans="1:13" x14ac:dyDescent="0.45">
      <c r="A34" s="10">
        <v>0.64583333333333337</v>
      </c>
      <c r="B34" s="5" t="n">
        <v>7304.722265590235</v>
      </c>
      <c r="C34" s="5" t="n">
        <v>1136.1851583773405</v>
      </c>
      <c r="D34" s="5" t="n">
        <v>28751.207800036056</v>
      </c>
      <c r="E34" s="5" t="n">
        <v>2045.1038848369726</v>
      </c>
      <c r="F34" s="5">
        <f si="0" t="shared"/>
        <v>39237.219108840603</v>
      </c>
      <c r="H34" s="10">
        <v>0.64583333333333337</v>
      </c>
      <c r="I34" s="8" t="n">
        <v>6968.638229370117</v>
      </c>
      <c r="J34" s="8" t="n">
        <v>1087.384874343872</v>
      </c>
      <c r="K34" s="8" t="n">
        <v>31474.757758140564</v>
      </c>
      <c r="L34" s="8" t="n">
        <v>2258.232192993164</v>
      </c>
      <c r="M34">
        <f si="1" t="shared"/>
        <v>41992.37931728363</v>
      </c>
    </row>
    <row r="35" spans="1:13" x14ac:dyDescent="0.45">
      <c r="A35" s="10">
        <v>0.66666666666666663</v>
      </c>
      <c r="B35" s="5" t="n">
        <v>6402.63693492671</v>
      </c>
      <c r="C35" s="5" t="n">
        <v>1460.7444667688756</v>
      </c>
      <c r="D35" s="5" t="n">
        <v>30557.325144083814</v>
      </c>
      <c r="E35" s="5" t="n">
        <v>1406.0347636529318</v>
      </c>
      <c r="F35" s="5">
        <f si="0" t="shared"/>
        <v>39826.741309432335</v>
      </c>
      <c r="H35" s="10">
        <v>0.66666666666666663</v>
      </c>
      <c r="I35" s="8" t="n">
        <v>6146.269464492798</v>
      </c>
      <c r="J35" s="8" t="n">
        <v>1267.7407512664795</v>
      </c>
      <c r="K35" s="8" t="n">
        <v>33466.968057632446</v>
      </c>
      <c r="L35" s="8" t="n">
        <v>1556.8480625152588</v>
      </c>
      <c r="M35">
        <f si="1" t="shared"/>
        <v>42770.720288276672</v>
      </c>
    </row>
    <row r="36" spans="1:13" x14ac:dyDescent="0.45">
      <c r="A36" s="10">
        <v>0.6875</v>
      </c>
      <c r="B36" s="5" t="n">
        <v>5635.4994976192775</v>
      </c>
      <c r="C36" s="5" t="n">
        <v>1777.182208691052</v>
      </c>
      <c r="D36" s="5" t="n">
        <v>33367.744954867376</v>
      </c>
      <c r="E36" s="5" t="n">
        <v>954.4263625523336</v>
      </c>
      <c r="F36" s="5">
        <f si="0" t="shared"/>
        <v>41734.853023730037</v>
      </c>
      <c r="H36" s="10">
        <v>0.6875</v>
      </c>
      <c r="I36" s="8" t="n">
        <v>5412.554934501648</v>
      </c>
      <c r="J36" s="8" t="n">
        <v>1386.2963609695435</v>
      </c>
      <c r="K36" s="8" t="n">
        <v>35483.07265949249</v>
      </c>
      <c r="L36" s="8" t="n">
        <v>1021.3947906494141</v>
      </c>
      <c r="M36">
        <f si="1" t="shared"/>
        <v>43714.095883369446</v>
      </c>
    </row>
    <row r="37" spans="1:13" x14ac:dyDescent="0.45">
      <c r="A37" s="10">
        <v>0.70833333333333337</v>
      </c>
      <c r="B37" s="5" t="n">
        <v>4931.403532076865</v>
      </c>
      <c r="C37" s="5" t="n">
        <v>1960.9173183965113</v>
      </c>
      <c r="D37" s="5" t="n">
        <v>36903.941631260765</v>
      </c>
      <c r="E37" s="5" t="n">
        <v>650.434766224557</v>
      </c>
      <c r="F37" s="5">
        <f si="0" t="shared"/>
        <v>44446.697247958698</v>
      </c>
      <c r="H37" s="10">
        <v>0.70833333333333337</v>
      </c>
      <c r="I37" s="8" t="n">
        <v>4788.921531677246</v>
      </c>
      <c r="J37" s="8" t="n">
        <v>1407.6815738677979</v>
      </c>
      <c r="K37" s="8" t="n">
        <v>37053.44373226166</v>
      </c>
      <c r="L37" s="8" t="n">
        <v>662.1077423095703</v>
      </c>
      <c r="M37">
        <f si="1" t="shared"/>
        <v>44356.081974029541</v>
      </c>
    </row>
    <row r="38" spans="1:13" x14ac:dyDescent="0.45">
      <c r="A38" s="10">
        <v>0.72916666666666663</v>
      </c>
      <c r="B38" s="5" t="n">
        <v>4207.202562890492</v>
      </c>
      <c r="C38" s="5" t="n">
        <v>1924.270314604929</v>
      </c>
      <c r="D38" s="5" t="n">
        <v>40083.159934317126</v>
      </c>
      <c r="E38" s="5" t="n">
        <v>457.4171803189479</v>
      </c>
      <c r="F38" s="5">
        <f si="0" t="shared"/>
        <v>46672.049992131491</v>
      </c>
      <c r="H38" s="10">
        <v>0.72916666666666663</v>
      </c>
      <c r="I38" s="8" t="n">
        <v>4231.68897151947</v>
      </c>
      <c r="J38" s="8" t="n">
        <v>1321.2306461334229</v>
      </c>
      <c r="K38" s="8" t="n">
        <v>37708.49913024902</v>
      </c>
      <c r="L38" s="8" t="n">
        <v>451.9819211959839</v>
      </c>
      <c r="M38">
        <f si="1" t="shared"/>
        <v>44153.834557533264</v>
      </c>
    </row>
    <row r="39" spans="1:13" x14ac:dyDescent="0.45">
      <c r="A39" s="10">
        <v>0.75</v>
      </c>
      <c r="B39" s="5" t="n">
        <v>3433.4718524808104</v>
      </c>
      <c r="C39" s="5" t="n">
        <v>1666.174693541641</v>
      </c>
      <c r="D39" s="5" t="n">
        <v>41402.06014133124</v>
      </c>
      <c r="E39" s="5" t="n">
        <v>335.5220620898224</v>
      </c>
      <c r="F39" s="5">
        <f si="0" t="shared"/>
        <v>46837.228749443515</v>
      </c>
      <c r="H39" s="10">
        <v>0.75</v>
      </c>
      <c r="I39" s="8" t="n">
        <v>3674.031749725342</v>
      </c>
      <c r="J39" s="8" t="n">
        <v>1143.196382522583</v>
      </c>
      <c r="K39" s="8" t="n">
        <v>37075.782965660095</v>
      </c>
      <c r="L39" s="8" t="n">
        <v>337.96565341949463</v>
      </c>
      <c r="M39">
        <f si="1" t="shared"/>
        <v>42631.181049346924</v>
      </c>
    </row>
    <row r="40" spans="1:13" x14ac:dyDescent="0.45">
      <c r="A40" s="10">
        <v>0.77083333333333337</v>
      </c>
      <c r="B40" s="5" t="n">
        <v>2650.5780606552803</v>
      </c>
      <c r="C40" s="5" t="n">
        <v>1271.5691999938338</v>
      </c>
      <c r="D40" s="5" t="n">
        <v>39720.45048434765</v>
      </c>
      <c r="E40" s="5" t="n">
        <v>249.68004052568264</v>
      </c>
      <c r="F40" s="5">
        <f si="0" t="shared"/>
        <v>43892.277785522449</v>
      </c>
      <c r="H40" s="10">
        <v>0.77083333333333337</v>
      </c>
      <c r="I40" s="8" t="n">
        <v>3082.873826980591</v>
      </c>
      <c r="J40" s="8" t="n">
        <v>910.2253131866455</v>
      </c>
      <c r="K40" s="8" t="n">
        <v>35011.010338783264</v>
      </c>
      <c r="L40" s="8" t="n">
        <v>269.13465881347656</v>
      </c>
      <c r="M40">
        <f si="1" t="shared"/>
        <v>39593.858419418335</v>
      </c>
    </row>
    <row r="41" spans="1:13" x14ac:dyDescent="0.45">
      <c r="A41" s="10">
        <v>0.79166666666666663</v>
      </c>
      <c r="B41" s="5" t="n">
        <v>1935.3051288943177</v>
      </c>
      <c r="C41" s="5" t="n">
        <v>859.2462343706566</v>
      </c>
      <c r="D41" s="5" t="n">
        <v>34947.17753409859</v>
      </c>
      <c r="E41" s="5" t="n">
        <v>178.9282265715731</v>
      </c>
      <c r="F41" s="5">
        <f si="0" t="shared"/>
        <v>37920.65712393514</v>
      </c>
      <c r="H41" s="10">
        <v>0.79166666666666663</v>
      </c>
      <c r="I41" s="8" t="n">
        <v>2485.1641597747803</v>
      </c>
      <c r="J41" s="8" t="n">
        <v>667.9862251281738</v>
      </c>
      <c r="K41" s="8" t="n">
        <v>31690.207834243774</v>
      </c>
      <c r="L41" s="8" t="n">
        <v>215.7681303024292</v>
      </c>
      <c r="M41">
        <f si="1" t="shared"/>
        <v>35268.605074882507</v>
      </c>
    </row>
    <row r="42" spans="1:13" x14ac:dyDescent="0.45">
      <c r="A42" s="10">
        <v>0.8125</v>
      </c>
      <c r="B42" s="5" t="n">
        <v>1352.774492404208</v>
      </c>
      <c r="C42" s="5" t="n">
        <v>519.7042787513246</v>
      </c>
      <c r="D42" s="5" t="n">
        <v>28121.618586669458</v>
      </c>
      <c r="E42" s="5" t="n">
        <v>117.78330600139648</v>
      </c>
      <c r="F42" s="5">
        <f si="0" t="shared"/>
        <v>30111.880663826389</v>
      </c>
      <c r="H42" s="10">
        <v>0.8125</v>
      </c>
      <c r="I42" s="8" t="n">
        <v>1943.5840873718262</v>
      </c>
      <c r="J42" s="8" t="n">
        <v>456.9316577911377</v>
      </c>
      <c r="K42" s="8" t="n">
        <v>27538.207657814026</v>
      </c>
      <c r="L42" s="8" t="n">
        <v>169.6300859451294</v>
      </c>
      <c r="M42">
        <f si="1" t="shared"/>
        <v>30197.336338043213</v>
      </c>
    </row>
    <row r="43" spans="1:13" x14ac:dyDescent="0.45">
      <c r="A43" s="10">
        <v>0.83333333333333337</v>
      </c>
      <c r="B43" s="5" t="n">
        <v>927.3597530590664</v>
      </c>
      <c r="C43" s="5" t="n">
        <v>286.34116572209143</v>
      </c>
      <c r="D43" s="5" t="n">
        <v>20832.95682471084</v>
      </c>
      <c r="E43" s="5" t="n">
        <v>69.42446319328101</v>
      </c>
      <c r="F43" s="5">
        <f si="0" t="shared"/>
        <v>22116.082206685278</v>
      </c>
      <c r="H43" s="10">
        <v>0.83333333333333337</v>
      </c>
      <c r="I43" s="8" t="n">
        <v>1506.6663618087769</v>
      </c>
      <c r="J43" s="8" t="n">
        <v>299.4917802810669</v>
      </c>
      <c r="K43" s="8" t="n">
        <v>23015.909596443176</v>
      </c>
      <c r="L43" s="8" t="n">
        <v>132.5111026763916</v>
      </c>
      <c r="M43">
        <f si="1" t="shared"/>
        <v>24940.205637931824</v>
      </c>
    </row>
    <row r="44" spans="1:13" x14ac:dyDescent="0.45">
      <c r="A44" s="10">
        <v>0.85416666666666663</v>
      </c>
      <c r="B44" s="5" t="n">
        <v>642.5095249203716</v>
      </c>
      <c r="C44" s="5" t="n">
        <v>147.0387242809274</v>
      </c>
      <c r="D44" s="5" t="n">
        <v>14427.351752456516</v>
      </c>
      <c r="E44" s="5" t="n">
        <v>37.04022809667968</v>
      </c>
      <c r="F44" s="5">
        <f si="0" t="shared"/>
        <v>15253.940229754495</v>
      </c>
      <c r="H44" s="10">
        <v>0.85416666666666663</v>
      </c>
      <c r="I44" s="8" t="n">
        <v>1178.035566329956</v>
      </c>
      <c r="J44" s="8" t="n">
        <v>195.91716384887695</v>
      </c>
      <c r="K44" s="8" t="n">
        <v>18452.210431098938</v>
      </c>
      <c r="L44" s="8" t="n">
        <v>105.38651752471924</v>
      </c>
      <c r="M44">
        <f si="1" t="shared"/>
        <v>19848.605634689331</v>
      </c>
    </row>
    <row r="45" spans="1:13" x14ac:dyDescent="0.45">
      <c r="A45" s="10">
        <v>0.875</v>
      </c>
      <c r="B45" s="5" t="n">
        <v>459.06661855144125</v>
      </c>
      <c r="C45" s="5" t="n">
        <v>72.04322034882664</v>
      </c>
      <c r="D45" s="5" t="n">
        <v>9540.765711012697</v>
      </c>
      <c r="E45" s="5" t="n">
        <v>19.411678529189032</v>
      </c>
      <c r="F45" s="5">
        <f si="0" t="shared"/>
        <v>10091.287228442154</v>
      </c>
      <c r="H45" s="10">
        <v>0.875</v>
      </c>
      <c r="I45" s="8" t="n">
        <v>925.8938102722168</v>
      </c>
      <c r="J45" s="8" t="n">
        <v>131.54246139526367</v>
      </c>
      <c r="K45" s="8" t="n">
        <v>14052.041032791138</v>
      </c>
      <c r="L45" s="8" t="n">
        <v>85.12442398071289</v>
      </c>
      <c r="M45">
        <f si="1" t="shared"/>
        <v>15081.808296203613</v>
      </c>
    </row>
    <row r="46" spans="1:13" x14ac:dyDescent="0.45">
      <c r="A46" s="10">
        <v>0.89583333333333337</v>
      </c>
      <c r="B46" s="5" t="n">
        <v>336.30258988503437</v>
      </c>
      <c r="C46" s="5" t="n">
        <v>34.25346580266239</v>
      </c>
      <c r="D46" s="5" t="n">
        <v>6141.796136616278</v>
      </c>
      <c r="E46" s="5" t="n">
        <v>11.743378011959447</v>
      </c>
      <c r="F46" s="5">
        <f si="0" t="shared"/>
        <v>6524.0955703159343</v>
      </c>
      <c r="H46" s="10">
        <v>0.89583333333333337</v>
      </c>
      <c r="I46" s="8" t="n">
        <v>715.0440187454224</v>
      </c>
      <c r="J46" s="8" t="n">
        <v>89.32520866394043</v>
      </c>
      <c r="K46" s="8" t="n">
        <v>10008.840602874756</v>
      </c>
      <c r="L46" s="8" t="n">
        <v>67.33750438690186</v>
      </c>
      <c r="M46">
        <f si="1" t="shared"/>
        <v>10770.276340484619</v>
      </c>
    </row>
    <row r="47" spans="1:13" x14ac:dyDescent="0.45">
      <c r="A47" s="10">
        <v>0.91666666666666663</v>
      </c>
      <c r="B47" s="5" t="n">
        <v>245.2881283993059</v>
      </c>
      <c r="C47" s="5" t="n">
        <v>15.849286281775086</v>
      </c>
      <c r="D47" s="5" t="n">
        <v>3872.0066399169586</v>
      </c>
      <c r="E47" s="5" t="n">
        <v>8.750190447544064</v>
      </c>
      <c r="F47" s="5">
        <f si="0" t="shared"/>
        <v>4141.8942450455834</v>
      </c>
      <c r="H47" s="10">
        <v>0.91666666666666663</v>
      </c>
      <c r="I47" s="8" t="n">
        <v>529.479302406311</v>
      </c>
      <c r="J47" s="8" t="n">
        <v>58.41951560974121</v>
      </c>
      <c r="K47" s="8" t="n">
        <v>6555.79832649231</v>
      </c>
      <c r="L47" s="8" t="n">
        <v>49.9453649520874</v>
      </c>
      <c r="M47">
        <f si="1" t="shared"/>
        <v>7106.7868003845215</v>
      </c>
    </row>
    <row r="48" spans="1:13" x14ac:dyDescent="0.45">
      <c r="A48" s="10">
        <v>0.9375</v>
      </c>
      <c r="B48" s="5" t="n">
        <v>172.0054213334577</v>
      </c>
      <c r="C48" s="5" t="n">
        <v>7.016741431742483</v>
      </c>
      <c r="D48" s="5" t="n">
        <v>2362.386225871325</v>
      </c>
      <c r="E48" s="5" t="n">
        <v>6.928826531878023</v>
      </c>
      <c r="F48" s="5">
        <f si="0" t="shared"/>
        <v>2548.337215168403</v>
      </c>
      <c r="H48" s="10">
        <v>0.9375</v>
      </c>
      <c r="I48" s="8" t="n">
        <v>371.40413188934326</v>
      </c>
      <c r="J48" s="8" t="n">
        <v>35.03061580657959</v>
      </c>
      <c r="K48" s="8" t="n">
        <v>3893.6104431152344</v>
      </c>
      <c r="L48" s="8" t="n">
        <v>33.809855461120605</v>
      </c>
      <c r="M48">
        <f si="1" t="shared"/>
        <v>4278.4269104003906</v>
      </c>
    </row>
    <row r="49" spans="1:13" x14ac:dyDescent="0.45">
      <c r="A49" s="10">
        <v>0.95833333333333337</v>
      </c>
      <c r="B49" s="5" t="n">
        <v>112.99495811833081</v>
      </c>
      <c r="C49" s="5" t="n">
        <v>2.862921994463118</v>
      </c>
      <c r="D49" s="5" t="n">
        <v>1363.9554566956122</v>
      </c>
      <c r="E49" s="5" t="n">
        <v>4.990296547884968</v>
      </c>
      <c r="F49" s="5">
        <f si="0" t="shared"/>
        <v>1484.8036333562911</v>
      </c>
      <c r="H49" s="10">
        <v>0.95833333333333337</v>
      </c>
      <c r="I49" s="8" t="n">
        <v>247.05709171295166</v>
      </c>
      <c r="J49" s="8" t="n">
        <v>18.680500030517578</v>
      </c>
      <c r="K49" s="8" t="n">
        <v>2080.9929094314575</v>
      </c>
      <c r="L49" s="8" t="n">
        <v>20.81580638885498</v>
      </c>
      <c r="M49">
        <f si="1" t="shared"/>
        <v>2340.5326490402222</v>
      </c>
    </row>
    <row r="50" spans="1:13" x14ac:dyDescent="0.45">
      <c r="A50" s="10">
        <v>0.97916666666666663</v>
      </c>
      <c r="B50" s="5" t="n">
        <v>68.599741739834</v>
      </c>
      <c r="C50" s="5" t="n">
        <v>1.0227464507642603</v>
      </c>
      <c r="D50" s="5" t="n">
        <v>729.3305332843086</v>
      </c>
      <c r="E50" s="5" t="n">
        <v>3.0381500276505697</v>
      </c>
      <c r="F50" s="5">
        <f si="0" t="shared"/>
        <v>801.99117150255734</v>
      </c>
      <c r="H50" s="10">
        <v>0.97916666666666663</v>
      </c>
      <c r="I50" s="8" t="n">
        <v>156.52320194244385</v>
      </c>
      <c r="J50" s="8" t="n">
        <v>8.783670425415039</v>
      </c>
      <c r="K50" s="8" t="n">
        <v>1003.194748878479</v>
      </c>
      <c r="L50" s="8" t="n">
        <v>11.87204647064209</v>
      </c>
      <c r="M50">
        <f si="1" t="shared"/>
        <v>1172.5044641494751</v>
      </c>
    </row>
    <row r="51" spans="1:13" x14ac:dyDescent="0.45">
      <c r="A51" s="10">
        <v>1</v>
      </c>
      <c r="B51" s="5" t="n">
        <v>38.27526333285249</v>
      </c>
      <c r="C51" s="5" t="n">
        <v>0.30217576193833995</v>
      </c>
      <c r="D51" s="5" t="n">
        <v>355.8911712778354</v>
      </c>
      <c r="E51" s="5" t="n">
        <v>1.5151816064328258</v>
      </c>
      <c r="F51" s="5">
        <f si="0" t="shared"/>
        <v>395.98379197905899</v>
      </c>
      <c r="H51" s="10">
        <v>1</v>
      </c>
      <c r="I51" s="8" t="n">
        <v>93.87308692932129</v>
      </c>
      <c r="J51" s="8" t="n">
        <v>3.6996841430664062</v>
      </c>
      <c r="K51" s="8" t="n">
        <v>442.54734897613525</v>
      </c>
      <c r="L51" s="8" t="n">
        <v>6.456574440002441</v>
      </c>
      <c r="M51">
        <f si="1" t="shared"/>
        <v>547.92321968078613</v>
      </c>
    </row>
    <row r="52" spans="1:13" x14ac:dyDescent="0.45">
      <c r="A52" s="10">
        <v>1.0208333333333333</v>
      </c>
      <c r="B52" s="5" t="n">
        <v>19.517481429276096</v>
      </c>
      <c r="C52" s="5" t="n">
        <v>0.06941497414072155</v>
      </c>
      <c r="D52" s="5" t="n">
        <v>157.0203977220895</v>
      </c>
      <c r="E52" s="5" t="n">
        <v>0.6057644760466414</v>
      </c>
      <c r="F52" s="5">
        <f si="0" t="shared"/>
        <v>177.21305860155294</v>
      </c>
      <c r="H52" s="10">
        <v>1.0208333333333333</v>
      </c>
      <c r="I52" s="8" t="n">
        <v>52.0823860168457</v>
      </c>
      <c r="J52" s="8" t="n">
        <v>1.4548025131225586</v>
      </c>
      <c r="K52" s="8" t="n">
        <v>182.63502883911133</v>
      </c>
      <c r="L52" s="8" t="n">
        <v>3.393673896789551</v>
      </c>
      <c r="M52">
        <f si="1" t="shared"/>
        <v>243.23962306976318</v>
      </c>
    </row>
    <row r="53" spans="1:13" x14ac:dyDescent="0.45">
      <c r="A53" s="10">
        <v>4.1666666666666664E-2</v>
      </c>
      <c r="B53" s="5" t="n">
        <v>8.972909955726909</v>
      </c>
      <c r="C53" s="5" t="n">
        <v>0.011477287824024483</v>
      </c>
      <c r="D53" s="5" t="n">
        <v>62.0410000458814</v>
      </c>
      <c r="E53" s="5" t="n">
        <v>0.18928918970951158</v>
      </c>
      <c r="F53" s="5">
        <f si="0" t="shared"/>
        <v>71.214676479141843</v>
      </c>
      <c r="H53" s="10">
        <v>4.1666666666666664E-2</v>
      </c>
      <c r="I53" s="8" t="n">
        <v>25.8212890625</v>
      </c>
      <c r="J53" s="8" t="n">
        <v>0.5591278076171875</v>
      </c>
      <c r="K53" s="8" t="n">
        <v>71.39514827728271</v>
      </c>
      <c r="L53" s="8" t="n">
        <v>1.683039665222168</v>
      </c>
      <c r="M53">
        <f si="1" t="shared"/>
        <v>102.34424781799316</v>
      </c>
    </row>
    <row r="54" spans="1:13" x14ac:dyDescent="0.45">
      <c r="A54" s="10">
        <v>6.25E-2</v>
      </c>
      <c r="B54" s="5" t="n">
        <v>3.6264913356094617</v>
      </c>
      <c r="C54" s="5" t="n">
        <v>0.0012064378802657298</v>
      </c>
      <c r="D54" s="5" t="n">
        <v>21.59029166166772</v>
      </c>
      <c r="E54" s="5" t="n">
        <v>0.04453863287282625</v>
      </c>
      <c r="F54" s="5">
        <f si="0" t="shared"/>
        <v>25.262528068030274</v>
      </c>
      <c r="H54" s="10">
        <v>6.25E-2</v>
      </c>
      <c r="I54" s="8" t="n">
        <v>11.020060539245605</v>
      </c>
      <c r="J54" s="8" t="n">
        <v>0.21007347106933594</v>
      </c>
      <c r="K54" s="8" t="n">
        <v>25.974123001098633</v>
      </c>
      <c r="L54" s="8" t="n">
        <v>0.7471628189086914</v>
      </c>
      <c r="M54">
        <f si="1" t="shared"/>
        <v>39.481831550598145</v>
      </c>
    </row>
    <row r="55" spans="1:13" x14ac:dyDescent="0.45">
      <c r="A55" s="10">
        <v>8.3333333333333329E-2</v>
      </c>
      <c r="B55" s="5" t="n">
        <v>1.2438135430356327</v>
      </c>
      <c r="C55" s="5" t="n">
        <v>6.03218940132865E-5</v>
      </c>
      <c r="D55" s="5" t="n">
        <v>6.434620780989857</v>
      </c>
      <c r="E55" s="5" t="n">
        <v>0.007423105478804376</v>
      </c>
      <c r="F55" s="5">
        <f si="0" t="shared"/>
        <v>7.685917751398307</v>
      </c>
      <c r="H55" s="10">
        <v>8.3333333333333329E-2</v>
      </c>
      <c r="I55" s="8" t="n">
        <v>3.9050474166870117</v>
      </c>
      <c r="J55" s="8" t="n">
        <v>0.07241058349609375</v>
      </c>
      <c r="K55" s="8" t="n">
        <v>8.378915786743164</v>
      </c>
      <c r="L55" s="8" t="n">
        <v>0.28043079376220703</v>
      </c>
      <c r="M55">
        <f si="1" t="shared"/>
        <v>13.245404243469238</v>
      </c>
    </row>
    <row r="56" spans="1:13" x14ac:dyDescent="0.45">
      <c r="A56" s="10">
        <v>0.10416666666666667</v>
      </c>
      <c r="B56" s="5" t="n">
        <v>0.3467797519231943</v>
      </c>
      <c r="C56" s="5" t="n">
        <v>0.0</v>
      </c>
      <c r="D56" s="5" t="n">
        <v>1.5768680578483836</v>
      </c>
      <c r="E56" s="5" t="n">
        <v>7.813795240846712E-4</v>
      </c>
      <c r="F56" s="5">
        <f si="0" t="shared"/>
        <v>1.9244291892956626</v>
      </c>
      <c r="H56" s="10">
        <v>0.10416666666666667</v>
      </c>
      <c r="I56" s="8" t="n">
        <v>1.1068973541259766</v>
      </c>
      <c r="J56" s="8" t="n">
        <v>0.020995140075683594</v>
      </c>
      <c r="K56" s="8" t="n">
        <v>2.252425193786621</v>
      </c>
      <c r="L56" s="8" t="n">
        <v>0.08450126647949219</v>
      </c>
      <c r="M56">
        <f si="1" t="shared"/>
        <v>3.6491317749023438</v>
      </c>
    </row>
    <row r="57" spans="1:13" x14ac:dyDescent="0.45">
      <c r="A57" s="10">
        <v>0.125</v>
      </c>
      <c r="B57" s="5" t="n">
        <v>0.0734950796908505</v>
      </c>
      <c r="C57" s="5" t="n">
        <v>0.0</v>
      </c>
      <c r="D57" s="5" t="n">
        <v>0.2973180399071346</v>
      </c>
      <c r="E57" s="5" t="n">
        <v>3.906897620423355E-5</v>
      </c>
      <c r="F57" s="5">
        <f si="0" t="shared"/>
        <v>0.37085218857418939</v>
      </c>
      <c r="H57" s="10">
        <v>0.125</v>
      </c>
      <c r="I57" s="8" t="n">
        <v>0.23636245727539062</v>
      </c>
      <c r="J57" s="8" t="n">
        <v>0.0046539306640625</v>
      </c>
      <c r="K57" s="8" t="n">
        <v>0.46586036682128906</v>
      </c>
      <c r="L57" s="8" t="n">
        <v>0.0190887451171875</v>
      </c>
      <c r="M57">
        <f si="1" t="shared"/>
        <v>0.76695823669433594</v>
      </c>
    </row>
    <row r="58" spans="1:13" x14ac:dyDescent="0.45">
      <c r="A58" s="17" t="s">
        <v>34</v>
      </c>
      <c r="B58" s="18" t="n">
        <v>0.0</v>
      </c>
      <c r="C58" s="18" t="n">
        <v>0.0</v>
      </c>
      <c r="D58" s="18" t="n">
        <v>0.0</v>
      </c>
      <c r="E58" s="18" t="n">
        <v>0.0</v>
      </c>
      <c r="F58" s="18">
        <f si="0" t="shared"/>
        <v>0</v>
      </c>
      <c r="H58" s="17" t="s">
        <v>34</v>
      </c>
      <c r="I58" s="20" t="n">
        <v>0.0</v>
      </c>
      <c r="J58" s="20" t="n">
        <v>0.0</v>
      </c>
      <c r="K58" s="20" t="n">
        <v>0.0</v>
      </c>
      <c r="L58" s="20" t="n">
        <v>0.0</v>
      </c>
      <c r="M58" s="19">
        <f si="1" t="shared"/>
        <v>0</v>
      </c>
    </row>
    <row ht="14.65" r="59" spans="1:13" thickBot="1" x14ac:dyDescent="0.5">
      <c r="A59" s="21"/>
      <c r="B59" s="22">
        <f>SUM(B8:B58)</f>
        <v>804186.23995048855</v>
      </c>
      <c r="C59" s="22">
        <f>SUM(C8:C58)</f>
        <v>270545.51420206815</v>
      </c>
      <c r="D59" s="22">
        <f>SUM(D8:D58)</f>
        <v>792943.56766021461</v>
      </c>
      <c r="E59" s="22">
        <f>SUM(E8:E58)</f>
        <v>125023.4166283978</v>
      </c>
      <c r="F59" s="22">
        <f>SUM(F8:F58)</f>
        <v>1992698.7384411688</v>
      </c>
      <c r="H59" s="21"/>
      <c r="I59" s="22">
        <f>SUM(I8:I58)</f>
        <v>673633.01853370667</v>
      </c>
      <c r="J59" s="22">
        <f>SUM(J8:J58)</f>
        <v>222350.64727210999</v>
      </c>
      <c r="K59" s="22">
        <f>SUM(K8:K58)</f>
        <v>853136.78666782379</v>
      </c>
      <c r="L59" s="22">
        <f>SUM(L8:L58)</f>
        <v>104868.70358657837</v>
      </c>
      <c r="M59" s="22">
        <f>SUM(M8:M58)</f>
        <v>1853989.1560602188</v>
      </c>
    </row>
    <row ht="14.65" r="63" spans="1:13" thickBot="1" x14ac:dyDescent="0.5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4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236</v>
      </c>
      <c r="J64" s="4" t="s">
        <v>236</v>
      </c>
      <c r="K64" s="4" t="s">
        <v>236</v>
      </c>
      <c r="L64" s="4" t="s">
        <v>236</v>
      </c>
      <c r="M64" s="4" t="s">
        <v>236</v>
      </c>
    </row>
    <row r="65" spans="1:13" x14ac:dyDescent="0.45">
      <c r="A65" t="s">
        <v>5</v>
      </c>
      <c r="B65" s="14">
        <f>B8/B$59</f>
        <v>0</v>
      </c>
      <c r="C65" s="14">
        <f ref="C65:F65" si="2" t="shared">C8/C$59</f>
        <v>0</v>
      </c>
      <c r="D65" s="14">
        <f si="2" t="shared"/>
        <v>1.2655551986635962E-3</v>
      </c>
      <c r="E65" s="14">
        <f si="2" t="shared"/>
        <v>0</v>
      </c>
      <c r="F65" s="14">
        <f si="2" t="shared"/>
        <v>5.0359536790004888E-4</v>
      </c>
      <c r="H65" t="s">
        <v>5</v>
      </c>
      <c r="I65" s="13">
        <f ref="I65:M65" si="3" t="shared">I8/I$59</f>
        <v>8.8178575523651824E-4</v>
      </c>
      <c r="J65" s="13">
        <f si="3" t="shared"/>
        <v>4.497400894795743E-6</v>
      </c>
      <c r="K65" s="13">
        <f si="3" t="shared"/>
        <v>2.402897204804492E-4</v>
      </c>
      <c r="L65" s="13">
        <f si="3" t="shared"/>
        <v>1.8117893470775886E-4</v>
      </c>
      <c r="M65" s="14">
        <f si="3" t="shared"/>
        <v>4.4175015658689122E-4</v>
      </c>
    </row>
    <row r="66" spans="1:13" x14ac:dyDescent="0.45">
      <c r="A66" s="10">
        <v>0.125</v>
      </c>
      <c r="B66" s="14">
        <f ref="B66:F66" si="4" t="shared">B9/B$59</f>
        <v>1.7241717841011651E-3</v>
      </c>
      <c r="C66" s="14">
        <f si="4" t="shared"/>
        <v>1.79483781353465E-4</v>
      </c>
      <c r="D66" s="14">
        <f si="4" t="shared"/>
        <v>9.9127670175728848E-4</v>
      </c>
      <c r="E66" s="14">
        <f si="4" t="shared"/>
        <v>2.9843630900619083E-6</v>
      </c>
      <c r="F66" s="14">
        <f si="4" t="shared"/>
        <v>1.1148264977775453E-3</v>
      </c>
      <c r="H66" s="10">
        <v>0.125</v>
      </c>
      <c r="I66" s="13">
        <f ref="I66:M66" si="5" t="shared">I9/I$59</f>
        <v>2.6445596148567344E-3</v>
      </c>
      <c r="J66" s="13">
        <f si="5" t="shared"/>
        <v>1.6812508263813197E-4</v>
      </c>
      <c r="K66" s="13">
        <f si="5" t="shared"/>
        <v>5.512605848496079E-4</v>
      </c>
      <c r="L66" s="13">
        <f si="5" t="shared"/>
        <v>1.5698135278642309E-4</v>
      </c>
      <c r="M66" s="14">
        <f si="5" t="shared"/>
        <v>1.2435933103428873E-3</v>
      </c>
    </row>
    <row r="67" spans="1:13" x14ac:dyDescent="0.45">
      <c r="A67" s="10">
        <v>0.14583333333333334</v>
      </c>
      <c r="B67" s="14">
        <f ref="B67:F67" si="6" t="shared">B10/B$59</f>
        <v>4.2619654145073941E-3</v>
      </c>
      <c r="C67" s="14">
        <f si="6" t="shared"/>
        <v>8.4680573981845688E-4</v>
      </c>
      <c r="D67" s="14">
        <f si="6" t="shared"/>
        <v>8.9672114620335092E-4</v>
      </c>
      <c r="E67" s="14">
        <f si="6" t="shared"/>
        <v>1.3881907788204465E-5</v>
      </c>
      <c r="F67" s="14">
        <f si="6" t="shared"/>
        <v>2.1926537011941875E-3</v>
      </c>
      <c r="H67" s="10">
        <v>0.14583333333333334</v>
      </c>
      <c r="I67" s="13">
        <f ref="I67:M67" si="7" t="shared">I10/I$59</f>
        <v>4.7840799833253752E-3</v>
      </c>
      <c r="J67" s="13">
        <f si="7" t="shared"/>
        <v>7.1478764926066925E-4</v>
      </c>
      <c r="K67" s="13">
        <f si="7" t="shared"/>
        <v>8.9956321867552282E-4</v>
      </c>
      <c r="L67" s="13">
        <f si="7" t="shared"/>
        <v>1.4325772150988099E-4</v>
      </c>
      <c r="M67" s="14">
        <f si="7" t="shared"/>
        <v>2.2460333428902927E-3</v>
      </c>
    </row>
    <row r="68" spans="1:13" x14ac:dyDescent="0.45">
      <c r="A68" s="10">
        <v>0.16666666666666666</v>
      </c>
      <c r="B68" s="14">
        <f ref="B68:F68" si="8" t="shared">B11/B$59</f>
        <v>8.5830148443116205E-3</v>
      </c>
      <c r="C68" s="14">
        <f si="8" t="shared"/>
        <v>3.0947913356306504E-3</v>
      </c>
      <c r="D68" s="14">
        <f si="8" t="shared"/>
        <v>1.1784367325458731E-3</v>
      </c>
      <c r="E68" s="14">
        <f si="8" t="shared"/>
        <v>5.0173476012046087E-5</v>
      </c>
      <c r="F68" s="14">
        <f si="8" t="shared"/>
        <v>4.3560679129474363E-3</v>
      </c>
      <c r="H68" s="10">
        <v>0.16666666666666666</v>
      </c>
      <c r="I68" s="13">
        <f ref="I68:M68" si="9" t="shared">I11/I$59</f>
        <v>8.0197061116087948E-3</v>
      </c>
      <c r="J68" s="13">
        <f si="9" t="shared"/>
        <v>2.5171892581251297E-3</v>
      </c>
      <c r="K68" s="13">
        <f si="9" t="shared"/>
        <v>1.4162930305979514E-3</v>
      </c>
      <c r="L68" s="13">
        <f si="9" t="shared"/>
        <v>1.4855679510227505E-4</v>
      </c>
      <c r="M68" s="14">
        <f si="9" t="shared"/>
        <v>3.875917028259626E-3</v>
      </c>
    </row>
    <row r="69" spans="1:13" x14ac:dyDescent="0.45">
      <c r="A69" s="10">
        <v>0.1875</v>
      </c>
      <c r="B69" s="14">
        <f ref="B69:F69" si="10" t="shared">B12/B$59</f>
        <v>1.5852800183477327E-2</v>
      </c>
      <c r="C69" s="14">
        <f si="10" t="shared"/>
        <v>9.1377704197389848E-3</v>
      </c>
      <c r="D69" s="14">
        <f si="10" t="shared"/>
        <v>2.0758373819747588E-3</v>
      </c>
      <c r="E69" s="14">
        <f si="10" t="shared"/>
        <v>1.5049621006449753E-4</v>
      </c>
      <c r="F69" s="14">
        <f si="10" t="shared"/>
        <v>8.4737465294088127E-3</v>
      </c>
      <c r="H69" s="10">
        <v>0.1875</v>
      </c>
      <c r="I69" s="13">
        <f ref="I69:M69" si="11" t="shared">I12/I$59</f>
        <v>1.3568696874591692E-2</v>
      </c>
      <c r="J69" s="13">
        <f si="11" t="shared"/>
        <v>7.4144789122907217E-3</v>
      </c>
      <c r="K69" s="13">
        <f si="11" t="shared"/>
        <v>2.366498683528959E-3</v>
      </c>
      <c r="L69" s="13">
        <f si="11" t="shared"/>
        <v>1.8326121151468255E-4</v>
      </c>
      <c r="M69" s="14">
        <f si="11" t="shared"/>
        <v>6.9186498878882731E-3</v>
      </c>
    </row>
    <row r="70" spans="1:13" x14ac:dyDescent="0.45">
      <c r="A70" s="10">
        <v>0.20833333333333334</v>
      </c>
      <c r="B70" s="14">
        <f ref="B70:F70" si="12" t="shared">B13/B$59</f>
        <v>2.7192117894400108E-2</v>
      </c>
      <c r="C70" s="14">
        <f si="12" t="shared"/>
        <v>2.2184577219697538E-2</v>
      </c>
      <c r="D70" s="14">
        <f si="12" t="shared"/>
        <v>3.8756654503656449E-3</v>
      </c>
      <c r="E70" s="14">
        <f si="12" t="shared"/>
        <v>3.8752240406847823E-4</v>
      </c>
      <c r="F70" s="14">
        <f si="12" t="shared"/>
        <v>1.5552324926715759E-2</v>
      </c>
      <c r="H70" s="10">
        <v>0.20833333333333334</v>
      </c>
      <c r="I70" s="13">
        <f ref="I70:M70" si="13" t="shared">I13/I$59</f>
        <v>2.2903170755949959E-2</v>
      </c>
      <c r="J70" s="13">
        <f si="13" t="shared"/>
        <v>1.8256910141723311E-2</v>
      </c>
      <c r="K70" s="13">
        <f si="13" t="shared"/>
        <v>4.0979464493530919E-3</v>
      </c>
      <c r="L70" s="13">
        <f si="13" t="shared"/>
        <v>2.7050116448005439E-4</v>
      </c>
      <c r="M70" s="14">
        <f si="13" t="shared"/>
        <v>1.2412286088340291E-2</v>
      </c>
    </row>
    <row r="71" spans="1:13" x14ac:dyDescent="0.45">
      <c r="A71" s="10">
        <v>0.22916666666666666</v>
      </c>
      <c r="B71" s="14">
        <f ref="B71:F71" si="14" t="shared">B14/B$59</f>
        <v>4.3047461207725193E-2</v>
      </c>
      <c r="C71" s="14">
        <f si="14" t="shared"/>
        <v>4.4867444247194618E-2</v>
      </c>
      <c r="D71" s="14">
        <f si="14" t="shared"/>
        <v>6.8279328328308747E-3</v>
      </c>
      <c r="E71" s="14">
        <f si="14" t="shared"/>
        <v>8.7495157965776244E-4</v>
      </c>
      <c r="F71" s="14">
        <f si="14" t="shared"/>
        <v>2.6235986198207193E-2</v>
      </c>
      <c r="H71" s="10">
        <v>0.22916666666666666</v>
      </c>
      <c r="I71" s="13">
        <f ref="I71:M71" si="15" t="shared">I14/I$59</f>
        <v>3.7005732964388791E-2</v>
      </c>
      <c r="J71" s="13">
        <f si="15" t="shared"/>
        <v>3.7783228164554816E-2</v>
      </c>
      <c r="K71" s="13">
        <f si="15" t="shared"/>
        <v>6.8977256260822906E-3</v>
      </c>
      <c r="L71" s="13">
        <f si="15" t="shared"/>
        <v>4.589342793143564E-4</v>
      </c>
      <c r="M71" s="14">
        <f si="15" t="shared"/>
        <v>2.1177168177488583E-2</v>
      </c>
    </row>
    <row r="72" spans="1:13" x14ac:dyDescent="0.45">
      <c r="A72" s="10">
        <v>0.25</v>
      </c>
      <c r="B72" s="14">
        <f ref="B72:F72" si="16" t="shared">B15/B$59</f>
        <v>6.234876672383572E-2</v>
      </c>
      <c r="C72" s="14">
        <f si="16" t="shared"/>
        <v>7.6340291216529771E-2</v>
      </c>
      <c r="D72" s="14">
        <f si="16" t="shared"/>
        <v>1.0947190782974986E-2</v>
      </c>
      <c r="E72" s="14">
        <f si="16" t="shared"/>
        <v>1.7536233949485569E-3</v>
      </c>
      <c r="F72" s="14">
        <f si="16" t="shared"/>
        <v>3.9992644439906758E-2</v>
      </c>
      <c r="H72" s="10">
        <v>0.25</v>
      </c>
      <c r="I72" s="13">
        <f ref="I72:M72" si="17" t="shared">I15/I$59</f>
        <v>5.5356069076527112E-2</v>
      </c>
      <c r="J72" s="13">
        <f si="17" t="shared"/>
        <v>6.6188754026465721E-2</v>
      </c>
      <c r="K72" s="13">
        <f si="17" t="shared"/>
        <v>1.0809772072460172E-2</v>
      </c>
      <c r="L72" s="13">
        <f si="17" t="shared"/>
        <v>8.3206280879184584E-4</v>
      </c>
      <c r="M72" s="14">
        <f si="17" t="shared"/>
        <v>3.3072609709848669E-2</v>
      </c>
    </row>
    <row r="73" spans="1:13" x14ac:dyDescent="0.45">
      <c r="A73" s="10">
        <v>0.27083333333333331</v>
      </c>
      <c r="B73" s="14">
        <f ref="B73:F73" si="18" t="shared">B16/B$59</f>
        <v>8.202256914896125E-2</v>
      </c>
      <c r="C73" s="14">
        <f si="18" t="shared"/>
        <v>0.11008519903085601</v>
      </c>
      <c r="D73" s="14">
        <f si="18" t="shared"/>
        <v>1.5812672956167513E-2</v>
      </c>
      <c r="E73" s="14">
        <f si="18" t="shared"/>
        <v>3.1462080257019936E-3</v>
      </c>
      <c r="F73" s="14">
        <f si="18" t="shared"/>
        <v>5.4537288121505552E-2</v>
      </c>
      <c r="H73" s="10">
        <v>0.27083333333333331</v>
      </c>
      <c r="I73" s="13">
        <f ref="I73:M73" si="19" t="shared">I16/I$59</f>
        <v>7.5273599827312021E-2</v>
      </c>
      <c r="J73" s="13">
        <f si="19" t="shared"/>
        <v>9.8842250597429154E-2</v>
      </c>
      <c r="K73" s="13">
        <f si="19" t="shared"/>
        <v>1.5511058771555408E-2</v>
      </c>
      <c r="L73" s="13">
        <f si="19" t="shared"/>
        <v>1.5285361980454345E-3</v>
      </c>
      <c r="M73" s="14">
        <f si="19" t="shared"/>
        <v>4.6428411316230926E-2</v>
      </c>
    </row>
    <row r="74" spans="1:13" x14ac:dyDescent="0.45">
      <c r="A74" s="10">
        <v>0.29166666666666669</v>
      </c>
      <c r="B74" s="14">
        <f ref="B74:F74" si="20" t="shared">B17/B$59</f>
        <v>9.752623297900434E-2</v>
      </c>
      <c r="C74" s="14">
        <f si="20" t="shared"/>
        <v>0.13528975061039672</v>
      </c>
      <c r="D74" s="14">
        <f si="20" t="shared"/>
        <v>2.0591269721275725E-2</v>
      </c>
      <c r="E74" s="14">
        <f si="20" t="shared"/>
        <v>5.104043993401081E-3</v>
      </c>
      <c r="F74" s="14">
        <f si="20" t="shared"/>
        <v>6.624038400227851E-2</v>
      </c>
      <c r="H74" s="10">
        <v>0.29166666666666669</v>
      </c>
      <c r="I74" s="13">
        <f ref="I74:M74" si="21" t="shared">I17/I$59</f>
        <v>9.2303966602732518E-2</v>
      </c>
      <c r="J74" s="13">
        <f si="21" t="shared"/>
        <v>0.12663235903416778</v>
      </c>
      <c r="K74" s="13">
        <f si="21" t="shared"/>
        <v>2.0343957901403024E-2</v>
      </c>
      <c r="L74" s="13">
        <f si="21" t="shared"/>
        <v>2.8171779897559518E-3</v>
      </c>
      <c r="M74" s="14">
        <f si="21" t="shared"/>
        <v>5.8245971377317962E-2</v>
      </c>
    </row>
    <row r="75" spans="1:13" x14ac:dyDescent="0.45">
      <c r="A75" s="10">
        <v>0.3125</v>
      </c>
      <c r="B75" s="14">
        <f ref="B75:F75" si="22" t="shared">B18/B$59</f>
        <v>0.10453965609695687</v>
      </c>
      <c r="C75" s="14">
        <f si="22" t="shared"/>
        <v>0.14229849654503363</v>
      </c>
      <c r="D75" s="14">
        <f si="22" t="shared"/>
        <v>2.4393233275139224E-2</v>
      </c>
      <c r="E75" s="14">
        <f si="22" t="shared"/>
        <v>7.6247610780463297E-3</v>
      </c>
      <c r="F75" s="14">
        <f si="22" t="shared"/>
        <v>7.1693378043162434E-2</v>
      </c>
      <c r="H75" s="10">
        <v>0.3125</v>
      </c>
      <c r="I75" s="13">
        <f ref="I75:M75" si="23" t="shared">I18/I$59</f>
        <v>0.10181090426823307</v>
      </c>
      <c r="J75" s="13">
        <f si="23" t="shared"/>
        <v>0.13995332530771512</v>
      </c>
      <c r="K75" s="13">
        <f si="23" t="shared"/>
        <v>2.4535653620047292E-2</v>
      </c>
      <c r="L75" s="13">
        <f si="23" t="shared"/>
        <v>5.2497904919500127E-3</v>
      </c>
      <c r="M75" s="14">
        <f si="23" t="shared"/>
        <v>6.5364301752781337E-2</v>
      </c>
    </row>
    <row r="76" spans="1:13" x14ac:dyDescent="0.45">
      <c r="A76" s="10">
        <v>0.33333333333333331</v>
      </c>
      <c r="B76" s="14">
        <f ref="B76:F76" si="24" t="shared">B19/B$59</f>
        <v>0.10101956263420703</v>
      </c>
      <c r="C76" s="14">
        <f si="24" t="shared"/>
        <v>0.12854943961350257</v>
      </c>
      <c r="D76" s="14">
        <f si="24" t="shared"/>
        <v>2.6756453707297102E-2</v>
      </c>
      <c r="E76" s="14">
        <f si="24" t="shared"/>
        <v>1.0845048870764576E-2</v>
      </c>
      <c r="F76" s="14">
        <f si="24" t="shared"/>
        <v>6.9548525688939544E-2</v>
      </c>
      <c r="H76" s="10">
        <v>0.33333333333333331</v>
      </c>
      <c r="I76" s="13">
        <f ref="I76:M76" si="25" t="shared">I19/I$59</f>
        <v>0.10106170764004647</v>
      </c>
      <c r="J76" s="13">
        <f si="25" t="shared"/>
        <v>0.13404640392404263</v>
      </c>
      <c r="K76" s="13">
        <f si="25" t="shared"/>
        <v>2.7517649328658685E-2</v>
      </c>
      <c r="L76" s="13">
        <f si="25" t="shared"/>
        <v>9.7878922316983717E-3</v>
      </c>
      <c r="M76" s="14">
        <f si="25" t="shared"/>
        <v>6.6012559969286622E-2</v>
      </c>
    </row>
    <row r="77" spans="1:13" x14ac:dyDescent="0.45">
      <c r="A77" s="10">
        <v>0.35416666666666669</v>
      </c>
      <c r="B77" s="14">
        <f ref="B77:F77" si="26" t="shared">B20/B$59</f>
        <v>8.8293051133099931E-2</v>
      </c>
      <c r="C77" s="14">
        <f si="26" t="shared"/>
        <v>0.10012210592793432</v>
      </c>
      <c r="D77" s="14">
        <f si="26" t="shared"/>
        <v>2.7869372775069717E-2</v>
      </c>
      <c r="E77" s="14">
        <f si="26" t="shared"/>
        <v>1.543109140757129E-2</v>
      </c>
      <c r="F77" s="14">
        <f si="26" t="shared"/>
        <v>6.1283589298640029E-2</v>
      </c>
      <c r="H77" s="10">
        <v>0.35416666666666669</v>
      </c>
      <c r="I77" s="13">
        <f ref="I77:M77" si="27" t="shared">I20/I$59</f>
        <v>9.0565373194783083E-2</v>
      </c>
      <c r="J77" s="13">
        <f si="27" t="shared"/>
        <v>0.11169027901615364</v>
      </c>
      <c r="K77" s="13">
        <f si="27" t="shared"/>
        <v>2.9158709266505801E-2</v>
      </c>
      <c r="L77" s="13">
        <f si="27" t="shared"/>
        <v>1.7655687885335742E-2</v>
      </c>
      <c r="M77" s="14">
        <f si="27" t="shared"/>
        <v>6.0717792124936151E-2</v>
      </c>
    </row>
    <row r="78" spans="1:13" x14ac:dyDescent="0.45">
      <c r="A78" s="10">
        <v>0.375</v>
      </c>
      <c r="B78" s="14">
        <f ref="B78:F78" si="28" t="shared">B21/B$59</f>
        <v>7.0388665440473744E-2</v>
      </c>
      <c r="C78" s="14">
        <f si="28" t="shared"/>
        <v>6.7646682112451062E-2</v>
      </c>
      <c r="D78" s="14">
        <f si="28" t="shared"/>
        <v>2.8338532650738293E-2</v>
      </c>
      <c r="E78" s="14">
        <f si="28" t="shared"/>
        <v>2.2930760760757871E-2</v>
      </c>
      <c r="F78" s="14">
        <f si="28" t="shared"/>
        <v>5.0306069802018009E-2</v>
      </c>
      <c r="H78" s="10">
        <v>0.375</v>
      </c>
      <c r="I78" s="13">
        <f ref="I78:M78" si="29" t="shared">I21/I$59</f>
        <v>7.3787950287197784E-2</v>
      </c>
      <c r="J78" s="13">
        <f si="29" t="shared"/>
        <v>8.1244540956301306E-2</v>
      </c>
      <c r="K78" s="13">
        <f si="29" t="shared"/>
        <v>2.9747618393368053E-2</v>
      </c>
      <c r="L78" s="13">
        <f si="29" t="shared"/>
        <v>2.9760160885451789E-2</v>
      </c>
      <c r="M78" s="14">
        <f si="29" t="shared"/>
        <v>5.1926125185457257E-2</v>
      </c>
    </row>
    <row r="79" spans="1:13" x14ac:dyDescent="0.45">
      <c r="A79" s="10">
        <v>0.39583333333333331</v>
      </c>
      <c r="B79" s="14">
        <f ref="B79:F79" si="30" t="shared">B22/B$59</f>
        <v>5.2056591042737063E-2</v>
      </c>
      <c r="C79" s="14">
        <f si="30" t="shared"/>
        <v>4.0185898686199491E-2</v>
      </c>
      <c r="D79" s="14">
        <f si="30" t="shared"/>
        <v>2.8703587705417342E-2</v>
      </c>
      <c r="E79" s="14">
        <f si="30" t="shared"/>
        <v>3.5512186442074066E-2</v>
      </c>
      <c r="F79" s="14">
        <f si="30" t="shared"/>
        <v>4.0114186564033538E-2</v>
      </c>
      <c r="H79" s="10">
        <v>0.39583333333333331</v>
      </c>
      <c r="I79" s="13">
        <f ref="I79:M79" si="31" t="shared">I22/I$59</f>
        <v>5.5439302093029538E-2</v>
      </c>
      <c r="J79" s="13">
        <f si="31" t="shared"/>
        <v>5.1835812187617583E-2</v>
      </c>
      <c r="K79" s="13">
        <f si="31" t="shared"/>
        <v>2.9743015969090056E-2</v>
      </c>
      <c r="L79" s="13">
        <f si="31" t="shared"/>
        <v>4.5920533587572358E-2</v>
      </c>
      <c r="M79" s="14">
        <f si="31" t="shared"/>
        <v>4.2644240093152812E-2</v>
      </c>
    </row>
    <row r="80" spans="1:13" x14ac:dyDescent="0.45">
      <c r="A80" s="10">
        <v>0.41666666666666669</v>
      </c>
      <c r="B80" s="14">
        <f ref="B80:F80" si="32" t="shared">B23/B$59</f>
        <v>3.6811248129361429E-2</v>
      </c>
      <c r="C80" s="14">
        <f si="32" t="shared"/>
        <v>2.1699977034080876E-2</v>
      </c>
      <c r="D80" s="14">
        <f si="32" t="shared"/>
        <v>2.9096786926779236E-2</v>
      </c>
      <c r="E80" s="14">
        <f si="32" t="shared"/>
        <v>5.4564956124824662E-2</v>
      </c>
      <c r="F80" s="14">
        <f si="32" t="shared"/>
        <v>3.2803723252769854E-2</v>
      </c>
      <c r="H80" s="10">
        <v>0.41666666666666669</v>
      </c>
      <c r="I80" s="13">
        <f ref="I80:M80" si="33" t="shared">I23/I$59</f>
        <v>3.9448617622467777E-2</v>
      </c>
      <c r="J80" s="13">
        <f si="33" t="shared"/>
        <v>2.9291240359414595E-2</v>
      </c>
      <c r="K80" s="13">
        <f si="33" t="shared"/>
        <v>2.9505333177262866E-2</v>
      </c>
      <c r="L80" s="13">
        <f si="33" t="shared"/>
        <v>6.4466968179014525E-2</v>
      </c>
      <c r="M80" s="14">
        <f si="33" t="shared"/>
        <v>3.5070037988245858E-2</v>
      </c>
    </row>
    <row r="81" spans="1:13" x14ac:dyDescent="0.45">
      <c r="A81" s="10">
        <v>0.4375</v>
      </c>
      <c r="B81" s="14">
        <f ref="B81:F81" si="34" t="shared">B24/B$59</f>
        <v>2.6087025184219619E-2</v>
      </c>
      <c r="C81" s="14">
        <f si="34" t="shared"/>
        <v>1.1514488761948487E-2</v>
      </c>
      <c r="D81" s="14">
        <f si="34" t="shared"/>
        <v>2.9283139597340649E-2</v>
      </c>
      <c r="E81" s="14">
        <f si="34" t="shared"/>
        <v>7.8597503601428906E-2</v>
      </c>
      <c r="F81" s="14">
        <f si="34" t="shared"/>
        <v>2.8674894251845977E-2</v>
      </c>
      <c r="H81" s="10">
        <v>0.4375</v>
      </c>
      <c r="I81" s="13">
        <f ref="I81:M81" si="35" t="shared">I24/I$59</f>
        <v>2.7786067327093284E-2</v>
      </c>
      <c r="J81" s="13">
        <f si="35" t="shared"/>
        <v>1.5019537130440656E-2</v>
      </c>
      <c r="K81" s="13">
        <f si="35" t="shared"/>
        <v>2.9223096330703944E-2</v>
      </c>
      <c r="L81" s="13">
        <f si="35" t="shared"/>
        <v>8.2532780284988227E-2</v>
      </c>
      <c r="M81" s="14">
        <f si="35" t="shared"/>
        <v>3.0012915771093076E-2</v>
      </c>
    </row>
    <row r="82" spans="1:13" x14ac:dyDescent="0.45">
      <c r="A82" s="10">
        <v>0.45833333333333331</v>
      </c>
      <c r="B82" s="14">
        <f ref="B82:F82" si="36" t="shared">B25/B$59</f>
        <v>1.9600201714144058E-2</v>
      </c>
      <c r="C82" s="14">
        <f si="36" t="shared"/>
        <v>6.8716411341301249E-3</v>
      </c>
      <c r="D82" s="14">
        <f si="36" t="shared"/>
        <v>2.8996391732322397E-2</v>
      </c>
      <c r="E82" s="14">
        <f si="36" t="shared"/>
        <v>0.10221144611416164</v>
      </c>
      <c r="F82" s="14">
        <f si="36" t="shared"/>
        <v>2.6794130840773357E-2</v>
      </c>
      <c r="H82" s="10">
        <v>0.45833333333333331</v>
      </c>
      <c r="I82" s="13">
        <f ref="I82:M82" si="37" t="shared">I25/I$59</f>
        <v>2.0513724949110353E-2</v>
      </c>
      <c r="J82" s="13">
        <f si="37" t="shared"/>
        <v>7.4138562186026073E-3</v>
      </c>
      <c r="K82" s="13">
        <f si="37" t="shared"/>
        <v>2.9023477477517334E-2</v>
      </c>
      <c r="L82" s="13">
        <f si="37" t="shared"/>
        <v>9.6810381884445379E-2</v>
      </c>
      <c r="M82" s="14">
        <f si="37" t="shared"/>
        <v>2.7174146935102204E-2</v>
      </c>
    </row>
    <row r="83" spans="1:13" x14ac:dyDescent="0.45">
      <c r="A83" s="10">
        <v>0.47916666666666669</v>
      </c>
      <c r="B83" s="14">
        <f ref="B83:F83" si="38" t="shared">B26/B$59</f>
        <v>1.6240236069040535E-2</v>
      </c>
      <c r="C83" s="14">
        <f si="38" t="shared"/>
        <v>5.1077334591304964E-3</v>
      </c>
      <c r="D83" s="14">
        <f si="38" t="shared"/>
        <v>2.8276695134854188E-2</v>
      </c>
      <c r="E83" s="14">
        <f si="38" t="shared"/>
        <v>0.11791011557172276</v>
      </c>
      <c r="F83" s="14">
        <f si="38" t="shared"/>
        <v>2.5897240152540343E-2</v>
      </c>
      <c r="H83" s="10">
        <v>0.47916666666666669</v>
      </c>
      <c r="I83" s="13">
        <f ref="I83:M83" si="39" t="shared">I26/I$59</f>
        <v>1.660545327127862E-2</v>
      </c>
      <c r="J83" s="13">
        <f si="39" t="shared"/>
        <v>3.9555201149077774E-3</v>
      </c>
      <c r="K83" s="13">
        <f si="39" t="shared"/>
        <v>2.9066404035525049E-2</v>
      </c>
      <c r="L83" s="13">
        <f si="39" t="shared"/>
        <v>0.10439748801952659</v>
      </c>
      <c r="M83" s="14">
        <f si="39" t="shared"/>
        <v>2.5788253225741142E-2</v>
      </c>
    </row>
    <row r="84" spans="1:13" x14ac:dyDescent="0.45">
      <c r="A84" s="10">
        <v>0.5</v>
      </c>
      <c r="B84" s="14">
        <f ref="B84:F84" si="40" t="shared">B27/B$59</f>
        <v>1.4798132712766044E-2</v>
      </c>
      <c r="C84" s="14">
        <f si="40" t="shared"/>
        <v>4.5017007320948864E-3</v>
      </c>
      <c r="D84" s="14">
        <f si="40" t="shared"/>
        <v>2.7546865424938012E-2</v>
      </c>
      <c r="E84" s="14">
        <f si="40" t="shared"/>
        <v>0.12020219680205768</v>
      </c>
      <c r="F84" s="14">
        <f si="40" t="shared"/>
        <v>2.5086365418869074E-2</v>
      </c>
      <c r="H84" s="10">
        <v>0.5</v>
      </c>
      <c r="I84" s="13">
        <f ref="I84:M84" si="41" t="shared">I27/I$59</f>
        <v>1.4806423366304493E-2</v>
      </c>
      <c r="J84" s="13">
        <f si="41" t="shared"/>
        <v>2.6011808841968557E-3</v>
      </c>
      <c r="K84" s="13">
        <f si="41" t="shared"/>
        <v>2.9483622953540366E-2</v>
      </c>
      <c r="L84" s="13">
        <f si="41" t="shared"/>
        <v>0.10366413615147278</v>
      </c>
      <c r="M84" s="14">
        <f si="41" t="shared"/>
        <v>2.5122669504021887E-2</v>
      </c>
    </row>
    <row r="85" spans="1:13" x14ac:dyDescent="0.45">
      <c r="A85" s="10">
        <v>0.52083333333333337</v>
      </c>
      <c r="B85" s="14">
        <f ref="B85:F85" si="42" t="shared">B28/B$59</f>
        <v>1.4293957337639674E-2</v>
      </c>
      <c r="C85" s="14">
        <f si="42" t="shared"/>
        <v>4.1933502019481008E-3</v>
      </c>
      <c r="D85" s="14">
        <f si="42" t="shared"/>
        <v>2.7379007367691416E-2</v>
      </c>
      <c r="E85" s="14">
        <f si="42" t="shared"/>
        <v>0.10891980219763939</v>
      </c>
      <c r="F85" s="14">
        <f si="42" t="shared"/>
        <v>2.4066372180207546E-2</v>
      </c>
      <c r="H85" s="10">
        <v>0.52083333333333337</v>
      </c>
      <c r="I85" s="13">
        <f ref="I85:M85" si="43" t="shared">I28/I$59</f>
        <v>1.4107461158629365E-2</v>
      </c>
      <c r="J85" s="13">
        <f si="43" t="shared"/>
        <v>2.1645449751084346E-3</v>
      </c>
      <c r="K85" s="13">
        <f si="43" t="shared"/>
        <v>3.0246704619594555E-2</v>
      </c>
      <c r="L85" s="13">
        <f si="43" t="shared"/>
        <v>9.5038191326894977E-2</v>
      </c>
      <c r="M85" s="14">
        <f si="43" t="shared"/>
        <v>2.4679566098297984E-2</v>
      </c>
    </row>
    <row r="86" spans="1:13" x14ac:dyDescent="0.45">
      <c r="A86" s="10">
        <v>0.54166666666666663</v>
      </c>
      <c r="B86" s="14">
        <f ref="B86:F86" si="44" t="shared">B29/B$59</f>
        <v>1.4035623995997244E-2</v>
      </c>
      <c r="C86" s="14">
        <f si="44" t="shared"/>
        <v>3.8520007119755648E-3</v>
      </c>
      <c r="D86" s="14">
        <f si="44" t="shared"/>
        <v>2.8129179703701983E-2</v>
      </c>
      <c r="E86" s="14">
        <f si="44" t="shared"/>
        <v>8.8989939337570101E-2</v>
      </c>
      <c r="F86" s="14">
        <f si="44" t="shared"/>
        <v>2.2963870397675092E-2</v>
      </c>
      <c r="H86" s="10">
        <v>0.54166666666666663</v>
      </c>
      <c r="I86" s="13">
        <f ref="I86:M86" si="45" t="shared">I29/I$59</f>
        <v>1.3840138672368748E-2</v>
      </c>
      <c r="J86" s="13">
        <f si="45" t="shared"/>
        <v>2.1200357411058912E-3</v>
      </c>
      <c r="K86" s="13">
        <f si="45" t="shared"/>
        <v>3.1153906946542648E-2</v>
      </c>
      <c r="L86" s="13">
        <f si="45" t="shared"/>
        <v>8.1109120066809176E-2</v>
      </c>
      <c r="M86" s="14">
        <f si="45" t="shared"/>
        <v>2.4206677745846669E-2</v>
      </c>
    </row>
    <row r="87" spans="1:13" x14ac:dyDescent="0.45">
      <c r="A87" s="10">
        <v>0.5625</v>
      </c>
      <c r="B87" s="14">
        <f ref="B87:F87" si="46" t="shared">B30/B$59</f>
        <v>1.3598344130151744E-2</v>
      </c>
      <c r="C87" s="14">
        <f si="46" t="shared"/>
        <v>3.4385665398787096E-3</v>
      </c>
      <c r="D87" s="14">
        <f si="46" t="shared"/>
        <v>2.9701972165187707E-2</v>
      </c>
      <c r="E87" s="14">
        <f si="46" t="shared"/>
        <v>6.7074391972688691E-2</v>
      </c>
      <c r="F87" s="14">
        <f si="46" t="shared"/>
        <v>2.1982122320407402E-2</v>
      </c>
      <c r="H87" s="10">
        <v>0.5625</v>
      </c>
      <c r="I87" s="13">
        <f ref="I87:M87" si="47" t="shared">I30/I$59</f>
        <v>1.3599979521398334E-2</v>
      </c>
      <c r="J87" s="13">
        <f si="47" t="shared"/>
        <v>2.2977017509989454E-3</v>
      </c>
      <c r="K87" s="13">
        <f si="47" t="shared"/>
        <v>3.1998247211966702E-2</v>
      </c>
      <c r="L87" s="13">
        <f si="47" t="shared"/>
        <v>6.5521293068491776E-2</v>
      </c>
      <c r="M87" s="14">
        <f si="47" t="shared"/>
        <v>2.3647552334429039E-2</v>
      </c>
    </row>
    <row r="88" spans="1:13" x14ac:dyDescent="0.45">
      <c r="A88" s="10">
        <v>0.58333333333333337</v>
      </c>
      <c r="B88" s="14">
        <f ref="B88:F88" si="48" t="shared">B31/B$59</f>
        <v>1.280085564417675E-2</v>
      </c>
      <c r="C88" s="14">
        <f si="48" t="shared"/>
        <v>3.0816667507524969E-3</v>
      </c>
      <c r="D88" s="14">
        <f si="48" t="shared"/>
        <v>3.1617449083862902E-2</v>
      </c>
      <c r="E88" s="14">
        <f si="48" t="shared"/>
        <v>4.8045961652623342E-2</v>
      </c>
      <c r="F88" s="14">
        <f si="48" t="shared"/>
        <v>2.1180184153284987E-2</v>
      </c>
      <c r="H88" s="10">
        <v>0.58333333333333337</v>
      </c>
      <c r="I88" s="13">
        <f ref="I88:M88" si="49" t="shared">I31/I$59</f>
        <v>1.3161760004749799E-2</v>
      </c>
      <c r="J88" s="13">
        <f si="49" t="shared"/>
        <v>2.675387214063788E-3</v>
      </c>
      <c r="K88" s="13">
        <f si="49" t="shared"/>
        <v>3.2773927863726592E-2</v>
      </c>
      <c r="L88" s="13">
        <f si="49" t="shared"/>
        <v>5.120615615904936E-2</v>
      </c>
      <c r="M88" s="14">
        <f si="49" t="shared"/>
        <v>2.3080845309308099E-2</v>
      </c>
    </row>
    <row r="89" spans="1:13" x14ac:dyDescent="0.45">
      <c r="A89" s="10">
        <v>0.60416666666666663</v>
      </c>
      <c r="B89" s="14">
        <f ref="B89:F89" si="50" t="shared">B32/B$59</f>
        <v>1.1668452360216418E-2</v>
      </c>
      <c r="C89" s="14">
        <f si="50" t="shared"/>
        <v>2.9882698242951213E-3</v>
      </c>
      <c r="D89" s="14">
        <f si="50" t="shared"/>
        <v>3.3357170099990015E-2</v>
      </c>
      <c r="E89" s="14">
        <f si="50" t="shared"/>
        <v>3.367973456311834E-2</v>
      </c>
      <c r="F89" s="14">
        <f si="50" t="shared"/>
        <v>2.050143355342508E-2</v>
      </c>
      <c r="H89" s="10">
        <v>0.60416666666666663</v>
      </c>
      <c r="I89" s="13">
        <f ref="I89:M89" si="51" t="shared">I32/I$59</f>
        <v>1.2435022594174784E-2</v>
      </c>
      <c r="J89" s="13">
        <f si="51" t="shared"/>
        <v>3.2677846466744329E-3</v>
      </c>
      <c r="K89" s="13">
        <f si="51" t="shared"/>
        <v>3.371960668550017E-2</v>
      </c>
      <c r="L89" s="13">
        <f si="51" t="shared"/>
        <v>3.9319931637045911E-2</v>
      </c>
      <c r="M89" s="14">
        <f si="51" t="shared"/>
        <v>2.2650673468598812E-2</v>
      </c>
    </row>
    <row r="90" spans="1:13" x14ac:dyDescent="0.45">
      <c r="A90" s="10">
        <v>0.625</v>
      </c>
      <c r="B90" s="14">
        <f ref="B90:F90" si="52" t="shared">B33/B$59</f>
        <v>1.0363142322853987E-2</v>
      </c>
      <c r="C90" s="14">
        <f si="52" t="shared"/>
        <v>3.3429572720508768E-3</v>
      </c>
      <c r="D90" s="14">
        <f si="52" t="shared"/>
        <v>3.4771698518930194E-2</v>
      </c>
      <c r="E90" s="14">
        <f si="52" t="shared"/>
        <v>2.3513879503974284E-2</v>
      </c>
      <c r="F90" s="14">
        <f si="52" t="shared"/>
        <v>1.9947871706330712E-2</v>
      </c>
      <c r="H90" s="10">
        <v>0.625</v>
      </c>
      <c r="I90" s="13">
        <f ref="I90:M90" si="53" t="shared">I33/I$59</f>
        <v>1.1442782836281676E-2</v>
      </c>
      <c r="J90" s="13">
        <f si="53" t="shared"/>
        <v>4.0573525314812888E-3</v>
      </c>
      <c r="K90" s="13">
        <f si="53" t="shared"/>
        <v>3.5141631213685305E-2</v>
      </c>
      <c r="L90" s="13">
        <f si="53" t="shared"/>
        <v>2.9600737416004077E-2</v>
      </c>
      <c r="M90" s="14">
        <f si="53" t="shared"/>
        <v>2.2489452248227754E-2</v>
      </c>
    </row>
    <row r="91" spans="1:13" x14ac:dyDescent="0.45">
      <c r="A91" s="10">
        <v>0.64583333333333337</v>
      </c>
      <c r="B91" s="14">
        <f ref="B91:F91" si="54" t="shared">B34/B$59</f>
        <v>9.0833713668614455E-3</v>
      </c>
      <c r="C91" s="14">
        <f si="54" t="shared"/>
        <v>4.1996081943119316E-3</v>
      </c>
      <c r="D91" s="14">
        <f si="54" t="shared"/>
        <v>3.6258832245621139E-2</v>
      </c>
      <c r="E91" s="14">
        <f si="54" t="shared"/>
        <v>1.6357766728736543E-2</v>
      </c>
      <c r="F91" s="14">
        <f si="54" t="shared"/>
        <v>1.9690492271568737E-2</v>
      </c>
      <c r="H91" s="10">
        <v>0.64583333333333337</v>
      </c>
      <c r="I91" s="13">
        <f ref="I91:M91" si="55" t="shared">I34/I$59</f>
        <v>1.0296069854963164E-2</v>
      </c>
      <c r="J91" s="13">
        <f si="55" t="shared"/>
        <v>4.947394737679113E-3</v>
      </c>
      <c r="K91" s="13">
        <f si="55" t="shared"/>
        <v>3.7161836495087051E-2</v>
      </c>
      <c r="L91" s="13">
        <f si="55" t="shared"/>
        <v>2.1478481458141702E-2</v>
      </c>
      <c r="M91" s="14">
        <f si="55" t="shared"/>
        <v>2.2649743759299359E-2</v>
      </c>
    </row>
    <row r="92" spans="1:13" x14ac:dyDescent="0.45">
      <c r="A92" s="10">
        <v>0.66666666666666663</v>
      </c>
      <c r="B92" s="14">
        <f ref="B92:F92" si="56" t="shared">B35/B$59</f>
        <v>7.9616345279930455E-3</v>
      </c>
      <c r="C92" s="14">
        <f si="56" t="shared"/>
        <v>5.3992559110695804E-3</v>
      </c>
      <c r="D92" s="14">
        <f si="56" t="shared"/>
        <v>3.8536569801872679E-2</v>
      </c>
      <c r="E92" s="14">
        <f si="56" t="shared"/>
        <v>1.1246171329904011E-2</v>
      </c>
      <c r="F92" s="14">
        <f si="56" t="shared"/>
        <v>1.9986333378515436E-2</v>
      </c>
      <c r="H92" s="10">
        <v>0.66666666666666663</v>
      </c>
      <c r="I92" s="13">
        <f ref="I92:M92" si="57" t="shared">I35/I$59</f>
        <v>9.1455787147470321E-3</v>
      </c>
      <c r="J92" s="13">
        <f si="57" t="shared"/>
        <v>5.7586577257344677E-3</v>
      </c>
      <c r="K92" s="13">
        <f si="57" t="shared"/>
        <v>3.9592660183437683E-2</v>
      </c>
      <c r="L92" s="13">
        <f si="57" t="shared"/>
        <v>1.4795265718893452E-2</v>
      </c>
      <c r="M92" s="14">
        <f si="57" t="shared"/>
        <v>2.3069563351258055E-2</v>
      </c>
    </row>
    <row r="93" spans="1:13" x14ac:dyDescent="0.45">
      <c r="A93" s="10">
        <v>0.6875</v>
      </c>
      <c r="B93" s="14">
        <f ref="B93:F93" si="58" t="shared">B36/B$59</f>
        <v>7.0077044565774209E-3</v>
      </c>
      <c r="C93" s="14">
        <f si="58" t="shared"/>
        <v>6.5688844035450894E-3</v>
      </c>
      <c r="D93" s="14">
        <f si="58" t="shared"/>
        <v>4.2080857094695341E-2</v>
      </c>
      <c r="E93" s="14">
        <f si="58" t="shared"/>
        <v>7.6339808036852618E-3</v>
      </c>
      <c r="F93" s="14">
        <f si="58" t="shared"/>
        <v>2.0943884902731469E-2</v>
      </c>
      <c r="H93" s="10">
        <v>0.6875</v>
      </c>
      <c r="I93" s="13">
        <f ref="I93:M93" si="59" t="shared">I36/I$59</f>
        <v>8.1115573390879402E-3</v>
      </c>
      <c r="J93" s="13">
        <f si="59" t="shared"/>
        <v>6.283897201022519E-3</v>
      </c>
      <c r="K93" s="13">
        <f si="59" t="shared"/>
        <v>4.2001062052811129E-2</v>
      </c>
      <c r="L93" s="13">
        <f si="59" t="shared"/>
        <v>9.726479557157686E-3</v>
      </c>
      <c r="M93" s="14">
        <f si="59" t="shared"/>
        <v>2.357839890297049E-2</v>
      </c>
    </row>
    <row r="94" spans="1:13" x14ac:dyDescent="0.45">
      <c r="A94" s="10">
        <v>0.70833333333333337</v>
      </c>
      <c r="B94" s="14">
        <f ref="B94:F94" si="60" t="shared">B37/B$59</f>
        <v>6.1321660171411016E-3</v>
      </c>
      <c r="C94" s="14">
        <f si="60" t="shared"/>
        <v>7.2480126834848155E-3</v>
      </c>
      <c r="D94" s="14">
        <f si="60" t="shared"/>
        <v>4.6540438861438028E-2</v>
      </c>
      <c r="E94" s="14">
        <f si="60" t="shared"/>
        <v>5.2025035290614299E-3</v>
      </c>
      <c r="F94" s="14">
        <f si="60" t="shared"/>
        <v>2.2304775122569745E-2</v>
      </c>
      <c r="H94" s="10">
        <v>0.70833333333333337</v>
      </c>
      <c r="I94" s="13">
        <f ref="I94:M94" si="61" t="shared">I37/I$59</f>
        <v>7.2235901560590695E-3</v>
      </c>
      <c r="J94" s="13">
        <f si="61" t="shared"/>
        <v>6.3699228517245477E-3</v>
      </c>
      <c r="K94" s="13">
        <f si="61" t="shared"/>
        <v>4.3848456963513575E-2</v>
      </c>
      <c r="L94" s="13">
        <f si="61" t="shared"/>
        <v>6.3407381464903488E-3</v>
      </c>
      <c r="M94" s="14">
        <f si="61" t="shared"/>
        <v>2.3924671743111761E-2</v>
      </c>
    </row>
    <row r="95" spans="1:13" x14ac:dyDescent="0.45">
      <c r="A95" s="10">
        <v>0.72916666666666663</v>
      </c>
      <c r="B95" s="14">
        <f ref="B95:F95" si="62" t="shared">B38/B$59</f>
        <v>5.2316271454103938E-3</v>
      </c>
      <c r="C95" s="14">
        <f si="62" t="shared"/>
        <v>7.1125567181561464E-3</v>
      </c>
      <c r="D95" s="14">
        <f si="62" t="shared"/>
        <v>5.054982670783606E-2</v>
      </c>
      <c r="E95" s="14">
        <f si="62" t="shared"/>
        <v>3.6586520561864904E-3</v>
      </c>
      <c r="F95" s="14">
        <f si="62" t="shared"/>
        <v>2.3421528348355206E-2</v>
      </c>
      <c r="H95" s="10">
        <v>0.72916666666666663</v>
      </c>
      <c r="I95" s="13">
        <f ref="I95:M95" si="63" t="shared">I38/I$59</f>
        <v>6.4152260209052615E-3</v>
      </c>
      <c r="J95" s="13">
        <f si="63" t="shared"/>
        <v>5.9742471245659411E-3</v>
      </c>
      <c r="K95" s="13">
        <f si="63" t="shared"/>
        <v>4.4596236941640388E-2</v>
      </c>
      <c r="L95" s="13">
        <f si="63" t="shared"/>
        <v>4.3602950725771684E-3</v>
      </c>
      <c r="M95" s="14">
        <f si="63" t="shared"/>
        <v>2.3815584041150195E-2</v>
      </c>
    </row>
    <row r="96" spans="1:13" x14ac:dyDescent="0.45">
      <c r="A96" s="10">
        <v>0.75</v>
      </c>
      <c r="B96" s="14">
        <f ref="B96:F96" si="64" t="shared">B39/B$59</f>
        <v>4.2694983847176987E-3</v>
      </c>
      <c r="C96" s="14">
        <f si="64" t="shared"/>
        <v>6.1585744581859501E-3</v>
      </c>
      <c r="D96" s="14">
        <f si="64" t="shared"/>
        <v>5.2213123140022112E-2</v>
      </c>
      <c r="E96" s="14">
        <f si="64" t="shared"/>
        <v>2.6836737559898997E-3</v>
      </c>
      <c r="F96" s="14">
        <f si="64" t="shared"/>
        <v>2.3504420335049209E-2</v>
      </c>
      <c r="H96" s="10">
        <v>0.75</v>
      </c>
      <c r="I96" s="13">
        <f ref="I96:M96" si="65" t="shared">I39/I$59</f>
        <v>5.5865595016055831E-3</v>
      </c>
      <c r="J96" s="13">
        <f si="65" t="shared"/>
        <v>5.172431480858667E-3</v>
      </c>
      <c r="K96" s="13">
        <f si="65" t="shared"/>
        <v>4.3808177696172672E-2</v>
      </c>
      <c r="L96" s="13">
        <f si="65" t="shared"/>
        <v>3.274844258500081E-3</v>
      </c>
      <c r="M96" s="14">
        <f si="65" t="shared"/>
        <v>2.2994299028123461E-2</v>
      </c>
    </row>
    <row r="97" spans="1:13" x14ac:dyDescent="0.45">
      <c r="A97" s="10">
        <v>0.77083333333333337</v>
      </c>
      <c r="B97" s="14">
        <f ref="B97:F97" si="66" t="shared">B40/B$59</f>
        <v>3.2959753959710485E-3</v>
      </c>
      <c r="C97" s="14">
        <f si="66" t="shared"/>
        <v>4.7000195281157366E-3</v>
      </c>
      <c r="D97" s="14">
        <f si="66" t="shared"/>
        <v>5.0092405190388427E-2</v>
      </c>
      <c r="E97" s="14">
        <f si="66" t="shared"/>
        <v>1.9970662077472803E-3</v>
      </c>
      <c r="F97" s="14">
        <f si="66" t="shared"/>
        <v>2.2026549693034945E-2</v>
      </c>
      <c r="H97" s="10">
        <v>0.77083333333333337</v>
      </c>
      <c r="I97" s="13">
        <f ref="I97:M97" si="67" t="shared">I40/I$59</f>
        <v>4.6905271577941691E-3</v>
      </c>
      <c r="J97" s="13">
        <f si="67" t="shared"/>
        <v>4.129113584898883E-3</v>
      </c>
      <c r="K97" s="13">
        <f si="67" t="shared"/>
        <v>4.1309571499713892E-2</v>
      </c>
      <c r="L97" s="13">
        <f si="67" t="shared"/>
        <v>2.6064810195779919E-3</v>
      </c>
      <c r="M97" s="14">
        <f si="67" t="shared"/>
        <v>2.1356035600314103E-2</v>
      </c>
    </row>
    <row r="98" spans="1:13" x14ac:dyDescent="0.45">
      <c r="A98" s="10">
        <v>0.79166666666666663</v>
      </c>
      <c r="B98" s="14">
        <f ref="B98:F98" si="68" t="shared">B41/B$59</f>
        <v>2.4065384767258252E-3</v>
      </c>
      <c r="C98" s="14">
        <f si="68" t="shared"/>
        <v>3.1759766444654221E-3</v>
      </c>
      <c r="D98" s="14">
        <f si="68" t="shared"/>
        <v>4.4072717100435393E-2</v>
      </c>
      <c r="E98" s="14">
        <f si="68" t="shared"/>
        <v>1.4311577094664951E-3</v>
      </c>
      <c r="F98" s="14">
        <f si="68" t="shared"/>
        <v>1.9029799333139231E-2</v>
      </c>
      <c r="H98" s="10">
        <v>0.79166666666666663</v>
      </c>
      <c r="I98" s="13">
        <f ref="I98:M98" si="69" t="shared">I41/I$59</f>
        <v>3.7730020899868545E-3</v>
      </c>
      <c r="J98" s="13">
        <f si="69" t="shared"/>
        <v>3.048173777727516E-3</v>
      </c>
      <c r="K98" s="13">
        <f si="69" t="shared"/>
        <v>3.7310378816968588E-2</v>
      </c>
      <c r="L98" s="13">
        <f si="69" t="shared"/>
        <v>2.0822816994871111E-3</v>
      </c>
      <c r="M98" s="14">
        <f si="69" t="shared"/>
        <v>1.902309134851108E-2</v>
      </c>
    </row>
    <row r="99" spans="1:13" x14ac:dyDescent="0.45">
      <c r="A99" s="10">
        <v>0.8125</v>
      </c>
      <c r="B99" s="14">
        <f ref="B99:F99" si="70" t="shared">B42/B$59</f>
        <v>1.6821656790440664E-3</v>
      </c>
      <c r="C99" s="14">
        <f si="70" t="shared"/>
        <v>1.9209495314831276E-3</v>
      </c>
      <c r="D99" s="14">
        <f si="70" t="shared"/>
        <v>3.5464842308576355E-2</v>
      </c>
      <c r="E99" s="14">
        <f si="70" t="shared"/>
        <v>9.4208996344644135E-4</v>
      </c>
      <c r="F99" s="14">
        <f si="70" t="shared"/>
        <v>1.5111105398391556E-2</v>
      </c>
      <c r="H99" s="10">
        <v>0.8125</v>
      </c>
      <c r="I99" s="13">
        <f ref="I99:M99" si="71" t="shared">I42/I$59</f>
        <v>2.9353773481602557E-3</v>
      </c>
      <c r="J99" s="13">
        <f si="71" t="shared"/>
        <v>2.1086452786635767E-3</v>
      </c>
      <c r="K99" s="13">
        <f si="71" t="shared"/>
        <v>3.2327964906424554E-2</v>
      </c>
      <c r="L99" s="13">
        <f si="71" t="shared"/>
        <v>1.6299857466063224E-3</v>
      </c>
      <c r="M99" s="14">
        <f si="71" t="shared"/>
        <v>1.6287763193940916E-2</v>
      </c>
    </row>
    <row r="100" spans="1:13" x14ac:dyDescent="0.45">
      <c r="A100" s="10">
        <v>0.83333333333333337</v>
      </c>
      <c r="B100" s="14">
        <f ref="B100:F100" si="72" t="shared">B43/B$59</f>
        <v>1.1531654074510916E-3</v>
      </c>
      <c r="C100" s="14">
        <f si="72" t="shared"/>
        <v>1.058384451749681E-3</v>
      </c>
      <c r="D100" s="14">
        <f si="72" t="shared"/>
        <v>2.6272937538523548E-2</v>
      </c>
      <c r="E100" s="14">
        <f si="72" t="shared"/>
        <v>5.5529168107466321E-4</v>
      </c>
      <c r="F100" s="14">
        <f si="72" t="shared"/>
        <v>1.1098557840201202E-2</v>
      </c>
      <c r="H100" s="10">
        <v>0.83333333333333337</v>
      </c>
      <c r="I100" s="13">
        <f ref="I100:M100" si="73" t="shared">I43/I$59</f>
        <v>2.2574729361248165E-3</v>
      </c>
      <c r="J100" s="13">
        <f si="73" t="shared"/>
        <v>1.4069937632592039E-3</v>
      </c>
      <c r="K100" s="13">
        <f si="73" t="shared"/>
        <v>2.6928506221280082E-2</v>
      </c>
      <c r="L100" s="13">
        <f si="73" t="shared"/>
        <v>1.2677956702902729E-3</v>
      </c>
      <c r="M100" s="14">
        <f si="73" t="shared"/>
        <v>1.3452185281887241E-2</v>
      </c>
    </row>
    <row r="101" spans="1:13" x14ac:dyDescent="0.45">
      <c r="A101" s="10">
        <v>0.85416666666666663</v>
      </c>
      <c r="B101" s="14">
        <f ref="B101:F101" si="74" t="shared">B44/B$59</f>
        <v>7.9895612857032862E-4</v>
      </c>
      <c r="C101" s="14">
        <f si="74" t="shared"/>
        <v>5.4348978845424663E-4</v>
      </c>
      <c r="D101" s="14">
        <f si="74" t="shared"/>
        <v>1.8194676570778112E-2</v>
      </c>
      <c r="E101" s="14">
        <f si="74" t="shared"/>
        <v>2.9626632430605299E-4</v>
      </c>
      <c r="F101" s="14">
        <f si="74" t="shared"/>
        <v>7.6549153845940684E-3</v>
      </c>
      <c r="H101" s="10">
        <v>0.85416666666666663</v>
      </c>
      <c r="I101" s="13">
        <f ref="I101:M101" si="75" t="shared">I44/I$59</f>
        <v>1.7493977209435388E-3</v>
      </c>
      <c r="J101" s="13">
        <f si="75" t="shared"/>
        <v>9.404456450056145E-4</v>
      </c>
      <c r="K101" s="13">
        <f si="75" t="shared"/>
        <v>2.1515606940910065E-2</v>
      </c>
      <c r="L101" s="13">
        <f si="75" t="shared"/>
        <v>1.0040087942924478E-3</v>
      </c>
      <c r="M101" s="14">
        <f si="75" t="shared"/>
        <v>1.0705890900067721E-2</v>
      </c>
    </row>
    <row r="102" spans="1:13" x14ac:dyDescent="0.45">
      <c r="A102" s="10">
        <v>0.875</v>
      </c>
      <c r="B102" s="14">
        <f ref="B102:F102" si="76" t="shared">B45/B$59</f>
        <v>5.7084614949356094E-4</v>
      </c>
      <c r="C102" s="14">
        <f si="76" t="shared"/>
        <v>2.6628872617351238E-4</v>
      </c>
      <c r="D102" s="14">
        <f si="76" t="shared"/>
        <v>1.2032086645415635E-2</v>
      </c>
      <c r="E102" s="14">
        <f si="76" t="shared"/>
        <v>1.5526434209429425E-4</v>
      </c>
      <c r="F102" s="14">
        <f si="76" t="shared"/>
        <v>5.0641308863056131E-3</v>
      </c>
      <c r="H102" s="10">
        <v>0.875</v>
      </c>
      <c r="I102" s="13">
        <f ref="I102:M102" si="77" t="shared">I45/I$59</f>
        <v>1.3650822321190591E-3</v>
      </c>
      <c r="J102" s="13">
        <f si="77" t="shared"/>
        <v>6.4251557200978922E-4</v>
      </c>
      <c r="K102" s="13">
        <f si="77" t="shared"/>
        <v>1.6333396572917793E-2</v>
      </c>
      <c r="L102" s="13">
        <f si="77" t="shared"/>
        <v>8.0823551571253206E-4</v>
      </c>
      <c r="M102" s="14">
        <f si="77" t="shared"/>
        <v>8.1347877612471566E-3</v>
      </c>
    </row>
    <row r="103" spans="1:13" x14ac:dyDescent="0.45">
      <c r="A103" s="10">
        <v>0.89583333333333337</v>
      </c>
      <c r="B103" s="14">
        <f ref="B103:F103" si="78" t="shared">B46/B$59</f>
        <v>4.1818993310024748E-4</v>
      </c>
      <c r="C103" s="14">
        <f si="78" t="shared"/>
        <v>1.2660888465915857E-4</v>
      </c>
      <c r="D103" s="14">
        <f si="78" t="shared"/>
        <v>7.7455652421006939E-3</v>
      </c>
      <c r="E103" s="14">
        <f si="78" t="shared"/>
        <v>9.3929428011584658E-5</v>
      </c>
      <c r="F103" s="14">
        <f si="78" t="shared"/>
        <v>3.2739999501477817E-3</v>
      </c>
      <c r="H103" s="10">
        <v>0.89583333333333337</v>
      </c>
      <c r="I103" s="13">
        <f ref="I103:M103" si="79" t="shared">I46/I$59</f>
        <v>1.0507242602580534E-3</v>
      </c>
      <c r="J103" s="13">
        <f si="79" t="shared"/>
        <v>4.3975833736640055E-4</v>
      </c>
      <c r="K103" s="13">
        <f si="79" t="shared"/>
        <v>1.1601561808916661E-2</v>
      </c>
      <c r="L103" s="13">
        <f si="79" t="shared"/>
        <v>6.3864690003597553E-4</v>
      </c>
      <c r="M103" s="14">
        <f si="79" t="shared"/>
        <v>5.8092445175740789E-3</v>
      </c>
    </row>
    <row r="104" spans="1:13" x14ac:dyDescent="0.45">
      <c r="A104" s="10">
        <v>0.91666666666666663</v>
      </c>
      <c r="B104" s="14">
        <f ref="B104:F104" si="80" t="shared">B47/B$59</f>
        <v>3.0501408282540072E-4</v>
      </c>
      <c r="C104" s="14">
        <f si="80" t="shared"/>
        <v>5.8582698473194379E-5</v>
      </c>
      <c r="D104" s="14">
        <f si="80" t="shared"/>
        <v>4.8830797018031401E-3</v>
      </c>
      <c r="E104" s="14">
        <f si="80" t="shared"/>
        <v>6.9988412439182587E-5</v>
      </c>
      <c r="F104" s="14">
        <f si="80" t="shared"/>
        <v>2.0785350866863441E-3</v>
      </c>
      <c r="H104" s="10">
        <v>0.91666666666666663</v>
      </c>
      <c r="I104" s="13">
        <f ref="I104:M104" si="81" t="shared">I47/I$59</f>
        <v>7.7954833854810982E-4</v>
      </c>
      <c r="J104" s="13">
        <f si="81" t="shared"/>
        <v>2.877318436621524E-4</v>
      </c>
      <c r="K104" s="13">
        <f si="81" t="shared"/>
        <v>7.5813160989158411E-3</v>
      </c>
      <c r="L104" s="13">
        <f si="81" t="shared"/>
        <v>4.746915073012717E-4</v>
      </c>
      <c r="M104" s="14">
        <f si="81" t="shared"/>
        <v>3.833240759340066E-3</v>
      </c>
    </row>
    <row r="105" spans="1:13" x14ac:dyDescent="0.45">
      <c r="A105" s="10">
        <v>0.9375</v>
      </c>
      <c r="B105" s="14">
        <f ref="B105:F105" si="82" t="shared">B48/B$59</f>
        <v>2.1388754592971843E-4</v>
      </c>
      <c r="C105" s="14">
        <f si="82" t="shared"/>
        <v>2.593553048712439E-5</v>
      </c>
      <c r="D105" s="14">
        <f si="82" t="shared"/>
        <v>2.979261478647412E-3</v>
      </c>
      <c r="E105" s="14">
        <f si="82" t="shared"/>
        <v>5.542023021553077E-5</v>
      </c>
      <c r="F105" s="14">
        <f si="82" t="shared"/>
        <v>1.278837169918567E-3</v>
      </c>
      <c r="H105" s="10">
        <v>0.9375</v>
      </c>
      <c r="I105" s="13">
        <f ref="I105:M105" si="83" t="shared">I48/I$59</f>
        <v>5.5136597264632942E-4</v>
      </c>
      <c r="J105" s="13">
        <f si="83" t="shared"/>
        <v>1.721472132681569E-4</v>
      </c>
      <c r="K105" s="13">
        <f si="83" t="shared"/>
        <v>4.4950272142830735E-3</v>
      </c>
      <c r="L105" s="13">
        <f si="83" t="shared"/>
        <v>3.2286532490383981E-4</v>
      </c>
      <c r="M105" s="14">
        <f si="83" t="shared"/>
        <v>2.3076871277349716E-3</v>
      </c>
    </row>
    <row r="106" spans="1:13" x14ac:dyDescent="0.45">
      <c r="A106" s="10">
        <v>0.95833333333333337</v>
      </c>
      <c r="B106" s="14">
        <f ref="B106:F106" si="84" t="shared">B49/B$59</f>
        <v>1.4050844506527193E-4</v>
      </c>
      <c r="C106" s="14">
        <f si="84" t="shared"/>
        <v>1.0582034608508889E-5</v>
      </c>
      <c r="D106" s="14">
        <f si="84" t="shared"/>
        <v>1.7201166795769792E-3</v>
      </c>
      <c r="E106" s="14">
        <f si="84" t="shared"/>
        <v>3.9914895004968796E-5</v>
      </c>
      <c r="F106" s="14">
        <f si="84" t="shared"/>
        <v>7.4512198191976095E-4</v>
      </c>
      <c r="H106" s="10">
        <v>0.95833333333333337</v>
      </c>
      <c r="I106" s="13">
        <f ref="I106:M106" si="85" t="shared">I49/I$59</f>
        <v>3.7240643594691278E-4</v>
      </c>
      <c r="J106" s="13">
        <f si="85" t="shared"/>
        <v>9.1493356095142292E-5</v>
      </c>
      <c r="K106" s="13">
        <f si="85" t="shared"/>
        <v>2.4010120974479569E-3</v>
      </c>
      <c r="L106" s="13">
        <f si="85" t="shared"/>
        <v>1.9960220961889053E-4</v>
      </c>
      <c r="M106" s="14">
        <f si="85" t="shared"/>
        <v>1.2624306034313181E-3</v>
      </c>
    </row>
    <row r="107" spans="1:13" x14ac:dyDescent="0.45">
      <c r="A107" s="10">
        <v>0.97916666666666663</v>
      </c>
      <c r="B107" s="14">
        <f ref="B107:F107" si="86" t="shared">B50/B$59</f>
        <v>8.5303302061046822E-5</v>
      </c>
      <c r="C107" s="14">
        <f si="86" t="shared"/>
        <v>3.7803119884677874E-6</v>
      </c>
      <c r="D107" s="14">
        <f si="86" t="shared"/>
        <v>9.1977608877815505E-4</v>
      </c>
      <c r="E107" s="14">
        <f si="86" t="shared"/>
        <v>2.4300647907269595E-5</v>
      </c>
      <c r="F107" s="14">
        <f si="86" t="shared"/>
        <v>4.0246483627019914E-4</v>
      </c>
      <c r="H107" s="10">
        <v>0.97916666666666663</v>
      </c>
      <c r="I107" s="13">
        <f ref="I107:M107" si="87" t="shared">I50/I$59</f>
        <v>2.4095759320953488E-4</v>
      </c>
      <c r="J107" s="13">
        <f si="87" t="shared"/>
        <v>4.2617545975495332E-5</v>
      </c>
      <c r="K107" s="13">
        <f si="87" t="shared"/>
        <v>1.1590373472622202E-3</v>
      </c>
      <c r="L107" s="13">
        <f si="87" t="shared"/>
        <v>1.1341835920771356E-4</v>
      </c>
      <c r="M107" s="14">
        <f si="87" t="shared"/>
        <v>6.3242250383010947E-4</v>
      </c>
    </row>
    <row r="108" spans="1:13" x14ac:dyDescent="0.45">
      <c r="A108" s="10">
        <v>1</v>
      </c>
      <c r="B108" s="14">
        <f ref="B108:F108" si="88" t="shared">B51/B$59</f>
        <v>4.7595023927801832E-5</v>
      </c>
      <c r="C108" s="14">
        <f si="88" t="shared"/>
        <v>1.1169128522775929E-6</v>
      </c>
      <c r="D108" s="14">
        <f si="88" t="shared"/>
        <v>4.4882282395957188E-4</v>
      </c>
      <c r="E108" s="14">
        <f si="88" t="shared"/>
        <v>1.2119182528312603E-5</v>
      </c>
      <c r="F108" s="14">
        <f si="88" t="shared"/>
        <v>1.9871733962597166E-4</v>
      </c>
      <c r="H108" s="10">
        <v>1</v>
      </c>
      <c r="I108" s="13">
        <f ref="I108:M108" si="89" t="shared">I51/I$59</f>
        <v>1.4794121433307799E-4</v>
      </c>
      <c r="J108" s="13">
        <f si="89" t="shared"/>
        <v>1.740768165478044E-5</v>
      </c>
      <c r="K108" s="13">
        <f si="89" t="shared"/>
        <v>5.1346869603973832E-4</v>
      </c>
      <c r="L108" s="13">
        <f si="89" t="shared"/>
        <v>6.0413545796483495E-5</v>
      </c>
      <c r="M108" s="14">
        <f si="89" t="shared"/>
        <v>2.9553744577726603E-4</v>
      </c>
    </row>
    <row r="109" spans="1:13" x14ac:dyDescent="0.45">
      <c r="A109" s="10">
        <v>1.0208333333333333</v>
      </c>
      <c r="B109" s="14">
        <f ref="B109:F109" si="90" t="shared">B52/B$59</f>
        <v>2.4269852503914678E-5</v>
      </c>
      <c r="C109" s="14">
        <f si="90" t="shared"/>
        <v>2.5657410859481518E-7</v>
      </c>
      <c r="D109" s="14">
        <f si="90" t="shared"/>
        <v>1.9802215961650194E-4</v>
      </c>
      <c r="E109" s="14">
        <f si="90" t="shared"/>
        <v>4.8452081408647741E-6</v>
      </c>
      <c r="F109" s="14">
        <f si="90" t="shared"/>
        <v>8.8931184219136737E-5</v>
      </c>
      <c r="H109" s="10">
        <v>1.0208333333333333</v>
      </c>
      <c r="I109" s="13">
        <f ref="I109:M109" si="91" t="shared">I52/I$59</f>
        <v>8.3916765772311285E-5</v>
      </c>
      <c r="J109" s="13">
        <f si="91" t="shared"/>
        <v>6.3311352009015302E-6</v>
      </c>
      <c r="K109" s="13">
        <f si="91" t="shared"/>
        <v>2.1345526152122756E-4</v>
      </c>
      <c r="L109" s="13">
        <f si="91" t="shared"/>
        <v>3.0478596628102268E-5</v>
      </c>
      <c r="M109" s="14">
        <f si="91" t="shared"/>
        <v>1.311979750661835E-4</v>
      </c>
    </row>
    <row r="110" spans="1:13" x14ac:dyDescent="0.45">
      <c r="A110" s="10">
        <v>4.1666666666666664E-2</v>
      </c>
      <c r="B110" s="14">
        <f ref="B110:F110" si="92" t="shared">B53/B$59</f>
        <v>1.1157751165052694E-5</v>
      </c>
      <c r="C110" s="14">
        <f si="92" t="shared"/>
        <v>4.2422761500500038E-8</v>
      </c>
      <c r="D110" s="14">
        <f si="92" t="shared"/>
        <v>7.824138132420878E-5</v>
      </c>
      <c r="E110" s="14">
        <f si="92" t="shared"/>
        <v>1.514029889873578E-6</v>
      </c>
      <c r="F110" s="14">
        <f si="92" t="shared"/>
        <v>3.5737803765987754E-5</v>
      </c>
      <c r="H110" s="10">
        <v>4.1666666666666664E-2</v>
      </c>
      <c r="I110" s="13">
        <f ref="I110:M110" si="93" t="shared">I53/I$59</f>
        <v>4.2394578309879383E-5</v>
      </c>
      <c r="J110" s="13">
        <f si="93" t="shared"/>
        <v>2.1043994566213248E-6</v>
      </c>
      <c r="K110" s="13">
        <f si="93" t="shared"/>
        <v>8.4177345174069263E-5</v>
      </c>
      <c r="L110" s="13">
        <f si="93" t="shared"/>
        <v>1.4333692101685996E-5</v>
      </c>
      <c r="M110" s="14">
        <f si="93" t="shared"/>
        <v>5.5202182538908526E-5</v>
      </c>
    </row>
    <row r="111" spans="1:13" x14ac:dyDescent="0.45">
      <c r="A111" s="10">
        <v>6.25E-2</v>
      </c>
      <c r="B111" s="14">
        <f ref="B111:F111" si="94" t="shared">B54/B$59</f>
        <v>4.5095167704345874E-6</v>
      </c>
      <c r="C111" s="14">
        <f si="94" t="shared"/>
        <v>4.4592788160762171E-9</v>
      </c>
      <c r="D111" s="14">
        <f si="94" t="shared"/>
        <v>2.722803052098079E-5</v>
      </c>
      <c r="E111" s="14">
        <f si="94" t="shared"/>
        <v>3.5624232702907715E-7</v>
      </c>
      <c r="F111" s="14">
        <f si="94" t="shared"/>
        <v>1.2677545070256043E-5</v>
      </c>
      <c r="H111" s="10">
        <v>6.25E-2</v>
      </c>
      <c r="I111" s="13">
        <f ref="I111:M111" si="95" t="shared">I54/I$59</f>
        <v>1.8374596846339276E-5</v>
      </c>
      <c r="J111" s="13">
        <f si="95" t="shared"/>
        <v>6.5041385525827445E-7</v>
      </c>
      <c r="K111" s="13">
        <f si="95" t="shared"/>
        <v>3.085877427289065E-5</v>
      </c>
      <c r="L111" s="13">
        <f si="95" t="shared"/>
        <v>6.0334582733089481E-6</v>
      </c>
      <c r="M111" s="14">
        <f si="95" t="shared"/>
        <v>2.1295610830053715E-5</v>
      </c>
    </row>
    <row r="112" spans="1:13" x14ac:dyDescent="0.45">
      <c r="A112" s="10">
        <v>8.3333333333333329E-2</v>
      </c>
      <c r="B112" s="14">
        <f ref="B112:F112" si="96" t="shared">B55/B$59</f>
        <v>1.5466734958213296E-6</v>
      </c>
      <c r="C112" s="14">
        <f si="96" t="shared"/>
        <v>2.2296394080381087E-10</v>
      </c>
      <c r="D112" s="14">
        <f si="96" t="shared"/>
        <v>8.1148533684141892E-6</v>
      </c>
      <c r="E112" s="14">
        <f si="96" t="shared"/>
        <v>5.9373721171512862E-8</v>
      </c>
      <c r="F112" s="14">
        <f si="96" t="shared"/>
        <v>3.8570395028255903E-6</v>
      </c>
      <c r="H112" s="10">
        <v>8.3333333333333329E-2</v>
      </c>
      <c r="I112" s="13">
        <f ref="I112:M112" si="97" t="shared">I55/I$59</f>
        <v>6.5951571888605771E-6</v>
      </c>
      <c r="J112" s="13">
        <f si="97" t="shared"/>
        <v>1.8333997597593195E-7</v>
      </c>
      <c r="K112" s="13">
        <f si="97" t="shared"/>
        <v>1.0004516547915286E-5</v>
      </c>
      <c r="L112" s="13">
        <f si="97" t="shared"/>
        <v>2.1617673213918681E-6</v>
      </c>
      <c r="M112" s="14">
        <f si="97" t="shared"/>
        <v>7.1442727699746149E-6</v>
      </c>
    </row>
    <row r="113" spans="1:13" x14ac:dyDescent="0.45">
      <c r="A113" s="10">
        <v>0.10416666666666667</v>
      </c>
      <c r="B113" s="14">
        <f ref="B113:F113" si="98" t="shared">B56/B$59</f>
        <v>4.3121821127472231E-7</v>
      </c>
      <c r="C113" s="14">
        <f si="98" t="shared"/>
        <v>0</v>
      </c>
      <c r="D113" s="14">
        <f si="98" t="shared"/>
        <v>1.9886258268054828E-6</v>
      </c>
      <c r="E113" s="14">
        <f si="98" t="shared"/>
        <v>6.2498653864750385E-9</v>
      </c>
      <c r="F113" s="14">
        <f si="98" t="shared"/>
        <v>9.657401553839937E-7</v>
      </c>
      <c r="H113" s="10">
        <v>0.10416666666666667</v>
      </c>
      <c r="I113" s="13">
        <f ref="I113:M113" si="99" t="shared">I56/I$59</f>
        <v>1.890141945086486E-6</v>
      </c>
      <c r="J113" s="13">
        <f si="99" t="shared"/>
        <v>4.4365992408530389E-8</v>
      </c>
      <c r="K113" s="13">
        <f si="99" t="shared"/>
        <v>2.6962410801159161E-6</v>
      </c>
      <c r="L113" s="13">
        <f si="99" t="shared"/>
        <v>6.2690288358056248E-7</v>
      </c>
      <c r="M113" s="14">
        <f si="99" t="shared"/>
        <v>1.9682595030150315E-6</v>
      </c>
    </row>
    <row r="114" spans="1:13" x14ac:dyDescent="0.45">
      <c r="A114" s="10">
        <v>0.125</v>
      </c>
      <c r="B114" s="14">
        <f ref="B114:F114" si="100" t="shared">B57/B$59</f>
        <v>9.1390620778807883E-8</v>
      </c>
      <c r="C114" s="14">
        <f si="100" t="shared"/>
        <v>0</v>
      </c>
      <c r="D114" s="14">
        <f si="100" t="shared"/>
        <v>3.7495485433402092E-7</v>
      </c>
      <c r="E114" s="14">
        <f si="100" t="shared"/>
        <v>3.1249326932375189E-10</v>
      </c>
      <c r="F114" s="14">
        <f si="100" t="shared"/>
        <v>1.8610549674171844E-7</v>
      </c>
      <c r="H114" s="10">
        <v>0.125</v>
      </c>
      <c r="I114" s="13">
        <f ref="I114:M114" si="101" t="shared">I57/I$59</f>
        <v>4.074988220701702E-7</v>
      </c>
      <c r="J114" s="13">
        <f si="101" t="shared"/>
        <v>8.3979711074925086E-9</v>
      </c>
      <c r="K114" s="13">
        <f si="101" t="shared"/>
        <v>5.5815543892081199E-7</v>
      </c>
      <c r="L114" s="13">
        <f si="101" t="shared"/>
        <v>1.3734644091211028E-7</v>
      </c>
      <c r="M114" s="14">
        <f si="101" t="shared"/>
        <v>4.1368000141065797E-7</v>
      </c>
    </row>
    <row ht="14.65" r="115" spans="1:13" thickBot="1" x14ac:dyDescent="0.5">
      <c r="A115" s="11" t="s">
        <v>34</v>
      </c>
      <c r="B115" s="16">
        <f ref="B115:F115" si="102" t="shared">B58/B$59</f>
        <v>0</v>
      </c>
      <c r="C115" s="16">
        <f si="102" t="shared"/>
        <v>0</v>
      </c>
      <c r="D115" s="16">
        <f si="102" t="shared"/>
        <v>0</v>
      </c>
      <c r="E115" s="16">
        <f si="102" t="shared"/>
        <v>0</v>
      </c>
      <c r="F115" s="16">
        <f si="102" t="shared"/>
        <v>0</v>
      </c>
      <c r="H115" s="11" t="s">
        <v>34</v>
      </c>
      <c r="I115" s="15">
        <f ref="I115:M115" si="103" t="shared">I58/I$59</f>
        <v>0</v>
      </c>
      <c r="J115" s="15">
        <f si="103" t="shared"/>
        <v>0</v>
      </c>
      <c r="K115" s="15">
        <f si="103" t="shared"/>
        <v>0</v>
      </c>
      <c r="L115" s="15">
        <f si="103" t="shared"/>
        <v>0</v>
      </c>
      <c r="M115" s="16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115"/>
  <sheetViews>
    <sheetView tabSelected="1" topLeftCell="J53" workbookViewId="0">
      <selection activeCell="Z58" sqref="Z58"/>
    </sheetView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7" x14ac:dyDescent="0.45">
      <c r="A1" t="s">
        <v>10</v>
      </c>
    </row>
    <row r="2" spans="1:17" x14ac:dyDescent="0.45">
      <c r="A2" t="s">
        <v>59</v>
      </c>
    </row>
    <row r="3" spans="1:17" x14ac:dyDescent="0.45">
      <c r="A3" t="s">
        <v>7</v>
      </c>
    </row>
    <row ht="14.65" r="6" spans="1:17" thickBot="1" x14ac:dyDescent="0.5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7"/>
    </row>
    <row r="7" spans="1:17" x14ac:dyDescent="0.4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P7" s="12"/>
      <c r="Q7" s="12"/>
    </row>
    <row r="8" spans="1:17" x14ac:dyDescent="0.45">
      <c r="A8" t="s">
        <v>5</v>
      </c>
      <c r="B8" s="5" t="n">
        <v>7619.749328503902</v>
      </c>
      <c r="C8" s="5" t="n">
        <v>0.0</v>
      </c>
      <c r="D8" s="5" t="n">
        <v>2596.08788390373</v>
      </c>
      <c r="E8" s="5" t="n">
        <v>0.0</v>
      </c>
      <c r="F8" s="5">
        <f>SUM(B8:E8)</f>
        <v>10215.837212407632</v>
      </c>
      <c r="H8" t="s">
        <v>5</v>
      </c>
      <c r="I8" s="8" t="n">
        <v>5496.0</v>
      </c>
      <c r="J8" s="8" t="n">
        <v>1.0</v>
      </c>
      <c r="K8" s="8" t="n">
        <v>1810.0</v>
      </c>
      <c r="L8" s="8" t="n">
        <v>21.0</v>
      </c>
      <c r="M8">
        <f>SUM(I8:L8)</f>
        <v>7049</v>
      </c>
      <c r="P8" s="5"/>
      <c r="Q8" s="5"/>
    </row>
    <row r="9" spans="1:17" x14ac:dyDescent="0.45">
      <c r="A9" s="10">
        <v>0.125</v>
      </c>
      <c r="B9" s="5" t="n">
        <v>5059.211679632035</v>
      </c>
      <c r="C9" s="5" t="n">
        <v>0.010573879276839197</v>
      </c>
      <c r="D9" s="5" t="n">
        <v>1789.7194862175438</v>
      </c>
      <c r="E9" s="5" t="n">
        <v>0.06970912269265522</v>
      </c>
      <c r="F9" s="5">
        <f ref="F9:F58" si="0" t="shared">SUM(B9:E9)</f>
        <v>6849.0114488515492</v>
      </c>
      <c r="H9" s="10">
        <v>0.125</v>
      </c>
      <c r="I9" s="8" t="n">
        <v>3673.227355003357</v>
      </c>
      <c r="J9" s="8" t="n">
        <v>2.4785356521606445</v>
      </c>
      <c r="K9" s="8" t="n">
        <v>1443.5093641281128</v>
      </c>
      <c r="L9" s="8" t="n">
        <v>16.466893196105957</v>
      </c>
      <c r="M9">
        <f ref="M9:M58" si="1" t="shared">SUM(I9:L9)</f>
        <v>4947.4183254241943</v>
      </c>
      <c r="P9" s="5"/>
      <c r="Q9" s="5"/>
    </row>
    <row r="10" spans="1:17" x14ac:dyDescent="0.45">
      <c r="A10" s="10">
        <v>0.14583333333333334</v>
      </c>
      <c r="B10" s="5" t="n">
        <v>2928.362805777936</v>
      </c>
      <c r="C10" s="5" t="n">
        <v>0.07320910695692052</v>
      </c>
      <c r="D10" s="5" t="n">
        <v>1178.8174877041351</v>
      </c>
      <c r="E10" s="5" t="n">
        <v>0.46281544147211595</v>
      </c>
      <c r="F10" s="5">
        <f si="0" t="shared"/>
        <v>4107.7163180305006</v>
      </c>
      <c r="H10" s="10">
        <v>0.14583333333333334</v>
      </c>
      <c r="I10" s="8" t="n">
        <v>2162.662244796753</v>
      </c>
      <c r="J10" s="8" t="n">
        <v>3.5437145233154297</v>
      </c>
      <c r="K10" s="8" t="n">
        <v>1181.8734045028687</v>
      </c>
      <c r="L10" s="8" t="n">
        <v>13.232407569885254</v>
      </c>
      <c r="M10">
        <f si="1" t="shared"/>
        <v>3250.1299600601196</v>
      </c>
      <c r="P10" s="5"/>
      <c r="Q10" s="5"/>
    </row>
    <row r="11" spans="1:17" x14ac:dyDescent="0.45">
      <c r="A11" s="10">
        <v>0.16666666666666666</v>
      </c>
      <c r="B11" s="5" t="n">
        <v>1460.3890853053476</v>
      </c>
      <c r="C11" s="5" t="n">
        <v>0.38598063215317446</v>
      </c>
      <c r="D11" s="5" t="n">
        <v>925.9298810151263</v>
      </c>
      <c r="E11" s="5" t="n">
        <v>2.207679137152544</v>
      </c>
      <c r="F11" s="5">
        <f si="0" t="shared"/>
        <v>2388.9126260897797</v>
      </c>
      <c r="H11" s="10">
        <v>0.16666666666666666</v>
      </c>
      <c r="I11" s="8" t="n">
        <v>1134.5502309799194</v>
      </c>
      <c r="J11" s="8" t="n">
        <v>4.962230682373047</v>
      </c>
      <c r="K11" s="8" t="n">
        <v>1131.2172365188599</v>
      </c>
      <c r="L11" s="8" t="n">
        <v>12.164840698242188</v>
      </c>
      <c r="M11">
        <f si="1" t="shared"/>
        <v>2229.5547866821289</v>
      </c>
      <c r="P11" s="5"/>
      <c r="Q11" s="5"/>
    </row>
    <row r="12" spans="1:17" x14ac:dyDescent="0.45">
      <c r="A12" s="10">
        <v>0.1875</v>
      </c>
      <c r="B12" s="5" t="n">
        <v>636.5731460867621</v>
      </c>
      <c r="C12" s="5" t="n">
        <v>1.6380729772803442</v>
      </c>
      <c r="D12" s="5" t="n">
        <v>1170.1366955454757</v>
      </c>
      <c r="E12" s="5" t="n">
        <v>8.128430165240138</v>
      </c>
      <c r="F12" s="5">
        <f si="0" t="shared"/>
        <v>1816.4763447747584</v>
      </c>
      <c r="H12" s="10">
        <v>0.1875</v>
      </c>
      <c r="I12" s="8" t="n">
        <v>576.8180150985718</v>
      </c>
      <c r="J12" s="8" t="n">
        <v>9.455217361450195</v>
      </c>
      <c r="K12" s="8" t="n">
        <v>1415.1100854873657</v>
      </c>
      <c r="L12" s="8" t="n">
        <v>13.77807903289795</v>
      </c>
      <c r="M12">
        <f si="1" t="shared"/>
        <v>2004.6645088195801</v>
      </c>
    </row>
    <row r="13" spans="1:17" x14ac:dyDescent="0.45">
      <c r="A13" s="10">
        <v>0.20833333333333334</v>
      </c>
      <c r="B13" s="5" t="n">
        <v>281.49679931431524</v>
      </c>
      <c r="C13" s="5" t="n">
        <v>5.714787555698666</v>
      </c>
      <c r="D13" s="5" t="n">
        <v>2060.365372825365</v>
      </c>
      <c r="E13" s="5" t="n">
        <v>24.145579563220043</v>
      </c>
      <c r="F13" s="5">
        <f si="0" t="shared"/>
        <v>2371.7225392585988</v>
      </c>
      <c r="H13" s="10">
        <v>0.20833333333333334</v>
      </c>
      <c r="I13" s="8" t="n">
        <v>362.9871702194214</v>
      </c>
      <c r="J13" s="8" t="n">
        <v>21.565402030944824</v>
      </c>
      <c r="K13" s="8" t="n">
        <v>2187.196785926819</v>
      </c>
      <c r="L13" s="8" t="n">
        <v>18.921241760253906</v>
      </c>
      <c r="M13">
        <f si="1" t="shared"/>
        <v>2616.8364028930664</v>
      </c>
    </row>
    <row r="14" spans="1:17" x14ac:dyDescent="0.45">
      <c r="A14" s="10">
        <v>0.22916666666666666</v>
      </c>
      <c r="B14" s="5" t="n">
        <v>202.71532377486636</v>
      </c>
      <c r="C14" s="5" t="n">
        <v>16.555041506993433</v>
      </c>
      <c r="D14" s="5" t="n">
        <v>3736.4896067935906</v>
      </c>
      <c r="E14" s="5" t="n">
        <v>59.76714010323093</v>
      </c>
      <c r="F14" s="5">
        <f si="0" t="shared"/>
        <v>4015.5271121786814</v>
      </c>
      <c r="H14" s="10">
        <v>0.22916666666666666</v>
      </c>
      <c r="I14" s="8" t="n">
        <v>352.0968265533447</v>
      </c>
      <c r="J14" s="8" t="n">
        <v>45.910085678100586</v>
      </c>
      <c r="K14" s="8" t="n">
        <v>3601.115041732788</v>
      </c>
      <c r="L14" s="8" t="n">
        <v>29.665180206298828</v>
      </c>
      <c r="M14">
        <f si="1" t="shared"/>
        <v>4091.2887620925903</v>
      </c>
    </row>
    <row r="15" spans="1:17" x14ac:dyDescent="0.45">
      <c r="A15" s="10">
        <v>0.25</v>
      </c>
      <c r="B15" s="5" t="n">
        <v>274.2090293673437</v>
      </c>
      <c r="C15" s="5" t="n">
        <v>40.157528999423874</v>
      </c>
      <c r="D15" s="5" t="n">
        <v>6206.315369073301</v>
      </c>
      <c r="E15" s="5" t="n">
        <v>126.45583661469</v>
      </c>
      <c r="F15" s="5">
        <f si="0" t="shared"/>
        <v>6647.137764054758</v>
      </c>
      <c r="H15" s="10">
        <v>0.25</v>
      </c>
      <c r="I15" s="8" t="n">
        <v>448.9414472579956</v>
      </c>
      <c r="J15" s="8" t="n">
        <v>83.73818016052246</v>
      </c>
      <c r="K15" s="8" t="n">
        <v>5725.7432651519775</v>
      </c>
      <c r="L15" s="8" t="n">
        <v>49.99669933319092</v>
      </c>
      <c r="M15">
        <f si="1" t="shared"/>
        <v>6405.3638505935669</v>
      </c>
    </row>
    <row r="16" spans="1:17" x14ac:dyDescent="0.45">
      <c r="A16" s="10">
        <v>0.27083333333333331</v>
      </c>
      <c r="B16" s="5" t="n">
        <v>444.7703124729407</v>
      </c>
      <c r="C16" s="5" t="n">
        <v>82.46547000763128</v>
      </c>
      <c r="D16" s="5" t="n">
        <v>9186.749475374092</v>
      </c>
      <c r="E16" s="5" t="n">
        <v>233.69825984477757</v>
      </c>
      <c r="F16" s="5">
        <f si="0" t="shared"/>
        <v>9947.6835176994409</v>
      </c>
      <c r="H16" s="10">
        <v>0.27083333333333331</v>
      </c>
      <c r="I16" s="8" t="n">
        <v>612.313419342041</v>
      </c>
      <c r="J16" s="8" t="n">
        <v>129.86312770843506</v>
      </c>
      <c r="K16" s="8" t="n">
        <v>8451.027892112732</v>
      </c>
      <c r="L16" s="8" t="n">
        <v>87.38261413574219</v>
      </c>
      <c r="M16">
        <f si="1" t="shared"/>
        <v>9401.9594144821167</v>
      </c>
    </row>
    <row r="17" spans="1:13" x14ac:dyDescent="0.45">
      <c r="A17" s="10">
        <v>0.29166666666666669</v>
      </c>
      <c r="B17" s="5" t="n">
        <v>709.646653478459</v>
      </c>
      <c r="C17" s="5" t="n">
        <v>145.71313452932563</v>
      </c>
      <c r="D17" s="5" t="n">
        <v>12085.824932583344</v>
      </c>
      <c r="E17" s="5" t="n">
        <v>385.04457367161217</v>
      </c>
      <c r="F17" s="5">
        <f si="0" t="shared"/>
        <v>13326.229294262741</v>
      </c>
      <c r="H17" s="10">
        <v>0.29166666666666669</v>
      </c>
      <c r="I17" s="8" t="n">
        <v>840.6402854919434</v>
      </c>
      <c r="J17" s="8" t="n">
        <v>173.68600940704346</v>
      </c>
      <c r="K17" s="8" t="n">
        <v>11462.446472167969</v>
      </c>
      <c r="L17" s="8" t="n">
        <v>158.69434356689453</v>
      </c>
      <c r="M17">
        <f si="1" t="shared"/>
        <v>12761.358934402466</v>
      </c>
    </row>
    <row r="18" spans="1:13" x14ac:dyDescent="0.45">
      <c r="A18" s="10">
        <v>0.3125</v>
      </c>
      <c r="B18" s="5" t="n">
        <v>1083.389004445794</v>
      </c>
      <c r="C18" s="5" t="n">
        <v>227.08973245271707</v>
      </c>
      <c r="D18" s="5" t="n">
        <v>14239.34298928262</v>
      </c>
      <c r="E18" s="5" t="n">
        <v>578.7950755091547</v>
      </c>
      <c r="F18" s="5">
        <f si="0" t="shared"/>
        <v>16128.616801690287</v>
      </c>
      <c r="H18" s="10">
        <v>0.3125</v>
      </c>
      <c r="I18" s="8" t="n">
        <v>1162.4130229949951</v>
      </c>
      <c r="J18" s="8" t="n">
        <v>205.77373027801514</v>
      </c>
      <c r="K18" s="8" t="n">
        <v>14331.398363113403</v>
      </c>
      <c r="L18" s="8" t="n">
        <v>303.4675283432007</v>
      </c>
      <c r="M18">
        <f si="1" t="shared"/>
        <v>16107.15248298645</v>
      </c>
    </row>
    <row r="19" spans="1:13" x14ac:dyDescent="0.45">
      <c r="A19" s="10">
        <v>0.33333333333333331</v>
      </c>
      <c r="B19" s="5" t="n">
        <v>1589.940428711609</v>
      </c>
      <c r="C19" s="5" t="n">
        <v>323.8759425797405</v>
      </c>
      <c r="D19" s="5" t="n">
        <v>15281.195520326766</v>
      </c>
      <c r="E19" s="5" t="n">
        <v>818.8602259705704</v>
      </c>
      <c r="F19" s="5">
        <f si="0" t="shared"/>
        <v>18013.872117588686</v>
      </c>
      <c r="H19" s="10">
        <v>0.33333333333333331</v>
      </c>
      <c r="I19" s="8" t="n">
        <v>1633.8270092010498</v>
      </c>
      <c r="J19" s="8" t="n">
        <v>225.91877269744873</v>
      </c>
      <c r="K19" s="8" t="n">
        <v>16687.27274799347</v>
      </c>
      <c r="L19" s="8" t="n">
        <v>598.7837085723877</v>
      </c>
      <c r="M19">
        <f si="1" t="shared"/>
        <v>19201.468674659729</v>
      </c>
    </row>
    <row r="20" spans="1:13" x14ac:dyDescent="0.45">
      <c r="A20" s="10">
        <v>0.35416666666666669</v>
      </c>
      <c r="B20" s="5" t="n">
        <v>2271.263705509273</v>
      </c>
      <c r="C20" s="5" t="n">
        <v>443.6343049730015</v>
      </c>
      <c r="D20" s="5" t="n">
        <v>15360.007473884349</v>
      </c>
      <c r="E20" s="5" t="n">
        <v>1139.3307602956288</v>
      </c>
      <c r="F20" s="5">
        <f si="0" t="shared"/>
        <v>19214.236244662254</v>
      </c>
      <c r="H20" s="10">
        <v>0.35416666666666669</v>
      </c>
      <c r="I20" s="8" t="n">
        <v>2325.797752380371</v>
      </c>
      <c r="J20" s="8" t="n">
        <v>245.75634574890137</v>
      </c>
      <c r="K20" s="8" t="n">
        <v>18365.296219825745</v>
      </c>
      <c r="L20" s="8" t="n">
        <v>1156.7407932281494</v>
      </c>
      <c r="M20">
        <f si="1" t="shared"/>
        <v>22079.204128265381</v>
      </c>
    </row>
    <row r="21" spans="1:13" x14ac:dyDescent="0.45">
      <c r="A21" s="10">
        <v>0.375</v>
      </c>
      <c r="B21" s="5" t="n">
        <v>3199.406268261697</v>
      </c>
      <c r="C21" s="5" t="n">
        <v>611.0378249182824</v>
      </c>
      <c r="D21" s="5" t="n">
        <v>15029.619002406398</v>
      </c>
      <c r="E21" s="5" t="n">
        <v>1638.6531961169503</v>
      </c>
      <c r="F21" s="5">
        <f si="0" t="shared"/>
        <v>20478.716291703327</v>
      </c>
      <c r="H21" s="10">
        <v>0.375</v>
      </c>
      <c r="I21" s="8" t="n">
        <v>3286.1155004501343</v>
      </c>
      <c r="J21" s="8" t="n">
        <v>283.810715675354</v>
      </c>
      <c r="K21" s="8" t="n">
        <v>19429.34265232086</v>
      </c>
      <c r="L21" s="8" t="n">
        <v>2085.6709146499634</v>
      </c>
      <c r="M21">
        <f si="1" t="shared"/>
        <v>24987.503595352173</v>
      </c>
    </row>
    <row r="22" spans="1:13" x14ac:dyDescent="0.45">
      <c r="A22" s="10">
        <v>0.39583333333333331</v>
      </c>
      <c r="B22" s="5" t="n">
        <v>4456.852338553318</v>
      </c>
      <c r="C22" s="5" t="n">
        <v>862.1048048514142</v>
      </c>
      <c r="D22" s="5" t="n">
        <v>14921.759264268878</v>
      </c>
      <c r="E22" s="5" t="n">
        <v>2501.606522067619</v>
      </c>
      <c r="F22" s="5">
        <f si="0" t="shared"/>
        <v>22742.322929741225</v>
      </c>
      <c r="H22" s="10">
        <v>0.39583333333333331</v>
      </c>
      <c r="I22" s="8" t="n">
        <v>4492.953804016113</v>
      </c>
      <c r="J22" s="8" t="n">
        <v>360.65263843536377</v>
      </c>
      <c r="K22" s="8" t="n">
        <v>20064.537566184998</v>
      </c>
      <c r="L22" s="8" t="n">
        <v>3423.6969861984253</v>
      </c>
      <c r="M22">
        <f si="1" t="shared"/>
        <v>28159.912854194641</v>
      </c>
    </row>
    <row r="23" spans="1:13" x14ac:dyDescent="0.45">
      <c r="A23" s="10">
        <v>0.41666666666666669</v>
      </c>
      <c r="B23" s="5" t="n">
        <v>6063.936476739692</v>
      </c>
      <c r="C23" s="5" t="n">
        <v>1224.8173862831616</v>
      </c>
      <c r="D23" s="5" t="n">
        <v>15448.607038267586</v>
      </c>
      <c r="E23" s="5" t="n">
        <v>3964.795434486451</v>
      </c>
      <c r="F23" s="5">
        <f si="0" t="shared"/>
        <v>26702.156335776894</v>
      </c>
      <c r="H23" s="10">
        <v>0.41666666666666669</v>
      </c>
      <c r="I23" s="8" t="n">
        <v>5844.4047927856445</v>
      </c>
      <c r="J23" s="8" t="n">
        <v>507.6218490600586</v>
      </c>
      <c r="K23" s="8" t="n">
        <v>20446.68475818634</v>
      </c>
      <c r="L23" s="8" t="n">
        <v>5087.03812789917</v>
      </c>
      <c r="M23">
        <f si="1" t="shared"/>
        <v>31631.148613929749</v>
      </c>
    </row>
    <row r="24" spans="1:13" x14ac:dyDescent="0.45">
      <c r="A24" s="10">
        <v>0.4375</v>
      </c>
      <c r="B24" s="5" t="n">
        <v>7900.078757997995</v>
      </c>
      <c r="C24" s="5" t="n">
        <v>1702.1890770964474</v>
      </c>
      <c r="D24" s="5" t="n">
        <v>16682.003522411112</v>
      </c>
      <c r="E24" s="5" t="n">
        <v>6185.35486256896</v>
      </c>
      <c r="F24" s="5">
        <f si="0" t="shared"/>
        <v>32469.626220074511</v>
      </c>
      <c r="H24" s="10">
        <v>0.4375</v>
      </c>
      <c r="I24" s="8" t="n">
        <v>7212.762208938599</v>
      </c>
      <c r="J24" s="8" t="n">
        <v>795.6260375976562</v>
      </c>
      <c r="K24" s="8" t="n">
        <v>20709.529490470886</v>
      </c>
      <c r="L24" s="8" t="n">
        <v>6872.803636550903</v>
      </c>
      <c r="M24">
        <f si="1" t="shared"/>
        <v>35285.018431663513</v>
      </c>
    </row>
    <row r="25" spans="1:13" x14ac:dyDescent="0.45">
      <c r="A25" s="10">
        <v>0.45833333333333331</v>
      </c>
      <c r="B25" s="5" t="n">
        <v>9719.505656820395</v>
      </c>
      <c r="C25" s="5" t="n">
        <v>2296.0267288914483</v>
      </c>
      <c r="D25" s="5" t="n">
        <v>18400.464323899512</v>
      </c>
      <c r="E25" s="5" t="n">
        <v>9041.623371222415</v>
      </c>
      <c r="F25" s="5">
        <f si="0" t="shared"/>
        <v>39457.620080833767</v>
      </c>
      <c r="H25" s="10">
        <v>0.45833333333333331</v>
      </c>
      <c r="I25" s="8" t="n">
        <v>8534.839168548584</v>
      </c>
      <c r="J25" s="8" t="n">
        <v>1370.6017208099365</v>
      </c>
      <c r="K25" s="8" t="n">
        <v>21014.30138015747</v>
      </c>
      <c r="L25" s="8" t="n">
        <v>8512.58629989624</v>
      </c>
      <c r="M25">
        <f si="1" t="shared"/>
        <v>39095.815718650818</v>
      </c>
    </row>
    <row r="26" spans="1:13" x14ac:dyDescent="0.45">
      <c r="A26" s="10">
        <v>0.47916666666666669</v>
      </c>
      <c r="B26" s="5" t="n">
        <v>11309.96849344386</v>
      </c>
      <c r="C26" s="5" t="n">
        <v>3111.3552166734326</v>
      </c>
      <c r="D26" s="5" t="n">
        <v>20245.030624472325</v>
      </c>
      <c r="E26" s="5" t="n">
        <v>12004.818675295033</v>
      </c>
      <c r="F26" s="5">
        <f si="0" t="shared"/>
        <v>46671.173009884653</v>
      </c>
      <c r="H26" s="10">
        <v>0.47916666666666669</v>
      </c>
      <c r="I26" s="8" t="n">
        <v>9874.225884437561</v>
      </c>
      <c r="J26" s="8" t="n">
        <v>2464.3973474502563</v>
      </c>
      <c r="K26" s="8" t="n">
        <v>21596.315042495728</v>
      </c>
      <c r="L26" s="8" t="n">
        <v>9741.206246376038</v>
      </c>
      <c r="M26">
        <f si="1" t="shared"/>
        <v>43315.894412994385</v>
      </c>
    </row>
    <row r="27" spans="1:13" x14ac:dyDescent="0.45">
      <c r="A27" s="10">
        <v>0.5</v>
      </c>
      <c r="B27" s="5" t="n">
        <v>12713.985154528842</v>
      </c>
      <c r="C27" s="5" t="n">
        <v>4515.382940932415</v>
      </c>
      <c r="D27" s="5" t="n">
        <v>21928.095508538907</v>
      </c>
      <c r="E27" s="5" t="n">
        <v>14252.602597804576</v>
      </c>
      <c r="F27" s="5">
        <f si="0" t="shared"/>
        <v>53410.066201804744</v>
      </c>
      <c r="H27" s="10">
        <v>0.5</v>
      </c>
      <c r="I27" s="8" t="n">
        <v>11426.137826919556</v>
      </c>
      <c r="J27" s="8" t="n">
        <v>4356.585827827454</v>
      </c>
      <c r="K27" s="8" t="n">
        <v>22677.95086479187</v>
      </c>
      <c r="L27" s="8" t="n">
        <v>10358.683456420898</v>
      </c>
      <c r="M27">
        <f si="1" t="shared"/>
        <v>48429.795653343201</v>
      </c>
    </row>
    <row r="28" spans="1:13" x14ac:dyDescent="0.45">
      <c r="A28" s="10">
        <v>0.52083333333333337</v>
      </c>
      <c r="B28" s="5" t="n">
        <v>14365.56275942941</v>
      </c>
      <c r="C28" s="5" t="n">
        <v>7189.977229999666</v>
      </c>
      <c r="D28" s="5" t="n">
        <v>23397.356154860357</v>
      </c>
      <c r="E28" s="5" t="n">
        <v>15045.592722954887</v>
      </c>
      <c r="F28" s="5">
        <f si="0" t="shared"/>
        <v>59998.488867244319</v>
      </c>
      <c r="H28" s="10">
        <v>0.52083333333333337</v>
      </c>
      <c r="I28" s="8" t="n">
        <v>13498.859446525574</v>
      </c>
      <c r="J28" s="8" t="n">
        <v>7290.602027893066</v>
      </c>
      <c r="K28" s="8" t="n">
        <v>24298.987690925598</v>
      </c>
      <c r="L28" s="8" t="n">
        <v>10284.045632362366</v>
      </c>
      <c r="M28">
        <f si="1" t="shared"/>
        <v>54955.637691497803</v>
      </c>
    </row>
    <row r="29" spans="1:13" x14ac:dyDescent="0.45">
      <c r="A29" s="10">
        <v>0.54166666666666663</v>
      </c>
      <c r="B29" s="5" t="n">
        <v>17053.965329482147</v>
      </c>
      <c r="C29" s="5" t="n">
        <v>11845.509682030839</v>
      </c>
      <c r="D29" s="5" t="n">
        <v>24821.64665577266</v>
      </c>
      <c r="E29" s="5" t="n">
        <v>14141.959176513335</v>
      </c>
      <c r="F29" s="5">
        <f si="0" t="shared"/>
        <v>67863.080843798976</v>
      </c>
      <c r="H29" s="10">
        <v>0.54166666666666663</v>
      </c>
      <c r="I29" s="8" t="n">
        <v>16507.571696281433</v>
      </c>
      <c r="J29" s="8" t="n">
        <v>11355.611840248108</v>
      </c>
      <c r="K29" s="8" t="n">
        <v>26238.8707780838</v>
      </c>
      <c r="L29" s="8" t="n">
        <v>9584.066146850586</v>
      </c>
      <c r="M29">
        <f si="1" t="shared"/>
        <v>63281.302934646606</v>
      </c>
    </row>
    <row r="30" spans="1:13" x14ac:dyDescent="0.45">
      <c r="A30" s="10">
        <v>0.5625</v>
      </c>
      <c r="B30" s="5" t="n">
        <v>21718.22243440031</v>
      </c>
      <c r="C30" s="5" t="n">
        <v>18561.323712271103</v>
      </c>
      <c r="D30" s="5" t="n">
        <v>26362.241665592086</v>
      </c>
      <c r="E30" s="5" t="n">
        <v>11934.337085443483</v>
      </c>
      <c r="F30" s="5">
        <f si="0" t="shared"/>
        <v>78576.124897706992</v>
      </c>
      <c r="H30" s="10">
        <v>0.5625</v>
      </c>
      <c r="I30" s="8" t="n">
        <v>20938.878044128418</v>
      </c>
      <c r="J30" s="8" t="n">
        <v>16326.142006874084</v>
      </c>
      <c r="K30" s="8" t="n">
        <v>28129.512135505676</v>
      </c>
      <c r="L30" s="8" t="n">
        <v>8443.860308647156</v>
      </c>
      <c r="M30">
        <f si="1" t="shared"/>
        <v>73537.764094352722</v>
      </c>
    </row>
    <row r="31" spans="1:13" x14ac:dyDescent="0.45">
      <c r="A31" s="10">
        <v>0.58333333333333337</v>
      </c>
      <c r="B31" s="5" t="n">
        <v>29108.551369249326</v>
      </c>
      <c r="C31" s="5" t="n">
        <v>26171.798183791932</v>
      </c>
      <c r="D31" s="5" t="n">
        <v>27902.395432799625</v>
      </c>
      <c r="E31" s="5" t="n">
        <v>9196.452382457455</v>
      </c>
      <c r="F31" s="5">
        <f si="0" t="shared"/>
        <v>92379.197368298352</v>
      </c>
      <c r="H31" s="10">
        <v>0.58333333333333337</v>
      </c>
      <c r="I31" s="8" t="n">
        <v>27190.157868385315</v>
      </c>
      <c r="J31" s="8" t="n">
        <v>21490.994126319885</v>
      </c>
      <c r="K31" s="8" t="n">
        <v>29660.63784790039</v>
      </c>
      <c r="L31" s="8" t="n">
        <v>7083.23916053772</v>
      </c>
      <c r="M31">
        <f si="1" t="shared"/>
        <v>85355.396432876587</v>
      </c>
    </row>
    <row r="32" spans="1:13" x14ac:dyDescent="0.45">
      <c r="A32" s="10">
        <v>0.60416666666666663</v>
      </c>
      <c r="B32" s="5" t="n">
        <v>39361.59611222568</v>
      </c>
      <c r="C32" s="5" t="n">
        <v>32384.46755604475</v>
      </c>
      <c r="D32" s="5" t="n">
        <v>29015.53272649339</v>
      </c>
      <c r="E32" s="5" t="n">
        <v>6646.713696200297</v>
      </c>
      <c r="F32" s="5">
        <f si="0" t="shared"/>
        <v>107408.31009096411</v>
      </c>
      <c r="H32" s="10">
        <v>0.60416666666666663</v>
      </c>
      <c r="I32" s="8" t="n">
        <v>35265.110761642456</v>
      </c>
      <c r="J32" s="8" t="n">
        <v>25644.67009162903</v>
      </c>
      <c r="K32" s="8" t="n">
        <v>30699.48342514038</v>
      </c>
      <c r="L32" s="8" t="n">
        <v>5678.262734413147</v>
      </c>
      <c r="M32">
        <f si="1" t="shared"/>
        <v>97561.820180892944</v>
      </c>
    </row>
    <row r="33" spans="1:13" x14ac:dyDescent="0.45">
      <c r="A33" s="10">
        <v>0.625</v>
      </c>
      <c r="B33" s="5" t="n">
        <v>51608.98364064313</v>
      </c>
      <c r="C33" s="5" t="n">
        <v>34886.1126347341</v>
      </c>
      <c r="D33" s="5" t="n">
        <v>29275.917957623707</v>
      </c>
      <c r="E33" s="5" t="n">
        <v>4654.565270298653</v>
      </c>
      <c r="F33" s="5">
        <f si="0" t="shared"/>
        <v>120425.5795032996</v>
      </c>
      <c r="H33" s="10">
        <v>0.625</v>
      </c>
      <c r="I33" s="8" t="n">
        <v>44471.314291000366</v>
      </c>
      <c r="J33" s="8" t="n">
        <v>27463.574776649475</v>
      </c>
      <c r="K33" s="8" t="n">
        <v>31268.992993354797</v>
      </c>
      <c r="L33" s="8" t="n">
        <v>4341.115343093872</v>
      </c>
      <c r="M33">
        <f si="1" t="shared"/>
        <v>108211.47106266022</v>
      </c>
    </row>
    <row r="34" spans="1:13" x14ac:dyDescent="0.45">
      <c r="A34" s="10">
        <v>0.64583333333333337</v>
      </c>
      <c r="B34" s="5" t="n">
        <v>63850.042175937386</v>
      </c>
      <c r="C34" s="5" t="n">
        <v>32753.691833158497</v>
      </c>
      <c r="D34" s="5" t="n">
        <v>28671.62193025952</v>
      </c>
      <c r="E34" s="5" t="n">
        <v>3238.5279508240264</v>
      </c>
      <c r="F34" s="5">
        <f si="0" t="shared"/>
        <v>128513.88389017941</v>
      </c>
      <c r="H34" s="10">
        <v>0.64583333333333337</v>
      </c>
      <c r="I34" s="8" t="n">
        <v>53346.53184509277</v>
      </c>
      <c r="J34" s="8" t="n">
        <v>26202.93310546875</v>
      </c>
      <c r="K34" s="8" t="n">
        <v>31479.822264671326</v>
      </c>
      <c r="L34" s="8" t="n">
        <v>3146.6050367355347</v>
      </c>
      <c r="M34">
        <f si="1" t="shared"/>
        <v>115197.08537864685</v>
      </c>
    </row>
    <row r="35" spans="1:13" x14ac:dyDescent="0.45">
      <c r="A35" s="10">
        <v>0.66666666666666663</v>
      </c>
      <c r="B35" s="5" t="n">
        <v>73330.95426612475</v>
      </c>
      <c r="C35" s="5" t="n">
        <v>27021.36062366345</v>
      </c>
      <c r="D35" s="5" t="n">
        <v>27732.714174900033</v>
      </c>
      <c r="E35" s="5" t="n">
        <v>2248.845183547357</v>
      </c>
      <c r="F35" s="5">
        <f si="0" t="shared"/>
        <v>130333.87424823559</v>
      </c>
      <c r="H35" s="10">
        <v>0.66666666666666663</v>
      </c>
      <c r="I35" s="8" t="n">
        <v>59949.10726547241</v>
      </c>
      <c r="J35" s="8" t="n">
        <v>22220.532757759094</v>
      </c>
      <c r="K35" s="8" t="n">
        <v>31508.477199554443</v>
      </c>
      <c r="L35" s="8" t="n">
        <v>2154.5237197875977</v>
      </c>
      <c r="M35">
        <f si="1" t="shared"/>
        <v>117102.65252494812</v>
      </c>
    </row>
    <row r="36" spans="1:13" x14ac:dyDescent="0.45">
      <c r="A36" s="10">
        <v>0.6875</v>
      </c>
      <c r="B36" s="5" t="n">
        <v>77460.93777131794</v>
      </c>
      <c r="C36" s="5" t="n">
        <v>19926.78056457834</v>
      </c>
      <c r="D36" s="5" t="n">
        <v>27235.323481861997</v>
      </c>
      <c r="E36" s="5" t="n">
        <v>1538.9798831849898</v>
      </c>
      <c r="F36" s="5">
        <f si="0" t="shared"/>
        <v>126162.02170094327</v>
      </c>
      <c r="H36" s="10">
        <v>0.6875</v>
      </c>
      <c r="I36" s="8" t="n">
        <v>62467.78569507599</v>
      </c>
      <c r="J36" s="8" t="n">
        <v>16827.907236099243</v>
      </c>
      <c r="K36" s="8" t="n">
        <v>31599.276540756226</v>
      </c>
      <c r="L36" s="8" t="n">
        <v>1403.1893739700317</v>
      </c>
      <c r="M36">
        <f si="1" t="shared"/>
        <v>113678.1673374176</v>
      </c>
    </row>
    <row r="37" spans="1:13" x14ac:dyDescent="0.45">
      <c r="A37" s="10">
        <v>0.70833333333333337</v>
      </c>
      <c r="B37" s="5" t="n">
        <v>74912.77846345466</v>
      </c>
      <c r="C37" s="5" t="n">
        <v>13533.137387875104</v>
      </c>
      <c r="D37" s="5" t="n">
        <v>27733.07376569201</v>
      </c>
      <c r="E37" s="5" t="n">
        <v>1027.0627472442054</v>
      </c>
      <c r="F37" s="5">
        <f si="0" t="shared"/>
        <v>117206.05236426597</v>
      </c>
      <c r="H37" s="10">
        <v>0.70833333333333337</v>
      </c>
      <c r="I37" s="8" t="n">
        <v>59941.56303024292</v>
      </c>
      <c r="J37" s="8" t="n">
        <v>11543.993453979492</v>
      </c>
      <c r="K37" s="8" t="n">
        <v>32008.869733810425</v>
      </c>
      <c r="L37" s="8" t="n">
        <v>892.4122114181519</v>
      </c>
      <c r="M37">
        <f si="1" t="shared"/>
        <v>105733.36837100983</v>
      </c>
    </row>
    <row r="38" spans="1:13" x14ac:dyDescent="0.45">
      <c r="A38" s="10">
        <v>0.72916666666666663</v>
      </c>
      <c r="B38" s="5" t="n">
        <v>66284.2769427695</v>
      </c>
      <c r="C38" s="5" t="n">
        <v>8839.72927618934</v>
      </c>
      <c r="D38" s="5" t="n">
        <v>29282.965150071926</v>
      </c>
      <c r="E38" s="5" t="n">
        <v>674.8734737103614</v>
      </c>
      <c r="F38" s="5">
        <f si="0" t="shared"/>
        <v>105081.84484274113</v>
      </c>
      <c r="H38" s="10">
        <v>0.72916666666666663</v>
      </c>
      <c r="I38" s="8" t="n">
        <v>52759.96655750275</v>
      </c>
      <c r="J38" s="8" t="n">
        <v>7362.891137123108</v>
      </c>
      <c r="K38" s="8" t="n">
        <v>32871.654786109924</v>
      </c>
      <c r="L38" s="8" t="n">
        <v>581.8524522781372</v>
      </c>
      <c r="M38">
        <f si="1" t="shared"/>
        <v>94755.90382194519</v>
      </c>
    </row>
    <row r="39" spans="1:13" x14ac:dyDescent="0.45">
      <c r="A39" s="10">
        <v>0.75</v>
      </c>
      <c r="B39" s="5" t="n">
        <v>53859.19522478394</v>
      </c>
      <c r="C39" s="5" t="n">
        <v>5826.325640589384</v>
      </c>
      <c r="D39" s="5" t="n">
        <v>31491.676181431445</v>
      </c>
      <c r="E39" s="5" t="n">
        <v>452.4103699398886</v>
      </c>
      <c r="F39" s="5">
        <f si="0" t="shared"/>
        <v>91629.60741674465</v>
      </c>
      <c r="H39" s="10">
        <v>0.75</v>
      </c>
      <c r="I39" s="8" t="n">
        <v>42615.93338680267</v>
      </c>
      <c r="J39" s="8" t="n">
        <v>4537.509611129761</v>
      </c>
      <c r="K39" s="8" t="n">
        <v>34061.37731266022</v>
      </c>
      <c r="L39" s="8" t="n">
        <v>409.0944576263428</v>
      </c>
      <c r="M39">
        <f si="1" t="shared"/>
        <v>82525.780866622925</v>
      </c>
    </row>
    <row r="40" spans="1:13" x14ac:dyDescent="0.45">
      <c r="A40" s="10">
        <v>0.77083333333333337</v>
      </c>
      <c r="B40" s="5" t="n">
        <v>40580.98369566774</v>
      </c>
      <c r="C40" s="5" t="n">
        <v>4014.1199621762316</v>
      </c>
      <c r="D40" s="5" t="n">
        <v>33722.653829299226</v>
      </c>
      <c r="E40" s="5" t="n">
        <v>323.73466214640746</v>
      </c>
      <c r="F40" s="5">
        <f si="0" t="shared"/>
        <v>78641.492149289596</v>
      </c>
      <c r="H40" s="10">
        <v>0.77083333333333337</v>
      </c>
      <c r="I40" s="8" t="n">
        <v>31836.537811279297</v>
      </c>
      <c r="J40" s="8" t="n">
        <v>2833.1603832244873</v>
      </c>
      <c r="K40" s="8" t="n">
        <v>35156.25637054443</v>
      </c>
      <c r="L40" s="8" t="n">
        <v>313.7595958709717</v>
      </c>
      <c r="M40">
        <f si="1" t="shared"/>
        <v>70696.510551452637</v>
      </c>
    </row>
    <row r="41" spans="1:13" x14ac:dyDescent="0.45">
      <c r="A41" s="10">
        <v>0.79166666666666663</v>
      </c>
      <c r="B41" s="5" t="n">
        <v>28877.66068900665</v>
      </c>
      <c r="C41" s="5" t="n">
        <v>2932.428696728177</v>
      </c>
      <c r="D41" s="5" t="n">
        <v>35268.074473959794</v>
      </c>
      <c r="E41" s="5" t="n">
        <v>251.22574598973213</v>
      </c>
      <c r="F41" s="5">
        <f si="0" t="shared"/>
        <v>67329.389605684351</v>
      </c>
      <c r="H41" s="10">
        <v>0.79166666666666663</v>
      </c>
      <c r="I41" s="8" t="n">
        <v>22435.44993019104</v>
      </c>
      <c r="J41" s="8" t="n">
        <v>1878.1644296646118</v>
      </c>
      <c r="K41" s="8" t="n">
        <v>35557.30400943756</v>
      </c>
      <c r="L41" s="8" t="n">
        <v>253.5017318725586</v>
      </c>
      <c r="M41">
        <f si="1" t="shared"/>
        <v>60332.246622085571</v>
      </c>
    </row>
    <row r="42" spans="1:13" x14ac:dyDescent="0.45">
      <c r="A42" s="10">
        <v>0.8125</v>
      </c>
      <c r="B42" s="5" t="n">
        <v>19990.708679348478</v>
      </c>
      <c r="C42" s="5" t="n">
        <v>2266.8649574741435</v>
      </c>
      <c r="D42" s="5" t="n">
        <v>35463.76787561873</v>
      </c>
      <c r="E42" s="5" t="n">
        <v>204.01186359496745</v>
      </c>
      <c r="F42" s="5">
        <f si="0" t="shared"/>
        <v>57925.353376036321</v>
      </c>
      <c r="H42" s="10">
        <v>0.8125</v>
      </c>
      <c r="I42" s="8" t="n">
        <v>15447.993394851685</v>
      </c>
      <c r="J42" s="8" t="n">
        <v>1359.607255935669</v>
      </c>
      <c r="K42" s="8" t="n">
        <v>34717.119462013245</v>
      </c>
      <c r="L42" s="8" t="n">
        <v>207.00923538208008</v>
      </c>
      <c r="M42">
        <f si="1" t="shared"/>
        <v>51652.357194900513</v>
      </c>
    </row>
    <row r="43" spans="1:13" x14ac:dyDescent="0.45">
      <c r="A43" s="10">
        <v>0.83333333333333337</v>
      </c>
      <c r="B43" s="5" t="n">
        <v>14007.98800293561</v>
      </c>
      <c r="C43" s="5" t="n">
        <v>1823.2139454186877</v>
      </c>
      <c r="D43" s="5" t="n">
        <v>33845.45597487712</v>
      </c>
      <c r="E43" s="5" t="n">
        <v>162.96998660301074</v>
      </c>
      <c r="F43" s="5">
        <f si="0" t="shared"/>
        <v>49839.627909834431</v>
      </c>
      <c r="H43" s="10">
        <v>0.83333333333333337</v>
      </c>
      <c r="I43" s="8" t="n">
        <v>10879.923007011414</v>
      </c>
      <c r="J43" s="8" t="n">
        <v>1066.8325843811035</v>
      </c>
      <c r="K43" s="8" t="n">
        <v>32376.144545555115</v>
      </c>
      <c r="L43" s="8" t="n">
        <v>167.65067768096924</v>
      </c>
      <c r="M43">
        <f si="1" t="shared"/>
        <v>44227.409597396851</v>
      </c>
    </row>
    <row r="44" spans="1:13" x14ac:dyDescent="0.45">
      <c r="A44" s="10">
        <v>0.85416666666666663</v>
      </c>
      <c r="B44" s="5" t="n">
        <v>10335.363595124476</v>
      </c>
      <c r="C44" s="5" t="n">
        <v>1478.801224764829</v>
      </c>
      <c r="D44" s="5" t="n">
        <v>30356.16615298928</v>
      </c>
      <c r="E44" s="5" t="n">
        <v>121.349070445221</v>
      </c>
      <c r="F44" s="5">
        <f si="0" t="shared"/>
        <v>42291.680043323802</v>
      </c>
      <c r="H44" s="10">
        <v>0.85416666666666663</v>
      </c>
      <c r="I44" s="8" t="n">
        <v>8136.138147354126</v>
      </c>
      <c r="J44" s="8" t="n">
        <v>878.6020011901855</v>
      </c>
      <c r="K44" s="8" t="n">
        <v>28693.586565971375</v>
      </c>
      <c r="L44" s="8" t="n">
        <v>134.7301425933838</v>
      </c>
      <c r="M44">
        <f si="1" t="shared"/>
        <v>37502.824920654297</v>
      </c>
    </row>
    <row r="45" spans="1:13" x14ac:dyDescent="0.45">
      <c r="A45" s="10">
        <v>0.875</v>
      </c>
      <c r="B45" s="5" t="n">
        <v>8203.37451752332</v>
      </c>
      <c r="C45" s="5" t="n">
        <v>1167.9595924415312</v>
      </c>
      <c r="D45" s="5" t="n">
        <v>25449.813102001353</v>
      </c>
      <c r="E45" s="5" t="n">
        <v>81.54675323325006</v>
      </c>
      <c r="F45" s="5">
        <f si="0" t="shared"/>
        <v>34902.693965199454</v>
      </c>
      <c r="H45" s="10">
        <v>0.875</v>
      </c>
      <c r="I45" s="8" t="n">
        <v>6524.845013618469</v>
      </c>
      <c r="J45" s="8" t="n">
        <v>742.2507314682007</v>
      </c>
      <c r="K45" s="8" t="n">
        <v>24194.419439315796</v>
      </c>
      <c r="L45" s="8" t="n">
        <v>107.74420070648193</v>
      </c>
      <c r="M45">
        <f si="1" t="shared"/>
        <v>31231.0846824646</v>
      </c>
    </row>
    <row r="46" spans="1:13" x14ac:dyDescent="0.45">
      <c r="A46" s="10">
        <v>0.89583333333333337</v>
      </c>
      <c r="B46" s="5" t="n">
        <v>6959.364241819234</v>
      </c>
      <c r="C46" s="5" t="n">
        <v>873.9516279377998</v>
      </c>
      <c r="D46" s="5" t="n">
        <v>19941.086786313463</v>
      </c>
      <c r="E46" s="5" t="n">
        <v>49.17366767155684</v>
      </c>
      <c r="F46" s="5">
        <f si="0" t="shared"/>
        <v>27823.576323742051</v>
      </c>
      <c r="H46" s="10">
        <v>0.89583333333333337</v>
      </c>
      <c r="I46" s="8" t="n">
        <v>5530.88453578949</v>
      </c>
      <c r="J46" s="8" t="n">
        <v>645.8124084472656</v>
      </c>
      <c r="K46" s="8" t="n">
        <v>19541.232194900513</v>
      </c>
      <c r="L46" s="8" t="n">
        <v>85.04617691040039</v>
      </c>
      <c r="M46">
        <f si="1" t="shared"/>
        <v>25508.999081611633</v>
      </c>
    </row>
    <row r="47" spans="1:13" x14ac:dyDescent="0.45">
      <c r="A47" s="10">
        <v>0.91666666666666663</v>
      </c>
      <c r="B47" s="5" t="n">
        <v>6128.153712749611</v>
      </c>
      <c r="C47" s="5" t="n">
        <v>609.1547285012438</v>
      </c>
      <c r="D47" s="5" t="n">
        <v>14661.770914422093</v>
      </c>
      <c r="E47" s="5" t="n">
        <v>27.456390785152013</v>
      </c>
      <c r="F47" s="5">
        <f si="0" t="shared"/>
        <v>21426.535746458099</v>
      </c>
      <c r="H47" s="10">
        <v>0.91666666666666663</v>
      </c>
      <c r="I47" s="8" t="n">
        <v>4831.615109443665</v>
      </c>
      <c r="J47" s="8" t="n">
        <v>585.3568820953369</v>
      </c>
      <c r="K47" s="8" t="n">
        <v>15256.762848854065</v>
      </c>
      <c r="L47" s="8" t="n">
        <v>65.02455806732178</v>
      </c>
      <c r="M47">
        <f si="1" t="shared"/>
        <v>20502.808426856995</v>
      </c>
    </row>
    <row r="48" spans="1:13" x14ac:dyDescent="0.45">
      <c r="A48" s="10">
        <v>0.9375</v>
      </c>
      <c r="B48" s="5" t="n">
        <v>5373.145920203091</v>
      </c>
      <c r="C48" s="5" t="n">
        <v>391.5816160259903</v>
      </c>
      <c r="D48" s="5" t="n">
        <v>10162.409264778269</v>
      </c>
      <c r="E48" s="5" t="n">
        <v>15.27044350809922</v>
      </c>
      <c r="F48" s="5">
        <f si="0" t="shared"/>
        <v>15942.407244515449</v>
      </c>
      <c r="H48" s="10">
        <v>0.9375</v>
      </c>
      <c r="I48" s="8" t="n">
        <v>4213.902149200439</v>
      </c>
      <c r="J48" s="8" t="n">
        <v>543.9113073348999</v>
      </c>
      <c r="K48" s="8" t="n">
        <v>11570.882634162903</v>
      </c>
      <c r="L48" s="8" t="n">
        <v>47.19552135467529</v>
      </c>
      <c r="M48">
        <f si="1" t="shared"/>
        <v>16197.577982902527</v>
      </c>
    </row>
    <row r="49" spans="1:13" x14ac:dyDescent="0.45">
      <c r="A49" s="10">
        <v>0.95833333333333337</v>
      </c>
      <c r="B49" s="5" t="n">
        <v>4488.133210288444</v>
      </c>
      <c r="C49" s="5" t="n">
        <v>230.3222546489597</v>
      </c>
      <c r="D49" s="5" t="n">
        <v>6639.416386420466</v>
      </c>
      <c r="E49" s="5" t="n">
        <v>9.018431678536334</v>
      </c>
      <c r="F49" s="5">
        <f si="0" t="shared"/>
        <v>11366.890283036406</v>
      </c>
      <c r="H49" s="10">
        <v>0.95833333333333337</v>
      </c>
      <c r="I49" s="8" t="n">
        <v>3535.8018865585327</v>
      </c>
      <c r="J49" s="8" t="n">
        <v>493.7913637161255</v>
      </c>
      <c r="K49" s="8" t="n">
        <v>8471.472858428955</v>
      </c>
      <c r="L49" s="8" t="n">
        <v>32.05644607543945</v>
      </c>
      <c r="M49">
        <f si="1" t="shared"/>
        <v>12407.174689292908</v>
      </c>
    </row>
    <row r="50" spans="1:13" x14ac:dyDescent="0.45">
      <c r="A50" s="10">
        <v>0.97916666666666663</v>
      </c>
      <c r="B50" s="5" t="n">
        <v>3433.0654749027776</v>
      </c>
      <c r="C50" s="5" t="n">
        <v>122.72201470866426</v>
      </c>
      <c r="D50" s="5" t="n">
        <v>4052.6169619602315</v>
      </c>
      <c r="E50" s="5" t="n">
        <v>5.490617983396883</v>
      </c>
      <c r="F50" s="5">
        <f si="0" t="shared"/>
        <v>7613.8950695550702</v>
      </c>
      <c r="H50" s="10">
        <v>0.97916666666666663</v>
      </c>
      <c r="I50" s="8" t="n">
        <v>2750.477988243103</v>
      </c>
      <c r="J50" s="8" t="n">
        <v>415.0419216156006</v>
      </c>
      <c r="K50" s="8" t="n">
        <v>5875.168704986572</v>
      </c>
      <c r="L50" s="8" t="n">
        <v>20.21426296234131</v>
      </c>
      <c r="M50">
        <f si="1" t="shared"/>
        <v>8979.855414390564</v>
      </c>
    </row>
    <row r="51" spans="1:13" x14ac:dyDescent="0.45">
      <c r="A51" s="10">
        <v>1</v>
      </c>
      <c r="B51" s="5" t="n">
        <v>2330.086385335185</v>
      </c>
      <c r="C51" s="5" t="n">
        <v>58.36567709300675</v>
      </c>
      <c r="D51" s="5" t="n">
        <v>2270.901982970629</v>
      </c>
      <c r="E51" s="5" t="n">
        <v>3.122545376502548</v>
      </c>
      <c r="F51" s="5">
        <f si="0" t="shared"/>
        <v>4662.4765907753235</v>
      </c>
      <c r="H51" s="10">
        <v>1</v>
      </c>
      <c r="I51" s="8" t="n">
        <v>1921.11123752594</v>
      </c>
      <c r="J51" s="8" t="n">
        <v>309.97493839263916</v>
      </c>
      <c r="K51" s="8" t="n">
        <v>3757.2192277908325</v>
      </c>
      <c r="L51" s="8" t="n">
        <v>11.759612083435059</v>
      </c>
      <c r="M51">
        <f si="1" t="shared"/>
        <v>5954.1232767105103</v>
      </c>
    </row>
    <row r="52" spans="1:13" x14ac:dyDescent="0.45">
      <c r="A52" s="10">
        <v>1.0208333333333333</v>
      </c>
      <c r="B52" s="5" t="n">
        <v>1369.3366479773395</v>
      </c>
      <c r="C52" s="5" t="n">
        <v>24.26779727357222</v>
      </c>
      <c r="D52" s="5" t="n">
        <v>1142.0010924978608</v>
      </c>
      <c r="E52" s="5" t="n">
        <v>1.524137916303876</v>
      </c>
      <c r="F52" s="5">
        <f si="0" t="shared"/>
        <v>2537.1296756650763</v>
      </c>
      <c r="H52" s="10">
        <v>1.0208333333333333</v>
      </c>
      <c r="I52" s="8" t="n">
        <v>1173.9424228668213</v>
      </c>
      <c r="J52" s="8" t="n">
        <v>200.0489273071289</v>
      </c>
      <c r="K52" s="8" t="n">
        <v>2152.839645385742</v>
      </c>
      <c r="L52" s="8" t="n">
        <v>6.243991851806641</v>
      </c>
      <c r="M52">
        <f si="1" t="shared"/>
        <v>3510.9645376205444</v>
      </c>
    </row>
    <row r="53" spans="1:13" x14ac:dyDescent="0.45">
      <c r="A53" s="10">
        <v>4.1666666666666664E-2</v>
      </c>
      <c r="B53" s="5" t="n">
        <v>682.8030325485187</v>
      </c>
      <c r="C53" s="5" t="n">
        <v>8.586784119812547</v>
      </c>
      <c r="D53" s="5" t="n">
        <v>503.0449612985549</v>
      </c>
      <c r="E53" s="5" t="n">
        <v>0.6062146610760436</v>
      </c>
      <c r="F53" s="5">
        <f si="0" t="shared"/>
        <v>1195.0409926279622</v>
      </c>
      <c r="H53" s="10">
        <v>4.1666666666666664E-2</v>
      </c>
      <c r="I53" s="8" t="n">
        <v>613.9625635147095</v>
      </c>
      <c r="J53" s="8" t="n">
        <v>109.2830057144165</v>
      </c>
      <c r="K53" s="8" t="n">
        <v>1075.3698825836182</v>
      </c>
      <c r="L53" s="8" t="n">
        <v>2.9690027236938477</v>
      </c>
      <c r="M53">
        <f si="1" t="shared"/>
        <v>1792.9278192520142</v>
      </c>
    </row>
    <row r="54" spans="1:13" x14ac:dyDescent="0.45">
      <c r="A54" s="10">
        <v>6.25E-2</v>
      </c>
      <c r="B54" s="5" t="n">
        <v>283.35018396825353</v>
      </c>
      <c r="C54" s="5" t="n">
        <v>2.4996078546212708</v>
      </c>
      <c r="D54" s="5" t="n">
        <v>189.3920649060721</v>
      </c>
      <c r="E54" s="5" t="n">
        <v>0.18928918970951158</v>
      </c>
      <c r="F54" s="5">
        <f si="0" t="shared"/>
        <v>475.4311459186564</v>
      </c>
      <c r="H54" s="10">
        <v>6.25E-2</v>
      </c>
      <c r="I54" s="8" t="n">
        <v>269.0986166000366</v>
      </c>
      <c r="J54" s="8" t="n">
        <v>49.58848571777344</v>
      </c>
      <c r="K54" s="8" t="n">
        <v>456.1651554107666</v>
      </c>
      <c r="L54" s="8" t="n">
        <v>1.2302522659301758</v>
      </c>
      <c r="M54">
        <f si="1" t="shared"/>
        <v>773.4919548034668</v>
      </c>
    </row>
    <row r="55" spans="1:13" x14ac:dyDescent="0.45">
      <c r="A55" s="10">
        <v>8.3333333333333329E-2</v>
      </c>
      <c r="B55" s="5" t="n">
        <v>95.75541526896367</v>
      </c>
      <c r="C55" s="5" t="n">
        <v>0.5732328125507722</v>
      </c>
      <c r="D55" s="5" t="n">
        <v>59.375966503807454</v>
      </c>
      <c r="E55" s="5" t="n">
        <v>0.04453863287282625</v>
      </c>
      <c r="F55" s="5">
        <f si="0" t="shared"/>
        <v>155.74915321819472</v>
      </c>
      <c r="H55" s="10">
        <v>8.3333333333333329E-2</v>
      </c>
      <c r="I55" s="8" t="n">
        <v>96.57734489440918</v>
      </c>
      <c r="J55" s="8" t="n">
        <v>18.298051834106445</v>
      </c>
      <c r="K55" s="8" t="n">
        <v>159.90146827697754</v>
      </c>
      <c r="L55" s="8" t="n">
        <v>0.4295778274536133</v>
      </c>
      <c r="M55">
        <f si="1" t="shared"/>
        <v>274.68770408630371</v>
      </c>
    </row>
    <row r="56" spans="1:13" x14ac:dyDescent="0.45">
      <c r="A56" s="10">
        <v>0.10416666666666667</v>
      </c>
      <c r="B56" s="5" t="n">
        <v>25.62442953963601</v>
      </c>
      <c r="C56" s="5" t="n">
        <v>0.0975302460724425</v>
      </c>
      <c r="D56" s="5" t="n">
        <v>15.026818905054094</v>
      </c>
      <c r="E56" s="5" t="n">
        <v>0.007423105478804376</v>
      </c>
      <c r="F56" s="5">
        <f si="0" t="shared"/>
        <v>40.756201796241356</v>
      </c>
      <c r="H56" s="10">
        <v>0.10416666666666667</v>
      </c>
      <c r="I56" s="8" t="n">
        <v>27.56153106689453</v>
      </c>
      <c r="J56" s="8" t="n">
        <v>5.340517044067383</v>
      </c>
      <c r="K56" s="8" t="n">
        <v>44.848307609558105</v>
      </c>
      <c r="L56" s="8" t="n">
        <v>0.12150382995605469</v>
      </c>
      <c r="M56">
        <f si="1" t="shared"/>
        <v>77.835639953613281</v>
      </c>
    </row>
    <row r="57" spans="1:13" x14ac:dyDescent="0.45">
      <c r="A57" s="10">
        <v>0.125</v>
      </c>
      <c r="B57" s="5" t="n">
        <v>5.149605304936543</v>
      </c>
      <c r="C57" s="5" t="n">
        <v>0.011185404207125757</v>
      </c>
      <c r="D57" s="5" t="n">
        <v>2.9068149400996237</v>
      </c>
      <c r="E57" s="5" t="n">
        <v>7.813795240846712E-4</v>
      </c>
      <c r="F57" s="5">
        <f si="0" t="shared"/>
        <v>8.0683870287673773</v>
      </c>
      <c r="H57" s="10">
        <v>0.125</v>
      </c>
      <c r="I57" s="8" t="n">
        <v>5.913948059082031</v>
      </c>
      <c r="J57" s="8" t="n">
        <v>1.1666593551635742</v>
      </c>
      <c r="K57" s="8" t="n">
        <v>9.500004768371582</v>
      </c>
      <c r="L57" s="8" t="n">
        <v>0.026105880737304688</v>
      </c>
      <c r="M57">
        <f si="1" t="shared"/>
        <v>16.62119197845459</v>
      </c>
    </row>
    <row r="58" spans="1:13" x14ac:dyDescent="0.45">
      <c r="A58" s="17" t="s">
        <v>6</v>
      </c>
      <c r="B58" s="18" t="n">
        <v>0.0</v>
      </c>
      <c r="C58" s="18" t="n">
        <v>0.0</v>
      </c>
      <c r="D58" s="18" t="n">
        <v>0.0</v>
      </c>
      <c r="E58" s="18" t="n">
        <v>0.0</v>
      </c>
      <c r="F58" s="18">
        <f si="0" t="shared"/>
        <v>0</v>
      </c>
      <c r="H58" s="17" t="s">
        <v>6</v>
      </c>
      <c r="I58" s="20" t="n">
        <v>0.0</v>
      </c>
      <c r="J58" s="20" t="n">
        <v>0.0</v>
      </c>
      <c r="K58" s="20" t="n">
        <v>0.0</v>
      </c>
      <c r="L58" s="20" t="n">
        <v>0.0</v>
      </c>
      <c r="M58" s="19">
        <f si="1" t="shared"/>
        <v>0</v>
      </c>
    </row>
    <row ht="14.65" r="59" spans="1:13" thickBot="1" x14ac:dyDescent="0.5">
      <c r="A59" s="1"/>
      <c r="B59" s="6">
        <f>SUM(B8:B58)</f>
        <v>816010.56437805679</v>
      </c>
      <c r="C59" s="6">
        <f>SUM(C8:C58)</f>
        <v>270555.96451940341</v>
      </c>
      <c r="D59" s="6">
        <f>SUM(D8:D58)</f>
        <v>795140.90816081502</v>
      </c>
      <c r="E59" s="6">
        <f>SUM(E8:E58)</f>
        <v>125023.4832512212</v>
      </c>
      <c r="F59" s="6">
        <f>SUM(F8:F58)</f>
        <v>2006730.9203094966</v>
      </c>
      <c r="H59" s="1"/>
      <c r="I59" s="6">
        <f>SUM(I8:I58)</f>
        <v>683637.23133563995</v>
      </c>
      <c r="J59" s="6">
        <f>SUM(J8:J58)</f>
        <v>222362.18902873993</v>
      </c>
      <c r="K59" s="6">
        <f>SUM(K8:K58)</f>
        <v>855716.8462266922</v>
      </c>
      <c r="L59" s="6">
        <f>SUM(L8:L58)</f>
        <v>104870.07490634918</v>
      </c>
      <c r="M59" s="6">
        <f>SUM(M8:M58)</f>
        <v>1866586.3414974213</v>
      </c>
    </row>
    <row ht="14.65" r="63" spans="1:13" thickBot="1" x14ac:dyDescent="0.5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4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236</v>
      </c>
      <c r="J64" s="4" t="s">
        <v>236</v>
      </c>
      <c r="K64" s="4" t="s">
        <v>236</v>
      </c>
      <c r="L64" s="4" t="s">
        <v>236</v>
      </c>
      <c r="M64" s="4" t="s">
        <v>236</v>
      </c>
    </row>
    <row r="65" spans="1:13" x14ac:dyDescent="0.45">
      <c r="A65" t="s">
        <v>5</v>
      </c>
      <c r="B65" s="14">
        <f>B8/B$59</f>
        <v>9.3378072063460202E-3</v>
      </c>
      <c r="C65" s="14">
        <f ref="C65:F65" si="2" t="shared">C8/C$59</f>
        <v>0</v>
      </c>
      <c r="D65" s="14">
        <f si="2" t="shared"/>
        <v>3.264940663043686E-3</v>
      </c>
      <c r="E65" s="14">
        <f si="2" t="shared"/>
        <v>0</v>
      </c>
      <c r="F65" s="14">
        <f si="2" t="shared"/>
        <v>5.0907857695400693E-3</v>
      </c>
      <c r="H65" t="s">
        <v>5</v>
      </c>
      <c r="I65" s="13">
        <f ref="I65:M80" si="3" t="shared">I8/I$59</f>
        <v>7.7292455088739257E-3</v>
      </c>
      <c r="J65" s="13">
        <f si="3" t="shared"/>
        <v>4.4971674562474814E-6</v>
      </c>
      <c r="K65" s="13">
        <f si="3" t="shared"/>
        <v>2.0392259515453356E-3</v>
      </c>
      <c r="L65" s="13">
        <f si="3" t="shared"/>
        <v>1.8117656554519804E-4</v>
      </c>
      <c r="M65" s="14">
        <f si="3" t="shared"/>
        <v>3.7764125040929634E-3</v>
      </c>
    </row>
    <row r="66" spans="1:13" x14ac:dyDescent="0.45">
      <c r="A66" s="10">
        <v>0.125</v>
      </c>
      <c r="B66" s="14">
        <f ref="B66:F81" si="4" t="shared">B9/B$59</f>
        <v>6.1999340455696703E-3</v>
      </c>
      <c r="C66" s="14">
        <f si="4" t="shared"/>
        <v>3.908204092126334E-8</v>
      </c>
      <c r="D66" s="14">
        <f si="4" t="shared"/>
        <v>2.2508205374028854E-3</v>
      </c>
      <c r="E66" s="14">
        <f si="4" t="shared"/>
        <v>5.5756823342205453E-7</v>
      </c>
      <c r="F66" s="14">
        <f si="4" t="shared"/>
        <v>3.4130193438167739E-3</v>
      </c>
      <c r="H66" s="10">
        <v>0.125</v>
      </c>
      <c r="I66" s="13">
        <f si="3" t="shared"/>
        <v>5.1679050923502936E-3</v>
      </c>
      <c r="J66" s="13">
        <f si="3" t="shared"/>
        <v>1.0146662878528927E-5</v>
      </c>
      <c r="K66" s="13">
        <f si="3" t="shared"/>
        <v>1.6318866333183048E-3</v>
      </c>
      <c r="L66" s="13">
        <f si="3" t="shared"/>
        <v>1.5025143127737257E-4</v>
      </c>
      <c r="M66" s="14">
        <f si="3" t="shared"/>
        <v>2.6505167296227263E-3</v>
      </c>
    </row>
    <row r="67" spans="1:13" x14ac:dyDescent="0.45">
      <c r="A67" s="10">
        <v>0.14583333333333334</v>
      </c>
      <c r="B67" s="14">
        <f si="4" t="shared"/>
        <v>3.5886334486488693E-3</v>
      </c>
      <c r="C67" s="14">
        <f si="4" t="shared"/>
        <v>2.7058766598239309E-7</v>
      </c>
      <c r="D67" s="14">
        <f si="4" t="shared"/>
        <v>1.4825265253057796E-3</v>
      </c>
      <c r="E67" s="14">
        <f si="4" t="shared"/>
        <v>3.7018280841059135E-6</v>
      </c>
      <c r="F67" s="14">
        <f si="4" t="shared"/>
        <v>2.046969165849585E-3</v>
      </c>
      <c r="H67" s="10">
        <v>0.14583333333333334</v>
      </c>
      <c r="I67" s="13">
        <f si="3" t="shared"/>
        <v>3.0459890802770066E-3</v>
      </c>
      <c r="J67" s="13">
        <f si="3" t="shared"/>
        <v>1.4421231319240904E-5</v>
      </c>
      <c r="K67" s="13">
        <f si="3" t="shared"/>
        <v>1.3450418265247292E-3</v>
      </c>
      <c r="L67" s="13">
        <f si="3" t="shared"/>
        <v>1.2965311745728725E-4</v>
      </c>
      <c r="M67" s="14">
        <f si="3" t="shared"/>
        <v>1.7412159768900835E-3</v>
      </c>
    </row>
    <row r="68" spans="1:13" x14ac:dyDescent="0.45">
      <c r="A68" s="10">
        <v>0.16666666666666666</v>
      </c>
      <c r="B68" s="14">
        <f si="4" t="shared"/>
        <v>1.7896693364728928E-3</v>
      </c>
      <c r="C68" s="14">
        <f si="4" t="shared"/>
        <v>1.4266203032662884E-6</v>
      </c>
      <c r="D68" s="14">
        <f si="4" t="shared"/>
        <v>1.1644852774042656E-3</v>
      </c>
      <c r="E68" s="14">
        <f si="4" t="shared"/>
        <v>1.7658115737476704E-5</v>
      </c>
      <c r="F68" s="14">
        <f si="4" t="shared"/>
        <v>1.1904499013357204E-3</v>
      </c>
      <c r="H68" s="10">
        <v>0.16666666666666666</v>
      </c>
      <c r="I68" s="13">
        <f si="3" t="shared"/>
        <v>1.6031896972580719E-3</v>
      </c>
      <c r="J68" s="13">
        <f si="3" t="shared"/>
        <v>2.0926807850034456E-5</v>
      </c>
      <c r="K68" s="13">
        <f si="3" t="shared"/>
        <v>1.3037265853126777E-3</v>
      </c>
      <c r="L68" s="13">
        <f si="3" t="shared"/>
        <v>1.2663753722004013E-4</v>
      </c>
      <c r="M68" s="14">
        <f si="3" t="shared"/>
        <v>1.1944557490405322E-3</v>
      </c>
    </row>
    <row r="69" spans="1:13" x14ac:dyDescent="0.45">
      <c r="A69" s="10">
        <v>0.1875</v>
      </c>
      <c r="B69" s="14">
        <f si="4" t="shared"/>
        <v>7.8010404996648852E-4</v>
      </c>
      <c r="C69" s="14">
        <f si="4" t="shared"/>
        <v>6.0544700250467658E-6</v>
      </c>
      <c r="D69" s="14">
        <f si="4" t="shared"/>
        <v>1.4716092249008259E-3</v>
      </c>
      <c r="E69" s="14">
        <f si="4" t="shared"/>
        <v>6.5015227170618295E-5</v>
      </c>
      <c r="F69" s="14">
        <f si="4" t="shared"/>
        <v>9.0519178550087058E-4</v>
      </c>
      <c r="H69" s="10">
        <v>0.1875</v>
      </c>
      <c r="I69" s="13">
        <f si="3" t="shared"/>
        <v>8.2269915356931111E-4</v>
      </c>
      <c r="J69" s="13">
        <f si="3" t="shared"/>
        <v>4.169382235644397E-5</v>
      </c>
      <c r="K69" s="13">
        <f si="3" t="shared"/>
        <v>1.6566745369671072E-3</v>
      </c>
      <c r="L69" s="13">
        <f si="3" t="shared"/>
        <v>1.460978993220996E-4</v>
      </c>
      <c r="M69" s="14">
        <f si="3" t="shared"/>
        <v>1.0739736299641993E-3</v>
      </c>
    </row>
    <row r="70" spans="1:13" x14ac:dyDescent="0.45">
      <c r="A70" s="10">
        <v>0.20833333333333334</v>
      </c>
      <c r="B70" s="14">
        <f si="4" t="shared"/>
        <v>3.4496710165617182E-4</v>
      </c>
      <c r="C70" s="14">
        <f si="4" t="shared"/>
        <v>2.1122386142364346E-5</v>
      </c>
      <c r="D70" s="14">
        <f si="4" t="shared"/>
        <v>2.5911952858658125E-3</v>
      </c>
      <c r="E70" s="14">
        <f si="4" t="shared"/>
        <v>1.9312835425247356E-4</v>
      </c>
      <c r="F70" s="14">
        <f si="4" t="shared"/>
        <v>1.1818836871725731E-3</v>
      </c>
      <c r="H70" s="10">
        <v>0.20833333333333334</v>
      </c>
      <c r="I70" s="13">
        <f si="3" t="shared"/>
        <v>5.2675487640826426E-4</v>
      </c>
      <c r="J70" s="13">
        <f si="3" t="shared"/>
        <v>9.6781417441789774E-5</v>
      </c>
      <c r="K70" s="13">
        <f si="3" t="shared"/>
        <v>2.5880382672820801E-3</v>
      </c>
      <c r="L70" s="13">
        <f si="3" t="shared"/>
        <v>1.9623029523794253E-4</v>
      </c>
      <c r="M70" s="14">
        <f si="3" t="shared"/>
        <v>1.4019369716344202E-3</v>
      </c>
    </row>
    <row r="71" spans="1:13" x14ac:dyDescent="0.45">
      <c r="A71" s="10">
        <v>0.22916666666666666</v>
      </c>
      <c r="B71" s="14">
        <f si="4" t="shared"/>
        <v>2.4842242566966151E-4</v>
      </c>
      <c r="C71" s="14">
        <f si="4" t="shared"/>
        <v>6.1188972626793298E-5</v>
      </c>
      <c r="D71" s="14">
        <f si="4" t="shared"/>
        <v>4.6991540347687604E-3</v>
      </c>
      <c r="E71" s="14">
        <f si="4" t="shared"/>
        <v>4.7804731198486372E-4</v>
      </c>
      <c r="F71" s="14">
        <f si="4" t="shared"/>
        <v>2.0010291721420078E-3</v>
      </c>
      <c r="H71" s="10">
        <v>0.22916666666666666</v>
      </c>
      <c r="I71" s="13">
        <f si="3" t="shared"/>
        <v>5.1718298106237536E-4</v>
      </c>
      <c r="J71" s="13">
        <f si="3" t="shared"/>
        <v>2.0662185990022439E-4</v>
      </c>
      <c r="K71" s="13">
        <f si="3" t="shared"/>
        <v>4.2779367657721752E-3</v>
      </c>
      <c r="L71" s="13">
        <f si="3" t="shared"/>
        <v>2.9632642315323291E-4</v>
      </c>
      <c r="M71" s="14">
        <f si="3" t="shared"/>
        <v>2.1918561553442304E-3</v>
      </c>
    </row>
    <row r="72" spans="1:13" x14ac:dyDescent="0.45">
      <c r="A72" s="10">
        <v>0.25</v>
      </c>
      <c r="B72" s="14">
        <f si="4" t="shared"/>
        <v>3.3603612666012369E-4</v>
      </c>
      <c r="C72" s="14">
        <f si="4" t="shared"/>
        <v>1.4842596085714425E-4</v>
      </c>
      <c r="D72" s="14">
        <f si="4" t="shared"/>
        <v>7.8053025638294676E-3</v>
      </c>
      <c r="E72" s="14">
        <f si="4" t="shared"/>
        <v>1.0114566745880102E-3</v>
      </c>
      <c r="F72" s="14">
        <f si="4" t="shared"/>
        <v>3.3124210609310665E-3</v>
      </c>
      <c r="H72" s="10">
        <v>0.25</v>
      </c>
      <c r="I72" s="13">
        <f si="3" t="shared"/>
        <v>6.6013608411739791E-4</v>
      </c>
      <c r="J72" s="13">
        <f si="3" t="shared"/>
        <v>3.7665631508621613E-4</v>
      </c>
      <c r="K72" s="13">
        <f si="3" t="shared"/>
        <v>6.8008057127818579E-3</v>
      </c>
      <c r="L72" s="13">
        <f si="3" t="shared"/>
        <v>4.8395223052798868E-4</v>
      </c>
      <c r="M72" s="14">
        <f si="3" t="shared"/>
        <v>3.4315925859904383E-3</v>
      </c>
    </row>
    <row r="73" spans="1:13" x14ac:dyDescent="0.45">
      <c r="A73" s="10">
        <v>0.27083333333333331</v>
      </c>
      <c r="B73" s="14">
        <f si="4" t="shared"/>
        <v>5.4505460087019063E-4</v>
      </c>
      <c r="C73" s="14">
        <f si="4" t="shared"/>
        <v>3.0480004443486267E-4</v>
      </c>
      <c r="D73" s="14">
        <f si="4" t="shared"/>
        <v>1.1553611920965457E-2</v>
      </c>
      <c r="E73" s="14">
        <f si="4" t="shared"/>
        <v>1.869234913053783E-3</v>
      </c>
      <c r="F73" s="14">
        <f si="4" t="shared"/>
        <v>4.957158638969502E-3</v>
      </c>
      <c r="H73" s="10">
        <v>0.27083333333333331</v>
      </c>
      <c r="I73" s="13">
        <f si="3" t="shared"/>
        <v>8.9782506839594233E-4</v>
      </c>
      <c r="J73" s="13">
        <f si="3" t="shared"/>
        <v>5.8367382841754501E-4</v>
      </c>
      <c r="K73" s="13">
        <f si="3" t="shared"/>
        <v>1.0016365818505587E-2</v>
      </c>
      <c r="L73" s="13">
        <f si="3" t="shared"/>
        <v>8.3162724493058974E-4</v>
      </c>
      <c r="M73" s="14">
        <f si="3" t="shared"/>
        <v>5.0369807200772911E-3</v>
      </c>
    </row>
    <row r="74" spans="1:13" x14ac:dyDescent="0.45">
      <c r="A74" s="10">
        <v>0.29166666666666669</v>
      </c>
      <c r="B74" s="14">
        <f si="4" t="shared"/>
        <v>8.6965375750905176E-4</v>
      </c>
      <c r="C74" s="14">
        <f si="4" t="shared"/>
        <v>5.3856929300435193E-4</v>
      </c>
      <c r="D74" s="14">
        <f si="4" t="shared"/>
        <v>1.519960149017892E-2</v>
      </c>
      <c r="E74" s="14">
        <f si="4" t="shared"/>
        <v>3.0797780037683533E-3</v>
      </c>
      <c r="F74" s="14">
        <f si="4" t="shared"/>
        <v>6.6407654157277082E-3</v>
      </c>
      <c r="H74" s="10">
        <v>0.29166666666666669</v>
      </c>
      <c r="I74" s="13">
        <f si="3" t="shared"/>
        <v>1.2286635406630702E-3</v>
      </c>
      <c r="J74" s="13">
        <f si="3" t="shared"/>
        <v>7.8051116163967149E-4</v>
      </c>
      <c r="K74" s="13">
        <f si="3" t="shared"/>
        <v>1.3544168812619641E-2</v>
      </c>
      <c r="L74" s="13">
        <f si="3" t="shared"/>
        <v>1.5053789348499675E-3</v>
      </c>
      <c r="M74" s="14">
        <f si="3" t="shared"/>
        <v>6.8367364802235679E-3</v>
      </c>
    </row>
    <row r="75" spans="1:13" x14ac:dyDescent="0.45">
      <c r="A75" s="10">
        <v>0.3125</v>
      </c>
      <c r="B75" s="14">
        <f si="4" t="shared"/>
        <v>1.327665414811788E-3</v>
      </c>
      <c r="C75" s="14">
        <f si="4" t="shared"/>
        <v>8.3934476497719542E-4</v>
      </c>
      <c r="D75" s="14">
        <f si="4" t="shared"/>
        <v>1.7907949198864202E-2</v>
      </c>
      <c r="E75" s="14">
        <f si="4" t="shared"/>
        <v>4.629490880094329E-3</v>
      </c>
      <c r="F75" s="14">
        <f si="4" t="shared"/>
        <v>8.0372593248340344E-3</v>
      </c>
      <c r="H75" s="10">
        <v>0.3125</v>
      </c>
      <c r="I75" s="13">
        <f si="3" t="shared"/>
        <v>1.6942542955387697E-3</v>
      </c>
      <c r="J75" s="13">
        <f si="3" t="shared"/>
        <v>9.2540427990947809E-4</v>
      </c>
      <c r="K75" s="13">
        <f si="3" t="shared"/>
        <v>1.6874527578565342E-2</v>
      </c>
      <c r="L75" s="13">
        <f si="3" t="shared"/>
        <v>2.8921951754507162E-3</v>
      </c>
      <c r="M75" s="14">
        <f si="3" t="shared"/>
        <v>8.6292030134887295E-3</v>
      </c>
    </row>
    <row r="76" spans="1:13" x14ac:dyDescent="0.45">
      <c r="A76" s="10">
        <v>0.33333333333333331</v>
      </c>
      <c r="B76" s="14">
        <f si="4" t="shared"/>
        <v>1.9484311822891931E-3</v>
      </c>
      <c r="C76" s="14">
        <f si="4" t="shared"/>
        <v>1.1970755963744912E-3</v>
      </c>
      <c r="D76" s="14">
        <f si="4" t="shared"/>
        <v>1.9218223290350681E-2</v>
      </c>
      <c r="E76" s="14">
        <f si="4" t="shared"/>
        <v>6.5496513508998874E-3</v>
      </c>
      <c r="F76" s="14">
        <f si="4" t="shared"/>
        <v>8.976725247653243E-3</v>
      </c>
      <c r="H76" s="10">
        <v>0.33333333333333331</v>
      </c>
      <c r="I76" s="13">
        <f si="3" t="shared"/>
        <v>2.3761275349677403E-3</v>
      </c>
      <c r="J76" s="13">
        <f si="3" t="shared"/>
        <v>1.017503531079269E-3</v>
      </c>
      <c r="K76" s="13">
        <f si="3" t="shared"/>
        <v>1.9572852509496006E-2</v>
      </c>
      <c r="L76" s="13">
        <f si="3" t="shared"/>
        <v>5.7402981001988236E-3</v>
      </c>
      <c r="M76" s="14">
        <f si="3" t="shared"/>
        <v>1.0286943736690927E-2</v>
      </c>
    </row>
    <row r="77" spans="1:13" x14ac:dyDescent="0.45">
      <c r="A77" s="10">
        <v>0.35416666666666669</v>
      </c>
      <c r="B77" s="14">
        <f si="4" t="shared"/>
        <v>2.7833753687250048E-3</v>
      </c>
      <c r="C77" s="14">
        <f si="4" t="shared"/>
        <v>1.6397136384002559E-3</v>
      </c>
      <c r="D77" s="14">
        <f si="4" t="shared"/>
        <v>1.9317340255342302E-2</v>
      </c>
      <c r="E77" s="14">
        <f si="4" t="shared"/>
        <v>9.1129340718036668E-3</v>
      </c>
      <c r="F77" s="14">
        <f si="4" t="shared"/>
        <v>9.574894197423767E-3</v>
      </c>
      <c r="H77" s="10">
        <v>0.35416666666666669</v>
      </c>
      <c r="I77" s="13">
        <f si="3" t="shared"/>
        <v>3.3764099270433001E-3</v>
      </c>
      <c r="J77" s="13">
        <f si="3" t="shared"/>
        <v>1.1078623694884089E-3</v>
      </c>
      <c r="K77" s="13">
        <f si="3" t="shared"/>
        <v>2.1452722744840728E-2</v>
      </c>
      <c r="L77" s="13">
        <f si="3" t="shared"/>
        <v>1.1129596723535105E-2</v>
      </c>
      <c r="M77" s="14">
        <f si="3" t="shared"/>
        <v>1.1828654071556585E-2</v>
      </c>
    </row>
    <row r="78" spans="1:13" x14ac:dyDescent="0.45">
      <c r="A78" s="10">
        <v>0.375</v>
      </c>
      <c r="B78" s="14">
        <f si="4" t="shared"/>
        <v>3.9207902543519219E-3</v>
      </c>
      <c r="C78" s="14">
        <f si="4" t="shared"/>
        <v>2.2584526125812342E-3</v>
      </c>
      <c r="D78" s="14">
        <f si="4" t="shared"/>
        <v>1.8901830918459928E-2</v>
      </c>
      <c r="E78" s="14">
        <f si="4" t="shared"/>
        <v>1.310676325362215E-2</v>
      </c>
      <c r="F78" s="14">
        <f si="4" t="shared"/>
        <v>1.0205013579271959E-2</v>
      </c>
      <c r="H78" s="10">
        <v>0.375</v>
      </c>
      <c r="I78" s="13">
        <f si="3" t="shared"/>
        <v>4.762497136102487E-3</v>
      </c>
      <c r="J78" s="13">
        <f si="3" t="shared"/>
        <v>1.2773414808316657E-3</v>
      </c>
      <c r="K78" s="13">
        <f si="3" t="shared"/>
        <v>2.2601312434723776E-2</v>
      </c>
      <c r="L78" s="13">
        <f si="3" t="shared"/>
        <v>2.0094645644376061E-2</v>
      </c>
      <c r="M78" s="14">
        <f si="3" t="shared"/>
        <v>1.3386738689680214E-2</v>
      </c>
    </row>
    <row r="79" spans="1:13" x14ac:dyDescent="0.45">
      <c r="A79" s="10">
        <v>0.39583333333333331</v>
      </c>
      <c r="B79" s="14">
        <f si="4" t="shared"/>
        <v>5.4617581353866677E-3</v>
      </c>
      <c r="C79" s="14">
        <f si="4" t="shared"/>
        <v>3.1864195135479514E-3</v>
      </c>
      <c r="D79" s="14">
        <f si="4" t="shared"/>
        <v>1.8766182334629667E-2</v>
      </c>
      <c r="E79" s="14">
        <f si="4" t="shared"/>
        <v>2.0009093148052121E-2</v>
      </c>
      <c r="F79" s="14">
        <f si="4" t="shared"/>
        <v>1.1333020635488935E-2</v>
      </c>
      <c r="H79" s="10">
        <v>0.39583333333333331</v>
      </c>
      <c r="I79" s="13">
        <f si="3" t="shared"/>
        <v>6.5002914202854818E-3</v>
      </c>
      <c r="J79" s="13">
        <f si="3" t="shared"/>
        <v>1.6166718970322287E-3</v>
      </c>
      <c r="K79" s="13">
        <f si="3" t="shared"/>
        <v>2.3251935063536011E-2</v>
      </c>
      <c r="L79" s="13">
        <f si="3" t="shared"/>
        <v>3.2988556407946262E-2</v>
      </c>
      <c r="M79" s="14">
        <f si="3" t="shared"/>
        <v>1.5086316784898399E-2</v>
      </c>
    </row>
    <row r="80" spans="1:13" x14ac:dyDescent="0.45">
      <c r="A80" s="10">
        <v>0.41666666666666669</v>
      </c>
      <c r="B80" s="14">
        <f si="4" t="shared"/>
        <v>7.4311984935654298E-3</v>
      </c>
      <c r="C80" s="14">
        <f si="4" t="shared"/>
        <v>4.5270389379840174E-3</v>
      </c>
      <c r="D80" s="14">
        <f si="4" t="shared"/>
        <v>1.942876649875892E-2</v>
      </c>
      <c r="E80" s="14">
        <f si="4" t="shared"/>
        <v>3.1712405792755131E-2</v>
      </c>
      <c r="F80" s="14">
        <f si="4" t="shared"/>
        <v>1.3306296357689372E-2</v>
      </c>
      <c r="H80" s="10">
        <v>0.41666666666666669</v>
      </c>
      <c r="I80" s="13">
        <f si="3" t="shared"/>
        <v>8.4407100496832598E-3</v>
      </c>
      <c r="J80" s="13">
        <f si="3" t="shared"/>
        <v>2.268415982878426E-3</v>
      </c>
      <c r="K80" s="13">
        <f si="3" t="shared"/>
        <v>2.362699979174309E-2</v>
      </c>
      <c r="L80" s="13">
        <f si="3" t="shared"/>
        <v>4.8997135536293417E-2</v>
      </c>
      <c r="M80" s="14">
        <f si="3" t="shared"/>
        <v>1.6945987394590311E-2</v>
      </c>
    </row>
    <row r="81" spans="1:13" x14ac:dyDescent="0.45">
      <c r="A81" s="10">
        <v>0.4375</v>
      </c>
      <c r="B81" s="14">
        <f si="4" t="shared"/>
        <v>9.6813437262533979E-3</v>
      </c>
      <c r="C81" s="14">
        <f si="4" t="shared"/>
        <v>6.2914490912077889E-3</v>
      </c>
      <c r="D81" s="14">
        <f si="4" t="shared"/>
        <v>2.097993368370028E-2</v>
      </c>
      <c r="E81" s="14">
        <f si="4" t="shared"/>
        <v>4.9473544503156712E-2</v>
      </c>
      <c r="F81" s="14">
        <f si="4" t="shared"/>
        <v>1.6180358757349862E-2</v>
      </c>
      <c r="H81" s="10">
        <v>0.4375</v>
      </c>
      <c r="I81" s="13">
        <f ref="I81:M96" si="5" t="shared">I24/I$59</f>
        <v>1.0399198701576434E-2</v>
      </c>
      <c r="J81" s="13">
        <f si="5" t="shared"/>
        <v>3.5578133821307367E-3</v>
      </c>
      <c r="K81" s="13">
        <f si="5" t="shared"/>
        <v>2.3891933919462129E-2</v>
      </c>
      <c r="L81" s="13">
        <f si="5" t="shared"/>
        <v>6.6176032712678592E-2</v>
      </c>
      <c r="M81" s="14">
        <f si="5" t="shared"/>
        <v>1.8903501888563594E-2</v>
      </c>
    </row>
    <row r="82" spans="1:13" x14ac:dyDescent="0.45">
      <c r="A82" s="10">
        <v>0.45833333333333331</v>
      </c>
      <c r="B82" s="14">
        <f ref="B82:F97" si="6" t="shared">B25/B$59</f>
        <v>1.191100468684295E-2</v>
      </c>
      <c r="C82" s="14">
        <f si="6" t="shared"/>
        <v>8.4863282647268511E-3</v>
      </c>
      <c r="D82" s="14">
        <f si="6" t="shared"/>
        <v>2.3141136539510138E-2</v>
      </c>
      <c r="E82" s="14">
        <f si="6" t="shared"/>
        <v>7.2319400612557302E-2</v>
      </c>
      <c r="F82" s="14">
        <f si="6" t="shared"/>
        <v>1.9662636221675526E-2</v>
      </c>
      <c r="H82" s="10">
        <v>0.45833333333333331</v>
      </c>
      <c r="I82" s="13">
        <f si="5" t="shared"/>
        <v>1.2285467556806963E-2</v>
      </c>
      <c r="J82" s="13">
        <f si="5" t="shared"/>
        <v>6.1502082676805165E-3</v>
      </c>
      <c r="K82" s="13">
        <f si="5" t="shared"/>
        <v>2.4230081757871141E-2</v>
      </c>
      <c r="L82" s="13">
        <f si="5" t="shared"/>
        <v>8.1961892189767016E-2</v>
      </c>
      <c r="M82" s="14">
        <f si="5" t="shared"/>
        <v>2.0945088287363765E-2</v>
      </c>
    </row>
    <row r="83" spans="1:13" x14ac:dyDescent="0.45">
      <c r="A83" s="10">
        <v>0.47916666666666669</v>
      </c>
      <c r="B83" s="14">
        <f si="6" t="shared"/>
        <v>1.3860076066618132E-2</v>
      </c>
      <c r="C83" s="14">
        <f si="6" t="shared"/>
        <v>1.1499858161324313E-2</v>
      </c>
      <c r="D83" s="14">
        <f si="6" t="shared"/>
        <v>2.5460934554731557E-2</v>
      </c>
      <c r="E83" s="14">
        <f si="6" t="shared"/>
        <v>9.6020510412213086E-2</v>
      </c>
      <c r="F83" s="14">
        <f si="6" t="shared"/>
        <v>2.3257314938211343E-2</v>
      </c>
      <c r="H83" s="10">
        <v>0.47916666666666669</v>
      </c>
      <c r="I83" s="13">
        <f si="5" t="shared"/>
        <v>1.4193426804140496E-2</v>
      </c>
      <c r="J83" s="13">
        <f si="5" t="shared"/>
        <v>1.1095321413079598E-2</v>
      </c>
      <c r="K83" s="13">
        <f si="5" t="shared"/>
        <v>2.4899894523991828E-2</v>
      </c>
      <c r="L83" s="13">
        <f si="5" t="shared"/>
        <v>9.381418147545989E-2</v>
      </c>
      <c r="M83" s="14">
        <f si="5" t="shared"/>
        <v>2.32059420183292E-2</v>
      </c>
    </row>
    <row r="84" spans="1:13" x14ac:dyDescent="0.45">
      <c r="A84" s="10">
        <v>0.5</v>
      </c>
      <c r="B84" s="14">
        <f si="6" t="shared"/>
        <v>1.5580662444265203E-2</v>
      </c>
      <c r="C84" s="14">
        <f si="6" t="shared"/>
        <v>1.6689275170677625E-2</v>
      </c>
      <c r="D84" s="14">
        <f si="6" t="shared"/>
        <v>2.75776221339929E-2</v>
      </c>
      <c r="E84" s="14">
        <f si="6" t="shared"/>
        <v>0.11399940416925922</v>
      </c>
      <c r="F84" s="14">
        <f si="6" t="shared"/>
        <v>2.6615459831339696E-2</v>
      </c>
      <c r="H84" s="10">
        <v>0.5</v>
      </c>
      <c r="I84" s="13">
        <f si="5" t="shared"/>
        <v>1.6413491458877473E-2</v>
      </c>
      <c r="J84" s="13">
        <f si="5" t="shared"/>
        <v>1.9651831094531252E-2</v>
      </c>
      <c r="K84" s="13">
        <f si="5" t="shared"/>
        <v>2.6146032440063405E-2</v>
      </c>
      <c r="L84" s="13">
        <f si="5" t="shared"/>
        <v>9.9794886230757759E-2</v>
      </c>
      <c r="M84" s="14">
        <f si="5" t="shared"/>
        <v>2.5945649861817608E-2</v>
      </c>
    </row>
    <row r="85" spans="1:13" x14ac:dyDescent="0.45">
      <c r="A85" s="10">
        <v>0.52083333333333337</v>
      </c>
      <c r="B85" s="14">
        <f si="6" t="shared"/>
        <v>1.7604628403773779E-2</v>
      </c>
      <c r="C85" s="14">
        <f si="6" t="shared"/>
        <v>2.6574824335406672E-2</v>
      </c>
      <c r="D85" s="14">
        <f si="6" t="shared"/>
        <v>2.9425421223741526E-2</v>
      </c>
      <c r="E85" s="14">
        <f si="6" t="shared"/>
        <v>0.12034213358719491</v>
      </c>
      <c r="F85" s="14">
        <f si="6" t="shared"/>
        <v>2.9898621813227853E-2</v>
      </c>
      <c r="H85" s="10">
        <v>0.52083333333333337</v>
      </c>
      <c r="I85" s="13">
        <f si="5" t="shared"/>
        <v>1.9415708649803166E-2</v>
      </c>
      <c r="J85" s="13">
        <f si="5" t="shared"/>
        <v>3.2910716081013008E-2</v>
      </c>
      <c r="K85" s="13">
        <f si="5" t="shared"/>
        <v>2.8014527672266028E-2</v>
      </c>
      <c r="L85" s="13">
        <f si="5" t="shared"/>
        <v>9.9091511629868123E-2</v>
      </c>
      <c r="M85" s="14">
        <f si="5" t="shared"/>
        <v>2.9441787111444868E-2</v>
      </c>
    </row>
    <row r="86" spans="1:13" x14ac:dyDescent="0.45">
      <c r="A86" s="10">
        <v>0.54166666666666663</v>
      </c>
      <c r="B86" s="14">
        <f si="6" t="shared"/>
        <v>2.0899196743218957E-2</v>
      </c>
      <c r="C86" s="14">
        <f si="6" t="shared"/>
        <v>4.3782105129607361E-2</v>
      </c>
      <c r="D86" s="14">
        <f si="6" t="shared"/>
        <v>3.1216664117037923E-2</v>
      </c>
      <c r="E86" s="14">
        <f si="6" t="shared"/>
        <v>0.11311442305679961</v>
      </c>
      <c r="F86" s="14">
        <f si="6" t="shared"/>
        <v>3.3817728205101115E-2</v>
      </c>
      <c r="H86" s="10">
        <v>0.54166666666666663</v>
      </c>
      <c r="I86" s="13">
        <f si="5" t="shared"/>
        <v>2.3845762843986412E-2</v>
      </c>
      <c r="J86" s="13">
        <f si="5" t="shared"/>
        <v>5.1267344265988002E-2</v>
      </c>
      <c r="K86" s="13">
        <f si="5" t="shared"/>
        <v>3.0264736082907428E-2</v>
      </c>
      <c r="L86" s="13">
        <f si="5" t="shared"/>
        <v>9.2318883572071173E-2</v>
      </c>
      <c r="M86" s="14">
        <f si="5" t="shared"/>
        <v>3.3902156855964559E-2</v>
      </c>
    </row>
    <row r="87" spans="1:13" x14ac:dyDescent="0.45">
      <c r="A87" s="10">
        <v>0.5625</v>
      </c>
      <c r="B87" s="14">
        <f si="6" t="shared"/>
        <v>2.6615124095793304E-2</v>
      </c>
      <c r="C87" s="14">
        <f si="6" t="shared"/>
        <v>6.8604378193037191E-2</v>
      </c>
      <c r="D87" s="14">
        <f si="6" t="shared"/>
        <v>3.315417606493011E-2</v>
      </c>
      <c r="E87" s="14">
        <f si="6" t="shared"/>
        <v>9.5456763602264391E-2</v>
      </c>
      <c r="F87" s="14">
        <f si="6" t="shared"/>
        <v>3.915628353680236E-2</v>
      </c>
      <c r="H87" s="10">
        <v>0.5625</v>
      </c>
      <c r="I87" s="13">
        <f si="5" t="shared"/>
        <v>3.0461636200958143E-2</v>
      </c>
      <c r="J87" s="13">
        <f si="5" t="shared"/>
        <v>7.3701004264215955E-2</v>
      </c>
      <c r="K87" s="13">
        <f si="5" t="shared"/>
        <v>3.2490969557566765E-2</v>
      </c>
      <c r="L87" s="13">
        <f si="5" t="shared"/>
        <v>8.125929942483727E-2</v>
      </c>
      <c r="M87" s="14">
        <f si="5" t="shared"/>
        <v>3.9396926067378664E-2</v>
      </c>
    </row>
    <row r="88" spans="1:13" x14ac:dyDescent="0.45">
      <c r="A88" s="10">
        <v>0.58333333333333337</v>
      </c>
      <c r="B88" s="14">
        <f si="6" t="shared"/>
        <v>3.5671782498839517E-2</v>
      </c>
      <c r="C88" s="14">
        <f si="6" t="shared"/>
        <v>9.6733399429140929E-2</v>
      </c>
      <c r="D88" s="14">
        <f si="6" t="shared"/>
        <v>3.5091133089025325E-2</v>
      </c>
      <c r="E88" s="14">
        <f si="6" t="shared"/>
        <v>7.355780004927695E-2</v>
      </c>
      <c r="F88" s="14">
        <f si="6" t="shared"/>
        <v>4.6034670833721335E-2</v>
      </c>
      <c r="H88" s="10">
        <v>0.58333333333333337</v>
      </c>
      <c r="I88" s="13">
        <f si="5" t="shared"/>
        <v>3.9871098113401553E-2</v>
      </c>
      <c r="J88" s="13">
        <f si="5" t="shared"/>
        <v>9.700114786272894E-2</v>
      </c>
      <c r="K88" s="13">
        <f si="5" t="shared"/>
        <v>3.4347103786816394E-2</v>
      </c>
      <c r="L88" s="13">
        <f si="5" t="shared"/>
        <v>6.8057988975029252E-2</v>
      </c>
      <c r="M88" s="14">
        <f si="5" t="shared"/>
        <v>4.5728072972184293E-2</v>
      </c>
    </row>
    <row r="89" spans="1:13" x14ac:dyDescent="0.45">
      <c r="A89" s="10">
        <v>0.60416666666666663</v>
      </c>
      <c r="B89" s="14">
        <f si="6" t="shared"/>
        <v>4.8236625640044405E-2</v>
      </c>
      <c r="C89" s="14">
        <f si="6" t="shared"/>
        <v>0.11969600305641105</v>
      </c>
      <c r="D89" s="14">
        <f si="6" t="shared"/>
        <v>3.6491057658707554E-2</v>
      </c>
      <c r="E89" s="14">
        <f si="6" t="shared"/>
        <v>5.3163721913302021E-2</v>
      </c>
      <c r="F89" s="14">
        <f si="6" t="shared"/>
        <v>5.3524022081843738E-2</v>
      </c>
      <c r="H89" s="10">
        <v>0.60416666666666663</v>
      </c>
      <c r="I89" s="13">
        <f si="5" t="shared"/>
        <v>5.205973539234833E-2</v>
      </c>
      <c r="J89" s="13">
        <f si="5" t="shared"/>
        <v>0.11572617199304132</v>
      </c>
      <c r="K89" s="13">
        <f si="5" t="shared"/>
        <v>3.5676338034397952E-2</v>
      </c>
      <c r="L89" s="13">
        <f si="5" t="shared"/>
        <v>5.4447166346542612E-2</v>
      </c>
      <c r="M89" s="14">
        <f si="5" t="shared"/>
        <v>5.2267509952219231E-2</v>
      </c>
    </row>
    <row r="90" spans="1:13" x14ac:dyDescent="0.45">
      <c r="A90" s="10">
        <v>0.625</v>
      </c>
      <c r="B90" s="14">
        <f si="6" t="shared"/>
        <v>6.3245484670873375E-2</v>
      </c>
      <c r="C90" s="14">
        <f si="6" t="shared"/>
        <v>0.12894231585950558</v>
      </c>
      <c r="D90" s="14">
        <f si="6" t="shared"/>
        <v>3.6818528209471443E-2</v>
      </c>
      <c r="E90" s="14">
        <f si="6" t="shared"/>
        <v>3.7229527999518348E-2</v>
      </c>
      <c r="F90" s="14">
        <f si="6" t="shared"/>
        <v>6.001082570887304E-2</v>
      </c>
      <c r="H90" s="10">
        <v>0.625</v>
      </c>
      <c r="I90" s="13">
        <f si="5" t="shared"/>
        <v>6.5945139710186659E-2</v>
      </c>
      <c r="J90" s="13">
        <f si="5" t="shared"/>
        <v>0.12390387006637622</v>
      </c>
      <c r="K90" s="13">
        <f si="5" t="shared"/>
        <v>3.6486495633664212E-2</v>
      </c>
      <c r="L90" s="13">
        <f si="5" t="shared"/>
        <v>4.1530184701789173E-2</v>
      </c>
      <c r="M90" s="14">
        <f si="5" t="shared"/>
        <v>5.7972925579135186E-2</v>
      </c>
    </row>
    <row r="91" spans="1:13" x14ac:dyDescent="0.45">
      <c r="A91" s="10">
        <v>0.64583333333333337</v>
      </c>
      <c r="B91" s="14">
        <f si="6" t="shared"/>
        <v>7.8246587683092464E-2</v>
      </c>
      <c r="C91" s="14">
        <f si="6" t="shared"/>
        <v>0.12106069031351739</v>
      </c>
      <c r="D91" s="14">
        <f si="6" t="shared"/>
        <v>3.6058542122524989E-2</v>
      </c>
      <c r="E91" s="14">
        <f si="6" t="shared"/>
        <v>2.5903357246226725E-2</v>
      </c>
      <c r="F91" s="14">
        <f si="6" t="shared"/>
        <v>6.4041413120977275E-2</v>
      </c>
      <c r="H91" s="10">
        <v>0.64583333333333337</v>
      </c>
      <c r="I91" s="13">
        <f si="5" t="shared"/>
        <v>7.9295293375043152E-2</v>
      </c>
      <c r="J91" s="13">
        <f si="5" t="shared"/>
        <v>0.11818227054184963</v>
      </c>
      <c r="K91" s="13">
        <f si="5" t="shared"/>
        <v>3.6880570163886392E-2</v>
      </c>
      <c r="L91" s="13">
        <f si="5" t="shared"/>
        <v>3.0030273086405629E-2</v>
      </c>
      <c r="M91" s="14">
        <f si="5" t="shared"/>
        <v>6.1715380005530805E-2</v>
      </c>
    </row>
    <row r="92" spans="1:13" x14ac:dyDescent="0.45">
      <c r="A92" s="10">
        <v>0.66666666666666663</v>
      </c>
      <c r="B92" s="14">
        <f si="6" t="shared"/>
        <v>8.9865202078622364E-2</v>
      </c>
      <c r="C92" s="14">
        <f si="6" t="shared"/>
        <v>9.9873461195587751E-2</v>
      </c>
      <c r="D92" s="14">
        <f si="6" t="shared"/>
        <v>3.4877735367743364E-2</v>
      </c>
      <c r="E92" s="14">
        <f si="6" t="shared"/>
        <v>1.7987382250649227E-2</v>
      </c>
      <c r="F92" s="14">
        <f si="6" t="shared"/>
        <v>6.4948356019816689E-2</v>
      </c>
      <c r="H92" s="10">
        <v>0.66666666666666663</v>
      </c>
      <c r="I92" s="13">
        <f si="5" t="shared"/>
        <v>8.9190456734442994E-2</v>
      </c>
      <c r="J92" s="13">
        <f si="5" t="shared"/>
        <v>0.1001922257727228</v>
      </c>
      <c r="K92" s="13">
        <f si="5" t="shared"/>
        <v>3.7043261346346508E-2</v>
      </c>
      <c r="L92" s="13">
        <f si="5" t="shared"/>
        <v>2.0513289454997318E-2</v>
      </c>
      <c r="M92" s="14">
        <f si="5" t="shared"/>
        <v>6.2736263478176693E-2</v>
      </c>
    </row>
    <row r="93" spans="1:13" x14ac:dyDescent="0.45">
      <c r="A93" s="10">
        <v>0.6875</v>
      </c>
      <c r="B93" s="14">
        <f si="6" t="shared"/>
        <v>9.4926390849310593E-2</v>
      </c>
      <c r="C93" s="14">
        <f si="6" t="shared"/>
        <v>7.3651233673502167E-2</v>
      </c>
      <c r="D93" s="14">
        <f si="6" t="shared"/>
        <v>3.4252197569432222E-2</v>
      </c>
      <c r="E93" s="14">
        <f si="6" t="shared"/>
        <v>1.230952652384973E-2</v>
      </c>
      <c r="F93" s="14">
        <f si="6" t="shared"/>
        <v>6.2869426301302711E-2</v>
      </c>
      <c r="H93" s="10">
        <v>0.6875</v>
      </c>
      <c r="I93" s="13">
        <f si="5" t="shared"/>
        <v>9.2937442578272703E-2</v>
      </c>
      <c r="J93" s="13">
        <f si="5" t="shared"/>
        <v>7.5864651649994549E-2</v>
      </c>
      <c r="K93" s="13">
        <f si="5" t="shared"/>
        <v>3.724935202393611E-2</v>
      </c>
      <c r="L93" s="13">
        <f si="5" t="shared"/>
        <v>1.3334055099464044E-2</v>
      </c>
      <c r="M93" s="14">
        <f si="5" t="shared"/>
        <v>6.0901638895644226E-2</v>
      </c>
    </row>
    <row r="94" spans="1:13" x14ac:dyDescent="0.45">
      <c r="A94" s="10">
        <v>0.70833333333333337</v>
      </c>
      <c r="B94" s="14">
        <f si="6" t="shared"/>
        <v>9.1803687027693495E-2</v>
      </c>
      <c r="C94" s="14">
        <f si="6" t="shared"/>
        <v>5.0019734038813067E-2</v>
      </c>
      <c r="D94" s="14">
        <f si="6" t="shared"/>
        <v>3.4878187603049435E-2</v>
      </c>
      <c r="E94" s="14">
        <f si="6" t="shared"/>
        <v>8.2149586664485557E-3</v>
      </c>
      <c r="F94" s="14">
        <f si="6" t="shared"/>
        <v>5.8406461562962995E-2</v>
      </c>
      <c r="H94" s="10">
        <v>0.70833333333333337</v>
      </c>
      <c r="I94" s="13">
        <f si="5" t="shared"/>
        <v>8.9123429777122357E-2</v>
      </c>
      <c r="J94" s="13">
        <f si="5" t="shared"/>
        <v>5.2051314508765156E-2</v>
      </c>
      <c r="K94" s="13">
        <f si="5" t="shared"/>
        <v>3.7795411161645358E-2</v>
      </c>
      <c r="L94" s="13">
        <f si="5" t="shared"/>
        <v>8.4758146187900677E-3</v>
      </c>
      <c r="M94" s="14">
        <f si="5" t="shared"/>
        <v>5.664531343682068E-2</v>
      </c>
    </row>
    <row r="95" spans="1:13" x14ac:dyDescent="0.45">
      <c r="A95" s="10">
        <v>0.72916666666666663</v>
      </c>
      <c r="B95" s="14">
        <f si="6" t="shared"/>
        <v>8.122967990407054E-2</v>
      </c>
      <c r="C95" s="14">
        <f si="6" t="shared"/>
        <v>3.2672461285012194E-2</v>
      </c>
      <c r="D95" s="14">
        <f si="6" t="shared"/>
        <v>3.6827391031615149E-2</v>
      </c>
      <c r="E95" s="14">
        <f si="6" t="shared"/>
        <v>5.3979736939041758E-3</v>
      </c>
      <c r="F95" s="14">
        <f si="6" t="shared"/>
        <v>5.2364691139823789E-2</v>
      </c>
      <c r="H95" s="10">
        <v>0.72916666666666663</v>
      </c>
      <c r="I95" s="13">
        <f si="5" t="shared"/>
        <v>7.8341528057638984E-2</v>
      </c>
      <c r="J95" s="13">
        <f si="5" t="shared"/>
        <v>3.3221553673115863E-2</v>
      </c>
      <c r="K95" s="13">
        <f si="5" t="shared"/>
        <v>3.8833965306770718E-2</v>
      </c>
      <c r="L95" s="13">
        <f si="5" t="shared"/>
        <v>5.5365915020045807E-3</v>
      </c>
      <c r="M95" s="14">
        <f si="5" t="shared"/>
        <v>5.0764275788030083E-2</v>
      </c>
    </row>
    <row r="96" spans="1:13" x14ac:dyDescent="0.45">
      <c r="A96" s="10">
        <v>0.75</v>
      </c>
      <c r="B96" s="14">
        <f si="6" t="shared"/>
        <v>6.600306120526038E-2</v>
      </c>
      <c r="C96" s="14">
        <f si="6" t="shared"/>
        <v>2.1534641274454473E-2</v>
      </c>
      <c r="D96" s="14">
        <f si="6" t="shared"/>
        <v>3.9605151562724455E-2</v>
      </c>
      <c r="E96" s="14">
        <f si="6" t="shared"/>
        <v>3.6186031469849448E-3</v>
      </c>
      <c r="F96" s="14">
        <f si="6" t="shared"/>
        <v>4.5661132984691682E-2</v>
      </c>
      <c r="H96" s="10">
        <v>0.75</v>
      </c>
      <c r="I96" s="13">
        <f si="5" t="shared"/>
        <v>6.3119911034156054E-2</v>
      </c>
      <c r="J96" s="13">
        <f si="5" t="shared"/>
        <v>2.0498401998707977E-2</v>
      </c>
      <c r="K96" s="13">
        <f si="5" t="shared"/>
        <v>4.0208227370904431E-2</v>
      </c>
      <c r="L96" s="13">
        <f si="5" t="shared"/>
        <v>3.9070496252296485E-3</v>
      </c>
      <c r="M96" s="14">
        <f si="5" t="shared"/>
        <v>4.4212142257731686E-2</v>
      </c>
    </row>
    <row r="97" spans="1:13" x14ac:dyDescent="0.45">
      <c r="A97" s="10">
        <v>0.77083333333333337</v>
      </c>
      <c r="B97" s="14">
        <f si="6" t="shared"/>
        <v>4.9730953822390241E-2</v>
      </c>
      <c r="C97" s="14">
        <f si="6" t="shared"/>
        <v>1.4836560595907143E-2</v>
      </c>
      <c r="D97" s="14">
        <f si="6" t="shared"/>
        <v>4.241091545308711E-2</v>
      </c>
      <c r="E97" s="14">
        <f si="6" t="shared"/>
        <v>2.589390838646669E-3</v>
      </c>
      <c r="F97" s="14">
        <f si="6" t="shared"/>
        <v>3.9188857536096959E-2</v>
      </c>
      <c r="H97" s="10">
        <v>0.77083333333333337</v>
      </c>
      <c r="I97" s="13">
        <f ref="I97:M112" si="7" t="shared">I40/I$59</f>
        <v>4.6938440382146361E-2</v>
      </c>
      <c r="J97" s="13">
        <f si="7" t="shared"/>
        <v>1.2814433152326412E-2</v>
      </c>
      <c r="K97" s="13">
        <f si="7" t="shared"/>
        <v>4.1419121067985475E-2</v>
      </c>
      <c r="L97" s="13">
        <f si="7" t="shared"/>
        <v>3.0052430588869998E-3</v>
      </c>
      <c r="M97" s="14">
        <f si="7" t="shared"/>
        <v>3.7874760454283708E-2</v>
      </c>
    </row>
    <row r="98" spans="1:13" x14ac:dyDescent="0.45">
      <c r="A98" s="10">
        <v>0.79166666666666663</v>
      </c>
      <c r="B98" s="14">
        <f ref="B98:F113" si="8" t="shared">B41/B$59</f>
        <v>3.538883189706802E-2</v>
      </c>
      <c r="C98" s="14">
        <f si="8" t="shared"/>
        <v>1.0838529107784177E-2</v>
      </c>
      <c r="D98" s="14">
        <f si="8" t="shared"/>
        <v>4.4354496306240762E-2</v>
      </c>
      <c r="E98" s="14">
        <f si="8" t="shared"/>
        <v>2.0094284646102931E-3</v>
      </c>
      <c r="F98" s="14">
        <f si="8" t="shared"/>
        <v>3.355177763210037E-2</v>
      </c>
      <c r="H98" s="10">
        <v>0.79166666666666663</v>
      </c>
      <c r="I98" s="13">
        <f si="7" t="shared"/>
        <v>3.2824298548879013E-2</v>
      </c>
      <c r="J98" s="13">
        <f si="7" t="shared"/>
        <v>8.4953946032164593E-3</v>
      </c>
      <c r="K98" s="13">
        <f si="7" t="shared"/>
        <v>4.1776173980157975E-2</v>
      </c>
      <c r="L98" s="13">
        <f si="7" t="shared"/>
        <v>2.428754394143179E-3</v>
      </c>
      <c r="M98" s="14">
        <f si="7" t="shared"/>
        <v>3.2322237273891954E-2</v>
      </c>
    </row>
    <row r="99" spans="1:13" x14ac:dyDescent="0.45">
      <c r="A99" s="10">
        <v>0.8125</v>
      </c>
      <c r="B99" s="14">
        <f si="8" t="shared"/>
        <v>2.4498100333523138E-2</v>
      </c>
      <c r="C99" s="14">
        <f si="8" t="shared"/>
        <v>8.3785436462317248E-3</v>
      </c>
      <c r="D99" s="14">
        <f si="8" t="shared"/>
        <v>4.4600607906902311E-2</v>
      </c>
      <c r="E99" s="14">
        <f si="8" t="shared"/>
        <v>1.6317883511934124E-3</v>
      </c>
      <c r="F99" s="14">
        <f si="8" t="shared"/>
        <v>2.8865530893948919E-2</v>
      </c>
      <c r="H99" s="10">
        <v>0.8125</v>
      </c>
      <c r="I99" s="13">
        <f si="7" t="shared"/>
        <v>2.2351161981907709E-2</v>
      </c>
      <c r="J99" s="13">
        <f si="7" t="shared"/>
        <v>6.1374408232709819E-3</v>
      </c>
      <c r="K99" s="13">
        <f si="7" t="shared"/>
        <v>4.066767452266145E-2</v>
      </c>
      <c r="L99" s="13">
        <f si="7" t="shared"/>
        <v>1.978846093489384E-3</v>
      </c>
      <c r="M99" s="14">
        <f si="7" t="shared"/>
        <v>2.7672096407532761E-2</v>
      </c>
    </row>
    <row r="100" spans="1:13" x14ac:dyDescent="0.45">
      <c r="A100" s="10">
        <v>0.83333333333333337</v>
      </c>
      <c r="B100" s="14">
        <f si="8" t="shared"/>
        <v>1.7166429718483062E-2</v>
      </c>
      <c r="C100" s="14">
        <f si="8" t="shared"/>
        <v>6.7387682569013648E-3</v>
      </c>
      <c r="D100" s="14">
        <f si="8" t="shared"/>
        <v>4.2565356187197922E-2</v>
      </c>
      <c r="E100" s="14">
        <f si="8" t="shared"/>
        <v>1.3035150066611097E-3</v>
      </c>
      <c r="F100" s="14">
        <f si="8" t="shared"/>
        <v>2.4836228617112106E-2</v>
      </c>
      <c r="H100" s="10">
        <v>0.83333333333333337</v>
      </c>
      <c r="I100" s="13">
        <f si="7" t="shared"/>
        <v>1.5544655034882586E-2</v>
      </c>
      <c r="J100" s="13">
        <f si="7" t="shared"/>
        <v>4.7975394678425268E-3</v>
      </c>
      <c r="K100" s="13">
        <f si="7" t="shared"/>
        <v>3.7823672256041843E-2</v>
      </c>
      <c r="L100" s="13">
        <f si="7" t="shared"/>
        <v>1.5958771247008149E-3</v>
      </c>
      <c r="M100" s="14">
        <f si="7" t="shared"/>
        <v>2.3694274737870707E-2</v>
      </c>
    </row>
    <row r="101" spans="1:13" x14ac:dyDescent="0.45">
      <c r="A101" s="10">
        <v>0.85416666666666663</v>
      </c>
      <c r="B101" s="14">
        <f si="8" t="shared"/>
        <v>1.2665722781422365E-2</v>
      </c>
      <c r="C101" s="14">
        <f si="8" t="shared"/>
        <v>5.4657868193431535E-3</v>
      </c>
      <c r="D101" s="14">
        <f si="8" t="shared"/>
        <v>3.8177090175380374E-2</v>
      </c>
      <c r="E101" s="14">
        <f si="8" t="shared"/>
        <v>9.7061021889290305E-4</v>
      </c>
      <c r="F101" s="14">
        <f si="8" t="shared"/>
        <v>2.1074913240884927E-2</v>
      </c>
      <c r="H101" s="10">
        <v>0.85416666666666663</v>
      </c>
      <c r="I101" s="13">
        <f si="7" t="shared"/>
        <v>1.1511490097724472E-2</v>
      </c>
      <c r="J101" s="13">
        <f si="7" t="shared"/>
        <v>3.9337373489433643E-3</v>
      </c>
      <c r="K101" s="13">
        <f si="7" t="shared"/>
        <v>3.3451139023572982E-2</v>
      </c>
      <c r="L101" s="13">
        <f si="7" t="shared"/>
        <v>1.2751403667829702E-3</v>
      </c>
      <c r="M101" s="14">
        <f si="7" t="shared"/>
        <v>2.0091663635858716E-2</v>
      </c>
    </row>
    <row r="102" spans="1:13" x14ac:dyDescent="0.45">
      <c r="A102" s="10">
        <v>0.875</v>
      </c>
      <c r="B102" s="14">
        <f si="8" t="shared"/>
        <v>1.0053024894078093E-2</v>
      </c>
      <c r="C102" s="14">
        <f si="8" t="shared"/>
        <v>4.3168872455508879E-3</v>
      </c>
      <c r="D102" s="14">
        <f si="8" t="shared"/>
        <v>3.200667056719235E-2</v>
      </c>
      <c r="E102" s="14">
        <f si="8" t="shared"/>
        <v>6.5225148998121138E-4</v>
      </c>
      <c r="F102" s="14">
        <f si="8" t="shared"/>
        <v>1.7392812166275105E-2</v>
      </c>
      <c r="H102" s="10">
        <v>0.875</v>
      </c>
      <c r="I102" s="13">
        <f si="7" t="shared"/>
        <v>9.1964552672359375E-3</v>
      </c>
      <c r="J102" s="13">
        <f si="7" t="shared"/>
        <v>3.3114407728651752E-3</v>
      </c>
      <c r="K102" s="13">
        <f si="7" t="shared"/>
        <v>2.8165203879283809E-2</v>
      </c>
      <c r="L102" s="13">
        <f si="7" t="shared"/>
        <v>1.0133187142127925E-3</v>
      </c>
      <c r="M102" s="14">
        <f si="7" t="shared"/>
        <v>1.6731658208433187E-2</v>
      </c>
    </row>
    <row r="103" spans="1:13" x14ac:dyDescent="0.45">
      <c r="A103" s="10">
        <v>0.89583333333333337</v>
      </c>
      <c r="B103" s="14">
        <f si="8" t="shared"/>
        <v>8.5285222344192203E-3</v>
      </c>
      <c r="C103" s="14">
        <f si="8" t="shared"/>
        <v>3.2302064731421685E-3</v>
      </c>
      <c r="D103" s="14">
        <f si="8" t="shared"/>
        <v>2.5078683012848376E-2</v>
      </c>
      <c r="E103" s="14">
        <f si="8" t="shared"/>
        <v>3.9331545076813819E-4</v>
      </c>
      <c r="F103" s="14">
        <f si="8" t="shared"/>
        <v>1.3865125634009188E-2</v>
      </c>
      <c r="H103" s="10">
        <v>0.89583333333333337</v>
      </c>
      <c r="I103" s="13">
        <f si="7" t="shared"/>
        <v>7.8047013036665483E-3</v>
      </c>
      <c r="J103" s="13">
        <f si="7" t="shared"/>
        <v>2.8775824894196754E-3</v>
      </c>
      <c r="K103" s="13">
        <f si="7" t="shared"/>
        <v>2.2729547908724581E-2</v>
      </c>
      <c r="L103" s="13">
        <f si="7" t="shared"/>
        <v>7.9614796666732483E-4</v>
      </c>
      <c r="M103" s="14">
        <f si="7" t="shared"/>
        <v>1.3666123293899006E-2</v>
      </c>
    </row>
    <row r="104" spans="1:13" x14ac:dyDescent="0.45">
      <c r="A104" s="10">
        <v>0.91666666666666663</v>
      </c>
      <c r="B104" s="14">
        <f si="8" t="shared"/>
        <v>7.5098950678663574E-3</v>
      </c>
      <c r="C104" s="14">
        <f si="8" t="shared"/>
        <v>2.2514925131416098E-3</v>
      </c>
      <c r="D104" s="14">
        <f si="8" t="shared"/>
        <v>1.8439210917138214E-2</v>
      </c>
      <c r="E104" s="14">
        <f si="8" t="shared"/>
        <v>2.196098690514114E-4</v>
      </c>
      <c r="F104" s="14">
        <f si="8" t="shared"/>
        <v>1.0677333731995071E-2</v>
      </c>
      <c r="H104" s="10">
        <v>0.91666666666666663</v>
      </c>
      <c r="I104" s="13">
        <f si="7" t="shared"/>
        <v>6.8388168087449956E-3</v>
      </c>
      <c r="J104" s="13">
        <f si="7" t="shared"/>
        <v>2.6129679204239275E-3</v>
      </c>
      <c r="K104" s="13">
        <f si="7" t="shared"/>
        <v>1.7742670972109284E-2</v>
      </c>
      <c r="L104" s="13">
        <f si="7" t="shared"/>
        <v>6.0847599883321582E-4</v>
      </c>
      <c r="M104" s="14">
        <f si="7" t="shared"/>
        <v>1.0984120032941599E-2</v>
      </c>
    </row>
    <row r="105" spans="1:13" x14ac:dyDescent="0.45">
      <c r="A105" s="10">
        <v>0.9375</v>
      </c>
      <c r="B105" s="14">
        <f si="8" t="shared"/>
        <v>6.584652398830609E-3</v>
      </c>
      <c r="C105" s="14">
        <f si="8" t="shared"/>
        <v>1.4473220604157382E-3</v>
      </c>
      <c r="D105" s="14">
        <f si="8" t="shared"/>
        <v>1.2780639457079664E-2</v>
      </c>
      <c r="E105" s="14">
        <f si="8" t="shared"/>
        <v>1.2214060199726567E-4</v>
      </c>
      <c r="F105" s="14">
        <f si="8" t="shared"/>
        <v>7.9444668356715518E-3</v>
      </c>
      <c r="H105" s="10">
        <v>0.9375</v>
      </c>
      <c r="I105" s="13">
        <f si="7" t="shared"/>
        <v>5.9795478091192221E-3</v>
      </c>
      <c r="J105" s="13">
        <f si="7" t="shared"/>
        <v>2.4377533825984056E-3</v>
      </c>
      <c r="K105" s="13">
        <f si="7" t="shared"/>
        <v>1.3463714007772031E-2</v>
      </c>
      <c r="L105" s="13">
        <f si="7" t="shared"/>
        <v>4.4383878225622133E-4</v>
      </c>
      <c r="M105" s="14">
        <f si="7" t="shared"/>
        <v>8.677647330210524E-3</v>
      </c>
    </row>
    <row r="106" spans="1:13" x14ac:dyDescent="0.45">
      <c r="A106" s="10">
        <v>0.95833333333333337</v>
      </c>
      <c r="B106" s="14">
        <f si="8" t="shared"/>
        <v>5.5000920407313469E-3</v>
      </c>
      <c r="C106" s="14">
        <f si="8" t="shared"/>
        <v>8.5129246756059497E-4</v>
      </c>
      <c r="D106" s="14">
        <f si="8" t="shared"/>
        <v>8.3499871762070903E-3</v>
      </c>
      <c r="E106" s="14">
        <f si="8" t="shared"/>
        <v>7.2133901919967851E-5</v>
      </c>
      <c r="F106" s="14">
        <f si="8" t="shared"/>
        <v>5.6643818899662435E-3</v>
      </c>
      <c r="H106" s="10">
        <v>0.95833333333333337</v>
      </c>
      <c r="I106" s="13">
        <f si="7" t="shared"/>
        <v>5.0233350218331918E-3</v>
      </c>
      <c r="J106" s="13">
        <f si="7" t="shared"/>
        <v>2.2232776785723655E-3</v>
      </c>
      <c r="K106" s="13">
        <f si="7" t="shared"/>
        <v>9.8709806923699458E-3</v>
      </c>
      <c r="L106" s="13">
        <f si="7" t="shared"/>
        <v>3.0417146415245161E-4</v>
      </c>
      <c r="M106" s="14">
        <f si="7" t="shared"/>
        <v>6.646986755158386E-3</v>
      </c>
    </row>
    <row r="107" spans="1:13" x14ac:dyDescent="0.45">
      <c r="A107" s="10">
        <v>0.97916666666666663</v>
      </c>
      <c r="B107" s="14">
        <f si="8" t="shared"/>
        <v>4.2071336141577724E-3</v>
      </c>
      <c r="C107" s="14">
        <f si="8" t="shared"/>
        <v>4.5359197653121054E-4</v>
      </c>
      <c r="D107" s="14">
        <f si="8" t="shared"/>
        <v>5.0967280394792628E-3</v>
      </c>
      <c r="E107" s="14">
        <f si="8" t="shared"/>
        <v>4.3916693413221249E-5</v>
      </c>
      <c r="F107" s="14">
        <f si="8" t="shared"/>
        <v>3.7941783786242678E-3</v>
      </c>
      <c r="H107" s="10">
        <v>0.97916666666666663</v>
      </c>
      <c r="I107" s="13">
        <f si="7" t="shared"/>
        <v>3.9080322338043644E-3</v>
      </c>
      <c r="J107" s="13">
        <f si="7" t="shared"/>
        <v>1.8765184844944879E-3</v>
      </c>
      <c r="K107" s="13">
        <f si="7" t="shared"/>
        <v>6.8604630255007871E-3</v>
      </c>
      <c r="L107" s="13">
        <f si="7" t="shared"/>
        <v>1.9355889960778733E-4</v>
      </c>
      <c r="M107" s="14">
        <f si="7" t="shared"/>
        <v>4.8108438461982447E-3</v>
      </c>
    </row>
    <row r="108" spans="1:13" x14ac:dyDescent="0.45">
      <c r="A108" s="10">
        <v>1</v>
      </c>
      <c r="B108" s="14">
        <f si="8" t="shared"/>
        <v>2.8554610528984015E-3</v>
      </c>
      <c r="C108" s="14">
        <f si="8" t="shared"/>
        <v>2.1572496912675141E-4</v>
      </c>
      <c r="D108" s="14">
        <f si="8" t="shared"/>
        <v>2.8559742803615702E-3</v>
      </c>
      <c r="E108" s="14">
        <f si="8" t="shared"/>
        <v>2.4975670932380997E-5</v>
      </c>
      <c r="F108" s="14">
        <f si="8" t="shared"/>
        <v>2.3234189215842818E-3</v>
      </c>
      <c r="H108" s="10">
        <v>1</v>
      </c>
      <c r="I108" s="13">
        <f si="7" t="shared"/>
        <v>2.7282541286081348E-3</v>
      </c>
      <c r="J108" s="13">
        <f si="7" t="shared"/>
        <v>1.4065273568884828E-3</v>
      </c>
      <c r="K108" s="13">
        <f si="7" t="shared"/>
        <v>4.3990791043197709E-3</v>
      </c>
      <c r="L108" s="13">
        <f si="7" t="shared"/>
        <v>1.1311690587255039E-4</v>
      </c>
      <c r="M108" s="14">
        <f si="7" t="shared"/>
        <v>3.1898461615946288E-3</v>
      </c>
    </row>
    <row r="109" spans="1:13" x14ac:dyDescent="0.45">
      <c r="A109" s="10">
        <v>1.0208333333333333</v>
      </c>
      <c r="B109" s="14">
        <f si="8" t="shared"/>
        <v>1.678086911804891E-3</v>
      </c>
      <c r="C109" s="14">
        <f si="8" t="shared"/>
        <v>8.9696035039108567E-5</v>
      </c>
      <c r="D109" s="14">
        <f si="8" t="shared"/>
        <v>1.4362248008838382E-3</v>
      </c>
      <c r="E109" s="14">
        <f si="8" t="shared"/>
        <v>1.2190813091019751E-5</v>
      </c>
      <c r="F109" s="14">
        <f si="8" t="shared"/>
        <v>1.2643098533976725E-3</v>
      </c>
      <c r="H109" s="10">
        <v>1.0208333333333333</v>
      </c>
      <c r="I109" s="13">
        <f si="7" t="shared"/>
        <v>1.665958928748007E-3</v>
      </c>
      <c r="J109" s="13">
        <f si="7" t="shared"/>
        <v>9.1060349114975559E-4</v>
      </c>
      <c r="K109" s="13">
        <f si="7" t="shared"/>
        <v>2.5280462211336643E-3</v>
      </c>
      <c r="L109" s="13">
        <f si="7" t="shared"/>
        <v>5.9859430489540849E-5</v>
      </c>
      <c r="M109" s="14">
        <f si="7" t="shared"/>
        <v>1.8809547994463318E-3</v>
      </c>
    </row>
    <row r="110" spans="1:13" x14ac:dyDescent="0.45">
      <c r="A110" s="10">
        <v>4.1666666666666664E-2</v>
      </c>
      <c r="B110" s="14">
        <f si="8" t="shared"/>
        <v>8.3675758912378094E-4</v>
      </c>
      <c r="C110" s="14">
        <f si="8" t="shared"/>
        <v>3.173755246928489E-5</v>
      </c>
      <c r="D110" s="14">
        <f si="8" t="shared"/>
        <v>6.3264882505179249E-4</v>
      </c>
      <c r="E110" s="14">
        <f si="8" t="shared"/>
        <v>4.8488063627048416E-6</v>
      </c>
      <c r="F110" s="14">
        <f si="8" t="shared"/>
        <v>5.9551630990150488E-4</v>
      </c>
      <c r="H110" s="10">
        <v>4.1666666666666664E-2</v>
      </c>
      <c r="I110" s="13">
        <f si="7" t="shared"/>
        <v>8.7065334386136504E-4</v>
      </c>
      <c r="J110" s="13">
        <f si="7" t="shared"/>
        <v>4.9888201545901447E-4</v>
      </c>
      <c r="K110" s="13">
        <f si="7" t="shared"/>
        <v>1.2665807056227096E-3</v>
      </c>
      <c r="L110" s="13">
        <f si="7" t="shared"/>
        <v>2.812846155176618E-5</v>
      </c>
      <c r="M110" s="14">
        <f si="7" t="shared"/>
        <v>9.6053837928208755E-4</v>
      </c>
    </row>
    <row r="111" spans="1:13" x14ac:dyDescent="0.45">
      <c r="A111" s="10">
        <v>6.25E-2</v>
      </c>
      <c r="B111" s="14">
        <f si="8" t="shared"/>
        <v>3.472383769739747E-4</v>
      </c>
      <c r="C111" s="14">
        <f si="8" t="shared"/>
        <v>9.2387830335265319E-6</v>
      </c>
      <c r="D111" s="14">
        <f si="8" t="shared"/>
        <v>2.381867955255147E-4</v>
      </c>
      <c r="E111" s="14">
        <f si="8" t="shared"/>
        <v>1.5140290830735804E-6</v>
      </c>
      <c r="F111" s="14">
        <f si="8" t="shared"/>
        <v>2.3691823408258992E-4</v>
      </c>
      <c r="H111" s="10">
        <v>6.25E-2</v>
      </c>
      <c r="I111" s="13">
        <f si="7" t="shared"/>
        <v>3.8137322386389282E-4</v>
      </c>
      <c r="J111" s="13">
        <f si="7" t="shared"/>
        <v>2.2699036890151827E-4</v>
      </c>
      <c r="K111" s="13">
        <f si="7" t="shared"/>
        <v>5.3884269349116986E-4</v>
      </c>
      <c r="L111" s="13">
        <f si="7" t="shared"/>
        <v>1.1444392814030273E-5</v>
      </c>
      <c r="M111" s="14">
        <f si="7" t="shared"/>
        <v>4.1438852176693453E-4</v>
      </c>
    </row>
    <row r="112" spans="1:13" x14ac:dyDescent="0.45">
      <c r="A112" s="10">
        <v>8.3333333333333329E-2</v>
      </c>
      <c r="B112" s="14">
        <f si="8" t="shared"/>
        <v>1.1734580341119248E-4</v>
      </c>
      <c r="C112" s="14">
        <f si="8" t="shared"/>
        <v>2.1187217719225769E-6</v>
      </c>
      <c r="D112" s="14">
        <f si="8" t="shared"/>
        <v>7.467351496371362E-5</v>
      </c>
      <c r="E112" s="14">
        <f si="8" t="shared"/>
        <v>3.562421371937836E-7</v>
      </c>
      <c r="F112" s="14">
        <f si="8" t="shared"/>
        <v>7.7613371898497312E-5</v>
      </c>
      <c r="H112" s="10">
        <v>8.3333333333333329E-2</v>
      </c>
      <c r="I112" s="13">
        <f si="7" t="shared"/>
        <v>1.3681042039083435E-4</v>
      </c>
      <c r="J112" s="13">
        <f si="7" t="shared"/>
        <v>8.3979169151651145E-5</v>
      </c>
      <c r="K112" s="13">
        <f si="7" t="shared"/>
        <v>1.8940281562573655E-4</v>
      </c>
      <c r="L112" s="13">
        <f si="7" t="shared"/>
        <v>3.9099345902821652E-6</v>
      </c>
      <c r="M112" s="14">
        <f si="7" t="shared"/>
        <v>1.4716045970096541E-4</v>
      </c>
    </row>
    <row r="113" spans="1:13" x14ac:dyDescent="0.45">
      <c r="A113" s="10">
        <v>0.10416666666666667</v>
      </c>
      <c r="B113" s="14">
        <f si="8" t="shared"/>
        <v>3.1402080632578971E-5</v>
      </c>
      <c r="C113" s="14">
        <f si="8" t="shared"/>
        <v>3.6048085742884425E-7</v>
      </c>
      <c r="D113" s="14">
        <f si="8" t="shared"/>
        <v>1.8898309407588625E-5</v>
      </c>
      <c r="E113" s="14">
        <f si="8" t="shared"/>
        <v>5.9373689532297272E-8</v>
      </c>
      <c r="F113" s="14">
        <f si="8" t="shared"/>
        <v>2.0309749246279397E-5</v>
      </c>
      <c r="H113" s="10">
        <v>0.10416666666666667</v>
      </c>
      <c r="I113" s="13">
        <f ref="I113:M115" si="9" t="shared">I56/I$59</f>
        <v>3.9032620489401791E-5</v>
      </c>
      <c r="J113" s="13">
        <f si="9" t="shared"/>
        <v>2.4573426792468317E-5</v>
      </c>
      <c r="K113" s="13">
        <f si="9" t="shared"/>
        <v>5.3258193761568385E-5</v>
      </c>
      <c r="L113" s="13">
        <f si="9" t="shared"/>
        <v>1.0808877143928473E-6</v>
      </c>
      <c r="M113" s="14">
        <f si="9" t="shared"/>
        <v>4.1699458644474824E-5</v>
      </c>
    </row>
    <row r="114" spans="1:13" x14ac:dyDescent="0.45">
      <c r="A114" s="10">
        <v>0.125</v>
      </c>
      <c r="B114" s="14">
        <f ref="B114:F115" si="10" t="shared">B57/B$59</f>
        <v>6.310709113014297E-6</v>
      </c>
      <c r="C114" s="14">
        <f si="10" t="shared"/>
        <v>4.1342293920574702E-8</v>
      </c>
      <c r="D114" s="14">
        <f si="10" t="shared"/>
        <v>3.6557230426279724E-6</v>
      </c>
      <c r="E114" s="14">
        <f si="10" t="shared"/>
        <v>6.2498620560312927E-9</v>
      </c>
      <c r="F114" s="14">
        <f si="10" t="shared"/>
        <v>4.020662136168708E-6</v>
      </c>
      <c r="H114" s="10">
        <v>0.125</v>
      </c>
      <c r="I114" s="13">
        <f si="9" t="shared"/>
        <v>8.374408735380775E-6</v>
      </c>
      <c r="J114" s="13">
        <f si="9" t="shared"/>
        <v>5.3813961763922715E-6</v>
      </c>
      <c r="K114" s="13">
        <f si="9" t="shared"/>
        <v>1.1307113833953618E-5</v>
      </c>
      <c r="L114" s="13">
        <f si="9" t="shared"/>
        <v>2.2721022004312076E-7</v>
      </c>
      <c r="M114" s="14">
        <f si="9" t="shared"/>
        <v>8.9045931650398028E-6</v>
      </c>
    </row>
    <row ht="14.65" r="115" spans="1:13" thickBot="1" x14ac:dyDescent="0.5">
      <c r="A115" s="11" t="s">
        <v>34</v>
      </c>
      <c r="B115" s="16">
        <f si="10" t="shared"/>
        <v>0</v>
      </c>
      <c r="C115" s="16">
        <f si="10" t="shared"/>
        <v>0</v>
      </c>
      <c r="D115" s="16">
        <f si="10" t="shared"/>
        <v>0</v>
      </c>
      <c r="E115" s="16">
        <f si="10" t="shared"/>
        <v>0</v>
      </c>
      <c r="F115" s="16">
        <f si="10" t="shared"/>
        <v>0</v>
      </c>
      <c r="H115" s="11" t="s">
        <v>34</v>
      </c>
      <c r="I115" s="15">
        <f si="9" t="shared"/>
        <v>0</v>
      </c>
      <c r="J115" s="15">
        <f si="9" t="shared"/>
        <v>0</v>
      </c>
      <c r="K115" s="15">
        <f si="9" t="shared"/>
        <v>0</v>
      </c>
      <c r="L115" s="15">
        <f si="9" t="shared"/>
        <v>0</v>
      </c>
      <c r="M115" s="16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3"/>
  <sheetViews>
    <sheetView workbookViewId="0">
      <selection activeCell="B8" sqref="B8:E56"/>
    </sheetView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7" x14ac:dyDescent="0.45">
      <c r="A1" t="s">
        <v>10</v>
      </c>
    </row>
    <row r="2" spans="1:17" x14ac:dyDescent="0.45">
      <c r="A2" t="s">
        <v>46</v>
      </c>
    </row>
    <row r="3" spans="1:17" x14ac:dyDescent="0.45">
      <c r="A3" t="s">
        <v>7</v>
      </c>
    </row>
    <row ht="14.65" r="6" spans="1:17" thickBot="1" x14ac:dyDescent="0.5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7"/>
    </row>
    <row r="7" spans="1:17" x14ac:dyDescent="0.4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P7" s="12"/>
      <c r="Q7" s="12"/>
    </row>
    <row r="8" spans="1:17" x14ac:dyDescent="0.45">
      <c r="A8" s="10">
        <v>0</v>
      </c>
      <c r="B8" s="5" t="n">
        <v>18447.72069069301</v>
      </c>
      <c r="C8" s="5" t="n">
        <v>2317.8506961812363</v>
      </c>
      <c r="D8" s="5" t="n">
        <v>328965.24201591</v>
      </c>
      <c r="E8" s="5" t="n">
        <v>63869.959455235374</v>
      </c>
      <c r="F8" s="5">
        <f>SUM(B8:E8)</f>
        <v>413600.77285801963</v>
      </c>
      <c r="H8" s="10">
        <v>0</v>
      </c>
      <c r="I8" s="12" t="n">
        <v>16338.0</v>
      </c>
      <c r="J8" s="12" t="n">
        <v>4906.0</v>
      </c>
      <c r="K8" s="12" t="n">
        <v>426672.0</v>
      </c>
      <c r="L8" s="12" t="n">
        <v>69598.0</v>
      </c>
      <c r="M8" s="12">
        <f>SUM(I8:L8)</f>
        <v>517820</v>
      </c>
      <c r="P8" s="12"/>
      <c r="Q8" s="12"/>
    </row>
    <row r="9" spans="1:17" x14ac:dyDescent="0.45">
      <c r="A9" s="10">
        <v>2.0833333333333332E-2</v>
      </c>
      <c r="B9" s="5" t="n">
        <v>16818.156771925504</v>
      </c>
      <c r="C9" s="5" t="n">
        <v>2904.9885881110895</v>
      </c>
      <c r="D9" s="5" t="n">
        <v>245360.03817041425</v>
      </c>
      <c r="E9" s="5" t="n">
        <v>46431.71989462666</v>
      </c>
      <c r="F9" s="5">
        <f ref="F9:F56" si="0" t="shared">SUM(B9:E9)</f>
        <v>311514.9034250775</v>
      </c>
      <c r="H9" s="10">
        <v>2.0833333333333332E-2</v>
      </c>
      <c r="I9" s="8" t="n">
        <v>15503.791357040405</v>
      </c>
      <c r="J9" s="8" t="n">
        <v>3798.502311706543</v>
      </c>
      <c r="K9" s="8" t="n">
        <v>303711.70125865936</v>
      </c>
      <c r="L9" s="8" t="n">
        <v>48297.30875873566</v>
      </c>
      <c r="M9" s="12">
        <f ref="M9:M56" si="1" t="shared">SUM(I9:L9)</f>
        <v>371507.10779476166</v>
      </c>
      <c r="P9" s="5"/>
      <c r="Q9" s="5"/>
    </row>
    <row r="10" spans="1:17" x14ac:dyDescent="0.45">
      <c r="A10" s="10">
        <v>4.1666666666666664E-2</v>
      </c>
      <c r="B10" s="5" t="n">
        <v>15543.353065793024</v>
      </c>
      <c r="C10" s="5" t="n">
        <v>3342.7326627235743</v>
      </c>
      <c r="D10" s="5" t="n">
        <v>171616.58409175638</v>
      </c>
      <c r="E10" s="5" t="n">
        <v>31010.64304628926</v>
      </c>
      <c r="F10" s="5">
        <f si="0" t="shared"/>
        <v>221513.31286656222</v>
      </c>
      <c r="H10" s="10">
        <v>4.1666666666666664E-2</v>
      </c>
      <c r="I10" s="8" t="n">
        <v>14917.738182067871</v>
      </c>
      <c r="J10" s="8" t="n">
        <v>2859.5203733444214</v>
      </c>
      <c r="K10" s="8" t="n">
        <v>198626.8893442154</v>
      </c>
      <c r="L10" s="8" t="n">
        <v>30147.0165643692</v>
      </c>
      <c r="M10" s="12">
        <f si="1" t="shared"/>
        <v>246639.96580410004</v>
      </c>
      <c r="P10" s="5"/>
      <c r="Q10" s="5"/>
    </row>
    <row r="11" spans="1:17" x14ac:dyDescent="0.45">
      <c r="A11" s="10">
        <v>6.25E-2</v>
      </c>
      <c r="B11" s="5" t="n">
        <v>14843.137198901975</v>
      </c>
      <c r="C11" s="5" t="n">
        <v>3571.3983127175406</v>
      </c>
      <c r="D11" s="5" t="n">
        <v>113779.29016022928</v>
      </c>
      <c r="E11" s="5" t="n">
        <v>18935.57252777592</v>
      </c>
      <c r="F11" s="5">
        <f si="0" t="shared"/>
        <v>151129.39819962473</v>
      </c>
      <c r="H11" s="10">
        <v>6.25E-2</v>
      </c>
      <c r="I11" s="8" t="n">
        <v>14678.162761688232</v>
      </c>
      <c r="J11" s="8" t="n">
        <v>2199.0366954803467</v>
      </c>
      <c r="K11" s="8" t="n">
        <v>121695.82070541382</v>
      </c>
      <c r="L11" s="8" t="n">
        <v>16946.728086471558</v>
      </c>
      <c r="M11" s="12">
        <f si="1" t="shared"/>
        <v>155515.39430427551</v>
      </c>
      <c r="P11" s="5"/>
      <c r="Q11" s="5"/>
    </row>
    <row r="12" spans="1:17" x14ac:dyDescent="0.45">
      <c r="A12" s="10">
        <v>8.3333333333333329E-2</v>
      </c>
      <c r="B12" s="5" t="n">
        <v>14759.334017592697</v>
      </c>
      <c r="C12" s="5" t="n">
        <v>3636.5499803045614</v>
      </c>
      <c r="D12" s="5" t="n">
        <v>72742.86109837602</v>
      </c>
      <c r="E12" s="5" t="n">
        <v>10544.983251747395</v>
      </c>
      <c r="F12" s="5">
        <f si="0" t="shared"/>
        <v>101683.72834802067</v>
      </c>
      <c r="H12" s="10">
        <v>8.3333333333333329E-2</v>
      </c>
      <c r="I12" s="8" t="n">
        <v>14713.993181228638</v>
      </c>
      <c r="J12" s="8" t="n">
        <v>1861.0398168563843</v>
      </c>
      <c r="K12" s="8" t="n">
        <v>73046.15230083466</v>
      </c>
      <c r="L12" s="8" t="n">
        <v>8708.55901145935</v>
      </c>
      <c r="M12" s="12">
        <f si="1" t="shared"/>
        <v>98259.003642082214</v>
      </c>
      <c r="P12" s="5"/>
      <c r="Q12" s="5"/>
    </row>
    <row r="13" spans="1:17" x14ac:dyDescent="0.45">
      <c r="A13" s="10">
        <v>0.10416666666666667</v>
      </c>
      <c r="B13" s="5" t="n">
        <v>15196.112301811994</v>
      </c>
      <c r="C13" s="5" t="n">
        <v>3630.8344072757886</v>
      </c>
      <c r="D13" s="5" t="n">
        <v>45699.51718412795</v>
      </c>
      <c r="E13" s="5" t="n">
        <v>5357.117467293676</v>
      </c>
      <c r="F13" s="5">
        <f si="0" t="shared"/>
        <v>69883.581360509415</v>
      </c>
      <c r="H13" s="10">
        <v>0.10416666666666667</v>
      </c>
      <c r="I13" s="8" t="n">
        <v>14886.838849067688</v>
      </c>
      <c r="J13" s="8" t="n">
        <v>1871.2545948028564</v>
      </c>
      <c r="K13" s="8" t="n">
        <v>45788.34946727753</v>
      </c>
      <c r="L13" s="8" t="n">
        <v>4232.995378494263</v>
      </c>
      <c r="M13" s="12">
        <f si="1" t="shared"/>
        <v>66672.662945747375</v>
      </c>
    </row>
    <row r="14" spans="1:17" x14ac:dyDescent="0.45">
      <c r="A14" s="10">
        <v>0.125</v>
      </c>
      <c r="B14" s="5" t="n">
        <v>15972.553575494232</v>
      </c>
      <c r="C14" s="5" t="n">
        <v>3634.6828136630966</v>
      </c>
      <c r="D14" s="5" t="n">
        <v>28640.537038567483</v>
      </c>
      <c r="E14" s="5" t="n">
        <v>2494.8685152684675</v>
      </c>
      <c r="F14" s="5">
        <f si="0" t="shared"/>
        <v>50742.641942993279</v>
      </c>
      <c r="H14" s="10">
        <v>0.125</v>
      </c>
      <c r="I14" s="8" t="n">
        <v>15102.97920703888</v>
      </c>
      <c r="J14" s="8" t="n">
        <v>2296.2183742523193</v>
      </c>
      <c r="K14" s="8" t="n">
        <v>31340.72614479065</v>
      </c>
      <c r="L14" s="8" t="n">
        <v>2045.7876739501953</v>
      </c>
      <c r="M14" s="12">
        <f si="1" t="shared"/>
        <v>50664.997161865234</v>
      </c>
    </row>
    <row r="15" spans="1:17" x14ac:dyDescent="0.45">
      <c r="A15" s="10">
        <v>0.14583333333333334</v>
      </c>
      <c r="B15" s="5" t="n">
        <v>16864.72739937056</v>
      </c>
      <c r="C15" s="5" t="n">
        <v>3736.88295319748</v>
      </c>
      <c r="D15" s="5" t="n">
        <v>18113.88700088339</v>
      </c>
      <c r="E15" s="5" t="n">
        <v>1080.9652684233379</v>
      </c>
      <c r="F15" s="5">
        <f si="0" t="shared"/>
        <v>39796.462621874765</v>
      </c>
      <c r="H15" s="10">
        <v>0.14583333333333334</v>
      </c>
      <c r="I15" s="8" t="n">
        <v>15366.239148139954</v>
      </c>
      <c r="J15" s="8" t="n">
        <v>3264.8437547683716</v>
      </c>
      <c r="K15" s="8" t="n">
        <v>23168.226419448853</v>
      </c>
      <c r="L15" s="8" t="n">
        <v>1024.3471784591675</v>
      </c>
      <c r="M15" s="12">
        <f si="1" t="shared"/>
        <v>42700.406012535095</v>
      </c>
    </row>
    <row r="16" spans="1:17" x14ac:dyDescent="0.45">
      <c r="A16" s="10">
        <v>0.16666666666666666</v>
      </c>
      <c r="B16" s="5" t="n">
        <v>17685.333159380174</v>
      </c>
      <c r="C16" s="5" t="n">
        <v>4162.626505045698</v>
      </c>
      <c r="D16" s="5" t="n">
        <v>11730.125497276615</v>
      </c>
      <c r="E16" s="5" t="n">
        <v>452.161569259736</v>
      </c>
      <c r="F16" s="5">
        <f si="0" t="shared"/>
        <v>34030.246730962223</v>
      </c>
      <c r="H16" s="10">
        <v>0.16666666666666666</v>
      </c>
      <c r="I16" s="8" t="n">
        <v>15800.821981430054</v>
      </c>
      <c r="J16" s="8" t="n">
        <v>4940.963148117065</v>
      </c>
      <c r="K16" s="8" t="n">
        <v>17719.5990858078</v>
      </c>
      <c r="L16" s="8" t="n">
        <v>533.2027463912964</v>
      </c>
      <c r="M16" s="12">
        <f si="1" t="shared"/>
        <v>38876.606279373169</v>
      </c>
    </row>
    <row r="17" spans="1:13" x14ac:dyDescent="0.45">
      <c r="A17" s="10">
        <v>0.1875</v>
      </c>
      <c r="B17" s="5" t="n">
        <v>18431.11292811115</v>
      </c>
      <c r="C17" s="5" t="n">
        <v>5434.702682182215</v>
      </c>
      <c r="D17" s="5" t="n">
        <v>7942.699254313444</v>
      </c>
      <c r="E17" s="5" t="n">
        <v>197.97069333480238</v>
      </c>
      <c r="F17" s="5">
        <f si="0" t="shared"/>
        <v>32006.485557941611</v>
      </c>
      <c r="H17" s="10">
        <v>0.1875</v>
      </c>
      <c r="I17" s="8" t="n">
        <v>16683.97808456421</v>
      </c>
      <c r="J17" s="8" t="n">
        <v>7469.305632591248</v>
      </c>
      <c r="K17" s="8" t="n">
        <v>13591.292449951172</v>
      </c>
      <c r="L17" s="8" t="n">
        <v>280.60865020751953</v>
      </c>
      <c r="M17" s="12">
        <f si="1" t="shared"/>
        <v>37924.178796768188</v>
      </c>
    </row>
    <row r="18" spans="1:13" x14ac:dyDescent="0.45">
      <c r="A18" s="10">
        <v>0.20833333333333334</v>
      </c>
      <c r="B18" s="5" t="n">
        <v>19444.250369175297</v>
      </c>
      <c r="C18" s="5" t="n">
        <v>8357.748280298396</v>
      </c>
      <c r="D18" s="5" t="n">
        <v>5726.395234170444</v>
      </c>
      <c r="E18" s="5" t="n">
        <v>103.33169454247616</v>
      </c>
      <c r="F18" s="5">
        <f si="0" t="shared"/>
        <v>33631.725578186612</v>
      </c>
      <c r="H18" s="10">
        <v>0.20833333333333334</v>
      </c>
      <c r="I18" s="8" t="n">
        <v>18455.873525619507</v>
      </c>
      <c r="J18" s="8" t="n">
        <v>10904.53518295288</v>
      </c>
      <c r="K18" s="8" t="n">
        <v>10369.52094078064</v>
      </c>
      <c r="L18" s="8" t="n">
        <v>145.06297397613525</v>
      </c>
      <c r="M18" s="12">
        <f si="1" t="shared"/>
        <v>39808.219097137451</v>
      </c>
    </row>
    <row r="19" spans="1:13" x14ac:dyDescent="0.45">
      <c r="A19" s="10">
        <v>0.22916666666666666</v>
      </c>
      <c r="B19" s="5" t="n">
        <v>21484.23666599806</v>
      </c>
      <c r="C19" s="5" t="n">
        <v>13581.264533511288</v>
      </c>
      <c r="D19" s="5" t="n">
        <v>4394.851991374171</v>
      </c>
      <c r="E19" s="5" t="n">
        <v>70.25602635462988</v>
      </c>
      <c r="F19" s="5">
        <f si="0" t="shared"/>
        <v>39530.609217238154</v>
      </c>
      <c r="H19" s="10">
        <v>0.22916666666666666</v>
      </c>
      <c r="I19" s="8" t="n">
        <v>21638.71352481842</v>
      </c>
      <c r="J19" s="8" t="n">
        <v>15099.770002365112</v>
      </c>
      <c r="K19" s="8" t="n">
        <v>7899.968821525574</v>
      </c>
      <c r="L19" s="8" t="n">
        <v>72.77300357818604</v>
      </c>
      <c r="M19" s="12">
        <f si="1" t="shared"/>
        <v>44698.873900413513</v>
      </c>
    </row>
    <row r="20" spans="1:13" x14ac:dyDescent="0.45">
      <c r="A20" s="10">
        <v>0.25</v>
      </c>
      <c r="B20" s="5" t="n">
        <v>25611.013648369262</v>
      </c>
      <c r="C20" s="5" t="n">
        <v>20804.00868702431</v>
      </c>
      <c r="D20" s="5" t="n">
        <v>3519.1367957942475</v>
      </c>
      <c r="E20" s="5" t="n">
        <v>58.01206838676143</v>
      </c>
      <c r="F20" s="5">
        <f si="0" t="shared"/>
        <v>49992.171199574586</v>
      </c>
      <c r="H20" s="10">
        <v>0.25</v>
      </c>
      <c r="I20" s="8" t="n">
        <v>26650.508246421814</v>
      </c>
      <c r="J20" s="8" t="n">
        <v>19564.435715675354</v>
      </c>
      <c r="K20" s="8" t="n">
        <v>6032.283417701721</v>
      </c>
      <c r="L20" s="8" t="n">
        <v>35.8718204498291</v>
      </c>
      <c r="M20" s="12">
        <f si="1" t="shared"/>
        <v>52345.925199508667</v>
      </c>
    </row>
    <row r="21" spans="1:13" x14ac:dyDescent="0.45">
      <c r="A21" s="10">
        <v>0.27083333333333331</v>
      </c>
      <c r="B21" s="5" t="n">
        <v>32789.6889453391</v>
      </c>
      <c r="C21" s="5" t="n">
        <v>28253.268755771915</v>
      </c>
      <c r="D21" s="5" t="n">
        <v>2867.9229897162077</v>
      </c>
      <c r="E21" s="5" t="n">
        <v>50.06065903615451</v>
      </c>
      <c r="F21" s="5">
        <f si="0" t="shared"/>
        <v>63960.941349863373</v>
      </c>
      <c r="H21" s="10">
        <v>0.27083333333333331</v>
      </c>
      <c r="I21" s="8" t="n">
        <v>33563.24928855896</v>
      </c>
      <c r="J21" s="8" t="n">
        <v>23414.205285072327</v>
      </c>
      <c r="K21" s="8" t="n">
        <v>4610.786829948425</v>
      </c>
      <c r="L21" s="8" t="n">
        <v>18.19306468963623</v>
      </c>
      <c r="M21" s="12">
        <f si="1" t="shared"/>
        <v>61765.473686218262</v>
      </c>
    </row>
    <row r="22" spans="1:13" x14ac:dyDescent="0.45">
      <c r="A22" s="10">
        <v>0.29166666666666669</v>
      </c>
      <c r="B22" s="5" t="n">
        <v>43199.40159722057</v>
      </c>
      <c r="C22" s="5" t="n">
        <v>33225.04493340903</v>
      </c>
      <c r="D22" s="5" t="n">
        <v>2342.5891781396504</v>
      </c>
      <c r="E22" s="5" t="n">
        <v>40.34796461330258</v>
      </c>
      <c r="F22" s="5">
        <f si="0" t="shared"/>
        <v>78807.383673382545</v>
      </c>
      <c r="H22" s="10">
        <v>0.29166666666666669</v>
      </c>
      <c r="I22" s="8" t="n">
        <v>41863.08280754089</v>
      </c>
      <c r="J22" s="8" t="n">
        <v>25579.803888320923</v>
      </c>
      <c r="K22" s="8" t="n">
        <v>3513.5193157196045</v>
      </c>
      <c r="L22" s="8" t="n">
        <v>10.101341247558594</v>
      </c>
      <c r="M22" s="12">
        <f si="1" t="shared"/>
        <v>71242.63428401947</v>
      </c>
    </row>
    <row r="23" spans="1:13" x14ac:dyDescent="0.45">
      <c r="A23" s="10">
        <v>0.3125</v>
      </c>
      <c r="B23" s="5" t="n">
        <v>55507.72092559989</v>
      </c>
      <c r="C23" s="5" t="n">
        <v>33642.62333664694</v>
      </c>
      <c r="D23" s="5" t="n">
        <v>1914.1423478015163</v>
      </c>
      <c r="E23" s="5" t="n">
        <v>28.521418826502117</v>
      </c>
      <c r="F23" s="5">
        <f si="0" t="shared"/>
        <v>91093.008028874858</v>
      </c>
      <c r="H23" s="10">
        <v>0.3125</v>
      </c>
      <c r="I23" s="8" t="n">
        <v>50281.7950630188</v>
      </c>
      <c r="J23" s="8" t="n">
        <v>25272.7865152359</v>
      </c>
      <c r="K23" s="8" t="n">
        <v>2661.606117248535</v>
      </c>
      <c r="L23" s="8" t="n">
        <v>6.1974334716796875</v>
      </c>
      <c r="M23" s="12">
        <f si="1" t="shared"/>
        <v>78631.297527313232</v>
      </c>
    </row>
    <row r="24" spans="1:13" x14ac:dyDescent="0.45">
      <c r="A24" s="10">
        <v>0.33333333333333331</v>
      </c>
      <c r="B24" s="5" t="n">
        <v>66732.85809321215</v>
      </c>
      <c r="C24" s="5" t="n">
        <v>29439.962602145242</v>
      </c>
      <c r="D24" s="5" t="n">
        <v>1573.0837317614494</v>
      </c>
      <c r="E24" s="5" t="n">
        <v>17.056999706546257</v>
      </c>
      <c r="F24" s="5">
        <f si="0" t="shared"/>
        <v>97762.961426825394</v>
      </c>
      <c r="H24" s="10">
        <v>0.33333333333333331</v>
      </c>
      <c r="I24" s="8" t="n">
        <v>56861.98193645477</v>
      </c>
      <c r="J24" s="8" t="n">
        <v>22435.218627929688</v>
      </c>
      <c r="K24" s="8" t="n">
        <v>2004.3521633148193</v>
      </c>
      <c r="L24" s="8" t="n">
        <v>3.9181337356567383</v>
      </c>
      <c r="M24" s="12">
        <f si="1" t="shared"/>
        <v>81845.832897186279</v>
      </c>
    </row>
    <row r="25" spans="1:13" x14ac:dyDescent="0.45">
      <c r="A25" s="10">
        <v>0.35416666666666669</v>
      </c>
      <c r="B25" s="5" t="n">
        <v>73230.18765768806</v>
      </c>
      <c r="C25" s="5" t="n">
        <v>22527.979097940362</v>
      </c>
      <c r="D25" s="5" t="n">
        <v>1301.1878348353107</v>
      </c>
      <c r="E25" s="5" t="n">
        <v>8.415716952312469</v>
      </c>
      <c r="F25" s="5">
        <f si="0" t="shared"/>
        <v>97067.770307416038</v>
      </c>
      <c r="H25" s="10">
        <v>0.35416666666666669</v>
      </c>
      <c r="I25" s="8" t="n">
        <v>59470.27085971832</v>
      </c>
      <c r="J25" s="8" t="n">
        <v>17828.00714111328</v>
      </c>
      <c r="K25" s="8" t="n">
        <v>1504.380856513977</v>
      </c>
      <c r="L25" s="8" t="n">
        <v>2.348477363586426</v>
      </c>
      <c r="M25" s="12">
        <f si="1" t="shared"/>
        <v>79444.965986251831</v>
      </c>
    </row>
    <row r="26" spans="1:13" x14ac:dyDescent="0.45">
      <c r="A26" s="10">
        <v>0.375</v>
      </c>
      <c r="B26" s="5" t="n">
        <v>72504.98594165365</v>
      </c>
      <c r="C26" s="5" t="n">
        <v>15419.17616986032</v>
      </c>
      <c r="D26" s="5" t="n">
        <v>1069.548694535995</v>
      </c>
      <c r="E26" s="5" t="n">
        <v>3.346725100062252</v>
      </c>
      <c r="F26" s="5">
        <f si="0" t="shared"/>
        <v>88997.057531150029</v>
      </c>
      <c r="H26" s="10">
        <v>0.375</v>
      </c>
      <c r="I26" s="8" t="n">
        <v>56732.63667392731</v>
      </c>
      <c r="J26" s="8" t="n">
        <v>12666.362530708313</v>
      </c>
      <c r="K26" s="8" t="n">
        <v>1131.0980958938599</v>
      </c>
      <c r="L26" s="8" t="n">
        <v>1.2678747177124023</v>
      </c>
      <c r="M26" s="12">
        <f si="1" t="shared"/>
        <v>71205.676547050476</v>
      </c>
    </row>
    <row r="27" spans="1:13" x14ac:dyDescent="0.45">
      <c r="A27" s="10">
        <v>0.39583333333333331</v>
      </c>
      <c r="B27" s="5" t="n">
        <v>64628.07945724819</v>
      </c>
      <c r="C27" s="5" t="n">
        <v>9789.06331061622</v>
      </c>
      <c r="D27" s="5" t="n">
        <v>854.5854347668593</v>
      </c>
      <c r="E27" s="5" t="n">
        <v>1.0434478206043116</v>
      </c>
      <c r="F27" s="5">
        <f si="0" t="shared"/>
        <v>75272.771650451876</v>
      </c>
      <c r="H27" s="10">
        <v>0.39583333333333331</v>
      </c>
      <c r="I27" s="8" t="n">
        <v>48886.964426994324</v>
      </c>
      <c r="J27" s="8" t="n">
        <v>8058.698707580566</v>
      </c>
      <c r="K27" s="8" t="n">
        <v>857.579402923584</v>
      </c>
      <c r="L27" s="8" t="n">
        <v>0.6022748947143555</v>
      </c>
      <c r="M27" s="12">
        <f si="1" t="shared"/>
        <v>58430.10333442688</v>
      </c>
    </row>
    <row r="28" spans="1:13" x14ac:dyDescent="0.45">
      <c r="A28" s="10">
        <v>0.41666666666666669</v>
      </c>
      <c r="B28" s="5" t="n">
        <v>52133.7222034533</v>
      </c>
      <c r="C28" s="5" t="n">
        <v>6033.5347546892535</v>
      </c>
      <c r="D28" s="5" t="n">
        <v>652.3637037018703</v>
      </c>
      <c r="E28" s="5" t="n">
        <v>0.2453319918444255</v>
      </c>
      <c r="F28" s="5">
        <f si="0" t="shared"/>
        <v>58819.865993836262</v>
      </c>
      <c r="H28" s="10">
        <v>0.41666666666666669</v>
      </c>
      <c r="I28" s="8" t="n">
        <v>37858.80276298523</v>
      </c>
      <c r="J28" s="8" t="n">
        <v>4616.2636070251465</v>
      </c>
      <c r="K28" s="8" t="n">
        <v>657.8356523513794</v>
      </c>
      <c r="L28" s="8" t="n">
        <v>0.24909591674804688</v>
      </c>
      <c r="M28" s="12">
        <f si="1" t="shared"/>
        <v>43640.632900238037</v>
      </c>
    </row>
    <row r="29" spans="1:13" x14ac:dyDescent="0.45">
      <c r="A29" s="10">
        <v>0.4375</v>
      </c>
      <c r="B29" s="5" t="n">
        <v>38515.03688570898</v>
      </c>
      <c r="C29" s="5" t="n">
        <v>3745.1675030544125</v>
      </c>
      <c r="D29" s="5" t="n">
        <v>476.67449777013053</v>
      </c>
      <c r="E29" s="5" t="n">
        <v>0.04088199699336832</v>
      </c>
      <c r="F29" s="5">
        <f si="0" t="shared"/>
        <v>42736.919768530519</v>
      </c>
      <c r="H29" s="10">
        <v>0.4375</v>
      </c>
      <c r="I29" s="8" t="n">
        <v>26367.67569065094</v>
      </c>
      <c r="J29" s="8" t="n">
        <v>2408.7779178619385</v>
      </c>
      <c r="K29" s="8" t="n">
        <v>507.00199031829834</v>
      </c>
      <c r="L29" s="8" t="n">
        <v>0.08894920349121094</v>
      </c>
      <c r="M29" s="12">
        <f si="1" t="shared"/>
        <v>29636.699485778809</v>
      </c>
    </row>
    <row r="30" spans="1:13" x14ac:dyDescent="0.45">
      <c r="A30" s="10">
        <v>0.45833333333333331</v>
      </c>
      <c r="B30" s="5" t="n">
        <v>26536.495884239943</v>
      </c>
      <c r="C30" s="5" t="n">
        <v>2362.9278626178984</v>
      </c>
      <c r="D30" s="5" t="n">
        <v>343.7504261440872</v>
      </c>
      <c r="E30" s="5" t="n">
        <v>0.004303368104565086</v>
      </c>
      <c r="F30" s="5">
        <f si="0" t="shared"/>
        <v>29243.178476370034</v>
      </c>
      <c r="H30" s="10">
        <v>0.45833333333333331</v>
      </c>
      <c r="I30" s="8" t="n">
        <v>16666.19133090973</v>
      </c>
      <c r="J30" s="8" t="n">
        <v>1171.252568244934</v>
      </c>
      <c r="K30" s="8" t="n">
        <v>385.60313987731934</v>
      </c>
      <c r="L30" s="8" t="n">
        <v>0.027051925659179688</v>
      </c>
      <c r="M30" s="12">
        <f si="1" t="shared"/>
        <v>18426.401659965515</v>
      </c>
    </row>
    <row r="31" spans="1:13" x14ac:dyDescent="0.45">
      <c r="A31" s="10">
        <v>0.47916666666666669</v>
      </c>
      <c r="B31" s="5" t="n">
        <v>17452.608061324852</v>
      </c>
      <c r="C31" s="5" t="n">
        <v>1495.5076508136585</v>
      </c>
      <c r="D31" s="5" t="n">
        <v>257.6373998794028</v>
      </c>
      <c r="E31" s="5" t="n">
        <v>2.151684052282543E-4</v>
      </c>
      <c r="F31" s="5">
        <f si="0" t="shared"/>
        <v>19205.753327186321</v>
      </c>
      <c r="H31" s="10">
        <v>0.47916666666666669</v>
      </c>
      <c r="I31" s="8" t="n">
        <v>9770.112261772156</v>
      </c>
      <c r="J31" s="8" t="n">
        <v>553.2656888961792</v>
      </c>
      <c r="K31" s="8" t="n">
        <v>283.8061685562134</v>
      </c>
      <c r="L31" s="8" t="n">
        <v>0.0068340301513671875</v>
      </c>
      <c r="M31" s="12">
        <f si="1" t="shared"/>
        <v>10693.147724151611</v>
      </c>
    </row>
    <row r="32" spans="1:13" x14ac:dyDescent="0.45">
      <c r="A32" s="10">
        <v>0.5</v>
      </c>
      <c r="B32" s="5" t="n">
        <v>11236.481068977038</v>
      </c>
      <c r="C32" s="5" t="n">
        <v>935.2735411450248</v>
      </c>
      <c r="D32" s="5" t="n">
        <v>206.89967588591344</v>
      </c>
      <c r="E32" s="5" t="n">
        <v>0.0</v>
      </c>
      <c r="F32" s="5">
        <f si="0" t="shared"/>
        <v>12378.654286007977</v>
      </c>
      <c r="H32" s="10">
        <v>0.5</v>
      </c>
      <c r="I32" s="8" t="n">
        <v>5523.258975982666</v>
      </c>
      <c r="J32" s="8" t="n">
        <v>271.39962577819824</v>
      </c>
      <c r="K32" s="8" t="n">
        <v>200.80394649505615</v>
      </c>
      <c r="L32" s="8" t="n">
        <v>0.0013742446899414062</v>
      </c>
      <c r="M32" s="12">
        <f si="1" t="shared"/>
        <v>6006.5772457122803</v>
      </c>
    </row>
    <row r="33" spans="1:13" x14ac:dyDescent="0.45">
      <c r="A33" s="10">
        <v>0.52083333333333337</v>
      </c>
      <c r="B33" s="5" t="n">
        <v>7232.3099842194115</v>
      </c>
      <c r="C33" s="5" t="n">
        <v>576.0154857193093</v>
      </c>
      <c r="D33" s="5" t="n">
        <v>172.9341235804298</v>
      </c>
      <c r="E33" s="5" t="n">
        <v>0.0</v>
      </c>
      <c r="F33" s="5">
        <f si="0" t="shared"/>
        <v>7981.2595935191503</v>
      </c>
      <c r="H33" s="10">
        <v>0.52083333333333337</v>
      </c>
      <c r="I33" s="8" t="n">
        <v>3171.6117095947266</v>
      </c>
      <c r="J33" s="8" t="n">
        <v>149.07430267333984</v>
      </c>
      <c r="K33" s="8" t="n">
        <v>139.28006553649902</v>
      </c>
      <c r="L33" s="8" t="n">
        <v>2.0503997802734375E-4</v>
      </c>
      <c r="M33" s="12">
        <f si="1" t="shared"/>
        <v>3434.7028465270996</v>
      </c>
    </row>
    <row r="34" spans="1:13" x14ac:dyDescent="0.45">
      <c r="A34" s="10">
        <v>0.54166666666666663</v>
      </c>
      <c r="B34" s="5" t="n">
        <v>4698.6947226371685</v>
      </c>
      <c r="C34" s="5" t="n">
        <v>354.2374842351973</v>
      </c>
      <c r="D34" s="5" t="n">
        <v>141.84609863505165</v>
      </c>
      <c r="E34" s="5" t="n">
        <v>0.0</v>
      </c>
      <c r="F34" s="5">
        <f si="0" t="shared"/>
        <v>5194.7783055074178</v>
      </c>
      <c r="H34" s="10">
        <v>0.54166666666666663</v>
      </c>
      <c r="I34" s="8" t="n">
        <v>1923.7805089950562</v>
      </c>
      <c r="J34" s="8" t="n">
        <v>94.69546699523926</v>
      </c>
      <c r="K34" s="8" t="n">
        <v>99.41555500030518</v>
      </c>
      <c r="L34" s="8" t="n">
        <v>2.002716064453125E-5</v>
      </c>
      <c r="M34" s="12">
        <f si="1" t="shared"/>
        <v>2083.4842691421509</v>
      </c>
    </row>
    <row r="35" spans="1:13" x14ac:dyDescent="0.45">
      <c r="A35" s="10">
        <v>0.5625</v>
      </c>
      <c r="B35" s="5" t="n">
        <v>3071.683044622687</v>
      </c>
      <c r="C35" s="5" t="n">
        <v>223.7211164063404</v>
      </c>
      <c r="D35" s="5" t="n">
        <v>110.26532321440692</v>
      </c>
      <c r="E35" s="5" t="n">
        <v>0.0</v>
      </c>
      <c r="F35" s="5">
        <f si="0" t="shared"/>
        <v>3405.6694842434345</v>
      </c>
      <c r="H35" s="10">
        <v>0.5625</v>
      </c>
      <c r="I35" s="8" t="n">
        <v>1228.3242263793945</v>
      </c>
      <c r="J35" s="8" t="n">
        <v>67.12072467803955</v>
      </c>
      <c r="K35" s="8" t="n">
        <v>76.65542507171631</v>
      </c>
      <c r="L35" s="8" t="n">
        <v>9.5367431640625E-7</v>
      </c>
      <c r="M35" s="12">
        <f si="1" t="shared"/>
        <v>1343.2899379730225</v>
      </c>
    </row>
    <row r="36" spans="1:13" x14ac:dyDescent="0.45">
      <c r="A36" s="10">
        <v>0.58333333333333337</v>
      </c>
      <c r="B36" s="5" t="n">
        <v>2004.6785231700453</v>
      </c>
      <c r="C36" s="5" t="n">
        <v>147.456710903371</v>
      </c>
      <c r="D36" s="5" t="n">
        <v>81.78919452099377</v>
      </c>
      <c r="E36" s="5" t="n">
        <v>0.0</v>
      </c>
      <c r="F36" s="5">
        <f si="0" t="shared"/>
        <v>2233.9244285944105</v>
      </c>
      <c r="H36" s="10">
        <v>0.58333333333333337</v>
      </c>
      <c r="I36" s="8" t="n">
        <v>796.9806804656982</v>
      </c>
      <c r="J36" s="8" t="n">
        <v>50.12921142578125</v>
      </c>
      <c r="K36" s="8" t="n">
        <v>63.71172046661377</v>
      </c>
      <c r="L36" s="8" t="n">
        <v>0.0</v>
      </c>
      <c r="M36" s="12">
        <f si="1" t="shared"/>
        <v>892.28237056732178</v>
      </c>
    </row>
    <row r="37" spans="1:13" x14ac:dyDescent="0.45">
      <c r="A37" s="10">
        <v>0.60416666666666663</v>
      </c>
      <c r="B37" s="5" t="n">
        <v>1300.0603771158583</v>
      </c>
      <c r="C37" s="5" t="n">
        <v>98.50358606300827</v>
      </c>
      <c r="D37" s="5" t="n">
        <v>59.62441767519868</v>
      </c>
      <c r="E37" s="5" t="n">
        <v>0.0</v>
      </c>
      <c r="F37" s="5">
        <f si="0" t="shared"/>
        <v>1458.1883808540651</v>
      </c>
      <c r="H37" s="10">
        <v>0.60416666666666663</v>
      </c>
      <c r="I37" s="8" t="n">
        <v>513.0950450897217</v>
      </c>
      <c r="J37" s="8" t="n">
        <v>38.09527015686035</v>
      </c>
      <c r="K37" s="8" t="n">
        <v>54.12386512756348</v>
      </c>
      <c r="L37" s="8" t="n">
        <v>0.0</v>
      </c>
      <c r="M37" s="12">
        <f si="1" t="shared"/>
        <v>595.65065288543701</v>
      </c>
    </row>
    <row r="38" spans="1:13" x14ac:dyDescent="0.45">
      <c r="A38" s="10">
        <v>0.625</v>
      </c>
      <c r="B38" s="5" t="n">
        <v>833.4888936747916</v>
      </c>
      <c r="C38" s="5" t="n">
        <v>62.44827726477732</v>
      </c>
      <c r="D38" s="5" t="n">
        <v>43.15864897176267</v>
      </c>
      <c r="E38" s="5" t="n">
        <v>0.0</v>
      </c>
      <c r="F38" s="5">
        <f si="0" t="shared"/>
        <v>939.09581991133155</v>
      </c>
      <c r="H38" s="10">
        <v>0.625</v>
      </c>
      <c r="I38" s="8" t="n">
        <v>333.3840103149414</v>
      </c>
      <c r="J38" s="8" t="n">
        <v>29.07547950744629</v>
      </c>
      <c r="K38" s="8" t="n">
        <v>44.477413177490234</v>
      </c>
      <c r="L38" s="8" t="n">
        <v>0.0</v>
      </c>
      <c r="M38" s="12">
        <f si="1" t="shared"/>
        <v>402.56236171722412</v>
      </c>
    </row>
    <row r="39" spans="1:13" x14ac:dyDescent="0.45">
      <c r="A39" s="10">
        <v>0.64583333333333337</v>
      </c>
      <c r="B39" s="5" t="n">
        <v>519.0981789489936</v>
      </c>
      <c r="C39" s="5" t="n">
        <v>35.19960311000227</v>
      </c>
      <c r="D39" s="5" t="n">
        <v>29.976289833550254</v>
      </c>
      <c r="E39" s="5" t="n">
        <v>0.0</v>
      </c>
      <c r="F39" s="5">
        <f si="0" t="shared"/>
        <v>584.27407189254609</v>
      </c>
      <c r="H39" s="10">
        <v>0.64583333333333337</v>
      </c>
      <c r="I39" s="8" t="n">
        <v>229.65333557128906</v>
      </c>
      <c r="J39" s="8" t="n">
        <v>22.027084350585938</v>
      </c>
      <c r="K39" s="8" t="n">
        <v>34.31010437011719</v>
      </c>
      <c r="L39" s="8" t="n">
        <v>0.0</v>
      </c>
      <c r="M39" s="12">
        <f si="1" t="shared"/>
        <v>283.80321598052979</v>
      </c>
    </row>
    <row r="40" spans="1:13" x14ac:dyDescent="0.45">
      <c r="A40" s="10">
        <v>0.66666666666666663</v>
      </c>
      <c r="B40" s="5" t="n">
        <v>303.72359869171135</v>
      </c>
      <c r="C40" s="5" t="n">
        <v>16.811233521930724</v>
      </c>
      <c r="D40" s="5" t="n">
        <v>18.868384950042984</v>
      </c>
      <c r="E40" s="5" t="n">
        <v>0.0</v>
      </c>
      <c r="F40" s="5">
        <f si="0" t="shared"/>
        <v>339.40321716368504</v>
      </c>
      <c r="H40" s="10">
        <v>0.66666666666666663</v>
      </c>
      <c r="I40" s="8" t="n">
        <v>172.25671768188477</v>
      </c>
      <c r="J40" s="8" t="n">
        <v>16.165568351745605</v>
      </c>
      <c r="K40" s="8" t="n">
        <v>24.63047695159912</v>
      </c>
      <c r="L40" s="8" t="n">
        <v>0.0</v>
      </c>
      <c r="M40" s="12">
        <f si="1" t="shared"/>
        <v>211.5336389541626</v>
      </c>
    </row>
    <row r="41" spans="1:13" x14ac:dyDescent="0.45">
      <c r="A41" s="10">
        <v>0.6875</v>
      </c>
      <c r="B41" s="5" t="n">
        <v>160.36616649952387</v>
      </c>
      <c r="C41" s="5" t="n">
        <v>6.56290149439886</v>
      </c>
      <c r="D41" s="5" t="n">
        <v>10.237855552790748</v>
      </c>
      <c r="E41" s="5" t="n">
        <v>0.0</v>
      </c>
      <c r="F41" s="5">
        <f si="0" t="shared"/>
        <v>177.16692354671346</v>
      </c>
      <c r="H41" s="10">
        <v>0.6875</v>
      </c>
      <c r="I41" s="8" t="n">
        <v>135.36609745025635</v>
      </c>
      <c r="J41" s="8" t="n">
        <v>11.101799964904785</v>
      </c>
      <c r="K41" s="8" t="n">
        <v>16.482694625854492</v>
      </c>
      <c r="L41" s="8" t="n">
        <v>0.0</v>
      </c>
      <c r="M41" s="12">
        <f si="1" t="shared"/>
        <v>161.94293975830078</v>
      </c>
    </row>
    <row r="42" spans="1:13" x14ac:dyDescent="0.45">
      <c r="A42" s="10">
        <v>0.70833333333333337</v>
      </c>
      <c r="B42" s="5" t="n">
        <v>73.61728807510494</v>
      </c>
      <c r="C42" s="5" t="n">
        <v>2.0244495415515837</v>
      </c>
      <c r="D42" s="5" t="n">
        <v>4.620414294556344</v>
      </c>
      <c r="E42" s="5" t="n">
        <v>0.0</v>
      </c>
      <c r="F42" s="5">
        <f si="0" t="shared"/>
        <v>80.262151911212868</v>
      </c>
      <c r="H42" s="10">
        <v>0.70833333333333337</v>
      </c>
      <c r="I42" s="8" t="n">
        <v>103.90109729766846</v>
      </c>
      <c r="J42" s="8" t="n">
        <v>6.887908935546875</v>
      </c>
      <c r="K42" s="8" t="n">
        <v>10.31161117553711</v>
      </c>
      <c r="L42" s="8" t="n">
        <v>0.0</v>
      </c>
      <c r="M42" s="12">
        <f si="1" t="shared"/>
        <v>120.94527053833008</v>
      </c>
    </row>
    <row r="43" spans="1:13" x14ac:dyDescent="0.45">
      <c r="A43" s="10">
        <v>0.72916666666666663</v>
      </c>
      <c r="B43" s="5" t="n">
        <v>28.459012443600635</v>
      </c>
      <c r="C43" s="5" t="n">
        <v>0.4731485022427414</v>
      </c>
      <c r="D43" s="5" t="n">
        <v>1.6863358961572923</v>
      </c>
      <c r="E43" s="5" t="n">
        <v>0.0</v>
      </c>
      <c r="F43" s="5">
        <f si="0" t="shared"/>
        <v>30.618496842000667</v>
      </c>
      <c r="H43" s="10">
        <v>0.72916666666666663</v>
      </c>
      <c r="I43" s="8" t="n">
        <v>73.69900512695312</v>
      </c>
      <c r="J43" s="8" t="n">
        <v>3.7466020584106445</v>
      </c>
      <c r="K43" s="8" t="n">
        <v>6.01756477355957</v>
      </c>
      <c r="L43" s="8" t="n">
        <v>0.0</v>
      </c>
      <c r="M43" s="12">
        <f si="1" t="shared"/>
        <v>84.241945266723633</v>
      </c>
    </row>
    <row r="44" spans="1:13" x14ac:dyDescent="0.45">
      <c r="A44" s="10">
        <v>0.75</v>
      </c>
      <c r="B44" s="5" t="n">
        <v>8.992534860023987</v>
      </c>
      <c r="C44" s="5" t="n">
        <v>0.07861098305762908</v>
      </c>
      <c r="D44" s="5" t="n">
        <v>0.48341958923333506</v>
      </c>
      <c r="E44" s="5" t="n">
        <v>0.0</v>
      </c>
      <c r="F44" s="5">
        <f si="0" t="shared"/>
        <v>9.554565432314952</v>
      </c>
      <c r="H44" s="10">
        <v>0.75</v>
      </c>
      <c r="I44" s="8" t="n">
        <v>46.72575759887695</v>
      </c>
      <c r="J44" s="8" t="n">
        <v>1.7425556182861328</v>
      </c>
      <c r="K44" s="8" t="n">
        <v>3.2437620162963867</v>
      </c>
      <c r="L44" s="8" t="n">
        <v>0.0</v>
      </c>
      <c r="M44" s="12">
        <f si="1" t="shared"/>
        <v>53.046737670898438</v>
      </c>
    </row>
    <row r="45" spans="1:13" x14ac:dyDescent="0.45">
      <c r="A45" s="10">
        <v>0.77083333333333337</v>
      </c>
      <c r="B45" s="5" t="n">
        <v>2.2466983450222404</v>
      </c>
      <c r="C45" s="5" t="n">
        <v>0.008265866646980856</v>
      </c>
      <c r="D45" s="5" t="n">
        <v>0.10467801996433758</v>
      </c>
      <c r="E45" s="5" t="n">
        <v>0.0</v>
      </c>
      <c r="F45" s="5">
        <f si="0" t="shared"/>
        <v>2.359642231633559</v>
      </c>
      <c r="H45" s="10">
        <v>0.77083333333333337</v>
      </c>
      <c r="I45" s="8" t="n">
        <v>25.91990375518799</v>
      </c>
      <c r="J45" s="8" t="n">
        <v>0.6773033142089844</v>
      </c>
      <c r="K45" s="8" t="n">
        <v>1.5884122848510742</v>
      </c>
      <c r="L45" s="8" t="n">
        <v>0.0</v>
      </c>
      <c r="M45" s="12">
        <f si="1" t="shared"/>
        <v>29.521398544311523</v>
      </c>
    </row>
    <row r="46" spans="1:13" x14ac:dyDescent="0.45">
      <c r="A46" s="10">
        <v>0.79166666666666663</v>
      </c>
      <c r="B46" s="5" t="n">
        <v>0.4247396252504286</v>
      </c>
      <c r="C46" s="5" t="n">
        <v>4.132933323490429E-4</v>
      </c>
      <c r="D46" s="5" t="n">
        <v>0.01609412598055099</v>
      </c>
      <c r="E46" s="5" t="n">
        <v>0.0</v>
      </c>
      <c r="F46" s="5">
        <f si="0" t="shared"/>
        <v>0.44124704456332858</v>
      </c>
      <c r="H46" s="10">
        <v>0.79166666666666663</v>
      </c>
      <c r="I46" s="8" t="n">
        <v>12.359065055847168</v>
      </c>
      <c r="J46" s="8" t="n">
        <v>0.21468639373779297</v>
      </c>
      <c r="K46" s="8" t="n">
        <v>0.6916694641113281</v>
      </c>
      <c r="L46" s="8" t="n">
        <v>0.0</v>
      </c>
      <c r="M46" s="12">
        <f si="1" t="shared"/>
        <v>14.232193946838379</v>
      </c>
    </row>
    <row r="47" spans="1:13" x14ac:dyDescent="0.45">
      <c r="A47" s="10">
        <v>0.8125</v>
      </c>
      <c r="B47" s="5" t="n">
        <v>0.05680589507699686</v>
      </c>
      <c r="C47" s="5" t="n">
        <v>0.0</v>
      </c>
      <c r="D47" s="5" t="n">
        <v>0.0015660143545680252</v>
      </c>
      <c r="E47" s="5" t="n">
        <v>0.0</v>
      </c>
      <c r="F47" s="5">
        <f si="0" t="shared"/>
        <v>5.8371909431564888E-2</v>
      </c>
      <c r="H47" s="10">
        <v>0.8125</v>
      </c>
      <c r="I47" s="8" t="n">
        <v>4.971641540527344</v>
      </c>
      <c r="J47" s="8" t="n">
        <v>0.053844451904296875</v>
      </c>
      <c r="K47" s="8" t="n">
        <v>0.2613525390625</v>
      </c>
      <c r="L47" s="8" t="n">
        <v>0.0</v>
      </c>
      <c r="M47" s="12">
        <f si="1" t="shared"/>
        <v>5.8205900192260742</v>
      </c>
    </row>
    <row r="48" spans="1:13" x14ac:dyDescent="0.45">
      <c r="A48" s="10">
        <v>0.83333333333333337</v>
      </c>
      <c r="B48" s="5" t="n">
        <v>0.0047606520709874145</v>
      </c>
      <c r="C48" s="5" t="n">
        <v>0.0</v>
      </c>
      <c r="D48" s="5" t="n">
        <v>7.250552909909296E-5</v>
      </c>
      <c r="E48" s="5" t="n">
        <v>0.0</v>
      </c>
      <c r="F48" s="5">
        <f si="0" t="shared"/>
        <v>4.8331576000865076E-3</v>
      </c>
      <c r="H48" s="10">
        <v>0.83333333333333337</v>
      </c>
      <c r="I48" s="8" t="n">
        <v>1.6497726440429688</v>
      </c>
      <c r="J48" s="8" t="n">
        <v>0.01024627685546875</v>
      </c>
      <c r="K48" s="8" t="n">
        <v>0.08333206176757812</v>
      </c>
      <c r="L48" s="8" t="n">
        <v>0.0</v>
      </c>
      <c r="M48" s="12">
        <f si="1" t="shared"/>
        <v>1.9707412719726563</v>
      </c>
    </row>
    <row r="49" spans="1:13" x14ac:dyDescent="0.45">
      <c r="A49" s="10">
        <v>0.85416666666666663</v>
      </c>
      <c r="B49" s="5" t="n">
        <v>1.8645661516667833E-4</v>
      </c>
      <c r="C49" s="5" t="n">
        <v>0.0</v>
      </c>
      <c r="D49" s="5" t="n">
        <v>0.0</v>
      </c>
      <c r="E49" s="5" t="n">
        <v>0.0</v>
      </c>
      <c r="F49" s="5">
        <f si="0" t="shared"/>
        <v>1.8645661516667833E-4</v>
      </c>
      <c r="H49" s="10">
        <v>0.85416666666666663</v>
      </c>
      <c r="I49" s="8" t="n">
        <v>0.4385528564453125</v>
      </c>
      <c r="J49" s="8" t="n">
        <v>0.0013856887817382812</v>
      </c>
      <c r="K49" s="8" t="n">
        <v>0.021674156188964844</v>
      </c>
      <c r="L49" s="8" t="n">
        <v>0.0</v>
      </c>
      <c r="M49" s="12">
        <f si="1" t="shared"/>
        <v>0.5356292724609375</v>
      </c>
    </row>
    <row r="50" spans="1:13" x14ac:dyDescent="0.45">
      <c r="A50" s="10">
        <v>0.875</v>
      </c>
      <c r="B50" s="5" t="n">
        <v>0.0</v>
      </c>
      <c r="C50" s="5" t="n">
        <v>0.0</v>
      </c>
      <c r="D50" s="5" t="n">
        <v>0.0</v>
      </c>
      <c r="E50" s="5" t="n">
        <v>0.0</v>
      </c>
      <c r="F50" s="5">
        <f si="0" t="shared"/>
        <v>0</v>
      </c>
      <c r="H50" s="10">
        <v>0.875</v>
      </c>
      <c r="I50" s="8" t="n">
        <v>0.08959579467773438</v>
      </c>
      <c r="J50" s="8" t="n">
        <v>1.18255615234375E-4</v>
      </c>
      <c r="K50" s="8" t="n">
        <v>0.004395484924316406</v>
      </c>
      <c r="L50" s="8" t="n">
        <v>0.0</v>
      </c>
      <c r="M50" s="12">
        <f si="1" t="shared"/>
        <v>0.11199092864990234</v>
      </c>
    </row>
    <row r="51" spans="1:13" x14ac:dyDescent="0.45">
      <c r="A51" s="10">
        <v>0.89583333333333337</v>
      </c>
      <c r="B51" s="5" t="n">
        <v>0.0</v>
      </c>
      <c r="C51" s="5" t="n">
        <v>0.0</v>
      </c>
      <c r="D51" s="5" t="n">
        <v>0.0</v>
      </c>
      <c r="E51" s="5" t="n">
        <v>0.0</v>
      </c>
      <c r="F51" s="5">
        <f si="0" t="shared"/>
        <v>0</v>
      </c>
      <c r="H51" s="10">
        <v>0.89583333333333337</v>
      </c>
      <c r="I51" s="8" t="n">
        <v>0.013185501098632812</v>
      </c>
      <c r="J51" s="8" t="n">
        <v>4.76837158203125E-6</v>
      </c>
      <c r="K51" s="8" t="n">
        <v>6.494522094726562E-4</v>
      </c>
      <c r="L51" s="8" t="n">
        <v>0.0</v>
      </c>
      <c r="M51" s="12">
        <f si="1" t="shared"/>
        <v>1.6870498657226563E-2</v>
      </c>
    </row>
    <row r="52" spans="1:13" x14ac:dyDescent="0.45">
      <c r="A52" s="10">
        <v>0.91666666666666663</v>
      </c>
      <c r="B52" s="5" t="n">
        <v>0.0</v>
      </c>
      <c r="C52" s="5" t="n">
        <v>0.0</v>
      </c>
      <c r="D52" s="5" t="n">
        <v>0.0</v>
      </c>
      <c r="E52" s="5" t="n">
        <v>0.0</v>
      </c>
      <c r="F52" s="5">
        <f si="0" t="shared"/>
        <v>0</v>
      </c>
      <c r="H52" s="10">
        <v>0.91666666666666663</v>
      </c>
      <c r="I52" s="8" t="n">
        <v>0.0012426376342773438</v>
      </c>
      <c r="J52" s="8" t="n">
        <v>0.0</v>
      </c>
      <c r="K52" s="8" t="n">
        <v>6.198883056640625E-5</v>
      </c>
      <c r="L52" s="8" t="n">
        <v>0.0</v>
      </c>
      <c r="M52" s="12">
        <f si="1" t="shared"/>
        <v>1.6269683837890625E-3</v>
      </c>
    </row>
    <row r="53" spans="1:13" x14ac:dyDescent="0.45">
      <c r="A53" s="10">
        <v>0.9375</v>
      </c>
      <c r="B53" s="5" t="n">
        <v>0.0</v>
      </c>
      <c r="C53" s="5" t="n">
        <v>0.0</v>
      </c>
      <c r="D53" s="5" t="n">
        <v>0.0</v>
      </c>
      <c r="E53" s="5" t="n">
        <v>0.0</v>
      </c>
      <c r="F53" s="5">
        <f si="0" t="shared"/>
        <v>0</v>
      </c>
      <c r="H53" s="10">
        <v>0.9375</v>
      </c>
      <c r="I53" s="8" t="n">
        <v>5.626678466796875E-5</v>
      </c>
      <c r="J53" s="8" t="n">
        <v>0.0</v>
      </c>
      <c r="K53" s="8" t="n">
        <v>2.86102294921875E-6</v>
      </c>
      <c r="L53" s="8" t="n">
        <v>0.0</v>
      </c>
      <c r="M53" s="12">
        <f si="1" t="shared"/>
        <v>7.534027099609375E-5</v>
      </c>
    </row>
    <row r="54" spans="1:13" x14ac:dyDescent="0.45">
      <c r="A54" s="10">
        <v>0.95833333333333337</v>
      </c>
      <c r="B54" s="5" t="n">
        <v>0.0</v>
      </c>
      <c r="C54" s="5" t="n">
        <v>0.0</v>
      </c>
      <c r="D54" s="5" t="n">
        <v>0.0</v>
      </c>
      <c r="E54" s="5" t="n">
        <v>0.0</v>
      </c>
      <c r="F54" s="5">
        <f si="0" t="shared"/>
        <v>0</v>
      </c>
      <c r="H54" s="10">
        <v>0.95833333333333337</v>
      </c>
      <c r="I54" s="8" t="n">
        <v>0.0</v>
      </c>
      <c r="J54" s="8" t="n">
        <v>0.0</v>
      </c>
      <c r="K54" s="8" t="n">
        <v>0.0</v>
      </c>
      <c r="L54" s="8" t="n">
        <v>0.0</v>
      </c>
      <c r="M54" s="12">
        <f si="1" t="shared"/>
        <v>0</v>
      </c>
    </row>
    <row r="55" spans="1:13" x14ac:dyDescent="0.45">
      <c r="A55" s="10">
        <v>0.97916666666666663</v>
      </c>
      <c r="B55" s="5" t="n">
        <v>0.0</v>
      </c>
      <c r="C55" s="5" t="n">
        <v>0.0</v>
      </c>
      <c r="D55" s="5" t="n">
        <v>0.0</v>
      </c>
      <c r="E55" s="5" t="n">
        <v>0.0</v>
      </c>
      <c r="F55" s="5">
        <f si="0" t="shared"/>
        <v>0</v>
      </c>
      <c r="H55" s="10">
        <v>0.97916666666666663</v>
      </c>
      <c r="I55" s="8" t="n">
        <v>0.0</v>
      </c>
      <c r="J55" s="8" t="n">
        <v>0.0</v>
      </c>
      <c r="K55" s="8" t="n">
        <v>0.0</v>
      </c>
      <c r="L55" s="8" t="n">
        <v>0.0</v>
      </c>
      <c r="M55" s="12">
        <f si="1" t="shared"/>
        <v>0</v>
      </c>
    </row>
    <row r="56" spans="1:13" x14ac:dyDescent="0.45">
      <c r="A56" s="17" t="s">
        <v>13</v>
      </c>
      <c r="B56" s="18" t="n">
        <v>0.0</v>
      </c>
      <c r="C56" s="18" t="n">
        <v>0.0</v>
      </c>
      <c r="D56" s="18" t="n">
        <v>0.0</v>
      </c>
      <c r="E56" s="18" t="n">
        <v>0.0</v>
      </c>
      <c r="F56" s="18">
        <f si="0" t="shared"/>
        <v>0</v>
      </c>
      <c r="H56" s="17" t="s">
        <v>13</v>
      </c>
      <c r="I56" s="20" t="n">
        <v>0.0</v>
      </c>
      <c r="J56" s="20" t="n">
        <v>0.0</v>
      </c>
      <c r="K56" s="20" t="n">
        <v>0.0</v>
      </c>
      <c r="L56" s="20" t="n">
        <v>0.0</v>
      </c>
      <c r="M56" s="23">
        <f si="1" t="shared"/>
        <v>0</v>
      </c>
    </row>
    <row ht="14.65" r="57" spans="1:13" thickBot="1" x14ac:dyDescent="0.5">
      <c r="A57" s="1"/>
      <c r="B57" s="6">
        <f>SUM(B8:B56)</f>
        <v>805806.21403021552</v>
      </c>
      <c r="C57" s="6">
        <f>SUM(C8:C56)</f>
        <v>267509.34190785163</v>
      </c>
      <c r="D57" s="6">
        <f>SUM(D8:D56)</f>
        <v>1072767.1643655126</v>
      </c>
      <c r="E57" s="6">
        <f>SUM(E8:E56)</f>
        <v>180756.64514311936</v>
      </c>
      <c r="F57" s="6">
        <f>SUM(F8:F56)</f>
        <v>2326839.3654467002</v>
      </c>
      <c r="H57" s="1"/>
      <c r="I57" s="6">
        <f>SUM(I8:I56)</f>
        <v>676977.97995758057</v>
      </c>
      <c r="J57" s="6">
        <f>SUM(J8:J56)</f>
        <v>226599.97024917603</v>
      </c>
      <c r="K57" s="6">
        <f>SUM(K8:K56)</f>
        <v>1297227.0537948608</v>
      </c>
      <c r="L57" s="6">
        <f>SUM(L8:L56)</f>
        <v>183317.47751903534</v>
      </c>
      <c r="M57" s="6">
        <f>SUM(M8:M56)</f>
        <v>2384122.4815206528</v>
      </c>
    </row>
    <row ht="14.65" r="63" spans="1:13" thickBot="1" x14ac:dyDescent="0.5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4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45">
      <c r="A65" s="10">
        <v>0</v>
      </c>
      <c r="B65" s="14">
        <f>B8/B$57</f>
        <v>2.2893495197098681E-2</v>
      </c>
      <c r="C65" s="14">
        <f ref="C65:F65" si="2" t="shared">C8/C$57</f>
        <v>8.6645598230347468E-3</v>
      </c>
      <c r="D65" s="14">
        <f si="2" t="shared"/>
        <v>0.30665111027188857</v>
      </c>
      <c r="E65" s="14">
        <f si="2" t="shared"/>
        <v>0.35334778096077446</v>
      </c>
      <c r="F65" s="14">
        <f si="2" t="shared"/>
        <v>0.17775218134949239</v>
      </c>
      <c r="G65" s="14"/>
      <c r="H65" s="10">
        <v>0</v>
      </c>
      <c r="I65" s="14">
        <f ref="I65:M65" si="3" t="shared">I8/I$57</f>
        <v>2.4266668172913657E-2</v>
      </c>
      <c r="J65" s="14">
        <f si="3" t="shared"/>
        <v>2.2210947311535674E-2</v>
      </c>
      <c r="K65" s="14">
        <f si="3" t="shared"/>
        <v>0.32861710581269782</v>
      </c>
      <c r="L65" s="14">
        <f si="3" t="shared"/>
        <v>0.38222214787307596</v>
      </c>
      <c r="M65" s="14">
        <f si="3" t="shared"/>
        <v>0.21719521711389655</v>
      </c>
    </row>
    <row r="66" spans="1:13" x14ac:dyDescent="0.45">
      <c r="A66" s="10">
        <v>2.0833333333333332E-2</v>
      </c>
      <c r="B66" s="14">
        <f ref="B66:F66" si="4" t="shared">B9/B$57</f>
        <v>2.08712175199171E-2</v>
      </c>
      <c r="C66" s="14">
        <f si="4" t="shared"/>
        <v>1.0859391180109758E-2</v>
      </c>
      <c r="D66" s="14">
        <f si="4" t="shared"/>
        <v>0.22871695398649927</v>
      </c>
      <c r="E66" s="14">
        <f si="4" t="shared"/>
        <v>0.25687420707472741</v>
      </c>
      <c r="F66" s="14">
        <f si="4" t="shared"/>
        <v>0.1338789896935037</v>
      </c>
      <c r="G66" s="14"/>
      <c r="H66" s="10">
        <v>2.0833333333333332E-2</v>
      </c>
      <c r="I66" s="14">
        <f ref="I66:M66" si="5" t="shared">I9/I$57</f>
        <v>2.2983545236980062E-2</v>
      </c>
      <c r="J66" s="14">
        <f si="5" t="shared"/>
        <v>1.7125626743528143E-2</v>
      </c>
      <c r="K66" s="14">
        <f si="5" t="shared"/>
        <v>0.23391306272200971</v>
      </c>
      <c r="L66" s="14">
        <f si="5" t="shared"/>
        <v>0.26527058257896119</v>
      </c>
      <c r="M66" s="14">
        <f si="5" t="shared"/>
        <v>0.15582551260445526</v>
      </c>
    </row>
    <row r="67" spans="1:13" x14ac:dyDescent="0.45">
      <c r="A67" s="10">
        <v>4.1666666666666664E-2</v>
      </c>
      <c r="B67" s="14">
        <f ref="B67:F67" si="6" t="shared">B10/B$57</f>
        <v>1.9289194840101085E-2</v>
      </c>
      <c r="C67" s="14">
        <f si="6" t="shared"/>
        <v>1.2495760480301425E-2</v>
      </c>
      <c r="D67" s="14">
        <f si="6" t="shared"/>
        <v>0.15997561240910921</v>
      </c>
      <c r="E67" s="14">
        <f si="6" t="shared"/>
        <v>0.17156018259652739</v>
      </c>
      <c r="F67" s="14">
        <f si="6" t="shared"/>
        <v>9.5199228685920359E-2</v>
      </c>
      <c r="G67" s="14"/>
      <c r="H67" s="10">
        <v>4.1666666666666664E-2</v>
      </c>
      <c r="I67" s="14">
        <f ref="I67:M67" si="7" t="shared">I10/I$57</f>
        <v>2.2075066158500595E-2</v>
      </c>
      <c r="J67" s="14">
        <f si="7" t="shared"/>
        <v>1.2816452987709901E-2</v>
      </c>
      <c r="K67" s="14">
        <f si="7" t="shared"/>
        <v>0.15296900701738064</v>
      </c>
      <c r="L67" s="14">
        <f si="7" t="shared"/>
        <v>0.16559190295829343</v>
      </c>
      <c r="M67" s="14">
        <f si="7" t="shared"/>
        <v>0.10345104654471733</v>
      </c>
    </row>
    <row r="68" spans="1:13" x14ac:dyDescent="0.45">
      <c r="A68" s="10">
        <v>6.25E-2</v>
      </c>
      <c r="B68" s="14">
        <f ref="B68:F68" si="8" t="shared">B11/B$57</f>
        <v>1.8420231738676313E-2</v>
      </c>
      <c r="C68" s="14">
        <f si="8" t="shared"/>
        <v>1.3350555488068796E-2</v>
      </c>
      <c r="D68" s="14">
        <f si="8" t="shared"/>
        <v>0.10606149585825921</v>
      </c>
      <c r="E68" s="14">
        <f si="8" t="shared"/>
        <v>0.1047572691603295</v>
      </c>
      <c r="F68" s="14">
        <f si="8" t="shared"/>
        <v>6.4950507733313734E-2</v>
      </c>
      <c r="G68" s="14"/>
      <c r="H68" s="10">
        <v>6.25E-2</v>
      </c>
      <c r="I68" s="14">
        <f ref="I68:M68" si="9" t="shared">I11/I$57</f>
        <v>2.1688952860352689E-2</v>
      </c>
      <c r="J68" s="14">
        <f si="9" t="shared"/>
        <v>9.7885842351276842E-3</v>
      </c>
      <c r="K68" s="14">
        <f si="9" t="shared"/>
        <v>9.3702147335049321E-2</v>
      </c>
      <c r="L68" s="14">
        <f si="9" t="shared"/>
        <v>9.3070216883971976E-2</v>
      </c>
      <c r="M68" s="14">
        <f si="9" t="shared"/>
        <v>6.5229616141652222E-2</v>
      </c>
    </row>
    <row r="69" spans="1:13" x14ac:dyDescent="0.45">
      <c r="A69" s="10">
        <v>8.3333333333333329E-2</v>
      </c>
      <c r="B69" s="14">
        <f ref="B69:F69" si="10" t="shared">B12/B$57</f>
        <v>1.8316232563874546E-2</v>
      </c>
      <c r="C69" s="14">
        <f si="10" t="shared"/>
        <v>1.3594104618436974E-2</v>
      </c>
      <c r="D69" s="14">
        <f si="10" t="shared"/>
        <v>6.7808620094556807E-2</v>
      </c>
      <c r="E69" s="14">
        <f si="10" t="shared"/>
        <v>5.8338011548057317E-2</v>
      </c>
      <c r="F69" s="14">
        <f si="10" t="shared"/>
        <v>4.370036447638477E-2</v>
      </c>
      <c r="G69" s="14"/>
      <c r="H69" s="10">
        <v>8.3333333333333329E-2</v>
      </c>
      <c r="I69" s="14">
        <f ref="I69:M69" si="11" t="shared">I12/I$57</f>
        <v>2.1714936649587593E-2</v>
      </c>
      <c r="J69" s="14">
        <f si="11" t="shared"/>
        <v>8.2385039098406641E-3</v>
      </c>
      <c r="K69" s="14">
        <f si="11" t="shared"/>
        <v>5.6219417254732965E-2</v>
      </c>
      <c r="L69" s="14">
        <f si="11" t="shared"/>
        <v>4.7798366312011342E-2</v>
      </c>
      <c r="M69" s="14">
        <f si="11" t="shared"/>
        <v>4.1213907592285347E-2</v>
      </c>
    </row>
    <row r="70" spans="1:13" x14ac:dyDescent="0.45">
      <c r="A70" s="10">
        <v>0.10416666666666667</v>
      </c>
      <c r="B70" s="14">
        <f ref="B70:F70" si="12" t="shared">B13/B$57</f>
        <v>1.8858271427083066E-2</v>
      </c>
      <c r="C70" s="14">
        <f si="12" t="shared"/>
        <v>1.3572738736453153E-2</v>
      </c>
      <c r="D70" s="14">
        <f si="12" t="shared"/>
        <v>4.2599660673951462E-2</v>
      </c>
      <c r="E70" s="14">
        <f si="12" t="shared"/>
        <v>2.9637181322169491E-2</v>
      </c>
      <c r="F70" s="14">
        <f si="12" t="shared"/>
        <v>3.0033693944787356E-2</v>
      </c>
      <c r="G70" s="14"/>
      <c r="H70" s="10">
        <v>0.10416666666666667</v>
      </c>
      <c r="I70" s="14">
        <f ref="I70:M70" si="13" t="shared">I13/I$57</f>
        <v>2.1939635968946963E-2</v>
      </c>
      <c r="J70" s="14">
        <f si="13" t="shared"/>
        <v>8.2697849828555631E-3</v>
      </c>
      <c r="K70" s="14">
        <f si="13" t="shared"/>
        <v>3.5222109428356817E-2</v>
      </c>
      <c r="L70" s="14">
        <f si="13" t="shared"/>
        <v>2.3211132352470323E-2</v>
      </c>
      <c r="M70" s="14">
        <f si="13" t="shared"/>
        <v>2.7965284276511619E-2</v>
      </c>
    </row>
    <row r="71" spans="1:13" x14ac:dyDescent="0.45">
      <c r="A71" s="10">
        <v>0.125</v>
      </c>
      <c r="B71" s="14">
        <f ref="B71:F71" si="14" t="shared">B14/B$57</f>
        <v>1.9821829736963663E-2</v>
      </c>
      <c r="C71" s="14">
        <f si="14" t="shared"/>
        <v>1.3587124799982231E-2</v>
      </c>
      <c r="D71" s="14">
        <f si="14" t="shared"/>
        <v>2.6697812899136329E-2</v>
      </c>
      <c r="E71" s="14">
        <f si="14" t="shared"/>
        <v>1.3802361253679401E-2</v>
      </c>
      <c r="F71" s="14">
        <f si="14" t="shared"/>
        <v>2.1807539745336845E-2</v>
      </c>
      <c r="G71" s="14"/>
      <c r="H71" s="10">
        <v>0.125</v>
      </c>
      <c r="I71" s="14">
        <f ref="I71:M71" si="15" t="shared">I14/I$57</f>
        <v>2.2220283194738073E-2</v>
      </c>
      <c r="J71" s="14">
        <f si="15" t="shared"/>
        <v>1.0163125255517613E-2</v>
      </c>
      <c r="K71" s="14">
        <f si="15" t="shared"/>
        <v>2.4100734404072552E-2</v>
      </c>
      <c r="L71" s="14">
        <f si="15" t="shared"/>
        <v>1.1211512358750671E-2</v>
      </c>
      <c r="M71" s="14">
        <f si="15" t="shared"/>
        <v>2.1251004323213224E-2</v>
      </c>
    </row>
    <row r="72" spans="1:13" x14ac:dyDescent="0.45">
      <c r="A72" s="10">
        <v>0.14583333333333334</v>
      </c>
      <c r="B72" s="14">
        <f ref="B72:F72" si="16" t="shared">B15/B$57</f>
        <v>2.092901135003928E-2</v>
      </c>
      <c r="C72" s="14">
        <f si="16" t="shared"/>
        <v>1.3969168054268236E-2</v>
      </c>
      <c r="D72" s="14">
        <f si="16" t="shared"/>
        <v>1.6885198953303943E-2</v>
      </c>
      <c r="E72" s="14">
        <f si="16" t="shared"/>
        <v>5.9802242267079702E-3</v>
      </c>
      <c r="F72" s="14">
        <f si="16" t="shared"/>
        <v>1.7103227327527507E-2</v>
      </c>
      <c r="G72" s="14"/>
      <c r="H72" s="10">
        <v>0.14583333333333334</v>
      </c>
      <c r="I72" s="14">
        <f ref="I72:M72" si="17" t="shared">I15/I$57</f>
        <v>2.2567773225695042E-2</v>
      </c>
      <c r="J72" s="14">
        <f si="17" t="shared"/>
        <v>1.4476952467036307E-2</v>
      </c>
      <c r="K72" s="14">
        <f si="17" t="shared"/>
        <v>1.7816553558952824E-2</v>
      </c>
      <c r="L72" s="14">
        <f si="17" t="shared"/>
        <v>5.618276094642799E-3</v>
      </c>
      <c r="M72" s="14">
        <f si="17" t="shared"/>
        <v>1.791032396343149E-2</v>
      </c>
    </row>
    <row r="73" spans="1:13" x14ac:dyDescent="0.45">
      <c r="A73" s="10">
        <v>0.16666666666666666</v>
      </c>
      <c r="B73" s="14">
        <f ref="B73:F73" si="18" t="shared">B16/B$57</f>
        <v>2.1947377485372708E-2</v>
      </c>
      <c r="C73" s="14">
        <f si="18" t="shared"/>
        <v>1.5560677153770535E-2</v>
      </c>
      <c r="D73" s="14">
        <f si="18" t="shared"/>
        <v>1.0934456130761971E-2</v>
      </c>
      <c r="E73" s="14">
        <f si="18" t="shared"/>
        <v>2.5014934798204729E-3</v>
      </c>
      <c r="F73" s="14">
        <f si="18" t="shared"/>
        <v>1.4625094983481676E-2</v>
      </c>
      <c r="G73" s="14"/>
      <c r="H73" s="10">
        <v>0.16666666666666666</v>
      </c>
      <c r="I73" s="14">
        <f ref="I73:M73" si="19" t="shared">I16/I$57</f>
        <v>2.3177238581568029E-2</v>
      </c>
      <c r="J73" s="14">
        <f si="19" t="shared"/>
        <v>2.1925207703611348E-2</v>
      </c>
      <c r="K73" s="14">
        <f si="19" t="shared"/>
        <v>1.3629895828890147E-2</v>
      </c>
      <c r="L73" s="14">
        <f si="19" t="shared"/>
        <v>2.9282810766651434E-3</v>
      </c>
      <c r="M73" s="14">
        <f si="19" t="shared"/>
        <v>1.6306463523038758E-2</v>
      </c>
    </row>
    <row r="74" spans="1:13" x14ac:dyDescent="0.45">
      <c r="A74" s="10">
        <v>0.1875</v>
      </c>
      <c r="B74" s="14">
        <f ref="B74:F74" si="20" t="shared">B17/B$57</f>
        <v>2.2872885077329565E-2</v>
      </c>
      <c r="C74" s="14">
        <f si="20" t="shared"/>
        <v>2.031593604702708E-2</v>
      </c>
      <c r="D74" s="14">
        <f si="20" t="shared"/>
        <v>7.4039358382218456E-3</v>
      </c>
      <c r="E74" s="14">
        <f si="20" t="shared"/>
        <v>1.0952332799607633E-3</v>
      </c>
      <c r="F74" s="14">
        <f si="20" t="shared"/>
        <v>1.3755348148752457E-2</v>
      </c>
      <c r="G74" s="14"/>
      <c r="H74" s="10">
        <v>0.1875</v>
      </c>
      <c r="I74" s="14">
        <f ref="I74:M74" si="21" t="shared">I17/I$57</f>
        <v>2.4469635820116301E-2</v>
      </c>
      <c r="J74" s="14">
        <f si="21" t="shared"/>
        <v>3.3135810107565021E-2</v>
      </c>
      <c r="K74" s="14">
        <f si="21" t="shared"/>
        <v>1.0459463068757455E-2</v>
      </c>
      <c r="L74" s="14">
        <f si="21" t="shared"/>
        <v>1.5377809430197986E-3</v>
      </c>
      <c r="M74" s="14">
        <f si="21" t="shared"/>
        <v>1.5906975875072997E-2</v>
      </c>
    </row>
    <row r="75" spans="1:13" x14ac:dyDescent="0.45">
      <c r="A75" s="10">
        <v>0.20833333333333334</v>
      </c>
      <c r="B75" s="14">
        <f ref="B75:F75" si="22" t="shared">B18/B$57</f>
        <v>2.4130181711959586E-2</v>
      </c>
      <c r="C75" s="14">
        <f si="22" t="shared"/>
        <v>3.1242827710956621E-2</v>
      </c>
      <c r="D75" s="14">
        <f si="22" t="shared"/>
        <v>5.337966545198386E-3</v>
      </c>
      <c r="E75" s="14">
        <f si="22" t="shared"/>
        <v>5.7166194061999921E-4</v>
      </c>
      <c r="F75" s="14">
        <f si="22" t="shared"/>
        <v>1.4453823533164304E-2</v>
      </c>
      <c r="G75" s="14"/>
      <c r="H75" s="10">
        <v>0.20833333333333334</v>
      </c>
      <c r="I75" s="14">
        <f ref="I75:M75" si="23" t="shared">I18/I$57</f>
        <v>2.7103734245705103E-2</v>
      </c>
      <c r="J75" s="14">
        <f si="23" t="shared"/>
        <v>4.8337754007764439E-2</v>
      </c>
      <c r="K75" s="14">
        <f si="23" t="shared"/>
        <v>7.9879936574348987E-3</v>
      </c>
      <c r="L75" s="14">
        <f si="23" t="shared"/>
        <v>7.855919800131379E-4</v>
      </c>
      <c r="M75" s="14">
        <f si="23" t="shared"/>
        <v>1.6697220635974532E-2</v>
      </c>
    </row>
    <row r="76" spans="1:13" x14ac:dyDescent="0.45">
      <c r="A76" s="10">
        <v>0.22916666666666666</v>
      </c>
      <c r="B76" s="14">
        <f ref="B76:F76" si="24" t="shared">B19/B$57</f>
        <v>2.6661790753071138E-2</v>
      </c>
      <c r="C76" s="14">
        <f si="24" t="shared"/>
        <v>5.0769309350660347E-2</v>
      </c>
      <c r="D76" s="14">
        <f si="24" t="shared"/>
        <v>4.0967435780657063E-3</v>
      </c>
      <c r="E76" s="14">
        <f si="24" t="shared"/>
        <v>3.8867741929489018E-4</v>
      </c>
      <c r="F76" s="14">
        <f si="24" t="shared"/>
        <v>1.6988972167251079E-2</v>
      </c>
      <c r="G76" s="14"/>
      <c r="H76" s="10">
        <v>0.22916666666666666</v>
      </c>
      <c r="I76" s="14">
        <f ref="I76:M76" si="25" t="shared">I19/I$57</f>
        <v>3.1858487637095388E-2</v>
      </c>
      <c r="J76" s="14">
        <f si="25" t="shared"/>
        <v>6.6873459185461531E-2</v>
      </c>
      <c r="K76" s="14">
        <f si="25" t="shared"/>
        <v>6.0958920810072516E-3</v>
      </c>
      <c r="L76" s="14">
        <f si="25" t="shared"/>
        <v>3.8239293883100345E-4</v>
      </c>
      <c r="M76" s="14">
        <f si="25" t="shared"/>
        <v>1.8748564407606885E-2</v>
      </c>
    </row>
    <row r="77" spans="1:13" x14ac:dyDescent="0.45">
      <c r="A77" s="10">
        <v>0.25</v>
      </c>
      <c r="B77" s="14">
        <f ref="B77:F77" si="26" t="shared">B20/B$57</f>
        <v>3.1783092761566767E-2</v>
      </c>
      <c r="C77" s="14">
        <f si="26" t="shared"/>
        <v>7.7769279153587931E-2</v>
      </c>
      <c r="D77" s="14">
        <f si="26" t="shared"/>
        <v>3.2804292605988165E-3</v>
      </c>
      <c r="E77" s="14">
        <f si="26" t="shared"/>
        <v>3.2094016981134318E-4</v>
      </c>
      <c r="F77" s="14">
        <f si="26" t="shared"/>
        <v>2.1485011789792043E-2</v>
      </c>
      <c r="G77" s="14"/>
      <c r="H77" s="10">
        <v>0.25</v>
      </c>
      <c r="I77" s="14">
        <f ref="I77:M77" si="27" t="shared">I20/I$57</f>
        <v>3.9358560884567205E-2</v>
      </c>
      <c r="J77" s="14">
        <f si="27" t="shared"/>
        <v>8.6575828502666582E-2</v>
      </c>
      <c r="K77" s="14">
        <f si="27" t="shared"/>
        <v>4.6640990223926464E-3</v>
      </c>
      <c r="L77" s="14">
        <f si="27" t="shared"/>
        <v>1.7767297395642221E-4</v>
      </c>
      <c r="M77" s="14">
        <f si="27" t="shared"/>
        <v>2.195605536428696E-2</v>
      </c>
    </row>
    <row r="78" spans="1:13" x14ac:dyDescent="0.45">
      <c r="A78" s="10">
        <v>0.27083333333333331</v>
      </c>
      <c r="B78" s="14">
        <f ref="B78:F78" si="28" t="shared">B21/B$57</f>
        <v>4.0691779703884955E-2</v>
      </c>
      <c r="C78" s="14">
        <f si="28" t="shared"/>
        <v>0.10561600785330427</v>
      </c>
      <c r="D78" s="14">
        <f si="28" t="shared"/>
        <v>2.6733881171805245E-3</v>
      </c>
      <c r="E78" s="14">
        <f si="28" t="shared"/>
        <v>2.7695058732981861E-4</v>
      </c>
      <c r="F78" s="14">
        <f si="28" t="shared"/>
        <v>2.7488335593628024E-2</v>
      </c>
      <c r="G78" s="14"/>
      <c r="H78" s="10">
        <v>0.27083333333333331</v>
      </c>
      <c r="I78" s="14">
        <f ref="I78:M78" si="29" t="shared">I21/I$57</f>
        <v>4.9714149493693592E-2</v>
      </c>
      <c r="J78" s="14">
        <f si="29" t="shared"/>
        <v>0.10354744997161842</v>
      </c>
      <c r="K78" s="14">
        <f si="29" t="shared"/>
        <v>3.5700423432849251E-3</v>
      </c>
      <c r="L78" s="14">
        <f si="29" t="shared"/>
        <v>8.2286713865826089E-5</v>
      </c>
      <c r="M78" s="14">
        <f si="29" t="shared"/>
        <v>2.5907005267121471E-2</v>
      </c>
    </row>
    <row r="79" spans="1:13" x14ac:dyDescent="0.45">
      <c r="A79" s="10">
        <v>0.29166666666666669</v>
      </c>
      <c r="B79" s="14">
        <f ref="B79:F79" si="30" t="shared">B22/B$57</f>
        <v>5.3610161903765996E-2</v>
      </c>
      <c r="C79" s="14">
        <f si="30" t="shared"/>
        <v>0.12420143796269362</v>
      </c>
      <c r="D79" s="14">
        <f si="30" t="shared"/>
        <v>2.183688367759814E-3</v>
      </c>
      <c r="E79" s="14">
        <f si="30" t="shared"/>
        <v>2.2321704732545738E-4</v>
      </c>
      <c r="F79" s="14">
        <f si="30" t="shared"/>
        <v>3.3868854396939999E-2</v>
      </c>
      <c r="G79" s="14"/>
      <c r="H79" s="10">
        <v>0.29166666666666669</v>
      </c>
      <c r="I79" s="14">
        <f ref="I79:M79" si="31" t="shared">I22/I$57</f>
        <v>6.2162478503637097E-2</v>
      </c>
      <c r="J79" s="14">
        <f si="31" t="shared"/>
        <v>0.11307794346426202</v>
      </c>
      <c r="K79" s="14">
        <f si="31" t="shared"/>
        <v>2.7203158402928558E-3</v>
      </c>
      <c r="L79" s="14">
        <f si="31" t="shared"/>
        <v>4.189033059071374E-5</v>
      </c>
      <c r="M79" s="14">
        <f si="31" t="shared"/>
        <v>2.9882120082429298E-2</v>
      </c>
    </row>
    <row r="80" spans="1:13" x14ac:dyDescent="0.45">
      <c r="A80" s="10">
        <v>0.3125</v>
      </c>
      <c r="B80" s="14">
        <f ref="B80:F80" si="32" t="shared">B23/B$57</f>
        <v>6.8884702002953907E-2</v>
      </c>
      <c r="C80" s="14">
        <f si="32" t="shared"/>
        <v>0.12576242420810763</v>
      </c>
      <c r="D80" s="14">
        <f si="32" t="shared"/>
        <v>1.784303632124716E-3</v>
      </c>
      <c r="E80" s="14">
        <f si="32" t="shared"/>
        <v>1.5778904727911636E-4</v>
      </c>
      <c r="F80" s="14">
        <f si="32" t="shared"/>
        <v>3.9148816794831502E-2</v>
      </c>
      <c r="G80" s="14"/>
      <c r="H80" s="10">
        <v>0.3125</v>
      </c>
      <c r="I80" s="14">
        <f ref="I80:M80" si="33" t="shared">I23/I$57</f>
        <v>7.4814174164612057E-2</v>
      </c>
      <c r="J80" s="14">
        <f si="33" t="shared"/>
        <v>0.1116953741397205</v>
      </c>
      <c r="K80" s="14">
        <f si="33" t="shared"/>
        <v>2.0574142249583779E-3</v>
      </c>
      <c r="L80" s="14">
        <f si="33" t="shared"/>
        <v>2.5350439645994963E-5</v>
      </c>
      <c r="M80" s="14">
        <f si="33" t="shared"/>
        <v>3.2981232355629747E-2</v>
      </c>
    </row>
    <row r="81" spans="1:13" x14ac:dyDescent="0.45">
      <c r="A81" s="10">
        <v>0.33333333333333331</v>
      </c>
      <c r="B81" s="14">
        <f ref="B81:F81" si="34" t="shared">B24/B$57</f>
        <v>8.2815020449457419E-2</v>
      </c>
      <c r="C81" s="14">
        <f si="34" t="shared"/>
        <v>0.11005209160989363</v>
      </c>
      <c r="D81" s="14">
        <f si="34" t="shared"/>
        <v>1.4663794568058473E-3</v>
      </c>
      <c r="E81" s="14">
        <f si="34" t="shared"/>
        <v>9.4364440615950132E-5</v>
      </c>
      <c r="F81" s="14">
        <f si="34" t="shared"/>
        <v>4.2015346172406334E-2</v>
      </c>
      <c r="G81" s="14"/>
      <c r="H81" s="10">
        <v>0.33333333333333331</v>
      </c>
      <c r="I81" s="14">
        <f ref="I81:M81" si="35" t="shared">I24/I$57</f>
        <v>8.4744544336451996E-2</v>
      </c>
      <c r="J81" s="14">
        <f si="35" t="shared"/>
        <v>9.914962915465915E-2</v>
      </c>
      <c r="K81" s="14">
        <f si="35" t="shared"/>
        <v>1.5457314690296097E-3</v>
      </c>
      <c r="L81" s="14">
        <f si="35" t="shared"/>
        <v>1.7318390600125583E-5</v>
      </c>
      <c r="M81" s="14">
        <f si="35" t="shared"/>
        <v>3.432954201454573E-2</v>
      </c>
    </row>
    <row r="82" spans="1:13" x14ac:dyDescent="0.45">
      <c r="A82" s="10">
        <v>0.35416666666666669</v>
      </c>
      <c r="B82" s="14">
        <f ref="B82:F82" si="36" t="shared">B25/B$57</f>
        <v>9.0878161998068349E-2</v>
      </c>
      <c r="C82" s="14">
        <f si="36" t="shared"/>
        <v>8.4213803291028719E-2</v>
      </c>
      <c r="D82" s="14">
        <f si="36" t="shared"/>
        <v>1.2129266051920011E-3</v>
      </c>
      <c r="E82" s="14">
        <f si="36" t="shared"/>
        <v>4.6558271457456398E-5</v>
      </c>
      <c r="F82" s="14">
        <f si="36" t="shared"/>
        <v>4.1716575604169921E-2</v>
      </c>
      <c r="G82" s="14"/>
      <c r="H82" s="10">
        <v>0.35416666666666669</v>
      </c>
      <c r="I82" s="14">
        <f ref="I82:M82" si="37" t="shared">I25/I$57</f>
        <v>8.8753241792087142E-2</v>
      </c>
      <c r="J82" s="14">
        <f si="37" t="shared"/>
        <v>7.8802022518601952E-2</v>
      </c>
      <c r="K82" s="14">
        <f si="37" t="shared"/>
        <v>1.1580550853239778E-3</v>
      </c>
      <c r="L82" s="14">
        <f si="37" t="shared"/>
        <v>1.1888110344812115E-5</v>
      </c>
      <c r="M82" s="14">
        <f si="37" t="shared"/>
        <v>3.332251870532249E-2</v>
      </c>
    </row>
    <row r="83" spans="1:13" x14ac:dyDescent="0.45">
      <c r="A83" s="10">
        <v>0.375</v>
      </c>
      <c r="B83" s="14">
        <f ref="B83:F83" si="38" t="shared">B26/B$57</f>
        <v>8.9978191628756671E-2</v>
      </c>
      <c r="C83" s="14">
        <f si="38" t="shared"/>
        <v>5.7639767119503929E-2</v>
      </c>
      <c r="D83" s="14">
        <f si="38" t="shared"/>
        <v>9.969998430820531E-4</v>
      </c>
      <c r="E83" s="14">
        <f si="38" t="shared"/>
        <v>1.8515087494638909E-5</v>
      </c>
      <c r="F83" s="14">
        <f si="38" t="shared"/>
        <v>3.8248045332542592E-2</v>
      </c>
      <c r="G83" s="14"/>
      <c r="H83" s="10">
        <v>0.375</v>
      </c>
      <c r="I83" s="14">
        <f ref="I83:M83" si="39" t="shared">I26/I$57</f>
        <v>8.4762712685135563E-2</v>
      </c>
      <c r="J83" s="14">
        <f si="39" t="shared"/>
        <v>5.6014670157511048E-2</v>
      </c>
      <c r="K83" s="14">
        <f si="39" t="shared"/>
        <v>8.7022101743478323E-4</v>
      </c>
      <c r="L83" s="14">
        <f si="39" t="shared"/>
        <v>7.5808371068644133E-6</v>
      </c>
      <c r="M83" s="14">
        <f si="39" t="shared"/>
        <v>2.9866618472400679E-2</v>
      </c>
    </row>
    <row r="84" spans="1:13" x14ac:dyDescent="0.45">
      <c r="A84" s="10">
        <v>0.39583333333333331</v>
      </c>
      <c r="B84" s="14">
        <f ref="B84:F84" si="40" t="shared">B27/B$57</f>
        <v>8.0203004558642946E-2</v>
      </c>
      <c r="C84" s="14">
        <f si="40" t="shared"/>
        <v>3.6593351248227581E-2</v>
      </c>
      <c r="D84" s="14">
        <f si="40" t="shared"/>
        <v>7.9661781526684156E-4</v>
      </c>
      <c r="E84" s="14">
        <f si="40" t="shared"/>
        <v>5.772666447632569E-6</v>
      </c>
      <c r="F84" s="14">
        <f si="40" t="shared"/>
        <v>3.2349792928658493E-2</v>
      </c>
      <c r="G84" s="14"/>
      <c r="H84" s="10">
        <v>0.39583333333333331</v>
      </c>
      <c r="I84" s="14">
        <f ref="I84:M84" si="41" t="shared">I27/I$57</f>
        <v>7.3104023005209059E-2</v>
      </c>
      <c r="J84" s="14">
        <f si="41" t="shared"/>
        <v>3.5673274972278825E-2</v>
      </c>
      <c r="K84" s="14">
        <f si="41" t="shared"/>
        <v>6.5981834514809181E-4</v>
      </c>
      <c r="L84" s="14">
        <f si="41" t="shared"/>
        <v>4.3217824800802791E-6</v>
      </c>
      <c r="M84" s="14">
        <f si="41" t="shared"/>
        <v>2.4508012397567218E-2</v>
      </c>
    </row>
    <row r="85" spans="1:13" x14ac:dyDescent="0.45">
      <c r="A85" s="10">
        <v>0.41666666666666669</v>
      </c>
      <c r="B85" s="14">
        <f ref="B85:F85" si="42" t="shared">B28/B$57</f>
        <v>6.4697592666489945E-2</v>
      </c>
      <c r="C85" s="14">
        <f si="42" t="shared"/>
        <v>2.2554482440346371E-2</v>
      </c>
      <c r="D85" s="14">
        <f si="42" t="shared"/>
        <v>6.0811304202036274E-4</v>
      </c>
      <c r="E85" s="14">
        <f si="42" t="shared"/>
        <v>1.3572501948693324E-6</v>
      </c>
      <c r="F85" s="14">
        <f si="42" t="shared"/>
        <v>2.5278868351337257E-2</v>
      </c>
      <c r="G85" s="14"/>
      <c r="H85" s="10">
        <v>0.41666666666666669</v>
      </c>
      <c r="I85" s="14">
        <f ref="I85:M85" si="43" t="shared">I28/I$57</f>
        <v>5.664347021203546E-2</v>
      </c>
      <c r="J85" s="14">
        <f si="43" t="shared"/>
        <v>2.0467976010883075E-2</v>
      </c>
      <c r="K85" s="14">
        <f si="43" t="shared"/>
        <v>5.0555041537403856E-4</v>
      </c>
      <c r="L85" s="14">
        <f si="43" t="shared"/>
        <v>2.1516077181378145E-6</v>
      </c>
      <c r="M85" s="14">
        <f si="43" t="shared"/>
        <v>1.8304694175109222E-2</v>
      </c>
    </row>
    <row r="86" spans="1:13" x14ac:dyDescent="0.45">
      <c r="A86" s="10">
        <v>0.4375</v>
      </c>
      <c r="B86" s="14">
        <f ref="B86:F86" si="44" t="shared">B29/B$57</f>
        <v>4.7796897337235932E-2</v>
      </c>
      <c r="C86" s="14">
        <f si="44" t="shared"/>
        <v>1.4000137252569303E-2</v>
      </c>
      <c r="D86" s="14">
        <f si="44" t="shared"/>
        <v>4.4434105890261782E-4</v>
      </c>
      <c r="E86" s="14">
        <f si="44" t="shared"/>
        <v>2.2617147469736897E-7</v>
      </c>
      <c r="F86" s="14">
        <f si="44" t="shared"/>
        <v>1.8366940323929926E-2</v>
      </c>
      <c r="G86" s="14"/>
      <c r="H86" s="10">
        <v>0.4375</v>
      </c>
      <c r="I86" s="14">
        <f ref="I86:M86" si="45" t="shared">I29/I$57</f>
        <v>3.9451109232266406E-2</v>
      </c>
      <c r="J86" s="14">
        <f si="45" t="shared"/>
        <v>1.0703497921615901E-2</v>
      </c>
      <c r="K86" s="14">
        <f si="45" t="shared"/>
        <v>3.8820284329500938E-4</v>
      </c>
      <c r="L86" s="14">
        <f si="45" t="shared"/>
        <v>9.1485739851795023E-7</v>
      </c>
      <c r="M86" s="14">
        <f si="45" t="shared"/>
        <v>1.2430862808221071E-2</v>
      </c>
    </row>
    <row r="87" spans="1:13" x14ac:dyDescent="0.45">
      <c r="A87" s="10">
        <v>0.45833333333333331</v>
      </c>
      <c r="B87" s="14">
        <f ref="B87:F87" si="46" t="shared">B30/B$57</f>
        <v>3.2931609886102088E-2</v>
      </c>
      <c r="C87" s="14">
        <f si="46" t="shared"/>
        <v>8.8330667099912018E-3</v>
      </c>
      <c r="D87" s="14">
        <f si="46" t="shared"/>
        <v>3.204333965119059E-4</v>
      </c>
      <c r="E87" s="14">
        <f si="46" t="shared"/>
        <v>2.3807523652354624E-8</v>
      </c>
      <c r="F87" s="14">
        <f si="46" t="shared"/>
        <v>1.2567768497743293E-2</v>
      </c>
      <c r="G87" s="14"/>
      <c r="H87" s="10">
        <v>0.45833333333333331</v>
      </c>
      <c r="I87" s="14">
        <f ref="I87:M87" si="47" t="shared">I30/I$57</f>
        <v>2.4910585505778859E-2</v>
      </c>
      <c r="J87" s="14">
        <f si="47" t="shared"/>
        <v>5.2139519999304879E-3</v>
      </c>
      <c r="K87" s="14">
        <f si="47" t="shared"/>
        <v>2.9365954300435387E-4</v>
      </c>
      <c r="L87" s="14">
        <f si="47" t="shared"/>
        <v>3.236617064461507E-7</v>
      </c>
      <c r="M87" s="14">
        <f si="47" t="shared"/>
        <v>7.7287982487429492E-3</v>
      </c>
    </row>
    <row r="88" spans="1:13" x14ac:dyDescent="0.45">
      <c r="A88" s="10">
        <v>0.47916666666666669</v>
      </c>
      <c r="B88" s="14">
        <f ref="B88:F88" si="48" t="shared">B31/B$57</f>
        <v>2.1658567230495977E-2</v>
      </c>
      <c r="C88" s="14">
        <f si="48" t="shared"/>
        <v>5.5904875700707787E-3</v>
      </c>
      <c r="D88" s="14">
        <f si="48" t="shared"/>
        <v>2.4016152659909408E-4</v>
      </c>
      <c r="E88" s="14">
        <f si="48" t="shared"/>
        <v>1.1903761826177313E-9</v>
      </c>
      <c r="F88" s="14">
        <f si="48" t="shared"/>
        <v>8.254009113129842E-3</v>
      </c>
      <c r="G88" s="14"/>
      <c r="H88" s="10">
        <v>0.47916666666666669</v>
      </c>
      <c r="I88" s="14">
        <f ref="I88:M88" si="49" t="shared">I31/I$57</f>
        <v>1.4559700124807168E-2</v>
      </c>
      <c r="J88" s="14">
        <f si="49" t="shared"/>
        <v>2.4595270330567344E-3</v>
      </c>
      <c r="K88" s="14">
        <f si="49" t="shared"/>
        <v>2.1523270847187591E-4</v>
      </c>
      <c r="L88" s="14">
        <f si="49" t="shared"/>
        <v>9.2190132603588144E-8</v>
      </c>
      <c r="M88" s="14">
        <f si="49" t="shared"/>
        <v>4.4851503255534317E-3</v>
      </c>
    </row>
    <row r="89" spans="1:13" x14ac:dyDescent="0.45">
      <c r="A89" s="10">
        <v>0.5</v>
      </c>
      <c r="B89" s="14">
        <f ref="B89:F89" si="50" t="shared">B32/B$57</f>
        <v>1.3944396150506357E-2</v>
      </c>
      <c r="C89" s="14">
        <f si="50" t="shared"/>
        <v>3.496227587697466E-3</v>
      </c>
      <c r="D89" s="14">
        <f si="50" t="shared"/>
        <v>1.9286540710656828E-4</v>
      </c>
      <c r="E89" s="14">
        <f si="50" t="shared"/>
        <v>0</v>
      </c>
      <c r="F89" s="14">
        <f si="50" t="shared"/>
        <v>5.3199436410736314E-3</v>
      </c>
      <c r="G89" s="14"/>
      <c r="H89" s="10">
        <v>0.5</v>
      </c>
      <c r="I89" s="14">
        <f ref="I89:M89" si="51" t="shared">I32/I$57</f>
        <v>8.1805841766203827E-3</v>
      </c>
      <c r="J89" s="14">
        <f si="51" t="shared"/>
        <v>1.1946653299962102E-3</v>
      </c>
      <c r="K89" s="14">
        <f si="51" t="shared"/>
        <v>1.5246911418115779E-4</v>
      </c>
      <c r="L89" s="14">
        <f si="51" t="shared"/>
        <v>2.0221378332495181E-8</v>
      </c>
      <c r="M89" s="14">
        <f si="51" t="shared"/>
        <v>2.5194079969755312E-3</v>
      </c>
    </row>
    <row r="90" spans="1:13" x14ac:dyDescent="0.45">
      <c r="A90" s="10">
        <v>0.52083333333333337</v>
      </c>
      <c r="B90" s="14">
        <f ref="B90:F90" si="52" t="shared">B33/B$57</f>
        <v>8.9752472223405058E-3</v>
      </c>
      <c r="C90" s="14">
        <f si="52" t="shared"/>
        <v>2.1532537204540995E-3</v>
      </c>
      <c r="D90" s="14">
        <f si="52" t="shared"/>
        <v>1.6120378151461372E-4</v>
      </c>
      <c r="E90" s="14">
        <f si="52" t="shared"/>
        <v>0</v>
      </c>
      <c r="F90" s="14">
        <f si="52" t="shared"/>
        <v>3.4300861984887941E-3</v>
      </c>
      <c r="G90" s="14"/>
      <c r="H90" s="10">
        <v>0.52083333333333337</v>
      </c>
      <c r="I90" s="14">
        <f ref="I90:M90" si="53" t="shared">I33/I$57</f>
        <v>4.6537557877595068E-3</v>
      </c>
      <c r="J90" s="14">
        <f si="53" t="shared"/>
        <v>6.4213391660069815E-4</v>
      </c>
      <c r="K90" s="14">
        <f si="53" t="shared"/>
        <v>1.0692387408532142E-4</v>
      </c>
      <c r="L90" s="14">
        <f si="53" t="shared"/>
        <v>3.1942182392981842E-9</v>
      </c>
      <c r="M90" s="14">
        <f si="53" t="shared"/>
        <v>1.4406570439016878E-3</v>
      </c>
    </row>
    <row r="91" spans="1:13" x14ac:dyDescent="0.45">
      <c r="A91" s="10">
        <v>0.54166666666666663</v>
      </c>
      <c r="B91" s="14">
        <f ref="B91:F91" si="54" t="shared">B34/B$57</f>
        <v>5.8310480123214591E-3</v>
      </c>
      <c r="C91" s="14">
        <f si="54" t="shared"/>
        <v>1.3242060322410001E-3</v>
      </c>
      <c r="D91" s="14">
        <f si="54" t="shared"/>
        <v>1.3222449693354142E-4</v>
      </c>
      <c r="E91" s="14">
        <f si="54" t="shared"/>
        <v>0</v>
      </c>
      <c r="F91" s="14">
        <f si="54" t="shared"/>
        <v>2.2325470260858072E-3</v>
      </c>
      <c r="G91" s="14"/>
      <c r="H91" s="10">
        <v>0.54166666666666663</v>
      </c>
      <c r="I91" s="14">
        <f ref="I91:M91" si="55" t="shared">I34/I$57</f>
        <v>2.7950238001434599E-3</v>
      </c>
      <c r="J91" s="14">
        <f si="55" t="shared"/>
        <v>3.9733909190864896E-4</v>
      </c>
      <c r="K91" s="14">
        <f si="55" t="shared"/>
        <v>7.8072390764789362E-5</v>
      </c>
      <c r="L91" s="14">
        <f si="55" t="shared"/>
        <v>3.2254320983141272E-10</v>
      </c>
      <c r="M91" s="14">
        <f si="55" t="shared"/>
        <v>8.7389984587253784E-4</v>
      </c>
    </row>
    <row r="92" spans="1:13" x14ac:dyDescent="0.45">
      <c r="A92" s="10">
        <v>0.5625</v>
      </c>
      <c r="B92" s="14">
        <f ref="B92:F92" si="56" t="shared">B35/B$57</f>
        <v>3.8119376484573833E-3</v>
      </c>
      <c r="C92" s="14">
        <f si="56" t="shared"/>
        <v>8.3631141555948034E-4</v>
      </c>
      <c r="D92" s="14">
        <f si="56" t="shared"/>
        <v>1.0278588577011795E-4</v>
      </c>
      <c r="E92" s="14">
        <f si="56" t="shared"/>
        <v>0</v>
      </c>
      <c r="F92" s="14">
        <f si="56" t="shared"/>
        <v>1.4636461522944981E-3</v>
      </c>
      <c r="G92" s="14"/>
      <c r="H92" s="10">
        <v>0.5625</v>
      </c>
      <c r="I92" s="14">
        <f ref="I92:M92" si="57" t="shared">I35/I$57</f>
        <v>1.7727529961229344E-3</v>
      </c>
      <c r="J92" s="14">
        <f si="57" t="shared"/>
        <v>2.7692313181183563E-4</v>
      </c>
      <c r="K92" s="14">
        <f si="57" t="shared"/>
        <v>6.1997180191243704E-5</v>
      </c>
      <c r="L92" s="14">
        <f si="57" t="shared"/>
        <v>1.5606929507971585E-11</v>
      </c>
      <c r="M92" s="14">
        <f si="57" t="shared"/>
        <v>5.6343159732139209E-4</v>
      </c>
    </row>
    <row r="93" spans="1:13" x14ac:dyDescent="0.45">
      <c r="A93" s="10">
        <v>0.58333333333333337</v>
      </c>
      <c r="B93" s="14">
        <f ref="B93:F93" si="58" t="shared">B36/B$57</f>
        <v>2.4877923355091864E-3</v>
      </c>
      <c r="C93" s="14">
        <f si="58" t="shared"/>
        <v>5.5122079046557228E-4</v>
      </c>
      <c r="D93" s="14">
        <f si="58" t="shared"/>
        <v>7.6241329188489785E-5</v>
      </c>
      <c r="E93" s="14">
        <f si="58" t="shared"/>
        <v>0</v>
      </c>
      <c r="F93" s="14">
        <f si="58" t="shared"/>
        <v>9.6006817736021409E-4</v>
      </c>
      <c r="G93" s="14"/>
      <c r="H93" s="10">
        <v>0.58333333333333337</v>
      </c>
      <c r="I93" s="14">
        <f ref="I93:M93" si="59" t="shared">I36/I$57</f>
        <v>1.1474225195373076E-3</v>
      </c>
      <c r="J93" s="14">
        <f si="59" t="shared"/>
        <v>2.0662393361972999E-4</v>
      </c>
      <c r="K93" s="14">
        <f si="59" t="shared"/>
        <v>5.2944944157000459E-5</v>
      </c>
      <c r="L93" s="14">
        <f si="59" t="shared"/>
        <v>0</v>
      </c>
      <c r="M93" s="14">
        <f si="59" t="shared"/>
        <v>3.7426028968033632E-4</v>
      </c>
    </row>
    <row r="94" spans="1:13" x14ac:dyDescent="0.45">
      <c r="A94" s="10">
        <v>0.60416666666666663</v>
      </c>
      <c r="B94" s="14">
        <f ref="B94:F94" si="60" t="shared">B37/B$57</f>
        <v>1.6133660357539879E-3</v>
      </c>
      <c r="C94" s="14">
        <f si="60" t="shared"/>
        <v>3.6822484538480004E-4</v>
      </c>
      <c r="D94" s="14">
        <f si="60" t="shared"/>
        <v>5.5580017412691318E-5</v>
      </c>
      <c r="E94" s="14">
        <f si="60" t="shared"/>
        <v>0</v>
      </c>
      <c r="F94" s="14">
        <f si="60" t="shared"/>
        <v>6.2668201445617458E-4</v>
      </c>
      <c r="G94" s="14"/>
      <c r="H94" s="10">
        <v>0.60416666666666663</v>
      </c>
      <c r="I94" s="14">
        <f ref="I94:M94" si="61" t="shared">I37/I$57</f>
        <v>7.3878073758069116E-4</v>
      </c>
      <c r="J94" s="14">
        <f si="61" t="shared"/>
        <v>1.5873581124497792E-4</v>
      </c>
      <c r="K94" s="14">
        <f si="61" t="shared"/>
        <v>4.5900084527773301E-5</v>
      </c>
      <c r="L94" s="14">
        <f si="61" t="shared"/>
        <v>0</v>
      </c>
      <c r="M94" s="14">
        <f si="61" t="shared"/>
        <v>2.4984062584969047E-4</v>
      </c>
    </row>
    <row r="95" spans="1:13" x14ac:dyDescent="0.45">
      <c r="A95" s="10">
        <v>0.625</v>
      </c>
      <c r="B95" s="14">
        <f ref="B95:F95" si="62" t="shared">B38/B$57</f>
        <v>1.0343540160929288E-3</v>
      </c>
      <c r="C95" s="14">
        <f si="62" t="shared"/>
        <v>2.3344335124673418E-4</v>
      </c>
      <c r="D95" s="14">
        <f si="62" t="shared"/>
        <v>4.0231142791631609E-5</v>
      </c>
      <c r="E95" s="14">
        <f si="62" t="shared"/>
        <v>0</v>
      </c>
      <c r="F95" s="14">
        <f si="62" t="shared"/>
        <v>4.0359288821428655E-4</v>
      </c>
      <c r="G95" s="14"/>
      <c r="H95" s="10">
        <v>0.625</v>
      </c>
      <c r="I95" s="14">
        <f ref="I95:M95" si="63" t="shared">I38/I$57</f>
        <v>4.8034668962599123E-4</v>
      </c>
      <c r="J95" s="14">
        <f si="63" t="shared"/>
        <v>1.226280092267299E-4</v>
      </c>
      <c r="K95" s="14">
        <f si="63" t="shared"/>
        <v>3.8228255190443403E-5</v>
      </c>
      <c r="L95" s="14">
        <f si="63" t="shared"/>
        <v>0</v>
      </c>
      <c r="M95" s="14">
        <f si="63" t="shared"/>
        <v>1.6885137606708017E-4</v>
      </c>
    </row>
    <row r="96" spans="1:13" x14ac:dyDescent="0.45">
      <c r="A96" s="10">
        <v>0.64583333333333337</v>
      </c>
      <c r="B96" s="14">
        <f ref="B96:F96" si="64" t="shared">B39/B$57</f>
        <v>6.4419728951051354E-4</v>
      </c>
      <c r="C96" s="14">
        <f si="64" t="shared"/>
        <v>1.3158270608032598E-4</v>
      </c>
      <c r="D96" s="14">
        <f si="64" t="shared"/>
        <v>2.7942959879164191E-5</v>
      </c>
      <c r="E96" s="14">
        <f si="64" t="shared"/>
        <v>0</v>
      </c>
      <c r="F96" s="14">
        <f si="64" t="shared"/>
        <v>2.5110202301411498E-4</v>
      </c>
      <c r="G96" s="14"/>
      <c r="H96" s="10">
        <v>0.64583333333333337</v>
      </c>
      <c r="I96" s="14">
        <f ref="I96:M96" si="65" t="shared">I39/I$57</f>
        <v>3.3119260702592991E-4</v>
      </c>
      <c r="J96" s="14">
        <f si="65" t="shared"/>
        <v>9.3158749305898258E-5</v>
      </c>
      <c r="K96" s="14">
        <f si="65" t="shared"/>
        <v>2.9665850681641423E-5</v>
      </c>
      <c r="L96" s="14">
        <f si="65" t="shared"/>
        <v>0</v>
      </c>
      <c r="M96" s="14">
        <f si="65" t="shared"/>
        <v>1.190388573491044E-4</v>
      </c>
    </row>
    <row r="97" spans="1:13" x14ac:dyDescent="0.45">
      <c r="A97" s="10">
        <v>0.66666666666666663</v>
      </c>
      <c r="B97" s="14">
        <f ref="B97:F97" si="66" t="shared">B40/B$57</f>
        <v>3.7691890854582382E-4</v>
      </c>
      <c r="C97" s="14">
        <f si="66" t="shared"/>
        <v>6.2843538106125855E-5</v>
      </c>
      <c r="D97" s="14">
        <f si="66" t="shared"/>
        <v>1.7588518344707798E-5</v>
      </c>
      <c r="E97" s="14">
        <f si="66" t="shared"/>
        <v>0</v>
      </c>
      <c r="F97" s="14">
        <f si="66" t="shared"/>
        <v>1.4586448132337119E-4</v>
      </c>
      <c r="G97" s="14"/>
      <c r="H97" s="10">
        <v>0.66666666666666663</v>
      </c>
      <c r="I97" s="14">
        <f ref="I97:M97" si="67" t="shared">I40/I$57</f>
        <v>2.4919190648158197E-4</v>
      </c>
      <c r="J97" s="14">
        <f si="67" t="shared"/>
        <v>6.7609204972986646E-5</v>
      </c>
      <c r="K97" s="14">
        <f si="67" t="shared"/>
        <v>2.1211368947740873E-5</v>
      </c>
      <c r="L97" s="14">
        <f si="67" t="shared"/>
        <v>0</v>
      </c>
      <c r="M97" s="14">
        <f si="67" t="shared"/>
        <v>8.8725994823571802E-5</v>
      </c>
    </row>
    <row r="98" spans="1:13" x14ac:dyDescent="0.45">
      <c r="A98" s="10">
        <v>0.6875</v>
      </c>
      <c r="B98" s="14">
        <f ref="B98:F98" si="68" t="shared">B41/B$57</f>
        <v>1.9901331574182993E-4</v>
      </c>
      <c r="C98" s="14">
        <f si="68" t="shared"/>
        <v>2.453335441518737E-5</v>
      </c>
      <c r="D98" s="14">
        <f si="68" t="shared"/>
        <v>9.5434087590161471E-6</v>
      </c>
      <c r="E98" s="14">
        <f si="68" t="shared"/>
        <v>0</v>
      </c>
      <c r="F98" s="14">
        <f si="68" t="shared"/>
        <v>7.6140590613010131E-5</v>
      </c>
      <c r="G98" s="14"/>
      <c r="H98" s="10">
        <v>0.6875</v>
      </c>
      <c r="I98" s="14">
        <f ref="I98:M98" si="69" t="shared">I41/I$57</f>
        <v>1.9730981494625556E-4</v>
      </c>
      <c r="J98" s="14">
        <f si="69" t="shared"/>
        <v>4.5368422751975147E-5</v>
      </c>
      <c r="K98" s="14">
        <f si="69" t="shared"/>
        <v>1.3943631927361454E-5</v>
      </c>
      <c r="L98" s="14">
        <f si="69" t="shared"/>
        <v>0</v>
      </c>
      <c r="M98" s="14">
        <f si="69" t="shared"/>
        <v>6.7925595691295835E-5</v>
      </c>
    </row>
    <row r="99" spans="1:13" x14ac:dyDescent="0.45">
      <c r="A99" s="10">
        <v>0.70833333333333337</v>
      </c>
      <c r="B99" s="14">
        <f ref="B99:F99" si="70" t="shared">B42/B$57</f>
        <v>9.1358550968365321E-5</v>
      </c>
      <c r="C99" s="14">
        <f si="70" t="shared"/>
        <v>7.5677713799204125E-6</v>
      </c>
      <c r="D99" s="14">
        <f si="70" t="shared"/>
        <v>4.3070057026671631E-6</v>
      </c>
      <c r="E99" s="14">
        <f si="70" t="shared"/>
        <v>0</v>
      </c>
      <c r="F99" s="14">
        <f si="70" t="shared"/>
        <v>3.4494066544986602E-5</v>
      </c>
      <c r="G99" s="14"/>
      <c r="H99" s="10">
        <v>0.70833333333333337</v>
      </c>
      <c r="I99" s="14">
        <f ref="I99:M99" si="71" t="shared">I42/I$57</f>
        <v>1.5338879068185806E-4</v>
      </c>
      <c r="J99" s="14">
        <f si="71" t="shared"/>
        <v>2.7300542794670067E-5</v>
      </c>
      <c r="K99" s="14">
        <f si="71" t="shared"/>
        <v>8.4165178774151683E-6</v>
      </c>
      <c r="L99" s="14">
        <f si="71" t="shared"/>
        <v>0</v>
      </c>
      <c r="M99" s="14">
        <f si="71" t="shared"/>
        <v>5.0729470266640064E-5</v>
      </c>
    </row>
    <row r="100" spans="1:13" x14ac:dyDescent="0.45">
      <c r="A100" s="10">
        <v>0.72916666666666663</v>
      </c>
      <c r="B100" s="14">
        <f ref="B100:F100" si="72" t="shared">B43/B$57</f>
        <v>3.5317439786501203E-5</v>
      </c>
      <c r="C100" s="14">
        <f si="72" t="shared"/>
        <v>1.7687176786735391E-6</v>
      </c>
      <c r="D100" s="14">
        <f si="72" t="shared"/>
        <v>1.5719495825123194E-6</v>
      </c>
      <c r="E100" s="14">
        <f si="72" t="shared"/>
        <v>0</v>
      </c>
      <c r="F100" s="14">
        <f si="72" t="shared"/>
        <v>1.3158835670687827E-5</v>
      </c>
      <c r="G100" s="14"/>
      <c r="H100" s="10">
        <v>0.72916666666666663</v>
      </c>
      <c r="I100" s="14">
        <f ref="I100:M100" si="73" t="shared">I43/I$57</f>
        <v>1.107463429541228E-4</v>
      </c>
      <c r="J100" s="14">
        <f si="73" t="shared"/>
        <v>1.4351180025672291E-5</v>
      </c>
      <c r="K100" s="14">
        <f si="73" t="shared"/>
        <v>4.6384576558837077E-6</v>
      </c>
      <c r="L100" s="14">
        <f si="73" t="shared"/>
        <v>0</v>
      </c>
      <c r="M100" s="14">
        <f si="73" t="shared"/>
        <v>3.5334571071613742E-5</v>
      </c>
    </row>
    <row r="101" spans="1:13" x14ac:dyDescent="0.45">
      <c r="A101" s="10">
        <v>0.75</v>
      </c>
      <c r="B101" s="14">
        <f ref="B101:F101" si="74" t="shared">B44/B$57</f>
        <v>1.1159674253500845E-5</v>
      </c>
      <c r="C101" s="14">
        <f si="74" t="shared"/>
        <v>2.9386257129183935E-7</v>
      </c>
      <c r="D101" s="14">
        <f si="74" t="shared"/>
        <v>4.5062862221296011E-7</v>
      </c>
      <c r="E101" s="14">
        <f si="74" t="shared"/>
        <v>0</v>
      </c>
      <c r="F101" s="14">
        <f si="74" t="shared"/>
        <v>4.1062419581683035E-6</v>
      </c>
      <c r="G101" s="14"/>
      <c r="H101" s="10">
        <v>0.75</v>
      </c>
      <c r="I101" s="14">
        <f ref="I101:M101" si="75" t="shared">I44/I$57</f>
        <v>7.1785375324512983E-5</v>
      </c>
      <c r="J101" s="14">
        <f si="75" t="shared"/>
        <v>6.4413806386061733E-6</v>
      </c>
      <c r="K101" s="14">
        <f si="75" t="shared"/>
        <v>2.3049184978021146E-6</v>
      </c>
      <c r="L101" s="14">
        <f si="75" t="shared"/>
        <v>0</v>
      </c>
      <c r="M101" s="14">
        <f si="75" t="shared"/>
        <v>2.2250005225010046E-5</v>
      </c>
    </row>
    <row r="102" spans="1:13" x14ac:dyDescent="0.45">
      <c r="A102" s="10">
        <v>0.77083333333333337</v>
      </c>
      <c r="B102" s="14">
        <f ref="B102:F102" si="76" t="shared">B45/B$57</f>
        <v>2.7881372790431168E-6</v>
      </c>
      <c r="C102" s="14">
        <f si="76" t="shared"/>
        <v>3.0899356964618384E-8</v>
      </c>
      <c r="D102" s="14">
        <f si="76" t="shared"/>
        <v>9.7577576422419049E-8</v>
      </c>
      <c r="E102" s="14">
        <f si="76" t="shared"/>
        <v>0</v>
      </c>
      <c r="F102" s="14">
        <f si="76" t="shared"/>
        <v>1.0140976066822564E-6</v>
      </c>
      <c r="G102" s="14"/>
      <c r="H102" s="10">
        <v>0.77083333333333337</v>
      </c>
      <c r="I102" s="14">
        <f ref="I102:M102" si="77" t="shared">I45/I$57</f>
        <v>4.0858200280453945E-5</v>
      </c>
      <c r="J102" s="14">
        <f si="77" t="shared"/>
        <v>2.4144208665675788E-6</v>
      </c>
      <c r="K102" s="14">
        <f si="77" t="shared"/>
        <v>1.0130755085394456E-6</v>
      </c>
      <c r="L102" s="14">
        <f si="77" t="shared"/>
        <v>0</v>
      </c>
      <c r="M102" s="14">
        <f si="77" t="shared"/>
        <v>1.2382500804019951E-5</v>
      </c>
    </row>
    <row r="103" spans="1:13" x14ac:dyDescent="0.45">
      <c r="A103" s="10">
        <v>0.79166666666666663</v>
      </c>
      <c r="B103" s="14">
        <f ref="B103:F103" si="78" t="shared">B46/B$57</f>
        <v>5.2709896977103977E-7</v>
      </c>
      <c r="C103" s="14">
        <f si="78" t="shared"/>
        <v>1.5449678482309196E-9</v>
      </c>
      <c r="D103" s="14">
        <f si="78" t="shared"/>
        <v>1.500244089785303E-8</v>
      </c>
      <c r="E103" s="14">
        <f si="78" t="shared"/>
        <v>0</v>
      </c>
      <c r="F103" s="14">
        <f si="78" t="shared"/>
        <v>1.8963365117325974E-7</v>
      </c>
      <c r="G103" s="14"/>
      <c r="H103" s="10">
        <v>0.79166666666666663</v>
      </c>
      <c r="I103" s="14">
        <f ref="I103:M103" si="79" t="shared">I46/I$57</f>
        <v>2.0039865099672676E-5</v>
      </c>
      <c r="J103" s="14">
        <f si="79" t="shared"/>
        <v>7.3733427834691839E-7</v>
      </c>
      <c r="K103" s="14">
        <f si="79" t="shared"/>
        <v>3.8433258545136931E-7</v>
      </c>
      <c r="L103" s="14">
        <f si="79" t="shared"/>
        <v>0</v>
      </c>
      <c r="M103" s="14">
        <f si="79" t="shared"/>
        <v>5.9695733156128498E-6</v>
      </c>
    </row>
    <row r="104" spans="1:13" x14ac:dyDescent="0.45">
      <c r="A104" s="10">
        <v>0.8125</v>
      </c>
      <c r="B104" s="14">
        <f ref="B104:F104" si="80" t="shared">B47/B$57</f>
        <v>7.0495727245492304E-8</v>
      </c>
      <c r="C104" s="14">
        <f si="80" t="shared"/>
        <v>0</v>
      </c>
      <c r="D104" s="14">
        <f si="80" t="shared"/>
        <v>1.4597896044797786E-9</v>
      </c>
      <c r="E104" s="14">
        <f si="80" t="shared"/>
        <v>0</v>
      </c>
      <c r="F104" s="14">
        <f si="80" t="shared"/>
        <v>2.5086351167330713E-8</v>
      </c>
      <c r="G104" s="14"/>
      <c r="H104" s="10">
        <v>0.8125</v>
      </c>
      <c r="I104" s="14">
        <f ref="I104:M104" si="81" t="shared">I47/I$57</f>
        <v>8.3041293085834251E-6</v>
      </c>
      <c r="J104" s="14">
        <f si="81" t="shared"/>
        <v>1.7783545247350987E-7</v>
      </c>
      <c r="K104" s="14">
        <f si="81" t="shared"/>
        <v>1.22245235243188E-7</v>
      </c>
      <c r="L104" s="14">
        <f si="81" t="shared"/>
        <v>0</v>
      </c>
      <c r="M104" s="14">
        <f si="81" t="shared"/>
        <v>2.4413972286833004E-6</v>
      </c>
    </row>
    <row r="105" spans="1:13" x14ac:dyDescent="0.45">
      <c r="A105" s="10">
        <v>0.83333333333333337</v>
      </c>
      <c r="B105" s="14">
        <f ref="B105:F105" si="82" t="shared">B48/B$57</f>
        <v>5.9079366578437719E-9</v>
      </c>
      <c r="C105" s="14">
        <f si="82" t="shared"/>
        <v>0</v>
      </c>
      <c r="D105" s="14">
        <f si="82" t="shared"/>
        <v>6.7587386627345473E-11</v>
      </c>
      <c r="E105" s="14">
        <f si="82" t="shared"/>
        <v>0</v>
      </c>
      <c r="F105" s="14">
        <f si="82" t="shared"/>
        <v>2.0771341897762035E-9</v>
      </c>
      <c r="G105" s="14"/>
      <c r="H105" s="10">
        <v>0.83333333333333337</v>
      </c>
      <c r="I105" s="14">
        <f ref="I105:M105" si="83" t="shared">I48/I$57</f>
        <v>2.8399161401881398E-6</v>
      </c>
      <c r="J105" s="14">
        <f si="83" t="shared"/>
        <v>3.2431664815071993E-8</v>
      </c>
      <c r="K105" s="14">
        <f si="83" t="shared"/>
        <v>3.1476036317224819E-8</v>
      </c>
      <c r="L105" s="14">
        <f si="83" t="shared"/>
        <v>0</v>
      </c>
      <c r="M105" s="14">
        <f si="83" t="shared"/>
        <v>8.2661074976134125E-7</v>
      </c>
    </row>
    <row r="106" spans="1:13" x14ac:dyDescent="0.45">
      <c r="A106" s="10">
        <v>0.85416666666666663</v>
      </c>
      <c r="B106" s="14">
        <f ref="B106:F106" si="84" t="shared">B49/B$57</f>
        <v>2.3139138408243489E-10</v>
      </c>
      <c r="C106" s="14">
        <f si="84" t="shared"/>
        <v>0</v>
      </c>
      <c r="D106" s="14">
        <f si="84" t="shared"/>
        <v>0</v>
      </c>
      <c r="E106" s="14">
        <f si="84" t="shared"/>
        <v>0</v>
      </c>
      <c r="F106" s="14">
        <f si="84" t="shared"/>
        <v>8.0132998407856533E-11</v>
      </c>
      <c r="G106" s="14"/>
      <c r="H106" s="10">
        <v>0.85416666666666663</v>
      </c>
      <c r="I106" s="14">
        <f ref="I106:M106" si="85" t="shared">I49/I$57</f>
        <v>7.7779952905512975E-7</v>
      </c>
      <c r="J106" s="14">
        <f si="85" t="shared"/>
        <v>4.1791646978155319E-9</v>
      </c>
      <c r="K106" s="14">
        <f si="85" t="shared"/>
        <v>6.266535876866153E-9</v>
      </c>
      <c r="L106" s="14">
        <f si="85" t="shared"/>
        <v>0</v>
      </c>
      <c r="M106" s="14">
        <f si="85" t="shared"/>
        <v>2.2466516574236564E-7</v>
      </c>
    </row>
    <row r="107" spans="1:13" x14ac:dyDescent="0.45">
      <c r="A107" s="10">
        <v>0.875</v>
      </c>
      <c r="B107" s="14">
        <f ref="B107:F107" si="86" t="shared">B50/B$57</f>
        <v>0</v>
      </c>
      <c r="C107" s="14">
        <f si="86" t="shared"/>
        <v>0</v>
      </c>
      <c r="D107" s="14">
        <f si="86" t="shared"/>
        <v>0</v>
      </c>
      <c r="E107" s="14">
        <f si="86" t="shared"/>
        <v>0</v>
      </c>
      <c r="F107" s="14">
        <f si="86" t="shared"/>
        <v>0</v>
      </c>
      <c r="G107" s="14"/>
      <c r="H107" s="10">
        <v>0.875</v>
      </c>
      <c r="I107" s="14">
        <f ref="I107:M107" si="87" t="shared">I50/I$57</f>
        <v>1.6358793531159623E-7</v>
      </c>
      <c r="J107" s="14">
        <f si="87" t="shared"/>
        <v>3.3669000586630669E-10</v>
      </c>
      <c r="K107" s="14">
        <f si="87" t="shared"/>
        <v>9.0131076783645046E-10</v>
      </c>
      <c r="L107" s="14">
        <f si="87" t="shared"/>
        <v>0</v>
      </c>
      <c r="M107" s="14">
        <f si="87" t="shared"/>
        <v>4.697364733479286E-8</v>
      </c>
    </row>
    <row r="108" spans="1:13" x14ac:dyDescent="0.45">
      <c r="A108" s="10">
        <v>0.89583333333333337</v>
      </c>
      <c r="B108" s="14">
        <f ref="B108:F108" si="88" t="shared">B51/B$57</f>
        <v>0</v>
      </c>
      <c r="C108" s="14">
        <f si="88" t="shared"/>
        <v>0</v>
      </c>
      <c r="D108" s="14">
        <f si="88" t="shared"/>
        <v>0</v>
      </c>
      <c r="E108" s="14">
        <f si="88" t="shared"/>
        <v>0</v>
      </c>
      <c r="F108" s="14">
        <f si="88" t="shared"/>
        <v>0</v>
      </c>
      <c r="G108" s="14"/>
      <c r="H108" s="10">
        <v>0.89583333333333337</v>
      </c>
      <c r="I108" s="14">
        <f ref="I108:M108" si="89" t="shared">I51/I$57</f>
        <v>2.4756894511655477E-8</v>
      </c>
      <c r="J108" s="14">
        <f si="89" t="shared"/>
        <v>1.2625875219986501E-11</v>
      </c>
      <c r="K108" s="14">
        <f si="89" t="shared"/>
        <v>8.3073504702707105E-11</v>
      </c>
      <c r="L108" s="14">
        <f si="89" t="shared"/>
        <v>0</v>
      </c>
      <c r="M108" s="14">
        <f si="89" t="shared"/>
        <v>7.0761879005755352E-9</v>
      </c>
    </row>
    <row r="109" spans="1:13" x14ac:dyDescent="0.45">
      <c r="A109" s="10">
        <v>0.91666666666666663</v>
      </c>
      <c r="B109" s="14">
        <f ref="B109:F109" si="90" t="shared">B52/B$57</f>
        <v>0</v>
      </c>
      <c r="C109" s="14">
        <f si="90" t="shared"/>
        <v>0</v>
      </c>
      <c r="D109" s="14">
        <f si="90" t="shared"/>
        <v>0</v>
      </c>
      <c r="E109" s="14">
        <f si="90" t="shared"/>
        <v>0</v>
      </c>
      <c r="F109" s="14">
        <f si="90" t="shared"/>
        <v>0</v>
      </c>
      <c r="G109" s="14"/>
      <c r="H109" s="10">
        <v>0.91666666666666663</v>
      </c>
      <c r="I109" s="14">
        <f ref="I109:M109" si="91" t="shared">I52/I$57</f>
        <v>2.396237485167063E-9</v>
      </c>
      <c r="J109" s="14">
        <f si="91" t="shared"/>
        <v>0</v>
      </c>
      <c r="K109" s="14">
        <f si="91" t="shared"/>
        <v>3.6758187921551811E-12</v>
      </c>
      <c r="L109" s="14">
        <f si="91" t="shared"/>
        <v>0</v>
      </c>
      <c r="M109" s="14">
        <f si="91" t="shared"/>
        <v>6.8241812088082887E-10</v>
      </c>
    </row>
    <row r="110" spans="1:13" x14ac:dyDescent="0.45">
      <c r="A110" s="10">
        <v>0.9375</v>
      </c>
      <c r="B110" s="14">
        <f ref="B110:F110" si="92" t="shared">B53/B$57</f>
        <v>0</v>
      </c>
      <c r="C110" s="14">
        <f si="92" t="shared"/>
        <v>0</v>
      </c>
      <c r="D110" s="14">
        <f si="92" t="shared"/>
        <v>0</v>
      </c>
      <c r="E110" s="14">
        <f si="92" t="shared"/>
        <v>0</v>
      </c>
      <c r="F110" s="14">
        <f si="92" t="shared"/>
        <v>0</v>
      </c>
      <c r="G110" s="14"/>
      <c r="H110" s="10">
        <v>0.9375</v>
      </c>
      <c r="I110" s="14">
        <f ref="I110:M110" si="93" t="shared">I53/I$57</f>
        <v>1.1128910130993415E-10</v>
      </c>
      <c r="J110" s="14">
        <f si="93" t="shared"/>
        <v>0</v>
      </c>
      <c r="K110" s="14">
        <f si="93" t="shared"/>
        <v>0</v>
      </c>
      <c r="L110" s="14">
        <f si="93" t="shared"/>
        <v>0</v>
      </c>
      <c r="M110" s="14">
        <f si="93" t="shared"/>
        <v>3.1600839126368982E-11</v>
      </c>
    </row>
    <row r="111" spans="1:13" x14ac:dyDescent="0.45">
      <c r="A111" s="10">
        <v>0.95833333333333337</v>
      </c>
      <c r="B111" s="14">
        <f ref="B111:F111" si="94" t="shared">B54/B$57</f>
        <v>0</v>
      </c>
      <c r="C111" s="14">
        <f si="94" t="shared"/>
        <v>0</v>
      </c>
      <c r="D111" s="14">
        <f si="94" t="shared"/>
        <v>0</v>
      </c>
      <c r="E111" s="14">
        <f si="94" t="shared"/>
        <v>0</v>
      </c>
      <c r="F111" s="14">
        <f si="94" t="shared"/>
        <v>0</v>
      </c>
      <c r="G111" s="14"/>
      <c r="H111" s="10">
        <v>0.95833333333333337</v>
      </c>
      <c r="I111" s="14">
        <f ref="I111:M111" si="95" t="shared">I54/I$57</f>
        <v>0</v>
      </c>
      <c r="J111" s="14">
        <f si="95" t="shared"/>
        <v>0</v>
      </c>
      <c r="K111" s="14">
        <f si="95" t="shared"/>
        <v>0</v>
      </c>
      <c r="L111" s="14">
        <f si="95" t="shared"/>
        <v>0</v>
      </c>
      <c r="M111" s="14">
        <f si="95" t="shared"/>
        <v>0</v>
      </c>
    </row>
    <row r="112" spans="1:13" x14ac:dyDescent="0.45">
      <c r="A112" s="10">
        <v>0.97916666666666663</v>
      </c>
      <c r="B112" s="14">
        <f ref="B112:F112" si="96" t="shared">B55/B$57</f>
        <v>0</v>
      </c>
      <c r="C112" s="14">
        <f si="96" t="shared"/>
        <v>0</v>
      </c>
      <c r="D112" s="14">
        <f si="96" t="shared"/>
        <v>0</v>
      </c>
      <c r="E112" s="14">
        <f si="96" t="shared"/>
        <v>0</v>
      </c>
      <c r="F112" s="14">
        <f si="96" t="shared"/>
        <v>0</v>
      </c>
      <c r="G112" s="14"/>
      <c r="H112" s="10">
        <v>0.97916666666666663</v>
      </c>
      <c r="I112" s="14">
        <f ref="I112:M112" si="97" t="shared">I55/I$57</f>
        <v>0</v>
      </c>
      <c r="J112" s="14">
        <f si="97" t="shared"/>
        <v>0</v>
      </c>
      <c r="K112" s="14">
        <f si="97" t="shared"/>
        <v>0</v>
      </c>
      <c r="L112" s="14">
        <f si="97" t="shared"/>
        <v>0</v>
      </c>
      <c r="M112" s="14">
        <f si="97" t="shared"/>
        <v>0</v>
      </c>
    </row>
    <row ht="14.65" r="113" spans="1:13" thickBot="1" x14ac:dyDescent="0.5">
      <c r="A113" s="11" t="s">
        <v>13</v>
      </c>
      <c r="B113" s="14">
        <f ref="B113:F113" si="98" t="shared">B56/B$57</f>
        <v>0</v>
      </c>
      <c r="C113" s="14">
        <f si="98" t="shared"/>
        <v>0</v>
      </c>
      <c r="D113" s="14">
        <f si="98" t="shared"/>
        <v>0</v>
      </c>
      <c r="E113" s="14">
        <f si="98" t="shared"/>
        <v>0</v>
      </c>
      <c r="F113" s="14">
        <f si="98" t="shared"/>
        <v>0</v>
      </c>
      <c r="G113" s="14"/>
      <c r="H113" s="11" t="s">
        <v>13</v>
      </c>
      <c r="I113" s="14">
        <f ref="I113:M113" si="99" t="shared">I56/I$57</f>
        <v>0</v>
      </c>
      <c r="J113" s="14">
        <f si="99" t="shared"/>
        <v>0</v>
      </c>
      <c r="K113" s="14">
        <f si="99" t="shared"/>
        <v>0</v>
      </c>
      <c r="L113" s="14">
        <f si="99" t="shared"/>
        <v>0</v>
      </c>
      <c r="M113" s="14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58"/>
  <sheetViews>
    <sheetView workbookViewId="0">
      <selection activeCell="M8" sqref="M8:T58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25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0.0</v>
      </c>
      <c r="C8" s="5" t="n">
        <v>0.0</v>
      </c>
      <c r="D8" s="5" t="n">
        <v>0.0</v>
      </c>
      <c r="E8" s="5" t="n">
        <v>0.0</v>
      </c>
      <c r="F8" s="5" t="n">
        <v>0.0</v>
      </c>
      <c r="G8" s="5" t="n">
        <v>0.0</v>
      </c>
      <c r="H8" s="5" t="n">
        <v>0.0</v>
      </c>
      <c r="I8" s="5" t="n">
        <v>0.0</v>
      </c>
      <c r="J8" s="5">
        <f>SUM(B8:I8)</f>
        <v>0</v>
      </c>
      <c r="L8" t="s">
        <v>5</v>
      </c>
      <c r="M8" s="8" t="n">
        <v>440.0</v>
      </c>
      <c r="N8" s="8" t="n">
        <v>75.0</v>
      </c>
      <c r="O8" s="8" t="n">
        <v>0.0</v>
      </c>
      <c r="P8" s="8" t="n">
        <v>0.0</v>
      </c>
      <c r="Q8" s="8" t="n">
        <v>41.0</v>
      </c>
      <c r="R8" s="8" t="n">
        <v>18.0</v>
      </c>
      <c r="S8" s="8" t="n">
        <v>0.0</v>
      </c>
      <c r="T8" s="8" t="n">
        <v>0.0</v>
      </c>
      <c r="U8">
        <f>SUM(M8:T8)</f>
        <v>594</v>
      </c>
      <c r="X8" s="5"/>
      <c r="Y8" s="5"/>
    </row>
    <row r="9" spans="1:25" x14ac:dyDescent="0.45">
      <c r="A9" s="10">
        <v>0.125</v>
      </c>
      <c r="B9" s="5" t="n">
        <v>1235.2292762190161</v>
      </c>
      <c r="C9" s="5" t="n">
        <v>62.11612081522921</v>
      </c>
      <c r="D9" s="5" t="n">
        <v>0.48156348920504694</v>
      </c>
      <c r="E9" s="5" t="n">
        <v>44.52697706825259</v>
      </c>
      <c r="F9" s="5" t="n">
        <v>44.19839460515111</v>
      </c>
      <c r="G9" s="5" t="n">
        <v>0.0</v>
      </c>
      <c r="H9" s="5" t="n">
        <v>0.002891888187616863</v>
      </c>
      <c r="I9" s="5" t="n">
        <v>0.0</v>
      </c>
      <c r="J9" s="5">
        <f ref="J9:J58" si="0" t="shared">SUM(B9:I9)</f>
        <v>1386.5552240850416</v>
      </c>
      <c r="L9" s="10">
        <v>0.125</v>
      </c>
      <c r="M9" s="8" t="n">
        <v>1683.9903802871704</v>
      </c>
      <c r="N9" s="8" t="n">
        <v>110.53390693664551</v>
      </c>
      <c r="O9" s="8" t="n">
        <v>0.0</v>
      </c>
      <c r="P9" s="8" t="n">
        <v>0.0</v>
      </c>
      <c r="Q9" s="8" t="n">
        <v>36.452781677246094</v>
      </c>
      <c r="R9" s="8" t="n">
        <v>12.384594917297363</v>
      </c>
      <c r="S9" s="8" t="n">
        <v>0.0</v>
      </c>
      <c r="T9" s="8" t="n">
        <v>0.0</v>
      </c>
      <c r="U9">
        <f ref="U9:U58" si="1" t="shared">SUM(M9:T9)</f>
        <v>1781.4626760482788</v>
      </c>
      <c r="X9" s="5"/>
      <c r="Y9" s="5"/>
    </row>
    <row r="10" spans="1:25" x14ac:dyDescent="0.45">
      <c r="A10" s="10">
        <v>0.14583333333333334</v>
      </c>
      <c r="B10" s="5" t="n">
        <v>3102.0078476567246</v>
      </c>
      <c r="C10" s="5" t="n">
        <v>147.56136203940142</v>
      </c>
      <c r="D10" s="5" t="n">
        <v>1.8357025269256855</v>
      </c>
      <c r="E10" s="5" t="n">
        <v>95.41008229528587</v>
      </c>
      <c r="F10" s="5" t="n">
        <v>80.57147403560717</v>
      </c>
      <c r="G10" s="5" t="n">
        <v>0.0</v>
      </c>
      <c r="H10" s="5" t="n">
        <v>0.027472937782360204</v>
      </c>
      <c r="I10" s="5" t="n">
        <v>0.0</v>
      </c>
      <c r="J10" s="5">
        <f si="0" t="shared"/>
        <v>3427.4139414917272</v>
      </c>
      <c r="L10" s="10">
        <v>0.14583333333333334</v>
      </c>
      <c r="M10" s="8" t="n">
        <v>3136.0632944107056</v>
      </c>
      <c r="N10" s="8" t="n">
        <v>163.8673448562622</v>
      </c>
      <c r="O10" s="8" t="n">
        <v>0.0</v>
      </c>
      <c r="P10" s="8" t="n">
        <v>0.0</v>
      </c>
      <c r="Q10" s="8" t="n">
        <v>37.19733905792236</v>
      </c>
      <c r="R10" s="8" t="n">
        <v>7.929838180541992</v>
      </c>
      <c r="S10" s="8" t="n">
        <v>0.0</v>
      </c>
      <c r="T10" s="8" t="n">
        <v>0.0</v>
      </c>
      <c r="U10">
        <f si="1" t="shared"/>
        <v>3222.7142400741577</v>
      </c>
      <c r="X10" s="5"/>
      <c r="Y10" s="5"/>
    </row>
    <row r="11" spans="1:25" x14ac:dyDescent="0.45">
      <c r="A11" s="10">
        <v>0.16666666666666666</v>
      </c>
      <c r="B11" s="5" t="n">
        <v>6351.400362081925</v>
      </c>
      <c r="C11" s="5" t="n">
        <v>283.11909042313295</v>
      </c>
      <c r="D11" s="5" t="n">
        <v>5.60840312482323</v>
      </c>
      <c r="E11" s="5" t="n">
        <v>157.01278329466362</v>
      </c>
      <c r="F11" s="5" t="n">
        <v>105.03695853495265</v>
      </c>
      <c r="G11" s="5" t="n">
        <v>0.0</v>
      </c>
      <c r="H11" s="5" t="n">
        <v>0.16483762669416122</v>
      </c>
      <c r="I11" s="5" t="n">
        <v>0.0</v>
      </c>
      <c r="J11" s="5">
        <f si="0" t="shared"/>
        <v>6902.3424350861906</v>
      </c>
      <c r="L11" s="10">
        <v>0.16666666666666666</v>
      </c>
      <c r="M11" s="8" t="n">
        <v>5224.366753578186</v>
      </c>
      <c r="N11" s="8" t="n">
        <v>262.5176601409912</v>
      </c>
      <c r="O11" s="8" t="n">
        <v>0.0</v>
      </c>
      <c r="P11" s="8" t="n">
        <v>0.0</v>
      </c>
      <c r="Q11" s="8" t="n">
        <v>49.79849624633789</v>
      </c>
      <c r="R11" s="8" t="n">
        <v>5.477938652038574</v>
      </c>
      <c r="S11" s="8" t="n">
        <v>0.0</v>
      </c>
      <c r="T11" s="8" t="n">
        <v>0.0</v>
      </c>
      <c r="U11">
        <f si="1" t="shared"/>
        <v>5402.3388357162476</v>
      </c>
      <c r="X11" s="5"/>
      <c r="Y11" s="5"/>
    </row>
    <row r="12" spans="1:25" x14ac:dyDescent="0.45">
      <c r="A12" s="10">
        <v>0.1875</v>
      </c>
      <c r="B12" s="5" t="n">
        <v>11872.638688525776</v>
      </c>
      <c r="C12" s="5" t="n">
        <v>505.8680316301974</v>
      </c>
      <c r="D12" s="5" t="n">
        <v>14.58710220166041</v>
      </c>
      <c r="E12" s="5" t="n">
        <v>233.70005140781674</v>
      </c>
      <c r="F12" s="5" t="n">
        <v>121.10927632255135</v>
      </c>
      <c r="G12" s="5" t="n">
        <v>6.22355950836935E-5</v>
      </c>
      <c r="H12" s="5" t="n">
        <v>0.7005599134501851</v>
      </c>
      <c r="I12" s="5" t="n">
        <v>0.0</v>
      </c>
      <c r="J12" s="5">
        <f si="0" t="shared"/>
        <v>12748.603772237047</v>
      </c>
      <c r="L12" s="10">
        <v>0.1875</v>
      </c>
      <c r="M12" s="8" t="n">
        <v>8693.727645874023</v>
      </c>
      <c r="N12" s="8" t="n">
        <v>450.08521938323975</v>
      </c>
      <c r="O12" s="8" t="n">
        <v>0.0</v>
      </c>
      <c r="P12" s="8" t="n">
        <v>0.0</v>
      </c>
      <c r="Q12" s="8" t="n">
        <v>83.28783512115479</v>
      </c>
      <c r="R12" s="8" t="n">
        <v>5.535073280334473</v>
      </c>
      <c r="S12" s="8" t="n">
        <v>0.0</v>
      </c>
      <c r="T12" s="8" t="n">
        <v>0.0</v>
      </c>
      <c r="U12">
        <f si="1" t="shared"/>
        <v>9140.3222332000732</v>
      </c>
    </row>
    <row r="13" spans="1:25" x14ac:dyDescent="0.45">
      <c r="A13" s="10">
        <v>0.20833333333333334</v>
      </c>
      <c r="B13" s="5" t="n">
        <v>20492.25189139021</v>
      </c>
      <c r="C13" s="5" t="n">
        <v>867.0260893047544</v>
      </c>
      <c r="D13" s="5" t="n">
        <v>32.8834222286264</v>
      </c>
      <c r="E13" s="5" t="n">
        <v>332.145722913266</v>
      </c>
      <c r="F13" s="5" t="n">
        <v>140.97688351621323</v>
      </c>
      <c r="G13" s="5" t="n">
        <v>0.0012447119016738698</v>
      </c>
      <c r="H13" s="5" t="n">
        <v>2.2417917230405924</v>
      </c>
      <c r="I13" s="5" t="n">
        <v>0.0</v>
      </c>
      <c r="J13" s="5">
        <f si="0" t="shared"/>
        <v>21867.527045788011</v>
      </c>
      <c r="L13" s="10">
        <v>0.20833333333333334</v>
      </c>
      <c r="M13" s="8" t="n">
        <v>14447.737849235535</v>
      </c>
      <c r="N13" s="8" t="n">
        <v>782.3252830505371</v>
      </c>
      <c r="O13" s="8" t="n">
        <v>0.0</v>
      </c>
      <c r="P13" s="8" t="n">
        <v>0.0</v>
      </c>
      <c r="Q13" s="8" t="n">
        <v>149.01068592071533</v>
      </c>
      <c r="R13" s="8" t="n">
        <v>8.50489616394043</v>
      </c>
      <c r="S13" s="8" t="n">
        <v>0.0</v>
      </c>
      <c r="T13" s="8" t="n">
        <v>0.0</v>
      </c>
      <c r="U13">
        <f si="1" t="shared"/>
        <v>15428.332050323486</v>
      </c>
    </row>
    <row r="14" spans="1:25" x14ac:dyDescent="0.45">
      <c r="A14" s="10">
        <v>0.22916666666666666</v>
      </c>
      <c r="B14" s="5" t="n">
        <v>32491.058281347472</v>
      </c>
      <c r="C14" s="5" t="n">
        <v>1419.0365838890887</v>
      </c>
      <c r="D14" s="5" t="n">
        <v>64.8729877563187</v>
      </c>
      <c r="E14" s="5" t="n">
        <v>456.7966128619328</v>
      </c>
      <c r="F14" s="5" t="n">
        <v>180.7951981295519</v>
      </c>
      <c r="G14" s="5" t="n">
        <v>0.011824763065901764</v>
      </c>
      <c r="H14" s="5" t="n">
        <v>5.604479307601482</v>
      </c>
      <c r="I14" s="5" t="n">
        <v>0.0</v>
      </c>
      <c r="J14" s="5">
        <f si="0" t="shared"/>
        <v>34618.175968055031</v>
      </c>
      <c r="L14" s="10">
        <v>0.22916666666666666</v>
      </c>
      <c r="M14" s="8" t="n">
        <v>23080.537887573242</v>
      </c>
      <c r="N14" s="8" t="n">
        <v>1305.9390411376953</v>
      </c>
      <c r="O14" s="8" t="n">
        <v>0.0</v>
      </c>
      <c r="P14" s="8" t="n">
        <v>0.0</v>
      </c>
      <c r="Q14" s="8" t="n">
        <v>257.23252868652344</v>
      </c>
      <c r="R14" s="8" t="n">
        <v>14.812424659729004</v>
      </c>
      <c r="S14" s="8" t="n">
        <v>0.0</v>
      </c>
      <c r="T14" s="8" t="n">
        <v>0.0</v>
      </c>
      <c r="U14">
        <f si="1" t="shared"/>
        <v>24928.283599853516</v>
      </c>
    </row>
    <row r="15" spans="1:25" x14ac:dyDescent="0.45">
      <c r="A15" s="10">
        <v>0.25</v>
      </c>
      <c r="B15" s="5" t="n">
        <v>46984.55861880636</v>
      </c>
      <c r="C15" s="5" t="n">
        <v>2180.384550176878</v>
      </c>
      <c r="D15" s="5" t="n">
        <v>112.68761247045693</v>
      </c>
      <c r="E15" s="5" t="n">
        <v>599.5442729631618</v>
      </c>
      <c r="F15" s="5" t="n">
        <v>251.56531558112687</v>
      </c>
      <c r="G15" s="5" t="n">
        <v>0.07094857839541059</v>
      </c>
      <c r="H15" s="5" t="n">
        <v>11.208958615202963</v>
      </c>
      <c r="I15" s="5" t="n">
        <v>0.0</v>
      </c>
      <c r="J15" s="5">
        <f si="0" t="shared"/>
        <v>50140.020277191579</v>
      </c>
      <c r="L15" s="10">
        <v>0.25</v>
      </c>
      <c r="M15" s="8" t="n">
        <v>34253.14916706085</v>
      </c>
      <c r="N15" s="8" t="n">
        <v>2022.5866785049438</v>
      </c>
      <c r="O15" s="8" t="n">
        <v>0.0</v>
      </c>
      <c r="P15" s="8" t="n">
        <v>0.0</v>
      </c>
      <c r="Q15" s="8" t="n">
        <v>410.12889099121094</v>
      </c>
      <c r="R15" s="8" t="n">
        <v>24.626022338867188</v>
      </c>
      <c r="S15" s="8" t="n">
        <v>0.0</v>
      </c>
      <c r="T15" s="8" t="n">
        <v>0.0</v>
      </c>
      <c r="U15">
        <f si="1" t="shared"/>
        <v>37289.675906181335</v>
      </c>
    </row>
    <row r="16" spans="1:25" x14ac:dyDescent="0.45">
      <c r="A16" s="10">
        <v>0.27083333333333331</v>
      </c>
      <c r="B16" s="5" t="n">
        <v>61588.91698317576</v>
      </c>
      <c r="C16" s="5" t="n">
        <v>3094.5647854855415</v>
      </c>
      <c r="D16" s="5" t="n">
        <v>173.2952554050162</v>
      </c>
      <c r="E16" s="5" t="n">
        <v>735.1453862324345</v>
      </c>
      <c r="F16" s="5" t="n">
        <v>350.9828971292057</v>
      </c>
      <c r="G16" s="5" t="n">
        <v>0.30153145818049504</v>
      </c>
      <c r="H16" s="5" t="n">
        <v>18.21463609597047</v>
      </c>
      <c r="I16" s="5" t="n">
        <v>0.0</v>
      </c>
      <c r="J16" s="5">
        <f si="0" t="shared"/>
        <v>65961.421474982111</v>
      </c>
      <c r="L16" s="10">
        <v>0.27083333333333331</v>
      </c>
      <c r="M16" s="8" t="n">
        <v>46305.81143665314</v>
      </c>
      <c r="N16" s="8" t="n">
        <v>2856.236207008362</v>
      </c>
      <c r="O16" s="8" t="n">
        <v>0.0</v>
      </c>
      <c r="P16" s="8" t="n">
        <v>0.0</v>
      </c>
      <c r="Q16" s="8" t="n">
        <v>594.1357536315918</v>
      </c>
      <c r="R16" s="8" t="n">
        <v>37.28354835510254</v>
      </c>
      <c r="S16" s="8" t="n">
        <v>0.0</v>
      </c>
      <c r="T16" s="8" t="n">
        <v>0.0</v>
      </c>
      <c r="U16">
        <f si="1" t="shared"/>
        <v>50706.782267570496</v>
      </c>
    </row>
    <row r="17" spans="1:21" x14ac:dyDescent="0.45">
      <c r="A17" s="10">
        <v>0.29166666666666669</v>
      </c>
      <c r="B17" s="5" t="n">
        <v>72858.46548433756</v>
      </c>
      <c r="C17" s="5" t="n">
        <v>4015.4020216378567</v>
      </c>
      <c r="D17" s="5" t="n">
        <v>237.4933601134637</v>
      </c>
      <c r="E17" s="5" t="n">
        <v>831.0671173175449</v>
      </c>
      <c r="F17" s="5" t="n">
        <v>461.5737177183678</v>
      </c>
      <c r="G17" s="5" t="n">
        <v>0.9652508711256376</v>
      </c>
      <c r="H17" s="5" t="n">
        <v>24.287643924919458</v>
      </c>
      <c r="I17" s="5" t="n">
        <v>0.0</v>
      </c>
      <c r="J17" s="5">
        <f si="0" t="shared"/>
        <v>78429.254595920851</v>
      </c>
      <c r="L17" s="10">
        <v>0.29166666666666669</v>
      </c>
      <c r="M17" s="8" t="n">
        <v>56521.263080596924</v>
      </c>
      <c r="N17" s="8" t="n">
        <v>3650.8173637390137</v>
      </c>
      <c r="O17" s="8" t="n">
        <v>0.0</v>
      </c>
      <c r="P17" s="8" t="n">
        <v>0.0</v>
      </c>
      <c r="Q17" s="8" t="n">
        <v>777.4295701980591</v>
      </c>
      <c r="R17" s="8" t="n">
        <v>50.90053939819336</v>
      </c>
      <c r="S17" s="8" t="n">
        <v>0.0</v>
      </c>
      <c r="T17" s="8" t="n">
        <v>0.0</v>
      </c>
      <c r="U17">
        <f si="1" t="shared"/>
        <v>62178.999645233154</v>
      </c>
    </row>
    <row r="18" spans="1:21" x14ac:dyDescent="0.45">
      <c r="A18" s="10">
        <v>0.3125</v>
      </c>
      <c r="B18" s="5" t="n">
        <v>77583.17217614279</v>
      </c>
      <c r="C18" s="5" t="n">
        <v>4742.198160688926</v>
      </c>
      <c r="D18" s="5" t="n">
        <v>292.4874648945542</v>
      </c>
      <c r="E18" s="5" t="n">
        <v>865.3072428004136</v>
      </c>
      <c r="F18" s="5" t="n">
        <v>557.0388759830777</v>
      </c>
      <c r="G18" s="5" t="n">
        <v>2.419471329105237</v>
      </c>
      <c r="H18" s="5" t="n">
        <v>26.729570490040885</v>
      </c>
      <c r="I18" s="5" t="n">
        <v>0.0</v>
      </c>
      <c r="J18" s="5">
        <f si="0" t="shared"/>
        <v>84069.352962328921</v>
      </c>
      <c r="L18" s="10">
        <v>0.3125</v>
      </c>
      <c r="M18" s="8" t="n">
        <v>62114.514726638794</v>
      </c>
      <c r="N18" s="8" t="n">
        <v>4214.605995178223</v>
      </c>
      <c r="O18" s="8" t="n">
        <v>0.0</v>
      </c>
      <c r="P18" s="8" t="n">
        <v>0.0</v>
      </c>
      <c r="Q18" s="8" t="n">
        <v>917.4074687957764</v>
      </c>
      <c r="R18" s="8" t="n">
        <v>62.646098136901855</v>
      </c>
      <c r="S18" s="8" t="n">
        <v>0.0</v>
      </c>
      <c r="T18" s="8" t="n">
        <v>0.0</v>
      </c>
      <c r="U18">
        <f si="1" t="shared"/>
        <v>68583.186761856079</v>
      </c>
    </row>
    <row r="19" spans="1:21" x14ac:dyDescent="0.45">
      <c r="A19" s="10">
        <v>0.33333333333333331</v>
      </c>
      <c r="B19" s="5" t="n">
        <v>74333.56012854265</v>
      </c>
      <c r="C19" s="5" t="n">
        <v>5097.428864687279</v>
      </c>
      <c r="D19" s="5" t="n">
        <v>327.0718968957606</v>
      </c>
      <c r="E19" s="5" t="n">
        <v>837.0558276905135</v>
      </c>
      <c r="F19" s="5" t="n">
        <v>614.1547731221467</v>
      </c>
      <c r="G19" s="5" t="n">
        <v>4.895353565022202</v>
      </c>
      <c r="H19" s="5" t="n">
        <v>24.375391742449334</v>
      </c>
      <c r="I19" s="5" t="n">
        <v>0.0</v>
      </c>
      <c r="J19" s="5">
        <f si="0" t="shared"/>
        <v>81238.542236245819</v>
      </c>
      <c r="L19" s="10">
        <v>0.33333333333333331</v>
      </c>
      <c r="M19" s="8" t="n">
        <v>61490.554849624634</v>
      </c>
      <c r="N19" s="8" t="n">
        <v>4398.484496116638</v>
      </c>
      <c r="O19" s="8" t="n">
        <v>0.0</v>
      </c>
      <c r="P19" s="8" t="n">
        <v>0.0</v>
      </c>
      <c r="Q19" s="8" t="n">
        <v>977.268627166748</v>
      </c>
      <c r="R19" s="8" t="n">
        <v>69.76282215118408</v>
      </c>
      <c r="S19" s="8" t="n">
        <v>0.0</v>
      </c>
      <c r="T19" s="8" t="n">
        <v>0.0</v>
      </c>
      <c r="U19">
        <f si="1" t="shared"/>
        <v>68078.503175735474</v>
      </c>
    </row>
    <row r="20" spans="1:21" x14ac:dyDescent="0.45">
      <c r="A20" s="10">
        <v>0.35416666666666669</v>
      </c>
      <c r="B20" s="5" t="n">
        <v>64245.8771936744</v>
      </c>
      <c r="C20" s="5" t="n">
        <v>5007.606809525169</v>
      </c>
      <c r="D20" s="5" t="n">
        <v>336.43659660139343</v>
      </c>
      <c r="E20" s="5" t="n">
        <v>763.3157802513533</v>
      </c>
      <c r="F20" s="5" t="n">
        <v>623.9462701782351</v>
      </c>
      <c r="G20" s="5" t="n">
        <v>8.280008846512919</v>
      </c>
      <c r="H20" s="5" t="n">
        <v>18.594145406787195</v>
      </c>
      <c r="I20" s="5" t="n">
        <v>0.0</v>
      </c>
      <c r="J20" s="5">
        <f si="0" t="shared"/>
        <v>71004.056804483858</v>
      </c>
      <c r="L20" s="10">
        <v>0.35416666666666669</v>
      </c>
      <c r="M20" s="8" t="n">
        <v>55016.14551639557</v>
      </c>
      <c r="N20" s="8" t="n">
        <v>4166.2810754776</v>
      </c>
      <c r="O20" s="8" t="n">
        <v>0.0</v>
      </c>
      <c r="P20" s="8" t="n">
        <v>0.0</v>
      </c>
      <c r="Q20" s="8" t="n">
        <v>943.3672580718994</v>
      </c>
      <c r="R20" s="8" t="n">
        <v>70.84811115264893</v>
      </c>
      <c r="S20" s="8" t="n">
        <v>0.0</v>
      </c>
      <c r="T20" s="8" t="n">
        <v>0.0</v>
      </c>
      <c r="U20">
        <f si="1" t="shared"/>
        <v>61007.825719833374</v>
      </c>
    </row>
    <row r="21" spans="1:21" x14ac:dyDescent="0.45">
      <c r="A21" s="10">
        <v>0.375</v>
      </c>
      <c r="B21" s="5" t="n">
        <v>50455.14261267166</v>
      </c>
      <c r="C21" s="5" t="n">
        <v>4538.062437152339</v>
      </c>
      <c r="D21" s="5" t="n">
        <v>324.1578485060097</v>
      </c>
      <c r="E21" s="5" t="n">
        <v>667.9893871940058</v>
      </c>
      <c r="F21" s="5" t="n">
        <v>595.4246937837734</v>
      </c>
      <c r="G21" s="5" t="n">
        <v>12.395577281810558</v>
      </c>
      <c r="H21" s="5" t="n">
        <v>12.423639117866584</v>
      </c>
      <c r="I21" s="5" t="n">
        <v>0.0</v>
      </c>
      <c r="J21" s="5">
        <f si="0" t="shared"/>
        <v>56605.596195707461</v>
      </c>
      <c r="L21" s="10">
        <v>0.375</v>
      </c>
      <c r="M21" s="8" t="n">
        <v>44807.9714050293</v>
      </c>
      <c r="N21" s="8" t="n">
        <v>3612.5392351150513</v>
      </c>
      <c r="O21" s="8" t="n">
        <v>0.0</v>
      </c>
      <c r="P21" s="8" t="n">
        <v>0.0</v>
      </c>
      <c r="Q21" s="8" t="n">
        <v>832.3189182281494</v>
      </c>
      <c r="R21" s="8" t="n">
        <v>66.61406326293945</v>
      </c>
      <c r="S21" s="8" t="n">
        <v>0.0</v>
      </c>
      <c r="T21" s="8" t="n">
        <v>0.0</v>
      </c>
      <c r="U21">
        <f si="1" t="shared"/>
        <v>49705.999683380127</v>
      </c>
    </row>
    <row r="22" spans="1:21" x14ac:dyDescent="0.45">
      <c r="A22" s="10">
        <v>0.39583333333333331</v>
      </c>
      <c r="B22" s="5" t="n">
        <v>36557.21861177249</v>
      </c>
      <c r="C22" s="5" t="n">
        <v>3857.0754918041484</v>
      </c>
      <c r="D22" s="5" t="n">
        <v>300.4279475168039</v>
      </c>
      <c r="E22" s="5" t="n">
        <v>572.9302436949268</v>
      </c>
      <c r="F22" s="5" t="n">
        <v>548.9283518539685</v>
      </c>
      <c r="G22" s="5" t="n">
        <v>17.97238809239922</v>
      </c>
      <c r="H22" s="5" t="n">
        <v>8.641180564260537</v>
      </c>
      <c r="I22" s="5" t="n">
        <v>0.0</v>
      </c>
      <c r="J22" s="5">
        <f si="0" t="shared"/>
        <v>41863.194215299001</v>
      </c>
      <c r="L22" s="10">
        <v>0.39583333333333331</v>
      </c>
      <c r="M22" s="8" t="n">
        <v>33690.297746658325</v>
      </c>
      <c r="N22" s="8" t="n">
        <v>2914.892074584961</v>
      </c>
      <c r="O22" s="8" t="n">
        <v>0.0</v>
      </c>
      <c r="P22" s="8" t="n">
        <v>0.0</v>
      </c>
      <c r="Q22" s="8" t="n">
        <v>682.7063236236572</v>
      </c>
      <c r="R22" s="8" t="n">
        <v>59.58751583099365</v>
      </c>
      <c r="S22" s="8" t="n">
        <v>0.0</v>
      </c>
      <c r="T22" s="8" t="n">
        <v>0.0</v>
      </c>
      <c r="U22">
        <f si="1" t="shared"/>
        <v>37345.744414329529</v>
      </c>
    </row>
    <row r="23" spans="1:21" x14ac:dyDescent="0.45">
      <c r="A23" s="10">
        <v>0.41666666666666669</v>
      </c>
      <c r="B23" s="5" t="n">
        <v>25142.255660411887</v>
      </c>
      <c r="C23" s="5" t="n">
        <v>3151.6521142528213</v>
      </c>
      <c r="D23" s="5" t="n">
        <v>276.5088079880024</v>
      </c>
      <c r="E23" s="5" t="n">
        <v>494.07145334104916</v>
      </c>
      <c r="F23" s="5" t="n">
        <v>502.92672553049556</v>
      </c>
      <c r="G23" s="5" t="n">
        <v>27.36923007658404</v>
      </c>
      <c r="H23" s="5" t="n">
        <v>8.315229434777931</v>
      </c>
      <c r="I23" s="5" t="n">
        <v>0.0</v>
      </c>
      <c r="J23" s="5">
        <f si="0" t="shared"/>
        <v>29603.099221035616</v>
      </c>
      <c r="L23" s="10">
        <v>0.41666666666666669</v>
      </c>
      <c r="M23" s="8" t="n">
        <v>23998.701807022095</v>
      </c>
      <c r="N23" s="8" t="n">
        <v>2252.2314863204956</v>
      </c>
      <c r="O23" s="8" t="n">
        <v>0.0</v>
      </c>
      <c r="P23" s="8" t="n">
        <v>0.0</v>
      </c>
      <c r="Q23" s="8" t="n">
        <v>536.8069067001343</v>
      </c>
      <c r="R23" s="8" t="n">
        <v>52.91443157196045</v>
      </c>
      <c r="S23" s="8" t="n">
        <v>0.0</v>
      </c>
      <c r="T23" s="8" t="n">
        <v>0.0</v>
      </c>
      <c r="U23">
        <f si="1" t="shared"/>
        <v>26573.891366004944</v>
      </c>
    </row>
    <row r="24" spans="1:21" x14ac:dyDescent="0.45">
      <c r="A24" s="10">
        <v>0.4375</v>
      </c>
      <c r="B24" s="5" t="n">
        <v>17212.69681931142</v>
      </c>
      <c r="C24" s="5" t="n">
        <v>2549.9622449419667</v>
      </c>
      <c r="D24" s="5" t="n">
        <v>257.45843248433346</v>
      </c>
      <c r="E24" s="5" t="n">
        <v>440.51669888071336</v>
      </c>
      <c r="F24" s="5" t="n">
        <v>464.27715661297395</v>
      </c>
      <c r="G24" s="5" t="n">
        <v>43.34473511558771</v>
      </c>
      <c r="H24" s="5" t="n">
        <v>10.570607044281285</v>
      </c>
      <c r="I24" s="5" t="n">
        <v>0.0</v>
      </c>
      <c r="J24" s="5">
        <f si="0" t="shared"/>
        <v>20978.826694391279</v>
      </c>
      <c r="L24" s="10">
        <v>0.4375</v>
      </c>
      <c r="M24" s="8" t="n">
        <v>16898.47657394409</v>
      </c>
      <c r="N24" s="8" t="n">
        <v>1739.3936052322388</v>
      </c>
      <c r="O24" s="8" t="n">
        <v>0.0</v>
      </c>
      <c r="P24" s="8" t="n">
        <v>0.0</v>
      </c>
      <c r="Q24" s="8" t="n">
        <v>424.08338165283203</v>
      </c>
      <c r="R24" s="8" t="n">
        <v>49.06525897979736</v>
      </c>
      <c r="S24" s="8" t="n">
        <v>0.0</v>
      </c>
      <c r="T24" s="8" t="n">
        <v>0.0</v>
      </c>
      <c r="U24">
        <f si="1" t="shared"/>
        <v>18717.612406730652</v>
      </c>
    </row>
    <row r="25" spans="1:21" x14ac:dyDescent="0.45">
      <c r="A25" s="10">
        <v>0.45833333333333331</v>
      </c>
      <c r="B25" s="5" t="n">
        <v>12505.028208133253</v>
      </c>
      <c r="C25" s="5" t="n">
        <v>2094.7612219757525</v>
      </c>
      <c r="D25" s="5" t="n">
        <v>238.56928172989768</v>
      </c>
      <c r="E25" s="5" t="n">
        <v>414.14563229197745</v>
      </c>
      <c r="F25" s="5" t="n">
        <v>430.7075678026564</v>
      </c>
      <c r="G25" s="5" t="n">
        <v>65.6687611637962</v>
      </c>
      <c r="H25" s="5" t="n">
        <v>13.331845671296387</v>
      </c>
      <c r="I25" s="5" t="n">
        <v>0.0</v>
      </c>
      <c r="J25" s="5">
        <f si="0" t="shared"/>
        <v>15762.212518768627</v>
      </c>
      <c r="L25" s="10">
        <v>0.45833333333333331</v>
      </c>
      <c r="M25" s="8" t="n">
        <v>12424.1071434021</v>
      </c>
      <c r="N25" s="8" t="n">
        <v>1409.2929401397705</v>
      </c>
      <c r="O25" s="8" t="n">
        <v>0.0</v>
      </c>
      <c r="P25" s="8" t="n">
        <v>0.0</v>
      </c>
      <c r="Q25" s="8" t="n">
        <v>355.0362148284912</v>
      </c>
      <c r="R25" s="8" t="n">
        <v>49.219096183776855</v>
      </c>
      <c r="S25" s="8" t="n">
        <v>0.0</v>
      </c>
      <c r="T25" s="8" t="n">
        <v>0.0</v>
      </c>
      <c r="U25">
        <f si="1" t="shared"/>
        <v>13818.722458839417</v>
      </c>
    </row>
    <row r="26" spans="1:21" x14ac:dyDescent="0.45">
      <c r="A26" s="10">
        <v>0.47916666666666669</v>
      </c>
      <c r="B26" s="5" t="n">
        <v>10166.153364442234</v>
      </c>
      <c r="C26" s="5" t="n">
        <v>1768.7884055318705</v>
      </c>
      <c r="D26" s="5" t="n">
        <v>210.25349535299904</v>
      </c>
      <c r="E26" s="5" t="n">
        <v>409.02671102610316</v>
      </c>
      <c r="F26" s="5" t="n">
        <v>402.8844626934174</v>
      </c>
      <c r="G26" s="5" t="n">
        <v>88.51303769195955</v>
      </c>
      <c r="H26" s="5" t="n">
        <v>14.554903531427815</v>
      </c>
      <c r="I26" s="5" t="n">
        <v>0.0</v>
      </c>
      <c r="J26" s="5">
        <f si="0" t="shared"/>
        <v>13060.174380270009</v>
      </c>
      <c r="L26" s="10">
        <v>0.47916666666666669</v>
      </c>
      <c r="M26" s="8" t="n">
        <v>9964.770392417908</v>
      </c>
      <c r="N26" s="8" t="n">
        <v>1236.0041275024414</v>
      </c>
      <c r="O26" s="8" t="n">
        <v>0.0</v>
      </c>
      <c r="P26" s="8" t="n">
        <v>0.0</v>
      </c>
      <c r="Q26" s="8" t="n">
        <v>325.2718896865845</v>
      </c>
      <c r="R26" s="8" t="n">
        <v>53.45386600494385</v>
      </c>
      <c r="S26" s="8" t="n">
        <v>0.0</v>
      </c>
      <c r="T26" s="8" t="n">
        <v>0.0</v>
      </c>
      <c r="U26">
        <f si="1" t="shared"/>
        <v>11185.981611251831</v>
      </c>
    </row>
    <row r="27" spans="1:21" x14ac:dyDescent="0.45">
      <c r="A27" s="10">
        <v>0.5</v>
      </c>
      <c r="B27" s="5" t="n">
        <v>9274.5744345805</v>
      </c>
      <c r="C27" s="5" t="n">
        <v>1537.8284319512618</v>
      </c>
      <c r="D27" s="5" t="n">
        <v>168.33393212962034</v>
      </c>
      <c r="E27" s="5" t="n">
        <v>412.1137163789232</v>
      </c>
      <c r="F27" s="5" t="n">
        <v>391.69585258717433</v>
      </c>
      <c r="G27" s="5" t="n">
        <v>102.49908344268592</v>
      </c>
      <c r="H27" s="5" t="n">
        <v>13.409253497483967</v>
      </c>
      <c r="I27" s="5" t="n">
        <v>0.0</v>
      </c>
      <c r="J27" s="5">
        <f si="0" t="shared"/>
        <v>11900.45470456765</v>
      </c>
      <c r="L27" s="10">
        <v>0.5</v>
      </c>
      <c r="M27" s="8" t="n">
        <v>8772.154285430908</v>
      </c>
      <c r="N27" s="8" t="n">
        <v>1170.4112882614136</v>
      </c>
      <c r="O27" s="8" t="n">
        <v>0.0</v>
      </c>
      <c r="P27" s="8" t="n">
        <v>0.0</v>
      </c>
      <c r="Q27" s="8" t="n">
        <v>323.5222406387329</v>
      </c>
      <c r="R27" s="8" t="n">
        <v>61.26461124420166</v>
      </c>
      <c r="S27" s="8" t="n">
        <v>0.0</v>
      </c>
      <c r="T27" s="8" t="n">
        <v>0.0</v>
      </c>
      <c r="U27">
        <f si="1" t="shared"/>
        <v>9974.0956659317017</v>
      </c>
    </row>
    <row r="28" spans="1:21" x14ac:dyDescent="0.45">
      <c r="A28" s="10">
        <v>0.52083333333333337</v>
      </c>
      <c r="B28" s="5" t="n">
        <v>9068.40360867153</v>
      </c>
      <c r="C28" s="5" t="n">
        <v>1377.0724056613258</v>
      </c>
      <c r="D28" s="5" t="n">
        <v>119.88549331852045</v>
      </c>
      <c r="E28" s="5" t="n">
        <v>407.7103192586567</v>
      </c>
      <c r="F28" s="5" t="n">
        <v>409.81967768277224</v>
      </c>
      <c r="G28" s="5" t="n">
        <v>101.35119781135623</v>
      </c>
      <c r="H28" s="5" t="n">
        <v>10.761102964986751</v>
      </c>
      <c r="I28" s="5" t="n">
        <v>0.0</v>
      </c>
      <c r="J28" s="5">
        <f si="0" t="shared"/>
        <v>11495.003805369148</v>
      </c>
      <c r="L28" s="10">
        <v>0.52083333333333337</v>
      </c>
      <c r="M28" s="8" t="n">
        <v>8242.70009803772</v>
      </c>
      <c r="N28" s="8" t="n">
        <v>1165.1721839904785</v>
      </c>
      <c r="O28" s="8" t="n">
        <v>0.0</v>
      </c>
      <c r="P28" s="8" t="n">
        <v>0.0</v>
      </c>
      <c r="Q28" s="8" t="n">
        <v>337.77290534973145</v>
      </c>
      <c r="R28" s="8" t="n">
        <v>71.91101264953613</v>
      </c>
      <c r="S28" s="8" t="n">
        <v>0.0</v>
      </c>
      <c r="T28" s="8" t="n">
        <v>0.0</v>
      </c>
      <c r="U28">
        <f si="1" t="shared"/>
        <v>9503.2516441345215</v>
      </c>
    </row>
    <row r="29" spans="1:21" x14ac:dyDescent="0.45">
      <c r="A29" s="10">
        <v>0.54166666666666663</v>
      </c>
      <c r="B29" s="5" t="n">
        <v>9000.157100652015</v>
      </c>
      <c r="C29" s="5" t="n">
        <v>1271.8445872489408</v>
      </c>
      <c r="D29" s="5" t="n">
        <v>78.66095685034617</v>
      </c>
      <c r="E29" s="5" t="n">
        <v>385.1400868276375</v>
      </c>
      <c r="F29" s="5" t="n">
        <v>455.0391958819999</v>
      </c>
      <c r="G29" s="5" t="n">
        <v>87.76957430919549</v>
      </c>
      <c r="H29" s="5" t="n">
        <v>8.64418492973995</v>
      </c>
      <c r="I29" s="5" t="n">
        <v>0.0</v>
      </c>
      <c r="J29" s="5">
        <f si="0" t="shared"/>
        <v>11287.255686699877</v>
      </c>
      <c r="L29" s="10">
        <v>0.54166666666666663</v>
      </c>
      <c r="M29" s="8" t="n">
        <v>7975.864188194275</v>
      </c>
      <c r="N29" s="8" t="n">
        <v>1183.5955696105957</v>
      </c>
      <c r="O29" s="8" t="n">
        <v>0.0</v>
      </c>
      <c r="P29" s="8" t="n">
        <v>0.0</v>
      </c>
      <c r="Q29" s="8" t="n">
        <v>357.7608470916748</v>
      </c>
      <c r="R29" s="8" t="n">
        <v>84.46450138092041</v>
      </c>
      <c r="S29" s="8" t="n">
        <v>0.0</v>
      </c>
      <c r="T29" s="8" t="n">
        <v>0.0</v>
      </c>
      <c r="U29">
        <f si="1" t="shared"/>
        <v>9323.1743907928467</v>
      </c>
    </row>
    <row r="30" spans="1:21" x14ac:dyDescent="0.45">
      <c r="A30" s="10">
        <v>0.5625</v>
      </c>
      <c r="B30" s="5" t="n">
        <v>8743.096069225492</v>
      </c>
      <c r="C30" s="5" t="n">
        <v>1206.3328057343856</v>
      </c>
      <c r="D30" s="5" t="n">
        <v>54.88786343673908</v>
      </c>
      <c r="E30" s="5" t="n">
        <v>344.1875566529856</v>
      </c>
      <c r="F30" s="5" t="n">
        <v>505.09653890589425</v>
      </c>
      <c r="G30" s="5" t="n">
        <v>72.84610180095257</v>
      </c>
      <c r="H30" s="5" t="n">
        <v>9.154299823079313</v>
      </c>
      <c r="I30" s="5" t="n">
        <v>0.0</v>
      </c>
      <c r="J30" s="5">
        <f si="0" t="shared"/>
        <v>10935.60123557953</v>
      </c>
      <c r="L30" s="10">
        <v>0.5625</v>
      </c>
      <c r="M30" s="8" t="n">
        <v>7730.335318565369</v>
      </c>
      <c r="N30" s="8" t="n">
        <v>1199.145408630371</v>
      </c>
      <c r="O30" s="8" t="n">
        <v>0.0</v>
      </c>
      <c r="P30" s="8" t="n">
        <v>0.0</v>
      </c>
      <c r="Q30" s="8" t="n">
        <v>375.19455909729004</v>
      </c>
      <c r="R30" s="8" t="n">
        <v>97.69210910797119</v>
      </c>
      <c r="S30" s="8" t="n">
        <v>0.0</v>
      </c>
      <c r="T30" s="8" t="n">
        <v>0.0</v>
      </c>
      <c r="U30">
        <f si="1" t="shared"/>
        <v>9161.3952569961548</v>
      </c>
    </row>
    <row r="31" spans="1:21" x14ac:dyDescent="0.45">
      <c r="A31" s="10">
        <v>0.58333333333333337</v>
      </c>
      <c r="B31" s="5" t="n">
        <v>8178.596474945394</v>
      </c>
      <c r="C31" s="5" t="n">
        <v>1157.8179143287105</v>
      </c>
      <c r="D31" s="5" t="n">
        <v>48.94260034703805</v>
      </c>
      <c r="E31" s="5" t="n">
        <v>293.448198489391</v>
      </c>
      <c r="F31" s="5" t="n">
        <v>532.947511313899</v>
      </c>
      <c r="G31" s="5" t="n">
        <v>69.00619920433408</v>
      </c>
      <c r="H31" s="5" t="n">
        <v>13.513070010724228</v>
      </c>
      <c r="I31" s="5" t="n">
        <v>0.0</v>
      </c>
      <c r="J31" s="5">
        <f si="0" t="shared"/>
        <v>10294.271968639492</v>
      </c>
      <c r="L31" s="10">
        <v>0.58333333333333337</v>
      </c>
      <c r="M31" s="8" t="n">
        <v>7375.900018692017</v>
      </c>
      <c r="N31" s="8" t="n">
        <v>1193.284646987915</v>
      </c>
      <c r="O31" s="8" t="n">
        <v>0.0</v>
      </c>
      <c r="P31" s="8" t="n">
        <v>0.0</v>
      </c>
      <c r="Q31" s="8" t="n">
        <v>383.5471239089966</v>
      </c>
      <c r="R31" s="8" t="n">
        <v>109.97343826293945</v>
      </c>
      <c r="S31" s="8" t="n">
        <v>0.0</v>
      </c>
      <c r="T31" s="8" t="n">
        <v>0.0</v>
      </c>
      <c r="U31">
        <f si="1" t="shared"/>
        <v>8866.1961212158203</v>
      </c>
    </row>
    <row r="32" spans="1:21" x14ac:dyDescent="0.45">
      <c r="A32" s="10">
        <v>0.60416666666666663</v>
      </c>
      <c r="B32" s="5" t="n">
        <v>7351.875566823766</v>
      </c>
      <c r="C32" s="5" t="n">
        <v>1103.5487415398852</v>
      </c>
      <c r="D32" s="5" t="n">
        <v>53.00985753501722</v>
      </c>
      <c r="E32" s="5" t="n">
        <v>243.5810434548718</v>
      </c>
      <c r="F32" s="5" t="n">
        <v>527.9742133045648</v>
      </c>
      <c r="G32" s="5" t="n">
        <v>82.01321260690759</v>
      </c>
      <c r="H32" s="5" t="n">
        <v>21.60619433883255</v>
      </c>
      <c r="I32" s="5" t="n">
        <v>0.0</v>
      </c>
      <c r="J32" s="5">
        <f si="0" t="shared"/>
        <v>9383.6088296038452</v>
      </c>
      <c r="L32" s="10">
        <v>0.60416666666666663</v>
      </c>
      <c r="M32" s="8" t="n">
        <v>6867.7025899887085</v>
      </c>
      <c r="N32" s="8" t="n">
        <v>1155.0919971466064</v>
      </c>
      <c r="O32" s="8" t="n">
        <v>0.0</v>
      </c>
      <c r="P32" s="8" t="n">
        <v>0.0</v>
      </c>
      <c r="Q32" s="8" t="n">
        <v>378.43696308135986</v>
      </c>
      <c r="R32" s="8" t="n">
        <v>119.46503734588623</v>
      </c>
      <c r="S32" s="8" t="n">
        <v>0.0</v>
      </c>
      <c r="T32" s="8" t="n">
        <v>0.0</v>
      </c>
      <c r="U32">
        <f si="1" t="shared"/>
        <v>8376.6418056488037</v>
      </c>
    </row>
    <row r="33" spans="1:21" x14ac:dyDescent="0.45">
      <c r="A33" s="10">
        <v>0.625</v>
      </c>
      <c r="B33" s="5" t="n">
        <v>6399.729245592194</v>
      </c>
      <c r="C33" s="5" t="n">
        <v>1034.1193764430263</v>
      </c>
      <c r="D33" s="5" t="n">
        <v>57.3794077018755</v>
      </c>
      <c r="E33" s="5" t="n">
        <v>201.8822635803083</v>
      </c>
      <c r="F33" s="5" t="n">
        <v>501.1125803545187</v>
      </c>
      <c r="G33" s="5" t="n">
        <v>107.83308678093886</v>
      </c>
      <c r="H33" s="5" t="n">
        <v>31.840498234859357</v>
      </c>
      <c r="I33" s="5" t="n">
        <v>0.0</v>
      </c>
      <c r="J33" s="5">
        <f si="0" t="shared"/>
        <v>8333.896458687721</v>
      </c>
      <c r="L33" s="10">
        <v>0.625</v>
      </c>
      <c r="M33" s="8" t="n">
        <v>6229.972333908081</v>
      </c>
      <c r="N33" s="8" t="n">
        <v>1082.4509811401367</v>
      </c>
      <c r="O33" s="8" t="n">
        <v>0.0</v>
      </c>
      <c r="P33" s="8" t="n">
        <v>0.0</v>
      </c>
      <c r="Q33" s="8" t="n">
        <v>358.6309337615967</v>
      </c>
      <c r="R33" s="8" t="n">
        <v>124.63591766357422</v>
      </c>
      <c r="S33" s="8" t="n">
        <v>0.0</v>
      </c>
      <c r="T33" s="8" t="n">
        <v>0.0</v>
      </c>
      <c r="U33">
        <f si="1" t="shared"/>
        <v>7708.2363424301147</v>
      </c>
    </row>
    <row r="34" spans="1:21" x14ac:dyDescent="0.45">
      <c r="A34" s="10">
        <v>0.64583333333333337</v>
      </c>
      <c r="B34" s="5" t="n">
        <v>5470.662950016875</v>
      </c>
      <c r="C34" s="5" t="n">
        <v>959.7863461424397</v>
      </c>
      <c r="D34" s="5" t="n">
        <v>55.900772928497275</v>
      </c>
      <c r="E34" s="5" t="n">
        <v>171.22882834527093</v>
      </c>
      <c r="F34" s="5" t="n">
        <v>469.85513480349766</v>
      </c>
      <c r="G34" s="5" t="n">
        <v>135.98367733109885</v>
      </c>
      <c r="H34" s="5" t="n">
        <v>41.30455602255817</v>
      </c>
      <c r="I34" s="5" t="n">
        <v>0.0</v>
      </c>
      <c r="J34" s="5">
        <f si="0" t="shared"/>
        <v>7304.7222655902378</v>
      </c>
      <c r="L34" s="10">
        <v>0.64583333333333337</v>
      </c>
      <c r="M34" s="8" t="n">
        <v>5534.273968696594</v>
      </c>
      <c r="N34" s="8" t="n">
        <v>982.6382389068604</v>
      </c>
      <c r="O34" s="8" t="n">
        <v>0.0</v>
      </c>
      <c r="P34" s="8" t="n">
        <v>0.0</v>
      </c>
      <c r="Q34" s="8" t="n">
        <v>326.7878017425537</v>
      </c>
      <c r="R34" s="8" t="n">
        <v>124.93822002410889</v>
      </c>
      <c r="S34" s="8" t="n">
        <v>0.0</v>
      </c>
      <c r="T34" s="8" t="n">
        <v>0.0</v>
      </c>
      <c r="U34">
        <f si="1" t="shared"/>
        <v>6935.7726154327393</v>
      </c>
    </row>
    <row r="35" spans="1:21" x14ac:dyDescent="0.45">
      <c r="A35" s="10">
        <v>0.66666666666666663</v>
      </c>
      <c r="B35" s="5" t="n">
        <v>4659.247881798547</v>
      </c>
      <c r="C35" s="5" t="n">
        <v>900.8849038264354</v>
      </c>
      <c r="D35" s="5" t="n">
        <v>47.717420423464624</v>
      </c>
      <c r="E35" s="5" t="n">
        <v>151.09291249798852</v>
      </c>
      <c r="F35" s="5" t="n">
        <v>440.8605988986635</v>
      </c>
      <c r="G35" s="5" t="n">
        <v>156.24992366041897</v>
      </c>
      <c r="H35" s="5" t="n">
        <v>46.58329382119206</v>
      </c>
      <c r="I35" s="5" t="n">
        <v>0.0</v>
      </c>
      <c r="J35" s="5">
        <f si="0" t="shared"/>
        <v>6402.6369349267097</v>
      </c>
      <c r="L35" s="10">
        <v>0.66666666666666663</v>
      </c>
      <c r="M35" s="8" t="n">
        <v>4866.92967414856</v>
      </c>
      <c r="N35" s="8" t="n">
        <v>869.6249418258667</v>
      </c>
      <c r="O35" s="8" t="n">
        <v>0.0</v>
      </c>
      <c r="P35" s="8" t="n">
        <v>0.0</v>
      </c>
      <c r="Q35" s="8" t="n">
        <v>288.6825761795044</v>
      </c>
      <c r="R35" s="8" t="n">
        <v>121.03227233886719</v>
      </c>
      <c r="S35" s="8" t="n">
        <v>0.0</v>
      </c>
      <c r="T35" s="8" t="n">
        <v>0.0</v>
      </c>
      <c r="U35">
        <f si="1" t="shared"/>
        <v>6160.7637958526611</v>
      </c>
    </row>
    <row r="36" spans="1:21" x14ac:dyDescent="0.45">
      <c r="A36" s="10">
        <v>0.6875</v>
      </c>
      <c r="B36" s="5" t="n">
        <v>3976.527549862345</v>
      </c>
      <c r="C36" s="5" t="n">
        <v>868.33961951481</v>
      </c>
      <c r="D36" s="5" t="n">
        <v>35.72209957855898</v>
      </c>
      <c r="E36" s="5" t="n">
        <v>138.14653868204536</v>
      </c>
      <c r="F36" s="5" t="n">
        <v>407.85313715764687</v>
      </c>
      <c r="G36" s="5" t="n">
        <v>163.58624001005842</v>
      </c>
      <c r="H36" s="5" t="n">
        <v>45.32431281381276</v>
      </c>
      <c r="I36" s="5" t="n">
        <v>0.0</v>
      </c>
      <c r="J36" s="5">
        <f si="0" t="shared"/>
        <v>5635.4994976192784</v>
      </c>
      <c r="L36" s="10">
        <v>0.6875</v>
      </c>
      <c r="M36" s="8" t="n">
        <v>4290.186676979065</v>
      </c>
      <c r="N36" s="8" t="n">
        <v>757.5629024505615</v>
      </c>
      <c r="O36" s="8" t="n">
        <v>0.0</v>
      </c>
      <c r="P36" s="8" t="n">
        <v>0.0</v>
      </c>
      <c r="Q36" s="8" t="n">
        <v>250.59662246704102</v>
      </c>
      <c r="R36" s="8" t="n">
        <v>114.20873260498047</v>
      </c>
      <c r="S36" s="8" t="n">
        <v>0.0</v>
      </c>
      <c r="T36" s="8" t="n">
        <v>0.0</v>
      </c>
      <c r="U36">
        <f si="1" t="shared"/>
        <v>5464.2128553390503</v>
      </c>
    </row>
    <row r="37" spans="1:21" x14ac:dyDescent="0.45">
      <c r="A37" s="10">
        <v>0.70833333333333337</v>
      </c>
      <c r="B37" s="5" t="n">
        <v>3370.2430938416155</v>
      </c>
      <c r="C37" s="5" t="n">
        <v>850.8343047272416</v>
      </c>
      <c r="D37" s="5" t="n">
        <v>23.843561899803326</v>
      </c>
      <c r="E37" s="5" t="n">
        <v>127.11462033093738</v>
      </c>
      <c r="F37" s="5" t="n">
        <v>363.28509300574694</v>
      </c>
      <c r="G37" s="5" t="n">
        <v>158.36602739240425</v>
      </c>
      <c r="H37" s="5" t="n">
        <v>37.7168308791171</v>
      </c>
      <c r="I37" s="5" t="n">
        <v>0.0</v>
      </c>
      <c r="J37" s="5">
        <f si="0" t="shared"/>
        <v>4931.4035320768662</v>
      </c>
      <c r="L37" s="10">
        <v>0.70833333333333337</v>
      </c>
      <c r="M37" s="8" t="n">
        <v>3813.151789665222</v>
      </c>
      <c r="N37" s="8" t="n">
        <v>654.0364999771118</v>
      </c>
      <c r="O37" s="8" t="n">
        <v>0.0</v>
      </c>
      <c r="P37" s="8" t="n">
        <v>0.0</v>
      </c>
      <c r="Q37" s="8" t="n">
        <v>216.3185911178589</v>
      </c>
      <c r="R37" s="8" t="n">
        <v>105.41465091705322</v>
      </c>
      <c r="S37" s="8" t="n">
        <v>0.0</v>
      </c>
      <c r="T37" s="8" t="n">
        <v>0.0</v>
      </c>
      <c r="U37">
        <f si="1" t="shared"/>
        <v>4866.0488414764404</v>
      </c>
    </row>
    <row r="38" spans="1:21" x14ac:dyDescent="0.45">
      <c r="A38" s="10">
        <v>0.72916666666666663</v>
      </c>
      <c r="B38" s="5" t="n">
        <v>2780.6903535344272</v>
      </c>
      <c r="C38" s="5" t="n">
        <v>819.6396386668679</v>
      </c>
      <c r="D38" s="5" t="n">
        <v>14.995168878363575</v>
      </c>
      <c r="E38" s="5" t="n">
        <v>113.06357970699264</v>
      </c>
      <c r="F38" s="5" t="n">
        <v>308.35525568930586</v>
      </c>
      <c r="G38" s="5" t="n">
        <v>143.89028255529996</v>
      </c>
      <c r="H38" s="5" t="n">
        <v>26.56828385923516</v>
      </c>
      <c r="I38" s="5" t="n">
        <v>0.0</v>
      </c>
      <c r="J38" s="5">
        <f si="0" t="shared"/>
        <v>4207.2025628904921</v>
      </c>
      <c r="L38" s="10">
        <v>0.72916666666666663</v>
      </c>
      <c r="M38" s="8" t="n">
        <v>3392.6814470291138</v>
      </c>
      <c r="N38" s="8" t="n">
        <v>558.3032426834106</v>
      </c>
      <c r="O38" s="8" t="n">
        <v>0.0</v>
      </c>
      <c r="P38" s="8" t="n">
        <v>0.0</v>
      </c>
      <c r="Q38" s="8" t="n">
        <v>185.9216012954712</v>
      </c>
      <c r="R38" s="8" t="n">
        <v>94.78268051147461</v>
      </c>
      <c r="S38" s="8" t="n">
        <v>0.0</v>
      </c>
      <c r="T38" s="8" t="n">
        <v>0.0</v>
      </c>
      <c r="U38">
        <f si="1" t="shared"/>
        <v>4321.5080690383911</v>
      </c>
    </row>
    <row r="39" spans="1:21" x14ac:dyDescent="0.45">
      <c r="A39" s="10">
        <v>0.75</v>
      </c>
      <c r="B39" s="5" t="n">
        <v>2190.5394808518936</v>
      </c>
      <c r="C39" s="5" t="n">
        <v>746.9087504298617</v>
      </c>
      <c r="D39" s="5" t="n">
        <v>10.253768017683761</v>
      </c>
      <c r="E39" s="5" t="n">
        <v>93.94214986281352</v>
      </c>
      <c r="F39" s="5" t="n">
        <v>251.46532660239063</v>
      </c>
      <c r="G39" s="5" t="n">
        <v>124.71289804508945</v>
      </c>
      <c r="H39" s="5" t="n">
        <v>15.649478671077896</v>
      </c>
      <c r="I39" s="5" t="n">
        <v>0.0</v>
      </c>
      <c r="J39" s="5">
        <f si="0" t="shared"/>
        <v>3433.4718524808104</v>
      </c>
      <c r="L39" s="10">
        <v>0.75</v>
      </c>
      <c r="M39" s="8" t="n">
        <v>2968.738221168518</v>
      </c>
      <c r="N39" s="8" t="n">
        <v>465.9864616394043</v>
      </c>
      <c r="O39" s="8" t="n">
        <v>0.0</v>
      </c>
      <c r="P39" s="8" t="n">
        <v>0.0</v>
      </c>
      <c r="Q39" s="8" t="n">
        <v>157.17907428741455</v>
      </c>
      <c r="R39" s="8" t="n">
        <v>82.12799263000488</v>
      </c>
      <c r="S39" s="8" t="n">
        <v>0.0</v>
      </c>
      <c r="T39" s="8" t="n">
        <v>0.0</v>
      </c>
      <c r="U39">
        <f si="1" t="shared"/>
        <v>3763.290940284729</v>
      </c>
    </row>
    <row r="40" spans="1:21" x14ac:dyDescent="0.45">
      <c r="A40" s="10">
        <v>0.77083333333333337</v>
      </c>
      <c r="B40" s="5" t="n">
        <v>1633.2003887205904</v>
      </c>
      <c r="C40" s="5" t="n">
        <v>623.786605465891</v>
      </c>
      <c r="D40" s="5" t="n">
        <v>8.953311529033206</v>
      </c>
      <c r="E40" s="5" t="n">
        <v>71.24858330297285</v>
      </c>
      <c r="F40" s="5" t="n">
        <v>199.77101572856307</v>
      </c>
      <c r="G40" s="5" t="n">
        <v>106.02483417708277</v>
      </c>
      <c r="H40" s="5" t="n">
        <v>7.593321731147395</v>
      </c>
      <c r="I40" s="5" t="n">
        <v>0.0</v>
      </c>
      <c r="J40" s="5">
        <f si="0" t="shared"/>
        <v>2650.5780606552803</v>
      </c>
      <c r="L40" s="10">
        <v>0.77083333333333337</v>
      </c>
      <c r="M40" s="8" t="n">
        <v>2510.816427230835</v>
      </c>
      <c r="N40" s="8" t="n">
        <v>375.8297176361084</v>
      </c>
      <c r="O40" s="8" t="n">
        <v>0.0</v>
      </c>
      <c r="P40" s="8" t="n">
        <v>0.0</v>
      </c>
      <c r="Q40" s="8" t="n">
        <v>128.33226108551025</v>
      </c>
      <c r="R40" s="8" t="n">
        <v>67.8954210281372</v>
      </c>
      <c r="S40" s="8" t="n">
        <v>0.0</v>
      </c>
      <c r="T40" s="8" t="n">
        <v>0.0</v>
      </c>
      <c r="U40">
        <f si="1" t="shared"/>
        <v>3159.6939678192139</v>
      </c>
    </row>
    <row r="41" spans="1:21" x14ac:dyDescent="0.45">
      <c r="A41" s="10">
        <v>0.79166666666666663</v>
      </c>
      <c r="B41" s="5" t="n">
        <v>1161.7910629321013</v>
      </c>
      <c r="C41" s="5" t="n">
        <v>466.4603769744384</v>
      </c>
      <c r="D41" s="5" t="n">
        <v>9.332959992694715</v>
      </c>
      <c r="E41" s="5" t="n">
        <v>48.53420996115061</v>
      </c>
      <c r="F41" s="5" t="n">
        <v>154.4324395437664</v>
      </c>
      <c r="G41" s="5" t="n">
        <v>91.77724806436441</v>
      </c>
      <c r="H41" s="5" t="n">
        <v>2.9768314258019126</v>
      </c>
      <c r="I41" s="5" t="n">
        <v>0.0</v>
      </c>
      <c r="J41" s="5">
        <f si="0" t="shared"/>
        <v>1935.3051288943177</v>
      </c>
      <c r="L41" s="10">
        <v>0.79166666666666663</v>
      </c>
      <c r="M41" s="8" t="n">
        <v>2039.3344888687134</v>
      </c>
      <c r="N41" s="8" t="n">
        <v>292.3504581451416</v>
      </c>
      <c r="O41" s="8" t="n">
        <v>0.0</v>
      </c>
      <c r="P41" s="8" t="n">
        <v>0.0</v>
      </c>
      <c r="Q41" s="8" t="n">
        <v>99.92426490783691</v>
      </c>
      <c r="R41" s="8" t="n">
        <v>53.55494785308838</v>
      </c>
      <c r="S41" s="8" t="n">
        <v>0.0</v>
      </c>
      <c r="T41" s="8" t="n">
        <v>0.0</v>
      </c>
      <c r="U41">
        <f si="1" t="shared"/>
        <v>2541.6187868118286</v>
      </c>
    </row>
    <row r="42" spans="1:21" x14ac:dyDescent="0.45">
      <c r="A42" s="10">
        <v>0.8125</v>
      </c>
      <c r="B42" s="5" t="n">
        <v>810.8916378584836</v>
      </c>
      <c r="C42" s="5" t="n">
        <v>306.92215930321936</v>
      </c>
      <c r="D42" s="5" t="n">
        <v>9.525112819356398</v>
      </c>
      <c r="E42" s="5" t="n">
        <v>29.250547168041834</v>
      </c>
      <c r="F42" s="5" t="n">
        <v>113.33987630638714</v>
      </c>
      <c r="G42" s="5" t="n">
        <v>81.9269380840685</v>
      </c>
      <c r="H42" s="5" t="n">
        <v>0.9182208646512589</v>
      </c>
      <c r="I42" s="5" t="n">
        <v>0.0</v>
      </c>
      <c r="J42" s="5">
        <f si="0" t="shared"/>
        <v>1352.7744924042079</v>
      </c>
      <c r="L42" s="10">
        <v>0.8125</v>
      </c>
      <c r="M42" s="8" t="n">
        <v>1605.768569946289</v>
      </c>
      <c r="N42" s="8" t="n">
        <v>222.43176364898682</v>
      </c>
      <c r="O42" s="8" t="n">
        <v>0.0</v>
      </c>
      <c r="P42" s="8" t="n">
        <v>0.0</v>
      </c>
      <c r="Q42" s="8" t="n">
        <v>74.3944444656372</v>
      </c>
      <c r="R42" s="8" t="n">
        <v>40.989309310913086</v>
      </c>
      <c r="S42" s="8" t="n">
        <v>0.0</v>
      </c>
      <c r="T42" s="8" t="n">
        <v>0.0</v>
      </c>
      <c r="U42">
        <f si="1" t="shared"/>
        <v>1977.3671035766602</v>
      </c>
    </row>
    <row r="43" spans="1:21" x14ac:dyDescent="0.45">
      <c r="A43" s="10">
        <v>0.83333333333333337</v>
      </c>
      <c r="B43" s="5" t="n">
        <v>579.5122752648308</v>
      </c>
      <c r="C43" s="5" t="n">
        <v>175.2795947905002</v>
      </c>
      <c r="D43" s="5" t="n">
        <v>8.48775305669067</v>
      </c>
      <c r="E43" s="5" t="n">
        <v>15.322920218105535</v>
      </c>
      <c r="F43" s="5" t="n">
        <v>76.08906139913154</v>
      </c>
      <c r="G43" s="5" t="n">
        <v>72.45380991391211</v>
      </c>
      <c r="H43" s="5" t="n">
        <v>0.21433841589550887</v>
      </c>
      <c r="I43" s="5" t="n">
        <v>0.0</v>
      </c>
      <c r="J43" s="5">
        <f si="0" t="shared"/>
        <v>927.35975305906629</v>
      </c>
      <c r="L43" s="10">
        <v>0.83333333333333337</v>
      </c>
      <c r="M43" s="8" t="n">
        <v>1251.466718673706</v>
      </c>
      <c r="N43" s="8" t="n">
        <v>169.66622352600098</v>
      </c>
      <c r="O43" s="8" t="n">
        <v>0.0</v>
      </c>
      <c r="P43" s="8" t="n">
        <v>0.0</v>
      </c>
      <c r="Q43" s="8" t="n">
        <v>54.118160247802734</v>
      </c>
      <c r="R43" s="8" t="n">
        <v>31.41525936126709</v>
      </c>
      <c r="S43" s="8" t="n">
        <v>0.0</v>
      </c>
      <c r="T43" s="8" t="n">
        <v>0.0</v>
      </c>
      <c r="U43">
        <f si="1" t="shared"/>
        <v>1520.7083082199097</v>
      </c>
    </row>
    <row r="44" spans="1:21" x14ac:dyDescent="0.45">
      <c r="A44" s="10">
        <v>0.85416666666666663</v>
      </c>
      <c r="B44" s="5" t="n">
        <v>438.8824101639084</v>
      </c>
      <c r="C44" s="5" t="n">
        <v>85.95301489383674</v>
      </c>
      <c r="D44" s="5" t="n">
        <v>6.3350710794370215</v>
      </c>
      <c r="E44" s="5" t="n">
        <v>6.826123443418966</v>
      </c>
      <c r="F44" s="5" t="n">
        <v>45.1399872343589</v>
      </c>
      <c r="G44" s="5" t="n">
        <v>59.33735041854323</v>
      </c>
      <c r="H44" s="5" t="n">
        <v>0.035567686868434784</v>
      </c>
      <c r="I44" s="5" t="n">
        <v>0.0</v>
      </c>
      <c r="J44" s="5">
        <f si="0" t="shared"/>
        <v>642.50952492037175</v>
      </c>
      <c r="L44" s="10">
        <v>0.85416666666666663</v>
      </c>
      <c r="M44" s="8" t="n">
        <v>981.6421737670898</v>
      </c>
      <c r="N44" s="8" t="n">
        <v>131.84751319885254</v>
      </c>
      <c r="O44" s="8" t="n">
        <v>0.0</v>
      </c>
      <c r="P44" s="8" t="n">
        <v>0.0</v>
      </c>
      <c r="Q44" s="8" t="n">
        <v>39.75280952453613</v>
      </c>
      <c r="R44" s="8" t="n">
        <v>24.79306983947754</v>
      </c>
      <c r="S44" s="8" t="n">
        <v>0.0</v>
      </c>
      <c r="T44" s="8" t="n">
        <v>0.0</v>
      </c>
      <c r="U44">
        <f si="1" t="shared"/>
        <v>1178.4520673751831</v>
      </c>
    </row>
    <row r="45" spans="1:21" x14ac:dyDescent="0.45">
      <c r="A45" s="10">
        <v>0.875</v>
      </c>
      <c r="B45" s="5" t="n">
        <v>351.14518671503595</v>
      </c>
      <c r="C45" s="5" t="n">
        <v>35.923179496259486</v>
      </c>
      <c r="D45" s="5" t="n">
        <v>3.8945216904787032</v>
      </c>
      <c r="E45" s="5" t="n">
        <v>2.517801224552122</v>
      </c>
      <c r="F45" s="5" t="n">
        <v>23.065765579029282</v>
      </c>
      <c r="G45" s="5" t="n">
        <v>42.51642662413166</v>
      </c>
      <c r="H45" s="5" t="n">
        <v>0.003737221954078274</v>
      </c>
      <c r="I45" s="5" t="n">
        <v>0.0</v>
      </c>
      <c r="J45" s="5">
        <f si="0" t="shared"/>
        <v>459.06661855144125</v>
      </c>
      <c r="L45" s="10">
        <v>0.875</v>
      </c>
      <c r="M45" s="8" t="n">
        <v>772.2862358093262</v>
      </c>
      <c r="N45" s="8" t="n">
        <v>103.32080841064453</v>
      </c>
      <c r="O45" s="8" t="n">
        <v>0.0</v>
      </c>
      <c r="P45" s="8" t="n">
        <v>0.0</v>
      </c>
      <c r="Q45" s="8" t="n">
        <v>30.13506507873535</v>
      </c>
      <c r="R45" s="8" t="n">
        <v>20.151700973510742</v>
      </c>
      <c r="S45" s="8" t="n">
        <v>0.0</v>
      </c>
      <c r="T45" s="8" t="n">
        <v>0.0</v>
      </c>
      <c r="U45">
        <f si="1" t="shared"/>
        <v>919.5644645690918</v>
      </c>
    </row>
    <row r="46" spans="1:21" x14ac:dyDescent="0.45">
      <c r="A46" s="10">
        <v>0.89583333333333337</v>
      </c>
      <c r="B46" s="5" t="n">
        <v>285.1980765370272</v>
      </c>
      <c r="C46" s="5" t="n">
        <v>12.757265048166898</v>
      </c>
      <c r="D46" s="5" t="n">
        <v>1.9469309012690954</v>
      </c>
      <c r="E46" s="5" t="n">
        <v>0.7437249496571987</v>
      </c>
      <c r="F46" s="5" t="n">
        <v>9.974356923222361</v>
      </c>
      <c r="G46" s="5" t="n">
        <v>25.682048664593932</v>
      </c>
      <c r="H46" s="5" t="n">
        <v>1.868610977039137E-4</v>
      </c>
      <c r="I46" s="5" t="n">
        <v>0.0</v>
      </c>
      <c r="J46" s="5">
        <f si="0" t="shared"/>
        <v>336.30258988503437</v>
      </c>
      <c r="L46" s="10">
        <v>0.89583333333333337</v>
      </c>
      <c r="M46" s="8" t="n">
        <v>595.9503698348999</v>
      </c>
      <c r="N46" s="8" t="n">
        <v>79.27151679992676</v>
      </c>
      <c r="O46" s="8" t="n">
        <v>0.0</v>
      </c>
      <c r="P46" s="8" t="n">
        <v>0.0</v>
      </c>
      <c r="Q46" s="8" t="n">
        <v>23.400972366333008</v>
      </c>
      <c r="R46" s="8" t="n">
        <v>16.421159744262695</v>
      </c>
      <c r="S46" s="8" t="n">
        <v>0.0</v>
      </c>
      <c r="T46" s="8" t="n">
        <v>0.0</v>
      </c>
      <c r="U46">
        <f si="1" t="shared"/>
        <v>707.80255508422852</v>
      </c>
    </row>
    <row r="47" spans="1:21" x14ac:dyDescent="0.45">
      <c r="A47" s="10">
        <v>0.91666666666666663</v>
      </c>
      <c r="B47" s="5" t="n">
        <v>224.12559399386868</v>
      </c>
      <c r="C47" s="5" t="n">
        <v>3.859213175244149</v>
      </c>
      <c r="D47" s="5" t="n">
        <v>0.7787593109064889</v>
      </c>
      <c r="E47" s="5" t="n">
        <v>0.1682738972842007</v>
      </c>
      <c r="F47" s="5" t="n">
        <v>3.6046291079196715</v>
      </c>
      <c r="G47" s="5" t="n">
        <v>12.751658914082752</v>
      </c>
      <c r="H47" s="5" t="n">
        <v>0.0</v>
      </c>
      <c r="I47" s="5" t="n">
        <v>0.0</v>
      </c>
      <c r="J47" s="5">
        <f si="0" t="shared"/>
        <v>245.28812839930592</v>
      </c>
      <c r="L47" s="10">
        <v>0.91666666666666663</v>
      </c>
      <c r="M47" s="8" t="n">
        <v>440.2901849746704</v>
      </c>
      <c r="N47" s="8" t="n">
        <v>58.0327672958374</v>
      </c>
      <c r="O47" s="8" t="n">
        <v>0.0</v>
      </c>
      <c r="P47" s="8" t="n">
        <v>0.0</v>
      </c>
      <c r="Q47" s="8" t="n">
        <v>18.115877151489258</v>
      </c>
      <c r="R47" s="8" t="n">
        <v>13.040472984313965</v>
      </c>
      <c r="S47" s="8" t="n">
        <v>0.0</v>
      </c>
      <c r="T47" s="8" t="n">
        <v>0.0</v>
      </c>
      <c r="U47">
        <f si="1" t="shared"/>
        <v>525.12950038909912</v>
      </c>
    </row>
    <row r="48" spans="1:21" x14ac:dyDescent="0.45">
      <c r="A48" s="10">
        <v>0.9375</v>
      </c>
      <c r="B48" s="5" t="n">
        <v>164.5683505513042</v>
      </c>
      <c r="C48" s="5" t="n">
        <v>1.0004479379470346</v>
      </c>
      <c r="D48" s="5" t="n">
        <v>0.24336228465827778</v>
      </c>
      <c r="E48" s="5" t="n">
        <v>0.027280359526988804</v>
      </c>
      <c r="F48" s="5" t="n">
        <v>1.0771951633267771</v>
      </c>
      <c r="G48" s="5" t="n">
        <v>5.088785036694423</v>
      </c>
      <c r="H48" s="5" t="n">
        <v>0.0</v>
      </c>
      <c r="I48" s="5" t="n">
        <v>0.0</v>
      </c>
      <c r="J48" s="5">
        <f si="0" t="shared"/>
        <v>172.00542133345769</v>
      </c>
      <c r="L48" s="10">
        <v>0.9375</v>
      </c>
      <c r="M48" s="8" t="n">
        <v>307.55332374572754</v>
      </c>
      <c r="N48" s="8" t="n">
        <v>40.24523639678955</v>
      </c>
      <c r="O48" s="8" t="n">
        <v>0.0</v>
      </c>
      <c r="P48" s="8" t="n">
        <v>0.0</v>
      </c>
      <c r="Q48" s="8" t="n">
        <v>13.629143714904785</v>
      </c>
      <c r="R48" s="8" t="n">
        <v>9.976428031921387</v>
      </c>
      <c r="S48" s="8" t="n">
        <v>0.0</v>
      </c>
      <c r="T48" s="8" t="n">
        <v>0.0</v>
      </c>
      <c r="U48">
        <f si="1" t="shared"/>
        <v>371.41832447052002</v>
      </c>
    </row>
    <row r="49" spans="1:21" x14ac:dyDescent="0.45">
      <c r="A49" s="10">
        <v>0.95833333333333337</v>
      </c>
      <c r="B49" s="5" t="n">
        <v>110.86089550890227</v>
      </c>
      <c r="C49" s="5" t="n">
        <v>0.2220014753236254</v>
      </c>
      <c r="D49" s="5" t="n">
        <v>0.05726171403724183</v>
      </c>
      <c r="E49" s="5" t="n">
        <v>0.0028141298175649765</v>
      </c>
      <c r="F49" s="5" t="n">
        <v>0.2627469544581715</v>
      </c>
      <c r="G49" s="5" t="n">
        <v>1.5892383357919608</v>
      </c>
      <c r="H49" s="5" t="n">
        <v>0.0</v>
      </c>
      <c r="I49" s="5" t="n">
        <v>0.0</v>
      </c>
      <c r="J49" s="5">
        <f si="0" t="shared"/>
        <v>112.99495811833083</v>
      </c>
      <c r="L49" s="10">
        <v>0.95833333333333337</v>
      </c>
      <c r="M49" s="8" t="n">
        <v>203.18961715698242</v>
      </c>
      <c r="N49" s="8" t="n">
        <v>26.701444625854492</v>
      </c>
      <c r="O49" s="8" t="n">
        <v>0.0</v>
      </c>
      <c r="P49" s="8" t="n">
        <v>0.0</v>
      </c>
      <c r="Q49" s="8" t="n">
        <v>9.79789924621582</v>
      </c>
      <c r="R49" s="8" t="n">
        <v>7.368130683898926</v>
      </c>
      <c r="S49" s="8" t="n">
        <v>0.0</v>
      </c>
      <c r="T49" s="8" t="n">
        <v>0.0</v>
      </c>
      <c r="U49">
        <f si="1" t="shared"/>
        <v>250.86527156829834</v>
      </c>
    </row>
    <row r="50" spans="1:21" x14ac:dyDescent="0.45">
      <c r="A50" s="10">
        <v>0.97916666666666663</v>
      </c>
      <c r="B50" s="5" t="n">
        <v>68.12409589303135</v>
      </c>
      <c r="C50" s="5" t="n">
        <v>0.04099018853804821</v>
      </c>
      <c r="D50" s="5" t="n">
        <v>0.009543619006206972</v>
      </c>
      <c r="E50" s="5" t="n">
        <v>1.385305487640524E-4</v>
      </c>
      <c r="F50" s="5" t="n">
        <v>0.05107597115305607</v>
      </c>
      <c r="G50" s="5" t="n">
        <v>0.37389753755658034</v>
      </c>
      <c r="H50" s="5" t="n">
        <v>0.0</v>
      </c>
      <c r="I50" s="5" t="n">
        <v>0.0</v>
      </c>
      <c r="J50" s="5">
        <f si="0" t="shared"/>
        <v>68.599741739834016</v>
      </c>
      <c r="L50" s="10">
        <v>0.97916666666666663</v>
      </c>
      <c r="M50" s="8" t="n">
        <v>127.50113201141357</v>
      </c>
      <c r="N50" s="8" t="n">
        <v>17.14566993713379</v>
      </c>
      <c r="O50" s="8" t="n">
        <v>0.0</v>
      </c>
      <c r="P50" s="8" t="n">
        <v>0.0</v>
      </c>
      <c r="Q50" s="8" t="n">
        <v>6.630422592163086</v>
      </c>
      <c r="R50" s="8" t="n">
        <v>5.245977401733398</v>
      </c>
      <c r="S50" s="8" t="n">
        <v>0.0</v>
      </c>
      <c r="T50" s="8" t="n">
        <v>0.0</v>
      </c>
      <c r="U50">
        <f si="1" t="shared"/>
        <v>162.31699085235596</v>
      </c>
    </row>
    <row r="51" spans="1:21" x14ac:dyDescent="0.45">
      <c r="A51" s="10">
        <v>1</v>
      </c>
      <c r="B51" s="5" t="n">
        <v>38.198588439539115</v>
      </c>
      <c r="C51" s="5" t="n">
        <v>0.00583827787085211</v>
      </c>
      <c r="D51" s="5" t="n">
        <v>0.001004591474337576</v>
      </c>
      <c r="E51" s="5" t="n">
        <v>0.0</v>
      </c>
      <c r="F51" s="5" t="n">
        <v>0.007515767708753905</v>
      </c>
      <c r="G51" s="5" t="n">
        <v>0.06231625625943005</v>
      </c>
      <c r="H51" s="5" t="n">
        <v>0.0</v>
      </c>
      <c r="I51" s="5" t="n">
        <v>0.0</v>
      </c>
      <c r="J51" s="5">
        <f si="0" t="shared"/>
        <v>38.275263332852482</v>
      </c>
      <c r="L51" s="10">
        <v>1</v>
      </c>
      <c r="M51" s="8" t="n">
        <v>75.62165451049805</v>
      </c>
      <c r="N51" s="8" t="n">
        <v>10.581075668334961</v>
      </c>
      <c r="O51" s="8" t="n">
        <v>0.0</v>
      </c>
      <c r="P51" s="8" t="n">
        <v>0.0</v>
      </c>
      <c r="Q51" s="8" t="n">
        <v>4.138547897338867</v>
      </c>
      <c r="R51" s="8" t="n">
        <v>3.531808853149414</v>
      </c>
      <c r="S51" s="8" t="n">
        <v>0.0</v>
      </c>
      <c r="T51" s="8" t="n">
        <v>0.0</v>
      </c>
      <c r="U51">
        <f si="1" t="shared"/>
        <v>99.658086776733398</v>
      </c>
    </row>
    <row r="52" spans="1:21" x14ac:dyDescent="0.45">
      <c r="A52" s="10">
        <v>1.0208333333333333</v>
      </c>
      <c r="B52" s="5" t="n">
        <v>19.50956984135211</v>
      </c>
      <c r="C52" s="5" t="n">
        <v>5.548499445282862E-4</v>
      </c>
      <c r="D52" s="5" t="n">
        <v>5.02295737168788E-5</v>
      </c>
      <c r="E52" s="5" t="n">
        <v>0.0</v>
      </c>
      <c r="F52" s="5" t="n">
        <v>7.4690248369594E-4</v>
      </c>
      <c r="G52" s="5" t="n">
        <v>0.00655960592204527</v>
      </c>
      <c r="H52" s="5" t="n">
        <v>0.0</v>
      </c>
      <c r="I52" s="5" t="n">
        <v>0.0</v>
      </c>
      <c r="J52" s="5">
        <f si="0" t="shared"/>
        <v>19.517481429276096</v>
      </c>
      <c r="L52" s="10">
        <v>1.0208333333333333</v>
      </c>
      <c r="M52" s="8" t="n">
        <v>41.51192760467529</v>
      </c>
      <c r="N52" s="8" t="n">
        <v>6.079987525939941</v>
      </c>
      <c r="O52" s="8" t="n">
        <v>0.0</v>
      </c>
      <c r="P52" s="8" t="n">
        <v>0.0</v>
      </c>
      <c r="Q52" s="8" t="n">
        <v>2.3203744888305664</v>
      </c>
      <c r="R52" s="8" t="n">
        <v>2.1700963973999023</v>
      </c>
      <c r="S52" s="8" t="n">
        <v>0.0</v>
      </c>
      <c r="T52" s="8" t="n">
        <v>0.0</v>
      </c>
      <c r="U52">
        <f si="1" t="shared"/>
        <v>56.529104232788086</v>
      </c>
    </row>
    <row r="53" spans="1:21" x14ac:dyDescent="0.45">
      <c r="A53" s="10">
        <v>4.1666666666666664E-2</v>
      </c>
      <c r="B53" s="5" t="n">
        <v>8.972518990174244</v>
      </c>
      <c r="C53" s="5" t="n">
        <v>2.564013237659664E-5</v>
      </c>
      <c r="D53" s="5" t="n">
        <v>0.0</v>
      </c>
      <c r="E53" s="5" t="n">
        <v>0.0</v>
      </c>
      <c r="F53" s="5" t="n">
        <v>3.7345124184797004E-5</v>
      </c>
      <c r="G53" s="5" t="n">
        <v>3.2798029610226344E-4</v>
      </c>
      <c r="H53" s="5" t="n">
        <v>0.0</v>
      </c>
      <c r="I53" s="5" t="n">
        <v>0.0</v>
      </c>
      <c r="J53" s="5">
        <f si="0" t="shared"/>
        <v>8.972909955726907</v>
      </c>
      <c r="L53" s="10">
        <v>4.1666666666666664E-2</v>
      </c>
      <c r="M53" s="8" t="n">
        <v>20.40271282196045</v>
      </c>
      <c r="N53" s="8" t="n">
        <v>3.1137304306030273</v>
      </c>
      <c r="O53" s="8" t="n">
        <v>0.0</v>
      </c>
      <c r="P53" s="8" t="n">
        <v>0.0</v>
      </c>
      <c r="Q53" s="8" t="n">
        <v>1.1351499557495117</v>
      </c>
      <c r="R53" s="8" t="n">
        <v>1.1696958541870117</v>
      </c>
      <c r="S53" s="8" t="n">
        <v>0.0</v>
      </c>
      <c r="T53" s="8" t="n">
        <v>0.0</v>
      </c>
      <c r="U53">
        <f si="1" t="shared"/>
        <v>28.558387756347656</v>
      </c>
    </row>
    <row r="54" spans="1:21" x14ac:dyDescent="0.45">
      <c r="A54" s="10">
        <v>6.25E-2</v>
      </c>
      <c r="B54" s="5" t="n">
        <v>3.6264913356094617</v>
      </c>
      <c r="C54" s="5" t="n">
        <v>0.0</v>
      </c>
      <c r="D54" s="5" t="n">
        <v>0.0</v>
      </c>
      <c r="E54" s="5" t="n">
        <v>0.0</v>
      </c>
      <c r="F54" s="5" t="n">
        <v>0.0</v>
      </c>
      <c r="G54" s="5" t="n">
        <v>0.0</v>
      </c>
      <c r="H54" s="5" t="n">
        <v>0.0</v>
      </c>
      <c r="I54" s="5" t="n">
        <v>0.0</v>
      </c>
      <c r="J54" s="5">
        <f si="0" t="shared"/>
        <v>3.6264913356094617</v>
      </c>
      <c r="L54" s="10">
        <v>6.25E-2</v>
      </c>
      <c r="M54" s="8" t="n">
        <v>8.653072357177734</v>
      </c>
      <c r="N54" s="8" t="n">
        <v>1.3627138137817383</v>
      </c>
      <c r="O54" s="8" t="n">
        <v>0.0</v>
      </c>
      <c r="P54" s="8" t="n">
        <v>0.0</v>
      </c>
      <c r="Q54" s="8" t="n">
        <v>0.4707021713256836</v>
      </c>
      <c r="R54" s="8" t="n">
        <v>0.5335721969604492</v>
      </c>
      <c r="S54" s="8" t="n">
        <v>0.0</v>
      </c>
      <c r="T54" s="8" t="n">
        <v>0.0</v>
      </c>
      <c r="U54">
        <f si="1" t="shared"/>
        <v>12.377735137939453</v>
      </c>
    </row>
    <row r="55" spans="1:21" x14ac:dyDescent="0.45">
      <c r="A55" s="10">
        <v>8.3333333333333329E-2</v>
      </c>
      <c r="B55" s="5" t="n">
        <v>1.2438135430356327</v>
      </c>
      <c r="C55" s="5" t="n">
        <v>0.0</v>
      </c>
      <c r="D55" s="5" t="n">
        <v>0.0</v>
      </c>
      <c r="E55" s="5" t="n">
        <v>0.0</v>
      </c>
      <c r="F55" s="5" t="n">
        <v>0.0</v>
      </c>
      <c r="G55" s="5" t="n">
        <v>0.0</v>
      </c>
      <c r="H55" s="5" t="n">
        <v>0.0</v>
      </c>
      <c r="I55" s="5" t="n">
        <v>0.0</v>
      </c>
      <c r="J55" s="5">
        <f si="0" t="shared"/>
        <v>1.2438135430356327</v>
      </c>
      <c r="L55" s="10">
        <v>8.3333333333333329E-2</v>
      </c>
      <c r="M55" s="8" t="n">
        <v>3.05379581451416</v>
      </c>
      <c r="N55" s="8" t="n">
        <v>0.49115657806396484</v>
      </c>
      <c r="O55" s="8" t="n">
        <v>0.0</v>
      </c>
      <c r="P55" s="8" t="n">
        <v>0.0</v>
      </c>
      <c r="Q55" s="8" t="n">
        <v>0.16065597534179688</v>
      </c>
      <c r="R55" s="8" t="n">
        <v>0.19943904876708984</v>
      </c>
      <c r="S55" s="8" t="n">
        <v>0.0</v>
      </c>
      <c r="T55" s="8" t="n">
        <v>0.0</v>
      </c>
      <c r="U55">
        <f si="1" t="shared"/>
        <v>4.4427156448364258</v>
      </c>
    </row>
    <row r="56" spans="1:21" x14ac:dyDescent="0.45">
      <c r="A56" s="10">
        <v>0.10416666666666667</v>
      </c>
      <c r="B56" s="5" t="n">
        <v>0.3467797519231943</v>
      </c>
      <c r="C56" s="5" t="n">
        <v>0.0</v>
      </c>
      <c r="D56" s="5" t="n">
        <v>0.0</v>
      </c>
      <c r="E56" s="5" t="n">
        <v>0.0</v>
      </c>
      <c r="F56" s="5" t="n">
        <v>0.0</v>
      </c>
      <c r="G56" s="5" t="n">
        <v>0.0</v>
      </c>
      <c r="H56" s="5" t="n">
        <v>0.0</v>
      </c>
      <c r="I56" s="5" t="n">
        <v>0.0</v>
      </c>
      <c r="J56" s="5">
        <f si="0" t="shared"/>
        <v>0.34677975192319432</v>
      </c>
      <c r="L56" s="10">
        <v>0.10416666666666667</v>
      </c>
      <c r="M56" s="8" t="n">
        <v>0.8635950088500977</v>
      </c>
      <c r="N56" s="8" t="n">
        <v>0.1405792236328125</v>
      </c>
      <c r="O56" s="8" t="n">
        <v>0.0</v>
      </c>
      <c r="P56" s="8" t="n">
        <v>0.0</v>
      </c>
      <c r="Q56" s="8" t="n">
        <v>0.04366493225097656</v>
      </c>
      <c r="R56" s="8" t="n">
        <v>0.059058189392089844</v>
      </c>
      <c r="S56" s="8" t="n">
        <v>0.0</v>
      </c>
      <c r="T56" s="8" t="n">
        <v>0.0</v>
      </c>
      <c r="U56">
        <f si="1" t="shared"/>
        <v>1.2732620239257813</v>
      </c>
    </row>
    <row r="57" spans="1:21" x14ac:dyDescent="0.45">
      <c r="A57" s="10">
        <v>0.125</v>
      </c>
      <c r="B57" s="5" t="n">
        <v>0.0734950796908505</v>
      </c>
      <c r="C57" s="5" t="n">
        <v>0.0</v>
      </c>
      <c r="D57" s="5" t="n">
        <v>0.0</v>
      </c>
      <c r="E57" s="5" t="n">
        <v>0.0</v>
      </c>
      <c r="F57" s="5" t="n">
        <v>0.0</v>
      </c>
      <c r="G57" s="5" t="n">
        <v>0.0</v>
      </c>
      <c r="H57" s="5" t="n">
        <v>0.0</v>
      </c>
      <c r="I57" s="5" t="n">
        <v>0.0</v>
      </c>
      <c r="J57" s="5">
        <f si="0" t="shared"/>
        <v>7.3495079690850507E-2</v>
      </c>
      <c r="L57" s="10">
        <v>0.125</v>
      </c>
      <c r="M57" s="8" t="n">
        <v>0.18422603607177734</v>
      </c>
      <c r="N57" s="8" t="n">
        <v>0.030134201049804688</v>
      </c>
      <c r="O57" s="8" t="n">
        <v>0.0</v>
      </c>
      <c r="P57" s="8" t="n">
        <v>0.0</v>
      </c>
      <c r="Q57" s="8" t="n">
        <v>0.008931159973144531</v>
      </c>
      <c r="R57" s="8" t="n">
        <v>0.013071060180664062</v>
      </c>
      <c r="S57" s="8" t="n">
        <v>0.0</v>
      </c>
      <c r="T57" s="8" t="n">
        <v>0.0</v>
      </c>
      <c r="U57">
        <f si="1" t="shared"/>
        <v>0.27450466156005859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58"/>
  <sheetViews>
    <sheetView workbookViewId="0">
      <selection activeCell="P27" sqref="P27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32</v>
      </c>
    </row>
    <row r="2" spans="1:25" x14ac:dyDescent="0.45">
      <c r="A2" t="s">
        <v>60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0.0</v>
      </c>
      <c r="C8" s="5" t="n">
        <v>0.0</v>
      </c>
      <c r="D8" s="5" t="n">
        <v>0.0</v>
      </c>
      <c r="E8" s="5" t="n">
        <v>0.0</v>
      </c>
      <c r="F8" s="5" t="n">
        <v>0.0</v>
      </c>
      <c r="G8" s="5" t="n">
        <v>0.0</v>
      </c>
      <c r="H8" s="5" t="n">
        <v>0.0</v>
      </c>
      <c r="I8" s="5" t="n">
        <v>0.0</v>
      </c>
      <c r="J8" s="5">
        <f>SUM(B8:I8)</f>
        <v>0</v>
      </c>
      <c r="L8" t="s">
        <v>5</v>
      </c>
      <c r="M8" s="8" t="n">
        <v>1.0</v>
      </c>
      <c r="N8" s="8" t="n">
        <v>0.0</v>
      </c>
      <c r="O8" s="8" t="n">
        <v>0.0</v>
      </c>
      <c r="P8" s="8" t="n">
        <v>0.0</v>
      </c>
      <c r="Q8" s="8" t="n">
        <v>0.0</v>
      </c>
      <c r="R8" s="8" t="n">
        <v>0.0</v>
      </c>
      <c r="S8" s="8" t="n">
        <v>0.0</v>
      </c>
      <c r="T8" s="8" t="n">
        <v>0.0</v>
      </c>
      <c r="U8">
        <f>SUM(M8:T8)</f>
        <v>1</v>
      </c>
      <c r="X8" s="5"/>
      <c r="Y8" s="5"/>
    </row>
    <row r="9" spans="1:25" x14ac:dyDescent="0.45">
      <c r="A9" s="10">
        <v>0.125</v>
      </c>
      <c r="B9" s="5" t="n">
        <v>0.17929327487275132</v>
      </c>
      <c r="C9" s="5" t="n">
        <v>0.009975275761998827</v>
      </c>
      <c r="D9" s="5" t="n">
        <v>0.0</v>
      </c>
      <c r="E9" s="5" t="n">
        <v>0.038558190950754724</v>
      </c>
      <c r="F9" s="5" t="n">
        <v>5.207354105974125</v>
      </c>
      <c r="G9" s="5" t="n">
        <v>10.200609481536953</v>
      </c>
      <c r="H9" s="5" t="n">
        <v>32.92274158810818</v>
      </c>
      <c r="I9" s="5" t="n">
        <v>0.0</v>
      </c>
      <c r="J9" s="5">
        <f ref="J9:J58" si="0" t="shared">SUM(B9:I9)</f>
        <v>48.55853191720476</v>
      </c>
      <c r="L9" s="10">
        <v>0.125</v>
      </c>
      <c r="M9" s="8" t="n">
        <v>1.233168601989746</v>
      </c>
      <c r="N9" s="8" t="n">
        <v>0.0</v>
      </c>
      <c r="O9" s="8" t="n">
        <v>0.0</v>
      </c>
      <c r="P9" s="8" t="n">
        <v>0.0</v>
      </c>
      <c r="Q9" s="8" t="n">
        <v>0.9252729415893555</v>
      </c>
      <c r="R9" s="8" t="n">
        <v>6.568865776062012</v>
      </c>
      <c r="S9" s="8" t="n">
        <v>28.784976959228516</v>
      </c>
      <c r="T9" s="8" t="n">
        <v>0.0</v>
      </c>
      <c r="U9">
        <f ref="U9:U58" si="1" t="shared">SUM(M9:T9)</f>
        <v>37.382720947265625</v>
      </c>
      <c r="X9" s="5"/>
      <c r="Y9" s="5"/>
    </row>
    <row r="10" spans="1:25" x14ac:dyDescent="0.45">
      <c r="A10" s="10">
        <v>0.14583333333333334</v>
      </c>
      <c r="B10" s="5" t="n">
        <v>1.0952086965614622</v>
      </c>
      <c r="C10" s="5" t="n">
        <v>0.060934280247200344</v>
      </c>
      <c r="D10" s="5" t="n">
        <v>0.0</v>
      </c>
      <c r="E10" s="5" t="n">
        <v>0.23313463931001197</v>
      </c>
      <c r="F10" s="5" t="n">
        <v>16.284370293288113</v>
      </c>
      <c r="G10" s="5" t="n">
        <v>47.28862637993061</v>
      </c>
      <c r="H10" s="5" t="n">
        <v>164.13722001910972</v>
      </c>
      <c r="I10" s="5" t="n">
        <v>0.0</v>
      </c>
      <c r="J10" s="5">
        <f si="0" t="shared"/>
        <v>229.09949430844711</v>
      </c>
      <c r="L10" s="10">
        <v>0.14583333333333334</v>
      </c>
      <c r="M10" s="8" t="n">
        <v>3.005866050720215</v>
      </c>
      <c r="N10" s="8" t="n">
        <v>0.0</v>
      </c>
      <c r="O10" s="8" t="n">
        <v>0.0</v>
      </c>
      <c r="P10" s="8" t="n">
        <v>0.0</v>
      </c>
      <c r="Q10" s="8" t="n">
        <v>4.621315956115723</v>
      </c>
      <c r="R10" s="8" t="n">
        <v>28.10121440887451</v>
      </c>
      <c r="S10" s="8" t="n">
        <v>122.99701404571533</v>
      </c>
      <c r="T10" s="8" t="n">
        <v>0.0</v>
      </c>
      <c r="U10">
        <f si="1" t="shared"/>
        <v>158.93349647521973</v>
      </c>
      <c r="X10" s="5"/>
      <c r="Y10" s="5"/>
    </row>
    <row r="11" spans="1:25" x14ac:dyDescent="0.45">
      <c r="A11" s="10">
        <v>0.16666666666666666</v>
      </c>
      <c r="B11" s="5" t="n">
        <v>4.735611378074281</v>
      </c>
      <c r="C11" s="5" t="n">
        <v>0.26598116778746006</v>
      </c>
      <c r="D11" s="5" t="n">
        <v>2.7177380046839428E-5</v>
      </c>
      <c r="E11" s="5" t="n">
        <v>0.9964045543721771</v>
      </c>
      <c r="F11" s="5" t="n">
        <v>40.717897205337316</v>
      </c>
      <c r="G11" s="5" t="n">
        <v>167.49019243582705</v>
      </c>
      <c r="H11" s="5" t="n">
        <v>623.0757993275212</v>
      </c>
      <c r="I11" s="5" t="n">
        <v>0.0</v>
      </c>
      <c r="J11" s="5">
        <f si="0" t="shared"/>
        <v>837.2819132462995</v>
      </c>
      <c r="L11" s="10">
        <v>0.16666666666666666</v>
      </c>
      <c r="M11" s="8" t="n">
        <v>9.856903076171875</v>
      </c>
      <c r="N11" s="8" t="n">
        <v>0.0</v>
      </c>
      <c r="O11" s="8" t="n">
        <v>0.0</v>
      </c>
      <c r="P11" s="8" t="n">
        <v>0.0</v>
      </c>
      <c r="Q11" s="8" t="n">
        <v>18.10395622253418</v>
      </c>
      <c r="R11" s="8" t="n">
        <v>97.1830825805664</v>
      </c>
      <c r="S11" s="8" t="n">
        <v>432.87508487701416</v>
      </c>
      <c r="T11" s="8" t="n">
        <v>0.0</v>
      </c>
      <c r="U11">
        <f si="1" t="shared"/>
        <v>559.6986608505249</v>
      </c>
      <c r="X11" s="5"/>
      <c r="Y11" s="5"/>
    </row>
    <row r="12" spans="1:25" x14ac:dyDescent="0.45">
      <c r="A12" s="10">
        <v>0.1875</v>
      </c>
      <c r="B12" s="5" t="n">
        <v>15.527314743117849</v>
      </c>
      <c r="C12" s="5" t="n">
        <v>0.8936896564831691</v>
      </c>
      <c r="D12" s="5" t="n">
        <v>5.435476009367885E-4</v>
      </c>
      <c r="E12" s="5" t="n">
        <v>3.2246622457699754</v>
      </c>
      <c r="F12" s="5" t="n">
        <v>88.85166777119093</v>
      </c>
      <c r="G12" s="5" t="n">
        <v>475.9170489160566</v>
      </c>
      <c r="H12" s="5" t="n">
        <v>1887.7678699885118</v>
      </c>
      <c r="I12" s="5" t="n">
        <v>0.0</v>
      </c>
      <c r="J12" s="5">
        <f si="0" t="shared"/>
        <v>2472.1827968687312</v>
      </c>
      <c r="L12" s="10">
        <v>0.1875</v>
      </c>
      <c r="M12" s="8" t="n">
        <v>29.60227870941162</v>
      </c>
      <c r="N12" s="8" t="n">
        <v>0.0</v>
      </c>
      <c r="O12" s="8" t="n">
        <v>0.0</v>
      </c>
      <c r="P12" s="8" t="n">
        <v>0.0</v>
      </c>
      <c r="Q12" s="8" t="n">
        <v>57.51392841339111</v>
      </c>
      <c r="R12" s="8" t="n">
        <v>279.7542552947998</v>
      </c>
      <c r="S12" s="8" t="n">
        <v>1276.3028526306152</v>
      </c>
      <c r="T12" s="8" t="n">
        <v>0.0</v>
      </c>
      <c r="U12">
        <f si="1" t="shared"/>
        <v>1648.614185333252</v>
      </c>
    </row>
    <row r="13" spans="1:25" x14ac:dyDescent="0.45">
      <c r="A13" s="10">
        <v>0.20833333333333334</v>
      </c>
      <c r="B13" s="5" t="n">
        <v>40.22245651851914</v>
      </c>
      <c r="C13" s="5" t="n">
        <v>2.423078717750342</v>
      </c>
      <c r="D13" s="5" t="n">
        <v>0.005205656742035191</v>
      </c>
      <c r="E13" s="5" t="n">
        <v>8.232481410863084</v>
      </c>
      <c r="F13" s="5" t="n">
        <v>174.54931293135516</v>
      </c>
      <c r="G13" s="5" t="n">
        <v>1108.7586589907037</v>
      </c>
      <c r="H13" s="5" t="n">
        <v>4667.746657032622</v>
      </c>
      <c r="I13" s="5" t="n">
        <v>0.0</v>
      </c>
      <c r="J13" s="5">
        <f si="0" t="shared"/>
        <v>6001.9378512585554</v>
      </c>
      <c r="L13" s="10">
        <v>0.20833333333333334</v>
      </c>
      <c r="M13" s="8" t="n">
        <v>75.42197513580322</v>
      </c>
      <c r="N13" s="8" t="n">
        <v>0.0</v>
      </c>
      <c r="O13" s="8" t="n">
        <v>0.0</v>
      </c>
      <c r="P13" s="8" t="n">
        <v>0.0</v>
      </c>
      <c r="Q13" s="8" t="n">
        <v>150.3495168685913</v>
      </c>
      <c r="R13" s="8" t="n">
        <v>673.3209772109985</v>
      </c>
      <c r="S13" s="8" t="n">
        <v>3147.1273040771484</v>
      </c>
      <c r="T13" s="8" t="n">
        <v>0.0</v>
      </c>
      <c r="U13">
        <f si="1" t="shared"/>
        <v>4059.4357872009277</v>
      </c>
    </row>
    <row r="14" spans="1:25" x14ac:dyDescent="0.45">
      <c r="A14" s="10">
        <v>0.22916666666666666</v>
      </c>
      <c r="B14" s="5" t="n">
        <v>84.83489066547551</v>
      </c>
      <c r="C14" s="5" t="n">
        <v>5.491943090353634</v>
      </c>
      <c r="D14" s="5" t="n">
        <v>0.03182130391611094</v>
      </c>
      <c r="E14" s="5" t="n">
        <v>17.090995213955168</v>
      </c>
      <c r="F14" s="5" t="n">
        <v>313.55725463588345</v>
      </c>
      <c r="G14" s="5" t="n">
        <v>2150.2800168608615</v>
      </c>
      <c r="H14" s="5" t="n">
        <v>9567.398853019446</v>
      </c>
      <c r="I14" s="5" t="n">
        <v>0.0</v>
      </c>
      <c r="J14" s="5">
        <f si="0" t="shared"/>
        <v>12138.68577478989</v>
      </c>
      <c r="L14" s="10">
        <v>0.22916666666666666</v>
      </c>
      <c r="M14" s="8" t="n">
        <v>162.401047706604</v>
      </c>
      <c r="N14" s="8" t="n">
        <v>0.0</v>
      </c>
      <c r="O14" s="8" t="n">
        <v>0.0</v>
      </c>
      <c r="P14" s="8" t="n">
        <v>0.0</v>
      </c>
      <c r="Q14" s="8" t="n">
        <v>327.7505054473877</v>
      </c>
      <c r="R14" s="8" t="n">
        <v>1363.246078491211</v>
      </c>
      <c r="S14" s="8" t="n">
        <v>6521.169399261475</v>
      </c>
      <c r="T14" s="8" t="n">
        <v>0.0</v>
      </c>
      <c r="U14">
        <f si="1" t="shared"/>
        <v>8401.1252384185791</v>
      </c>
    </row>
    <row r="15" spans="1:25" x14ac:dyDescent="0.45">
      <c r="A15" s="10">
        <v>0.25</v>
      </c>
      <c r="B15" s="5" t="n">
        <v>149.39682274029605</v>
      </c>
      <c r="C15" s="5" t="n">
        <v>10.681690549921017</v>
      </c>
      <c r="D15" s="5" t="n">
        <v>0.13964576762272</v>
      </c>
      <c r="E15" s="5" t="n">
        <v>29.627180846230026</v>
      </c>
      <c r="F15" s="5" t="n">
        <v>515.9221192682022</v>
      </c>
      <c r="G15" s="5" t="n">
        <v>3508.9224519932245</v>
      </c>
      <c r="H15" s="5" t="n">
        <v>16438.833430346174</v>
      </c>
      <c r="I15" s="5" t="n">
        <v>0.0</v>
      </c>
      <c r="J15" s="5">
        <f si="0" t="shared"/>
        <v>20653.523341511671</v>
      </c>
      <c r="L15" s="10">
        <v>0.25</v>
      </c>
      <c r="M15" s="8" t="n">
        <v>297.4874782562256</v>
      </c>
      <c r="N15" s="8" t="n">
        <v>0.0</v>
      </c>
      <c r="O15" s="8" t="n">
        <v>0.0</v>
      </c>
      <c r="P15" s="8" t="n">
        <v>0.0</v>
      </c>
      <c r="Q15" s="8" t="n">
        <v>602.8850975036621</v>
      </c>
      <c r="R15" s="8" t="n">
        <v>2337.188729286194</v>
      </c>
      <c r="S15" s="8" t="n">
        <v>11434.409289360046</v>
      </c>
      <c r="T15" s="8" t="n">
        <v>0.0</v>
      </c>
      <c r="U15">
        <f si="1" t="shared"/>
        <v>14717.112299919128</v>
      </c>
    </row>
    <row r="16" spans="1:25" x14ac:dyDescent="0.45">
      <c r="A16" s="10">
        <v>0.27083333333333331</v>
      </c>
      <c r="B16" s="5" t="n">
        <v>224.89543513183818</v>
      </c>
      <c r="C16" s="5" t="n">
        <v>18.1301134430587</v>
      </c>
      <c r="D16" s="5" t="n">
        <v>0.46918626802089636</v>
      </c>
      <c r="E16" s="5" t="n">
        <v>44.07540003428986</v>
      </c>
      <c r="F16" s="5" t="n">
        <v>772.282989977078</v>
      </c>
      <c r="G16" s="5" t="n">
        <v>4854.352993660829</v>
      </c>
      <c r="H16" s="5" t="n">
        <v>23868.85065932484</v>
      </c>
      <c r="I16" s="5" t="n">
        <v>0.0</v>
      </c>
      <c r="J16" s="5">
        <f si="0" t="shared"/>
        <v>29783.056777839953</v>
      </c>
      <c r="L16" s="10">
        <v>0.27083333333333331</v>
      </c>
      <c r="M16" s="8" t="n">
        <v>467.06679344177246</v>
      </c>
      <c r="N16" s="8" t="n">
        <v>0.0</v>
      </c>
      <c r="O16" s="8" t="n">
        <v>0.0</v>
      </c>
      <c r="P16" s="8" t="n">
        <v>0.0</v>
      </c>
      <c r="Q16" s="8" t="n">
        <v>945.3529767990112</v>
      </c>
      <c r="R16" s="8" t="n">
        <v>3414.352283477783</v>
      </c>
      <c r="S16" s="8" t="n">
        <v>17085.65313053131</v>
      </c>
      <c r="T16" s="8" t="n">
        <v>0.0</v>
      </c>
      <c r="U16">
        <f si="1" t="shared"/>
        <v>21977.638398170471</v>
      </c>
    </row>
    <row r="17" spans="1:21" x14ac:dyDescent="0.45">
      <c r="A17" s="10">
        <v>0.29166666666666669</v>
      </c>
      <c r="B17" s="5" t="n">
        <v>296.14045173732785</v>
      </c>
      <c r="C17" s="5" t="n">
        <v>27.039679800998446</v>
      </c>
      <c r="D17" s="5" t="n">
        <v>1.256664963657962</v>
      </c>
      <c r="E17" s="5" t="n">
        <v>58.092966304427556</v>
      </c>
      <c r="F17" s="5" t="n">
        <v>1043.6976185134836</v>
      </c>
      <c r="G17" s="5" t="n">
        <v>5721.984790474325</v>
      </c>
      <c r="H17" s="5" t="n">
        <v>29453.82297336513</v>
      </c>
      <c r="I17" s="5" t="n">
        <v>0.0</v>
      </c>
      <c r="J17" s="5">
        <f si="0" t="shared"/>
        <v>36602.035145159352</v>
      </c>
      <c r="L17" s="10">
        <v>0.29166666666666669</v>
      </c>
      <c r="M17" s="8" t="n">
        <v>632.7696743011475</v>
      </c>
      <c r="N17" s="8" t="n">
        <v>0.0</v>
      </c>
      <c r="O17" s="8" t="n">
        <v>0.0</v>
      </c>
      <c r="P17" s="8" t="n">
        <v>0.0</v>
      </c>
      <c r="Q17" s="8" t="n">
        <v>1274.464183807373</v>
      </c>
      <c r="R17" s="8" t="n">
        <v>4274.491159439087</v>
      </c>
      <c r="S17" s="8" t="n">
        <v>21894.922597885132</v>
      </c>
      <c r="T17" s="8" t="n">
        <v>0.0</v>
      </c>
      <c r="U17">
        <f si="1" t="shared"/>
        <v>28156.786996841431</v>
      </c>
    </row>
    <row r="18" spans="1:21" x14ac:dyDescent="0.45">
      <c r="A18" s="10">
        <v>0.3125</v>
      </c>
      <c r="B18" s="5" t="n">
        <v>348.37552076964954</v>
      </c>
      <c r="C18" s="5" t="n">
        <v>35.3747455374732</v>
      </c>
      <c r="D18" s="5" t="n">
        <v>2.7573289696323373</v>
      </c>
      <c r="E18" s="5" t="n">
        <v>70.39080342709411</v>
      </c>
      <c r="F18" s="5" t="n">
        <v>1269.1820610966029</v>
      </c>
      <c r="G18" s="5" t="n">
        <v>5764.557413615428</v>
      </c>
      <c r="H18" s="5" t="n">
        <v>31007.582044541457</v>
      </c>
      <c r="I18" s="5" t="n">
        <v>0.0</v>
      </c>
      <c r="J18" s="5">
        <f si="0" t="shared"/>
        <v>38498.219917957336</v>
      </c>
      <c r="L18" s="10">
        <v>0.3125</v>
      </c>
      <c r="M18" s="8" t="n">
        <v>743.9568147659302</v>
      </c>
      <c r="N18" s="8" t="n">
        <v>0.0</v>
      </c>
      <c r="O18" s="8" t="n">
        <v>0.0</v>
      </c>
      <c r="P18" s="8" t="n">
        <v>0.0</v>
      </c>
      <c r="Q18" s="8" t="n">
        <v>1487.580587387085</v>
      </c>
      <c r="R18" s="8" t="n">
        <v>4608.684052467346</v>
      </c>
      <c r="S18" s="8" t="n">
        <v>24194.73789215088</v>
      </c>
      <c r="T18" s="8" t="n">
        <v>0.0</v>
      </c>
      <c r="U18">
        <f si="1" t="shared"/>
        <v>31118.712470054626</v>
      </c>
    </row>
    <row r="19" spans="1:21" x14ac:dyDescent="0.45">
      <c r="A19" s="10">
        <v>0.33333333333333331</v>
      </c>
      <c r="B19" s="5" t="n">
        <v>371.72817765706714</v>
      </c>
      <c r="C19" s="5" t="n">
        <v>40.295887073758614</v>
      </c>
      <c r="D19" s="5" t="n">
        <v>5.051200002149172</v>
      </c>
      <c r="E19" s="5" t="n">
        <v>81.36903618274222</v>
      </c>
      <c r="F19" s="5" t="n">
        <v>1392.6669640153882</v>
      </c>
      <c r="G19" s="5" t="n">
        <v>4972.410948021942</v>
      </c>
      <c r="H19" s="5" t="n">
        <v>27914.952027669704</v>
      </c>
      <c r="I19" s="5" t="n">
        <v>0.0</v>
      </c>
      <c r="J19" s="5">
        <f si="0" t="shared"/>
        <v>34778.474240622752</v>
      </c>
      <c r="L19" s="10">
        <v>0.33333333333333331</v>
      </c>
      <c r="M19" s="8" t="n">
        <v>762.7211246490479</v>
      </c>
      <c r="N19" s="8" t="n">
        <v>0.0</v>
      </c>
      <c r="O19" s="8" t="n">
        <v>0.0</v>
      </c>
      <c r="P19" s="8" t="n">
        <v>0.0</v>
      </c>
      <c r="Q19" s="8" t="n">
        <v>1512.0093784332275</v>
      </c>
      <c r="R19" s="8" t="n">
        <v>4297.392708778381</v>
      </c>
      <c r="S19" s="8" t="n">
        <v>23158.75659275055</v>
      </c>
      <c r="T19" s="8" t="n">
        <v>0.0</v>
      </c>
      <c r="U19">
        <f si="1" t="shared"/>
        <v>29805.304677009583</v>
      </c>
    </row>
    <row r="20" spans="1:21" x14ac:dyDescent="0.45">
      <c r="A20" s="10">
        <v>0.35416666666666669</v>
      </c>
      <c r="B20" s="5" t="n">
        <v>361.77605128879475</v>
      </c>
      <c r="C20" s="5" t="n">
        <v>39.567994591321266</v>
      </c>
      <c r="D20" s="5" t="n">
        <v>7.831500354492513</v>
      </c>
      <c r="E20" s="5" t="n">
        <v>92.24348362944008</v>
      </c>
      <c r="F20" s="5" t="n">
        <v>1391.1592288136812</v>
      </c>
      <c r="G20" s="5" t="n">
        <v>3678.607408242128</v>
      </c>
      <c r="H20" s="5" t="n">
        <v>21516.40096434706</v>
      </c>
      <c r="I20" s="5" t="n">
        <v>0.0</v>
      </c>
      <c r="J20" s="5">
        <f si="0" t="shared"/>
        <v>27087.586631266917</v>
      </c>
      <c r="L20" s="10">
        <v>0.35416666666666669</v>
      </c>
      <c r="M20" s="8" t="n">
        <v>684.930438041687</v>
      </c>
      <c r="N20" s="8" t="n">
        <v>0.0</v>
      </c>
      <c r="O20" s="8" t="n">
        <v>0.0</v>
      </c>
      <c r="P20" s="8" t="n">
        <v>0.0</v>
      </c>
      <c r="Q20" s="8" t="n">
        <v>1345.1904954910278</v>
      </c>
      <c r="R20" s="8" t="n">
        <v>3477.3959283828735</v>
      </c>
      <c r="S20" s="8" t="n">
        <v>19270.500467300415</v>
      </c>
      <c r="T20" s="8" t="n">
        <v>0.0</v>
      </c>
      <c r="U20">
        <f si="1" t="shared"/>
        <v>24834.405833244324</v>
      </c>
    </row>
    <row r="21" spans="1:21" x14ac:dyDescent="0.45">
      <c r="A21" s="10">
        <v>0.375</v>
      </c>
      <c r="B21" s="5" t="n">
        <v>319.93982926263703</v>
      </c>
      <c r="C21" s="5" t="n">
        <v>33.13449408566766</v>
      </c>
      <c r="D21" s="5" t="n">
        <v>10.395111899848109</v>
      </c>
      <c r="E21" s="5" t="n">
        <v>103.70658024660631</v>
      </c>
      <c r="F21" s="5" t="n">
        <v>1282.6549791664452</v>
      </c>
      <c r="G21" s="5" t="n">
        <v>2346.1446242111115</v>
      </c>
      <c r="H21" s="5" t="n">
        <v>14205.530777304599</v>
      </c>
      <c r="I21" s="5" t="n">
        <v>0.0</v>
      </c>
      <c r="J21" s="5">
        <f si="0" t="shared"/>
        <v>18301.506396176916</v>
      </c>
      <c r="L21" s="10">
        <v>0.375</v>
      </c>
      <c r="M21" s="8" t="n">
        <v>541.8810834884644</v>
      </c>
      <c r="N21" s="8" t="n">
        <v>0.0</v>
      </c>
      <c r="O21" s="8" t="n">
        <v>0.0</v>
      </c>
      <c r="P21" s="8" t="n">
        <v>0.0</v>
      </c>
      <c r="Q21" s="8" t="n">
        <v>1053.8475322723389</v>
      </c>
      <c r="R21" s="8" t="n">
        <v>2448.816333770752</v>
      </c>
      <c r="S21" s="8" t="n">
        <v>13983.315278053284</v>
      </c>
      <c r="T21" s="8" t="n">
        <v>0.0</v>
      </c>
      <c r="U21">
        <f si="1" t="shared"/>
        <v>18064.776268959045</v>
      </c>
    </row>
    <row r="22" spans="1:21" x14ac:dyDescent="0.45">
      <c r="A22" s="10">
        <v>0.39583333333333331</v>
      </c>
      <c r="B22" s="5" t="n">
        <v>255.2648274422126</v>
      </c>
      <c r="C22" s="5" t="n">
        <v>23.430835371863083</v>
      </c>
      <c r="D22" s="5" t="n">
        <v>12.00490260709242</v>
      </c>
      <c r="E22" s="5" t="n">
        <v>115.03072522058864</v>
      </c>
      <c r="F22" s="5" t="n">
        <v>1111.3802848481894</v>
      </c>
      <c r="G22" s="5" t="n">
        <v>1316.1316748586496</v>
      </c>
      <c r="H22" s="5" t="n">
        <v>8038.8713733814575</v>
      </c>
      <c r="I22" s="5" t="n">
        <v>0.0</v>
      </c>
      <c r="J22" s="5">
        <f si="0" t="shared"/>
        <v>10872.114623730053</v>
      </c>
      <c r="L22" s="10">
        <v>0.39583333333333331</v>
      </c>
      <c r="M22" s="8" t="n">
        <v>381.8549499511719</v>
      </c>
      <c r="N22" s="8" t="n">
        <v>0.0</v>
      </c>
      <c r="O22" s="8" t="n">
        <v>0.0</v>
      </c>
      <c r="P22" s="8" t="n">
        <v>0.0</v>
      </c>
      <c r="Q22" s="8" t="n">
        <v>734.4901056289673</v>
      </c>
      <c r="R22" s="8" t="n">
        <v>1505.2299156188965</v>
      </c>
      <c r="S22" s="8" t="n">
        <v>8882.475834846497</v>
      </c>
      <c r="T22" s="8" t="n">
        <v>0.0</v>
      </c>
      <c r="U22">
        <f si="1" t="shared"/>
        <v>11525.726391792297</v>
      </c>
    </row>
    <row r="23" spans="1:21" x14ac:dyDescent="0.45">
      <c r="A23" s="10">
        <v>0.41666666666666669</v>
      </c>
      <c r="B23" s="5" t="n">
        <v>183.70926380201468</v>
      </c>
      <c r="C23" s="5" t="n">
        <v>14.00102740988283</v>
      </c>
      <c r="D23" s="5" t="n">
        <v>12.513229598687339</v>
      </c>
      <c r="E23" s="5" t="n">
        <v>123.55771132433175</v>
      </c>
      <c r="F23" s="5" t="n">
        <v>926.1903340763871</v>
      </c>
      <c r="G23" s="5" t="n">
        <v>693.8774599175711</v>
      </c>
      <c r="H23" s="5" t="n">
        <v>3916.9824187296053</v>
      </c>
      <c r="I23" s="5" t="n">
        <v>0.0</v>
      </c>
      <c r="J23" s="5">
        <f si="0" t="shared"/>
        <v>5870.8314448584806</v>
      </c>
      <c r="L23" s="10">
        <v>0.41666666666666669</v>
      </c>
      <c r="M23" s="8" t="n">
        <v>245.7083797454834</v>
      </c>
      <c r="N23" s="8" t="n">
        <v>0.0</v>
      </c>
      <c r="O23" s="8" t="n">
        <v>0.0</v>
      </c>
      <c r="P23" s="8" t="n">
        <v>0.0</v>
      </c>
      <c r="Q23" s="8" t="n">
        <v>465.47471618652344</v>
      </c>
      <c r="R23" s="8" t="n">
        <v>811.8698883056641</v>
      </c>
      <c r="S23" s="8" t="n">
        <v>4977.79096031189</v>
      </c>
      <c r="T23" s="8" t="n">
        <v>0.0</v>
      </c>
      <c r="U23">
        <f si="1" t="shared"/>
        <v>6512.9262533187866</v>
      </c>
    </row>
    <row r="24" spans="1:21" x14ac:dyDescent="0.45">
      <c r="A24" s="10">
        <v>0.4375</v>
      </c>
      <c r="B24" s="5" t="n">
        <v>122.32093031235493</v>
      </c>
      <c r="C24" s="5" t="n">
        <v>7.689799584420853</v>
      </c>
      <c r="D24" s="5" t="n">
        <v>12.796081125574226</v>
      </c>
      <c r="E24" s="5" t="n">
        <v>124.91759410583974</v>
      </c>
      <c r="F24" s="5" t="n">
        <v>765.6117398288131</v>
      </c>
      <c r="G24" s="5" t="n">
        <v>399.41517475480737</v>
      </c>
      <c r="H24" s="5" t="n">
        <v>1682.4419631634782</v>
      </c>
      <c r="I24" s="5" t="n">
        <v>0.0</v>
      </c>
      <c r="J24" s="5">
        <f si="0" t="shared"/>
        <v>3115.1932828752888</v>
      </c>
      <c r="L24" s="10">
        <v>0.4375</v>
      </c>
      <c r="M24" s="8" t="n">
        <v>152.50127506256104</v>
      </c>
      <c r="N24" s="8" t="n">
        <v>0.0</v>
      </c>
      <c r="O24" s="8" t="n">
        <v>0.0</v>
      </c>
      <c r="P24" s="8" t="n">
        <v>0.0</v>
      </c>
      <c r="Q24" s="8" t="n">
        <v>281.2105178833008</v>
      </c>
      <c r="R24" s="8" t="n">
        <v>389.49738597869873</v>
      </c>
      <c r="S24" s="8" t="n">
        <v>2510.1689920425415</v>
      </c>
      <c r="T24" s="8" t="n">
        <v>0.0</v>
      </c>
      <c r="U24">
        <f si="1" t="shared"/>
        <v>3339.6038026809692</v>
      </c>
    </row>
    <row r="25" spans="1:21" x14ac:dyDescent="0.45">
      <c r="A25" s="10">
        <v>0.45833333333333331</v>
      </c>
      <c r="B25" s="5" t="n">
        <v>82.02183406886166</v>
      </c>
      <c r="C25" s="5" t="n">
        <v>5.943990260348361</v>
      </c>
      <c r="D25" s="5" t="n">
        <v>14.489024556887795</v>
      </c>
      <c r="E25" s="5" t="n">
        <v>115.07561644660507</v>
      </c>
      <c r="F25" s="5" t="n">
        <v>649.8245711681476</v>
      </c>
      <c r="G25" s="5" t="n">
        <v>287.0651512411275</v>
      </c>
      <c r="H25" s="5" t="n">
        <v>704.6714963033392</v>
      </c>
      <c r="I25" s="5" t="n">
        <v>0.0</v>
      </c>
      <c r="J25" s="5">
        <f si="0" t="shared"/>
        <v>1859.0916840453172</v>
      </c>
      <c r="L25" s="10">
        <v>0.45833333333333331</v>
      </c>
      <c r="M25" s="8" t="n">
        <v>100.51047706604004</v>
      </c>
      <c r="N25" s="8" t="n">
        <v>0.0</v>
      </c>
      <c r="O25" s="8" t="n">
        <v>0.0</v>
      </c>
      <c r="P25" s="8" t="n">
        <v>0.0</v>
      </c>
      <c r="Q25" s="8" t="n">
        <v>176.58025360107422</v>
      </c>
      <c r="R25" s="8" t="n">
        <v>172.61610317230225</v>
      </c>
      <c r="S25" s="8" t="n">
        <v>1197.097770690918</v>
      </c>
      <c r="T25" s="8" t="n">
        <v>0.0</v>
      </c>
      <c r="U25">
        <f si="1" t="shared"/>
        <v>1648.4757289886475</v>
      </c>
    </row>
    <row r="26" spans="1:21" x14ac:dyDescent="0.45">
      <c r="A26" s="10">
        <v>0.47916666666666669</v>
      </c>
      <c r="B26" s="5" t="n">
        <v>64.40679084796662</v>
      </c>
      <c r="C26" s="5" t="n">
        <v>9.193178125976097</v>
      </c>
      <c r="D26" s="5" t="n">
        <v>18.942222795628698</v>
      </c>
      <c r="E26" s="5" t="n">
        <v>93.70451494821143</v>
      </c>
      <c r="F26" s="5" t="n">
        <v>576.6287391603073</v>
      </c>
      <c r="G26" s="5" t="n">
        <v>237.67764223395565</v>
      </c>
      <c r="H26" s="5" t="n">
        <v>381.3212869955223</v>
      </c>
      <c r="I26" s="5" t="n">
        <v>0.0</v>
      </c>
      <c r="J26" s="5">
        <f si="0" t="shared"/>
        <v>1381.8743751075681</v>
      </c>
      <c r="L26" s="10">
        <v>0.47916666666666669</v>
      </c>
      <c r="M26" s="8" t="n">
        <v>77.35268211364746</v>
      </c>
      <c r="N26" s="8" t="n">
        <v>0.0</v>
      </c>
      <c r="O26" s="8" t="n">
        <v>0.0</v>
      </c>
      <c r="P26" s="8" t="n">
        <v>0.0</v>
      </c>
      <c r="Q26" s="8" t="n">
        <v>127.70147037506104</v>
      </c>
      <c r="R26" s="8" t="n">
        <v>77.95759868621826</v>
      </c>
      <c r="S26" s="8" t="n">
        <v>599.0662717819214</v>
      </c>
      <c r="T26" s="8" t="n">
        <v>0.0</v>
      </c>
      <c r="U26">
        <f si="1" t="shared"/>
        <v>879.51245784759521</v>
      </c>
    </row>
    <row r="27" spans="1:21" x14ac:dyDescent="0.45">
      <c r="A27" s="10">
        <v>0.5</v>
      </c>
      <c r="B27" s="5" t="n">
        <v>63.52045021166019</v>
      </c>
      <c r="C27" s="5" t="n">
        <v>16.992453414286395</v>
      </c>
      <c r="D27" s="5" t="n">
        <v>25.993733617582777</v>
      </c>
      <c r="E27" s="5" t="n">
        <v>65.80555412678994</v>
      </c>
      <c r="F27" s="5" t="n">
        <v>524.9866583214626</v>
      </c>
      <c r="G27" s="5" t="n">
        <v>192.06754886666525</v>
      </c>
      <c r="H27" s="5" t="n">
        <v>328.5485407899903</v>
      </c>
      <c r="I27" s="5" t="n">
        <v>0.0</v>
      </c>
      <c r="J27" s="5">
        <f si="0" t="shared"/>
        <v>1217.9149393484374</v>
      </c>
      <c r="L27" s="10">
        <v>0.5</v>
      </c>
      <c r="M27" s="8" t="n">
        <v>69.87663173675537</v>
      </c>
      <c r="N27" s="8" t="n">
        <v>0.0</v>
      </c>
      <c r="O27" s="8" t="n">
        <v>0.0</v>
      </c>
      <c r="P27" s="8" t="n">
        <v>0.0</v>
      </c>
      <c r="Q27" s="8" t="n">
        <v>110.63468742370605</v>
      </c>
      <c r="R27" s="8" t="n">
        <v>43.43022632598877</v>
      </c>
      <c r="S27" s="8" t="n">
        <v>360.39898109436035</v>
      </c>
      <c r="T27" s="8" t="n">
        <v>0.0</v>
      </c>
      <c r="U27">
        <f si="1" t="shared"/>
        <v>578.37425327301025</v>
      </c>
    </row>
    <row r="28" spans="1:21" x14ac:dyDescent="0.45">
      <c r="A28" s="10">
        <v>0.52083333333333337</v>
      </c>
      <c r="B28" s="5" t="n">
        <v>70.13395274515854</v>
      </c>
      <c r="C28" s="5" t="n">
        <v>27.359060936242557</v>
      </c>
      <c r="D28" s="5" t="n">
        <v>33.534503920400134</v>
      </c>
      <c r="E28" s="5" t="n">
        <v>39.3979902298241</v>
      </c>
      <c r="F28" s="5" t="n">
        <v>469.32169144199605</v>
      </c>
      <c r="G28" s="5" t="n">
        <v>141.52889031157463</v>
      </c>
      <c r="H28" s="5" t="n">
        <v>353.2159970301992</v>
      </c>
      <c r="I28" s="5" t="n">
        <v>0.0</v>
      </c>
      <c r="J28" s="5">
        <f si="0" t="shared"/>
        <v>1134.4920866153952</v>
      </c>
      <c r="L28" s="10">
        <v>0.52083333333333337</v>
      </c>
      <c r="M28" s="8" t="n">
        <v>69.10227489471436</v>
      </c>
      <c r="N28" s="8" t="n">
        <v>0.0</v>
      </c>
      <c r="O28" s="8" t="n">
        <v>0.0</v>
      </c>
      <c r="P28" s="8" t="n">
        <v>0.0</v>
      </c>
      <c r="Q28" s="8" t="n">
        <v>109.53770637512207</v>
      </c>
      <c r="R28" s="8" t="n">
        <v>35.21378135681152</v>
      </c>
      <c r="S28" s="8" t="n">
        <v>274.9866886138916</v>
      </c>
      <c r="T28" s="8" t="n">
        <v>0.0</v>
      </c>
      <c r="U28">
        <f si="1" t="shared"/>
        <v>481.28797626495361</v>
      </c>
    </row>
    <row r="29" spans="1:21" x14ac:dyDescent="0.45">
      <c r="A29" s="10">
        <v>0.54166666666666663</v>
      </c>
      <c r="B29" s="5" t="n">
        <v>76.74243741776152</v>
      </c>
      <c r="C29" s="5" t="n">
        <v>36.53206212042558</v>
      </c>
      <c r="D29" s="5" t="n">
        <v>38.45796707674499</v>
      </c>
      <c r="E29" s="5" t="n">
        <v>21.343606160486193</v>
      </c>
      <c r="F29" s="5" t="n">
        <v>396.79266162561794</v>
      </c>
      <c r="G29" s="5" t="n">
        <v>101.18388584447445</v>
      </c>
      <c r="H29" s="5" t="n">
        <v>371.0888930826511</v>
      </c>
      <c r="I29" s="5" t="n">
        <v>0.0</v>
      </c>
      <c r="J29" s="5">
        <f si="0" t="shared"/>
        <v>1042.1415133281619</v>
      </c>
      <c r="L29" s="10">
        <v>0.54166666666666663</v>
      </c>
      <c r="M29" s="8" t="n">
        <v>70.87843227386475</v>
      </c>
      <c r="N29" s="8" t="n">
        <v>0.0</v>
      </c>
      <c r="O29" s="8" t="n">
        <v>0.0</v>
      </c>
      <c r="P29" s="8" t="n">
        <v>0.0</v>
      </c>
      <c r="Q29" s="8" t="n">
        <v>116.51276016235352</v>
      </c>
      <c r="R29" s="8" t="n">
        <v>39.21013069152832</v>
      </c>
      <c r="S29" s="8" t="n">
        <v>251.56016159057617</v>
      </c>
      <c r="T29" s="8" t="n">
        <v>0.0</v>
      </c>
      <c r="U29">
        <f si="1" t="shared"/>
        <v>471.39131927490234</v>
      </c>
    </row>
    <row r="30" spans="1:21" x14ac:dyDescent="0.45">
      <c r="A30" s="10">
        <v>0.5625</v>
      </c>
      <c r="B30" s="5" t="n">
        <v>82.65525405358645</v>
      </c>
      <c r="C30" s="5" t="n">
        <v>40.657473447009046</v>
      </c>
      <c r="D30" s="5" t="n">
        <v>38.54229549619903</v>
      </c>
      <c r="E30" s="5" t="n">
        <v>15.333090049381616</v>
      </c>
      <c r="F30" s="5" t="n">
        <v>313.9939369603985</v>
      </c>
      <c r="G30" s="5" t="n">
        <v>85.19088170338918</v>
      </c>
      <c r="H30" s="5" t="n">
        <v>353.91582093954787</v>
      </c>
      <c r="I30" s="5" t="n">
        <v>0.0</v>
      </c>
      <c r="J30" s="5">
        <f si="0" t="shared"/>
        <v>930.28875264951171</v>
      </c>
      <c r="L30" s="10">
        <v>0.5625</v>
      </c>
      <c r="M30" s="8" t="n">
        <v>74.78226375579834</v>
      </c>
      <c r="N30" s="8" t="n">
        <v>0.0</v>
      </c>
      <c r="O30" s="8" t="n">
        <v>0.0</v>
      </c>
      <c r="P30" s="8" t="n">
        <v>0.0</v>
      </c>
      <c r="Q30" s="8" t="n">
        <v>128.80126667022705</v>
      </c>
      <c r="R30" s="8" t="n">
        <v>51.051758766174316</v>
      </c>
      <c r="S30" s="8" t="n">
        <v>260.0032768249512</v>
      </c>
      <c r="T30" s="8" t="n">
        <v>0.0</v>
      </c>
      <c r="U30">
        <f si="1" t="shared"/>
        <v>510.89547157287598</v>
      </c>
    </row>
    <row r="31" spans="1:21" x14ac:dyDescent="0.45">
      <c r="A31" s="10">
        <v>0.58333333333333337</v>
      </c>
      <c r="B31" s="5" t="n">
        <v>97.31218200165304</v>
      </c>
      <c r="C31" s="5" t="n">
        <v>38.86314923333053</v>
      </c>
      <c r="D31" s="5" t="n">
        <v>33.876614798710364</v>
      </c>
      <c r="E31" s="5" t="n">
        <v>22.939079431735127</v>
      </c>
      <c r="F31" s="5" t="n">
        <v>238.87646765886242</v>
      </c>
      <c r="G31" s="5" t="n">
        <v>94.19449296120533</v>
      </c>
      <c r="H31" s="5" t="n">
        <v>307.66912959625404</v>
      </c>
      <c r="I31" s="5" t="n">
        <v>0.0</v>
      </c>
      <c r="J31" s="5">
        <f si="0" t="shared"/>
        <v>833.73111568175091</v>
      </c>
      <c r="L31" s="10">
        <v>0.58333333333333337</v>
      </c>
      <c r="M31" s="8" t="n">
        <v>82.7998161315918</v>
      </c>
      <c r="N31" s="8" t="n">
        <v>0.0</v>
      </c>
      <c r="O31" s="8" t="n">
        <v>0.0</v>
      </c>
      <c r="P31" s="8" t="n">
        <v>0.0</v>
      </c>
      <c r="Q31" s="8" t="n">
        <v>146.54977989196777</v>
      </c>
      <c r="R31" s="8" t="n">
        <v>69.93962955474854</v>
      </c>
      <c r="S31" s="8" t="n">
        <v>294.73357486724854</v>
      </c>
      <c r="T31" s="8" t="n">
        <v>0.0</v>
      </c>
      <c r="U31">
        <f si="1" t="shared"/>
        <v>594.87407875061035</v>
      </c>
    </row>
    <row r="32" spans="1:21" x14ac:dyDescent="0.45">
      <c r="A32" s="10">
        <v>0.60416666666666663</v>
      </c>
      <c r="B32" s="5" t="n">
        <v>138.10740518410242</v>
      </c>
      <c r="C32" s="5" t="n">
        <v>35.137847601391776</v>
      </c>
      <c r="D32" s="5" t="n">
        <v>26.63781505354051</v>
      </c>
      <c r="E32" s="5" t="n">
        <v>44.73703958302263</v>
      </c>
      <c r="F32" s="5" t="n">
        <v>187.2199516517149</v>
      </c>
      <c r="G32" s="5" t="n">
        <v>116.97676635629334</v>
      </c>
      <c r="H32" s="5" t="n">
        <v>259.6461707583818</v>
      </c>
      <c r="I32" s="5" t="n">
        <v>0.0</v>
      </c>
      <c r="J32" s="5">
        <f si="0" t="shared"/>
        <v>808.46299618844739</v>
      </c>
      <c r="L32" s="10">
        <v>0.60416666666666663</v>
      </c>
      <c r="M32" s="8" t="n">
        <v>97.95372581481934</v>
      </c>
      <c r="N32" s="8" t="n">
        <v>0.0</v>
      </c>
      <c r="O32" s="8" t="n">
        <v>0.0</v>
      </c>
      <c r="P32" s="8" t="n">
        <v>0.0</v>
      </c>
      <c r="Q32" s="8" t="n">
        <v>171.13140773773193</v>
      </c>
      <c r="R32" s="8" t="n">
        <v>95.66228199005127</v>
      </c>
      <c r="S32" s="8" t="n">
        <v>355.8986539840698</v>
      </c>
      <c r="T32" s="8" t="n">
        <v>0.0</v>
      </c>
      <c r="U32">
        <f si="1" t="shared"/>
        <v>726.59403133392334</v>
      </c>
    </row>
    <row r="33" spans="1:21" x14ac:dyDescent="0.45">
      <c r="A33" s="10">
        <v>0.625</v>
      </c>
      <c r="B33" s="5" t="n">
        <v>220.1894670005088</v>
      </c>
      <c r="C33" s="5" t="n">
        <v>36.87473605618061</v>
      </c>
      <c r="D33" s="5" t="n">
        <v>19.468244332855036</v>
      </c>
      <c r="E33" s="5" t="n">
        <v>78.92826161409181</v>
      </c>
      <c r="F33" s="5" t="n">
        <v>165.12468172610994</v>
      </c>
      <c r="G33" s="5" t="n">
        <v>140.74027604530772</v>
      </c>
      <c r="H33" s="5" t="n">
        <v>243.0964273474935</v>
      </c>
      <c r="I33" s="5" t="n">
        <v>0.0</v>
      </c>
      <c r="J33" s="5">
        <f si="0" t="shared"/>
        <v>904.42209412254738</v>
      </c>
      <c r="L33" s="10">
        <v>0.625</v>
      </c>
      <c r="M33" s="8" t="n">
        <v>122.64708518981934</v>
      </c>
      <c r="N33" s="8" t="n">
        <v>0.0</v>
      </c>
      <c r="O33" s="8" t="n">
        <v>0.0</v>
      </c>
      <c r="P33" s="8" t="n">
        <v>0.0</v>
      </c>
      <c r="Q33" s="8" t="n">
        <v>203.01398181915283</v>
      </c>
      <c r="R33" s="8" t="n">
        <v>126.8195972442627</v>
      </c>
      <c r="S33" s="8" t="n">
        <v>439.4061231613159</v>
      </c>
      <c r="T33" s="8" t="n">
        <v>0.0</v>
      </c>
      <c r="U33">
        <f si="1" t="shared"/>
        <v>902.15496158599854</v>
      </c>
    </row>
    <row r="34" spans="1:21" x14ac:dyDescent="0.45">
      <c r="A34" s="10">
        <v>0.64583333333333337</v>
      </c>
      <c r="B34" s="5" t="n">
        <v>341.76966011399776</v>
      </c>
      <c r="C34" s="5" t="n">
        <v>50.40301200745867</v>
      </c>
      <c r="D34" s="5" t="n">
        <v>13.975634074297416</v>
      </c>
      <c r="E34" s="5" t="n">
        <v>118.83760639953783</v>
      </c>
      <c r="F34" s="5" t="n">
        <v>169.6907000223889</v>
      </c>
      <c r="G34" s="5" t="n">
        <v>160.09382540639865</v>
      </c>
      <c r="H34" s="5" t="n">
        <v>281.414720353261</v>
      </c>
      <c r="I34" s="5" t="n">
        <v>0.0</v>
      </c>
      <c r="J34" s="5">
        <f si="0" t="shared"/>
        <v>1136.1851583773403</v>
      </c>
      <c r="L34" s="10">
        <v>0.64583333333333337</v>
      </c>
      <c r="M34" s="8" t="n">
        <v>156.98738861083984</v>
      </c>
      <c r="N34" s="8" t="n">
        <v>0.0</v>
      </c>
      <c r="O34" s="8" t="n">
        <v>0.0</v>
      </c>
      <c r="P34" s="8" t="n">
        <v>0.0</v>
      </c>
      <c r="Q34" s="8" t="n">
        <v>239.4617977142334</v>
      </c>
      <c r="R34" s="8" t="n">
        <v>159.47642517089844</v>
      </c>
      <c r="S34" s="8" t="n">
        <v>531.4592628479004</v>
      </c>
      <c r="T34" s="8" t="n">
        <v>0.0</v>
      </c>
      <c r="U34">
        <f si="1" t="shared"/>
        <v>1100.0564222335815</v>
      </c>
    </row>
    <row r="35" spans="1:21" x14ac:dyDescent="0.45">
      <c r="A35" s="10">
        <v>0.66666666666666663</v>
      </c>
      <c r="B35" s="5" t="n">
        <v>475.85698480280075</v>
      </c>
      <c r="C35" s="5" t="n">
        <v>76.04136797463792</v>
      </c>
      <c r="D35" s="5" t="n">
        <v>10.490626455854745</v>
      </c>
      <c r="E35" s="5" t="n">
        <v>153.03252984600232</v>
      </c>
      <c r="F35" s="5" t="n">
        <v>192.0307451432369</v>
      </c>
      <c r="G35" s="5" t="n">
        <v>176.82550715161176</v>
      </c>
      <c r="H35" s="5" t="n">
        <v>376.46670539473104</v>
      </c>
      <c r="I35" s="5" t="n">
        <v>0.0</v>
      </c>
      <c r="J35" s="5">
        <f si="0" t="shared"/>
        <v>1460.7444667688756</v>
      </c>
      <c r="L35" s="10">
        <v>0.66666666666666663</v>
      </c>
      <c r="M35" s="8" t="n">
        <v>197.805645942688</v>
      </c>
      <c r="N35" s="8" t="n">
        <v>0.0</v>
      </c>
      <c r="O35" s="8" t="n">
        <v>0.0</v>
      </c>
      <c r="P35" s="8" t="n">
        <v>0.0</v>
      </c>
      <c r="Q35" s="8" t="n">
        <v>273.81435108184814</v>
      </c>
      <c r="R35" s="8" t="n">
        <v>187.00212574005127</v>
      </c>
      <c r="S35" s="8" t="n">
        <v>609.1186285018921</v>
      </c>
      <c r="T35" s="8" t="n">
        <v>0.0</v>
      </c>
      <c r="U35">
        <f si="1" t="shared"/>
        <v>1280.4412727355957</v>
      </c>
    </row>
    <row r="36" spans="1:21" x14ac:dyDescent="0.45">
      <c r="A36" s="10">
        <v>0.6875</v>
      </c>
      <c r="B36" s="5" t="n">
        <v>579.012664140505</v>
      </c>
      <c r="C36" s="5" t="n">
        <v>106.02137702645692</v>
      </c>
      <c r="D36" s="5" t="n">
        <v>8.70718695784919</v>
      </c>
      <c r="E36" s="5" t="n">
        <v>169.7493825401893</v>
      </c>
      <c r="F36" s="5" t="n">
        <v>218.50357997022945</v>
      </c>
      <c r="G36" s="5" t="n">
        <v>191.71197217062</v>
      </c>
      <c r="H36" s="5" t="n">
        <v>503.47604588520187</v>
      </c>
      <c r="I36" s="5" t="n">
        <v>0.0</v>
      </c>
      <c r="J36" s="5">
        <f si="0" t="shared"/>
        <v>1777.1822086910515</v>
      </c>
      <c r="L36" s="10">
        <v>0.6875</v>
      </c>
      <c r="M36" s="8" t="n">
        <v>238.76772117614746</v>
      </c>
      <c r="N36" s="8" t="n">
        <v>0.0</v>
      </c>
      <c r="O36" s="8" t="n">
        <v>0.0</v>
      </c>
      <c r="P36" s="8" t="n">
        <v>0.0</v>
      </c>
      <c r="Q36" s="8" t="n">
        <v>297.44799423217773</v>
      </c>
      <c r="R36" s="8" t="n">
        <v>201.9749813079834</v>
      </c>
      <c r="S36" s="8" t="n">
        <v>648.1056642532349</v>
      </c>
      <c r="T36" s="8" t="n">
        <v>0.0</v>
      </c>
      <c r="U36">
        <f si="1" t="shared"/>
        <v>1397.2286100387573</v>
      </c>
    </row>
    <row r="37" spans="1:21" x14ac:dyDescent="0.45">
      <c r="A37" s="10">
        <v>0.70833333333333337</v>
      </c>
      <c r="B37" s="5" t="n">
        <v>614.9280254995954</v>
      </c>
      <c r="C37" s="5" t="n">
        <v>127.64413081511775</v>
      </c>
      <c r="D37" s="5" t="n">
        <v>8.143338765581436</v>
      </c>
      <c r="E37" s="5" t="n">
        <v>163.06340657252147</v>
      </c>
      <c r="F37" s="5" t="n">
        <v>232.78342637199646</v>
      </c>
      <c r="G37" s="5" t="n">
        <v>198.43050626873804</v>
      </c>
      <c r="H37" s="5" t="n">
        <v>615.9244841029606</v>
      </c>
      <c r="I37" s="5" t="n">
        <v>0.0</v>
      </c>
      <c r="J37" s="5">
        <f si="0" t="shared"/>
        <v>1960.9173183965111</v>
      </c>
      <c r="L37" s="10">
        <v>0.70833333333333337</v>
      </c>
      <c r="M37" s="8" t="n">
        <v>271.4017639160156</v>
      </c>
      <c r="N37" s="8" t="n">
        <v>0.0</v>
      </c>
      <c r="O37" s="8" t="n">
        <v>0.0</v>
      </c>
      <c r="P37" s="8" t="n">
        <v>0.0</v>
      </c>
      <c r="Q37" s="8" t="n">
        <v>303.2077159881592</v>
      </c>
      <c r="R37" s="8" t="n">
        <v>199.45295429229736</v>
      </c>
      <c r="S37" s="8" t="n">
        <v>633.6191396713257</v>
      </c>
      <c r="T37" s="8" t="n">
        <v>0.0</v>
      </c>
      <c r="U37">
        <f si="1" t="shared"/>
        <v>1416.3564691543579</v>
      </c>
    </row>
    <row r="38" spans="1:21" x14ac:dyDescent="0.45">
      <c r="A38" s="10">
        <v>0.72916666666666663</v>
      </c>
      <c r="B38" s="5" t="n">
        <v>575.6251723163091</v>
      </c>
      <c r="C38" s="5" t="n">
        <v>130.6368002357908</v>
      </c>
      <c r="D38" s="5" t="n">
        <v>8.12716021278819</v>
      </c>
      <c r="E38" s="5" t="n">
        <v>136.19013374158686</v>
      </c>
      <c r="F38" s="5" t="n">
        <v>222.33814009057633</v>
      </c>
      <c r="G38" s="5" t="n">
        <v>187.40143531662454</v>
      </c>
      <c r="H38" s="5" t="n">
        <v>663.9514726912529</v>
      </c>
      <c r="I38" s="5" t="n">
        <v>0.0</v>
      </c>
      <c r="J38" s="5">
        <f si="0" t="shared"/>
        <v>1924.2703146049289</v>
      </c>
      <c r="L38" s="10">
        <v>0.72916666666666663</v>
      </c>
      <c r="M38" s="8" t="n">
        <v>287.01907539367676</v>
      </c>
      <c r="N38" s="8" t="n">
        <v>0.0</v>
      </c>
      <c r="O38" s="8" t="n">
        <v>0.0</v>
      </c>
      <c r="P38" s="8" t="n">
        <v>0.0</v>
      </c>
      <c r="Q38" s="8" t="n">
        <v>287.9904737472534</v>
      </c>
      <c r="R38" s="8" t="n">
        <v>179.43680667877197</v>
      </c>
      <c r="S38" s="8" t="n">
        <v>566.7842903137207</v>
      </c>
      <c r="T38" s="8" t="n">
        <v>0.0</v>
      </c>
      <c r="U38">
        <f si="1" t="shared"/>
        <v>1328.3777151107788</v>
      </c>
    </row>
    <row r="39" spans="1:21" x14ac:dyDescent="0.45">
      <c r="A39" s="10">
        <v>0.75</v>
      </c>
      <c r="B39" s="5" t="n">
        <v>483.15705260445947</v>
      </c>
      <c r="C39" s="5" t="n">
        <v>113.59366208736135</v>
      </c>
      <c r="D39" s="5" t="n">
        <v>7.848712949509438</v>
      </c>
      <c r="E39" s="5" t="n">
        <v>99.37376770547795</v>
      </c>
      <c r="F39" s="5" t="n">
        <v>186.02202503541116</v>
      </c>
      <c r="G39" s="5" t="n">
        <v>155.50171571209262</v>
      </c>
      <c r="H39" s="5" t="n">
        <v>620.677757447329</v>
      </c>
      <c r="I39" s="5" t="n">
        <v>0.0</v>
      </c>
      <c r="J39" s="5">
        <f si="0" t="shared"/>
        <v>1666.1746935416409</v>
      </c>
      <c r="L39" s="10">
        <v>0.75</v>
      </c>
      <c r="M39" s="8" t="n">
        <v>279.8155107498169</v>
      </c>
      <c r="N39" s="8" t="n">
        <v>0.0</v>
      </c>
      <c r="O39" s="8" t="n">
        <v>0.0</v>
      </c>
      <c r="P39" s="8" t="n">
        <v>0.0</v>
      </c>
      <c r="Q39" s="8" t="n">
        <v>253.52380847930908</v>
      </c>
      <c r="R39" s="8" t="n">
        <v>146.8444709777832</v>
      </c>
      <c r="S39" s="8" t="n">
        <v>463.0125923156738</v>
      </c>
      <c r="T39" s="8" t="n">
        <v>0.0</v>
      </c>
      <c r="U39">
        <f si="1" t="shared"/>
        <v>1150.093487739563</v>
      </c>
    </row>
    <row r="40" spans="1:21" x14ac:dyDescent="0.45">
      <c r="A40" s="10">
        <v>0.77083333333333337</v>
      </c>
      <c r="B40" s="5" t="n">
        <v>372.0211488459508</v>
      </c>
      <c r="C40" s="5" t="n">
        <v>84.25313672004968</v>
      </c>
      <c r="D40" s="5" t="n">
        <v>6.770261714120297</v>
      </c>
      <c r="E40" s="5" t="n">
        <v>64.00739117805283</v>
      </c>
      <c r="F40" s="5" t="n">
        <v>135.012535167794</v>
      </c>
      <c r="G40" s="5" t="n">
        <v>110.62231664613088</v>
      </c>
      <c r="H40" s="5" t="n">
        <v>498.88240972173514</v>
      </c>
      <c r="I40" s="5" t="n">
        <v>0.0</v>
      </c>
      <c r="J40" s="5">
        <f si="0" t="shared"/>
        <v>1271.5691999938335</v>
      </c>
      <c r="L40" s="10">
        <v>0.77083333333333337</v>
      </c>
      <c r="M40" s="8" t="n">
        <v>250.30970191955566</v>
      </c>
      <c r="N40" s="8" t="n">
        <v>0.0</v>
      </c>
      <c r="O40" s="8" t="n">
        <v>0.0</v>
      </c>
      <c r="P40" s="8" t="n">
        <v>0.0</v>
      </c>
      <c r="Q40" s="8" t="n">
        <v>205.89875030517578</v>
      </c>
      <c r="R40" s="8" t="n">
        <v>109.2495174407959</v>
      </c>
      <c r="S40" s="8" t="n">
        <v>344.76734352111816</v>
      </c>
      <c r="T40" s="8" t="n">
        <v>0.0</v>
      </c>
      <c r="U40">
        <f si="1" t="shared"/>
        <v>918.1110782623291</v>
      </c>
    </row>
    <row r="41" spans="1:21" x14ac:dyDescent="0.45">
      <c r="A41" s="10">
        <v>0.79166666666666663</v>
      </c>
      <c r="B41" s="5" t="n">
        <v>268.8406249606106</v>
      </c>
      <c r="C41" s="5" t="n">
        <v>53.67233778764526</v>
      </c>
      <c r="D41" s="5" t="n">
        <v>4.979885199095923</v>
      </c>
      <c r="E41" s="5" t="n">
        <v>37.261711948925786</v>
      </c>
      <c r="F41" s="5" t="n">
        <v>85.04568367922137</v>
      </c>
      <c r="G41" s="5" t="n">
        <v>66.40242699730224</v>
      </c>
      <c r="H41" s="5" t="n">
        <v>343.04356379785537</v>
      </c>
      <c r="I41" s="5" t="n">
        <v>0.0</v>
      </c>
      <c r="J41" s="5">
        <f si="0" t="shared"/>
        <v>859.24623437065657</v>
      </c>
      <c r="L41" s="10">
        <v>0.79166666666666663</v>
      </c>
      <c r="M41" s="8" t="n">
        <v>206.39740657806396</v>
      </c>
      <c r="N41" s="8" t="n">
        <v>0.0</v>
      </c>
      <c r="O41" s="8" t="n">
        <v>0.0</v>
      </c>
      <c r="P41" s="8" t="n">
        <v>0.0</v>
      </c>
      <c r="Q41" s="8" t="n">
        <v>154.0963649749756</v>
      </c>
      <c r="R41" s="8" t="n">
        <v>73.95239734649658</v>
      </c>
      <c r="S41" s="8" t="n">
        <v>233.5400562286377</v>
      </c>
      <c r="T41" s="8" t="n">
        <v>0.0</v>
      </c>
      <c r="U41">
        <f si="1" t="shared"/>
        <v>677.76341247558594</v>
      </c>
    </row>
    <row r="42" spans="1:21" x14ac:dyDescent="0.45">
      <c r="A42" s="10">
        <v>0.8125</v>
      </c>
      <c r="B42" s="5" t="n">
        <v>184.48683057164288</v>
      </c>
      <c r="C42" s="5" t="n">
        <v>29.673605099992535</v>
      </c>
      <c r="D42" s="5" t="n">
        <v>3.0445038063232177</v>
      </c>
      <c r="E42" s="5" t="n">
        <v>20.4823623462466</v>
      </c>
      <c r="F42" s="5" t="n">
        <v>46.93384410800704</v>
      </c>
      <c r="G42" s="5" t="n">
        <v>33.204150785070034</v>
      </c>
      <c r="H42" s="5" t="n">
        <v>201.87898203404222</v>
      </c>
      <c r="I42" s="5" t="n">
        <v>0.0</v>
      </c>
      <c r="J42" s="5">
        <f si="0" t="shared"/>
        <v>519.70427875132452</v>
      </c>
      <c r="L42" s="10">
        <v>0.8125</v>
      </c>
      <c r="M42" s="8" t="n">
        <v>159.90001678466797</v>
      </c>
      <c r="N42" s="8" t="n">
        <v>0.0</v>
      </c>
      <c r="O42" s="8" t="n">
        <v>0.0</v>
      </c>
      <c r="P42" s="8" t="n">
        <v>0.0</v>
      </c>
      <c r="Q42" s="8" t="n">
        <v>107.17987728118896</v>
      </c>
      <c r="R42" s="8" t="n">
        <v>45.8018159866333</v>
      </c>
      <c r="S42" s="8" t="n">
        <v>144.04994773864746</v>
      </c>
      <c r="T42" s="8" t="n">
        <v>0.0</v>
      </c>
      <c r="U42">
        <f si="1" t="shared"/>
        <v>468.858642578125</v>
      </c>
    </row>
    <row r="43" spans="1:21" x14ac:dyDescent="0.45">
      <c r="A43" s="10">
        <v>0.83333333333333337</v>
      </c>
      <c r="B43" s="5" t="n">
        <v>119.16751629983398</v>
      </c>
      <c r="C43" s="5" t="n">
        <v>14.430947005171607</v>
      </c>
      <c r="D43" s="5" t="n">
        <v>1.5193135710875612</v>
      </c>
      <c r="E43" s="5" t="n">
        <v>11.217953859243112</v>
      </c>
      <c r="F43" s="5" t="n">
        <v>23.051951500996733</v>
      </c>
      <c r="G43" s="5" t="n">
        <v>13.642826235489434</v>
      </c>
      <c r="H43" s="5" t="n">
        <v>103.31065725026897</v>
      </c>
      <c r="I43" s="5" t="n">
        <v>0.0</v>
      </c>
      <c r="J43" s="5">
        <f si="0" t="shared"/>
        <v>286.34116572209143</v>
      </c>
      <c r="L43" s="10">
        <v>0.83333333333333337</v>
      </c>
      <c r="M43" s="8" t="n">
        <v>120.36998081207275</v>
      </c>
      <c r="N43" s="8" t="n">
        <v>0.0</v>
      </c>
      <c r="O43" s="8" t="n">
        <v>0.0</v>
      </c>
      <c r="P43" s="8" t="n">
        <v>0.0</v>
      </c>
      <c r="Q43" s="8" t="n">
        <v>70.97896385192871</v>
      </c>
      <c r="R43" s="8" t="n">
        <v>26.396052360534668</v>
      </c>
      <c r="S43" s="8" t="n">
        <v>81.74678325653076</v>
      </c>
      <c r="T43" s="8" t="n">
        <v>0.0</v>
      </c>
      <c r="U43">
        <f si="1" t="shared"/>
        <v>312.84597396850586</v>
      </c>
    </row>
    <row r="44" spans="1:21" x14ac:dyDescent="0.45">
      <c r="A44" s="10">
        <v>0.85416666666666663</v>
      </c>
      <c r="B44" s="5" t="n">
        <v>70.50643195051192</v>
      </c>
      <c r="C44" s="5" t="n">
        <v>6.247742735724284</v>
      </c>
      <c r="D44" s="5" t="n">
        <v>0.6074511841081134</v>
      </c>
      <c r="E44" s="5" t="n">
        <v>6.265112009280038</v>
      </c>
      <c r="F44" s="5" t="n">
        <v>10.216557746264089</v>
      </c>
      <c r="G44" s="5" t="n">
        <v>4.524915675888129</v>
      </c>
      <c r="H44" s="5" t="n">
        <v>48.6705129791508</v>
      </c>
      <c r="I44" s="5" t="n">
        <v>0.0</v>
      </c>
      <c r="J44" s="5">
        <f si="0" t="shared"/>
        <v>147.03872428092737</v>
      </c>
      <c r="L44" s="10">
        <v>0.85416666666666663</v>
      </c>
      <c r="M44" s="8" t="n">
        <v>90.93531703948975</v>
      </c>
      <c r="N44" s="8" t="n">
        <v>0.0</v>
      </c>
      <c r="O44" s="8" t="n">
        <v>0.0</v>
      </c>
      <c r="P44" s="8" t="n">
        <v>0.0</v>
      </c>
      <c r="Q44" s="8" t="n">
        <v>46.444353103637695</v>
      </c>
      <c r="R44" s="8" t="n">
        <v>14.64424991607666</v>
      </c>
      <c r="S44" s="8" t="n">
        <v>43.89324378967285</v>
      </c>
      <c r="T44" s="8" t="n">
        <v>0.0</v>
      </c>
      <c r="U44">
        <f si="1" t="shared"/>
        <v>209.10869789123535</v>
      </c>
    </row>
    <row r="45" spans="1:21" x14ac:dyDescent="0.45">
      <c r="A45" s="10">
        <v>0.875</v>
      </c>
      <c r="B45" s="5" t="n">
        <v>36.892794849200754</v>
      </c>
      <c r="C45" s="5" t="n">
        <v>2.41040081100313</v>
      </c>
      <c r="D45" s="5" t="n">
        <v>0.1898162519834769</v>
      </c>
      <c r="E45" s="5" t="n">
        <v>3.443812848024403</v>
      </c>
      <c r="F45" s="5" t="n">
        <v>4.078005907643002</v>
      </c>
      <c r="G45" s="5" t="n">
        <v>1.1813587354770354</v>
      </c>
      <c r="H45" s="5" t="n">
        <v>23.847030945494826</v>
      </c>
      <c r="I45" s="5" t="n">
        <v>0.0</v>
      </c>
      <c r="J45" s="5">
        <f si="0" t="shared"/>
        <v>72.043220348826623</v>
      </c>
      <c r="L45" s="10">
        <v>0.875</v>
      </c>
      <c r="M45" s="8" t="n">
        <v>69.16835403442383</v>
      </c>
      <c r="N45" s="8" t="n">
        <v>0.0</v>
      </c>
      <c r="O45" s="8" t="n">
        <v>0.0</v>
      </c>
      <c r="P45" s="8" t="n">
        <v>0.0</v>
      </c>
      <c r="Q45" s="8" t="n">
        <v>30.8626127243042</v>
      </c>
      <c r="R45" s="8" t="n">
        <v>8.161764144897461</v>
      </c>
      <c r="S45" s="8" t="n">
        <v>23.349730491638184</v>
      </c>
      <c r="T45" s="8" t="n">
        <v>0.0</v>
      </c>
      <c r="U45">
        <f si="1" t="shared"/>
        <v>142.86375331878662</v>
      </c>
    </row>
    <row r="46" spans="1:21" x14ac:dyDescent="0.45">
      <c r="A46" s="10">
        <v>0.89583333333333337</v>
      </c>
      <c r="B46" s="5" t="n">
        <v>16.490324491584364</v>
      </c>
      <c r="C46" s="5" t="n">
        <v>0.8129782322607995</v>
      </c>
      <c r="D46" s="5" t="n">
        <v>0.04466264752552397</v>
      </c>
      <c r="E46" s="5" t="n">
        <v>1.7451210915339845</v>
      </c>
      <c r="F46" s="5" t="n">
        <v>1.427064851334452</v>
      </c>
      <c r="G46" s="5" t="n">
        <v>0.23373759266533034</v>
      </c>
      <c r="H46" s="5" t="n">
        <v>13.49957689575794</v>
      </c>
      <c r="I46" s="5" t="n">
        <v>0.0</v>
      </c>
      <c r="J46" s="5">
        <f si="0" t="shared"/>
        <v>34.253465802662397</v>
      </c>
      <c r="L46" s="10">
        <v>0.89583333333333337</v>
      </c>
      <c r="M46" s="8" t="n">
        <v>51.24950885772705</v>
      </c>
      <c r="N46" s="8" t="n">
        <v>0.0</v>
      </c>
      <c r="O46" s="8" t="n">
        <v>0.0</v>
      </c>
      <c r="P46" s="8" t="n">
        <v>0.0</v>
      </c>
      <c r="Q46" s="8" t="n">
        <v>20.63352870941162</v>
      </c>
      <c r="R46" s="8" t="n">
        <v>4.655472755432129</v>
      </c>
      <c r="S46" s="8" t="n">
        <v>12.786698341369629</v>
      </c>
      <c r="T46" s="8" t="n">
        <v>0.0</v>
      </c>
      <c r="U46">
        <f si="1" t="shared"/>
        <v>97.780550956726074</v>
      </c>
    </row>
    <row r="47" spans="1:21" x14ac:dyDescent="0.45">
      <c r="A47" s="10">
        <v>0.91666666666666663</v>
      </c>
      <c r="B47" s="5" t="n">
        <v>6.091721781366983</v>
      </c>
      <c r="C47" s="5" t="n">
        <v>0.23008041062889728</v>
      </c>
      <c r="D47" s="5" t="n">
        <v>0.007443774587587329</v>
      </c>
      <c r="E47" s="5" t="n">
        <v>0.7695700428294681</v>
      </c>
      <c r="F47" s="5" t="n">
        <v>0.41697200112175914</v>
      </c>
      <c r="G47" s="5" t="n">
        <v>0.03294235517904995</v>
      </c>
      <c r="H47" s="5" t="n">
        <v>8.300555916061342</v>
      </c>
      <c r="I47" s="5" t="n">
        <v>0.0</v>
      </c>
      <c r="J47" s="5">
        <f si="0" t="shared"/>
        <v>15.849286281775086</v>
      </c>
      <c r="L47" s="10">
        <v>0.91666666666666663</v>
      </c>
      <c r="M47" s="8" t="n">
        <v>35.325448989868164</v>
      </c>
      <c r="N47" s="8" t="n">
        <v>0.0</v>
      </c>
      <c r="O47" s="8" t="n">
        <v>0.0</v>
      </c>
      <c r="P47" s="8" t="n">
        <v>0.0</v>
      </c>
      <c r="Q47" s="8" t="n">
        <v>13.314901351928711</v>
      </c>
      <c r="R47" s="8" t="n">
        <v>2.6365671157836914</v>
      </c>
      <c r="S47" s="8" t="n">
        <v>7.1425981521606445</v>
      </c>
      <c r="T47" s="8" t="n">
        <v>0.0</v>
      </c>
      <c r="U47">
        <f si="1" t="shared"/>
        <v>63.977361679077148</v>
      </c>
    </row>
    <row r="48" spans="1:21" x14ac:dyDescent="0.45">
      <c r="A48" s="10">
        <v>0.9375</v>
      </c>
      <c r="B48" s="5" t="n">
        <v>1.7957504932727852</v>
      </c>
      <c r="C48" s="5" t="n">
        <v>0.05148451125775813</v>
      </c>
      <c r="D48" s="5" t="n">
        <v>7.835552197460348E-4</v>
      </c>
      <c r="E48" s="5" t="n">
        <v>0.2829622207522766</v>
      </c>
      <c r="F48" s="5" t="n">
        <v>0.09548526436862671</v>
      </c>
      <c r="G48" s="5" t="n">
        <v>0.0029466742958097897</v>
      </c>
      <c r="H48" s="5" t="n">
        <v>4.787328712575481</v>
      </c>
      <c r="I48" s="5" t="n">
        <v>0.0</v>
      </c>
      <c r="J48" s="5">
        <f si="0" t="shared"/>
        <v>7.0167414317424832</v>
      </c>
      <c r="L48" s="10">
        <v>0.9375</v>
      </c>
      <c r="M48" s="8" t="n">
        <v>21.846019744873047</v>
      </c>
      <c r="N48" s="8" t="n">
        <v>0.0</v>
      </c>
      <c r="O48" s="8" t="n">
        <v>0.0</v>
      </c>
      <c r="P48" s="8" t="n">
        <v>0.0</v>
      </c>
      <c r="Q48" s="8" t="n">
        <v>7.935428619384766</v>
      </c>
      <c r="R48" s="8" t="n">
        <v>1.3979310989379883</v>
      </c>
      <c r="S48" s="8" t="n">
        <v>3.851236343383789</v>
      </c>
      <c r="T48" s="8" t="n">
        <v>0.0</v>
      </c>
      <c r="U48">
        <f si="1" t="shared"/>
        <v>38.277044296264648</v>
      </c>
    </row>
    <row r="49" spans="1:21" x14ac:dyDescent="0.45">
      <c r="A49" s="10">
        <v>0.95833333333333337</v>
      </c>
      <c r="B49" s="5" t="n">
        <v>0.4042280003988503</v>
      </c>
      <c r="C49" s="5" t="n">
        <v>0.008400901643543304</v>
      </c>
      <c r="D49" s="5" t="n">
        <v>3.917776098730173E-5</v>
      </c>
      <c r="E49" s="5" t="n">
        <v>0.08355131795139316</v>
      </c>
      <c r="F49" s="5" t="n">
        <v>0.01580020945435357</v>
      </c>
      <c r="G49" s="5" t="n">
        <v>1.2573426829770278E-4</v>
      </c>
      <c r="H49" s="5" t="n">
        <v>2.3507766529856924</v>
      </c>
      <c r="I49" s="5" t="n">
        <v>0.0</v>
      </c>
      <c r="J49" s="5">
        <f si="0" t="shared"/>
        <v>2.8629219944631177</v>
      </c>
      <c r="L49" s="10">
        <v>0.95833333333333337</v>
      </c>
      <c r="M49" s="8" t="n">
        <v>11.88947868347168</v>
      </c>
      <c r="N49" s="8" t="n">
        <v>0.0</v>
      </c>
      <c r="O49" s="8" t="n">
        <v>0.0</v>
      </c>
      <c r="P49" s="8" t="n">
        <v>0.0</v>
      </c>
      <c r="Q49" s="8" t="n">
        <v>4.251038551330566</v>
      </c>
      <c r="R49" s="8" t="n">
        <v>0.6573858261108398</v>
      </c>
      <c r="S49" s="8" t="n">
        <v>1.8825969696044922</v>
      </c>
      <c r="T49" s="8" t="n">
        <v>0.0</v>
      </c>
      <c r="U49">
        <f si="1" t="shared"/>
        <v>20.343606948852539</v>
      </c>
    </row>
    <row r="50" spans="1:21" x14ac:dyDescent="0.45">
      <c r="A50" s="10">
        <v>0.97916666666666663</v>
      </c>
      <c r="B50" s="5" t="n">
        <v>0.06507502637751675</v>
      </c>
      <c r="C50" s="5" t="n">
        <v>8.78824307244911E-4</v>
      </c>
      <c r="D50" s="5" t="n">
        <v>0.0</v>
      </c>
      <c r="E50" s="5" t="n">
        <v>0.018952848545944694</v>
      </c>
      <c r="F50" s="5" t="n">
        <v>0.001663179942563534</v>
      </c>
      <c r="G50" s="5" t="n">
        <v>0.0</v>
      </c>
      <c r="H50" s="5" t="n">
        <v>0.9361765715909903</v>
      </c>
      <c r="I50" s="5" t="n">
        <v>0.0</v>
      </c>
      <c r="J50" s="5">
        <f si="0" t="shared"/>
        <v>1.0227464507642603</v>
      </c>
      <c r="L50" s="10">
        <v>0.97916666666666663</v>
      </c>
      <c r="M50" s="8" t="n">
        <v>5.688173294067383</v>
      </c>
      <c r="N50" s="8" t="n">
        <v>0.0</v>
      </c>
      <c r="O50" s="8" t="n">
        <v>0.0</v>
      </c>
      <c r="P50" s="8" t="n">
        <v>0.0</v>
      </c>
      <c r="Q50" s="8" t="n">
        <v>2.037324905395508</v>
      </c>
      <c r="R50" s="8" t="n">
        <v>0.2635202407836914</v>
      </c>
      <c r="S50" s="8" t="n">
        <v>0.794651985168457</v>
      </c>
      <c r="T50" s="8" t="n">
        <v>0.0</v>
      </c>
      <c r="U50">
        <f si="1" t="shared"/>
        <v>9.476038932800293</v>
      </c>
    </row>
    <row r="51" spans="1:21" x14ac:dyDescent="0.45">
      <c r="A51" s="10">
        <v>1</v>
      </c>
      <c r="B51" s="5" t="n">
        <v>0.0066612255054491355</v>
      </c>
      <c r="C51" s="5" t="n">
        <v>4.394121536224556E-5</v>
      </c>
      <c r="D51" s="5" t="n">
        <v>0.0</v>
      </c>
      <c r="E51" s="5" t="n">
        <v>0.003092661306803691</v>
      </c>
      <c r="F51" s="5" t="n">
        <v>8.315899712817669E-5</v>
      </c>
      <c r="G51" s="5" t="n">
        <v>0.0</v>
      </c>
      <c r="H51" s="5" t="n">
        <v>0.2922947749135967</v>
      </c>
      <c r="I51" s="5" t="n">
        <v>0.0</v>
      </c>
      <c r="J51" s="5">
        <f si="0" t="shared"/>
        <v>0.30217576193833995</v>
      </c>
      <c r="L51" s="10">
        <v>1</v>
      </c>
      <c r="M51" s="8" t="n">
        <v>2.4427175521850586</v>
      </c>
      <c r="N51" s="8" t="n">
        <v>0.0</v>
      </c>
      <c r="O51" s="8" t="n">
        <v>0.0</v>
      </c>
      <c r="P51" s="8" t="n">
        <v>0.0</v>
      </c>
      <c r="Q51" s="8" t="n">
        <v>0.8907403945922852</v>
      </c>
      <c r="R51" s="8" t="n">
        <v>0.08725261688232422</v>
      </c>
      <c r="S51" s="8" t="n">
        <v>0.2789735794067383</v>
      </c>
      <c r="T51" s="8" t="n">
        <v>0.0</v>
      </c>
      <c r="U51">
        <f si="1" t="shared"/>
        <v>3.8706092834472656</v>
      </c>
    </row>
    <row r="52" spans="1:21" x14ac:dyDescent="0.45">
      <c r="A52" s="10">
        <v>1.0208333333333333</v>
      </c>
      <c r="B52" s="5" t="n">
        <v>3.254557355739721E-4</v>
      </c>
      <c r="C52" s="5" t="n">
        <v>0.0</v>
      </c>
      <c r="D52" s="5" t="n">
        <v>0.0</v>
      </c>
      <c r="E52" s="5" t="n">
        <v>3.225592300009708E-4</v>
      </c>
      <c r="F52" s="5" t="n">
        <v>0.0</v>
      </c>
      <c r="G52" s="5" t="n">
        <v>0.0</v>
      </c>
      <c r="H52" s="5" t="n">
        <v>0.06876695917514661</v>
      </c>
      <c r="I52" s="5" t="n">
        <v>0.0</v>
      </c>
      <c r="J52" s="5">
        <f si="0" t="shared"/>
        <v>6.941497414072155E-2</v>
      </c>
      <c r="L52" s="10">
        <v>1.0208333333333333</v>
      </c>
      <c r="M52" s="8" t="n">
        <v>0.9838361740112305</v>
      </c>
      <c r="N52" s="8" t="n">
        <v>0.0</v>
      </c>
      <c r="O52" s="8" t="n">
        <v>0.0</v>
      </c>
      <c r="P52" s="8" t="n">
        <v>0.0</v>
      </c>
      <c r="Q52" s="8" t="n">
        <v>0.3692903518676758</v>
      </c>
      <c r="R52" s="8" t="n">
        <v>0.023103713989257812</v>
      </c>
      <c r="S52" s="8" t="n">
        <v>0.07857227325439453</v>
      </c>
      <c r="T52" s="8" t="n">
        <v>0.0</v>
      </c>
      <c r="U52">
        <f si="1" t="shared"/>
        <v>1.4077320098876953</v>
      </c>
    </row>
    <row r="53" spans="1:21" x14ac:dyDescent="0.45">
      <c r="A53" s="10">
        <v>4.1666666666666664E-2</v>
      </c>
      <c r="B53" s="5" t="n">
        <v>0.0</v>
      </c>
      <c r="C53" s="5" t="n">
        <v>0.0</v>
      </c>
      <c r="D53" s="5" t="n">
        <v>0.0</v>
      </c>
      <c r="E53" s="5" t="n">
        <v>1.6127961500048542E-5</v>
      </c>
      <c r="F53" s="5" t="n">
        <v>0.0</v>
      </c>
      <c r="G53" s="5" t="n">
        <v>0.0</v>
      </c>
      <c r="H53" s="5" t="n">
        <v>0.011461159862524436</v>
      </c>
      <c r="I53" s="5" t="n">
        <v>0.0</v>
      </c>
      <c r="J53" s="5">
        <f si="0" t="shared"/>
        <v>1.1477287824024485E-2</v>
      </c>
      <c r="L53" s="10">
        <v>4.1666666666666664E-2</v>
      </c>
      <c r="M53" s="8" t="n">
        <v>0.3880119323730469</v>
      </c>
      <c r="N53" s="8" t="n">
        <v>0.0</v>
      </c>
      <c r="O53" s="8" t="n">
        <v>0.0</v>
      </c>
      <c r="P53" s="8" t="n">
        <v>0.0</v>
      </c>
      <c r="Q53" s="8" t="n">
        <v>0.14944171905517578</v>
      </c>
      <c r="R53" s="8" t="n">
        <v>0.004691123962402344</v>
      </c>
      <c r="S53" s="8" t="n">
        <v>0.0169830322265625</v>
      </c>
      <c r="T53" s="8" t="n">
        <v>0.0</v>
      </c>
      <c r="U53">
        <f si="1" t="shared"/>
        <v>0.46791458129882813</v>
      </c>
    </row>
    <row r="54" spans="1:21" x14ac:dyDescent="0.45">
      <c r="A54" s="10">
        <v>6.25E-2</v>
      </c>
      <c r="B54" s="5" t="n">
        <v>0.0</v>
      </c>
      <c r="C54" s="5" t="n">
        <v>0.0</v>
      </c>
      <c r="D54" s="5" t="n">
        <v>0.0</v>
      </c>
      <c r="E54" s="5" t="n">
        <v>0.0</v>
      </c>
      <c r="F54" s="5" t="n">
        <v>0.0</v>
      </c>
      <c r="G54" s="5" t="n">
        <v>0.0</v>
      </c>
      <c r="H54" s="5" t="n">
        <v>0.0012064378802657298</v>
      </c>
      <c r="I54" s="5" t="n">
        <v>0.0</v>
      </c>
      <c r="J54" s="5">
        <f si="0" t="shared"/>
        <v>1.2064378802657298E-3</v>
      </c>
      <c r="L54" s="10">
        <v>6.25E-2</v>
      </c>
      <c r="M54" s="8" t="n">
        <v>0.14891433715820312</v>
      </c>
      <c r="N54" s="8" t="n">
        <v>0.0</v>
      </c>
      <c r="O54" s="8" t="n">
        <v>0.0</v>
      </c>
      <c r="P54" s="8" t="n">
        <v>0.0</v>
      </c>
      <c r="Q54" s="8" t="n">
        <v>0.057837486267089844</v>
      </c>
      <c r="R54" s="8" t="n">
        <v>6.847381591796875E-4</v>
      </c>
      <c r="S54" s="8" t="n">
        <v>0.0026369094848632812</v>
      </c>
      <c r="T54" s="8" t="n">
        <v>0.0</v>
      </c>
      <c r="U54">
        <f si="1" t="shared"/>
        <v>0.14461994171142578</v>
      </c>
    </row>
    <row r="55" spans="1:21" x14ac:dyDescent="0.45">
      <c r="A55" s="10">
        <v>8.3333333333333329E-2</v>
      </c>
      <c r="B55" s="5" t="n">
        <v>0.0</v>
      </c>
      <c r="C55" s="5" t="n">
        <v>0.0</v>
      </c>
      <c r="D55" s="5" t="n">
        <v>0.0</v>
      </c>
      <c r="E55" s="5" t="n">
        <v>0.0</v>
      </c>
      <c r="F55" s="5" t="n">
        <v>0.0</v>
      </c>
      <c r="G55" s="5" t="n">
        <v>0.0</v>
      </c>
      <c r="H55" s="5" t="n">
        <v>6.03218940132865E-5</v>
      </c>
      <c r="I55" s="5" t="n">
        <v>0.0</v>
      </c>
      <c r="J55" s="5">
        <f si="0" t="shared"/>
        <v>6.0321894013286497E-5</v>
      </c>
      <c r="L55" s="10">
        <v>8.3333333333333329E-2</v>
      </c>
      <c r="M55" s="8" t="n">
        <v>0.05206584930419922</v>
      </c>
      <c r="N55" s="8" t="n">
        <v>0.0</v>
      </c>
      <c r="O55" s="8" t="n">
        <v>0.0</v>
      </c>
      <c r="P55" s="8" t="n">
        <v>0.0</v>
      </c>
      <c r="Q55" s="8" t="n">
        <v>0.02001953125</v>
      </c>
      <c r="R55" s="8" t="n">
        <v>6.389617919921875E-5</v>
      </c>
      <c r="S55" s="8" t="n">
        <v>2.613067626953125E-4</v>
      </c>
      <c r="T55" s="8" t="n">
        <v>0.0</v>
      </c>
      <c r="U55">
        <f si="1" t="shared"/>
        <v>4.0765762329101563E-2</v>
      </c>
    </row>
    <row r="56" spans="1:21" x14ac:dyDescent="0.45">
      <c r="A56" s="10">
        <v>0.10416666666666667</v>
      </c>
      <c r="B56" s="5" t="n">
        <v>0.0</v>
      </c>
      <c r="C56" s="5" t="n">
        <v>0.0</v>
      </c>
      <c r="D56" s="5" t="n">
        <v>0.0</v>
      </c>
      <c r="E56" s="5" t="n">
        <v>0.0</v>
      </c>
      <c r="F56" s="5" t="n">
        <v>0.0</v>
      </c>
      <c r="G56" s="5" t="n">
        <v>0.0</v>
      </c>
      <c r="H56" s="5" t="n">
        <v>0.0</v>
      </c>
      <c r="I56" s="5" t="n">
        <v>0.0</v>
      </c>
      <c r="J56" s="5">
        <f si="0" t="shared"/>
        <v>0</v>
      </c>
      <c r="L56" s="10">
        <v>0.10416666666666667</v>
      </c>
      <c r="M56" s="8" t="n">
        <v>0.0152435302734375</v>
      </c>
      <c r="N56" s="8" t="n">
        <v>0.0</v>
      </c>
      <c r="O56" s="8" t="n">
        <v>0.0</v>
      </c>
      <c r="P56" s="8" t="n">
        <v>0.0</v>
      </c>
      <c r="Q56" s="8" t="n">
        <v>0.005736351013183594</v>
      </c>
      <c r="R56" s="8" t="n">
        <v>2.86102294921875E-6</v>
      </c>
      <c r="S56" s="8" t="n">
        <v>1.239776611328125E-5</v>
      </c>
      <c r="T56" s="8" t="n">
        <v>0.0</v>
      </c>
      <c r="U56">
        <f si="1" t="shared"/>
        <v>9.86480712890625E-3</v>
      </c>
    </row>
    <row r="57" spans="1:21" x14ac:dyDescent="0.45">
      <c r="A57" s="10">
        <v>0.125</v>
      </c>
      <c r="B57" s="5" t="n">
        <v>0.0</v>
      </c>
      <c r="C57" s="5" t="n">
        <v>0.0</v>
      </c>
      <c r="D57" s="5" t="n">
        <v>0.0</v>
      </c>
      <c r="E57" s="5" t="n">
        <v>0.0</v>
      </c>
      <c r="F57" s="5" t="n">
        <v>0.0</v>
      </c>
      <c r="G57" s="5" t="n">
        <v>0.0</v>
      </c>
      <c r="H57" s="5" t="n">
        <v>0.0</v>
      </c>
      <c r="I57" s="5" t="n">
        <v>0.0</v>
      </c>
      <c r="J57" s="5">
        <f si="0" t="shared"/>
        <v>0</v>
      </c>
      <c r="L57" s="10">
        <v>0.125</v>
      </c>
      <c r="M57" s="8" t="n">
        <v>0.0034055709838867188</v>
      </c>
      <c r="N57" s="8" t="n">
        <v>0.0</v>
      </c>
      <c r="O57" s="8" t="n">
        <v>0.0</v>
      </c>
      <c r="P57" s="8" t="n">
        <v>0.0</v>
      </c>
      <c r="Q57" s="8" t="n">
        <v>0.0012483596801757812</v>
      </c>
      <c r="R57" s="8" t="n">
        <v>0.0</v>
      </c>
      <c r="S57" s="8" t="n">
        <v>0.0</v>
      </c>
      <c r="T57" s="8" t="n">
        <v>0.0</v>
      </c>
      <c r="U57">
        <f si="1" t="shared"/>
        <v>1.8672943115234375E-3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58"/>
  <sheetViews>
    <sheetView workbookViewId="0">
      <selection activeCell="A3" sqref="A3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29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599.8669071110935</v>
      </c>
      <c r="C8" s="5" t="n">
        <v>0.0</v>
      </c>
      <c r="D8" s="5" t="n">
        <v>0.0</v>
      </c>
      <c r="E8" s="5" t="n">
        <v>203.31337039770568</v>
      </c>
      <c r="F8" s="5" t="n">
        <v>200.3335767904445</v>
      </c>
      <c r="G8" s="5" t="n">
        <v>0.0</v>
      </c>
      <c r="H8" s="5" t="n">
        <v>0.0</v>
      </c>
      <c r="I8" s="5" t="n">
        <v>0.0</v>
      </c>
      <c r="J8" s="5">
        <f>SUM(B8:I8)</f>
        <v>1003.5138542992438</v>
      </c>
      <c r="L8" t="s">
        <v>5</v>
      </c>
      <c r="M8" s="8" t="n">
        <v>109.0</v>
      </c>
      <c r="N8" s="8" t="n">
        <v>18.0</v>
      </c>
      <c r="O8" s="8" t="n">
        <v>4.0</v>
      </c>
      <c r="P8" s="8" t="n">
        <v>21.0</v>
      </c>
      <c r="Q8" s="8" t="n">
        <v>12.0</v>
      </c>
      <c r="R8" s="8" t="n">
        <v>16.0</v>
      </c>
      <c r="S8" s="8" t="n">
        <v>19.0</v>
      </c>
      <c r="T8" s="8" t="n">
        <v>0.0</v>
      </c>
      <c r="U8">
        <f>SUM(M8:T8)</f>
        <v>205</v>
      </c>
      <c r="X8" s="5"/>
      <c r="Y8" s="5"/>
    </row>
    <row r="9" spans="1:25" x14ac:dyDescent="0.45">
      <c r="A9" s="10">
        <v>0.125</v>
      </c>
      <c r="B9" s="5" t="n">
        <v>451.2502584712514</v>
      </c>
      <c r="C9" s="5" t="n">
        <v>7.865949361190859</v>
      </c>
      <c r="D9" s="5" t="n">
        <v>22.161480154947075</v>
      </c>
      <c r="E9" s="5" t="n">
        <v>164.3079049205743</v>
      </c>
      <c r="F9" s="5" t="n">
        <v>137.21735367549906</v>
      </c>
      <c r="G9" s="5" t="n">
        <v>0.037747172518580056</v>
      </c>
      <c r="H9" s="5" t="n">
        <v>3.1857906738936412</v>
      </c>
      <c r="I9" s="5" t="n">
        <v>0.0</v>
      </c>
      <c r="J9" s="5">
        <f ref="J9:J58" si="0" t="shared">SUM(B9:I9)</f>
        <v>786.02648442987493</v>
      </c>
      <c r="L9" s="10">
        <v>0.125</v>
      </c>
      <c r="M9" s="8" t="n">
        <v>237.16863346099854</v>
      </c>
      <c r="N9" s="8" t="n">
        <v>40.332045555114746</v>
      </c>
      <c r="O9" s="8" t="n">
        <v>58.19930362701416</v>
      </c>
      <c r="P9" s="8" t="n">
        <v>71.05459785461426</v>
      </c>
      <c r="Q9" s="8" t="n">
        <v>11.676046371459961</v>
      </c>
      <c r="R9" s="8" t="n">
        <v>14.295943260192871</v>
      </c>
      <c r="S9" s="8" t="n">
        <v>34.282010078430176</v>
      </c>
      <c r="T9" s="8" t="n">
        <v>0.0</v>
      </c>
      <c r="U9">
        <f ref="U9:U58" si="1" t="shared">SUM(M9:T9)</f>
        <v>470.30068397521973</v>
      </c>
      <c r="X9" s="5"/>
      <c r="Y9" s="5"/>
    </row>
    <row r="10" spans="1:25" x14ac:dyDescent="0.45">
      <c r="A10" s="10">
        <v>0.14583333333333334</v>
      </c>
      <c r="B10" s="5" t="n">
        <v>372.79475938146174</v>
      </c>
      <c r="C10" s="5" t="n">
        <v>19.149072580905944</v>
      </c>
      <c r="D10" s="5" t="n">
        <v>64.1579486553232</v>
      </c>
      <c r="E10" s="5" t="n">
        <v>158.15435519312743</v>
      </c>
      <c r="F10" s="5" t="n">
        <v>84.8889585521685</v>
      </c>
      <c r="G10" s="5" t="n">
        <v>0.25466863306589105</v>
      </c>
      <c r="H10" s="5" t="n">
        <v>11.649501870789269</v>
      </c>
      <c r="I10" s="5" t="n">
        <v>0.0</v>
      </c>
      <c r="J10" s="5">
        <f si="0" t="shared"/>
        <v>711.04926486684201</v>
      </c>
      <c r="L10" s="10">
        <v>0.14583333333333334</v>
      </c>
      <c r="M10" s="8" t="n">
        <v>370.39852714538574</v>
      </c>
      <c r="N10" s="8" t="n">
        <v>65.68382358551025</v>
      </c>
      <c r="O10" s="8" t="n">
        <v>121.36945915222168</v>
      </c>
      <c r="P10" s="8" t="n">
        <v>130.1931447982788</v>
      </c>
      <c r="Q10" s="8" t="n">
        <v>12.872376441955566</v>
      </c>
      <c r="R10" s="8" t="n">
        <v>13.624847412109375</v>
      </c>
      <c r="S10" s="8" t="n">
        <v>50.195756912231445</v>
      </c>
      <c r="T10" s="8" t="n">
        <v>0.0</v>
      </c>
      <c r="U10">
        <f si="1" t="shared"/>
        <v>767.45047378540039</v>
      </c>
      <c r="X10" s="5"/>
      <c r="Y10" s="5"/>
    </row>
    <row r="11" spans="1:25" x14ac:dyDescent="0.45">
      <c r="A11" s="10">
        <v>0.16666666666666666</v>
      </c>
      <c r="B11" s="5" t="n">
        <v>431.70103631598727</v>
      </c>
      <c r="C11" s="5" t="n">
        <v>43.20395290703526</v>
      </c>
      <c r="D11" s="5" t="n">
        <v>149.29060350880735</v>
      </c>
      <c r="E11" s="5" t="n">
        <v>223.54602981854964</v>
      </c>
      <c r="F11" s="5" t="n">
        <v>51.83117819679388</v>
      </c>
      <c r="G11" s="5" t="n">
        <v>1.211704606645635</v>
      </c>
      <c r="H11" s="5" t="n">
        <v>33.6493216129516</v>
      </c>
      <c r="I11" s="5" t="n">
        <v>0.0</v>
      </c>
      <c r="J11" s="5">
        <f si="0" t="shared"/>
        <v>934.43382696677065</v>
      </c>
      <c r="L11" s="10">
        <v>0.16666666666666666</v>
      </c>
      <c r="M11" s="8" t="n">
        <v>545.0260019302368</v>
      </c>
      <c r="N11" s="8" t="n">
        <v>103.73696517944336</v>
      </c>
      <c r="O11" s="8" t="n">
        <v>219.87210273742676</v>
      </c>
      <c r="P11" s="8" t="n">
        <v>224.80826091766357</v>
      </c>
      <c r="Q11" s="8" t="n">
        <v>18.19130039215088</v>
      </c>
      <c r="R11" s="8" t="n">
        <v>15.67608642578125</v>
      </c>
      <c r="S11" s="8" t="n">
        <v>72.96650123596191</v>
      </c>
      <c r="T11" s="8" t="n">
        <v>0.0</v>
      </c>
      <c r="U11">
        <f si="1" t="shared"/>
        <v>1208.2916851043701</v>
      </c>
      <c r="X11" s="5"/>
      <c r="Y11" s="5"/>
    </row>
    <row r="12" spans="1:25" x14ac:dyDescent="0.45">
      <c r="A12" s="10">
        <v>0.1875</v>
      </c>
      <c r="B12" s="5" t="n">
        <v>691.79196957499</v>
      </c>
      <c r="C12" s="5" t="n">
        <v>102.61344351091068</v>
      </c>
      <c r="D12" s="5" t="n">
        <v>302.8221548648087</v>
      </c>
      <c r="E12" s="5" t="n">
        <v>417.495813369553</v>
      </c>
      <c r="F12" s="5" t="n">
        <v>45.117654336828394</v>
      </c>
      <c r="G12" s="5" t="n">
        <v>4.343161239282185</v>
      </c>
      <c r="H12" s="5" t="n">
        <v>81.8377026491318</v>
      </c>
      <c r="I12" s="5" t="n">
        <v>0.0</v>
      </c>
      <c r="J12" s="5">
        <f si="0" t="shared"/>
        <v>1646.0218995455045</v>
      </c>
      <c r="L12" s="10">
        <v>0.1875</v>
      </c>
      <c r="M12" s="8" t="n">
        <v>837.2560377120972</v>
      </c>
      <c r="N12" s="8" t="n">
        <v>174.14819240570068</v>
      </c>
      <c r="O12" s="8" t="n">
        <v>407.12942600250244</v>
      </c>
      <c r="P12" s="8" t="n">
        <v>408.7662754058838</v>
      </c>
      <c r="Q12" s="8" t="n">
        <v>32.080881118774414</v>
      </c>
      <c r="R12" s="8" t="n">
        <v>23.125428199768066</v>
      </c>
      <c r="S12" s="8" t="n">
        <v>116.27232837677002</v>
      </c>
      <c r="T12" s="8" t="n">
        <v>0.0</v>
      </c>
      <c r="U12">
        <f si="1" t="shared"/>
        <v>2018.9470825195313</v>
      </c>
    </row>
    <row r="13" spans="1:25" x14ac:dyDescent="0.45">
      <c r="A13" s="10">
        <v>0.20833333333333334</v>
      </c>
      <c r="B13" s="5" t="n">
        <v>1209.6304054853006</v>
      </c>
      <c r="C13" s="5" t="n">
        <v>237.31824101635405</v>
      </c>
      <c r="D13" s="5" t="n">
        <v>544.6996608005899</v>
      </c>
      <c r="E13" s="5" t="n">
        <v>825.5519877705506</v>
      </c>
      <c r="F13" s="5" t="n">
        <v>72.86872238905131</v>
      </c>
      <c r="G13" s="5" t="n">
        <v>12.177404842584561</v>
      </c>
      <c r="H13" s="5" t="n">
        <v>170.93756696593567</v>
      </c>
      <c r="I13" s="5" t="n">
        <v>0.0</v>
      </c>
      <c r="J13" s="5">
        <f si="0" t="shared"/>
        <v>3073.183989270367</v>
      </c>
      <c r="L13" s="10">
        <v>0.20833333333333334</v>
      </c>
      <c r="M13" s="8" t="n">
        <v>1337.4656314849854</v>
      </c>
      <c r="N13" s="8" t="n">
        <v>303.3545923233032</v>
      </c>
      <c r="O13" s="8" t="n">
        <v>758.2322378158569</v>
      </c>
      <c r="P13" s="8" t="n">
        <v>758.8133878707886</v>
      </c>
      <c r="Q13" s="8" t="n">
        <v>60.6947717666626</v>
      </c>
      <c r="R13" s="8" t="n">
        <v>39.334800720214844</v>
      </c>
      <c r="S13" s="8" t="n">
        <v>197.84562587738037</v>
      </c>
      <c r="T13" s="8" t="n">
        <v>0.0</v>
      </c>
      <c r="U13">
        <f si="1" t="shared"/>
        <v>3496.108865737915</v>
      </c>
    </row>
    <row r="14" spans="1:25" x14ac:dyDescent="0.45">
      <c r="A14" s="10">
        <v>0.22916666666666666</v>
      </c>
      <c r="B14" s="5" t="n">
        <v>2013.4825948630587</v>
      </c>
      <c r="C14" s="5" t="n">
        <v>494.6394351209939</v>
      </c>
      <c r="D14" s="5" t="n">
        <v>882.8308176539033</v>
      </c>
      <c r="E14" s="5" t="n">
        <v>1543.6810580974936</v>
      </c>
      <c r="F14" s="5" t="n">
        <v>142.6642127909923</v>
      </c>
      <c r="G14" s="5" t="n">
        <v>27.370813672321347</v>
      </c>
      <c r="H14" s="5" t="n">
        <v>309.4964880104666</v>
      </c>
      <c r="I14" s="5" t="n">
        <v>0.0</v>
      </c>
      <c r="J14" s="5">
        <f si="0" t="shared"/>
        <v>5414.1654202092295</v>
      </c>
      <c r="L14" s="10">
        <v>0.22916666666666666</v>
      </c>
      <c r="M14" s="8" t="n">
        <v>2098.6173305511475</v>
      </c>
      <c r="N14" s="8" t="n">
        <v>513.8885869979858</v>
      </c>
      <c r="O14" s="8" t="n">
        <v>1345.6500930786133</v>
      </c>
      <c r="P14" s="8" t="n">
        <v>1350.2236633300781</v>
      </c>
      <c r="Q14" s="8" t="n">
        <v>110.20945739746094</v>
      </c>
      <c r="R14" s="8" t="n">
        <v>67.29519081115723</v>
      </c>
      <c r="S14" s="8" t="n">
        <v>332.03701305389404</v>
      </c>
      <c r="T14" s="8" t="n">
        <v>0.0</v>
      </c>
      <c r="U14">
        <f si="1" t="shared"/>
        <v>5884.7034759521484</v>
      </c>
    </row>
    <row r="15" spans="1:25" x14ac:dyDescent="0.45">
      <c r="A15" s="10">
        <v>0.25</v>
      </c>
      <c r="B15" s="5" t="n">
        <v>3059.708144387153</v>
      </c>
      <c r="C15" s="5" t="n">
        <v>898.3124312239255</v>
      </c>
      <c r="D15" s="5" t="n">
        <v>1317.373196546549</v>
      </c>
      <c r="E15" s="5" t="n">
        <v>2614.650410645143</v>
      </c>
      <c r="F15" s="5" t="n">
        <v>253.30566673944995</v>
      </c>
      <c r="G15" s="5" t="n">
        <v>50.132881419647056</v>
      </c>
      <c r="H15" s="5" t="n">
        <v>487.02178434733526</v>
      </c>
      <c r="I15" s="5" t="n">
        <v>0.0</v>
      </c>
      <c r="J15" s="5">
        <f si="0" t="shared"/>
        <v>8680.5045153092033</v>
      </c>
      <c r="L15" s="10">
        <v>0.25</v>
      </c>
      <c r="M15" s="8" t="n">
        <v>3087.1918001174927</v>
      </c>
      <c r="N15" s="8" t="n">
        <v>809.9255857467651</v>
      </c>
      <c r="O15" s="8" t="n">
        <v>2200.974489212036</v>
      </c>
      <c r="P15" s="8" t="n">
        <v>2216.7792358398438</v>
      </c>
      <c r="Q15" s="8" t="n">
        <v>183.6510124206543</v>
      </c>
      <c r="R15" s="8" t="n">
        <v>108.06526851654053</v>
      </c>
      <c r="S15" s="8" t="n">
        <v>521.451738357544</v>
      </c>
      <c r="T15" s="8" t="n">
        <v>0.0</v>
      </c>
      <c r="U15">
        <f si="1" t="shared"/>
        <v>9222.2142105102539</v>
      </c>
    </row>
    <row r="16" spans="1:25" x14ac:dyDescent="0.45">
      <c r="A16" s="10">
        <v>0.27083333333333331</v>
      </c>
      <c r="B16" s="5" t="n">
        <v>4192.367602485325</v>
      </c>
      <c r="C16" s="5" t="n">
        <v>1410.6994082412607</v>
      </c>
      <c r="D16" s="5" t="n">
        <v>1858.2516940297005</v>
      </c>
      <c r="E16" s="5" t="n">
        <v>3949.672037030154</v>
      </c>
      <c r="F16" s="5" t="n">
        <v>386.1856072899261</v>
      </c>
      <c r="G16" s="5" t="n">
        <v>75.6461524113929</v>
      </c>
      <c r="H16" s="5" t="n">
        <v>665.7348066198999</v>
      </c>
      <c r="I16" s="5" t="n">
        <v>0.0</v>
      </c>
      <c r="J16" s="5">
        <f si="0" t="shared"/>
        <v>12538.557308107658</v>
      </c>
      <c r="L16" s="10">
        <v>0.27083333333333331</v>
      </c>
      <c r="M16" s="8" t="n">
        <v>4170.44215965271</v>
      </c>
      <c r="N16" s="8" t="n">
        <v>1167.2600965499878</v>
      </c>
      <c r="O16" s="8" t="n">
        <v>3279.517477989197</v>
      </c>
      <c r="P16" s="8" t="n">
        <v>3312.9192781448364</v>
      </c>
      <c r="Q16" s="8" t="n">
        <v>277.645715713501</v>
      </c>
      <c r="R16" s="8" t="n">
        <v>159.39975261688232</v>
      </c>
      <c r="S16" s="8" t="n">
        <v>751.6670360565186</v>
      </c>
      <c r="T16" s="8" t="n">
        <v>0.0</v>
      </c>
      <c r="U16">
        <f si="1" t="shared"/>
        <v>13233.054838180542</v>
      </c>
    </row>
    <row r="17" spans="1:21" x14ac:dyDescent="0.45">
      <c r="A17" s="10">
        <v>0.29166666666666669</v>
      </c>
      <c r="B17" s="5" t="n">
        <v>5160.3712232579455</v>
      </c>
      <c r="C17" s="5" t="n">
        <v>1924.1460993072865</v>
      </c>
      <c r="D17" s="5" t="n">
        <v>2538.5969863496607</v>
      </c>
      <c r="E17" s="5" t="n">
        <v>5311.855415620556</v>
      </c>
      <c r="F17" s="5" t="n">
        <v>507.3220314825603</v>
      </c>
      <c r="G17" s="5" t="n">
        <v>94.69752086068095</v>
      </c>
      <c r="H17" s="5" t="n">
        <v>790.7255985634362</v>
      </c>
      <c r="I17" s="5" t="n">
        <v>0.0</v>
      </c>
      <c r="J17" s="5">
        <f si="0" t="shared"/>
        <v>16327.714875442129</v>
      </c>
      <c r="L17" s="10">
        <v>0.29166666666666669</v>
      </c>
      <c r="M17" s="8" t="n">
        <v>5156.26319694519</v>
      </c>
      <c r="N17" s="8" t="n">
        <v>1535.9286079406738</v>
      </c>
      <c r="O17" s="8" t="n">
        <v>4452.094379425049</v>
      </c>
      <c r="P17" s="8" t="n">
        <v>4504.969295501709</v>
      </c>
      <c r="Q17" s="8" t="n">
        <v>381.53603076934814</v>
      </c>
      <c r="R17" s="8" t="n">
        <v>215.52553844451904</v>
      </c>
      <c r="S17" s="8" t="n">
        <v>992.9077053070068</v>
      </c>
      <c r="T17" s="8" t="n">
        <v>0.0</v>
      </c>
      <c r="U17">
        <f si="1" t="shared"/>
        <v>17356.178872108459</v>
      </c>
    </row>
    <row r="18" spans="1:21" x14ac:dyDescent="0.45">
      <c r="A18" s="10">
        <v>0.3125</v>
      </c>
      <c r="B18" s="5" t="n">
        <v>5721.372994694285</v>
      </c>
      <c r="C18" s="5" t="n">
        <v>2306.8629948096764</v>
      </c>
      <c r="D18" s="5" t="n">
        <v>3399.0082108505267</v>
      </c>
      <c r="E18" s="5" t="n">
        <v>6411.741996710362</v>
      </c>
      <c r="F18" s="5" t="n">
        <v>583.4887547202329</v>
      </c>
      <c r="G18" s="5" t="n">
        <v>98.86307773088599</v>
      </c>
      <c r="H18" s="5" t="n">
        <v>821.1193904407896</v>
      </c>
      <c r="I18" s="5" t="n">
        <v>0.0</v>
      </c>
      <c r="J18" s="5">
        <f si="0" t="shared"/>
        <v>19342.457419956758</v>
      </c>
      <c r="L18" s="10">
        <v>0.3125</v>
      </c>
      <c r="M18" s="8" t="n">
        <v>5870.287043571472</v>
      </c>
      <c r="N18" s="8" t="n">
        <v>1857.4898319244385</v>
      </c>
      <c r="O18" s="8" t="n">
        <v>5541.2104139328</v>
      </c>
      <c r="P18" s="8" t="n">
        <v>5610.073215484619</v>
      </c>
      <c r="Q18" s="8" t="n">
        <v>480.6148090362549</v>
      </c>
      <c r="R18" s="8" t="n">
        <v>268.7822790145874</v>
      </c>
      <c r="S18" s="8" t="n">
        <v>1210.283450126648</v>
      </c>
      <c r="T18" s="8" t="n">
        <v>0.0</v>
      </c>
      <c r="U18">
        <f si="1" t="shared"/>
        <v>20932.268688201904</v>
      </c>
    </row>
    <row r="19" spans="1:21" x14ac:dyDescent="0.45">
      <c r="A19" s="10">
        <v>0.33333333333333331</v>
      </c>
      <c r="B19" s="5" t="n">
        <v>5778.219742975383</v>
      </c>
      <c r="C19" s="5" t="n">
        <v>2480.16382359274</v>
      </c>
      <c r="D19" s="5" t="n">
        <v>4443.3441834678215</v>
      </c>
      <c r="E19" s="5" t="n">
        <v>7064.5103997410515</v>
      </c>
      <c r="F19" s="5" t="n">
        <v>601.7511243347928</v>
      </c>
      <c r="G19" s="5" t="n">
        <v>86.85362609163043</v>
      </c>
      <c r="H19" s="5" t="n">
        <v>761.5149603961172</v>
      </c>
      <c r="I19" s="5" t="n">
        <v>0.0</v>
      </c>
      <c r="J19" s="5">
        <f si="0" t="shared"/>
        <v>21216.357860599539</v>
      </c>
      <c r="L19" s="10">
        <v>0.33333333333333331</v>
      </c>
      <c r="M19" s="8" t="n">
        <v>6229.4947681427</v>
      </c>
      <c r="N19" s="8" t="n">
        <v>2089.2970638275146</v>
      </c>
      <c r="O19" s="8" t="n">
        <v>6392.45562171936</v>
      </c>
      <c r="P19" s="8" t="n">
        <v>6471.591414451599</v>
      </c>
      <c r="Q19" s="8" t="n">
        <v>562.4635944366455</v>
      </c>
      <c r="R19" s="8" t="n">
        <v>312.7819423675537</v>
      </c>
      <c r="S19" s="8" t="n">
        <v>1378.8871822357178</v>
      </c>
      <c r="T19" s="8" t="n">
        <v>0.0</v>
      </c>
      <c r="U19">
        <f si="1" t="shared"/>
        <v>23476.31892490387</v>
      </c>
    </row>
    <row r="20" spans="1:21" x14ac:dyDescent="0.45">
      <c r="A20" s="10">
        <v>0.35416666666666669</v>
      </c>
      <c r="B20" s="5" t="n">
        <v>5438.084851681888</v>
      </c>
      <c r="C20" s="5" t="n">
        <v>2465.689183146868</v>
      </c>
      <c r="D20" s="5" t="n">
        <v>5603.980134965547</v>
      </c>
      <c r="E20" s="5" t="n">
        <v>7284.222614817667</v>
      </c>
      <c r="F20" s="5" t="n">
        <v>576.796237536623</v>
      </c>
      <c r="G20" s="5" t="n">
        <v>66.41363999124313</v>
      </c>
      <c r="H20" s="5" t="n">
        <v>663.6532145763967</v>
      </c>
      <c r="I20" s="5" t="n">
        <v>0.0</v>
      </c>
      <c r="J20" s="5">
        <f si="0" t="shared"/>
        <v>22098.839876716229</v>
      </c>
      <c r="L20" s="10">
        <v>0.35416666666666669</v>
      </c>
      <c r="M20" s="8" t="n">
        <v>6269.855875015259</v>
      </c>
      <c r="N20" s="8" t="n">
        <v>2221.395956993103</v>
      </c>
      <c r="O20" s="8" t="n">
        <v>6939.790188789368</v>
      </c>
      <c r="P20" s="8" t="n">
        <v>7025.846510887146</v>
      </c>
      <c r="Q20" s="8" t="n">
        <v>622.3540840148926</v>
      </c>
      <c r="R20" s="8" t="n">
        <v>345.2484083175659</v>
      </c>
      <c r="S20" s="8" t="n">
        <v>1494.462565422058</v>
      </c>
      <c r="T20" s="8" t="n">
        <v>0.0</v>
      </c>
      <c r="U20">
        <f si="1" t="shared"/>
        <v>24876.367527008057</v>
      </c>
    </row>
    <row r="21" spans="1:21" x14ac:dyDescent="0.45">
      <c r="A21" s="10">
        <v>0.375</v>
      </c>
      <c r="B21" s="5" t="n">
        <v>4938.9737534992455</v>
      </c>
      <c r="C21" s="5" t="n">
        <v>2363.266947756486</v>
      </c>
      <c r="D21" s="5" t="n">
        <v>6750.654142072301</v>
      </c>
      <c r="E21" s="5" t="n">
        <v>7236.089636801664</v>
      </c>
      <c r="F21" s="5" t="n">
        <v>540.7080209026192</v>
      </c>
      <c r="G21" s="5" t="n">
        <v>49.84842941702111</v>
      </c>
      <c r="H21" s="5" t="n">
        <v>591.3162518825648</v>
      </c>
      <c r="I21" s="5" t="n">
        <v>0.0</v>
      </c>
      <c r="J21" s="5">
        <f si="0" t="shared"/>
        <v>22470.8571823319</v>
      </c>
      <c r="L21" s="10">
        <v>0.375</v>
      </c>
      <c r="M21" s="8" t="n">
        <v>6111.6571044921875</v>
      </c>
      <c r="N21" s="8" t="n">
        <v>2274.715358734131</v>
      </c>
      <c r="O21" s="8" t="n">
        <v>7217.73813533783</v>
      </c>
      <c r="P21" s="8" t="n">
        <v>7311.972979545593</v>
      </c>
      <c r="Q21" s="8" t="n">
        <v>663.5950145721436</v>
      </c>
      <c r="R21" s="8" t="n">
        <v>368.3182907104492</v>
      </c>
      <c r="S21" s="8" t="n">
        <v>1571.0751342773438</v>
      </c>
      <c r="T21" s="8" t="n">
        <v>0.0</v>
      </c>
      <c r="U21">
        <f si="1" t="shared"/>
        <v>25378.787567138672</v>
      </c>
    </row>
    <row r="22" spans="1:21" x14ac:dyDescent="0.45">
      <c r="A22" s="10">
        <v>0.39583333333333331</v>
      </c>
      <c r="B22" s="5" t="n">
        <v>4506.260737904953</v>
      </c>
      <c r="C22" s="5" t="n">
        <v>2281.789645661409</v>
      </c>
      <c r="D22" s="5" t="n">
        <v>7729.641778089785</v>
      </c>
      <c r="E22" s="5" t="n">
        <v>7095.252321486503</v>
      </c>
      <c r="F22" s="5" t="n">
        <v>524.0735530781915</v>
      </c>
      <c r="G22" s="5" t="n">
        <v>46.843946814803985</v>
      </c>
      <c r="H22" s="5" t="n">
        <v>576.4632567458544</v>
      </c>
      <c r="I22" s="5" t="n">
        <v>0.0</v>
      </c>
      <c r="J22" s="5">
        <f si="0" t="shared"/>
        <v>22760.325239781501</v>
      </c>
      <c r="L22" s="10">
        <v>0.39583333333333331</v>
      </c>
      <c r="M22" s="8" t="n">
        <v>5887.697514533997</v>
      </c>
      <c r="N22" s="8" t="n">
        <v>2282.6995677948</v>
      </c>
      <c r="O22" s="8" t="n">
        <v>7313.216185569763</v>
      </c>
      <c r="P22" s="8" t="n">
        <v>7420.4901876449585</v>
      </c>
      <c r="Q22" s="8" t="n">
        <v>692.8183393478394</v>
      </c>
      <c r="R22" s="8" t="n">
        <v>385.99467372894287</v>
      </c>
      <c r="S22" s="8" t="n">
        <v>1627.2271919250488</v>
      </c>
      <c r="T22" s="8" t="n">
        <v>0.0</v>
      </c>
      <c r="U22">
        <f si="1" t="shared"/>
        <v>25374.86106967926</v>
      </c>
    </row>
    <row r="23" spans="1:21" x14ac:dyDescent="0.45">
      <c r="A23" s="10">
        <v>0.41666666666666669</v>
      </c>
      <c r="B23" s="5" t="n">
        <v>4253.626025347439</v>
      </c>
      <c r="C23" s="5" t="n">
        <v>2278.627491263179</v>
      </c>
      <c r="D23" s="5" t="n">
        <v>8396.73256534864</v>
      </c>
      <c r="E23" s="5" t="n">
        <v>6938.495523492835</v>
      </c>
      <c r="F23" s="5" t="n">
        <v>541.7571132681795</v>
      </c>
      <c r="G23" s="5" t="n">
        <v>59.62010218050871</v>
      </c>
      <c r="H23" s="5" t="n">
        <v>603.251212268633</v>
      </c>
      <c r="I23" s="5" t="n">
        <v>0.0</v>
      </c>
      <c r="J23" s="5">
        <f si="0" t="shared"/>
        <v>23072.110033169418</v>
      </c>
      <c r="L23" s="10">
        <v>0.41666666666666669</v>
      </c>
      <c r="M23" s="8" t="n">
        <v>5686.255602836609</v>
      </c>
      <c r="N23" s="8" t="n">
        <v>2272.0757093429565</v>
      </c>
      <c r="O23" s="8" t="n">
        <v>7303.342906951904</v>
      </c>
      <c r="P23" s="8" t="n">
        <v>7430.705471038818</v>
      </c>
      <c r="Q23" s="8" t="n">
        <v>714.9755020141602</v>
      </c>
      <c r="R23" s="8" t="n">
        <v>401.15892601013184</v>
      </c>
      <c r="S23" s="8" t="n">
        <v>1672.8705558776855</v>
      </c>
      <c r="T23" s="8" t="n">
        <v>0.0</v>
      </c>
      <c r="U23">
        <f si="1" t="shared"/>
        <v>25172.085136413574</v>
      </c>
    </row>
    <row r="24" spans="1:21" x14ac:dyDescent="0.45">
      <c r="A24" s="10">
        <v>0.4375</v>
      </c>
      <c r="B24" s="5" t="n">
        <v>4182.139008331305</v>
      </c>
      <c r="C24" s="5" t="n">
        <v>2342.517514237081</v>
      </c>
      <c r="D24" s="5" t="n">
        <v>8642.695049846741</v>
      </c>
      <c r="E24" s="5" t="n">
        <v>6749.570606610224</v>
      </c>
      <c r="F24" s="5" t="n">
        <v>590.06868399185</v>
      </c>
      <c r="G24" s="5" t="n">
        <v>82.52082582974566</v>
      </c>
      <c r="H24" s="5" t="n">
        <v>630.3654957604481</v>
      </c>
      <c r="I24" s="5" t="n">
        <v>0.0</v>
      </c>
      <c r="J24" s="5">
        <f si="0" t="shared"/>
        <v>23219.877184607394</v>
      </c>
      <c r="L24" s="10">
        <v>0.4375</v>
      </c>
      <c r="M24" s="8" t="n">
        <v>5544.668982505798</v>
      </c>
      <c r="N24" s="8" t="n">
        <v>2257.676103591919</v>
      </c>
      <c r="O24" s="8" t="n">
        <v>7233.220613479614</v>
      </c>
      <c r="P24" s="8" t="n">
        <v>7391.288046836853</v>
      </c>
      <c r="Q24" s="8" t="n">
        <v>732.7556467056274</v>
      </c>
      <c r="R24" s="8" t="n">
        <v>414.88633155822754</v>
      </c>
      <c r="S24" s="8" t="n">
        <v>1708.8770055770874</v>
      </c>
      <c r="T24" s="8" t="n">
        <v>0.0</v>
      </c>
      <c r="U24">
        <f si="1" t="shared"/>
        <v>24931.298500061035</v>
      </c>
    </row>
    <row r="25" spans="1:21" x14ac:dyDescent="0.45">
      <c r="A25" s="10">
        <v>0.45833333333333331</v>
      </c>
      <c r="B25" s="5" t="n">
        <v>4240.421006151976</v>
      </c>
      <c r="C25" s="5" t="n">
        <v>2418.391573068946</v>
      </c>
      <c r="D25" s="5" t="n">
        <v>8437.73999242402</v>
      </c>
      <c r="E25" s="5" t="n">
        <v>6507.497392157983</v>
      </c>
      <c r="F25" s="5" t="n">
        <v>653.2425618367847</v>
      </c>
      <c r="G25" s="5" t="n">
        <v>105.43683382578038</v>
      </c>
      <c r="H25" s="5" t="n">
        <v>629.7729500353862</v>
      </c>
      <c r="I25" s="5" t="n">
        <v>0.0</v>
      </c>
      <c r="J25" s="5">
        <f si="0" t="shared"/>
        <v>22992.502309500876</v>
      </c>
      <c r="L25" s="10">
        <v>0.45833333333333331</v>
      </c>
      <c r="M25" s="8" t="n">
        <v>5480.580651283264</v>
      </c>
      <c r="N25" s="8" t="n">
        <v>2250.26797580719</v>
      </c>
      <c r="O25" s="8" t="n">
        <v>7136.991748809814</v>
      </c>
      <c r="P25" s="8" t="n">
        <v>7343.78470993042</v>
      </c>
      <c r="Q25" s="8" t="n">
        <v>749.7143964767456</v>
      </c>
      <c r="R25" s="8" t="n">
        <v>428.1053638458252</v>
      </c>
      <c r="S25" s="8" t="n">
        <v>1737.0952425003052</v>
      </c>
      <c r="T25" s="8" t="n">
        <v>0.0</v>
      </c>
      <c r="U25">
        <f si="1" t="shared"/>
        <v>24760.996313095093</v>
      </c>
    </row>
    <row r="26" spans="1:21" x14ac:dyDescent="0.45">
      <c r="A26" s="10">
        <v>0.47916666666666669</v>
      </c>
      <c r="B26" s="5" t="n">
        <v>4379.696900161139</v>
      </c>
      <c r="C26" s="5" t="n">
        <v>2452.980819763432</v>
      </c>
      <c r="D26" s="5" t="n">
        <v>7880.765873274447</v>
      </c>
      <c r="E26" s="5" t="n">
        <v>6264.740825824067</v>
      </c>
      <c r="F26" s="5" t="n">
        <v>713.26941159321</v>
      </c>
      <c r="G26" s="5" t="n">
        <v>119.89020091204091</v>
      </c>
      <c r="H26" s="5" t="n">
        <v>610.4794903431795</v>
      </c>
      <c r="I26" s="5" t="n">
        <v>0.0</v>
      </c>
      <c r="J26" s="5">
        <f si="0" t="shared"/>
        <v>22421.823521871513</v>
      </c>
      <c r="L26" s="10">
        <v>0.47916666666666669</v>
      </c>
      <c r="M26" s="8" t="n">
        <v>5515.71203994751</v>
      </c>
      <c r="N26" s="8" t="n">
        <v>2262.686758041382</v>
      </c>
      <c r="O26" s="8" t="n">
        <v>7056.957408905029</v>
      </c>
      <c r="P26" s="8" t="n">
        <v>7340.038003921509</v>
      </c>
      <c r="Q26" s="8" t="n">
        <v>771.8715133666992</v>
      </c>
      <c r="R26" s="8" t="n">
        <v>443.1026906967163</v>
      </c>
      <c r="S26" s="8" t="n">
        <v>1768.2529802322388</v>
      </c>
      <c r="T26" s="8" t="n">
        <v>0.0</v>
      </c>
      <c r="U26">
        <f si="1" t="shared"/>
        <v>24797.618538856506</v>
      </c>
    </row>
    <row r="27" spans="1:21" x14ac:dyDescent="0.45">
      <c r="A27" s="10">
        <v>0.5</v>
      </c>
      <c r="B27" s="5" t="n">
        <v>4573.665621335096</v>
      </c>
      <c r="C27" s="5" t="n">
        <v>2433.1256911711134</v>
      </c>
      <c r="D27" s="5" t="n">
        <v>7188.429243297365</v>
      </c>
      <c r="E27" s="5" t="n">
        <v>6152.306417369818</v>
      </c>
      <c r="F27" s="5" t="n">
        <v>757.9688941519596</v>
      </c>
      <c r="G27" s="5" t="n">
        <v>126.08467660525298</v>
      </c>
      <c r="H27" s="5" t="n">
        <v>611.5292039755552</v>
      </c>
      <c r="I27" s="5" t="n">
        <v>0.0</v>
      </c>
      <c r="J27" s="5">
        <f si="0" t="shared"/>
        <v>21843.109747906161</v>
      </c>
      <c r="L27" s="10">
        <v>0.5</v>
      </c>
      <c r="M27" s="8" t="n">
        <v>5665.7607679367065</v>
      </c>
      <c r="N27" s="8" t="n">
        <v>2304.1997842788696</v>
      </c>
      <c r="O27" s="8" t="n">
        <v>7027.213406562805</v>
      </c>
      <c r="P27" s="8" t="n">
        <v>7419.860824584961</v>
      </c>
      <c r="Q27" s="8" t="n">
        <v>804.5258865356445</v>
      </c>
      <c r="R27" s="8" t="n">
        <v>463.0241346359253</v>
      </c>
      <c r="S27" s="8" t="n">
        <v>1819.1862869262695</v>
      </c>
      <c r="T27" s="8" t="n">
        <v>0.0</v>
      </c>
      <c r="U27">
        <f si="1" t="shared"/>
        <v>25153.563345909119</v>
      </c>
    </row>
    <row r="28" spans="1:21" x14ac:dyDescent="0.45">
      <c r="A28" s="10">
        <v>0.52083333333333337</v>
      </c>
      <c r="B28" s="5" t="n">
        <v>4814.99072573675</v>
      </c>
      <c r="C28" s="5" t="n">
        <v>2391.598541440293</v>
      </c>
      <c r="D28" s="5" t="n">
        <v>6594.681744319459</v>
      </c>
      <c r="E28" s="5" t="n">
        <v>6313.6749203754025</v>
      </c>
      <c r="F28" s="5" t="n">
        <v>784.4713280639577</v>
      </c>
      <c r="G28" s="5" t="n">
        <v>137.37298773943917</v>
      </c>
      <c r="H28" s="5" t="n">
        <v>673.2175334572262</v>
      </c>
      <c r="I28" s="5" t="n">
        <v>0.0</v>
      </c>
      <c r="J28" s="5">
        <f si="0" t="shared"/>
        <v>21710.007781132528</v>
      </c>
      <c r="L28" s="10">
        <v>0.52083333333333337</v>
      </c>
      <c r="M28" s="8" t="n">
        <v>5915.79430770874</v>
      </c>
      <c r="N28" s="8" t="n">
        <v>2369.907392501831</v>
      </c>
      <c r="O28" s="8" t="n">
        <v>7040.660848617554</v>
      </c>
      <c r="P28" s="8" t="n">
        <v>7572.226055145264</v>
      </c>
      <c r="Q28" s="8" t="n">
        <v>847.2581043243408</v>
      </c>
      <c r="R28" s="8" t="n">
        <v>490.3452081680298</v>
      </c>
      <c r="S28" s="8" t="n">
        <v>1904.3125076293945</v>
      </c>
      <c r="T28" s="8" t="n">
        <v>0.0</v>
      </c>
      <c r="U28">
        <f si="1" t="shared"/>
        <v>25804.576386451721</v>
      </c>
    </row>
    <row r="29" spans="1:21" x14ac:dyDescent="0.45">
      <c r="A29" s="10">
        <v>0.54166666666666663</v>
      </c>
      <c r="B29" s="5" t="n">
        <v>5106.494488201282</v>
      </c>
      <c r="C29" s="5" t="n">
        <v>2378.031480460785</v>
      </c>
      <c r="D29" s="5" t="n">
        <v>6228.234690665803</v>
      </c>
      <c r="E29" s="5" t="n">
        <v>6805.361753980844</v>
      </c>
      <c r="F29" s="5" t="n">
        <v>797.8924483184094</v>
      </c>
      <c r="G29" s="5" t="n">
        <v>177.37668691657535</v>
      </c>
      <c r="H29" s="5" t="n">
        <v>811.4605610650495</v>
      </c>
      <c r="I29" s="5" t="n">
        <v>0.0</v>
      </c>
      <c r="J29" s="5">
        <f si="0" t="shared"/>
        <v>22304.85210960875</v>
      </c>
      <c r="L29" s="10">
        <v>0.54166666666666663</v>
      </c>
      <c r="M29" s="8" t="n">
        <v>6220.360238075256</v>
      </c>
      <c r="N29" s="8" t="n">
        <v>2440.2637214660645</v>
      </c>
      <c r="O29" s="8" t="n">
        <v>7044.03709602356</v>
      </c>
      <c r="P29" s="8" t="n">
        <v>7729.954113960266</v>
      </c>
      <c r="Q29" s="8" t="n">
        <v>893.1045751571655</v>
      </c>
      <c r="R29" s="8" t="n">
        <v>526.811113357544</v>
      </c>
      <c r="S29" s="8" t="n">
        <v>2032.727144241333</v>
      </c>
      <c r="T29" s="8" t="n">
        <v>0.0</v>
      </c>
      <c r="U29">
        <f si="1" t="shared"/>
        <v>26578.54406452179</v>
      </c>
    </row>
    <row r="30" spans="1:21" x14ac:dyDescent="0.45">
      <c r="A30" s="10">
        <v>0.5625</v>
      </c>
      <c r="B30" s="5" t="n">
        <v>5452.298266461304</v>
      </c>
      <c r="C30" s="5" t="n">
        <v>2422.354635752783</v>
      </c>
      <c r="D30" s="5" t="n">
        <v>6069.219754861448</v>
      </c>
      <c r="E30" s="5" t="n">
        <v>7516.911271169129</v>
      </c>
      <c r="F30" s="5" t="n">
        <v>807.5202512503329</v>
      </c>
      <c r="G30" s="5" t="n">
        <v>267.68515932738984</v>
      </c>
      <c r="H30" s="5" t="n">
        <v>1015.9984363859439</v>
      </c>
      <c r="I30" s="5" t="n">
        <v>0.0</v>
      </c>
      <c r="J30" s="5">
        <f si="0" t="shared"/>
        <v>23551.98777520833</v>
      </c>
      <c r="L30" s="10">
        <v>0.5625</v>
      </c>
      <c r="M30" s="8" t="n">
        <v>6541.679627418518</v>
      </c>
      <c r="N30" s="8" t="n">
        <v>2495.4388570785522</v>
      </c>
      <c r="O30" s="8" t="n">
        <v>6975.929831504822</v>
      </c>
      <c r="P30" s="8" t="n">
        <v>7813.95359992981</v>
      </c>
      <c r="Q30" s="8" t="n">
        <v>934.0590629577637</v>
      </c>
      <c r="R30" s="8" t="n">
        <v>575.766074180603</v>
      </c>
      <c r="S30" s="8" t="n">
        <v>2214.945182800293</v>
      </c>
      <c r="T30" s="8" t="n">
        <v>0.0</v>
      </c>
      <c r="U30">
        <f si="1" t="shared"/>
        <v>27298.881805419922</v>
      </c>
    </row>
    <row r="31" spans="1:21" x14ac:dyDescent="0.45">
      <c r="A31" s="10">
        <v>0.58333333333333337</v>
      </c>
      <c r="B31" s="5" t="n">
        <v>5858.114629239042</v>
      </c>
      <c r="C31" s="5" t="n">
        <v>2521.2915812663396</v>
      </c>
      <c r="D31" s="5" t="n">
        <v>6009.249014052773</v>
      </c>
      <c r="E31" s="5" t="n">
        <v>8176.719331400263</v>
      </c>
      <c r="F31" s="5" t="n">
        <v>823.1145659561091</v>
      </c>
      <c r="G31" s="5" t="n">
        <v>411.4999249989531</v>
      </c>
      <c r="H31" s="5" t="n">
        <v>1270.863829959953</v>
      </c>
      <c r="I31" s="5" t="n">
        <v>0.0</v>
      </c>
      <c r="J31" s="5">
        <f si="0" t="shared"/>
        <v>25070.852876873432</v>
      </c>
      <c r="L31" s="10">
        <v>0.58333333333333337</v>
      </c>
      <c r="M31" s="8" t="n">
        <v>6897.976500511169</v>
      </c>
      <c r="N31" s="8" t="n">
        <v>2532.4160413742065</v>
      </c>
      <c r="O31" s="8" t="n">
        <v>6815.302400588989</v>
      </c>
      <c r="P31" s="8" t="n">
        <v>7789.705183029175</v>
      </c>
      <c r="Q31" s="8" t="n">
        <v>968.4402322769165</v>
      </c>
      <c r="R31" s="8" t="n">
        <v>644.5668544769287</v>
      </c>
      <c r="S31" s="8" t="n">
        <v>2470.5990200042725</v>
      </c>
      <c r="T31" s="8" t="n">
        <v>0.0</v>
      </c>
      <c r="U31">
        <f si="1" t="shared"/>
        <v>27960.643504142761</v>
      </c>
    </row>
    <row r="32" spans="1:21" x14ac:dyDescent="0.45">
      <c r="A32" s="10">
        <v>0.60416666666666663</v>
      </c>
      <c r="B32" s="5" t="n">
        <v>6361.951969882617</v>
      </c>
      <c r="C32" s="5" t="n">
        <v>2650.7536268657836</v>
      </c>
      <c r="D32" s="5" t="n">
        <v>5945.391931696158</v>
      </c>
      <c r="E32" s="5" t="n">
        <v>8479.48618450715</v>
      </c>
      <c r="F32" s="5" t="n">
        <v>851.7217940595685</v>
      </c>
      <c r="G32" s="5" t="n">
        <v>585.9976921094251</v>
      </c>
      <c r="H32" s="5" t="n">
        <v>1575.0502670140145</v>
      </c>
      <c r="I32" s="5" t="n">
        <v>0.0</v>
      </c>
      <c r="J32" s="5">
        <f si="0" t="shared"/>
        <v>26450.353466134718</v>
      </c>
      <c r="L32" s="10">
        <v>0.60416666666666663</v>
      </c>
      <c r="M32" s="8" t="n">
        <v>7379.309433937073</v>
      </c>
      <c r="N32" s="8" t="n">
        <v>2568.497036933899</v>
      </c>
      <c r="O32" s="8" t="n">
        <v>6595.574499130249</v>
      </c>
      <c r="P32" s="8" t="n">
        <v>7684.556907653809</v>
      </c>
      <c r="Q32" s="8" t="n">
        <v>1003.189793586731</v>
      </c>
      <c r="R32" s="8" t="n">
        <v>743.1847877502441</v>
      </c>
      <c r="S32" s="8" t="n">
        <v>2823.68555355072</v>
      </c>
      <c r="T32" s="8" t="n">
        <v>0.0</v>
      </c>
      <c r="U32">
        <f si="1" t="shared"/>
        <v>28767.436895370483</v>
      </c>
    </row>
    <row r="33" spans="1:21" x14ac:dyDescent="0.45">
      <c r="A33" s="10">
        <v>0.625</v>
      </c>
      <c r="B33" s="5" t="n">
        <v>7092.531424566803</v>
      </c>
      <c r="C33" s="5" t="n">
        <v>2783.521903198273</v>
      </c>
      <c r="D33" s="5" t="n">
        <v>5832.309608503624</v>
      </c>
      <c r="E33" s="5" t="n">
        <v>8270.790170433977</v>
      </c>
      <c r="F33" s="5" t="n">
        <v>894.7439322629989</v>
      </c>
      <c r="G33" s="5" t="n">
        <v>754.2255531153155</v>
      </c>
      <c r="H33" s="5" t="n">
        <v>1943.8720851249127</v>
      </c>
      <c r="I33" s="5" t="n">
        <v>0.0</v>
      </c>
      <c r="J33" s="5">
        <f si="0" t="shared"/>
        <v>27571.994677205901</v>
      </c>
      <c r="L33" s="10">
        <v>0.625</v>
      </c>
      <c r="M33" s="8" t="n">
        <v>8112.836671829224</v>
      </c>
      <c r="N33" s="8" t="n">
        <v>2627.56641292572</v>
      </c>
      <c r="O33" s="8" t="n">
        <v>6372.167463302612</v>
      </c>
      <c r="P33" s="8" t="n">
        <v>7552.129153251648</v>
      </c>
      <c r="Q33" s="8" t="n">
        <v>1048.4730224609375</v>
      </c>
      <c r="R33" s="8" t="n">
        <v>877.555980682373</v>
      </c>
      <c r="S33" s="8" t="n">
        <v>3281.471779823303</v>
      </c>
      <c r="T33" s="8" t="n">
        <v>0.0</v>
      </c>
      <c r="U33">
        <f si="1" t="shared"/>
        <v>29980.61833190918</v>
      </c>
    </row>
    <row r="34" spans="1:21" x14ac:dyDescent="0.45">
      <c r="A34" s="10">
        <v>0.64583333333333337</v>
      </c>
      <c r="B34" s="5" t="n">
        <v>8294.166140165036</v>
      </c>
      <c r="C34" s="5" t="n">
        <v>2897.007408907762</v>
      </c>
      <c r="D34" s="5" t="n">
        <v>5680.365444887094</v>
      </c>
      <c r="E34" s="5" t="n">
        <v>7646.721617292522</v>
      </c>
      <c r="F34" s="5" t="n">
        <v>947.4446158405542</v>
      </c>
      <c r="G34" s="5" t="n">
        <v>891.6093439854528</v>
      </c>
      <c r="H34" s="5" t="n">
        <v>2393.893228957634</v>
      </c>
      <c r="I34" s="5" t="n">
        <v>0.0</v>
      </c>
      <c r="J34" s="5">
        <f si="0" t="shared"/>
        <v>28751.207800036056</v>
      </c>
      <c r="L34" s="10">
        <v>0.64583333333333337</v>
      </c>
      <c r="M34" s="8" t="n">
        <v>9198.807225227356</v>
      </c>
      <c r="N34" s="8" t="n">
        <v>2721.2514848709106</v>
      </c>
      <c r="O34" s="8" t="n">
        <v>6174.169097900391</v>
      </c>
      <c r="P34" s="8" t="n">
        <v>7419.470247268677</v>
      </c>
      <c r="Q34" s="8" t="n">
        <v>1108.9620914459229</v>
      </c>
      <c r="R34" s="8" t="n">
        <v>1041.517189025879</v>
      </c>
      <c r="S34" s="8" t="n">
        <v>3810.580422401428</v>
      </c>
      <c r="T34" s="8" t="n">
        <v>0.0</v>
      </c>
      <c r="U34">
        <f si="1" t="shared"/>
        <v>31704.129774093628</v>
      </c>
    </row>
    <row r="35" spans="1:21" x14ac:dyDescent="0.45">
      <c r="A35" s="10">
        <v>0.66666666666666663</v>
      </c>
      <c r="B35" s="5" t="n">
        <v>10235.508644179281</v>
      </c>
      <c r="C35" s="5" t="n">
        <v>2974.1349366712575</v>
      </c>
      <c r="D35" s="5" t="n">
        <v>5529.204753322101</v>
      </c>
      <c r="E35" s="5" t="n">
        <v>6882.920457505146</v>
      </c>
      <c r="F35" s="5" t="n">
        <v>1003.1269182277929</v>
      </c>
      <c r="G35" s="5" t="n">
        <v>1004.1336569215675</v>
      </c>
      <c r="H35" s="5" t="n">
        <v>2928.295777256664</v>
      </c>
      <c r="I35" s="5" t="n">
        <v>0.0</v>
      </c>
      <c r="J35" s="5">
        <f si="0" t="shared"/>
        <v>30557.325144083814</v>
      </c>
      <c r="L35" s="10">
        <v>0.66666666666666663</v>
      </c>
      <c r="M35" s="8" t="n">
        <v>10654.867948532104</v>
      </c>
      <c r="N35" s="8" t="n">
        <v>2840.048686981201</v>
      </c>
      <c r="O35" s="8" t="n">
        <v>5982.028002738953</v>
      </c>
      <c r="P35" s="8" t="n">
        <v>7264.734414100647</v>
      </c>
      <c r="Q35" s="8" t="n">
        <v>1178.9933319091797</v>
      </c>
      <c r="R35" s="8" t="n">
        <v>1214.06875705719</v>
      </c>
      <c r="S35" s="8" t="n">
        <v>4332.226916313171</v>
      </c>
      <c r="T35" s="8" t="n">
        <v>0.0</v>
      </c>
      <c r="U35">
        <f si="1" t="shared"/>
        <v>33777.954884529114</v>
      </c>
    </row>
    <row r="36" spans="1:21" x14ac:dyDescent="0.45">
      <c r="A36" s="10">
        <v>0.6875</v>
      </c>
      <c r="B36" s="5" t="n">
        <v>12994.038757755268</v>
      </c>
      <c r="C36" s="5" t="n">
        <v>3004.2464915976407</v>
      </c>
      <c r="D36" s="5" t="n">
        <v>5414.1590838141055</v>
      </c>
      <c r="E36" s="5" t="n">
        <v>6252.780742777781</v>
      </c>
      <c r="F36" s="5" t="n">
        <v>1058.330941901683</v>
      </c>
      <c r="G36" s="5" t="n">
        <v>1116.6844676325286</v>
      </c>
      <c r="H36" s="5" t="n">
        <v>3527.504469388368</v>
      </c>
      <c r="I36" s="5" t="n">
        <v>0.0</v>
      </c>
      <c r="J36" s="5">
        <f si="0" t="shared"/>
        <v>33367.744954867376</v>
      </c>
      <c r="L36" s="10">
        <v>0.6875</v>
      </c>
      <c r="M36" s="8" t="n">
        <v>12386.619079589844</v>
      </c>
      <c r="N36" s="8" t="n">
        <v>2957.9142713546753</v>
      </c>
      <c r="O36" s="8" t="n">
        <v>5744.909194946289</v>
      </c>
      <c r="P36" s="8" t="n">
        <v>7038.476079940796</v>
      </c>
      <c r="Q36" s="8" t="n">
        <v>1244.5912618637085</v>
      </c>
      <c r="R36" s="8" t="n">
        <v>1365.0848426818848</v>
      </c>
      <c r="S36" s="8" t="n">
        <v>4745.477929115295</v>
      </c>
      <c r="T36" s="8" t="n">
        <v>0.0</v>
      </c>
      <c r="U36">
        <f si="1" t="shared"/>
        <v>35832.651116371155</v>
      </c>
    </row>
    <row r="37" spans="1:21" x14ac:dyDescent="0.45">
      <c r="A37" s="10">
        <v>0.70833333333333337</v>
      </c>
      <c r="B37" s="5" t="n">
        <v>16240.428435510607</v>
      </c>
      <c r="C37" s="5" t="n">
        <v>2981.2105774180213</v>
      </c>
      <c r="D37" s="5" t="n">
        <v>5326.795957808648</v>
      </c>
      <c r="E37" s="5" t="n">
        <v>5872.9854077148575</v>
      </c>
      <c r="F37" s="5" t="n">
        <v>1111.3524987315086</v>
      </c>
      <c r="G37" s="5" t="n">
        <v>1237.4337907085699</v>
      </c>
      <c r="H37" s="5" t="n">
        <v>4133.734963368546</v>
      </c>
      <c r="I37" s="5" t="n">
        <v>0.0</v>
      </c>
      <c r="J37" s="5">
        <f si="0" t="shared"/>
        <v>36903.941631260757</v>
      </c>
      <c r="L37" s="10">
        <v>0.70833333333333337</v>
      </c>
      <c r="M37" s="8" t="n">
        <v>14179.269004821777</v>
      </c>
      <c r="N37" s="8" t="n">
        <v>3041.679349899292</v>
      </c>
      <c r="O37" s="8" t="n">
        <v>5415.036245346069</v>
      </c>
      <c r="P37" s="8" t="n">
        <v>6699.3635177612305</v>
      </c>
      <c r="Q37" s="8" t="n">
        <v>1289.0232200622559</v>
      </c>
      <c r="R37" s="8" t="n">
        <v>1465.6099042892456</v>
      </c>
      <c r="S37" s="8" t="n">
        <v>4963.462490081787</v>
      </c>
      <c r="T37" s="8" t="n">
        <v>0.0</v>
      </c>
      <c r="U37">
        <f si="1" t="shared"/>
        <v>37408.731674194336</v>
      </c>
    </row>
    <row r="38" spans="1:21" x14ac:dyDescent="0.45">
      <c r="A38" s="10">
        <v>0.72916666666666663</v>
      </c>
      <c r="B38" s="5" t="n">
        <v>19216.615163207764</v>
      </c>
      <c r="C38" s="5" t="n">
        <v>2895.175984207541</v>
      </c>
      <c r="D38" s="5" t="n">
        <v>5187.502076143284</v>
      </c>
      <c r="E38" s="5" t="n">
        <v>5665.750985049255</v>
      </c>
      <c r="F38" s="5" t="n">
        <v>1153.3098301573946</v>
      </c>
      <c r="G38" s="5" t="n">
        <v>1332.4935600979695</v>
      </c>
      <c r="H38" s="5" t="n">
        <v>4632.3123354539075</v>
      </c>
      <c r="I38" s="5" t="n">
        <v>0.0</v>
      </c>
      <c r="J38" s="5">
        <f si="0" t="shared"/>
        <v>40083.159934317111</v>
      </c>
      <c r="L38" s="10">
        <v>0.72916666666666663</v>
      </c>
      <c r="M38" s="8" t="n">
        <v>15716.780939102173</v>
      </c>
      <c r="N38" s="8" t="n">
        <v>3057.674919128418</v>
      </c>
      <c r="O38" s="8" t="n">
        <v>4969.609899520874</v>
      </c>
      <c r="P38" s="8" t="n">
        <v>6231.171578407288</v>
      </c>
      <c r="Q38" s="8" t="n">
        <v>1297.3944091796875</v>
      </c>
      <c r="R38" s="8" t="n">
        <v>1496.4183511734009</v>
      </c>
      <c r="S38" s="8" t="n">
        <v>4939.449033737183</v>
      </c>
      <c r="T38" s="8" t="n">
        <v>0.0</v>
      </c>
      <c r="U38">
        <f si="1" t="shared"/>
        <v>38046.690281867981</v>
      </c>
    </row>
    <row r="39" spans="1:21" x14ac:dyDescent="0.45">
      <c r="A39" s="10">
        <v>0.75</v>
      </c>
      <c r="B39" s="5" t="n">
        <v>21006.422994862718</v>
      </c>
      <c r="C39" s="5" t="n">
        <v>2727.2132396866386</v>
      </c>
      <c r="D39" s="5" t="n">
        <v>4866.525441232355</v>
      </c>
      <c r="E39" s="5" t="n">
        <v>5434.646821606382</v>
      </c>
      <c r="F39" s="5" t="n">
        <v>1162.3915945735653</v>
      </c>
      <c r="G39" s="5" t="n">
        <v>1340.5444659543662</v>
      </c>
      <c r="H39" s="5" t="n">
        <v>4864.31558341521</v>
      </c>
      <c r="I39" s="5" t="n">
        <v>0.0</v>
      </c>
      <c r="J39" s="5">
        <f si="0" t="shared"/>
        <v>41402.06014133124</v>
      </c>
      <c r="L39" s="10">
        <v>0.75</v>
      </c>
      <c r="M39" s="8" t="n">
        <v>16656.80585861206</v>
      </c>
      <c r="N39" s="8" t="n">
        <v>2977.991554260254</v>
      </c>
      <c r="O39" s="8" t="n">
        <v>4414.159249305725</v>
      </c>
      <c r="P39" s="8" t="n">
        <v>5639.788015365601</v>
      </c>
      <c r="Q39" s="8" t="n">
        <v>1259.8672323226929</v>
      </c>
      <c r="R39" s="8" t="n">
        <v>1452.3761100769043</v>
      </c>
      <c r="S39" s="8" t="n">
        <v>4674.794945716858</v>
      </c>
      <c r="T39" s="8" t="n">
        <v>0.0</v>
      </c>
      <c r="U39">
        <f si="1" t="shared"/>
        <v>37374.367949485779</v>
      </c>
    </row>
    <row r="40" spans="1:21" x14ac:dyDescent="0.45">
      <c r="A40" s="10">
        <v>0.77083333333333337</v>
      </c>
      <c r="B40" s="5" t="n">
        <v>20973.674992668726</v>
      </c>
      <c r="C40" s="5" t="n">
        <v>2459.6168305616434</v>
      </c>
      <c r="D40" s="5" t="n">
        <v>4264.033564654352</v>
      </c>
      <c r="E40" s="5" t="n">
        <v>4995.3985851026855</v>
      </c>
      <c r="F40" s="5" t="n">
        <v>1111.7839314986763</v>
      </c>
      <c r="G40" s="5" t="n">
        <v>1219.1531155915218</v>
      </c>
      <c r="H40" s="5" t="n">
        <v>4696.789464270036</v>
      </c>
      <c r="I40" s="5" t="n">
        <v>0.0</v>
      </c>
      <c r="J40" s="5">
        <f si="0" t="shared"/>
        <v>39720.450484347639</v>
      </c>
      <c r="L40" s="10">
        <v>0.77083333333333337</v>
      </c>
      <c r="M40" s="8" t="n">
        <v>16757.82277584076</v>
      </c>
      <c r="N40" s="8" t="n">
        <v>2790.7374229431152</v>
      </c>
      <c r="O40" s="8" t="n">
        <v>3779.2126026153564</v>
      </c>
      <c r="P40" s="8" t="n">
        <v>4949.650988578796</v>
      </c>
      <c r="Q40" s="8" t="n">
        <v>1175.041524887085</v>
      </c>
      <c r="R40" s="8" t="n">
        <v>1343.4079904556274</v>
      </c>
      <c r="S40" s="8" t="n">
        <v>4215.137033462524</v>
      </c>
      <c r="T40" s="8" t="n">
        <v>0.0</v>
      </c>
      <c r="U40">
        <f si="1" t="shared"/>
        <v>35242.715087890625</v>
      </c>
    </row>
    <row r="41" spans="1:21" x14ac:dyDescent="0.45">
      <c r="A41" s="10">
        <v>0.79166666666666663</v>
      </c>
      <c r="B41" s="5" t="n">
        <v>19080.90364950848</v>
      </c>
      <c r="C41" s="5" t="n">
        <v>2097.2696556072824</v>
      </c>
      <c r="D41" s="5" t="n">
        <v>3398.65758928696</v>
      </c>
      <c r="E41" s="5" t="n">
        <v>4286.362527207257</v>
      </c>
      <c r="F41" s="5" t="n">
        <v>987.9102259046032</v>
      </c>
      <c r="G41" s="5" t="n">
        <v>982.1014519864216</v>
      </c>
      <c r="H41" s="5" t="n">
        <v>4113.972434597581</v>
      </c>
      <c r="I41" s="5" t="n">
        <v>0.0</v>
      </c>
      <c r="J41" s="5">
        <f si="0" t="shared"/>
        <v>34947.177534098591</v>
      </c>
      <c r="L41" s="10">
        <v>0.79166666666666663</v>
      </c>
      <c r="M41" s="8" t="n">
        <v>15981.42017364502</v>
      </c>
      <c r="N41" s="8" t="n">
        <v>2508.468907356262</v>
      </c>
      <c r="O41" s="8" t="n">
        <v>3114.972122192383</v>
      </c>
      <c r="P41" s="8" t="n">
        <v>4204.530386924744</v>
      </c>
      <c r="Q41" s="8" t="n">
        <v>1051.7999019622803</v>
      </c>
      <c r="R41" s="8" t="n">
        <v>1191.423692703247</v>
      </c>
      <c r="S41" s="8" t="n">
        <v>3637.592649459839</v>
      </c>
      <c r="T41" s="8" t="n">
        <v>0.0</v>
      </c>
      <c r="U41">
        <f si="1" t="shared"/>
        <v>31830.856693267822</v>
      </c>
    </row>
    <row r="42" spans="1:21" x14ac:dyDescent="0.45">
      <c r="A42" s="10">
        <v>0.8125</v>
      </c>
      <c r="B42" s="5" t="n">
        <v>15874.183104856413</v>
      </c>
      <c r="C42" s="5" t="n">
        <v>1679.0467003500723</v>
      </c>
      <c r="D42" s="5" t="n">
        <v>2424.729958620813</v>
      </c>
      <c r="E42" s="5" t="n">
        <v>3395.773609557636</v>
      </c>
      <c r="F42" s="5" t="n">
        <v>803.8091934707458</v>
      </c>
      <c r="G42" s="5" t="n">
        <v>695.1290733363746</v>
      </c>
      <c r="H42" s="5" t="n">
        <v>3248.946946477402</v>
      </c>
      <c r="I42" s="5" t="n">
        <v>0.0</v>
      </c>
      <c r="J42" s="5">
        <f si="0" t="shared"/>
        <v>28121.618586669454</v>
      </c>
      <c r="L42" s="10">
        <v>0.8125</v>
      </c>
      <c r="M42" s="8" t="n">
        <v>14483.216177940369</v>
      </c>
      <c r="N42" s="8" t="n">
        <v>2163.9328575134277</v>
      </c>
      <c r="O42" s="8" t="n">
        <v>2477.6403999328613</v>
      </c>
      <c r="P42" s="8" t="n">
        <v>3459.357583999634</v>
      </c>
      <c r="Q42" s="8" t="n">
        <v>906.0352973937988</v>
      </c>
      <c r="R42" s="8" t="n">
        <v>1021.8808193206787</v>
      </c>
      <c r="S42" s="8" t="n">
        <v>3026.144521713257</v>
      </c>
      <c r="T42" s="8" t="n">
        <v>0.0</v>
      </c>
      <c r="U42">
        <f si="1" t="shared"/>
        <v>27580.176099777222</v>
      </c>
    </row>
    <row r="43" spans="1:21" x14ac:dyDescent="0.45">
      <c r="A43" s="10">
        <v>0.83333333333333337</v>
      </c>
      <c r="B43" s="5" t="n">
        <v>12172.65384870068</v>
      </c>
      <c r="C43" s="5" t="n">
        <v>1265.2979968676273</v>
      </c>
      <c r="D43" s="5" t="n">
        <v>1550.1856981957449</v>
      </c>
      <c r="E43" s="5" t="n">
        <v>2494.9654690865104</v>
      </c>
      <c r="F43" s="5" t="n">
        <v>595.683054416681</v>
      </c>
      <c r="G43" s="5" t="n">
        <v>436.11254228352027</v>
      </c>
      <c r="H43" s="5" t="n">
        <v>2318.058215160074</v>
      </c>
      <c r="I43" s="5" t="n">
        <v>0.0</v>
      </c>
      <c r="J43" s="5">
        <f si="0" t="shared"/>
        <v>20832.95682471084</v>
      </c>
      <c r="L43" s="10">
        <v>0.83333333333333337</v>
      </c>
      <c r="M43" s="8" t="n">
        <v>12503.493713378906</v>
      </c>
      <c r="N43" s="8" t="n">
        <v>1793.864517211914</v>
      </c>
      <c r="O43" s="8" t="n">
        <v>1909.1225290298462</v>
      </c>
      <c r="P43" s="8" t="n">
        <v>2760.14825630188</v>
      </c>
      <c r="Q43" s="8" t="n">
        <v>753.2111349105835</v>
      </c>
      <c r="R43" s="8" t="n">
        <v>853.3690919876099</v>
      </c>
      <c r="S43" s="8" t="n">
        <v>2442.7003536224365</v>
      </c>
      <c r="T43" s="8" t="n">
        <v>0.0</v>
      </c>
      <c r="U43">
        <f si="1" t="shared"/>
        <v>22973.69926738739</v>
      </c>
    </row>
    <row r="44" spans="1:21" x14ac:dyDescent="0.45">
      <c r="A44" s="10">
        <v>0.85416666666666663</v>
      </c>
      <c r="B44" s="5" t="n">
        <v>8697.937617688074</v>
      </c>
      <c r="C44" s="5" t="n">
        <v>909.4958758556487</v>
      </c>
      <c r="D44" s="5" t="n">
        <v>917.848530023912</v>
      </c>
      <c r="E44" s="5" t="n">
        <v>1733.7983648331337</v>
      </c>
      <c r="F44" s="5" t="n">
        <v>404.7589905385887</v>
      </c>
      <c r="G44" s="5" t="n">
        <v>253.9523402887915</v>
      </c>
      <c r="H44" s="5" t="n">
        <v>1509.5600332283673</v>
      </c>
      <c r="I44" s="5" t="n">
        <v>0.0</v>
      </c>
      <c r="J44" s="5">
        <f si="0" t="shared"/>
        <v>14427.351752456516</v>
      </c>
      <c r="L44" s="10">
        <v>0.85416666666666663</v>
      </c>
      <c r="M44" s="8" t="n">
        <v>10262.86982536316</v>
      </c>
      <c r="N44" s="8" t="n">
        <v>1425.272117614746</v>
      </c>
      <c r="O44" s="8" t="n">
        <v>1425.3183736801147</v>
      </c>
      <c r="P44" s="8" t="n">
        <v>2129.7064571380615</v>
      </c>
      <c r="Q44" s="8" t="n">
        <v>602.9696350097656</v>
      </c>
      <c r="R44" s="8" t="n">
        <v>692.7932634353638</v>
      </c>
      <c r="S44" s="8" t="n">
        <v>1913.280758857727</v>
      </c>
      <c r="T44" s="8" t="n">
        <v>0.0</v>
      </c>
      <c r="U44">
        <f si="1" t="shared"/>
        <v>18355.75576877594</v>
      </c>
    </row>
    <row r="45" spans="1:21" x14ac:dyDescent="0.45">
      <c r="A45" s="10">
        <v>0.875</v>
      </c>
      <c r="B45" s="5" t="n">
        <v>5861.265118342102</v>
      </c>
      <c r="C45" s="5" t="n">
        <v>635.5057981801933</v>
      </c>
      <c r="D45" s="5" t="n">
        <v>544.8644038254208</v>
      </c>
      <c r="E45" s="5" t="n">
        <v>1174.8637832440945</v>
      </c>
      <c r="F45" s="5" t="n">
        <v>257.9333666889652</v>
      </c>
      <c r="G45" s="5" t="n">
        <v>154.07233651955747</v>
      </c>
      <c r="H45" s="5" t="n">
        <v>912.2609042123636</v>
      </c>
      <c r="I45" s="5" t="n">
        <v>0.0</v>
      </c>
      <c r="J45" s="5">
        <f si="0" t="shared"/>
        <v>9540.7657110126966</v>
      </c>
      <c r="L45" s="10">
        <v>0.875</v>
      </c>
      <c r="M45" s="8" t="n">
        <v>7941.824414253235</v>
      </c>
      <c r="N45" s="8" t="n">
        <v>1075.1255111694336</v>
      </c>
      <c r="O45" s="8" t="n">
        <v>1022.6719665527344</v>
      </c>
      <c r="P45" s="8" t="n">
        <v>1573.1881732940674</v>
      </c>
      <c r="Q45" s="8" t="n">
        <v>460.0912504196167</v>
      </c>
      <c r="R45" s="8" t="n">
        <v>539.8226594924927</v>
      </c>
      <c r="S45" s="8" t="n">
        <v>1439.317057609558</v>
      </c>
      <c r="T45" s="8" t="n">
        <v>0.0</v>
      </c>
      <c r="U45">
        <f si="1" t="shared"/>
        <v>13934.621467590332</v>
      </c>
    </row>
    <row r="46" spans="1:21" x14ac:dyDescent="0.45">
      <c r="A46" s="10">
        <v>0.89583333333333337</v>
      </c>
      <c r="B46" s="5" t="n">
        <v>3761.8807100970625</v>
      </c>
      <c r="C46" s="5" t="n">
        <v>436.0479062791007</v>
      </c>
      <c r="D46" s="5" t="n">
        <v>354.4289539712487</v>
      </c>
      <c r="E46" s="5" t="n">
        <v>797.7134622614847</v>
      </c>
      <c r="F46" s="5" t="n">
        <v>160.05195905849698</v>
      </c>
      <c r="G46" s="5" t="n">
        <v>111.58374951952919</v>
      </c>
      <c r="H46" s="5" t="n">
        <v>520.0893954293557</v>
      </c>
      <c r="I46" s="5" t="n">
        <v>0.0</v>
      </c>
      <c r="J46" s="5">
        <f si="0" t="shared"/>
        <v>6141.7961366162799</v>
      </c>
      <c r="L46" s="10">
        <v>0.89583333333333337</v>
      </c>
      <c r="M46" s="8" t="n">
        <v>5716.545693397522</v>
      </c>
      <c r="N46" s="8" t="n">
        <v>758.4731149673462</v>
      </c>
      <c r="O46" s="8" t="n">
        <v>693.8940963745117</v>
      </c>
      <c r="P46" s="8" t="n">
        <v>1094.5390481948853</v>
      </c>
      <c r="Q46" s="8" t="n">
        <v>329.1351613998413</v>
      </c>
      <c r="R46" s="8" t="n">
        <v>395.5496587753296</v>
      </c>
      <c r="S46" s="8" t="n">
        <v>1020.7038297653198</v>
      </c>
      <c r="T46" s="8" t="n">
        <v>0.0</v>
      </c>
      <c r="U46">
        <f si="1" t="shared"/>
        <v>9897.7191619873047</v>
      </c>
    </row>
    <row r="47" spans="1:21" x14ac:dyDescent="0.45">
      <c r="A47" s="10">
        <v>0.91666666666666663</v>
      </c>
      <c r="B47" s="5" t="n">
        <v>2308.9131120889087</v>
      </c>
      <c r="C47" s="5" t="n">
        <v>289.7297102257806</v>
      </c>
      <c r="D47" s="5" t="n">
        <v>252.18128951992782</v>
      </c>
      <c r="E47" s="5" t="n">
        <v>545.2967003307688</v>
      </c>
      <c r="F47" s="5" t="n">
        <v>100.10144213833364</v>
      </c>
      <c r="G47" s="5" t="n">
        <v>94.54782145226667</v>
      </c>
      <c r="H47" s="5" t="n">
        <v>281.23656416097344</v>
      </c>
      <c r="I47" s="5" t="n">
        <v>0.0</v>
      </c>
      <c r="J47" s="5">
        <f si="0" t="shared"/>
        <v>3872.0066399169605</v>
      </c>
      <c r="L47" s="10">
        <v>0.91666666666666663</v>
      </c>
      <c r="M47" s="8" t="n">
        <v>3770.6119232177734</v>
      </c>
      <c r="N47" s="8" t="n">
        <v>492.27043437957764</v>
      </c>
      <c r="O47" s="8" t="n">
        <v>436.733624458313</v>
      </c>
      <c r="P47" s="8" t="n">
        <v>704.4186449050903</v>
      </c>
      <c r="Q47" s="8" t="n">
        <v>216.79101657867432</v>
      </c>
      <c r="R47" s="8" t="n">
        <v>266.8286991119385</v>
      </c>
      <c r="S47" s="8" t="n">
        <v>668.1439838409424</v>
      </c>
      <c r="T47" s="8" t="n">
        <v>0.0</v>
      </c>
      <c r="U47">
        <f si="1" t="shared"/>
        <v>6467.8996553421021</v>
      </c>
    </row>
    <row r="48" spans="1:21" x14ac:dyDescent="0.45">
      <c r="A48" s="10">
        <v>0.9375</v>
      </c>
      <c r="B48" s="5" t="n">
        <v>1350.035120297618</v>
      </c>
      <c r="C48" s="5" t="n">
        <v>179.7067581306468</v>
      </c>
      <c r="D48" s="5" t="n">
        <v>179.5339651758374</v>
      </c>
      <c r="E48" s="5" t="n">
        <v>366.8794434437457</v>
      </c>
      <c r="F48" s="5" t="n">
        <v>63.220409907076046</v>
      </c>
      <c r="G48" s="5" t="n">
        <v>80.72768353429001</v>
      </c>
      <c r="H48" s="5" t="n">
        <v>142.28284538211108</v>
      </c>
      <c r="I48" s="5" t="n">
        <v>0.0</v>
      </c>
      <c r="J48" s="5">
        <f si="0" t="shared"/>
        <v>2362.3862258713252</v>
      </c>
      <c r="L48" s="10">
        <v>0.9375</v>
      </c>
      <c r="M48" s="8" t="n">
        <v>2250.3549757003784</v>
      </c>
      <c r="N48" s="8" t="n">
        <v>290.0799980163574</v>
      </c>
      <c r="O48" s="8" t="n">
        <v>250.76683902740479</v>
      </c>
      <c r="P48" s="8" t="n">
        <v>413.14920711517334</v>
      </c>
      <c r="Q48" s="8" t="n">
        <v>129.56295490264893</v>
      </c>
      <c r="R48" s="8" t="n">
        <v>163.03686046600342</v>
      </c>
      <c r="S48" s="8" t="n">
        <v>396.65960788726807</v>
      </c>
      <c r="T48" s="8" t="n">
        <v>0.0</v>
      </c>
      <c r="U48">
        <f si="1" t="shared"/>
        <v>3834.8730735778809</v>
      </c>
    </row>
    <row r="49" spans="1:21" x14ac:dyDescent="0.45">
      <c r="A49" s="10">
        <v>0.95833333333333337</v>
      </c>
      <c r="B49" s="5" t="n">
        <v>744.5225008170084</v>
      </c>
      <c r="C49" s="5" t="n">
        <v>99.58103528388273</v>
      </c>
      <c r="D49" s="5" t="n">
        <v>118.87922071657398</v>
      </c>
      <c r="E49" s="5" t="n">
        <v>234.47328240867162</v>
      </c>
      <c r="F49" s="5" t="n">
        <v>38.92555049371716</v>
      </c>
      <c r="G49" s="5" t="n">
        <v>62.2361063681126</v>
      </c>
      <c r="H49" s="5" t="n">
        <v>65.3377606076454</v>
      </c>
      <c r="I49" s="5" t="n">
        <v>0.0</v>
      </c>
      <c r="J49" s="5">
        <f si="0" t="shared"/>
        <v>1363.9554566956119</v>
      </c>
      <c r="L49" s="10">
        <v>0.95833333333333337</v>
      </c>
      <c r="M49" s="8" t="n">
        <v>1206.749599456787</v>
      </c>
      <c r="N49" s="8" t="n">
        <v>154.28608322143555</v>
      </c>
      <c r="O49" s="8" t="n">
        <v>130.09739017486572</v>
      </c>
      <c r="P49" s="8" t="n">
        <v>219.12784004211426</v>
      </c>
      <c r="Q49" s="8" t="n">
        <v>69.75488376617432</v>
      </c>
      <c r="R49" s="8" t="n">
        <v>89.5618896484375</v>
      </c>
      <c r="S49" s="8" t="n">
        <v>211.41522312164307</v>
      </c>
      <c r="T49" s="8" t="n">
        <v>0.0</v>
      </c>
      <c r="U49">
        <f si="1" t="shared"/>
        <v>2048.3917455673218</v>
      </c>
    </row>
    <row r="50" spans="1:21" x14ac:dyDescent="0.45">
      <c r="A50" s="10">
        <v>0.97916666666666663</v>
      </c>
      <c r="B50" s="5" t="n">
        <v>382.60727145893713</v>
      </c>
      <c r="C50" s="5" t="n">
        <v>47.4001646627907</v>
      </c>
      <c r="D50" s="5" t="n">
        <v>71.76886953133067</v>
      </c>
      <c r="E50" s="5" t="n">
        <v>137.7164397957315</v>
      </c>
      <c r="F50" s="5" t="n">
        <v>22.34170001473932</v>
      </c>
      <c r="G50" s="5" t="n">
        <v>41.27081776681548</v>
      </c>
      <c r="H50" s="5" t="n">
        <v>26.225270053963648</v>
      </c>
      <c r="I50" s="5" t="n">
        <v>0.0</v>
      </c>
      <c r="J50" s="5">
        <f si="0" t="shared"/>
        <v>729.33053328430844</v>
      </c>
      <c r="L50" s="10">
        <v>0.97916666666666663</v>
      </c>
      <c r="M50" s="8" t="n">
        <v>582.6595516204834</v>
      </c>
      <c r="N50" s="8" t="n">
        <v>74.45084381103516</v>
      </c>
      <c r="O50" s="8" t="n">
        <v>61.04802322387695</v>
      </c>
      <c r="P50" s="8" t="n">
        <v>105.41335582733154</v>
      </c>
      <c r="Q50" s="8" t="n">
        <v>33.97152614593506</v>
      </c>
      <c r="R50" s="8" t="n">
        <v>44.426411628723145</v>
      </c>
      <c r="S50" s="8" t="n">
        <v>101.22503662109375</v>
      </c>
      <c r="T50" s="8" t="n">
        <v>0.0</v>
      </c>
      <c r="U50">
        <f si="1" t="shared"/>
        <v>988.81739807128906</v>
      </c>
    </row>
    <row r="51" spans="1:21" x14ac:dyDescent="0.45">
      <c r="A51" s="10">
        <v>1</v>
      </c>
      <c r="B51" s="5" t="n">
        <v>181.1956492598151</v>
      </c>
      <c r="C51" s="5" t="n">
        <v>18.75255804908329</v>
      </c>
      <c r="D51" s="5" t="n">
        <v>40.05562280460006</v>
      </c>
      <c r="E51" s="5" t="n">
        <v>72.45150762633432</v>
      </c>
      <c r="F51" s="5" t="n">
        <v>11.568448373348678</v>
      </c>
      <c r="G51" s="5" t="n">
        <v>23.018210139809668</v>
      </c>
      <c r="H51" s="5" t="n">
        <v>8.849175024844257</v>
      </c>
      <c r="I51" s="5" t="n">
        <v>0.0</v>
      </c>
      <c r="J51" s="5">
        <f si="0" t="shared"/>
        <v>355.89117127783538</v>
      </c>
      <c r="L51" s="10">
        <v>1</v>
      </c>
      <c r="M51" s="8" t="n">
        <v>256.7475166320801</v>
      </c>
      <c r="N51" s="8" t="n">
        <v>33.176819801330566</v>
      </c>
      <c r="O51" s="8" t="n">
        <v>26.28342628479004</v>
      </c>
      <c r="P51" s="8" t="n">
        <v>46.7175178527832</v>
      </c>
      <c r="Q51" s="8" t="n">
        <v>15.234112739562988</v>
      </c>
      <c r="R51" s="8" t="n">
        <v>20.24459457397461</v>
      </c>
      <c r="S51" s="8" t="n">
        <v>44.14336109161377</v>
      </c>
      <c r="T51" s="8" t="n">
        <v>0.0</v>
      </c>
      <c r="U51">
        <f si="1" t="shared"/>
        <v>438.05903339385986</v>
      </c>
    </row>
    <row r="52" spans="1:21" x14ac:dyDescent="0.45">
      <c r="A52" s="10">
        <v>1.0208333333333333</v>
      </c>
      <c r="B52" s="5" t="n">
        <v>78.2497059427231</v>
      </c>
      <c r="C52" s="5" t="n">
        <v>5.979265722157166</v>
      </c>
      <c r="D52" s="5" t="n">
        <v>21.011599139620813</v>
      </c>
      <c r="E52" s="5" t="n">
        <v>33.45210897545381</v>
      </c>
      <c r="F52" s="5" t="n">
        <v>5.29837920954571</v>
      </c>
      <c r="G52" s="5" t="n">
        <v>10.618921214715803</v>
      </c>
      <c r="H52" s="5" t="n">
        <v>2.410417517873092</v>
      </c>
      <c r="I52" s="5" t="n">
        <v>0.0</v>
      </c>
      <c r="J52" s="5">
        <f si="0" t="shared"/>
        <v>157.02039772208951</v>
      </c>
      <c r="L52" s="10">
        <v>1.0208333333333333</v>
      </c>
      <c r="M52" s="8" t="n">
        <v>105.45607852935791</v>
      </c>
      <c r="N52" s="8" t="n">
        <v>13.968420028686523</v>
      </c>
      <c r="O52" s="8" t="n">
        <v>10.62875747680664</v>
      </c>
      <c r="P52" s="8" t="n">
        <v>19.50802516937256</v>
      </c>
      <c r="Q52" s="8" t="n">
        <v>6.452679634094238</v>
      </c>
      <c r="R52" s="8" t="n">
        <v>8.669870376586914</v>
      </c>
      <c r="S52" s="8" t="n">
        <v>17.951197624206543</v>
      </c>
      <c r="T52" s="8" t="n">
        <v>0.0</v>
      </c>
      <c r="U52">
        <f si="1" t="shared"/>
        <v>182.10653591156006</v>
      </c>
    </row>
    <row r="53" spans="1:21" x14ac:dyDescent="0.45">
      <c r="A53" s="10">
        <v>4.1666666666666664E-2</v>
      </c>
      <c r="B53" s="5" t="n">
        <v>30.39192839240832</v>
      </c>
      <c r="C53" s="5" t="n">
        <v>1.4841926334049247</v>
      </c>
      <c r="D53" s="5" t="n">
        <v>10.27201979582682</v>
      </c>
      <c r="E53" s="5" t="n">
        <v>13.29916126566373</v>
      </c>
      <c r="F53" s="5" t="n">
        <v>2.113345180221356</v>
      </c>
      <c r="G53" s="5" t="n">
        <v>3.9752783015939723</v>
      </c>
      <c r="H53" s="5" t="n">
        <v>0.5050744767622698</v>
      </c>
      <c r="I53" s="5" t="n">
        <v>0.0</v>
      </c>
      <c r="J53" s="5">
        <f si="0" t="shared"/>
        <v>62.041000045881397</v>
      </c>
      <c r="L53" s="10">
        <v>4.1666666666666664E-2</v>
      </c>
      <c r="M53" s="8" t="n">
        <v>40.89470386505127</v>
      </c>
      <c r="N53" s="8" t="n">
        <v>5.597834587097168</v>
      </c>
      <c r="O53" s="8" t="n">
        <v>4.096148490905762</v>
      </c>
      <c r="P53" s="8" t="n">
        <v>7.75454044342041</v>
      </c>
      <c r="Q53" s="8" t="n">
        <v>2.61362361907959</v>
      </c>
      <c r="R53" s="8" t="n">
        <v>3.5186052322387695</v>
      </c>
      <c r="S53" s="8" t="n">
        <v>6.919692039489746</v>
      </c>
      <c r="T53" s="8" t="n">
        <v>0.0</v>
      </c>
      <c r="U53">
        <f si="1" t="shared"/>
        <v>71.814789772033691</v>
      </c>
    </row>
    <row r="54" spans="1:21" x14ac:dyDescent="0.45">
      <c r="A54" s="10">
        <v>6.25E-2</v>
      </c>
      <c r="B54" s="5" t="n">
        <v>10.387033727283162</v>
      </c>
      <c r="C54" s="5" t="n">
        <v>0.27378896458093716</v>
      </c>
      <c r="D54" s="5" t="n">
        <v>4.504117872378562</v>
      </c>
      <c r="E54" s="5" t="n">
        <v>4.4538153681314885</v>
      </c>
      <c r="F54" s="5" t="n">
        <v>0.7190762985928614</v>
      </c>
      <c r="G54" s="5" t="n">
        <v>1.176439103531116</v>
      </c>
      <c r="H54" s="5" t="n">
        <v>0.07602032716958797</v>
      </c>
      <c r="I54" s="5" t="n">
        <v>0.0</v>
      </c>
      <c r="J54" s="5">
        <f si="0" t="shared"/>
        <v>21.590291661667713</v>
      </c>
      <c r="L54" s="10">
        <v>6.25E-2</v>
      </c>
      <c r="M54" s="8" t="n">
        <v>14.739604949951172</v>
      </c>
      <c r="N54" s="8" t="n">
        <v>2.08035945892334</v>
      </c>
      <c r="O54" s="8" t="n">
        <v>1.4786252975463867</v>
      </c>
      <c r="P54" s="8" t="n">
        <v>2.8709659576416016</v>
      </c>
      <c r="Q54" s="8" t="n">
        <v>0.989893913269043</v>
      </c>
      <c r="R54" s="8" t="n">
        <v>1.3208799362182617</v>
      </c>
      <c r="S54" s="8" t="n">
        <v>2.493793487548828</v>
      </c>
      <c r="T54" s="8" t="n">
        <v>0.0</v>
      </c>
      <c r="U54">
        <f si="1" t="shared"/>
        <v>26.326755523681641</v>
      </c>
    </row>
    <row r="55" spans="1:21" x14ac:dyDescent="0.45">
      <c r="A55" s="10">
        <v>8.3333333333333329E-2</v>
      </c>
      <c r="B55" s="5" t="n">
        <v>3.0232764365389073</v>
      </c>
      <c r="C55" s="5" t="n">
        <v>0.03492948611365413</v>
      </c>
      <c r="D55" s="5" t="n">
        <v>1.6820168234129627</v>
      </c>
      <c r="E55" s="5" t="n">
        <v>1.2202966938483277</v>
      </c>
      <c r="F55" s="5" t="n">
        <v>0.20206598767569117</v>
      </c>
      <c r="G55" s="5" t="n">
        <v>0.26474385588807847</v>
      </c>
      <c r="H55" s="5" t="n">
        <v>0.007291497512234337</v>
      </c>
      <c r="I55" s="5" t="n">
        <v>0.0</v>
      </c>
      <c r="J55" s="5">
        <f si="0" t="shared"/>
        <v>6.4346207809898557</v>
      </c>
      <c r="L55" s="10">
        <v>8.3333333333333329E-2</v>
      </c>
      <c r="M55" s="8" t="n">
        <v>4.714206695556641</v>
      </c>
      <c r="N55" s="8" t="n">
        <v>0.6797657012939453</v>
      </c>
      <c r="O55" s="8" t="n">
        <v>0.47536468505859375</v>
      </c>
      <c r="P55" s="8" t="n">
        <v>0.940434455871582</v>
      </c>
      <c r="Q55" s="8" t="n">
        <v>0.3323192596435547</v>
      </c>
      <c r="R55" s="8" t="n">
        <v>0.43553829193115234</v>
      </c>
      <c r="S55" s="8" t="n">
        <v>0.8012866973876953</v>
      </c>
      <c r="T55" s="8" t="n">
        <v>0.0</v>
      </c>
      <c r="U55">
        <f si="1" t="shared"/>
        <v>8.5352210998535156</v>
      </c>
    </row>
    <row r="56" spans="1:21" x14ac:dyDescent="0.45">
      <c r="A56" s="10">
        <v>0.10416666666666667</v>
      </c>
      <c r="B56" s="5" t="n">
        <v>0.716766621025343</v>
      </c>
      <c r="C56" s="5" t="n">
        <v>0.0027047373391531214</v>
      </c>
      <c r="D56" s="5" t="n">
        <v>0.5077038725780828</v>
      </c>
      <c r="E56" s="5" t="n">
        <v>0.26214533295249515</v>
      </c>
      <c r="F56" s="5" t="n">
        <v>0.04466098685052629</v>
      </c>
      <c r="G56" s="5" t="n">
        <v>0.04255251654423813</v>
      </c>
      <c r="H56" s="5" t="n">
        <v>3.339905585448656E-4</v>
      </c>
      <c r="I56" s="5" t="n">
        <v>0.0</v>
      </c>
      <c r="J56" s="5">
        <f si="0" t="shared"/>
        <v>1.5768680578483836</v>
      </c>
      <c r="L56" s="10">
        <v>0.10416666666666667</v>
      </c>
      <c r="M56" s="8" t="n">
        <v>1.2584009170532227</v>
      </c>
      <c r="N56" s="8" t="n">
        <v>0.18358802795410156</v>
      </c>
      <c r="O56" s="8" t="n">
        <v>0.1275806427001953</v>
      </c>
      <c r="P56" s="8" t="n">
        <v>0.2560281753540039</v>
      </c>
      <c r="Q56" s="8" t="n">
        <v>0.09275436401367188</v>
      </c>
      <c r="R56" s="8" t="n">
        <v>0.11866092681884766</v>
      </c>
      <c r="S56" s="8" t="n">
        <v>0.21541213989257812</v>
      </c>
      <c r="T56" s="8" t="n">
        <v>0.0</v>
      </c>
      <c r="U56">
        <f si="1" t="shared"/>
        <v>2.300262451171875</v>
      </c>
    </row>
    <row r="57" spans="1:21" x14ac:dyDescent="0.45">
      <c r="A57" s="10">
        <v>0.125</v>
      </c>
      <c r="B57" s="5" t="n">
        <v>0.12922775755831456</v>
      </c>
      <c r="C57" s="5" t="n">
        <v>9.289008985269919E-5</v>
      </c>
      <c r="D57" s="5" t="n">
        <v>0.11539904520011185</v>
      </c>
      <c r="E57" s="5" t="n">
        <v>0.04107375786782701</v>
      </c>
      <c r="F57" s="5" t="n">
        <v>0.007174729856205593</v>
      </c>
      <c r="G57" s="5" t="n">
        <v>0.00434985933482292</v>
      </c>
      <c r="H57" s="5" t="n">
        <v>0.0</v>
      </c>
      <c r="I57" s="5" t="n">
        <v>0.0</v>
      </c>
      <c r="J57" s="5">
        <f si="0" t="shared"/>
        <v>0.29731803990713462</v>
      </c>
      <c r="L57" s="10">
        <v>0.125</v>
      </c>
      <c r="M57" s="8" t="n">
        <v>0.2588310241699219</v>
      </c>
      <c r="N57" s="8" t="n">
        <v>0.037933349609375</v>
      </c>
      <c r="O57" s="8" t="n">
        <v>0.026348114013671875</v>
      </c>
      <c r="P57" s="8" t="n">
        <v>0.053511619567871094</v>
      </c>
      <c r="Q57" s="8" t="n">
        <v>0.019860267639160156</v>
      </c>
      <c r="R57" s="8" t="n">
        <v>0.024721145629882812</v>
      </c>
      <c r="S57" s="8" t="n">
        <v>0.04465484619140625</v>
      </c>
      <c r="T57" s="8" t="n">
        <v>0.0</v>
      </c>
      <c r="U57">
        <f si="1" t="shared"/>
        <v>0.47618293762207031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Z58"/>
  <sheetViews>
    <sheetView workbookViewId="0">
      <selection activeCell="J1" sqref="J1:J104857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30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0.0</v>
      </c>
      <c r="C8" s="5" t="n">
        <v>0.0</v>
      </c>
      <c r="D8" s="5" t="n">
        <v>0.0</v>
      </c>
      <c r="E8" s="5" t="n">
        <v>0.0</v>
      </c>
      <c r="F8" s="5" t="n">
        <v>0.0</v>
      </c>
      <c r="G8" s="5" t="n">
        <v>0.0</v>
      </c>
      <c r="H8" s="5" t="n">
        <v>0.0</v>
      </c>
      <c r="I8" s="5" t="n">
        <v>0.0</v>
      </c>
      <c r="J8" s="5">
        <f>SUM(B8:I8)</f>
        <v>0</v>
      </c>
      <c r="L8" t="s">
        <v>5</v>
      </c>
      <c r="M8" s="8" t="n">
        <v>19.0</v>
      </c>
      <c r="N8" s="8" t="n">
        <v>2.0</v>
      </c>
      <c r="O8" s="8" t="n">
        <v>0.0</v>
      </c>
      <c r="P8" s="8" t="n">
        <v>0.0</v>
      </c>
      <c r="Q8" s="8" t="n">
        <v>0.0</v>
      </c>
      <c r="R8" s="8" t="n">
        <v>0.0</v>
      </c>
      <c r="S8" s="8" t="n">
        <v>0.0</v>
      </c>
      <c r="T8" s="8" t="n">
        <v>0.0</v>
      </c>
      <c r="U8">
        <f>SUM(M8:T8)</f>
        <v>19</v>
      </c>
      <c r="X8" s="5"/>
      <c r="Y8" s="5"/>
    </row>
    <row r="9" spans="1:25" x14ac:dyDescent="0.45">
      <c r="A9" s="10">
        <v>0.125</v>
      </c>
      <c r="B9" s="5" t="n">
        <v>0.3730025792236442</v>
      </c>
      <c r="C9" s="5" t="n">
        <v>1.1269075557837391E-4</v>
      </c>
      <c r="D9" s="5" t="n">
        <v>0.0</v>
      </c>
      <c r="E9" s="5" t="n">
        <v>0.0</v>
      </c>
      <c r="F9" s="5" t="n">
        <v>0.0</v>
      </c>
      <c r="G9" s="5" t="n">
        <v>0.0</v>
      </c>
      <c r="H9" s="5" t="n">
        <v>0.0</v>
      </c>
      <c r="I9" s="5" t="n">
        <v>0.0</v>
      </c>
      <c r="J9" s="5">
        <f ref="J9:J58" si="0" t="shared">SUM(B9:I9)</f>
        <v>0.37311526997922256</v>
      </c>
      <c r="L9" s="10">
        <v>0.125</v>
      </c>
      <c r="M9" s="8" t="n">
        <v>15.45446491241455</v>
      </c>
      <c r="N9" s="8" t="n">
        <v>1.5331287384033203</v>
      </c>
      <c r="O9" s="8" t="n">
        <v>0.0</v>
      </c>
      <c r="P9" s="8" t="n">
        <v>0.0</v>
      </c>
      <c r="Q9" s="8" t="n">
        <v>7.82012939453125E-4</v>
      </c>
      <c r="R9" s="8" t="n">
        <v>0.0</v>
      </c>
      <c r="S9" s="8" t="n">
        <v>0.0</v>
      </c>
      <c r="T9" s="8" t="n">
        <v>0.0</v>
      </c>
      <c r="U9">
        <f ref="U9:U58" si="1" t="shared">SUM(M9:T9)</f>
        <v>16.462430953979492</v>
      </c>
      <c r="X9" s="5"/>
      <c r="Y9" s="5"/>
    </row>
    <row r="10" spans="1:25" x14ac:dyDescent="0.45">
      <c r="A10" s="10">
        <v>0.14583333333333334</v>
      </c>
      <c r="B10" s="5" t="n">
        <v>1.733284085757743</v>
      </c>
      <c r="C10" s="5" t="n">
        <v>0.0022794552439440747</v>
      </c>
      <c r="D10" s="5" t="n">
        <v>0.0</v>
      </c>
      <c r="E10" s="5" t="n">
        <v>0.0</v>
      </c>
      <c r="F10" s="5" t="n">
        <v>0.0</v>
      </c>
      <c r="G10" s="5" t="n">
        <v>0.0</v>
      </c>
      <c r="H10" s="5" t="n">
        <v>0.0</v>
      </c>
      <c r="I10" s="5" t="n">
        <v>0.0</v>
      </c>
      <c r="J10" s="5">
        <f si="0" t="shared"/>
        <v>1.735563541001687</v>
      </c>
      <c r="L10" s="10">
        <v>0.14583333333333334</v>
      </c>
      <c r="M10" s="8" t="n">
        <v>13.118496894836426</v>
      </c>
      <c r="N10" s="8" t="n">
        <v>1.182297706604004</v>
      </c>
      <c r="O10" s="8" t="n">
        <v>0.0</v>
      </c>
      <c r="P10" s="8" t="n">
        <v>0.0</v>
      </c>
      <c r="Q10" s="8" t="n">
        <v>0.004975318908691406</v>
      </c>
      <c r="R10" s="8" t="n">
        <v>2.86102294921875E-6</v>
      </c>
      <c r="S10" s="8" t="n">
        <v>0.0</v>
      </c>
      <c r="T10" s="8" t="n">
        <v>0.0</v>
      </c>
      <c r="U10">
        <f si="1" t="shared"/>
        <v>15.023251533508301</v>
      </c>
      <c r="X10" s="5"/>
      <c r="Y10" s="5"/>
    </row>
    <row r="11" spans="1:25" x14ac:dyDescent="0.45">
      <c r="A11" s="10">
        <v>0.16666666666666666</v>
      </c>
      <c r="B11" s="5" t="n">
        <v>6.250749896312047</v>
      </c>
      <c r="C11" s="5" t="n">
        <v>0.022109498836914963</v>
      </c>
      <c r="D11" s="5" t="n">
        <v>0.0</v>
      </c>
      <c r="E11" s="5" t="n">
        <v>0.0</v>
      </c>
      <c r="F11" s="5" t="n">
        <v>0.0</v>
      </c>
      <c r="G11" s="5" t="n">
        <v>0.0</v>
      </c>
      <c r="H11" s="5" t="n">
        <v>0.0</v>
      </c>
      <c r="I11" s="5" t="n">
        <v>0.0</v>
      </c>
      <c r="J11" s="5">
        <f si="0" t="shared"/>
        <v>6.272859395148962</v>
      </c>
      <c r="L11" s="10">
        <v>0.16666666666666666</v>
      </c>
      <c r="M11" s="8" t="n">
        <v>12.947904586791992</v>
      </c>
      <c r="N11" s="8" t="n">
        <v>1.0385761260986328</v>
      </c>
      <c r="O11" s="8" t="n">
        <v>0.0</v>
      </c>
      <c r="P11" s="8" t="n">
        <v>0.0</v>
      </c>
      <c r="Q11" s="8" t="n">
        <v>0.02260875701904297</v>
      </c>
      <c r="R11" s="8" t="n">
        <v>5.91278076171875E-5</v>
      </c>
      <c r="S11" s="8" t="n">
        <v>0.0</v>
      </c>
      <c r="T11" s="8" t="n">
        <v>0.0</v>
      </c>
      <c r="U11">
        <f si="1" t="shared"/>
        <v>15.578958511352539</v>
      </c>
      <c r="X11" s="5"/>
      <c r="Y11" s="5"/>
    </row>
    <row r="12" spans="1:25" x14ac:dyDescent="0.45">
      <c r="A12" s="10">
        <v>0.1875</v>
      </c>
      <c r="B12" s="5" t="n">
        <v>18.67827319935194</v>
      </c>
      <c r="C12" s="5" t="n">
        <v>0.13721494884915958</v>
      </c>
      <c r="D12" s="5" t="n">
        <v>0.0</v>
      </c>
      <c r="E12" s="5" t="n">
        <v>0.0</v>
      </c>
      <c r="F12" s="5" t="n">
        <v>6.222368744867258E-5</v>
      </c>
      <c r="G12" s="5" t="n">
        <v>0.0</v>
      </c>
      <c r="H12" s="5" t="n">
        <v>0.0</v>
      </c>
      <c r="I12" s="5" t="n">
        <v>0.0</v>
      </c>
      <c r="J12" s="5">
        <f si="0" t="shared"/>
        <v>18.815550371888545</v>
      </c>
      <c r="L12" s="10">
        <v>0.1875</v>
      </c>
      <c r="M12" s="8" t="n">
        <v>16.007634162902832</v>
      </c>
      <c r="N12" s="8" t="n">
        <v>1.199152946472168</v>
      </c>
      <c r="O12" s="8" t="n">
        <v>0.0</v>
      </c>
      <c r="P12" s="8" t="n">
        <v>0.0</v>
      </c>
      <c r="Q12" s="8" t="n">
        <v>0.07876968383789062</v>
      </c>
      <c r="R12" s="8" t="n">
        <v>5.826950073242188E-4</v>
      </c>
      <c r="S12" s="8" t="n">
        <v>0.0</v>
      </c>
      <c r="T12" s="8" t="n">
        <v>0.0</v>
      </c>
      <c r="U12">
        <f si="1" t="shared"/>
        <v>19.218365669250488</v>
      </c>
    </row>
    <row r="13" spans="1:25" x14ac:dyDescent="0.45">
      <c r="A13" s="10">
        <v>0.20833333333333334</v>
      </c>
      <c r="B13" s="5" t="n">
        <v>47.83420544971076</v>
      </c>
      <c r="C13" s="5" t="n">
        <v>0.6138770219088258</v>
      </c>
      <c r="D13" s="5" t="n">
        <v>0.0</v>
      </c>
      <c r="E13" s="5" t="n">
        <v>0.0</v>
      </c>
      <c r="F13" s="5" t="n">
        <v>0.0012925050720830776</v>
      </c>
      <c r="G13" s="5" t="n">
        <v>0.0</v>
      </c>
      <c r="H13" s="5" t="n">
        <v>0.0</v>
      </c>
      <c r="I13" s="5" t="n">
        <v>0.0</v>
      </c>
      <c r="J13" s="5">
        <f si="0" t="shared"/>
        <v>48.449374976691665</v>
      </c>
      <c r="L13" s="10">
        <v>0.20833333333333334</v>
      </c>
      <c r="M13" s="8" t="n">
        <v>24.543920516967773</v>
      </c>
      <c r="N13" s="8" t="n">
        <v>1.8548831939697266</v>
      </c>
      <c r="O13" s="8" t="n">
        <v>0.0</v>
      </c>
      <c r="P13" s="8" t="n">
        <v>0.0</v>
      </c>
      <c r="Q13" s="8" t="n">
        <v>0.2199535369873047</v>
      </c>
      <c r="R13" s="8" t="n">
        <v>0.0036497116088867188</v>
      </c>
      <c r="S13" s="8" t="n">
        <v>0.0</v>
      </c>
      <c r="T13" s="8" t="n">
        <v>0.0</v>
      </c>
      <c r="U13">
        <f si="1" t="shared"/>
        <v>28.367106437683105</v>
      </c>
    </row>
    <row r="14" spans="1:25" x14ac:dyDescent="0.45">
      <c r="A14" s="10">
        <v>0.22916666666666666</v>
      </c>
      <c r="B14" s="5" t="n">
        <v>107.26025433651252</v>
      </c>
      <c r="C14" s="5" t="n">
        <v>2.116398409637253</v>
      </c>
      <c r="D14" s="5" t="n">
        <v>0.0</v>
      </c>
      <c r="E14" s="5" t="n">
        <v>0.0</v>
      </c>
      <c r="F14" s="5" t="n">
        <v>0.012783127077440315</v>
      </c>
      <c r="G14" s="5" t="n">
        <v>0.0</v>
      </c>
      <c r="H14" s="5" t="n">
        <v>0.0</v>
      </c>
      <c r="I14" s="5" t="n">
        <v>0.0</v>
      </c>
      <c r="J14" s="5">
        <f si="0" t="shared"/>
        <v>109.38943587322721</v>
      </c>
      <c r="L14" s="10">
        <v>0.22916666666666666</v>
      </c>
      <c r="M14" s="8" t="n">
        <v>43.18834209442139</v>
      </c>
      <c r="N14" s="8" t="n">
        <v>3.3679161071777344</v>
      </c>
      <c r="O14" s="8" t="n">
        <v>0.0</v>
      </c>
      <c r="P14" s="8" t="n">
        <v>0.0</v>
      </c>
      <c r="Q14" s="8" t="n">
        <v>0.5103578567504883</v>
      </c>
      <c r="R14" s="8" t="n">
        <v>0.016363143920898438</v>
      </c>
      <c r="S14" s="8" t="n">
        <v>0.0</v>
      </c>
      <c r="T14" s="8" t="n">
        <v>0.0</v>
      </c>
      <c r="U14">
        <f si="1" t="shared"/>
        <v>48.127842903137207</v>
      </c>
    </row>
    <row r="15" spans="1:25" x14ac:dyDescent="0.45">
      <c r="A15" s="10">
        <v>0.25</v>
      </c>
      <c r="B15" s="5" t="n">
        <v>213.2890241666631</v>
      </c>
      <c r="C15" s="5" t="n">
        <v>5.874856705259336</v>
      </c>
      <c r="D15" s="5" t="n">
        <v>0.0</v>
      </c>
      <c r="E15" s="5" t="n">
        <v>4.648895401627092E-5</v>
      </c>
      <c r="F15" s="5" t="n">
        <v>0.08006095508231571</v>
      </c>
      <c r="G15" s="5" t="n">
        <v>0.0</v>
      </c>
      <c r="H15" s="5" t="n">
        <v>0.0</v>
      </c>
      <c r="I15" s="5" t="n">
        <v>0.0</v>
      </c>
      <c r="J15" s="5">
        <f si="0" t="shared"/>
        <v>219.24398831595875</v>
      </c>
      <c r="L15" s="10">
        <v>0.25</v>
      </c>
      <c r="M15" s="8" t="n">
        <v>79.8585433959961</v>
      </c>
      <c r="N15" s="8" t="n">
        <v>6.279146194458008</v>
      </c>
      <c r="O15" s="8" t="n">
        <v>0.0</v>
      </c>
      <c r="P15" s="8" t="n">
        <v>0.0</v>
      </c>
      <c r="Q15" s="8" t="n">
        <v>1.0218992233276367</v>
      </c>
      <c r="R15" s="8" t="n">
        <v>0.05622291564941406</v>
      </c>
      <c r="S15" s="8" t="n">
        <v>0.0</v>
      </c>
      <c r="T15" s="8" t="n">
        <v>0.0</v>
      </c>
      <c r="U15">
        <f si="1" t="shared"/>
        <v>87.25734806060791</v>
      </c>
    </row>
    <row r="16" spans="1:25" x14ac:dyDescent="0.45">
      <c r="A16" s="10">
        <v>0.27083333333333331</v>
      </c>
      <c r="B16" s="5" t="n">
        <v>379.42714667127825</v>
      </c>
      <c r="C16" s="5" t="n">
        <v>13.565370872556814</v>
      </c>
      <c r="D16" s="5" t="n">
        <v>0.0</v>
      </c>
      <c r="E16" s="5" t="n">
        <v>9.297790803254186E-4</v>
      </c>
      <c r="F16" s="5" t="n">
        <v>0.35622947403379246</v>
      </c>
      <c r="G16" s="5" t="n">
        <v>0.0</v>
      </c>
      <c r="H16" s="5" t="n">
        <v>0.0</v>
      </c>
      <c r="I16" s="5" t="n">
        <v>0.0</v>
      </c>
      <c r="J16" s="5">
        <f si="0" t="shared"/>
        <v>393.34967679694915</v>
      </c>
      <c r="L16" s="10">
        <v>0.27083333333333331</v>
      </c>
      <c r="M16" s="8" t="n">
        <v>147.87360858917236</v>
      </c>
      <c r="N16" s="8" t="n">
        <v>11.334609031677246</v>
      </c>
      <c r="O16" s="8" t="n">
        <v>0.0</v>
      </c>
      <c r="P16" s="8" t="n">
        <v>0.0</v>
      </c>
      <c r="Q16" s="8" t="n">
        <v>1.8546695709228516</v>
      </c>
      <c r="R16" s="8" t="n">
        <v>0.15549373626708984</v>
      </c>
      <c r="S16" s="8" t="n">
        <v>0.0</v>
      </c>
      <c r="T16" s="8" t="n">
        <v>0.0</v>
      </c>
      <c r="U16">
        <f si="1" t="shared"/>
        <v>160.29560947418213</v>
      </c>
    </row>
    <row r="17" spans="1:21" x14ac:dyDescent="0.45">
      <c r="A17" s="10">
        <v>0.29166666666666669</v>
      </c>
      <c r="B17" s="5" t="n">
        <v>610.1224752879482</v>
      </c>
      <c r="C17" s="5" t="n">
        <v>26.796257383705054</v>
      </c>
      <c r="D17" s="5" t="n">
        <v>0.0</v>
      </c>
      <c r="E17" s="5" t="n">
        <v>0.008858194330918605</v>
      </c>
      <c r="F17" s="5" t="n">
        <v>1.1974278106703584</v>
      </c>
      <c r="G17" s="5" t="n">
        <v>0.0</v>
      </c>
      <c r="H17" s="5" t="n">
        <v>0.0</v>
      </c>
      <c r="I17" s="5" t="n">
        <v>0.0</v>
      </c>
      <c r="J17" s="5">
        <f si="0" t="shared"/>
        <v>638.12501867665458</v>
      </c>
      <c r="L17" s="10">
        <v>0.29166666666666669</v>
      </c>
      <c r="M17" s="8" t="n">
        <v>273.37798023223877</v>
      </c>
      <c r="N17" s="8" t="n">
        <v>19.828264236450195</v>
      </c>
      <c r="O17" s="8" t="n">
        <v>0.0</v>
      </c>
      <c r="P17" s="8" t="n">
        <v>0.0</v>
      </c>
      <c r="Q17" s="8" t="n">
        <v>3.248502731323242</v>
      </c>
      <c r="R17" s="8" t="n">
        <v>0.3614387512207031</v>
      </c>
      <c r="S17" s="8" t="n">
        <v>0.0</v>
      </c>
      <c r="T17" s="8" t="n">
        <v>0.0</v>
      </c>
      <c r="U17">
        <f si="1" t="shared"/>
        <v>295.43380355834961</v>
      </c>
    </row>
    <row r="18" spans="1:21" x14ac:dyDescent="0.45">
      <c r="A18" s="10">
        <v>0.3125</v>
      </c>
      <c r="B18" s="5" t="n">
        <v>903.4224376056428</v>
      </c>
      <c r="C18" s="5" t="n">
        <v>46.64120609187677</v>
      </c>
      <c r="D18" s="5" t="n">
        <v>0.0</v>
      </c>
      <c r="E18" s="5" t="n">
        <v>0.053569496055885124</v>
      </c>
      <c r="F18" s="5" t="n">
        <v>3.1564677590021932</v>
      </c>
      <c r="G18" s="5" t="n">
        <v>0.0</v>
      </c>
      <c r="H18" s="5" t="n">
        <v>0.0</v>
      </c>
      <c r="I18" s="5" t="n">
        <v>0.0</v>
      </c>
      <c r="J18" s="5">
        <f si="0" t="shared"/>
        <v>953.27368095257771</v>
      </c>
      <c r="L18" s="10">
        <v>0.3125</v>
      </c>
      <c r="M18" s="8" t="n">
        <v>509.9791440963745</v>
      </c>
      <c r="N18" s="8" t="n">
        <v>34.47036266326904</v>
      </c>
      <c r="O18" s="8" t="n">
        <v>0.0</v>
      </c>
      <c r="P18" s="8" t="n">
        <v>0.0</v>
      </c>
      <c r="Q18" s="8" t="n">
        <v>5.793688774108887</v>
      </c>
      <c r="R18" s="8" t="n">
        <v>0.7374095916748047</v>
      </c>
      <c r="S18" s="8" t="n">
        <v>0.0</v>
      </c>
      <c r="T18" s="8" t="n">
        <v>0.0</v>
      </c>
      <c r="U18">
        <f si="1" t="shared"/>
        <v>550.53872299194336</v>
      </c>
    </row>
    <row r="19" spans="1:21" x14ac:dyDescent="0.45">
      <c r="A19" s="10">
        <v>0.33333333333333331</v>
      </c>
      <c r="B19" s="5" t="n">
        <v>1274.744785224415</v>
      </c>
      <c r="C19" s="5" t="n">
        <v>74.22363455825743</v>
      </c>
      <c r="D19" s="5" t="n">
        <v>0.0</v>
      </c>
      <c r="E19" s="5" t="n">
        <v>0.23136920751186082</v>
      </c>
      <c r="F19" s="5" t="n">
        <v>6.685274334750209</v>
      </c>
      <c r="G19" s="5" t="n">
        <v>0.0</v>
      </c>
      <c r="H19" s="5" t="n">
        <v>0.0</v>
      </c>
      <c r="I19" s="5" t="n">
        <v>0.0</v>
      </c>
      <c r="J19" s="5">
        <f si="0" t="shared"/>
        <v>1355.8850633249342</v>
      </c>
      <c r="L19" s="10">
        <v>0.33333333333333331</v>
      </c>
      <c r="M19" s="8" t="n">
        <v>950.6110095977783</v>
      </c>
      <c r="N19" s="8" t="n">
        <v>60.266079902648926</v>
      </c>
      <c r="O19" s="8" t="n">
        <v>0.0</v>
      </c>
      <c r="P19" s="8" t="n">
        <v>0.0</v>
      </c>
      <c r="Q19" s="8" t="n">
        <v>10.587349891662598</v>
      </c>
      <c r="R19" s="8" t="n">
        <v>1.3770475387573242</v>
      </c>
      <c r="S19" s="8" t="n">
        <v>0.0</v>
      </c>
      <c r="T19" s="8" t="n">
        <v>0.0</v>
      </c>
      <c r="U19">
        <f si="1" t="shared"/>
        <v>1026.4435691833496</v>
      </c>
    </row>
    <row r="20" spans="1:21" x14ac:dyDescent="0.45">
      <c r="A20" s="10">
        <v>0.35416666666666669</v>
      </c>
      <c r="B20" s="5" t="n">
        <v>1804.0706584684099</v>
      </c>
      <c r="C20" s="5" t="n">
        <v>112.85322354255524</v>
      </c>
      <c r="D20" s="5" t="n">
        <v>0.0</v>
      </c>
      <c r="E20" s="5" t="n">
        <v>0.7621819933419915</v>
      </c>
      <c r="F20" s="5" t="n">
        <v>11.561706075367507</v>
      </c>
      <c r="G20" s="5" t="n">
        <v>0.0</v>
      </c>
      <c r="H20" s="5" t="n">
        <v>0.0</v>
      </c>
      <c r="I20" s="5" t="n">
        <v>0.0</v>
      </c>
      <c r="J20" s="5">
        <f si="0" t="shared"/>
        <v>1929.2477700796746</v>
      </c>
      <c r="L20" s="10">
        <v>0.35416666666666669</v>
      </c>
      <c r="M20" s="8" t="n">
        <v>1713.250982284546</v>
      </c>
      <c r="N20" s="8" t="n">
        <v>103.99129009246826</v>
      </c>
      <c r="O20" s="8" t="n">
        <v>0.0</v>
      </c>
      <c r="P20" s="8" t="n">
        <v>0.0</v>
      </c>
      <c r="Q20" s="8" t="n">
        <v>19.039369583129883</v>
      </c>
      <c r="R20" s="8" t="n">
        <v>2.426823616027832</v>
      </c>
      <c r="S20" s="8" t="n">
        <v>0.0</v>
      </c>
      <c r="T20" s="8" t="n">
        <v>0.0</v>
      </c>
      <c r="U20">
        <f si="1" t="shared"/>
        <v>1851.5290994644165</v>
      </c>
    </row>
    <row r="21" spans="1:21" x14ac:dyDescent="0.45">
      <c r="A21" s="10">
        <v>0.375</v>
      </c>
      <c r="B21" s="5" t="n">
        <v>2678.4812654142625</v>
      </c>
      <c r="C21" s="5" t="n">
        <v>169.89923877908836</v>
      </c>
      <c r="D21" s="5" t="n">
        <v>0.0</v>
      </c>
      <c r="E21" s="5" t="n">
        <v>1.9999556889979009</v>
      </c>
      <c r="F21" s="5" t="n">
        <v>16.501596315998658</v>
      </c>
      <c r="G21" s="5" t="n">
        <v>0.0</v>
      </c>
      <c r="H21" s="5" t="n">
        <v>0.0</v>
      </c>
      <c r="I21" s="5" t="n">
        <v>0.0</v>
      </c>
      <c r="J21" s="5">
        <f si="0" t="shared"/>
        <v>2866.8820561983475</v>
      </c>
      <c r="L21" s="10">
        <v>0.375</v>
      </c>
      <c r="M21" s="8" t="n">
        <v>2885.325448989868</v>
      </c>
      <c r="N21" s="8" t="n">
        <v>171.19562339782715</v>
      </c>
      <c r="O21" s="8" t="n">
        <v>0.0</v>
      </c>
      <c r="P21" s="8" t="n">
        <v>0.0</v>
      </c>
      <c r="Q21" s="8" t="n">
        <v>32.17268943786621</v>
      </c>
      <c r="R21" s="8" t="n">
        <v>4.072636604309082</v>
      </c>
      <c r="S21" s="8" t="n">
        <v>0.0</v>
      </c>
      <c r="T21" s="8" t="n">
        <v>0.0</v>
      </c>
      <c r="U21">
        <f si="1" t="shared"/>
        <v>3120.9094905853271</v>
      </c>
    </row>
    <row r="22" spans="1:21" x14ac:dyDescent="0.45">
      <c r="A22" s="10">
        <v>0.39583333333333331</v>
      </c>
      <c r="B22" s="5" t="n">
        <v>4161.66153149336</v>
      </c>
      <c r="C22" s="5" t="n">
        <v>254.31297097246735</v>
      </c>
      <c r="D22" s="5" t="n">
        <v>0.0</v>
      </c>
      <c r="E22" s="5" t="n">
        <v>4.316837839178528</v>
      </c>
      <c r="F22" s="5" t="n">
        <v>19.563540627759767</v>
      </c>
      <c r="G22" s="5" t="n">
        <v>0.0</v>
      </c>
      <c r="H22" s="5" t="n">
        <v>0.0</v>
      </c>
      <c r="I22" s="5" t="n">
        <v>0.0</v>
      </c>
      <c r="J22" s="5">
        <f si="0" t="shared"/>
        <v>4439.8548809327649</v>
      </c>
      <c r="L22" s="10">
        <v>0.39583333333333331</v>
      </c>
      <c r="M22" s="8" t="n">
        <v>4449.4642333984375</v>
      </c>
      <c r="N22" s="8" t="n">
        <v>261.841814994812</v>
      </c>
      <c r="O22" s="8" t="n">
        <v>0.0</v>
      </c>
      <c r="P22" s="8" t="n">
        <v>0.0</v>
      </c>
      <c r="Q22" s="8" t="n">
        <v>49.738983154296875</v>
      </c>
      <c r="R22" s="8" t="n">
        <v>6.439946174621582</v>
      </c>
      <c r="S22" s="8" t="n">
        <v>0.0</v>
      </c>
      <c r="T22" s="8" t="n">
        <v>0.0</v>
      </c>
      <c r="U22">
        <f si="1" t="shared"/>
        <v>4815.6268253326416</v>
      </c>
    </row>
    <row r="23" spans="1:21" x14ac:dyDescent="0.45">
      <c r="A23" s="10">
        <v>0.41666666666666669</v>
      </c>
      <c r="B23" s="5" t="n">
        <v>6426.781507350601</v>
      </c>
      <c r="C23" s="5" t="n">
        <v>367.927211750081</v>
      </c>
      <c r="D23" s="5" t="n">
        <v>0.0</v>
      </c>
      <c r="E23" s="5" t="n">
        <v>7.86335812719444</v>
      </c>
      <c r="F23" s="5" t="n">
        <v>19.32516567632114</v>
      </c>
      <c r="G23" s="5" t="n">
        <v>0.0</v>
      </c>
      <c r="H23" s="5" t="n">
        <v>0.0</v>
      </c>
      <c r="I23" s="5" t="n">
        <v>0.0</v>
      </c>
      <c r="J23" s="5">
        <f si="0" t="shared"/>
        <v>6821.8972429041978</v>
      </c>
      <c r="L23" s="10">
        <v>0.41666666666666669</v>
      </c>
      <c r="M23" s="8" t="n">
        <v>6244.09686088562</v>
      </c>
      <c r="N23" s="8" t="n">
        <v>367.63421726226807</v>
      </c>
      <c r="O23" s="8" t="n">
        <v>0.0</v>
      </c>
      <c r="P23" s="8" t="n">
        <v>0.0</v>
      </c>
      <c r="Q23" s="8" t="n">
        <v>69.81763553619385</v>
      </c>
      <c r="R23" s="8" t="n">
        <v>9.432652473449707</v>
      </c>
      <c r="S23" s="8" t="n">
        <v>0.0</v>
      </c>
      <c r="T23" s="8" t="n">
        <v>0.0</v>
      </c>
      <c r="U23">
        <f si="1" t="shared"/>
        <v>6760.5673770904541</v>
      </c>
    </row>
    <row r="24" spans="1:21" x14ac:dyDescent="0.45">
      <c r="A24" s="10">
        <v>0.4375</v>
      </c>
      <c r="B24" s="5" t="n">
        <v>9302.050918111883</v>
      </c>
      <c r="C24" s="5" t="n">
        <v>496.23589512765955</v>
      </c>
      <c r="D24" s="5" t="n">
        <v>0.0</v>
      </c>
      <c r="E24" s="5" t="n">
        <v>12.335966536495075</v>
      </c>
      <c r="F24" s="5" t="n">
        <v>15.9056589374021</v>
      </c>
      <c r="G24" s="5" t="n">
        <v>0.0</v>
      </c>
      <c r="H24" s="5" t="n">
        <v>0.0</v>
      </c>
      <c r="I24" s="5" t="n">
        <v>0.0</v>
      </c>
      <c r="J24" s="5">
        <f si="0" t="shared"/>
        <v>9826.5284387134398</v>
      </c>
      <c r="L24" s="10">
        <v>0.4375</v>
      </c>
      <c r="M24" s="8" t="n">
        <v>7991.059649467468</v>
      </c>
      <c r="N24" s="8" t="n">
        <v>473.07448291778564</v>
      </c>
      <c r="O24" s="8" t="n">
        <v>0.0</v>
      </c>
      <c r="P24" s="8" t="n">
        <v>0.0</v>
      </c>
      <c r="Q24" s="8" t="n">
        <v>89.2538833618164</v>
      </c>
      <c r="R24" s="8" t="n">
        <v>12.638367652893066</v>
      </c>
      <c r="S24" s="8" t="n">
        <v>0.0</v>
      </c>
      <c r="T24" s="8" t="n">
        <v>0.0</v>
      </c>
      <c r="U24">
        <f si="1" t="shared"/>
        <v>8655.1056718826294</v>
      </c>
    </row>
    <row r="25" spans="1:21" x14ac:dyDescent="0.45">
      <c r="A25" s="10">
        <v>0.45833333333333331</v>
      </c>
      <c r="B25" s="5" t="n">
        <v>12141.94638635579</v>
      </c>
      <c r="C25" s="5" t="n">
        <v>609.0945319965887</v>
      </c>
      <c r="D25" s="5" t="n">
        <v>0.0</v>
      </c>
      <c r="E25" s="5" t="n">
        <v>16.90920734633992</v>
      </c>
      <c r="F25" s="5" t="n">
        <v>10.87408602314071</v>
      </c>
      <c r="G25" s="5" t="n">
        <v>0.0</v>
      </c>
      <c r="H25" s="5" t="n">
        <v>0.0</v>
      </c>
      <c r="I25" s="5" t="n">
        <v>0.0</v>
      </c>
      <c r="J25" s="5">
        <f si="0" t="shared"/>
        <v>12778.82421172186</v>
      </c>
      <c r="L25" s="10">
        <v>0.45833333333333331</v>
      </c>
      <c r="M25" s="8" t="n">
        <v>9369.247547149658</v>
      </c>
      <c r="N25" s="8" t="n">
        <v>559.3258008956909</v>
      </c>
      <c r="O25" s="8" t="n">
        <v>0.0</v>
      </c>
      <c r="P25" s="8" t="n">
        <v>0.0</v>
      </c>
      <c r="Q25" s="8" t="n">
        <v>104.59852886199951</v>
      </c>
      <c r="R25" s="8" t="n">
        <v>15.429082870483398</v>
      </c>
      <c r="S25" s="8" t="n">
        <v>0.0</v>
      </c>
      <c r="T25" s="8" t="n">
        <v>0.0</v>
      </c>
      <c r="U25">
        <f si="1" t="shared"/>
        <v>10152.379241943359</v>
      </c>
    </row>
    <row r="26" spans="1:21" x14ac:dyDescent="0.45">
      <c r="A26" s="10">
        <v>0.47916666666666669</v>
      </c>
      <c r="B26" s="5" t="n">
        <v>14040.28604467707</v>
      </c>
      <c r="C26" s="5" t="n">
        <v>674.7051420607941</v>
      </c>
      <c r="D26" s="5" t="n">
        <v>0.0</v>
      </c>
      <c r="E26" s="5" t="n">
        <v>20.39913879519772</v>
      </c>
      <c r="F26" s="5" t="n">
        <v>6.135178292968773</v>
      </c>
      <c r="G26" s="5" t="n">
        <v>0.0</v>
      </c>
      <c r="H26" s="5" t="n">
        <v>0.0</v>
      </c>
      <c r="I26" s="5" t="n">
        <v>0.0</v>
      </c>
      <c r="J26" s="5">
        <f si="0" t="shared"/>
        <v>14741.525503826031</v>
      </c>
      <c r="L26" s="10">
        <v>0.47916666666666669</v>
      </c>
      <c r="M26" s="8" t="n">
        <v>10097.747777938843</v>
      </c>
      <c r="N26" s="8" t="n">
        <v>609.0329704284668</v>
      </c>
      <c r="O26" s="8" t="n">
        <v>0.0</v>
      </c>
      <c r="P26" s="8" t="n">
        <v>0.0</v>
      </c>
      <c r="Q26" s="8" t="n">
        <v>113.02230167388916</v>
      </c>
      <c r="R26" s="8" t="n">
        <v>17.24752140045166</v>
      </c>
      <c r="S26" s="8" t="n">
        <v>0.0</v>
      </c>
      <c r="T26" s="8" t="n">
        <v>0.0</v>
      </c>
      <c r="U26">
        <f si="1" t="shared"/>
        <v>10948.029226303101</v>
      </c>
    </row>
    <row r="27" spans="1:21" x14ac:dyDescent="0.45">
      <c r="A27" s="10">
        <v>0.5</v>
      </c>
      <c r="B27" s="5" t="n">
        <v>14326.762792164462</v>
      </c>
      <c r="C27" s="5" t="n">
        <v>676.8473613485262</v>
      </c>
      <c r="D27" s="5" t="n">
        <v>0.0</v>
      </c>
      <c r="E27" s="5" t="n">
        <v>21.652766785405703</v>
      </c>
      <c r="F27" s="5" t="n">
        <v>2.8264101339333316</v>
      </c>
      <c r="G27" s="5" t="n">
        <v>0.0</v>
      </c>
      <c r="H27" s="5" t="n">
        <v>0.0</v>
      </c>
      <c r="I27" s="5" t="n">
        <v>0.0</v>
      </c>
      <c r="J27" s="5">
        <f si="0" t="shared"/>
        <v>15028.089330432327</v>
      </c>
      <c r="L27" s="10">
        <v>0.5</v>
      </c>
      <c r="M27" s="8" t="n">
        <v>10020.004619598389</v>
      </c>
      <c r="N27" s="8" t="n">
        <v>611.7138233184814</v>
      </c>
      <c r="O27" s="8" t="n">
        <v>0.0</v>
      </c>
      <c r="P27" s="8" t="n">
        <v>0.0</v>
      </c>
      <c r="Q27" s="8" t="n">
        <v>113.10877513885498</v>
      </c>
      <c r="R27" s="8" t="n">
        <v>17.907532691955566</v>
      </c>
      <c r="S27" s="8" t="n">
        <v>0.0</v>
      </c>
      <c r="T27" s="8" t="n">
        <v>0.0</v>
      </c>
      <c r="U27">
        <f si="1" t="shared"/>
        <v>10871.123566627502</v>
      </c>
    </row>
    <row r="28" spans="1:21" x14ac:dyDescent="0.45">
      <c r="A28" s="10">
        <v>0.52083333333333337</v>
      </c>
      <c r="B28" s="5" t="n">
        <v>12974.666340091833</v>
      </c>
      <c r="C28" s="5" t="n">
        <v>621.7254124301928</v>
      </c>
      <c r="D28" s="5" t="n">
        <v>0.0</v>
      </c>
      <c r="E28" s="5" t="n">
        <v>20.087905316943605</v>
      </c>
      <c r="F28" s="5" t="n">
        <v>1.0461513991804634</v>
      </c>
      <c r="G28" s="5" t="n">
        <v>0.0</v>
      </c>
      <c r="H28" s="5" t="n">
        <v>0.0</v>
      </c>
      <c r="I28" s="5" t="n">
        <v>0.0</v>
      </c>
      <c r="J28" s="5">
        <f si="0" t="shared"/>
        <v>13617.52580923815</v>
      </c>
      <c r="L28" s="10">
        <v>0.52083333333333337</v>
      </c>
      <c r="M28" s="8" t="n">
        <v>9178.702226638794</v>
      </c>
      <c r="N28" s="8" t="n">
        <v>568.9137468338013</v>
      </c>
      <c r="O28" s="8" t="n">
        <v>0.0</v>
      </c>
      <c r="P28" s="8" t="n">
        <v>0.0</v>
      </c>
      <c r="Q28" s="8" t="n">
        <v>105.53607845306396</v>
      </c>
      <c r="R28" s="8" t="n">
        <v>17.695825576782227</v>
      </c>
      <c r="S28" s="8" t="n">
        <v>0.0</v>
      </c>
      <c r="T28" s="8" t="n">
        <v>0.0</v>
      </c>
      <c r="U28">
        <f si="1" t="shared"/>
        <v>9966.5319156646729</v>
      </c>
    </row>
    <row r="29" spans="1:21" x14ac:dyDescent="0.45">
      <c r="A29" s="10">
        <v>0.54166666666666663</v>
      </c>
      <c r="B29" s="5" t="n">
        <v>10578.183025002245</v>
      </c>
      <c r="C29" s="5" t="n">
        <v>531.2280029501121</v>
      </c>
      <c r="D29" s="5" t="n">
        <v>0.0</v>
      </c>
      <c r="E29" s="5" t="n">
        <v>16.11158682036109</v>
      </c>
      <c r="F29" s="5" t="n">
        <v>0.30364676415762576</v>
      </c>
      <c r="G29" s="5" t="n">
        <v>0.0</v>
      </c>
      <c r="H29" s="5" t="n">
        <v>0.0</v>
      </c>
      <c r="I29" s="5" t="n">
        <v>0.0</v>
      </c>
      <c r="J29" s="5">
        <f si="0" t="shared"/>
        <v>11125.826261536877</v>
      </c>
      <c r="L29" s="10">
        <v>0.54166666666666663</v>
      </c>
      <c r="M29" s="8" t="n">
        <v>7824.8025007247925</v>
      </c>
      <c r="N29" s="8" t="n">
        <v>495.2594861984253</v>
      </c>
      <c r="O29" s="8" t="n">
        <v>0.0</v>
      </c>
      <c r="P29" s="8" t="n">
        <v>0.0</v>
      </c>
      <c r="Q29" s="8" t="n">
        <v>93.11371326446533</v>
      </c>
      <c r="R29" s="8" t="n">
        <v>17.178564071655273</v>
      </c>
      <c r="S29" s="8" t="n">
        <v>0.0</v>
      </c>
      <c r="T29" s="8" t="n">
        <v>0.0</v>
      </c>
      <c r="U29">
        <f si="1" t="shared"/>
        <v>8505.8082704544067</v>
      </c>
    </row>
    <row r="30" spans="1:21" x14ac:dyDescent="0.45">
      <c r="A30" s="10">
        <v>0.5625</v>
      </c>
      <c r="B30" s="5" t="n">
        <v>7944.501626770141</v>
      </c>
      <c r="C30" s="5" t="n">
        <v>430.2773339514119</v>
      </c>
      <c r="D30" s="5" t="n">
        <v>0.0</v>
      </c>
      <c r="E30" s="5" t="n">
        <v>11.024113767407538</v>
      </c>
      <c r="F30" s="5" t="n">
        <v>0.06657820896022168</v>
      </c>
      <c r="G30" s="5" t="n">
        <v>0.0</v>
      </c>
      <c r="H30" s="5" t="n">
        <v>0.0</v>
      </c>
      <c r="I30" s="5" t="n">
        <v>0.0</v>
      </c>
      <c r="J30" s="5">
        <f si="0" t="shared"/>
        <v>8385.8696526979202</v>
      </c>
      <c r="L30" s="10">
        <v>0.5625</v>
      </c>
      <c r="M30" s="8" t="n">
        <v>6310.714335441589</v>
      </c>
      <c r="N30" s="8" t="n">
        <v>411.93003940582275</v>
      </c>
      <c r="O30" s="8" t="n">
        <v>0.0</v>
      </c>
      <c r="P30" s="8" t="n">
        <v>0.0</v>
      </c>
      <c r="Q30" s="8" t="n">
        <v>79.5734920501709</v>
      </c>
      <c r="R30" s="8" t="n">
        <v>16.820107460021973</v>
      </c>
      <c r="S30" s="8" t="n">
        <v>0.0</v>
      </c>
      <c r="T30" s="8" t="n">
        <v>0.0</v>
      </c>
      <c r="U30">
        <f si="1" t="shared"/>
        <v>6871.1330614089966</v>
      </c>
    </row>
    <row r="31" spans="1:21" x14ac:dyDescent="0.45">
      <c r="A31" s="10">
        <v>0.58333333333333337</v>
      </c>
      <c r="B31" s="5" t="n">
        <v>5663.77252243857</v>
      </c>
      <c r="C31" s="5" t="n">
        <v>336.7478634491283</v>
      </c>
      <c r="D31" s="5" t="n">
        <v>0.0</v>
      </c>
      <c r="E31" s="5" t="n">
        <v>6.339524695114648</v>
      </c>
      <c r="F31" s="5" t="n">
        <v>0.010370425139802431</v>
      </c>
      <c r="G31" s="5" t="n">
        <v>0.0</v>
      </c>
      <c r="H31" s="5" t="n">
        <v>0.0</v>
      </c>
      <c r="I31" s="5" t="n">
        <v>0.0</v>
      </c>
      <c r="J31" s="5">
        <f si="0" t="shared"/>
        <v>6006.8702810079531</v>
      </c>
      <c r="L31" s="10">
        <v>0.58333333333333337</v>
      </c>
      <c r="M31" s="8" t="n">
        <v>4920.082021713257</v>
      </c>
      <c r="N31" s="8" t="n">
        <v>335.71162605285645</v>
      </c>
      <c r="O31" s="8" t="n">
        <v>0.0</v>
      </c>
      <c r="P31" s="8" t="n">
        <v>0.0</v>
      </c>
      <c r="Q31" s="8" t="n">
        <v>67.62954616546631</v>
      </c>
      <c r="R31" s="8" t="n">
        <v>16.680883407592773</v>
      </c>
      <c r="S31" s="8" t="n">
        <v>0.0</v>
      </c>
      <c r="T31" s="8" t="n">
        <v>0.0</v>
      </c>
      <c r="U31">
        <f si="1" t="shared"/>
        <v>5369.9232120513916</v>
      </c>
    </row>
    <row r="32" spans="1:21" x14ac:dyDescent="0.45">
      <c r="A32" s="10">
        <v>0.60416666666666663</v>
      </c>
      <c r="B32" s="5" t="n">
        <v>3950.0818747577932</v>
      </c>
      <c r="C32" s="5" t="n">
        <v>257.66048427751815</v>
      </c>
      <c r="D32" s="5" t="n">
        <v>0.0</v>
      </c>
      <c r="E32" s="5" t="n">
        <v>3.012104333133503</v>
      </c>
      <c r="F32" s="5" t="n">
        <v>0.0010228501496411968</v>
      </c>
      <c r="G32" s="5" t="n">
        <v>0.0</v>
      </c>
      <c r="H32" s="5" t="n">
        <v>0.0</v>
      </c>
      <c r="I32" s="5" t="n">
        <v>0.0</v>
      </c>
      <c r="J32" s="5">
        <f si="0" t="shared"/>
        <v>4210.7554862185943</v>
      </c>
      <c r="L32" s="10">
        <v>0.60416666666666663</v>
      </c>
      <c r="M32" s="8" t="n">
        <v>3765.2594995498657</v>
      </c>
      <c r="N32" s="8" t="n">
        <v>272.23054027557373</v>
      </c>
      <c r="O32" s="8" t="n">
        <v>0.0</v>
      </c>
      <c r="P32" s="8" t="n">
        <v>0.0</v>
      </c>
      <c r="Q32" s="8" t="n">
        <v>57.84735584259033</v>
      </c>
      <c r="R32" s="8" t="n">
        <v>16.431471824645996</v>
      </c>
      <c r="S32" s="8" t="n">
        <v>0.0</v>
      </c>
      <c r="T32" s="8" t="n">
        <v>0.0</v>
      </c>
      <c r="U32">
        <f si="1" t="shared"/>
        <v>4123.4302558898926</v>
      </c>
    </row>
    <row r="33" spans="1:21" x14ac:dyDescent="0.45">
      <c r="A33" s="10">
        <v>0.625</v>
      </c>
      <c r="B33" s="5" t="n">
        <v>2746.8983691468766</v>
      </c>
      <c r="C33" s="5" t="n">
        <v>191.72897350145035</v>
      </c>
      <c r="D33" s="5" t="n">
        <v>0.0</v>
      </c>
      <c r="E33" s="5" t="n">
        <v>1.1581630956707893</v>
      </c>
      <c r="F33" s="5" t="n">
        <v>4.80313231096262E-5</v>
      </c>
      <c r="G33" s="5" t="n">
        <v>0.0</v>
      </c>
      <c r="H33" s="5" t="n">
        <v>0.0</v>
      </c>
      <c r="I33" s="5" t="n">
        <v>0.0</v>
      </c>
      <c r="J33" s="5">
        <f si="0" t="shared"/>
        <v>2939.7855537753207</v>
      </c>
      <c r="L33" s="10">
        <v>0.625</v>
      </c>
      <c r="M33" s="8" t="n">
        <v>2821.4089765548706</v>
      </c>
      <c r="N33" s="8" t="n">
        <v>218.32188510894775</v>
      </c>
      <c r="O33" s="8" t="n">
        <v>0.0</v>
      </c>
      <c r="P33" s="8" t="n">
        <v>0.0</v>
      </c>
      <c r="Q33" s="8" t="n">
        <v>49.2457160949707</v>
      </c>
      <c r="R33" s="8" t="n">
        <v>15.6757230758667</v>
      </c>
      <c r="S33" s="8" t="n">
        <v>0.0</v>
      </c>
      <c r="T33" s="8" t="n">
        <v>0.0</v>
      </c>
      <c r="U33">
        <f si="1" t="shared"/>
        <v>3104.1909580230713</v>
      </c>
    </row>
    <row r="34" spans="1:21" x14ac:dyDescent="0.45">
      <c r="A34" s="10">
        <v>0.64583333333333337</v>
      </c>
      <c r="B34" s="5" t="n">
        <v>1909.2769921065315</v>
      </c>
      <c r="C34" s="5" t="n">
        <v>135.47625845379218</v>
      </c>
      <c r="D34" s="5" t="n">
        <v>0.0</v>
      </c>
      <c r="E34" s="5" t="n">
        <v>0.35063427664864544</v>
      </c>
      <c r="F34" s="5" t="n">
        <v>0.0</v>
      </c>
      <c r="G34" s="5" t="n">
        <v>0.0</v>
      </c>
      <c r="H34" s="5" t="n">
        <v>0.0</v>
      </c>
      <c r="I34" s="5" t="n">
        <v>0.0</v>
      </c>
      <c r="J34" s="5">
        <f si="0" t="shared"/>
        <v>2045.1038848369722</v>
      </c>
      <c r="L34" s="10">
        <v>0.64583333333333337</v>
      </c>
      <c r="M34" s="8" t="n">
        <v>2033.401858329773</v>
      </c>
      <c r="N34" s="8" t="n">
        <v>169.64570236206055</v>
      </c>
      <c r="O34" s="8" t="n">
        <v>0.0</v>
      </c>
      <c r="P34" s="8" t="n">
        <v>0.0</v>
      </c>
      <c r="Q34" s="8" t="n">
        <v>40.87211799621582</v>
      </c>
      <c r="R34" s="8" t="n">
        <v>14.312514305114746</v>
      </c>
      <c r="S34" s="8" t="n">
        <v>0.0</v>
      </c>
      <c r="T34" s="8" t="n">
        <v>0.0</v>
      </c>
      <c r="U34">
        <f si="1" t="shared"/>
        <v>2252.4205055236816</v>
      </c>
    </row>
    <row r="35" spans="1:21" x14ac:dyDescent="0.45">
      <c r="A35" s="10">
        <v>0.66666666666666663</v>
      </c>
      <c r="B35" s="5" t="n">
        <v>1318.0016545916355</v>
      </c>
      <c r="C35" s="5" t="n">
        <v>87.95275797175023</v>
      </c>
      <c r="D35" s="5" t="n">
        <v>0.0</v>
      </c>
      <c r="E35" s="5" t="n">
        <v>0.08035108954596909</v>
      </c>
      <c r="F35" s="5" t="n">
        <v>0.0</v>
      </c>
      <c r="G35" s="5" t="n">
        <v>0.0</v>
      </c>
      <c r="H35" s="5" t="n">
        <v>0.0</v>
      </c>
      <c r="I35" s="5" t="n">
        <v>0.0</v>
      </c>
      <c r="J35" s="5">
        <f si="0" t="shared"/>
        <v>1406.0347636529318</v>
      </c>
      <c r="L35" s="10">
        <v>0.66666666666666663</v>
      </c>
      <c r="M35" s="8" t="n">
        <v>1385.531162261963</v>
      </c>
      <c r="N35" s="8" t="n">
        <v>125.87786960601807</v>
      </c>
      <c r="O35" s="8" t="n">
        <v>0.0</v>
      </c>
      <c r="P35" s="8" t="n">
        <v>0.0</v>
      </c>
      <c r="Q35" s="8" t="n">
        <v>32.80316638946533</v>
      </c>
      <c r="R35" s="8" t="n">
        <v>12.6358642578125</v>
      </c>
      <c r="S35" s="8" t="n">
        <v>0.0</v>
      </c>
      <c r="T35" s="8" t="n">
        <v>0.0</v>
      </c>
      <c r="U35">
        <f si="1" t="shared"/>
        <v>1551.5603351593018</v>
      </c>
    </row>
    <row r="36" spans="1:21" x14ac:dyDescent="0.45">
      <c r="A36" s="10">
        <v>0.6875</v>
      </c>
      <c r="B36" s="5" t="n">
        <v>903.5777760939693</v>
      </c>
      <c r="C36" s="5" t="n">
        <v>50.83549744405688</v>
      </c>
      <c r="D36" s="5" t="n">
        <v>0.0</v>
      </c>
      <c r="E36" s="5" t="n">
        <v>0.013089014307342292</v>
      </c>
      <c r="F36" s="5" t="n">
        <v>0.0</v>
      </c>
      <c r="G36" s="5" t="n">
        <v>0.0</v>
      </c>
      <c r="H36" s="5" t="n">
        <v>0.0</v>
      </c>
      <c r="I36" s="5" t="n">
        <v>0.0</v>
      </c>
      <c r="J36" s="5">
        <f si="0" t="shared"/>
        <v>954.42636255233344</v>
      </c>
      <c r="L36" s="10">
        <v>0.6875</v>
      </c>
      <c r="M36" s="8" t="n">
        <v>894.3687810897827</v>
      </c>
      <c r="N36" s="8" t="n">
        <v>90.05578231811523</v>
      </c>
      <c r="O36" s="8" t="n">
        <v>0.0</v>
      </c>
      <c r="P36" s="8" t="n">
        <v>0.0</v>
      </c>
      <c r="Q36" s="8" t="n">
        <v>25.86482048034668</v>
      </c>
      <c r="R36" s="8" t="n">
        <v>11.105406761169434</v>
      </c>
      <c r="S36" s="8" t="n">
        <v>0.0</v>
      </c>
      <c r="T36" s="8" t="n">
        <v>0.0</v>
      </c>
      <c r="U36">
        <f si="1" t="shared"/>
        <v>1020.0033016204834</v>
      </c>
    </row>
    <row r="37" spans="1:21" x14ac:dyDescent="0.45">
      <c r="A37" s="10">
        <v>0.70833333333333337</v>
      </c>
      <c r="B37" s="5" t="n">
        <v>624.9475918146052</v>
      </c>
      <c r="C37" s="5" t="n">
        <v>25.485824574468204</v>
      </c>
      <c r="D37" s="5" t="n">
        <v>0.0</v>
      </c>
      <c r="E37" s="5" t="n">
        <v>0.0013498354837007825</v>
      </c>
      <c r="F37" s="5" t="n">
        <v>0.0</v>
      </c>
      <c r="G37" s="5" t="n">
        <v>0.0</v>
      </c>
      <c r="H37" s="5" t="n">
        <v>0.0</v>
      </c>
      <c r="I37" s="5" t="n">
        <v>0.0</v>
      </c>
      <c r="J37" s="5">
        <f si="0" t="shared"/>
        <v>650.43476622455705</v>
      </c>
      <c r="L37" s="10">
        <v>0.70833333333333337</v>
      </c>
      <c r="M37" s="8" t="n">
        <v>566.7266187667847</v>
      </c>
      <c r="N37" s="8" t="n">
        <v>64.70527744293213</v>
      </c>
      <c r="O37" s="8" t="n">
        <v>0.0</v>
      </c>
      <c r="P37" s="8" t="n">
        <v>0.0</v>
      </c>
      <c r="Q37" s="8" t="n">
        <v>20.682722091674805</v>
      </c>
      <c r="R37" s="8" t="n">
        <v>9.993124008178711</v>
      </c>
      <c r="S37" s="8" t="n">
        <v>0.0</v>
      </c>
      <c r="T37" s="8" t="n">
        <v>0.0</v>
      </c>
      <c r="U37">
        <f si="1" t="shared"/>
        <v>664.94498920440674</v>
      </c>
    </row>
    <row r="38" spans="1:21" x14ac:dyDescent="0.45">
      <c r="A38" s="10">
        <v>0.72916666666666663</v>
      </c>
      <c r="B38" s="5" t="n">
        <v>446.5800835148427</v>
      </c>
      <c r="C38" s="5" t="n">
        <v>10.837030576984368</v>
      </c>
      <c r="D38" s="5" t="n">
        <v>0.0</v>
      </c>
      <c r="E38" s="5" t="n">
        <v>6.622712079368267E-5</v>
      </c>
      <c r="F38" s="5" t="n">
        <v>0.0</v>
      </c>
      <c r="G38" s="5" t="n">
        <v>0.0</v>
      </c>
      <c r="H38" s="5" t="n">
        <v>0.0</v>
      </c>
      <c r="I38" s="5" t="n">
        <v>0.0</v>
      </c>
      <c r="J38" s="5">
        <f si="0" t="shared"/>
        <v>457.41718031894789</v>
      </c>
      <c r="L38" s="10">
        <v>0.72916666666666663</v>
      </c>
      <c r="M38" s="8" t="n">
        <v>376.5338544845581</v>
      </c>
      <c r="N38" s="8" t="n">
        <v>49.15595245361328</v>
      </c>
      <c r="O38" s="8" t="n">
        <v>0.0</v>
      </c>
      <c r="P38" s="8" t="n">
        <v>0.0</v>
      </c>
      <c r="Q38" s="8" t="n">
        <v>17.093920707702637</v>
      </c>
      <c r="R38" s="8" t="n">
        <v>9.198193550109863</v>
      </c>
      <c r="S38" s="8" t="n">
        <v>0.0</v>
      </c>
      <c r="T38" s="8" t="n">
        <v>0.0</v>
      </c>
      <c r="U38">
        <f si="1" t="shared"/>
        <v>457.25849151611328</v>
      </c>
    </row>
    <row r="39" spans="1:21" x14ac:dyDescent="0.45">
      <c r="A39" s="10">
        <v>0.75</v>
      </c>
      <c r="B39" s="5" t="n">
        <v>331.70228786964606</v>
      </c>
      <c r="C39" s="5" t="n">
        <v>3.8197742201762903</v>
      </c>
      <c r="D39" s="5" t="n">
        <v>0.0</v>
      </c>
      <c r="E39" s="5" t="n">
        <v>0.0</v>
      </c>
      <c r="F39" s="5" t="n">
        <v>0.0</v>
      </c>
      <c r="G39" s="5" t="n">
        <v>0.0</v>
      </c>
      <c r="H39" s="5" t="n">
        <v>0.0</v>
      </c>
      <c r="I39" s="5" t="n">
        <v>0.0</v>
      </c>
      <c r="J39" s="5">
        <f si="0" t="shared"/>
        <v>335.52206208982233</v>
      </c>
      <c r="L39" s="10">
        <v>0.75</v>
      </c>
      <c r="M39" s="8" t="n">
        <v>275.25936222076416</v>
      </c>
      <c r="N39" s="8" t="n">
        <v>39.98810958862305</v>
      </c>
      <c r="O39" s="8" t="n">
        <v>0.0</v>
      </c>
      <c r="P39" s="8" t="n">
        <v>0.0</v>
      </c>
      <c r="Q39" s="8" t="n">
        <v>14.346610069274902</v>
      </c>
      <c r="R39" s="8" t="n">
        <v>8.37157154083252</v>
      </c>
      <c r="S39" s="8" t="n">
        <v>0.0</v>
      </c>
      <c r="T39" s="8" t="n">
        <v>0.0</v>
      </c>
      <c r="U39">
        <f si="1" t="shared"/>
        <v>343.42867183685303</v>
      </c>
    </row>
    <row r="40" spans="1:21" x14ac:dyDescent="0.45">
      <c r="A40" s="10">
        <v>0.77083333333333337</v>
      </c>
      <c r="B40" s="5" t="n">
        <v>248.59537704016617</v>
      </c>
      <c r="C40" s="5" t="n">
        <v>1.084663485516437</v>
      </c>
      <c r="D40" s="5" t="n">
        <v>0.0</v>
      </c>
      <c r="E40" s="5" t="n">
        <v>0.0</v>
      </c>
      <c r="F40" s="5" t="n">
        <v>0.0</v>
      </c>
      <c r="G40" s="5" t="n">
        <v>0.0</v>
      </c>
      <c r="H40" s="5" t="n">
        <v>0.0</v>
      </c>
      <c r="I40" s="5" t="n">
        <v>0.0</v>
      </c>
      <c r="J40" s="5">
        <f si="0" t="shared"/>
        <v>249.68004052568261</v>
      </c>
      <c r="L40" s="10">
        <v>0.77083333333333337</v>
      </c>
      <c r="M40" s="8" t="n">
        <v>216.7508659362793</v>
      </c>
      <c r="N40" s="8" t="n">
        <v>33.42262935638428</v>
      </c>
      <c r="O40" s="8" t="n">
        <v>0.0</v>
      </c>
      <c r="P40" s="8" t="n">
        <v>0.0</v>
      </c>
      <c r="Q40" s="8" t="n">
        <v>11.726239204406738</v>
      </c>
      <c r="R40" s="8" t="n">
        <v>7.23492431640625</v>
      </c>
      <c r="S40" s="8" t="n">
        <v>0.0</v>
      </c>
      <c r="T40" s="8" t="n">
        <v>0.0</v>
      </c>
      <c r="U40">
        <f si="1" t="shared"/>
        <v>273.33828544616699</v>
      </c>
    </row>
    <row r="41" spans="1:21" x14ac:dyDescent="0.45">
      <c r="A41" s="10">
        <v>0.79166666666666663</v>
      </c>
      <c r="B41" s="5" t="n">
        <v>178.68999561417138</v>
      </c>
      <c r="C41" s="5" t="n">
        <v>0.23823095740169875</v>
      </c>
      <c r="D41" s="5" t="n">
        <v>0.0</v>
      </c>
      <c r="E41" s="5" t="n">
        <v>0.0</v>
      </c>
      <c r="F41" s="5" t="n">
        <v>0.0</v>
      </c>
      <c r="G41" s="5" t="n">
        <v>0.0</v>
      </c>
      <c r="H41" s="5" t="n">
        <v>0.0</v>
      </c>
      <c r="I41" s="5" t="n">
        <v>0.0</v>
      </c>
      <c r="J41" s="5">
        <f si="0" t="shared"/>
        <v>178.92822657157308</v>
      </c>
      <c r="L41" s="10">
        <v>0.79166666666666663</v>
      </c>
      <c r="M41" s="8" t="n">
        <v>173.6304750442505</v>
      </c>
      <c r="N41" s="8" t="n">
        <v>27.319063186645508</v>
      </c>
      <c r="O41" s="8" t="n">
        <v>0.0</v>
      </c>
      <c r="P41" s="8" t="n">
        <v>0.0</v>
      </c>
      <c r="Q41" s="8" t="n">
        <v>8.9995756149292</v>
      </c>
      <c r="R41" s="8" t="n">
        <v>5.819016456604004</v>
      </c>
      <c r="S41" s="8" t="n">
        <v>0.0</v>
      </c>
      <c r="T41" s="8" t="n">
        <v>0.0</v>
      </c>
      <c r="U41">
        <f si="1" t="shared"/>
        <v>218.36618232727051</v>
      </c>
    </row>
    <row r="42" spans="1:21" x14ac:dyDescent="0.45">
      <c r="A42" s="10">
        <v>0.8125</v>
      </c>
      <c r="B42" s="5" t="n">
        <v>117.74537077996169</v>
      </c>
      <c r="C42" s="5" t="n">
        <v>0.03793522143478094</v>
      </c>
      <c r="D42" s="5" t="n">
        <v>0.0</v>
      </c>
      <c r="E42" s="5" t="n">
        <v>0.0</v>
      </c>
      <c r="F42" s="5" t="n">
        <v>0.0</v>
      </c>
      <c r="G42" s="5" t="n">
        <v>0.0</v>
      </c>
      <c r="H42" s="5" t="n">
        <v>0.0</v>
      </c>
      <c r="I42" s="5" t="n">
        <v>0.0</v>
      </c>
      <c r="J42" s="5">
        <f si="0" t="shared"/>
        <v>117.78330600139647</v>
      </c>
      <c r="L42" s="10">
        <v>0.8125</v>
      </c>
      <c r="M42" s="8" t="n">
        <v>137.36223316192627</v>
      </c>
      <c r="N42" s="8" t="n">
        <v>21.454898834228516</v>
      </c>
      <c r="O42" s="8" t="n">
        <v>0.0</v>
      </c>
      <c r="P42" s="8" t="n">
        <v>0.0</v>
      </c>
      <c r="Q42" s="8" t="n">
        <v>6.388599395751953</v>
      </c>
      <c r="R42" s="8" t="n">
        <v>4.424354553222656</v>
      </c>
      <c r="S42" s="8" t="n">
        <v>0.0</v>
      </c>
      <c r="T42" s="8" t="n">
        <v>0.0</v>
      </c>
      <c r="U42">
        <f si="1" t="shared"/>
        <v>170.93449211120605</v>
      </c>
    </row>
    <row r="43" spans="1:21" x14ac:dyDescent="0.45">
      <c r="A43" s="10">
        <v>0.83333333333333337</v>
      </c>
      <c r="B43" s="5" t="n">
        <v>69.42057267244628</v>
      </c>
      <c r="C43" s="5" t="n">
        <v>0.003890520834729633</v>
      </c>
      <c r="D43" s="5" t="n">
        <v>0.0</v>
      </c>
      <c r="E43" s="5" t="n">
        <v>0.0</v>
      </c>
      <c r="F43" s="5" t="n">
        <v>0.0</v>
      </c>
      <c r="G43" s="5" t="n">
        <v>0.0</v>
      </c>
      <c r="H43" s="5" t="n">
        <v>0.0</v>
      </c>
      <c r="I43" s="5" t="n">
        <v>0.0</v>
      </c>
      <c r="J43" s="5">
        <f si="0" t="shared"/>
        <v>69.424463193281014</v>
      </c>
      <c r="L43" s="10">
        <v>0.83333333333333337</v>
      </c>
      <c r="M43" s="8" t="n">
        <v>108.44748401641846</v>
      </c>
      <c r="N43" s="8" t="n">
        <v>16.467304229736328</v>
      </c>
      <c r="O43" s="8" t="n">
        <v>0.0</v>
      </c>
      <c r="P43" s="8" t="n">
        <v>0.0</v>
      </c>
      <c r="Q43" s="8" t="n">
        <v>4.235254287719727</v>
      </c>
      <c r="R43" s="8" t="n">
        <v>3.36106014251709</v>
      </c>
      <c r="S43" s="8" t="n">
        <v>0.0</v>
      </c>
      <c r="T43" s="8" t="n">
        <v>0.0</v>
      </c>
      <c r="U43">
        <f si="1" t="shared"/>
        <v>132.95208835601807</v>
      </c>
    </row>
    <row r="44" spans="1:21" x14ac:dyDescent="0.45">
      <c r="A44" s="10">
        <v>0.85416666666666663</v>
      </c>
      <c r="B44" s="5" t="n">
        <v>37.04003554089786</v>
      </c>
      <c r="C44" s="5" t="n">
        <v>1.925557818177291E-4</v>
      </c>
      <c r="D44" s="5" t="n">
        <v>0.0</v>
      </c>
      <c r="E44" s="5" t="n">
        <v>0.0</v>
      </c>
      <c r="F44" s="5" t="n">
        <v>0.0</v>
      </c>
      <c r="G44" s="5" t="n">
        <v>0.0</v>
      </c>
      <c r="H44" s="5" t="n">
        <v>0.0</v>
      </c>
      <c r="I44" s="5" t="n">
        <v>0.0</v>
      </c>
      <c r="J44" s="5">
        <f si="0" t="shared"/>
        <v>37.040228096679677</v>
      </c>
      <c r="L44" s="10">
        <v>0.85416666666666663</v>
      </c>
      <c r="M44" s="8" t="n">
        <v>87.24952602386475</v>
      </c>
      <c r="N44" s="8" t="n">
        <v>12.718622207641602</v>
      </c>
      <c r="O44" s="8" t="n">
        <v>0.0</v>
      </c>
      <c r="P44" s="8" t="n">
        <v>0.0</v>
      </c>
      <c r="Q44" s="8" t="n">
        <v>2.7033605575561523</v>
      </c>
      <c r="R44" s="8" t="n">
        <v>2.7150087356567383</v>
      </c>
      <c r="S44" s="8" t="n">
        <v>0.0</v>
      </c>
      <c r="T44" s="8" t="n">
        <v>0.0</v>
      </c>
      <c r="U44">
        <f si="1" t="shared"/>
        <v>105.28910064697266</v>
      </c>
    </row>
    <row r="45" spans="1:21" x14ac:dyDescent="0.45">
      <c r="A45" s="10">
        <v>0.875</v>
      </c>
      <c r="B45" s="5" t="n">
        <v>19.411678529189032</v>
      </c>
      <c r="C45" s="5" t="n">
        <v>0.0</v>
      </c>
      <c r="D45" s="5" t="n">
        <v>0.0</v>
      </c>
      <c r="E45" s="5" t="n">
        <v>0.0</v>
      </c>
      <c r="F45" s="5" t="n">
        <v>0.0</v>
      </c>
      <c r="G45" s="5" t="n">
        <v>0.0</v>
      </c>
      <c r="H45" s="5" t="n">
        <v>0.0</v>
      </c>
      <c r="I45" s="5" t="n">
        <v>0.0</v>
      </c>
      <c r="J45" s="5">
        <f si="0" t="shared"/>
        <v>19.411678529189032</v>
      </c>
      <c r="L45" s="10">
        <v>0.875</v>
      </c>
      <c r="M45" s="8" t="n">
        <v>71.12108612060547</v>
      </c>
      <c r="N45" s="8" t="n">
        <v>9.952432632446289</v>
      </c>
      <c r="O45" s="8" t="n">
        <v>0.0</v>
      </c>
      <c r="P45" s="8" t="n">
        <v>0.0</v>
      </c>
      <c r="Q45" s="8" t="n">
        <v>1.7195768356323242</v>
      </c>
      <c r="R45" s="8" t="n">
        <v>2.3313283920288086</v>
      </c>
      <c r="S45" s="8" t="n">
        <v>0.0</v>
      </c>
      <c r="T45" s="8" t="n">
        <v>0.0</v>
      </c>
      <c r="U45">
        <f si="1" t="shared"/>
        <v>84.758610725402832</v>
      </c>
    </row>
    <row r="46" spans="1:21" x14ac:dyDescent="0.45">
      <c r="A46" s="10">
        <v>0.89583333333333337</v>
      </c>
      <c r="B46" s="5" t="n">
        <v>11.743378011959447</v>
      </c>
      <c r="C46" s="5" t="n">
        <v>0.0</v>
      </c>
      <c r="D46" s="5" t="n">
        <v>0.0</v>
      </c>
      <c r="E46" s="5" t="n">
        <v>0.0</v>
      </c>
      <c r="F46" s="5" t="n">
        <v>0.0</v>
      </c>
      <c r="G46" s="5" t="n">
        <v>0.0</v>
      </c>
      <c r="H46" s="5" t="n">
        <v>0.0</v>
      </c>
      <c r="I46" s="5" t="n">
        <v>0.0</v>
      </c>
      <c r="J46" s="5">
        <f si="0" t="shared"/>
        <v>11.743378011959447</v>
      </c>
      <c r="L46" s="10">
        <v>0.89583333333333337</v>
      </c>
      <c r="M46" s="8" t="n">
        <v>56.59273147583008</v>
      </c>
      <c r="N46" s="8" t="n">
        <v>7.661211967468262</v>
      </c>
      <c r="O46" s="8" t="n">
        <v>0.0</v>
      </c>
      <c r="P46" s="8" t="n">
        <v>0.0</v>
      </c>
      <c r="Q46" s="8" t="n">
        <v>1.0992841720581055</v>
      </c>
      <c r="R46" s="8" t="n">
        <v>1.9842767715454102</v>
      </c>
      <c r="S46" s="8" t="n">
        <v>0.0</v>
      </c>
      <c r="T46" s="8" t="n">
        <v>0.0</v>
      </c>
      <c r="U46">
        <f si="1" t="shared"/>
        <v>66.974072456359863</v>
      </c>
    </row>
    <row r="47" spans="1:21" x14ac:dyDescent="0.45">
      <c r="A47" s="10">
        <v>0.91666666666666663</v>
      </c>
      <c r="B47" s="5" t="n">
        <v>8.750190447544064</v>
      </c>
      <c r="C47" s="5" t="n">
        <v>0.0</v>
      </c>
      <c r="D47" s="5" t="n">
        <v>0.0</v>
      </c>
      <c r="E47" s="5" t="n">
        <v>0.0</v>
      </c>
      <c r="F47" s="5" t="n">
        <v>0.0</v>
      </c>
      <c r="G47" s="5" t="n">
        <v>0.0</v>
      </c>
      <c r="H47" s="5" t="n">
        <v>0.0</v>
      </c>
      <c r="I47" s="5" t="n">
        <v>0.0</v>
      </c>
      <c r="J47" s="5">
        <f si="0" t="shared"/>
        <v>8.7501904475440639</v>
      </c>
      <c r="L47" s="10">
        <v>0.91666666666666663</v>
      </c>
      <c r="M47" s="8" t="n">
        <v>42.15441703796387</v>
      </c>
      <c r="N47" s="8" t="n">
        <v>5.5527544021606445</v>
      </c>
      <c r="O47" s="8" t="n">
        <v>0.0</v>
      </c>
      <c r="P47" s="8" t="n">
        <v>0.0</v>
      </c>
      <c r="Q47" s="8" t="n">
        <v>0.6853809356689453</v>
      </c>
      <c r="R47" s="8" t="n">
        <v>1.5528125762939453</v>
      </c>
      <c r="S47" s="8" t="n">
        <v>0.0</v>
      </c>
      <c r="T47" s="8" t="n">
        <v>0.0</v>
      </c>
      <c r="U47">
        <f si="1" t="shared"/>
        <v>49.780282974243164</v>
      </c>
    </row>
    <row r="48" spans="1:21" x14ac:dyDescent="0.45">
      <c r="A48" s="10">
        <v>0.9375</v>
      </c>
      <c r="B48" s="5" t="n">
        <v>6.928826531878023</v>
      </c>
      <c r="C48" s="5" t="n">
        <v>0.0</v>
      </c>
      <c r="D48" s="5" t="n">
        <v>0.0</v>
      </c>
      <c r="E48" s="5" t="n">
        <v>0.0</v>
      </c>
      <c r="F48" s="5" t="n">
        <v>0.0</v>
      </c>
      <c r="G48" s="5" t="n">
        <v>0.0</v>
      </c>
      <c r="H48" s="5" t="n">
        <v>0.0</v>
      </c>
      <c r="I48" s="5" t="n">
        <v>0.0</v>
      </c>
      <c r="J48" s="5">
        <f si="0" t="shared"/>
        <v>6.9288265318780233</v>
      </c>
      <c r="L48" s="10">
        <v>0.9375</v>
      </c>
      <c r="M48" s="8" t="n">
        <v>28.675716400146484</v>
      </c>
      <c r="N48" s="8" t="n">
        <v>3.6715316772460938</v>
      </c>
      <c r="O48" s="8" t="n">
        <v>0.0</v>
      </c>
      <c r="P48" s="8" t="n">
        <v>0.0</v>
      </c>
      <c r="Q48" s="8" t="n">
        <v>0.39707088470458984</v>
      </c>
      <c r="R48" s="8" t="n">
        <v>1.0655364990234375</v>
      </c>
      <c r="S48" s="8" t="n">
        <v>0.0</v>
      </c>
      <c r="T48" s="8" t="n">
        <v>0.0</v>
      </c>
      <c r="U48">
        <f si="1" t="shared"/>
        <v>33.858468055725098</v>
      </c>
    </row>
    <row r="49" spans="1:21" x14ac:dyDescent="0.45">
      <c r="A49" s="10">
        <v>0.95833333333333337</v>
      </c>
      <c r="B49" s="5" t="n">
        <v>4.990296547884968</v>
      </c>
      <c r="C49" s="5" t="n">
        <v>0.0</v>
      </c>
      <c r="D49" s="5" t="n">
        <v>0.0</v>
      </c>
      <c r="E49" s="5" t="n">
        <v>0.0</v>
      </c>
      <c r="F49" s="5" t="n">
        <v>0.0</v>
      </c>
      <c r="G49" s="5" t="n">
        <v>0.0</v>
      </c>
      <c r="H49" s="5" t="n">
        <v>0.0</v>
      </c>
      <c r="I49" s="5" t="n">
        <v>0.0</v>
      </c>
      <c r="J49" s="5">
        <f si="0" t="shared"/>
        <v>4.9902965478849683</v>
      </c>
      <c r="L49" s="10">
        <v>0.95833333333333337</v>
      </c>
      <c r="M49" s="8" t="n">
        <v>17.788707733154297</v>
      </c>
      <c r="N49" s="8" t="n">
        <v>2.198148727416992</v>
      </c>
      <c r="O49" s="8" t="n">
        <v>0.0</v>
      </c>
      <c r="P49" s="8" t="n">
        <v>0.0</v>
      </c>
      <c r="Q49" s="8" t="n">
        <v>0.204498291015625</v>
      </c>
      <c r="R49" s="8" t="n">
        <v>0.6244516372680664</v>
      </c>
      <c r="S49" s="8" t="n">
        <v>0.0</v>
      </c>
      <c r="T49" s="8" t="n">
        <v>0.0</v>
      </c>
      <c r="U49">
        <f si="1" t="shared"/>
        <v>20.932024955749512</v>
      </c>
    </row>
    <row r="50" spans="1:21" x14ac:dyDescent="0.45">
      <c r="A50" s="10">
        <v>0.97916666666666663</v>
      </c>
      <c r="B50" s="5" t="n">
        <v>3.0381500276505697</v>
      </c>
      <c r="C50" s="5" t="n">
        <v>0.0</v>
      </c>
      <c r="D50" s="5" t="n">
        <v>0.0</v>
      </c>
      <c r="E50" s="5" t="n">
        <v>0.0</v>
      </c>
      <c r="F50" s="5" t="n">
        <v>0.0</v>
      </c>
      <c r="G50" s="5" t="n">
        <v>0.0</v>
      </c>
      <c r="H50" s="5" t="n">
        <v>0.0</v>
      </c>
      <c r="I50" s="5" t="n">
        <v>0.0</v>
      </c>
      <c r="J50" s="5">
        <f si="0" t="shared"/>
        <v>3.0381500276505697</v>
      </c>
      <c r="L50" s="10">
        <v>0.97916666666666663</v>
      </c>
      <c r="M50" s="8" t="n">
        <v>10.259572982788086</v>
      </c>
      <c r="N50" s="8" t="n">
        <v>1.215062141418457</v>
      </c>
      <c r="O50" s="8" t="n">
        <v>0.0</v>
      </c>
      <c r="P50" s="8" t="n">
        <v>0.0</v>
      </c>
      <c r="Q50" s="8" t="n">
        <v>0.09039020538330078</v>
      </c>
      <c r="R50" s="8" t="n">
        <v>0.3070211410522461</v>
      </c>
      <c r="S50" s="8" t="n">
        <v>0.0</v>
      </c>
      <c r="T50" s="8" t="n">
        <v>0.0</v>
      </c>
      <c r="U50">
        <f si="1" t="shared"/>
        <v>11.894036293029785</v>
      </c>
    </row>
    <row r="51" spans="1:21" x14ac:dyDescent="0.45">
      <c r="A51" s="10">
        <v>1</v>
      </c>
      <c r="B51" s="5" t="n">
        <v>1.5151816064328258</v>
      </c>
      <c r="C51" s="5" t="n">
        <v>0.0</v>
      </c>
      <c r="D51" s="5" t="n">
        <v>0.0</v>
      </c>
      <c r="E51" s="5" t="n">
        <v>0.0</v>
      </c>
      <c r="F51" s="5" t="n">
        <v>0.0</v>
      </c>
      <c r="G51" s="5" t="n">
        <v>0.0</v>
      </c>
      <c r="H51" s="5" t="n">
        <v>0.0</v>
      </c>
      <c r="I51" s="5" t="n">
        <v>0.0</v>
      </c>
      <c r="J51" s="5">
        <f si="0" t="shared"/>
        <v>1.5151816064328258</v>
      </c>
      <c r="L51" s="10">
        <v>1</v>
      </c>
      <c r="M51" s="8" t="n">
        <v>5.654223442077637</v>
      </c>
      <c r="N51" s="8" t="n">
        <v>0.6446123123168945</v>
      </c>
      <c r="O51" s="8" t="n">
        <v>0.0</v>
      </c>
      <c r="P51" s="8" t="n">
        <v>0.0</v>
      </c>
      <c r="Q51" s="8" t="n">
        <v>0.03323554992675781</v>
      </c>
      <c r="R51" s="8" t="n">
        <v>0.12450313568115234</v>
      </c>
      <c r="S51" s="8" t="n">
        <v>0.0</v>
      </c>
      <c r="T51" s="8" t="n">
        <v>0.0</v>
      </c>
      <c r="U51">
        <f si="1" t="shared"/>
        <v>6.3354902267456055</v>
      </c>
    </row>
    <row r="52" spans="1:21" x14ac:dyDescent="0.45">
      <c r="A52" s="10">
        <v>1.0208333333333333</v>
      </c>
      <c r="B52" s="5" t="n">
        <v>0.6057644760466414</v>
      </c>
      <c r="C52" s="5" t="n">
        <v>0.0</v>
      </c>
      <c r="D52" s="5" t="n">
        <v>0.0</v>
      </c>
      <c r="E52" s="5" t="n">
        <v>0.0</v>
      </c>
      <c r="F52" s="5" t="n">
        <v>0.0</v>
      </c>
      <c r="G52" s="5" t="n">
        <v>0.0</v>
      </c>
      <c r="H52" s="5" t="n">
        <v>0.0</v>
      </c>
      <c r="I52" s="5" t="n">
        <v>0.0</v>
      </c>
      <c r="J52" s="5">
        <f si="0" t="shared"/>
        <v>0.60576447604664141</v>
      </c>
      <c r="L52" s="10">
        <v>1.0208333333333333</v>
      </c>
      <c r="M52" s="8" t="n">
        <v>3.0060462951660156</v>
      </c>
      <c r="N52" s="8" t="n">
        <v>0.33701419830322266</v>
      </c>
      <c r="O52" s="8" t="n">
        <v>0.0</v>
      </c>
      <c r="P52" s="8" t="n">
        <v>0.0</v>
      </c>
      <c r="Q52" s="8" t="n">
        <v>0.009824752807617188</v>
      </c>
      <c r="R52" s="8" t="n">
        <v>0.04078865051269531</v>
      </c>
      <c r="S52" s="8" t="n">
        <v>0.0</v>
      </c>
      <c r="T52" s="8" t="n">
        <v>0.0</v>
      </c>
      <c r="U52">
        <f si="1" t="shared"/>
        <v>3.1962509155273438</v>
      </c>
    </row>
    <row r="53" spans="1:21" x14ac:dyDescent="0.45">
      <c r="A53" s="10">
        <v>4.1666666666666664E-2</v>
      </c>
      <c r="B53" s="5" t="n">
        <v>0.18928918970951158</v>
      </c>
      <c r="C53" s="5" t="n">
        <v>0.0</v>
      </c>
      <c r="D53" s="5" t="n">
        <v>0.0</v>
      </c>
      <c r="E53" s="5" t="n">
        <v>0.0</v>
      </c>
      <c r="F53" s="5" t="n">
        <v>0.0</v>
      </c>
      <c r="G53" s="5" t="n">
        <v>0.0</v>
      </c>
      <c r="H53" s="5" t="n">
        <v>0.0</v>
      </c>
      <c r="I53" s="5" t="n">
        <v>0.0</v>
      </c>
      <c r="J53" s="5">
        <f si="0" t="shared"/>
        <v>0.18928918970951158</v>
      </c>
      <c r="L53" s="10">
        <v>4.1666666666666664E-2</v>
      </c>
      <c r="M53" s="8" t="n">
        <v>1.5004682540893555</v>
      </c>
      <c r="N53" s="8" t="n">
        <v>0.16984272003173828</v>
      </c>
      <c r="O53" s="8" t="n">
        <v>0.0</v>
      </c>
      <c r="P53" s="8" t="n">
        <v>0.0</v>
      </c>
      <c r="Q53" s="8" t="n">
        <v>0.0022335052490234375</v>
      </c>
      <c r="R53" s="8" t="n">
        <v>0.010495185852050781</v>
      </c>
      <c r="S53" s="8" t="n">
        <v>0.0</v>
      </c>
      <c r="T53" s="8" t="n">
        <v>0.0</v>
      </c>
      <c r="U53">
        <f si="1" t="shared"/>
        <v>1.5031557083129883</v>
      </c>
    </row>
    <row r="54" spans="1:21" x14ac:dyDescent="0.45">
      <c r="A54" s="10">
        <v>6.25E-2</v>
      </c>
      <c r="B54" s="5" t="n">
        <v>0.04453863287282625</v>
      </c>
      <c r="C54" s="5" t="n">
        <v>0.0</v>
      </c>
      <c r="D54" s="5" t="n">
        <v>0.0</v>
      </c>
      <c r="E54" s="5" t="n">
        <v>0.0</v>
      </c>
      <c r="F54" s="5" t="n">
        <v>0.0</v>
      </c>
      <c r="G54" s="5" t="n">
        <v>0.0</v>
      </c>
      <c r="H54" s="5" t="n">
        <v>0.0</v>
      </c>
      <c r="I54" s="5" t="n">
        <v>0.0</v>
      </c>
      <c r="J54" s="5">
        <f si="0" t="shared"/>
        <v>4.453863287282625E-2</v>
      </c>
      <c r="L54" s="10">
        <v>6.25E-2</v>
      </c>
      <c r="M54" s="8" t="n">
        <v>0.6672649383544922</v>
      </c>
      <c r="N54" s="8" t="n">
        <v>0.07749748229980469</v>
      </c>
      <c r="O54" s="8" t="n">
        <v>0.0</v>
      </c>
      <c r="P54" s="8" t="n">
        <v>0.0</v>
      </c>
      <c r="Q54" s="8" t="n">
        <v>3.6525726318359375E-4</v>
      </c>
      <c r="R54" s="8" t="n">
        <v>0.0020351409912109375</v>
      </c>
      <c r="S54" s="8" t="n">
        <v>0.0</v>
      </c>
      <c r="T54" s="8" t="n">
        <v>0.0</v>
      </c>
      <c r="U54">
        <f si="1" t="shared"/>
        <v>0.632720947265625</v>
      </c>
    </row>
    <row r="55" spans="1:21" x14ac:dyDescent="0.45">
      <c r="A55" s="10">
        <v>8.3333333333333329E-2</v>
      </c>
      <c r="B55" s="5" t="n">
        <v>0.007423105478804376</v>
      </c>
      <c r="C55" s="5" t="n">
        <v>0.0</v>
      </c>
      <c r="D55" s="5" t="n">
        <v>0.0</v>
      </c>
      <c r="E55" s="5" t="n">
        <v>0.0</v>
      </c>
      <c r="F55" s="5" t="n">
        <v>0.0</v>
      </c>
      <c r="G55" s="5" t="n">
        <v>0.0</v>
      </c>
      <c r="H55" s="5" t="n">
        <v>0.0</v>
      </c>
      <c r="I55" s="5" t="n">
        <v>0.0</v>
      </c>
      <c r="J55" s="5">
        <f si="0" t="shared"/>
        <v>7.4231054788043756E-3</v>
      </c>
      <c r="L55" s="10">
        <v>8.3333333333333329E-2</v>
      </c>
      <c r="M55" s="8" t="n">
        <v>0.25017452239990234</v>
      </c>
      <c r="N55" s="8" t="n">
        <v>0.029939651489257812</v>
      </c>
      <c r="O55" s="8" t="n">
        <v>0.0</v>
      </c>
      <c r="P55" s="8" t="n">
        <v>0.0</v>
      </c>
      <c r="Q55" s="8" t="n">
        <v>3.814697265625E-5</v>
      </c>
      <c r="R55" s="8" t="n">
        <v>2.78472900390625E-4</v>
      </c>
      <c r="S55" s="8" t="n">
        <v>0.0</v>
      </c>
      <c r="T55" s="8" t="n">
        <v>0.0</v>
      </c>
      <c r="U55">
        <f si="1" t="shared"/>
        <v>0.22670173645019531</v>
      </c>
    </row>
    <row r="56" spans="1:21" x14ac:dyDescent="0.45">
      <c r="A56" s="10">
        <v>0.10416666666666667</v>
      </c>
      <c r="B56" s="5" t="n">
        <v>7.813795240846712E-4</v>
      </c>
      <c r="C56" s="5" t="n">
        <v>0.0</v>
      </c>
      <c r="D56" s="5" t="n">
        <v>0.0</v>
      </c>
      <c r="E56" s="5" t="n">
        <v>0.0</v>
      </c>
      <c r="F56" s="5" t="n">
        <v>0.0</v>
      </c>
      <c r="G56" s="5" t="n">
        <v>0.0</v>
      </c>
      <c r="H56" s="5" t="n">
        <v>0.0</v>
      </c>
      <c r="I56" s="5" t="n">
        <v>0.0</v>
      </c>
      <c r="J56" s="5">
        <f si="0" t="shared"/>
        <v>7.8137952408467118E-4</v>
      </c>
      <c r="L56" s="10">
        <v>0.10416666666666667</v>
      </c>
      <c r="M56" s="8" t="n">
        <v>0.07521820068359375</v>
      </c>
      <c r="N56" s="8" t="n">
        <v>0.009257316589355469</v>
      </c>
      <c r="O56" s="8" t="n">
        <v>0.0</v>
      </c>
      <c r="P56" s="8" t="n">
        <v>0.0</v>
      </c>
      <c r="Q56" s="8" t="n">
        <v>1.9073486328125E-6</v>
      </c>
      <c r="R56" s="8" t="n">
        <v>2.384185791015625E-5</v>
      </c>
      <c r="S56" s="8" t="n">
        <v>0.0</v>
      </c>
      <c r="T56" s="8" t="n">
        <v>0.0</v>
      </c>
      <c r="U56">
        <f si="1" t="shared"/>
        <v>6.574249267578125E-2</v>
      </c>
    </row>
    <row r="57" spans="1:21" x14ac:dyDescent="0.45">
      <c r="A57" s="10">
        <v>0.125</v>
      </c>
      <c r="B57" s="5" t="n">
        <v>3.906897620423355E-5</v>
      </c>
      <c r="C57" s="5" t="n">
        <v>0.0</v>
      </c>
      <c r="D57" s="5" t="n">
        <v>0.0</v>
      </c>
      <c r="E57" s="5" t="n">
        <v>0.0</v>
      </c>
      <c r="F57" s="5" t="n">
        <v>0.0</v>
      </c>
      <c r="G57" s="5" t="n">
        <v>0.0</v>
      </c>
      <c r="H57" s="5" t="n">
        <v>0.0</v>
      </c>
      <c r="I57" s="5" t="n">
        <v>0.0</v>
      </c>
      <c r="J57" s="5">
        <f si="0" t="shared"/>
        <v>3.9068976204233551E-5</v>
      </c>
      <c r="L57" s="10">
        <v>0.125</v>
      </c>
      <c r="M57" s="8" t="n">
        <v>0.016951560974121094</v>
      </c>
      <c r="N57" s="8" t="n">
        <v>0.00213623046875</v>
      </c>
      <c r="O57" s="8" t="n">
        <v>0.0</v>
      </c>
      <c r="P57" s="8" t="n">
        <v>0.0</v>
      </c>
      <c r="Q57" s="8" t="n">
        <v>0.0</v>
      </c>
      <c r="R57" s="8" t="n">
        <v>9.5367431640625E-7</v>
      </c>
      <c r="S57" s="8" t="n">
        <v>0.0</v>
      </c>
      <c r="T57" s="8" t="n">
        <v>0.0</v>
      </c>
      <c r="U57">
        <f si="1" t="shared"/>
        <v>1.4403343200683594E-2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58"/>
  <sheetViews>
    <sheetView workbookViewId="0">
      <selection activeCell="A3" sqref="A3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38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6326.563603890154</v>
      </c>
      <c r="C8" s="5" t="n">
        <v>802.3667994053143</v>
      </c>
      <c r="D8" s="5" t="n">
        <v>45.2391273899036</v>
      </c>
      <c r="E8" s="5" t="n">
        <v>112.431348980634</v>
      </c>
      <c r="F8" s="5" t="n">
        <v>333.148448837896</v>
      </c>
      <c r="G8" s="5" t="n">
        <v>0.0</v>
      </c>
      <c r="H8" s="5" t="n">
        <v>0.0</v>
      </c>
      <c r="I8" s="5" t="n">
        <v>0.0</v>
      </c>
      <c r="J8" s="5">
        <f>SUM(B8:I8)</f>
        <v>7619.7493285039018</v>
      </c>
      <c r="L8" t="s">
        <v>5</v>
      </c>
      <c r="M8" s="8" t="n">
        <v>4616.0</v>
      </c>
      <c r="N8" s="8" t="n">
        <v>466.0</v>
      </c>
      <c r="O8" s="8" t="n">
        <v>0.0</v>
      </c>
      <c r="P8" s="8" t="n">
        <v>0.0</v>
      </c>
      <c r="Q8" s="8" t="n">
        <v>334.0</v>
      </c>
      <c r="R8" s="8" t="n">
        <v>80.0</v>
      </c>
      <c r="S8" s="8" t="n">
        <v>0.0</v>
      </c>
      <c r="T8" s="8" t="n">
        <v>0.0</v>
      </c>
      <c r="U8">
        <f>SUM(M8:T8)</f>
        <v>5284</v>
      </c>
      <c r="X8" s="5"/>
      <c r="Y8" s="5"/>
    </row>
    <row r="9" spans="1:25" x14ac:dyDescent="0.45">
      <c r="A9" s="10">
        <v>0.125</v>
      </c>
      <c r="B9" s="5" t="n">
        <v>4200.975241535754</v>
      </c>
      <c r="C9" s="5" t="n">
        <v>532.516415392905</v>
      </c>
      <c r="D9" s="5" t="n">
        <v>30.022624939046974</v>
      </c>
      <c r="E9" s="5" t="n">
        <v>74.61215491274865</v>
      </c>
      <c r="F9" s="5" t="n">
        <v>221.08524285157995</v>
      </c>
      <c r="G9" s="5" t="n">
        <v>0.0</v>
      </c>
      <c r="H9" s="5" t="n">
        <v>0.0</v>
      </c>
      <c r="I9" s="5" t="n">
        <v>0.0</v>
      </c>
      <c r="J9" s="5">
        <f ref="J9:J58" si="0" t="shared">SUM(B9:I9)</f>
        <v>5059.2116796320352</v>
      </c>
      <c r="L9" s="10">
        <v>0.125</v>
      </c>
      <c r="M9" s="8" t="n">
        <v>3087.1123781204224</v>
      </c>
      <c r="N9" s="8" t="n">
        <v>311.1947317123413</v>
      </c>
      <c r="O9" s="8" t="n">
        <v>0.0</v>
      </c>
      <c r="P9" s="8" t="n">
        <v>0.0</v>
      </c>
      <c r="Q9" s="8" t="n">
        <v>221.82587909698486</v>
      </c>
      <c r="R9" s="8" t="n">
        <v>53.0943660736084</v>
      </c>
      <c r="S9" s="8" t="n">
        <v>0.0</v>
      </c>
      <c r="T9" s="8" t="n">
        <v>0.0</v>
      </c>
      <c r="U9">
        <f ref="U9:U58" si="1" t="shared">SUM(M9:T9)</f>
        <v>3532.9723291397095</v>
      </c>
      <c r="X9" s="5"/>
      <c r="Y9" s="5"/>
    </row>
    <row r="10" spans="1:25" x14ac:dyDescent="0.45">
      <c r="A10" s="10">
        <v>0.14583333333333334</v>
      </c>
      <c r="B10" s="5" t="n">
        <v>2432.425485145807</v>
      </c>
      <c r="C10" s="5" t="n">
        <v>307.79246989574233</v>
      </c>
      <c r="D10" s="5" t="n">
        <v>17.348821550396</v>
      </c>
      <c r="E10" s="5" t="n">
        <v>43.09679132300714</v>
      </c>
      <c r="F10" s="5" t="n">
        <v>127.69923786298325</v>
      </c>
      <c r="G10" s="5" t="n">
        <v>0.0</v>
      </c>
      <c r="H10" s="5" t="n">
        <v>0.0</v>
      </c>
      <c r="I10" s="5" t="n">
        <v>0.0</v>
      </c>
      <c r="J10" s="5">
        <f si="0" t="shared"/>
        <v>2928.362805777936</v>
      </c>
      <c r="L10" s="10">
        <v>0.14583333333333334</v>
      </c>
      <c r="M10" s="8" t="n">
        <v>1820.6343040466309</v>
      </c>
      <c r="N10" s="8" t="n">
        <v>182.95976066589355</v>
      </c>
      <c r="O10" s="8" t="n">
        <v>0.0</v>
      </c>
      <c r="P10" s="8" t="n">
        <v>0.0</v>
      </c>
      <c r="Q10" s="8" t="n">
        <v>128.38834762573242</v>
      </c>
      <c r="R10" s="8" t="n">
        <v>30.679832458496094</v>
      </c>
      <c r="S10" s="8" t="n">
        <v>0.0</v>
      </c>
      <c r="T10" s="8" t="n">
        <v>0.0</v>
      </c>
      <c r="U10">
        <f si="1" t="shared"/>
        <v>2082.351541519165</v>
      </c>
      <c r="X10" s="5"/>
      <c r="Y10" s="5"/>
    </row>
    <row r="11" spans="1:25" x14ac:dyDescent="0.45">
      <c r="A11" s="10">
        <v>0.16666666666666666</v>
      </c>
      <c r="B11" s="5" t="n">
        <v>1214.6716111310657</v>
      </c>
      <c r="C11" s="5" t="n">
        <v>152.77538198035376</v>
      </c>
      <c r="D11" s="5" t="n">
        <v>8.610558552243194</v>
      </c>
      <c r="E11" s="5" t="n">
        <v>21.28414538619191</v>
      </c>
      <c r="F11" s="5" t="n">
        <v>63.047388255493246</v>
      </c>
      <c r="G11" s="5" t="n">
        <v>0.0</v>
      </c>
      <c r="H11" s="5" t="n">
        <v>0.0</v>
      </c>
      <c r="I11" s="5" t="n">
        <v>0.0</v>
      </c>
      <c r="J11" s="5">
        <f si="0" t="shared"/>
        <v>1460.3890853053479</v>
      </c>
      <c r="L11" s="10">
        <v>0.16666666666666666</v>
      </c>
      <c r="M11" s="8" t="n">
        <v>959.7029638290405</v>
      </c>
      <c r="N11" s="8" t="n">
        <v>95.87875938415527</v>
      </c>
      <c r="O11" s="8" t="n">
        <v>0.0</v>
      </c>
      <c r="P11" s="8" t="n">
        <v>0.0</v>
      </c>
      <c r="Q11" s="8" t="n">
        <v>63.7901029586792</v>
      </c>
      <c r="R11" s="8" t="n">
        <v>15.178404808044434</v>
      </c>
      <c r="S11" s="8" t="n">
        <v>0.0</v>
      </c>
      <c r="T11" s="8" t="n">
        <v>0.0</v>
      </c>
      <c r="U11">
        <f si="1" t="shared"/>
        <v>1096.0001659393311</v>
      </c>
      <c r="X11" s="5"/>
      <c r="Y11" s="5"/>
    </row>
    <row r="12" spans="1:25" x14ac:dyDescent="0.45">
      <c r="A12" s="10">
        <v>0.1875</v>
      </c>
      <c r="B12" s="5" t="n">
        <v>531.9963952744239</v>
      </c>
      <c r="C12" s="5" t="n">
        <v>65.8654728609724</v>
      </c>
      <c r="D12" s="5" t="n">
        <v>3.7537454957265934</v>
      </c>
      <c r="E12" s="5" t="n">
        <v>8.853909965163888</v>
      </c>
      <c r="F12" s="5" t="n">
        <v>26.10362249047534</v>
      </c>
      <c r="G12" s="5" t="n">
        <v>0.0</v>
      </c>
      <c r="H12" s="5" t="n">
        <v>0.0</v>
      </c>
      <c r="I12" s="5" t="n">
        <v>0.0</v>
      </c>
      <c r="J12" s="5">
        <f si="0" t="shared"/>
        <v>636.57314608676211</v>
      </c>
      <c r="L12" s="10">
        <v>0.1875</v>
      </c>
      <c r="M12" s="8" t="n">
        <v>494.24772453308105</v>
      </c>
      <c r="N12" s="8" t="n">
        <v>49.1746940612793</v>
      </c>
      <c r="O12" s="8" t="n">
        <v>0.0</v>
      </c>
      <c r="P12" s="8" t="n">
        <v>0.0</v>
      </c>
      <c r="Q12" s="8" t="n">
        <v>27.045072555541992</v>
      </c>
      <c r="R12" s="8" t="n">
        <v>6.350523948669434</v>
      </c>
      <c r="S12" s="8" t="n">
        <v>0.0</v>
      </c>
      <c r="T12" s="8" t="n">
        <v>0.0</v>
      </c>
      <c r="U12">
        <f si="1" t="shared"/>
        <v>562.42777156829834</v>
      </c>
    </row>
    <row r="13" spans="1:25" x14ac:dyDescent="0.45">
      <c r="A13" s="10">
        <v>0.20833333333333334</v>
      </c>
      <c r="B13" s="5" t="n">
        <v>237.96538618536948</v>
      </c>
      <c r="C13" s="5" t="n">
        <v>29.583463363688214</v>
      </c>
      <c r="D13" s="5" t="n">
        <v>1.8735687698934218</v>
      </c>
      <c r="E13" s="5" t="n">
        <v>3.2084341018583786</v>
      </c>
      <c r="F13" s="5" t="n">
        <v>8.865946893505726</v>
      </c>
      <c r="G13" s="5" t="n">
        <v>0.0</v>
      </c>
      <c r="H13" s="5" t="n">
        <v>0.0</v>
      </c>
      <c r="I13" s="5" t="n">
        <v>0.0</v>
      </c>
      <c r="J13" s="5">
        <f si="0" t="shared"/>
        <v>281.49679931431524</v>
      </c>
      <c r="L13" s="10">
        <v>0.20833333333333334</v>
      </c>
      <c r="M13" s="8" t="n">
        <v>318.03614711761475</v>
      </c>
      <c r="N13" s="8" t="n">
        <v>32.470333099365234</v>
      </c>
      <c r="O13" s="8" t="n">
        <v>0.0</v>
      </c>
      <c r="P13" s="8" t="n">
        <v>0.0</v>
      </c>
      <c r="Q13" s="8" t="n">
        <v>10.20101547241211</v>
      </c>
      <c r="R13" s="8" t="n">
        <v>2.279674530029297</v>
      </c>
      <c r="S13" s="8" t="n">
        <v>0.0</v>
      </c>
      <c r="T13" s="8" t="n">
        <v>0.0</v>
      </c>
      <c r="U13">
        <f si="1" t="shared"/>
        <v>360.10924530029297</v>
      </c>
    </row>
    <row r="14" spans="1:25" x14ac:dyDescent="0.45">
      <c r="A14" s="10">
        <v>0.22916666666666666</v>
      </c>
      <c r="B14" s="5" t="n">
        <v>170.95766603644333</v>
      </c>
      <c r="C14" s="5" t="n">
        <v>25.658456656172117</v>
      </c>
      <c r="D14" s="5" t="n">
        <v>2.009303445272073</v>
      </c>
      <c r="E14" s="5" t="n">
        <v>1.6637346631261662</v>
      </c>
      <c r="F14" s="5" t="n">
        <v>2.426162973852712</v>
      </c>
      <c r="G14" s="5" t="n">
        <v>0.0</v>
      </c>
      <c r="H14" s="5" t="n">
        <v>0.0</v>
      </c>
      <c r="I14" s="5" t="n">
        <v>0.0</v>
      </c>
      <c r="J14" s="5">
        <f si="0" t="shared"/>
        <v>202.71532377486642</v>
      </c>
      <c r="L14" s="10">
        <v>0.22916666666666666</v>
      </c>
      <c r="M14" s="8" t="n">
        <v>312.69580936431885</v>
      </c>
      <c r="N14" s="8" t="n">
        <v>34.17935371398926</v>
      </c>
      <c r="O14" s="8" t="n">
        <v>0.0</v>
      </c>
      <c r="P14" s="8" t="n">
        <v>0.0</v>
      </c>
      <c r="Q14" s="8" t="n">
        <v>4.392145156860352</v>
      </c>
      <c r="R14" s="8" t="n">
        <v>0.8295183181762695</v>
      </c>
      <c r="S14" s="8" t="n">
        <v>0.0</v>
      </c>
      <c r="T14" s="8" t="n">
        <v>0.0</v>
      </c>
      <c r="U14">
        <f si="1" t="shared"/>
        <v>353.56554126739502</v>
      </c>
    </row>
    <row r="15" spans="1:25" x14ac:dyDescent="0.45">
      <c r="A15" s="10">
        <v>0.25</v>
      </c>
      <c r="B15" s="5" t="n">
        <v>222.8886949070587</v>
      </c>
      <c r="C15" s="5" t="n">
        <v>44.188039541573495</v>
      </c>
      <c r="D15" s="5" t="n">
        <v>3.4847578973128615</v>
      </c>
      <c r="E15" s="5" t="n">
        <v>2.978395058504649</v>
      </c>
      <c r="F15" s="5" t="n">
        <v>0.669141962894021</v>
      </c>
      <c r="G15" s="5" t="n">
        <v>0.0</v>
      </c>
      <c r="H15" s="5" t="n">
        <v>0.0</v>
      </c>
      <c r="I15" s="5" t="n">
        <v>0.0</v>
      </c>
      <c r="J15" s="5">
        <f si="0" t="shared"/>
        <v>274.2090293673437</v>
      </c>
      <c r="L15" s="10">
        <v>0.25</v>
      </c>
      <c r="M15" s="8" t="n">
        <v>398.4667387008667</v>
      </c>
      <c r="N15" s="8" t="n">
        <v>46.487624168395996</v>
      </c>
      <c r="O15" s="8" t="n">
        <v>0.0</v>
      </c>
      <c r="P15" s="8" t="n">
        <v>0.0</v>
      </c>
      <c r="Q15" s="8" t="n">
        <v>3.4615135192871094</v>
      </c>
      <c r="R15" s="8" t="n">
        <v>0.5255708694458008</v>
      </c>
      <c r="S15" s="8" t="n">
        <v>0.0</v>
      </c>
      <c r="T15" s="8" t="n">
        <v>0.0</v>
      </c>
      <c r="U15">
        <f si="1" t="shared"/>
        <v>451.29360485076904</v>
      </c>
    </row>
    <row r="16" spans="1:25" x14ac:dyDescent="0.45">
      <c r="A16" s="10">
        <v>0.27083333333333331</v>
      </c>
      <c r="B16" s="5" t="n">
        <v>346.0673434410986</v>
      </c>
      <c r="C16" s="5" t="n">
        <v>84.17383916860136</v>
      </c>
      <c r="D16" s="5" t="n">
        <v>5.7771645802808615</v>
      </c>
      <c r="E16" s="5" t="n">
        <v>7.92343560791829</v>
      </c>
      <c r="F16" s="5" t="n">
        <v>0.8284674394464502</v>
      </c>
      <c r="G16" s="5" t="n">
        <v>6.22355950836935E-5</v>
      </c>
      <c r="H16" s="5" t="n">
        <v>0.0</v>
      </c>
      <c r="I16" s="5" t="n">
        <v>0.0</v>
      </c>
      <c r="J16" s="5">
        <f si="0" t="shared"/>
        <v>444.77031247294065</v>
      </c>
      <c r="L16" s="10">
        <v>0.27083333333333331</v>
      </c>
      <c r="M16" s="8" t="n">
        <v>541.2600059509277</v>
      </c>
      <c r="N16" s="8" t="n">
        <v>65.99615287780762</v>
      </c>
      <c r="O16" s="8" t="n">
        <v>0.0</v>
      </c>
      <c r="P16" s="8" t="n">
        <v>0.0</v>
      </c>
      <c r="Q16" s="8" t="n">
        <v>4.3973798751831055</v>
      </c>
      <c r="R16" s="8" t="n">
        <v>0.6598806381225586</v>
      </c>
      <c r="S16" s="8" t="n">
        <v>0.0</v>
      </c>
      <c r="T16" s="8" t="n">
        <v>0.0</v>
      </c>
      <c r="U16">
        <f si="1" t="shared"/>
        <v>613.78664398193359</v>
      </c>
    </row>
    <row r="17" spans="1:21" x14ac:dyDescent="0.45">
      <c r="A17" s="10">
        <v>0.29166666666666669</v>
      </c>
      <c r="B17" s="5" t="n">
        <v>531.2790176384314</v>
      </c>
      <c r="C17" s="5" t="n">
        <v>148.27011871285453</v>
      </c>
      <c r="D17" s="5" t="n">
        <v>8.413702398367153</v>
      </c>
      <c r="E17" s="5" t="n">
        <v>19.15795184490109</v>
      </c>
      <c r="F17" s="5" t="n">
        <v>2.524618172003279</v>
      </c>
      <c r="G17" s="5" t="n">
        <v>0.0012447119016738698</v>
      </c>
      <c r="H17" s="5" t="n">
        <v>0.0</v>
      </c>
      <c r="I17" s="5" t="n">
        <v>0.0</v>
      </c>
      <c r="J17" s="5">
        <f si="0" t="shared"/>
        <v>709.64665347845903</v>
      </c>
      <c r="L17" s="10">
        <v>0.29166666666666669</v>
      </c>
      <c r="M17" s="8" t="n">
        <v>740.6753492355347</v>
      </c>
      <c r="N17" s="8" t="n">
        <v>92.64714050292969</v>
      </c>
      <c r="O17" s="8" t="n">
        <v>0.0</v>
      </c>
      <c r="P17" s="8" t="n">
        <v>0.0</v>
      </c>
      <c r="Q17" s="8" t="n">
        <v>6.302389144897461</v>
      </c>
      <c r="R17" s="8" t="n">
        <v>1.015406608581543</v>
      </c>
      <c r="S17" s="8" t="n">
        <v>0.0</v>
      </c>
      <c r="T17" s="8" t="n">
        <v>0.0</v>
      </c>
      <c r="U17">
        <f si="1" t="shared"/>
        <v>839.9601411819458</v>
      </c>
    </row>
    <row r="18" spans="1:21" x14ac:dyDescent="0.45">
      <c r="A18" s="10">
        <v>0.3125</v>
      </c>
      <c r="B18" s="5" t="n">
        <v>789.1592078010609</v>
      </c>
      <c r="C18" s="5" t="n">
        <v>235.91824039393748</v>
      </c>
      <c r="D18" s="5" t="n">
        <v>11.287157534240535</v>
      </c>
      <c r="E18" s="5" t="n">
        <v>40.32582148494589</v>
      </c>
      <c r="F18" s="5" t="n">
        <v>6.6866741222773864</v>
      </c>
      <c r="G18" s="5" t="n">
        <v>0.011824763065901764</v>
      </c>
      <c r="H18" s="5" t="n">
        <v>7.834626565167847E-5</v>
      </c>
      <c r="I18" s="5" t="n">
        <v>0.0</v>
      </c>
      <c r="J18" s="5">
        <f si="0" t="shared"/>
        <v>1083.3890044457937</v>
      </c>
      <c r="L18" s="10">
        <v>0.3125</v>
      </c>
      <c r="M18" s="8" t="n">
        <v>1022.0411729812622</v>
      </c>
      <c r="N18" s="8" t="n">
        <v>129.28763103485107</v>
      </c>
      <c r="O18" s="8" t="n">
        <v>0.0</v>
      </c>
      <c r="P18" s="8" t="n">
        <v>0.0</v>
      </c>
      <c r="Q18" s="8" t="n">
        <v>9.478595733642578</v>
      </c>
      <c r="R18" s="8" t="n">
        <v>1.6056232452392578</v>
      </c>
      <c r="S18" s="8" t="n">
        <v>0.0</v>
      </c>
      <c r="T18" s="8" t="n">
        <v>0.0</v>
      </c>
      <c r="U18">
        <f si="1" t="shared"/>
        <v>1158.2553157806396</v>
      </c>
    </row>
    <row r="19" spans="1:21" x14ac:dyDescent="0.45">
      <c r="A19" s="10">
        <v>0.33333333333333331</v>
      </c>
      <c r="B19" s="5" t="n">
        <v>1145.7801685641184</v>
      </c>
      <c r="C19" s="5" t="n">
        <v>340.21499276150115</v>
      </c>
      <c r="D19" s="5" t="n">
        <v>15.224325709784695</v>
      </c>
      <c r="E19" s="5" t="n">
        <v>74.07559409669808</v>
      </c>
      <c r="F19" s="5" t="n">
        <v>14.572832075797907</v>
      </c>
      <c r="G19" s="5" t="n">
        <v>0.07094857839541059</v>
      </c>
      <c r="H19" s="5" t="n">
        <v>0.0015669253130335694</v>
      </c>
      <c r="I19" s="5" t="n">
        <v>0.0</v>
      </c>
      <c r="J19" s="5">
        <f si="0" t="shared"/>
        <v>1589.9404287116088</v>
      </c>
      <c r="L19" s="10">
        <v>0.33333333333333331</v>
      </c>
      <c r="M19" s="8" t="n">
        <v>1434.4775438308716</v>
      </c>
      <c r="N19" s="8" t="n">
        <v>181.83547115325928</v>
      </c>
      <c r="O19" s="8" t="n">
        <v>0.0</v>
      </c>
      <c r="P19" s="8" t="n">
        <v>0.0</v>
      </c>
      <c r="Q19" s="8" t="n">
        <v>14.966146469116211</v>
      </c>
      <c r="R19" s="8" t="n">
        <v>2.5478477478027344</v>
      </c>
      <c r="S19" s="8" t="n">
        <v>0.0</v>
      </c>
      <c r="T19" s="8" t="n">
        <v>0.0</v>
      </c>
      <c r="U19">
        <f si="1" t="shared"/>
        <v>1624.4092493057251</v>
      </c>
    </row>
    <row r="20" spans="1:21" x14ac:dyDescent="0.45">
      <c r="A20" s="10">
        <v>0.35416666666666669</v>
      </c>
      <c r="B20" s="5" t="n">
        <v>1648.6498868661574</v>
      </c>
      <c r="C20" s="5" t="n">
        <v>453.62079951846687</v>
      </c>
      <c r="D20" s="5" t="n">
        <v>22.311298935483965</v>
      </c>
      <c r="E20" s="5" t="n">
        <v>119.59832344756582</v>
      </c>
      <c r="F20" s="5" t="n">
        <v>26.766629287996782</v>
      </c>
      <c r="G20" s="5" t="n">
        <v>0.3018816631285486</v>
      </c>
      <c r="H20" s="5" t="n">
        <v>0.014885790473818907</v>
      </c>
      <c r="I20" s="5" t="n">
        <v>0.0</v>
      </c>
      <c r="J20" s="5">
        <f si="0" t="shared"/>
        <v>2271.2637055092728</v>
      </c>
      <c r="L20" s="10">
        <v>0.35416666666666669</v>
      </c>
      <c r="M20" s="8" t="n">
        <v>2039.7085971832275</v>
      </c>
      <c r="N20" s="8" t="n">
        <v>257.9903030395508</v>
      </c>
      <c r="O20" s="8" t="n">
        <v>0.0</v>
      </c>
      <c r="P20" s="8" t="n">
        <v>0.0</v>
      </c>
      <c r="Q20" s="8" t="n">
        <v>24.10869312286377</v>
      </c>
      <c r="R20" s="8" t="n">
        <v>3.990159034729004</v>
      </c>
      <c r="S20" s="8" t="n">
        <v>0.0</v>
      </c>
      <c r="T20" s="8" t="n">
        <v>0.0</v>
      </c>
      <c r="U20">
        <f si="1" t="shared"/>
        <v>2308.2395343780518</v>
      </c>
    </row>
    <row r="21" spans="1:21" x14ac:dyDescent="0.45">
      <c r="A21" s="10">
        <v>0.375</v>
      </c>
      <c r="B21" s="5" t="n">
        <v>2368.4046565466706</v>
      </c>
      <c r="C21" s="5" t="n">
        <v>579.9530025225542</v>
      </c>
      <c r="D21" s="5" t="n">
        <v>35.693478866825956</v>
      </c>
      <c r="E21" s="5" t="n">
        <v>171.61901852299553</v>
      </c>
      <c r="F21" s="5" t="n">
        <v>42.67489229466881</v>
      </c>
      <c r="G21" s="5" t="n">
        <v>0.9719047651386559</v>
      </c>
      <c r="H21" s="5" t="n">
        <v>0.08931474284291345</v>
      </c>
      <c r="I21" s="5" t="n">
        <v>0.0</v>
      </c>
      <c r="J21" s="5">
        <f si="0" t="shared"/>
        <v>3199.4062682616968</v>
      </c>
      <c r="L21" s="10">
        <v>0.375</v>
      </c>
      <c r="M21" s="8" t="n">
        <v>2879.4014558792114</v>
      </c>
      <c r="N21" s="8" t="n">
        <v>362.8908796310425</v>
      </c>
      <c r="O21" s="8" t="n">
        <v>0.0</v>
      </c>
      <c r="P21" s="8" t="n">
        <v>0.0</v>
      </c>
      <c r="Q21" s="8" t="n">
        <v>37.8176326751709</v>
      </c>
      <c r="R21" s="8" t="n">
        <v>6.005532264709473</v>
      </c>
      <c r="S21" s="8" t="n">
        <v>0.0</v>
      </c>
      <c r="T21" s="8" t="n">
        <v>0.0</v>
      </c>
      <c r="U21">
        <f si="1" t="shared"/>
        <v>3255.8203563690186</v>
      </c>
    </row>
    <row r="22" spans="1:21" x14ac:dyDescent="0.45">
      <c r="A22" s="10">
        <v>0.39583333333333331</v>
      </c>
      <c r="B22" s="5" t="n">
        <v>3372.600133612887</v>
      </c>
      <c r="C22" s="5" t="n">
        <v>738.594919657776</v>
      </c>
      <c r="D22" s="5" t="n">
        <v>58.83084585729761</v>
      </c>
      <c r="E22" s="5" t="n">
        <v>222.56618460170407</v>
      </c>
      <c r="F22" s="5" t="n">
        <v>61.40187656099692</v>
      </c>
      <c r="G22" s="5" t="n">
        <v>2.478790605574141</v>
      </c>
      <c r="H22" s="5" t="n">
        <v>0.37958765708238223</v>
      </c>
      <c r="I22" s="5" t="n">
        <v>0.0</v>
      </c>
      <c r="J22" s="5">
        <f si="0" t="shared"/>
        <v>4456.8523385533181</v>
      </c>
      <c r="L22" s="10">
        <v>0.39583333333333331</v>
      </c>
      <c r="M22" s="8" t="n">
        <v>3935.0885515213013</v>
      </c>
      <c r="N22" s="8" t="n">
        <v>493.5782308578491</v>
      </c>
      <c r="O22" s="8" t="n">
        <v>0.0</v>
      </c>
      <c r="P22" s="8" t="n">
        <v>0.0</v>
      </c>
      <c r="Q22" s="8" t="n">
        <v>55.79648303985596</v>
      </c>
      <c r="R22" s="8" t="n">
        <v>8.490538597106934</v>
      </c>
      <c r="S22" s="8" t="n">
        <v>0.0</v>
      </c>
      <c r="T22" s="8" t="n">
        <v>0.0</v>
      </c>
      <c r="U22">
        <f si="1" t="shared"/>
        <v>4443.8412294387817</v>
      </c>
    </row>
    <row r="23" spans="1:21" x14ac:dyDescent="0.45">
      <c r="A23" s="10">
        <v>0.41666666666666669</v>
      </c>
      <c r="B23" s="5" t="n">
        <v>4664.005890013768</v>
      </c>
      <c r="C23" s="5" t="n">
        <v>948.4737121890076</v>
      </c>
      <c r="D23" s="5" t="n">
        <v>94.17019636193932</v>
      </c>
      <c r="E23" s="5" t="n">
        <v>267.14065169091504</v>
      </c>
      <c r="F23" s="5" t="n">
        <v>83.7076090097305</v>
      </c>
      <c r="G23" s="5" t="n">
        <v>5.223736971669005</v>
      </c>
      <c r="H23" s="5" t="n">
        <v>1.214680502663623</v>
      </c>
      <c r="I23" s="5" t="n">
        <v>0.0</v>
      </c>
      <c r="J23" s="5">
        <f si="0" t="shared"/>
        <v>6063.9364767396919</v>
      </c>
      <c r="L23" s="10">
        <v>0.41666666666666669</v>
      </c>
      <c r="M23" s="8" t="n">
        <v>5119.385884284973</v>
      </c>
      <c r="N23" s="8" t="n">
        <v>637.4163808822632</v>
      </c>
      <c r="O23" s="8" t="n">
        <v>0.0</v>
      </c>
      <c r="P23" s="8" t="n">
        <v>0.0</v>
      </c>
      <c r="Q23" s="8" t="n">
        <v>76.41177177429199</v>
      </c>
      <c r="R23" s="8" t="n">
        <v>11.190755844116211</v>
      </c>
      <c r="S23" s="8" t="n">
        <v>0.0</v>
      </c>
      <c r="T23" s="8" t="n">
        <v>0.0</v>
      </c>
      <c r="U23">
        <f si="1" t="shared"/>
        <v>5770.3836488723755</v>
      </c>
    </row>
    <row r="24" spans="1:21" x14ac:dyDescent="0.45">
      <c r="A24" s="10">
        <v>0.4375</v>
      </c>
      <c r="B24" s="5" t="n">
        <v>6125.561125734679</v>
      </c>
      <c r="C24" s="5" t="n">
        <v>1201.67097904608</v>
      </c>
      <c r="D24" s="5" t="n">
        <v>141.4432577803385</v>
      </c>
      <c r="E24" s="5" t="n">
        <v>306.00237478638576</v>
      </c>
      <c r="F24" s="5" t="n">
        <v>112.82775850784073</v>
      </c>
      <c r="G24" s="5" t="n">
        <v>9.53656088601248</v>
      </c>
      <c r="H24" s="5" t="n">
        <v>3.036701256659057</v>
      </c>
      <c r="I24" s="5" t="n">
        <v>0.0</v>
      </c>
      <c r="J24" s="5">
        <f si="0" t="shared"/>
        <v>7900.078757997996</v>
      </c>
      <c r="L24" s="10">
        <v>0.4375</v>
      </c>
      <c r="M24" s="8" t="n">
        <v>6323.324056625366</v>
      </c>
      <c r="N24" s="8" t="n">
        <v>777.9487676620483</v>
      </c>
      <c r="O24" s="8" t="n">
        <v>0.0</v>
      </c>
      <c r="P24" s="8" t="n">
        <v>0.0</v>
      </c>
      <c r="Q24" s="8" t="n">
        <v>97.60488033294678</v>
      </c>
      <c r="R24" s="8" t="n">
        <v>13.884504318237305</v>
      </c>
      <c r="S24" s="8" t="n">
        <v>0.0</v>
      </c>
      <c r="T24" s="8" t="n">
        <v>0.0</v>
      </c>
      <c r="U24">
        <f si="1" t="shared"/>
        <v>7109.279408454895</v>
      </c>
    </row>
    <row r="25" spans="1:21" x14ac:dyDescent="0.45">
      <c r="A25" s="10">
        <v>0.45833333333333331</v>
      </c>
      <c r="B25" s="5" t="n">
        <v>7546.740892665683</v>
      </c>
      <c r="C25" s="5" t="n">
        <v>1456.7103810443355</v>
      </c>
      <c r="D25" s="5" t="n">
        <v>196.43094326376988</v>
      </c>
      <c r="E25" s="5" t="n">
        <v>345.5861332557495</v>
      </c>
      <c r="F25" s="5" t="n">
        <v>152.08123601266095</v>
      </c>
      <c r="G25" s="5" t="n">
        <v>15.882668064879914</v>
      </c>
      <c r="H25" s="5" t="n">
        <v>6.073402513318114</v>
      </c>
      <c r="I25" s="5" t="n">
        <v>0.0</v>
      </c>
      <c r="J25" s="5">
        <f si="0" t="shared"/>
        <v>9719.5056568203945</v>
      </c>
      <c r="L25" s="10">
        <v>0.45833333333333331</v>
      </c>
      <c r="M25" s="8" t="n">
        <v>7494.649684906006</v>
      </c>
      <c r="N25" s="8" t="n">
        <v>905.2075347900391</v>
      </c>
      <c r="O25" s="8" t="n">
        <v>0.0</v>
      </c>
      <c r="P25" s="8" t="n">
        <v>0.0</v>
      </c>
      <c r="Q25" s="8" t="n">
        <v>118.40428638458252</v>
      </c>
      <c r="R25" s="8" t="n">
        <v>16.577662467956543</v>
      </c>
      <c r="S25" s="8" t="n">
        <v>0.0</v>
      </c>
      <c r="T25" s="8" t="n">
        <v>0.0</v>
      </c>
      <c r="U25">
        <f si="1" t="shared"/>
        <v>8398.8030261993408</v>
      </c>
    </row>
    <row r="26" spans="1:21" x14ac:dyDescent="0.45">
      <c r="A26" s="10">
        <v>0.47916666666666669</v>
      </c>
      <c r="B26" s="5" t="n">
        <v>8760.91899239981</v>
      </c>
      <c r="C26" s="5" t="n">
        <v>1668.5918029343275</v>
      </c>
      <c r="D26" s="5" t="n">
        <v>250.9829082813843</v>
      </c>
      <c r="E26" s="5" t="n">
        <v>393.7224591244121</v>
      </c>
      <c r="F26" s="5" t="n">
        <v>200.81056363353707</v>
      </c>
      <c r="G26" s="5" t="n">
        <v>25.072343391839755</v>
      </c>
      <c r="H26" s="5" t="n">
        <v>9.869423678551318</v>
      </c>
      <c r="I26" s="5" t="n">
        <v>0.0</v>
      </c>
      <c r="J26" s="5">
        <f si="0" t="shared"/>
        <v>11309.968493443859</v>
      </c>
      <c r="L26" s="10">
        <v>0.47916666666666669</v>
      </c>
      <c r="M26" s="8" t="n">
        <v>8691.41468334198</v>
      </c>
      <c r="N26" s="8" t="n">
        <v>1023.1415061950684</v>
      </c>
      <c r="O26" s="8" t="n">
        <v>0.0</v>
      </c>
      <c r="P26" s="8" t="n">
        <v>0.0</v>
      </c>
      <c r="Q26" s="8" t="n">
        <v>140.13143253326416</v>
      </c>
      <c r="R26" s="8" t="n">
        <v>19.538262367248535</v>
      </c>
      <c r="S26" s="8" t="n">
        <v>0.0</v>
      </c>
      <c r="T26" s="8" t="n">
        <v>0.0</v>
      </c>
      <c r="U26">
        <f si="1" t="shared"/>
        <v>9703.1550035476685</v>
      </c>
    </row>
    <row r="27" spans="1:21" x14ac:dyDescent="0.45">
      <c r="A27" s="10">
        <v>0.5</v>
      </c>
      <c r="B27" s="5" t="n">
        <v>9829.136876931465</v>
      </c>
      <c r="C27" s="5" t="n">
        <v>1833.0413167795402</v>
      </c>
      <c r="D27" s="5" t="n">
        <v>294.2368587825865</v>
      </c>
      <c r="E27" s="5" t="n">
        <v>453.35226246098307</v>
      </c>
      <c r="F27" s="5" t="n">
        <v>253.45468002073554</v>
      </c>
      <c r="G27" s="5" t="n">
        <v>37.60119368807113</v>
      </c>
      <c r="H27" s="5" t="n">
        <v>13.161965865462754</v>
      </c>
      <c r="I27" s="5" t="n">
        <v>0.0</v>
      </c>
      <c r="J27" s="5">
        <f si="0" t="shared"/>
        <v>12713.985154528844</v>
      </c>
      <c r="L27" s="10">
        <v>0.5</v>
      </c>
      <c r="M27" s="8" t="n">
        <v>10086.077223777771</v>
      </c>
      <c r="N27" s="8" t="n">
        <v>1150.0198984146118</v>
      </c>
      <c r="O27" s="8" t="n">
        <v>0.0</v>
      </c>
      <c r="P27" s="8" t="n">
        <v>0.0</v>
      </c>
      <c r="Q27" s="8" t="n">
        <v>166.84274196624756</v>
      </c>
      <c r="R27" s="8" t="n">
        <v>23.197962760925293</v>
      </c>
      <c r="S27" s="8" t="n">
        <v>0.0</v>
      </c>
      <c r="T27" s="8" t="n">
        <v>0.0</v>
      </c>
      <c r="U27">
        <f si="1" t="shared"/>
        <v>11220.873857498169</v>
      </c>
    </row>
    <row r="28" spans="1:21" x14ac:dyDescent="0.45">
      <c r="A28" s="10">
        <v>0.52083333333333337</v>
      </c>
      <c r="B28" s="5" t="n">
        <v>11160.642355913598</v>
      </c>
      <c r="C28" s="5" t="n">
        <v>2001.3186382038893</v>
      </c>
      <c r="D28" s="5" t="n">
        <v>314.95248362823656</v>
      </c>
      <c r="E28" s="5" t="n">
        <v>518.335793852228</v>
      </c>
      <c r="F28" s="5" t="n">
        <v>303.850921755545</v>
      </c>
      <c r="G28" s="5" t="n">
        <v>51.95944651300684</v>
      </c>
      <c r="H28" s="5" t="n">
        <v>14.503119562908338</v>
      </c>
      <c r="I28" s="5" t="n">
        <v>0.0</v>
      </c>
      <c r="J28" s="5">
        <f si="0" t="shared"/>
        <v>14365.562759429413</v>
      </c>
      <c r="L28" s="10">
        <v>0.52083333333333337</v>
      </c>
      <c r="M28" s="8" t="n">
        <v>11951.046656608582</v>
      </c>
      <c r="N28" s="8" t="n">
        <v>1314.4423789978027</v>
      </c>
      <c r="O28" s="8" t="n">
        <v>0.0</v>
      </c>
      <c r="P28" s="8" t="n">
        <v>0.0</v>
      </c>
      <c r="Q28" s="8" t="n">
        <v>205.2472152709961</v>
      </c>
      <c r="R28" s="8" t="n">
        <v>28.12319564819336</v>
      </c>
      <c r="S28" s="8" t="n">
        <v>0.0</v>
      </c>
      <c r="T28" s="8" t="n">
        <v>0.0</v>
      </c>
      <c r="U28">
        <f si="1" t="shared"/>
        <v>13273.301305770874</v>
      </c>
    </row>
    <row r="29" spans="1:21" x14ac:dyDescent="0.45">
      <c r="A29" s="10">
        <v>0.54166666666666663</v>
      </c>
      <c r="B29" s="5" t="n">
        <v>13498.847407271398</v>
      </c>
      <c r="C29" s="5" t="n">
        <v>2246.896718664534</v>
      </c>
      <c r="D29" s="5" t="n">
        <v>305.5102283708131</v>
      </c>
      <c r="E29" s="5" t="n">
        <v>575.65780731545</v>
      </c>
      <c r="F29" s="5" t="n">
        <v>350.03672005574794</v>
      </c>
      <c r="G29" s="5" t="n">
        <v>63.68588369900671</v>
      </c>
      <c r="H29" s="5" t="n">
        <v>13.330564105202562</v>
      </c>
      <c r="I29" s="5" t="n">
        <v>0.0</v>
      </c>
      <c r="J29" s="5">
        <f si="0" t="shared"/>
        <v>17053.965329482155</v>
      </c>
      <c r="L29" s="10">
        <v>0.54166666666666663</v>
      </c>
      <c r="M29" s="8" t="n">
        <v>14657.372369766235</v>
      </c>
      <c r="N29" s="8" t="n">
        <v>1550.8663311004639</v>
      </c>
      <c r="O29" s="8" t="n">
        <v>0.0</v>
      </c>
      <c r="P29" s="8" t="n">
        <v>0.0</v>
      </c>
      <c r="Q29" s="8" t="n">
        <v>264.1824789047241</v>
      </c>
      <c r="R29" s="8" t="n">
        <v>35.150516510009766</v>
      </c>
      <c r="S29" s="8" t="n">
        <v>0.0</v>
      </c>
      <c r="T29" s="8" t="n">
        <v>0.0</v>
      </c>
      <c r="U29">
        <f si="1" t="shared"/>
        <v>16301.851289749146</v>
      </c>
    </row>
    <row r="30" spans="1:21" x14ac:dyDescent="0.45">
      <c r="A30" s="10">
        <v>0.5625</v>
      </c>
      <c r="B30" s="5" t="n">
        <v>17755.617153441297</v>
      </c>
      <c r="C30" s="5" t="n">
        <v>2609.6714082997796</v>
      </c>
      <c r="D30" s="5" t="n">
        <v>266.7913614118926</v>
      </c>
      <c r="E30" s="5" t="n">
        <v>614.7400940760688</v>
      </c>
      <c r="F30" s="5" t="n">
        <v>393.43199116950166</v>
      </c>
      <c r="G30" s="5" t="n">
        <v>67.36046080626555</v>
      </c>
      <c r="H30" s="5" t="n">
        <v>10.60996519550704</v>
      </c>
      <c r="I30" s="5" t="n">
        <v>0.0</v>
      </c>
      <c r="J30" s="5">
        <f si="0" t="shared"/>
        <v>21718.222434400312</v>
      </c>
      <c r="L30" s="10">
        <v>0.5625</v>
      </c>
      <c r="M30" s="8" t="n">
        <v>18648.070753097534</v>
      </c>
      <c r="N30" s="8" t="n">
        <v>1892.5385761260986</v>
      </c>
      <c r="O30" s="8" t="n">
        <v>0.0</v>
      </c>
      <c r="P30" s="8" t="n">
        <v>0.0</v>
      </c>
      <c r="Q30" s="8" t="n">
        <v>352.79039669036865</v>
      </c>
      <c r="R30" s="8" t="n">
        <v>45.478318214416504</v>
      </c>
      <c r="S30" s="8" t="n">
        <v>0.0</v>
      </c>
      <c r="T30" s="8" t="n">
        <v>0.0</v>
      </c>
      <c r="U30">
        <f si="1" t="shared"/>
        <v>20824.708634376526</v>
      </c>
    </row>
    <row r="31" spans="1:21" x14ac:dyDescent="0.45">
      <c r="A31" s="10">
        <v>0.58333333333333337</v>
      </c>
      <c r="B31" s="5" t="n">
        <v>24696.429949142122</v>
      </c>
      <c r="C31" s="5" t="n">
        <v>3061.2964608568564</v>
      </c>
      <c r="D31" s="5" t="n">
        <v>210.30360209042854</v>
      </c>
      <c r="E31" s="5" t="n">
        <v>637.3360798261006</v>
      </c>
      <c r="F31" s="5" t="n">
        <v>433.8695130714739</v>
      </c>
      <c r="G31" s="5" t="n">
        <v>60.830033684844565</v>
      </c>
      <c r="H31" s="5" t="n">
        <v>8.485730577497117</v>
      </c>
      <c r="I31" s="5" t="n">
        <v>0.0</v>
      </c>
      <c r="J31" s="5">
        <f si="0" t="shared"/>
        <v>29108.551369249322</v>
      </c>
      <c r="L31" s="10">
        <v>0.58333333333333337</v>
      </c>
      <c r="M31" s="8" t="n">
        <v>24297.30163383484</v>
      </c>
      <c r="N31" s="8" t="n">
        <v>2356.0836086273193</v>
      </c>
      <c r="O31" s="8" t="n">
        <v>0.0</v>
      </c>
      <c r="P31" s="8" t="n">
        <v>0.0</v>
      </c>
      <c r="Q31" s="8" t="n">
        <v>476.3816862106323</v>
      </c>
      <c r="R31" s="8" t="n">
        <v>60.390939712524414</v>
      </c>
      <c r="S31" s="8" t="n">
        <v>0.0</v>
      </c>
      <c r="T31" s="8" t="n">
        <v>0.0</v>
      </c>
      <c r="U31">
        <f si="1" t="shared"/>
        <v>27257.367124557495</v>
      </c>
    </row>
    <row r="32" spans="1:21" x14ac:dyDescent="0.45">
      <c r="A32" s="10">
        <v>0.60416666666666663</v>
      </c>
      <c r="B32" s="5" t="n">
        <v>34508.40023486271</v>
      </c>
      <c r="C32" s="5" t="n">
        <v>3515.7215820163055</v>
      </c>
      <c r="D32" s="5" t="n">
        <v>154.3163476400545</v>
      </c>
      <c r="E32" s="5" t="n">
        <v>657.9874527624156</v>
      </c>
      <c r="F32" s="5" t="n">
        <v>468.2184038505437</v>
      </c>
      <c r="G32" s="5" t="n">
        <v>47.7649432983414</v>
      </c>
      <c r="H32" s="5" t="n">
        <v>9.187147795305844</v>
      </c>
      <c r="I32" s="5" t="n">
        <v>0.0</v>
      </c>
      <c r="J32" s="5">
        <f si="0" t="shared"/>
        <v>39361.596112225663</v>
      </c>
      <c r="L32" s="10">
        <v>0.60416666666666663</v>
      </c>
      <c r="M32" s="8" t="n">
        <v>31633.926697731018</v>
      </c>
      <c r="N32" s="8" t="n">
        <v>2919.7804012298584</v>
      </c>
      <c r="O32" s="8" t="n">
        <v>0.0</v>
      </c>
      <c r="P32" s="8" t="n">
        <v>0.0</v>
      </c>
      <c r="Q32" s="8" t="n">
        <v>630.8465509414673</v>
      </c>
      <c r="R32" s="8" t="n">
        <v>80.5571117401123</v>
      </c>
      <c r="S32" s="8" t="n">
        <v>0.0</v>
      </c>
      <c r="T32" s="8" t="n">
        <v>0.0</v>
      </c>
      <c r="U32">
        <f si="1" t="shared"/>
        <v>35589.97336769104</v>
      </c>
    </row>
    <row r="33" spans="1:21" x14ac:dyDescent="0.45">
      <c r="A33" s="10">
        <v>0.625</v>
      </c>
      <c r="B33" s="5" t="n">
        <v>46381.45903613932</v>
      </c>
      <c r="C33" s="5" t="n">
        <v>3875.228326312196</v>
      </c>
      <c r="D33" s="5" t="n">
        <v>115.57241333450742</v>
      </c>
      <c r="E33" s="5" t="n">
        <v>692.076823932845</v>
      </c>
      <c r="F33" s="5" t="n">
        <v>495.22273569788496</v>
      </c>
      <c r="G33" s="5" t="n">
        <v>35.63135659135477</v>
      </c>
      <c r="H33" s="5" t="n">
        <v>13.792948635021764</v>
      </c>
      <c r="I33" s="5" t="n">
        <v>0.0</v>
      </c>
      <c r="J33" s="5">
        <f si="0" t="shared"/>
        <v>51608.98364064312</v>
      </c>
      <c r="L33" s="10">
        <v>0.625</v>
      </c>
      <c r="M33" s="8" t="n">
        <v>40056.86204814911</v>
      </c>
      <c r="N33" s="8" t="n">
        <v>3510.224655151367</v>
      </c>
      <c r="O33" s="8" t="n">
        <v>0.0</v>
      </c>
      <c r="P33" s="8" t="n">
        <v>0.0</v>
      </c>
      <c r="Q33" s="8" t="n">
        <v>799.0040950775146</v>
      </c>
      <c r="R33" s="8" t="n">
        <v>105.22349262237549</v>
      </c>
      <c r="S33" s="8" t="n">
        <v>0.0</v>
      </c>
      <c r="T33" s="8" t="n">
        <v>0.0</v>
      </c>
      <c r="U33">
        <f si="1" t="shared"/>
        <v>45082.552731513977</v>
      </c>
    </row>
    <row r="34" spans="1:21" x14ac:dyDescent="0.45">
      <c r="A34" s="10">
        <v>0.64583333333333337</v>
      </c>
      <c r="B34" s="5" t="n">
        <v>58358.25669789535</v>
      </c>
      <c r="C34" s="5" t="n">
        <v>4077.7961613116504</v>
      </c>
      <c r="D34" s="5" t="n">
        <v>101.79136650466279</v>
      </c>
      <c r="E34" s="5" t="n">
        <v>740.9902528690152</v>
      </c>
      <c r="F34" s="5" t="n">
        <v>519.1914874409933</v>
      </c>
      <c r="G34" s="5" t="n">
        <v>30.6458045642649</v>
      </c>
      <c r="H34" s="5" t="n">
        <v>21.37040535145682</v>
      </c>
      <c r="I34" s="5" t="n">
        <v>0.0</v>
      </c>
      <c r="J34" s="5">
        <f si="0" t="shared"/>
        <v>63850.042175937393</v>
      </c>
      <c r="L34" s="10">
        <v>0.64583333333333337</v>
      </c>
      <c r="M34" s="8" t="n">
        <v>48249.558400154114</v>
      </c>
      <c r="N34" s="8" t="n">
        <v>4012.8349256515503</v>
      </c>
      <c r="O34" s="8" t="n">
        <v>0.0</v>
      </c>
      <c r="P34" s="8" t="n">
        <v>0.0</v>
      </c>
      <c r="Q34" s="8" t="n">
        <v>952.3954725265503</v>
      </c>
      <c r="R34" s="8" t="n">
        <v>131.74304676055908</v>
      </c>
      <c r="S34" s="8" t="n">
        <v>0.0</v>
      </c>
      <c r="T34" s="8" t="n">
        <v>0.0</v>
      </c>
      <c r="U34">
        <f si="1" t="shared"/>
        <v>54209.214820861816</v>
      </c>
    </row>
    <row r="35" spans="1:21" x14ac:dyDescent="0.45">
      <c r="A35" s="10">
        <v>0.66666666666666663</v>
      </c>
      <c r="B35" s="5" t="n">
        <v>67714.43307882232</v>
      </c>
      <c r="C35" s="5" t="n">
        <v>4110.968673572748</v>
      </c>
      <c r="D35" s="5" t="n">
        <v>108.9448272775216</v>
      </c>
      <c r="E35" s="5" t="n">
        <v>788.0130243002952</v>
      </c>
      <c r="F35" s="5" t="n">
        <v>545.382078854596</v>
      </c>
      <c r="G35" s="5" t="n">
        <v>34.117175766500075</v>
      </c>
      <c r="H35" s="5" t="n">
        <v>29.095407530778395</v>
      </c>
      <c r="I35" s="5" t="n">
        <v>0.0</v>
      </c>
      <c r="J35" s="5">
        <f si="0" t="shared"/>
        <v>73330.954266124754</v>
      </c>
      <c r="L35" s="10">
        <v>0.66666666666666663</v>
      </c>
      <c r="M35" s="8" t="n">
        <v>54428.17159938812</v>
      </c>
      <c r="N35" s="8" t="n">
        <v>4306.299514770508</v>
      </c>
      <c r="O35" s="8" t="n">
        <v>0.0</v>
      </c>
      <c r="P35" s="8" t="n">
        <v>0.0</v>
      </c>
      <c r="Q35" s="8" t="n">
        <v>1058.8832235336304</v>
      </c>
      <c r="R35" s="8" t="n">
        <v>155.75292778015137</v>
      </c>
      <c r="S35" s="8" t="n">
        <v>0.0</v>
      </c>
      <c r="T35" s="8" t="n">
        <v>0.0</v>
      </c>
      <c r="U35">
        <f si="1" t="shared"/>
        <v>60973.916903495789</v>
      </c>
    </row>
    <row r="36" spans="1:21" x14ac:dyDescent="0.45">
      <c r="A36" s="10">
        <v>0.6875</v>
      </c>
      <c r="B36" s="5" t="n">
        <v>71892.79988554362</v>
      </c>
      <c r="C36" s="5" t="n">
        <v>3987.1038383918844</v>
      </c>
      <c r="D36" s="5" t="n">
        <v>124.10405783284513</v>
      </c>
      <c r="E36" s="5" t="n">
        <v>808.427276260695</v>
      </c>
      <c r="F36" s="5" t="n">
        <v>571.5977101096664</v>
      </c>
      <c r="G36" s="5" t="n">
        <v>43.04770479180938</v>
      </c>
      <c r="H36" s="5" t="n">
        <v>33.857298387443336</v>
      </c>
      <c r="I36" s="5" t="n">
        <v>0.0</v>
      </c>
      <c r="J36" s="5">
        <f si="0" t="shared"/>
        <v>77460.937771317957</v>
      </c>
      <c r="L36" s="10">
        <v>0.6875</v>
      </c>
      <c r="M36" s="8" t="n">
        <v>56897.48024940491</v>
      </c>
      <c r="N36" s="8" t="n">
        <v>4305.127157211304</v>
      </c>
      <c r="O36" s="8" t="n">
        <v>0.0</v>
      </c>
      <c r="P36" s="8" t="n">
        <v>0.0</v>
      </c>
      <c r="Q36" s="8" t="n">
        <v>1093.0070505142212</v>
      </c>
      <c r="R36" s="8" t="n">
        <v>172.17123794555664</v>
      </c>
      <c r="S36" s="8" t="n">
        <v>0.0</v>
      </c>
      <c r="T36" s="8" t="n">
        <v>0.0</v>
      </c>
      <c r="U36">
        <f si="1" t="shared"/>
        <v>63535.495931625366</v>
      </c>
    </row>
    <row r="37" spans="1:21" x14ac:dyDescent="0.45">
      <c r="A37" s="10">
        <v>0.70833333333333337</v>
      </c>
      <c r="B37" s="5" t="n">
        <v>69605.80159649937</v>
      </c>
      <c r="C37" s="5" t="n">
        <v>3714.1389602537884</v>
      </c>
      <c r="D37" s="5" t="n">
        <v>132.47908149679932</v>
      </c>
      <c r="E37" s="5" t="n">
        <v>783.8526533568524</v>
      </c>
      <c r="F37" s="5" t="n">
        <v>587.7803377646819</v>
      </c>
      <c r="G37" s="5" t="n">
        <v>54.044506521446486</v>
      </c>
      <c r="H37" s="5" t="n">
        <v>34.68132756173105</v>
      </c>
      <c r="I37" s="5" t="n">
        <v>0.0</v>
      </c>
      <c r="J37" s="5">
        <f si="0" t="shared"/>
        <v>74912.778463454655</v>
      </c>
      <c r="L37" s="10">
        <v>0.70833333333333337</v>
      </c>
      <c r="M37" s="8" t="n">
        <v>54727.7217502594</v>
      </c>
      <c r="N37" s="8" t="n">
        <v>3991.800908088684</v>
      </c>
      <c r="O37" s="8" t="n">
        <v>0.0</v>
      </c>
      <c r="P37" s="8" t="n">
        <v>0.0</v>
      </c>
      <c r="Q37" s="8" t="n">
        <v>1045.103446006775</v>
      </c>
      <c r="R37" s="8" t="n">
        <v>176.93692588806152</v>
      </c>
      <c r="S37" s="8" t="n">
        <v>0.0</v>
      </c>
      <c r="T37" s="8" t="n">
        <v>0.0</v>
      </c>
      <c r="U37">
        <f si="1" t="shared"/>
        <v>60928.094779968262</v>
      </c>
    </row>
    <row r="38" spans="1:21" x14ac:dyDescent="0.45">
      <c r="A38" s="10">
        <v>0.72916666666666663</v>
      </c>
      <c r="B38" s="5" t="n">
        <v>61462.51923972978</v>
      </c>
      <c r="C38" s="5" t="n">
        <v>3299.6297713152157</v>
      </c>
      <c r="D38" s="5" t="n">
        <v>125.21451893259143</v>
      </c>
      <c r="E38" s="5" t="n">
        <v>709.5136074858265</v>
      </c>
      <c r="F38" s="5" t="n">
        <v>586.6617212422436</v>
      </c>
      <c r="G38" s="5" t="n">
        <v>66.88511023823885</v>
      </c>
      <c r="H38" s="5" t="n">
        <v>33.85297382560261</v>
      </c>
      <c r="I38" s="5" t="n">
        <v>0.0</v>
      </c>
      <c r="J38" s="5">
        <f si="0" t="shared"/>
        <v>66284.276942769488</v>
      </c>
      <c r="L38" s="10">
        <v>0.72916666666666663</v>
      </c>
      <c r="M38" s="8" t="n">
        <v>48238.79578876495</v>
      </c>
      <c r="N38" s="8" t="n">
        <v>3426.4628915786743</v>
      </c>
      <c r="O38" s="8" t="n">
        <v>0.0</v>
      </c>
      <c r="P38" s="8" t="n">
        <v>0.0</v>
      </c>
      <c r="Q38" s="8" t="n">
        <v>925.8373794555664</v>
      </c>
      <c r="R38" s="8" t="n">
        <v>168.87049770355225</v>
      </c>
      <c r="S38" s="8" t="n">
        <v>0.0</v>
      </c>
      <c r="T38" s="8" t="n">
        <v>0.0</v>
      </c>
      <c r="U38">
        <f si="1" t="shared"/>
        <v>53557.185339927673</v>
      </c>
    </row>
    <row r="39" spans="1:21" x14ac:dyDescent="0.45">
      <c r="A39" s="10">
        <v>0.75</v>
      </c>
      <c r="B39" s="5" t="n">
        <v>49687.42907322571</v>
      </c>
      <c r="C39" s="5" t="n">
        <v>2781.83713574392</v>
      </c>
      <c r="D39" s="5" t="n">
        <v>103.16649348204587</v>
      </c>
      <c r="E39" s="5" t="n">
        <v>593.4074786230165</v>
      </c>
      <c r="F39" s="5" t="n">
        <v>573.7841871364511</v>
      </c>
      <c r="G39" s="5" t="n">
        <v>84.47513061433935</v>
      </c>
      <c r="H39" s="5" t="n">
        <v>35.09572595846949</v>
      </c>
      <c r="I39" s="5" t="n">
        <v>0.0</v>
      </c>
      <c r="J39" s="5">
        <f si="0" t="shared"/>
        <v>53859.195224783944</v>
      </c>
      <c r="L39" s="10">
        <v>0.75</v>
      </c>
      <c r="M39" s="8" t="n">
        <v>38972.93864440918</v>
      </c>
      <c r="N39" s="8" t="n">
        <v>2728.8936700820923</v>
      </c>
      <c r="O39" s="8" t="n">
        <v>0.0</v>
      </c>
      <c r="P39" s="8" t="n">
        <v>0.0</v>
      </c>
      <c r="Q39" s="8" t="n">
        <v>763.572096824646</v>
      </c>
      <c r="R39" s="8" t="n">
        <v>150.52897548675537</v>
      </c>
      <c r="S39" s="8" t="n">
        <v>0.0</v>
      </c>
      <c r="T39" s="8" t="n">
        <v>0.0</v>
      </c>
      <c r="U39">
        <f si="1" t="shared"/>
        <v>43151.121221542358</v>
      </c>
    </row>
    <row r="40" spans="1:21" x14ac:dyDescent="0.45">
      <c r="A40" s="10">
        <v>0.77083333333333337</v>
      </c>
      <c r="B40" s="5" t="n">
        <v>37097.58203836785</v>
      </c>
      <c r="C40" s="5" t="n">
        <v>2242.446708193842</v>
      </c>
      <c r="D40" s="5" t="n">
        <v>74.355788431693</v>
      </c>
      <c r="E40" s="5" t="n">
        <v>453.1378106231823</v>
      </c>
      <c r="F40" s="5" t="n">
        <v>564.2631697699406</v>
      </c>
      <c r="G40" s="5" t="n">
        <v>109.25428299570461</v>
      </c>
      <c r="H40" s="5" t="n">
        <v>39.94389728552632</v>
      </c>
      <c r="I40" s="5" t="n">
        <v>0.0</v>
      </c>
      <c r="J40" s="5">
        <f si="0" t="shared"/>
        <v>40580.983695667739</v>
      </c>
      <c r="L40" s="10">
        <v>0.77083333333333337</v>
      </c>
      <c r="M40" s="8" t="n">
        <v>29078.252829551697</v>
      </c>
      <c r="N40" s="8" t="n">
        <v>2036.7765350341797</v>
      </c>
      <c r="O40" s="8" t="n">
        <v>0.0</v>
      </c>
      <c r="P40" s="8" t="n">
        <v>0.0</v>
      </c>
      <c r="Q40" s="8" t="n">
        <v>594.2844305038452</v>
      </c>
      <c r="R40" s="8" t="n">
        <v>127.2240161895752</v>
      </c>
      <c r="S40" s="8" t="n">
        <v>0.0</v>
      </c>
      <c r="T40" s="8" t="n">
        <v>0.0</v>
      </c>
      <c r="U40">
        <f si="1" t="shared"/>
        <v>32088.865426063538</v>
      </c>
    </row>
    <row r="41" spans="1:21" x14ac:dyDescent="0.45">
      <c r="A41" s="10">
        <v>0.79166666666666663</v>
      </c>
      <c r="B41" s="5" t="n">
        <v>25988.99109269776</v>
      </c>
      <c r="C41" s="5" t="n">
        <v>1773.9162856973703</v>
      </c>
      <c r="D41" s="5" t="n">
        <v>48.03568928409267</v>
      </c>
      <c r="E41" s="5" t="n">
        <v>312.3427980321014</v>
      </c>
      <c r="F41" s="5" t="n">
        <v>569.1557750238921</v>
      </c>
      <c r="G41" s="5" t="n">
        <v>139.46518379300448</v>
      </c>
      <c r="H41" s="5" t="n">
        <v>45.75386447842824</v>
      </c>
      <c r="I41" s="5" t="n">
        <v>0.0</v>
      </c>
      <c r="J41" s="5">
        <f si="0" t="shared"/>
        <v>28877.660689006654</v>
      </c>
      <c r="L41" s="10">
        <v>0.79166666666666663</v>
      </c>
      <c r="M41" s="8" t="n">
        <v>20424.816769599915</v>
      </c>
      <c r="N41" s="8" t="n">
        <v>1457.7654495239258</v>
      </c>
      <c r="O41" s="8" t="n">
        <v>0.0</v>
      </c>
      <c r="P41" s="8" t="n">
        <v>0.0</v>
      </c>
      <c r="Q41" s="8" t="n">
        <v>448.27567958831787</v>
      </c>
      <c r="R41" s="8" t="n">
        <v>104.59203147888184</v>
      </c>
      <c r="S41" s="8" t="n">
        <v>0.0</v>
      </c>
      <c r="T41" s="8" t="n">
        <v>0.0</v>
      </c>
      <c r="U41">
        <f si="1" t="shared"/>
        <v>22439.912580490112</v>
      </c>
    </row>
    <row r="42" spans="1:21" x14ac:dyDescent="0.45">
      <c r="A42" s="10">
        <v>0.8125</v>
      </c>
      <c r="B42" s="5" t="n">
        <v>17534.93029497046</v>
      </c>
      <c r="C42" s="5" t="n">
        <v>1428.4042778957678</v>
      </c>
      <c r="D42" s="5" t="n">
        <v>30.55581641511294</v>
      </c>
      <c r="E42" s="5" t="n">
        <v>194.2707193427047</v>
      </c>
      <c r="F42" s="5" t="n">
        <v>586.2565188949036</v>
      </c>
      <c r="G42" s="5" t="n">
        <v>168.6822153955287</v>
      </c>
      <c r="H42" s="5" t="n">
        <v>47.6088364340015</v>
      </c>
      <c r="I42" s="5" t="n">
        <v>0.0</v>
      </c>
      <c r="J42" s="5">
        <f si="0" t="shared"/>
        <v>19990.708679348481</v>
      </c>
      <c r="L42" s="10">
        <v>0.8125</v>
      </c>
      <c r="M42" s="8" t="n">
        <v>13981.004014968872</v>
      </c>
      <c r="N42" s="8" t="n">
        <v>1039.7582302093506</v>
      </c>
      <c r="O42" s="8" t="n">
        <v>0.0</v>
      </c>
      <c r="P42" s="8" t="n">
        <v>0.0</v>
      </c>
      <c r="Q42" s="8" t="n">
        <v>340.968581199646</v>
      </c>
      <c r="R42" s="8" t="n">
        <v>86.26256847381592</v>
      </c>
      <c r="S42" s="8" t="n">
        <v>0.0</v>
      </c>
      <c r="T42" s="8" t="n">
        <v>0.0</v>
      </c>
      <c r="U42">
        <f si="1" t="shared"/>
        <v>15280.086494445801</v>
      </c>
    </row>
    <row r="43" spans="1:21" x14ac:dyDescent="0.45">
      <c r="A43" s="10">
        <v>0.83333333333333337</v>
      </c>
      <c r="B43" s="5" t="n">
        <v>11838.170236665523</v>
      </c>
      <c r="C43" s="5" t="n">
        <v>1196.6467649137205</v>
      </c>
      <c r="D43" s="5" t="n">
        <v>25.04351443715611</v>
      </c>
      <c r="E43" s="5" t="n">
        <v>113.58819935367748</v>
      </c>
      <c r="F43" s="5" t="n">
        <v>603.2334184597277</v>
      </c>
      <c r="G43" s="5" t="n">
        <v>188.8227131116919</v>
      </c>
      <c r="H43" s="5" t="n">
        <v>42.483155994112934</v>
      </c>
      <c r="I43" s="5" t="n">
        <v>0.0</v>
      </c>
      <c r="J43" s="5">
        <f si="0" t="shared"/>
        <v>14007.98800293561</v>
      </c>
      <c r="L43" s="10">
        <v>0.83333333333333337</v>
      </c>
      <c r="M43" s="8" t="n">
        <v>9761.39317035675</v>
      </c>
      <c r="N43" s="8" t="n">
        <v>772.985538482666</v>
      </c>
      <c r="O43" s="8" t="n">
        <v>0.0</v>
      </c>
      <c r="P43" s="8" t="n">
        <v>0.0</v>
      </c>
      <c r="Q43" s="8" t="n">
        <v>272.4388494491577</v>
      </c>
      <c r="R43" s="8" t="n">
        <v>73.10544872283936</v>
      </c>
      <c r="S43" s="8" t="n">
        <v>0.0</v>
      </c>
      <c r="T43" s="8" t="n">
        <v>0.0</v>
      </c>
      <c r="U43">
        <f si="1" t="shared"/>
        <v>10626.904930114746</v>
      </c>
    </row>
    <row r="44" spans="1:21" x14ac:dyDescent="0.45">
      <c r="A44" s="10">
        <v>0.85416666666666663</v>
      </c>
      <c r="B44" s="5" t="n">
        <v>8367.1166557627</v>
      </c>
      <c r="C44" s="5" t="n">
        <v>1031.399582381674</v>
      </c>
      <c r="D44" s="5" t="n">
        <v>32.56515173490492</v>
      </c>
      <c r="E44" s="5" t="n">
        <v>72.0790874238459</v>
      </c>
      <c r="F44" s="5" t="n">
        <v>606.396457128353</v>
      </c>
      <c r="G44" s="5" t="n">
        <v>194.1282250375906</v>
      </c>
      <c r="H44" s="5" t="n">
        <v>31.678435655407554</v>
      </c>
      <c r="I44" s="5" t="n">
        <v>0.0</v>
      </c>
      <c r="J44" s="5">
        <f si="0" t="shared"/>
        <v>10335.363595124474</v>
      </c>
      <c r="L44" s="10">
        <v>0.85416666666666663</v>
      </c>
      <c r="M44" s="8" t="n">
        <v>7222.070457458496</v>
      </c>
      <c r="N44" s="8" t="n">
        <v>616.0588073730469</v>
      </c>
      <c r="O44" s="8" t="n">
        <v>0.0</v>
      </c>
      <c r="P44" s="8" t="n">
        <v>0.0</v>
      </c>
      <c r="Q44" s="8" t="n">
        <v>233.80032348632812</v>
      </c>
      <c r="R44" s="8" t="n">
        <v>64.20855903625488</v>
      </c>
      <c r="S44" s="8" t="n">
        <v>0.0</v>
      </c>
      <c r="T44" s="8" t="n">
        <v>0.0</v>
      </c>
      <c r="U44">
        <f si="1" t="shared"/>
        <v>7869.6832189559937</v>
      </c>
    </row>
    <row r="45" spans="1:21" x14ac:dyDescent="0.45">
      <c r="A45" s="10">
        <v>0.875</v>
      </c>
      <c r="B45" s="5" t="n">
        <v>6414.684599400145</v>
      </c>
      <c r="C45" s="5" t="n">
        <v>886.9978728783665</v>
      </c>
      <c r="D45" s="5" t="n">
        <v>51.72389999773748</v>
      </c>
      <c r="E45" s="5" t="n">
        <v>60.96958564934381</v>
      </c>
      <c r="F45" s="5" t="n">
        <v>586.0009806972834</v>
      </c>
      <c r="G45" s="5" t="n">
        <v>183.53517683893563</v>
      </c>
      <c r="H45" s="5" t="n">
        <v>19.462402061507966</v>
      </c>
      <c r="I45" s="5" t="n">
        <v>0.0</v>
      </c>
      <c r="J45" s="5">
        <f si="0" t="shared"/>
        <v>8203.374517523318</v>
      </c>
      <c r="L45" s="10">
        <v>0.875</v>
      </c>
      <c r="M45" s="8" t="n">
        <v>5727.371656417847</v>
      </c>
      <c r="N45" s="8" t="n">
        <v>524.7631721496582</v>
      </c>
      <c r="O45" s="8" t="n">
        <v>0.0</v>
      </c>
      <c r="P45" s="8" t="n">
        <v>0.0</v>
      </c>
      <c r="Q45" s="8" t="n">
        <v>214.3490114212036</v>
      </c>
      <c r="R45" s="8" t="n">
        <v>58.36117362976074</v>
      </c>
      <c r="S45" s="8" t="n">
        <v>0.0</v>
      </c>
      <c r="T45" s="8" t="n">
        <v>0.0</v>
      </c>
      <c r="U45">
        <f si="1" t="shared"/>
        <v>6287.0392169952393</v>
      </c>
    </row>
    <row r="46" spans="1:21" x14ac:dyDescent="0.45">
      <c r="A46" s="10">
        <v>0.89583333333333337</v>
      </c>
      <c r="B46" s="5" t="n">
        <v>5366.605012890466</v>
      </c>
      <c r="C46" s="5" t="n">
        <v>741.415459187898</v>
      </c>
      <c r="D46" s="5" t="n">
        <v>76.79482903240753</v>
      </c>
      <c r="E46" s="5" t="n">
        <v>66.57184343220642</v>
      </c>
      <c r="F46" s="5" t="n">
        <v>537.8019098757866</v>
      </c>
      <c r="G46" s="5" t="n">
        <v>160.4479276008421</v>
      </c>
      <c r="H46" s="5" t="n">
        <v>9.727259799627785</v>
      </c>
      <c r="I46" s="5" t="n">
        <v>0.0</v>
      </c>
      <c r="J46" s="5">
        <f si="0" t="shared"/>
        <v>6959.3642418192348</v>
      </c>
      <c r="L46" s="10">
        <v>0.89583333333333337</v>
      </c>
      <c r="M46" s="8" t="n">
        <v>4804.348900794983</v>
      </c>
      <c r="N46" s="8" t="n">
        <v>466.9609260559082</v>
      </c>
      <c r="O46" s="8" t="n">
        <v>0.0</v>
      </c>
      <c r="P46" s="8" t="n">
        <v>0.0</v>
      </c>
      <c r="Q46" s="8" t="n">
        <v>204.8974151611328</v>
      </c>
      <c r="R46" s="8" t="n">
        <v>54.67729377746582</v>
      </c>
      <c r="S46" s="8" t="n">
        <v>0.0</v>
      </c>
      <c r="T46" s="8" t="n">
        <v>0.0</v>
      </c>
      <c r="U46">
        <f si="1" t="shared"/>
        <v>5335.5843906402588</v>
      </c>
    </row>
    <row r="47" spans="1:21" x14ac:dyDescent="0.45">
      <c r="A47" s="10">
        <v>0.91666666666666663</v>
      </c>
      <c r="B47" s="5" t="n">
        <v>4762.605423471232</v>
      </c>
      <c r="C47" s="5" t="n">
        <v>593.8163636928865</v>
      </c>
      <c r="D47" s="5" t="n">
        <v>97.70384670140744</v>
      </c>
      <c r="E47" s="5" t="n">
        <v>75.21847141961663</v>
      </c>
      <c r="F47" s="5" t="n">
        <v>464.3722257817797</v>
      </c>
      <c r="G47" s="5" t="n">
        <v>130.54678198953653</v>
      </c>
      <c r="H47" s="5" t="n">
        <v>3.8905996931527955</v>
      </c>
      <c r="I47" s="5" t="n">
        <v>0.0</v>
      </c>
      <c r="J47" s="5">
        <f si="0" t="shared"/>
        <v>6128.1537127496113</v>
      </c>
      <c r="L47" s="10">
        <v>0.91666666666666663</v>
      </c>
      <c r="M47" s="8" t="n">
        <v>4159.701774597168</v>
      </c>
      <c r="N47" s="8" t="n">
        <v>422.2416133880615</v>
      </c>
      <c r="O47" s="8" t="n">
        <v>0.0</v>
      </c>
      <c r="P47" s="8" t="n">
        <v>0.0</v>
      </c>
      <c r="Q47" s="8" t="n">
        <v>197.51482772827148</v>
      </c>
      <c r="R47" s="8" t="n">
        <v>52.156893730163574</v>
      </c>
      <c r="S47" s="8" t="n">
        <v>0.0</v>
      </c>
      <c r="T47" s="8" t="n">
        <v>0.0</v>
      </c>
      <c r="U47">
        <f si="1" t="shared"/>
        <v>4675.2697887420654</v>
      </c>
    </row>
    <row r="48" spans="1:21" x14ac:dyDescent="0.45">
      <c r="A48" s="10">
        <v>0.9375</v>
      </c>
      <c r="B48" s="5" t="n">
        <v>4264.1371582694865</v>
      </c>
      <c r="C48" s="5" t="n">
        <v>452.12449747227333</v>
      </c>
      <c r="D48" s="5" t="n">
        <v>104.35532280927809</v>
      </c>
      <c r="E48" s="5" t="n">
        <v>76.86203150378878</v>
      </c>
      <c r="F48" s="5" t="n">
        <v>375.2102603918846</v>
      </c>
      <c r="G48" s="5" t="n">
        <v>99.24084835177531</v>
      </c>
      <c r="H48" s="5" t="n">
        <v>1.2158014046042414</v>
      </c>
      <c r="I48" s="5" t="n">
        <v>0.0</v>
      </c>
      <c r="J48" s="5">
        <f si="0" t="shared"/>
        <v>5373.145920203091</v>
      </c>
      <c r="L48" s="10">
        <v>0.9375</v>
      </c>
      <c r="M48" s="8" t="n">
        <v>3603.374669075012</v>
      </c>
      <c r="N48" s="8" t="n">
        <v>376.3264808654785</v>
      </c>
      <c r="O48" s="8" t="n">
        <v>0.0</v>
      </c>
      <c r="P48" s="8" t="n">
        <v>0.0</v>
      </c>
      <c r="Q48" s="8" t="n">
        <v>185.00136375427246</v>
      </c>
      <c r="R48" s="8" t="n">
        <v>49.19963550567627</v>
      </c>
      <c r="S48" s="8" t="n">
        <v>0.0</v>
      </c>
      <c r="T48" s="8" t="n">
        <v>0.0</v>
      </c>
      <c r="U48">
        <f si="1" t="shared"/>
        <v>4087.8415088653564</v>
      </c>
    </row>
    <row r="49" spans="1:21" x14ac:dyDescent="0.45">
      <c r="A49" s="10">
        <v>0.95833333333333337</v>
      </c>
      <c r="B49" s="5" t="n">
        <v>3649.4125292918056</v>
      </c>
      <c r="C49" s="5" t="n">
        <v>324.3594488122745</v>
      </c>
      <c r="D49" s="5" t="n">
        <v>92.98116198266942</v>
      </c>
      <c r="E49" s="5" t="n">
        <v>67.7105393078932</v>
      </c>
      <c r="F49" s="5" t="n">
        <v>283.1053030436355</v>
      </c>
      <c r="G49" s="5" t="n">
        <v>70.27815693143549</v>
      </c>
      <c r="H49" s="5" t="n">
        <v>0.28607091873040974</v>
      </c>
      <c r="I49" s="5" t="n">
        <v>0.0</v>
      </c>
      <c r="J49" s="5">
        <f si="0" t="shared"/>
        <v>4488.1332102884444</v>
      </c>
      <c r="L49" s="10">
        <v>0.95833333333333337</v>
      </c>
      <c r="M49" s="8" t="n">
        <v>3009.7727880477905</v>
      </c>
      <c r="N49" s="8" t="n">
        <v>319.56134128570557</v>
      </c>
      <c r="O49" s="8" t="n">
        <v>0.0</v>
      </c>
      <c r="P49" s="8" t="n">
        <v>0.0</v>
      </c>
      <c r="Q49" s="8" t="n">
        <v>162.41070652008057</v>
      </c>
      <c r="R49" s="8" t="n">
        <v>44.057050704956055</v>
      </c>
      <c r="S49" s="8" t="n">
        <v>0.0</v>
      </c>
      <c r="T49" s="8" t="n">
        <v>0.0</v>
      </c>
      <c r="U49">
        <f si="1" t="shared"/>
        <v>3434.1388463973999</v>
      </c>
    </row>
    <row r="50" spans="1:21" x14ac:dyDescent="0.45">
      <c r="A50" s="10">
        <v>0.97916666666666663</v>
      </c>
      <c r="B50" s="5" t="n">
        <v>2852.733155631311</v>
      </c>
      <c r="C50" s="5" t="n">
        <v>216.29066229753985</v>
      </c>
      <c r="D50" s="5" t="n">
        <v>68.75873323249951</v>
      </c>
      <c r="E50" s="5" t="n">
        <v>50.54750924432132</v>
      </c>
      <c r="F50" s="5" t="n">
        <v>198.88652615813106</v>
      </c>
      <c r="G50" s="5" t="n">
        <v>45.8012098525192</v>
      </c>
      <c r="H50" s="5" t="n">
        <v>0.047678486455068295</v>
      </c>
      <c r="I50" s="5" t="n">
        <v>0.0</v>
      </c>
      <c r="J50" s="5">
        <f si="0" t="shared"/>
        <v>3433.0654749027767</v>
      </c>
      <c r="L50" s="10">
        <v>0.97916666666666663</v>
      </c>
      <c r="M50" s="8" t="n">
        <v>2334.9044818878174</v>
      </c>
      <c r="N50" s="8" t="n">
        <v>250.00242805480957</v>
      </c>
      <c r="O50" s="8" t="n">
        <v>0.0</v>
      </c>
      <c r="P50" s="8" t="n">
        <v>0.0</v>
      </c>
      <c r="Q50" s="8" t="n">
        <v>129.56772422790527</v>
      </c>
      <c r="R50" s="8" t="n">
        <v>36.0033540725708</v>
      </c>
      <c r="S50" s="8" t="n">
        <v>0.0</v>
      </c>
      <c r="T50" s="8" t="n">
        <v>0.0</v>
      </c>
      <c r="U50">
        <f si="1" t="shared"/>
        <v>2671.6763362884521</v>
      </c>
    </row>
    <row r="51" spans="1:21" x14ac:dyDescent="0.45">
      <c r="A51" s="10">
        <v>1</v>
      </c>
      <c r="B51" s="5" t="n">
        <v>1969.1082699034919</v>
      </c>
      <c r="C51" s="5" t="n">
        <v>131.57877096413367</v>
      </c>
      <c r="D51" s="5" t="n">
        <v>41.893429109438216</v>
      </c>
      <c r="E51" s="5" t="n">
        <v>31.697226269178575</v>
      </c>
      <c r="F51" s="5" t="n">
        <v>128.8839826744255</v>
      </c>
      <c r="G51" s="5" t="n">
        <v>26.91968762646915</v>
      </c>
      <c r="H51" s="5" t="n">
        <v>0.005018788047901926</v>
      </c>
      <c r="I51" s="5" t="n">
        <v>0.0</v>
      </c>
      <c r="J51" s="5">
        <f si="0" t="shared"/>
        <v>2330.0863853351848</v>
      </c>
      <c r="L51" s="10">
        <v>1</v>
      </c>
      <c r="M51" s="8" t="n">
        <v>1628.4598531723022</v>
      </c>
      <c r="N51" s="8" t="n">
        <v>174.9977731704712</v>
      </c>
      <c r="O51" s="8" t="n">
        <v>0.0</v>
      </c>
      <c r="P51" s="8" t="n">
        <v>0.0</v>
      </c>
      <c r="Q51" s="8" t="n">
        <v>91.62344074249268</v>
      </c>
      <c r="R51" s="8" t="n">
        <v>26.030170440673828</v>
      </c>
      <c r="S51" s="8" t="n">
        <v>0.0</v>
      </c>
      <c r="T51" s="8" t="n">
        <v>0.0</v>
      </c>
      <c r="U51">
        <f si="1" t="shared"/>
        <v>1865.1360988616943</v>
      </c>
    </row>
    <row r="52" spans="1:21" x14ac:dyDescent="0.45">
      <c r="A52" s="10">
        <v>1.0208333333333333</v>
      </c>
      <c r="B52" s="5" t="n">
        <v>1170.9665200180548</v>
      </c>
      <c r="C52" s="5" t="n">
        <v>71.41612938007528</v>
      </c>
      <c r="D52" s="5" t="n">
        <v>20.80068487656712</v>
      </c>
      <c r="E52" s="5" t="n">
        <v>16.58307959936446</v>
      </c>
      <c r="F52" s="5" t="n">
        <v>75.65379393281353</v>
      </c>
      <c r="G52" s="5" t="n">
        <v>13.91618923106168</v>
      </c>
      <c r="H52" s="5" t="n">
        <v>2.5093940239509624E-4</v>
      </c>
      <c r="I52" s="5" t="n">
        <v>0.0</v>
      </c>
      <c r="J52" s="5">
        <f si="0" t="shared"/>
        <v>1369.3366479773392</v>
      </c>
      <c r="L52" s="10">
        <v>1.0208333333333333</v>
      </c>
      <c r="M52" s="8" t="n">
        <v>994.4291648864746</v>
      </c>
      <c r="N52" s="8" t="n">
        <v>106.97935581207275</v>
      </c>
      <c r="O52" s="8" t="n">
        <v>0.0</v>
      </c>
      <c r="P52" s="8" t="n">
        <v>0.0</v>
      </c>
      <c r="Q52" s="8" t="n">
        <v>56.26585388183594</v>
      </c>
      <c r="R52" s="8" t="n">
        <v>16.26804828643799</v>
      </c>
      <c r="S52" s="8" t="n">
        <v>0.0</v>
      </c>
      <c r="T52" s="8" t="n">
        <v>0.0</v>
      </c>
      <c r="U52">
        <f si="1" t="shared"/>
        <v>1138.9115495681763</v>
      </c>
    </row>
    <row r="53" spans="1:21" x14ac:dyDescent="0.45">
      <c r="A53" s="10">
        <v>4.1666666666666664E-2</v>
      </c>
      <c r="B53" s="5" t="n">
        <v>588.20357241742</v>
      </c>
      <c r="C53" s="5" t="n">
        <v>33.74737463740284</v>
      </c>
      <c r="D53" s="5" t="n">
        <v>8.280190750800779</v>
      </c>
      <c r="E53" s="5" t="n">
        <v>7.190952852699322</v>
      </c>
      <c r="F53" s="5" t="n">
        <v>39.22387880811452</v>
      </c>
      <c r="G53" s="5" t="n">
        <v>6.157063082081059</v>
      </c>
      <c r="H53" s="5" t="n">
        <v>0.0</v>
      </c>
      <c r="I53" s="5" t="n">
        <v>0.0</v>
      </c>
      <c r="J53" s="5">
        <f si="0" t="shared"/>
        <v>682.80303254851844</v>
      </c>
      <c r="L53" s="10">
        <v>4.1666666666666664E-2</v>
      </c>
      <c r="M53" s="8" t="n">
        <v>519.9567518234253</v>
      </c>
      <c r="N53" s="8" t="n">
        <v>55.92702865600586</v>
      </c>
      <c r="O53" s="8" t="n">
        <v>0.0</v>
      </c>
      <c r="P53" s="8" t="n">
        <v>0.0</v>
      </c>
      <c r="Q53" s="8" t="n">
        <v>29.45562744140625</v>
      </c>
      <c r="R53" s="8" t="n">
        <v>8.62315559387207</v>
      </c>
      <c r="S53" s="8" t="n">
        <v>0.0</v>
      </c>
      <c r="T53" s="8" t="n">
        <v>0.0</v>
      </c>
      <c r="U53">
        <f si="1" t="shared"/>
        <v>595.21104145050049</v>
      </c>
    </row>
    <row r="54" spans="1:21" x14ac:dyDescent="0.45">
      <c r="A54" s="10">
        <v>6.25E-2</v>
      </c>
      <c r="B54" s="5" t="n">
        <v>244.96558546444976</v>
      </c>
      <c r="C54" s="5" t="n">
        <v>13.524565591149095</v>
      </c>
      <c r="D54" s="5" t="n">
        <v>2.5792089429948124</v>
      </c>
      <c r="E54" s="5" t="n">
        <v>2.567230011382299</v>
      </c>
      <c r="F54" s="5" t="n">
        <v>17.449632163317716</v>
      </c>
      <c r="G54" s="5" t="n">
        <v>2.2639617949598247</v>
      </c>
      <c r="H54" s="5" t="n">
        <v>0.0</v>
      </c>
      <c r="I54" s="5" t="n">
        <v>0.0</v>
      </c>
      <c r="J54" s="5">
        <f si="0" t="shared"/>
        <v>283.35018396825348</v>
      </c>
      <c r="L54" s="10">
        <v>6.25E-2</v>
      </c>
      <c r="M54" s="8" t="n">
        <v>227.8989429473877</v>
      </c>
      <c r="N54" s="8" t="n">
        <v>24.496167182922363</v>
      </c>
      <c r="O54" s="8" t="n">
        <v>0.0</v>
      </c>
      <c r="P54" s="8" t="n">
        <v>0.0</v>
      </c>
      <c r="Q54" s="8" t="n">
        <v>12.897592544555664</v>
      </c>
      <c r="R54" s="8" t="n">
        <v>3.8059139251708984</v>
      </c>
      <c r="S54" s="8" t="n">
        <v>0.0</v>
      </c>
      <c r="T54" s="8" t="n">
        <v>0.0</v>
      </c>
      <c r="U54">
        <f si="1" t="shared"/>
        <v>260.72093486785889</v>
      </c>
    </row>
    <row r="55" spans="1:21" x14ac:dyDescent="0.45">
      <c r="A55" s="10">
        <v>8.3333333333333329E-2</v>
      </c>
      <c r="B55" s="5" t="n">
        <v>82.81076855693543</v>
      </c>
      <c r="C55" s="5" t="n">
        <v>4.465499710871452</v>
      </c>
      <c r="D55" s="5" t="n">
        <v>0.60563172653048</v>
      </c>
      <c r="E55" s="5" t="n">
        <v>0.7491434378902544</v>
      </c>
      <c r="F55" s="5" t="n">
        <v>6.455649357626387</v>
      </c>
      <c r="G55" s="5" t="n">
        <v>0.6687224791096726</v>
      </c>
      <c r="H55" s="5" t="n">
        <v>0.0</v>
      </c>
      <c r="I55" s="5" t="n">
        <v>0.0</v>
      </c>
      <c r="J55" s="5">
        <f si="0" t="shared"/>
        <v>95.755415268963674</v>
      </c>
      <c r="L55" s="10">
        <v>8.3333333333333329E-2</v>
      </c>
      <c r="M55" s="8" t="n">
        <v>81.8024206161499</v>
      </c>
      <c r="N55" s="8" t="n">
        <v>8.78554630279541</v>
      </c>
      <c r="O55" s="8" t="n">
        <v>0.0</v>
      </c>
      <c r="P55" s="8" t="n">
        <v>0.0</v>
      </c>
      <c r="Q55" s="8" t="n">
        <v>4.620051383972168</v>
      </c>
      <c r="R55" s="8" t="n">
        <v>1.3693265914916992</v>
      </c>
      <c r="S55" s="8" t="n">
        <v>0.0</v>
      </c>
      <c r="T55" s="8" t="n">
        <v>0.0</v>
      </c>
      <c r="U55">
        <f si="1" t="shared"/>
        <v>93.52869701385498</v>
      </c>
    </row>
    <row r="56" spans="1:21" x14ac:dyDescent="0.45">
      <c r="A56" s="10">
        <v>0.10416666666666667</v>
      </c>
      <c r="B56" s="5" t="n">
        <v>22.104827560229662</v>
      </c>
      <c r="C56" s="5" t="n">
        <v>1.1735166225878162</v>
      </c>
      <c r="D56" s="5" t="n">
        <v>0.10082141874974063</v>
      </c>
      <c r="E56" s="5" t="n">
        <v>0.17698237421924815</v>
      </c>
      <c r="F56" s="5" t="n">
        <v>1.9164762888780147</v>
      </c>
      <c r="G56" s="5" t="n">
        <v>0.15180527497152788</v>
      </c>
      <c r="H56" s="5" t="n">
        <v>0.0</v>
      </c>
      <c r="I56" s="5" t="n">
        <v>0.0</v>
      </c>
      <c r="J56" s="5">
        <f si="0" t="shared"/>
        <v>25.624429539636012</v>
      </c>
      <c r="L56" s="10">
        <v>0.10416666666666667</v>
      </c>
      <c r="M56" s="8" t="n">
        <v>23.349507331848145</v>
      </c>
      <c r="N56" s="8" t="n">
        <v>2.505918502807617</v>
      </c>
      <c r="O56" s="8" t="n">
        <v>0.0</v>
      </c>
      <c r="P56" s="8" t="n">
        <v>0.0</v>
      </c>
      <c r="Q56" s="8" t="n">
        <v>1.3155031204223633</v>
      </c>
      <c r="R56" s="8" t="n">
        <v>0.39060211181640625</v>
      </c>
      <c r="S56" s="8" t="n">
        <v>0.0</v>
      </c>
      <c r="T56" s="8" t="n">
        <v>0.0</v>
      </c>
      <c r="U56">
        <f si="1" t="shared"/>
        <v>26.684152603149414</v>
      </c>
    </row>
    <row r="57" spans="1:21" x14ac:dyDescent="0.45">
      <c r="A57" s="10">
        <v>0.125</v>
      </c>
      <c r="B57" s="5" t="n">
        <v>4.420720188275292</v>
      </c>
      <c r="C57" s="5" t="n">
        <v>0.23166252380036034</v>
      </c>
      <c r="D57" s="5" t="n">
        <v>0.010607493597476184</v>
      </c>
      <c r="E57" s="5" t="n">
        <v>0.032792821404720604</v>
      </c>
      <c r="F57" s="5" t="n">
        <v>0.4291652031735475</v>
      </c>
      <c r="G57" s="5" t="n">
        <v>0.02465707468514657</v>
      </c>
      <c r="H57" s="5" t="n">
        <v>0.0</v>
      </c>
      <c r="I57" s="5" t="n">
        <v>0.0</v>
      </c>
      <c r="J57" s="5">
        <f si="0" t="shared"/>
        <v>5.1496053049365429</v>
      </c>
      <c r="L57" s="10">
        <v>0.125</v>
      </c>
      <c r="M57" s="8" t="n">
        <v>5.011160850524902</v>
      </c>
      <c r="N57" s="8" t="n">
        <v>0.5375337600708008</v>
      </c>
      <c r="O57" s="8" t="n">
        <v>0.0</v>
      </c>
      <c r="P57" s="8" t="n">
        <v>0.0</v>
      </c>
      <c r="Q57" s="8" t="n">
        <v>0.28162670135498047</v>
      </c>
      <c r="R57" s="8" t="n">
        <v>0.08362674713134766</v>
      </c>
      <c r="S57" s="8" t="n">
        <v>0.0</v>
      </c>
      <c r="T57" s="8" t="n">
        <v>0.0</v>
      </c>
      <c r="U57">
        <f si="1" t="shared"/>
        <v>5.7250576019287109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58"/>
  <sheetViews>
    <sheetView topLeftCell="H4" workbookViewId="0">
      <selection activeCell="U33" sqref="U33:U3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40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0.0</v>
      </c>
      <c r="C8" s="5" t="n">
        <v>0.0</v>
      </c>
      <c r="D8" s="5" t="n">
        <v>0.0</v>
      </c>
      <c r="E8" s="5" t="n">
        <v>0.0</v>
      </c>
      <c r="F8" s="5" t="n">
        <v>0.0</v>
      </c>
      <c r="G8" s="5" t="n">
        <v>0.0</v>
      </c>
      <c r="H8" s="5" t="n">
        <v>0.0</v>
      </c>
      <c r="I8" s="5" t="n">
        <v>0.0</v>
      </c>
      <c r="J8" s="5">
        <f>SUM(B8:I8)</f>
        <v>0</v>
      </c>
      <c r="L8" t="s">
        <v>5</v>
      </c>
      <c r="M8" s="8" t="n">
        <v>1.0</v>
      </c>
      <c r="N8" s="8" t="n">
        <v>0.0</v>
      </c>
      <c r="O8" s="8" t="n">
        <v>0.0</v>
      </c>
      <c r="P8" s="8" t="n">
        <v>0.0</v>
      </c>
      <c r="Q8" s="8" t="n">
        <v>0.0</v>
      </c>
      <c r="R8" s="8" t="n">
        <v>0.0</v>
      </c>
      <c r="S8" s="8" t="n">
        <v>0.0</v>
      </c>
      <c r="T8" s="8" t="n">
        <v>0.0</v>
      </c>
      <c r="U8">
        <f>SUM(M8:T8)</f>
        <v>1</v>
      </c>
      <c r="X8" s="5"/>
      <c r="Y8" s="5"/>
    </row>
    <row r="9" spans="1:25" x14ac:dyDescent="0.45">
      <c r="A9" s="10">
        <v>0.125</v>
      </c>
      <c r="B9" s="5" t="n">
        <v>0.0</v>
      </c>
      <c r="C9" s="5" t="n">
        <v>0.009931334546636581</v>
      </c>
      <c r="D9" s="5" t="n">
        <v>0.0</v>
      </c>
      <c r="E9" s="5" t="n">
        <v>0.0</v>
      </c>
      <c r="F9" s="5" t="n">
        <v>8.868288239762211E-5</v>
      </c>
      <c r="G9" s="5" t="n">
        <v>4.884781222818479E-4</v>
      </c>
      <c r="H9" s="5" t="n">
        <v>6.538372552314443E-5</v>
      </c>
      <c r="I9" s="5" t="n">
        <v>0.0</v>
      </c>
      <c r="J9" s="5">
        <f ref="J9:J58" si="0" t="shared">SUM(B9:I9)</f>
        <v>1.0573879276839195E-2</v>
      </c>
      <c r="L9" s="10">
        <v>0.125</v>
      </c>
      <c r="M9" s="8" t="n">
        <v>0.6639232635498047</v>
      </c>
      <c r="N9" s="8" t="n">
        <v>0.0</v>
      </c>
      <c r="O9" s="8" t="n">
        <v>0.0</v>
      </c>
      <c r="P9" s="8" t="n">
        <v>0.0</v>
      </c>
      <c r="Q9" s="8" t="n">
        <v>0.0024518966674804688</v>
      </c>
      <c r="R9" s="8" t="n">
        <v>0.13965892791748047</v>
      </c>
      <c r="S9" s="8" t="n">
        <v>1.672501564025879</v>
      </c>
      <c r="T9" s="8" t="n">
        <v>0.0</v>
      </c>
      <c r="U9">
        <f ref="U9:U58" si="1" t="shared">SUM(M9:T9)</f>
        <v>2.2562341690063477</v>
      </c>
      <c r="X9" s="5"/>
      <c r="Y9" s="5"/>
    </row>
    <row r="10" spans="1:25" x14ac:dyDescent="0.45">
      <c r="A10" s="10">
        <v>0.14583333333333334</v>
      </c>
      <c r="B10" s="5" t="n">
        <v>0.0</v>
      </c>
      <c r="C10" s="5" t="n">
        <v>0.059903287741617475</v>
      </c>
      <c r="D10" s="5" t="n">
        <v>0.0</v>
      </c>
      <c r="E10" s="5" t="n">
        <v>0.0</v>
      </c>
      <c r="F10" s="5" t="n">
        <v>0.002004327282082928</v>
      </c>
      <c r="G10" s="5" t="n">
        <v>0.009993817422757217</v>
      </c>
      <c r="H10" s="5" t="n">
        <v>0.0013076745104628883</v>
      </c>
      <c r="I10" s="5" t="n">
        <v>0.0</v>
      </c>
      <c r="J10" s="5">
        <f si="0" t="shared"/>
        <v>7.3209106956920511E-2</v>
      </c>
      <c r="L10" s="10">
        <v>0.14583333333333334</v>
      </c>
      <c r="M10" s="8" t="n">
        <v>0.38558387756347656</v>
      </c>
      <c r="N10" s="8" t="n">
        <v>0.0</v>
      </c>
      <c r="O10" s="8" t="n">
        <v>0.0</v>
      </c>
      <c r="P10" s="8" t="n">
        <v>0.0</v>
      </c>
      <c r="Q10" s="8" t="n">
        <v>0.01604747772216797</v>
      </c>
      <c r="R10" s="8" t="n">
        <v>0.34422874450683594</v>
      </c>
      <c r="S10" s="8" t="n">
        <v>2.797854423522949</v>
      </c>
      <c r="T10" s="8" t="n">
        <v>0.0</v>
      </c>
      <c r="U10">
        <f si="1" t="shared"/>
        <v>3.2067365646362305</v>
      </c>
      <c r="X10" s="5"/>
      <c r="Y10" s="5"/>
    </row>
    <row r="11" spans="1:25" x14ac:dyDescent="0.45">
      <c r="A11" s="10">
        <v>0.16666666666666666</v>
      </c>
      <c r="B11" s="5" t="n">
        <v>0.0</v>
      </c>
      <c r="C11" s="5" t="n">
        <v>0.25458897290187427</v>
      </c>
      <c r="D11" s="5" t="n">
        <v>0.0</v>
      </c>
      <c r="E11" s="5" t="n">
        <v>0.0</v>
      </c>
      <c r="F11" s="5" t="n">
        <v>0.02156775194221879</v>
      </c>
      <c r="G11" s="5" t="n">
        <v>0.09729594277595628</v>
      </c>
      <c r="H11" s="5" t="n">
        <v>0.012527964533125104</v>
      </c>
      <c r="I11" s="5" t="n">
        <v>0.0</v>
      </c>
      <c r="J11" s="5">
        <f si="0" t="shared"/>
        <v>0.38598063215317441</v>
      </c>
      <c r="L11" s="10">
        <v>0.16666666666666666</v>
      </c>
      <c r="M11" s="8" t="n">
        <v>0.20137882232666016</v>
      </c>
      <c r="N11" s="8" t="n">
        <v>0.0</v>
      </c>
      <c r="O11" s="8" t="n">
        <v>0.0</v>
      </c>
      <c r="P11" s="8" t="n">
        <v>0.0</v>
      </c>
      <c r="Q11" s="8" t="n">
        <v>0.07537269592285156</v>
      </c>
      <c r="R11" s="8" t="n">
        <v>0.9299955368041992</v>
      </c>
      <c r="S11" s="8" t="n">
        <v>3.755483627319336</v>
      </c>
      <c r="T11" s="8" t="n">
        <v>0.0</v>
      </c>
      <c r="U11">
        <f si="1" t="shared"/>
        <v>4.6533308029174805</v>
      </c>
      <c r="X11" s="5"/>
      <c r="Y11" s="5"/>
    </row>
    <row r="12" spans="1:25" x14ac:dyDescent="0.45">
      <c r="A12" s="10">
        <v>0.1875</v>
      </c>
      <c r="B12" s="5" t="n">
        <v>0.0</v>
      </c>
      <c r="C12" s="5" t="n">
        <v>0.8146847132859978</v>
      </c>
      <c r="D12" s="5" t="n">
        <v>0.0</v>
      </c>
      <c r="E12" s="5" t="n">
        <v>0.0</v>
      </c>
      <c r="F12" s="5" t="n">
        <v>0.14722690115768564</v>
      </c>
      <c r="G12" s="5" t="n">
        <v>0.5994735050541558</v>
      </c>
      <c r="H12" s="5" t="n">
        <v>0.07668785778250496</v>
      </c>
      <c r="I12" s="5" t="n">
        <v>0.0</v>
      </c>
      <c r="J12" s="5">
        <f si="0" t="shared"/>
        <v>1.6380729772803442</v>
      </c>
      <c r="L12" s="10">
        <v>0.1875</v>
      </c>
      <c r="M12" s="8" t="n">
        <v>0.12714099884033203</v>
      </c>
      <c r="N12" s="8" t="n">
        <v>0.0</v>
      </c>
      <c r="O12" s="8" t="n">
        <v>0.0</v>
      </c>
      <c r="P12" s="8" t="n">
        <v>0.0</v>
      </c>
      <c r="Q12" s="8" t="n">
        <v>0.2724933624267578</v>
      </c>
      <c r="R12" s="8" t="n">
        <v>2.7032546997070312</v>
      </c>
      <c r="S12" s="8" t="n">
        <v>6.352328300476074</v>
      </c>
      <c r="T12" s="8" t="n">
        <v>0.0</v>
      </c>
      <c r="U12">
        <f si="1" t="shared"/>
        <v>9.2711296081542969</v>
      </c>
    </row>
    <row r="13" spans="1:25" x14ac:dyDescent="0.45">
      <c r="A13" s="10">
        <v>0.20833333333333334</v>
      </c>
      <c r="B13" s="5" t="n">
        <v>0.0</v>
      </c>
      <c r="C13" s="5" t="n">
        <v>2.0367117832149946</v>
      </c>
      <c r="D13" s="5" t="n">
        <v>0.0</v>
      </c>
      <c r="E13" s="5" t="n">
        <v>0.0</v>
      </c>
      <c r="F13" s="5" t="n">
        <v>0.7169693478807216</v>
      </c>
      <c r="G13" s="5" t="n">
        <v>2.6223271763726475</v>
      </c>
      <c r="H13" s="5" t="n">
        <v>0.33877924823030087</v>
      </c>
      <c r="I13" s="5" t="n">
        <v>0.0</v>
      </c>
      <c r="J13" s="5">
        <f si="0" t="shared"/>
        <v>5.7147875556986651</v>
      </c>
      <c r="L13" s="10">
        <v>0.20833333333333334</v>
      </c>
      <c r="M13" s="8" t="n">
        <v>0.18089675903320312</v>
      </c>
      <c r="N13" s="8" t="n">
        <v>0.0</v>
      </c>
      <c r="O13" s="8" t="n">
        <v>0.0</v>
      </c>
      <c r="P13" s="8" t="n">
        <v>0.0</v>
      </c>
      <c r="Q13" s="8" t="n">
        <v>0.7910470962524414</v>
      </c>
      <c r="R13" s="8" t="n">
        <v>6.981754302978516</v>
      </c>
      <c r="S13" s="8" t="n">
        <v>13.611703872680664</v>
      </c>
      <c r="T13" s="8" t="n">
        <v>0.0</v>
      </c>
      <c r="U13">
        <f si="1" t="shared"/>
        <v>21.520527839660645</v>
      </c>
    </row>
    <row r="14" spans="1:25" x14ac:dyDescent="0.45">
      <c r="A14" s="10">
        <v>0.22916666666666666</v>
      </c>
      <c r="B14" s="5" t="n">
        <v>6.352890158499288E-5</v>
      </c>
      <c r="C14" s="5" t="n">
        <v>4.073423566429989</v>
      </c>
      <c r="D14" s="5" t="n">
        <v>4.1954533135699845E-5</v>
      </c>
      <c r="E14" s="5" t="n">
        <v>8.89161582487708E-5</v>
      </c>
      <c r="F14" s="5" t="n">
        <v>2.657311943007608</v>
      </c>
      <c r="G14" s="5" t="n">
        <v>8.660109563620104</v>
      </c>
      <c r="H14" s="5" t="n">
        <v>1.1640020343427606</v>
      </c>
      <c r="I14" s="5" t="n">
        <v>0.0</v>
      </c>
      <c r="J14" s="5">
        <f si="0" t="shared"/>
        <v>16.55504150699343</v>
      </c>
      <c r="L14" s="10">
        <v>0.22916666666666666</v>
      </c>
      <c r="M14" s="8" t="n">
        <v>0.40277099609375</v>
      </c>
      <c r="N14" s="8" t="n">
        <v>0.0</v>
      </c>
      <c r="O14" s="8" t="n">
        <v>0.0</v>
      </c>
      <c r="P14" s="8" t="n">
        <v>0.0</v>
      </c>
      <c r="Q14" s="8" t="n">
        <v>1.9011964797973633</v>
      </c>
      <c r="R14" s="8" t="n">
        <v>15.041265487670898</v>
      </c>
      <c r="S14" s="8" t="n">
        <v>28.564852714538574</v>
      </c>
      <c r="T14" s="8" t="n">
        <v>0.0</v>
      </c>
      <c r="U14">
        <f si="1" t="shared"/>
        <v>45.944889068603516</v>
      </c>
    </row>
    <row r="15" spans="1:25" x14ac:dyDescent="0.45">
      <c r="A15" s="10">
        <v>0.25</v>
      </c>
      <c r="B15" s="5" t="n">
        <v>0.0013366906850341093</v>
      </c>
      <c r="C15" s="5" t="n">
        <v>6.619313295448732</v>
      </c>
      <c r="D15" s="5" t="n">
        <v>8.390906627139969E-4</v>
      </c>
      <c r="E15" s="5" t="n">
        <v>0.0017783231649754164</v>
      </c>
      <c r="F15" s="5" t="n">
        <v>7.816344907642497</v>
      </c>
      <c r="G15" s="5" t="n">
        <v>22.41532137370141</v>
      </c>
      <c r="H15" s="5" t="n">
        <v>3.3025953181185</v>
      </c>
      <c r="I15" s="5" t="n">
        <v>0.0</v>
      </c>
      <c r="J15" s="5">
        <f si="0" t="shared"/>
        <v>40.15752899942386</v>
      </c>
      <c r="L15" s="10">
        <v>0.25</v>
      </c>
      <c r="M15" s="8" t="n">
        <v>0.8439607620239258</v>
      </c>
      <c r="N15" s="8" t="n">
        <v>0.0</v>
      </c>
      <c r="O15" s="8" t="n">
        <v>0.0</v>
      </c>
      <c r="P15" s="8" t="n">
        <v>0.0</v>
      </c>
      <c r="Q15" s="8" t="n">
        <v>3.8773365020751953</v>
      </c>
      <c r="R15" s="8" t="n">
        <v>26.946205139160156</v>
      </c>
      <c r="S15" s="8" t="n">
        <v>52.070677757263184</v>
      </c>
      <c r="T15" s="8" t="n">
        <v>0.0</v>
      </c>
      <c r="U15">
        <f si="1" t="shared"/>
        <v>83.754122734069824</v>
      </c>
    </row>
    <row r="16" spans="1:25" x14ac:dyDescent="0.45">
      <c r="A16" s="10">
        <v>0.27083333333333331</v>
      </c>
      <c r="B16" s="5" t="n">
        <v>0.013392744367833683</v>
      </c>
      <c r="C16" s="5" t="n">
        <v>8.825751060598309</v>
      </c>
      <c r="D16" s="5" t="n">
        <v>0.00797136129578297</v>
      </c>
      <c r="E16" s="5" t="n">
        <v>0.017089897524863683</v>
      </c>
      <c r="F16" s="5" t="n">
        <v>18.81613561332418</v>
      </c>
      <c r="G16" s="5" t="n">
        <v>46.612803972603</v>
      </c>
      <c r="H16" s="5" t="n">
        <v>8.172325357917313</v>
      </c>
      <c r="I16" s="5" t="n">
        <v>0.0</v>
      </c>
      <c r="J16" s="5">
        <f si="0" t="shared"/>
        <v>82.465470007631282</v>
      </c>
      <c r="L16" s="10">
        <v>0.27083333333333331</v>
      </c>
      <c r="M16" s="8" t="n">
        <v>1.525568962097168</v>
      </c>
      <c r="N16" s="8" t="n">
        <v>0.0</v>
      </c>
      <c r="O16" s="8" t="n">
        <v>0.0</v>
      </c>
      <c r="P16" s="8" t="n">
        <v>0.0</v>
      </c>
      <c r="Q16" s="8" t="n">
        <v>6.864810943603516</v>
      </c>
      <c r="R16" s="8" t="n">
        <v>40.55979824066162</v>
      </c>
      <c r="S16" s="8" t="n">
        <v>80.91294956207275</v>
      </c>
      <c r="T16" s="8" t="n">
        <v>0.0</v>
      </c>
      <c r="U16">
        <f si="1" t="shared"/>
        <v>129.78699016571045</v>
      </c>
    </row>
    <row r="17" spans="1:21" x14ac:dyDescent="0.45">
      <c r="A17" s="10">
        <v>0.29166666666666669</v>
      </c>
      <c r="B17" s="5" t="n">
        <v>0.08502189539129344</v>
      </c>
      <c r="C17" s="5" t="n">
        <v>9.708326166658141</v>
      </c>
      <c r="D17" s="5" t="n">
        <v>0.04782816777469783</v>
      </c>
      <c r="E17" s="5" t="n">
        <v>0.10528096955554331</v>
      </c>
      <c r="F17" s="5" t="n">
        <v>38.03507678095883</v>
      </c>
      <c r="G17" s="5" t="n">
        <v>79.28623618542304</v>
      </c>
      <c r="H17" s="5" t="n">
        <v>18.445364363564078</v>
      </c>
      <c r="I17" s="5" t="n">
        <v>0.0</v>
      </c>
      <c r="J17" s="5">
        <f si="0" t="shared"/>
        <v>145.71313452932563</v>
      </c>
      <c r="L17" s="10">
        <v>0.29166666666666669</v>
      </c>
      <c r="M17" s="8" t="n">
        <v>2.410186767578125</v>
      </c>
      <c r="N17" s="8" t="n">
        <v>0.0</v>
      </c>
      <c r="O17" s="8" t="n">
        <v>0.0</v>
      </c>
      <c r="P17" s="8" t="n">
        <v>0.0</v>
      </c>
      <c r="Q17" s="8" t="n">
        <v>10.814973831176758</v>
      </c>
      <c r="R17" s="8" t="n">
        <v>51.986029624938965</v>
      </c>
      <c r="S17" s="8" t="n">
        <v>108.47481918334961</v>
      </c>
      <c r="T17" s="8" t="n">
        <v>0.0</v>
      </c>
      <c r="U17">
        <f si="1" t="shared"/>
        <v>173.55617046356201</v>
      </c>
    </row>
    <row r="18" spans="1:21" x14ac:dyDescent="0.45">
      <c r="A18" s="10">
        <v>0.3125</v>
      </c>
      <c r="B18" s="5" t="n">
        <v>0.3847313343785751</v>
      </c>
      <c r="C18" s="5" t="n">
        <v>8.82575106059831</v>
      </c>
      <c r="D18" s="5" t="n">
        <v>0.2032968904225126</v>
      </c>
      <c r="E18" s="5" t="n">
        <v>0.468006003658768</v>
      </c>
      <c r="F18" s="5" t="n">
        <v>66.20335041841909</v>
      </c>
      <c r="G18" s="5" t="n">
        <v>112.11424762493908</v>
      </c>
      <c r="H18" s="5" t="n">
        <v>38.890349120300705</v>
      </c>
      <c r="I18" s="5" t="n">
        <v>0.0</v>
      </c>
      <c r="J18" s="5">
        <f si="0" t="shared"/>
        <v>227.08973245271704</v>
      </c>
      <c r="L18" s="10">
        <v>0.3125</v>
      </c>
      <c r="M18" s="8" t="n">
        <v>3.4346981048583984</v>
      </c>
      <c r="N18" s="8" t="n">
        <v>0.0</v>
      </c>
      <c r="O18" s="8" t="n">
        <v>0.0</v>
      </c>
      <c r="P18" s="8" t="n">
        <v>0.0</v>
      </c>
      <c r="Q18" s="8" t="n">
        <v>15.61244010925293</v>
      </c>
      <c r="R18" s="8" t="n">
        <v>57.75357437133789</v>
      </c>
      <c r="S18" s="8" t="n">
        <v>128.97301769256592</v>
      </c>
      <c r="T18" s="8" t="n">
        <v>0.0</v>
      </c>
      <c r="U18">
        <f si="1" t="shared"/>
        <v>205.77492141723633</v>
      </c>
    </row>
    <row r="19" spans="1:21" x14ac:dyDescent="0.45">
      <c r="A19" s="10">
        <v>0.33333333333333331</v>
      </c>
      <c r="B19" s="5" t="n">
        <v>1.3287859827402027</v>
      </c>
      <c r="C19" s="5" t="n">
        <v>6.619313295448732</v>
      </c>
      <c r="D19" s="5" t="n">
        <v>0.6510066293368273</v>
      </c>
      <c r="E19" s="5" t="n">
        <v>1.601799419149783</v>
      </c>
      <c r="F19" s="5" t="n">
        <v>102.1296952137036</v>
      </c>
      <c r="G19" s="5" t="n">
        <v>134.83409566585883</v>
      </c>
      <c r="H19" s="5" t="n">
        <v>76.7112463735025</v>
      </c>
      <c r="I19" s="5" t="n">
        <v>0.0</v>
      </c>
      <c r="J19" s="5">
        <f si="0" t="shared"/>
        <v>323.87594257974047</v>
      </c>
      <c r="L19" s="10">
        <v>0.33333333333333331</v>
      </c>
      <c r="M19" s="8" t="n">
        <v>4.589840888977051</v>
      </c>
      <c r="N19" s="8" t="n">
        <v>0.0</v>
      </c>
      <c r="O19" s="8" t="n">
        <v>0.0</v>
      </c>
      <c r="P19" s="8" t="n">
        <v>0.0</v>
      </c>
      <c r="Q19" s="8" t="n">
        <v>21.34692096710205</v>
      </c>
      <c r="R19" s="8" t="n">
        <v>57.26515483856201</v>
      </c>
      <c r="S19" s="8" t="n">
        <v>142.71685600280762</v>
      </c>
      <c r="T19" s="8" t="n">
        <v>0.0</v>
      </c>
      <c r="U19">
        <f si="1" t="shared"/>
        <v>226.25431251525879</v>
      </c>
    </row>
    <row r="20" spans="1:21" x14ac:dyDescent="0.45">
      <c r="A20" s="10">
        <v>0.35416666666666669</v>
      </c>
      <c r="B20" s="5" t="n">
        <v>3.6868792300389317</v>
      </c>
      <c r="C20" s="5" t="n">
        <v>4.073423566429989</v>
      </c>
      <c r="D20" s="5" t="n">
        <v>1.6313214065486255</v>
      </c>
      <c r="E20" s="5" t="n">
        <v>4.395202674402725</v>
      </c>
      <c r="F20" s="5" t="n">
        <v>144.79852311855305</v>
      </c>
      <c r="G20" s="5" t="n">
        <v>144.53138277251847</v>
      </c>
      <c r="H20" s="5" t="n">
        <v>140.51757220450963</v>
      </c>
      <c r="I20" s="5" t="n">
        <v>0.0</v>
      </c>
      <c r="J20" s="5">
        <f si="0" t="shared"/>
        <v>443.63430497300146</v>
      </c>
      <c r="L20" s="10">
        <v>0.35416666666666669</v>
      </c>
      <c r="M20" s="8" t="n">
        <v>5.957444190979004</v>
      </c>
      <c r="N20" s="8" t="n">
        <v>0.0</v>
      </c>
      <c r="O20" s="8" t="n">
        <v>0.0</v>
      </c>
      <c r="P20" s="8" t="n">
        <v>0.0</v>
      </c>
      <c r="Q20" s="8" t="n">
        <v>28.455163955688477</v>
      </c>
      <c r="R20" s="8" t="n">
        <v>53.4278039932251</v>
      </c>
      <c r="S20" s="8" t="n">
        <v>157.9159336090088</v>
      </c>
      <c r="T20" s="8" t="n">
        <v>0.0</v>
      </c>
      <c r="U20">
        <f si="1" t="shared"/>
        <v>246.34670162200928</v>
      </c>
    </row>
    <row r="21" spans="1:21" x14ac:dyDescent="0.45">
      <c r="A21" s="10">
        <v>0.375</v>
      </c>
      <c r="B21" s="5" t="n">
        <v>8.617204946551224</v>
      </c>
      <c r="C21" s="5" t="n">
        <v>2.0367557244303565</v>
      </c>
      <c r="D21" s="5" t="n">
        <v>3.2832976219328494</v>
      </c>
      <c r="E21" s="5" t="n">
        <v>9.92945646246804</v>
      </c>
      <c r="F21" s="5" t="n">
        <v>196.9156738942786</v>
      </c>
      <c r="G21" s="5" t="n">
        <v>151.8794983457494</v>
      </c>
      <c r="H21" s="5" t="n">
        <v>238.37593792287174</v>
      </c>
      <c r="I21" s="5" t="n">
        <v>0.0</v>
      </c>
      <c r="J21" s="5">
        <f si="0" t="shared"/>
        <v>611.03782491828224</v>
      </c>
      <c r="L21" s="10">
        <v>0.375</v>
      </c>
      <c r="M21" s="8" t="n">
        <v>7.652378082275391</v>
      </c>
      <c r="N21" s="8" t="n">
        <v>0.0</v>
      </c>
      <c r="O21" s="8" t="n">
        <v>0.0</v>
      </c>
      <c r="P21" s="8" t="n">
        <v>0.0</v>
      </c>
      <c r="Q21" s="8" t="n">
        <v>37.51548480987549</v>
      </c>
      <c r="R21" s="8" t="n">
        <v>51.00311279296875</v>
      </c>
      <c r="S21" s="8" t="n">
        <v>187.63973999023438</v>
      </c>
      <c r="T21" s="8" t="n">
        <v>0.0</v>
      </c>
      <c r="U21">
        <f si="1" t="shared"/>
        <v>284.03244781494141</v>
      </c>
    </row>
    <row r="22" spans="1:21" x14ac:dyDescent="0.45">
      <c r="A22" s="10">
        <v>0.39583333333333331</v>
      </c>
      <c r="B22" s="5" t="n">
        <v>17.785807901533545</v>
      </c>
      <c r="C22" s="5" t="n">
        <v>0.8157803781146304</v>
      </c>
      <c r="D22" s="5" t="n">
        <v>5.416686945431048</v>
      </c>
      <c r="E22" s="5" t="n">
        <v>18.796426949207206</v>
      </c>
      <c r="F22" s="5" t="n">
        <v>266.55758037337625</v>
      </c>
      <c r="G22" s="5" t="n">
        <v>176.6809035949114</v>
      </c>
      <c r="H22" s="5" t="n">
        <v>376.0516187088399</v>
      </c>
      <c r="I22" s="5" t="n">
        <v>0.0</v>
      </c>
      <c r="J22" s="5">
        <f si="0" t="shared"/>
        <v>862.10480485141397</v>
      </c>
      <c r="L22" s="10">
        <v>0.39583333333333331</v>
      </c>
      <c r="M22" s="8" t="n">
        <v>9.793877601623535</v>
      </c>
      <c r="N22" s="8" t="n">
        <v>0.0</v>
      </c>
      <c r="O22" s="8" t="n">
        <v>0.0</v>
      </c>
      <c r="P22" s="8" t="n">
        <v>0.0</v>
      </c>
      <c r="Q22" s="8" t="n">
        <v>49.01420211791992</v>
      </c>
      <c r="R22" s="8" t="n">
        <v>54.63196659088135</v>
      </c>
      <c r="S22" s="8" t="n">
        <v>247.21259212493896</v>
      </c>
      <c r="T22" s="8" t="n">
        <v>0.0</v>
      </c>
      <c r="U22">
        <f si="1" t="shared"/>
        <v>359.48670196533203</v>
      </c>
    </row>
    <row r="23" spans="1:21" x14ac:dyDescent="0.45">
      <c r="A23" s="10">
        <v>0.41666666666666669</v>
      </c>
      <c r="B23" s="5" t="n">
        <v>33.721908152184334</v>
      </c>
      <c r="C23" s="5" t="n">
        <v>0.2672746142484569</v>
      </c>
      <c r="D23" s="5" t="n">
        <v>7.468116872383799</v>
      </c>
      <c r="E23" s="5" t="n">
        <v>30.147696779336048</v>
      </c>
      <c r="F23" s="5" t="n">
        <v>363.62559829713507</v>
      </c>
      <c r="G23" s="5" t="n">
        <v>234.36700741348332</v>
      </c>
      <c r="H23" s="5" t="n">
        <v>555.2197841543905</v>
      </c>
      <c r="I23" s="5" t="n">
        <v>0.0</v>
      </c>
      <c r="J23" s="5">
        <f si="0" t="shared"/>
        <v>1224.8173862831613</v>
      </c>
      <c r="L23" s="10">
        <v>0.41666666666666669</v>
      </c>
      <c r="M23" s="8" t="n">
        <v>12.773524284362793</v>
      </c>
      <c r="N23" s="8" t="n">
        <v>0.0</v>
      </c>
      <c r="O23" s="8" t="n">
        <v>0.0</v>
      </c>
      <c r="P23" s="8" t="n">
        <v>0.0</v>
      </c>
      <c r="Q23" s="8" t="n">
        <v>63.9749231338501</v>
      </c>
      <c r="R23" s="8" t="n">
        <v>69.32418632507324</v>
      </c>
      <c r="S23" s="8" t="n">
        <v>361.54921531677246</v>
      </c>
      <c r="T23" s="8" t="n">
        <v>0.0</v>
      </c>
      <c r="U23">
        <f si="1" t="shared"/>
        <v>504.40994358062744</v>
      </c>
    </row>
    <row r="24" spans="1:21" x14ac:dyDescent="0.45">
      <c r="A24" s="10">
        <v>0.4375</v>
      </c>
      <c r="B24" s="5" t="n">
        <v>59.80882575984047</v>
      </c>
      <c r="C24" s="5" t="n">
        <v>0.1511959723182584</v>
      </c>
      <c r="D24" s="5" t="n">
        <v>8.806254707943939</v>
      </c>
      <c r="E24" s="5" t="n">
        <v>41.243065601319344</v>
      </c>
      <c r="F24" s="5" t="n">
        <v>491.56756569613606</v>
      </c>
      <c r="G24" s="5" t="n">
        <v>325.3468387904067</v>
      </c>
      <c r="H24" s="5" t="n">
        <v>775.2653305684826</v>
      </c>
      <c r="I24" s="5" t="n">
        <v>0.0</v>
      </c>
      <c r="J24" s="5">
        <f si="0" t="shared"/>
        <v>1702.1890770964474</v>
      </c>
      <c r="L24" s="10">
        <v>0.4375</v>
      </c>
      <c r="M24" s="8" t="n">
        <v>17.94663143157959</v>
      </c>
      <c r="N24" s="8" t="n">
        <v>0.0</v>
      </c>
      <c r="O24" s="8" t="n">
        <v>0.0</v>
      </c>
      <c r="P24" s="8" t="n">
        <v>0.0</v>
      </c>
      <c r="Q24" s="8" t="n">
        <v>85.98227596282959</v>
      </c>
      <c r="R24" s="8" t="n">
        <v>104.51596260070801</v>
      </c>
      <c r="S24" s="8" t="n">
        <v>587.1811676025391</v>
      </c>
      <c r="T24" s="8" t="n">
        <v>0.0</v>
      </c>
      <c r="U24">
        <f si="1" t="shared"/>
        <v>791.12317180633545</v>
      </c>
    </row>
    <row r="25" spans="1:21" x14ac:dyDescent="0.45">
      <c r="A25" s="10">
        <v>0.45833333333333331</v>
      </c>
      <c r="B25" s="5" t="n">
        <v>98.6061088336649</v>
      </c>
      <c r="C25" s="5" t="n">
        <v>0.4700772641024351</v>
      </c>
      <c r="D25" s="5" t="n">
        <v>9.167797353139429</v>
      </c>
      <c r="E25" s="5" t="n">
        <v>48.35566538682242</v>
      </c>
      <c r="F25" s="5" t="n">
        <v>640.0013038505999</v>
      </c>
      <c r="G25" s="5" t="n">
        <v>440.69812326525886</v>
      </c>
      <c r="H25" s="5" t="n">
        <v>1058.7276529378607</v>
      </c>
      <c r="I25" s="5" t="n">
        <v>0.0</v>
      </c>
      <c r="J25" s="5">
        <f si="0" t="shared"/>
        <v>2296.0267288914488</v>
      </c>
      <c r="L25" s="10">
        <v>0.45833333333333331</v>
      </c>
      <c r="M25" s="8" t="n">
        <v>28.452717781066895</v>
      </c>
      <c r="N25" s="8" t="n">
        <v>0.0</v>
      </c>
      <c r="O25" s="8" t="n">
        <v>0.0</v>
      </c>
      <c r="P25" s="8" t="n">
        <v>0.0</v>
      </c>
      <c r="Q25" s="8" t="n">
        <v>123.5090446472168</v>
      </c>
      <c r="R25" s="8" t="n">
        <v>179.61158084869385</v>
      </c>
      <c r="S25" s="8" t="n">
        <v>1039.028377532959</v>
      </c>
      <c r="T25" s="8" t="n">
        <v>0.0</v>
      </c>
      <c r="U25">
        <f si="1" t="shared"/>
        <v>1367.5737733840942</v>
      </c>
    </row>
    <row r="26" spans="1:21" x14ac:dyDescent="0.45">
      <c r="A26" s="10">
        <v>0.47916666666666669</v>
      </c>
      <c r="B26" s="5" t="n">
        <v>148.5449322466946</v>
      </c>
      <c r="C26" s="5" t="n">
        <v>1.7329078639727793</v>
      </c>
      <c r="D26" s="5" t="n">
        <v>8.79467580669282</v>
      </c>
      <c r="E26" s="5" t="n">
        <v>49.02372647494571</v>
      </c>
      <c r="F26" s="5" t="n">
        <v>785.3984415700459</v>
      </c>
      <c r="G26" s="5" t="n">
        <v>587.6505403789503</v>
      </c>
      <c r="H26" s="5" t="n">
        <v>1530.2099923321314</v>
      </c>
      <c r="I26" s="5" t="n">
        <v>0.0</v>
      </c>
      <c r="J26" s="5">
        <f si="0" t="shared"/>
        <v>3111.3552166734335</v>
      </c>
      <c r="L26" s="10">
        <v>0.47916666666666669</v>
      </c>
      <c r="M26" s="8" t="n">
        <v>49.570006370544434</v>
      </c>
      <c r="N26" s="8" t="n">
        <v>0.0</v>
      </c>
      <c r="O26" s="8" t="n">
        <v>0.0</v>
      </c>
      <c r="P26" s="8" t="n">
        <v>0.0</v>
      </c>
      <c r="Q26" s="8" t="n">
        <v>190.00914859771729</v>
      </c>
      <c r="R26" s="8" t="n">
        <v>326.6074438095093</v>
      </c>
      <c r="S26" s="8" t="n">
        <v>1898.2107486724854</v>
      </c>
      <c r="T26" s="8" t="n">
        <v>0.0</v>
      </c>
      <c r="U26">
        <f si="1" t="shared"/>
        <v>2467.1799573898315</v>
      </c>
    </row>
    <row r="27" spans="1:21" x14ac:dyDescent="0.45">
      <c r="A27" s="10">
        <v>0.5</v>
      </c>
      <c r="B27" s="5" t="n">
        <v>201.9861780759094</v>
      </c>
      <c r="C27" s="5" t="n">
        <v>5.065261665978975</v>
      </c>
      <c r="D27" s="5" t="n">
        <v>8.186034644884142</v>
      </c>
      <c r="E27" s="5" t="n">
        <v>44.297060849199525</v>
      </c>
      <c r="F27" s="5" t="n">
        <v>901.784819144588</v>
      </c>
      <c r="G27" s="5" t="n">
        <v>819.7648942722741</v>
      </c>
      <c r="H27" s="5" t="n">
        <v>2534.2986922795817</v>
      </c>
      <c r="I27" s="5" t="n">
        <v>0.0</v>
      </c>
      <c r="J27" s="5">
        <f si="0" t="shared"/>
        <v>4515.3829409324153</v>
      </c>
      <c r="L27" s="10">
        <v>0.5</v>
      </c>
      <c r="M27" s="8" t="n">
        <v>88.23555850982666</v>
      </c>
      <c r="N27" s="8" t="n">
        <v>0.0</v>
      </c>
      <c r="O27" s="8" t="n">
        <v>0.0</v>
      </c>
      <c r="P27" s="8" t="n">
        <v>0.0</v>
      </c>
      <c r="Q27" s="8" t="n">
        <v>300.1772127151489</v>
      </c>
      <c r="R27" s="8" t="n">
        <v>586.2673997879028</v>
      </c>
      <c r="S27" s="8" t="n">
        <v>3381.905656814575</v>
      </c>
      <c r="T27" s="8" t="n">
        <v>0.0</v>
      </c>
      <c r="U27">
        <f si="1" t="shared"/>
        <v>4369.8241806030273</v>
      </c>
    </row>
    <row r="28" spans="1:21" x14ac:dyDescent="0.45">
      <c r="A28" s="10">
        <v>0.52083333333333337</v>
      </c>
      <c r="B28" s="5" t="n">
        <v>247.8620813952035</v>
      </c>
      <c r="C28" s="5" t="n">
        <v>11.814145663491125</v>
      </c>
      <c r="D28" s="5" t="n">
        <v>7.85183844289019</v>
      </c>
      <c r="E28" s="5" t="n">
        <v>39.13593626028045</v>
      </c>
      <c r="F28" s="5" t="n">
        <v>974.9093469313962</v>
      </c>
      <c r="G28" s="5" t="n">
        <v>1239.1056335789751</v>
      </c>
      <c r="H28" s="5" t="n">
        <v>4669.29824772743</v>
      </c>
      <c r="I28" s="5" t="n">
        <v>0.0</v>
      </c>
      <c r="J28" s="5">
        <f si="0" t="shared"/>
        <v>7189.9772299996666</v>
      </c>
      <c r="L28" s="10">
        <v>0.52083333333333337</v>
      </c>
      <c r="M28" s="8" t="n">
        <v>151.78314971923828</v>
      </c>
      <c r="N28" s="8" t="n">
        <v>0.0</v>
      </c>
      <c r="O28" s="8" t="n">
        <v>0.0</v>
      </c>
      <c r="P28" s="8" t="n">
        <v>0.0</v>
      </c>
      <c r="Q28" s="8" t="n">
        <v>463.7936038970947</v>
      </c>
      <c r="R28" s="8" t="n">
        <v>997.4098300933838</v>
      </c>
      <c r="S28" s="8" t="n">
        <v>5677.61544418335</v>
      </c>
      <c r="T28" s="8" t="n">
        <v>0.0</v>
      </c>
      <c r="U28">
        <f si="1" t="shared"/>
        <v>7318.0988702774048</v>
      </c>
    </row>
    <row r="29" spans="1:21" x14ac:dyDescent="0.45">
      <c r="A29" s="10">
        <v>0.54166666666666663</v>
      </c>
      <c r="B29" s="5" t="n">
        <v>277.7210192778462</v>
      </c>
      <c r="C29" s="5" t="n">
        <v>22.374477587891608</v>
      </c>
      <c r="D29" s="5" t="n">
        <v>8.351374083898115</v>
      </c>
      <c r="E29" s="5" t="n">
        <v>40.20594086109361</v>
      </c>
      <c r="F29" s="5" t="n">
        <v>1009.1658182323757</v>
      </c>
      <c r="G29" s="5" t="n">
        <v>1940.3712403150762</v>
      </c>
      <c r="H29" s="5" t="n">
        <v>8547.319811672656</v>
      </c>
      <c r="I29" s="5" t="n">
        <v>0.0</v>
      </c>
      <c r="J29" s="5">
        <f si="0" t="shared"/>
        <v>11845.509682030837</v>
      </c>
      <c r="L29" s="10">
        <v>0.54166666666666663</v>
      </c>
      <c r="M29" s="8" t="n">
        <v>245.61500358581543</v>
      </c>
      <c r="N29" s="8" t="n">
        <v>0.0</v>
      </c>
      <c r="O29" s="8" t="n">
        <v>0.0</v>
      </c>
      <c r="P29" s="8" t="n">
        <v>0.0</v>
      </c>
      <c r="Q29" s="8" t="n">
        <v>679.8680639266968</v>
      </c>
      <c r="R29" s="8" t="n">
        <v>1579.3356246948242</v>
      </c>
      <c r="S29" s="8" t="n">
        <v>8850.793148040771</v>
      </c>
      <c r="T29" s="8" t="n">
        <v>0.0</v>
      </c>
      <c r="U29">
        <f si="1" t="shared"/>
        <v>11399.91889667511</v>
      </c>
    </row>
    <row r="30" spans="1:21" x14ac:dyDescent="0.45">
      <c r="A30" s="10">
        <v>0.5625</v>
      </c>
      <c r="B30" s="5" t="n">
        <v>290.3069805371673</v>
      </c>
      <c r="C30" s="5" t="n">
        <v>34.87696713148167</v>
      </c>
      <c r="D30" s="5" t="n">
        <v>10.381175743639634</v>
      </c>
      <c r="E30" s="5" t="n">
        <v>52.23916435400376</v>
      </c>
      <c r="F30" s="5" t="n">
        <v>1021.1781849968555</v>
      </c>
      <c r="G30" s="5" t="n">
        <v>2908.304639717085</v>
      </c>
      <c r="H30" s="5" t="n">
        <v>14244.036599790867</v>
      </c>
      <c r="I30" s="5" t="n">
        <v>0.0</v>
      </c>
      <c r="J30" s="5">
        <f si="0" t="shared"/>
        <v>18561.3237122711</v>
      </c>
      <c r="L30" s="10">
        <v>0.5625</v>
      </c>
      <c r="M30" s="8" t="n">
        <v>368.7619457244873</v>
      </c>
      <c r="N30" s="8" t="n">
        <v>0.0</v>
      </c>
      <c r="O30" s="8" t="n">
        <v>0.0</v>
      </c>
      <c r="P30" s="8" t="n">
        <v>0.0</v>
      </c>
      <c r="Q30" s="8" t="n">
        <v>931.5427474975586</v>
      </c>
      <c r="R30" s="8" t="n">
        <v>2305.5756912231445</v>
      </c>
      <c r="S30" s="8" t="n">
        <v>12720.261622428894</v>
      </c>
      <c r="T30" s="8" t="n">
        <v>0.0</v>
      </c>
      <c r="U30">
        <f si="1" t="shared"/>
        <v>16388.316641807556</v>
      </c>
    </row>
    <row r="31" spans="1:21" x14ac:dyDescent="0.45">
      <c r="A31" s="10">
        <v>0.58333333333333337</v>
      </c>
      <c r="B31" s="5" t="n">
        <v>291.9680508583684</v>
      </c>
      <c r="C31" s="5" t="n">
        <v>45.32285188168073</v>
      </c>
      <c r="D31" s="5" t="n">
        <v>14.564347828555293</v>
      </c>
      <c r="E31" s="5" t="n">
        <v>75.54706849280042</v>
      </c>
      <c r="F31" s="5" t="n">
        <v>1024.4946213641679</v>
      </c>
      <c r="G31" s="5" t="n">
        <v>3943.198076317525</v>
      </c>
      <c r="H31" s="5" t="n">
        <v>20776.70316704883</v>
      </c>
      <c r="I31" s="5" t="n">
        <v>0.0</v>
      </c>
      <c r="J31" s="5">
        <f si="0" t="shared"/>
        <v>26171.798183791929</v>
      </c>
      <c r="L31" s="10">
        <v>0.58333333333333337</v>
      </c>
      <c r="M31" s="8" t="n">
        <v>507.75721645355225</v>
      </c>
      <c r="N31" s="8" t="n">
        <v>0.0</v>
      </c>
      <c r="O31" s="8" t="n">
        <v>0.0</v>
      </c>
      <c r="P31" s="8" t="n">
        <v>0.0</v>
      </c>
      <c r="Q31" s="8" t="n">
        <v>1181.6304149627686</v>
      </c>
      <c r="R31" s="8" t="n">
        <v>3075.0354499816895</v>
      </c>
      <c r="S31" s="8" t="n">
        <v>16726.571044921875</v>
      </c>
      <c r="T31" s="8" t="n">
        <v>0.0</v>
      </c>
      <c r="U31">
        <f si="1" t="shared"/>
        <v>21569.387577056885</v>
      </c>
    </row>
    <row r="32" spans="1:21" x14ac:dyDescent="0.45">
      <c r="A32" s="10">
        <v>0.60416666666666663</v>
      </c>
      <c r="B32" s="5" t="n">
        <v>294.42075189700336</v>
      </c>
      <c r="C32" s="5" t="n">
        <v>50.00503437345044</v>
      </c>
      <c r="D32" s="5" t="n">
        <v>21.006488222314715</v>
      </c>
      <c r="E32" s="5" t="n">
        <v>106.88208197983819</v>
      </c>
      <c r="F32" s="5" t="n">
        <v>1017.9215203230119</v>
      </c>
      <c r="G32" s="5" t="n">
        <v>4707.710026145236</v>
      </c>
      <c r="H32" s="5" t="n">
        <v>26186.52165310389</v>
      </c>
      <c r="I32" s="5" t="n">
        <v>0.0</v>
      </c>
      <c r="J32" s="5">
        <f si="0" t="shared"/>
        <v>32384.467556044743</v>
      </c>
      <c r="L32" s="10">
        <v>0.60416666666666663</v>
      </c>
      <c r="M32" s="8" t="n">
        <v>633.9463148117065</v>
      </c>
      <c r="N32" s="8" t="n">
        <v>0.0</v>
      </c>
      <c r="O32" s="8" t="n">
        <v>0.0</v>
      </c>
      <c r="P32" s="8" t="n">
        <v>0.0</v>
      </c>
      <c r="Q32" s="8" t="n">
        <v>1374.3804235458374</v>
      </c>
      <c r="R32" s="8" t="n">
        <v>3708.4788455963135</v>
      </c>
      <c r="S32" s="8" t="n">
        <v>19927.86450767517</v>
      </c>
      <c r="T32" s="8" t="n">
        <v>0.0</v>
      </c>
      <c r="U32">
        <f si="1" t="shared"/>
        <v>25733.124932289124</v>
      </c>
    </row>
    <row r="33" spans="1:21" x14ac:dyDescent="0.45">
      <c r="A33" s="10">
        <v>0.625</v>
      </c>
      <c r="B33" s="5" t="n">
        <v>311.37201481697105</v>
      </c>
      <c r="C33" s="5" t="n">
        <v>48.53994597729635</v>
      </c>
      <c r="D33" s="5" t="n">
        <v>28.9166905150032</v>
      </c>
      <c r="E33" s="5" t="n">
        <v>142.82838747539878</v>
      </c>
      <c r="F33" s="5" t="n">
        <v>987.6009586812643</v>
      </c>
      <c r="G33" s="5" t="n">
        <v>4905.1326910938415</v>
      </c>
      <c r="H33" s="5" t="n">
        <v>28461.721946174323</v>
      </c>
      <c r="I33" s="5" t="n">
        <v>0.0</v>
      </c>
      <c r="J33" s="5">
        <f si="0" t="shared"/>
        <v>34886.112634734098</v>
      </c>
      <c r="L33" s="10">
        <v>0.625</v>
      </c>
      <c r="M33" s="8" t="n">
        <v>711.5177383422852</v>
      </c>
      <c r="N33" s="8" t="n">
        <v>0.0</v>
      </c>
      <c r="O33" s="8" t="n">
        <v>0.0</v>
      </c>
      <c r="P33" s="8" t="n">
        <v>0.0</v>
      </c>
      <c r="Q33" s="8" t="n">
        <v>1452.6304874420166</v>
      </c>
      <c r="R33" s="8" t="n">
        <v>4004.5039768218994</v>
      </c>
      <c r="S33" s="8" t="n">
        <v>21294.922574043274</v>
      </c>
      <c r="T33" s="8" t="n">
        <v>0.0</v>
      </c>
      <c r="U33">
        <f si="1" t="shared"/>
        <v>27551.53577709198</v>
      </c>
    </row>
    <row r="34" spans="1:21" x14ac:dyDescent="0.45">
      <c r="A34" s="10">
        <v>0.64583333333333337</v>
      </c>
      <c r="B34" s="5" t="n">
        <v>353.0373063923999</v>
      </c>
      <c r="C34" s="5" t="n">
        <v>44.43341079377521</v>
      </c>
      <c r="D34" s="5" t="n">
        <v>36.46402603065076</v>
      </c>
      <c r="E34" s="5" t="n">
        <v>181.3492107869098</v>
      </c>
      <c r="F34" s="5" t="n">
        <v>920.4419754238976</v>
      </c>
      <c r="G34" s="5" t="n">
        <v>4467.393372912191</v>
      </c>
      <c r="H34" s="5" t="n">
        <v>26750.572530818674</v>
      </c>
      <c r="I34" s="5" t="n">
        <v>0.0</v>
      </c>
      <c r="J34" s="5">
        <f si="0" t="shared"/>
        <v>32753.691833158497</v>
      </c>
      <c r="L34" s="10">
        <v>0.64583333333333337</v>
      </c>
      <c r="M34" s="8" t="n">
        <v>715.9431648254395</v>
      </c>
      <c r="N34" s="8" t="n">
        <v>0.0</v>
      </c>
      <c r="O34" s="8" t="n">
        <v>0.0</v>
      </c>
      <c r="P34" s="8" t="n">
        <v>0.0</v>
      </c>
      <c r="Q34" s="8" t="n">
        <v>1387.812870979309</v>
      </c>
      <c r="R34" s="8" t="n">
        <v>3845.1465349197388</v>
      </c>
      <c r="S34" s="8" t="n">
        <v>20254.030534744263</v>
      </c>
      <c r="T34" s="8" t="n">
        <v>0.0</v>
      </c>
      <c r="U34">
        <f si="1" t="shared"/>
        <v>26279.268382072449</v>
      </c>
    </row>
    <row r="35" spans="1:21" x14ac:dyDescent="0.45">
      <c r="A35" s="10">
        <v>0.66666666666666663</v>
      </c>
      <c r="B35" s="5" t="n">
        <v>418.7451976579174</v>
      </c>
      <c r="C35" s="5" t="n">
        <v>42.32212237810931</v>
      </c>
      <c r="D35" s="5" t="n">
        <v>41.088658898865695</v>
      </c>
      <c r="E35" s="5" t="n">
        <v>218.43283705136253</v>
      </c>
      <c r="F35" s="5" t="n">
        <v>815.9501301450208</v>
      </c>
      <c r="G35" s="5" t="n">
        <v>3595.263124181123</v>
      </c>
      <c r="H35" s="5" t="n">
        <v>21889.55855335105</v>
      </c>
      <c r="I35" s="5" t="n">
        <v>0.0</v>
      </c>
      <c r="J35" s="5">
        <f si="0" t="shared"/>
        <v>27021.360623663448</v>
      </c>
      <c r="L35" s="10">
        <v>0.66666666666666663</v>
      </c>
      <c r="M35" s="8" t="n">
        <v>649.9129753112793</v>
      </c>
      <c r="N35" s="8" t="n">
        <v>0.0</v>
      </c>
      <c r="O35" s="8" t="n">
        <v>0.0</v>
      </c>
      <c r="P35" s="8" t="n">
        <v>0.0</v>
      </c>
      <c r="Q35" s="8" t="n">
        <v>1201.067011833191</v>
      </c>
      <c r="R35" s="8" t="n">
        <v>3276.6596908569336</v>
      </c>
      <c r="S35" s="8" t="n">
        <v>17092.89307975769</v>
      </c>
      <c r="T35" s="8" t="n">
        <v>0.0</v>
      </c>
      <c r="U35">
        <f si="1" t="shared"/>
        <v>22278.962646484375</v>
      </c>
    </row>
    <row r="36" spans="1:21" x14ac:dyDescent="0.45">
      <c r="A36" s="10">
        <v>0.6875</v>
      </c>
      <c r="B36" s="5" t="n">
        <v>492.36113291774507</v>
      </c>
      <c r="C36" s="5" t="n">
        <v>44.765996531355555</v>
      </c>
      <c r="D36" s="5" t="n">
        <v>40.57306015424821</v>
      </c>
      <c r="E36" s="5" t="n">
        <v>243.940578483144</v>
      </c>
      <c r="F36" s="5" t="n">
        <v>686.6633295070357</v>
      </c>
      <c r="G36" s="5" t="n">
        <v>2617.9058410276025</v>
      </c>
      <c r="H36" s="5" t="n">
        <v>15800.570625957207</v>
      </c>
      <c r="I36" s="5" t="n">
        <v>0.0</v>
      </c>
      <c r="J36" s="5">
        <f si="0" t="shared"/>
        <v>19926.780564578337</v>
      </c>
      <c r="L36" s="10">
        <v>0.6875</v>
      </c>
      <c r="M36" s="8" t="n">
        <v>542.2047758102417</v>
      </c>
      <c r="N36" s="8" t="n">
        <v>0.0</v>
      </c>
      <c r="O36" s="8" t="n">
        <v>0.0</v>
      </c>
      <c r="P36" s="8" t="n">
        <v>0.0</v>
      </c>
      <c r="Q36" s="8" t="n">
        <v>953.8902540206909</v>
      </c>
      <c r="R36" s="8" t="n">
        <v>2489.9447078704834</v>
      </c>
      <c r="S36" s="8" t="n">
        <v>12841.867498397827</v>
      </c>
      <c r="T36" s="8" t="n">
        <v>0.0</v>
      </c>
      <c r="U36">
        <f si="1" t="shared"/>
        <v>16869.430010795593</v>
      </c>
    </row>
    <row r="37" spans="1:21" x14ac:dyDescent="0.45">
      <c r="A37" s="10">
        <v>0.70833333333333337</v>
      </c>
      <c r="B37" s="5" t="n">
        <v>546.823340714087</v>
      </c>
      <c r="C37" s="5" t="n">
        <v>51.90545364382079</v>
      </c>
      <c r="D37" s="5" t="n">
        <v>34.52762823126175</v>
      </c>
      <c r="E37" s="5" t="n">
        <v>244.5672541494117</v>
      </c>
      <c r="F37" s="5" t="n">
        <v>550.2613816566598</v>
      </c>
      <c r="G37" s="5" t="n">
        <v>1798.583205322698</v>
      </c>
      <c r="H37" s="5" t="n">
        <v>10306.469124157164</v>
      </c>
      <c r="I37" s="5" t="n">
        <v>0.0</v>
      </c>
      <c r="J37" s="5">
        <f si="0" t="shared"/>
        <v>13533.137387875104</v>
      </c>
      <c r="L37" s="10">
        <v>0.70833333333333337</v>
      </c>
      <c r="M37" s="8" t="n">
        <v>429.83616828918457</v>
      </c>
      <c r="N37" s="8" t="n">
        <v>0.0</v>
      </c>
      <c r="O37" s="8" t="n">
        <v>0.0</v>
      </c>
      <c r="P37" s="8" t="n">
        <v>0.0</v>
      </c>
      <c r="Q37" s="8" t="n">
        <v>713.5016860961914</v>
      </c>
      <c r="R37" s="8" t="n">
        <v>1710.5369138717651</v>
      </c>
      <c r="S37" s="8" t="n">
        <v>8690.118685722351</v>
      </c>
      <c r="T37" s="8" t="n">
        <v>0.0</v>
      </c>
      <c r="U37">
        <f si="1" t="shared"/>
        <v>11574.244235992432</v>
      </c>
    </row>
    <row r="38" spans="1:21" x14ac:dyDescent="0.45">
      <c r="A38" s="10">
        <v>0.72916666666666663</v>
      </c>
      <c r="B38" s="5" t="n">
        <v>558.3359961216829</v>
      </c>
      <c r="C38" s="5" t="n">
        <v>63.53727256832451</v>
      </c>
      <c r="D38" s="5" t="n">
        <v>25.02896445291386</v>
      </c>
      <c r="E38" s="5" t="n">
        <v>214.283585534854</v>
      </c>
      <c r="F38" s="5" t="n">
        <v>423.2524572715505</v>
      </c>
      <c r="G38" s="5" t="n">
        <v>1235.9249261656037</v>
      </c>
      <c r="H38" s="5" t="n">
        <v>6319.366074074411</v>
      </c>
      <c r="I38" s="5" t="n">
        <v>0.0</v>
      </c>
      <c r="J38" s="5">
        <f si="0" t="shared"/>
        <v>8839.7292761893405</v>
      </c>
      <c r="L38" s="10">
        <v>0.72916666666666663</v>
      </c>
      <c r="M38" s="8" t="n">
        <v>339.07963371276855</v>
      </c>
      <c r="N38" s="8" t="n">
        <v>0.0</v>
      </c>
      <c r="O38" s="8" t="n">
        <v>0.0</v>
      </c>
      <c r="P38" s="8" t="n">
        <v>0.0</v>
      </c>
      <c r="Q38" s="8" t="n">
        <v>521.5461378097534</v>
      </c>
      <c r="R38" s="8" t="n">
        <v>1088.7071495056152</v>
      </c>
      <c r="S38" s="8" t="n">
        <v>5413.558216094971</v>
      </c>
      <c r="T38" s="8" t="n">
        <v>0.0</v>
      </c>
      <c r="U38">
        <f si="1" t="shared"/>
        <v>7387.2173976898193</v>
      </c>
    </row>
    <row r="39" spans="1:21" x14ac:dyDescent="0.45">
      <c r="A39" s="10">
        <v>0.75</v>
      </c>
      <c r="B39" s="5" t="n">
        <v>521.3043751425573</v>
      </c>
      <c r="C39" s="5" t="n">
        <v>80.0236017519534</v>
      </c>
      <c r="D39" s="5" t="n">
        <v>15.539014961918095</v>
      </c>
      <c r="E39" s="5" t="n">
        <v>161.88378344460116</v>
      </c>
      <c r="F39" s="5" t="n">
        <v>320.24546597836706</v>
      </c>
      <c r="G39" s="5" t="n">
        <v>893.5728243011499</v>
      </c>
      <c r="H39" s="5" t="n">
        <v>3833.7565750088374</v>
      </c>
      <c r="I39" s="5" t="n">
        <v>0.0</v>
      </c>
      <c r="J39" s="5">
        <f si="0" t="shared"/>
        <v>5826.3256405893844</v>
      </c>
      <c r="L39" s="10">
        <v>0.75</v>
      </c>
      <c r="M39" s="8" t="n">
        <v>278.90907764434814</v>
      </c>
      <c r="N39" s="8" t="n">
        <v>0.0</v>
      </c>
      <c r="O39" s="8" t="n">
        <v>0.0</v>
      </c>
      <c r="P39" s="8" t="n">
        <v>0.0</v>
      </c>
      <c r="Q39" s="8" t="n">
        <v>387.24971866607666</v>
      </c>
      <c r="R39" s="8" t="n">
        <v>665.295126914978</v>
      </c>
      <c r="S39" s="8" t="n">
        <v>3206.055687904358</v>
      </c>
      <c r="T39" s="8" t="n">
        <v>0.0</v>
      </c>
      <c r="U39">
        <f si="1" t="shared"/>
        <v>4558.0695400238037</v>
      </c>
    </row>
    <row r="40" spans="1:21" x14ac:dyDescent="0.45">
      <c r="A40" s="10">
        <v>0.77083333333333337</v>
      </c>
      <c r="B40" s="5" t="n">
        <v>452.0011843973069</v>
      </c>
      <c r="C40" s="5" t="n">
        <v>100.17995139699468</v>
      </c>
      <c r="D40" s="5" t="n">
        <v>8.887648095208341</v>
      </c>
      <c r="E40" s="5" t="n">
        <v>106.55467290439626</v>
      </c>
      <c r="F40" s="5" t="n">
        <v>253.9399486501635</v>
      </c>
      <c r="G40" s="5" t="n">
        <v>684.5880997729358</v>
      </c>
      <c r="H40" s="5" t="n">
        <v>2407.9684569592273</v>
      </c>
      <c r="I40" s="5" t="n">
        <v>0.0</v>
      </c>
      <c r="J40" s="5">
        <f si="0" t="shared"/>
        <v>4014.1199621762325</v>
      </c>
      <c r="L40" s="10">
        <v>0.77083333333333337</v>
      </c>
      <c r="M40" s="8" t="n">
        <v>245.99982261657715</v>
      </c>
      <c r="N40" s="8" t="n">
        <v>0.0</v>
      </c>
      <c r="O40" s="8" t="n">
        <v>0.0</v>
      </c>
      <c r="P40" s="8" t="n">
        <v>0.0</v>
      </c>
      <c r="Q40" s="8" t="n">
        <v>300.13869762420654</v>
      </c>
      <c r="R40" s="8" t="n">
        <v>407.94674491882324</v>
      </c>
      <c r="S40" s="8" t="n">
        <v>1879.0751180648804</v>
      </c>
      <c r="T40" s="8" t="n">
        <v>0.0</v>
      </c>
      <c r="U40">
        <f si="1" t="shared"/>
        <v>2849.4454069137573</v>
      </c>
    </row>
    <row r="41" spans="1:21" x14ac:dyDescent="0.45">
      <c r="A41" s="10">
        <v>0.79166666666666663</v>
      </c>
      <c r="B41" s="5" t="n">
        <v>377.8073485647987</v>
      </c>
      <c r="C41" s="5" t="n">
        <v>118.751588741999</v>
      </c>
      <c r="D41" s="5" t="n">
        <v>5.9646544104610335</v>
      </c>
      <c r="E41" s="5" t="n">
        <v>65.17370145405295</v>
      </c>
      <c r="F41" s="5" t="n">
        <v>230.57799937180252</v>
      </c>
      <c r="G41" s="5" t="n">
        <v>534.9864592848949</v>
      </c>
      <c r="H41" s="5" t="n">
        <v>1599.1669449001686</v>
      </c>
      <c r="I41" s="5" t="n">
        <v>0.0</v>
      </c>
      <c r="J41" s="5">
        <f si="0" t="shared"/>
        <v>2932.4286967281778</v>
      </c>
      <c r="L41" s="10">
        <v>0.79166666666666663</v>
      </c>
      <c r="M41" s="8" t="n">
        <v>231.9000425338745</v>
      </c>
      <c r="N41" s="8" t="n">
        <v>0.0</v>
      </c>
      <c r="O41" s="8" t="n">
        <v>0.0</v>
      </c>
      <c r="P41" s="8" t="n">
        <v>0.0</v>
      </c>
      <c r="Q41" s="8" t="n">
        <v>244.62235260009766</v>
      </c>
      <c r="R41" s="8" t="n">
        <v>262.9137325286865</v>
      </c>
      <c r="S41" s="8" t="n">
        <v>1138.7283020019531</v>
      </c>
      <c r="T41" s="8" t="n">
        <v>0.0</v>
      </c>
      <c r="U41">
        <f si="1" t="shared"/>
        <v>1889.0545406341553</v>
      </c>
    </row>
    <row r="42" spans="1:21" x14ac:dyDescent="0.45">
      <c r="A42" s="10">
        <v>0.8125</v>
      </c>
      <c r="B42" s="5" t="n">
        <v>321.1036708560932</v>
      </c>
      <c r="C42" s="5" t="n">
        <v>127.50128445268572</v>
      </c>
      <c r="D42" s="5" t="n">
        <v>5.84712744496983</v>
      </c>
      <c r="E42" s="5" t="n">
        <v>43.12517833807325</v>
      </c>
      <c r="F42" s="5" t="n">
        <v>243.18287517756738</v>
      </c>
      <c r="G42" s="5" t="n">
        <v>406.03953871682427</v>
      </c>
      <c r="H42" s="5" t="n">
        <v>1120.0652824879303</v>
      </c>
      <c r="I42" s="5" t="n">
        <v>0.0</v>
      </c>
      <c r="J42" s="5">
        <f si="0" t="shared"/>
        <v>2266.8649574741439</v>
      </c>
      <c r="L42" s="10">
        <v>0.8125</v>
      </c>
      <c r="M42" s="8" t="n">
        <v>227.027925491333</v>
      </c>
      <c r="N42" s="8" t="n">
        <v>0.0</v>
      </c>
      <c r="O42" s="8" t="n">
        <v>0.0</v>
      </c>
      <c r="P42" s="8" t="n">
        <v>0.0</v>
      </c>
      <c r="Q42" s="8" t="n">
        <v>207.01463985443115</v>
      </c>
      <c r="R42" s="8" t="n">
        <v>184.44835758209229</v>
      </c>
      <c r="S42" s="8" t="n">
        <v>741.1163330078125</v>
      </c>
      <c r="T42" s="8" t="n">
        <v>0.0</v>
      </c>
      <c r="U42">
        <f si="1" t="shared"/>
        <v>1364.7347764968872</v>
      </c>
    </row>
    <row r="43" spans="1:21" x14ac:dyDescent="0.45">
      <c r="A43" s="10">
        <v>0.83333333333333337</v>
      </c>
      <c r="B43" s="5" t="n">
        <v>289.1952476523128</v>
      </c>
      <c r="C43" s="5" t="n">
        <v>120.2676358017231</v>
      </c>
      <c r="D43" s="5" t="n">
        <v>6.794583218584501</v>
      </c>
      <c r="E43" s="5" t="n">
        <v>35.12220637453261</v>
      </c>
      <c r="F43" s="5" t="n">
        <v>270.75253282973586</v>
      </c>
      <c r="G43" s="5" t="n">
        <v>289.4697411312652</v>
      </c>
      <c r="H43" s="5" t="n">
        <v>811.6119984105337</v>
      </c>
      <c r="I43" s="5" t="n">
        <v>0.0</v>
      </c>
      <c r="J43" s="5">
        <f si="0" t="shared"/>
        <v>1823.2139454186877</v>
      </c>
      <c r="L43" s="10">
        <v>0.83333333333333337</v>
      </c>
      <c r="M43" s="8" t="n">
        <v>223.05545616149902</v>
      </c>
      <c r="N43" s="8" t="n">
        <v>0.0</v>
      </c>
      <c r="O43" s="8" t="n">
        <v>0.0</v>
      </c>
      <c r="P43" s="8" t="n">
        <v>0.0</v>
      </c>
      <c r="Q43" s="8" t="n">
        <v>177.32952117919922</v>
      </c>
      <c r="R43" s="8" t="n">
        <v>141.46925354003906</v>
      </c>
      <c r="S43" s="8" t="n">
        <v>524.9783535003662</v>
      </c>
      <c r="T43" s="8" t="n">
        <v>0.0</v>
      </c>
      <c r="U43">
        <f si="1" t="shared"/>
        <v>1066.7913780212402</v>
      </c>
    </row>
    <row r="44" spans="1:21" x14ac:dyDescent="0.45">
      <c r="A44" s="10">
        <v>0.85416666666666663</v>
      </c>
      <c r="B44" s="5" t="n">
        <v>274.06429744483853</v>
      </c>
      <c r="C44" s="5" t="n">
        <v>97.74804828916825</v>
      </c>
      <c r="D44" s="5" t="n">
        <v>7.274028258385228</v>
      </c>
      <c r="E44" s="5" t="n">
        <v>32.42101281235232</v>
      </c>
      <c r="F44" s="5" t="n">
        <v>287.9399088655182</v>
      </c>
      <c r="G44" s="5" t="n">
        <v>191.77391870172232</v>
      </c>
      <c r="H44" s="5" t="n">
        <v>587.5800103928441</v>
      </c>
      <c r="I44" s="5" t="n">
        <v>0.0</v>
      </c>
      <c r="J44" s="5">
        <f si="0" t="shared"/>
        <v>1478.8012247648289</v>
      </c>
      <c r="L44" s="10">
        <v>0.85416666666666663</v>
      </c>
      <c r="M44" s="8" t="n">
        <v>215.81820583343506</v>
      </c>
      <c r="N44" s="8" t="n">
        <v>0.0</v>
      </c>
      <c r="O44" s="8" t="n">
        <v>0.0</v>
      </c>
      <c r="P44" s="8" t="n">
        <v>0.0</v>
      </c>
      <c r="Q44" s="8" t="n">
        <v>150.15192699432373</v>
      </c>
      <c r="R44" s="8" t="n">
        <v>115.62206172943115</v>
      </c>
      <c r="S44" s="8" t="n">
        <v>397.0098066329956</v>
      </c>
      <c r="T44" s="8" t="n">
        <v>0.0</v>
      </c>
      <c r="U44">
        <f si="1" t="shared"/>
        <v>874.71444797515869</v>
      </c>
    </row>
    <row r="45" spans="1:21" x14ac:dyDescent="0.45">
      <c r="A45" s="10">
        <v>0.875</v>
      </c>
      <c r="B45" s="5" t="n">
        <v>259.2976918797765</v>
      </c>
      <c r="C45" s="5" t="n">
        <v>67.49674647624906</v>
      </c>
      <c r="D45" s="5" t="n">
        <v>6.584054824839338</v>
      </c>
      <c r="E45" s="5" t="n">
        <v>29.132308799032153</v>
      </c>
      <c r="F45" s="5" t="n">
        <v>279.1412232235042</v>
      </c>
      <c r="G45" s="5" t="n">
        <v>119.11539438192264</v>
      </c>
      <c r="H45" s="5" t="n">
        <v>407.1921728562074</v>
      </c>
      <c r="I45" s="5" t="n">
        <v>0.0</v>
      </c>
      <c r="J45" s="5">
        <f si="0" t="shared"/>
        <v>1167.9595924415314</v>
      </c>
      <c r="L45" s="10">
        <v>0.875</v>
      </c>
      <c r="M45" s="8" t="n">
        <v>206.99493217468262</v>
      </c>
      <c r="N45" s="8" t="n">
        <v>0.0</v>
      </c>
      <c r="O45" s="8" t="n">
        <v>0.0</v>
      </c>
      <c r="P45" s="8" t="n">
        <v>0.0</v>
      </c>
      <c r="Q45" s="8" t="n">
        <v>124.83556175231934</v>
      </c>
      <c r="R45" s="8" t="n">
        <v>98.22183227539062</v>
      </c>
      <c r="S45" s="8" t="n">
        <v>312.1984052658081</v>
      </c>
      <c r="T45" s="8" t="n">
        <v>0.0</v>
      </c>
      <c r="U45">
        <f si="1" t="shared"/>
        <v>736.33921909332275</v>
      </c>
    </row>
    <row r="46" spans="1:21" x14ac:dyDescent="0.45">
      <c r="A46" s="10">
        <v>0.89583333333333337</v>
      </c>
      <c r="B46" s="5" t="n">
        <v>230.32121291312913</v>
      </c>
      <c r="C46" s="5" t="n">
        <v>39.083571853757064</v>
      </c>
      <c r="D46" s="5" t="n">
        <v>4.935410456041007</v>
      </c>
      <c r="E46" s="5" t="n">
        <v>23.88512952181075</v>
      </c>
      <c r="F46" s="5" t="n">
        <v>245.1190365297617</v>
      </c>
      <c r="G46" s="5" t="n">
        <v>70.53842621430668</v>
      </c>
      <c r="H46" s="5" t="n">
        <v>260.0688404489934</v>
      </c>
      <c r="I46" s="5" t="n">
        <v>0.0</v>
      </c>
      <c r="J46" s="5">
        <f si="0" t="shared"/>
        <v>873.95162793779969</v>
      </c>
      <c r="L46" s="10">
        <v>0.89583333333333337</v>
      </c>
      <c r="M46" s="8" t="n">
        <v>201.51831531524658</v>
      </c>
      <c r="N46" s="8" t="n">
        <v>0.0</v>
      </c>
      <c r="O46" s="8" t="n">
        <v>0.0</v>
      </c>
      <c r="P46" s="8" t="n">
        <v>0.0</v>
      </c>
      <c r="Q46" s="8" t="n">
        <v>103.57777118682861</v>
      </c>
      <c r="R46" s="8" t="n">
        <v>86.44038772583008</v>
      </c>
      <c r="S46" s="8" t="n">
        <v>254.27593421936035</v>
      </c>
      <c r="T46" s="8" t="n">
        <v>0.0</v>
      </c>
      <c r="U46">
        <f si="1" t="shared"/>
        <v>639.86554145812988</v>
      </c>
    </row>
    <row r="47" spans="1:21" x14ac:dyDescent="0.45">
      <c r="A47" s="10">
        <v>0.91666666666666663</v>
      </c>
      <c r="B47" s="5" t="n">
        <v>183.20339853639982</v>
      </c>
      <c r="C47" s="5" t="n">
        <v>18.695616292012076</v>
      </c>
      <c r="D47" s="5" t="n">
        <v>3.0370600317356304</v>
      </c>
      <c r="E47" s="5" t="n">
        <v>17.926154784058635</v>
      </c>
      <c r="F47" s="5" t="n">
        <v>197.35024895972634</v>
      </c>
      <c r="G47" s="5" t="n">
        <v>40.01945738866321</v>
      </c>
      <c r="H47" s="5" t="n">
        <v>148.9227925086481</v>
      </c>
      <c r="I47" s="5" t="n">
        <v>0.0</v>
      </c>
      <c r="J47" s="5">
        <f si="0" t="shared"/>
        <v>609.15472850124377</v>
      </c>
      <c r="L47" s="10">
        <v>0.91666666666666663</v>
      </c>
      <c r="M47" s="8" t="n">
        <v>201.49428176879883</v>
      </c>
      <c r="N47" s="8" t="n">
        <v>0.0</v>
      </c>
      <c r="O47" s="8" t="n">
        <v>0.0</v>
      </c>
      <c r="P47" s="8" t="n">
        <v>0.0</v>
      </c>
      <c r="Q47" s="8" t="n">
        <v>88.00053596496582</v>
      </c>
      <c r="R47" s="8" t="n">
        <v>78.96561431884766</v>
      </c>
      <c r="S47" s="8" t="n">
        <v>216.8964500427246</v>
      </c>
      <c r="T47" s="8" t="n">
        <v>0.0</v>
      </c>
      <c r="U47">
        <f si="1" t="shared"/>
        <v>581.02526664733887</v>
      </c>
    </row>
    <row r="48" spans="1:21" x14ac:dyDescent="0.45">
      <c r="A48" s="10">
        <v>0.9375</v>
      </c>
      <c r="B48" s="5" t="n">
        <v>126.40093460633038</v>
      </c>
      <c r="C48" s="5" t="n">
        <v>7.24683244426701</v>
      </c>
      <c r="D48" s="5" t="n">
        <v>1.5185300158678152</v>
      </c>
      <c r="E48" s="5" t="n">
        <v>12.660534742525773</v>
      </c>
      <c r="F48" s="5" t="n">
        <v>147.51576836635613</v>
      </c>
      <c r="G48" s="5" t="n">
        <v>21.3041078642308</v>
      </c>
      <c r="H48" s="5" t="n">
        <v>74.93490798641241</v>
      </c>
      <c r="I48" s="5" t="n">
        <v>0.0</v>
      </c>
      <c r="J48" s="5">
        <f si="0" t="shared"/>
        <v>391.58161602599034</v>
      </c>
      <c r="L48" s="10">
        <v>0.9375</v>
      </c>
      <c r="M48" s="8" t="n">
        <v>201.92930603027344</v>
      </c>
      <c r="N48" s="8" t="n">
        <v>0.0</v>
      </c>
      <c r="O48" s="8" t="n">
        <v>0.0</v>
      </c>
      <c r="P48" s="8" t="n">
        <v>0.0</v>
      </c>
      <c r="Q48" s="8" t="n">
        <v>76.86524295806885</v>
      </c>
      <c r="R48" s="8" t="n">
        <v>73.24878787994385</v>
      </c>
      <c r="S48" s="8" t="n">
        <v>191.86797046661377</v>
      </c>
      <c r="T48" s="8" t="n">
        <v>0.0</v>
      </c>
      <c r="U48">
        <f si="1" t="shared"/>
        <v>542.06417846679688</v>
      </c>
    </row>
    <row r="49" spans="1:21" x14ac:dyDescent="0.45">
      <c r="A49" s="10">
        <v>0.95833333333333337</v>
      </c>
      <c r="B49" s="5" t="n">
        <v>73.95613413664246</v>
      </c>
      <c r="C49" s="5" t="n">
        <v>2.2164831619227057</v>
      </c>
      <c r="D49" s="5" t="n">
        <v>0.607412006347126</v>
      </c>
      <c r="E49" s="5" t="n">
        <v>8.579200294765458</v>
      </c>
      <c r="F49" s="5" t="n">
        <v>102.19678686432934</v>
      </c>
      <c r="G49" s="5" t="n">
        <v>10.223277948771624</v>
      </c>
      <c r="H49" s="5" t="n">
        <v>32.54296023618102</v>
      </c>
      <c r="I49" s="5" t="n">
        <v>0.0</v>
      </c>
      <c r="J49" s="5">
        <f si="0" t="shared"/>
        <v>230.32225464895973</v>
      </c>
      <c r="L49" s="10">
        <v>0.95833333333333337</v>
      </c>
      <c r="M49" s="8" t="n">
        <v>193.0247287750244</v>
      </c>
      <c r="N49" s="8" t="n">
        <v>0.0</v>
      </c>
      <c r="O49" s="8" t="n">
        <v>0.0</v>
      </c>
      <c r="P49" s="8" t="n">
        <v>0.0</v>
      </c>
      <c r="Q49" s="8" t="n">
        <v>66.72319221496582</v>
      </c>
      <c r="R49" s="8" t="n">
        <v>65.80945110321045</v>
      </c>
      <c r="S49" s="8" t="n">
        <v>168.2339916229248</v>
      </c>
      <c r="T49" s="8" t="n">
        <v>0.0</v>
      </c>
      <c r="U49">
        <f si="1" t="shared"/>
        <v>494.37289142608643</v>
      </c>
    </row>
    <row r="50" spans="1:21" x14ac:dyDescent="0.45">
      <c r="A50" s="10">
        <v>0.97916666666666663</v>
      </c>
      <c r="B50" s="5" t="n">
        <v>36.008161674269985</v>
      </c>
      <c r="C50" s="5" t="n">
        <v>0.5143716270872847</v>
      </c>
      <c r="D50" s="5" t="n">
        <v>0.1898162519834769</v>
      </c>
      <c r="E50" s="5" t="n">
        <v>5.527173035345956</v>
      </c>
      <c r="F50" s="5" t="n">
        <v>64.2960012464619</v>
      </c>
      <c r="G50" s="5" t="n">
        <v>4.232790897409508</v>
      </c>
      <c r="H50" s="5" t="n">
        <v>11.953699976106158</v>
      </c>
      <c r="I50" s="5" t="n">
        <v>0.0</v>
      </c>
      <c r="J50" s="5">
        <f si="0" t="shared"/>
        <v>122.72201470866426</v>
      </c>
      <c r="L50" s="10">
        <v>0.97916666666666663</v>
      </c>
      <c r="M50" s="8" t="n">
        <v>167.7768964767456</v>
      </c>
      <c r="N50" s="8" t="n">
        <v>0.0</v>
      </c>
      <c r="O50" s="8" t="n">
        <v>0.0</v>
      </c>
      <c r="P50" s="8" t="n">
        <v>0.0</v>
      </c>
      <c r="Q50" s="8" t="n">
        <v>54.62200450897217</v>
      </c>
      <c r="R50" s="8" t="n">
        <v>54.49270725250244</v>
      </c>
      <c r="S50" s="8" t="n">
        <v>138.15031337738037</v>
      </c>
      <c r="T50" s="8" t="n">
        <v>0.0</v>
      </c>
      <c r="U50">
        <f si="1" t="shared"/>
        <v>417.26675796508789</v>
      </c>
    </row>
    <row r="51" spans="1:21" x14ac:dyDescent="0.45">
      <c r="A51" s="10">
        <v>1</v>
      </c>
      <c r="B51" s="5" t="n">
        <v>14.30992490661794</v>
      </c>
      <c r="C51" s="5" t="n">
        <v>0.08505296569673088</v>
      </c>
      <c r="D51" s="5" t="n">
        <v>0.04466264752552397</v>
      </c>
      <c r="E51" s="5" t="n">
        <v>3.2737400201671782</v>
      </c>
      <c r="F51" s="5" t="n">
        <v>35.579781499802756</v>
      </c>
      <c r="G51" s="5" t="n">
        <v>1.452714894899727</v>
      </c>
      <c r="H51" s="5" t="n">
        <v>3.619800158296893</v>
      </c>
      <c r="I51" s="5" t="n">
        <v>0.0</v>
      </c>
      <c r="J51" s="5">
        <f si="0" t="shared"/>
        <v>58.365677093006745</v>
      </c>
      <c r="L51" s="10">
        <v>1</v>
      </c>
      <c r="M51" s="8" t="n">
        <v>128.11441898345947</v>
      </c>
      <c r="N51" s="8" t="n">
        <v>0.0</v>
      </c>
      <c r="O51" s="8" t="n">
        <v>0.0</v>
      </c>
      <c r="P51" s="8" t="n">
        <v>0.0</v>
      </c>
      <c r="Q51" s="8" t="n">
        <v>40.26989936828613</v>
      </c>
      <c r="R51" s="8" t="n">
        <v>40.0490198135376</v>
      </c>
      <c r="S51" s="8" t="n">
        <v>101.54160022735596</v>
      </c>
      <c r="T51" s="8" t="n">
        <v>0.0</v>
      </c>
      <c r="U51">
        <f si="1" t="shared"/>
        <v>312.75850200653076</v>
      </c>
    </row>
    <row r="52" spans="1:21" x14ac:dyDescent="0.45">
      <c r="A52" s="10">
        <v>1.0208333333333333</v>
      </c>
      <c r="B52" s="5" t="n">
        <v>4.534893231236942</v>
      </c>
      <c r="C52" s="5" t="n">
        <v>0.008922463810882204</v>
      </c>
      <c r="D52" s="5" t="n">
        <v>0.007443774587587329</v>
      </c>
      <c r="E52" s="5" t="n">
        <v>1.7132316149073596</v>
      </c>
      <c r="F52" s="5" t="n">
        <v>16.732513778859257</v>
      </c>
      <c r="G52" s="5" t="n">
        <v>0.3975307456597767</v>
      </c>
      <c r="H52" s="5" t="n">
        <v>0.8732616645104183</v>
      </c>
      <c r="I52" s="5" t="n">
        <v>0.0</v>
      </c>
      <c r="J52" s="5">
        <f si="0" t="shared"/>
        <v>24.267797273572221</v>
      </c>
      <c r="L52" s="10">
        <v>1.0208333333333333</v>
      </c>
      <c r="M52" s="8" t="n">
        <v>83.9503345489502</v>
      </c>
      <c r="N52" s="8" t="n">
        <v>0.0</v>
      </c>
      <c r="O52" s="8" t="n">
        <v>0.0</v>
      </c>
      <c r="P52" s="8" t="n">
        <v>0.0</v>
      </c>
      <c r="Q52" s="8" t="n">
        <v>25.87080669403076</v>
      </c>
      <c r="R52" s="8" t="n">
        <v>25.452338218688965</v>
      </c>
      <c r="S52" s="8" t="n">
        <v>64.77544784545898</v>
      </c>
      <c r="T52" s="8" t="n">
        <v>0.0</v>
      </c>
      <c r="U52">
        <f si="1" t="shared"/>
        <v>202.48378562927246</v>
      </c>
    </row>
    <row r="53" spans="1:21" x14ac:dyDescent="0.45">
      <c r="A53" s="10">
        <v>4.1666666666666664E-2</v>
      </c>
      <c r="B53" s="5" t="n">
        <v>1.110570767870317</v>
      </c>
      <c r="C53" s="5" t="n">
        <v>4.461231905441102E-4</v>
      </c>
      <c r="D53" s="5" t="n">
        <v>7.835552197460348E-4</v>
      </c>
      <c r="E53" s="5" t="n">
        <v>0.7649011018249461</v>
      </c>
      <c r="F53" s="5" t="n">
        <v>6.467268879855945</v>
      </c>
      <c r="G53" s="5" t="n">
        <v>0.0828505282169072</v>
      </c>
      <c r="H53" s="5" t="n">
        <v>0.15996316363414292</v>
      </c>
      <c r="I53" s="5" t="n">
        <v>0.0</v>
      </c>
      <c r="J53" s="5">
        <f si="0" t="shared"/>
        <v>8.5867841198125472</v>
      </c>
      <c r="L53" s="10">
        <v>4.1666666666666664E-2</v>
      </c>
      <c r="M53" s="8" t="n">
        <v>46.35777473449707</v>
      </c>
      <c r="N53" s="8" t="n">
        <v>0.0</v>
      </c>
      <c r="O53" s="8" t="n">
        <v>0.0</v>
      </c>
      <c r="P53" s="8" t="n">
        <v>0.0</v>
      </c>
      <c r="Q53" s="8" t="n">
        <v>14.139172554016113</v>
      </c>
      <c r="R53" s="8" t="n">
        <v>13.712088584899902</v>
      </c>
      <c r="S53" s="8" t="n">
        <v>35.07396984100342</v>
      </c>
      <c r="T53" s="8" t="n">
        <v>0.0</v>
      </c>
      <c r="U53">
        <f si="1" t="shared"/>
        <v>110.93249702453613</v>
      </c>
    </row>
    <row r="54" spans="1:21" x14ac:dyDescent="0.45">
      <c r="A54" s="10">
        <v>6.25E-2</v>
      </c>
      <c r="B54" s="5" t="n">
        <v>0.20068094206510473</v>
      </c>
      <c r="C54" s="5" t="n">
        <v>0.0</v>
      </c>
      <c r="D54" s="5" t="n">
        <v>3.917776098730173E-5</v>
      </c>
      <c r="E54" s="5" t="n">
        <v>0.28248520024080404</v>
      </c>
      <c r="F54" s="5" t="n">
        <v>1.9834262539121785</v>
      </c>
      <c r="G54" s="5" t="n">
        <v>0.012303327323694562</v>
      </c>
      <c r="H54" s="5" t="n">
        <v>0.02067295331850179</v>
      </c>
      <c r="I54" s="5" t="n">
        <v>0.0</v>
      </c>
      <c r="J54" s="5">
        <f si="0" t="shared"/>
        <v>2.4996078546212708</v>
      </c>
      <c r="L54" s="10">
        <v>6.25E-2</v>
      </c>
      <c r="M54" s="8" t="n">
        <v>21.19874668121338</v>
      </c>
      <c r="N54" s="8" t="n">
        <v>0.0</v>
      </c>
      <c r="O54" s="8" t="n">
        <v>0.0</v>
      </c>
      <c r="P54" s="8" t="n">
        <v>0.0</v>
      </c>
      <c r="Q54" s="8" t="n">
        <v>6.43808650970459</v>
      </c>
      <c r="R54" s="8" t="n">
        <v>6.146331787109375</v>
      </c>
      <c r="S54" s="8" t="n">
        <v>15.805320739746094</v>
      </c>
      <c r="T54" s="8" t="n">
        <v>0.0</v>
      </c>
      <c r="U54">
        <f si="1" t="shared"/>
        <v>50.474075317382813</v>
      </c>
    </row>
    <row r="55" spans="1:21" x14ac:dyDescent="0.45">
      <c r="A55" s="10">
        <v>8.3333333333333329E-2</v>
      </c>
      <c r="B55" s="5" t="n">
        <v>0.024833670563994395</v>
      </c>
      <c r="C55" s="5" t="n">
        <v>0.0</v>
      </c>
      <c r="D55" s="5" t="n">
        <v>0.0</v>
      </c>
      <c r="E55" s="5" t="n">
        <v>0.08352621160868408</v>
      </c>
      <c r="F55" s="5" t="n">
        <v>0.462061883113985</v>
      </c>
      <c r="G55" s="5" t="n">
        <v>0.0011561176322703876</v>
      </c>
      <c r="H55" s="5" t="n">
        <v>0.0016549296318383866</v>
      </c>
      <c r="I55" s="5" t="n">
        <v>0.0</v>
      </c>
      <c r="J55" s="5">
        <f si="0" t="shared"/>
        <v>0.57323281255077219</v>
      </c>
      <c r="L55" s="10">
        <v>8.3333333333333329E-2</v>
      </c>
      <c r="M55" s="8" t="n">
        <v>7.865639686584473</v>
      </c>
      <c r="N55" s="8" t="n">
        <v>0.0</v>
      </c>
      <c r="O55" s="8" t="n">
        <v>0.0</v>
      </c>
      <c r="P55" s="8" t="n">
        <v>0.0</v>
      </c>
      <c r="Q55" s="8" t="n">
        <v>2.3882293701171875</v>
      </c>
      <c r="R55" s="8" t="n">
        <v>2.24404239654541</v>
      </c>
      <c r="S55" s="8" t="n">
        <v>5.800140380859375</v>
      </c>
      <c r="T55" s="8" t="n">
        <v>0.0</v>
      </c>
      <c r="U55">
        <f si="1" t="shared"/>
        <v>18.673791885375977</v>
      </c>
    </row>
    <row r="56" spans="1:21" x14ac:dyDescent="0.45">
      <c r="A56" s="10">
        <v>0.10416666666666667</v>
      </c>
      <c r="B56" s="5" t="n">
        <v>0.0018327641850399245</v>
      </c>
      <c r="C56" s="5" t="n">
        <v>0.0</v>
      </c>
      <c r="D56" s="5" t="n">
        <v>0.0</v>
      </c>
      <c r="E56" s="5" t="n">
        <v>0.018952848545944694</v>
      </c>
      <c r="F56" s="5" t="n">
        <v>0.07663279227924596</v>
      </c>
      <c r="G56" s="5" t="n">
        <v>5.1519168198634246E-5</v>
      </c>
      <c r="H56" s="5" t="n">
        <v>6.03218940132865E-5</v>
      </c>
      <c r="I56" s="5" t="n">
        <v>0.0</v>
      </c>
      <c r="J56" s="5">
        <f si="0" t="shared"/>
        <v>9.7530246072442497E-2</v>
      </c>
      <c r="L56" s="10">
        <v>0.10416666666666667</v>
      </c>
      <c r="M56" s="8" t="n">
        <v>2.304593086242676</v>
      </c>
      <c r="N56" s="8" t="n">
        <v>0.0</v>
      </c>
      <c r="O56" s="8" t="n">
        <v>0.0</v>
      </c>
      <c r="P56" s="8" t="n">
        <v>0.0</v>
      </c>
      <c r="Q56" s="8" t="n">
        <v>0.7014875411987305</v>
      </c>
      <c r="R56" s="8" t="n">
        <v>0.6489982604980469</v>
      </c>
      <c r="S56" s="8" t="n">
        <v>1.6854381561279297</v>
      </c>
      <c r="T56" s="8" t="n">
        <v>0.0</v>
      </c>
      <c r="U56">
        <f si="1" t="shared"/>
        <v>5.4642009735107422</v>
      </c>
    </row>
    <row r="57" spans="1:21" x14ac:dyDescent="0.45">
      <c r="A57" s="10">
        <v>0.125</v>
      </c>
      <c r="B57" s="5" t="n">
        <v>5.767655648718624E-5</v>
      </c>
      <c r="C57" s="5" t="n">
        <v>0.0</v>
      </c>
      <c r="D57" s="5" t="n">
        <v>0.0</v>
      </c>
      <c r="E57" s="5" t="n">
        <v>0.0030765333453036422</v>
      </c>
      <c r="F57" s="5" t="n">
        <v>0.008051194305334932</v>
      </c>
      <c r="G57" s="5" t="n">
        <v>0.0</v>
      </c>
      <c r="H57" s="5" t="n">
        <v>0.0</v>
      </c>
      <c r="I57" s="5" t="n">
        <v>0.0</v>
      </c>
      <c r="J57" s="5">
        <f si="0" t="shared"/>
        <v>1.118540420712576E-2</v>
      </c>
      <c r="L57" s="10">
        <v>0.125</v>
      </c>
      <c r="M57" s="8" t="n">
        <v>0.5047483444213867</v>
      </c>
      <c r="N57" s="8" t="n">
        <v>0.0</v>
      </c>
      <c r="O57" s="8" t="n">
        <v>0.0</v>
      </c>
      <c r="P57" s="8" t="n">
        <v>0.0</v>
      </c>
      <c r="Q57" s="8" t="n">
        <v>0.1542816162109375</v>
      </c>
      <c r="R57" s="8" t="n">
        <v>0.14069557189941406</v>
      </c>
      <c r="S57" s="8" t="n">
        <v>0.36693382263183594</v>
      </c>
      <c r="T57" s="8" t="n">
        <v>0.0</v>
      </c>
      <c r="U57">
        <f si="1" t="shared"/>
        <v>1.1966190338134766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Z58"/>
  <sheetViews>
    <sheetView workbookViewId="0">
      <selection activeCell="A3" sqref="A3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42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1203.6909420799147</v>
      </c>
      <c r="C8" s="5" t="n">
        <v>38.8996770733335</v>
      </c>
      <c r="D8" s="5" t="n">
        <v>26.9385388068224</v>
      </c>
      <c r="E8" s="5" t="n">
        <v>718.7548911034289</v>
      </c>
      <c r="F8" s="5" t="n">
        <v>431.0133207140383</v>
      </c>
      <c r="G8" s="5" t="n">
        <v>176.790514126192</v>
      </c>
      <c r="H8" s="5" t="n">
        <v>0.0</v>
      </c>
      <c r="I8" s="5" t="n">
        <v>0.0</v>
      </c>
      <c r="J8" s="5">
        <f>SUM(B8:I8)</f>
        <v>2596.08788390373</v>
      </c>
      <c r="L8" t="s">
        <v>5</v>
      </c>
      <c r="M8" s="8" t="n">
        <v>799.0</v>
      </c>
      <c r="N8" s="8" t="n">
        <v>94.0</v>
      </c>
      <c r="O8" s="8" t="n">
        <v>124.0</v>
      </c>
      <c r="P8" s="8" t="n">
        <v>151.0</v>
      </c>
      <c r="Q8" s="8" t="n">
        <v>82.0</v>
      </c>
      <c r="R8" s="8" t="n">
        <v>159.0</v>
      </c>
      <c r="S8" s="8" t="n">
        <v>401.0</v>
      </c>
      <c r="T8" s="8" t="n">
        <v>0.0</v>
      </c>
      <c r="U8">
        <f>SUM(M8:T8)</f>
        <v>1745</v>
      </c>
      <c r="X8" s="5"/>
      <c r="Y8" s="5"/>
    </row>
    <row r="9" spans="1:25" x14ac:dyDescent="0.45">
      <c r="A9" s="10">
        <v>0.125</v>
      </c>
      <c r="B9" s="5" t="n">
        <v>832.1521103679934</v>
      </c>
      <c r="C9" s="5" t="n">
        <v>32.542349861591184</v>
      </c>
      <c r="D9" s="5" t="n">
        <v>28.06596639451886</v>
      </c>
      <c r="E9" s="5" t="n">
        <v>488.70675390784254</v>
      </c>
      <c r="F9" s="5" t="n">
        <v>290.1042588016233</v>
      </c>
      <c r="G9" s="5" t="n">
        <v>117.34263787132048</v>
      </c>
      <c r="H9" s="5" t="n">
        <v>0.8054090126540787</v>
      </c>
      <c r="I9" s="5" t="n">
        <v>0.0</v>
      </c>
      <c r="J9" s="5">
        <f ref="J9:J58" si="0" t="shared">SUM(B9:I9)</f>
        <v>1789.7194862175438</v>
      </c>
      <c r="L9" s="10">
        <v>0.125</v>
      </c>
      <c r="M9" s="8" t="n">
        <v>658.2212390899658</v>
      </c>
      <c r="N9" s="8" t="n">
        <v>83.67885208129883</v>
      </c>
      <c r="O9" s="8" t="n">
        <v>114.77318859100342</v>
      </c>
      <c r="P9" s="8" t="n">
        <v>142.05395793914795</v>
      </c>
      <c r="Q9" s="8" t="n">
        <v>56.82592964172363</v>
      </c>
      <c r="R9" s="8" t="n">
        <v>107.8181505203247</v>
      </c>
      <c r="S9" s="8" t="n">
        <v>280.13804626464844</v>
      </c>
      <c r="T9" s="8" t="n">
        <v>0.0</v>
      </c>
      <c r="U9">
        <f ref="U9:U58" si="1" t="shared">SUM(M9:T9)</f>
        <v>1396.4328832626343</v>
      </c>
      <c r="X9" s="5"/>
      <c r="Y9" s="5"/>
    </row>
    <row r="10" spans="1:25" x14ac:dyDescent="0.45">
      <c r="A10" s="10">
        <v>0.14583333333333334</v>
      </c>
      <c r="B10" s="5" t="n">
        <v>554.2745851023357</v>
      </c>
      <c r="C10" s="5" t="n">
        <v>29.697417261246365</v>
      </c>
      <c r="D10" s="5" t="n">
        <v>38.56095754865901</v>
      </c>
      <c r="E10" s="5" t="n">
        <v>311.31408293451284</v>
      </c>
      <c r="F10" s="5" t="n">
        <v>173.30547002296356</v>
      </c>
      <c r="G10" s="5" t="n">
        <v>67.88773092089505</v>
      </c>
      <c r="H10" s="5" t="n">
        <v>3.777243913522532</v>
      </c>
      <c r="I10" s="5" t="n">
        <v>0.0</v>
      </c>
      <c r="J10" s="5">
        <f si="0" t="shared"/>
        <v>1178.8174877041351</v>
      </c>
      <c r="L10" s="10">
        <v>0.14583333333333334</v>
      </c>
      <c r="M10" s="8" t="n">
        <v>560.0316781997681</v>
      </c>
      <c r="N10" s="8" t="n">
        <v>79.51049327850342</v>
      </c>
      <c r="O10" s="8" t="n">
        <v>115.49581050872803</v>
      </c>
      <c r="P10" s="8" t="n">
        <v>144.40624618530273</v>
      </c>
      <c r="Q10" s="8" t="n">
        <v>36.47254753112793</v>
      </c>
      <c r="R10" s="8" t="n">
        <v>65.55012893676758</v>
      </c>
      <c r="S10" s="8" t="n">
        <v>180.4064998626709</v>
      </c>
      <c r="T10" s="8" t="n">
        <v>0.0</v>
      </c>
      <c r="U10">
        <f si="1" t="shared"/>
        <v>1150.974949836731</v>
      </c>
      <c r="X10" s="5"/>
      <c r="Y10" s="5"/>
    </row>
    <row r="11" spans="1:25" x14ac:dyDescent="0.45">
      <c r="A11" s="10">
        <v>0.16666666666666666</v>
      </c>
      <c r="B11" s="5" t="n">
        <v>446.7402436330243</v>
      </c>
      <c r="C11" s="5" t="n">
        <v>36.96393728655816</v>
      </c>
      <c r="D11" s="5" t="n">
        <v>67.22548633936806</v>
      </c>
      <c r="E11" s="5" t="n">
        <v>232.17833863451295</v>
      </c>
      <c r="F11" s="5" t="n">
        <v>95.50155458187336</v>
      </c>
      <c r="G11" s="5" t="n">
        <v>33.97603426314924</v>
      </c>
      <c r="H11" s="5" t="n">
        <v>13.344286276640236</v>
      </c>
      <c r="I11" s="5" t="n">
        <v>0.0</v>
      </c>
      <c r="J11" s="5">
        <f si="0" t="shared"/>
        <v>925.9298810151264</v>
      </c>
      <c r="L11" s="10">
        <v>0.16666666666666666</v>
      </c>
      <c r="M11" s="8" t="n">
        <v>547.1667499542236</v>
      </c>
      <c r="N11" s="8" t="n">
        <v>89.50158786773682</v>
      </c>
      <c r="O11" s="8" t="n">
        <v>140.87033653259277</v>
      </c>
      <c r="P11" s="8" t="n">
        <v>175.75830936431885</v>
      </c>
      <c r="Q11" s="8" t="n">
        <v>24.36865520477295</v>
      </c>
      <c r="R11" s="8" t="n">
        <v>37.521254539489746</v>
      </c>
      <c r="S11" s="8" t="n">
        <v>116.0303430557251</v>
      </c>
      <c r="T11" s="8" t="n">
        <v>0.0</v>
      </c>
      <c r="U11">
        <f si="1" t="shared"/>
        <v>1115.6208019256592</v>
      </c>
      <c r="X11" s="5"/>
      <c r="Y11" s="5"/>
    </row>
    <row r="12" spans="1:25" x14ac:dyDescent="0.45">
      <c r="A12" s="10">
        <v>0.1875</v>
      </c>
      <c r="B12" s="5" t="n">
        <v>566.1371201282548</v>
      </c>
      <c r="C12" s="5" t="n">
        <v>69.7675648207197</v>
      </c>
      <c r="D12" s="5" t="n">
        <v>123.25823157566987</v>
      </c>
      <c r="E12" s="5" t="n">
        <v>296.76254587906385</v>
      </c>
      <c r="F12" s="5" t="n">
        <v>61.236093193410724</v>
      </c>
      <c r="G12" s="5" t="n">
        <v>15.512820222486626</v>
      </c>
      <c r="H12" s="5" t="n">
        <v>37.46231972587027</v>
      </c>
      <c r="I12" s="5" t="n">
        <v>0.0</v>
      </c>
      <c r="J12" s="5">
        <f si="0" t="shared"/>
        <v>1170.1366955454755</v>
      </c>
      <c r="L12" s="10">
        <v>0.1875</v>
      </c>
      <c r="M12" s="8" t="n">
        <v>666.3901786804199</v>
      </c>
      <c r="N12" s="8" t="n">
        <v>125.8119249343872</v>
      </c>
      <c r="O12" s="8" t="n">
        <v>216.1142807006836</v>
      </c>
      <c r="P12" s="8" t="n">
        <v>267.02107429504395</v>
      </c>
      <c r="Q12" s="8" t="n">
        <v>22.58370876312256</v>
      </c>
      <c r="R12" s="8" t="n">
        <v>24.560346603393555</v>
      </c>
      <c r="S12" s="8" t="n">
        <v>92.62857151031494</v>
      </c>
      <c r="T12" s="8" t="n">
        <v>0.0</v>
      </c>
      <c r="U12">
        <f si="1" t="shared"/>
        <v>1417.6443099975586</v>
      </c>
    </row>
    <row r="13" spans="1:25" x14ac:dyDescent="0.45">
      <c r="A13" s="10">
        <v>0.20833333333333334</v>
      </c>
      <c r="B13" s="5" t="n">
        <v>953.408718733049</v>
      </c>
      <c r="C13" s="5" t="n">
        <v>158.23649904917139</v>
      </c>
      <c r="D13" s="5" t="n">
        <v>219.28859983220548</v>
      </c>
      <c r="E13" s="5" t="n">
        <v>564.4507195096446</v>
      </c>
      <c r="F13" s="5" t="n">
        <v>70.41514916614865</v>
      </c>
      <c r="G13" s="5" t="n">
        <v>8.85477449853874</v>
      </c>
      <c r="H13" s="5" t="n">
        <v>85.71091203660666</v>
      </c>
      <c r="I13" s="5" t="n">
        <v>0.0</v>
      </c>
      <c r="J13" s="5">
        <f si="0" t="shared"/>
        <v>2060.3653728253648</v>
      </c>
      <c r="L13" s="10">
        <v>0.20833333333333334</v>
      </c>
      <c r="M13" s="8" t="n">
        <v>967.8115558624268</v>
      </c>
      <c r="N13" s="8" t="n">
        <v>205.40481662750244</v>
      </c>
      <c r="O13" s="8" t="n">
        <v>380.4235248565674</v>
      </c>
      <c r="P13" s="8" t="n">
        <v>465.2962818145752</v>
      </c>
      <c r="Q13" s="8" t="n">
        <v>33.05249500274658</v>
      </c>
      <c r="R13" s="8" t="n">
        <v>24.774544715881348</v>
      </c>
      <c r="S13" s="8" t="n">
        <v>110.43356704711914</v>
      </c>
      <c r="T13" s="8" t="n">
        <v>0.0</v>
      </c>
      <c r="U13">
        <f si="1" t="shared"/>
        <v>2214.6279439926147</v>
      </c>
    </row>
    <row r="14" spans="1:25" x14ac:dyDescent="0.45">
      <c r="A14" s="10">
        <v>0.22916666666666666</v>
      </c>
      <c r="B14" s="5" t="n">
        <v>1622.704264767498</v>
      </c>
      <c r="C14" s="5" t="n">
        <v>343.92267357991807</v>
      </c>
      <c r="D14" s="5" t="n">
        <v>373.44425823312287</v>
      </c>
      <c r="E14" s="5" t="n">
        <v>1102.3959749568885</v>
      </c>
      <c r="F14" s="5" t="n">
        <v>121.91491576861627</v>
      </c>
      <c r="G14" s="5" t="n">
        <v>9.57541436685694</v>
      </c>
      <c r="H14" s="5" t="n">
        <v>162.53210512068947</v>
      </c>
      <c r="I14" s="5" t="n">
        <v>0.0</v>
      </c>
      <c r="J14" s="5">
        <f si="0" t="shared"/>
        <v>3736.4896067935897</v>
      </c>
      <c r="L14" s="10">
        <v>0.22916666666666666</v>
      </c>
      <c r="M14" s="8" t="n">
        <v>1486.8795185089111</v>
      </c>
      <c r="N14" s="8" t="n">
        <v>345.74935150146484</v>
      </c>
      <c r="O14" s="8" t="n">
        <v>681.40283203125</v>
      </c>
      <c r="P14" s="8" t="n">
        <v>825.458194732666</v>
      </c>
      <c r="Q14" s="8" t="n">
        <v>58.31587600708008</v>
      </c>
      <c r="R14" s="8" t="n">
        <v>35.7625675201416</v>
      </c>
      <c r="S14" s="8" t="n">
        <v>167.5467014312744</v>
      </c>
      <c r="T14" s="8" t="n">
        <v>0.0</v>
      </c>
      <c r="U14">
        <f si="1" t="shared"/>
        <v>3660.7025575637817</v>
      </c>
    </row>
    <row r="15" spans="1:25" x14ac:dyDescent="0.45">
      <c r="A15" s="10">
        <v>0.25</v>
      </c>
      <c r="B15" s="5" t="n">
        <v>2522.939064331582</v>
      </c>
      <c r="C15" s="5" t="n">
        <v>657.8661064409106</v>
      </c>
      <c r="D15" s="5" t="n">
        <v>604.9492266486327</v>
      </c>
      <c r="E15" s="5" t="n">
        <v>1938.9291077824248</v>
      </c>
      <c r="F15" s="5" t="n">
        <v>209.5366631634382</v>
      </c>
      <c r="G15" s="5" t="n">
        <v>13.75570609211016</v>
      </c>
      <c r="H15" s="5" t="n">
        <v>258.3394946142016</v>
      </c>
      <c r="I15" s="5" t="n">
        <v>0.0</v>
      </c>
      <c r="J15" s="5">
        <f si="0" t="shared"/>
        <v>6206.3153690732997</v>
      </c>
      <c r="L15" s="10">
        <v>0.25</v>
      </c>
      <c r="M15" s="8" t="n">
        <v>2211.596477508545</v>
      </c>
      <c r="N15" s="8" t="n">
        <v>555.2845258712769</v>
      </c>
      <c r="O15" s="8" t="n">
        <v>1156.669412612915</v>
      </c>
      <c r="P15" s="8" t="n">
        <v>1386.850573539734</v>
      </c>
      <c r="Q15" s="8" t="n">
        <v>100.44148826599121</v>
      </c>
      <c r="R15" s="8" t="n">
        <v>55.40449333190918</v>
      </c>
      <c r="S15" s="8" t="n">
        <v>259.49629402160645</v>
      </c>
      <c r="T15" s="8" t="n">
        <v>0.0</v>
      </c>
      <c r="U15">
        <f si="1" t="shared"/>
        <v>5819.5640163421631</v>
      </c>
    </row>
    <row r="16" spans="1:25" x14ac:dyDescent="0.45">
      <c r="A16" s="10">
        <v>0.27083333333333331</v>
      </c>
      <c r="B16" s="5" t="n">
        <v>3500.2920920801657</v>
      </c>
      <c r="C16" s="5" t="n">
        <v>1084.9583273341277</v>
      </c>
      <c r="D16" s="5" t="n">
        <v>923.1735979380887</v>
      </c>
      <c r="E16" s="5" t="n">
        <v>2998.2033259830237</v>
      </c>
      <c r="F16" s="5" t="n">
        <v>315.42224385732777</v>
      </c>
      <c r="G16" s="5" t="n">
        <v>18.028917996258222</v>
      </c>
      <c r="H16" s="5" t="n">
        <v>346.6709701850998</v>
      </c>
      <c r="I16" s="5" t="n">
        <v>0.0</v>
      </c>
      <c r="J16" s="5">
        <f si="0" t="shared"/>
        <v>9186.7494753740903</v>
      </c>
      <c r="L16" s="10">
        <v>0.27083333333333331</v>
      </c>
      <c r="M16" s="8" t="n">
        <v>3059.2093534469604</v>
      </c>
      <c r="N16" s="8" t="n">
        <v>823.7044401168823</v>
      </c>
      <c r="O16" s="8" t="n">
        <v>1808.4884872436523</v>
      </c>
      <c r="P16" s="8" t="n">
        <v>2143.3175802230835</v>
      </c>
      <c r="Q16" s="8" t="n">
        <v>158.60750484466553</v>
      </c>
      <c r="R16" s="8" t="n">
        <v>81.3323450088501</v>
      </c>
      <c r="S16" s="8" t="n">
        <v>376.3681812286377</v>
      </c>
      <c r="T16" s="8" t="n">
        <v>0.0</v>
      </c>
      <c r="U16">
        <f si="1" t="shared"/>
        <v>8571.1729688644409</v>
      </c>
    </row>
    <row r="17" spans="1:21" x14ac:dyDescent="0.45">
      <c r="A17" s="10">
        <v>0.29166666666666669</v>
      </c>
      <c r="B17" s="5" t="n">
        <v>4318.558535950727</v>
      </c>
      <c r="C17" s="5" t="n">
        <v>1542.578507194212</v>
      </c>
      <c r="D17" s="5" t="n">
        <v>1319.924533125271</v>
      </c>
      <c r="E17" s="5" t="n">
        <v>4079.306071219493</v>
      </c>
      <c r="F17" s="5" t="n">
        <v>411.23134382570447</v>
      </c>
      <c r="G17" s="5" t="n">
        <v>19.79249214232891</v>
      </c>
      <c r="H17" s="5" t="n">
        <v>394.4334491256071</v>
      </c>
      <c r="I17" s="5" t="n">
        <v>0.0</v>
      </c>
      <c r="J17" s="5">
        <f si="0" t="shared"/>
        <v>12085.824932583342</v>
      </c>
      <c r="L17" s="10">
        <v>0.29166666666666669</v>
      </c>
      <c r="M17" s="8" t="n">
        <v>3889.4924182891846</v>
      </c>
      <c r="N17" s="8" t="n">
        <v>1119.728925704956</v>
      </c>
      <c r="O17" s="8" t="n">
        <v>2587.139186859131</v>
      </c>
      <c r="P17" s="8" t="n">
        <v>3026.1294050216675</v>
      </c>
      <c r="Q17" s="8" t="n">
        <v>227.45629978179932</v>
      </c>
      <c r="R17" s="8" t="n">
        <v>110.40884685516357</v>
      </c>
      <c r="S17" s="8" t="n">
        <v>502.0913896560669</v>
      </c>
      <c r="T17" s="8" t="n">
        <v>0.0</v>
      </c>
      <c r="U17">
        <f si="1" t="shared"/>
        <v>11589.973421096802</v>
      </c>
    </row>
    <row r="18" spans="1:21" x14ac:dyDescent="0.45">
      <c r="A18" s="10">
        <v>0.3125</v>
      </c>
      <c r="B18" s="5" t="n">
        <v>4760.516229974115</v>
      </c>
      <c r="C18" s="5" t="n">
        <v>1906.0708121327766</v>
      </c>
      <c r="D18" s="5" t="n">
        <v>1775.0533749516462</v>
      </c>
      <c r="E18" s="5" t="n">
        <v>4928.041070892501</v>
      </c>
      <c r="F18" s="5" t="n">
        <v>470.0867682421159</v>
      </c>
      <c r="G18" s="5" t="n">
        <v>17.989971263963042</v>
      </c>
      <c r="H18" s="5" t="n">
        <v>381.58476182550214</v>
      </c>
      <c r="I18" s="5" t="n">
        <v>0.0</v>
      </c>
      <c r="J18" s="5">
        <f si="0" t="shared"/>
        <v>14239.342989282621</v>
      </c>
      <c r="L18" s="10">
        <v>0.3125</v>
      </c>
      <c r="M18" s="8" t="n">
        <v>4557.319265365601</v>
      </c>
      <c r="N18" s="8" t="n">
        <v>1400.5055351257324</v>
      </c>
      <c r="O18" s="8" t="n">
        <v>3398.95423412323</v>
      </c>
      <c r="P18" s="8" t="n">
        <v>3918.337845802307</v>
      </c>
      <c r="Q18" s="8" t="n">
        <v>298.2098665237427</v>
      </c>
      <c r="R18" s="8" t="n">
        <v>139.1694564819336</v>
      </c>
      <c r="S18" s="8" t="n">
        <v>618.9021596908569</v>
      </c>
      <c r="T18" s="8" t="n">
        <v>0.0</v>
      </c>
      <c r="U18">
        <f si="1" t="shared"/>
        <v>14439.817521095276</v>
      </c>
    </row>
    <row r="19" spans="1:21" x14ac:dyDescent="0.45">
      <c r="A19" s="10">
        <v>0.33333333333333331</v>
      </c>
      <c r="B19" s="5" t="n">
        <v>4749.491497744787</v>
      </c>
      <c r="C19" s="5" t="n">
        <v>2078.6982328642644</v>
      </c>
      <c r="D19" s="5" t="n">
        <v>2272.571650343129</v>
      </c>
      <c r="E19" s="5" t="n">
        <v>5370.6127392236895</v>
      </c>
      <c r="F19" s="5" t="n">
        <v>480.6211259667095</v>
      </c>
      <c r="G19" s="5" t="n">
        <v>13.492351997542752</v>
      </c>
      <c r="H19" s="5" t="n">
        <v>315.7079221866449</v>
      </c>
      <c r="I19" s="5" t="n">
        <v>0.0</v>
      </c>
      <c r="J19" s="5">
        <f si="0" t="shared"/>
        <v>15281.195520326766</v>
      </c>
      <c r="L19" s="10">
        <v>0.33333333333333331</v>
      </c>
      <c r="M19" s="8" t="n">
        <v>4975.022861480713</v>
      </c>
      <c r="N19" s="8" t="n">
        <v>1628.8330526351929</v>
      </c>
      <c r="O19" s="8" t="n">
        <v>4140.750297546387</v>
      </c>
      <c r="P19" s="8" t="n">
        <v>4700.10409450531</v>
      </c>
      <c r="Q19" s="8" t="n">
        <v>362.4555435180664</v>
      </c>
      <c r="R19" s="8" t="n">
        <v>165.03874969482422</v>
      </c>
      <c r="S19" s="8" t="n">
        <v>715.0681486129761</v>
      </c>
      <c r="T19" s="8" t="n">
        <v>0.0</v>
      </c>
      <c r="U19">
        <f si="1" t="shared"/>
        <v>16748.819621086121</v>
      </c>
    </row>
    <row r="20" spans="1:21" x14ac:dyDescent="0.45">
      <c r="A20" s="10">
        <v>0.35416666666666669</v>
      </c>
      <c r="B20" s="5" t="n">
        <v>4390.705797574258</v>
      </c>
      <c r="C20" s="5" t="n">
        <v>2054.653142820718</v>
      </c>
      <c r="D20" s="5" t="n">
        <v>2814.139264855704</v>
      </c>
      <c r="E20" s="5" t="n">
        <v>5410.774296752643</v>
      </c>
      <c r="F20" s="5" t="n">
        <v>452.1296038173964</v>
      </c>
      <c r="G20" s="5" t="n">
        <v>8.30303728695196</v>
      </c>
      <c r="H20" s="5" t="n">
        <v>229.30233077667754</v>
      </c>
      <c r="I20" s="5" t="n">
        <v>0.0</v>
      </c>
      <c r="J20" s="5">
        <f si="0" t="shared"/>
        <v>15360.00747388435</v>
      </c>
      <c r="L20" s="10">
        <v>0.35416666666666669</v>
      </c>
      <c r="M20" s="8" t="n">
        <v>5144.123461723328</v>
      </c>
      <c r="N20" s="8" t="n">
        <v>1787.8387632369995</v>
      </c>
      <c r="O20" s="8" t="n">
        <v>4741.401041030884</v>
      </c>
      <c r="P20" s="8" t="n">
        <v>5298.598261833191</v>
      </c>
      <c r="Q20" s="8" t="n">
        <v>415.97843837738037</v>
      </c>
      <c r="R20" s="8" t="n">
        <v>187.31052494049072</v>
      </c>
      <c r="S20" s="8" t="n">
        <v>790.0457286834717</v>
      </c>
      <c r="T20" s="8" t="n">
        <v>0.0</v>
      </c>
      <c r="U20">
        <f si="1" t="shared"/>
        <v>18357.456250190735</v>
      </c>
    </row>
    <row r="21" spans="1:21" x14ac:dyDescent="0.45">
      <c r="A21" s="10">
        <v>0.375</v>
      </c>
      <c r="B21" s="5" t="n">
        <v>3898.908572778013</v>
      </c>
      <c r="C21" s="5" t="n">
        <v>1919.307652522903</v>
      </c>
      <c r="D21" s="5" t="n">
        <v>3420.706852848177</v>
      </c>
      <c r="E21" s="5" t="n">
        <v>5215.470798087434</v>
      </c>
      <c r="F21" s="5" t="n">
        <v>408.5110397133185</v>
      </c>
      <c r="G21" s="5" t="n">
        <v>4.152860864091557</v>
      </c>
      <c r="H21" s="5" t="n">
        <v>162.56122559246222</v>
      </c>
      <c r="I21" s="5" t="n">
        <v>0.0</v>
      </c>
      <c r="J21" s="5">
        <f si="0" t="shared"/>
        <v>15029.619002406396</v>
      </c>
      <c r="L21" s="10">
        <v>0.375</v>
      </c>
      <c r="M21" s="8" t="n">
        <v>5137.117301940918</v>
      </c>
      <c r="N21" s="8" t="n">
        <v>1883.4705514907837</v>
      </c>
      <c r="O21" s="8" t="n">
        <v>5182.3390855789185</v>
      </c>
      <c r="P21" s="8" t="n">
        <v>5707.557434082031</v>
      </c>
      <c r="Q21" s="8" t="n">
        <v>459.51603603363037</v>
      </c>
      <c r="R21" s="8" t="n">
        <v>206.96385765075684</v>
      </c>
      <c r="S21" s="8" t="n">
        <v>852.3783855438232</v>
      </c>
      <c r="T21" s="8" t="n">
        <v>0.0</v>
      </c>
      <c r="U21">
        <f si="1" t="shared"/>
        <v>19340.323797225952</v>
      </c>
    </row>
    <row r="22" spans="1:21" x14ac:dyDescent="0.45">
      <c r="A22" s="10">
        <v>0.39583333333333331</v>
      </c>
      <c r="B22" s="5" t="n">
        <v>3480.107002707789</v>
      </c>
      <c r="C22" s="5" t="n">
        <v>1787.4667709978496</v>
      </c>
      <c r="D22" s="5" t="n">
        <v>4121.758034304585</v>
      </c>
      <c r="E22" s="5" t="n">
        <v>5008.546779537541</v>
      </c>
      <c r="F22" s="5" t="n">
        <v>376.86292404668615</v>
      </c>
      <c r="G22" s="5" t="n">
        <v>1.6772384474726052</v>
      </c>
      <c r="H22" s="5" t="n">
        <v>145.34051422695387</v>
      </c>
      <c r="I22" s="5" t="n">
        <v>0.0</v>
      </c>
      <c r="J22" s="5">
        <f si="0" t="shared"/>
        <v>14921.759264268876</v>
      </c>
      <c r="L22" s="10">
        <v>0.39583333333333331</v>
      </c>
      <c r="M22" s="8" t="n">
        <v>5046.5176610946655</v>
      </c>
      <c r="N22" s="8" t="n">
        <v>1934.24054813385</v>
      </c>
      <c r="O22" s="8" t="n">
        <v>5485.180325508118</v>
      </c>
      <c r="P22" s="8" t="n">
        <v>5965.368762016296</v>
      </c>
      <c r="Q22" s="8" t="n">
        <v>495.98460960388184</v>
      </c>
      <c r="R22" s="8" t="n">
        <v>225.39257526397705</v>
      </c>
      <c r="S22" s="8" t="n">
        <v>911.853084564209</v>
      </c>
      <c r="T22" s="8" t="n">
        <v>0.0</v>
      </c>
      <c r="U22">
        <f si="1" t="shared"/>
        <v>19897.072541236877</v>
      </c>
    </row>
    <row r="23" spans="1:21" x14ac:dyDescent="0.45">
      <c r="A23" s="10">
        <v>0.41666666666666669</v>
      </c>
      <c r="B23" s="5" t="n">
        <v>3254.707279590004</v>
      </c>
      <c r="C23" s="5" t="n">
        <v>1736.786624732324</v>
      </c>
      <c r="D23" s="5" t="n">
        <v>4934.069068827478</v>
      </c>
      <c r="E23" s="5" t="n">
        <v>4957.84056365057</v>
      </c>
      <c r="F23" s="5" t="n">
        <v>376.61932906756783</v>
      </c>
      <c r="G23" s="5" t="n">
        <v>0.644575893453342</v>
      </c>
      <c r="H23" s="5" t="n">
        <v>187.9395965061875</v>
      </c>
      <c r="I23" s="5" t="n">
        <v>0.0</v>
      </c>
      <c r="J23" s="5">
        <f si="0" t="shared"/>
        <v>15448.607038267583</v>
      </c>
      <c r="L23" s="10">
        <v>0.41666666666666669</v>
      </c>
      <c r="M23" s="8" t="n">
        <v>4941.028392791748</v>
      </c>
      <c r="N23" s="8" t="n">
        <v>1958.3666496276855</v>
      </c>
      <c r="O23" s="8" t="n">
        <v>5684.832374572754</v>
      </c>
      <c r="P23" s="8" t="n">
        <v>6118.482333183289</v>
      </c>
      <c r="Q23" s="8" t="n">
        <v>527.3556070327759</v>
      </c>
      <c r="R23" s="8" t="n">
        <v>243.3163776397705</v>
      </c>
      <c r="S23" s="8" t="n">
        <v>973.3030233383179</v>
      </c>
      <c r="T23" s="8" t="n">
        <v>0.0</v>
      </c>
      <c r="U23">
        <f si="1" t="shared"/>
        <v>20218.021747589111</v>
      </c>
    </row>
    <row r="24" spans="1:21" x14ac:dyDescent="0.45">
      <c r="A24" s="10">
        <v>0.4375</v>
      </c>
      <c r="B24" s="5" t="n">
        <v>3245.683170559538</v>
      </c>
      <c r="C24" s="5" t="n">
        <v>1785.8921404377288</v>
      </c>
      <c r="D24" s="5" t="n">
        <v>5835.309787608457</v>
      </c>
      <c r="E24" s="5" t="n">
        <v>5121.906442925389</v>
      </c>
      <c r="F24" s="5" t="n">
        <v>412.0816300184202</v>
      </c>
      <c r="G24" s="5" t="n">
        <v>0.7926028818390346</v>
      </c>
      <c r="H24" s="5" t="n">
        <v>280.3377479797365</v>
      </c>
      <c r="I24" s="5" t="n">
        <v>0.0</v>
      </c>
      <c r="J24" s="5">
        <f si="0" t="shared"/>
        <v>16682.003522411109</v>
      </c>
      <c r="L24" s="10">
        <v>0.4375</v>
      </c>
      <c r="M24" s="8" t="n">
        <v>4858.6192054748535</v>
      </c>
      <c r="N24" s="8" t="n">
        <v>1970.0346984863281</v>
      </c>
      <c r="O24" s="8" t="n">
        <v>5818.209111213684</v>
      </c>
      <c r="P24" s="8" t="n">
        <v>6208.356412887573</v>
      </c>
      <c r="Q24" s="8" t="n">
        <v>554.828028678894</v>
      </c>
      <c r="R24" s="8" t="n">
        <v>261.19383907318115</v>
      </c>
      <c r="S24" s="8" t="n">
        <v>1038.288194656372</v>
      </c>
      <c r="T24" s="8" t="n">
        <v>0.0</v>
      </c>
      <c r="U24">
        <f si="1" t="shared"/>
        <v>20444.730343818665</v>
      </c>
    </row>
    <row r="25" spans="1:21" x14ac:dyDescent="0.45">
      <c r="A25" s="10">
        <v>0.45833333333333331</v>
      </c>
      <c r="B25" s="5" t="n">
        <v>3403.6460362397775</v>
      </c>
      <c r="C25" s="5" t="n">
        <v>1913.4611226135626</v>
      </c>
      <c r="D25" s="5" t="n">
        <v>6749.040406889597</v>
      </c>
      <c r="E25" s="5" t="n">
        <v>5462.461517954382</v>
      </c>
      <c r="F25" s="5" t="n">
        <v>471.528797500316</v>
      </c>
      <c r="G25" s="5" t="n">
        <v>2.747053551945031</v>
      </c>
      <c r="H25" s="5" t="n">
        <v>397.5793891499306</v>
      </c>
      <c r="I25" s="5" t="n">
        <v>0.0</v>
      </c>
      <c r="J25" s="5">
        <f si="0" t="shared"/>
        <v>18400.464323899509</v>
      </c>
      <c r="L25" s="10">
        <v>0.45833333333333331</v>
      </c>
      <c r="M25" s="8" t="n">
        <v>4830.523478507996</v>
      </c>
      <c r="N25" s="8" t="n">
        <v>1985.4430646896362</v>
      </c>
      <c r="O25" s="8" t="n">
        <v>5935.060355186462</v>
      </c>
      <c r="P25" s="8" t="n">
        <v>6287.897249221802</v>
      </c>
      <c r="Q25" s="8" t="n">
        <v>582.0191707611084</v>
      </c>
      <c r="R25" s="8" t="n">
        <v>280.8455581665039</v>
      </c>
      <c r="S25" s="8" t="n">
        <v>1112.5125036239624</v>
      </c>
      <c r="T25" s="8" t="n">
        <v>0.0</v>
      </c>
      <c r="U25">
        <f si="1" t="shared"/>
        <v>20734.0891456604</v>
      </c>
    </row>
    <row r="26" spans="1:21" x14ac:dyDescent="0.45">
      <c r="A26" s="10">
        <v>0.47916666666666669</v>
      </c>
      <c r="B26" s="5" t="n">
        <v>3646.1878693184403</v>
      </c>
      <c r="C26" s="5" t="n">
        <v>2084.503930880785</v>
      </c>
      <c r="D26" s="5" t="n">
        <v>7561.21042639042</v>
      </c>
      <c r="E26" s="5" t="n">
        <v>5895.725440510923</v>
      </c>
      <c r="F26" s="5" t="n">
        <v>536.0403434417622</v>
      </c>
      <c r="G26" s="5" t="n">
        <v>8.890192041825568</v>
      </c>
      <c r="H26" s="5" t="n">
        <v>512.4724218881657</v>
      </c>
      <c r="I26" s="5" t="n">
        <v>0.0</v>
      </c>
      <c r="J26" s="5">
        <f si="0" t="shared"/>
        <v>20245.030624472322</v>
      </c>
      <c r="L26" s="10">
        <v>0.47916666666666669</v>
      </c>
      <c r="M26" s="8" t="n">
        <v>4900.655843734741</v>
      </c>
      <c r="N26" s="8" t="n">
        <v>2026.6836109161377</v>
      </c>
      <c r="O26" s="8" t="n">
        <v>6103.889519691467</v>
      </c>
      <c r="P26" s="8" t="n">
        <v>6432.377033233643</v>
      </c>
      <c r="Q26" s="8" t="n">
        <v>616.6853733062744</v>
      </c>
      <c r="R26" s="8" t="n">
        <v>306.2550868988037</v>
      </c>
      <c r="S26" s="8" t="n">
        <v>1209.7685747146606</v>
      </c>
      <c r="T26" s="8" t="n">
        <v>0.0</v>
      </c>
      <c r="U26">
        <f si="1" t="shared"/>
        <v>21307.259213447571</v>
      </c>
    </row>
    <row r="27" spans="1:21" x14ac:dyDescent="0.45">
      <c r="A27" s="10">
        <v>0.5</v>
      </c>
      <c r="B27" s="5" t="n">
        <v>3907.176056495279</v>
      </c>
      <c r="C27" s="5" t="n">
        <v>2266.0171936653223</v>
      </c>
      <c r="D27" s="5" t="n">
        <v>8166.5619183652725</v>
      </c>
      <c r="E27" s="5" t="n">
        <v>6356.650096785209</v>
      </c>
      <c r="F27" s="5" t="n">
        <v>594.2606661710906</v>
      </c>
      <c r="G27" s="5" t="n">
        <v>24.085951475337346</v>
      </c>
      <c r="H27" s="5" t="n">
        <v>613.3436255813892</v>
      </c>
      <c r="I27" s="5" t="n">
        <v>0.0</v>
      </c>
      <c r="J27" s="5">
        <f si="0" t="shared"/>
        <v>21928.0955085389</v>
      </c>
      <c r="L27" s="10">
        <v>0.5</v>
      </c>
      <c r="M27" s="8" t="n">
        <v>5112.2101039886475</v>
      </c>
      <c r="N27" s="8" t="n">
        <v>2113.006425857544</v>
      </c>
      <c r="O27" s="8" t="n">
        <v>6385.798517227173</v>
      </c>
      <c r="P27" s="8" t="n">
        <v>6711.537693023682</v>
      </c>
      <c r="Q27" s="8" t="n">
        <v>667.2939920425415</v>
      </c>
      <c r="R27" s="8" t="n">
        <v>341.9602880477905</v>
      </c>
      <c r="S27" s="8" t="n">
        <v>1346.1438446044922</v>
      </c>
      <c r="T27" s="8" t="n">
        <v>0.0</v>
      </c>
      <c r="U27">
        <f si="1" t="shared"/>
        <v>22373.600420951843</v>
      </c>
    </row>
    <row r="28" spans="1:21" x14ac:dyDescent="0.45">
      <c r="A28" s="10">
        <v>0.52083333333333337</v>
      </c>
      <c r="B28" s="5" t="n">
        <v>4180.630379733713</v>
      </c>
      <c r="C28" s="5" t="n">
        <v>2436.1504506055157</v>
      </c>
      <c r="D28" s="5" t="n">
        <v>8512.775593187147</v>
      </c>
      <c r="E28" s="5" t="n">
        <v>6846.3327956463945</v>
      </c>
      <c r="F28" s="5" t="n">
        <v>650.8221725840824</v>
      </c>
      <c r="G28" s="5" t="n">
        <v>55.69853145645761</v>
      </c>
      <c r="H28" s="5" t="n">
        <v>714.9462316470449</v>
      </c>
      <c r="I28" s="5" t="n">
        <v>0.0</v>
      </c>
      <c r="J28" s="5">
        <f si="0" t="shared"/>
        <v>23397.356154860357</v>
      </c>
      <c r="L28" s="10">
        <v>0.52083333333333337</v>
      </c>
      <c r="M28" s="8" t="n">
        <v>5472.448926925659</v>
      </c>
      <c r="N28" s="8" t="n">
        <v>2245.029725074768</v>
      </c>
      <c r="O28" s="8" t="n">
        <v>6788.45339679718</v>
      </c>
      <c r="P28" s="8" t="n">
        <v>7137.346580505371</v>
      </c>
      <c r="Q28" s="8" t="n">
        <v>736.4806938171387</v>
      </c>
      <c r="R28" s="8" t="n">
        <v>390.09095668792725</v>
      </c>
      <c r="S28" s="8" t="n">
        <v>1529.1374111175537</v>
      </c>
      <c r="T28" s="8" t="n">
        <v>0.0</v>
      </c>
      <c r="U28">
        <f si="1" t="shared"/>
        <v>23972.503268241882</v>
      </c>
    </row>
    <row r="29" spans="1:21" x14ac:dyDescent="0.45">
      <c r="A29" s="10">
        <v>0.54166666666666663</v>
      </c>
      <c r="B29" s="5" t="n">
        <v>4523.472386300948</v>
      </c>
      <c r="C29" s="5" t="n">
        <v>2588.223466493925</v>
      </c>
      <c r="D29" s="5" t="n">
        <v>8608.955234072338</v>
      </c>
      <c r="E29" s="5" t="n">
        <v>7420.66110783469</v>
      </c>
      <c r="F29" s="5" t="n">
        <v>719.0374950749886</v>
      </c>
      <c r="G29" s="5" t="n">
        <v>111.8147929874278</v>
      </c>
      <c r="H29" s="5" t="n">
        <v>849.4821730083413</v>
      </c>
      <c r="I29" s="5" t="n">
        <v>0.0</v>
      </c>
      <c r="J29" s="5">
        <f si="0" t="shared"/>
        <v>24821.646655772664</v>
      </c>
      <c r="L29" s="10">
        <v>0.54166666666666663</v>
      </c>
      <c r="M29" s="8" t="n">
        <v>5935.650809288025</v>
      </c>
      <c r="N29" s="8" t="n">
        <v>2399.1871995925903</v>
      </c>
      <c r="O29" s="8" t="n">
        <v>7244.973547935486</v>
      </c>
      <c r="P29" s="8" t="n">
        <v>7639.557085037231</v>
      </c>
      <c r="Q29" s="8" t="n">
        <v>817.6844158172607</v>
      </c>
      <c r="R29" s="8" t="n">
        <v>448.95359230041504</v>
      </c>
      <c r="S29" s="8" t="n">
        <v>1752.864128112793</v>
      </c>
      <c r="T29" s="8" t="n">
        <v>0.0</v>
      </c>
      <c r="U29">
        <f si="1" t="shared"/>
        <v>25898.044512748718</v>
      </c>
    </row>
    <row r="30" spans="1:21" x14ac:dyDescent="0.45">
      <c r="A30" s="10">
        <v>0.5625</v>
      </c>
      <c r="B30" s="5" t="n">
        <v>4996.981213997383</v>
      </c>
      <c r="C30" s="5" t="n">
        <v>2722.1618929945116</v>
      </c>
      <c r="D30" s="5" t="n">
        <v>8498.97150621593</v>
      </c>
      <c r="E30" s="5" t="n">
        <v>8104.045318359411</v>
      </c>
      <c r="F30" s="5" t="n">
        <v>803.6828156888532</v>
      </c>
      <c r="G30" s="5" t="n">
        <v>196.81274831695143</v>
      </c>
      <c r="H30" s="5" t="n">
        <v>1039.5861700190424</v>
      </c>
      <c r="I30" s="5" t="n">
        <v>0.0</v>
      </c>
      <c r="J30" s="5">
        <f si="0" t="shared"/>
        <v>26362.241665592082</v>
      </c>
      <c r="L30" s="10">
        <v>0.5625</v>
      </c>
      <c r="M30" s="8" t="n">
        <v>6427.940710067749</v>
      </c>
      <c r="N30" s="8" t="n">
        <v>2541.007848739624</v>
      </c>
      <c r="O30" s="8" t="n">
        <v>7644.103343963623</v>
      </c>
      <c r="P30" s="8" t="n">
        <v>8099.236828804016</v>
      </c>
      <c r="Q30" s="8" t="n">
        <v>898.6120138168335</v>
      </c>
      <c r="R30" s="8" t="n">
        <v>514.6218271255493</v>
      </c>
      <c r="S30" s="8" t="n">
        <v>2003.9895629882812</v>
      </c>
      <c r="T30" s="8" t="n">
        <v>0.0</v>
      </c>
      <c r="U30">
        <f si="1" t="shared"/>
        <v>27803.070000648499</v>
      </c>
    </row>
    <row r="31" spans="1:21" x14ac:dyDescent="0.45">
      <c r="A31" s="10">
        <v>0.58333333333333337</v>
      </c>
      <c r="B31" s="5" t="n">
        <v>5585.303814978506</v>
      </c>
      <c r="C31" s="5" t="n">
        <v>2827.086665076475</v>
      </c>
      <c r="D31" s="5" t="n">
        <v>8229.250247417183</v>
      </c>
      <c r="E31" s="5" t="n">
        <v>8790.002928254255</v>
      </c>
      <c r="F31" s="5" t="n">
        <v>890.8342057109382</v>
      </c>
      <c r="G31" s="5" t="n">
        <v>305.58120810877506</v>
      </c>
      <c r="H31" s="5" t="n">
        <v>1274.3363632534877</v>
      </c>
      <c r="I31" s="5" t="n">
        <v>0.0</v>
      </c>
      <c r="J31" s="5">
        <f si="0" t="shared"/>
        <v>27902.395432799618</v>
      </c>
      <c r="L31" s="10">
        <v>0.58333333333333337</v>
      </c>
      <c r="M31" s="8" t="n">
        <v>6893.751486778259</v>
      </c>
      <c r="N31" s="8" t="n">
        <v>2645.6846675872803</v>
      </c>
      <c r="O31" s="8" t="n">
        <v>7886.794118881226</v>
      </c>
      <c r="P31" s="8" t="n">
        <v>8411.682784080505</v>
      </c>
      <c r="Q31" s="8" t="n">
        <v>968.3003406524658</v>
      </c>
      <c r="R31" s="8" t="n">
        <v>583.7870969772339</v>
      </c>
      <c r="S31" s="8" t="n">
        <v>2270.6373529434204</v>
      </c>
      <c r="T31" s="8" t="n">
        <v>0.0</v>
      </c>
      <c r="U31">
        <f si="1" t="shared"/>
        <v>29391.395329475403</v>
      </c>
    </row>
    <row r="32" spans="1:21" x14ac:dyDescent="0.45">
      <c r="A32" s="10">
        <v>0.60416666666666663</v>
      </c>
      <c r="B32" s="5" t="n">
        <v>6177.144469277435</v>
      </c>
      <c r="C32" s="5" t="n">
        <v>2875.937612468575</v>
      </c>
      <c r="D32" s="5" t="n">
        <v>7834.113993977951</v>
      </c>
      <c r="E32" s="5" t="n">
        <v>9239.162590426778</v>
      </c>
      <c r="F32" s="5" t="n">
        <v>955.3345489003732</v>
      </c>
      <c r="G32" s="5" t="n">
        <v>421.36142903688295</v>
      </c>
      <c r="H32" s="5" t="n">
        <v>1512.4780824053914</v>
      </c>
      <c r="I32" s="5" t="n">
        <v>0.0</v>
      </c>
      <c r="J32" s="5">
        <f si="0" t="shared"/>
        <v>29015.532726493388</v>
      </c>
      <c r="L32" s="10">
        <v>0.60416666666666663</v>
      </c>
      <c r="M32" s="8" t="n">
        <v>7324.107026100159</v>
      </c>
      <c r="N32" s="8" t="n">
        <v>2707.4874143600464</v>
      </c>
      <c r="O32" s="8" t="n">
        <v>7922.276849746704</v>
      </c>
      <c r="P32" s="8" t="n">
        <v>8525.11669921875</v>
      </c>
      <c r="Q32" s="8" t="n">
        <v>1021.5203971862793</v>
      </c>
      <c r="R32" s="8" t="n">
        <v>655.0271472930908</v>
      </c>
      <c r="S32" s="8" t="n">
        <v>2543.9478912353516</v>
      </c>
      <c r="T32" s="8" t="n">
        <v>0.0</v>
      </c>
      <c r="U32">
        <f si="1" t="shared"/>
        <v>30528.843467712402</v>
      </c>
    </row>
    <row r="33" spans="1:21" x14ac:dyDescent="0.45">
      <c r="A33" s="10">
        <v>0.625</v>
      </c>
      <c r="B33" s="5" t="n">
        <v>6662.239058123366</v>
      </c>
      <c r="C33" s="5" t="n">
        <v>2844.5341121456468</v>
      </c>
      <c r="D33" s="5" t="n">
        <v>7338.057785093508</v>
      </c>
      <c r="E33" s="5" t="n">
        <v>9214.282527786494</v>
      </c>
      <c r="F33" s="5" t="n">
        <v>979.2084782202869</v>
      </c>
      <c r="G33" s="5" t="n">
        <v>522.6357674310107</v>
      </c>
      <c r="H33" s="5" t="n">
        <v>1714.96022882339</v>
      </c>
      <c r="I33" s="5" t="n">
        <v>0.0</v>
      </c>
      <c r="J33" s="5">
        <f si="0" t="shared"/>
        <v>29275.917957623704</v>
      </c>
      <c r="L33" s="10">
        <v>0.625</v>
      </c>
      <c r="M33" s="8" t="n">
        <v>7752.418012619019</v>
      </c>
      <c r="N33" s="8" t="n">
        <v>2733.7351484298706</v>
      </c>
      <c r="O33" s="8" t="n">
        <v>7747.346190452576</v>
      </c>
      <c r="P33" s="8" t="n">
        <v>8436.582139015198</v>
      </c>
      <c r="Q33" s="8" t="n">
        <v>1058.2775011062622</v>
      </c>
      <c r="R33" s="8" t="n">
        <v>727.8382539749146</v>
      </c>
      <c r="S33" s="8" t="n">
        <v>2812.795747756958</v>
      </c>
      <c r="T33" s="8" t="n">
        <v>0.0</v>
      </c>
      <c r="U33">
        <f si="1" t="shared"/>
        <v>31222.108973503113</v>
      </c>
    </row>
    <row r="34" spans="1:21" x14ac:dyDescent="0.45">
      <c r="A34" s="10">
        <v>0.64583333333333337</v>
      </c>
      <c r="B34" s="5" t="n">
        <v>7078.964813832126</v>
      </c>
      <c r="C34" s="5" t="n">
        <v>2737.843729514407</v>
      </c>
      <c r="D34" s="5" t="n">
        <v>6765.089487216325</v>
      </c>
      <c r="E34" s="5" t="n">
        <v>8649.779256159361</v>
      </c>
      <c r="F34" s="5" t="n">
        <v>964.3754674748938</v>
      </c>
      <c r="G34" s="5" t="n">
        <v>597.0261452142147</v>
      </c>
      <c r="H34" s="5" t="n">
        <v>1878.543030848188</v>
      </c>
      <c r="I34" s="5" t="n">
        <v>0.0</v>
      </c>
      <c r="J34" s="5">
        <f si="0" t="shared"/>
        <v>28671.621930259513</v>
      </c>
      <c r="L34" s="10">
        <v>0.64583333333333337</v>
      </c>
      <c r="M34" s="8" t="n">
        <v>8237.466130256653</v>
      </c>
      <c r="N34" s="8" t="n">
        <v>2735.045163154602</v>
      </c>
      <c r="O34" s="8" t="n">
        <v>7391.031318664551</v>
      </c>
      <c r="P34" s="8" t="n">
        <v>8171.422131538391</v>
      </c>
      <c r="Q34" s="8" t="n">
        <v>1081.452980041504</v>
      </c>
      <c r="R34" s="8" t="n">
        <v>801.3458051681519</v>
      </c>
      <c r="S34" s="8" t="n">
        <v>3062.058735847473</v>
      </c>
      <c r="T34" s="8" t="n">
        <v>0.0</v>
      </c>
      <c r="U34">
        <f si="1" t="shared"/>
        <v>31559.325187683105</v>
      </c>
    </row>
    <row r="35" spans="1:21" x14ac:dyDescent="0.45">
      <c r="A35" s="10">
        <v>0.66666666666666663</v>
      </c>
      <c r="B35" s="5" t="n">
        <v>7665.88535101402</v>
      </c>
      <c r="C35" s="5" t="n">
        <v>2594.8115304858525</v>
      </c>
      <c r="D35" s="5" t="n">
        <v>6149.77664575951</v>
      </c>
      <c r="E35" s="5" t="n">
        <v>7704.2933119114805</v>
      </c>
      <c r="F35" s="5" t="n">
        <v>929.7580113374382</v>
      </c>
      <c r="G35" s="5" t="n">
        <v>650.4475545941673</v>
      </c>
      <c r="H35" s="5" t="n">
        <v>2037.7417697975634</v>
      </c>
      <c r="I35" s="5" t="n">
        <v>0.0</v>
      </c>
      <c r="J35" s="5">
        <f si="0" t="shared"/>
        <v>27732.714174900037</v>
      </c>
      <c r="L35" s="10">
        <v>0.66666666666666663</v>
      </c>
      <c r="M35" s="8" t="n">
        <v>8853.777417182922</v>
      </c>
      <c r="N35" s="8" t="n">
        <v>2722.5653219223022</v>
      </c>
      <c r="O35" s="8" t="n">
        <v>6906.776175498962</v>
      </c>
      <c r="P35" s="8" t="n">
        <v>7774.238149642944</v>
      </c>
      <c r="Q35" s="8" t="n">
        <v>1095.860252380371</v>
      </c>
      <c r="R35" s="8" t="n">
        <v>874.5895357131958</v>
      </c>
      <c r="S35" s="8" t="n">
        <v>3280.670347213745</v>
      </c>
      <c r="T35" s="8" t="n">
        <v>0.0</v>
      </c>
      <c r="U35">
        <f si="1" t="shared"/>
        <v>31698.542773246765</v>
      </c>
    </row>
    <row r="36" spans="1:21" x14ac:dyDescent="0.45">
      <c r="A36" s="10">
        <v>0.6875</v>
      </c>
      <c r="B36" s="5" t="n">
        <v>8732.310734813951</v>
      </c>
      <c r="C36" s="5" t="n">
        <v>2466.5695467078285</v>
      </c>
      <c r="D36" s="5" t="n">
        <v>5544.226861831555</v>
      </c>
      <c r="E36" s="5" t="n">
        <v>6656.967357959162</v>
      </c>
      <c r="F36" s="5" t="n">
        <v>898.1399770355323</v>
      </c>
      <c r="G36" s="5" t="n">
        <v>701.7496101775719</v>
      </c>
      <c r="H36" s="5" t="n">
        <v>2235.359393336398</v>
      </c>
      <c r="I36" s="5" t="n">
        <v>0.0</v>
      </c>
      <c r="J36" s="5">
        <f si="0" t="shared"/>
        <v>27235.323481861997</v>
      </c>
      <c r="L36" s="10">
        <v>0.6875</v>
      </c>
      <c r="M36" s="8" t="n">
        <v>9682.933342933655</v>
      </c>
      <c r="N36" s="8" t="n">
        <v>2710.262885093689</v>
      </c>
      <c r="O36" s="8" t="n">
        <v>6368.347709655762</v>
      </c>
      <c r="P36" s="8" t="n">
        <v>7308.664340019226</v>
      </c>
      <c r="Q36" s="8" t="n">
        <v>1108.3042650222778</v>
      </c>
      <c r="R36" s="8" t="n">
        <v>948.078143119812</v>
      </c>
      <c r="S36" s="8" t="n">
        <v>3472.685854911804</v>
      </c>
      <c r="T36" s="8" t="n">
        <v>0.0</v>
      </c>
      <c r="U36">
        <f si="1" t="shared"/>
        <v>31874.898037910461</v>
      </c>
    </row>
    <row r="37" spans="1:21" x14ac:dyDescent="0.45">
      <c r="A37" s="10">
        <v>0.70833333333333337</v>
      </c>
      <c r="B37" s="5" t="n">
        <v>10431.902625043871</v>
      </c>
      <c r="C37" s="5" t="n">
        <v>2389.8452515176514</v>
      </c>
      <c r="D37" s="5" t="n">
        <v>5010.824215326341</v>
      </c>
      <c r="E37" s="5" t="n">
        <v>5751.334284065208</v>
      </c>
      <c r="F37" s="5" t="n">
        <v>885.2817805643192</v>
      </c>
      <c r="G37" s="5" t="n">
        <v>768.4568015149911</v>
      </c>
      <c r="H37" s="5" t="n">
        <v>2495.428807659628</v>
      </c>
      <c r="I37" s="5" t="n">
        <v>0.0</v>
      </c>
      <c r="J37" s="5">
        <f si="0" t="shared"/>
        <v>27733.073765692014</v>
      </c>
      <c r="L37" s="10">
        <v>0.70833333333333337</v>
      </c>
      <c r="M37" s="8" t="n">
        <v>10784.68535041809</v>
      </c>
      <c r="N37" s="8" t="n">
        <v>2713.67084980011</v>
      </c>
      <c r="O37" s="8" t="n">
        <v>5854.716690063477</v>
      </c>
      <c r="P37" s="8" t="n">
        <v>6846.897549629211</v>
      </c>
      <c r="Q37" s="8" t="n">
        <v>1126.1144733428955</v>
      </c>
      <c r="R37" s="8" t="n">
        <v>1024.4638605117798</v>
      </c>
      <c r="S37" s="8" t="n">
        <v>3658.320960044861</v>
      </c>
      <c r="T37" s="8" t="n">
        <v>0.0</v>
      </c>
      <c r="U37">
        <f si="1" t="shared"/>
        <v>32342.17004108429</v>
      </c>
    </row>
    <row r="38" spans="1:21" x14ac:dyDescent="0.45">
      <c r="A38" s="10">
        <v>0.72916666666666663</v>
      </c>
      <c r="B38" s="5" t="n">
        <v>12623.986566046548</v>
      </c>
      <c r="C38" s="5" t="n">
        <v>2375.052284078353</v>
      </c>
      <c r="D38" s="5" t="n">
        <v>4598.192168571097</v>
      </c>
      <c r="E38" s="5" t="n">
        <v>5108.460540725297</v>
      </c>
      <c r="F38" s="5" t="n">
        <v>896.6665671397379</v>
      </c>
      <c r="G38" s="5" t="n">
        <v>858.6015588724933</v>
      </c>
      <c r="H38" s="5" t="n">
        <v>2822.005464638406</v>
      </c>
      <c r="I38" s="5" t="n">
        <v>0.0</v>
      </c>
      <c r="J38" s="5">
        <f si="0" t="shared"/>
        <v>29282.96515007193</v>
      </c>
      <c r="L38" s="10">
        <v>0.72916666666666663</v>
      </c>
      <c r="M38" s="8" t="n">
        <v>12144.693272590637</v>
      </c>
      <c r="N38" s="8" t="n">
        <v>2741.604989051819</v>
      </c>
      <c r="O38" s="8" t="n">
        <v>5422.832964897156</v>
      </c>
      <c r="P38" s="8" t="n">
        <v>6443.473313331604</v>
      </c>
      <c r="Q38" s="8" t="n">
        <v>1153.2777547836304</v>
      </c>
      <c r="R38" s="8" t="n">
        <v>1106.4555311203003</v>
      </c>
      <c r="S38" s="8" t="n">
        <v>3859.316960334778</v>
      </c>
      <c r="T38" s="8" t="n">
        <v>0.0</v>
      </c>
      <c r="U38">
        <f si="1" t="shared"/>
        <v>33230.878318786621</v>
      </c>
    </row>
    <row r="39" spans="1:21" x14ac:dyDescent="0.45">
      <c r="A39" s="10">
        <v>0.75</v>
      </c>
      <c r="B39" s="5" t="n">
        <v>14927.669263074773</v>
      </c>
      <c r="C39" s="5" t="n">
        <v>2407.4613279783334</v>
      </c>
      <c r="D39" s="5" t="n">
        <v>4315.697291672853</v>
      </c>
      <c r="E39" s="5" t="n">
        <v>4734.11625807662</v>
      </c>
      <c r="F39" s="5" t="n">
        <v>927.4982954767482</v>
      </c>
      <c r="G39" s="5" t="n">
        <v>972.3787833811983</v>
      </c>
      <c r="H39" s="5" t="n">
        <v>3206.8549617709227</v>
      </c>
      <c r="I39" s="5" t="n">
        <v>0.0</v>
      </c>
      <c r="J39" s="5">
        <f si="0" t="shared"/>
        <v>31491.676181431449</v>
      </c>
      <c r="L39" s="10">
        <v>0.75</v>
      </c>
      <c r="M39" s="8" t="n">
        <v>13627.772404670715</v>
      </c>
      <c r="N39" s="8" t="n">
        <v>2785.9987812042236</v>
      </c>
      <c r="O39" s="8" t="n">
        <v>5083.509913444519</v>
      </c>
      <c r="P39" s="8" t="n">
        <v>6108.841289520264</v>
      </c>
      <c r="Q39" s="8" t="n">
        <v>1186.288969039917</v>
      </c>
      <c r="R39" s="8" t="n">
        <v>1192.327735900879</v>
      </c>
      <c r="S39" s="8" t="n">
        <v>4076.6382188796997</v>
      </c>
      <c r="T39" s="8" t="n">
        <v>0.0</v>
      </c>
      <c r="U39">
        <f si="1" t="shared"/>
        <v>34406.857518196106</v>
      </c>
    </row>
    <row r="40" spans="1:21" x14ac:dyDescent="0.45">
      <c r="A40" s="10">
        <v>0.77083333333333337</v>
      </c>
      <c r="B40" s="5" t="n">
        <v>16898.73097921491</v>
      </c>
      <c r="C40" s="5" t="n">
        <v>2451.634136215429</v>
      </c>
      <c r="D40" s="5" t="n">
        <v>4127.045800585556</v>
      </c>
      <c r="E40" s="5" t="n">
        <v>4563.375579311264</v>
      </c>
      <c r="F40" s="5" t="n">
        <v>962.1018021076726</v>
      </c>
      <c r="G40" s="5" t="n">
        <v>1101.4087316547761</v>
      </c>
      <c r="H40" s="5" t="n">
        <v>3618.3568002096217</v>
      </c>
      <c r="I40" s="5" t="n">
        <v>0.0</v>
      </c>
      <c r="J40" s="5">
        <f si="0" t="shared"/>
        <v>33722.653829299234</v>
      </c>
      <c r="L40" s="10">
        <v>0.77083333333333337</v>
      </c>
      <c r="M40" s="8" t="n">
        <v>14976.70723247528</v>
      </c>
      <c r="N40" s="8" t="n">
        <v>2818.2647409439087</v>
      </c>
      <c r="O40" s="8" t="n">
        <v>4797.1042947769165</v>
      </c>
      <c r="P40" s="8" t="n">
        <v>5803.134950637817</v>
      </c>
      <c r="Q40" s="8" t="n">
        <v>1212.9287061691284</v>
      </c>
      <c r="R40" s="8" t="n">
        <v>1271.9385023117065</v>
      </c>
      <c r="S40" s="8" t="n">
        <v>4276.177943229675</v>
      </c>
      <c r="T40" s="8" t="n">
        <v>0.0</v>
      </c>
      <c r="U40">
        <f si="1" t="shared"/>
        <v>35443.039653778076</v>
      </c>
    </row>
    <row r="41" spans="1:21" x14ac:dyDescent="0.45">
      <c r="A41" s="10">
        <v>0.79166666666666663</v>
      </c>
      <c r="B41" s="5" t="n">
        <v>18173.727322275867</v>
      </c>
      <c r="C41" s="5" t="n">
        <v>2459.2210212740383</v>
      </c>
      <c r="D41" s="5" t="n">
        <v>3966.647936660588</v>
      </c>
      <c r="E41" s="5" t="n">
        <v>4492.587179618485</v>
      </c>
      <c r="F41" s="5" t="n">
        <v>975.90040911848</v>
      </c>
      <c r="G41" s="5" t="n">
        <v>1219.1422357592794</v>
      </c>
      <c r="H41" s="5" t="n">
        <v>3980.8483692530567</v>
      </c>
      <c r="I41" s="5" t="n">
        <v>0.0</v>
      </c>
      <c r="J41" s="5">
        <f si="0" t="shared"/>
        <v>35268.074473959794</v>
      </c>
      <c r="L41" s="10">
        <v>0.79166666666666663</v>
      </c>
      <c r="M41" s="8" t="n">
        <v>15873.193357467651</v>
      </c>
      <c r="N41" s="8" t="n">
        <v>2796.7777214050293</v>
      </c>
      <c r="O41" s="8" t="n">
        <v>4493.846074104309</v>
      </c>
      <c r="P41" s="8" t="n">
        <v>5456.787236213684</v>
      </c>
      <c r="Q41" s="8" t="n">
        <v>1215.5356950759888</v>
      </c>
      <c r="R41" s="8" t="n">
        <v>1326.9284057617188</v>
      </c>
      <c r="S41" s="8" t="n">
        <v>4394.23551940918</v>
      </c>
      <c r="T41" s="8" t="n">
        <v>0.0</v>
      </c>
      <c r="U41">
        <f si="1" t="shared"/>
        <v>35748.575845718384</v>
      </c>
    </row>
    <row r="42" spans="1:21" x14ac:dyDescent="0.45">
      <c r="A42" s="10">
        <v>0.8125</v>
      </c>
      <c r="B42" s="5" t="n">
        <v>18508.588996368497</v>
      </c>
      <c r="C42" s="5" t="n">
        <v>2385.9234936201524</v>
      </c>
      <c r="D42" s="5" t="n">
        <v>3764.130494115405</v>
      </c>
      <c r="E42" s="5" t="n">
        <v>4400.028488415191</v>
      </c>
      <c r="F42" s="5" t="n">
        <v>944.2644309388085</v>
      </c>
      <c r="G42" s="5" t="n">
        <v>1277.5701497641307</v>
      </c>
      <c r="H42" s="5" t="n">
        <v>4183.261822396548</v>
      </c>
      <c r="I42" s="5" t="n">
        <v>0.0</v>
      </c>
      <c r="J42" s="5">
        <f si="0" t="shared"/>
        <v>35463.767875618738</v>
      </c>
      <c r="L42" s="10">
        <v>0.8125</v>
      </c>
      <c r="M42" s="8" t="n">
        <v>16040.896114349365</v>
      </c>
      <c r="N42" s="8" t="n">
        <v>2683.1594467163086</v>
      </c>
      <c r="O42" s="8" t="n">
        <v>4109.102034568787</v>
      </c>
      <c r="P42" s="8" t="n">
        <v>5006.535611152649</v>
      </c>
      <c r="Q42" s="8" t="n">
        <v>1177.7142791748047</v>
      </c>
      <c r="R42" s="8" t="n">
        <v>1336.7463159561157</v>
      </c>
      <c r="S42" s="8" t="n">
        <v>4362.965660095215</v>
      </c>
      <c r="T42" s="8" t="n">
        <v>0.0</v>
      </c>
      <c r="U42">
        <f si="1" t="shared"/>
        <v>34800.014185905457</v>
      </c>
    </row>
    <row r="43" spans="1:21" x14ac:dyDescent="0.45">
      <c r="A43" s="10">
        <v>0.83333333333333337</v>
      </c>
      <c r="B43" s="5" t="n">
        <v>17776.497213335766</v>
      </c>
      <c r="C43" s="5" t="n">
        <v>2212.500359694862</v>
      </c>
      <c r="D43" s="5" t="n">
        <v>3463.9664374125723</v>
      </c>
      <c r="E43" s="5" t="n">
        <v>4178.353011886231</v>
      </c>
      <c r="F43" s="5" t="n">
        <v>855.7846911639508</v>
      </c>
      <c r="G43" s="5" t="n">
        <v>1228.2046939063932</v>
      </c>
      <c r="H43" s="5" t="n">
        <v>4130.149567477347</v>
      </c>
      <c r="I43" s="5" t="n">
        <v>0.0</v>
      </c>
      <c r="J43" s="5">
        <f si="0" t="shared"/>
        <v>33845.455974877121</v>
      </c>
      <c r="L43" s="10">
        <v>0.83333333333333337</v>
      </c>
      <c r="M43" s="8" t="n">
        <v>15349.044059753418</v>
      </c>
      <c r="N43" s="8" t="n">
        <v>2459.9021034240723</v>
      </c>
      <c r="O43" s="8" t="n">
        <v>3615.73850440979</v>
      </c>
      <c r="P43" s="8" t="n">
        <v>4427.394886016846</v>
      </c>
      <c r="Q43" s="8" t="n">
        <v>1091.710678100586</v>
      </c>
      <c r="R43" s="8" t="n">
        <v>1288.2949409484863</v>
      </c>
      <c r="S43" s="8" t="n">
        <v>4144.0593729019165</v>
      </c>
      <c r="T43" s="8" t="n">
        <v>0.0</v>
      </c>
      <c r="U43">
        <f si="1" t="shared"/>
        <v>32366.353535652161</v>
      </c>
    </row>
    <row r="44" spans="1:21" x14ac:dyDescent="0.45">
      <c r="A44" s="10">
        <v>0.85416666666666663</v>
      </c>
      <c r="B44" s="5" t="n">
        <v>16009.863790964573</v>
      </c>
      <c r="C44" s="5" t="n">
        <v>1953.0811627942876</v>
      </c>
      <c r="D44" s="5" t="n">
        <v>3040.173726726345</v>
      </c>
      <c r="E44" s="5" t="n">
        <v>3776.356402937866</v>
      </c>
      <c r="F44" s="5" t="n">
        <v>721.5169596281198</v>
      </c>
      <c r="G44" s="5" t="n">
        <v>1057.7745030395745</v>
      </c>
      <c r="H44" s="5" t="n">
        <v>3797.3996068985207</v>
      </c>
      <c r="I44" s="5" t="n">
        <v>0.0</v>
      </c>
      <c r="J44" s="5">
        <f si="0" t="shared"/>
        <v>30356.166152989284</v>
      </c>
      <c r="L44" s="10">
        <v>0.85416666666666663</v>
      </c>
      <c r="M44" s="8" t="n">
        <v>13871.572800636292</v>
      </c>
      <c r="N44" s="8" t="n">
        <v>2140.572340965271</v>
      </c>
      <c r="O44" s="8" t="n">
        <v>3037.3305826187134</v>
      </c>
      <c r="P44" s="8" t="n">
        <v>3745.544874191284</v>
      </c>
      <c r="Q44" s="8" t="n">
        <v>963.047571182251</v>
      </c>
      <c r="R44" s="8" t="n">
        <v>1183.6672773361206</v>
      </c>
      <c r="S44" s="8" t="n">
        <v>3751.851119041443</v>
      </c>
      <c r="T44" s="8" t="n">
        <v>0.0</v>
      </c>
      <c r="U44">
        <f si="1" t="shared"/>
        <v>28624.703187942505</v>
      </c>
    </row>
    <row r="45" spans="1:21" x14ac:dyDescent="0.45">
      <c r="A45" s="10">
        <v>0.875</v>
      </c>
      <c r="B45" s="5" t="n">
        <v>13458.082733411531</v>
      </c>
      <c r="C45" s="5" t="n">
        <v>1642.2338424605641</v>
      </c>
      <c r="D45" s="5" t="n">
        <v>2507.970720303023</v>
      </c>
      <c r="E45" s="5" t="n">
        <v>3218.8589624377273</v>
      </c>
      <c r="F45" s="5" t="n">
        <v>572.4331906411752</v>
      </c>
      <c r="G45" s="5" t="n">
        <v>805.43712748028</v>
      </c>
      <c r="H45" s="5" t="n">
        <v>3244.7965252670574</v>
      </c>
      <c r="I45" s="5" t="n">
        <v>0.0</v>
      </c>
      <c r="J45" s="5">
        <f si="0" t="shared"/>
        <v>25449.813102001361</v>
      </c>
      <c r="L45" s="10">
        <v>0.875</v>
      </c>
      <c r="M45" s="8" t="n">
        <v>11866.31335735321</v>
      </c>
      <c r="N45" s="8" t="n">
        <v>1766.3578042984009</v>
      </c>
      <c r="O45" s="8" t="n">
        <v>2435.4645080566406</v>
      </c>
      <c r="P45" s="8" t="n">
        <v>3026.9291677474976</v>
      </c>
      <c r="Q45" s="8" t="n">
        <v>809.360203742981</v>
      </c>
      <c r="R45" s="8" t="n">
        <v>1040.3338136672974</v>
      </c>
      <c r="S45" s="8" t="n">
        <v>3249.660584449768</v>
      </c>
      <c r="T45" s="8" t="n">
        <v>0.0</v>
      </c>
      <c r="U45">
        <f si="1" t="shared"/>
        <v>24101.439436912537</v>
      </c>
    </row>
    <row r="46" spans="1:21" x14ac:dyDescent="0.45">
      <c r="A46" s="10">
        <v>0.89583333333333337</v>
      </c>
      <c r="B46" s="5" t="n">
        <v>10552.96008933006</v>
      </c>
      <c r="C46" s="5" t="n">
        <v>1313.6658469676506</v>
      </c>
      <c r="D46" s="5" t="n">
        <v>1924.1510215228961</v>
      </c>
      <c r="E46" s="5" t="n">
        <v>2584.5723460176705</v>
      </c>
      <c r="F46" s="5" t="n">
        <v>444.08797513073216</v>
      </c>
      <c r="G46" s="5" t="n">
        <v>542.1452984478763</v>
      </c>
      <c r="H46" s="5" t="n">
        <v>2579.504208896578</v>
      </c>
      <c r="I46" s="5" t="n">
        <v>0.0</v>
      </c>
      <c r="J46" s="5">
        <f si="0" t="shared"/>
        <v>19941.086786313463</v>
      </c>
      <c r="L46" s="10">
        <v>0.89583333333333337</v>
      </c>
      <c r="M46" s="8" t="n">
        <v>9671.993141174316</v>
      </c>
      <c r="N46" s="8" t="n">
        <v>1389.2986726760864</v>
      </c>
      <c r="O46" s="8" t="n">
        <v>1878.3064451217651</v>
      </c>
      <c r="P46" s="8" t="n">
        <v>2347.511505126953</v>
      </c>
      <c r="Q46" s="8" t="n">
        <v>652.9607267379761</v>
      </c>
      <c r="R46" s="8" t="n">
        <v>882.5659561157227</v>
      </c>
      <c r="S46" s="8" t="n">
        <v>2718.595747947693</v>
      </c>
      <c r="T46" s="8" t="n">
        <v>0.0</v>
      </c>
      <c r="U46">
        <f si="1" t="shared"/>
        <v>19450.057052612305</v>
      </c>
    </row>
    <row r="47" spans="1:21" x14ac:dyDescent="0.45">
      <c r="A47" s="10">
        <v>0.91666666666666663</v>
      </c>
      <c r="B47" s="5" t="n">
        <v>7751.610319992309</v>
      </c>
      <c r="C47" s="5" t="n">
        <v>990.6958273539577</v>
      </c>
      <c r="D47" s="5" t="n">
        <v>1366.6804707142933</v>
      </c>
      <c r="E47" s="5" t="n">
        <v>1959.9281264177705</v>
      </c>
      <c r="F47" s="5" t="n">
        <v>356.86133313145643</v>
      </c>
      <c r="G47" s="5" t="n">
        <v>329.2867671171137</v>
      </c>
      <c r="H47" s="5" t="n">
        <v>1906.7080696951907</v>
      </c>
      <c r="I47" s="5" t="n">
        <v>0.0</v>
      </c>
      <c r="J47" s="5">
        <f si="0" t="shared"/>
        <v>14661.770914422092</v>
      </c>
      <c r="L47" s="10">
        <v>0.91666666666666663</v>
      </c>
      <c r="M47" s="8" t="n">
        <v>7575.247298240662</v>
      </c>
      <c r="N47" s="8" t="n">
        <v>1051.1981058120728</v>
      </c>
      <c r="O47" s="8" t="n">
        <v>1409.4955396652222</v>
      </c>
      <c r="P47" s="8" t="n">
        <v>1761.5344305038452</v>
      </c>
      <c r="Q47" s="8" t="n">
        <v>511.1536741256714</v>
      </c>
      <c r="R47" s="8" t="n">
        <v>729.4932641983032</v>
      </c>
      <c r="S47" s="8" t="n">
        <v>2218.6405363082886</v>
      </c>
      <c r="T47" s="8" t="n">
        <v>0.0</v>
      </c>
      <c r="U47">
        <f si="1" t="shared"/>
        <v>15182.702447891235</v>
      </c>
    </row>
    <row r="48" spans="1:21" x14ac:dyDescent="0.45">
      <c r="A48" s="10">
        <v>0.9375</v>
      </c>
      <c r="B48" s="5" t="n">
        <v>5366.056173184724</v>
      </c>
      <c r="C48" s="5" t="n">
        <v>691.9091653492658</v>
      </c>
      <c r="D48" s="5" t="n">
        <v>900.8697572853839</v>
      </c>
      <c r="E48" s="5" t="n">
        <v>1404.8553968734368</v>
      </c>
      <c r="F48" s="5" t="n">
        <v>305.7060575244103</v>
      </c>
      <c r="G48" s="5" t="n">
        <v>190.64484473206193</v>
      </c>
      <c r="H48" s="5" t="n">
        <v>1302.3678698289866</v>
      </c>
      <c r="I48" s="5" t="n">
        <v>0.0</v>
      </c>
      <c r="J48" s="5">
        <f si="0" t="shared"/>
        <v>10162.409264778269</v>
      </c>
      <c r="L48" s="10">
        <v>0.9375</v>
      </c>
      <c r="M48" s="8" t="n">
        <v>5728.726097106934</v>
      </c>
      <c r="N48" s="8" t="n">
        <v>771.0278873443604</v>
      </c>
      <c r="O48" s="8" t="n">
        <v>1036.4148998260498</v>
      </c>
      <c r="P48" s="8" t="n">
        <v>1286.3328313827515</v>
      </c>
      <c r="Q48" s="8" t="n">
        <v>390.697735786438</v>
      </c>
      <c r="R48" s="8" t="n">
        <v>588.3367357254028</v>
      </c>
      <c r="S48" s="8" t="n">
        <v>1769.3464469909668</v>
      </c>
      <c r="T48" s="8" t="n">
        <v>0.0</v>
      </c>
      <c r="U48">
        <f si="1" t="shared"/>
        <v>11521.126889228821</v>
      </c>
    </row>
    <row r="49" spans="1:21" x14ac:dyDescent="0.45">
      <c r="A49" s="10">
        <v>0.95833333333333337</v>
      </c>
      <c r="B49" s="5" t="n">
        <v>3506.4624271637576</v>
      </c>
      <c r="C49" s="5" t="n">
        <v>437.42352965760114</v>
      </c>
      <c r="D49" s="5" t="n">
        <v>555.0613818032278</v>
      </c>
      <c r="E49" s="5" t="n">
        <v>947.0655303888493</v>
      </c>
      <c r="F49" s="5" t="n">
        <v>267.87651040288705</v>
      </c>
      <c r="G49" s="5" t="n">
        <v>114.37360256530911</v>
      </c>
      <c r="H49" s="5" t="n">
        <v>811.1534044388329</v>
      </c>
      <c r="I49" s="5" t="n">
        <v>0.0</v>
      </c>
      <c r="J49" s="5">
        <f si="0" t="shared"/>
        <v>6639.4163864204638</v>
      </c>
      <c r="L49" s="10">
        <v>0.95833333333333337</v>
      </c>
      <c r="M49" s="8" t="n">
        <v>4163.105974197388</v>
      </c>
      <c r="N49" s="8" t="n">
        <v>547.3245573043823</v>
      </c>
      <c r="O49" s="8" t="n">
        <v>741.9526386260986</v>
      </c>
      <c r="P49" s="8" t="n">
        <v>910.412989616394</v>
      </c>
      <c r="Q49" s="8" t="n">
        <v>289.69561290740967</v>
      </c>
      <c r="R49" s="8" t="n">
        <v>457.28786849975586</v>
      </c>
      <c r="S49" s="8" t="n">
        <v>1361.6932172775269</v>
      </c>
      <c r="T49" s="8" t="n">
        <v>0.0</v>
      </c>
      <c r="U49">
        <f si="1" t="shared"/>
        <v>8446.7644672393799</v>
      </c>
    </row>
    <row r="50" spans="1:21" x14ac:dyDescent="0.45">
      <c r="A50" s="10">
        <v>0.97916666666666663</v>
      </c>
      <c r="B50" s="5" t="n">
        <v>2144.8802647183293</v>
      </c>
      <c r="C50" s="5" t="n">
        <v>244.56811392512782</v>
      </c>
      <c r="D50" s="5" t="n">
        <v>321.3132839493853</v>
      </c>
      <c r="E50" s="5" t="n">
        <v>593.324522481204</v>
      </c>
      <c r="F50" s="5" t="n">
        <v>222.33094134806885</v>
      </c>
      <c r="G50" s="5" t="n">
        <v>74.26339268544207</v>
      </c>
      <c r="H50" s="5" t="n">
        <v>451.9364428526737</v>
      </c>
      <c r="I50" s="5" t="n">
        <v>0.0</v>
      </c>
      <c r="J50" s="5">
        <f si="0" t="shared"/>
        <v>4052.6169619602306</v>
      </c>
      <c r="L50" s="10">
        <v>0.97916666666666663</v>
      </c>
      <c r="M50" s="8" t="n">
        <v>2859.833472251892</v>
      </c>
      <c r="N50" s="8" t="n">
        <v>370.36866188049316</v>
      </c>
      <c r="O50" s="8" t="n">
        <v>506.0688667297363</v>
      </c>
      <c r="P50" s="8" t="n">
        <v>614.0019540786743</v>
      </c>
      <c r="Q50" s="8" t="n">
        <v>204.0705804824829</v>
      </c>
      <c r="R50" s="8" t="n">
        <v>334.2714786529541</v>
      </c>
      <c r="S50" s="8" t="n">
        <v>986.5536909103394</v>
      </c>
      <c r="T50" s="8" t="n">
        <v>0.0</v>
      </c>
      <c r="U50">
        <f si="1" t="shared"/>
        <v>5870.6137838363647</v>
      </c>
    </row>
    <row r="51" spans="1:21" x14ac:dyDescent="0.45">
      <c r="A51" s="10">
        <v>1</v>
      </c>
      <c r="B51" s="5" t="n">
        <v>1205.355741354648</v>
      </c>
      <c r="C51" s="5" t="n">
        <v>118.34960432768824</v>
      </c>
      <c r="D51" s="5" t="n">
        <v>173.78309276875086</v>
      </c>
      <c r="E51" s="5" t="n">
        <v>339.58591295188614</v>
      </c>
      <c r="F51" s="5" t="n">
        <v>164.27743319445955</v>
      </c>
      <c r="G51" s="5" t="n">
        <v>49.353354118778356</v>
      </c>
      <c r="H51" s="5" t="n">
        <v>220.1968442544175</v>
      </c>
      <c r="I51" s="5" t="n">
        <v>0.0</v>
      </c>
      <c r="J51" s="5">
        <f si="0" t="shared"/>
        <v>2270.9019829706285</v>
      </c>
      <c r="L51" s="10">
        <v>1</v>
      </c>
      <c r="M51" s="8" t="n">
        <v>1811.9328870773315</v>
      </c>
      <c r="N51" s="8" t="n">
        <v>232.8355588912964</v>
      </c>
      <c r="O51" s="8" t="n">
        <v>319.14925384521484</v>
      </c>
      <c r="P51" s="8" t="n">
        <v>384.33453369140625</v>
      </c>
      <c r="Q51" s="8" t="n">
        <v>132.619779586792</v>
      </c>
      <c r="R51" s="8" t="n">
        <v>223.1390733718872</v>
      </c>
      <c r="S51" s="8" t="n">
        <v>653.2081413269043</v>
      </c>
      <c r="T51" s="8" t="n">
        <v>0.0</v>
      </c>
      <c r="U51">
        <f si="1" t="shared"/>
        <v>3764.3660974502563</v>
      </c>
    </row>
    <row r="52" spans="1:21" x14ac:dyDescent="0.45">
      <c r="A52" s="10">
        <v>1.0208333333333333</v>
      </c>
      <c r="B52" s="5" t="n">
        <v>607.1627011246128</v>
      </c>
      <c r="C52" s="5" t="n">
        <v>48.56914753966066</v>
      </c>
      <c r="D52" s="5" t="n">
        <v>86.09120724349258</v>
      </c>
      <c r="E52" s="5" t="n">
        <v>174.0845875846934</v>
      </c>
      <c r="F52" s="5" t="n">
        <v>104.09839174851254</v>
      </c>
      <c r="G52" s="5" t="n">
        <v>30.472987593374338</v>
      </c>
      <c r="H52" s="5" t="n">
        <v>91.52206966351446</v>
      </c>
      <c r="I52" s="5" t="n">
        <v>0.0</v>
      </c>
      <c r="J52" s="5">
        <f si="0" t="shared"/>
        <v>1142.0010924978608</v>
      </c>
      <c r="L52" s="10">
        <v>1.0208333333333333</v>
      </c>
      <c r="M52" s="8" t="n">
        <v>1030.1455526351929</v>
      </c>
      <c r="N52" s="8" t="n">
        <v>131.98998260498047</v>
      </c>
      <c r="O52" s="8" t="n">
        <v>180.4696979522705</v>
      </c>
      <c r="P52" s="8" t="n">
        <v>216.80909252166748</v>
      </c>
      <c r="Q52" s="8" t="n">
        <v>77.11984539031982</v>
      </c>
      <c r="R52" s="8" t="n">
        <v>132.19960117340088</v>
      </c>
      <c r="S52" s="8" t="n">
        <v>384.10587310791016</v>
      </c>
      <c r="T52" s="8" t="n">
        <v>0.0</v>
      </c>
      <c r="U52">
        <f si="1" t="shared"/>
        <v>2163.2917394638062</v>
      </c>
    </row>
    <row r="53" spans="1:21" x14ac:dyDescent="0.45">
      <c r="A53" s="10">
        <v>4.1666666666666664E-2</v>
      </c>
      <c r="B53" s="5" t="n">
        <v>267.17557364495417</v>
      </c>
      <c r="C53" s="5" t="n">
        <v>16.551490604839994</v>
      </c>
      <c r="D53" s="5" t="n">
        <v>37.919038907566964</v>
      </c>
      <c r="E53" s="5" t="n">
        <v>78.2519351148767</v>
      </c>
      <c r="F53" s="5" t="n">
        <v>55.285243969786</v>
      </c>
      <c r="G53" s="5" t="n">
        <v>16.290300143845066</v>
      </c>
      <c r="H53" s="5" t="n">
        <v>31.571378912685923</v>
      </c>
      <c r="I53" s="5" t="n">
        <v>0.0</v>
      </c>
      <c r="J53" s="5">
        <f si="0" t="shared"/>
        <v>503.04496129855482</v>
      </c>
      <c r="L53" s="10">
        <v>4.1666666666666664E-2</v>
      </c>
      <c r="M53" s="8" t="n">
        <v>511.51988410949707</v>
      </c>
      <c r="N53" s="8" t="n">
        <v>65.52481937408447</v>
      </c>
      <c r="O53" s="8" t="n">
        <v>88.97825145721436</v>
      </c>
      <c r="P53" s="8" t="n">
        <v>107.11539077758789</v>
      </c>
      <c r="Q53" s="8" t="n">
        <v>39.01106929779053</v>
      </c>
      <c r="R53" s="8" t="n">
        <v>67.73952388763428</v>
      </c>
      <c r="S53" s="8" t="n">
        <v>195.48094367980957</v>
      </c>
      <c r="T53" s="8" t="n">
        <v>0.0</v>
      </c>
      <c r="U53">
        <f si="1" t="shared"/>
        <v>1083.8344469070435</v>
      </c>
    </row>
    <row r="54" spans="1:21" x14ac:dyDescent="0.45">
      <c r="A54" s="10">
        <v>6.25E-2</v>
      </c>
      <c r="B54" s="5" t="n">
        <v>100.16680559292594</v>
      </c>
      <c r="C54" s="5" t="n">
        <v>4.5703839056162945</v>
      </c>
      <c r="D54" s="5" t="n">
        <v>14.36996728767749</v>
      </c>
      <c r="E54" s="5" t="n">
        <v>30.140150887091735</v>
      </c>
      <c r="F54" s="5" t="n">
        <v>24.159622693863394</v>
      </c>
      <c r="G54" s="5" t="n">
        <v>7.237410256400996</v>
      </c>
      <c r="H54" s="5" t="n">
        <v>8.747724282496227</v>
      </c>
      <c r="I54" s="5" t="n">
        <v>0.0</v>
      </c>
      <c r="J54" s="5">
        <f si="0" t="shared"/>
        <v>189.39206490607208</v>
      </c>
      <c r="L54" s="10">
        <v>6.25E-2</v>
      </c>
      <c r="M54" s="8" t="n">
        <v>216.0572452545166</v>
      </c>
      <c r="N54" s="8" t="n">
        <v>27.703462600708008</v>
      </c>
      <c r="O54" s="8" t="n">
        <v>37.266032218933105</v>
      </c>
      <c r="P54" s="8" t="n">
        <v>45.094831466674805</v>
      </c>
      <c r="Q54" s="8" t="n">
        <v>16.719090461730957</v>
      </c>
      <c r="R54" s="8" t="n">
        <v>29.296303749084473</v>
      </c>
      <c r="S54" s="8" t="n">
        <v>84.02818965911865</v>
      </c>
      <c r="T54" s="8" t="n">
        <v>0.0</v>
      </c>
      <c r="U54">
        <f si="1" t="shared"/>
        <v>461.09677028656006</v>
      </c>
    </row>
    <row r="55" spans="1:21" x14ac:dyDescent="0.45">
      <c r="A55" s="10">
        <v>8.3333333333333329E-2</v>
      </c>
      <c r="B55" s="5" t="n">
        <v>31.185710971322425</v>
      </c>
      <c r="C55" s="5" t="n">
        <v>0.9905980325757134</v>
      </c>
      <c r="D55" s="5" t="n">
        <v>4.534832152091257</v>
      </c>
      <c r="E55" s="5" t="n">
        <v>9.687907496880445</v>
      </c>
      <c r="F55" s="5" t="n">
        <v>8.515602537158516</v>
      </c>
      <c r="G55" s="5" t="n">
        <v>2.5973920560177453</v>
      </c>
      <c r="H55" s="5" t="n">
        <v>1.8639232577613454</v>
      </c>
      <c r="I55" s="5" t="n">
        <v>0.0</v>
      </c>
      <c r="J55" s="5">
        <f si="0" t="shared"/>
        <v>59.37596650380744</v>
      </c>
      <c r="L55" s="10">
        <v>8.3333333333333329E-2</v>
      </c>
      <c r="M55" s="8" t="n">
        <v>75.50977897644043</v>
      </c>
      <c r="N55" s="8" t="n">
        <v>9.695184707641602</v>
      </c>
      <c r="O55" s="8" t="n">
        <v>12.906096458435059</v>
      </c>
      <c r="P55" s="8" t="n">
        <v>15.726042747497559</v>
      </c>
      <c r="Q55" s="8" t="n">
        <v>5.908287048339844</v>
      </c>
      <c r="R55" s="8" t="n">
        <v>10.422516822814941</v>
      </c>
      <c r="S55" s="8" t="n">
        <v>29.733561515808105</v>
      </c>
      <c r="T55" s="8" t="n">
        <v>0.0</v>
      </c>
      <c r="U55">
        <f si="1" t="shared"/>
        <v>162.07518005371094</v>
      </c>
    </row>
    <row r="56" spans="1:21" x14ac:dyDescent="0.45">
      <c r="A56" s="10">
        <v>0.10416666666666667</v>
      </c>
      <c r="B56" s="5" t="n">
        <v>7.824772480950527</v>
      </c>
      <c r="C56" s="5" t="n">
        <v>0.16105504879941346</v>
      </c>
      <c r="D56" s="5" t="n">
        <v>1.1512280782249287</v>
      </c>
      <c r="E56" s="5" t="n">
        <v>2.514647016425779</v>
      </c>
      <c r="F56" s="5" t="n">
        <v>2.3577462332308805</v>
      </c>
      <c r="G56" s="5" t="n">
        <v>0.7314249547150472</v>
      </c>
      <c r="H56" s="5" t="n">
        <v>0.28594509270751634</v>
      </c>
      <c r="I56" s="5" t="n">
        <v>0.0</v>
      </c>
      <c r="J56" s="5">
        <f si="0" t="shared"/>
        <v>15.026818905054093</v>
      </c>
      <c r="L56" s="10">
        <v>0.10416666666666667</v>
      </c>
      <c r="M56" s="8" t="n">
        <v>21.134926795959473</v>
      </c>
      <c r="N56" s="8" t="n">
        <v>2.7173290252685547</v>
      </c>
      <c r="O56" s="8" t="n">
        <v>3.57979679107666</v>
      </c>
      <c r="P56" s="8" t="n">
        <v>4.395420074462891</v>
      </c>
      <c r="Q56" s="8" t="n">
        <v>1.6674890518188477</v>
      </c>
      <c r="R56" s="8" t="n">
        <v>2.95697021484375</v>
      </c>
      <c r="S56" s="8" t="n">
        <v>8.39637565612793</v>
      </c>
      <c r="T56" s="8" t="n">
        <v>0.0</v>
      </c>
      <c r="U56">
        <f si="1" t="shared"/>
        <v>45.573933601379395</v>
      </c>
    </row>
    <row r="57" spans="1:21" x14ac:dyDescent="0.45">
      <c r="A57" s="10">
        <v>0.125</v>
      </c>
      <c r="B57" s="5" t="n">
        <v>1.500529532589449</v>
      </c>
      <c r="C57" s="5" t="n">
        <v>0.01824645663279921</v>
      </c>
      <c r="D57" s="5" t="n">
        <v>0.22246760630470785</v>
      </c>
      <c r="E57" s="5" t="n">
        <v>0.4976215019026359</v>
      </c>
      <c r="F57" s="5" t="n">
        <v>0.4866416327893153</v>
      </c>
      <c r="G57" s="5" t="n">
        <v>0.15324552132859348</v>
      </c>
      <c r="H57" s="5" t="n">
        <v>0.028062688552122572</v>
      </c>
      <c r="I57" s="5" t="n">
        <v>0.0</v>
      </c>
      <c r="J57" s="5">
        <f si="0" t="shared"/>
        <v>2.9068149400996233</v>
      </c>
      <c r="L57" s="10">
        <v>0.125</v>
      </c>
      <c r="M57" s="8" t="n">
        <v>4.470558166503906</v>
      </c>
      <c r="N57" s="8" t="n">
        <v>0.5754671096801758</v>
      </c>
      <c r="O57" s="8" t="n">
        <v>0.7509317398071289</v>
      </c>
      <c r="P57" s="8" t="n">
        <v>0.9289016723632812</v>
      </c>
      <c r="Q57" s="8" t="n">
        <v>0.35484886169433594</v>
      </c>
      <c r="R57" s="8" t="n">
        <v>0.6319217681884766</v>
      </c>
      <c r="S57" s="8" t="n">
        <v>1.7873754501342773</v>
      </c>
      <c r="T57" s="8" t="n">
        <v>0.0</v>
      </c>
      <c r="U57">
        <f si="1" t="shared"/>
        <v>9.6756877899169922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Z58"/>
  <sheetViews>
    <sheetView workbookViewId="0">
      <selection activeCell="U1" sqref="U1:U104857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5" x14ac:dyDescent="0.45">
      <c r="A1" t="s">
        <v>44</v>
      </c>
    </row>
    <row r="2" spans="1:25" x14ac:dyDescent="0.45">
      <c r="A2" t="s">
        <v>59</v>
      </c>
    </row>
    <row r="3" spans="1:25" x14ac:dyDescent="0.45">
      <c r="A3" t="s">
        <v>7</v>
      </c>
    </row>
    <row r="4" spans="1:25" x14ac:dyDescent="0.45">
      <c r="A4" t="s">
        <v>8</v>
      </c>
    </row>
    <row ht="14.65" r="6" spans="1:25" thickBot="1" x14ac:dyDescent="0.5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7"/>
    </row>
    <row r="7" spans="1:25" x14ac:dyDescent="0.4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X7" s="12"/>
      <c r="Y7" s="12"/>
    </row>
    <row r="8" spans="1:25" x14ac:dyDescent="0.45">
      <c r="A8" t="s">
        <v>5</v>
      </c>
      <c r="B8" s="5" t="n">
        <v>0.0</v>
      </c>
      <c r="C8" s="5" t="n">
        <v>0.0</v>
      </c>
      <c r="D8" s="5" t="n">
        <v>0.0</v>
      </c>
      <c r="E8" s="5" t="n">
        <v>0.0</v>
      </c>
      <c r="F8" s="5" t="n">
        <v>0.0</v>
      </c>
      <c r="G8" s="5" t="n">
        <v>0.0</v>
      </c>
      <c r="H8" s="5" t="n">
        <v>0.0</v>
      </c>
      <c r="I8" s="5" t="n">
        <v>0.0</v>
      </c>
      <c r="J8" s="5">
        <f>SUM(B8:I8)</f>
        <v>0</v>
      </c>
      <c r="L8" t="s">
        <v>5</v>
      </c>
      <c r="M8" s="8" t="n">
        <v>19.0</v>
      </c>
      <c r="N8" s="8" t="n">
        <v>2.0</v>
      </c>
      <c r="O8" s="8" t="n">
        <v>0.0</v>
      </c>
      <c r="P8" s="8" t="n">
        <v>0.0</v>
      </c>
      <c r="Q8" s="8" t="n">
        <v>0.0</v>
      </c>
      <c r="R8" s="8" t="n">
        <v>0.0</v>
      </c>
      <c r="S8" s="8" t="n">
        <v>0.0</v>
      </c>
      <c r="T8" s="8" t="n">
        <v>0.0</v>
      </c>
      <c r="U8">
        <f>SUM(M8:T8)</f>
        <v>19</v>
      </c>
      <c r="X8" s="5"/>
      <c r="Y8" s="5"/>
    </row>
    <row r="9" spans="1:25" x14ac:dyDescent="0.45">
      <c r="A9" s="10">
        <v>0.125</v>
      </c>
      <c r="B9" s="5" t="n">
        <v>0.06970912269265522</v>
      </c>
      <c r="C9" s="5" t="n">
        <v>0.0</v>
      </c>
      <c r="D9" s="5" t="n">
        <v>0.0</v>
      </c>
      <c r="E9" s="5" t="n">
        <v>0.0</v>
      </c>
      <c r="F9" s="5" t="n">
        <v>0.0</v>
      </c>
      <c r="G9" s="5" t="n">
        <v>0.0</v>
      </c>
      <c r="H9" s="5" t="n">
        <v>0.0</v>
      </c>
      <c r="I9" s="5" t="n">
        <v>0.0</v>
      </c>
      <c r="J9" s="5">
        <f ref="J9:J58" si="0" t="shared">SUM(B9:I9)</f>
        <v>6.9709122692655223E-2</v>
      </c>
      <c r="L9" s="10">
        <v>0.125</v>
      </c>
      <c r="M9" s="8" t="n">
        <v>14.945823669433594</v>
      </c>
      <c r="N9" s="8" t="n">
        <v>1.5208473205566406</v>
      </c>
      <c r="O9" s="8" t="n">
        <v>0.0</v>
      </c>
      <c r="P9" s="8" t="n">
        <v>0.0</v>
      </c>
      <c r="Q9" s="8" t="n">
        <v>2.2220611572265625E-4</v>
      </c>
      <c r="R9" s="8" t="n">
        <v>0.0</v>
      </c>
      <c r="S9" s="8" t="n">
        <v>0.0</v>
      </c>
      <c r="T9" s="8" t="n">
        <v>0.0</v>
      </c>
      <c r="U9">
        <f ref="U9:U58" si="1" t="shared">SUM(M9:T9)</f>
        <v>15.756878852844238</v>
      </c>
      <c r="X9" s="5"/>
      <c r="Y9" s="5"/>
    </row>
    <row r="10" spans="1:25" x14ac:dyDescent="0.45">
      <c r="A10" s="10">
        <v>0.14583333333333334</v>
      </c>
      <c r="B10" s="5" t="n">
        <v>0.46267711058416094</v>
      </c>
      <c r="C10" s="5" t="n">
        <v>1.3833088795497055E-4</v>
      </c>
      <c r="D10" s="5" t="n">
        <v>0.0</v>
      </c>
      <c r="E10" s="5" t="n">
        <v>0.0</v>
      </c>
      <c r="F10" s="5" t="n">
        <v>0.0</v>
      </c>
      <c r="G10" s="5" t="n">
        <v>0.0</v>
      </c>
      <c r="H10" s="5" t="n">
        <v>0.0</v>
      </c>
      <c r="I10" s="5" t="n">
        <v>0.0</v>
      </c>
      <c r="J10" s="5">
        <f si="0" t="shared"/>
        <v>0.4628154414721159</v>
      </c>
      <c r="L10" s="10">
        <v>0.14583333333333334</v>
      </c>
      <c r="M10" s="8" t="n">
        <v>12.087739944458008</v>
      </c>
      <c r="N10" s="8" t="n">
        <v>1.1431379318237305</v>
      </c>
      <c r="O10" s="8" t="n">
        <v>0.0</v>
      </c>
      <c r="P10" s="8" t="n">
        <v>0.0</v>
      </c>
      <c r="Q10" s="8" t="n">
        <v>0.0015287399291992188</v>
      </c>
      <c r="R10" s="8" t="n">
        <v>9.5367431640625E-7</v>
      </c>
      <c r="S10" s="8" t="n">
        <v>0.0</v>
      </c>
      <c r="T10" s="8" t="n">
        <v>0.0</v>
      </c>
      <c r="U10">
        <f si="1" t="shared"/>
        <v>13.596732139587402</v>
      </c>
      <c r="X10" s="5"/>
      <c r="Y10" s="5"/>
    </row>
    <row r="11" spans="1:25" x14ac:dyDescent="0.45">
      <c r="A11" s="10">
        <v>0.16666666666666666</v>
      </c>
      <c r="B11" s="5" t="n">
        <v>2.2047270667639522</v>
      </c>
      <c r="C11" s="5" t="n">
        <v>0.0029520703885913976</v>
      </c>
      <c r="D11" s="5" t="n">
        <v>0.0</v>
      </c>
      <c r="E11" s="5" t="n">
        <v>0.0</v>
      </c>
      <c r="F11" s="5" t="n">
        <v>0.0</v>
      </c>
      <c r="G11" s="5" t="n">
        <v>0.0</v>
      </c>
      <c r="H11" s="5" t="n">
        <v>0.0</v>
      </c>
      <c r="I11" s="5" t="n">
        <v>0.0</v>
      </c>
      <c r="J11" s="5">
        <f si="0" t="shared"/>
        <v>2.2076791371525437</v>
      </c>
      <c r="L11" s="10">
        <v>0.16666666666666666</v>
      </c>
      <c r="M11" s="8" t="n">
        <v>11.228094100952148</v>
      </c>
      <c r="N11" s="8" t="n">
        <v>0.9291477203369141</v>
      </c>
      <c r="O11" s="8" t="n">
        <v>0.0</v>
      </c>
      <c r="P11" s="8" t="n">
        <v>0.0</v>
      </c>
      <c r="Q11" s="8" t="n">
        <v>0.007579803466796875</v>
      </c>
      <c r="R11" s="8" t="n">
        <v>1.9073486328125E-5</v>
      </c>
      <c r="S11" s="8" t="n">
        <v>0.0</v>
      </c>
      <c r="T11" s="8" t="n">
        <v>0.0</v>
      </c>
      <c r="U11">
        <f si="1" t="shared"/>
        <v>13.280488014221191</v>
      </c>
      <c r="X11" s="5"/>
      <c r="Y11" s="5"/>
    </row>
    <row r="12" spans="1:25" x14ac:dyDescent="0.45">
      <c r="A12" s="10">
        <v>0.1875</v>
      </c>
      <c r="B12" s="5" t="n">
        <v>8.098271434190432</v>
      </c>
      <c r="C12" s="5" t="n">
        <v>0.030158731049704374</v>
      </c>
      <c r="D12" s="5" t="n">
        <v>0.0</v>
      </c>
      <c r="E12" s="5" t="n">
        <v>0.0</v>
      </c>
      <c r="F12" s="5" t="n">
        <v>0.0</v>
      </c>
      <c r="G12" s="5" t="n">
        <v>0.0</v>
      </c>
      <c r="H12" s="5" t="n">
        <v>0.0</v>
      </c>
      <c r="I12" s="5" t="n">
        <v>0.0</v>
      </c>
      <c r="J12" s="5">
        <f si="0" t="shared"/>
        <v>8.1284301652401361</v>
      </c>
      <c r="L12" s="10">
        <v>0.1875</v>
      </c>
      <c r="M12" s="8" t="n">
        <v>12.838190078735352</v>
      </c>
      <c r="N12" s="8" t="n">
        <v>0.9107217788696289</v>
      </c>
      <c r="O12" s="8" t="n">
        <v>0.0</v>
      </c>
      <c r="P12" s="8" t="n">
        <v>0.0</v>
      </c>
      <c r="Q12" s="8" t="n">
        <v>0.02898406982421875</v>
      </c>
      <c r="R12" s="8" t="n">
        <v>1.8310546875E-4</v>
      </c>
      <c r="S12" s="8" t="n">
        <v>0.0</v>
      </c>
      <c r="T12" s="8" t="n">
        <v>0.0</v>
      </c>
      <c r="U12">
        <f si="1" t="shared"/>
        <v>15.321297645568848</v>
      </c>
    </row>
    <row r="13" spans="1:25" x14ac:dyDescent="0.45">
      <c r="A13" s="10">
        <v>0.20833333333333334</v>
      </c>
      <c r="B13" s="5" t="n">
        <v>23.949310156379497</v>
      </c>
      <c r="C13" s="5" t="n">
        <v>0.19626940684054864</v>
      </c>
      <c r="D13" s="5" t="n">
        <v>0.0</v>
      </c>
      <c r="E13" s="5" t="n">
        <v>0.0</v>
      </c>
      <c r="F13" s="5" t="n">
        <v>0.0</v>
      </c>
      <c r="G13" s="5" t="n">
        <v>0.0</v>
      </c>
      <c r="H13" s="5" t="n">
        <v>0.0</v>
      </c>
      <c r="I13" s="5" t="n">
        <v>0.0</v>
      </c>
      <c r="J13" s="5">
        <f si="0" t="shared"/>
        <v>24.145579563220046</v>
      </c>
      <c r="L13" s="10">
        <v>0.20833333333333334</v>
      </c>
      <c r="M13" s="8" t="n">
        <v>17.679760932922363</v>
      </c>
      <c r="N13" s="8" t="n">
        <v>1.1513261795043945</v>
      </c>
      <c r="O13" s="8" t="n">
        <v>0.0</v>
      </c>
      <c r="P13" s="8" t="n">
        <v>0.0</v>
      </c>
      <c r="Q13" s="8" t="n">
        <v>0.08902454376220703</v>
      </c>
      <c r="R13" s="8" t="n">
        <v>0.0011301040649414062</v>
      </c>
      <c r="S13" s="8" t="n">
        <v>0.0</v>
      </c>
      <c r="T13" s="8" t="n">
        <v>0.0</v>
      </c>
      <c r="U13">
        <f si="1" t="shared"/>
        <v>20.578685760498047</v>
      </c>
    </row>
    <row r="14" spans="1:25" x14ac:dyDescent="0.45">
      <c r="A14" s="10">
        <v>0.22916666666666666</v>
      </c>
      <c r="B14" s="5" t="n">
        <v>58.85371349497015</v>
      </c>
      <c r="C14" s="5" t="n">
        <v>0.9133643845733344</v>
      </c>
      <c r="D14" s="5" t="n">
        <v>0.0</v>
      </c>
      <c r="E14" s="5" t="n">
        <v>0.0</v>
      </c>
      <c r="F14" s="5" t="n">
        <v>6.222368744867258E-5</v>
      </c>
      <c r="G14" s="5" t="n">
        <v>0.0</v>
      </c>
      <c r="H14" s="5" t="n">
        <v>0.0</v>
      </c>
      <c r="I14" s="5" t="n">
        <v>0.0</v>
      </c>
      <c r="J14" s="5">
        <f si="0" t="shared"/>
        <v>59.767140103230936</v>
      </c>
      <c r="L14" s="10">
        <v>0.22916666666666666</v>
      </c>
      <c r="M14" s="8" t="n">
        <v>27.61723518371582</v>
      </c>
      <c r="N14" s="8" t="n">
        <v>1.816232681274414</v>
      </c>
      <c r="O14" s="8" t="n">
        <v>0.0</v>
      </c>
      <c r="P14" s="8" t="n">
        <v>0.0</v>
      </c>
      <c r="Q14" s="8" t="n">
        <v>0.2266244888305664</v>
      </c>
      <c r="R14" s="8" t="n">
        <v>0.005087852478027344</v>
      </c>
      <c r="S14" s="8" t="n">
        <v>0.0</v>
      </c>
      <c r="T14" s="8" t="n">
        <v>0.0</v>
      </c>
      <c r="U14">
        <f si="1" t="shared"/>
        <v>31.075774192810059</v>
      </c>
    </row>
    <row r="15" spans="1:25" x14ac:dyDescent="0.45">
      <c r="A15" s="10">
        <v>0.25</v>
      </c>
      <c r="B15" s="5" t="n">
        <v>123.22023526040746</v>
      </c>
      <c r="C15" s="5" t="n">
        <v>3.234356880533576</v>
      </c>
      <c r="D15" s="5" t="n">
        <v>0.0</v>
      </c>
      <c r="E15" s="5" t="n">
        <v>0.0</v>
      </c>
      <c r="F15" s="5" t="n">
        <v>0.0012444737489734515</v>
      </c>
      <c r="G15" s="5" t="n">
        <v>0.0</v>
      </c>
      <c r="H15" s="5" t="n">
        <v>0.0</v>
      </c>
      <c r="I15" s="5" t="n">
        <v>0.0</v>
      </c>
      <c r="J15" s="5">
        <f si="0" t="shared"/>
        <v>126.45583661469001</v>
      </c>
      <c r="L15" s="10">
        <v>0.25</v>
      </c>
      <c r="M15" s="8" t="n">
        <v>46.28420066833496</v>
      </c>
      <c r="N15" s="8" t="n">
        <v>3.2007694244384766</v>
      </c>
      <c r="O15" s="8" t="n">
        <v>0.0</v>
      </c>
      <c r="P15" s="8" t="n">
        <v>0.0</v>
      </c>
      <c r="Q15" s="8" t="n">
        <v>0.49365806579589844</v>
      </c>
      <c r="R15" s="8" t="n">
        <v>0.01807117462158203</v>
      </c>
      <c r="S15" s="8" t="n">
        <v>0.0</v>
      </c>
      <c r="T15" s="8" t="n">
        <v>0.0</v>
      </c>
      <c r="U15">
        <f si="1" t="shared"/>
        <v>50.752106666564941</v>
      </c>
    </row>
    <row r="16" spans="1:25" x14ac:dyDescent="0.45">
      <c r="A16" s="10">
        <v>0.27083333333333331</v>
      </c>
      <c r="B16" s="5" t="n">
        <v>224.62960821178328</v>
      </c>
      <c r="C16" s="5" t="n">
        <v>9.056734612101904</v>
      </c>
      <c r="D16" s="5" t="n">
        <v>0.0</v>
      </c>
      <c r="E16" s="5" t="n">
        <v>4.648895401627092E-5</v>
      </c>
      <c r="F16" s="5" t="n">
        <v>0.011870531938357416</v>
      </c>
      <c r="G16" s="5" t="n">
        <v>0.0</v>
      </c>
      <c r="H16" s="5" t="n">
        <v>0.0</v>
      </c>
      <c r="I16" s="5" t="n">
        <v>0.0</v>
      </c>
      <c r="J16" s="5">
        <f si="0" t="shared"/>
        <v>233.69825984477757</v>
      </c>
      <c r="L16" s="10">
        <v>0.27083333333333331</v>
      </c>
      <c r="M16" s="8" t="n">
        <v>80.61051940917969</v>
      </c>
      <c r="N16" s="8" t="n">
        <v>5.757811546325684</v>
      </c>
      <c r="O16" s="8" t="n">
        <v>0.0</v>
      </c>
      <c r="P16" s="8" t="n">
        <v>0.0</v>
      </c>
      <c r="Q16" s="8" t="n">
        <v>0.9605255126953125</v>
      </c>
      <c r="R16" s="8" t="n">
        <v>0.053757667541503906</v>
      </c>
      <c r="S16" s="8" t="n">
        <v>0.0</v>
      </c>
      <c r="T16" s="8" t="n">
        <v>0.0</v>
      </c>
      <c r="U16">
        <f si="1" t="shared"/>
        <v>87.212811470031738</v>
      </c>
    </row>
    <row r="17" spans="1:21" x14ac:dyDescent="0.45">
      <c r="A17" s="10">
        <v>0.29166666666666669</v>
      </c>
      <c r="B17" s="5" t="n">
        <v>364.38593854670404</v>
      </c>
      <c r="C17" s="5" t="n">
        <v>20.58580971567406</v>
      </c>
      <c r="D17" s="5" t="n">
        <v>0.0</v>
      </c>
      <c r="E17" s="5" t="n">
        <v>9.297790803254186E-4</v>
      </c>
      <c r="F17" s="5" t="n">
        <v>0.07189563015367925</v>
      </c>
      <c r="G17" s="5" t="n">
        <v>0.0</v>
      </c>
      <c r="H17" s="5" t="n">
        <v>0.0</v>
      </c>
      <c r="I17" s="5" t="n">
        <v>0.0</v>
      </c>
      <c r="J17" s="5">
        <f si="0" t="shared"/>
        <v>385.04457367161211</v>
      </c>
      <c r="L17" s="10">
        <v>0.29166666666666669</v>
      </c>
      <c r="M17" s="8" t="n">
        <v>146.45257663726807</v>
      </c>
      <c r="N17" s="8" t="n">
        <v>10.329597473144531</v>
      </c>
      <c r="O17" s="8" t="n">
        <v>0.0</v>
      </c>
      <c r="P17" s="8" t="n">
        <v>0.0</v>
      </c>
      <c r="Q17" s="8" t="n">
        <v>1.7715997695922852</v>
      </c>
      <c r="R17" s="8" t="n">
        <v>0.14056968688964844</v>
      </c>
      <c r="S17" s="8" t="n">
        <v>0.0</v>
      </c>
      <c r="T17" s="8" t="n">
        <v>0.0</v>
      </c>
      <c r="U17">
        <f si="1" t="shared"/>
        <v>157.86920166015625</v>
      </c>
    </row>
    <row r="18" spans="1:21" x14ac:dyDescent="0.45">
      <c r="A18" s="10">
        <v>0.3125</v>
      </c>
      <c r="B18" s="5" t="n">
        <v>539.7145770405814</v>
      </c>
      <c r="C18" s="5" t="n">
        <v>38.76099962310978</v>
      </c>
      <c r="D18" s="5" t="n">
        <v>0.0</v>
      </c>
      <c r="E18" s="5" t="n">
        <v>0.008899128383885159</v>
      </c>
      <c r="F18" s="5" t="n">
        <v>0.3105997170796476</v>
      </c>
      <c r="G18" s="5" t="n">
        <v>0.0</v>
      </c>
      <c r="H18" s="5" t="n">
        <v>0.0</v>
      </c>
      <c r="I18" s="5" t="n">
        <v>0.0</v>
      </c>
      <c r="J18" s="5">
        <f si="0" t="shared"/>
        <v>578.79507550915469</v>
      </c>
      <c r="L18" s="10">
        <v>0.3125</v>
      </c>
      <c r="M18" s="8" t="n">
        <v>281.0373430252075</v>
      </c>
      <c r="N18" s="8" t="n">
        <v>18.810044288635254</v>
      </c>
      <c r="O18" s="8" t="n">
        <v>0.0</v>
      </c>
      <c r="P18" s="8" t="n">
        <v>0.0</v>
      </c>
      <c r="Q18" s="8" t="n">
        <v>3.2858877182006836</v>
      </c>
      <c r="R18" s="8" t="n">
        <v>0.33425331115722656</v>
      </c>
      <c r="S18" s="8" t="n">
        <v>0.0</v>
      </c>
      <c r="T18" s="8" t="n">
        <v>0.0</v>
      </c>
      <c r="U18">
        <f si="1" t="shared"/>
        <v>303.30472469329834</v>
      </c>
    </row>
    <row r="19" spans="1:21" x14ac:dyDescent="0.45">
      <c r="A19" s="10">
        <v>0.33333333333333331</v>
      </c>
      <c r="B19" s="5" t="n">
        <v>756.0834711305483</v>
      </c>
      <c r="C19" s="5" t="n">
        <v>61.70293583841065</v>
      </c>
      <c r="D19" s="5" t="n">
        <v>0.0</v>
      </c>
      <c r="E19" s="5" t="n">
        <v>0.05434724306224964</v>
      </c>
      <c r="F19" s="5" t="n">
        <v>1.0194717585491935</v>
      </c>
      <c r="G19" s="5" t="n">
        <v>0.0</v>
      </c>
      <c r="H19" s="5" t="n">
        <v>0.0</v>
      </c>
      <c r="I19" s="5" t="n">
        <v>0.0</v>
      </c>
      <c r="J19" s="5">
        <f si="0" t="shared"/>
        <v>818.86022597057047</v>
      </c>
      <c r="L19" s="10">
        <v>0.33333333333333331</v>
      </c>
      <c r="M19" s="8" t="n">
        <v>556.7851800918579</v>
      </c>
      <c r="N19" s="8" t="n">
        <v>35.021843910217285</v>
      </c>
      <c r="O19" s="8" t="n">
        <v>0.0</v>
      </c>
      <c r="P19" s="8" t="n">
        <v>0.0</v>
      </c>
      <c r="Q19" s="8" t="n">
        <v>6.242890357971191</v>
      </c>
      <c r="R19" s="8" t="n">
        <v>0.7337942123413086</v>
      </c>
      <c r="S19" s="8" t="n">
        <v>0.0</v>
      </c>
      <c r="T19" s="8" t="n">
        <v>0.0</v>
      </c>
      <c r="U19">
        <f si="1" t="shared"/>
        <v>601.98549175262451</v>
      </c>
    </row>
    <row r="20" spans="1:21" x14ac:dyDescent="0.45">
      <c r="A20" s="10">
        <v>0.35416666666666669</v>
      </c>
      <c r="B20" s="5" t="n">
        <v>1050.9076687011236</v>
      </c>
      <c r="C20" s="5" t="n">
        <v>85.54026171201248</v>
      </c>
      <c r="D20" s="5" t="n">
        <v>0.0</v>
      </c>
      <c r="E20" s="5" t="n">
        <v>0.23832799651617495</v>
      </c>
      <c r="F20" s="5" t="n">
        <v>2.644501885976688</v>
      </c>
      <c r="G20" s="5" t="n">
        <v>0.0</v>
      </c>
      <c r="H20" s="5" t="n">
        <v>0.0</v>
      </c>
      <c r="I20" s="5" t="n">
        <v>0.0</v>
      </c>
      <c r="J20" s="5">
        <f si="0" t="shared"/>
        <v>1139.330760295629</v>
      </c>
      <c r="L20" s="10">
        <v>0.35416666666666669</v>
      </c>
      <c r="M20" s="8" t="n">
        <v>1078.6909523010254</v>
      </c>
      <c r="N20" s="8" t="n">
        <v>64.81094169616699</v>
      </c>
      <c r="O20" s="8" t="n">
        <v>0.0</v>
      </c>
      <c r="P20" s="8" t="n">
        <v>0.0</v>
      </c>
      <c r="Q20" s="8" t="n">
        <v>11.753353118896484</v>
      </c>
      <c r="R20" s="8" t="n">
        <v>1.4855461120605469</v>
      </c>
      <c r="S20" s="8" t="n">
        <v>0.0</v>
      </c>
      <c r="T20" s="8" t="n">
        <v>0.0</v>
      </c>
      <c r="U20">
        <f si="1" t="shared"/>
        <v>1167.161642074585</v>
      </c>
    </row>
    <row r="21" spans="1:21" x14ac:dyDescent="0.45">
      <c r="A21" s="10">
        <v>0.375</v>
      </c>
      <c r="B21" s="5" t="n">
        <v>1523.3839228738734</v>
      </c>
      <c r="C21" s="5" t="n">
        <v>108.89994601490405</v>
      </c>
      <c r="D21" s="5" t="n">
        <v>0.0</v>
      </c>
      <c r="E21" s="5" t="n">
        <v>0.8010693436602171</v>
      </c>
      <c r="F21" s="5" t="n">
        <v>5.568257884512744</v>
      </c>
      <c r="G21" s="5" t="n">
        <v>0.0</v>
      </c>
      <c r="H21" s="5" t="n">
        <v>0.0</v>
      </c>
      <c r="I21" s="5" t="n">
        <v>0.0</v>
      </c>
      <c r="J21" s="5">
        <f si="0" t="shared"/>
        <v>1638.6531961169505</v>
      </c>
      <c r="L21" s="10">
        <v>0.375</v>
      </c>
      <c r="M21" s="8" t="n">
        <v>1947.7866468429565</v>
      </c>
      <c r="N21" s="8" t="n">
        <v>114.21393585205078</v>
      </c>
      <c r="O21" s="8" t="n">
        <v>0.0</v>
      </c>
      <c r="P21" s="8" t="n">
        <v>0.0</v>
      </c>
      <c r="Q21" s="8" t="n">
        <v>20.92050266265869</v>
      </c>
      <c r="R21" s="8" t="n">
        <v>2.7498292922973633</v>
      </c>
      <c r="S21" s="8" t="n">
        <v>0.0</v>
      </c>
      <c r="T21" s="8" t="n">
        <v>0.0</v>
      </c>
      <c r="U21">
        <f si="1" t="shared"/>
        <v>2107.3269939422607</v>
      </c>
    </row>
    <row r="22" spans="1:21" x14ac:dyDescent="0.45">
      <c r="A22" s="10">
        <v>0.39583333333333331</v>
      </c>
      <c r="B22" s="5" t="n">
        <v>2351.4755188821678</v>
      </c>
      <c r="C22" s="5" t="n">
        <v>138.27937483857414</v>
      </c>
      <c r="D22" s="5" t="n">
        <v>0.0</v>
      </c>
      <c r="E22" s="5" t="n">
        <v>2.1516163552389806</v>
      </c>
      <c r="F22" s="5" t="n">
        <v>9.700011991638396</v>
      </c>
      <c r="G22" s="5" t="n">
        <v>0.0</v>
      </c>
      <c r="H22" s="5" t="n">
        <v>0.0</v>
      </c>
      <c r="I22" s="5" t="n">
        <v>0.0</v>
      </c>
      <c r="J22" s="5">
        <f si="0" t="shared"/>
        <v>2501.6065220676196</v>
      </c>
      <c r="L22" s="10">
        <v>0.39583333333333331</v>
      </c>
      <c r="M22" s="8" t="n">
        <v>3198.971131324768</v>
      </c>
      <c r="N22" s="8" t="n">
        <v>185.92659187316895</v>
      </c>
      <c r="O22" s="8" t="n">
        <v>0.0</v>
      </c>
      <c r="P22" s="8" t="n">
        <v>0.0</v>
      </c>
      <c r="Q22" s="8" t="n">
        <v>34.180259704589844</v>
      </c>
      <c r="R22" s="8" t="n">
        <v>4.6190032958984375</v>
      </c>
      <c r="S22" s="8" t="n">
        <v>0.0</v>
      </c>
      <c r="T22" s="8" t="n">
        <v>0.0</v>
      </c>
      <c r="U22">
        <f si="1" t="shared"/>
        <v>3459.5123815536499</v>
      </c>
    </row>
    <row r="23" spans="1:21" x14ac:dyDescent="0.45">
      <c r="A23" s="10">
        <v>0.41666666666666669</v>
      </c>
      <c r="B23" s="5" t="n">
        <v>3757.848746577849</v>
      </c>
      <c r="C23" s="5" t="n">
        <v>188.01905528751553</v>
      </c>
      <c r="D23" s="5" t="n">
        <v>0.0</v>
      </c>
      <c r="E23" s="5" t="n">
        <v>4.753153909749019</v>
      </c>
      <c r="F23" s="5" t="n">
        <v>14.17447871133727</v>
      </c>
      <c r="G23" s="5" t="n">
        <v>0.0</v>
      </c>
      <c r="H23" s="5" t="n">
        <v>0.0</v>
      </c>
      <c r="I23" s="5" t="n">
        <v>0.0</v>
      </c>
      <c r="J23" s="5">
        <f si="0" t="shared"/>
        <v>3964.7954344864506</v>
      </c>
      <c r="L23" s="10">
        <v>0.41666666666666669</v>
      </c>
      <c r="M23" s="8" t="n">
        <v>4752.977702140808</v>
      </c>
      <c r="N23" s="8" t="n">
        <v>276.25018882751465</v>
      </c>
      <c r="O23" s="8" t="n">
        <v>0.0</v>
      </c>
      <c r="P23" s="8" t="n">
        <v>0.0</v>
      </c>
      <c r="Q23" s="8" t="n">
        <v>50.7883358001709</v>
      </c>
      <c r="R23" s="8" t="n">
        <v>7.0219011306762695</v>
      </c>
      <c r="S23" s="8" t="n">
        <v>0.0</v>
      </c>
      <c r="T23" s="8" t="n">
        <v>0.0</v>
      </c>
      <c r="U23">
        <f si="1" t="shared"/>
        <v>5138.3332738876343</v>
      </c>
    </row>
    <row r="24" spans="1:21" x14ac:dyDescent="0.45">
      <c r="A24" s="10">
        <v>0.4375</v>
      </c>
      <c r="B24" s="5" t="n">
        <v>5887.986889670668</v>
      </c>
      <c r="C24" s="5" t="n">
        <v>271.00594706491887</v>
      </c>
      <c r="D24" s="5" t="n">
        <v>0.0</v>
      </c>
      <c r="E24" s="5" t="n">
        <v>8.815320462984602</v>
      </c>
      <c r="F24" s="5" t="n">
        <v>17.546705370386565</v>
      </c>
      <c r="G24" s="5" t="n">
        <v>0.0</v>
      </c>
      <c r="H24" s="5" t="n">
        <v>0.0</v>
      </c>
      <c r="I24" s="5" t="n">
        <v>0.0</v>
      </c>
      <c r="J24" s="5">
        <f si="0" t="shared"/>
        <v>6185.3548625689573</v>
      </c>
      <c r="L24" s="10">
        <v>0.4375</v>
      </c>
      <c r="M24" s="8" t="n">
        <v>6419.418153762817</v>
      </c>
      <c r="N24" s="8" t="n">
        <v>374.8434076309204</v>
      </c>
      <c r="O24" s="8" t="n">
        <v>0.0</v>
      </c>
      <c r="P24" s="8" t="n">
        <v>0.0</v>
      </c>
      <c r="Q24" s="8" t="n">
        <v>68.85218334197998</v>
      </c>
      <c r="R24" s="8" t="n">
        <v>9.689891815185547</v>
      </c>
      <c r="S24" s="8" t="n">
        <v>0.0</v>
      </c>
      <c r="T24" s="8" t="n">
        <v>0.0</v>
      </c>
      <c r="U24">
        <f si="1" t="shared"/>
        <v>6939.8855075836182</v>
      </c>
    </row>
    <row r="25" spans="1:21" x14ac:dyDescent="0.45">
      <c r="A25" s="10">
        <v>0.45833333333333331</v>
      </c>
      <c r="B25" s="5" t="n">
        <v>8624.09502404795</v>
      </c>
      <c r="C25" s="5" t="n">
        <v>385.0873451716126</v>
      </c>
      <c r="D25" s="5" t="n">
        <v>0.0</v>
      </c>
      <c r="E25" s="5" t="n">
        <v>13.92257042947868</v>
      </c>
      <c r="F25" s="5" t="n">
        <v>18.518431573371863</v>
      </c>
      <c r="G25" s="5" t="n">
        <v>0.0</v>
      </c>
      <c r="H25" s="5" t="n">
        <v>0.0</v>
      </c>
      <c r="I25" s="5" t="n">
        <v>0.0</v>
      </c>
      <c r="J25" s="5">
        <f si="0" t="shared"/>
        <v>9041.623371222413</v>
      </c>
      <c r="L25" s="10">
        <v>0.45833333333333331</v>
      </c>
      <c r="M25" s="8" t="n">
        <v>7947.080753326416</v>
      </c>
      <c r="N25" s="8" t="n">
        <v>467.3969659805298</v>
      </c>
      <c r="O25" s="8" t="n">
        <v>0.0</v>
      </c>
      <c r="P25" s="8" t="n">
        <v>0.0</v>
      </c>
      <c r="Q25" s="8" t="n">
        <v>85.86725902557373</v>
      </c>
      <c r="R25" s="8" t="n">
        <v>12.241321563720703</v>
      </c>
      <c r="S25" s="8" t="n">
        <v>0.0</v>
      </c>
      <c r="T25" s="8" t="n">
        <v>0.0</v>
      </c>
      <c r="U25">
        <f si="1" t="shared"/>
        <v>8595.3497734069824</v>
      </c>
    </row>
    <row r="26" spans="1:21" x14ac:dyDescent="0.45">
      <c r="A26" s="10">
        <v>0.47916666666666669</v>
      </c>
      <c r="B26" s="5" t="n">
        <v>11461.730744776636</v>
      </c>
      <c r="C26" s="5" t="n">
        <v>507.483075265474</v>
      </c>
      <c r="D26" s="5" t="n">
        <v>0.0</v>
      </c>
      <c r="E26" s="5" t="n">
        <v>18.892462212569427</v>
      </c>
      <c r="F26" s="5" t="n">
        <v>16.712393040351387</v>
      </c>
      <c r="G26" s="5" t="n">
        <v>0.0</v>
      </c>
      <c r="H26" s="5" t="n">
        <v>0.0</v>
      </c>
      <c r="I26" s="5" t="n">
        <v>0.0</v>
      </c>
      <c r="J26" s="5">
        <f si="0" t="shared"/>
        <v>12004.818675295031</v>
      </c>
      <c r="L26" s="10">
        <v>0.47916666666666669</v>
      </c>
      <c r="M26" s="8" t="n">
        <v>9088.051045417786</v>
      </c>
      <c r="N26" s="8" t="n">
        <v>539.4158449172974</v>
      </c>
      <c r="O26" s="8" t="n">
        <v>0.0</v>
      </c>
      <c r="P26" s="8" t="n">
        <v>0.0</v>
      </c>
      <c r="Q26" s="8" t="n">
        <v>99.38302516937256</v>
      </c>
      <c r="R26" s="8" t="n">
        <v>14.356330871582031</v>
      </c>
      <c r="S26" s="8" t="n">
        <v>0.0</v>
      </c>
      <c r="T26" s="8" t="n">
        <v>0.0</v>
      </c>
      <c r="U26">
        <f si="1" t="shared"/>
        <v>9838.300238609314</v>
      </c>
    </row>
    <row r="27" spans="1:21" x14ac:dyDescent="0.45">
      <c r="A27" s="10">
        <v>0.5</v>
      </c>
      <c r="B27" s="5" t="n">
        <v>13612.41807070635</v>
      </c>
      <c r="C27" s="5" t="n">
        <v>605.1756461384516</v>
      </c>
      <c r="D27" s="5" t="n">
        <v>0.0</v>
      </c>
      <c r="E27" s="5" t="n">
        <v>22.117959679263297</v>
      </c>
      <c r="F27" s="5" t="n">
        <v>12.890921280513915</v>
      </c>
      <c r="G27" s="5" t="n">
        <v>0.0</v>
      </c>
      <c r="H27" s="5" t="n">
        <v>0.0</v>
      </c>
      <c r="I27" s="5" t="n">
        <v>0.0</v>
      </c>
      <c r="J27" s="5">
        <f si="0" t="shared"/>
        <v>14252.602597804578</v>
      </c>
      <c r="L27" s="10">
        <v>0.5</v>
      </c>
      <c r="M27" s="8" t="n">
        <v>9655.447380065918</v>
      </c>
      <c r="N27" s="8" t="n">
        <v>579.7582969665527</v>
      </c>
      <c r="O27" s="8" t="n">
        <v>0.0</v>
      </c>
      <c r="P27" s="8" t="n">
        <v>0.0</v>
      </c>
      <c r="Q27" s="8" t="n">
        <v>107.55063343048096</v>
      </c>
      <c r="R27" s="8" t="n">
        <v>15.927145957946777</v>
      </c>
      <c r="S27" s="8" t="n">
        <v>0.0</v>
      </c>
      <c r="T27" s="8" t="n">
        <v>0.0</v>
      </c>
      <c r="U27">
        <f si="1" t="shared"/>
        <v>10465.497194290161</v>
      </c>
    </row>
    <row r="28" spans="1:21" x14ac:dyDescent="0.45">
      <c r="A28" s="10">
        <v>0.52083333333333337</v>
      </c>
      <c r="B28" s="5" t="n">
        <v>14360.46324433481</v>
      </c>
      <c r="C28" s="5" t="n">
        <v>654.3268875834175</v>
      </c>
      <c r="D28" s="5" t="n">
        <v>0.0</v>
      </c>
      <c r="E28" s="5" t="n">
        <v>22.340295139031934</v>
      </c>
      <c r="F28" s="5" t="n">
        <v>8.462295897630161</v>
      </c>
      <c r="G28" s="5" t="n">
        <v>0.0</v>
      </c>
      <c r="H28" s="5" t="n">
        <v>0.0</v>
      </c>
      <c r="I28" s="5" t="n">
        <v>0.0</v>
      </c>
      <c r="J28" s="5">
        <f si="0" t="shared"/>
        <v>15045.592722954891</v>
      </c>
      <c r="L28" s="10">
        <v>0.52083333333333337</v>
      </c>
      <c r="M28" s="8" t="n">
        <v>9573.774369239807</v>
      </c>
      <c r="N28" s="8" t="n">
        <v>583.6610155105591</v>
      </c>
      <c r="O28" s="8" t="n">
        <v>0.0</v>
      </c>
      <c r="P28" s="8" t="n">
        <v>0.0</v>
      </c>
      <c r="Q28" s="8" t="n">
        <v>109.54606342315674</v>
      </c>
      <c r="R28" s="8" t="n">
        <v>17.064184188842773</v>
      </c>
      <c r="S28" s="8" t="n">
        <v>0.0</v>
      </c>
      <c r="T28" s="8" t="n">
        <v>0.0</v>
      </c>
      <c r="U28">
        <f si="1" t="shared"/>
        <v>10391.734247207642</v>
      </c>
    </row>
    <row r="29" spans="1:21" x14ac:dyDescent="0.45">
      <c r="A29" s="10">
        <v>0.54166666666666663</v>
      </c>
      <c r="B29" s="5" t="n">
        <v>13466.176344483501</v>
      </c>
      <c r="C29" s="5" t="n">
        <v>651.6943508488555</v>
      </c>
      <c r="D29" s="5" t="n">
        <v>0.0</v>
      </c>
      <c r="E29" s="5" t="n">
        <v>19.400376963317377</v>
      </c>
      <c r="F29" s="5" t="n">
        <v>4.688104217662443</v>
      </c>
      <c r="G29" s="5" t="n">
        <v>0.0</v>
      </c>
      <c r="H29" s="5" t="n">
        <v>0.0</v>
      </c>
      <c r="I29" s="5" t="n">
        <v>0.0</v>
      </c>
      <c r="J29" s="5">
        <f si="0" t="shared"/>
        <v>14141.959176513337</v>
      </c>
      <c r="L29" s="10">
        <v>0.54166666666666663</v>
      </c>
      <c r="M29" s="8" t="n">
        <v>8906.077283859253</v>
      </c>
      <c r="N29" s="8" t="n">
        <v>554.2702322006226</v>
      </c>
      <c r="O29" s="8" t="n">
        <v>0.0</v>
      </c>
      <c r="P29" s="8" t="n">
        <v>0.0</v>
      </c>
      <c r="Q29" s="8" t="n">
        <v>105.77827644348145</v>
      </c>
      <c r="R29" s="8" t="n">
        <v>17.940354347229004</v>
      </c>
      <c r="S29" s="8" t="n">
        <v>0.0</v>
      </c>
      <c r="T29" s="8" t="n">
        <v>0.0</v>
      </c>
      <c r="U29">
        <f si="1" t="shared"/>
        <v>9681.4882354736328</v>
      </c>
    </row>
    <row r="30" spans="1:21" x14ac:dyDescent="0.45">
      <c r="A30" s="10">
        <v>0.5625</v>
      </c>
      <c r="B30" s="5" t="n">
        <v>11308.796645595721</v>
      </c>
      <c r="C30" s="5" t="n">
        <v>608.9845060620452</v>
      </c>
      <c r="D30" s="5" t="n">
        <v>0.0</v>
      </c>
      <c r="E30" s="5" t="n">
        <v>14.392765936295515</v>
      </c>
      <c r="F30" s="5" t="n">
        <v>2.1631678494179303</v>
      </c>
      <c r="G30" s="5" t="n">
        <v>0.0</v>
      </c>
      <c r="H30" s="5" t="n">
        <v>0.0</v>
      </c>
      <c r="I30" s="5" t="n">
        <v>0.0</v>
      </c>
      <c r="J30" s="5">
        <f si="0" t="shared"/>
        <v>11934.33708544348</v>
      </c>
      <c r="L30" s="10">
        <v>0.5625</v>
      </c>
      <c r="M30" s="8" t="n">
        <v>7826.723693847656</v>
      </c>
      <c r="N30" s="8" t="n">
        <v>500.906455039978</v>
      </c>
      <c r="O30" s="8" t="n">
        <v>0.0</v>
      </c>
      <c r="P30" s="8" t="n">
        <v>0.0</v>
      </c>
      <c r="Q30" s="8" t="n">
        <v>97.6367654800415</v>
      </c>
      <c r="R30" s="8" t="n">
        <v>18.59339427947998</v>
      </c>
      <c r="S30" s="8" t="n">
        <v>0.0</v>
      </c>
      <c r="T30" s="8" t="n">
        <v>0.0</v>
      </c>
      <c r="U30">
        <f si="1" t="shared"/>
        <v>8521.6688175201416</v>
      </c>
    </row>
    <row r="31" spans="1:21" x14ac:dyDescent="0.45">
      <c r="A31" s="10">
        <v>0.58333333333333337</v>
      </c>
      <c r="B31" s="5" t="n">
        <v>8647.534720337026</v>
      </c>
      <c r="C31" s="5" t="n">
        <v>539.0611905820675</v>
      </c>
      <c r="D31" s="5" t="n">
        <v>0.0</v>
      </c>
      <c r="E31" s="5" t="n">
        <v>9.040858901178032</v>
      </c>
      <c r="F31" s="5" t="n">
        <v>0.8156126371831314</v>
      </c>
      <c r="G31" s="5" t="n">
        <v>0.0</v>
      </c>
      <c r="H31" s="5" t="n">
        <v>0.0</v>
      </c>
      <c r="I31" s="5" t="n">
        <v>0.0</v>
      </c>
      <c r="J31" s="5">
        <f si="0" t="shared"/>
        <v>9196.4523824574553</v>
      </c>
      <c r="L31" s="10">
        <v>0.58333333333333337</v>
      </c>
      <c r="M31" s="8" t="n">
        <v>6543.184698104858</v>
      </c>
      <c r="N31" s="8" t="n">
        <v>434.3953151702881</v>
      </c>
      <c r="O31" s="8" t="n">
        <v>0.0</v>
      </c>
      <c r="P31" s="8" t="n">
        <v>0.0</v>
      </c>
      <c r="Q31" s="8" t="n">
        <v>86.80430507659912</v>
      </c>
      <c r="R31" s="8" t="n">
        <v>18.85484218597412</v>
      </c>
      <c r="S31" s="8" t="n">
        <v>0.0</v>
      </c>
      <c r="T31" s="8" t="n">
        <v>0.0</v>
      </c>
      <c r="U31">
        <f si="1" t="shared"/>
        <v>7137.2464017868042</v>
      </c>
    </row>
    <row r="32" spans="1:21" x14ac:dyDescent="0.45">
      <c r="A32" s="10">
        <v>0.60416666666666663</v>
      </c>
      <c r="B32" s="5" t="n">
        <v>6192.259360258587</v>
      </c>
      <c r="C32" s="5" t="n">
        <v>449.45688087849703</v>
      </c>
      <c r="D32" s="5" t="n">
        <v>0.0</v>
      </c>
      <c r="E32" s="5" t="n">
        <v>4.752920802131041</v>
      </c>
      <c r="F32" s="5" t="n">
        <v>0.24453426108138676</v>
      </c>
      <c r="G32" s="5" t="n">
        <v>0.0</v>
      </c>
      <c r="H32" s="5" t="n">
        <v>0.0</v>
      </c>
      <c r="I32" s="5" t="n">
        <v>0.0</v>
      </c>
      <c r="J32" s="5">
        <f si="0" t="shared"/>
        <v>6646.7136962002969</v>
      </c>
      <c r="L32" s="10">
        <v>0.60416666666666663</v>
      </c>
      <c r="M32" s="8" t="n">
        <v>5222.222985267639</v>
      </c>
      <c r="N32" s="8" t="n">
        <v>362.93949794769287</v>
      </c>
      <c r="O32" s="8" t="n">
        <v>0.0</v>
      </c>
      <c r="P32" s="8" t="n">
        <v>0.0</v>
      </c>
      <c r="Q32" s="8" t="n">
        <v>74.62873649597168</v>
      </c>
      <c r="R32" s="8" t="n">
        <v>18.47151470184326</v>
      </c>
      <c r="S32" s="8" t="n">
        <v>0.0</v>
      </c>
      <c r="T32" s="8" t="n">
        <v>0.0</v>
      </c>
      <c r="U32">
        <f si="1" t="shared"/>
        <v>5709.8784132003784</v>
      </c>
    </row>
    <row r="33" spans="1:21" x14ac:dyDescent="0.45">
      <c r="A33" s="10">
        <v>0.625</v>
      </c>
      <c r="B33" s="5" t="n">
        <v>4305.592089022349</v>
      </c>
      <c r="C33" s="5" t="n">
        <v>346.8570390968662</v>
      </c>
      <c r="D33" s="5" t="n">
        <v>0.0</v>
      </c>
      <c r="E33" s="5" t="n">
        <v>2.0601419973433392</v>
      </c>
      <c r="F33" s="5" t="n">
        <v>0.05600018209394732</v>
      </c>
      <c r="G33" s="5" t="n">
        <v>0.0</v>
      </c>
      <c r="H33" s="5" t="n">
        <v>0.0</v>
      </c>
      <c r="I33" s="5" t="n">
        <v>0.0</v>
      </c>
      <c r="J33" s="5">
        <f si="0" t="shared"/>
        <v>4654.5652702986526</v>
      </c>
      <c r="L33" s="10">
        <v>0.625</v>
      </c>
      <c r="M33" s="8" t="n">
        <v>3970.24165058136</v>
      </c>
      <c r="N33" s="8" t="n">
        <v>291.53925132751465</v>
      </c>
      <c r="O33" s="8" t="n">
        <v>0.0</v>
      </c>
      <c r="P33" s="8" t="n">
        <v>0.0</v>
      </c>
      <c r="Q33" s="8" t="n">
        <v>62.01597309112549</v>
      </c>
      <c r="R33" s="8" t="n">
        <v>17.31846809387207</v>
      </c>
      <c r="S33" s="8" t="n">
        <v>0.0</v>
      </c>
      <c r="T33" s="8" t="n">
        <v>0.0</v>
      </c>
      <c r="U33">
        <f si="1" t="shared"/>
        <v>4355.2735805511475</v>
      </c>
    </row>
    <row r="34" spans="1:21" x14ac:dyDescent="0.45">
      <c r="A34" s="10">
        <v>0.64583333333333337</v>
      </c>
      <c r="B34" s="5" t="n">
        <v>2995.0627623924684</v>
      </c>
      <c r="C34" s="5" t="n">
        <v>242.73415323137976</v>
      </c>
      <c r="D34" s="5" t="n">
        <v>0.0</v>
      </c>
      <c r="E34" s="5" t="n">
        <v>0.7218470251002976</v>
      </c>
      <c r="F34" s="5" t="n">
        <v>0.009188175078277652</v>
      </c>
      <c r="G34" s="5" t="n">
        <v>0.0</v>
      </c>
      <c r="H34" s="5" t="n">
        <v>0.0</v>
      </c>
      <c r="I34" s="5" t="n">
        <v>0.0</v>
      </c>
      <c r="J34" s="5">
        <f si="0" t="shared"/>
        <v>3238.5279508240269</v>
      </c>
      <c r="L34" s="10">
        <v>0.64583333333333337</v>
      </c>
      <c r="M34" s="8" t="n">
        <v>2857.298176765442</v>
      </c>
      <c r="N34" s="8" t="n">
        <v>224.03886890411377</v>
      </c>
      <c r="O34" s="8" t="n">
        <v>0.0</v>
      </c>
      <c r="P34" s="8" t="n">
        <v>0.0</v>
      </c>
      <c r="Q34" s="8" t="n">
        <v>49.7344970703125</v>
      </c>
      <c r="R34" s="8" t="n">
        <v>15.533493995666504</v>
      </c>
      <c r="S34" s="8" t="n">
        <v>0.0</v>
      </c>
      <c r="T34" s="8" t="n">
        <v>0.0</v>
      </c>
      <c r="U34">
        <f si="1" t="shared"/>
        <v>3149.27698802948</v>
      </c>
    </row>
    <row r="35" spans="1:21" x14ac:dyDescent="0.45">
      <c r="A35" s="10">
        <v>0.66666666666666663</v>
      </c>
      <c r="B35" s="5" t="n">
        <v>2097.1812473886584</v>
      </c>
      <c r="C35" s="5" t="n">
        <v>151.46400192182904</v>
      </c>
      <c r="D35" s="5" t="n">
        <v>0.0</v>
      </c>
      <c r="E35" s="5" t="n">
        <v>0.19897361040756542</v>
      </c>
      <c r="F35" s="5" t="n">
        <v>9.606264621925242E-4</v>
      </c>
      <c r="G35" s="5" t="n">
        <v>0.0</v>
      </c>
      <c r="H35" s="5" t="n">
        <v>0.0</v>
      </c>
      <c r="I35" s="5" t="n">
        <v>0.0</v>
      </c>
      <c r="J35" s="5">
        <f si="0" t="shared"/>
        <v>2248.845183547357</v>
      </c>
      <c r="L35" s="10">
        <v>0.66666666666666663</v>
      </c>
      <c r="M35" s="8" t="n">
        <v>1937.8596849441528</v>
      </c>
      <c r="N35" s="8" t="n">
        <v>164.5511074066162</v>
      </c>
      <c r="O35" s="8" t="n">
        <v>0.0</v>
      </c>
      <c r="P35" s="8" t="n">
        <v>0.0</v>
      </c>
      <c r="Q35" s="8" t="n">
        <v>38.6304988861084</v>
      </c>
      <c r="R35" s="8" t="n">
        <v>13.482428550720215</v>
      </c>
      <c r="S35" s="8" t="n">
        <v>0.0</v>
      </c>
      <c r="T35" s="8" t="n">
        <v>0.0</v>
      </c>
      <c r="U35">
        <f si="1" t="shared"/>
        <v>2151.2302017211914</v>
      </c>
    </row>
    <row r="36" spans="1:21" x14ac:dyDescent="0.45">
      <c r="A36" s="10">
        <v>0.6875</v>
      </c>
      <c r="B36" s="5" t="n">
        <v>1455.6341751136401</v>
      </c>
      <c r="C36" s="5" t="n">
        <v>83.30419630079886</v>
      </c>
      <c r="D36" s="5" t="n">
        <v>0.0</v>
      </c>
      <c r="E36" s="5" t="n">
        <v>0.04146373922774345</v>
      </c>
      <c r="F36" s="5" t="n">
        <v>4.80313231096262E-5</v>
      </c>
      <c r="G36" s="5" t="n">
        <v>0.0</v>
      </c>
      <c r="H36" s="5" t="n">
        <v>0.0</v>
      </c>
      <c r="I36" s="5" t="n">
        <v>0.0</v>
      </c>
      <c r="J36" s="5">
        <f si="0" t="shared"/>
        <v>1538.9798831849898</v>
      </c>
      <c r="L36" s="10">
        <v>0.6875</v>
      </c>
      <c r="M36" s="8" t="n">
        <v>1245.387095451355</v>
      </c>
      <c r="N36" s="8" t="n">
        <v>116.73445701599121</v>
      </c>
      <c r="O36" s="8" t="n">
        <v>0.0</v>
      </c>
      <c r="P36" s="8" t="n">
        <v>0.0</v>
      </c>
      <c r="Q36" s="8" t="n">
        <v>29.47924041748047</v>
      </c>
      <c r="R36" s="8" t="n">
        <v>11.588581085205078</v>
      </c>
      <c r="S36" s="8" t="n">
        <v>0.0</v>
      </c>
      <c r="T36" s="8" t="n">
        <v>0.0</v>
      </c>
      <c r="U36">
        <f si="1" t="shared"/>
        <v>1398.3433570861816</v>
      </c>
    </row>
    <row r="37" spans="1:21" x14ac:dyDescent="0.45">
      <c r="A37" s="10">
        <v>0.70833333333333337</v>
      </c>
      <c r="B37" s="5" t="n">
        <v>986.9907706617016</v>
      </c>
      <c r="C37" s="5" t="n">
        <v>40.06584635720071</v>
      </c>
      <c r="D37" s="5" t="n">
        <v>0.0</v>
      </c>
      <c r="E37" s="5" t="n">
        <v>0.006130225303028233</v>
      </c>
      <c r="F37" s="5" t="n">
        <v>0.0</v>
      </c>
      <c r="G37" s="5" t="n">
        <v>0.0</v>
      </c>
      <c r="H37" s="5" t="n">
        <v>0.0</v>
      </c>
      <c r="I37" s="5" t="n">
        <v>0.0</v>
      </c>
      <c r="J37" s="5">
        <f si="0" t="shared"/>
        <v>1027.0627472442052</v>
      </c>
      <c r="L37" s="10">
        <v>0.70833333333333337</v>
      </c>
      <c r="M37" s="8" t="n">
        <v>777.4357509613037</v>
      </c>
      <c r="N37" s="8" t="n">
        <v>82.18111419677734</v>
      </c>
      <c r="O37" s="8" t="n">
        <v>0.0</v>
      </c>
      <c r="P37" s="8" t="n">
        <v>0.0</v>
      </c>
      <c r="Q37" s="8" t="n">
        <v>22.66555404663086</v>
      </c>
      <c r="R37" s="8" t="n">
        <v>10.129792213439941</v>
      </c>
      <c r="S37" s="8" t="n">
        <v>0.0</v>
      </c>
      <c r="T37" s="8" t="n">
        <v>0.0</v>
      </c>
      <c r="U37">
        <f si="1" t="shared"/>
        <v>888.85931396484375</v>
      </c>
    </row>
    <row r="38" spans="1:21" x14ac:dyDescent="0.45">
      <c r="A38" s="10">
        <v>0.72916666666666663</v>
      </c>
      <c r="B38" s="5" t="n">
        <v>658.1460067331768</v>
      </c>
      <c r="C38" s="5" t="n">
        <v>16.726894888707015</v>
      </c>
      <c r="D38" s="5" t="n">
        <v>0.0</v>
      </c>
      <c r="E38" s="5" t="n">
        <v>5.7208847733627E-4</v>
      </c>
      <c r="F38" s="5" t="n">
        <v>0.0</v>
      </c>
      <c r="G38" s="5" t="n">
        <v>0.0</v>
      </c>
      <c r="H38" s="5" t="n">
        <v>0.0</v>
      </c>
      <c r="I38" s="5" t="n">
        <v>0.0</v>
      </c>
      <c r="J38" s="5">
        <f si="0" t="shared"/>
        <v>674.87347371036117</v>
      </c>
      <c r="L38" s="10">
        <v>0.72916666666666663</v>
      </c>
      <c r="M38" s="8" t="n">
        <v>494.96537590026855</v>
      </c>
      <c r="N38" s="8" t="n">
        <v>59.73549842834473</v>
      </c>
      <c r="O38" s="8" t="n">
        <v>0.0</v>
      </c>
      <c r="P38" s="8" t="n">
        <v>0.0</v>
      </c>
      <c r="Q38" s="8" t="n">
        <v>18.03227424621582</v>
      </c>
      <c r="R38" s="8" t="n">
        <v>9.119303703308105</v>
      </c>
      <c r="S38" s="8" t="n">
        <v>0.0</v>
      </c>
      <c r="T38" s="8" t="n">
        <v>0.0</v>
      </c>
      <c r="U38">
        <f si="1" t="shared"/>
        <v>580.62276554107666</v>
      </c>
    </row>
    <row r="39" spans="1:21" x14ac:dyDescent="0.45">
      <c r="A39" s="10">
        <v>0.75</v>
      </c>
      <c r="B39" s="5" t="n">
        <v>446.41366125178837</v>
      </c>
      <c r="C39" s="5" t="n">
        <v>5.996683395032344</v>
      </c>
      <c r="D39" s="5" t="n">
        <v>0.0</v>
      </c>
      <c r="E39" s="5" t="n">
        <v>2.5293067827129364E-5</v>
      </c>
      <c r="F39" s="5" t="n">
        <v>0.0</v>
      </c>
      <c r="G39" s="5" t="n">
        <v>0.0</v>
      </c>
      <c r="H39" s="5" t="n">
        <v>0.0</v>
      </c>
      <c r="I39" s="5" t="n">
        <v>0.0</v>
      </c>
      <c r="J39" s="5">
        <f si="0" t="shared"/>
        <v>452.41036993988854</v>
      </c>
      <c r="L39" s="10">
        <v>0.75</v>
      </c>
      <c r="M39" s="8" t="n">
        <v>339.49969482421875</v>
      </c>
      <c r="N39" s="8" t="n">
        <v>46.23726844787598</v>
      </c>
      <c r="O39" s="8" t="n">
        <v>0.0</v>
      </c>
      <c r="P39" s="8" t="n">
        <v>0.0</v>
      </c>
      <c r="Q39" s="8" t="n">
        <v>15.009428977966309</v>
      </c>
      <c r="R39" s="8" t="n">
        <v>8.348065376281738</v>
      </c>
      <c r="S39" s="8" t="n">
        <v>0.0</v>
      </c>
      <c r="T39" s="8" t="n">
        <v>0.0</v>
      </c>
      <c r="U39">
        <f si="1" t="shared"/>
        <v>409.73258686065674</v>
      </c>
    </row>
    <row r="40" spans="1:21" x14ac:dyDescent="0.45">
      <c r="A40" s="10">
        <v>0.77083333333333337</v>
      </c>
      <c r="B40" s="5" t="n">
        <v>321.92175566678856</v>
      </c>
      <c r="C40" s="5" t="n">
        <v>1.8129064796188725</v>
      </c>
      <c r="D40" s="5" t="n">
        <v>0.0</v>
      </c>
      <c r="E40" s="5" t="n">
        <v>0.0</v>
      </c>
      <c r="F40" s="5" t="n">
        <v>0.0</v>
      </c>
      <c r="G40" s="5" t="n">
        <v>0.0</v>
      </c>
      <c r="H40" s="5" t="n">
        <v>0.0</v>
      </c>
      <c r="I40" s="5" t="n">
        <v>0.0</v>
      </c>
      <c r="J40" s="5">
        <f si="0" t="shared"/>
        <v>323.7346621464074</v>
      </c>
      <c r="L40" s="10">
        <v>0.77083333333333337</v>
      </c>
      <c r="M40" s="8" t="n">
        <v>255.31379508972168</v>
      </c>
      <c r="N40" s="8" t="n">
        <v>37.99289512634277</v>
      </c>
      <c r="O40" s="8" t="n">
        <v>0.0</v>
      </c>
      <c r="P40" s="8" t="n">
        <v>0.0</v>
      </c>
      <c r="Q40" s="8" t="n">
        <v>12.891070365905762</v>
      </c>
      <c r="R40" s="8" t="n">
        <v>7.561835289001465</v>
      </c>
      <c r="S40" s="8" t="n">
        <v>0.0</v>
      </c>
      <c r="T40" s="8" t="n">
        <v>0.0</v>
      </c>
      <c r="U40">
        <f si="1" t="shared"/>
        <v>315.16006469726563</v>
      </c>
    </row>
    <row r="41" spans="1:21" x14ac:dyDescent="0.45">
      <c r="A41" s="10">
        <v>0.79166666666666663</v>
      </c>
      <c r="B41" s="5" t="n">
        <v>250.77698049181595</v>
      </c>
      <c r="C41" s="5" t="n">
        <v>0.44876549791618525</v>
      </c>
      <c r="D41" s="5" t="n">
        <v>0.0</v>
      </c>
      <c r="E41" s="5" t="n">
        <v>0.0</v>
      </c>
      <c r="F41" s="5" t="n">
        <v>0.0</v>
      </c>
      <c r="G41" s="5" t="n">
        <v>0.0</v>
      </c>
      <c r="H41" s="5" t="n">
        <v>0.0</v>
      </c>
      <c r="I41" s="5" t="n">
        <v>0.0</v>
      </c>
      <c r="J41" s="5">
        <f si="0" t="shared"/>
        <v>251.22574598973213</v>
      </c>
      <c r="L41" s="10">
        <v>0.79166666666666663</v>
      </c>
      <c r="M41" s="8" t="n">
        <v>203.71265983581543</v>
      </c>
      <c r="N41" s="8" t="n">
        <v>32.06519794464111</v>
      </c>
      <c r="O41" s="8" t="n">
        <v>0.0</v>
      </c>
      <c r="P41" s="8" t="n">
        <v>0.0</v>
      </c>
      <c r="Q41" s="8" t="n">
        <v>11.086867332458496</v>
      </c>
      <c r="R41" s="8" t="n">
        <v>6.637006759643555</v>
      </c>
      <c r="S41" s="8" t="n">
        <v>0.0</v>
      </c>
      <c r="T41" s="8" t="n">
        <v>0.0</v>
      </c>
      <c r="U41">
        <f si="1" t="shared"/>
        <v>254.70365524291992</v>
      </c>
    </row>
    <row r="42" spans="1:21" x14ac:dyDescent="0.45">
      <c r="A42" s="10">
        <v>0.8125</v>
      </c>
      <c r="B42" s="5" t="n">
        <v>203.92494748908507</v>
      </c>
      <c r="C42" s="5" t="n">
        <v>0.08691610588238753</v>
      </c>
      <c r="D42" s="5" t="n">
        <v>0.0</v>
      </c>
      <c r="E42" s="5" t="n">
        <v>0.0</v>
      </c>
      <c r="F42" s="5" t="n">
        <v>0.0</v>
      </c>
      <c r="G42" s="5" t="n">
        <v>0.0</v>
      </c>
      <c r="H42" s="5" t="n">
        <v>0.0</v>
      </c>
      <c r="I42" s="5" t="n">
        <v>0.0</v>
      </c>
      <c r="J42" s="5">
        <f si="0" t="shared"/>
        <v>204.01186359496745</v>
      </c>
      <c r="L42" s="10">
        <v>0.8125</v>
      </c>
      <c r="M42" s="8" t="n">
        <v>165.2751760482788</v>
      </c>
      <c r="N42" s="8" t="n">
        <v>26.84837055206299</v>
      </c>
      <c r="O42" s="8" t="n">
        <v>0.0</v>
      </c>
      <c r="P42" s="8" t="n">
        <v>0.0</v>
      </c>
      <c r="Q42" s="8" t="n">
        <v>9.26138687133789</v>
      </c>
      <c r="R42" s="8" t="n">
        <v>5.624301910400391</v>
      </c>
      <c r="S42" s="8" t="n">
        <v>0.0</v>
      </c>
      <c r="T42" s="8" t="n">
        <v>0.0</v>
      </c>
      <c r="U42">
        <f si="1" t="shared"/>
        <v>207.52173805236816</v>
      </c>
    </row>
    <row r="43" spans="1:21" x14ac:dyDescent="0.45">
      <c r="A43" s="10">
        <v>0.83333333333333337</v>
      </c>
      <c r="B43" s="5" t="n">
        <v>162.95771943454275</v>
      </c>
      <c r="C43" s="5" t="n">
        <v>0.012267168468001202</v>
      </c>
      <c r="D43" s="5" t="n">
        <v>0.0</v>
      </c>
      <c r="E43" s="5" t="n">
        <v>0.0</v>
      </c>
      <c r="F43" s="5" t="n">
        <v>0.0</v>
      </c>
      <c r="G43" s="5" t="n">
        <v>0.0</v>
      </c>
      <c r="H43" s="5" t="n">
        <v>0.0</v>
      </c>
      <c r="I43" s="5" t="n">
        <v>0.0</v>
      </c>
      <c r="J43" s="5">
        <f si="0" t="shared"/>
        <v>162.96998660301077</v>
      </c>
      <c r="L43" s="10">
        <v>0.83333333333333337</v>
      </c>
      <c r="M43" s="8" t="n">
        <v>133.75098514556885</v>
      </c>
      <c r="N43" s="8" t="n">
        <v>21.896085739135742</v>
      </c>
      <c r="O43" s="8" t="n">
        <v>0.0</v>
      </c>
      <c r="P43" s="8" t="n">
        <v>0.0</v>
      </c>
      <c r="Q43" s="8" t="n">
        <v>7.345749855041504</v>
      </c>
      <c r="R43" s="8" t="n">
        <v>4.6578569412231445</v>
      </c>
      <c r="S43" s="8" t="n">
        <v>0.0</v>
      </c>
      <c r="T43" s="8" t="n">
        <v>0.0</v>
      </c>
      <c r="U43">
        <f si="1" t="shared"/>
        <v>167.35975360870361</v>
      </c>
    </row>
    <row r="44" spans="1:21" x14ac:dyDescent="0.45">
      <c r="A44" s="10">
        <v>0.85416666666666663</v>
      </c>
      <c r="B44" s="5" t="n">
        <v>121.34795665993992</v>
      </c>
      <c r="C44" s="5" t="n">
        <v>0.0011137852810667438</v>
      </c>
      <c r="D44" s="5" t="n">
        <v>0.0</v>
      </c>
      <c r="E44" s="5" t="n">
        <v>0.0</v>
      </c>
      <c r="F44" s="5" t="n">
        <v>0.0</v>
      </c>
      <c r="G44" s="5" t="n">
        <v>0.0</v>
      </c>
      <c r="H44" s="5" t="n">
        <v>0.0</v>
      </c>
      <c r="I44" s="5" t="n">
        <v>0.0</v>
      </c>
      <c r="J44" s="5">
        <f si="0" t="shared"/>
        <v>121.34907044522099</v>
      </c>
      <c r="L44" s="10">
        <v>0.85416666666666663</v>
      </c>
      <c r="M44" s="8" t="n">
        <v>108.09307479858398</v>
      </c>
      <c r="N44" s="8" t="n">
        <v>17.34955883026123</v>
      </c>
      <c r="O44" s="8" t="n">
        <v>0.0</v>
      </c>
      <c r="P44" s="8" t="n">
        <v>0.0</v>
      </c>
      <c r="Q44" s="8" t="n">
        <v>5.450192451477051</v>
      </c>
      <c r="R44" s="8" t="n">
        <v>3.8373165130615234</v>
      </c>
      <c r="S44" s="8" t="n">
        <v>0.0</v>
      </c>
      <c r="T44" s="8" t="n">
        <v>0.0</v>
      </c>
      <c r="U44">
        <f si="1" t="shared"/>
        <v>133.72406578063965</v>
      </c>
    </row>
    <row r="45" spans="1:21" x14ac:dyDescent="0.45">
      <c r="A45" s="10">
        <v>0.875</v>
      </c>
      <c r="B45" s="5" t="n">
        <v>81.54670474748694</v>
      </c>
      <c r="C45" s="5" t="n">
        <v>4.8485763118369197E-5</v>
      </c>
      <c r="D45" s="5" t="n">
        <v>0.0</v>
      </c>
      <c r="E45" s="5" t="n">
        <v>0.0</v>
      </c>
      <c r="F45" s="5" t="n">
        <v>0.0</v>
      </c>
      <c r="G45" s="5" t="n">
        <v>0.0</v>
      </c>
      <c r="H45" s="5" t="n">
        <v>0.0</v>
      </c>
      <c r="I45" s="5" t="n">
        <v>0.0</v>
      </c>
      <c r="J45" s="5">
        <f si="0" t="shared"/>
        <v>81.546753233250058</v>
      </c>
      <c r="L45" s="10">
        <v>0.875</v>
      </c>
      <c r="M45" s="8" t="n">
        <v>87.4135103225708</v>
      </c>
      <c r="N45" s="8" t="n">
        <v>13.41279125213623</v>
      </c>
      <c r="O45" s="8" t="n">
        <v>0.0</v>
      </c>
      <c r="P45" s="8" t="n">
        <v>0.0</v>
      </c>
      <c r="Q45" s="8" t="n">
        <v>3.7421083450317383</v>
      </c>
      <c r="R45" s="8" t="n">
        <v>3.175790786743164</v>
      </c>
      <c r="S45" s="8" t="n">
        <v>0.0</v>
      </c>
      <c r="T45" s="8" t="n">
        <v>0.0</v>
      </c>
      <c r="U45">
        <f si="1" t="shared"/>
        <v>106.26680946350098</v>
      </c>
    </row>
    <row r="46" spans="1:21" x14ac:dyDescent="0.45">
      <c r="A46" s="10">
        <v>0.89583333333333337</v>
      </c>
      <c r="B46" s="5" t="n">
        <v>49.17366767155684</v>
      </c>
      <c r="C46" s="5" t="n">
        <v>0.0</v>
      </c>
      <c r="D46" s="5" t="n">
        <v>0.0</v>
      </c>
      <c r="E46" s="5" t="n">
        <v>0.0</v>
      </c>
      <c r="F46" s="5" t="n">
        <v>0.0</v>
      </c>
      <c r="G46" s="5" t="n">
        <v>0.0</v>
      </c>
      <c r="H46" s="5" t="n">
        <v>0.0</v>
      </c>
      <c r="I46" s="5" t="n">
        <v>0.0</v>
      </c>
      <c r="J46" s="5">
        <f si="0" t="shared"/>
        <v>49.173667671556842</v>
      </c>
      <c r="L46" s="10">
        <v>0.89583333333333337</v>
      </c>
      <c r="M46" s="8" t="n">
        <v>69.94225025177002</v>
      </c>
      <c r="N46" s="8" t="n">
        <v>10.129593849182129</v>
      </c>
      <c r="O46" s="8" t="n">
        <v>0.0</v>
      </c>
      <c r="P46" s="8" t="n">
        <v>0.0</v>
      </c>
      <c r="Q46" s="8" t="n">
        <v>2.3535614013671875</v>
      </c>
      <c r="R46" s="8" t="n">
        <v>2.6207714080810547</v>
      </c>
      <c r="S46" s="8" t="n">
        <v>0.0</v>
      </c>
      <c r="T46" s="8" t="n">
        <v>0.0</v>
      </c>
      <c r="U46">
        <f si="1" t="shared"/>
        <v>83.492096900939941</v>
      </c>
    </row>
    <row r="47" spans="1:21" x14ac:dyDescent="0.45">
      <c r="A47" s="10">
        <v>0.91666666666666663</v>
      </c>
      <c r="B47" s="5" t="n">
        <v>27.456390785152013</v>
      </c>
      <c r="C47" s="5" t="n">
        <v>0.0</v>
      </c>
      <c r="D47" s="5" t="n">
        <v>0.0</v>
      </c>
      <c r="E47" s="5" t="n">
        <v>0.0</v>
      </c>
      <c r="F47" s="5" t="n">
        <v>0.0</v>
      </c>
      <c r="G47" s="5" t="n">
        <v>0.0</v>
      </c>
      <c r="H47" s="5" t="n">
        <v>0.0</v>
      </c>
      <c r="I47" s="5" t="n">
        <v>0.0</v>
      </c>
      <c r="J47" s="5">
        <f si="0" t="shared"/>
        <v>27.456390785152013</v>
      </c>
      <c r="L47" s="10">
        <v>0.91666666666666663</v>
      </c>
      <c r="M47" s="8" t="n">
        <v>54.152852058410645</v>
      </c>
      <c r="N47" s="8" t="n">
        <v>7.425522804260254</v>
      </c>
      <c r="O47" s="8" t="n">
        <v>0.0</v>
      </c>
      <c r="P47" s="8" t="n">
        <v>0.0</v>
      </c>
      <c r="Q47" s="8" t="n">
        <v>1.3406648635864258</v>
      </c>
      <c r="R47" s="8" t="n">
        <v>2.105518341064453</v>
      </c>
      <c r="S47" s="8" t="n">
        <v>0.0</v>
      </c>
      <c r="T47" s="8" t="n">
        <v>0.0</v>
      </c>
      <c r="U47">
        <f si="1" t="shared"/>
        <v>63.81092357635498</v>
      </c>
    </row>
    <row r="48" spans="1:21" x14ac:dyDescent="0.45">
      <c r="A48" s="10">
        <v>0.9375</v>
      </c>
      <c r="B48" s="5" t="n">
        <v>15.27044350809922</v>
      </c>
      <c r="C48" s="5" t="n">
        <v>0.0</v>
      </c>
      <c r="D48" s="5" t="n">
        <v>0.0</v>
      </c>
      <c r="E48" s="5" t="n">
        <v>0.0</v>
      </c>
      <c r="F48" s="5" t="n">
        <v>0.0</v>
      </c>
      <c r="G48" s="5" t="n">
        <v>0.0</v>
      </c>
      <c r="H48" s="5" t="n">
        <v>0.0</v>
      </c>
      <c r="I48" s="5" t="n">
        <v>0.0</v>
      </c>
      <c r="J48" s="5">
        <f si="0" t="shared"/>
        <v>15.27044350809922</v>
      </c>
      <c r="L48" s="10">
        <v>0.9375</v>
      </c>
      <c r="M48" s="8" t="n">
        <v>39.695942878723145</v>
      </c>
      <c r="N48" s="8" t="n">
        <v>5.222417831420898</v>
      </c>
      <c r="O48" s="8" t="n">
        <v>0.0</v>
      </c>
      <c r="P48" s="8" t="n">
        <v>0.0</v>
      </c>
      <c r="Q48" s="8" t="n">
        <v>0.6829795837402344</v>
      </c>
      <c r="R48" s="8" t="n">
        <v>1.5941810607910156</v>
      </c>
      <c r="S48" s="8" t="n">
        <v>0.0</v>
      </c>
      <c r="T48" s="8" t="n">
        <v>0.0</v>
      </c>
      <c r="U48">
        <f si="1" t="shared"/>
        <v>46.545406341552734</v>
      </c>
    </row>
    <row r="49" spans="1:21" x14ac:dyDescent="0.45">
      <c r="A49" s="10">
        <v>0.95833333333333337</v>
      </c>
      <c r="B49" s="5" t="n">
        <v>9.018431678536334</v>
      </c>
      <c r="C49" s="5" t="n">
        <v>0.0</v>
      </c>
      <c r="D49" s="5" t="n">
        <v>0.0</v>
      </c>
      <c r="E49" s="5" t="n">
        <v>0.0</v>
      </c>
      <c r="F49" s="5" t="n">
        <v>0.0</v>
      </c>
      <c r="G49" s="5" t="n">
        <v>0.0</v>
      </c>
      <c r="H49" s="5" t="n">
        <v>0.0</v>
      </c>
      <c r="I49" s="5" t="n">
        <v>0.0</v>
      </c>
      <c r="J49" s="5">
        <f si="0" t="shared"/>
        <v>9.0184316785363343</v>
      </c>
      <c r="L49" s="10">
        <v>0.95833333333333337</v>
      </c>
      <c r="M49" s="8" t="n">
        <v>27.16593837738037</v>
      </c>
      <c r="N49" s="8" t="n">
        <v>3.4830846786499023</v>
      </c>
      <c r="O49" s="8" t="n">
        <v>0.0</v>
      </c>
      <c r="P49" s="8" t="n">
        <v>0.0</v>
      </c>
      <c r="Q49" s="8" t="n">
        <v>0.30685997009277344</v>
      </c>
      <c r="R49" s="8" t="n">
        <v>1.1005630493164062</v>
      </c>
      <c r="S49" s="8" t="n">
        <v>0.0</v>
      </c>
      <c r="T49" s="8" t="n">
        <v>0.0</v>
      </c>
      <c r="U49">
        <f si="1" t="shared"/>
        <v>31.898484230041504</v>
      </c>
    </row>
    <row r="50" spans="1:21" x14ac:dyDescent="0.45">
      <c r="A50" s="10">
        <v>0.97916666666666663</v>
      </c>
      <c r="B50" s="5" t="n">
        <v>5.490617983396883</v>
      </c>
      <c r="C50" s="5" t="n">
        <v>0.0</v>
      </c>
      <c r="D50" s="5" t="n">
        <v>0.0</v>
      </c>
      <c r="E50" s="5" t="n">
        <v>0.0</v>
      </c>
      <c r="F50" s="5" t="n">
        <v>0.0</v>
      </c>
      <c r="G50" s="5" t="n">
        <v>0.0</v>
      </c>
      <c r="H50" s="5" t="n">
        <v>0.0</v>
      </c>
      <c r="I50" s="5" t="n">
        <v>0.0</v>
      </c>
      <c r="J50" s="5">
        <f si="0" t="shared"/>
        <v>5.4906179833968833</v>
      </c>
      <c r="L50" s="10">
        <v>0.97916666666666663</v>
      </c>
      <c r="M50" s="8" t="n">
        <v>17.24009609222412</v>
      </c>
      <c r="N50" s="8" t="n">
        <v>2.181976318359375</v>
      </c>
      <c r="O50" s="8" t="n">
        <v>0.0</v>
      </c>
      <c r="P50" s="8" t="n">
        <v>0.0</v>
      </c>
      <c r="Q50" s="8" t="n">
        <v>0.11963939666748047</v>
      </c>
      <c r="R50" s="8" t="n">
        <v>0.672551155090332</v>
      </c>
      <c r="S50" s="8" t="n">
        <v>0.0</v>
      </c>
      <c r="T50" s="8" t="n">
        <v>0.0</v>
      </c>
      <c r="U50">
        <f si="1" t="shared"/>
        <v>20.29853630065918</v>
      </c>
    </row>
    <row r="51" spans="1:21" x14ac:dyDescent="0.45">
      <c r="A51" s="10">
        <v>1</v>
      </c>
      <c r="B51" s="5" t="n">
        <v>3.122545376502548</v>
      </c>
      <c r="C51" s="5" t="n">
        <v>0.0</v>
      </c>
      <c r="D51" s="5" t="n">
        <v>0.0</v>
      </c>
      <c r="E51" s="5" t="n">
        <v>0.0</v>
      </c>
      <c r="F51" s="5" t="n">
        <v>0.0</v>
      </c>
      <c r="G51" s="5" t="n">
        <v>0.0</v>
      </c>
      <c r="H51" s="5" t="n">
        <v>0.0</v>
      </c>
      <c r="I51" s="5" t="n">
        <v>0.0</v>
      </c>
      <c r="J51" s="5">
        <f si="0" t="shared"/>
        <v>3.1225453765025479</v>
      </c>
      <c r="L51" s="10">
        <v>1</v>
      </c>
      <c r="M51" s="8" t="n">
        <v>10.094747543334961</v>
      </c>
      <c r="N51" s="8" t="n">
        <v>1.2707443237304688</v>
      </c>
      <c r="O51" s="8" t="n">
        <v>0.0</v>
      </c>
      <c r="P51" s="8" t="n">
        <v>0.0</v>
      </c>
      <c r="Q51" s="8" t="n">
        <v>0.039633750915527344</v>
      </c>
      <c r="R51" s="8" t="n">
        <v>0.35448646545410156</v>
      </c>
      <c r="S51" s="8" t="n">
        <v>0.0</v>
      </c>
      <c r="T51" s="8" t="n">
        <v>0.0</v>
      </c>
      <c r="U51">
        <f si="1" t="shared"/>
        <v>11.862578392028809</v>
      </c>
    </row>
    <row r="52" spans="1:21" x14ac:dyDescent="0.45">
      <c r="A52" s="10">
        <v>1.0208333333333333</v>
      </c>
      <c r="B52" s="5" t="n">
        <v>1.524137916303876</v>
      </c>
      <c r="C52" s="5" t="n">
        <v>0.0</v>
      </c>
      <c r="D52" s="5" t="n">
        <v>0.0</v>
      </c>
      <c r="E52" s="5" t="n">
        <v>0.0</v>
      </c>
      <c r="F52" s="5" t="n">
        <v>0.0</v>
      </c>
      <c r="G52" s="5" t="n">
        <v>0.0</v>
      </c>
      <c r="H52" s="5" t="n">
        <v>0.0</v>
      </c>
      <c r="I52" s="5" t="n">
        <v>0.0</v>
      </c>
      <c r="J52" s="5">
        <f si="0" t="shared"/>
        <v>1.524137916303876</v>
      </c>
      <c r="L52" s="10">
        <v>1.0208333333333333</v>
      </c>
      <c r="M52" s="8" t="n">
        <v>5.398642539978027</v>
      </c>
      <c r="N52" s="8" t="n">
        <v>0.6772146224975586</v>
      </c>
      <c r="O52" s="8" t="n">
        <v>0.0</v>
      </c>
      <c r="P52" s="8" t="n">
        <v>0.0</v>
      </c>
      <c r="Q52" s="8" t="n">
        <v>0.010828018188476562</v>
      </c>
      <c r="R52" s="8" t="n">
        <v>0.15730667114257812</v>
      </c>
      <c r="S52" s="8" t="n">
        <v>0.0</v>
      </c>
      <c r="T52" s="8" t="n">
        <v>0.0</v>
      </c>
      <c r="U52">
        <f si="1" t="shared"/>
        <v>6.2774629592895508</v>
      </c>
    </row>
    <row r="53" spans="1:21" x14ac:dyDescent="0.45">
      <c r="A53" s="10">
        <v>4.1666666666666664E-2</v>
      </c>
      <c r="B53" s="5" t="n">
        <v>0.6062146610760436</v>
      </c>
      <c r="C53" s="5" t="n">
        <v>0.0</v>
      </c>
      <c r="D53" s="5" t="n">
        <v>0.0</v>
      </c>
      <c r="E53" s="5" t="n">
        <v>0.0</v>
      </c>
      <c r="F53" s="5" t="n">
        <v>0.0</v>
      </c>
      <c r="G53" s="5" t="n">
        <v>0.0</v>
      </c>
      <c r="H53" s="5" t="n">
        <v>0.0</v>
      </c>
      <c r="I53" s="5" t="n">
        <v>0.0</v>
      </c>
      <c r="J53" s="5">
        <f si="0" t="shared"/>
        <v>0.6062146610760436</v>
      </c>
      <c r="L53" s="10">
        <v>4.1666666666666664E-2</v>
      </c>
      <c r="M53" s="8" t="n">
        <v>2.5868349075317383</v>
      </c>
      <c r="N53" s="8" t="n">
        <v>0.32253170013427734</v>
      </c>
      <c r="O53" s="8" t="n">
        <v>0.0</v>
      </c>
      <c r="P53" s="8" t="n">
        <v>0.0</v>
      </c>
      <c r="Q53" s="8" t="n">
        <v>0.0023336410522460938</v>
      </c>
      <c r="R53" s="8" t="n">
        <v>0.05730247497558594</v>
      </c>
      <c r="S53" s="8" t="n">
        <v>0.0</v>
      </c>
      <c r="T53" s="8" t="n">
        <v>0.0</v>
      </c>
      <c r="U53">
        <f si="1" t="shared"/>
        <v>2.949833869934082</v>
      </c>
    </row>
    <row r="54" spans="1:21" x14ac:dyDescent="0.45">
      <c r="A54" s="10">
        <v>6.25E-2</v>
      </c>
      <c r="B54" s="5" t="n">
        <v>0.18928918970951158</v>
      </c>
      <c r="C54" s="5" t="n">
        <v>0.0</v>
      </c>
      <c r="D54" s="5" t="n">
        <v>0.0</v>
      </c>
      <c r="E54" s="5" t="n">
        <v>0.0</v>
      </c>
      <c r="F54" s="5" t="n">
        <v>0.0</v>
      </c>
      <c r="G54" s="5" t="n">
        <v>0.0</v>
      </c>
      <c r="H54" s="5" t="n">
        <v>0.0</v>
      </c>
      <c r="I54" s="5" t="n">
        <v>0.0</v>
      </c>
      <c r="J54" s="5">
        <f si="0" t="shared"/>
        <v>0.18928918970951158</v>
      </c>
      <c r="L54" s="10">
        <v>6.25E-2</v>
      </c>
      <c r="M54" s="8" t="n">
        <v>1.0800762176513672</v>
      </c>
      <c r="N54" s="8" t="n">
        <v>0.13318443298339844</v>
      </c>
      <c r="O54" s="8" t="n">
        <v>0.0</v>
      </c>
      <c r="P54" s="8" t="n">
        <v>0.0</v>
      </c>
      <c r="Q54" s="8" t="n">
        <v>3.70025634765625E-4</v>
      </c>
      <c r="R54" s="8" t="n">
        <v>0.01662158966064453</v>
      </c>
      <c r="S54" s="8" t="n">
        <v>0.0</v>
      </c>
      <c r="T54" s="8" t="n">
        <v>0.0</v>
      </c>
      <c r="U54">
        <f si="1" t="shared"/>
        <v>1.2001743316650391</v>
      </c>
    </row>
    <row r="55" spans="1:21" x14ac:dyDescent="0.45">
      <c r="A55" s="10">
        <v>8.3333333333333329E-2</v>
      </c>
      <c r="B55" s="5" t="n">
        <v>0.04453863287282625</v>
      </c>
      <c r="C55" s="5" t="n">
        <v>0.0</v>
      </c>
      <c r="D55" s="5" t="n">
        <v>0.0</v>
      </c>
      <c r="E55" s="5" t="n">
        <v>0.0</v>
      </c>
      <c r="F55" s="5" t="n">
        <v>0.0</v>
      </c>
      <c r="G55" s="5" t="n">
        <v>0.0</v>
      </c>
      <c r="H55" s="5" t="n">
        <v>0.0</v>
      </c>
      <c r="I55" s="5" t="n">
        <v>0.0</v>
      </c>
      <c r="J55" s="5">
        <f si="0" t="shared"/>
        <v>4.453863287282625E-2</v>
      </c>
      <c r="L55" s="10">
        <v>8.3333333333333329E-2</v>
      </c>
      <c r="M55" s="8" t="n">
        <v>0.3797950744628906</v>
      </c>
      <c r="N55" s="8" t="n">
        <v>0.04606151580810547</v>
      </c>
      <c r="O55" s="8" t="n">
        <v>0.0</v>
      </c>
      <c r="P55" s="8" t="n">
        <v>0.0</v>
      </c>
      <c r="Q55" s="8" t="n">
        <v>3.814697265625E-5</v>
      </c>
      <c r="R55" s="8" t="n">
        <v>0.0036830902099609375</v>
      </c>
      <c r="S55" s="8" t="n">
        <v>0.0</v>
      </c>
      <c r="T55" s="8" t="n">
        <v>0.0</v>
      </c>
      <c r="U55">
        <f si="1" t="shared"/>
        <v>0.41003513336181641</v>
      </c>
    </row>
    <row r="56" spans="1:21" x14ac:dyDescent="0.45">
      <c r="A56" s="10">
        <v>0.10416666666666667</v>
      </c>
      <c r="B56" s="5" t="n">
        <v>0.007423105478804376</v>
      </c>
      <c r="C56" s="5" t="n">
        <v>0.0</v>
      </c>
      <c r="D56" s="5" t="n">
        <v>0.0</v>
      </c>
      <c r="E56" s="5" t="n">
        <v>0.0</v>
      </c>
      <c r="F56" s="5" t="n">
        <v>0.0</v>
      </c>
      <c r="G56" s="5" t="n">
        <v>0.0</v>
      </c>
      <c r="H56" s="5" t="n">
        <v>0.0</v>
      </c>
      <c r="I56" s="5" t="n">
        <v>0.0</v>
      </c>
      <c r="J56" s="5">
        <f si="0" t="shared"/>
        <v>7.4231054788043756E-3</v>
      </c>
      <c r="L56" s="10">
        <v>0.10416666666666667</v>
      </c>
      <c r="M56" s="8" t="n">
        <v>0.10808849334716797</v>
      </c>
      <c r="N56" s="8" t="n">
        <v>0.012828826904296875</v>
      </c>
      <c r="O56" s="8" t="n">
        <v>0.0</v>
      </c>
      <c r="P56" s="8" t="n">
        <v>0.0</v>
      </c>
      <c r="Q56" s="8" t="n">
        <v>1.9073486328125E-6</v>
      </c>
      <c r="R56" s="8" t="n">
        <v>5.846023559570312E-4</v>
      </c>
      <c r="S56" s="8" t="n">
        <v>0.0</v>
      </c>
      <c r="T56" s="8" t="n">
        <v>0.0</v>
      </c>
      <c r="U56">
        <f si="1" t="shared"/>
        <v>0.11335277557373047</v>
      </c>
    </row>
    <row r="57" spans="1:21" x14ac:dyDescent="0.45">
      <c r="A57" s="10">
        <v>0.125</v>
      </c>
      <c r="B57" s="5" t="n">
        <v>7.813795240846712E-4</v>
      </c>
      <c r="C57" s="5" t="n">
        <v>0.0</v>
      </c>
      <c r="D57" s="5" t="n">
        <v>0.0</v>
      </c>
      <c r="E57" s="5" t="n">
        <v>0.0</v>
      </c>
      <c r="F57" s="5" t="n">
        <v>0.0</v>
      </c>
      <c r="G57" s="5" t="n">
        <v>0.0</v>
      </c>
      <c r="H57" s="5" t="n">
        <v>0.0</v>
      </c>
      <c r="I57" s="5" t="n">
        <v>0.0</v>
      </c>
      <c r="J57" s="5">
        <f si="0" t="shared"/>
        <v>7.8137952408467118E-4</v>
      </c>
      <c r="L57" s="10">
        <v>0.125</v>
      </c>
      <c r="M57" s="8" t="n">
        <v>0.023344039916992188</v>
      </c>
      <c r="N57" s="8" t="n">
        <v>0.0027027130126953125</v>
      </c>
      <c r="O57" s="8" t="n">
        <v>0.0</v>
      </c>
      <c r="P57" s="8" t="n">
        <v>0.0</v>
      </c>
      <c r="Q57" s="8" t="n">
        <v>0.0</v>
      </c>
      <c r="R57" s="8" t="n">
        <v>5.91278076171875E-5</v>
      </c>
      <c r="S57" s="8" t="n">
        <v>0.0</v>
      </c>
      <c r="T57" s="8" t="n">
        <v>0.0</v>
      </c>
      <c r="U57">
        <f si="1" t="shared"/>
        <v>2.3827552795410156E-2</v>
      </c>
    </row>
    <row ht="14.65" r="58" spans="1:21" thickBot="1" x14ac:dyDescent="0.5">
      <c r="A58" s="11" t="s">
        <v>6</v>
      </c>
      <c r="B58" s="6" t="n">
        <v>0.0</v>
      </c>
      <c r="C58" s="6" t="n">
        <v>0.0</v>
      </c>
      <c r="D58" s="6" t="n">
        <v>0.0</v>
      </c>
      <c r="E58" s="6" t="n">
        <v>0.0</v>
      </c>
      <c r="F58" s="6" t="n">
        <v>0.0</v>
      </c>
      <c r="G58" s="6" t="n">
        <v>0.0</v>
      </c>
      <c r="H58" s="6" t="n">
        <v>0.0</v>
      </c>
      <c r="I58" s="6" t="n">
        <v>0.0</v>
      </c>
      <c r="J58" s="6">
        <f si="0" t="shared"/>
        <v>0</v>
      </c>
      <c r="L58" s="11" t="s">
        <v>6</v>
      </c>
      <c r="M58" s="9" t="n">
        <v>0.0</v>
      </c>
      <c r="N58" s="9" t="n">
        <v>0.0</v>
      </c>
      <c r="O58" s="9" t="n">
        <v>0.0</v>
      </c>
      <c r="P58" s="9" t="n">
        <v>0.0</v>
      </c>
      <c r="Q58" s="9" t="n">
        <v>0.0</v>
      </c>
      <c r="R58" s="9" t="n">
        <v>0.0</v>
      </c>
      <c r="S58" s="9" t="n">
        <v>0.0</v>
      </c>
      <c r="T58" s="9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2:C22"/>
  <sheetViews>
    <sheetView workbookViewId="0"/>
  </sheetViews>
  <sheetFormatPr defaultRowHeight="14.25" x14ac:dyDescent="0.45"/>
  <sheetData>
    <row r="2" spans="1:2" x14ac:dyDescent="0.45">
      <c r="A2" s="7" t="s">
        <v>33</v>
      </c>
    </row>
    <row r="3" spans="1:2" x14ac:dyDescent="0.45">
      <c r="B3" t="s">
        <v>36</v>
      </c>
    </row>
    <row r="4" spans="1:2" x14ac:dyDescent="0.45">
      <c r="B4" t="s">
        <v>37</v>
      </c>
    </row>
    <row r="22" spans="1:1" x14ac:dyDescent="0.45">
      <c r="A22" s="7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L265"/>
  <sheetViews>
    <sheetView workbookViewId="0">
      <selection activeCell="A8" sqref="A8:K265"/>
    </sheetView>
  </sheetViews>
  <sheetFormatPr defaultRowHeight="14.25" x14ac:dyDescent="0.45"/>
  <sheetData>
    <row r="1" spans="1:11" x14ac:dyDescent="0.45">
      <c r="A1" s="42" t="s">
        <v>92</v>
      </c>
      <c r="B1" s="43"/>
      <c r="C1" s="43"/>
      <c r="D1" s="43"/>
      <c r="E1" s="43"/>
      <c r="F1" s="43"/>
      <c r="G1" s="43"/>
      <c r="H1" s="43" t="s">
        <v>93</v>
      </c>
      <c r="I1" s="43"/>
      <c r="J1" s="43"/>
      <c r="K1" s="44"/>
    </row>
    <row r="2" spans="1:11" x14ac:dyDescent="0.45">
      <c r="A2" s="45">
        <v>1</v>
      </c>
      <c r="B2" s="46" t="s">
        <v>197</v>
      </c>
      <c r="C2" s="46"/>
      <c r="D2" s="46"/>
      <c r="E2" s="46"/>
      <c r="F2" s="46"/>
      <c r="G2" s="46"/>
      <c r="H2" s="46"/>
      <c r="I2" s="46"/>
      <c r="J2" s="46"/>
      <c r="K2" s="47"/>
    </row>
    <row r="3" spans="1:11" x14ac:dyDescent="0.45">
      <c r="A3" s="45">
        <v>2</v>
      </c>
      <c r="B3" s="46" t="s">
        <v>94</v>
      </c>
      <c r="C3" s="46"/>
      <c r="D3" s="46"/>
      <c r="E3" s="46"/>
      <c r="F3" s="46"/>
      <c r="G3" s="46"/>
      <c r="H3" s="46"/>
      <c r="I3" s="46"/>
      <c r="J3" s="46"/>
      <c r="K3" s="47"/>
    </row>
    <row r="4" spans="1:11" x14ac:dyDescent="0.45">
      <c r="A4" s="45">
        <v>3</v>
      </c>
      <c r="B4" s="46" t="s">
        <v>95</v>
      </c>
      <c r="C4" s="46"/>
      <c r="D4" s="46"/>
      <c r="E4" s="46"/>
      <c r="F4" s="46"/>
      <c r="G4" s="46"/>
      <c r="H4" s="46"/>
      <c r="I4" s="46"/>
      <c r="J4" s="46"/>
      <c r="K4" s="47"/>
    </row>
    <row r="5" spans="1:11" x14ac:dyDescent="0.45">
      <c r="A5" s="45">
        <v>4</v>
      </c>
      <c r="B5" s="46" t="s">
        <v>96</v>
      </c>
      <c r="C5" s="46"/>
      <c r="D5" s="46"/>
      <c r="E5" s="46"/>
      <c r="F5" s="46"/>
      <c r="G5" s="46"/>
      <c r="H5" s="46"/>
      <c r="I5" s="46"/>
      <c r="J5" s="46"/>
      <c r="K5" s="47"/>
    </row>
    <row r="6" spans="1:11" x14ac:dyDescent="0.45">
      <c r="A6" s="48"/>
      <c r="B6" s="49"/>
      <c r="C6" s="49"/>
      <c r="D6" s="49"/>
      <c r="E6" s="49"/>
      <c r="F6" s="49"/>
      <c r="G6" s="49"/>
      <c r="H6" s="49"/>
      <c r="I6" s="49"/>
      <c r="J6" s="49"/>
      <c r="K6" s="50"/>
    </row>
    <row r="8" spans="1:11" x14ac:dyDescent="0.45">
      <c r="A8" t="s">
        <v>97</v>
      </c>
      <c r="B8" t="s">
        <v>98</v>
      </c>
      <c r="C8" t="s">
        <v>99</v>
      </c>
    </row>
    <row r="9" spans="1:11" x14ac:dyDescent="0.4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1">
        <v>0.64187499999999997</v>
      </c>
      <c r="G9" t="s">
        <v>104</v>
      </c>
      <c r="H9">
        <v>7</v>
      </c>
      <c r="I9" t="s">
        <v>199</v>
      </c>
      <c r="J9">
        <v>12</v>
      </c>
    </row>
    <row r="10" spans="1:11" x14ac:dyDescent="0.45">
      <c r="A10" t="s">
        <v>105</v>
      </c>
    </row>
    <row r="11" spans="1:11" x14ac:dyDescent="0.4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4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45">
      <c r="B13">
        <v>13</v>
      </c>
      <c r="C13" t="s">
        <v>110</v>
      </c>
      <c r="D13" t="s">
        <v>109</v>
      </c>
      <c r="E13">
        <v>-0.21597678247800001</v>
      </c>
      <c r="F13" s="52">
        <v>8.1395299864599993E-2</v>
      </c>
    </row>
    <row r="14" spans="1:11" x14ac:dyDescent="0.4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45">
      <c r="B15">
        <v>15</v>
      </c>
      <c r="C15" t="s">
        <v>112</v>
      </c>
      <c r="D15" t="s">
        <v>109</v>
      </c>
      <c r="E15">
        <v>-1.2614952667399999</v>
      </c>
      <c r="F15" s="52">
        <v>0.116570218502</v>
      </c>
    </row>
    <row r="16" spans="1:11" x14ac:dyDescent="0.45">
      <c r="B16">
        <v>16</v>
      </c>
      <c r="C16" t="s">
        <v>113</v>
      </c>
      <c r="D16" t="s">
        <v>109</v>
      </c>
      <c r="E16">
        <v>-2.25578381447</v>
      </c>
      <c r="F16" s="52">
        <v>0.18421384461000001</v>
      </c>
    </row>
    <row r="17" spans="2:6" x14ac:dyDescent="0.4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4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4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4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4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45">
      <c r="B22">
        <v>22</v>
      </c>
      <c r="C22" t="s">
        <v>119</v>
      </c>
      <c r="D22" t="s">
        <v>109</v>
      </c>
      <c r="E22">
        <v>-1.220998</v>
      </c>
      <c r="F22">
        <v>0.39542909695400003</v>
      </c>
    </row>
    <row r="23" spans="2:6" x14ac:dyDescent="0.45">
      <c r="B23">
        <v>23</v>
      </c>
      <c r="C23" t="s">
        <v>120</v>
      </c>
      <c r="D23" t="s">
        <v>109</v>
      </c>
      <c r="E23">
        <v>0.64485899999999996</v>
      </c>
      <c r="F23">
        <v>0.240054726957</v>
      </c>
    </row>
    <row r="24" spans="2:6" x14ac:dyDescent="0.45">
      <c r="B24">
        <v>24</v>
      </c>
      <c r="C24" t="s">
        <v>121</v>
      </c>
      <c r="D24" t="s">
        <v>109</v>
      </c>
      <c r="E24">
        <v>1.592598</v>
      </c>
      <c r="F24">
        <v>0.156285482088</v>
      </c>
    </row>
    <row r="25" spans="2:6" x14ac:dyDescent="0.4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45">
      <c r="B26">
        <v>26</v>
      </c>
      <c r="C26" t="s">
        <v>123</v>
      </c>
      <c r="D26" t="s">
        <v>109</v>
      </c>
      <c r="E26" s="52">
        <v>1.7683000000000001E-2</v>
      </c>
      <c r="F26" s="52">
        <v>0.144719460918</v>
      </c>
    </row>
    <row r="27" spans="2:6" x14ac:dyDescent="0.45">
      <c r="B27">
        <v>27</v>
      </c>
      <c r="C27" t="s">
        <v>124</v>
      </c>
      <c r="D27" t="s">
        <v>109</v>
      </c>
      <c r="E27">
        <v>-0.88386299999999995</v>
      </c>
      <c r="F27">
        <v>0.20496778773499999</v>
      </c>
    </row>
    <row r="28" spans="2:6" x14ac:dyDescent="0.45">
      <c r="B28">
        <v>28</v>
      </c>
      <c r="C28" t="s">
        <v>125</v>
      </c>
      <c r="D28" t="s">
        <v>109</v>
      </c>
      <c r="E28">
        <v>-1.604725</v>
      </c>
      <c r="F28">
        <v>0.245169334865</v>
      </c>
    </row>
    <row r="29" spans="2:6" x14ac:dyDescent="0.45">
      <c r="B29">
        <v>29</v>
      </c>
      <c r="C29" t="s">
        <v>126</v>
      </c>
      <c r="D29" t="s">
        <v>109</v>
      </c>
      <c r="E29">
        <v>-2.4918230000000001</v>
      </c>
      <c r="F29">
        <v>0.33452869444799999</v>
      </c>
    </row>
    <row r="30" spans="2:6" x14ac:dyDescent="0.4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45">
      <c r="B31">
        <v>31</v>
      </c>
      <c r="C31" t="s">
        <v>128</v>
      </c>
      <c r="D31" t="s">
        <v>109</v>
      </c>
      <c r="E31">
        <v>-1.672868</v>
      </c>
      <c r="F31">
        <v>0.36667143581200001</v>
      </c>
    </row>
    <row r="32" spans="2:6" x14ac:dyDescent="0.45">
      <c r="B32">
        <v>32</v>
      </c>
      <c r="C32" t="s">
        <v>129</v>
      </c>
      <c r="D32" t="s">
        <v>109</v>
      </c>
      <c r="E32">
        <v>-1.041045</v>
      </c>
      <c r="F32">
        <v>0.27972481901200003</v>
      </c>
    </row>
    <row r="33" spans="2:6" x14ac:dyDescent="0.45">
      <c r="B33">
        <v>33</v>
      </c>
      <c r="C33" t="s">
        <v>130</v>
      </c>
      <c r="D33" t="s">
        <v>109</v>
      </c>
      <c r="E33">
        <v>-0.617788</v>
      </c>
      <c r="F33">
        <v>0.20452030135499999</v>
      </c>
    </row>
    <row r="34" spans="2:6" x14ac:dyDescent="0.45">
      <c r="B34">
        <v>34</v>
      </c>
      <c r="C34" t="s">
        <v>131</v>
      </c>
      <c r="D34" t="s">
        <v>109</v>
      </c>
      <c r="E34">
        <v>-0.160163</v>
      </c>
      <c r="F34">
        <v>0.147904033164</v>
      </c>
    </row>
    <row r="35" spans="2:6" x14ac:dyDescent="0.45">
      <c r="B35">
        <v>35</v>
      </c>
      <c r="C35" t="s">
        <v>132</v>
      </c>
      <c r="D35" t="s">
        <v>107</v>
      </c>
      <c r="E35">
        <v>-7.2091000000000002E-2</v>
      </c>
      <c r="F35">
        <v>0</v>
      </c>
    </row>
    <row r="36" spans="2:6" x14ac:dyDescent="0.45">
      <c r="B36">
        <v>36</v>
      </c>
      <c r="C36" t="s">
        <v>133</v>
      </c>
      <c r="D36" t="s">
        <v>109</v>
      </c>
      <c r="E36">
        <v>-0.79294299999999995</v>
      </c>
      <c r="F36">
        <v>0.197936565531</v>
      </c>
    </row>
    <row r="37" spans="2:6" x14ac:dyDescent="0.45">
      <c r="B37">
        <v>37</v>
      </c>
      <c r="C37" t="s">
        <v>134</v>
      </c>
      <c r="D37" t="s">
        <v>109</v>
      </c>
      <c r="E37">
        <v>-1.8158650000000001</v>
      </c>
      <c r="F37">
        <v>0.36414176398499998</v>
      </c>
    </row>
    <row r="38" spans="2:6" x14ac:dyDescent="0.45">
      <c r="B38">
        <v>38</v>
      </c>
      <c r="C38" t="s">
        <v>135</v>
      </c>
      <c r="D38" t="s">
        <v>109</v>
      </c>
      <c r="E38">
        <v>-3.215354</v>
      </c>
      <c r="F38">
        <v>0.51836226592599999</v>
      </c>
    </row>
    <row r="39" spans="2:6" x14ac:dyDescent="0.45">
      <c r="B39">
        <v>39</v>
      </c>
      <c r="C39" t="s">
        <v>136</v>
      </c>
      <c r="D39" t="s">
        <v>109</v>
      </c>
      <c r="E39">
        <v>-5.0070750000000004</v>
      </c>
      <c r="F39">
        <v>0.820740270509</v>
      </c>
    </row>
    <row r="40" spans="2:6" x14ac:dyDescent="0.4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45">
      <c r="B41">
        <v>41</v>
      </c>
      <c r="C41" t="s">
        <v>138</v>
      </c>
      <c r="D41" t="s">
        <v>109</v>
      </c>
      <c r="E41" s="52">
        <v>0.28932022582700001</v>
      </c>
      <c r="F41" s="52">
        <v>8.1790819621500005E-2</v>
      </c>
    </row>
    <row r="42" spans="2:6" x14ac:dyDescent="0.45">
      <c r="B42">
        <v>42</v>
      </c>
      <c r="C42" t="s">
        <v>139</v>
      </c>
      <c r="D42" t="s">
        <v>109</v>
      </c>
      <c r="E42" s="52">
        <v>-0.126020317947</v>
      </c>
      <c r="F42" s="52">
        <v>0.14444759103999999</v>
      </c>
    </row>
    <row r="43" spans="2:6" x14ac:dyDescent="0.45">
      <c r="B43">
        <v>43</v>
      </c>
      <c r="C43" t="s">
        <v>140</v>
      </c>
      <c r="D43" t="s">
        <v>109</v>
      </c>
      <c r="E43">
        <v>0.21889169970399999</v>
      </c>
      <c r="F43" s="52">
        <v>0.114107825336</v>
      </c>
    </row>
    <row r="44" spans="2:6" x14ac:dyDescent="0.45">
      <c r="B44">
        <v>44</v>
      </c>
      <c r="C44" t="s">
        <v>141</v>
      </c>
      <c r="D44" t="s">
        <v>109</v>
      </c>
      <c r="E44" s="52">
        <v>-0.130191110389</v>
      </c>
      <c r="F44" s="52">
        <v>0.18202934117799999</v>
      </c>
    </row>
    <row r="45" spans="2:6" x14ac:dyDescent="0.45">
      <c r="B45">
        <v>45</v>
      </c>
      <c r="C45" t="s">
        <v>142</v>
      </c>
      <c r="D45" t="s">
        <v>109</v>
      </c>
      <c r="E45">
        <v>0.16568715041199999</v>
      </c>
      <c r="F45" s="52">
        <v>2.0000137764899999E-2</v>
      </c>
    </row>
    <row r="46" spans="2:6" x14ac:dyDescent="0.45">
      <c r="B46">
        <v>46</v>
      </c>
      <c r="C46" t="s">
        <v>143</v>
      </c>
      <c r="D46" t="s">
        <v>109</v>
      </c>
      <c r="E46" s="52">
        <v>-7.5649381697400001E-2</v>
      </c>
      <c r="F46" s="52">
        <v>1.8610123099900001E-2</v>
      </c>
    </row>
    <row r="47" spans="2:6" x14ac:dyDescent="0.45">
      <c r="B47">
        <v>49</v>
      </c>
      <c r="C47" t="s">
        <v>144</v>
      </c>
      <c r="D47" t="s">
        <v>109</v>
      </c>
      <c r="E47" s="52">
        <v>-6.2615357102599994E-2</v>
      </c>
      <c r="F47" s="52">
        <v>3.4710304796399999E-2</v>
      </c>
    </row>
    <row r="48" spans="2:6" x14ac:dyDescent="0.45">
      <c r="B48">
        <v>50</v>
      </c>
      <c r="C48" t="s">
        <v>145</v>
      </c>
      <c r="D48" t="s">
        <v>109</v>
      </c>
      <c r="E48" s="52">
        <v>5.8936801301500003E-2</v>
      </c>
      <c r="F48" s="52">
        <v>2.0920637709499999E-2</v>
      </c>
    </row>
    <row r="49" spans="2:6" x14ac:dyDescent="0.45">
      <c r="B49">
        <v>61</v>
      </c>
      <c r="C49" t="s">
        <v>146</v>
      </c>
      <c r="D49" t="s">
        <v>109</v>
      </c>
      <c r="E49" s="52">
        <v>1.3894069452699999E-2</v>
      </c>
      <c r="F49" s="52">
        <v>8.3411937746000007E-3</v>
      </c>
    </row>
    <row r="50" spans="2:6" x14ac:dyDescent="0.45">
      <c r="B50">
        <v>62</v>
      </c>
      <c r="C50" t="s">
        <v>147</v>
      </c>
      <c r="D50" t="s">
        <v>109</v>
      </c>
      <c r="E50" s="52">
        <v>-3.35065604818E-2</v>
      </c>
      <c r="F50" s="52">
        <v>8.38002977703E-3</v>
      </c>
    </row>
    <row r="51" spans="2:6" x14ac:dyDescent="0.45">
      <c r="B51">
        <v>65</v>
      </c>
      <c r="C51" t="s">
        <v>148</v>
      </c>
      <c r="D51" t="s">
        <v>109</v>
      </c>
      <c r="E51" s="52">
        <v>-5.4867372478100002E-3</v>
      </c>
      <c r="F51" s="52">
        <v>7.3917522604599996E-3</v>
      </c>
    </row>
    <row r="52" spans="2:6" x14ac:dyDescent="0.45">
      <c r="B52">
        <v>66</v>
      </c>
      <c r="C52" t="s">
        <v>149</v>
      </c>
      <c r="D52" t="s">
        <v>109</v>
      </c>
      <c r="E52" s="52">
        <v>-3.6193574736200003E-2</v>
      </c>
      <c r="F52" s="52">
        <v>7.8544593236800006E-3</v>
      </c>
    </row>
    <row r="53" spans="2:6" x14ac:dyDescent="0.45">
      <c r="B53">
        <v>67</v>
      </c>
      <c r="C53" t="s">
        <v>150</v>
      </c>
      <c r="D53" t="s">
        <v>109</v>
      </c>
      <c r="E53" s="52">
        <v>-2.12729108975E-2</v>
      </c>
      <c r="F53" s="52">
        <v>1.7916013650899999E-2</v>
      </c>
    </row>
    <row r="54" spans="2:6" x14ac:dyDescent="0.45">
      <c r="B54">
        <v>68</v>
      </c>
      <c r="C54" t="s">
        <v>151</v>
      </c>
      <c r="D54" t="s">
        <v>109</v>
      </c>
      <c r="E54" s="52">
        <v>3.8531785887300003E-2</v>
      </c>
      <c r="F54" s="52">
        <v>1.5124703998900001E-2</v>
      </c>
    </row>
    <row r="55" spans="2:6" x14ac:dyDescent="0.4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4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4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4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4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4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45">
      <c r="B61">
        <v>93</v>
      </c>
      <c r="C61" t="s">
        <v>158</v>
      </c>
      <c r="D61" t="s">
        <v>109</v>
      </c>
      <c r="E61">
        <v>-0.13712603030000001</v>
      </c>
      <c r="F61" s="52">
        <v>3.2875457459200001E-2</v>
      </c>
    </row>
    <row r="62" spans="2:6" x14ac:dyDescent="0.45">
      <c r="B62">
        <v>94</v>
      </c>
      <c r="C62" t="s">
        <v>159</v>
      </c>
      <c r="D62" t="s">
        <v>109</v>
      </c>
      <c r="E62">
        <v>-0.117727254534</v>
      </c>
      <c r="F62" s="52">
        <v>2.82168740236E-2</v>
      </c>
    </row>
    <row r="63" spans="2:6" x14ac:dyDescent="0.45">
      <c r="B63">
        <v>95</v>
      </c>
      <c r="C63" t="s">
        <v>160</v>
      </c>
      <c r="D63" t="s">
        <v>109</v>
      </c>
      <c r="E63" s="52">
        <v>-8.0903295982399995E-2</v>
      </c>
      <c r="F63" s="52">
        <v>3.8563633848499999E-2</v>
      </c>
    </row>
    <row r="64" spans="2:6" x14ac:dyDescent="0.45">
      <c r="B64">
        <v>96</v>
      </c>
      <c r="C64" t="s">
        <v>161</v>
      </c>
      <c r="D64" t="s">
        <v>109</v>
      </c>
      <c r="E64" s="52">
        <v>-2.0259430948599999E-2</v>
      </c>
      <c r="F64" s="52">
        <v>3.01211486939E-2</v>
      </c>
    </row>
    <row r="65" spans="2:11" x14ac:dyDescent="0.4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4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45">
      <c r="B67">
        <v>100</v>
      </c>
      <c r="C67" t="s">
        <v>164</v>
      </c>
      <c r="D67" t="s">
        <v>109</v>
      </c>
      <c r="E67" s="52">
        <v>-1.48342258525</v>
      </c>
      <c r="F67">
        <v>0.62838814571900004</v>
      </c>
    </row>
    <row r="68" spans="2:11" x14ac:dyDescent="0.45">
      <c r="B68">
        <v>124</v>
      </c>
      <c r="C68" t="s">
        <v>165</v>
      </c>
      <c r="D68" t="s">
        <v>109</v>
      </c>
      <c r="E68">
        <v>1.6847908809200001</v>
      </c>
      <c r="F68" s="52">
        <v>0.124449884057</v>
      </c>
    </row>
    <row r="69" spans="2:11" x14ac:dyDescent="0.45">
      <c r="B69">
        <v>139</v>
      </c>
      <c r="C69" t="s">
        <v>166</v>
      </c>
      <c r="D69" t="s">
        <v>109</v>
      </c>
      <c r="E69">
        <v>0.28553018058200003</v>
      </c>
      <c r="F69" s="52">
        <v>3.96616510337E-2</v>
      </c>
    </row>
    <row r="70" spans="2:11" x14ac:dyDescent="0.45">
      <c r="B70">
        <v>140</v>
      </c>
      <c r="C70" t="s">
        <v>167</v>
      </c>
      <c r="D70" t="s">
        <v>109</v>
      </c>
      <c r="E70" s="52">
        <v>0.115396426521</v>
      </c>
      <c r="F70" s="52">
        <v>4.6268888288900002E-2</v>
      </c>
    </row>
    <row r="71" spans="2:11" x14ac:dyDescent="0.45">
      <c r="B71">
        <v>143</v>
      </c>
      <c r="C71" t="s">
        <v>168</v>
      </c>
      <c r="D71" t="s">
        <v>109</v>
      </c>
      <c r="E71" s="52">
        <v>0.10498530294699999</v>
      </c>
      <c r="F71" s="52">
        <v>3.9099946337000001E-2</v>
      </c>
    </row>
    <row r="72" spans="2:11" x14ac:dyDescent="0.45">
      <c r="B72">
        <v>144</v>
      </c>
      <c r="C72" t="s">
        <v>169</v>
      </c>
      <c r="D72" t="s">
        <v>109</v>
      </c>
      <c r="E72" s="52">
        <v>0.15534523906299999</v>
      </c>
      <c r="F72" s="52">
        <v>2.8784104356000002E-2</v>
      </c>
    </row>
    <row r="73" spans="2:11" x14ac:dyDescent="0.45">
      <c r="B73">
        <v>-1</v>
      </c>
    </row>
    <row r="74" spans="2:11" x14ac:dyDescent="0.45">
      <c r="B74">
        <v>1422</v>
      </c>
      <c r="C74" s="52">
        <v>-6449.0449196199997</v>
      </c>
      <c r="D74" s="52">
        <v>-9890.1744363100006</v>
      </c>
      <c r="E74" s="52">
        <v>-6708.2478466499997</v>
      </c>
    </row>
    <row r="75" spans="2:11" x14ac:dyDescent="0.45">
      <c r="B75">
        <v>7</v>
      </c>
      <c r="C75" t="s">
        <v>221</v>
      </c>
      <c r="D75" t="s">
        <v>104</v>
      </c>
      <c r="E75">
        <v>7</v>
      </c>
      <c r="F75" t="s">
        <v>199</v>
      </c>
      <c r="G75">
        <v>12</v>
      </c>
    </row>
    <row r="76" spans="2:11" x14ac:dyDescent="0.4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4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4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4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4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4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4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4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4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4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4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4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4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4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4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4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4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4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4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4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4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4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4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4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4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4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4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4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4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4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4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4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4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4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4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4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4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4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4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4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4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4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4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4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4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4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4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4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4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4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4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4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4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4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4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4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4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4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4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4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4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4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4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4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4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4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4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4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4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4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4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4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4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4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4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4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4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4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4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4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4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4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4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4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4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4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4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4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4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4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4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4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4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4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4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4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4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4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4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4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4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4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4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4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4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4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4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4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4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4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4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4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4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4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4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4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4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4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4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4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4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4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4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4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4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4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4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4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4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4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4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4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4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4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4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4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4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4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4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4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4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4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4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4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4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4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4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4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4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4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4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4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4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45">
      <c r="B265">
        <v>29242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L358"/>
  <sheetViews>
    <sheetView workbookViewId="0">
      <selection activeCell="A8" sqref="A8:K358"/>
    </sheetView>
  </sheetViews>
  <sheetFormatPr defaultRowHeight="14.25" x14ac:dyDescent="0.45"/>
  <sheetData>
    <row r="1" spans="1:11" x14ac:dyDescent="0.45">
      <c r="A1" s="42" t="s">
        <v>92</v>
      </c>
      <c r="B1" s="43"/>
      <c r="C1" s="43"/>
      <c r="D1" s="43"/>
      <c r="E1" s="43"/>
      <c r="F1" s="43"/>
      <c r="G1" s="43"/>
      <c r="H1" s="43" t="s">
        <v>93</v>
      </c>
      <c r="I1" s="43"/>
      <c r="J1" s="43"/>
      <c r="K1" s="44"/>
    </row>
    <row r="2" spans="1:11" x14ac:dyDescent="0.45">
      <c r="A2" s="45">
        <v>1</v>
      </c>
      <c r="B2" s="46" t="s">
        <v>196</v>
      </c>
      <c r="C2" s="46"/>
      <c r="D2" s="46"/>
      <c r="E2" s="46"/>
      <c r="F2" s="46"/>
      <c r="G2" s="46"/>
      <c r="H2" s="46"/>
      <c r="I2" s="46"/>
      <c r="J2" s="46"/>
      <c r="K2" s="47"/>
    </row>
    <row r="3" spans="1:11" x14ac:dyDescent="0.45">
      <c r="A3" s="45">
        <v>2</v>
      </c>
      <c r="B3" s="46" t="s">
        <v>94</v>
      </c>
      <c r="C3" s="46"/>
      <c r="D3" s="46"/>
      <c r="E3" s="46"/>
      <c r="F3" s="46"/>
      <c r="G3" s="46"/>
      <c r="H3" s="46"/>
      <c r="I3" s="46"/>
      <c r="J3" s="46"/>
      <c r="K3" s="47"/>
    </row>
    <row r="4" spans="1:11" x14ac:dyDescent="0.45">
      <c r="A4" s="45">
        <v>3</v>
      </c>
      <c r="B4" s="46" t="s">
        <v>95</v>
      </c>
      <c r="C4" s="46"/>
      <c r="D4" s="46"/>
      <c r="E4" s="46"/>
      <c r="F4" s="46"/>
      <c r="G4" s="46"/>
      <c r="H4" s="46"/>
      <c r="I4" s="46"/>
      <c r="J4" s="46"/>
      <c r="K4" s="47"/>
    </row>
    <row r="5" spans="1:11" x14ac:dyDescent="0.45">
      <c r="A5" s="45">
        <v>4</v>
      </c>
      <c r="B5" s="46" t="s">
        <v>96</v>
      </c>
      <c r="C5" s="46"/>
      <c r="D5" s="46"/>
      <c r="E5" s="46"/>
      <c r="F5" s="46"/>
      <c r="G5" s="46"/>
      <c r="H5" s="46"/>
      <c r="I5" s="46"/>
      <c r="J5" s="46"/>
      <c r="K5" s="47"/>
    </row>
    <row r="6" spans="1:11" x14ac:dyDescent="0.45">
      <c r="A6" s="48"/>
      <c r="B6" s="49"/>
      <c r="C6" s="49"/>
      <c r="D6" s="49"/>
      <c r="E6" s="49"/>
      <c r="F6" s="49"/>
      <c r="G6" s="49"/>
      <c r="H6" s="49"/>
      <c r="I6" s="49"/>
      <c r="J6" s="49"/>
      <c r="K6" s="50"/>
    </row>
    <row r="8" spans="1:11" x14ac:dyDescent="0.45">
      <c r="A8" t="s">
        <v>97</v>
      </c>
      <c r="B8" t="s">
        <v>198</v>
      </c>
      <c r="C8" t="s">
        <v>99</v>
      </c>
    </row>
    <row r="9" spans="1:11" x14ac:dyDescent="0.4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1">
        <v>0.68153935185185188</v>
      </c>
      <c r="G9" t="s">
        <v>104</v>
      </c>
      <c r="H9">
        <v>7</v>
      </c>
      <c r="I9" t="s">
        <v>199</v>
      </c>
      <c r="J9">
        <v>12</v>
      </c>
    </row>
    <row r="10" spans="1:11" x14ac:dyDescent="0.45">
      <c r="A10" t="s">
        <v>105</v>
      </c>
    </row>
    <row r="11" spans="1:11" x14ac:dyDescent="0.4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45">
      <c r="B12">
        <v>12</v>
      </c>
      <c r="C12" t="s">
        <v>108</v>
      </c>
      <c r="D12" t="s">
        <v>109</v>
      </c>
      <c r="E12">
        <v>-0.67106220384299997</v>
      </c>
      <c r="F12" s="52">
        <v>9.8135717565100006E-2</v>
      </c>
    </row>
    <row r="13" spans="1:11" x14ac:dyDescent="0.45">
      <c r="B13">
        <v>13</v>
      </c>
      <c r="C13" t="s">
        <v>110</v>
      </c>
      <c r="D13" t="s">
        <v>109</v>
      </c>
      <c r="E13" s="52">
        <v>-1.81869725389E-2</v>
      </c>
      <c r="F13" s="52">
        <v>6.16066120838E-2</v>
      </c>
    </row>
    <row r="14" spans="1:11" x14ac:dyDescent="0.4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45">
      <c r="B15">
        <v>15</v>
      </c>
      <c r="C15" t="s">
        <v>112</v>
      </c>
      <c r="D15" t="s">
        <v>109</v>
      </c>
      <c r="E15">
        <v>-0.93649924875500001</v>
      </c>
      <c r="F15" s="52">
        <v>7.9616844312599994E-2</v>
      </c>
    </row>
    <row r="16" spans="1:11" x14ac:dyDescent="0.4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4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4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4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4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45">
      <c r="B21">
        <v>21</v>
      </c>
      <c r="C21" t="s">
        <v>118</v>
      </c>
      <c r="D21" t="s">
        <v>109</v>
      </c>
      <c r="E21">
        <v>-2.7576260000000001</v>
      </c>
      <c r="F21">
        <v>0.50610763844399997</v>
      </c>
    </row>
    <row r="22" spans="2:6" x14ac:dyDescent="0.45">
      <c r="B22">
        <v>22</v>
      </c>
      <c r="C22" t="s">
        <v>119</v>
      </c>
      <c r="D22" t="s">
        <v>109</v>
      </c>
      <c r="E22">
        <v>-1.6259760000000001</v>
      </c>
      <c r="F22">
        <v>0.326935585779</v>
      </c>
    </row>
    <row r="23" spans="2:6" x14ac:dyDescent="0.45">
      <c r="B23">
        <v>23</v>
      </c>
      <c r="C23" t="s">
        <v>120</v>
      </c>
      <c r="D23" t="s">
        <v>109</v>
      </c>
      <c r="E23">
        <v>-0.57779599999999998</v>
      </c>
      <c r="F23">
        <v>0.19811168781399999</v>
      </c>
    </row>
    <row r="24" spans="2:6" x14ac:dyDescent="0.45">
      <c r="B24">
        <v>24</v>
      </c>
      <c r="C24" t="s">
        <v>121</v>
      </c>
      <c r="D24" t="s">
        <v>109</v>
      </c>
      <c r="E24">
        <v>-0.45795000000000002</v>
      </c>
      <c r="F24">
        <v>0.115798211597</v>
      </c>
    </row>
    <row r="25" spans="2:6" x14ac:dyDescent="0.4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45">
      <c r="B26">
        <v>26</v>
      </c>
      <c r="C26" t="s">
        <v>123</v>
      </c>
      <c r="D26" t="s">
        <v>109</v>
      </c>
      <c r="E26" s="52">
        <v>-5.4146E-2</v>
      </c>
      <c r="F26" s="52">
        <v>6.6387251918099993E-2</v>
      </c>
    </row>
    <row r="27" spans="2:6" x14ac:dyDescent="0.45">
      <c r="B27">
        <v>27</v>
      </c>
      <c r="C27" t="s">
        <v>124</v>
      </c>
      <c r="D27" t="s">
        <v>109</v>
      </c>
      <c r="E27">
        <v>-0.85907800000000001</v>
      </c>
      <c r="F27">
        <v>0.103880499463</v>
      </c>
    </row>
    <row r="28" spans="2:6" x14ac:dyDescent="0.45">
      <c r="B28">
        <v>28</v>
      </c>
      <c r="C28" t="s">
        <v>125</v>
      </c>
      <c r="D28" t="s">
        <v>109</v>
      </c>
      <c r="E28">
        <v>-1.93876</v>
      </c>
      <c r="F28">
        <v>0.16080869896200001</v>
      </c>
    </row>
    <row r="29" spans="2:6" x14ac:dyDescent="0.45">
      <c r="B29">
        <v>29</v>
      </c>
      <c r="C29" t="s">
        <v>126</v>
      </c>
      <c r="D29" t="s">
        <v>109</v>
      </c>
      <c r="E29">
        <v>-1.9554069999999999</v>
      </c>
      <c r="F29">
        <v>0.247496421287</v>
      </c>
    </row>
    <row r="30" spans="2:6" x14ac:dyDescent="0.45">
      <c r="B30">
        <v>30</v>
      </c>
      <c r="C30" t="s">
        <v>127</v>
      </c>
      <c r="D30" t="s">
        <v>109</v>
      </c>
      <c r="E30">
        <v>-3.4381330000000001</v>
      </c>
      <c r="F30">
        <v>0.394526618537</v>
      </c>
    </row>
    <row r="31" spans="2:6" x14ac:dyDescent="0.45">
      <c r="B31">
        <v>31</v>
      </c>
      <c r="C31" t="s">
        <v>128</v>
      </c>
      <c r="D31" t="s">
        <v>109</v>
      </c>
      <c r="E31">
        <v>0.94328400000000001</v>
      </c>
      <c r="F31">
        <v>0.29987452563</v>
      </c>
    </row>
    <row r="32" spans="2:6" x14ac:dyDescent="0.45">
      <c r="B32">
        <v>32</v>
      </c>
      <c r="C32" t="s">
        <v>129</v>
      </c>
      <c r="D32" t="s">
        <v>109</v>
      </c>
      <c r="E32">
        <v>1.0836619999999999</v>
      </c>
      <c r="F32">
        <v>0.226897888656</v>
      </c>
    </row>
    <row r="33" spans="2:6" x14ac:dyDescent="0.45">
      <c r="B33">
        <v>33</v>
      </c>
      <c r="C33" t="s">
        <v>130</v>
      </c>
      <c r="D33" t="s">
        <v>109</v>
      </c>
      <c r="E33">
        <v>0.42832700000000001</v>
      </c>
      <c r="F33">
        <v>0.174895181077</v>
      </c>
    </row>
    <row r="34" spans="2:6" x14ac:dyDescent="0.45">
      <c r="B34">
        <v>34</v>
      </c>
      <c r="C34" t="s">
        <v>131</v>
      </c>
      <c r="D34" t="s">
        <v>109</v>
      </c>
      <c r="E34">
        <v>0.61578100000000002</v>
      </c>
      <c r="F34">
        <v>0.12857557629899999</v>
      </c>
    </row>
    <row r="35" spans="2:6" x14ac:dyDescent="0.45">
      <c r="B35">
        <v>35</v>
      </c>
      <c r="C35" t="s">
        <v>132</v>
      </c>
      <c r="D35" t="s">
        <v>107</v>
      </c>
      <c r="E35">
        <v>-0.111499</v>
      </c>
      <c r="F35">
        <v>0</v>
      </c>
    </row>
    <row r="36" spans="2:6" x14ac:dyDescent="0.45">
      <c r="B36">
        <v>36</v>
      </c>
      <c r="C36" t="s">
        <v>133</v>
      </c>
      <c r="D36" t="s">
        <v>109</v>
      </c>
      <c r="E36">
        <v>-1.2529269999999999</v>
      </c>
      <c r="F36" s="52">
        <v>7.3847024576899997E-2</v>
      </c>
    </row>
    <row r="37" spans="2:6" x14ac:dyDescent="0.45">
      <c r="B37">
        <v>37</v>
      </c>
      <c r="C37" t="s">
        <v>134</v>
      </c>
      <c r="D37" t="s">
        <v>109</v>
      </c>
      <c r="E37">
        <v>-2.4258410000000001</v>
      </c>
      <c r="F37">
        <v>0.12614259511799999</v>
      </c>
    </row>
    <row r="38" spans="2:6" x14ac:dyDescent="0.45">
      <c r="B38">
        <v>38</v>
      </c>
      <c r="C38" t="s">
        <v>135</v>
      </c>
      <c r="D38" t="s">
        <v>109</v>
      </c>
      <c r="E38">
        <v>-3.6496620000000002</v>
      </c>
      <c r="F38">
        <v>0.18517755081600001</v>
      </c>
    </row>
    <row r="39" spans="2:6" x14ac:dyDescent="0.45">
      <c r="B39">
        <v>39</v>
      </c>
      <c r="C39" t="s">
        <v>136</v>
      </c>
      <c r="D39" t="s">
        <v>109</v>
      </c>
      <c r="E39">
        <v>-6.2620810000000002</v>
      </c>
      <c r="F39">
        <v>0.35203937082499998</v>
      </c>
    </row>
    <row r="40" spans="2:6" x14ac:dyDescent="0.45">
      <c r="B40">
        <v>40</v>
      </c>
      <c r="C40" t="s">
        <v>137</v>
      </c>
      <c r="D40" t="s">
        <v>109</v>
      </c>
      <c r="E40">
        <v>-9.2484599999999997</v>
      </c>
      <c r="F40">
        <v>1.11916797919</v>
      </c>
    </row>
    <row r="41" spans="2:6" x14ac:dyDescent="0.45">
      <c r="B41">
        <v>41</v>
      </c>
      <c r="C41" t="s">
        <v>138</v>
      </c>
      <c r="D41" t="s">
        <v>109</v>
      </c>
      <c r="E41" s="52">
        <v>4.0037136956699998E-2</v>
      </c>
      <c r="F41" s="52">
        <v>9.9685746281100007E-3</v>
      </c>
    </row>
    <row r="42" spans="2:6" x14ac:dyDescent="0.45">
      <c r="B42">
        <v>42</v>
      </c>
      <c r="C42" t="s">
        <v>139</v>
      </c>
      <c r="D42" t="s">
        <v>109</v>
      </c>
      <c r="E42" s="52">
        <v>-2.9029788634599998E-2</v>
      </c>
      <c r="F42" s="52">
        <v>1.2678570722499999E-2</v>
      </c>
    </row>
    <row r="43" spans="2:6" x14ac:dyDescent="0.45">
      <c r="B43">
        <v>43</v>
      </c>
      <c r="C43" t="s">
        <v>140</v>
      </c>
      <c r="D43" t="s">
        <v>109</v>
      </c>
      <c r="E43" s="52">
        <v>6.0083727421699998E-2</v>
      </c>
      <c r="F43" s="52">
        <v>2.5372281094700001E-2</v>
      </c>
    </row>
    <row r="44" spans="2:6" x14ac:dyDescent="0.45">
      <c r="B44">
        <v>44</v>
      </c>
      <c r="C44" t="s">
        <v>141</v>
      </c>
      <c r="D44" t="s">
        <v>109</v>
      </c>
      <c r="E44">
        <v>-0.13634249725200001</v>
      </c>
      <c r="F44" s="52">
        <v>3.6390381655799997E-2</v>
      </c>
    </row>
    <row r="45" spans="2:6" x14ac:dyDescent="0.45">
      <c r="B45">
        <v>45</v>
      </c>
      <c r="C45" t="s">
        <v>142</v>
      </c>
      <c r="D45" t="s">
        <v>109</v>
      </c>
      <c r="E45">
        <v>0.103738819739</v>
      </c>
      <c r="F45" s="52">
        <v>1.6616031351299999E-2</v>
      </c>
    </row>
    <row r="46" spans="2:6" x14ac:dyDescent="0.45">
      <c r="B46">
        <v>46</v>
      </c>
      <c r="C46" t="s">
        <v>143</v>
      </c>
      <c r="D46" t="s">
        <v>109</v>
      </c>
      <c r="E46" s="52">
        <v>1.35703205954E-2</v>
      </c>
      <c r="F46" s="52">
        <v>2.28690317452E-2</v>
      </c>
    </row>
    <row r="47" spans="2:6" x14ac:dyDescent="0.45">
      <c r="B47">
        <v>49</v>
      </c>
      <c r="C47" t="s">
        <v>144</v>
      </c>
      <c r="D47" t="s">
        <v>109</v>
      </c>
      <c r="E47">
        <v>0.19068824550399999</v>
      </c>
      <c r="F47" s="52">
        <v>2.65279140342E-2</v>
      </c>
    </row>
    <row r="48" spans="2:6" x14ac:dyDescent="0.45">
      <c r="B48">
        <v>50</v>
      </c>
      <c r="C48" t="s">
        <v>145</v>
      </c>
      <c r="D48" t="s">
        <v>109</v>
      </c>
      <c r="E48" s="52">
        <v>-4.7658902528499997E-2</v>
      </c>
      <c r="F48" s="52">
        <v>4.1478476952599999E-2</v>
      </c>
    </row>
    <row r="49" spans="2:6" x14ac:dyDescent="0.45">
      <c r="B49">
        <v>51</v>
      </c>
      <c r="C49" t="s">
        <v>200</v>
      </c>
      <c r="D49" t="s">
        <v>109</v>
      </c>
      <c r="E49" s="52">
        <v>1.74365636267E-2</v>
      </c>
      <c r="F49" s="52">
        <v>1.140252435E-2</v>
      </c>
    </row>
    <row r="50" spans="2:6" x14ac:dyDescent="0.45">
      <c r="B50">
        <v>52</v>
      </c>
      <c r="C50" t="s">
        <v>201</v>
      </c>
      <c r="D50" t="s">
        <v>109</v>
      </c>
      <c r="E50" s="52">
        <v>-1.1076555783700001E-2</v>
      </c>
      <c r="F50" s="52">
        <v>1.2858732606199999E-2</v>
      </c>
    </row>
    <row r="51" spans="2:6" x14ac:dyDescent="0.45">
      <c r="B51">
        <v>53</v>
      </c>
      <c r="C51" t="s">
        <v>202</v>
      </c>
      <c r="D51" t="s">
        <v>109</v>
      </c>
      <c r="E51" s="52">
        <v>-4.5799393531799999E-3</v>
      </c>
      <c r="F51" s="52">
        <v>1.7862377697600001E-2</v>
      </c>
    </row>
    <row r="52" spans="2:6" x14ac:dyDescent="0.45">
      <c r="B52">
        <v>54</v>
      </c>
      <c r="C52" t="s">
        <v>203</v>
      </c>
      <c r="D52" t="s">
        <v>109</v>
      </c>
      <c r="E52" s="52">
        <v>1.7562242850300001E-3</v>
      </c>
      <c r="F52" s="52">
        <v>1.4630867548599999E-2</v>
      </c>
    </row>
    <row r="53" spans="2:6" x14ac:dyDescent="0.45">
      <c r="B53">
        <v>57</v>
      </c>
      <c r="C53" t="s">
        <v>204</v>
      </c>
      <c r="D53" t="s">
        <v>109</v>
      </c>
      <c r="E53">
        <v>1.4622136722300001</v>
      </c>
      <c r="F53">
        <v>8.5992649050699992</v>
      </c>
    </row>
    <row r="54" spans="2:6" x14ac:dyDescent="0.45">
      <c r="B54">
        <v>58</v>
      </c>
      <c r="C54" t="s">
        <v>205</v>
      </c>
      <c r="D54" t="s">
        <v>109</v>
      </c>
      <c r="E54">
        <v>0.24430192177099999</v>
      </c>
      <c r="F54">
        <v>8.5689380652500002</v>
      </c>
    </row>
    <row r="55" spans="2:6" x14ac:dyDescent="0.45">
      <c r="B55">
        <v>61</v>
      </c>
      <c r="C55" t="s">
        <v>146</v>
      </c>
      <c r="D55" t="s">
        <v>109</v>
      </c>
      <c r="E55" s="52">
        <v>3.9458577753300004E-3</v>
      </c>
      <c r="F55" s="52">
        <v>3.6600568992000001E-3</v>
      </c>
    </row>
    <row r="56" spans="2:6" x14ac:dyDescent="0.45">
      <c r="B56">
        <v>62</v>
      </c>
      <c r="C56" t="s">
        <v>147</v>
      </c>
      <c r="D56" t="s">
        <v>109</v>
      </c>
      <c r="E56" s="52">
        <v>-4.5842264627900003E-2</v>
      </c>
      <c r="F56" s="52">
        <v>3.86497643E-3</v>
      </c>
    </row>
    <row r="57" spans="2:6" x14ac:dyDescent="0.45">
      <c r="B57">
        <v>63</v>
      </c>
      <c r="C57" t="s">
        <v>206</v>
      </c>
      <c r="D57" t="s">
        <v>109</v>
      </c>
      <c r="E57" s="52">
        <v>-6.5425870724599995E-4</v>
      </c>
      <c r="F57" s="52">
        <v>3.4123010024899999E-3</v>
      </c>
    </row>
    <row r="58" spans="2:6" x14ac:dyDescent="0.45">
      <c r="B58">
        <v>64</v>
      </c>
      <c r="C58" t="s">
        <v>207</v>
      </c>
      <c r="D58" t="s">
        <v>109</v>
      </c>
      <c r="E58" s="52">
        <v>-4.2823263761100003E-2</v>
      </c>
      <c r="F58" s="52">
        <v>3.7704440667799999E-3</v>
      </c>
    </row>
    <row r="59" spans="2:6" x14ac:dyDescent="0.45">
      <c r="B59">
        <v>67</v>
      </c>
      <c r="C59" t="s">
        <v>150</v>
      </c>
      <c r="D59" t="s">
        <v>109</v>
      </c>
      <c r="E59" s="52">
        <v>-1.43005534112E-2</v>
      </c>
      <c r="F59" s="52">
        <v>6.4460601462800002E-3</v>
      </c>
    </row>
    <row r="60" spans="2:6" x14ac:dyDescent="0.45">
      <c r="B60">
        <v>68</v>
      </c>
      <c r="C60" t="s">
        <v>151</v>
      </c>
      <c r="D60" t="s">
        <v>109</v>
      </c>
      <c r="E60" s="52">
        <v>4.5097327600000001E-2</v>
      </c>
      <c r="F60" s="52">
        <v>6.3326225988899996E-3</v>
      </c>
    </row>
    <row r="61" spans="2:6" x14ac:dyDescent="0.45">
      <c r="B61">
        <v>69</v>
      </c>
      <c r="C61" t="s">
        <v>208</v>
      </c>
      <c r="D61" t="s">
        <v>109</v>
      </c>
      <c r="E61" s="52">
        <v>1.3563955105100001E-2</v>
      </c>
      <c r="F61" s="52">
        <v>1.1330529709800001E-2</v>
      </c>
    </row>
    <row r="62" spans="2:6" x14ac:dyDescent="0.45">
      <c r="B62">
        <v>70</v>
      </c>
      <c r="C62" t="s">
        <v>209</v>
      </c>
      <c r="D62" t="s">
        <v>109</v>
      </c>
      <c r="E62">
        <v>0.16495387210699999</v>
      </c>
      <c r="F62" s="52">
        <v>1.12206895961E-2</v>
      </c>
    </row>
    <row r="63" spans="2:6" x14ac:dyDescent="0.45">
      <c r="B63">
        <v>71</v>
      </c>
      <c r="C63" t="s">
        <v>210</v>
      </c>
      <c r="D63" t="s">
        <v>109</v>
      </c>
      <c r="E63">
        <v>-1.2851468616399999</v>
      </c>
      <c r="F63">
        <v>0.133851118874</v>
      </c>
    </row>
    <row r="64" spans="2:6" x14ac:dyDescent="0.45">
      <c r="B64">
        <v>72</v>
      </c>
      <c r="C64" t="s">
        <v>211</v>
      </c>
      <c r="D64" t="s">
        <v>109</v>
      </c>
      <c r="E64">
        <v>-0.473472396189</v>
      </c>
      <c r="F64">
        <v>0.18373979583</v>
      </c>
    </row>
    <row r="65" spans="2:6" x14ac:dyDescent="0.45">
      <c r="B65">
        <v>73</v>
      </c>
      <c r="C65" t="s">
        <v>212</v>
      </c>
      <c r="D65" t="s">
        <v>109</v>
      </c>
      <c r="E65">
        <v>-0.81108460731200005</v>
      </c>
      <c r="F65">
        <v>0.35691249158299998</v>
      </c>
    </row>
    <row r="66" spans="2:6" x14ac:dyDescent="0.45">
      <c r="B66">
        <v>81</v>
      </c>
      <c r="C66" t="s">
        <v>213</v>
      </c>
      <c r="D66" t="s">
        <v>109</v>
      </c>
      <c r="E66">
        <v>2.0980899153400001</v>
      </c>
      <c r="F66">
        <v>0.242856799451</v>
      </c>
    </row>
    <row r="67" spans="2:6" x14ac:dyDescent="0.45">
      <c r="B67">
        <v>82</v>
      </c>
      <c r="C67" t="s">
        <v>214</v>
      </c>
      <c r="D67" t="s">
        <v>107</v>
      </c>
      <c r="E67">
        <v>5</v>
      </c>
      <c r="F67">
        <v>0</v>
      </c>
    </row>
    <row r="68" spans="2:6" x14ac:dyDescent="0.45">
      <c r="B68">
        <v>83</v>
      </c>
      <c r="C68" t="s">
        <v>215</v>
      </c>
      <c r="D68" t="s">
        <v>109</v>
      </c>
      <c r="E68">
        <v>-0.64054936577699995</v>
      </c>
      <c r="F68">
        <v>0.110855147249</v>
      </c>
    </row>
    <row r="69" spans="2:6" x14ac:dyDescent="0.4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4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4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4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45">
      <c r="B73">
        <v>89</v>
      </c>
      <c r="C73" t="s">
        <v>216</v>
      </c>
      <c r="D73" t="s">
        <v>109</v>
      </c>
      <c r="E73">
        <v>-2.9770165213499999</v>
      </c>
      <c r="F73">
        <v>0.93438368094400004</v>
      </c>
    </row>
    <row r="74" spans="2:6" x14ac:dyDescent="0.4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4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45">
      <c r="B76">
        <v>93</v>
      </c>
      <c r="C76" t="s">
        <v>158</v>
      </c>
      <c r="D76" t="s">
        <v>109</v>
      </c>
      <c r="E76">
        <v>-0.240163130498</v>
      </c>
      <c r="F76" s="52">
        <v>2.6404795602699999E-2</v>
      </c>
    </row>
    <row r="77" spans="2:6" x14ac:dyDescent="0.45">
      <c r="B77">
        <v>94</v>
      </c>
      <c r="C77" t="s">
        <v>159</v>
      </c>
      <c r="D77" t="s">
        <v>109</v>
      </c>
      <c r="E77">
        <v>-0.24977007544900001</v>
      </c>
      <c r="F77" s="52">
        <v>2.6664374720300001E-2</v>
      </c>
    </row>
    <row r="78" spans="2:6" x14ac:dyDescent="0.4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45">
      <c r="B79">
        <v>96</v>
      </c>
      <c r="C79" t="s">
        <v>161</v>
      </c>
      <c r="D79" t="s">
        <v>109</v>
      </c>
      <c r="E79" s="52">
        <v>1.9500749384399999E-2</v>
      </c>
      <c r="F79">
        <v>8.5688875581000001</v>
      </c>
    </row>
    <row r="80" spans="2:6" x14ac:dyDescent="0.4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45">
      <c r="B81">
        <v>98</v>
      </c>
      <c r="C81" t="s">
        <v>217</v>
      </c>
      <c r="D81" t="s">
        <v>109</v>
      </c>
      <c r="E81">
        <v>-23.747958025900001</v>
      </c>
      <c r="F81">
        <v>4.7914242846299997</v>
      </c>
    </row>
    <row r="82" spans="2:11" x14ac:dyDescent="0.4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4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45">
      <c r="B84">
        <v>124</v>
      </c>
      <c r="C84" t="s">
        <v>165</v>
      </c>
      <c r="D84" t="s">
        <v>109</v>
      </c>
      <c r="E84">
        <v>-0.12591233227500001</v>
      </c>
      <c r="F84" s="52">
        <v>7.3422333463599998E-2</v>
      </c>
    </row>
    <row r="85" spans="2:11" x14ac:dyDescent="0.45">
      <c r="B85">
        <v>-1</v>
      </c>
    </row>
    <row r="86" spans="2:11" x14ac:dyDescent="0.45">
      <c r="B86">
        <v>3328</v>
      </c>
      <c r="C86" s="52">
        <v>-17879.5405025</v>
      </c>
      <c r="D86" s="52">
        <v>-23288.8047677</v>
      </c>
      <c r="E86" s="52">
        <v>-17489.511809200001</v>
      </c>
    </row>
    <row r="87" spans="2:11" x14ac:dyDescent="0.45">
      <c r="B87">
        <v>17</v>
      </c>
      <c r="C87" t="s">
        <v>218</v>
      </c>
      <c r="D87" t="s">
        <v>104</v>
      </c>
      <c r="E87">
        <v>7</v>
      </c>
      <c r="F87" t="s">
        <v>199</v>
      </c>
      <c r="G87">
        <v>12</v>
      </c>
    </row>
    <row r="88" spans="2:11" x14ac:dyDescent="0.4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4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4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4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4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4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4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4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4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4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4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4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4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4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4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4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4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4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4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4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4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4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4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4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4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4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4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4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4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4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4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4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4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4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4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4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4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4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4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4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4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4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4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4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4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4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4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4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4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4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4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4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4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4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4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4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4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4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4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4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4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4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4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4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4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4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4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4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4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4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4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4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4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4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4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4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4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4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4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4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4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4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4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4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4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4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4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4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4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4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4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4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4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4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4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4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4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4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4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4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4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4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4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4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4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4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4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4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4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4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4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4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4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4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4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4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4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4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4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4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4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4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4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4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4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4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4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4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4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4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4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4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4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4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4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4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4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4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4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4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4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4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4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4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4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4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4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4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4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4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4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4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4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4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4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4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4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4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4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4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4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4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4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4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4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4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4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4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4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4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4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4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4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4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4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4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4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4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4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4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4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4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4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4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4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4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4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4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4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4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4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4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4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4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4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4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4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4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4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4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4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4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4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4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4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4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4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4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4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4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4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4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4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4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4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4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4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4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4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4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4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4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4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4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4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4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45">
      <c r="B358">
        <v>-3542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L186"/>
  <sheetViews>
    <sheetView workbookViewId="0">
      <selection activeCell="A8" sqref="A8:J63"/>
    </sheetView>
  </sheetViews>
  <sheetFormatPr defaultRowHeight="14.25" x14ac:dyDescent="0.45"/>
  <sheetData>
    <row r="1" spans="1:11" x14ac:dyDescent="0.45">
      <c r="A1" s="42" t="s">
        <v>92</v>
      </c>
      <c r="B1" s="43"/>
      <c r="C1" s="43"/>
      <c r="D1" s="43"/>
      <c r="E1" s="43"/>
      <c r="F1" s="43"/>
      <c r="G1" s="43"/>
      <c r="H1" s="43" t="s">
        <v>93</v>
      </c>
      <c r="I1" s="43"/>
      <c r="J1" s="43"/>
      <c r="K1" s="44"/>
    </row>
    <row r="2" spans="1:11" x14ac:dyDescent="0.45">
      <c r="A2" s="45">
        <v>1</v>
      </c>
      <c r="B2" s="46" t="s">
        <v>222</v>
      </c>
      <c r="C2" s="46"/>
      <c r="D2" s="46"/>
      <c r="E2" s="46"/>
      <c r="F2" s="46"/>
      <c r="G2" s="46"/>
      <c r="H2" s="46"/>
      <c r="I2" s="46"/>
      <c r="J2" s="46"/>
      <c r="K2" s="47"/>
    </row>
    <row r="3" spans="1:11" x14ac:dyDescent="0.45">
      <c r="A3" s="45">
        <v>2</v>
      </c>
      <c r="B3" s="46" t="s">
        <v>94</v>
      </c>
      <c r="C3" s="46"/>
      <c r="D3" s="46"/>
      <c r="E3" s="46"/>
      <c r="F3" s="46"/>
      <c r="G3" s="46"/>
      <c r="H3" s="46"/>
      <c r="I3" s="46"/>
      <c r="J3" s="46"/>
      <c r="K3" s="47"/>
    </row>
    <row r="4" spans="1:11" x14ac:dyDescent="0.45">
      <c r="A4" s="45">
        <v>3</v>
      </c>
      <c r="B4" s="46" t="s">
        <v>95</v>
      </c>
      <c r="C4" s="46"/>
      <c r="D4" s="46"/>
      <c r="E4" s="46"/>
      <c r="F4" s="46"/>
      <c r="G4" s="46"/>
      <c r="H4" s="46"/>
      <c r="I4" s="46"/>
      <c r="J4" s="46"/>
      <c r="K4" s="47"/>
    </row>
    <row r="5" spans="1:11" x14ac:dyDescent="0.45">
      <c r="A5" s="45">
        <v>4</v>
      </c>
      <c r="B5" s="46" t="s">
        <v>96</v>
      </c>
      <c r="C5" s="46"/>
      <c r="D5" s="46"/>
      <c r="E5" s="46"/>
      <c r="F5" s="46"/>
      <c r="G5" s="46"/>
      <c r="H5" s="46"/>
      <c r="I5" s="46"/>
      <c r="J5" s="46"/>
      <c r="K5" s="47"/>
    </row>
    <row r="6" spans="1:11" x14ac:dyDescent="0.45">
      <c r="A6" s="48"/>
      <c r="B6" s="49"/>
      <c r="C6" s="49"/>
      <c r="D6" s="49"/>
      <c r="E6" s="49"/>
      <c r="F6" s="49"/>
      <c r="G6" s="49"/>
      <c r="H6" s="49"/>
      <c r="I6" s="49"/>
      <c r="J6" s="49"/>
      <c r="K6" s="50"/>
    </row>
    <row r="8" spans="1:11" x14ac:dyDescent="0.45">
      <c r="A8" t="s">
        <v>97</v>
      </c>
      <c r="B8" t="s">
        <v>176</v>
      </c>
      <c r="C8" t="s">
        <v>177</v>
      </c>
    </row>
    <row r="9" spans="1:11" x14ac:dyDescent="0.4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1">
        <v>0.64906249999999999</v>
      </c>
      <c r="G9" t="s">
        <v>104</v>
      </c>
      <c r="H9">
        <v>7</v>
      </c>
      <c r="I9" t="s">
        <v>199</v>
      </c>
      <c r="J9">
        <v>12</v>
      </c>
    </row>
    <row r="10" spans="1:11" x14ac:dyDescent="0.45">
      <c r="A10" t="s">
        <v>105</v>
      </c>
    </row>
    <row r="11" spans="1:11" x14ac:dyDescent="0.4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45">
      <c r="B12">
        <v>12</v>
      </c>
      <c r="C12" t="s">
        <v>108</v>
      </c>
      <c r="D12" t="s">
        <v>107</v>
      </c>
      <c r="E12">
        <v>-5</v>
      </c>
    </row>
    <row r="13" spans="1:11" x14ac:dyDescent="0.45">
      <c r="B13">
        <v>13</v>
      </c>
      <c r="C13" t="s">
        <v>110</v>
      </c>
      <c r="D13" t="s">
        <v>109</v>
      </c>
      <c r="E13">
        <v>-0.27489999999999998</v>
      </c>
      <c r="F13" s="52"/>
    </row>
    <row r="14" spans="1:11" x14ac:dyDescent="0.45">
      <c r="B14">
        <v>14</v>
      </c>
      <c r="C14" t="s">
        <v>111</v>
      </c>
      <c r="D14" t="s">
        <v>107</v>
      </c>
      <c r="E14">
        <v>0</v>
      </c>
    </row>
    <row r="15" spans="1:11" x14ac:dyDescent="0.45">
      <c r="B15">
        <v>15</v>
      </c>
      <c r="C15" t="s">
        <v>112</v>
      </c>
      <c r="D15" t="s">
        <v>109</v>
      </c>
      <c r="E15">
        <v>-0.4405</v>
      </c>
      <c r="F15" s="52"/>
    </row>
    <row r="16" spans="1:11" x14ac:dyDescent="0.45">
      <c r="B16">
        <v>16</v>
      </c>
      <c r="C16" t="s">
        <v>113</v>
      </c>
      <c r="D16" t="s">
        <v>109</v>
      </c>
      <c r="E16">
        <v>-0.1867</v>
      </c>
      <c r="F16" s="52"/>
    </row>
    <row r="17" spans="2:6" x14ac:dyDescent="0.45">
      <c r="B17">
        <v>17</v>
      </c>
      <c r="C17" t="s">
        <v>114</v>
      </c>
      <c r="D17" t="s">
        <v>109</v>
      </c>
      <c r="E17">
        <v>-1.6032</v>
      </c>
    </row>
    <row r="18" spans="2:6" x14ac:dyDescent="0.4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4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45">
      <c r="B20">
        <v>20</v>
      </c>
      <c r="C20" t="s">
        <v>117</v>
      </c>
      <c r="D20" t="s">
        <v>107</v>
      </c>
      <c r="E20">
        <v>-10</v>
      </c>
    </row>
    <row r="21" spans="2:6" x14ac:dyDescent="0.4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45">
      <c r="B22">
        <v>22</v>
      </c>
      <c r="C22" t="s">
        <v>119</v>
      </c>
      <c r="D22" t="s">
        <v>109</v>
      </c>
      <c r="E22" s="52">
        <v>0.43574099999999999</v>
      </c>
    </row>
    <row r="23" spans="2:6" x14ac:dyDescent="0.45">
      <c r="B23">
        <v>23</v>
      </c>
      <c r="C23" t="s">
        <v>120</v>
      </c>
      <c r="D23" t="s">
        <v>109</v>
      </c>
      <c r="E23">
        <v>0.84860599999999997</v>
      </c>
    </row>
    <row r="24" spans="2:6" x14ac:dyDescent="0.45">
      <c r="B24">
        <v>24</v>
      </c>
      <c r="C24" t="s">
        <v>121</v>
      </c>
      <c r="D24" t="s">
        <v>109</v>
      </c>
      <c r="E24">
        <v>0.78815900000000005</v>
      </c>
    </row>
    <row r="25" spans="2:6" x14ac:dyDescent="0.45">
      <c r="B25">
        <v>25</v>
      </c>
      <c r="C25" t="s">
        <v>122</v>
      </c>
      <c r="D25" t="s">
        <v>107</v>
      </c>
      <c r="E25">
        <v>0</v>
      </c>
    </row>
    <row r="26" spans="2:6" x14ac:dyDescent="0.45">
      <c r="B26">
        <v>26</v>
      </c>
      <c r="C26" t="s">
        <v>123</v>
      </c>
      <c r="D26" t="s">
        <v>109</v>
      </c>
      <c r="E26" s="52">
        <v>6.5059000000000006E-2</v>
      </c>
      <c r="F26" s="52"/>
    </row>
    <row r="27" spans="2:6" x14ac:dyDescent="0.45">
      <c r="B27">
        <v>27</v>
      </c>
      <c r="C27" t="s">
        <v>124</v>
      </c>
      <c r="D27" t="s">
        <v>109</v>
      </c>
      <c r="E27">
        <v>-9.9504999999999996E-2</v>
      </c>
    </row>
    <row r="28" spans="2:6" x14ac:dyDescent="0.45">
      <c r="B28">
        <v>28</v>
      </c>
      <c r="C28" t="s">
        <v>125</v>
      </c>
      <c r="D28" t="s">
        <v>109</v>
      </c>
      <c r="E28">
        <v>-8.7779999999999993E-3</v>
      </c>
    </row>
    <row r="29" spans="2:6" x14ac:dyDescent="0.45">
      <c r="B29">
        <v>29</v>
      </c>
      <c r="C29" t="s">
        <v>126</v>
      </c>
      <c r="D29" t="s">
        <v>109</v>
      </c>
      <c r="E29">
        <v>-1.58053</v>
      </c>
    </row>
    <row r="30" spans="2:6" x14ac:dyDescent="0.45">
      <c r="B30">
        <v>30</v>
      </c>
      <c r="C30" t="s">
        <v>127</v>
      </c>
      <c r="D30" t="s">
        <v>107</v>
      </c>
      <c r="E30">
        <v>-10</v>
      </c>
    </row>
    <row r="31" spans="2:6" x14ac:dyDescent="0.45">
      <c r="B31">
        <v>31</v>
      </c>
      <c r="C31" t="s">
        <v>178</v>
      </c>
      <c r="D31" t="s">
        <v>109</v>
      </c>
      <c r="E31">
        <v>1.9112849999999999</v>
      </c>
    </row>
    <row r="32" spans="2:6" x14ac:dyDescent="0.45">
      <c r="B32">
        <v>32</v>
      </c>
      <c r="C32" t="s">
        <v>179</v>
      </c>
      <c r="D32" t="s">
        <v>109</v>
      </c>
      <c r="E32">
        <v>1.531911</v>
      </c>
    </row>
    <row r="33" spans="2:6" x14ac:dyDescent="0.45">
      <c r="B33">
        <v>33</v>
      </c>
      <c r="C33" t="s">
        <v>180</v>
      </c>
      <c r="D33" t="s">
        <v>107</v>
      </c>
      <c r="E33">
        <v>0</v>
      </c>
    </row>
    <row r="34" spans="2:6" x14ac:dyDescent="0.45">
      <c r="B34">
        <v>34</v>
      </c>
      <c r="C34" t="s">
        <v>129</v>
      </c>
      <c r="D34" t="s">
        <v>109</v>
      </c>
      <c r="E34">
        <v>-2.3162820000000002</v>
      </c>
    </row>
    <row r="35" spans="2:6" x14ac:dyDescent="0.45">
      <c r="B35">
        <v>35</v>
      </c>
      <c r="C35" t="s">
        <v>130</v>
      </c>
      <c r="D35" t="s">
        <v>107</v>
      </c>
      <c r="E35">
        <v>-5</v>
      </c>
    </row>
    <row r="36" spans="2:6" x14ac:dyDescent="0.45">
      <c r="B36">
        <v>36</v>
      </c>
      <c r="C36" t="s">
        <v>131</v>
      </c>
      <c r="D36" t="s">
        <v>107</v>
      </c>
      <c r="E36">
        <v>-5</v>
      </c>
    </row>
    <row r="37" spans="2:6" x14ac:dyDescent="0.45">
      <c r="B37">
        <v>37</v>
      </c>
      <c r="C37" t="s">
        <v>181</v>
      </c>
      <c r="D37" t="s">
        <v>109</v>
      </c>
      <c r="E37" s="52">
        <v>5.1999999999999998E-2</v>
      </c>
    </row>
    <row r="38" spans="2:6" x14ac:dyDescent="0.45">
      <c r="B38">
        <v>38</v>
      </c>
      <c r="C38" t="s">
        <v>135</v>
      </c>
      <c r="D38" t="s">
        <v>107</v>
      </c>
      <c r="E38">
        <v>-10</v>
      </c>
    </row>
    <row r="39" spans="2:6" x14ac:dyDescent="0.45">
      <c r="B39">
        <v>39</v>
      </c>
      <c r="C39" t="s">
        <v>136</v>
      </c>
      <c r="D39" t="s">
        <v>107</v>
      </c>
      <c r="E39">
        <v>-10</v>
      </c>
    </row>
    <row r="40" spans="2:6" x14ac:dyDescent="0.45">
      <c r="B40">
        <v>41</v>
      </c>
      <c r="C40" t="s">
        <v>138</v>
      </c>
      <c r="D40" t="s">
        <v>109</v>
      </c>
      <c r="E40" s="52">
        <v>2.5999999999999999E-3</v>
      </c>
      <c r="F40" s="52"/>
    </row>
    <row r="41" spans="2:6" x14ac:dyDescent="0.45">
      <c r="B41">
        <v>42</v>
      </c>
      <c r="C41" t="s">
        <v>139</v>
      </c>
      <c r="D41" t="s">
        <v>109</v>
      </c>
      <c r="E41" s="52">
        <v>0.12809999999999999</v>
      </c>
      <c r="F41" s="52"/>
    </row>
    <row r="42" spans="2:6" x14ac:dyDescent="0.45">
      <c r="B42">
        <v>85</v>
      </c>
      <c r="C42" t="s">
        <v>152</v>
      </c>
      <c r="D42" t="s">
        <v>107</v>
      </c>
      <c r="E42" s="52">
        <v>0.25</v>
      </c>
      <c r="F42" s="52"/>
    </row>
    <row r="43" spans="2:6" x14ac:dyDescent="0.45">
      <c r="B43">
        <v>86</v>
      </c>
      <c r="C43" t="s">
        <v>153</v>
      </c>
      <c r="D43" t="s">
        <v>107</v>
      </c>
      <c r="E43">
        <v>0.25</v>
      </c>
      <c r="F43" s="52"/>
    </row>
    <row r="44" spans="2:6" x14ac:dyDescent="0.45">
      <c r="B44">
        <v>87</v>
      </c>
      <c r="C44" t="s">
        <v>154</v>
      </c>
      <c r="D44" t="s">
        <v>107</v>
      </c>
      <c r="E44" s="52">
        <v>0.25</v>
      </c>
      <c r="F44" s="52"/>
    </row>
    <row r="45" spans="2:6" x14ac:dyDescent="0.45">
      <c r="B45">
        <v>88</v>
      </c>
      <c r="C45" t="s">
        <v>155</v>
      </c>
      <c r="D45" t="s">
        <v>107</v>
      </c>
      <c r="E45">
        <v>0.25</v>
      </c>
      <c r="F45" s="52"/>
    </row>
    <row r="46" spans="2:6" x14ac:dyDescent="0.45">
      <c r="B46">
        <v>91</v>
      </c>
      <c r="C46" t="s">
        <v>182</v>
      </c>
      <c r="D46" t="s">
        <v>109</v>
      </c>
      <c r="E46" s="52">
        <v>2</v>
      </c>
      <c r="F46" s="52"/>
    </row>
    <row r="47" spans="2:6" x14ac:dyDescent="0.45">
      <c r="B47">
        <v>92</v>
      </c>
      <c r="C47" t="s">
        <v>183</v>
      </c>
      <c r="D47" t="s">
        <v>109</v>
      </c>
      <c r="E47">
        <v>2.0366</v>
      </c>
      <c r="F47" s="52"/>
    </row>
    <row r="48" spans="2:6" x14ac:dyDescent="0.45">
      <c r="B48">
        <v>93</v>
      </c>
      <c r="C48" t="s">
        <v>158</v>
      </c>
      <c r="D48" t="s">
        <v>109</v>
      </c>
      <c r="E48" s="52">
        <v>0.16059999999999999</v>
      </c>
      <c r="F48" s="52"/>
    </row>
    <row r="49" spans="2:11" x14ac:dyDescent="0.45">
      <c r="B49">
        <v>94</v>
      </c>
      <c r="C49" t="s">
        <v>159</v>
      </c>
      <c r="D49" t="s">
        <v>109</v>
      </c>
      <c r="E49" s="52">
        <v>6.6500000000000004E-2</v>
      </c>
      <c r="F49" s="52"/>
    </row>
    <row r="50" spans="2:11" x14ac:dyDescent="0.45">
      <c r="B50">
        <v>124</v>
      </c>
      <c r="C50" t="s">
        <v>165</v>
      </c>
      <c r="D50" t="s">
        <v>109</v>
      </c>
      <c r="E50" s="52">
        <v>0.622</v>
      </c>
      <c r="F50" s="52"/>
    </row>
    <row r="51" spans="2:11" x14ac:dyDescent="0.45">
      <c r="B51">
        <v>145</v>
      </c>
      <c r="C51" t="s">
        <v>184</v>
      </c>
      <c r="D51" t="s">
        <v>109</v>
      </c>
      <c r="E51" s="52">
        <v>0.18190000000000001</v>
      </c>
      <c r="F51" s="52"/>
    </row>
    <row r="52" spans="2:11" x14ac:dyDescent="0.45">
      <c r="B52">
        <v>146</v>
      </c>
      <c r="C52" t="s">
        <v>185</v>
      </c>
      <c r="D52" t="s">
        <v>109</v>
      </c>
      <c r="E52" s="52">
        <v>-1.9103000000000001</v>
      </c>
      <c r="F52" s="52"/>
    </row>
    <row r="53" spans="2:11" x14ac:dyDescent="0.45">
      <c r="B53">
        <v>147</v>
      </c>
      <c r="C53" t="s">
        <v>186</v>
      </c>
      <c r="D53" t="s">
        <v>109</v>
      </c>
      <c r="E53" s="52">
        <v>5.8099999999999999E-2</v>
      </c>
      <c r="F53" s="52"/>
    </row>
    <row r="54" spans="2:11" x14ac:dyDescent="0.45">
      <c r="B54">
        <v>148</v>
      </c>
      <c r="C54" t="s">
        <v>187</v>
      </c>
      <c r="D54" t="s">
        <v>109</v>
      </c>
      <c r="E54" s="52">
        <v>-0.88929999999999998</v>
      </c>
      <c r="F54" s="52"/>
    </row>
    <row r="55" spans="2:11" x14ac:dyDescent="0.45">
      <c r="B55">
        <v>149</v>
      </c>
      <c r="C55" t="s">
        <v>188</v>
      </c>
      <c r="D55" t="s">
        <v>109</v>
      </c>
      <c r="E55" s="52">
        <v>4.7300000000000002E-2</v>
      </c>
      <c r="F55" s="52"/>
    </row>
    <row r="56" spans="2:11" x14ac:dyDescent="0.45">
      <c r="B56">
        <v>150</v>
      </c>
      <c r="C56" t="s">
        <v>189</v>
      </c>
      <c r="D56" t="s">
        <v>109</v>
      </c>
      <c r="E56" s="52">
        <v>-0.35170000000000001</v>
      </c>
      <c r="F56" s="52"/>
    </row>
    <row r="57" spans="2:11" x14ac:dyDescent="0.45">
      <c r="B57">
        <v>151</v>
      </c>
      <c r="C57" t="s">
        <v>190</v>
      </c>
      <c r="D57" t="s">
        <v>109</v>
      </c>
      <c r="E57">
        <v>0.15</v>
      </c>
      <c r="F57" s="52"/>
    </row>
    <row r="58" spans="2:11" x14ac:dyDescent="0.45">
      <c r="B58">
        <v>152</v>
      </c>
      <c r="C58" t="s">
        <v>191</v>
      </c>
      <c r="D58" t="s">
        <v>109</v>
      </c>
      <c r="E58" s="52">
        <v>-3.7699999999999997E-2</v>
      </c>
    </row>
    <row r="59" spans="2:11" x14ac:dyDescent="0.45">
      <c r="B59">
        <v>153</v>
      </c>
      <c r="C59" t="s">
        <v>192</v>
      </c>
      <c r="D59" t="s">
        <v>109</v>
      </c>
      <c r="E59" s="52">
        <v>1.6199999999999999E-2</v>
      </c>
      <c r="F59" s="52"/>
    </row>
    <row r="60" spans="2:11" x14ac:dyDescent="0.45">
      <c r="B60">
        <v>154</v>
      </c>
      <c r="C60" t="s">
        <v>193</v>
      </c>
      <c r="D60" t="s">
        <v>109</v>
      </c>
      <c r="E60" s="52">
        <v>-0.29959999999999998</v>
      </c>
    </row>
    <row r="61" spans="2:11" x14ac:dyDescent="0.45">
      <c r="B61">
        <v>-1</v>
      </c>
      <c r="F61" s="52"/>
    </row>
    <row r="62" spans="2:11" x14ac:dyDescent="0.45">
      <c r="B62">
        <v>587</v>
      </c>
      <c r="C62" s="52">
        <v>-2207.08016249</v>
      </c>
      <c r="D62" s="52">
        <v>-2901.9892053499998</v>
      </c>
      <c r="E62" s="52">
        <v>1</v>
      </c>
      <c r="F62" s="52"/>
    </row>
    <row r="63" spans="2:11" x14ac:dyDescent="0.45">
      <c r="B63">
        <v>0</v>
      </c>
      <c r="C63" s="76">
        <v>4.8157291666666664</v>
      </c>
      <c r="D63" t="s">
        <v>104</v>
      </c>
      <c r="E63">
        <v>7</v>
      </c>
      <c r="F63" s="52" t="s">
        <v>199</v>
      </c>
      <c r="G63">
        <v>12</v>
      </c>
    </row>
    <row r="64" spans="2:11" x14ac:dyDescent="0.45">
      <c r="B64">
        <v>0</v>
      </c>
      <c r="C64">
        <v>1236</v>
      </c>
      <c r="D64">
        <v>0</v>
      </c>
      <c r="E64" s="52">
        <v>0</v>
      </c>
      <c r="F64" s="52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4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4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45">
      <c r="B67">
        <v>1363</v>
      </c>
      <c r="C67">
        <v>0</v>
      </c>
      <c r="D67">
        <v>14272</v>
      </c>
      <c r="E67" s="52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45">
      <c r="B68">
        <v>0</v>
      </c>
      <c r="C68">
        <v>0</v>
      </c>
      <c r="D68">
        <v>0</v>
      </c>
      <c r="E68">
        <v>0</v>
      </c>
      <c r="F68" s="52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45">
      <c r="B69">
        <v>23506</v>
      </c>
      <c r="C69">
        <v>24171</v>
      </c>
      <c r="D69">
        <v>31432</v>
      </c>
      <c r="E69">
        <v>10391</v>
      </c>
      <c r="F69" s="52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45">
      <c r="B70">
        <v>36979</v>
      </c>
      <c r="C70">
        <v>40374</v>
      </c>
      <c r="D70">
        <v>54882</v>
      </c>
      <c r="E70" s="52">
        <v>18528</v>
      </c>
      <c r="F70" s="52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45">
      <c r="B71">
        <v>-722</v>
      </c>
      <c r="C71">
        <v>248</v>
      </c>
      <c r="D71">
        <v>11445</v>
      </c>
      <c r="E71" s="52">
        <v>44121</v>
      </c>
      <c r="F71" s="52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45">
      <c r="B72">
        <v>788</v>
      </c>
      <c r="C72">
        <v>0</v>
      </c>
      <c r="D72">
        <v>-863</v>
      </c>
      <c r="E72" s="52">
        <v>-1863</v>
      </c>
      <c r="F72" s="52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4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45">
      <c r="B74">
        <v>0</v>
      </c>
      <c r="C74" s="52">
        <v>0</v>
      </c>
      <c r="D74" s="52">
        <v>0</v>
      </c>
      <c r="E74" s="52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4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4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4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4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4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4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4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4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4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4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4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4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4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4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4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4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4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4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4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4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4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4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4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4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4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4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4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4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4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4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4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4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4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4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4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4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4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4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4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4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4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4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4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4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4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4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4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4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4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4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4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4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4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4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4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4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4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4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4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4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4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4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4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4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B050"/>
  </sheetPr>
  <dimension ref="B1:V76"/>
  <sheetViews>
    <sheetView topLeftCell="A16" workbookViewId="0" zoomScaleNormal="100">
      <selection activeCell="J19" sqref="J19"/>
    </sheetView>
  </sheetViews>
  <sheetFormatPr defaultRowHeight="14.25" x14ac:dyDescent="0.45"/>
  <cols>
    <col min="2" max="2" customWidth="true" width="14.59765625" collapsed="true"/>
    <col min="3" max="3" bestFit="true" customWidth="true" width="11.59765625" collapsed="true"/>
    <col min="7" max="8" customWidth="true" width="7.73046875" collapsed="true"/>
    <col min="9" max="9" bestFit="true" customWidth="true" width="12.73046875" collapsed="true"/>
    <col min="12" max="12" bestFit="true" customWidth="true" width="6.0" collapsed="true"/>
    <col min="13" max="13" customWidth="true" width="9.3984375" collapsed="true"/>
    <col min="14" max="14" customWidth="true" width="12.265625" collapsed="true"/>
    <col min="15" max="15" customWidth="true" width="22.265625" collapsed="true"/>
    <col min="19" max="19" bestFit="true" customWidth="true" width="11.1328125" collapsed="true"/>
    <col min="21" max="21" bestFit="true" customWidth="true" width="11.265625" collapsed="true"/>
  </cols>
  <sheetData>
    <row ht="14.65" r="1" spans="2:21" thickBot="1" x14ac:dyDescent="0.5">
      <c r="B1" s="32" t="s">
        <v>219</v>
      </c>
      <c r="C1" s="1"/>
      <c r="D1" s="1"/>
      <c r="E1" s="1" t="s">
        <v>86</v>
      </c>
      <c r="F1" s="33">
        <v>1</v>
      </c>
      <c r="G1" s="1"/>
      <c r="H1" s="1"/>
      <c r="I1" s="1"/>
      <c r="R1" s="53" t="s">
        <v>234</v>
      </c>
      <c r="S1" s="54"/>
      <c r="T1" s="54"/>
      <c r="U1" s="54"/>
    </row>
    <row ht="14.65" r="2" spans="2:21" thickBot="1" x14ac:dyDescent="0.5">
      <c r="C2" s="79" t="s">
        <v>87</v>
      </c>
      <c r="D2" s="79"/>
      <c r="E2" s="79" t="s">
        <v>83</v>
      </c>
      <c r="F2" s="79"/>
      <c r="G2" s="7"/>
      <c r="H2" s="7"/>
      <c r="I2" s="7"/>
      <c r="L2" s="1"/>
      <c r="M2" s="1"/>
      <c r="N2" s="1"/>
      <c r="O2" s="1"/>
      <c r="R2" s="54"/>
      <c r="S2" s="54"/>
      <c r="T2" s="55" t="s">
        <v>170</v>
      </c>
      <c r="U2" s="55" t="s">
        <v>171</v>
      </c>
    </row>
    <row r="3" spans="2:21" x14ac:dyDescent="0.45">
      <c r="B3" s="27" t="s">
        <v>72</v>
      </c>
      <c r="C3" s="28" t="s">
        <v>48</v>
      </c>
      <c r="D3" s="28" t="s">
        <v>35</v>
      </c>
      <c r="E3" s="28" t="s">
        <v>48</v>
      </c>
      <c r="F3" s="28" t="s">
        <v>35</v>
      </c>
      <c r="G3" s="28" t="s">
        <v>84</v>
      </c>
      <c r="H3" s="28" t="s">
        <v>86</v>
      </c>
      <c r="I3" s="28" t="s">
        <v>85</v>
      </c>
      <c r="L3" s="62" t="s">
        <v>88</v>
      </c>
      <c r="M3" s="62" t="s">
        <v>89</v>
      </c>
      <c r="N3" s="63" t="s">
        <v>91</v>
      </c>
      <c r="O3" s="64" t="s">
        <v>195</v>
      </c>
      <c r="R3" s="60">
        <f>WorkTourTime!B11</f>
        <v>11</v>
      </c>
      <c r="S3" s="60" t="str">
        <f>WorkTourTime!C11</f>
        <v>arr3-5</v>
      </c>
      <c r="T3" s="60">
        <f>VLOOKUP(R3,WorkTourTime!$B$11:$E$84,4,FALSE)</f>
        <v>-2.3394698170399999</v>
      </c>
      <c r="U3" s="61">
        <f>_xlfn.IFNA(VLOOKUP(R3,$L$3:$N$45,3,FALSE),T3)</f>
        <v>-2.2033585560240123</v>
      </c>
    </row>
    <row r="4" spans="2:21" x14ac:dyDescent="0.45">
      <c r="B4" t="s">
        <v>73</v>
      </c>
      <c r="C4" s="24">
        <f>SUM(Departure_Time!B9:B16)</f>
        <v>11287.728181731549</v>
      </c>
      <c r="D4" s="24">
        <f>SUM(Departure_Time!I9:I16)</f>
        <v>9052.5068435668945</v>
      </c>
      <c r="E4" s="25">
        <f>C4/C$14</f>
        <v>1.3832821135514071E-2</v>
      </c>
      <c r="F4" s="25">
        <f>D4/D$14</f>
        <v>1.3241682033438663E-2</v>
      </c>
      <c r="G4" s="5">
        <f>E4/F4</f>
        <v>1.0446422969969094</v>
      </c>
      <c r="H4" s="5">
        <f ref="H4:H13" si="0" t="shared">$F$1</f>
        <v>1</v>
      </c>
      <c r="I4" s="26">
        <f>H4*(LN(G4)-LN($G$8))</f>
        <v>4.6993321134197873E-2</v>
      </c>
      <c r="L4" s="65">
        <v>21</v>
      </c>
      <c r="M4" s="66">
        <f ref="M4:M13" si="1" t="shared">VLOOKUP(L4,$R$3:$U$64,3,FALSE)</f>
        <v>-2.7576260000000001</v>
      </c>
      <c r="N4" s="67">
        <f>I4+M4</f>
        <v>-2.7106326788658022</v>
      </c>
      <c r="O4" s="65" t="str">
        <f>CONCATENATE("Departure ",B4)</f>
        <v>Departure 3-7 am</v>
      </c>
      <c r="R4" s="60">
        <f>WorkTourTime!B12</f>
        <v>12</v>
      </c>
      <c r="S4" s="60" t="str">
        <f>WorkTourTime!C12</f>
        <v>arr=6</v>
      </c>
      <c r="T4" s="60">
        <f>VLOOKUP(R4,WorkTourTime!$B$11:$E$84,4,FALSE)</f>
        <v>-0.67106220384299997</v>
      </c>
      <c r="U4" s="61">
        <f ref="U4:U67" si="2" t="shared">_xlfn.IFNA(VLOOKUP(R4,$L$3:$N$45,3,FALSE),T4)</f>
        <v>-0.55888836072373527</v>
      </c>
    </row>
    <row r="5" spans="2:21" x14ac:dyDescent="0.45">
      <c r="B5" t="s">
        <v>74</v>
      </c>
      <c r="C5" s="24">
        <f>SUM(Departure_Time!B17:B22)</f>
        <v>13310.49839896015</v>
      </c>
      <c r="D5" s="24">
        <f>SUM(Departure_Time!I17:I22)</f>
        <v>13630.525826454163</v>
      </c>
      <c r="E5" s="25">
        <f ref="E5:F14" si="3" t="shared">C5/C$14</f>
        <v>1.6311674113073629E-2</v>
      </c>
      <c r="F5" s="25">
        <f si="3" t="shared"/>
        <v>1.993824385460085E-2</v>
      </c>
      <c r="G5" s="5">
        <f ref="G5:G14" si="4" t="shared">E5/F5</f>
        <v>0.81810987126178758</v>
      </c>
      <c r="H5" s="5">
        <f si="0" t="shared"/>
        <v>1</v>
      </c>
      <c r="I5" s="26">
        <f ref="I5:I13" si="5" t="shared">H5*(LN(G5)-LN($G$8))</f>
        <v>-0.1974398406133859</v>
      </c>
      <c r="L5" s="65">
        <v>22</v>
      </c>
      <c r="M5" s="65">
        <f si="1" t="shared"/>
        <v>-1.6259760000000001</v>
      </c>
      <c r="N5" s="67">
        <f ref="N5:N13" si="6" t="shared">I5+M5</f>
        <v>-1.823415840613386</v>
      </c>
      <c r="O5" s="65" t="str">
        <f ref="O5:O13" si="7" t="shared">CONCATENATE("Departure ",B5)</f>
        <v>Departure 7-10 am</v>
      </c>
      <c r="R5" s="60">
        <f>WorkTourTime!B13</f>
        <v>13</v>
      </c>
      <c r="S5" s="60" t="str">
        <f>WorkTourTime!C13</f>
        <v>arr=7</v>
      </c>
      <c r="T5" s="60">
        <f>VLOOKUP(R5,WorkTourTime!$B$11:$E$84,4,FALSE)</f>
        <v>-1.81869725389E-2</v>
      </c>
      <c r="U5" s="61">
        <f si="2" t="shared"/>
        <v>3.4108259784236789E-2</v>
      </c>
    </row>
    <row r="6" spans="2:21" x14ac:dyDescent="0.45">
      <c r="B6" t="s">
        <v>232</v>
      </c>
      <c r="C6" s="24">
        <f>SUM(Departure_Time!B23:B28)</f>
        <v>62073.037298960189</v>
      </c>
      <c r="D6" s="24">
        <f>SUM(Departure_Time!I23:I28)</f>
        <v>55475.796250343323</v>
      </c>
      <c r="E6" s="25">
        <f si="3" t="shared"/>
        <v>7.606891382131889E-2</v>
      </c>
      <c r="F6" s="25">
        <f si="3" t="shared"/>
        <v>8.114800322088779E-2</v>
      </c>
      <c r="G6" s="5">
        <f si="4" t="shared"/>
        <v>0.93740955786991531</v>
      </c>
      <c r="H6" s="5">
        <f si="0" t="shared"/>
        <v>1</v>
      </c>
      <c r="I6" s="26">
        <f si="5" t="shared"/>
        <v>-6.1316203556912641E-2</v>
      </c>
      <c r="L6" s="65">
        <v>23</v>
      </c>
      <c r="M6" s="65">
        <f si="1" t="shared"/>
        <v>-0.57779599999999998</v>
      </c>
      <c r="N6" s="67">
        <f si="6" t="shared"/>
        <v>-0.63911220355691256</v>
      </c>
      <c r="O6" s="65" t="str">
        <f si="7" t="shared"/>
        <v>Departure 10 am-1 pm</v>
      </c>
      <c r="R6" s="60">
        <f>WorkTourTime!B14</f>
        <v>14</v>
      </c>
      <c r="S6" s="60" t="str">
        <f>WorkTourTime!C14</f>
        <v>arr=8</v>
      </c>
      <c r="T6" s="60">
        <f>VLOOKUP(R6,WorkTourTime!$B$11:$E$84,4,FALSE)</f>
        <v>0</v>
      </c>
      <c r="U6" s="61">
        <f si="2" t="shared"/>
        <v>0</v>
      </c>
    </row>
    <row r="7" spans="2:21" x14ac:dyDescent="0.45">
      <c r="B7" t="s">
        <v>76</v>
      </c>
      <c r="C7" s="24">
        <f>SUM(Departure_Time!B29:B32)</f>
        <v>107242.33524535745</v>
      </c>
      <c r="D7" s="24">
        <f>SUM(Departure_Time!I29:I32)</f>
        <v>99973.900416374207</v>
      </c>
      <c r="E7" s="25">
        <f si="3" t="shared"/>
        <v>0.13142272897789617</v>
      </c>
      <c r="F7" s="25">
        <f si="3" t="shared"/>
        <v>0.14623823255069443</v>
      </c>
      <c r="G7" s="5">
        <f si="4" t="shared"/>
        <v>0.89868925988515092</v>
      </c>
      <c r="H7" s="5">
        <f si="0" t="shared"/>
        <v>1</v>
      </c>
      <c r="I7" s="26">
        <f si="5" t="shared"/>
        <v>-0.10349916127255196</v>
      </c>
      <c r="L7" s="65">
        <v>24</v>
      </c>
      <c r="M7" s="65">
        <f si="1" t="shared"/>
        <v>-0.45795000000000002</v>
      </c>
      <c r="N7" s="67">
        <f si="6" t="shared"/>
        <v>-0.56144916127255196</v>
      </c>
      <c r="O7" s="65" t="str">
        <f si="7" t="shared"/>
        <v>Departure 1-3 pm</v>
      </c>
      <c r="R7" s="60">
        <f>WorkTourTime!B15</f>
        <v>15</v>
      </c>
      <c r="S7" s="60" t="str">
        <f>WorkTourTime!C15</f>
        <v>arr=9</v>
      </c>
      <c r="T7" s="60">
        <f>VLOOKUP(R7,WorkTourTime!$B$11:$E$84,4,FALSE)</f>
        <v>-0.93649924875500001</v>
      </c>
      <c r="U7" s="61">
        <f si="2" t="shared"/>
        <v>-0.97825619905970573</v>
      </c>
    </row>
    <row r="8" spans="2:21" x14ac:dyDescent="0.45">
      <c r="B8" t="s">
        <v>173</v>
      </c>
      <c r="C8" s="24">
        <f>SUM(Departure_Time!B33:B36)</f>
        <v>266250.91785402322</v>
      </c>
      <c r="D8" s="24">
        <f>SUM(Departure_Time!I33:I36)</f>
        <v>223801.18038749695</v>
      </c>
      <c r="E8" s="25">
        <f si="3" t="shared"/>
        <v>0.32628366528189884</v>
      </c>
      <c r="F8" s="25">
        <f si="3" t="shared"/>
        <v>0.32736833239794549</v>
      </c>
      <c r="G8" s="5">
        <f si="4" t="shared"/>
        <v>0.99668670726914377</v>
      </c>
      <c r="H8" s="5">
        <f si="0" t="shared"/>
        <v>1</v>
      </c>
      <c r="I8" s="26">
        <f si="5" t="shared"/>
        <v>0</v>
      </c>
      <c r="L8" s="65">
        <v>25</v>
      </c>
      <c r="M8" s="65">
        <f si="1" t="shared"/>
        <v>0</v>
      </c>
      <c r="N8" s="67">
        <f si="6" t="shared"/>
        <v>0</v>
      </c>
      <c r="O8" s="65" t="str">
        <f si="7" t="shared"/>
        <v>Departure 3-5 pm</v>
      </c>
      <c r="R8" s="60">
        <f>WorkTourTime!B16</f>
        <v>16</v>
      </c>
      <c r="S8" s="60" t="str">
        <f>WorkTourTime!C16</f>
        <v>arr10-12</v>
      </c>
      <c r="T8" s="60">
        <f>VLOOKUP(R8,WorkTourTime!$B$11:$E$84,4,FALSE)</f>
        <v>-1.77743849575</v>
      </c>
      <c r="U8" s="61">
        <f si="2" t="shared"/>
        <v>-1.8069397111503662</v>
      </c>
    </row>
    <row r="9" spans="2:21" x14ac:dyDescent="0.45">
      <c r="B9" t="s">
        <v>77</v>
      </c>
      <c r="C9" s="24">
        <f>SUM(Departure_Time!B37:B38)</f>
        <v>141197.05540622416</v>
      </c>
      <c r="D9" s="24">
        <f>SUM(Departure_Time!I37:I38)</f>
        <v>114485.28011989594</v>
      </c>
      <c r="E9" s="25">
        <f si="3" t="shared"/>
        <v>0.17303336693176402</v>
      </c>
      <c r="F9" s="25">
        <f si="3" t="shared"/>
        <v>0.16746495783476134</v>
      </c>
      <c r="G9" s="5">
        <f si="4" t="shared"/>
        <v>1.0332511897951633</v>
      </c>
      <c r="H9" s="5">
        <f si="0" t="shared"/>
        <v>1</v>
      </c>
      <c r="I9" s="26">
        <f si="5" t="shared"/>
        <v>3.6029119756346185E-2</v>
      </c>
      <c r="L9" s="65">
        <v>26</v>
      </c>
      <c r="M9" s="65">
        <f si="1" t="shared"/>
        <v>-5.4146E-2</v>
      </c>
      <c r="N9" s="67">
        <f si="6" t="shared"/>
        <v>-1.8116880243653814E-2</v>
      </c>
      <c r="O9" s="65" t="str">
        <f si="7" t="shared"/>
        <v>Departure 5-6 pm</v>
      </c>
      <c r="R9" s="60">
        <f>WorkTourTime!B17</f>
        <v>17</v>
      </c>
      <c r="S9" s="60" t="str">
        <f>WorkTourTime!C17</f>
        <v>arr13-15</v>
      </c>
      <c r="T9" s="60">
        <f>VLOOKUP(R9,WorkTourTime!$B$11:$E$84,4,FALSE)</f>
        <v>-1.86737256636</v>
      </c>
      <c r="U9" s="61">
        <f si="2" t="shared"/>
        <v>-1.8993211727461066</v>
      </c>
    </row>
    <row r="10" spans="2:21" x14ac:dyDescent="0.45">
      <c r="B10" t="s">
        <v>78</v>
      </c>
      <c r="C10" s="24">
        <f>SUM(Departure_Time!B39:B40)</f>
        <v>94440.178920451683</v>
      </c>
      <c r="D10" s="24">
        <f>SUM(Departure_Time!I39:I40)</f>
        <v>75239.986647605896</v>
      </c>
      <c r="E10" s="25">
        <f si="3" t="shared"/>
        <v>0.11573401502765061</v>
      </c>
      <c r="F10" s="25">
        <f si="3" t="shared"/>
        <v>0.11005835141630242</v>
      </c>
      <c r="G10" s="5">
        <f si="4" t="shared"/>
        <v>1.0515695859360972</v>
      </c>
      <c r="H10" s="5">
        <f si="0" t="shared"/>
        <v>1</v>
      </c>
      <c r="I10" s="26">
        <f si="5" t="shared"/>
        <v>5.3602685591137789E-2</v>
      </c>
      <c r="L10" s="65">
        <v>27</v>
      </c>
      <c r="M10" s="65">
        <f si="1" t="shared"/>
        <v>-0.85907800000000001</v>
      </c>
      <c r="N10" s="67">
        <f si="6" t="shared"/>
        <v>-0.80547531440886222</v>
      </c>
      <c r="O10" s="65" t="str">
        <f si="7" t="shared"/>
        <v>Departure 6-7 pm</v>
      </c>
      <c r="R10" s="60">
        <f>WorkTourTime!B18</f>
        <v>18</v>
      </c>
      <c r="S10" s="60" t="str">
        <f>WorkTourTime!C18</f>
        <v>arr16-18</v>
      </c>
      <c r="T10" s="60">
        <f>VLOOKUP(R10,WorkTourTime!$B$11:$E$84,4,FALSE)</f>
        <v>-2.26568763106</v>
      </c>
      <c r="U10" s="61">
        <f si="2" t="shared"/>
        <v>-2.4479458805825645</v>
      </c>
    </row>
    <row r="11" spans="2:21" x14ac:dyDescent="0.45">
      <c r="B11" t="s">
        <v>79</v>
      </c>
      <c r="C11" s="24">
        <f>SUM(Departure_Time!B41:B44)</f>
        <v>73211.720966415218</v>
      </c>
      <c r="D11" s="24">
        <f>SUM(Departure_Time!I41:I44)</f>
        <v>56216.587224006653</v>
      </c>
      <c r="E11" s="25">
        <f si="3" t="shared"/>
        <v>8.9719084730496584E-2</v>
      </c>
      <c r="F11" s="25">
        <f si="3" t="shared"/>
        <v>8.2231605663393784E-2</v>
      </c>
      <c r="G11" s="5">
        <f si="4" t="shared"/>
        <v>1.091053543302462</v>
      </c>
      <c r="H11" s="5">
        <f si="0" t="shared"/>
        <v>1</v>
      </c>
      <c r="I11" s="26">
        <f si="5" t="shared"/>
        <v>9.0462576757268293E-2</v>
      </c>
      <c r="L11" s="65">
        <v>28</v>
      </c>
      <c r="M11" s="65">
        <f si="1" t="shared"/>
        <v>-1.93876</v>
      </c>
      <c r="N11" s="67">
        <f si="6" t="shared"/>
        <v>-1.8482974232427318</v>
      </c>
      <c r="O11" s="65" t="str">
        <f si="7" t="shared"/>
        <v>Departure 7-9 pm</v>
      </c>
      <c r="R11" s="60">
        <f>WorkTourTime!B19</f>
        <v>19</v>
      </c>
      <c r="S11" s="60" t="str">
        <f>WorkTourTime!C19</f>
        <v>arr19-21</v>
      </c>
      <c r="T11" s="60">
        <f>VLOOKUP(R11,WorkTourTime!$B$11:$E$84,4,FALSE)</f>
        <v>-3.1613092691400002</v>
      </c>
      <c r="U11" s="61">
        <f si="2" t="shared"/>
        <v>-3.7222850256285369</v>
      </c>
    </row>
    <row r="12" spans="2:21" x14ac:dyDescent="0.45">
      <c r="B12" t="s">
        <v>80</v>
      </c>
      <c r="C12" s="24">
        <f>SUM(Departure_Time!B45:B50)</f>
        <v>34585.237077486476</v>
      </c>
      <c r="D12" s="24">
        <f>SUM(Departure_Time!I45:I50)</f>
        <v>26491.550087928772</v>
      </c>
      <c r="E12" s="25">
        <f si="3" t="shared"/>
        <v>4.2383320250083394E-2</v>
      </c>
      <c r="F12" s="25">
        <f si="3" t="shared"/>
        <v>3.8750888444404261E-2</v>
      </c>
      <c r="G12" s="5">
        <f si="4" t="shared"/>
        <v>1.0937380264426857</v>
      </c>
      <c r="H12" s="5">
        <f si="0" t="shared"/>
        <v>1</v>
      </c>
      <c r="I12" s="26">
        <f si="5" t="shared"/>
        <v>9.2920005217130702E-2</v>
      </c>
      <c r="L12" s="65">
        <v>29</v>
      </c>
      <c r="M12" s="65">
        <f si="1" t="shared"/>
        <v>-1.9554069999999999</v>
      </c>
      <c r="N12" s="67">
        <f si="6" t="shared"/>
        <v>-1.8624869947828693</v>
      </c>
      <c r="O12" s="65" t="str">
        <f si="7" t="shared"/>
        <v>Departure 9-12 pm</v>
      </c>
      <c r="R12" s="60">
        <f>WorkTourTime!B20</f>
        <v>20</v>
      </c>
      <c r="S12" s="60" t="str">
        <f>WorkTourTime!C20</f>
        <v>arr22-26</v>
      </c>
      <c r="T12" s="60">
        <f>VLOOKUP(R12,WorkTourTime!$B$11:$E$84,4,FALSE)</f>
        <v>-4.1209548115799999</v>
      </c>
      <c r="U12" s="61">
        <f si="2" t="shared"/>
        <v>-5.2207336759389289</v>
      </c>
    </row>
    <row r="13" spans="2:21" x14ac:dyDescent="0.45">
      <c r="B13" s="19" t="s">
        <v>81</v>
      </c>
      <c r="C13" s="29">
        <f>SUM(Departure_Time!B51:B57)+Departure_Time!B8</f>
        <v>12411.855028446735</v>
      </c>
      <c r="D13" s="29">
        <f>SUM(Departure_Time!I51:I57)+Departure_Time!I8</f>
        <v>9269.9175319671631</v>
      </c>
      <c r="E13" s="30">
        <f si="3" t="shared"/>
        <v>1.5210409730303855E-2</v>
      </c>
      <c r="F13" s="30">
        <f si="3" t="shared"/>
        <v>1.3559702583570943E-2</v>
      </c>
      <c r="G13" s="18">
        <f si="4" t="shared"/>
        <v>1.121736235478566</v>
      </c>
      <c r="H13" s="5">
        <f si="0" t="shared"/>
        <v>1</v>
      </c>
      <c r="I13" s="26">
        <f si="5" t="shared"/>
        <v>0.11819648905993693</v>
      </c>
      <c r="L13" s="68">
        <v>30</v>
      </c>
      <c r="M13" s="68">
        <f si="1" t="shared"/>
        <v>-3.4381330000000001</v>
      </c>
      <c r="N13" s="69">
        <f si="6" t="shared"/>
        <v>-3.3199365109400634</v>
      </c>
      <c r="O13" s="68" t="str">
        <f si="7" t="shared"/>
        <v>Departure 12-3 am</v>
      </c>
      <c r="R13" s="60">
        <f>WorkTourTime!B21</f>
        <v>21</v>
      </c>
      <c r="S13" s="60" t="str">
        <f>WorkTourTime!C21</f>
        <v>dep3-6</v>
      </c>
      <c r="T13" s="60">
        <f>VLOOKUP(R13,WorkTourTime!$B$11:$E$84,4,FALSE)</f>
        <v>-2.7576260000000001</v>
      </c>
      <c r="U13" s="61">
        <f si="2" t="shared"/>
        <v>-2.7106326788658022</v>
      </c>
    </row>
    <row ht="14.65" r="14" spans="2:21" thickBot="1" x14ac:dyDescent="0.5">
      <c r="B14" s="34" t="s">
        <v>82</v>
      </c>
      <c r="C14" s="35">
        <f>SUM(C4:C13)</f>
        <v>816010.56437805679</v>
      </c>
      <c r="D14" s="35">
        <f>SUM(D4:D13)</f>
        <v>683637.23133563995</v>
      </c>
      <c r="E14" s="36">
        <f si="3" t="shared"/>
        <v>1</v>
      </c>
      <c r="F14" s="36">
        <f si="3" t="shared"/>
        <v>1</v>
      </c>
      <c r="G14" s="37">
        <f si="4" t="shared"/>
        <v>1</v>
      </c>
      <c r="H14" s="37"/>
      <c r="I14" s="38"/>
      <c r="R14" s="60">
        <f>WorkTourTime!B22</f>
        <v>22</v>
      </c>
      <c r="S14" s="60" t="str">
        <f>WorkTourTime!C22</f>
        <v>dep7-9</v>
      </c>
      <c r="T14" s="60">
        <f>VLOOKUP(R14,WorkTourTime!$B$11:$E$84,4,FALSE)</f>
        <v>-1.6259760000000001</v>
      </c>
      <c r="U14" s="61">
        <f si="2" t="shared"/>
        <v>-1.823415840613386</v>
      </c>
    </row>
    <row r="15" spans="2:21" x14ac:dyDescent="0.45">
      <c r="R15" s="60">
        <f>WorkTourTime!B23</f>
        <v>23</v>
      </c>
      <c r="S15" s="60" t="str">
        <f>WorkTourTime!C23</f>
        <v>dep10-12</v>
      </c>
      <c r="T15" s="60">
        <f>VLOOKUP(R15,WorkTourTime!$B$11:$E$84,4,FALSE)</f>
        <v>-0.57779599999999998</v>
      </c>
      <c r="U15" s="61">
        <f si="2" t="shared"/>
        <v>-0.63911220355691256</v>
      </c>
    </row>
    <row r="16" spans="2:21" x14ac:dyDescent="0.45">
      <c r="R16" s="60">
        <f>WorkTourTime!B24</f>
        <v>24</v>
      </c>
      <c r="S16" s="60" t="str">
        <f>WorkTourTime!C24</f>
        <v>dep13-14</v>
      </c>
      <c r="T16" s="60">
        <f>VLOOKUP(R16,WorkTourTime!$B$11:$E$84,4,FALSE)</f>
        <v>-0.45795000000000002</v>
      </c>
      <c r="U16" s="61">
        <f si="2" t="shared"/>
        <v>-0.56144916127255196</v>
      </c>
    </row>
    <row ht="14.65" r="17" spans="2:21" thickBot="1" x14ac:dyDescent="0.5">
      <c r="B17" s="32" t="s">
        <v>233</v>
      </c>
      <c r="C17" s="1"/>
      <c r="D17" s="1"/>
      <c r="E17" s="1" t="s">
        <v>86</v>
      </c>
      <c r="F17" s="33">
        <v>1</v>
      </c>
      <c r="G17" s="1"/>
      <c r="H17" s="1"/>
      <c r="I17" s="1"/>
      <c r="R17" s="60">
        <f>WorkTourTime!B25</f>
        <v>25</v>
      </c>
      <c r="S17" s="60" t="str">
        <f>WorkTourTime!C25</f>
        <v>dep=16</v>
      </c>
      <c r="T17" s="60">
        <f>VLOOKUP(R17,WorkTourTime!$B$11:$E$84,4,FALSE)</f>
        <v>0</v>
      </c>
      <c r="U17" s="61">
        <f si="2" t="shared"/>
        <v>0</v>
      </c>
    </row>
    <row ht="14.65" r="18" spans="2:21" thickBot="1" x14ac:dyDescent="0.5">
      <c r="C18" s="79" t="s">
        <v>87</v>
      </c>
      <c r="D18" s="79"/>
      <c r="E18" s="79" t="s">
        <v>83</v>
      </c>
      <c r="F18" s="79"/>
      <c r="G18" s="7"/>
      <c r="H18" s="7"/>
      <c r="I18" s="7"/>
      <c r="L18" s="1"/>
      <c r="M18" s="1"/>
      <c r="N18" s="1"/>
      <c r="O18" s="1"/>
      <c r="R18" s="60">
        <f>WorkTourTime!B26</f>
        <v>26</v>
      </c>
      <c r="S18" s="60" t="str">
        <f>WorkTourTime!C26</f>
        <v>dep=17</v>
      </c>
      <c r="T18" s="60">
        <f>VLOOKUP(R18,WorkTourTime!$B$11:$E$84,4,FALSE)</f>
        <v>-5.4146E-2</v>
      </c>
      <c r="U18" s="61">
        <f si="2" t="shared"/>
        <v>-1.8116880243653814E-2</v>
      </c>
    </row>
    <row r="19" spans="2:21" x14ac:dyDescent="0.45">
      <c r="B19" s="27" t="s">
        <v>72</v>
      </c>
      <c r="C19" s="28" t="s">
        <v>48</v>
      </c>
      <c r="D19" s="28" t="s">
        <v>35</v>
      </c>
      <c r="E19" s="28" t="s">
        <v>48</v>
      </c>
      <c r="F19" s="28" t="s">
        <v>35</v>
      </c>
      <c r="G19" s="28" t="s">
        <v>84</v>
      </c>
      <c r="H19" s="28" t="s">
        <v>86</v>
      </c>
      <c r="I19" s="59" t="s">
        <v>85</v>
      </c>
      <c r="L19" s="62" t="s">
        <v>88</v>
      </c>
      <c r="M19" s="62" t="s">
        <v>89</v>
      </c>
      <c r="N19" s="63" t="s">
        <v>91</v>
      </c>
      <c r="O19" s="64" t="s">
        <v>195</v>
      </c>
      <c r="R19" s="60">
        <f>WorkTourTime!B27</f>
        <v>27</v>
      </c>
      <c r="S19" s="60" t="str">
        <f>WorkTourTime!C27</f>
        <v>dep=18</v>
      </c>
      <c r="T19" s="60">
        <f>VLOOKUP(R19,WorkTourTime!$B$11:$E$84,4,FALSE)</f>
        <v>-0.85907800000000001</v>
      </c>
      <c r="U19" s="61">
        <f si="2" t="shared"/>
        <v>-0.80547531440886222</v>
      </c>
    </row>
    <row r="20" spans="2:21" x14ac:dyDescent="0.45">
      <c r="B20" t="s">
        <v>224</v>
      </c>
      <c r="C20" s="24">
        <f>SUM(Arrival_Time!B9:B14)</f>
        <v>80950.618386743066</v>
      </c>
      <c r="D20" s="24">
        <f>SUM(Arrival_Time!I9:I14)</f>
        <v>59903.453635215759</v>
      </c>
      <c r="E20" s="25">
        <f>C20/C$14</f>
        <v>9.9202904864891847E-2</v>
      </c>
      <c r="F20" s="25">
        <f>D20/D$14</f>
        <v>8.7624621494327939E-2</v>
      </c>
      <c r="G20" s="5">
        <f>E20/F20</f>
        <v>1.1321350457566699</v>
      </c>
      <c r="H20" s="5">
        <f ref="H20:H29" si="8" t="shared">$F$1</f>
        <v>1</v>
      </c>
      <c r="I20" s="57">
        <f>H20*(LN(G20)-LN($G$23))</f>
        <v>0.13611126101598742</v>
      </c>
      <c r="L20" s="65">
        <v>11</v>
      </c>
      <c r="M20" s="66">
        <f ref="M20:M29" si="9" t="shared">VLOOKUP(L20,$R$3:$U$64,3,FALSE)</f>
        <v>-2.3394698170399999</v>
      </c>
      <c r="N20" s="67">
        <f>I20+M20</f>
        <v>-2.2033585560240123</v>
      </c>
      <c r="O20" s="66" t="str">
        <f>CONCATENATE("Arrival ",B20)</f>
        <v>Arrival 3-6 am</v>
      </c>
      <c r="R20" s="60">
        <f>WorkTourTime!B28</f>
        <v>28</v>
      </c>
      <c r="S20" s="60" t="str">
        <f>WorkTourTime!C28</f>
        <v>dep19-20</v>
      </c>
      <c r="T20" s="60">
        <f>VLOOKUP(R20,WorkTourTime!$B$11:$E$84,4,FALSE)</f>
        <v>-1.93876</v>
      </c>
      <c r="U20" s="61">
        <f si="2" t="shared"/>
        <v>-1.8482974232427318</v>
      </c>
    </row>
    <row r="21" spans="2:21" x14ac:dyDescent="0.45">
      <c r="B21" t="s">
        <v>225</v>
      </c>
      <c r="C21" s="24">
        <f>SUM(Arrival_Time!B15:B16)</f>
        <v>116101.44175217368</v>
      </c>
      <c r="D21" s="24">
        <f>SUM(Arrival_Time!I15:I16)</f>
        <v>87996.458173751831</v>
      </c>
      <c r="E21" s="25">
        <f ref="E21:E30" si="10" t="shared">C21/C$14</f>
        <v>0.14227933659249051</v>
      </c>
      <c r="F21" s="25">
        <f ref="F21:F30" si="11" t="shared">D21/D$14</f>
        <v>0.12871806001822172</v>
      </c>
      <c r="G21" s="5">
        <f ref="G21:G30" si="12" t="shared">E21/F21</f>
        <v>1.1053564400547133</v>
      </c>
      <c r="H21" s="5">
        <f si="8" t="shared"/>
        <v>1</v>
      </c>
      <c r="I21" s="26">
        <f ref="I21:I29" si="13" t="shared">H21*(LN(G21)-LN($G$23))</f>
        <v>0.11217384311926468</v>
      </c>
      <c r="L21" s="65">
        <v>12</v>
      </c>
      <c r="M21" s="65">
        <f si="9" t="shared"/>
        <v>-0.67106220384299997</v>
      </c>
      <c r="N21" s="67">
        <f ref="N21:N29" si="14" t="shared">I21+M21</f>
        <v>-0.55888836072373527</v>
      </c>
      <c r="O21" s="65" t="str">
        <f ref="O21:O29" si="15" t="shared">CONCATENATE("Arrival ",B21)</f>
        <v>Arrival 6-7 am</v>
      </c>
      <c r="R21" s="60">
        <f>WorkTourTime!B29</f>
        <v>29</v>
      </c>
      <c r="S21" s="60" t="str">
        <f>WorkTourTime!C29</f>
        <v>dep21-23</v>
      </c>
      <c r="T21" s="60">
        <f>VLOOKUP(R21,WorkTourTime!$B$11:$E$84,4,FALSE)</f>
        <v>-1.9554069999999999</v>
      </c>
      <c r="U21" s="61">
        <f si="2" t="shared"/>
        <v>-1.8624869947828693</v>
      </c>
    </row>
    <row r="22" spans="2:21" x14ac:dyDescent="0.45">
      <c r="B22" t="s">
        <v>226</v>
      </c>
      <c r="C22" s="24">
        <f>SUM(Arrival_Time!B17:B18)</f>
        <v>162498.60755824973</v>
      </c>
      <c r="D22" s="24">
        <f>SUM(Arrival_Time!I17:I18)</f>
        <v>130762.18640708923</v>
      </c>
      <c r="E22" s="25">
        <f si="10" t="shared"/>
        <v>0.19913787229225663</v>
      </c>
      <c r="F22" s="25">
        <f si="11" t="shared"/>
        <v>0.19127423202451355</v>
      </c>
      <c r="G22" s="5">
        <f si="12" t="shared"/>
        <v>1.0411118642825621</v>
      </c>
      <c r="H22" s="5">
        <f si="8" t="shared"/>
        <v>1</v>
      </c>
      <c r="I22" s="26">
        <f si="13" t="shared"/>
        <v>5.2295232323136792E-2</v>
      </c>
      <c r="L22" s="65">
        <v>13</v>
      </c>
      <c r="M22" s="65">
        <f si="9" t="shared"/>
        <v>-1.81869725389E-2</v>
      </c>
      <c r="N22" s="67">
        <f si="14" t="shared"/>
        <v>3.4108259784236789E-2</v>
      </c>
      <c r="O22" s="65" t="str">
        <f si="15" t="shared"/>
        <v>Arrival 7-8 am</v>
      </c>
      <c r="R22" s="60">
        <f>WorkTourTime!B30</f>
        <v>30</v>
      </c>
      <c r="S22" s="60" t="str">
        <f>WorkTourTime!C30</f>
        <v>dep24-26</v>
      </c>
      <c r="T22" s="60">
        <f>VLOOKUP(R22,WorkTourTime!$B$11:$E$84,4,FALSE)</f>
        <v>-3.4381330000000001</v>
      </c>
      <c r="U22" s="61">
        <f si="2" t="shared"/>
        <v>-3.3199365109400634</v>
      </c>
    </row>
    <row r="23" spans="2:21" x14ac:dyDescent="0.45">
      <c r="B23" t="s">
        <v>227</v>
      </c>
      <c r="C23" s="24">
        <f>SUM(Arrival_Time!B19:B20)</f>
        <v>152242.59904072969</v>
      </c>
      <c r="D23" s="24">
        <f>SUM(Arrival_Time!I19:I20)</f>
        <v>129086.32889556885</v>
      </c>
      <c r="E23" s="25">
        <f si="10" t="shared"/>
        <v>0.18656939712142728</v>
      </c>
      <c r="F23" s="25">
        <f si="11" t="shared"/>
        <v>0.18882284781852723</v>
      </c>
      <c r="G23" s="5">
        <f si="12" t="shared"/>
        <v>0.98806579435097974</v>
      </c>
      <c r="H23" s="5">
        <f si="8" t="shared"/>
        <v>1</v>
      </c>
      <c r="I23" s="26">
        <f si="13" t="shared"/>
        <v>0</v>
      </c>
      <c r="L23" s="65">
        <v>14</v>
      </c>
      <c r="M23" s="65">
        <f si="9" t="shared"/>
        <v>0</v>
      </c>
      <c r="N23" s="67">
        <f si="14" t="shared"/>
        <v>0</v>
      </c>
      <c r="O23" s="65" t="str">
        <f si="15" t="shared"/>
        <v>Arrival 8-9 am</v>
      </c>
      <c r="R23">
        <f>WorkTourTime!B31</f>
        <v>31</v>
      </c>
      <c r="S23" t="str">
        <f>WorkTourTime!C31</f>
        <v>dur0-2</v>
      </c>
      <c r="T23">
        <f>VLOOKUP(R23,WorkTourTime!$B$11:$E$84,4,FALSE)</f>
        <v>0.94328400000000001</v>
      </c>
      <c r="U23" s="58">
        <f si="2" t="shared"/>
        <v>0.90719177232754</v>
      </c>
    </row>
    <row r="24" spans="2:21" x14ac:dyDescent="0.45">
      <c r="B24" t="s">
        <v>228</v>
      </c>
      <c r="C24" s="24">
        <f>SUM(Arrival_Time!B21:B22)</f>
        <v>98468.790411006485</v>
      </c>
      <c r="D24" s="24">
        <f>SUM(Arrival_Time!I21:I22)</f>
        <v>87051.744097709656</v>
      </c>
      <c r="E24" s="25">
        <f si="10" t="shared"/>
        <v>0.12067097499657616</v>
      </c>
      <c r="F24" s="25">
        <f si="11" t="shared"/>
        <v>0.12733616618222268</v>
      </c>
      <c r="G24" s="5">
        <f si="12" t="shared"/>
        <v>0.94765673111197335</v>
      </c>
      <c r="H24" s="5">
        <f si="8" t="shared"/>
        <v>1</v>
      </c>
      <c r="I24" s="26">
        <f si="13" t="shared"/>
        <v>-4.1756950304705671E-2</v>
      </c>
      <c r="L24" s="65">
        <v>15</v>
      </c>
      <c r="M24" s="65">
        <f si="9" t="shared"/>
        <v>-0.93649924875500001</v>
      </c>
      <c r="N24" s="67">
        <f si="14" t="shared"/>
        <v>-0.97825619905970573</v>
      </c>
      <c r="O24" s="65" t="str">
        <f si="15" t="shared"/>
        <v>Arrival 9-10 am</v>
      </c>
      <c r="R24">
        <f>WorkTourTime!B32</f>
        <v>32</v>
      </c>
      <c r="S24" t="str">
        <f>WorkTourTime!C32</f>
        <v>dur3-4</v>
      </c>
      <c r="T24">
        <f>VLOOKUP(R24,WorkTourTime!$B$11:$E$84,4,FALSE)</f>
        <v>1.0836619999999999</v>
      </c>
      <c r="U24" s="58">
        <f si="2" t="shared"/>
        <v>0.94698629470988838</v>
      </c>
    </row>
    <row r="25" spans="2:21" x14ac:dyDescent="0.45">
      <c r="B25" t="s">
        <v>232</v>
      </c>
      <c r="C25" s="24">
        <f>SUM(Arrival_Time!B23:B28)</f>
        <v>102799.77132440233</v>
      </c>
      <c r="D25" s="24">
        <f>SUM(Arrival_Time!I23:I28)</f>
        <v>89773.555152893066</v>
      </c>
      <c r="E25" s="25">
        <f si="10" t="shared"/>
        <v>0.12597848093149847</v>
      </c>
      <c r="F25" s="25">
        <f si="11" t="shared"/>
        <v>0.13131753368303262</v>
      </c>
      <c r="G25" s="5">
        <f si="12" t="shared"/>
        <v>0.95934242289059979</v>
      </c>
      <c r="H25" s="5">
        <f si="8" t="shared"/>
        <v>1</v>
      </c>
      <c r="I25" s="26">
        <f si="13" t="shared"/>
        <v>-2.9501215400366286E-2</v>
      </c>
      <c r="L25" s="65">
        <v>16</v>
      </c>
      <c r="M25" s="65">
        <f si="9" t="shared"/>
        <v>-1.77743849575</v>
      </c>
      <c r="N25" s="67">
        <f si="14" t="shared"/>
        <v>-1.8069397111503662</v>
      </c>
      <c r="O25" s="65" t="str">
        <f si="15" t="shared"/>
        <v>Arrival 10 am-1 pm</v>
      </c>
      <c r="R25">
        <f>WorkTourTime!B33</f>
        <v>33</v>
      </c>
      <c r="S25" t="str">
        <f>WorkTourTime!C33</f>
        <v>dur5-6</v>
      </c>
      <c r="T25">
        <f>VLOOKUP(R25,WorkTourTime!$B$11:$E$84,4,FALSE)</f>
        <v>0.42832700000000001</v>
      </c>
      <c r="U25" s="58">
        <f si="2" t="shared"/>
        <v>0.34492892053304436</v>
      </c>
    </row>
    <row r="26" spans="2:21" x14ac:dyDescent="0.45">
      <c r="B26" t="s">
        <v>229</v>
      </c>
      <c r="C26" s="24">
        <f>SUM(Arrival_Time!B29:B34)</f>
        <v>57539.356444800695</v>
      </c>
      <c r="D26" s="24">
        <f>SUM(Arrival_Time!I29:I34)</f>
        <v>50371.416532516479</v>
      </c>
      <c r="E26" s="25">
        <f si="10" t="shared"/>
        <v>7.0513004312212274E-2</v>
      </c>
      <c r="F26" s="25">
        <f si="11" t="shared"/>
        <v>7.3681499812560711E-2</v>
      </c>
      <c r="G26" s="5">
        <f si="12" t="shared"/>
        <v>0.95699740764766172</v>
      </c>
      <c r="H26" s="5">
        <f si="8" t="shared"/>
        <v>1</v>
      </c>
      <c r="I26" s="26">
        <f si="13" t="shared"/>
        <v>-3.1948606386106554E-2</v>
      </c>
      <c r="L26" s="65">
        <v>17</v>
      </c>
      <c r="M26" s="65">
        <f si="9" t="shared"/>
        <v>-1.86737256636</v>
      </c>
      <c r="N26" s="67">
        <f si="14" t="shared"/>
        <v>-1.8993211727461066</v>
      </c>
      <c r="O26" s="65" t="str">
        <f si="15" t="shared"/>
        <v>Arrival 1-4 pm</v>
      </c>
      <c r="R26">
        <f>WorkTourTime!B34</f>
        <v>34</v>
      </c>
      <c r="S26" t="str">
        <f>WorkTourTime!C34</f>
        <v>dur7-8</v>
      </c>
      <c r="T26">
        <f>VLOOKUP(R26,WorkTourTime!$B$11:$E$84,4,FALSE)</f>
        <v>0.61578100000000002</v>
      </c>
      <c r="U26" s="58">
        <f si="2" t="shared"/>
        <v>0.61578100000000002</v>
      </c>
    </row>
    <row r="27" spans="2:21" x14ac:dyDescent="0.45">
      <c r="B27" t="s">
        <v>230</v>
      </c>
      <c r="C27" s="24">
        <f>SUM(Arrival_Time!B35:B40)</f>
        <v>27260.792440649435</v>
      </c>
      <c r="D27" s="24">
        <f>SUM(Arrival_Time!I35:I40)</f>
        <v>27735.518469810486</v>
      </c>
      <c r="E27" s="25">
        <f si="10" t="shared"/>
        <v>3.3407401363028846E-2</v>
      </c>
      <c r="F27" s="25">
        <f si="11" t="shared"/>
        <v>4.0570520736009183E-2</v>
      </c>
      <c r="G27" s="5">
        <f si="12" t="shared"/>
        <v>0.82344029006700503</v>
      </c>
      <c r="H27" s="5">
        <f si="8" t="shared"/>
        <v>1</v>
      </c>
      <c r="I27" s="26">
        <f si="13" t="shared"/>
        <v>-0.18225824952256456</v>
      </c>
      <c r="L27" s="65">
        <v>18</v>
      </c>
      <c r="M27" s="65">
        <f si="9" t="shared"/>
        <v>-2.26568763106</v>
      </c>
      <c r="N27" s="67">
        <f si="14" t="shared"/>
        <v>-2.4479458805825645</v>
      </c>
      <c r="O27" s="65" t="str">
        <f si="15" t="shared"/>
        <v>Arrival 4-7 pm</v>
      </c>
      <c r="R27">
        <f>WorkTourTime!B35</f>
        <v>35</v>
      </c>
      <c r="S27" t="str">
        <f>WorkTourTime!C35</f>
        <v>dur=9</v>
      </c>
      <c r="T27">
        <f>VLOOKUP(R27,WorkTourTime!$B$11:$E$84,4,FALSE)</f>
        <v>-0.111499</v>
      </c>
      <c r="U27" s="58">
        <f si="2" t="shared"/>
        <v>-0.21817539022720384</v>
      </c>
    </row>
    <row r="28" spans="2:21" x14ac:dyDescent="0.45">
      <c r="B28" t="s">
        <v>79</v>
      </c>
      <c r="C28" s="24">
        <f>SUM(Arrival_Time!B41:B44)</f>
        <v>4857.9488992779643</v>
      </c>
      <c r="D28" s="24">
        <f>SUM(Arrival_Time!I41:I44)</f>
        <v>7218.1462659835815</v>
      </c>
      <c r="E28" s="25">
        <f si="10" t="shared"/>
        <v>5.9532916745760195E-3</v>
      </c>
      <c r="F28" s="25">
        <f si="11" t="shared"/>
        <v>1.0558445232541389E-2</v>
      </c>
      <c r="G28" s="5">
        <f si="12" t="shared"/>
        <v>0.56384169671381423</v>
      </c>
      <c r="H28" s="5">
        <f si="8" t="shared"/>
        <v>1</v>
      </c>
      <c r="I28" s="26">
        <f si="13" t="shared"/>
        <v>-0.56097575648853648</v>
      </c>
      <c r="L28" s="65">
        <v>19</v>
      </c>
      <c r="M28" s="65">
        <f si="9" t="shared"/>
        <v>-3.1613092691400002</v>
      </c>
      <c r="N28" s="67">
        <f si="14" t="shared"/>
        <v>-3.7222850256285369</v>
      </c>
      <c r="O28" s="65" t="str">
        <f si="15" t="shared"/>
        <v>Arrival 7-9 pm</v>
      </c>
      <c r="R28">
        <f>WorkTourTime!B36</f>
        <v>36</v>
      </c>
      <c r="S28" t="str">
        <f>WorkTourTime!C36</f>
        <v>dur=10</v>
      </c>
      <c r="T28">
        <f>VLOOKUP(R28,WorkTourTime!$B$11:$E$84,4,FALSE)</f>
        <v>-1.2529269999999999</v>
      </c>
      <c r="U28" s="58">
        <f si="2" t="shared"/>
        <v>-1.4828835268384317</v>
      </c>
    </row>
    <row r="29" spans="2:21" x14ac:dyDescent="0.45">
      <c r="B29" s="19" t="s">
        <v>231</v>
      </c>
      <c r="C29" s="29">
        <f>SUM(Arrival_Time!B45:B57)+Arrival_Time!B8</f>
        <v>1466.3136924555185</v>
      </c>
      <c r="D29" s="29">
        <f>SUM(Arrival_Time!I45:I57)+Arrival_Time!I8</f>
        <v>3734.2109031677246</v>
      </c>
      <c r="E29" s="30">
        <f si="10" t="shared"/>
        <v>1.796929790453273E-3</v>
      </c>
      <c r="F29" s="30">
        <f si="11" t="shared"/>
        <v>5.4622696541440537E-3</v>
      </c>
      <c r="G29" s="18">
        <f si="12" t="shared"/>
        <v>0.32897127096059758</v>
      </c>
      <c r="H29" s="5">
        <f si="8" t="shared"/>
        <v>1</v>
      </c>
      <c r="I29" s="31">
        <f si="13" t="shared"/>
        <v>-1.0997788643589295</v>
      </c>
      <c r="L29" s="68">
        <v>20</v>
      </c>
      <c r="M29" s="68">
        <f si="9" t="shared"/>
        <v>-4.1209548115799999</v>
      </c>
      <c r="N29" s="69">
        <f si="14" t="shared"/>
        <v>-5.2207336759389289</v>
      </c>
      <c r="O29" s="68" t="str">
        <f si="15" t="shared"/>
        <v>Arrival 9 pm-3 am</v>
      </c>
      <c r="R29">
        <f>WorkTourTime!B37</f>
        <v>37</v>
      </c>
      <c r="S29" t="str">
        <f>WorkTourTime!C37</f>
        <v>dur=11</v>
      </c>
      <c r="T29">
        <f>VLOOKUP(R29,WorkTourTime!$B$11:$E$84,4,FALSE)</f>
        <v>-2.4258410000000001</v>
      </c>
      <c r="U29" s="58">
        <f si="2" t="shared"/>
        <v>-2.6777762614424097</v>
      </c>
    </row>
    <row ht="14.65" r="30" spans="2:21" thickBot="1" x14ac:dyDescent="0.5">
      <c r="B30" s="34" t="s">
        <v>82</v>
      </c>
      <c r="C30" s="35">
        <f>SUM(C20:C29)</f>
        <v>804186.23995048867</v>
      </c>
      <c r="D30" s="35">
        <f>SUM(D20:D29)</f>
        <v>673633.01853370667</v>
      </c>
      <c r="E30" s="36">
        <f si="10" t="shared"/>
        <v>0.9855095939394114</v>
      </c>
      <c r="F30" s="36">
        <f si="11" t="shared"/>
        <v>0.98536619665610103</v>
      </c>
      <c r="G30" s="37">
        <f si="12" t="shared"/>
        <v>1.000145526895277</v>
      </c>
      <c r="H30" s="37"/>
      <c r="I30" s="1"/>
      <c r="R30">
        <f>WorkTourTime!B38</f>
        <v>38</v>
      </c>
      <c r="S30" t="str">
        <f>WorkTourTime!C38</f>
        <v>dur12-13</v>
      </c>
      <c r="T30">
        <f>VLOOKUP(R30,WorkTourTime!$B$11:$E$84,4,FALSE)</f>
        <v>-3.6496620000000002</v>
      </c>
      <c r="U30" s="58">
        <f si="2" t="shared"/>
        <v>-3.6612470215557287</v>
      </c>
    </row>
    <row r="31" spans="2:21" x14ac:dyDescent="0.45">
      <c r="R31">
        <f>WorkTourTime!B39</f>
        <v>39</v>
      </c>
      <c r="S31" t="str">
        <f>WorkTourTime!C39</f>
        <v>dur14-17</v>
      </c>
      <c r="T31">
        <f>VLOOKUP(R31,WorkTourTime!$B$11:$E$84,4,FALSE)</f>
        <v>-6.2620810000000002</v>
      </c>
      <c r="U31" s="58">
        <f si="2" t="shared"/>
        <v>-6.1036903830597282</v>
      </c>
    </row>
    <row r="32" spans="2:21" x14ac:dyDescent="0.45">
      <c r="R32">
        <f>WorkTourTime!B40</f>
        <v>40</v>
      </c>
      <c r="S32" t="str">
        <f>WorkTourTime!C40</f>
        <v>dur18-23</v>
      </c>
      <c r="T32">
        <f>VLOOKUP(R32,WorkTourTime!$B$11:$E$84,4,FALSE)</f>
        <v>-9.2484599999999997</v>
      </c>
      <c r="U32" s="58">
        <f si="2" t="shared"/>
        <v>-12.201422017851893</v>
      </c>
    </row>
    <row ht="14.65" r="33" spans="2:21" thickBot="1" x14ac:dyDescent="0.5">
      <c r="B33" s="32" t="s">
        <v>220</v>
      </c>
      <c r="C33" s="1"/>
      <c r="D33" s="1"/>
      <c r="E33" s="1" t="s">
        <v>86</v>
      </c>
      <c r="F33" s="33">
        <v>0</v>
      </c>
      <c r="G33" s="1"/>
      <c r="H33" s="1"/>
      <c r="I33" s="1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58">
        <f si="2" t="shared"/>
        <v>4.0037136956699998E-2</v>
      </c>
    </row>
    <row ht="14.65" r="34" spans="2:21" thickBot="1" x14ac:dyDescent="0.5">
      <c r="B34" s="7"/>
      <c r="C34" s="79" t="s">
        <v>87</v>
      </c>
      <c r="D34" s="79"/>
      <c r="E34" s="79" t="s">
        <v>83</v>
      </c>
      <c r="F34" s="79"/>
      <c r="G34" s="7"/>
      <c r="H34" s="7"/>
      <c r="I34" s="7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58">
        <f si="2" t="shared"/>
        <v>-2.9029788634599998E-2</v>
      </c>
    </row>
    <row r="35" spans="2:21" x14ac:dyDescent="0.45">
      <c r="B35" s="27" t="s">
        <v>14</v>
      </c>
      <c r="C35" s="28" t="s">
        <v>48</v>
      </c>
      <c r="D35" s="28" t="s">
        <v>35</v>
      </c>
      <c r="E35" s="28" t="s">
        <v>48</v>
      </c>
      <c r="F35" s="28" t="s">
        <v>35</v>
      </c>
      <c r="G35" s="28" t="s">
        <v>84</v>
      </c>
      <c r="H35" s="28" t="s">
        <v>86</v>
      </c>
      <c r="I35" s="28" t="s">
        <v>85</v>
      </c>
      <c r="L35" s="28" t="s">
        <v>88</v>
      </c>
      <c r="M35" s="62" t="s">
        <v>89</v>
      </c>
      <c r="N35" s="63" t="s">
        <v>91</v>
      </c>
      <c r="O35" s="77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58">
        <f si="2" t="shared"/>
        <v>6.0083727421699998E-2</v>
      </c>
    </row>
    <row r="36" spans="2:21" x14ac:dyDescent="0.45">
      <c r="B36" t="s">
        <v>62</v>
      </c>
      <c r="C36" s="24">
        <f>SUM(Duration!B8:B13)</f>
        <v>95607.814046718209</v>
      </c>
      <c r="D36" s="24">
        <f>SUM(Duration!I7:I12)</f>
        <v>76315.16516494751</v>
      </c>
      <c r="E36" s="25">
        <f ref="E36:E46" si="16" t="shared">C36/C$46</f>
        <v>0.11864864328675082</v>
      </c>
      <c r="F36" s="25">
        <f ref="F36:F46" si="17" t="shared">D36/D$46</f>
        <v>0.11272916907833459</v>
      </c>
      <c r="G36" s="5">
        <f>E36/F36</f>
        <v>1.0525105813944466</v>
      </c>
      <c r="H36" s="5">
        <f>$F$1</f>
        <v>1</v>
      </c>
      <c r="I36" s="57">
        <f ref="I36:I45" si="18" t="shared">H36*(LN(G36)-LN($G$39))</f>
        <v>-3.6092227672460009E-2</v>
      </c>
      <c r="L36">
        <v>31</v>
      </c>
      <c r="M36" s="66">
        <f ref="M36:M45" si="19" t="shared">VLOOKUP(L36,$R$3:$U$64,3,FALSE)</f>
        <v>0.94328400000000001</v>
      </c>
      <c r="N36" s="67">
        <f>I36+M36</f>
        <v>0.90719177232754</v>
      </c>
      <c r="O36" s="65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58">
        <f si="2" t="shared"/>
        <v>-0.13634249725200001</v>
      </c>
    </row>
    <row r="37" spans="2:21" x14ac:dyDescent="0.45">
      <c r="B37" t="s">
        <v>63</v>
      </c>
      <c r="C37" s="24">
        <f>SUM(Duration!B14:B17)</f>
        <v>68953.72706235612</v>
      </c>
      <c r="D37" s="24">
        <f>SUM(Duration!I13:I16)</f>
        <v>60863.658556938171</v>
      </c>
      <c r="E37" s="25">
        <f si="16" t="shared"/>
        <v>8.557110364970523E-2</v>
      </c>
      <c r="F37" s="25">
        <f si="17" t="shared"/>
        <v>8.9904930970948108E-2</v>
      </c>
      <c r="G37" s="5">
        <f ref="G37:G46" si="20" t="shared">E37/F37</f>
        <v>0.95179544353753731</v>
      </c>
      <c r="H37" s="5">
        <f ref="H37:H44" si="21" t="shared">$F$1</f>
        <v>1</v>
      </c>
      <c r="I37" s="26">
        <f si="18" t="shared"/>
        <v>-0.13667570529011153</v>
      </c>
      <c r="L37">
        <v>32</v>
      </c>
      <c r="M37" s="65">
        <f si="19" t="shared"/>
        <v>1.0836619999999999</v>
      </c>
      <c r="N37" s="67">
        <f ref="N37:N45" si="22" t="shared">I37+M37</f>
        <v>0.94698629470988838</v>
      </c>
      <c r="O37" s="65" t="str">
        <f ref="O37:O45" si="23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58">
        <f si="2" t="shared"/>
        <v>0.103738819739</v>
      </c>
    </row>
    <row r="38" spans="2:21" x14ac:dyDescent="0.45">
      <c r="B38" t="s">
        <v>64</v>
      </c>
      <c r="C38" s="24">
        <f>SUM(Duration!B18:B21)</f>
        <v>99329.189628881722</v>
      </c>
      <c r="D38" s="24">
        <f>SUM(Duration!I17:I20)</f>
        <v>83126.409533500671</v>
      </c>
      <c r="E38" s="25">
        <f si="16" t="shared"/>
        <v>0.12326684493048246</v>
      </c>
      <c r="F38" s="25">
        <f si="17" t="shared"/>
        <v>0.122790418587484</v>
      </c>
      <c r="G38" s="5">
        <f si="20" t="shared"/>
        <v>1.003879996081771</v>
      </c>
      <c r="H38" s="5">
        <f si="21" t="shared"/>
        <v>1</v>
      </c>
      <c r="I38" s="26">
        <f si="18" t="shared"/>
        <v>-8.3398079466955627E-2</v>
      </c>
      <c r="L38">
        <v>33</v>
      </c>
      <c r="M38" s="65">
        <f si="19" t="shared"/>
        <v>0.42832700000000001</v>
      </c>
      <c r="N38" s="67">
        <f si="22" t="shared"/>
        <v>0.34492892053304436</v>
      </c>
      <c r="O38" s="65" t="str">
        <f si="23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58">
        <f si="2" t="shared"/>
        <v>1.35703205954E-2</v>
      </c>
    </row>
    <row r="39" spans="2:21" x14ac:dyDescent="0.45">
      <c r="B39" t="s">
        <v>65</v>
      </c>
      <c r="C39" s="24">
        <f>SUM(Duration!B22:B25)</f>
        <v>238670.16827372066</v>
      </c>
      <c r="D39" s="24">
        <f>SUM(Duration!I21:I24)</f>
        <v>183755.75256156921</v>
      </c>
      <c r="E39" s="25">
        <f si="16" t="shared"/>
        <v>0.29618804635424567</v>
      </c>
      <c r="F39" s="25">
        <f si="17" t="shared"/>
        <v>0.27143534649839474</v>
      </c>
      <c r="G39" s="5">
        <f si="20" t="shared"/>
        <v>1.0911918811428538</v>
      </c>
      <c r="H39" s="5">
        <f si="21" t="shared"/>
        <v>1</v>
      </c>
      <c r="I39" s="26">
        <f si="18" t="shared"/>
        <v>0</v>
      </c>
      <c r="L39">
        <v>34</v>
      </c>
      <c r="M39" s="65">
        <f si="19" t="shared"/>
        <v>0.61578100000000002</v>
      </c>
      <c r="N39" s="67">
        <f si="22" t="shared"/>
        <v>0.61578100000000002</v>
      </c>
      <c r="O39" s="65" t="str">
        <f si="23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58">
        <f si="2" t="shared"/>
        <v>0.19068824550399999</v>
      </c>
    </row>
    <row r="40" spans="2:21" x14ac:dyDescent="0.45">
      <c r="B40" t="s">
        <v>66</v>
      </c>
      <c r="C40" s="24">
        <f>SUM(Duration!B26:B27)</f>
        <v>137133.06539890185</v>
      </c>
      <c r="D40" s="24">
        <f>SUM(Duration!I25:I26)</f>
        <v>117466.48035240173</v>
      </c>
      <c r="E40" s="25">
        <f si="16" t="shared"/>
        <v>0.17018119618739966</v>
      </c>
      <c r="F40" s="25">
        <f si="17" t="shared"/>
        <v>0.17351595447722271</v>
      </c>
      <c r="G40" s="5">
        <f si="20" t="shared"/>
        <v>0.9807812584158605</v>
      </c>
      <c r="H40" s="5">
        <f si="21" t="shared"/>
        <v>1</v>
      </c>
      <c r="I40" s="26">
        <f si="18" t="shared"/>
        <v>-0.10667639022720384</v>
      </c>
      <c r="L40">
        <v>35</v>
      </c>
      <c r="M40" s="65">
        <f si="19" t="shared"/>
        <v>-0.111499</v>
      </c>
      <c r="N40" s="67">
        <f si="22" t="shared"/>
        <v>-0.21817539022720384</v>
      </c>
      <c r="O40" s="65" t="str">
        <f si="23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58">
        <f si="2" t="shared"/>
        <v>-4.7658902528499997E-2</v>
      </c>
    </row>
    <row r="41" spans="2:21" x14ac:dyDescent="0.45">
      <c r="B41" t="s">
        <v>67</v>
      </c>
      <c r="C41" s="24">
        <f>SUM(Duration!B28:B29)</f>
        <v>90648.759089162282</v>
      </c>
      <c r="D41" s="24">
        <f>SUM(Duration!I27:I28)</f>
        <v>87836.195862770081</v>
      </c>
      <c r="E41" s="25">
        <f si="16" t="shared"/>
        <v>0.1124944900037259</v>
      </c>
      <c r="F41" s="25">
        <f si="17" t="shared"/>
        <v>0.12974749321724452</v>
      </c>
      <c r="G41" s="5">
        <f si="20" t="shared"/>
        <v>0.8670263079022974</v>
      </c>
      <c r="H41" s="5">
        <f si="21" t="shared"/>
        <v>1</v>
      </c>
      <c r="I41" s="26">
        <f si="18" t="shared"/>
        <v>-0.22995652683843171</v>
      </c>
      <c r="L41">
        <v>36</v>
      </c>
      <c r="M41" s="65">
        <f si="19" t="shared"/>
        <v>-1.2529269999999999</v>
      </c>
      <c r="N41" s="67">
        <f si="22" t="shared"/>
        <v>-1.4828835268384317</v>
      </c>
      <c r="O41" s="65" t="str">
        <f si="23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58">
        <f si="2" t="shared"/>
        <v>1.74365636267E-2</v>
      </c>
    </row>
    <row r="42" spans="2:21" x14ac:dyDescent="0.45">
      <c r="B42" t="s">
        <v>68</v>
      </c>
      <c r="C42" s="24">
        <f>SUM(Duration!B30:B31)</f>
        <v>43989.103945564799</v>
      </c>
      <c r="D42" s="24">
        <f>SUM(Duration!I29:I30)</f>
        <v>43571.450090408325</v>
      </c>
      <c r="E42" s="25">
        <f si="16" t="shared"/>
        <v>5.4590177116598082E-2</v>
      </c>
      <c r="F42" s="25">
        <f si="17" t="shared"/>
        <v>6.4361694738045261E-2</v>
      </c>
      <c r="G42" s="5">
        <f si="20" t="shared"/>
        <v>0.84817805588840289</v>
      </c>
      <c r="H42" s="5">
        <f si="21" t="shared"/>
        <v>1</v>
      </c>
      <c r="I42" s="26">
        <f si="18" t="shared"/>
        <v>-0.25193526144240974</v>
      </c>
      <c r="L42">
        <v>37</v>
      </c>
      <c r="M42" s="65">
        <f si="19" t="shared"/>
        <v>-2.4258410000000001</v>
      </c>
      <c r="N42" s="67">
        <f si="22" t="shared"/>
        <v>-2.6777762614424097</v>
      </c>
      <c r="O42" s="65" t="str">
        <f si="23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58">
        <f si="2" t="shared"/>
        <v>-1.1076555783700001E-2</v>
      </c>
    </row>
    <row r="43" spans="2:21" x14ac:dyDescent="0.45">
      <c r="B43" t="s">
        <v>69</v>
      </c>
      <c r="C43" s="24">
        <f>SUM(Duration!B32:B35)</f>
        <v>26239.168820456311</v>
      </c>
      <c r="D43" s="24">
        <f>SUM(Duration!I31:I34)</f>
        <v>20437.331488609314</v>
      </c>
      <c r="E43" s="25">
        <f si="16" t="shared"/>
        <v>3.2562629033625716E-2</v>
      </c>
      <c r="F43" s="25">
        <f si="17" t="shared"/>
        <v>3.0189063889330518E-2</v>
      </c>
      <c r="G43" s="5">
        <f si="20" t="shared"/>
        <v>1.0786233436384911</v>
      </c>
      <c r="H43" s="5">
        <f si="21" t="shared"/>
        <v>1</v>
      </c>
      <c r="I43" s="26">
        <f si="18" t="shared"/>
        <v>-1.1585021555728603E-2</v>
      </c>
      <c r="L43">
        <v>38</v>
      </c>
      <c r="M43" s="65">
        <f si="19" t="shared"/>
        <v>-3.6496620000000002</v>
      </c>
      <c r="N43" s="67">
        <f si="22" t="shared"/>
        <v>-3.6612470215557287</v>
      </c>
      <c r="O43" s="65" t="str">
        <f si="23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58">
        <f si="2" t="shared"/>
        <v>-4.5799393531799999E-3</v>
      </c>
    </row>
    <row r="44" spans="2:21" x14ac:dyDescent="0.45">
      <c r="B44" t="s">
        <v>90</v>
      </c>
      <c r="C44" s="24">
        <f>SUM(Duration!B36:B43)</f>
        <v>5223.49203861963</v>
      </c>
      <c r="D44" s="24">
        <f>SUM(Duration!I35:I42)</f>
        <v>3432.5397138595581</v>
      </c>
      <c r="E44" s="25">
        <f si="16" t="shared"/>
        <v>6.4823178919091382E-3</v>
      </c>
      <c r="F44" s="25">
        <f si="17" t="shared"/>
        <v>5.0703860620025503E-3</v>
      </c>
      <c r="G44" s="5">
        <f si="20" t="shared"/>
        <v>1.2784663362199573</v>
      </c>
      <c r="H44" s="5">
        <f si="21" t="shared"/>
        <v>1</v>
      </c>
      <c r="I44" s="26">
        <f si="18" t="shared"/>
        <v>0.15839061694027201</v>
      </c>
      <c r="L44">
        <v>39</v>
      </c>
      <c r="M44" s="65">
        <f si="19" t="shared"/>
        <v>-6.2620810000000002</v>
      </c>
      <c r="N44" s="67">
        <f si="22" t="shared"/>
        <v>-6.1036903830597282</v>
      </c>
      <c r="O44" s="65" t="str">
        <f si="23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58">
        <f si="2" t="shared"/>
        <v>1.7562242850300001E-3</v>
      </c>
    </row>
    <row r="45" spans="2:21" x14ac:dyDescent="0.45">
      <c r="B45" s="19" t="s">
        <v>70</v>
      </c>
      <c r="C45" s="29">
        <f>SUM(Duration!B44:B55)</f>
        <v>11.725725834059805</v>
      </c>
      <c r="D45" s="29">
        <f>SUM(Duration!I43:I54)</f>
        <v>172.99663257598877</v>
      </c>
      <c r="E45" s="30">
        <f si="16" t="shared"/>
        <v>1.4551545557602419E-5</v>
      </c>
      <c r="F45" s="30">
        <f si="17" t="shared"/>
        <v>2.5554248099299884E-4</v>
      </c>
      <c r="G45" s="18">
        <f si="20" t="shared"/>
        <v>5.6943743760557337E-2</v>
      </c>
      <c r="H45" s="18">
        <v>1</v>
      </c>
      <c r="I45" s="31">
        <f si="18" t="shared"/>
        <v>-2.9529620178518927</v>
      </c>
      <c r="L45" s="19">
        <v>40</v>
      </c>
      <c r="M45" s="68">
        <f si="19" t="shared"/>
        <v>-9.2484599999999997</v>
      </c>
      <c r="N45" s="69">
        <f si="22" t="shared"/>
        <v>-12.201422017851893</v>
      </c>
      <c r="O45" s="68" t="str">
        <f si="23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58">
        <f si="2" t="shared"/>
        <v>1.4622136722300001</v>
      </c>
    </row>
    <row ht="14.65" r="46" spans="2:21" thickBot="1" x14ac:dyDescent="0.5">
      <c r="B46" s="3" t="s">
        <v>82</v>
      </c>
      <c r="C46" s="39">
        <f>SUM(C36:C45)</f>
        <v>805806.2140302154</v>
      </c>
      <c r="D46" s="39">
        <f>SUM(D36:D45)</f>
        <v>676977.97995758057</v>
      </c>
      <c r="E46" s="40">
        <f si="16" t="shared"/>
        <v>1</v>
      </c>
      <c r="F46" s="40">
        <f si="17" t="shared"/>
        <v>1</v>
      </c>
      <c r="G46" s="41">
        <f si="20" t="shared"/>
        <v>1</v>
      </c>
      <c r="H46" s="41"/>
      <c r="I46" s="1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58">
        <f si="2" t="shared"/>
        <v>0.24430192177099999</v>
      </c>
    </row>
    <row r="47" spans="2:21" x14ac:dyDescent="0.45"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58">
        <f si="2" t="shared"/>
        <v>3.9458577753300004E-3</v>
      </c>
    </row>
    <row r="48" spans="2:21" x14ac:dyDescent="0.45"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58">
        <f si="2" t="shared"/>
        <v>-4.5842264627900003E-2</v>
      </c>
    </row>
    <row r="49" spans="2:21" x14ac:dyDescent="0.45">
      <c r="B49" s="70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58">
        <f si="2" t="shared"/>
        <v>-6.5425870724599995E-4</v>
      </c>
    </row>
    <row r="50" spans="2:21" x14ac:dyDescent="0.45">
      <c r="B50" s="7"/>
      <c r="C50" s="79"/>
      <c r="D50" s="79"/>
      <c r="E50" s="79"/>
      <c r="F50" s="79"/>
      <c r="G50" s="7"/>
      <c r="H50" s="7"/>
      <c r="I50" s="7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58">
        <f si="2" t="shared"/>
        <v>-4.2823263761100003E-2</v>
      </c>
    </row>
    <row r="51" spans="2:21" x14ac:dyDescent="0.45">
      <c r="B51" s="7"/>
      <c r="C51" s="59"/>
      <c r="D51" s="59"/>
      <c r="E51" s="59"/>
      <c r="F51" s="59"/>
      <c r="G51" s="59"/>
      <c r="H51" s="59"/>
      <c r="I51" s="59"/>
      <c r="L51" s="59"/>
      <c r="M51" s="59"/>
      <c r="N51" s="7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58">
        <f si="2" t="shared"/>
        <v>-1.43005534112E-2</v>
      </c>
    </row>
    <row r="52" spans="2:21" x14ac:dyDescent="0.45">
      <c r="C52" s="71"/>
      <c r="D52" s="71"/>
      <c r="E52" s="72"/>
      <c r="F52" s="72"/>
      <c r="G52" s="5"/>
      <c r="H52" s="5"/>
      <c r="I52" s="26"/>
      <c r="N52" s="2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58">
        <f si="2" t="shared"/>
        <v>4.5097327600000001E-2</v>
      </c>
    </row>
    <row r="53" spans="2:21" x14ac:dyDescent="0.45">
      <c r="C53" s="71"/>
      <c r="D53" s="71"/>
      <c r="E53" s="72"/>
      <c r="F53" s="72"/>
      <c r="G53" s="5"/>
      <c r="H53" s="5"/>
      <c r="I53" s="26"/>
      <c r="N53" s="2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58">
        <f si="2" t="shared"/>
        <v>1.3563955105100001E-2</v>
      </c>
    </row>
    <row r="54" spans="2:21" x14ac:dyDescent="0.45">
      <c r="C54" s="71"/>
      <c r="D54" s="71"/>
      <c r="E54" s="72"/>
      <c r="F54" s="72"/>
      <c r="G54" s="5"/>
      <c r="H54" s="5"/>
      <c r="I54" s="26"/>
      <c r="N54" s="2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58">
        <f si="2" t="shared"/>
        <v>0.16495387210699999</v>
      </c>
    </row>
    <row r="55" spans="2:21" x14ac:dyDescent="0.45">
      <c r="C55" s="71"/>
      <c r="D55" s="71"/>
      <c r="E55" s="72"/>
      <c r="F55" s="72"/>
      <c r="G55" s="5"/>
      <c r="H55" s="5"/>
      <c r="I55" s="26"/>
      <c r="N55" s="2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58">
        <f si="2" t="shared"/>
        <v>-1.2851468616399999</v>
      </c>
    </row>
    <row r="56" spans="2:21" x14ac:dyDescent="0.45">
      <c r="C56" s="71"/>
      <c r="D56" s="71"/>
      <c r="E56" s="72"/>
      <c r="F56" s="72"/>
      <c r="G56" s="5"/>
      <c r="H56" s="5"/>
      <c r="I56" s="26"/>
      <c r="N56" s="2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58">
        <f si="2" t="shared"/>
        <v>-0.473472396189</v>
      </c>
    </row>
    <row r="57" spans="2:21" x14ac:dyDescent="0.45">
      <c r="C57" s="71"/>
      <c r="D57" s="71"/>
      <c r="E57" s="72"/>
      <c r="F57" s="72"/>
      <c r="G57" s="5"/>
      <c r="H57" s="5"/>
      <c r="I57" s="26"/>
      <c r="N57" s="2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58">
        <f si="2" t="shared"/>
        <v>-0.81108460731200005</v>
      </c>
    </row>
    <row r="58" spans="2:21" x14ac:dyDescent="0.45">
      <c r="C58" s="71"/>
      <c r="D58" s="71"/>
      <c r="E58" s="72"/>
      <c r="F58" s="72"/>
      <c r="G58" s="5"/>
      <c r="H58" s="5"/>
      <c r="I58" s="26"/>
      <c r="N58" s="2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58">
        <f si="2" t="shared"/>
        <v>2.0980899153400001</v>
      </c>
    </row>
    <row r="59" spans="2:21" x14ac:dyDescent="0.45">
      <c r="C59" s="71"/>
      <c r="D59" s="71"/>
      <c r="E59" s="72"/>
      <c r="F59" s="72"/>
      <c r="G59" s="5"/>
      <c r="H59" s="5"/>
      <c r="I59" s="26"/>
      <c r="N59" s="2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58">
        <f si="2" t="shared"/>
        <v>5</v>
      </c>
    </row>
    <row r="60" spans="2:21" x14ac:dyDescent="0.45">
      <c r="C60" s="71"/>
      <c r="D60" s="71"/>
      <c r="E60" s="72"/>
      <c r="F60" s="72"/>
      <c r="G60" s="5"/>
      <c r="H60" s="5"/>
      <c r="I60" s="26"/>
      <c r="N60" s="2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58">
        <f si="2" t="shared"/>
        <v>-0.64054936577699995</v>
      </c>
    </row>
    <row r="61" spans="2:21" x14ac:dyDescent="0.45">
      <c r="C61" s="71"/>
      <c r="D61" s="71"/>
      <c r="E61" s="72"/>
      <c r="F61" s="72"/>
      <c r="G61" s="5"/>
      <c r="H61" s="5"/>
      <c r="I61" s="26"/>
      <c r="N61" s="2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58">
        <f si="2" t="shared"/>
        <v>0.5</v>
      </c>
    </row>
    <row r="62" spans="2:21" x14ac:dyDescent="0.45">
      <c r="B62" s="7"/>
      <c r="C62" s="73"/>
      <c r="D62" s="73"/>
      <c r="E62" s="74"/>
      <c r="F62" s="74"/>
      <c r="G62" s="75"/>
      <c r="H62" s="75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58">
        <f si="2" t="shared"/>
        <v>0.5</v>
      </c>
    </row>
    <row r="63" spans="2:21" x14ac:dyDescent="0.45"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58">
        <f si="2" t="shared"/>
        <v>0.5</v>
      </c>
    </row>
    <row r="64" spans="2:21" x14ac:dyDescent="0.4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58">
        <f si="2" t="shared"/>
        <v>0.5</v>
      </c>
    </row>
    <row r="65" spans="18:21" x14ac:dyDescent="0.4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58">
        <f si="2" t="shared"/>
        <v>-2.9770165213499999</v>
      </c>
    </row>
    <row r="66" spans="18:21" x14ac:dyDescent="0.4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58">
        <f si="2" t="shared"/>
        <v>3.1461924511900001</v>
      </c>
    </row>
    <row r="67" spans="18:21" x14ac:dyDescent="0.4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58">
        <f si="2" t="shared"/>
        <v>5</v>
      </c>
    </row>
    <row r="68" spans="18:21" x14ac:dyDescent="0.4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58">
        <f ref="U68:U76" si="24" t="shared">_xlfn.IFNA(VLOOKUP(R68,$L$3:$N$45,3,FALSE),T68)</f>
        <v>-0.240163130498</v>
      </c>
    </row>
    <row r="69" spans="18:21" x14ac:dyDescent="0.4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58">
        <f si="24" t="shared"/>
        <v>-0.24977007544900001</v>
      </c>
    </row>
    <row r="70" spans="18:21" x14ac:dyDescent="0.4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58">
        <f si="24" t="shared"/>
        <v>-1.72821922101</v>
      </c>
    </row>
    <row r="71" spans="18:21" x14ac:dyDescent="0.4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58">
        <f si="24" t="shared"/>
        <v>1.9500749384399999E-2</v>
      </c>
    </row>
    <row r="72" spans="18:21" x14ac:dyDescent="0.4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58">
        <f si="24" t="shared"/>
        <v>-100.45727126200001</v>
      </c>
    </row>
    <row r="73" spans="18:21" x14ac:dyDescent="0.4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58">
        <f si="24" t="shared"/>
        <v>-23.747958025900001</v>
      </c>
    </row>
    <row r="74" spans="18:21" x14ac:dyDescent="0.4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58">
        <f si="24" t="shared"/>
        <v>-0.58740415466499996</v>
      </c>
    </row>
    <row r="75" spans="18:21" x14ac:dyDescent="0.4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58">
        <f si="24" t="shared"/>
        <v>-0.99452973540199996</v>
      </c>
    </row>
    <row r="76" spans="18:21" x14ac:dyDescent="0.4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58">
        <f si="24" t="shared"/>
        <v>-0.12591233227500001</v>
      </c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pageMargins bottom="0.75" footer="0.3" header="0.3" left="0.7" right="0.7" top="0.75"/>
  <pageSetup orientation="portrait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V64"/>
  <sheetViews>
    <sheetView topLeftCell="A13" workbookViewId="0">
      <selection activeCell="B17" sqref="B17:O31"/>
    </sheetView>
  </sheetViews>
  <sheetFormatPr defaultRowHeight="14.25" x14ac:dyDescent="0.45"/>
  <cols>
    <col min="2" max="2" customWidth="true" width="14.59765625" collapsed="true"/>
    <col min="3" max="3" bestFit="true" customWidth="true" width="11.59765625" collapsed="true"/>
    <col min="7" max="8" customWidth="true" width="7.73046875" collapsed="true"/>
    <col min="9" max="9" bestFit="true" customWidth="true" width="12.73046875" collapsed="true"/>
    <col min="12" max="12" bestFit="true" customWidth="true" width="6.0" collapsed="true"/>
    <col min="13" max="13" customWidth="true" width="9.3984375" collapsed="true"/>
    <col min="14" max="14" customWidth="true" width="12.265625" collapsed="true"/>
    <col min="15" max="15" customWidth="true" width="22.265625" collapsed="true"/>
    <col min="19" max="19" bestFit="true" customWidth="true" width="11.1328125" collapsed="true"/>
    <col min="21" max="21" bestFit="true" customWidth="true" width="11.265625" collapsed="true"/>
  </cols>
  <sheetData>
    <row ht="14.65" r="1" spans="2:21" thickBot="1" x14ac:dyDescent="0.5">
      <c r="B1" s="32" t="s">
        <v>71</v>
      </c>
      <c r="C1" s="1"/>
      <c r="D1" s="1"/>
      <c r="E1" s="1" t="s">
        <v>86</v>
      </c>
      <c r="F1" s="33">
        <v>1</v>
      </c>
      <c r="G1" s="1"/>
      <c r="H1" s="1"/>
      <c r="I1" s="1"/>
      <c r="R1" s="53" t="s">
        <v>172</v>
      </c>
      <c r="S1" s="54"/>
      <c r="T1" s="54"/>
      <c r="U1" s="54"/>
    </row>
    <row ht="14.65" r="2" spans="2:21" thickBot="1" x14ac:dyDescent="0.5">
      <c r="C2" s="79" t="s">
        <v>87</v>
      </c>
      <c r="D2" s="79"/>
      <c r="E2" s="79" t="s">
        <v>83</v>
      </c>
      <c r="F2" s="79"/>
      <c r="G2" s="7"/>
      <c r="H2" s="7"/>
      <c r="I2" s="7"/>
      <c r="L2" s="1"/>
      <c r="M2" s="1"/>
      <c r="N2" s="1"/>
      <c r="O2" s="1"/>
      <c r="R2" s="54"/>
      <c r="S2" s="54"/>
      <c r="T2" s="55" t="s">
        <v>170</v>
      </c>
      <c r="U2" s="55" t="s">
        <v>171</v>
      </c>
    </row>
    <row r="3" spans="2:21" x14ac:dyDescent="0.45">
      <c r="B3" s="27" t="s">
        <v>72</v>
      </c>
      <c r="C3" s="28" t="s">
        <v>48</v>
      </c>
      <c r="D3" s="28" t="s">
        <v>35</v>
      </c>
      <c r="E3" s="28" t="s">
        <v>48</v>
      </c>
      <c r="F3" s="28" t="s">
        <v>35</v>
      </c>
      <c r="G3" s="28" t="s">
        <v>84</v>
      </c>
      <c r="H3" s="28" t="s">
        <v>86</v>
      </c>
      <c r="I3" s="28" t="s">
        <v>85</v>
      </c>
      <c r="L3" s="62" t="s">
        <v>88</v>
      </c>
      <c r="M3" s="62" t="s">
        <v>89</v>
      </c>
      <c r="N3" s="63" t="s">
        <v>91</v>
      </c>
      <c r="O3" s="64" t="s">
        <v>195</v>
      </c>
      <c r="R3" s="60">
        <f>SchoolTourTime!B11</f>
        <v>11</v>
      </c>
      <c r="S3" s="60" t="str">
        <f>SchoolTourTime!C11</f>
        <v>arr3-5</v>
      </c>
      <c r="T3" s="60">
        <f>VLOOKUP(R3,SchoolTourTime!$B$11:$E$72,4,FALSE)</f>
        <v>-10</v>
      </c>
      <c r="U3" s="61">
        <f>_xlfn.IFNA(VLOOKUP(R3,$L$3:$N$29,3,FALSE),T3)</f>
        <v>-10</v>
      </c>
    </row>
    <row r="4" spans="2:21" x14ac:dyDescent="0.45">
      <c r="B4" t="s">
        <v>73</v>
      </c>
      <c r="C4" s="24">
        <f>SUM(Departure_Time!C9:C16)</f>
        <v>147.00066466541455</v>
      </c>
      <c r="D4" s="24">
        <f>SUM(Departure_Time!J9:J16)</f>
        <v>300.39396095275879</v>
      </c>
      <c r="E4" s="25">
        <f>C4/C$14</f>
        <v>5.4332812409638132E-4</v>
      </c>
      <c r="F4" s="25">
        <f>D4/D$14</f>
        <v>1.3509219452500236E-3</v>
      </c>
      <c r="G4" s="5">
        <f>E4/F4</f>
        <v>0.40219061212735291</v>
      </c>
      <c r="H4" s="5">
        <v>0</v>
      </c>
      <c r="I4" s="26">
        <f>H4*(LN(G4)-LN($G$8))</f>
        <v>0</v>
      </c>
      <c r="L4" s="65">
        <v>21</v>
      </c>
      <c r="M4" s="66">
        <f>VLOOKUP(L4,$R$3:$U$64,3,FALSE)</f>
        <v>-10</v>
      </c>
      <c r="N4" s="67">
        <f>I4+M4</f>
        <v>-10</v>
      </c>
      <c r="O4" s="65" t="str">
        <f>CONCATENATE("Departure ",B4)</f>
        <v>Departure 3-7 am</v>
      </c>
      <c r="R4" s="60">
        <f>SchoolTourTime!B12</f>
        <v>12</v>
      </c>
      <c r="S4" s="60" t="str">
        <f>SchoolTourTime!C12</f>
        <v>arr=6</v>
      </c>
      <c r="T4" s="60">
        <f>VLOOKUP(R4,SchoolTourTime!$B$11:$E$72,4,FALSE)</f>
        <v>-3.25373144395</v>
      </c>
      <c r="U4" s="61">
        <f ref="U4:U64" si="0" t="shared">_xlfn.IFNA(VLOOKUP(R4,$L$3:$N$29,3,FALSE),T4)</f>
        <v>-3.0598592707718142</v>
      </c>
    </row>
    <row r="5" spans="2:21" x14ac:dyDescent="0.45">
      <c r="B5" t="s">
        <v>74</v>
      </c>
      <c r="C5" s="24">
        <f>SUM(Departure_Time!C17:C22)</f>
        <v>2613.4557443044814</v>
      </c>
      <c r="D5" s="24">
        <f>SUM(Departure_Time!J17:J22)</f>
        <v>1495.4512557983398</v>
      </c>
      <c r="E5" s="25">
        <f ref="E5:E14" si="1" t="shared">C5/C$14</f>
        <v>9.6595754188854802E-3</v>
      </c>
      <c r="F5" s="25">
        <f ref="F5:F14" si="2" t="shared">D5/D$14</f>
        <v>6.7252947199807215E-3</v>
      </c>
      <c r="G5" s="5">
        <f ref="G5:G14" si="3" t="shared">E5/F5</f>
        <v>1.4363051466260752</v>
      </c>
      <c r="H5" s="5">
        <f ref="H5:H12" si="4" t="shared">$F$1</f>
        <v>1</v>
      </c>
      <c r="I5" s="26">
        <f ref="I5:I13" si="5" t="shared">H5*(LN(G5)-LN($G$8))</f>
        <v>0.34927854637315048</v>
      </c>
      <c r="L5" s="65">
        <v>22</v>
      </c>
      <c r="M5" s="65">
        <f ref="M5:M13" si="6" t="shared">VLOOKUP(L5,$R$3:$U$64,3,FALSE)</f>
        <v>-1.220998</v>
      </c>
      <c r="N5" s="67">
        <f ref="N5:N13" si="7" t="shared">I5+M5</f>
        <v>-0.87171945362684955</v>
      </c>
      <c r="O5" s="65" t="str">
        <f ref="O5:O13" si="8" t="shared">CONCATENATE("Departure ",B5)</f>
        <v>Departure 7-10 am</v>
      </c>
      <c r="R5" s="60">
        <f>SchoolTourTime!B13</f>
        <v>13</v>
      </c>
      <c r="S5" s="60" t="str">
        <f>SchoolTourTime!C13</f>
        <v>arr=7</v>
      </c>
      <c r="T5" s="60">
        <f>VLOOKUP(R5,SchoolTourTime!$B$11:$E$72,4,FALSE)</f>
        <v>-0.21597678247800001</v>
      </c>
      <c r="U5" s="61">
        <f si="0" t="shared"/>
        <v>-0.10355970815685267</v>
      </c>
    </row>
    <row r="6" spans="2:21" x14ac:dyDescent="0.45">
      <c r="B6" t="s">
        <v>75</v>
      </c>
      <c r="C6" s="24">
        <f>SUM(Departure_Time!C23:C28)</f>
        <v>20039.74857987657</v>
      </c>
      <c r="D6" s="24">
        <f>SUM(Departure_Time!J23:J28)</f>
        <v>16818.209897041321</v>
      </c>
      <c r="E6" s="25">
        <f si="1" t="shared"/>
        <v>7.4068773961327258E-2</v>
      </c>
      <c r="F6" s="25">
        <f si="2" t="shared"/>
        <v>7.5634306221313535E-2</v>
      </c>
      <c r="G6" s="5">
        <f si="3" t="shared"/>
        <v>0.97930129410580735</v>
      </c>
      <c r="H6" s="5">
        <f si="4" t="shared"/>
        <v>1</v>
      </c>
      <c r="I6" s="26">
        <f si="5" t="shared"/>
        <v>-3.3711326125155781E-2</v>
      </c>
      <c r="L6" s="65">
        <v>23</v>
      </c>
      <c r="M6" s="65">
        <f si="6" t="shared"/>
        <v>0.64485899999999996</v>
      </c>
      <c r="N6" s="67">
        <f si="7" t="shared"/>
        <v>0.61114767387484414</v>
      </c>
      <c r="O6" s="65" t="str">
        <f si="8" t="shared"/>
        <v>Departure 10 am - 1 pm</v>
      </c>
      <c r="R6" s="60">
        <f>SchoolTourTime!B14</f>
        <v>14</v>
      </c>
      <c r="S6" s="60" t="str">
        <f>SchoolTourTime!C14</f>
        <v>arr=8</v>
      </c>
      <c r="T6" s="60">
        <f>VLOOKUP(R6,SchoolTourTime!$B$11:$E$72,4,FALSE)</f>
        <v>0</v>
      </c>
      <c r="U6" s="61">
        <f si="0" t="shared"/>
        <v>0</v>
      </c>
    </row>
    <row r="7" spans="2:21" x14ac:dyDescent="0.45">
      <c r="B7" t="s">
        <v>76</v>
      </c>
      <c r="C7" s="24">
        <f>SUM(Departure_Time!C29:C32)</f>
        <v>88963.099134138625</v>
      </c>
      <c r="D7" s="24">
        <f>SUM(Departure_Time!J29:J32)</f>
        <v>75090.748047828674</v>
      </c>
      <c r="E7" s="25">
        <f si="1" t="shared"/>
        <v>0.32881588580819654</v>
      </c>
      <c r="F7" s="25">
        <f si="2" t="shared"/>
        <v>0.3376956683859742</v>
      </c>
      <c r="G7" s="5">
        <f si="3" t="shared"/>
        <v>0.97370477797296351</v>
      </c>
      <c r="H7" s="5">
        <f si="4" t="shared"/>
        <v>1</v>
      </c>
      <c r="I7" s="26">
        <f si="5" t="shared"/>
        <v>-3.9442523310595806E-2</v>
      </c>
      <c r="L7" s="65">
        <v>24</v>
      </c>
      <c r="M7" s="65">
        <f si="6" t="shared"/>
        <v>1.592598</v>
      </c>
      <c r="N7" s="67">
        <f si="7" t="shared"/>
        <v>1.5531554766894042</v>
      </c>
      <c r="O7" s="65" t="str">
        <f si="8" t="shared"/>
        <v>Departure 1-3 pm</v>
      </c>
      <c r="R7" s="60">
        <f>SchoolTourTime!B15</f>
        <v>15</v>
      </c>
      <c r="S7" s="60" t="str">
        <f>SchoolTourTime!C15</f>
        <v>arr=9</v>
      </c>
      <c r="T7" s="60">
        <f>VLOOKUP(R7,SchoolTourTime!$B$11:$E$72,4,FALSE)</f>
        <v>-1.2614952667399999</v>
      </c>
      <c r="U7" s="61">
        <f si="0" t="shared"/>
        <v>-1.3998946318611005</v>
      </c>
    </row>
    <row r="8" spans="2:21" x14ac:dyDescent="0.45">
      <c r="B8" t="s">
        <v>173</v>
      </c>
      <c r="C8" s="24">
        <f>SUM(Departure_Time!C33:C36)</f>
        <v>114587.94565613438</v>
      </c>
      <c r="D8" s="24">
        <f>SUM(Departure_Time!J33:J36)</f>
        <v>92979.196816444397</v>
      </c>
      <c r="E8" s="25">
        <f si="1" t="shared"/>
        <v>0.42352770104211285</v>
      </c>
      <c r="F8" s="25">
        <f si="2" t="shared"/>
        <v>0.41814301803094317</v>
      </c>
      <c r="G8" s="5">
        <f si="3" t="shared"/>
        <v>1.0128776107192377</v>
      </c>
      <c r="H8" s="5">
        <f si="4" t="shared"/>
        <v>1</v>
      </c>
      <c r="I8" s="26">
        <f si="5" t="shared"/>
        <v>0</v>
      </c>
      <c r="L8" s="65">
        <v>25</v>
      </c>
      <c r="M8" s="65">
        <f si="6" t="shared"/>
        <v>0</v>
      </c>
      <c r="N8" s="67">
        <f si="7" t="shared"/>
        <v>0</v>
      </c>
      <c r="O8" s="65" t="str">
        <f si="8" t="shared"/>
        <v>Departure 3-5 pm</v>
      </c>
      <c r="R8" s="60">
        <f>SchoolTourTime!B16</f>
        <v>16</v>
      </c>
      <c r="S8" s="60" t="str">
        <f>SchoolTourTime!C16</f>
        <v>arr10-12</v>
      </c>
      <c r="T8" s="60">
        <f>VLOOKUP(R8,SchoolTourTime!$B$11:$E$72,4,FALSE)</f>
        <v>-2.25578381447</v>
      </c>
      <c r="U8" s="61">
        <f si="0" t="shared"/>
        <v>-2.2986339765996431</v>
      </c>
    </row>
    <row r="9" spans="2:21" x14ac:dyDescent="0.45">
      <c r="B9" t="s">
        <v>77</v>
      </c>
      <c r="C9" s="24">
        <f>SUM(Departure_Time!C37:C38)</f>
        <v>22372.866664064444</v>
      </c>
      <c r="D9" s="24">
        <f>SUM(Departure_Time!J37:J38)</f>
        <v>18961.461633682251</v>
      </c>
      <c r="E9" s="25">
        <f si="1" t="shared"/>
        <v>8.2692195323825268E-2</v>
      </c>
      <c r="F9" s="25">
        <f si="2" t="shared"/>
        <v>8.5272868181881026E-2</v>
      </c>
      <c r="G9" s="5">
        <f si="3" t="shared"/>
        <v>0.96973629581039344</v>
      </c>
      <c r="H9" s="5">
        <f si="4" t="shared"/>
        <v>1</v>
      </c>
      <c r="I9" s="26">
        <f si="5" t="shared"/>
        <v>-4.3526503763543806E-2</v>
      </c>
      <c r="L9" s="65">
        <v>26</v>
      </c>
      <c r="M9" s="65">
        <f si="6" t="shared"/>
        <v>1.7683000000000001E-2</v>
      </c>
      <c r="N9" s="67">
        <f si="7" t="shared"/>
        <v>-2.5843503763543805E-2</v>
      </c>
      <c r="O9" s="65" t="str">
        <f si="8" t="shared"/>
        <v>Departure 5-6 pm</v>
      </c>
      <c r="R9" s="60">
        <f>SchoolTourTime!B17</f>
        <v>17</v>
      </c>
      <c r="S9" s="60" t="str">
        <f>SchoolTourTime!C17</f>
        <v>arr13-15</v>
      </c>
      <c r="T9" s="60">
        <f>VLOOKUP(R9,SchoolTourTime!$B$11:$E$72,4,FALSE)</f>
        <v>-2.9429385107799999</v>
      </c>
      <c r="U9" s="61">
        <f si="0" t="shared"/>
        <v>-2.7945698334332563</v>
      </c>
    </row>
    <row r="10" spans="2:21" x14ac:dyDescent="0.45">
      <c r="B10" t="s">
        <v>78</v>
      </c>
      <c r="C10" s="24">
        <f>SUM(Departure_Time!C39:C40)</f>
        <v>9840.4456027656161</v>
      </c>
      <c r="D10" s="24">
        <f>SUM(Departure_Time!J39:J40)</f>
        <v>7407.514946937561</v>
      </c>
      <c r="E10" s="25">
        <f si="1" t="shared"/>
        <v>3.6371201870361615E-2</v>
      </c>
      <c r="F10" s="25">
        <f si="2" t="shared"/>
        <v>3.3312835151034392E-2</v>
      </c>
      <c r="G10" s="5">
        <f si="3" t="shared"/>
        <v>1.0918074581602297</v>
      </c>
      <c r="H10" s="5">
        <f si="4" t="shared"/>
        <v>1</v>
      </c>
      <c r="I10" s="26">
        <f si="5" t="shared"/>
        <v>7.5039142081435736E-2</v>
      </c>
      <c r="L10" s="65">
        <v>27</v>
      </c>
      <c r="M10" s="65">
        <f si="6" t="shared"/>
        <v>-0.88386299999999995</v>
      </c>
      <c r="N10" s="67">
        <f si="7" t="shared"/>
        <v>-0.80882385791856426</v>
      </c>
      <c r="O10" s="65" t="str">
        <f si="8" t="shared"/>
        <v>Departure 6-7 pm</v>
      </c>
      <c r="R10" s="60">
        <f>SchoolTourTime!B18</f>
        <v>18</v>
      </c>
      <c r="S10" s="60" t="str">
        <f>SchoolTourTime!C18</f>
        <v>arr16-18</v>
      </c>
      <c r="T10" s="60">
        <f>VLOOKUP(R10,SchoolTourTime!$B$11:$E$72,4,FALSE)</f>
        <v>-2.0422750131099998</v>
      </c>
      <c r="U10" s="61">
        <f si="0" t="shared"/>
        <v>-1.871483419947906</v>
      </c>
    </row>
    <row r="11" spans="2:21" x14ac:dyDescent="0.45">
      <c r="B11" t="s">
        <v>79</v>
      </c>
      <c r="C11" s="24">
        <f>SUM(Departure_Time!C41:C44)</f>
        <v>8501.3088243858365</v>
      </c>
      <c r="D11" s="24">
        <f>SUM(Departure_Time!J41:J44)</f>
        <v>5195.2951431274414</v>
      </c>
      <c r="E11" s="25">
        <f si="1" t="shared"/>
        <v>3.1421627830260417E-2</v>
      </c>
      <c r="F11" s="25">
        <f si="2" t="shared"/>
        <v>2.3364112243273331E-2</v>
      </c>
      <c r="G11" s="5">
        <f si="3" t="shared"/>
        <v>1.344867183614344</v>
      </c>
      <c r="H11" s="5">
        <f si="4" t="shared"/>
        <v>1</v>
      </c>
      <c r="I11" s="26">
        <f si="5" t="shared"/>
        <v>0.28349986060682597</v>
      </c>
      <c r="L11" s="65">
        <v>28</v>
      </c>
      <c r="M11" s="65">
        <f si="6" t="shared"/>
        <v>-1.604725</v>
      </c>
      <c r="N11" s="67">
        <f si="7" t="shared"/>
        <v>-1.321225139393174</v>
      </c>
      <c r="O11" s="65" t="str">
        <f si="8" t="shared"/>
        <v>Departure 7-9 pm</v>
      </c>
      <c r="R11" s="60">
        <f>SchoolTourTime!B19</f>
        <v>19</v>
      </c>
      <c r="S11" s="60" t="str">
        <f>SchoolTourTime!C19</f>
        <v>arr19-21</v>
      </c>
      <c r="T11" s="60">
        <f>VLOOKUP(R11,SchoolTourTime!$B$11:$E$72,4,FALSE)</f>
        <v>-3.4674414305300001</v>
      </c>
      <c r="U11" s="61">
        <f si="0" t="shared"/>
        <v>-3.5090097241416118</v>
      </c>
    </row>
    <row r="12" spans="2:21" x14ac:dyDescent="0.45">
      <c r="B12" t="s">
        <v>80</v>
      </c>
      <c r="C12" s="24">
        <f>SUM(Departure_Time!C45:C50)</f>
        <v>3395.6918342641889</v>
      </c>
      <c r="D12" s="24">
        <f>SUM(Departure_Time!J45:J50)</f>
        <v>3410.9338550567627</v>
      </c>
      <c r="E12" s="25">
        <f si="1" t="shared"/>
        <v>1.2550792736342209E-2</v>
      </c>
      <c r="F12" s="25">
        <f si="2" t="shared"/>
        <v>1.5339540728374037E-2</v>
      </c>
      <c r="G12" s="5">
        <f si="3" t="shared"/>
        <v>0.81819872958299256</v>
      </c>
      <c r="H12" s="5">
        <f si="4" t="shared"/>
        <v>1</v>
      </c>
      <c r="I12" s="26">
        <f si="5" t="shared"/>
        <v>-0.21344542551436227</v>
      </c>
      <c r="L12" s="65">
        <v>29</v>
      </c>
      <c r="M12" s="65">
        <f si="6" t="shared"/>
        <v>-2.4918230000000001</v>
      </c>
      <c r="N12" s="67">
        <f si="7" t="shared"/>
        <v>-2.7052684255143622</v>
      </c>
      <c r="O12" s="65" t="str">
        <f si="8" t="shared"/>
        <v>Departure 9-12 pm</v>
      </c>
      <c r="R12" s="60">
        <f>SchoolTourTime!B20</f>
        <v>20</v>
      </c>
      <c r="S12" s="60" t="str">
        <f>SchoolTourTime!C20</f>
        <v>arr22-26</v>
      </c>
      <c r="T12" s="60">
        <f>VLOOKUP(R12,SchoolTourTime!$B$11:$E$72,4,FALSE)</f>
        <v>-10</v>
      </c>
      <c r="U12" s="61">
        <f si="0" t="shared"/>
        <v>-10</v>
      </c>
    </row>
    <row r="13" spans="2:21" x14ac:dyDescent="0.45">
      <c r="B13" s="19" t="s">
        <v>81</v>
      </c>
      <c r="C13" s="29">
        <f>SUM(Departure_Time!C51:C57)+Departure_Time!C8</f>
        <v>94.401814803843138</v>
      </c>
      <c r="D13" s="29">
        <f>SUM(Departure_Time!J51:J57)+Departure_Time!J8</f>
        <v>702.98347187042236</v>
      </c>
      <c r="E13" s="30">
        <f si="1" t="shared"/>
        <v>3.4891788459194344E-4</v>
      </c>
      <c r="F13" s="30">
        <f si="2" t="shared"/>
        <v>3.1614343919755305E-3</v>
      </c>
      <c r="G13" s="18">
        <f si="3" t="shared"/>
        <v>0.11036695415143825</v>
      </c>
      <c r="H13" s="18">
        <v>0</v>
      </c>
      <c r="I13" s="26">
        <f si="5" t="shared"/>
        <v>0</v>
      </c>
      <c r="L13" s="68">
        <v>30</v>
      </c>
      <c r="M13" s="68">
        <f si="6" t="shared"/>
        <v>-10</v>
      </c>
      <c r="N13" s="69">
        <f si="7" t="shared"/>
        <v>-10</v>
      </c>
      <c r="O13" s="68" t="str">
        <f si="8" t="shared"/>
        <v>Departure 12-3 am</v>
      </c>
      <c r="R13" s="60">
        <f>SchoolTourTime!B21</f>
        <v>21</v>
      </c>
      <c r="S13" s="60" t="str">
        <f>SchoolTourTime!C21</f>
        <v>dep3-6</v>
      </c>
      <c r="T13" s="60">
        <f>VLOOKUP(R13,SchoolTourTime!$B$11:$E$72,4,FALSE)</f>
        <v>-10</v>
      </c>
      <c r="U13" s="61">
        <f si="0" t="shared"/>
        <v>-10</v>
      </c>
    </row>
    <row ht="14.65" r="14" spans="2:21" thickBot="1" x14ac:dyDescent="0.5">
      <c r="B14" s="34" t="s">
        <v>82</v>
      </c>
      <c r="C14" s="35">
        <f>SUM(C4:C13)</f>
        <v>270555.96451940341</v>
      </c>
      <c r="D14" s="35">
        <f>SUM(D4:D13)</f>
        <v>222362.18902873993</v>
      </c>
      <c r="E14" s="36">
        <f si="1" t="shared"/>
        <v>1</v>
      </c>
      <c r="F14" s="36">
        <f si="2" t="shared"/>
        <v>1</v>
      </c>
      <c r="G14" s="37">
        <f si="3" t="shared"/>
        <v>1</v>
      </c>
      <c r="H14" s="37"/>
      <c r="I14" s="38"/>
      <c r="R14" s="60">
        <f>SchoolTourTime!B22</f>
        <v>22</v>
      </c>
      <c r="S14" s="60" t="str">
        <f>SchoolTourTime!C22</f>
        <v>dep7-9</v>
      </c>
      <c r="T14" s="60">
        <f>VLOOKUP(R14,SchoolTourTime!$B$11:$E$72,4,FALSE)</f>
        <v>-1.220998</v>
      </c>
      <c r="U14" s="61">
        <f si="0" t="shared"/>
        <v>-0.87171945362684955</v>
      </c>
    </row>
    <row r="15" spans="2:21" x14ac:dyDescent="0.45">
      <c r="R15" s="60">
        <f>SchoolTourTime!B23</f>
        <v>23</v>
      </c>
      <c r="S15" s="60" t="str">
        <f>SchoolTourTime!C23</f>
        <v>dep10-12</v>
      </c>
      <c r="T15" s="60">
        <f>VLOOKUP(R15,SchoolTourTime!$B$11:$E$72,4,FALSE)</f>
        <v>0.64485899999999996</v>
      </c>
      <c r="U15" s="61">
        <f si="0" t="shared"/>
        <v>0.61114767387484414</v>
      </c>
    </row>
    <row r="16" spans="2:21" x14ac:dyDescent="0.45">
      <c r="R16" s="60">
        <f>SchoolTourTime!B24</f>
        <v>24</v>
      </c>
      <c r="S16" s="60" t="str">
        <f>SchoolTourTime!C24</f>
        <v>dep13-14</v>
      </c>
      <c r="T16" s="60">
        <f>VLOOKUP(R16,SchoolTourTime!$B$11:$E$72,4,FALSE)</f>
        <v>1.592598</v>
      </c>
      <c r="U16" s="61">
        <f si="0" t="shared"/>
        <v>1.5531554766894042</v>
      </c>
    </row>
    <row ht="14.65" r="17" spans="2:21" thickBot="1" x14ac:dyDescent="0.5">
      <c r="B17" s="32" t="s">
        <v>223</v>
      </c>
      <c r="C17" s="1"/>
      <c r="D17" s="1"/>
      <c r="E17" s="1" t="s">
        <v>86</v>
      </c>
      <c r="F17" s="33">
        <v>1</v>
      </c>
      <c r="G17" s="1"/>
      <c r="H17" s="1"/>
      <c r="I17" s="1"/>
      <c r="R17" s="60">
        <f>SchoolTourTime!B25</f>
        <v>25</v>
      </c>
      <c r="S17" s="60" t="str">
        <f>SchoolTourTime!C25</f>
        <v>dep=16</v>
      </c>
      <c r="T17" s="60">
        <f>VLOOKUP(R17,SchoolTourTime!$B$11:$E$72,4,FALSE)</f>
        <v>0</v>
      </c>
      <c r="U17" s="61">
        <f si="0" t="shared"/>
        <v>0</v>
      </c>
    </row>
    <row ht="14.65" r="18" spans="2:21" thickBot="1" x14ac:dyDescent="0.5">
      <c r="C18" s="79" t="s">
        <v>87</v>
      </c>
      <c r="D18" s="79"/>
      <c r="E18" s="79" t="s">
        <v>83</v>
      </c>
      <c r="F18" s="79"/>
      <c r="G18" s="7"/>
      <c r="H18" s="7"/>
      <c r="I18" s="7"/>
      <c r="L18" s="1"/>
      <c r="M18" s="1"/>
      <c r="N18" s="1"/>
      <c r="O18" s="1"/>
      <c r="R18" s="60">
        <f>SchoolTourTime!B26</f>
        <v>26</v>
      </c>
      <c r="S18" s="60" t="str">
        <f>SchoolTourTime!C26</f>
        <v>dep=17</v>
      </c>
      <c r="T18" s="60">
        <f>VLOOKUP(R18,SchoolTourTime!$B$11:$E$72,4,FALSE)</f>
        <v>1.7683000000000001E-2</v>
      </c>
      <c r="U18" s="61">
        <f si="0" t="shared"/>
        <v>-2.5843503763543805E-2</v>
      </c>
    </row>
    <row r="19" spans="2:21" x14ac:dyDescent="0.45">
      <c r="B19" s="27" t="s">
        <v>72</v>
      </c>
      <c r="C19" s="28" t="s">
        <v>48</v>
      </c>
      <c r="D19" s="28" t="s">
        <v>35</v>
      </c>
      <c r="E19" s="28" t="s">
        <v>48</v>
      </c>
      <c r="F19" s="28" t="s">
        <v>35</v>
      </c>
      <c r="G19" s="28" t="s">
        <v>84</v>
      </c>
      <c r="H19" s="28" t="s">
        <v>86</v>
      </c>
      <c r="I19" s="28" t="s">
        <v>85</v>
      </c>
      <c r="L19" s="62" t="s">
        <v>88</v>
      </c>
      <c r="M19" s="62" t="s">
        <v>89</v>
      </c>
      <c r="N19" s="63" t="s">
        <v>91</v>
      </c>
      <c r="O19" s="64" t="s">
        <v>195</v>
      </c>
      <c r="R19" s="60">
        <f>SchoolTourTime!B27</f>
        <v>27</v>
      </c>
      <c r="S19" s="60" t="str">
        <f>SchoolTourTime!C27</f>
        <v>dep=18</v>
      </c>
      <c r="T19" s="60">
        <f>VLOOKUP(R19,SchoolTourTime!$B$11:$E$72,4,FALSE)</f>
        <v>-0.88386299999999995</v>
      </c>
      <c r="U19" s="61">
        <f si="0" t="shared"/>
        <v>-0.80882385791856426</v>
      </c>
    </row>
    <row r="20" spans="2:21" x14ac:dyDescent="0.45">
      <c r="B20" t="s">
        <v>224</v>
      </c>
      <c r="C20" s="24">
        <f>SUM(Arrival_Time!C9:C14)</f>
        <v>21727.746362389131</v>
      </c>
      <c r="D20" s="24">
        <f>SUM(Arrival_Time!J9:J14)</f>
        <v>14865.190089225769</v>
      </c>
      <c r="E20" s="25">
        <f>C20/C$14</f>
        <v>8.0307770708307136E-2</v>
      </c>
      <c r="F20" s="25">
        <f>D20/D$14</f>
        <v>6.6851249100198726E-2</v>
      </c>
      <c r="G20" s="5">
        <f>E20/F20</f>
        <v>1.201290503756173</v>
      </c>
      <c r="H20" s="5">
        <v>0</v>
      </c>
      <c r="I20" s="26">
        <f>H20*(LN(G20)-LN($G$23))</f>
        <v>0</v>
      </c>
      <c r="L20" s="65">
        <v>11</v>
      </c>
      <c r="M20" s="66">
        <f>VLOOKUP(L20,$R$3:$U$64,3,FALSE)</f>
        <v>-10</v>
      </c>
      <c r="N20" s="67">
        <f>I20+M20</f>
        <v>-10</v>
      </c>
      <c r="O20" s="66" t="str">
        <f>CONCATENATE("Arrival ",B20)</f>
        <v>Arrival 3-6 am</v>
      </c>
      <c r="R20" s="60">
        <f>SchoolTourTime!B28</f>
        <v>28</v>
      </c>
      <c r="S20" s="60" t="str">
        <f>SchoolTourTime!C28</f>
        <v>dep19-20</v>
      </c>
      <c r="T20" s="60">
        <f>VLOOKUP(R20,SchoolTourTime!$B$11:$E$72,4,FALSE)</f>
        <v>-1.604725</v>
      </c>
      <c r="U20" s="61">
        <f si="0" t="shared"/>
        <v>-1.321225139393174</v>
      </c>
    </row>
    <row r="21" spans="2:21" x14ac:dyDescent="0.45">
      <c r="B21" t="s">
        <v>225</v>
      </c>
      <c r="C21" s="24">
        <f>SUM(Arrival_Time!C15:C16)</f>
        <v>50436.580119351624</v>
      </c>
      <c r="D21" s="24">
        <f>SUM(Arrival_Time!J15:J16)</f>
        <v>36694.7506980896</v>
      </c>
      <c r="E21" s="25">
        <f ref="E21:E30" si="9" t="shared">C21/C$14</f>
        <v>0.18641828949860195</v>
      </c>
      <c r="F21" s="25">
        <f ref="F21:F30" si="10" t="shared">D21/D$14</f>
        <v>0.16502243865456309</v>
      </c>
      <c r="G21" s="5">
        <f ref="G21:G30" si="11" t="shared">E21/F21</f>
        <v>1.1296541913843983</v>
      </c>
      <c r="H21" s="5">
        <f ref="H21:H28" si="12" t="shared">$F$1</f>
        <v>1</v>
      </c>
      <c r="I21" s="26">
        <f ref="I21:I29" si="13" t="shared">H21*(LN(G21)-LN($G$23))</f>
        <v>0.19387217317818606</v>
      </c>
      <c r="L21" s="65">
        <v>12</v>
      </c>
      <c r="M21" s="65">
        <f ref="M21:M29" si="14" t="shared">VLOOKUP(L21,$R$3:$U$64,3,FALSE)</f>
        <v>-3.25373144395</v>
      </c>
      <c r="N21" s="67">
        <f ref="N21:N29" si="15" t="shared">I21+M21</f>
        <v>-3.0598592707718142</v>
      </c>
      <c r="O21" s="65" t="str">
        <f ref="O21:O29" si="16" t="shared">CONCATENATE("Arrival ",B21)</f>
        <v>Arrival 6-7 am</v>
      </c>
      <c r="R21" s="60">
        <f>SchoolTourTime!B29</f>
        <v>29</v>
      </c>
      <c r="S21" s="60" t="str">
        <f>SchoolTourTime!C29</f>
        <v>dep21-23</v>
      </c>
      <c r="T21" s="60">
        <f>VLOOKUP(R21,SchoolTourTime!$B$11:$E$72,4,FALSE)</f>
        <v>-2.4918230000000001</v>
      </c>
      <c r="U21" s="61">
        <f si="0" t="shared"/>
        <v>-2.7052684255143622</v>
      </c>
    </row>
    <row r="22" spans="2:21" x14ac:dyDescent="0.45">
      <c r="B22" t="s">
        <v>226</v>
      </c>
      <c r="C22" s="24">
        <f>SUM(Arrival_Time!C17:C18)</f>
        <v>75100.255063116696</v>
      </c>
      <c r="D22" s="24">
        <f>SUM(Arrival_Time!J17:J18)</f>
        <v>59275.499466896057</v>
      </c>
      <c r="E22" s="25">
        <f si="9" t="shared"/>
        <v>0.27757752521375573</v>
      </c>
      <c r="F22" s="25">
        <f si="10" t="shared"/>
        <v>0.26657184715533988</v>
      </c>
      <c r="G22" s="5">
        <f si="11" t="shared"/>
        <v>1.0412859729032169</v>
      </c>
      <c r="H22" s="5">
        <f si="12" t="shared"/>
        <v>1</v>
      </c>
      <c r="I22" s="26">
        <f si="13" t="shared"/>
        <v>0.11241707432114734</v>
      </c>
      <c r="L22" s="65">
        <v>13</v>
      </c>
      <c r="M22" s="65">
        <f si="14" t="shared"/>
        <v>-0.21597678247800001</v>
      </c>
      <c r="N22" s="67">
        <f si="15" t="shared"/>
        <v>-0.10355970815685267</v>
      </c>
      <c r="O22" s="65" t="str">
        <f si="16" t="shared"/>
        <v>Arrival 7-8 am</v>
      </c>
      <c r="R22" s="60">
        <f>SchoolTourTime!B30</f>
        <v>30</v>
      </c>
      <c r="S22" s="60" t="str">
        <f>SchoolTourTime!C30</f>
        <v>dep24-26</v>
      </c>
      <c r="T22" s="60">
        <f>VLOOKUP(R22,SchoolTourTime!$B$11:$E$72,4,FALSE)</f>
        <v>-10</v>
      </c>
      <c r="U22" s="61">
        <f si="0" t="shared"/>
        <v>-10</v>
      </c>
    </row>
    <row r="23" spans="2:21" x14ac:dyDescent="0.45">
      <c r="B23" t="s">
        <v>227</v>
      </c>
      <c r="C23" s="24">
        <f>SUM(Arrival_Time!C19:C20)</f>
        <v>61866.060871889684</v>
      </c>
      <c r="D23" s="24">
        <f>SUM(Arrival_Time!J19:J20)</f>
        <v>54639.710510253906</v>
      </c>
      <c r="E23" s="25">
        <f si="9" t="shared"/>
        <v>0.2286627130242137</v>
      </c>
      <c r="F23" s="25">
        <f si="10" t="shared"/>
        <v>0.24572392792549735</v>
      </c>
      <c r="G23" s="5">
        <f si="11" t="shared"/>
        <v>0.93056754771372308</v>
      </c>
      <c r="H23" s="5">
        <f si="12" t="shared"/>
        <v>1</v>
      </c>
      <c r="I23" s="26">
        <f si="13" t="shared"/>
        <v>0</v>
      </c>
      <c r="L23" s="65">
        <v>14</v>
      </c>
      <c r="M23" s="65">
        <f si="14" t="shared"/>
        <v>0</v>
      </c>
      <c r="N23" s="67">
        <f si="15" t="shared"/>
        <v>0</v>
      </c>
      <c r="O23" s="65" t="str">
        <f si="16" t="shared"/>
        <v>Arrival 8-9 am</v>
      </c>
      <c r="R23">
        <f>SchoolTourTime!B31</f>
        <v>31</v>
      </c>
      <c r="S23" t="str">
        <f>SchoolTourTime!C31</f>
        <v>dur0-2</v>
      </c>
      <c r="T23">
        <f>VLOOKUP(R23,SchoolTourTime!$B$11:$E$72,4,FALSE)</f>
        <v>-1.672868</v>
      </c>
      <c r="U23" s="58">
        <f si="0" t="shared"/>
        <v>-1.672868</v>
      </c>
    </row>
    <row r="24" spans="2:21" x14ac:dyDescent="0.45">
      <c r="B24" t="s">
        <v>228</v>
      </c>
      <c r="C24" s="24">
        <f>SUM(Arrival_Time!C21:C22)</f>
        <v>29173.621019906976</v>
      </c>
      <c r="D24" s="24">
        <f>SUM(Arrival_Time!J21:J22)</f>
        <v>29590.502660751343</v>
      </c>
      <c r="E24" s="25">
        <f si="9" t="shared"/>
        <v>0.10782841572806921</v>
      </c>
      <c r="F24" s="25">
        <f si="10" t="shared"/>
        <v>0.13307344557993545</v>
      </c>
      <c r="G24" s="5">
        <f si="11" t="shared"/>
        <v>0.81029250620326143</v>
      </c>
      <c r="H24" s="5">
        <f si="12" t="shared"/>
        <v>1</v>
      </c>
      <c r="I24" s="26">
        <f si="13" t="shared"/>
        <v>-0.13839936512110074</v>
      </c>
      <c r="L24" s="65">
        <v>15</v>
      </c>
      <c r="M24" s="65">
        <f si="14" t="shared"/>
        <v>-1.2614952667399999</v>
      </c>
      <c r="N24" s="67">
        <f si="15" t="shared"/>
        <v>-1.3998946318611005</v>
      </c>
      <c r="O24" s="65" t="str">
        <f si="16" t="shared"/>
        <v>Arrival 9-10 am</v>
      </c>
      <c r="R24">
        <f>SchoolTourTime!B32</f>
        <v>32</v>
      </c>
      <c r="S24" t="str">
        <f>SchoolTourTime!C32</f>
        <v>dur3-4</v>
      </c>
      <c r="T24">
        <f>VLOOKUP(R24,SchoolTourTime!$B$11:$E$72,4,FALSE)</f>
        <v>-1.041045</v>
      </c>
      <c r="U24" s="58">
        <f si="0" t="shared"/>
        <v>-1.041045</v>
      </c>
    </row>
    <row r="25" spans="2:21" x14ac:dyDescent="0.45">
      <c r="B25" t="s">
        <v>232</v>
      </c>
      <c r="C25" s="24">
        <f>SUM(Arrival_Time!C23:C28)</f>
        <v>14579.39781285049</v>
      </c>
      <c r="D25" s="24">
        <f>SUM(Arrival_Time!J23:J28)</f>
        <v>13440.180472373962</v>
      </c>
      <c r="E25" s="25">
        <f si="9" t="shared"/>
        <v>5.3886809846341061E-2</v>
      </c>
      <c r="F25" s="25">
        <f si="10" t="shared"/>
        <v>6.0442742226453086E-2</v>
      </c>
      <c r="G25" s="5">
        <f si="11" t="shared"/>
        <v>0.89153482885422786</v>
      </c>
      <c r="H25" s="5">
        <f si="12" t="shared"/>
        <v>1</v>
      </c>
      <c r="I25" s="26">
        <f si="13" t="shared"/>
        <v>-4.2850162129643043E-2</v>
      </c>
      <c r="L25" s="65">
        <v>16</v>
      </c>
      <c r="M25" s="65">
        <f si="14" t="shared"/>
        <v>-2.25578381447</v>
      </c>
      <c r="N25" s="67">
        <f si="15" t="shared"/>
        <v>-2.2986339765996431</v>
      </c>
      <c r="O25" s="65" t="str">
        <f si="16" t="shared"/>
        <v>Arrival 10 am-1 pm</v>
      </c>
      <c r="R25">
        <f>SchoolTourTime!B33</f>
        <v>33</v>
      </c>
      <c r="S25" t="str">
        <f>SchoolTourTime!C33</f>
        <v>dur5-6</v>
      </c>
      <c r="T25">
        <f>VLOOKUP(R25,SchoolTourTime!$B$11:$E$72,4,FALSE)</f>
        <v>-0.617788</v>
      </c>
      <c r="U25" s="58">
        <f si="0" t="shared"/>
        <v>-0.617788</v>
      </c>
    </row>
    <row r="26" spans="2:21" x14ac:dyDescent="0.45">
      <c r="B26" t="s">
        <v>229</v>
      </c>
      <c r="C26" s="24">
        <f>SUM(Arrival_Time!C29:C34)</f>
        <v>5655.2316303477601</v>
      </c>
      <c r="D26" s="24">
        <f>SUM(Arrival_Time!J29:J34)</f>
        <v>4305.9662847518921</v>
      </c>
      <c r="E26" s="25">
        <f si="9" t="shared"/>
        <v>2.0902261905012206E-2</v>
      </c>
      <c r="F26" s="25">
        <f si="10" t="shared"/>
        <v>1.9364651443485086E-2</v>
      </c>
      <c r="G26" s="5">
        <f si="11" t="shared"/>
        <v>1.0794029505779936</v>
      </c>
      <c r="H26" s="5">
        <f si="12" t="shared"/>
        <v>1</v>
      </c>
      <c r="I26" s="26">
        <f si="13" t="shared"/>
        <v>0.14836867734674369</v>
      </c>
      <c r="L26" s="65">
        <v>17</v>
      </c>
      <c r="M26" s="65">
        <f si="14" t="shared"/>
        <v>-2.9429385107799999</v>
      </c>
      <c r="N26" s="67">
        <f si="15" t="shared"/>
        <v>-2.7945698334332563</v>
      </c>
      <c r="O26" s="65" t="str">
        <f si="16" t="shared"/>
        <v>Arrival 1-4 pm</v>
      </c>
      <c r="R26">
        <f>SchoolTourTime!B34</f>
        <v>34</v>
      </c>
      <c r="S26" t="str">
        <f>SchoolTourTime!C34</f>
        <v>dur7-8</v>
      </c>
      <c r="T26">
        <f>VLOOKUP(R26,SchoolTourTime!$B$11:$E$72,4,FALSE)</f>
        <v>-0.160163</v>
      </c>
      <c r="U26" s="58">
        <f si="0" t="shared"/>
        <v>-0.160163</v>
      </c>
    </row>
    <row r="27" spans="2:21" x14ac:dyDescent="0.45">
      <c r="B27" t="s">
        <v>230</v>
      </c>
      <c r="C27" s="24">
        <f>SUM(Arrival_Time!C35:C40)</f>
        <v>10060.858201996842</v>
      </c>
      <c r="D27" s="24">
        <f>SUM(Arrival_Time!J35:J40)</f>
        <v>7490.6086330413818</v>
      </c>
      <c r="E27" s="25">
        <f si="9" t="shared"/>
        <v>3.7185867330140891E-2</v>
      </c>
      <c r="F27" s="25">
        <f si="10" t="shared"/>
        <v>3.3686521372000136E-2</v>
      </c>
      <c r="G27" s="5">
        <f si="11" t="shared"/>
        <v>1.1038797066487658</v>
      </c>
      <c r="H27" s="5">
        <f si="12" t="shared"/>
        <v>1</v>
      </c>
      <c r="I27" s="26">
        <f si="13" t="shared"/>
        <v>0.17079159316209375</v>
      </c>
      <c r="L27" s="65">
        <v>18</v>
      </c>
      <c r="M27" s="65">
        <f si="14" t="shared"/>
        <v>-2.0422750131099998</v>
      </c>
      <c r="N27" s="67">
        <f si="15" t="shared"/>
        <v>-1.871483419947906</v>
      </c>
      <c r="O27" s="65" t="str">
        <f si="16" t="shared"/>
        <v>Arrival 4-7 pm</v>
      </c>
      <c r="R27">
        <f>SchoolTourTime!B35</f>
        <v>35</v>
      </c>
      <c r="S27" t="str">
        <f>SchoolTourTime!C35</f>
        <v>dur=9</v>
      </c>
      <c r="T27">
        <f>VLOOKUP(R27,SchoolTourTime!$B$11:$E$72,4,FALSE)</f>
        <v>-7.2091000000000002E-2</v>
      </c>
      <c r="U27" s="58">
        <f si="0" t="shared"/>
        <v>-7.2091000000000002E-2</v>
      </c>
    </row>
    <row r="28" spans="2:21" x14ac:dyDescent="0.45">
      <c r="B28" t="s">
        <v>79</v>
      </c>
      <c r="C28" s="24">
        <f>SUM(Arrival_Time!C41:C44)</f>
        <v>1812.330403125</v>
      </c>
      <c r="D28" s="24">
        <f>SUM(Arrival_Time!J41:J44)</f>
        <v>1668.5767269134521</v>
      </c>
      <c r="E28" s="25">
        <f si="9" t="shared"/>
        <v>6.6985416726786868E-3</v>
      </c>
      <c r="F28" s="25">
        <f si="10" t="shared"/>
        <v>7.5038689545271183E-3</v>
      </c>
      <c r="G28" s="5">
        <f si="11" t="shared"/>
        <v>0.89267839207632027</v>
      </c>
      <c r="H28" s="5">
        <f si="12" t="shared"/>
        <v>1</v>
      </c>
      <c r="I28" s="26">
        <f si="13" t="shared"/>
        <v>-4.1568293611611712E-2</v>
      </c>
      <c r="L28" s="65">
        <v>19</v>
      </c>
      <c r="M28" s="65">
        <f si="14" t="shared"/>
        <v>-3.4674414305300001</v>
      </c>
      <c r="N28" s="67">
        <f si="15" t="shared"/>
        <v>-3.5090097241416118</v>
      </c>
      <c r="O28" s="65" t="str">
        <f si="16" t="shared"/>
        <v>Arrival 7-9 pm</v>
      </c>
      <c r="R28">
        <f>SchoolTourTime!B36</f>
        <v>36</v>
      </c>
      <c r="S28" t="str">
        <f>SchoolTourTime!C36</f>
        <v>dur=10</v>
      </c>
      <c r="T28">
        <f>VLOOKUP(R28,SchoolTourTime!$B$11:$E$72,4,FALSE)</f>
        <v>-0.79294299999999995</v>
      </c>
      <c r="U28" s="58">
        <f si="0" t="shared"/>
        <v>-0.79294299999999995</v>
      </c>
    </row>
    <row r="29" spans="2:21" x14ac:dyDescent="0.45">
      <c r="B29" s="19" t="s">
        <v>231</v>
      </c>
      <c r="C29" s="29">
        <f>SUM(Arrival_Time!C45:C57)+Arrival_Time!C8</f>
        <v>133.43271709391132</v>
      </c>
      <c r="D29" s="29">
        <f>SUM(Arrival_Time!J45:J57)+Arrival_Time!J8</f>
        <v>379.66172981262207</v>
      </c>
      <c r="E29" s="30">
        <f si="9" t="shared"/>
        <v>4.9317972838237671E-4</v>
      </c>
      <c r="F29" s="30">
        <f si="10" t="shared"/>
        <v>1.7074023756959483E-3</v>
      </c>
      <c r="G29" s="18">
        <f si="11" t="shared"/>
        <v>0.28884798065327361</v>
      </c>
      <c r="H29" s="18">
        <v>0</v>
      </c>
      <c r="I29" s="26">
        <f si="13" t="shared"/>
        <v>0</v>
      </c>
      <c r="L29" s="68">
        <v>20</v>
      </c>
      <c r="M29" s="68">
        <f si="14" t="shared"/>
        <v>-10</v>
      </c>
      <c r="N29" s="69">
        <f si="15" t="shared"/>
        <v>-10</v>
      </c>
      <c r="O29" s="68" t="str">
        <f si="16" t="shared"/>
        <v>Arrival 9 pm-3 am</v>
      </c>
      <c r="R29">
        <f>SchoolTourTime!B37</f>
        <v>37</v>
      </c>
      <c r="S29" t="str">
        <f>SchoolTourTime!C37</f>
        <v>dur=11</v>
      </c>
      <c r="T29">
        <f>VLOOKUP(R29,SchoolTourTime!$B$11:$E$72,4,FALSE)</f>
        <v>-1.8158650000000001</v>
      </c>
      <c r="U29" s="58">
        <f si="0" t="shared"/>
        <v>-1.8158650000000001</v>
      </c>
    </row>
    <row ht="14.65" r="30" spans="2:21" thickBot="1" x14ac:dyDescent="0.5">
      <c r="B30" s="34" t="s">
        <v>82</v>
      </c>
      <c r="C30" s="35">
        <f>SUM(C20:C29)</f>
        <v>270545.51420206804</v>
      </c>
      <c r="D30" s="35">
        <f>SUM(D20:D29)</f>
        <v>222350.64727210999</v>
      </c>
      <c r="E30" s="36">
        <f si="9" t="shared"/>
        <v>0.99996137465550261</v>
      </c>
      <c r="F30" s="36">
        <f si="10" t="shared"/>
        <v>0.99994809478769586</v>
      </c>
      <c r="G30" s="37">
        <f si="11" t="shared"/>
        <v>1.0000132805571369</v>
      </c>
      <c r="H30" s="37"/>
      <c r="I30" s="38"/>
      <c r="R30">
        <f>SchoolTourTime!B38</f>
        <v>38</v>
      </c>
      <c r="S30" t="str">
        <f>SchoolTourTime!C38</f>
        <v>dur12-13</v>
      </c>
      <c r="T30">
        <f>VLOOKUP(R30,SchoolTourTime!$B$11:$E$72,4,FALSE)</f>
        <v>-3.215354</v>
      </c>
      <c r="U30" s="58">
        <f si="0" t="shared"/>
        <v>-3.215354</v>
      </c>
    </row>
    <row r="31" spans="2:21" x14ac:dyDescent="0.45">
      <c r="R31">
        <f>SchoolTourTime!B39</f>
        <v>39</v>
      </c>
      <c r="S31" t="str">
        <f>SchoolTourTime!C39</f>
        <v>dur14-17</v>
      </c>
      <c r="T31">
        <f>VLOOKUP(R31,SchoolTourTime!$B$11:$E$72,4,FALSE)</f>
        <v>-5.0070750000000004</v>
      </c>
      <c r="U31" s="58">
        <f si="0" t="shared"/>
        <v>-5.0070750000000004</v>
      </c>
    </row>
    <row r="32" spans="2:21" x14ac:dyDescent="0.45">
      <c r="R32">
        <f>SchoolTourTime!B40</f>
        <v>40</v>
      </c>
      <c r="S32" t="str">
        <f>SchoolTourTime!C40</f>
        <v>dur18-23</v>
      </c>
      <c r="T32">
        <f>VLOOKUP(R32,SchoolTourTime!$B$11:$E$72,4,FALSE)</f>
        <v>-10</v>
      </c>
      <c r="U32" s="58">
        <f si="0" t="shared"/>
        <v>-10</v>
      </c>
    </row>
    <row r="33" spans="2:21" x14ac:dyDescent="0.45">
      <c r="B33" s="70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58">
        <f si="0" t="shared"/>
        <v>0.28932022582700001</v>
      </c>
    </row>
    <row ht="14.65" r="34" spans="2:21" thickBot="1" x14ac:dyDescent="0.5">
      <c r="B34" s="32" t="s">
        <v>61</v>
      </c>
      <c r="C34" s="1"/>
      <c r="D34" s="1"/>
      <c r="E34" s="1" t="s">
        <v>86</v>
      </c>
      <c r="F34" s="33">
        <v>0</v>
      </c>
      <c r="G34" s="1"/>
      <c r="H34" s="1"/>
      <c r="I34" s="1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58">
        <f si="0" t="shared"/>
        <v>-0.126020317947</v>
      </c>
    </row>
    <row ht="14.65" r="35" spans="2:21" thickBot="1" x14ac:dyDescent="0.5">
      <c r="B35" s="7"/>
      <c r="C35" s="79" t="s">
        <v>87</v>
      </c>
      <c r="D35" s="79"/>
      <c r="E35" s="79" t="s">
        <v>83</v>
      </c>
      <c r="F35" s="79"/>
      <c r="G35" s="7"/>
      <c r="H35" s="7"/>
      <c r="I35" s="7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58">
        <f si="0" t="shared"/>
        <v>0.21889169970399999</v>
      </c>
    </row>
    <row r="36" spans="2:21" x14ac:dyDescent="0.45">
      <c r="B36" s="27" t="s">
        <v>14</v>
      </c>
      <c r="C36" s="28" t="s">
        <v>48</v>
      </c>
      <c r="D36" s="28" t="s">
        <v>35</v>
      </c>
      <c r="E36" s="28" t="s">
        <v>48</v>
      </c>
      <c r="F36" s="28" t="s">
        <v>35</v>
      </c>
      <c r="G36" s="28" t="s">
        <v>84</v>
      </c>
      <c r="H36" s="28" t="s">
        <v>86</v>
      </c>
      <c r="I36" s="28" t="s">
        <v>85</v>
      </c>
      <c r="L36" s="28" t="s">
        <v>88</v>
      </c>
      <c r="M36" s="62" t="s">
        <v>89</v>
      </c>
      <c r="N36" s="63" t="s">
        <v>91</v>
      </c>
      <c r="O36" s="77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58">
        <f si="0" t="shared"/>
        <v>-0.130191110389</v>
      </c>
    </row>
    <row r="37" spans="2:21" x14ac:dyDescent="0.45">
      <c r="B37" t="s">
        <v>62</v>
      </c>
      <c r="C37" s="24">
        <f>SUM(Duration!C8:C13)</f>
        <v>19404.35464731379</v>
      </c>
      <c r="D37" s="24">
        <f>SUM(Duration!J7:J12)</f>
        <v>15902.812013626099</v>
      </c>
      <c r="E37" s="25">
        <f ref="E37:E47" si="17" t="shared">C37/C$47</f>
        <v>7.2537110326404836E-2</v>
      </c>
      <c r="F37" s="25">
        <f ref="F37:F47" si="18" t="shared">D37/D$47</f>
        <v>7.0180115187742059E-2</v>
      </c>
      <c r="G37" s="5">
        <f>E37/F37</f>
        <v>1.0335849425775017</v>
      </c>
      <c r="H37" s="5">
        <f>$F$1</f>
        <v>1</v>
      </c>
      <c r="I37" s="57">
        <f ref="I37:I46" si="19" t="shared">H37*(LN(G37)-LN($G$40))</f>
        <v>-5.423574907729746E-3</v>
      </c>
      <c r="L37">
        <v>31</v>
      </c>
      <c r="M37" s="66">
        <f>VLOOKUP(L37,$R$3:$U$64,3,FALSE)</f>
        <v>-1.672868</v>
      </c>
      <c r="N37" s="67">
        <f>I37+M37</f>
        <v>-1.6782915749077298</v>
      </c>
      <c r="O37" s="65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58">
        <f si="0" t="shared"/>
        <v>0.16568715041199999</v>
      </c>
    </row>
    <row r="38" spans="2:21" x14ac:dyDescent="0.45">
      <c r="B38" t="s">
        <v>63</v>
      </c>
      <c r="C38" s="24">
        <f>SUM(Duration!C14:C17)</f>
        <v>16968.89495408849</v>
      </c>
      <c r="D38" s="24">
        <f>SUM(Duration!J13:J16)</f>
        <v>12425.625323295593</v>
      </c>
      <c r="E38" s="25">
        <f si="17" t="shared"/>
        <v>6.3432906055048074E-2</v>
      </c>
      <c r="F38" s="25">
        <f si="18" t="shared"/>
        <v>5.4835070409020831E-2</v>
      </c>
      <c r="G38" s="5">
        <f ref="G38:G47" si="20" t="shared">E38/F38</f>
        <v>1.156794467152044</v>
      </c>
      <c r="H38" s="5">
        <f ref="H38:H45" si="21" t="shared">$F$1</f>
        <v>1</v>
      </c>
      <c r="I38" s="26">
        <f si="19" t="shared"/>
        <v>0.10719592861213713</v>
      </c>
      <c r="L38">
        <v>32</v>
      </c>
      <c r="M38" s="65">
        <f ref="M38:M46" si="22" t="shared">VLOOKUP(L38,$R$3:$U$64,3,FALSE)</f>
        <v>-1.041045</v>
      </c>
      <c r="N38" s="67">
        <f ref="N38:N46" si="23" t="shared">I38+M38</f>
        <v>-0.93384907138786288</v>
      </c>
      <c r="O38" s="65" t="str">
        <f ref="O38:O46" si="24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58">
        <f si="0" t="shared"/>
        <v>-7.5649381697400001E-2</v>
      </c>
    </row>
    <row r="39" spans="2:21" x14ac:dyDescent="0.45">
      <c r="B39" t="s">
        <v>64</v>
      </c>
      <c r="C39" s="24">
        <f>SUM(Duration!C18:C21)</f>
        <v>70996.290256605906</v>
      </c>
      <c r="D39" s="24">
        <f>SUM(Duration!J17:J20)</f>
        <v>53233.511229515076</v>
      </c>
      <c r="E39" s="25">
        <f si="17" t="shared"/>
        <v>0.26539742406850908</v>
      </c>
      <c r="F39" s="25">
        <f si="18" t="shared"/>
        <v>0.23492285180345757</v>
      </c>
      <c r="G39" s="5">
        <f si="20" t="shared"/>
        <v>1.1297216172505318</v>
      </c>
      <c r="H39" s="5">
        <f si="21" t="shared"/>
        <v>1</v>
      </c>
      <c r="I39" s="26">
        <f si="19" t="shared"/>
        <v>8.3514385049971024E-2</v>
      </c>
      <c r="L39">
        <v>33</v>
      </c>
      <c r="M39" s="65">
        <f si="22" t="shared"/>
        <v>-0.617788</v>
      </c>
      <c r="N39" s="67">
        <f si="23" t="shared"/>
        <v>-0.53427361495002901</v>
      </c>
      <c r="O39" s="65" t="str">
        <f si="24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58">
        <f si="0" t="shared"/>
        <v>-6.2615357102599994E-2</v>
      </c>
    </row>
    <row r="40" spans="2:21" x14ac:dyDescent="0.45">
      <c r="B40" t="s">
        <v>65</v>
      </c>
      <c r="C40" s="24">
        <f>SUM(Duration!C22:C25)</f>
        <v>118835.60997014157</v>
      </c>
      <c r="D40" s="24">
        <f>SUM(Duration!J21:J24)</f>
        <v>96864.779181480408</v>
      </c>
      <c r="E40" s="25">
        <f si="17" t="shared"/>
        <v>0.44422975707172346</v>
      </c>
      <c r="F40" s="25">
        <f si="18" t="shared"/>
        <v>0.4274703967302601</v>
      </c>
      <c r="G40" s="5">
        <f si="20" t="shared"/>
        <v>1.0392058969922982</v>
      </c>
      <c r="H40" s="5">
        <f si="21" t="shared"/>
        <v>1</v>
      </c>
      <c r="I40" s="26">
        <f si="19" t="shared"/>
        <v>0</v>
      </c>
      <c r="L40">
        <v>34</v>
      </c>
      <c r="M40" s="65">
        <f si="22" t="shared"/>
        <v>-0.160163</v>
      </c>
      <c r="N40" s="67">
        <f si="23" t="shared"/>
        <v>-0.160163</v>
      </c>
      <c r="O40" s="65" t="str">
        <f si="24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58">
        <f si="0" t="shared"/>
        <v>5.8936801301500003E-2</v>
      </c>
    </row>
    <row r="41" spans="2:21" x14ac:dyDescent="0.45">
      <c r="B41" t="s">
        <v>66</v>
      </c>
      <c r="C41" s="24">
        <f>SUM(Duration!C26:C27)</f>
        <v>25208.239480476543</v>
      </c>
      <c r="D41" s="24">
        <f>SUM(Duration!J25:J26)</f>
        <v>30549.458549499512</v>
      </c>
      <c r="E41" s="25">
        <f si="17" t="shared"/>
        <v>9.4233118367731489E-2</v>
      </c>
      <c r="F41" s="25">
        <f si="18" t="shared"/>
        <v>0.13481669267611299</v>
      </c>
      <c r="G41" s="5">
        <f si="20" t="shared"/>
        <v>0.69897218584140397</v>
      </c>
      <c r="H41" s="5">
        <f si="21" t="shared"/>
        <v>1</v>
      </c>
      <c r="I41" s="26">
        <f si="19" t="shared"/>
        <v>-0.39660118980519271</v>
      </c>
      <c r="L41">
        <v>35</v>
      </c>
      <c r="M41" s="65">
        <f si="22" t="shared"/>
        <v>-7.2091000000000002E-2</v>
      </c>
      <c r="N41" s="67">
        <f si="23" t="shared"/>
        <v>-0.46869218980519273</v>
      </c>
      <c r="O41" s="65" t="str">
        <f si="24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58">
        <f si="0" t="shared"/>
        <v>1.3894069452699999E-2</v>
      </c>
    </row>
    <row r="42" spans="2:21" x14ac:dyDescent="0.45">
      <c r="B42" t="s">
        <v>67</v>
      </c>
      <c r="C42" s="24">
        <f>SUM(Duration!C28:C29)</f>
        <v>9778.7022577436655</v>
      </c>
      <c r="D42" s="24">
        <f>SUM(Duration!J27:J28)</f>
        <v>12721.605802536011</v>
      </c>
      <c r="E42" s="25">
        <f si="17" t="shared"/>
        <v>3.6554619692915666E-2</v>
      </c>
      <c r="F42" s="25">
        <f si="18" t="shared"/>
        <v>5.6141250983161903E-2</v>
      </c>
      <c r="G42" s="5">
        <f si="20" t="shared"/>
        <v>0.65111872380398628</v>
      </c>
      <c r="H42" s="5">
        <f si="21" t="shared"/>
        <v>1</v>
      </c>
      <c r="I42" s="26">
        <f si="19" t="shared"/>
        <v>-0.46752014287461463</v>
      </c>
      <c r="L42">
        <v>36</v>
      </c>
      <c r="M42" s="65">
        <f si="22" t="shared"/>
        <v>-0.79294299999999995</v>
      </c>
      <c r="N42" s="67">
        <f si="23" t="shared"/>
        <v>-1.2604631428746145</v>
      </c>
      <c r="O42" s="65" t="str">
        <f si="24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58">
        <f si="0" t="shared"/>
        <v>-3.35065604818E-2</v>
      </c>
    </row>
    <row r="43" spans="2:21" x14ac:dyDescent="0.45">
      <c r="B43" t="s">
        <v>68</v>
      </c>
      <c r="C43" s="24">
        <f>SUM(Duration!C30:C31)</f>
        <v>3858.435513431557</v>
      </c>
      <c r="D43" s="24">
        <f>SUM(Duration!J29:J30)</f>
        <v>3606.8936786651611</v>
      </c>
      <c r="E43" s="25">
        <f si="17" t="shared"/>
        <v>1.4423554280061977E-2</v>
      </c>
      <c r="F43" s="25">
        <f si="18" t="shared"/>
        <v>1.5917449921546388E-2</v>
      </c>
      <c r="G43" s="5">
        <f si="20" t="shared"/>
        <v>0.90614730067645921</v>
      </c>
      <c r="H43" s="5">
        <f si="21" t="shared"/>
        <v>1</v>
      </c>
      <c r="I43" s="26">
        <f si="19" t="shared"/>
        <v>-0.1370102635344195</v>
      </c>
      <c r="L43">
        <v>37</v>
      </c>
      <c r="M43" s="65">
        <f si="22" t="shared"/>
        <v>-1.8158650000000001</v>
      </c>
      <c r="N43" s="67">
        <f si="23" t="shared"/>
        <v>-1.9528752635344195</v>
      </c>
      <c r="O43" s="65" t="str">
        <f si="24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58">
        <f si="0" t="shared"/>
        <v>-5.4867372478100002E-3</v>
      </c>
    </row>
    <row r="44" spans="2:21" x14ac:dyDescent="0.45">
      <c r="B44" t="s">
        <v>69</v>
      </c>
      <c r="C44" s="24">
        <f>SUM(Duration!C32:C35)</f>
        <v>2089.2476275058721</v>
      </c>
      <c r="D44" s="24">
        <f>SUM(Duration!J31:J34)</f>
        <v>1063.584433555603</v>
      </c>
      <c r="E44" s="25">
        <f si="17" t="shared"/>
        <v>7.8099987559520452E-3</v>
      </c>
      <c r="F44" s="25">
        <f si="18" t="shared"/>
        <v>4.6936653715622919E-3</v>
      </c>
      <c r="G44" s="5">
        <f si="20" t="shared"/>
        <v>1.663944516213451</v>
      </c>
      <c r="H44" s="5">
        <f si="21" t="shared"/>
        <v>1</v>
      </c>
      <c r="I44" s="26">
        <f si="19" t="shared"/>
        <v>0.47073413731328878</v>
      </c>
      <c r="L44">
        <v>38</v>
      </c>
      <c r="M44" s="65">
        <f si="22" t="shared"/>
        <v>-3.215354</v>
      </c>
      <c r="N44" s="67">
        <f si="23" t="shared"/>
        <v>-2.7446198626867111</v>
      </c>
      <c r="O44" s="65" t="str">
        <f si="24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58">
        <f si="0" t="shared"/>
        <v>-3.6193574736200003E-2</v>
      </c>
    </row>
    <row r="45" spans="2:21" x14ac:dyDescent="0.45">
      <c r="B45" t="s">
        <v>90</v>
      </c>
      <c r="C45" s="24">
        <f>SUM(Duration!C36:C43)</f>
        <v>369.47991040128278</v>
      </c>
      <c r="D45" s="24">
        <f>SUM(Duration!J35:J42)</f>
        <v>226.22558307647705</v>
      </c>
      <c r="E45" s="25">
        <f si="17" t="shared"/>
        <v>1.3811850747573393E-3</v>
      </c>
      <c r="F45" s="25">
        <f si="18" t="shared"/>
        <v>9.9834780572880346E-4</v>
      </c>
      <c r="G45" s="5">
        <f si="20" t="shared"/>
        <v>1.3834708373491751</v>
      </c>
      <c r="H45" s="5">
        <f si="21" t="shared"/>
        <v>1</v>
      </c>
      <c r="I45" s="26">
        <f si="19" t="shared"/>
        <v>0.28613858021988209</v>
      </c>
      <c r="L45">
        <v>39</v>
      </c>
      <c r="M45" s="65">
        <f si="22" t="shared"/>
        <v>-5.0070750000000004</v>
      </c>
      <c r="N45" s="67">
        <f si="23" t="shared"/>
        <v>-4.7209364197801182</v>
      </c>
      <c r="O45" s="65" t="str">
        <f si="24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58">
        <f si="0" t="shared"/>
        <v>-2.12729108975E-2</v>
      </c>
    </row>
    <row r="46" spans="2:21" x14ac:dyDescent="0.45">
      <c r="B46" s="19" t="s">
        <v>70</v>
      </c>
      <c r="C46" s="29">
        <f>SUM(Duration!C44:C55)</f>
        <v>8.7290143036958978E-2</v>
      </c>
      <c r="D46" s="29">
        <f>SUM(Duration!J43:J54)</f>
        <v>5.4744539260864258</v>
      </c>
      <c r="E46" s="30">
        <f si="17" t="shared"/>
        <v>3.2630689610468859E-7</v>
      </c>
      <c r="F46" s="30">
        <f si="18" t="shared"/>
        <v>2.4159111407060443E-5</v>
      </c>
      <c r="G46" s="18">
        <f si="20" t="shared"/>
        <v>1.3506576902051379E-2</v>
      </c>
      <c r="H46" s="18">
        <v>0</v>
      </c>
      <c r="I46" s="31">
        <f si="19" t="shared"/>
        <v>0</v>
      </c>
      <c r="L46" s="19">
        <v>40</v>
      </c>
      <c r="M46" s="68">
        <f si="22" t="shared"/>
        <v>-10</v>
      </c>
      <c r="N46" s="69">
        <f si="23" t="shared"/>
        <v>-10</v>
      </c>
      <c r="O46" s="68" t="str">
        <f si="24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58">
        <f si="0" t="shared"/>
        <v>3.8531785887300003E-2</v>
      </c>
    </row>
    <row ht="14.65" r="47" spans="2:21" thickBot="1" x14ac:dyDescent="0.5">
      <c r="B47" s="3" t="s">
        <v>82</v>
      </c>
      <c r="C47" s="39">
        <f>SUM(C37:C46)</f>
        <v>267509.34190785169</v>
      </c>
      <c r="D47" s="39">
        <f>SUM(D37:D46)</f>
        <v>226599.97024917603</v>
      </c>
      <c r="E47" s="40">
        <f si="17" t="shared"/>
        <v>1</v>
      </c>
      <c r="F47" s="40">
        <f si="18" t="shared"/>
        <v>1</v>
      </c>
      <c r="G47" s="41">
        <f si="20" t="shared"/>
        <v>1</v>
      </c>
      <c r="H47" s="41"/>
      <c r="I47" s="1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58">
        <f si="0" t="shared"/>
        <v>0.25</v>
      </c>
    </row>
    <row r="48" spans="2:21" x14ac:dyDescent="0.45"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58">
        <f si="0" t="shared"/>
        <v>0.25</v>
      </c>
    </row>
    <row r="49" spans="2:21" x14ac:dyDescent="0.45">
      <c r="B49" s="70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58">
        <f si="0" t="shared"/>
        <v>0.25</v>
      </c>
    </row>
    <row r="50" spans="2:21" x14ac:dyDescent="0.45">
      <c r="B50" s="7"/>
      <c r="C50" s="79"/>
      <c r="D50" s="79"/>
      <c r="E50" s="79"/>
      <c r="F50" s="79"/>
      <c r="G50" s="7"/>
      <c r="H50" s="7"/>
      <c r="I50" s="7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58">
        <f si="0" t="shared"/>
        <v>0.25</v>
      </c>
    </row>
    <row r="51" spans="2:21" x14ac:dyDescent="0.45">
      <c r="B51" s="7"/>
      <c r="C51" s="59"/>
      <c r="D51" s="59"/>
      <c r="E51" s="59"/>
      <c r="F51" s="59"/>
      <c r="G51" s="59"/>
      <c r="H51" s="59"/>
      <c r="I51" s="59"/>
      <c r="L51" s="59"/>
      <c r="M51" s="59"/>
      <c r="N51" s="7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58">
        <f si="0" t="shared"/>
        <v>4.3984912551099997</v>
      </c>
    </row>
    <row r="52" spans="2:21" x14ac:dyDescent="0.45">
      <c r="C52" s="71"/>
      <c r="D52" s="71"/>
      <c r="E52" s="72"/>
      <c r="F52" s="72"/>
      <c r="G52" s="5"/>
      <c r="H52" s="5"/>
      <c r="I52" s="26"/>
      <c r="N52" s="2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58">
        <f si="0" t="shared"/>
        <v>1.2976531666</v>
      </c>
    </row>
    <row r="53" spans="2:21" x14ac:dyDescent="0.45">
      <c r="C53" s="71"/>
      <c r="D53" s="71"/>
      <c r="E53" s="72"/>
      <c r="F53" s="72"/>
      <c r="G53" s="5"/>
      <c r="H53" s="5"/>
      <c r="I53" s="26"/>
      <c r="N53" s="2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58">
        <f si="0" t="shared"/>
        <v>-0.13712603030000001</v>
      </c>
    </row>
    <row r="54" spans="2:21" x14ac:dyDescent="0.45">
      <c r="C54" s="71"/>
      <c r="D54" s="71"/>
      <c r="E54" s="72"/>
      <c r="F54" s="72"/>
      <c r="G54" s="5"/>
      <c r="H54" s="5"/>
      <c r="I54" s="26"/>
      <c r="N54" s="2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58">
        <f si="0" t="shared"/>
        <v>-0.117727254534</v>
      </c>
    </row>
    <row r="55" spans="2:21" x14ac:dyDescent="0.45">
      <c r="C55" s="71"/>
      <c r="D55" s="71"/>
      <c r="E55" s="72"/>
      <c r="F55" s="72"/>
      <c r="G55" s="5"/>
      <c r="H55" s="5"/>
      <c r="I55" s="26"/>
      <c r="N55" s="2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58">
        <f si="0" t="shared"/>
        <v>-8.0903295982399995E-2</v>
      </c>
    </row>
    <row r="56" spans="2:21" x14ac:dyDescent="0.45">
      <c r="C56" s="71"/>
      <c r="D56" s="71"/>
      <c r="E56" s="72"/>
      <c r="F56" s="72"/>
      <c r="G56" s="5"/>
      <c r="H56" s="5"/>
      <c r="I56" s="26"/>
      <c r="N56" s="2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58">
        <f si="0" t="shared"/>
        <v>-2.0259430948599999E-2</v>
      </c>
    </row>
    <row r="57" spans="2:21" x14ac:dyDescent="0.45">
      <c r="C57" s="71"/>
      <c r="D57" s="71"/>
      <c r="E57" s="72"/>
      <c r="F57" s="72"/>
      <c r="G57" s="5"/>
      <c r="H57" s="5"/>
      <c r="I57" s="26"/>
      <c r="N57" s="2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58">
        <f si="0" t="shared"/>
        <v>-88.147824057299999</v>
      </c>
    </row>
    <row r="58" spans="2:21" x14ac:dyDescent="0.45">
      <c r="C58" s="71"/>
      <c r="D58" s="71"/>
      <c r="E58" s="72"/>
      <c r="F58" s="72"/>
      <c r="G58" s="5"/>
      <c r="H58" s="5"/>
      <c r="I58" s="26"/>
      <c r="N58" s="2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58">
        <f si="0" t="shared"/>
        <v>-0.515327957738</v>
      </c>
    </row>
    <row r="59" spans="2:21" x14ac:dyDescent="0.45">
      <c r="C59" s="71"/>
      <c r="D59" s="71"/>
      <c r="E59" s="72"/>
      <c r="F59" s="72"/>
      <c r="G59" s="5"/>
      <c r="H59" s="5"/>
      <c r="I59" s="26"/>
      <c r="N59" s="2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58">
        <f si="0" t="shared"/>
        <v>-1.48342258525</v>
      </c>
    </row>
    <row r="60" spans="2:21" x14ac:dyDescent="0.45">
      <c r="C60" s="71"/>
      <c r="D60" s="71"/>
      <c r="E60" s="72"/>
      <c r="F60" s="72"/>
      <c r="G60" s="5"/>
      <c r="H60" s="5"/>
      <c r="I60" s="26"/>
      <c r="N60" s="2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58">
        <f si="0" t="shared"/>
        <v>1.6847908809200001</v>
      </c>
    </row>
    <row r="61" spans="2:21" x14ac:dyDescent="0.45">
      <c r="C61" s="71"/>
      <c r="D61" s="71"/>
      <c r="E61" s="72"/>
      <c r="F61" s="72"/>
      <c r="G61" s="5"/>
      <c r="H61" s="5"/>
      <c r="I61" s="26"/>
      <c r="N61" s="2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58">
        <f si="0" t="shared"/>
        <v>0.28553018058200003</v>
      </c>
    </row>
    <row r="62" spans="2:21" x14ac:dyDescent="0.45">
      <c r="B62" s="7"/>
      <c r="C62" s="73"/>
      <c r="D62" s="73"/>
      <c r="E62" s="74"/>
      <c r="F62" s="74"/>
      <c r="G62" s="75"/>
      <c r="H62" s="75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58">
        <f si="0" t="shared"/>
        <v>0.115396426521</v>
      </c>
    </row>
    <row r="63" spans="2:21" x14ac:dyDescent="0.45"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58">
        <f si="0" t="shared"/>
        <v>0.10498530294699999</v>
      </c>
    </row>
    <row r="64" spans="2:21" x14ac:dyDescent="0.45"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58">
        <f si="0" t="shared"/>
        <v>0.15534523906299999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B050"/>
  </sheetPr>
  <dimension ref="B1:U59"/>
  <sheetViews>
    <sheetView topLeftCell="A10" workbookViewId="0">
      <selection activeCell="J17" sqref="J17"/>
    </sheetView>
  </sheetViews>
  <sheetFormatPr defaultRowHeight="14.25" x14ac:dyDescent="0.45"/>
  <cols>
    <col min="2" max="2" customWidth="true" width="14.59765625" collapsed="true"/>
    <col min="3" max="3" bestFit="true" customWidth="true" width="11.59765625" collapsed="true"/>
    <col min="7" max="8" customWidth="true" width="7.73046875" collapsed="true"/>
    <col min="9" max="9" bestFit="true" customWidth="true" width="12.73046875" collapsed="true"/>
    <col min="12" max="12" bestFit="true" customWidth="true" width="6.0" collapsed="true"/>
    <col min="13" max="13" customWidth="true" width="9.3984375" collapsed="true"/>
    <col min="14" max="14" customWidth="true" width="12.265625" collapsed="true"/>
    <col min="15" max="15" customWidth="true" width="22.265625" collapsed="true"/>
    <col min="20" max="20" bestFit="true" customWidth="true" width="10.265625" collapsed="true"/>
  </cols>
  <sheetData>
    <row ht="14.65" r="1" spans="2:20" thickBot="1" x14ac:dyDescent="0.5">
      <c r="B1" s="32" t="s">
        <v>174</v>
      </c>
      <c r="C1" s="1"/>
      <c r="D1" s="1"/>
      <c r="E1" s="1" t="s">
        <v>86</v>
      </c>
      <c r="F1" s="33">
        <v>1</v>
      </c>
      <c r="G1" s="1"/>
      <c r="H1" s="1"/>
      <c r="I1" s="1"/>
      <c r="Q1" s="53" t="s">
        <v>194</v>
      </c>
      <c r="R1" s="54"/>
      <c r="S1" s="54"/>
      <c r="T1" s="54"/>
    </row>
    <row ht="14.65" r="2" spans="2:20" thickBot="1" x14ac:dyDescent="0.5">
      <c r="C2" s="79" t="s">
        <v>87</v>
      </c>
      <c r="D2" s="79"/>
      <c r="E2" s="79" t="s">
        <v>83</v>
      </c>
      <c r="F2" s="79"/>
      <c r="G2" s="7"/>
      <c r="H2" s="7"/>
      <c r="I2" s="7"/>
      <c r="L2" s="1"/>
      <c r="M2" s="1"/>
      <c r="N2" s="1"/>
      <c r="Q2" s="54"/>
      <c r="R2" s="54"/>
      <c r="S2" s="55" t="s">
        <v>170</v>
      </c>
      <c r="T2" s="55" t="s">
        <v>171</v>
      </c>
    </row>
    <row r="3" spans="2:20" x14ac:dyDescent="0.45">
      <c r="B3" s="27" t="s">
        <v>72</v>
      </c>
      <c r="C3" s="28" t="s">
        <v>48</v>
      </c>
      <c r="D3" s="28" t="s">
        <v>35</v>
      </c>
      <c r="E3" s="28" t="s">
        <v>48</v>
      </c>
      <c r="F3" s="28" t="s">
        <v>35</v>
      </c>
      <c r="G3" s="28" t="s">
        <v>84</v>
      </c>
      <c r="H3" s="28" t="s">
        <v>86</v>
      </c>
      <c r="I3" s="28" t="s">
        <v>85</v>
      </c>
      <c r="L3" s="28" t="s">
        <v>88</v>
      </c>
      <c r="M3" s="28" t="s">
        <v>89</v>
      </c>
      <c r="N3" s="27" t="s">
        <v>91</v>
      </c>
      <c r="Q3" s="60">
        <f>WorkBasedSubtourTime!B11</f>
        <v>11</v>
      </c>
      <c r="R3" s="60" t="str">
        <f>WorkBasedSubtourTime!C11</f>
        <v>arr3-5</v>
      </c>
      <c r="S3" s="60">
        <f>VLOOKUP(Q3,WorkBasedSubtourTime!$B$11:$E$60,4,FALSE)</f>
        <v>-0.45190000000000002</v>
      </c>
      <c r="T3" s="61">
        <f ref="T3:T34" si="0" t="shared">_xlfn.IFNA(VLOOKUP(Q3,$L$3:$N$45,3,FALSE),S3)</f>
        <v>-0.45190000000000002</v>
      </c>
    </row>
    <row r="4" spans="2:20" x14ac:dyDescent="0.45">
      <c r="B4" t="s">
        <v>73</v>
      </c>
      <c r="C4" s="24">
        <f>SUM(Departure_Time!E9:E16)</f>
        <v>454.93544999247598</v>
      </c>
      <c r="D4" s="24">
        <f>SUM(Departure_Time!L9:L16)</f>
        <v>247.57477474212646</v>
      </c>
      <c r="E4" s="25">
        <f ref="E4:E14" si="1" t="shared">C4/C$14</f>
        <v>3.6387999931047541E-3</v>
      </c>
      <c r="F4" s="25">
        <f ref="F4:F14" si="2" t="shared">D4/D$14</f>
        <v>2.3607761791265532E-3</v>
      </c>
      <c r="G4" s="5">
        <f>E4/F4</f>
        <v>1.5413574676321276</v>
      </c>
      <c r="H4" s="5">
        <v>0</v>
      </c>
      <c r="I4" s="57">
        <f ref="I4:I12" si="3" t="shared">H4*(LN(G4)-LN($G$8))</f>
        <v>0</v>
      </c>
      <c r="L4">
        <v>21</v>
      </c>
      <c r="M4" s="56">
        <f>VLOOKUP(L4,$Q$3:$T$64,3,FALSE)</f>
        <v>2.5150000000000001</v>
      </c>
      <c r="N4" s="26">
        <f>I4+M4</f>
        <v>2.5150000000000001</v>
      </c>
      <c r="Q4" s="60">
        <f>WorkBasedSubtourTime!B12</f>
        <v>12</v>
      </c>
      <c r="R4" s="60" t="str">
        <f>WorkBasedSubtourTime!C12</f>
        <v>arr=6</v>
      </c>
      <c r="S4" s="60">
        <f>VLOOKUP(Q4,WorkBasedSubtourTime!$B$11:$E$60,4,FALSE)</f>
        <v>-5</v>
      </c>
      <c r="T4" s="61">
        <f si="0" t="shared"/>
        <v>-4.2262436512924246</v>
      </c>
    </row>
    <row r="5" spans="2:20" x14ac:dyDescent="0.45">
      <c r="B5" t="s">
        <v>74</v>
      </c>
      <c r="C5" s="24">
        <f>SUM(Departure_Time!E17:E22)</f>
        <v>7062.2903536315353</v>
      </c>
      <c r="D5" s="24">
        <f>SUM(Departure_Time!L17:L22)</f>
        <v>7797.1604356765747</v>
      </c>
      <c r="E5" s="25">
        <f si="1" t="shared"/>
        <v>5.6487710708240511E-2</v>
      </c>
      <c r="F5" s="25">
        <f si="2" t="shared"/>
        <v>7.4350670986356934E-2</v>
      </c>
      <c r="G5" s="5">
        <f ref="G5:G14" si="4" t="shared">E5/F5</f>
        <v>0.75974715438150908</v>
      </c>
      <c r="H5" s="5">
        <f ref="H5:H12" si="5" t="shared">$F$1</f>
        <v>1</v>
      </c>
      <c r="I5" s="26">
        <f si="3" t="shared"/>
        <v>-0.15414322143014703</v>
      </c>
      <c r="L5">
        <v>22</v>
      </c>
      <c r="M5">
        <f ref="M5:M13" si="6" t="shared">VLOOKUP(L5,$Q$3:$T$64,3,FALSE)</f>
        <v>0.43574099999999999</v>
      </c>
      <c r="N5" s="26">
        <f ref="N5:N13" si="7" t="shared">I5+M5</f>
        <v>0.28159777856985296</v>
      </c>
      <c r="Q5" s="60">
        <f>WorkBasedSubtourTime!B13</f>
        <v>13</v>
      </c>
      <c r="R5" s="60" t="str">
        <f>WorkBasedSubtourTime!C13</f>
        <v>arr=7</v>
      </c>
      <c r="S5" s="60">
        <f>VLOOKUP(Q5,WorkBasedSubtourTime!$B$11:$E$60,4,FALSE)</f>
        <v>-0.27489999999999998</v>
      </c>
      <c r="T5" s="61">
        <f si="0" t="shared"/>
        <v>0.22466073357210414</v>
      </c>
    </row>
    <row r="6" spans="2:20" x14ac:dyDescent="0.45">
      <c r="B6" t="s">
        <v>75</v>
      </c>
      <c r="C6" s="24">
        <f>SUM(Departure_Time!E23:E28)</f>
        <v>60494.787664332325</v>
      </c>
      <c r="D6" s="24">
        <f>SUM(Departure_Time!L23:L28)</f>
        <v>51369.100234985352</v>
      </c>
      <c r="E6" s="25">
        <f si="1" t="shared"/>
        <v>0.48386739907713644</v>
      </c>
      <c r="F6" s="25">
        <f si="2" t="shared"/>
        <v>0.4898356397748248</v>
      </c>
      <c r="G6" s="5">
        <f si="4" t="shared"/>
        <v>0.98781583001916329</v>
      </c>
      <c r="H6" s="5">
        <f si="5" t="shared"/>
        <v>1</v>
      </c>
      <c r="I6" s="26">
        <f si="3" t="shared"/>
        <v>0.10836736575563684</v>
      </c>
      <c r="L6">
        <v>23</v>
      </c>
      <c r="M6">
        <f si="6" t="shared"/>
        <v>0.84860599999999997</v>
      </c>
      <c r="N6" s="26">
        <f si="7" t="shared"/>
        <v>0.95697336575563685</v>
      </c>
      <c r="Q6" s="60">
        <f>WorkBasedSubtourTime!B14</f>
        <v>14</v>
      </c>
      <c r="R6" s="60" t="str">
        <f>WorkBasedSubtourTime!C14</f>
        <v>arr=8</v>
      </c>
      <c r="S6" s="60">
        <f>VLOOKUP(Q6,WorkBasedSubtourTime!$B$11:$E$60,4,FALSE)</f>
        <v>0</v>
      </c>
      <c r="T6" s="61">
        <f si="0" t="shared"/>
        <v>0</v>
      </c>
    </row>
    <row r="7" spans="2:20" x14ac:dyDescent="0.45">
      <c r="B7" t="s">
        <v>76</v>
      </c>
      <c r="C7" s="24">
        <f>SUM(Departure_Time!E29:E32)</f>
        <v>41919.462340614577</v>
      </c>
      <c r="D7" s="24">
        <f>SUM(Departure_Time!L29:L32)</f>
        <v>31050.281867980957</v>
      </c>
      <c r="E7" s="25">
        <f si="1" t="shared"/>
        <v>0.33529270862164307</v>
      </c>
      <c r="F7" s="25">
        <f si="2" t="shared"/>
        <v>0.29608333831848033</v>
      </c>
      <c r="G7" s="5">
        <f si="4" t="shared"/>
        <v>1.1324268043107086</v>
      </c>
      <c r="H7" s="5">
        <f si="5" t="shared"/>
        <v>1</v>
      </c>
      <c r="I7" s="26">
        <f si="3" t="shared"/>
        <v>0.24498931556011286</v>
      </c>
      <c r="L7">
        <v>24</v>
      </c>
      <c r="M7">
        <f si="6" t="shared"/>
        <v>0.78815900000000005</v>
      </c>
      <c r="N7" s="26">
        <f si="7" t="shared"/>
        <v>1.0331483155601129</v>
      </c>
      <c r="Q7" s="60">
        <f>WorkBasedSubtourTime!B15</f>
        <v>15</v>
      </c>
      <c r="R7" s="60" t="str">
        <f>WorkBasedSubtourTime!C15</f>
        <v>arr=9</v>
      </c>
      <c r="S7" s="60">
        <f>VLOOKUP(Q7,WorkBasedSubtourTime!$B$11:$E$60,4,FALSE)</f>
        <v>-0.4405</v>
      </c>
      <c r="T7" s="61">
        <f si="0" t="shared"/>
        <v>-0.655501132851533</v>
      </c>
    </row>
    <row r="8" spans="2:20" x14ac:dyDescent="0.45">
      <c r="B8" t="s">
        <v>173</v>
      </c>
      <c r="C8" s="24">
        <f>SUM(Departure_Time!E33:E36)</f>
        <v>11680.918287855025</v>
      </c>
      <c r="D8" s="24">
        <f>SUM(Departure_Time!L33:L36)</f>
        <v>11054.124127388</v>
      </c>
      <c r="E8" s="25">
        <f si="1" t="shared"/>
        <v>9.3429794020244039E-2</v>
      </c>
      <c r="F8" s="25">
        <f si="2" t="shared"/>
        <v>0.10540780234265616</v>
      </c>
      <c r="G8" s="5">
        <f si="4" t="shared"/>
        <v>0.88636506922443548</v>
      </c>
      <c r="H8" s="5">
        <f si="5" t="shared"/>
        <v>1</v>
      </c>
      <c r="I8" s="26">
        <f si="3" t="shared"/>
        <v>0</v>
      </c>
      <c r="L8">
        <v>25</v>
      </c>
      <c r="M8">
        <f si="6" t="shared"/>
        <v>0</v>
      </c>
      <c r="N8" s="26">
        <f si="7" t="shared"/>
        <v>0</v>
      </c>
      <c r="Q8" s="60">
        <f>WorkBasedSubtourTime!B16</f>
        <v>16</v>
      </c>
      <c r="R8" s="60" t="str">
        <f>WorkBasedSubtourTime!C16</f>
        <v>arr10-12</v>
      </c>
      <c r="S8" s="60">
        <f>VLOOKUP(Q8,WorkBasedSubtourTime!$B$11:$E$60,4,FALSE)</f>
        <v>-0.1867</v>
      </c>
      <c r="T8" s="61">
        <f si="0" t="shared"/>
        <v>-8.0345370552087431E-2</v>
      </c>
    </row>
    <row r="9" spans="2:20" x14ac:dyDescent="0.45">
      <c r="B9" t="s">
        <v>77</v>
      </c>
      <c r="C9" s="24">
        <f>SUM(Departure_Time!E37:E38)</f>
        <v>1701.9362209545668</v>
      </c>
      <c r="D9" s="24">
        <f>SUM(Departure_Time!L37:L38)</f>
        <v>1469.4820795059204</v>
      </c>
      <c r="E9" s="25">
        <f si="1" t="shared"/>
        <v>1.3612932360352733E-2</v>
      </c>
      <c r="F9" s="25">
        <f si="2" t="shared"/>
        <v>1.4012406120794647E-2</v>
      </c>
      <c r="G9" s="5">
        <f si="4" t="shared"/>
        <v>0.97149142288638868</v>
      </c>
      <c r="H9" s="5">
        <f si="5" t="shared"/>
        <v>1</v>
      </c>
      <c r="I9" s="26">
        <f si="3" t="shared"/>
        <v>9.1703532292916848E-2</v>
      </c>
      <c r="L9">
        <v>26</v>
      </c>
      <c r="M9">
        <f si="6" t="shared"/>
        <v>6.5059000000000006E-2</v>
      </c>
      <c r="N9" s="26">
        <f si="7" t="shared"/>
        <v>0.15676253229291687</v>
      </c>
      <c r="Q9" s="60">
        <f>WorkBasedSubtourTime!B17</f>
        <v>17</v>
      </c>
      <c r="R9" s="60" t="str">
        <f>WorkBasedSubtourTime!C17</f>
        <v>arr13-15</v>
      </c>
      <c r="S9" s="60">
        <f>VLOOKUP(Q9,WorkBasedSubtourTime!$B$11:$E$60,4,FALSE)</f>
        <v>-1.6032</v>
      </c>
      <c r="T9" s="61">
        <f si="0" t="shared"/>
        <v>-1.5971042938222872</v>
      </c>
    </row>
    <row r="10" spans="2:20" x14ac:dyDescent="0.45">
      <c r="B10" t="s">
        <v>78</v>
      </c>
      <c r="C10" s="24">
        <f>SUM(Departure_Time!E39:E40)</f>
        <v>776.14503208629606</v>
      </c>
      <c r="D10" s="24">
        <f>SUM(Departure_Time!L39:L40)</f>
        <v>724.89265155792236</v>
      </c>
      <c r="E10" s="25">
        <f si="1" t="shared"/>
        <v>6.2079939856316147E-3</v>
      </c>
      <c r="F10" s="25">
        <f si="2" t="shared"/>
        <v>6.9122926841166483E-3</v>
      </c>
      <c r="G10" s="5">
        <f si="4" t="shared"/>
        <v>0.89810924816546034</v>
      </c>
      <c r="H10" s="5">
        <f si="5" t="shared"/>
        <v>1</v>
      </c>
      <c r="I10" s="26">
        <f si="3" t="shared"/>
        <v>1.3162810349289844E-2</v>
      </c>
      <c r="L10">
        <v>27</v>
      </c>
      <c r="M10">
        <f si="6" t="shared"/>
        <v>-9.9504999999999996E-2</v>
      </c>
      <c r="N10" s="26">
        <f si="7" t="shared"/>
        <v>-8.6342189650710152E-2</v>
      </c>
      <c r="Q10" s="60">
        <f>WorkBasedSubtourTime!B18</f>
        <v>18</v>
      </c>
      <c r="R10" s="60" t="str">
        <f>WorkBasedSubtourTime!C18</f>
        <v>arr16-18</v>
      </c>
      <c r="S10" s="60">
        <f>VLOOKUP(Q10,WorkBasedSubtourTime!$B$11:$E$60,4,FALSE)</f>
        <v>-2.6232000000000002</v>
      </c>
      <c r="T10" s="61">
        <f si="0" t="shared"/>
        <v>-2.8169983381901131</v>
      </c>
    </row>
    <row r="11" spans="2:20" x14ac:dyDescent="0.45">
      <c r="B11" t="s">
        <v>79</v>
      </c>
      <c r="C11" s="24">
        <f>SUM(Departure_Time!E41:E44)</f>
        <v>739.55666663293141</v>
      </c>
      <c r="D11" s="24">
        <f>SUM(Departure_Time!L41:L44)</f>
        <v>763.30921268463135</v>
      </c>
      <c r="E11" s="25">
        <f si="1" t="shared"/>
        <v>5.9153420413577198E-3</v>
      </c>
      <c r="F11" s="25">
        <f si="2" t="shared"/>
        <v>7.2786179791163481E-3</v>
      </c>
      <c r="G11" s="5">
        <f si="4" t="shared"/>
        <v>0.81270126531298803</v>
      </c>
      <c r="H11" s="5">
        <f si="5" t="shared"/>
        <v>1</v>
      </c>
      <c r="I11" s="26">
        <f si="3" t="shared"/>
        <v>-8.6765313070120254E-2</v>
      </c>
      <c r="L11">
        <v>28</v>
      </c>
      <c r="M11">
        <f si="6" t="shared"/>
        <v>-8.7779999999999993E-3</v>
      </c>
      <c r="N11" s="26">
        <f si="7" t="shared"/>
        <v>-9.5543313070120248E-2</v>
      </c>
      <c r="Q11" s="60">
        <f>WorkBasedSubtourTime!B19</f>
        <v>19</v>
      </c>
      <c r="R11" s="60" t="str">
        <f>WorkBasedSubtourTime!C19</f>
        <v>arr19-21</v>
      </c>
      <c r="S11" s="60">
        <f>VLOOKUP(Q11,WorkBasedSubtourTime!$B$11:$E$60,4,FALSE)</f>
        <v>-4.4149000000000003</v>
      </c>
      <c r="T11" s="61">
        <f si="0" t="shared"/>
        <v>-4.9896576126990055</v>
      </c>
    </row>
    <row r="12" spans="2:20" x14ac:dyDescent="0.45">
      <c r="B12" t="s">
        <v>80</v>
      </c>
      <c r="C12" s="24">
        <f>SUM(Departure_Time!E45:E50)</f>
        <v>187.95630485999135</v>
      </c>
      <c r="D12" s="24">
        <f>SUM(Departure_Time!L45:L50)</f>
        <v>352.31225681304932</v>
      </c>
      <c r="E12" s="25">
        <f si="1" t="shared"/>
        <v>1.5033680071312159E-3</v>
      </c>
      <c r="F12" s="25">
        <f si="2" t="shared"/>
        <v>3.3595118257297931E-3</v>
      </c>
      <c r="G12" s="5">
        <f si="4" t="shared"/>
        <v>0.44749597117570389</v>
      </c>
      <c r="H12" s="5">
        <f si="5" t="shared"/>
        <v>1</v>
      </c>
      <c r="I12" s="26">
        <f si="3" t="shared"/>
        <v>-0.68346137303805499</v>
      </c>
      <c r="L12">
        <v>29</v>
      </c>
      <c r="M12">
        <f si="6" t="shared"/>
        <v>-1.58053</v>
      </c>
      <c r="N12" s="26">
        <f si="7" t="shared"/>
        <v>-2.263991373038055</v>
      </c>
      <c r="Q12" s="60">
        <f>WorkBasedSubtourTime!B20</f>
        <v>20</v>
      </c>
      <c r="R12" s="60" t="str">
        <f>WorkBasedSubtourTime!C20</f>
        <v>arr22-26</v>
      </c>
      <c r="S12" s="60">
        <f>VLOOKUP(Q12,WorkBasedSubtourTime!$B$11:$E$60,4,FALSE)</f>
        <v>-10</v>
      </c>
      <c r="T12" s="61">
        <f si="0" t="shared"/>
        <v>-10</v>
      </c>
    </row>
    <row r="13" spans="2:20" x14ac:dyDescent="0.45">
      <c r="B13" s="19" t="s">
        <v>81</v>
      </c>
      <c r="C13" s="29">
        <f>SUM(Departure_Time!E51:E57)+Departure_Time!E8</f>
        <v>5.4949302614676947</v>
      </c>
      <c r="D13" s="29">
        <f>SUM(Departure_Time!L51:L57)+Departure_Time!L8</f>
        <v>41.837265014648438</v>
      </c>
      <c r="E13" s="30">
        <f si="1" t="shared"/>
        <v>4.395118515796129E-5</v>
      </c>
      <c r="F13" s="30">
        <f si="2" t="shared"/>
        <v>3.9894378879780384E-4</v>
      </c>
      <c r="G13" s="18">
        <f si="4" t="shared"/>
        <v>0.11016886687321509</v>
      </c>
      <c r="H13" s="18">
        <v>0</v>
      </c>
      <c r="I13" s="31">
        <f>H13*IF(G13&gt;0,(LN(G13)-LN($G$8)),0)</f>
        <v>0</v>
      </c>
      <c r="L13" s="19">
        <v>30</v>
      </c>
      <c r="M13" s="19">
        <f si="6" t="shared"/>
        <v>-10</v>
      </c>
      <c r="N13" s="31">
        <f si="7" t="shared"/>
        <v>-10</v>
      </c>
      <c r="Q13" s="60">
        <f>WorkBasedSubtourTime!B21</f>
        <v>21</v>
      </c>
      <c r="R13" s="60" t="str">
        <f>WorkBasedSubtourTime!C21</f>
        <v>dep3-6</v>
      </c>
      <c r="S13" s="60">
        <f>VLOOKUP(Q13,WorkBasedSubtourTime!$B$11:$E$60,4,FALSE)</f>
        <v>2.5150000000000001</v>
      </c>
      <c r="T13" s="61">
        <f si="0" t="shared"/>
        <v>2.5150000000000001</v>
      </c>
    </row>
    <row ht="14.65" r="14" spans="2:20" thickBot="1" x14ac:dyDescent="0.5">
      <c r="B14" s="34" t="s">
        <v>82</v>
      </c>
      <c r="C14" s="35">
        <f>SUM(C4:C13)</f>
        <v>125023.48325122119</v>
      </c>
      <c r="D14" s="35">
        <f>SUM(D4:D13)</f>
        <v>104870.07490634918</v>
      </c>
      <c r="E14" s="36">
        <f si="1" t="shared"/>
        <v>1</v>
      </c>
      <c r="F14" s="36">
        <f si="2" t="shared"/>
        <v>1</v>
      </c>
      <c r="G14" s="37">
        <f si="4" t="shared"/>
        <v>1</v>
      </c>
      <c r="H14" s="37"/>
      <c r="I14" s="38"/>
      <c r="Q14" s="60">
        <f>WorkBasedSubtourTime!B22</f>
        <v>22</v>
      </c>
      <c r="R14" s="60" t="str">
        <f>WorkBasedSubtourTime!C22</f>
        <v>dep7-9</v>
      </c>
      <c r="S14" s="60">
        <f>VLOOKUP(Q14,WorkBasedSubtourTime!$B$11:$E$60,4,FALSE)</f>
        <v>0.43574099999999999</v>
      </c>
      <c r="T14" s="61">
        <f si="0" t="shared"/>
        <v>0.28159777856985296</v>
      </c>
    </row>
    <row r="15" spans="2:20" x14ac:dyDescent="0.45">
      <c r="Q15" s="60">
        <f>WorkBasedSubtourTime!B23</f>
        <v>23</v>
      </c>
      <c r="R15" s="60" t="str">
        <f>WorkBasedSubtourTime!C23</f>
        <v>dep10-12</v>
      </c>
      <c r="S15" s="60">
        <f>VLOOKUP(Q15,WorkBasedSubtourTime!$B$11:$E$60,4,FALSE)</f>
        <v>0.84860599999999997</v>
      </c>
      <c r="T15" s="61">
        <f si="0" t="shared"/>
        <v>0.95697336575563685</v>
      </c>
    </row>
    <row r="16" spans="2:20" x14ac:dyDescent="0.45">
      <c r="Q16" s="60">
        <f>WorkBasedSubtourTime!B24</f>
        <v>24</v>
      </c>
      <c r="R16" s="60" t="str">
        <f>WorkBasedSubtourTime!C24</f>
        <v>dep13-14</v>
      </c>
      <c r="S16" s="60">
        <f>VLOOKUP(Q16,WorkBasedSubtourTime!$B$11:$E$60,4,FALSE)</f>
        <v>0.78815900000000005</v>
      </c>
      <c r="T16" s="61">
        <f si="0" t="shared"/>
        <v>1.0331483155601129</v>
      </c>
    </row>
    <row ht="14.65" r="17" spans="2:20" thickBot="1" x14ac:dyDescent="0.5">
      <c r="B17" s="32" t="s">
        <v>235</v>
      </c>
      <c r="C17" s="1"/>
      <c r="D17" s="1"/>
      <c r="E17" s="1" t="s">
        <v>86</v>
      </c>
      <c r="F17" s="33">
        <v>0</v>
      </c>
      <c r="G17" s="1"/>
      <c r="H17" s="1"/>
      <c r="I17" s="1"/>
      <c r="Q17" s="60">
        <f>WorkBasedSubtourTime!B25</f>
        <v>25</v>
      </c>
      <c r="R17" s="60" t="str">
        <f>WorkBasedSubtourTime!C25</f>
        <v>dep=16</v>
      </c>
      <c r="S17" s="60">
        <f>VLOOKUP(Q17,WorkBasedSubtourTime!$B$11:$E$60,4,FALSE)</f>
        <v>0</v>
      </c>
      <c r="T17" s="61">
        <f si="0" t="shared"/>
        <v>0</v>
      </c>
    </row>
    <row ht="14.65" r="18" spans="2:20" thickBot="1" x14ac:dyDescent="0.5">
      <c r="C18" s="79" t="s">
        <v>87</v>
      </c>
      <c r="D18" s="79"/>
      <c r="E18" s="79" t="s">
        <v>83</v>
      </c>
      <c r="F18" s="79"/>
      <c r="G18" s="7"/>
      <c r="H18" s="7"/>
      <c r="I18" s="7"/>
      <c r="L18" s="1"/>
      <c r="M18" s="1"/>
      <c r="N18" s="1"/>
      <c r="O18" s="1"/>
      <c r="Q18" s="60">
        <f>WorkBasedSubtourTime!B26</f>
        <v>26</v>
      </c>
      <c r="R18" s="60" t="str">
        <f>WorkBasedSubtourTime!C26</f>
        <v>dep=17</v>
      </c>
      <c r="S18" s="60">
        <f>VLOOKUP(Q18,WorkBasedSubtourTime!$B$11:$E$60,4,FALSE)</f>
        <v>6.5059000000000006E-2</v>
      </c>
      <c r="T18" s="61">
        <f si="0" t="shared"/>
        <v>0.15676253229291687</v>
      </c>
    </row>
    <row r="19" spans="2:20" x14ac:dyDescent="0.45">
      <c r="B19" s="27" t="s">
        <v>72</v>
      </c>
      <c r="C19" s="28" t="s">
        <v>48</v>
      </c>
      <c r="D19" s="28" t="s">
        <v>35</v>
      </c>
      <c r="E19" s="28" t="s">
        <v>48</v>
      </c>
      <c r="F19" s="28" t="s">
        <v>35</v>
      </c>
      <c r="G19" s="28" t="s">
        <v>84</v>
      </c>
      <c r="H19" s="28" t="s">
        <v>86</v>
      </c>
      <c r="I19" s="28" t="s">
        <v>85</v>
      </c>
      <c r="L19" s="62" t="s">
        <v>88</v>
      </c>
      <c r="M19" s="78" t="s">
        <v>89</v>
      </c>
      <c r="N19" s="63" t="s">
        <v>91</v>
      </c>
      <c r="O19" s="64" t="s">
        <v>195</v>
      </c>
      <c r="Q19" s="60">
        <f>WorkBasedSubtourTime!B27</f>
        <v>27</v>
      </c>
      <c r="R19" s="60" t="str">
        <f>WorkBasedSubtourTime!C27</f>
        <v>dep=18</v>
      </c>
      <c r="S19" s="60">
        <f>VLOOKUP(Q19,WorkBasedSubtourTime!$B$11:$E$60,4,FALSE)</f>
        <v>-9.9504999999999996E-2</v>
      </c>
      <c r="T19" s="61">
        <f si="0" t="shared"/>
        <v>-8.6342189650710152E-2</v>
      </c>
    </row>
    <row r="20" spans="2:20" x14ac:dyDescent="0.45">
      <c r="B20" t="s">
        <v>224</v>
      </c>
      <c r="C20" s="24">
        <f>SUM(Arrival_Time!E9:E14)</f>
        <v>185.0358994279373</v>
      </c>
      <c r="D20" s="24">
        <f>SUM(Arrival_Time!L9:L14)</f>
        <v>142.77795600891113</v>
      </c>
      <c r="E20" s="25">
        <f>C20/C$14</f>
        <v>1.4800091520096881E-3</v>
      </c>
      <c r="F20" s="25">
        <f>D20/D$14</f>
        <v>1.3614747213293627E-3</v>
      </c>
      <c r="G20" s="5">
        <f>E20/F20</f>
        <v>1.0870632622283187</v>
      </c>
      <c r="H20" s="5">
        <v>0</v>
      </c>
      <c r="I20" s="26">
        <f>H20*(LN(G20)-LN($G$23))</f>
        <v>0</v>
      </c>
      <c r="L20" s="65">
        <v>11</v>
      </c>
      <c r="M20" s="65">
        <f>VLOOKUP(L20,$Q$3:$U$64,3,FALSE)</f>
        <v>-0.45190000000000002</v>
      </c>
      <c r="N20" s="67">
        <f>I20+M20</f>
        <v>-0.45190000000000002</v>
      </c>
      <c r="O20" s="66" t="str">
        <f>CONCATENATE("Arrival ",B20)</f>
        <v>Arrival 3-6 am</v>
      </c>
      <c r="Q20" s="60">
        <f>WorkBasedSubtourTime!B28</f>
        <v>28</v>
      </c>
      <c r="R20" s="60" t="str">
        <f>WorkBasedSubtourTime!C28</f>
        <v>dep19-20</v>
      </c>
      <c r="S20" s="60">
        <f>VLOOKUP(Q20,WorkBasedSubtourTime!$B$11:$E$60,4,FALSE)</f>
        <v>-8.7779999999999993E-3</v>
      </c>
      <c r="T20" s="61">
        <f si="0" t="shared"/>
        <v>-9.5543313070120248E-2</v>
      </c>
    </row>
    <row r="21" spans="2:20" x14ac:dyDescent="0.45">
      <c r="B21" t="s">
        <v>225</v>
      </c>
      <c r="C21" s="24">
        <f>SUM(Arrival_Time!E15:E16)</f>
        <v>612.59366511290796</v>
      </c>
      <c r="D21" s="24">
        <f>SUM(Arrival_Time!L15:L16)</f>
        <v>247.55295753479004</v>
      </c>
      <c r="E21" s="25">
        <f ref="E21:F30" si="8" t="shared">C21/C$14</f>
        <v>4.8998288096162475E-3</v>
      </c>
      <c r="F21" s="25">
        <f si="8" t="shared"/>
        <v>2.3605681387741848E-3</v>
      </c>
      <c r="G21" s="5">
        <f ref="G21:G30" si="9" t="shared">E21/F21</f>
        <v>2.0756989510841533</v>
      </c>
      <c r="H21" s="5">
        <f ref="H21:H28" si="10" t="shared">$F$1</f>
        <v>1</v>
      </c>
      <c r="I21" s="26">
        <f ref="I21:I29" si="11" t="shared">H21*(LN(G21)-LN($G$23))</f>
        <v>0.77375634870757504</v>
      </c>
      <c r="L21" s="65">
        <v>12</v>
      </c>
      <c r="M21" s="65">
        <f ref="M21:M29" si="12" t="shared">VLOOKUP(L21,$Q$3:$U$64,3,FALSE)</f>
        <v>-5</v>
      </c>
      <c r="N21" s="67">
        <f ref="N21:N29" si="13" t="shared">I21+M21</f>
        <v>-4.2262436512924246</v>
      </c>
      <c r="O21" s="65" t="str">
        <f ref="O21:O29" si="14" t="shared">CONCATENATE("Arrival ",B21)</f>
        <v>Arrival 6-7 am</v>
      </c>
      <c r="Q21" s="60">
        <f>WorkBasedSubtourTime!B29</f>
        <v>29</v>
      </c>
      <c r="R21" s="60" t="str">
        <f>WorkBasedSubtourTime!C29</f>
        <v>dep21-23</v>
      </c>
      <c r="S21" s="60">
        <f>VLOOKUP(Q21,WorkBasedSubtourTime!$B$11:$E$60,4,FALSE)</f>
        <v>-1.58053</v>
      </c>
      <c r="T21" s="61">
        <f si="0" t="shared"/>
        <v>-2.263991373038055</v>
      </c>
    </row>
    <row r="22" spans="2:20" x14ac:dyDescent="0.45">
      <c r="B22" t="s">
        <v>226</v>
      </c>
      <c r="C22" s="24">
        <f>SUM(Arrival_Time!E17:E18)</f>
        <v>1591.3986996292324</v>
      </c>
      <c r="D22" s="24">
        <f>SUM(Arrival_Time!L17:L18)</f>
        <v>845.97252655029297</v>
      </c>
      <c r="E22" s="25">
        <f si="8" t="shared"/>
        <v>1.272879828849024E-2</v>
      </c>
      <c r="F22" s="25">
        <f si="8" t="shared"/>
        <v>8.0668629950513653E-3</v>
      </c>
      <c r="G22" s="5">
        <f si="9" t="shared"/>
        <v>1.5779117974730386</v>
      </c>
      <c r="H22" s="5">
        <f si="10" t="shared"/>
        <v>1</v>
      </c>
      <c r="I22" s="26">
        <f si="11" t="shared"/>
        <v>0.49956073357210412</v>
      </c>
      <c r="L22" s="65">
        <v>13</v>
      </c>
      <c r="M22" s="65">
        <f si="12" t="shared"/>
        <v>-0.27489999999999998</v>
      </c>
      <c r="N22" s="67">
        <f si="13" t="shared"/>
        <v>0.22466073357210414</v>
      </c>
      <c r="O22" s="65" t="str">
        <f si="14" t="shared"/>
        <v>Arrival 7-8 am</v>
      </c>
      <c r="Q22" s="60">
        <f>WorkBasedSubtourTime!B30</f>
        <v>30</v>
      </c>
      <c r="R22" s="60" t="str">
        <f>WorkBasedSubtourTime!C30</f>
        <v>dep24-26</v>
      </c>
      <c r="S22" s="60">
        <f>VLOOKUP(Q22,WorkBasedSubtourTime!$B$11:$E$60,4,FALSE)</f>
        <v>-10</v>
      </c>
      <c r="T22" s="61">
        <f si="0" t="shared"/>
        <v>-10</v>
      </c>
    </row>
    <row r="23" spans="2:20" x14ac:dyDescent="0.45">
      <c r="B23" t="s">
        <v>227</v>
      </c>
      <c r="C23" s="24">
        <f>SUM(Arrival_Time!E19:E20)</f>
        <v>3285.1328334046093</v>
      </c>
      <c r="D23" s="24">
        <f>SUM(Arrival_Time!L19:L20)</f>
        <v>2877.9726686477661</v>
      </c>
      <c r="E23" s="25">
        <f si="8" t="shared"/>
        <v>2.6276126276241159E-2</v>
      </c>
      <c r="F23" s="25">
        <f si="8" t="shared"/>
        <v>2.7443221254660553E-2</v>
      </c>
      <c r="G23" s="5">
        <f si="9" t="shared"/>
        <v>0.9574723765993326</v>
      </c>
      <c r="H23" s="5">
        <f si="10" t="shared"/>
        <v>1</v>
      </c>
      <c r="I23" s="26">
        <f si="11" t="shared"/>
        <v>0</v>
      </c>
      <c r="L23" s="65">
        <v>14</v>
      </c>
      <c r="M23" s="65">
        <f si="12" t="shared"/>
        <v>0</v>
      </c>
      <c r="N23" s="67">
        <f si="13" t="shared"/>
        <v>0</v>
      </c>
      <c r="O23" s="65" t="str">
        <f si="14" t="shared"/>
        <v>Arrival 8-9 am</v>
      </c>
      <c r="Q23" s="60">
        <f>WorkBasedSubtourTime!B31</f>
        <v>31</v>
      </c>
      <c r="R23" s="60" t="str">
        <f>WorkBasedSubtourTime!C31</f>
        <v>dur0-0</v>
      </c>
      <c r="S23" s="60">
        <f>VLOOKUP(Q23,WorkBasedSubtourTime!$B$11:$E$60,4,FALSE)</f>
        <v>1.9112849999999999</v>
      </c>
      <c r="T23" s="61">
        <f si="0" t="shared"/>
        <v>2.5480428885746771</v>
      </c>
    </row>
    <row r="24" spans="2:20" x14ac:dyDescent="0.45">
      <c r="B24" t="s">
        <v>228</v>
      </c>
      <c r="C24" s="24">
        <f>SUM(Arrival_Time!E21:E22)</f>
        <v>7306.7369371311133</v>
      </c>
      <c r="D24" s="24">
        <f>SUM(Arrival_Time!L21:L22)</f>
        <v>7936.5363159179688</v>
      </c>
      <c r="E24" s="25">
        <f si="8" t="shared"/>
        <v>5.8442916059609495E-2</v>
      </c>
      <c r="F24" s="25">
        <f si="8" t="shared"/>
        <v>7.56797048443556E-2</v>
      </c>
      <c r="G24" s="5">
        <f si="9" t="shared"/>
        <v>0.77224027471835899</v>
      </c>
      <c r="H24" s="5">
        <f si="10" t="shared"/>
        <v>1</v>
      </c>
      <c r="I24" s="26">
        <f si="11" t="shared"/>
        <v>-0.21500113285153302</v>
      </c>
      <c r="L24" s="65">
        <v>15</v>
      </c>
      <c r="M24" s="65">
        <f si="12" t="shared"/>
        <v>-0.4405</v>
      </c>
      <c r="N24" s="67">
        <f si="13" t="shared"/>
        <v>-0.655501132851533</v>
      </c>
      <c r="O24" s="65" t="str">
        <f si="14" t="shared"/>
        <v>Arrival 9-10 am</v>
      </c>
      <c r="Q24" s="60">
        <f>WorkBasedSubtourTime!B32</f>
        <v>32</v>
      </c>
      <c r="R24" s="60" t="str">
        <f>WorkBasedSubtourTime!C32</f>
        <v>dur1-1</v>
      </c>
      <c r="S24" s="60">
        <f>VLOOKUP(Q24,WorkBasedSubtourTime!$B$11:$E$60,4,FALSE)</f>
        <v>1.531911</v>
      </c>
      <c r="T24" s="61">
        <f si="0" t="shared"/>
        <v>1.53871190046811</v>
      </c>
    </row>
    <row r="25" spans="2:20" x14ac:dyDescent="0.45">
      <c r="B25" t="s">
        <v>232</v>
      </c>
      <c r="C25" s="24">
        <f>SUM(Arrival_Time!E23:E28)</f>
        <v>72814.390536835999</v>
      </c>
      <c r="D25" s="24">
        <f>SUM(Arrival_Time!L23:L28)</f>
        <v>57353.736999511719</v>
      </c>
      <c r="E25" s="25">
        <f si="8" t="shared"/>
        <v>0.58240571005787245</v>
      </c>
      <c r="F25" s="25">
        <f si="8" t="shared"/>
        <v>0.54690279425021493</v>
      </c>
      <c r="G25" s="5">
        <f si="9" t="shared"/>
        <v>1.0649163181847165</v>
      </c>
      <c r="H25" s="5">
        <f si="10" t="shared"/>
        <v>1</v>
      </c>
      <c r="I25" s="26">
        <f si="11" t="shared"/>
        <v>0.10635462944791257</v>
      </c>
      <c r="L25" s="65">
        <v>16</v>
      </c>
      <c r="M25" s="65">
        <f si="12" t="shared"/>
        <v>-0.1867</v>
      </c>
      <c r="N25" s="67">
        <f si="13" t="shared"/>
        <v>-8.0345370552087431E-2</v>
      </c>
      <c r="O25" s="65" t="str">
        <f si="14" t="shared"/>
        <v>Arrival 10 am-1 pm</v>
      </c>
      <c r="Q25" s="60">
        <f>WorkBasedSubtourTime!B33</f>
        <v>33</v>
      </c>
      <c r="R25" s="60" t="str">
        <f>WorkBasedSubtourTime!C33</f>
        <v>dur2-2</v>
      </c>
      <c r="S25" s="60">
        <f>VLOOKUP(Q25,WorkBasedSubtourTime!$B$11:$E$60,4,FALSE)</f>
        <v>0</v>
      </c>
      <c r="T25" s="61">
        <f si="0" t="shared"/>
        <v>0</v>
      </c>
    </row>
    <row r="26" spans="2:20" x14ac:dyDescent="0.45">
      <c r="B26" t="s">
        <v>229</v>
      </c>
      <c r="C26" s="24">
        <f>SUM(Arrival_Time!E29:E34)</f>
        <v>34714.211120073633</v>
      </c>
      <c r="D26" s="24">
        <f>SUM(Arrival_Time!L29:L34)</f>
        <v>30226.90626335144</v>
      </c>
      <c r="E26" s="25">
        <f si="8" t="shared"/>
        <v>0.27766152579767095</v>
      </c>
      <c r="F26" s="25">
        <f si="8" t="shared"/>
        <v>0.28823195072898156</v>
      </c>
      <c r="G26" s="5">
        <f si="9" t="shared"/>
        <v>0.96332667178438602</v>
      </c>
      <c r="H26" s="5">
        <f si="10" t="shared"/>
        <v>1</v>
      </c>
      <c r="I26" s="26">
        <f si="11" t="shared"/>
        <v>6.0957061777126287E-3</v>
      </c>
      <c r="L26" s="65">
        <v>17</v>
      </c>
      <c r="M26" s="65">
        <f si="12" t="shared"/>
        <v>-1.6032</v>
      </c>
      <c r="N26" s="67">
        <f si="13" t="shared"/>
        <v>-1.5971042938222872</v>
      </c>
      <c r="O26" s="65" t="str">
        <f si="14" t="shared"/>
        <v>Arrival 1-4 pm</v>
      </c>
      <c r="Q26" s="60">
        <f>WorkBasedSubtourTime!B34</f>
        <v>34</v>
      </c>
      <c r="R26" s="60" t="str">
        <f>WorkBasedSubtourTime!C34</f>
        <v>dur3-4</v>
      </c>
      <c r="S26" s="60">
        <f>VLOOKUP(Q26,WorkBasedSubtourTime!$B$11:$E$60,4,FALSE)</f>
        <v>-2.3162820000000002</v>
      </c>
      <c r="T26" s="61">
        <f si="0" t="shared"/>
        <v>-0.56038830216829894</v>
      </c>
    </row>
    <row r="27" spans="2:20" x14ac:dyDescent="0.45">
      <c r="B27" t="s">
        <v>230</v>
      </c>
      <c r="C27" s="24">
        <f>SUM(Arrival_Time!E35:E40)</f>
        <v>4053.5151753642749</v>
      </c>
      <c r="D27" s="24">
        <f>SUM(Arrival_Time!L35:L40)</f>
        <v>4310.5340747833252</v>
      </c>
      <c r="E27" s="25">
        <f si="8" t="shared"/>
        <v>3.2422030405433303E-2</v>
      </c>
      <c r="F27" s="25">
        <f si="8" t="shared"/>
        <v>4.1103566280778457E-2</v>
      </c>
      <c r="G27" s="5">
        <f si="9" t="shared"/>
        <v>0.7887887436325699</v>
      </c>
      <c r="H27" s="5">
        <f si="10" t="shared"/>
        <v>1</v>
      </c>
      <c r="I27" s="26">
        <f si="11" t="shared"/>
        <v>-0.19379833819011308</v>
      </c>
      <c r="L27" s="65">
        <v>18</v>
      </c>
      <c r="M27" s="65">
        <f si="12" t="shared"/>
        <v>-2.6232000000000002</v>
      </c>
      <c r="N27" s="67">
        <f si="13" t="shared"/>
        <v>-2.8169983381901131</v>
      </c>
      <c r="O27" s="65" t="str">
        <f si="14" t="shared"/>
        <v>Arrival 4-7 pm</v>
      </c>
      <c r="Q27" s="60">
        <f>WorkBasedSubtourTime!B35</f>
        <v>35</v>
      </c>
      <c r="R27" s="60" t="str">
        <f>WorkBasedSubtourTime!C35</f>
        <v>dur5-6</v>
      </c>
      <c r="S27" s="60">
        <f>VLOOKUP(Q27,WorkBasedSubtourTime!$B$11:$E$60,4,FALSE)</f>
        <v>-5</v>
      </c>
      <c r="T27" s="61">
        <f si="0" t="shared"/>
        <v>-5</v>
      </c>
    </row>
    <row r="28" spans="2:20" x14ac:dyDescent="0.45">
      <c r="B28" t="s">
        <v>79</v>
      </c>
      <c r="C28" s="24">
        <f>SUM(Arrival_Time!E41:E44)</f>
        <v>403.17622386293033</v>
      </c>
      <c r="D28" s="24">
        <f>SUM(Arrival_Time!L41:L44)</f>
        <v>627.54186344146729</v>
      </c>
      <c r="E28" s="25">
        <f si="8" t="shared"/>
        <v>3.2248039598512163E-3</v>
      </c>
      <c r="F28" s="25">
        <f si="8" t="shared"/>
        <v>5.9839936607451955E-3</v>
      </c>
      <c r="G28" s="5">
        <f si="9" t="shared"/>
        <v>0.53890497595373898</v>
      </c>
      <c r="H28" s="5">
        <f si="10" t="shared"/>
        <v>1</v>
      </c>
      <c r="I28" s="26">
        <f si="11" t="shared"/>
        <v>-0.57475761269900494</v>
      </c>
      <c r="L28" s="65">
        <v>19</v>
      </c>
      <c r="M28" s="65">
        <f si="12" t="shared"/>
        <v>-4.4149000000000003</v>
      </c>
      <c r="N28" s="67">
        <f si="13" t="shared"/>
        <v>-4.9896576126990055</v>
      </c>
      <c r="O28" s="65" t="str">
        <f si="14" t="shared"/>
        <v>Arrival 7-9 pm</v>
      </c>
      <c r="Q28" s="60">
        <f>WorkBasedSubtourTime!B36</f>
        <v>36</v>
      </c>
      <c r="R28" s="60" t="str">
        <f>WorkBasedSubtourTime!C36</f>
        <v>dur7-8</v>
      </c>
      <c r="S28" s="60">
        <f>VLOOKUP(Q28,WorkBasedSubtourTime!$B$11:$E$60,4,FALSE)</f>
        <v>-5</v>
      </c>
      <c r="T28" s="61">
        <f si="0" t="shared"/>
        <v>-5</v>
      </c>
    </row>
    <row r="29" spans="2:20" x14ac:dyDescent="0.45">
      <c r="B29" s="19" t="s">
        <v>231</v>
      </c>
      <c r="C29" s="29">
        <f>SUM(Arrival_Time!E45:E57)+Arrival_Time!E8</f>
        <v>57.225537555147007</v>
      </c>
      <c r="D29" s="29">
        <f>SUM(Arrival_Time!L45:L57)+Arrival_Time!L8</f>
        <v>299.17196083068848</v>
      </c>
      <c r="E29" s="30">
        <f si="8" t="shared"/>
        <v>4.5771831072854107E-4</v>
      </c>
      <c r="F29" s="30">
        <f si="8" t="shared"/>
        <v>2.852786756354034E-3</v>
      </c>
      <c r="G29" s="18">
        <f si="9" t="shared"/>
        <v>0.16044603043289568</v>
      </c>
      <c r="H29" s="18">
        <v>0</v>
      </c>
      <c r="I29" s="26">
        <f si="11" t="shared"/>
        <v>0</v>
      </c>
      <c r="L29" s="68">
        <v>20</v>
      </c>
      <c r="M29" s="68">
        <f si="12" t="shared"/>
        <v>-10</v>
      </c>
      <c r="N29" s="69">
        <f si="13" t="shared"/>
        <v>-10</v>
      </c>
      <c r="O29" s="68" t="str">
        <f si="14" t="shared"/>
        <v>Arrival 9 pm-3 am</v>
      </c>
      <c r="Q29" s="60">
        <f>WorkBasedSubtourTime!B37</f>
        <v>37</v>
      </c>
      <c r="R29" s="60" t="str">
        <f>WorkBasedSubtourTime!C37</f>
        <v>dur9-11</v>
      </c>
      <c r="S29" s="60">
        <f>VLOOKUP(Q29,WorkBasedSubtourTime!$B$11:$E$60,4,FALSE)</f>
        <v>5.1999999999999998E-2</v>
      </c>
      <c r="T29" s="61">
        <f si="0" t="shared"/>
        <v>5.1999999999999998E-2</v>
      </c>
    </row>
    <row ht="14.65" r="30" spans="2:20" thickBot="1" x14ac:dyDescent="0.5">
      <c r="B30" s="34" t="s">
        <v>82</v>
      </c>
      <c r="C30" s="35">
        <f>SUM(C20:C29)</f>
        <v>125023.41662839778</v>
      </c>
      <c r="D30" s="35">
        <f>SUM(D20:D29)</f>
        <v>104868.70358657837</v>
      </c>
      <c r="E30" s="36">
        <f si="8" t="shared"/>
        <v>0.9999994671175233</v>
      </c>
      <c r="F30" s="36">
        <f si="8" t="shared"/>
        <v>0.99998692363124531</v>
      </c>
      <c r="G30" s="37">
        <f si="9" t="shared"/>
        <v>1.0000125436503033</v>
      </c>
      <c r="H30" s="37"/>
      <c r="I30" s="38"/>
      <c r="Q30" s="60">
        <f>WorkBasedSubtourTime!B38</f>
        <v>38</v>
      </c>
      <c r="R30" s="60" t="str">
        <f>WorkBasedSubtourTime!C38</f>
        <v>dur12-13</v>
      </c>
      <c r="S30" s="60">
        <f>VLOOKUP(Q30,WorkBasedSubtourTime!$B$11:$E$60,4,FALSE)</f>
        <v>-10</v>
      </c>
      <c r="T30" s="61">
        <f si="0" t="shared"/>
        <v>-10</v>
      </c>
    </row>
    <row r="31" spans="2:20" x14ac:dyDescent="0.45">
      <c r="Q31" s="60">
        <f>WorkBasedSubtourTime!B39</f>
        <v>39</v>
      </c>
      <c r="R31" s="60" t="str">
        <f>WorkBasedSubtourTime!C39</f>
        <v>dur14-17</v>
      </c>
      <c r="S31" s="60">
        <f>VLOOKUP(Q31,WorkBasedSubtourTime!$B$11:$E$60,4,FALSE)</f>
        <v>-10</v>
      </c>
      <c r="T31" s="61">
        <f si="0" t="shared"/>
        <v>-10</v>
      </c>
    </row>
    <row r="32" spans="2:20" x14ac:dyDescent="0.4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58">
        <f si="0" t="shared"/>
        <v>2.5999999999999999E-3</v>
      </c>
    </row>
    <row ht="14.65" r="33" spans="2:20" thickBot="1" x14ac:dyDescent="0.5">
      <c r="B33" s="32" t="s">
        <v>175</v>
      </c>
      <c r="C33" s="1"/>
      <c r="D33" s="1"/>
      <c r="E33" s="1" t="s">
        <v>86</v>
      </c>
      <c r="F33" s="33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58">
        <f si="0" t="shared"/>
        <v>0.12809999999999999</v>
      </c>
    </row>
    <row ht="14.65" r="34" spans="2:20" thickBot="1" x14ac:dyDescent="0.5">
      <c r="B34" s="7"/>
      <c r="C34" s="79" t="s">
        <v>87</v>
      </c>
      <c r="D34" s="79"/>
      <c r="E34" s="79" t="s">
        <v>83</v>
      </c>
      <c r="F34" s="79"/>
      <c r="G34" s="7"/>
      <c r="H34" s="7"/>
      <c r="I34" s="7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58">
        <f si="0" t="shared"/>
        <v>0.25</v>
      </c>
    </row>
    <row r="35" spans="2:20" x14ac:dyDescent="0.45">
      <c r="B35" s="27" t="s">
        <v>14</v>
      </c>
      <c r="C35" s="28" t="s">
        <v>48</v>
      </c>
      <c r="D35" s="28" t="s">
        <v>35</v>
      </c>
      <c r="E35" s="28" t="s">
        <v>48</v>
      </c>
      <c r="F35" s="28" t="s">
        <v>35</v>
      </c>
      <c r="G35" s="28" t="s">
        <v>84</v>
      </c>
      <c r="H35" s="28" t="s">
        <v>86</v>
      </c>
      <c r="I35" s="59" t="s">
        <v>85</v>
      </c>
      <c r="L35" s="28" t="s">
        <v>88</v>
      </c>
      <c r="M35" s="28" t="s">
        <v>89</v>
      </c>
      <c r="N35" s="27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58">
        <f ref="T35:T52" si="15" t="shared">_xlfn.IFNA(VLOOKUP(Q35,$L$3:$N$45,3,FALSE),S35)</f>
        <v>0.25</v>
      </c>
    </row>
    <row r="36" spans="2:20" x14ac:dyDescent="0.45">
      <c r="B36" t="s">
        <v>62</v>
      </c>
      <c r="C36" s="24">
        <f>SUM(Duration!E8:E13)</f>
        <v>176149.99564296828</v>
      </c>
      <c r="D36" s="24">
        <f>SUM(Duration!L7:L12)</f>
        <v>174876.29733943939</v>
      </c>
      <c r="E36" s="25">
        <f ref="E36:E46" si="16" t="shared">C36/C$46</f>
        <v>0.97451463266258564</v>
      </c>
      <c r="F36" s="25">
        <f ref="F36:F46" si="17" t="shared">D36/D$46</f>
        <v>0.95395321660631383</v>
      </c>
      <c r="G36" s="5">
        <f>IFERROR(E36/F36,1)</f>
        <v>1.0215539040052919</v>
      </c>
      <c r="H36" s="5">
        <f>$F$33</f>
        <v>1</v>
      </c>
      <c r="I36" s="57">
        <f ref="I36:I45" si="18" t="shared">IFERROR(H36*(LN(G36)-LN($G$38)),0)</f>
        <v>0.63675788857467719</v>
      </c>
      <c r="L36">
        <v>31</v>
      </c>
      <c r="M36" s="56">
        <f>VLOOKUP(L36,$Q$3:$T$64,3,FALSE)</f>
        <v>1.9112849999999999</v>
      </c>
      <c r="N36" s="26">
        <f>I36+M36</f>
        <v>2.5480428885746771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58">
        <f si="15" t="shared"/>
        <v>0.25</v>
      </c>
    </row>
    <row r="37" spans="2:20" x14ac:dyDescent="0.45">
      <c r="B37" t="s">
        <v>63</v>
      </c>
      <c r="C37" s="24">
        <f>SUM(Duration!E14:E17)</f>
        <v>4225.966046286344</v>
      </c>
      <c r="D37" s="24">
        <f>SUM(Duration!L13:L16)</f>
        <v>7877.0057001113892</v>
      </c>
      <c r="E37" s="25">
        <f si="16" t="shared"/>
        <v>2.3379312240168613E-2</v>
      </c>
      <c r="F37" s="25">
        <f si="17" t="shared"/>
        <v>4.2969201882528937E-2</v>
      </c>
      <c r="G37" s="5">
        <f ref="G37:G46" si="19" t="shared">IFERROR(E37/F37,1)</f>
        <v>0.54409463559700244</v>
      </c>
      <c r="H37" s="5">
        <f>$F$33</f>
        <v>1</v>
      </c>
      <c r="I37" s="26">
        <f si="18" t="shared"/>
        <v>6.8009004681099938E-3</v>
      </c>
      <c r="L37">
        <v>32</v>
      </c>
      <c r="M37">
        <f ref="M37:M44" si="20" t="shared">VLOOKUP(L37,$Q$3:$T$64,3,FALSE)</f>
        <v>1.531911</v>
      </c>
      <c r="N37" s="26">
        <f ref="N37:N44" si="21" t="shared">I37+M37</f>
        <v>1.53871190046811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58">
        <f si="15" t="shared"/>
        <v>0.25</v>
      </c>
    </row>
    <row r="38" spans="2:20" x14ac:dyDescent="0.45">
      <c r="B38" t="s">
        <v>64</v>
      </c>
      <c r="C38" s="24">
        <f>SUM(Duration!E18:E21)</f>
        <v>281.660448320022</v>
      </c>
      <c r="D38" s="24">
        <f>SUM(Duration!L17:L20)</f>
        <v>528.5847339630127</v>
      </c>
      <c r="E38" s="25">
        <f si="16" t="shared"/>
        <v>1.5582301170560516E-3</v>
      </c>
      <c r="F38" s="25">
        <f si="17" t="shared"/>
        <v>2.8834388358203625E-3</v>
      </c>
      <c r="G38" s="5">
        <f si="19" t="shared"/>
        <v>0.54040685645850439</v>
      </c>
      <c r="H38" s="5">
        <f>$F$33</f>
        <v>1</v>
      </c>
      <c r="I38" s="26">
        <f si="18" t="shared"/>
        <v>0</v>
      </c>
      <c r="L38">
        <v>33</v>
      </c>
      <c r="M38">
        <f si="20" t="shared"/>
        <v>0</v>
      </c>
      <c r="N38" s="26">
        <f si="21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58">
        <f si="15" t="shared"/>
        <v>2</v>
      </c>
    </row>
    <row r="39" spans="2:20" x14ac:dyDescent="0.45">
      <c r="B39" t="s">
        <v>65</v>
      </c>
      <c r="C39" s="24">
        <f>SUM(Duration!E22:E25)</f>
        <v>94.342100098663423</v>
      </c>
      <c r="D39" s="24">
        <f>SUM(Duration!L21:L24)</f>
        <v>30.58576488494873</v>
      </c>
      <c r="E39" s="25">
        <f si="16" t="shared"/>
        <v>5.2192880667798034E-4</v>
      </c>
      <c r="F39" s="25">
        <f si="17" t="shared"/>
        <v>1.6684587470266037E-4</v>
      </c>
      <c r="G39" s="5">
        <f si="19" t="shared"/>
        <v>3.128209238664851</v>
      </c>
      <c r="H39" s="5">
        <f>$F$33</f>
        <v>1</v>
      </c>
      <c r="I39" s="26">
        <f si="18" t="shared"/>
        <v>1.7558936978317012</v>
      </c>
      <c r="L39">
        <v>34</v>
      </c>
      <c r="M39">
        <f si="20" t="shared"/>
        <v>-2.3162820000000002</v>
      </c>
      <c r="N39" s="26">
        <f si="21" t="shared"/>
        <v>-0.56038830216829894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58">
        <f si="15" t="shared"/>
        <v>2.0366</v>
      </c>
    </row>
    <row r="40" spans="2:20" x14ac:dyDescent="0.45">
      <c r="B40" t="s">
        <v>66</v>
      </c>
      <c r="C40" s="24">
        <f>SUM(Duration!E26:E27)</f>
        <v>4.3901729206665632</v>
      </c>
      <c r="D40" s="24">
        <f>SUM(Duration!L25:L26)</f>
        <v>3.5689983367919922</v>
      </c>
      <c r="E40" s="25">
        <f si="16" t="shared"/>
        <v>2.4287753942271478E-5</v>
      </c>
      <c r="F40" s="25">
        <f si="17" t="shared"/>
        <v>1.9468947451676529E-5</v>
      </c>
      <c r="G40" s="5">
        <f si="19" t="shared"/>
        <v>1.2475124298607108</v>
      </c>
      <c r="H40" s="5">
        <v>0</v>
      </c>
      <c r="I40" s="26">
        <f si="18" t="shared"/>
        <v>0</v>
      </c>
      <c r="L40">
        <v>35</v>
      </c>
      <c r="M40">
        <f si="20" t="shared"/>
        <v>-5</v>
      </c>
      <c r="N40" s="26">
        <f si="21" t="shared"/>
        <v>-5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58">
        <f si="15" t="shared"/>
        <v>0.16059999999999999</v>
      </c>
    </row>
    <row r="41" spans="2:20" x14ac:dyDescent="0.45">
      <c r="B41" t="s">
        <v>67</v>
      </c>
      <c r="C41" s="24">
        <f>SUM(Duration!E28:E29)</f>
        <v>0.28621398883779381</v>
      </c>
      <c r="D41" s="24">
        <f>SUM(Duration!L27:L28)</f>
        <v>1.1866855621337891</v>
      </c>
      <c r="E41" s="25">
        <f si="16" t="shared"/>
        <v>1.5834216695667016E-6</v>
      </c>
      <c r="F41" s="25">
        <f si="17" t="shared"/>
        <v>6.4733901982180931E-6</v>
      </c>
      <c r="G41" s="5">
        <f si="19" t="shared"/>
        <v>0.24460470033191639</v>
      </c>
      <c r="H41" s="5">
        <v>0</v>
      </c>
      <c r="I41" s="26">
        <f si="18" t="shared"/>
        <v>0</v>
      </c>
      <c r="L41">
        <v>36</v>
      </c>
      <c r="M41">
        <f si="20" t="shared"/>
        <v>-5</v>
      </c>
      <c r="N41" s="26">
        <f si="21" t="shared"/>
        <v>-5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58">
        <f si="15" t="shared"/>
        <v>6.6500000000000004E-2</v>
      </c>
    </row>
    <row r="42" spans="2:20" x14ac:dyDescent="0.45">
      <c r="B42" t="s">
        <v>68</v>
      </c>
      <c r="C42" s="24">
        <f>SUM(Duration!E30:E31)</f>
        <v>4.5185365097933404E-3</v>
      </c>
      <c r="D42" s="24">
        <f>SUM(Duration!L29:L30)</f>
        <v>0.22704219818115234</v>
      </c>
      <c r="E42" s="25">
        <f si="16" t="shared"/>
        <v>2.4997899834972364E-8</v>
      </c>
      <c r="F42" s="25">
        <f si="17" t="shared"/>
        <v>1.2385191049641009E-6</v>
      </c>
      <c r="G42" s="5">
        <f si="19" t="shared"/>
        <v>2.018370143405817E-2</v>
      </c>
      <c r="H42" s="5">
        <v>0</v>
      </c>
      <c r="I42" s="26">
        <f si="18" t="shared"/>
        <v>0</v>
      </c>
      <c r="L42">
        <v>37</v>
      </c>
      <c r="M42">
        <f si="20" t="shared"/>
        <v>5.1999999999999998E-2</v>
      </c>
      <c r="N42" s="26">
        <f si="21" t="shared"/>
        <v>5.1999999999999998E-2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58">
        <f si="15" t="shared"/>
        <v>0.622</v>
      </c>
    </row>
    <row r="43" spans="2:20" x14ac:dyDescent="0.45">
      <c r="B43" t="s">
        <v>69</v>
      </c>
      <c r="C43" s="24">
        <f>SUM(Duration!E32:E35)</f>
        <v>0</v>
      </c>
      <c r="D43" s="24">
        <f>SUM(Duration!L31:L34)</f>
        <v>2.1251678466796875E-2</v>
      </c>
      <c r="E43" s="25">
        <f si="16" t="shared"/>
        <v>0</v>
      </c>
      <c r="F43" s="25">
        <f si="17" t="shared"/>
        <v>1.1592827238521293E-7</v>
      </c>
      <c r="G43" s="5">
        <f si="19" t="shared"/>
        <v>0</v>
      </c>
      <c r="H43" s="5">
        <v>0</v>
      </c>
      <c r="I43" s="26">
        <f si="18" t="shared"/>
        <v>0</v>
      </c>
      <c r="L43">
        <v>38</v>
      </c>
      <c r="M43">
        <f si="20" t="shared"/>
        <v>-10</v>
      </c>
      <c r="N43" s="26">
        <f si="21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58">
        <f si="15" t="shared"/>
        <v>0.18190000000000001</v>
      </c>
    </row>
    <row r="44" spans="2:20" x14ac:dyDescent="0.45">
      <c r="B44" t="s">
        <v>90</v>
      </c>
      <c r="C44" s="24">
        <f>SUM(Duration!E36:E43)</f>
        <v>0</v>
      </c>
      <c r="D44" s="24">
        <f>SUM(Duration!L35:L42)</f>
        <v>2.86102294921875E-6</v>
      </c>
      <c r="E44" s="25">
        <f si="16" t="shared"/>
        <v>0</v>
      </c>
      <c r="F44" s="25">
        <f si="17" t="shared"/>
        <v>1.5606929507971585E-11</v>
      </c>
      <c r="G44" s="5">
        <f si="19" t="shared"/>
        <v>0</v>
      </c>
      <c r="H44" s="5">
        <v>0</v>
      </c>
      <c r="I44" s="26">
        <f si="18" t="shared"/>
        <v>0</v>
      </c>
      <c r="L44">
        <v>39</v>
      </c>
      <c r="M44">
        <f si="20" t="shared"/>
        <v>-10</v>
      </c>
      <c r="N44" s="26">
        <f si="21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58">
        <f si="15" t="shared"/>
        <v>-1.9103000000000001</v>
      </c>
    </row>
    <row r="45" spans="2:20" x14ac:dyDescent="0.45">
      <c r="B45" s="19" t="s">
        <v>70</v>
      </c>
      <c r="C45" s="29">
        <f>SUM(Duration!E44:E55)</f>
        <v>0</v>
      </c>
      <c r="D45" s="29">
        <f>SUM(Duration!L43:L54)</f>
        <v>0</v>
      </c>
      <c r="E45" s="30">
        <f si="16" t="shared"/>
        <v>0</v>
      </c>
      <c r="F45" s="30">
        <f si="17" t="shared"/>
        <v>0</v>
      </c>
      <c r="G45" s="18">
        <f si="19" t="shared"/>
        <v>1</v>
      </c>
      <c r="H45" s="18">
        <v>0</v>
      </c>
      <c r="I45" s="31">
        <f si="18" t="shared"/>
        <v>0</v>
      </c>
      <c r="L45" s="19"/>
      <c r="M45" s="19"/>
      <c r="N45" s="31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58">
        <f si="15" t="shared"/>
        <v>5.8099999999999999E-2</v>
      </c>
    </row>
    <row ht="14.65" r="46" spans="2:20" thickBot="1" x14ac:dyDescent="0.5">
      <c r="B46" s="3" t="s">
        <v>82</v>
      </c>
      <c r="C46" s="39">
        <f>SUM(C36:C45)</f>
        <v>180756.64514311933</v>
      </c>
      <c r="D46" s="39">
        <f>SUM(D36:D45)</f>
        <v>183317.47751903534</v>
      </c>
      <c r="E46" s="40">
        <f si="16" t="shared"/>
        <v>1</v>
      </c>
      <c r="F46" s="40">
        <f si="17" t="shared"/>
        <v>1</v>
      </c>
      <c r="G46" s="41">
        <f si="19" t="shared"/>
        <v>1</v>
      </c>
      <c r="H46" s="41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58">
        <f si="15" t="shared"/>
        <v>-0.88929999999999998</v>
      </c>
    </row>
    <row r="47" spans="2:20" x14ac:dyDescent="0.4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58">
        <f si="15" t="shared"/>
        <v>4.7300000000000002E-2</v>
      </c>
    </row>
    <row r="48" spans="2:20" x14ac:dyDescent="0.4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58">
        <f si="15" t="shared"/>
        <v>-0.35170000000000001</v>
      </c>
    </row>
    <row r="49" spans="17:20" x14ac:dyDescent="0.4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58">
        <f si="15" t="shared"/>
        <v>0.15</v>
      </c>
    </row>
    <row r="50" spans="17:20" x14ac:dyDescent="0.4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58">
        <f si="15" t="shared"/>
        <v>-3.7699999999999997E-2</v>
      </c>
    </row>
    <row r="51" spans="17:20" x14ac:dyDescent="0.4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58">
        <f si="15" t="shared"/>
        <v>1.6199999999999999E-2</v>
      </c>
    </row>
    <row r="52" spans="17:20" x14ac:dyDescent="0.4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58">
        <f si="15" t="shared"/>
        <v>-0.29959999999999998</v>
      </c>
    </row>
    <row r="53" spans="17:20" x14ac:dyDescent="0.45">
      <c r="T53" s="58"/>
    </row>
    <row r="54" spans="17:20" x14ac:dyDescent="0.45">
      <c r="T54" s="58"/>
    </row>
    <row r="55" spans="17:20" x14ac:dyDescent="0.45">
      <c r="T55" s="58"/>
    </row>
    <row r="56" spans="17:20" x14ac:dyDescent="0.45">
      <c r="T56" s="58"/>
    </row>
    <row r="57" spans="17:20" x14ac:dyDescent="0.45">
      <c r="T57" s="58"/>
    </row>
    <row r="58" spans="17:20" x14ac:dyDescent="0.45">
      <c r="T58" s="58"/>
    </row>
    <row r="59" spans="17:20" x14ac:dyDescent="0.45">
      <c r="T59" s="58"/>
    </row>
  </sheetData>
  <mergeCells count="6">
    <mergeCell ref="C34:D34"/>
    <mergeCell ref="E34:F34"/>
    <mergeCell ref="C2:D2"/>
    <mergeCell ref="E2:F2"/>
    <mergeCell ref="C18:D18"/>
    <mergeCell ref="E18:F18"/>
  </mergeCells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EB825A-4CA2-4ED8-AC00-A508D3C439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20D768-4CD4-4007-9097-12F77FA52E64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3.xml><?xml version="1.0" encoding="utf-8"?>
<ds:datastoreItem xmlns:ds="http://schemas.openxmlformats.org/officeDocument/2006/customXml" ds:itemID="{97B22BA7-B9CB-40C3-908D-F856546266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baseType="lpstr" size="69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WorkTourTime</vt:lpstr>
      <vt:lpstr>WorkBasedSubtourTime</vt:lpstr>
      <vt:lpstr>Calibration_Work</vt:lpstr>
      <vt:lpstr>Calibration_School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