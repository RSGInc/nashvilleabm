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6A209824-2AFA-4C24-A874-95E7BD433498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6" l="1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8"/>
  <c i="6" r="R8" s="1"/>
  <c i="6" r="S23"/>
  <c i="6" r="Q34"/>
  <c i="6" r="R34" s="1"/>
  <c i="6" r="Q19"/>
  <c i="6" r="R19" s="1"/>
  <c i="6" r="Q16"/>
  <c i="6" r="R16" s="1"/>
  <c i="6" r="Q63"/>
  <c i="6" r="R63" s="1"/>
  <c i="6" r="Q47"/>
  <c i="6" r="R47" s="1"/>
  <c i="6" r="Q83"/>
  <c i="6" r="R83" s="1"/>
  <c i="6" r="S25"/>
  <c i="6" r="Q35"/>
  <c i="6" r="R35" s="1"/>
  <c i="6" r="Q33"/>
  <c i="6" r="R33" s="1"/>
  <c i="6" r="Q88"/>
  <c i="6" r="R88" s="1"/>
  <c i="6" r="S24"/>
  <c i="6" r="Q49"/>
  <c i="6" r="R49" s="1"/>
  <c i="6" r="Q44"/>
  <c i="6" r="R44" s="1"/>
  <c i="6" r="Q22"/>
  <c i="6" r="R22" s="1"/>
  <c i="6" r="Q62"/>
  <c i="6" r="R62" s="1"/>
  <c i="6" r="M33"/>
  <c i="6" r="M34"/>
  <c i="6" r="M35"/>
  <c i="6" r="M47"/>
  <c i="6" r="M83"/>
  <c i="6" r="Q60"/>
  <c i="6" r="R60" s="1"/>
  <c i="6" r="Q84"/>
  <c i="6" r="R84" s="1"/>
  <c i="6" r="M88"/>
  <c i="6" r="Q3"/>
  <c i="6" r="R3" s="1"/>
  <c i="6" r="Q36"/>
  <c i="6" r="R36" s="1"/>
  <c i="6" r="Q48"/>
  <c i="6" r="R48" s="1"/>
  <c i="6" r="Q50"/>
  <c i="6" r="R50" s="1"/>
  <c i="6" r="Q51"/>
  <c i="6" r="R51" s="1"/>
  <c i="6" r="Q56"/>
  <c i="6" r="R56" s="1"/>
  <c i="6" r="Q57"/>
  <c i="6" r="R57" s="1"/>
  <c i="6" r="M16"/>
  <c i="6" r="M19"/>
  <c i="6" r="Q90"/>
  <c i="6" r="R90" s="1"/>
  <c i="6" r="Q80"/>
  <c i="6" r="R80" s="1"/>
  <c i="6" r="M62"/>
  <c i="6" r="Q81"/>
  <c i="6" r="R81" s="1"/>
  <c i="6" r="M63"/>
  <c i="6" r="Q82"/>
  <c i="6" r="R82" s="1"/>
  <c i="6" r="Q45"/>
  <c i="6" r="R45" s="1"/>
  <c i="6" r="Q85"/>
  <c i="6" r="R85" s="1"/>
  <c i="6" r="Q46"/>
  <c i="6" r="R46" s="1"/>
  <c i="6" r="Q86"/>
  <c i="6" r="R86" s="1"/>
  <c i="6" r="Q87"/>
  <c i="6" r="R87" s="1"/>
  <c i="6" r="M22"/>
  <c i="6" r="D23"/>
  <c i="6" r="Q58"/>
  <c i="6" r="R58" s="1"/>
  <c i="6" r="D25"/>
  <c i="6" r="Q17"/>
  <c i="6" r="R17" s="1"/>
  <c i="6" r="Q59"/>
  <c i="6" r="R59" s="1"/>
  <c i="6" r="D24"/>
  <c i="6" r="Q18"/>
  <c i="6" r="R18" s="1"/>
  <c i="6" r="Q61"/>
  <c i="6" r="R61" s="1"/>
  <c i="6" r="Q20"/>
  <c i="6" r="R20" s="1"/>
  <c i="6" r="Q72"/>
  <c i="6" r="R72" s="1"/>
  <c i="6" r="Q26"/>
  <c i="6" r="R26" s="1"/>
  <c i="6" r="Q73"/>
  <c i="6" r="R73" s="1"/>
  <c i="6" r="Q27"/>
  <c i="6" r="R27" s="1"/>
  <c i="6" r="Q74"/>
  <c i="6" r="R74" s="1"/>
  <c i="6" r="Q21"/>
  <c i="6" r="R21" s="1"/>
  <c i="6" r="Q32"/>
  <c i="6" r="R32" s="1"/>
  <c i="6" r="Q75"/>
  <c i="6" r="R75" s="1"/>
  <c i="6" r="Q89"/>
  <c i="6" r="R89" s="1"/>
  <c i="6" r="Q91"/>
  <c i="6" r="R91" s="1"/>
  <c i="6" r="Q64"/>
  <c i="6" r="R64" s="1"/>
  <c i="6" r="Q92"/>
  <c i="6" r="R92" s="1"/>
  <c i="6" r="Q9"/>
  <c i="6" r="R9" s="1"/>
  <c i="6" r="Q37"/>
  <c i="6" r="R37" s="1"/>
  <c i="6" r="Q65"/>
  <c i="6" r="R65" s="1"/>
  <c i="6" r="Q93"/>
  <c i="6" r="R93" s="1"/>
  <c i="6" r="Q10"/>
  <c i="6" r="R10" s="1"/>
  <c i="6" r="Q38"/>
  <c i="6" r="R38" s="1"/>
  <c i="6" r="Q66"/>
  <c i="6" r="R66" s="1"/>
  <c i="6" r="Q94"/>
  <c i="6" r="R94" s="1"/>
  <c i="6" r="Q11"/>
  <c i="6" r="R11" s="1"/>
  <c i="6" r="Q39"/>
  <c i="6" r="R39" s="1"/>
  <c i="6" r="Q67"/>
  <c i="6" r="R67" s="1"/>
  <c i="6" r="Q95"/>
  <c i="6" r="R95" s="1"/>
  <c i="6" r="Q12"/>
  <c i="6" r="R12" s="1"/>
  <c i="6" r="Q40"/>
  <c i="6" r="R40" s="1"/>
  <c i="6" r="Q68"/>
  <c i="6" r="R68" s="1"/>
  <c i="6" r="Q96"/>
  <c i="6" r="R96" s="1"/>
  <c i="6" r="Q13"/>
  <c i="6" r="R13" s="1"/>
  <c i="6" r="Q41"/>
  <c i="6" r="R41" s="1"/>
  <c i="6" r="Q69"/>
  <c i="6" r="R69" s="1"/>
  <c i="6" r="Q97"/>
  <c i="6" r="R97" s="1"/>
  <c i="6" r="Q14"/>
  <c i="6" r="R14" s="1"/>
  <c i="6" r="Q42"/>
  <c i="6" r="R42" s="1"/>
  <c i="6" r="Q70"/>
  <c i="6" r="R70" s="1"/>
  <c i="6" r="Q98"/>
  <c i="6" r="R98" s="1"/>
  <c i="6" r="Q15"/>
  <c i="6" r="R15" s="1"/>
  <c i="6" r="Q43"/>
  <c i="6" r="R43" s="1"/>
  <c i="6" r="Q71"/>
  <c i="6" r="R71" s="1"/>
  <c i="6" r="Q99"/>
  <c i="6" r="R99" s="1"/>
  <c i="6" r="Q4"/>
  <c i="6" r="R4" s="1"/>
  <c i="6" r="Q28"/>
  <c i="6" r="R28" s="1"/>
  <c i="6" r="Q52"/>
  <c i="6" r="R52" s="1"/>
  <c i="6" r="Q76"/>
  <c i="6" r="R76" s="1"/>
  <c i="6" r="Q100"/>
  <c i="6" r="R100" s="1"/>
  <c i="6" r="Q5"/>
  <c i="6" r="R5" s="1"/>
  <c i="6" r="Q29"/>
  <c i="6" r="R29" s="1"/>
  <c i="6" r="Q53"/>
  <c i="6" r="R53" s="1"/>
  <c i="6" r="Q77"/>
  <c i="6" r="R77" s="1"/>
  <c i="6" r="Q101"/>
  <c i="6" r="R101" s="1"/>
  <c i="6" r="Q6"/>
  <c i="6" r="R6" s="1"/>
  <c i="6" r="Q30"/>
  <c i="6" r="R30" s="1"/>
  <c i="6" r="Q54"/>
  <c i="6" r="R54" s="1"/>
  <c i="6" r="Q78"/>
  <c i="6" r="R78" s="1"/>
  <c i="6" r="Q102"/>
  <c i="6" r="R102" s="1"/>
  <c i="6" r="Q7"/>
  <c i="6" r="R7" s="1"/>
  <c i="6" r="Q31"/>
  <c i="6" r="R31" s="1"/>
  <c i="6" r="Q55"/>
  <c i="6" r="R55" s="1"/>
  <c i="6" r="Q79"/>
  <c i="6" r="R79" s="1"/>
  <c i="6" r="Q103"/>
  <c i="6" r="R103" s="1"/>
  <c i="1" r="S20"/>
  <c i="1" r="S21"/>
  <c i="1" r="S22"/>
  <c i="1" r="S23"/>
  <c i="1" r="S24"/>
  <c i="1" r="S25"/>
  <c i="1" r="S26"/>
  <c i="1" r="L13"/>
  <c i="1" r="H6"/>
  <c i="6" l="1" r="G7"/>
  <c i="6" r="D7"/>
  <c i="6" r="G6"/>
  <c i="6" r="D6"/>
  <c i="6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K12" s="1"/>
  <c i="6" r="D15"/>
  <c i="6" r="I14" s="1"/>
  <c i="6" r="J14" s="1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D33"/>
  <c i="6" r="D43" s="1"/>
  <c i="6" r="Q23" s="1"/>
  <c i="6" r="R23" s="1"/>
  <c i="6" r="I13"/>
  <c i="6" r="J13" s="1"/>
  <c i="6" r="K1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4"/>
  <c i="6" r="D34"/>
  <c i="6" r="D44" s="1"/>
  <c i="6" r="Q24" s="1"/>
  <c i="6" r="R24" s="1"/>
  <c i="1" r="Q15"/>
  <c i="1" r="Q28" s="1"/>
  <c i="1" r="R15"/>
  <c i="1" r="R28" s="1"/>
  <c i="1" r="U10"/>
  <c i="1" r="U11"/>
  <c i="1" r="U12"/>
  <c i="1" r="J10"/>
  <c i="1" r="G23" s="1"/>
  <c i="1" r="J11"/>
  <c i="1" r="J12"/>
  <c i="1" r="F15"/>
  <c i="1" r="G15"/>
  <c i="6" l="1" r="D35"/>
  <c i="6" r="D45" s="1"/>
  <c i="6" r="Q25" s="1"/>
  <c i="6" r="R25" s="1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G28"/>
  <c i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r="E38"/>
  <c i="1" r="AA38" s="1"/>
  <c i="1" l="1" r="C33"/>
  <c i="1" r="Y33" s="1"/>
  <c i="1" r="E33"/>
  <c i="1" r="AA33" s="1"/>
  <c i="1" r="I41"/>
  <c i="1" r="AE41" s="1"/>
  <c i="1" r="J37"/>
  <c i="1" r="AF37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<sst xmlns="http://schemas.openxmlformats.org/spreadsheetml/2006/main" count="718" uniqueCount="348">
  <si>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</si>
  <si>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</si>
  <si>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</si>
  <si>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</si>
  <si>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</si>
  <si>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</si>
  <si>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</si>
  <si>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</si>
  <si>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</si>
  <si>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</si>
  <si>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</si>
  <si>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</si>
  <si>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</si>
  <si>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</si>
  <si>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</si>
  <si>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</si>
  <si>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</si>
  <si>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</si>
  <si>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</si>
  <si>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</si>
  <si>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</si>
  <si>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</si>
  <si>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</si>
  <si>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</si>
  <si>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</si>
  <si>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</si>
  <si>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</si>
  <si>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</si>
  <si>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</si>
  <si>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</si>
  <si>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</si>
  <si>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</si>
  <si>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</si>
  <si>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</si>
  <si>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</si>
  <si>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</si>
  <si>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</si>
  <si>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</si>
  <si>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</si>
  <si>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</si>
  <si>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</si>
  <si>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</si>
  <si>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</si>
  <si>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</si>
  <si>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</si>
  <si>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</si>
  <si>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</si>
  <si>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</si>
  <si>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</si>
  <si>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</si>
  <si>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</si>
  <si>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</si>
  <si>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</si>
  <si>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</si>
  <si>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</si>
  <si>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</si>
  <si>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</si>
  <si>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</si>
  <si>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</si>
  <si>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</si>
  <si>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</si>
  <si>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</si>
  <si>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</si>
  <si>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</si>
  <si>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</si>
  <si>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</si>
  <si>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</si>
  <si>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</si>
  <si>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</si>
  <si>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</si>
  <si>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</si>
  <si>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</si>
  <si>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</si>
  <si>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</si>
  <si>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</si>
  <si>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</si>
  <si>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</si>
  <si>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</si>
  <si>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</si>
  <si>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</si>
  <si>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</si>
  <si>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</si>
  <si>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</si>
  <si>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</si>
  <si>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</si>
  <si>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</si>
  <si>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</si>
  <si>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</si>
  <si>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</si>
  <si>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</si>
  <si>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</si>
  <si>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</si>
  <si>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</si>
  <si>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</si>
  <si>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</si>
  <si>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</si>
  <si>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</si>
  <si>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</si>
  <si>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</si>
  <si>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</si>
  <si>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</si>
  <si>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</si>
  <si>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</si>
  <si>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</si>
  <si>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</si>
  <si>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</si>
  <si>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</si>
  <si>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</si>
  <si>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</si>
  <si>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</si>
  <si>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</si>
  <si>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</si>
  <si>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</si>
  <si>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</si>
  <si>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</si>
  <si>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</si>
  <si>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</si>
  <si>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</si>
  <si>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</si>
  <si>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</si>
  <si>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</si>
  <si>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</si>
  <si>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</si>
  <si>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</si>
  <si>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</si>
  <si>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</si>
  <si>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</si>
  <si>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</si>
  <si>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</si>
  <si>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</si>
  <si>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</si>
  <si>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</si>
  <si>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</si>
  <si>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</si>
  <si>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</si>
  <si>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</si>
  <si>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</si>
  <si>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</si>
  <si>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</si>
  <si>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</si>
  <si>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</si>
  <si>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</si>
  <si>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</si>
  <si>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</si>
  <si>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</si>
  <si>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</si>
  <si>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</si>
  <si>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</si>
  <si>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</si>
  <si>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</si>
  <si>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</si>
  <si>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</si>
  <si>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</si>
  <si>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</si>
  <si>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</si>
  <si>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</si>
  <si>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</si>
  <si>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</si>
  <si>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</si>
  <si>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</si>
  <si>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</si>
  <si>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</si>
  <si>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</si>
  <si>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</si>
  <si>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</si>
  <si>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</si>
  <si>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</si>
  <si>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</si>
  <si>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</si>
  <si>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</si>
  <si>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</si>
  <si>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</si>
  <si>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</si>
  <si>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</si>
  <si>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</si>
  <si>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</si>
  <si>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</si>
  <si>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</si>
  <si>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</si>
  <si>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</si>
  <si>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</si>
  <si>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</si>
  <si>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</si>
  <si>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</si>
  <si>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</si>
  <si>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</si>
  <si>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</si>
  <si>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</si>
  <si>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</si>
  <si>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</si>
  <si>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</si>
  <si>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</si>
  <si>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</si>
  <si>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</si>
  <si>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</si>
  <si>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</si>
  <si>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</si>
  <si>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</si>
  <si>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</si>
  <si>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</si>
  <si>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</si>
  <si>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</si>
  <si>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</si>
  <si>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</si>
  <si>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</si>
  <si>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</si>
  <si>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</si>
  <si>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</si>
  <si>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</si>
  <si>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</si>
  <si>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</si>
  <si>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</si>
  <si>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</si>
  <si>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</si>
  <si>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</si>
  <si>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</si>
  <si>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</si>
  <si>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</si>
  <si>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</si>
  <si>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</si>
  <si>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</si>
  <si>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</si>
  <si>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</si>
  <si>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</si>
  <si>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</si>
  <si>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</si>
  <si>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</si>
  <si>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</si>
  <si>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</si>
  <si>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</si>
  <si>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</si>
  <si>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</si>
  <si>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</si>
  <si>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</si>
  <si>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</si>
  <si>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</si>
  <si>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</si>
  <si>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</si>
  <si>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</si>
  <si>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</si>
  <si>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</si>
  <si>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</si>
  <si>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</si>
  <si>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</si>
  <si>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</si>
  <si>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</si>
  <si>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</si>
  <si>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</si>
  <si>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</si>
  <si>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</si>
  <si>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</si>
  <si>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</si>
  <si>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</si>
  <si>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</si>
  <si>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</si>
  <si>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</si>
  <si>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</si>
  <si>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</si>
  <si>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</si>
  <si>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</si>
  <si>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</si>
  <si>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</si>
  <si>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</si>
  <si>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</si>
  <si>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</si>
  <si>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</si>
  <si>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</si>
  <si>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</si>
  <si>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</si>
  <si>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</si>
  <si>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</si>
  <si>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</si>
  <si>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</si>
  <si>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</si>
  <si>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</si>
  <si>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</si>
  <si>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</si>
  <si>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</si>
  <si>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</si>
  <si>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</si>
  <si>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</si>
  <si>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</si>
  <si>
    <t>svn</t>
  </si>
  <si>
    <t>v1799,</t>
  </si>
  <si>
    <t>alo</t>
  </si>
  <si>
    <t>v0601)</t>
  </si>
  <si>
    <t>damp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</si>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</sst>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NumberFormat="1" borderId="0" fillId="0" fontId="0" numFmtId="1" xfId="0">
      <alignment horizontal="right"/>
    </xf>
    <xf applyFont="1" borderId="0" fillId="0" fontId="5" numFmtId="0" xfId="0"/>
    <xf applyNumberFormat="1" borderId="0" fillId="0" fontId="0" numFmtId="166" xfId="0"/>
    <xf applyAlignment="1" applyBorder="1" applyNumberFormat="1" borderId="2" fillId="0" fontId="0" numFmtId="1" xfId="0">
      <alignment horizontal="center" vertical="top"/>
    </xf>
    <xf applyAlignment="1" borderId="0" fillId="0" fontId="0" numFmtId="0" xfId="0">
      <alignment horizontal="center" vertical="top"/>
    </xf>
    <xf applyAlignment="1" borderId="0" fillId="0" fontId="0" numFmtId="0" xfId="0">
      <alignment horizontal="left" vertical="top"/>
    </xf>
    <xf applyAlignment="1" applyNumberFormat="1" borderId="0" fillId="0" fontId="0" numFmtId="3" xfId="0">
      <alignment horizontal="right" vertical="top"/>
    </xf>
    <xf applyNumberFormat="1" borderId="0" fillId="0" fontId="0" numFmtId="1" xfId="0"/>
    <xf applyAlignment="1" applyNumberFormat="1" borderId="0" fillId="0" fontId="0" numFmtId="3" xfId="0">
      <alignment horizontal="right"/>
    </xf>
    <xf applyAlignment="1" applyBorder="1" applyNumberFormat="1" borderId="3" fillId="0" fontId="0" numFmtId="3" xfId="0">
      <alignment horizontal="right"/>
    </xf>
    <xf applyBorder="1" applyNumberFormat="1" borderId="4" fillId="0" fontId="0" numFmtId="3" xfId="0"/>
    <xf applyAlignment="1" applyBorder="1" applyNumberFormat="1" borderId="4" fillId="0" fontId="0" numFmtId="3" xfId="0">
      <alignment horizontal="right"/>
    </xf>
    <xf applyFont="1" applyNumberFormat="1" borderId="0" fillId="0" fontId="5" numFmtId="3" xfId="0"/>
    <xf applyNumberFormat="1" borderId="0" fillId="0" fontId="0" numFmtId="9" xfId="0"/>
    <xf applyAlignment="1" applyNumberFormat="1" borderId="0" fillId="0" fontId="0" numFmtId="164" xfId="0">
      <alignment horizontal="right" vertical="top"/>
    </xf>
    <xf applyAlignment="1" applyNumberFormat="1" borderId="0" fillId="0" fontId="0" numFmtId="164" xfId="0">
      <alignment horizontal="right"/>
    </xf>
    <xf applyAlignment="1" applyBorder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NumberFormat="1" borderId="0" fillId="0" fontId="0" numFmtId="167" xfId="0">
      <alignment horizontal="right"/>
    </xf>
    <xf applyAlignme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21" xfId="0"/>
    <xf applyNumberFormat="1" borderId="0" fillId="0" fontId="0" numFmtId="11" xfId="0"/>
    <xf applyFill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borderId="0" fillId="0" fontId="0" numFmtId="0" xfId="0">
      <alignment horizontal="left"/>
    </xf>
    <xf applyAlignment="1" applyBorder="1" borderId="1" fillId="0" fontId="0" numFmtId="0" xfId="0">
      <alignment horizontal="left"/>
    </xf>
    <xf applyAlignment="1" applyBorder="1" borderId="12" fillId="0" fontId="0" numFmtId="0" xfId="0">
      <alignment horizontal="left"/>
    </xf>
    <xf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Fill="1" applyFont="1" applyNumberFormat="1" borderId="0" fillId="4" fontId="7" numFmtId="166" xfId="0">
      <alignment horizontal="right"/>
    </xf>
    <xf applyNumberFormat="1" borderId="0" fillId="0" fontId="0" numFmtId="171" xfId="0"/>
    <xf applyAlignment="1" applyNumberFormat="1" borderId="0" fillId="0" fontId="0" numFmtId="171" xfId="0">
      <alignment horizontal="right"/>
    </xf>
    <xf applyAlignment="1" applyNumberFormat="1" borderId="0" fillId="0" fontId="0" numFmtId="1" xfId="0">
      <alignment horizontal="center" vertical="top"/>
    </xf>
    <xf applyAlignment="1" applyNumberFormat="1" borderId="0" fillId="0" fontId="0" numFmtId="170" xfId="0">
      <alignment horizontal="right" vertical="top"/>
    </xf>
    <xf applyAlignment="1" applyNumberFormat="1" borderId="0" fillId="0" fontId="0" numFmtId="2" xfId="0">
      <alignment horizontal="right" vertical="top"/>
    </xf>
    <xf applyAlignment="1" applyBorder="1" applyNumberFormat="1" borderId="1" fillId="0" fontId="0" numFmtId="2" xfId="0">
      <alignment horizontal="right" vertical="top"/>
    </xf>
    <xf applyAlignment="1" applyBorder="1" applyNumberFormat="1" borderId="1" fillId="0" fontId="0" numFmtId="1" xfId="0">
      <alignment horizontal="right"/>
    </xf>
    <xf applyAlignment="1" applyBorder="1" applyNumberFormat="1" borderId="1" fillId="0" fontId="0" numFmtId="170" xfId="0">
      <alignment horizontal="right" vertical="top"/>
    </xf>
    <xf applyAlignme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NumberFormat="1" borderId="0" fillId="0" fontId="0" numFmtId="4" xfId="0">
      <alignment horizontal="right"/>
    </xf>
    <xf applyAlignment="1" applyFont="1" borderId="0" fillId="0" fontId="1" numFmtId="0" xfId="0">
      <alignment horizontal="right"/>
    </xf>
    <xf applyAlignment="1" applyFill="1" applyNumberFormat="1" borderId="0" fillId="6" fontId="0" numFmtId="3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5.7319061531130144E-2</c:v>
                </c:pt>
                <c:pt idx="1">
                  <c:v>0.18490736748295153</c:v>
                </c:pt>
                <c:pt idx="2">
                  <c:v>0.14656207891643167</c:v>
                </c:pt>
                <c:pt idx="3">
                  <c:v>0.16074222015164047</c:v>
                </c:pt>
                <c:pt idx="4">
                  <c:v>9.5364953005750597E-2</c:v>
                </c:pt>
                <c:pt idx="5">
                  <c:v>6.3756022430786499E-2</c:v>
                </c:pt>
                <c:pt idx="6">
                  <c:v>5.6108746548067495E-2</c:v>
                </c:pt>
                <c:pt idx="7">
                  <c:v>3.860759073133218E-2</c:v>
                </c:pt>
                <c:pt idx="8">
                  <c:v>4.2081497493166059E-2</c:v>
                </c:pt>
                <c:pt idx="9">
                  <c:v>2.604622555697397E-2</c:v>
                </c:pt>
                <c:pt idx="10">
                  <c:v>1.1821600546795596E-2</c:v>
                </c:pt>
                <c:pt idx="11">
                  <c:v>2.4154913142067001E-2</c:v>
                </c:pt>
                <c:pt idx="12">
                  <c:v>2.0281607122703386E-2</c:v>
                </c:pt>
                <c:pt idx="13">
                  <c:v>1.5074510976071206E-2</c:v>
                </c:pt>
                <c:pt idx="14">
                  <c:v>8.9495646745648989E-3</c:v>
                </c:pt>
                <c:pt idx="15">
                  <c:v>1.5343498450802111E-2</c:v>
                </c:pt>
                <c:pt idx="16">
                  <c:v>6.1261045947922426E-3</c:v>
                </c:pt>
                <c:pt idx="17">
                  <c:v>2.6919910383985178E-3</c:v>
                </c:pt>
                <c:pt idx="18">
                  <c:v>1.2375127823479055E-3</c:v>
                </c:pt>
                <c:pt idx="19">
                  <c:v>1.011178890759039E-3</c:v>
                </c:pt>
                <c:pt idx="20">
                  <c:v>3.073875028747309E-3</c:v>
                </c:pt>
                <c:pt idx="21">
                  <c:v>1.0890825264461051E-3</c:v>
                </c:pt>
                <c:pt idx="22">
                  <c:v>3.1812706011860345E-3</c:v>
                </c:pt>
                <c:pt idx="23">
                  <c:v>1.6525654825483714E-3</c:v>
                </c:pt>
                <c:pt idx="24">
                  <c:v>1.4034242758278015E-3</c:v>
                </c:pt>
                <c:pt idx="25">
                  <c:v>3.8826460968899355E-4</c:v>
                </c:pt>
                <c:pt idx="26">
                  <c:v>1.250562932522354E-3</c:v>
                </c:pt>
                <c:pt idx="27">
                  <c:v>0</c:v>
                </c:pt>
                <c:pt idx="28">
                  <c:v>1.3414103367926232E-4</c:v>
                </c:pt>
                <c:pt idx="29">
                  <c:v>8.4932060482545587E-4</c:v>
                </c:pt>
                <c:pt idx="30">
                  <c:v>0</c:v>
                </c:pt>
                <c:pt idx="31">
                  <c:v>0</c:v>
                </c:pt>
                <c:pt idx="32">
                  <c:v>1.1787194093756121E-3</c:v>
                </c:pt>
                <c:pt idx="33">
                  <c:v>1.0862490400065411E-3</c:v>
                </c:pt>
                <c:pt idx="34">
                  <c:v>4.3429343603450666E-4</c:v>
                </c:pt>
                <c:pt idx="35">
                  <c:v>5.6883774064072897E-4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3.6907758976384815E-4</c:v>
                </c:pt>
                <c:pt idx="44">
                  <c:v>4.1753763376390866E-3</c:v>
                </c:pt>
                <c:pt idx="45">
                  <c:v>0</c:v>
                </c:pt>
                <c:pt idx="46">
                  <c:v>8.5005342948099474E-4</c:v>
                </c:pt>
                <c:pt idx="47">
                  <c:v>1.2663985405435415E-4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8.0529207860096527E-2</c:v>
                </c:pt>
                <c:pt idx="1">
                  <c:v>0.10434244697332784</c:v>
                </c:pt>
                <c:pt idx="2">
                  <c:v>0.12905293193192077</c:v>
                </c:pt>
                <c:pt idx="3">
                  <c:v>0.13994806005416913</c:v>
                </c:pt>
                <c:pt idx="4">
                  <c:v>0.10972592204549761</c:v>
                </c:pt>
                <c:pt idx="5">
                  <c:v>8.1738539216888284E-2</c:v>
                </c:pt>
                <c:pt idx="6">
                  <c:v>5.6710395791303964E-2</c:v>
                </c:pt>
                <c:pt idx="7">
                  <c:v>3.8815635484122653E-2</c:v>
                </c:pt>
                <c:pt idx="8">
                  <c:v>2.6326642071356123E-2</c:v>
                </c:pt>
                <c:pt idx="9">
                  <c:v>1.9148675308463089E-2</c:v>
                </c:pt>
                <c:pt idx="10">
                  <c:v>1.557083783813908E-2</c:v>
                </c:pt>
                <c:pt idx="11">
                  <c:v>1.5152866171045153E-2</c:v>
                </c:pt>
                <c:pt idx="12">
                  <c:v>1.3642595213945764E-2</c:v>
                </c:pt>
                <c:pt idx="13">
                  <c:v>1.2399826123786489E-2</c:v>
                </c:pt>
                <c:pt idx="14">
                  <c:v>1.1497007322863607E-2</c:v>
                </c:pt>
                <c:pt idx="15">
                  <c:v>1.0700074677604521E-2</c:v>
                </c:pt>
                <c:pt idx="16">
                  <c:v>9.3681382984652072E-3</c:v>
                </c:pt>
                <c:pt idx="17">
                  <c:v>8.8665722979524957E-3</c:v>
                </c:pt>
                <c:pt idx="18">
                  <c:v>8.7216754533599346E-3</c:v>
                </c:pt>
                <c:pt idx="19">
                  <c:v>7.5736466077419495E-3</c:v>
                </c:pt>
                <c:pt idx="20">
                  <c:v>7.3618742964143601E-3</c:v>
                </c:pt>
                <c:pt idx="21">
                  <c:v>7.3061447408018371E-3</c:v>
                </c:pt>
                <c:pt idx="22">
                  <c:v>6.8212976069728821E-3</c:v>
                </c:pt>
                <c:pt idx="23">
                  <c:v>6.3475963842664317E-3</c:v>
                </c:pt>
                <c:pt idx="24">
                  <c:v>5.9296247171725051E-3</c:v>
                </c:pt>
                <c:pt idx="25">
                  <c:v>6.241710228602637E-3</c:v>
                </c:pt>
                <c:pt idx="26">
                  <c:v>4.8763361160958103E-3</c:v>
                </c:pt>
                <c:pt idx="27">
                  <c:v>4.5140940046144076E-3</c:v>
                </c:pt>
                <c:pt idx="28">
                  <c:v>4.4527914934406315E-3</c:v>
                </c:pt>
                <c:pt idx="29">
                  <c:v>4.0738305152754712E-3</c:v>
                </c:pt>
                <c:pt idx="30">
                  <c:v>3.6670047593040495E-3</c:v>
                </c:pt>
                <c:pt idx="31">
                  <c:v>3.4775242702214694E-3</c:v>
                </c:pt>
                <c:pt idx="32">
                  <c:v>2.9090828029737291E-3</c:v>
                </c:pt>
                <c:pt idx="33">
                  <c:v>2.8756450696062149E-3</c:v>
                </c:pt>
                <c:pt idx="34">
                  <c:v>2.563559558176083E-3</c:v>
                </c:pt>
                <c:pt idx="35">
                  <c:v>2.4298086247060268E-3</c:v>
                </c:pt>
                <c:pt idx="36">
                  <c:v>1.8669401130195387E-3</c:v>
                </c:pt>
                <c:pt idx="37">
                  <c:v>1.9449614908770717E-3</c:v>
                </c:pt>
                <c:pt idx="38">
                  <c:v>1.6551678016919493E-3</c:v>
                </c:pt>
                <c:pt idx="39">
                  <c:v>1.4712602681706216E-3</c:v>
                </c:pt>
                <c:pt idx="40">
                  <c:v>1.4991250459768833E-3</c:v>
                </c:pt>
                <c:pt idx="41">
                  <c:v>1.4155307125580982E-3</c:v>
                </c:pt>
                <c:pt idx="42">
                  <c:v>1.2037584012305085E-3</c:v>
                </c:pt>
                <c:pt idx="43">
                  <c:v>1.2371961345980227E-3</c:v>
                </c:pt>
                <c:pt idx="44">
                  <c:v>1.2706338679655369E-3</c:v>
                </c:pt>
                <c:pt idx="45">
                  <c:v>1.1201640678117233E-3</c:v>
                </c:pt>
                <c:pt idx="46">
                  <c:v>9.5297540097415265E-4</c:v>
                </c:pt>
                <c:pt idx="47">
                  <c:v>7.9135968969783438E-4</c:v>
                </c:pt>
                <c:pt idx="48">
                  <c:v>6.2974397842151611E-4</c:v>
                </c:pt>
                <c:pt idx="49">
                  <c:v>5.7401442280899254E-4</c:v>
                </c:pt>
                <c:pt idx="50">
                  <c:v>6.8547353403403957E-4</c:v>
                </c:pt>
                <c:pt idx="51">
                  <c:v>4.4583644490018838E-4</c:v>
                </c:pt>
                <c:pt idx="52">
                  <c:v>8.1922446750409611E-4</c:v>
                </c:pt>
                <c:pt idx="53">
                  <c:v>4.40263489338936E-4</c:v>
                </c:pt>
                <c:pt idx="54">
                  <c:v>3.7896097816516011E-4</c:v>
                </c:pt>
                <c:pt idx="55">
                  <c:v>3.3995028923639362E-4</c:v>
                </c:pt>
                <c:pt idx="56">
                  <c:v>3.7896097816516011E-4</c:v>
                </c:pt>
                <c:pt idx="57">
                  <c:v>3.45523244797646E-4</c:v>
                </c:pt>
                <c:pt idx="58">
                  <c:v>1.8948048908258005E-4</c:v>
                </c:pt>
                <c:pt idx="59">
                  <c:v>2.3963708913385124E-4</c:v>
                </c:pt>
                <c:pt idx="60">
                  <c:v>1.2260502234755181E-4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6.1118734323263686E-3</c:v>
                </c:pt>
                <c:pt idx="3">
                  <c:v>5.917064374908923E-2</c:v>
                </c:pt>
                <c:pt idx="4">
                  <c:v>5.2785907475056092E-2</c:v>
                </c:pt>
                <c:pt idx="5">
                  <c:v>9.2879570484432863E-2</c:v>
                </c:pt>
                <c:pt idx="6">
                  <c:v>6.7141603250285231E-2</c:v>
                </c:pt>
                <c:pt idx="7">
                  <c:v>7.0183089802727638E-2</c:v>
                </c:pt>
                <c:pt idx="8">
                  <c:v>0.11124952068905092</c:v>
                </c:pt>
                <c:pt idx="9">
                  <c:v>8.3725480539420916E-2</c:v>
                </c:pt>
                <c:pt idx="10">
                  <c:v>5.3779121477946092E-2</c:v>
                </c:pt>
                <c:pt idx="11">
                  <c:v>6.9078940953005402E-2</c:v>
                </c:pt>
                <c:pt idx="12">
                  <c:v>2.2526397374004942E-2</c:v>
                </c:pt>
                <c:pt idx="13">
                  <c:v>3.8798999786027188E-2</c:v>
                </c:pt>
                <c:pt idx="14">
                  <c:v>2.8016578186849425E-2</c:v>
                </c:pt>
                <c:pt idx="15">
                  <c:v>2.2357250087023772E-2</c:v>
                </c:pt>
                <c:pt idx="16">
                  <c:v>1.0916235446472824E-2</c:v>
                </c:pt>
                <c:pt idx="17">
                  <c:v>1.6498761873537077E-2</c:v>
                </c:pt>
                <c:pt idx="18">
                  <c:v>2.1684999351715497E-2</c:v>
                </c:pt>
                <c:pt idx="19">
                  <c:v>2.2244766404043853E-2</c:v>
                </c:pt>
                <c:pt idx="20">
                  <c:v>1.5681221928460404E-2</c:v>
                </c:pt>
                <c:pt idx="21">
                  <c:v>7.1989596056389899E-3</c:v>
                </c:pt>
                <c:pt idx="22">
                  <c:v>1.9525161292018658E-2</c:v>
                </c:pt>
                <c:pt idx="23">
                  <c:v>8.855358097484908E-3</c:v>
                </c:pt>
                <c:pt idx="24">
                  <c:v>1.0593598222742598E-2</c:v>
                </c:pt>
                <c:pt idx="25">
                  <c:v>8.6510329740275022E-3</c:v>
                </c:pt>
                <c:pt idx="26">
                  <c:v>1.3359268243768119E-2</c:v>
                </c:pt>
                <c:pt idx="27">
                  <c:v>8.8845347619844594E-3</c:v>
                </c:pt>
                <c:pt idx="28">
                  <c:v>1.7247317801279164E-3</c:v>
                </c:pt>
                <c:pt idx="29">
                  <c:v>3.6378278937342547E-3</c:v>
                </c:pt>
                <c:pt idx="30">
                  <c:v>2.470904331612977E-3</c:v>
                </c:pt>
                <c:pt idx="31">
                  <c:v>1.5197651082805552E-2</c:v>
                </c:pt>
                <c:pt idx="32">
                  <c:v>1.7854070395261943E-3</c:v>
                </c:pt>
                <c:pt idx="33">
                  <c:v>4.0010645171421333E-3</c:v>
                </c:pt>
                <c:pt idx="34">
                  <c:v>2.0921317970773682E-3</c:v>
                </c:pt>
                <c:pt idx="35">
                  <c:v>2.3410167025944391E-4</c:v>
                </c:pt>
                <c:pt idx="36">
                  <c:v>1.5447123010022975E-3</c:v>
                </c:pt>
                <c:pt idx="37">
                  <c:v>4.4452860843418576E-4</c:v>
                </c:pt>
                <c:pt idx="38">
                  <c:v>6.8712281345933404E-4</c:v>
                </c:pt>
                <c:pt idx="39">
                  <c:v>2.2612747635843513E-4</c:v>
                </c:pt>
                <c:pt idx="40">
                  <c:v>1.6104198530425971E-3</c:v>
                </c:pt>
                <c:pt idx="41">
                  <c:v>5.7296570097636222E-3</c:v>
                </c:pt>
                <c:pt idx="42">
                  <c:v>1.8823445793314012E-3</c:v>
                </c:pt>
                <c:pt idx="43">
                  <c:v>0</c:v>
                </c:pt>
                <c:pt idx="44">
                  <c:v>1.1138682941735968E-3</c:v>
                </c:pt>
                <c:pt idx="45">
                  <c:v>1.6468527627683881E-4</c:v>
                </c:pt>
                <c:pt idx="46">
                  <c:v>3.8840537170512331E-4</c:v>
                </c:pt>
                <c:pt idx="47">
                  <c:v>5.0257319593038354E-4</c:v>
                </c:pt>
                <c:pt idx="48">
                  <c:v>7.8873280793477149E-4</c:v>
                </c:pt>
                <c:pt idx="49">
                  <c:v>2.5750129718049233E-4</c:v>
                </c:pt>
                <c:pt idx="50">
                  <c:v>7.4577584005552889E-4</c:v>
                </c:pt>
                <c:pt idx="51">
                  <c:v>7.6640018992318469E-4</c:v>
                </c:pt>
                <c:pt idx="52">
                  <c:v>0</c:v>
                </c:pt>
                <c:pt idx="53">
                  <c:v>3.3174100850074094E-4</c:v>
                </c:pt>
                <c:pt idx="54">
                  <c:v>1.579835952110089E-3</c:v>
                </c:pt>
                <c:pt idx="55">
                  <c:v>5.8234509577024119E-4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1.5999955416355509E-2</c:v>
                </c:pt>
                <c:pt idx="1">
                  <c:v>1.2098886523478862E-2</c:v>
                </c:pt>
                <c:pt idx="2">
                  <c:v>1.2277221101438937E-2</c:v>
                </c:pt>
                <c:pt idx="3">
                  <c:v>1.9722689731272083E-2</c:v>
                </c:pt>
                <c:pt idx="4">
                  <c:v>2.9854322941628864E-2</c:v>
                </c:pt>
                <c:pt idx="5">
                  <c:v>4.1925344687301462E-2</c:v>
                </c:pt>
                <c:pt idx="6">
                  <c:v>5.4386473322261729E-2</c:v>
                </c:pt>
                <c:pt idx="7">
                  <c:v>6.4323053087974674E-2</c:v>
                </c:pt>
                <c:pt idx="8">
                  <c:v>6.7176406335335878E-2</c:v>
                </c:pt>
                <c:pt idx="9">
                  <c:v>6.8385737692127649E-2</c:v>
                </c:pt>
                <c:pt idx="10">
                  <c:v>6.2021422441177455E-2</c:v>
                </c:pt>
                <c:pt idx="11">
                  <c:v>5.6180965012984987E-2</c:v>
                </c:pt>
                <c:pt idx="12">
                  <c:v>5.0390664184843788E-2</c:v>
                </c:pt>
                <c:pt idx="13">
                  <c:v>4.4377445134252499E-2</c:v>
                </c:pt>
                <c:pt idx="14">
                  <c:v>3.7076873349011913E-2</c:v>
                </c:pt>
                <c:pt idx="15">
                  <c:v>3.1264280698625711E-2</c:v>
                </c:pt>
                <c:pt idx="16">
                  <c:v>2.686164580523635E-2</c:v>
                </c:pt>
                <c:pt idx="17">
                  <c:v>2.1879423533476744E-2</c:v>
                </c:pt>
                <c:pt idx="18">
                  <c:v>2.0079358887192235E-2</c:v>
                </c:pt>
                <c:pt idx="19">
                  <c:v>1.775543641815E-2</c:v>
                </c:pt>
                <c:pt idx="20">
                  <c:v>1.5788183105027921E-2</c:v>
                </c:pt>
                <c:pt idx="21">
                  <c:v>1.3954680725375895E-2</c:v>
                </c:pt>
                <c:pt idx="22">
                  <c:v>1.2923683946544211E-2</c:v>
                </c:pt>
                <c:pt idx="23">
                  <c:v>1.1184921811433476E-2</c:v>
                </c:pt>
                <c:pt idx="24">
                  <c:v>1.0399135077296893E-2</c:v>
                </c:pt>
                <c:pt idx="25">
                  <c:v>9.9142879434679382E-3</c:v>
                </c:pt>
                <c:pt idx="26">
                  <c:v>8.5433408753998602E-3</c:v>
                </c:pt>
                <c:pt idx="27">
                  <c:v>8.4430276752973168E-3</c:v>
                </c:pt>
                <c:pt idx="28">
                  <c:v>8.1309421638671858E-3</c:v>
                </c:pt>
                <c:pt idx="29">
                  <c:v>7.1723938073317804E-3</c:v>
                </c:pt>
                <c:pt idx="30">
                  <c:v>7.1891126740155371E-3</c:v>
                </c:pt>
                <c:pt idx="31">
                  <c:v>6.7544221402378538E-3</c:v>
                </c:pt>
                <c:pt idx="32">
                  <c:v>6.0355108728362998E-3</c:v>
                </c:pt>
                <c:pt idx="33">
                  <c:v>6.0522297395200573E-3</c:v>
                </c:pt>
                <c:pt idx="34">
                  <c:v>5.8348844726312157E-3</c:v>
                </c:pt>
                <c:pt idx="35">
                  <c:v>5.5506637390073449E-3</c:v>
                </c:pt>
                <c:pt idx="36">
                  <c:v>5.1605568497196802E-3</c:v>
                </c:pt>
                <c:pt idx="37">
                  <c:v>4.5586776491044262E-3</c:v>
                </c:pt>
                <c:pt idx="38">
                  <c:v>4.4918021823693978E-3</c:v>
                </c:pt>
                <c:pt idx="39">
                  <c:v>4.6144072047169492E-3</c:v>
                </c:pt>
                <c:pt idx="40">
                  <c:v>4.1295600708879951E-3</c:v>
                </c:pt>
                <c:pt idx="41">
                  <c:v>3.9345066262441624E-3</c:v>
                </c:pt>
                <c:pt idx="42">
                  <c:v>3.9122148039991526E-3</c:v>
                </c:pt>
                <c:pt idx="43">
                  <c:v>3.7450261371615823E-3</c:v>
                </c:pt>
                <c:pt idx="44">
                  <c:v>3.3270544700676557E-3</c:v>
                </c:pt>
                <c:pt idx="45">
                  <c:v>3.0484066920050379E-3</c:v>
                </c:pt>
                <c:pt idx="46">
                  <c:v>3.0261148697600286E-3</c:v>
                </c:pt>
                <c:pt idx="47">
                  <c:v>2.9202287140962339E-3</c:v>
                </c:pt>
                <c:pt idx="48">
                  <c:v>2.7084564027686445E-3</c:v>
                </c:pt>
                <c:pt idx="49">
                  <c:v>2.7530400472586631E-3</c:v>
                </c:pt>
                <c:pt idx="50">
                  <c:v>2.3629331579709985E-3</c:v>
                </c:pt>
                <c:pt idx="51">
                  <c:v>2.2459010911846989E-3</c:v>
                </c:pt>
                <c:pt idx="52">
                  <c:v>2.2236092689396896E-3</c:v>
                </c:pt>
                <c:pt idx="53">
                  <c:v>2.1957444911334277E-3</c:v>
                </c:pt>
                <c:pt idx="54">
                  <c:v>1.8502212463357816E-3</c:v>
                </c:pt>
                <c:pt idx="55">
                  <c:v>1.8780860241420436E-3</c:v>
                </c:pt>
                <c:pt idx="56">
                  <c:v>1.7833457796007535E-3</c:v>
                </c:pt>
                <c:pt idx="57">
                  <c:v>1.6941784906207159E-3</c:v>
                </c:pt>
                <c:pt idx="58">
                  <c:v>1.7220432684269776E-3</c:v>
                </c:pt>
                <c:pt idx="59">
                  <c:v>1.2539150012817798E-3</c:v>
                </c:pt>
                <c:pt idx="60">
                  <c:v>1.2817797790880415E-3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abSelected="1" workbookViewId="0">
      <selection activeCell="O12" sqref="O12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1</v>
      </c>
    </row>
    <row r="2" spans="1:12" x14ac:dyDescent="0.45">
      <c r="A2" t="s">
        <v>242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4" t="s">
        <v>34</v>
      </c>
      <c r="B9" s="1"/>
      <c r="E9" s="4" t="s">
        <v>10</v>
      </c>
      <c r="F9" s="1"/>
      <c r="J9" s="9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347</v>
      </c>
    </row>
    <row r="11" spans="1:12" x14ac:dyDescent="0.45">
      <c r="A11">
        <v>0</v>
      </c>
      <c r="B11" s="52" t="n">
        <v>12167.11888507059</v>
      </c>
      <c r="C11" s="10">
        <f>B11/B$102</f>
        <v>5.7319061531130144E-2</v>
      </c>
      <c r="E11" s="17">
        <v>0</v>
      </c>
      <c r="F11" s="54" t="n">
        <v>14530.0</v>
      </c>
      <c r="G11" s="10">
        <f>F11/F$102</f>
        <v>8.0529207860096527E-2</v>
      </c>
      <c r="K11" s="7" t="n">
        <v>5.361408004076393</v>
      </c>
      <c r="L11" s="7" t="n">
        <v>7.822217957108731</v>
      </c>
    </row>
    <row r="12" spans="1:12" x14ac:dyDescent="0.45">
      <c r="A12">
        <v>1</v>
      </c>
      <c r="B12" s="52" t="n">
        <v>39250.29235987473</v>
      </c>
      <c r="C12" s="10">
        <f>B12/B$102</f>
        <v>0.18490736748295153</v>
      </c>
      <c r="E12" s="17">
        <v>1</v>
      </c>
      <c r="F12" s="54" t="n">
        <v>19104.0</v>
      </c>
      <c r="G12" s="10">
        <f>F12/F$102</f>
        <v>0.10434244697332784</v>
      </c>
      <c r="K12" s="7"/>
      <c r="L12" s="17"/>
    </row>
    <row r="13" spans="1:12" x14ac:dyDescent="0.45">
      <c r="A13">
        <v>2</v>
      </c>
      <c r="B13" s="52" t="n">
        <v>31110.73682270321</v>
      </c>
      <c r="C13" s="10">
        <f ref="C13:C76" si="0" t="shared">B13/B$102</f>
        <v>0.14656207891643167</v>
      </c>
      <c r="E13" s="17">
        <v>2</v>
      </c>
      <c r="F13" s="54" t="n">
        <v>23044.0</v>
      </c>
      <c r="G13" s="10">
        <f ref="G13:G76" si="1" t="shared">F13/F$102</f>
        <v>0.12905293193192077</v>
      </c>
    </row>
    <row r="14" spans="1:12" x14ac:dyDescent="0.45">
      <c r="A14">
        <v>3</v>
      </c>
      <c r="B14" s="52" t="n">
        <v>34120.75582174378</v>
      </c>
      <c r="C14" s="10">
        <f si="0" t="shared"/>
        <v>0.16074222015164047</v>
      </c>
      <c r="E14" s="17">
        <v>3</v>
      </c>
      <c r="F14" s="54" t="n">
        <v>25055.0</v>
      </c>
      <c r="G14" s="10">
        <f si="1" t="shared"/>
        <v>0.13994806005416913</v>
      </c>
    </row>
    <row r="15" spans="1:12" x14ac:dyDescent="0.45">
      <c r="A15">
        <v>4</v>
      </c>
      <c r="B15" s="52" t="n">
        <v>20243.12139269702</v>
      </c>
      <c r="C15" s="10">
        <f si="0" t="shared"/>
        <v>9.5364953005750597E-2</v>
      </c>
      <c r="E15" s="17">
        <v>4</v>
      </c>
      <c r="F15" s="54" t="n">
        <v>19592.0</v>
      </c>
      <c r="G15" s="10">
        <f si="1" t="shared"/>
        <v>0.10972592204549761</v>
      </c>
    </row>
    <row r="16" spans="1:12" x14ac:dyDescent="0.45">
      <c r="A16">
        <v>5</v>
      </c>
      <c r="B16" s="52" t="n">
        <v>13533.492765461748</v>
      </c>
      <c r="C16" s="10">
        <f si="0" t="shared"/>
        <v>6.3756022430786499E-2</v>
      </c>
      <c r="E16" s="17">
        <v>5</v>
      </c>
      <c r="F16" s="54" t="n">
        <v>14580.0</v>
      </c>
      <c r="G16" s="10">
        <f si="1" t="shared"/>
        <v>8.1738539216888284E-2</v>
      </c>
    </row>
    <row r="17" spans="1:7" x14ac:dyDescent="0.45">
      <c r="A17">
        <v>6</v>
      </c>
      <c r="B17" s="52" t="n">
        <v>11910.205287849398</v>
      </c>
      <c r="C17" s="10">
        <f si="0" t="shared"/>
        <v>5.6108746548067495E-2</v>
      </c>
      <c r="E17" s="17">
        <v>6</v>
      </c>
      <c r="F17" s="54" t="n">
        <v>9820.0</v>
      </c>
      <c r="G17" s="10">
        <f si="1" t="shared"/>
        <v>5.6710395791303964E-2</v>
      </c>
    </row>
    <row r="18" spans="1:7" x14ac:dyDescent="0.45">
      <c r="A18">
        <v>7</v>
      </c>
      <c r="B18" s="52" t="n">
        <v>8195.234425447617</v>
      </c>
      <c r="C18" s="10">
        <f si="0" t="shared"/>
        <v>3.860759073133218E-2</v>
      </c>
      <c r="E18" s="17">
        <v>7</v>
      </c>
      <c r="F18" s="54" t="n">
        <v>6802.0</v>
      </c>
      <c r="G18" s="10">
        <f si="1" t="shared"/>
        <v>3.8815635484122653E-2</v>
      </c>
    </row>
    <row r="19" spans="1:7" x14ac:dyDescent="0.45">
      <c r="A19">
        <v>8</v>
      </c>
      <c r="B19" s="52" t="n">
        <v>8932.640716440848</v>
      </c>
      <c r="C19" s="10">
        <f si="0" t="shared"/>
        <v>4.2081497493166059E-2</v>
      </c>
      <c r="E19" s="17">
        <v>8</v>
      </c>
      <c r="F19" s="54" t="n">
        <v>4732.0</v>
      </c>
      <c r="G19" s="10">
        <f si="1" t="shared"/>
        <v>2.6326642071356123E-2</v>
      </c>
    </row>
    <row r="20" spans="1:7" x14ac:dyDescent="0.45">
      <c r="A20">
        <v>9</v>
      </c>
      <c r="B20" s="52" t="n">
        <v>5528.833068680876</v>
      </c>
      <c r="C20" s="10">
        <f si="0" t="shared"/>
        <v>2.604622555697397E-2</v>
      </c>
      <c r="E20" s="17">
        <v>9</v>
      </c>
      <c r="F20" s="54" t="n">
        <v>3341.0</v>
      </c>
      <c r="G20" s="10">
        <f si="1" t="shared"/>
        <v>1.9148675308463089E-2</v>
      </c>
    </row>
    <row r="21" spans="1:7" x14ac:dyDescent="0.45">
      <c r="A21">
        <v>10</v>
      </c>
      <c r="B21" s="52" t="n">
        <v>2509.3714974129575</v>
      </c>
      <c r="C21" s="10">
        <f si="0" t="shared"/>
        <v>1.1821600546795596E-2</v>
      </c>
      <c r="E21" s="17">
        <v>10</v>
      </c>
      <c r="F21" s="54" t="n">
        <v>2649.0</v>
      </c>
      <c r="G21" s="10">
        <f si="1" t="shared"/>
        <v>1.557083783813908E-2</v>
      </c>
    </row>
    <row r="22" spans="1:7" x14ac:dyDescent="0.45">
      <c r="A22">
        <v>11</v>
      </c>
      <c r="B22" s="52" t="n">
        <v>5127.364126477674</v>
      </c>
      <c r="C22" s="10">
        <f si="0" t="shared"/>
        <v>2.4154913142067001E-2</v>
      </c>
      <c r="E22" s="17">
        <v>11</v>
      </c>
      <c r="F22" s="54" t="n">
        <v>2532.0</v>
      </c>
      <c r="G22" s="10">
        <f si="1" t="shared"/>
        <v>1.5152866171045153E-2</v>
      </c>
    </row>
    <row r="23" spans="1:7" x14ac:dyDescent="0.45">
      <c r="A23">
        <v>12</v>
      </c>
      <c r="B23" s="52" t="n">
        <v>4305.177343285806</v>
      </c>
      <c r="C23" s="10">
        <f si="0" t="shared"/>
        <v>2.0281607122703386E-2</v>
      </c>
      <c r="E23" s="17">
        <v>12</v>
      </c>
      <c r="F23" s="54" t="n">
        <v>2463.0</v>
      </c>
      <c r="G23" s="10">
        <f si="1" t="shared"/>
        <v>1.3642595213945764E-2</v>
      </c>
    </row>
    <row r="24" spans="1:7" x14ac:dyDescent="0.45">
      <c r="A24">
        <v>13</v>
      </c>
      <c r="B24" s="52" t="n">
        <v>3199.866890363296</v>
      </c>
      <c r="C24" s="10">
        <f si="0" t="shared"/>
        <v>1.5074510976071206E-2</v>
      </c>
      <c r="E24" s="17">
        <v>13</v>
      </c>
      <c r="F24" s="54" t="n">
        <v>2230.0</v>
      </c>
      <c r="G24" s="10">
        <f si="1" t="shared"/>
        <v>1.2399826123786489E-2</v>
      </c>
    </row>
    <row r="25" spans="1:7" x14ac:dyDescent="0.45">
      <c r="A25">
        <v>14</v>
      </c>
      <c r="B25" s="52" t="n">
        <v>1899.7243579419126</v>
      </c>
      <c r="C25" s="10">
        <f si="0" t="shared"/>
        <v>8.9495646745648989E-3</v>
      </c>
      <c r="E25" s="17">
        <v>14</v>
      </c>
      <c r="F25" s="54" t="n">
        <v>1970.0</v>
      </c>
      <c r="G25" s="10">
        <f si="1" t="shared"/>
        <v>1.1497007322863607E-2</v>
      </c>
    </row>
    <row r="26" spans="1:7" x14ac:dyDescent="0.45">
      <c r="A26">
        <v>15</v>
      </c>
      <c r="B26" s="52" t="n">
        <v>3256.9648695733777</v>
      </c>
      <c r="C26" s="10">
        <f si="0" t="shared"/>
        <v>1.5343498450802111E-2</v>
      </c>
      <c r="E26" s="17">
        <v>15</v>
      </c>
      <c r="F26" s="54" t="n">
        <v>1901.0</v>
      </c>
      <c r="G26" s="10">
        <f si="1" t="shared"/>
        <v>1.0700074677604521E-2</v>
      </c>
    </row>
    <row r="27" spans="1:7" x14ac:dyDescent="0.45">
      <c r="A27">
        <v>16</v>
      </c>
      <c r="B27" s="52" t="n">
        <v>1300.3884033714182</v>
      </c>
      <c r="C27" s="10">
        <f si="0" t="shared"/>
        <v>6.1261045947922426E-3</v>
      </c>
      <c r="E27" s="17">
        <v>16</v>
      </c>
      <c r="F27" s="54" t="n">
        <v>1717.0</v>
      </c>
      <c r="G27" s="10">
        <f si="1" t="shared"/>
        <v>9.3681382984652072E-3</v>
      </c>
    </row>
    <row r="28" spans="1:7" x14ac:dyDescent="0.45">
      <c r="A28">
        <v>17</v>
      </c>
      <c r="B28" s="52" t="n">
        <v>571.429017272914</v>
      </c>
      <c r="C28" s="10">
        <f si="0" t="shared"/>
        <v>2.6919910383985178E-3</v>
      </c>
      <c r="E28" s="17">
        <v>17</v>
      </c>
      <c r="F28" s="54" t="n">
        <v>1514.0</v>
      </c>
      <c r="G28" s="10">
        <f si="1" t="shared"/>
        <v>8.8665722979524957E-3</v>
      </c>
    </row>
    <row r="29" spans="1:7" x14ac:dyDescent="0.45">
      <c r="A29">
        <v>18</v>
      </c>
      <c r="B29" s="52" t="n">
        <v>262.6868748792052</v>
      </c>
      <c r="C29" s="10">
        <f si="0" t="shared"/>
        <v>1.2375127823479055E-3</v>
      </c>
      <c r="E29" s="17">
        <v>18</v>
      </c>
      <c r="F29" s="54" t="n">
        <v>1544.0</v>
      </c>
      <c r="G29" s="10">
        <f si="1" t="shared"/>
        <v>8.7216754533599346E-3</v>
      </c>
    </row>
    <row r="30" spans="1:7" x14ac:dyDescent="0.45">
      <c r="A30">
        <v>19</v>
      </c>
      <c r="B30" s="52" t="n">
        <v>214.6429730231568</v>
      </c>
      <c r="C30" s="10">
        <f si="0" t="shared"/>
        <v>1.011178890759039E-3</v>
      </c>
      <c r="E30" s="17">
        <v>19</v>
      </c>
      <c r="F30" s="54" t="n">
        <v>1442.0</v>
      </c>
      <c r="G30" s="10">
        <f si="1" t="shared"/>
        <v>7.5736466077419495E-3</v>
      </c>
    </row>
    <row r="31" spans="1:7" x14ac:dyDescent="0.45">
      <c r="A31">
        <v>20</v>
      </c>
      <c r="B31" s="52" t="n">
        <v>652.4915431894524</v>
      </c>
      <c r="C31" s="10">
        <f si="0" t="shared"/>
        <v>3.073875028747309E-3</v>
      </c>
      <c r="E31" s="17">
        <v>20</v>
      </c>
      <c r="F31" s="54" t="n">
        <v>1359.0</v>
      </c>
      <c r="G31" s="10">
        <f si="1" t="shared"/>
        <v>7.3618742964143601E-3</v>
      </c>
    </row>
    <row r="32" spans="1:7" x14ac:dyDescent="0.45">
      <c r="A32">
        <v>21</v>
      </c>
      <c r="B32" s="52" t="n">
        <v>231.1795800726106</v>
      </c>
      <c r="C32" s="10">
        <f si="0" t="shared"/>
        <v>1.0890825264461051E-3</v>
      </c>
      <c r="E32" s="17">
        <v>21</v>
      </c>
      <c r="F32" s="54" t="n">
        <v>1294.0</v>
      </c>
      <c r="G32" s="10">
        <f si="1" t="shared"/>
        <v>7.3061447408018371E-3</v>
      </c>
    </row>
    <row r="33" spans="1:7" x14ac:dyDescent="0.45">
      <c r="A33">
        <v>22</v>
      </c>
      <c r="B33" s="52" t="n">
        <v>675.2884045247084</v>
      </c>
      <c r="C33" s="10">
        <f si="0" t="shared"/>
        <v>3.1812706011860345E-3</v>
      </c>
      <c r="E33" s="17">
        <v>22</v>
      </c>
      <c r="F33" s="54" t="n">
        <v>1239.0</v>
      </c>
      <c r="G33" s="10">
        <f si="1" t="shared"/>
        <v>6.8212976069728821E-3</v>
      </c>
    </row>
    <row r="34" spans="1:7" x14ac:dyDescent="0.45">
      <c r="A34">
        <v>23</v>
      </c>
      <c r="B34" s="52" t="n">
        <v>350.79012381613984</v>
      </c>
      <c r="C34" s="10">
        <f si="0" t="shared"/>
        <v>1.6525654825483714E-3</v>
      </c>
      <c r="E34" s="17">
        <v>23</v>
      </c>
      <c r="F34" s="54" t="n">
        <v>1124.0</v>
      </c>
      <c r="G34" s="10">
        <f si="1" t="shared"/>
        <v>6.3475963842664317E-3</v>
      </c>
    </row>
    <row r="35" spans="1:7" x14ac:dyDescent="0.45">
      <c r="A35">
        <v>24</v>
      </c>
      <c r="B35" s="52" t="n">
        <v>297.904912503097</v>
      </c>
      <c r="C35" s="10">
        <f si="0" t="shared"/>
        <v>1.4034242758278015E-3</v>
      </c>
      <c r="E35" s="17">
        <v>24</v>
      </c>
      <c r="F35" s="54" t="n">
        <v>1065.0</v>
      </c>
      <c r="G35" s="10">
        <f si="1" t="shared"/>
        <v>5.9296247171725051E-3</v>
      </c>
    </row>
    <row r="36" spans="1:7" x14ac:dyDescent="0.45">
      <c r="A36">
        <v>25</v>
      </c>
      <c r="B36" s="52" t="n">
        <v>82.41694017243921</v>
      </c>
      <c r="C36" s="10">
        <f si="0" t="shared"/>
        <v>3.8826460968899355E-4</v>
      </c>
      <c r="E36" s="17">
        <v>25</v>
      </c>
      <c r="F36" s="54" t="n">
        <v>1058.0</v>
      </c>
      <c r="G36" s="10">
        <f si="1" t="shared"/>
        <v>6.241710228602637E-3</v>
      </c>
    </row>
    <row r="37" spans="1:7" x14ac:dyDescent="0.45">
      <c r="A37">
        <v>26</v>
      </c>
      <c r="B37" s="52" t="n">
        <v>265.4570306423854</v>
      </c>
      <c r="C37" s="10">
        <f si="0" t="shared"/>
        <v>1.250562932522354E-3</v>
      </c>
      <c r="E37" s="17">
        <v>26</v>
      </c>
      <c r="F37" s="54" t="n">
        <v>976.0</v>
      </c>
      <c r="G37" s="10">
        <f si="1" t="shared"/>
        <v>4.8763361160958103E-3</v>
      </c>
    </row>
    <row r="38" spans="1:7" x14ac:dyDescent="0.45">
      <c r="A38">
        <v>27</v>
      </c>
      <c r="B38" s="52" t="n">
        <v>0.0</v>
      </c>
      <c r="C38" s="10">
        <f si="0" t="shared"/>
        <v>0</v>
      </c>
      <c r="E38" s="17">
        <v>27</v>
      </c>
      <c r="F38" s="54" t="n">
        <v>822.0</v>
      </c>
      <c r="G38" s="10">
        <f si="1" t="shared"/>
        <v>4.5140940046144076E-3</v>
      </c>
    </row>
    <row r="39" spans="1:7" x14ac:dyDescent="0.45">
      <c r="A39">
        <v>28</v>
      </c>
      <c r="B39" s="52" t="n">
        <v>28.4741211831502</v>
      </c>
      <c r="C39" s="10">
        <f si="0" t="shared"/>
        <v>1.3414103367926232E-4</v>
      </c>
      <c r="E39" s="17">
        <v>28</v>
      </c>
      <c r="F39" s="54" t="n">
        <v>734.0</v>
      </c>
      <c r="G39" s="10">
        <f si="1" t="shared"/>
        <v>4.4527914934406315E-3</v>
      </c>
    </row>
    <row r="40" spans="1:7" x14ac:dyDescent="0.45">
      <c r="A40">
        <v>29</v>
      </c>
      <c r="B40" s="52" t="n">
        <v>180.2853098848988</v>
      </c>
      <c r="C40" s="10">
        <f si="0" t="shared"/>
        <v>8.4932060482545587E-4</v>
      </c>
      <c r="E40" s="17">
        <v>29</v>
      </c>
      <c r="F40" s="54" t="n">
        <v>710.0</v>
      </c>
      <c r="G40" s="10">
        <f si="1" t="shared"/>
        <v>4.0738305152754712E-3</v>
      </c>
    </row>
    <row r="41" spans="1:7" x14ac:dyDescent="0.45">
      <c r="A41">
        <v>30</v>
      </c>
      <c r="B41" s="52" t="n">
        <v>0.0</v>
      </c>
      <c r="C41" s="10">
        <f si="0" t="shared"/>
        <v>0</v>
      </c>
      <c r="E41" s="17">
        <v>30</v>
      </c>
      <c r="F41" s="54" t="n">
        <v>688.0</v>
      </c>
      <c r="G41" s="10">
        <f si="1" t="shared"/>
        <v>3.6670047593040495E-3</v>
      </c>
    </row>
    <row r="42" spans="1:7" x14ac:dyDescent="0.45">
      <c r="A42">
        <v>31</v>
      </c>
      <c r="B42" s="52" t="n">
        <v>0.0</v>
      </c>
      <c r="C42" s="10">
        <f si="0" t="shared"/>
        <v>0</v>
      </c>
      <c r="E42" s="17">
        <v>31</v>
      </c>
      <c r="F42" s="54" t="n">
        <v>601.0</v>
      </c>
      <c r="G42" s="10">
        <f si="1" t="shared"/>
        <v>3.4775242702214694E-3</v>
      </c>
    </row>
    <row r="43" spans="1:7" x14ac:dyDescent="0.45">
      <c r="A43">
        <v>32</v>
      </c>
      <c r="B43" s="52" t="n">
        <v>250.206803860951</v>
      </c>
      <c r="C43" s="10">
        <f si="0" t="shared"/>
        <v>1.1787194093756121E-3</v>
      </c>
      <c r="E43" s="17">
        <v>32</v>
      </c>
      <c r="F43" s="54" t="n">
        <v>590.0</v>
      </c>
      <c r="G43" s="10">
        <f si="1" t="shared"/>
        <v>2.9090828029737291E-3</v>
      </c>
    </row>
    <row r="44" spans="1:7" x14ac:dyDescent="0.45">
      <c r="A44">
        <v>33</v>
      </c>
      <c r="B44" s="52" t="n">
        <v>230.5781158223509</v>
      </c>
      <c r="C44" s="10">
        <f si="0" t="shared"/>
        <v>1.0862490400065411E-3</v>
      </c>
      <c r="E44" s="17">
        <v>33</v>
      </c>
      <c r="F44" s="54" t="n">
        <v>547.0</v>
      </c>
      <c r="G44" s="10">
        <f si="1" t="shared"/>
        <v>2.8756450696062149E-3</v>
      </c>
    </row>
    <row r="45" spans="1:7" x14ac:dyDescent="0.45">
      <c r="A45">
        <v>34</v>
      </c>
      <c r="B45" s="52" t="n">
        <v>92.1874805010168</v>
      </c>
      <c r="C45" s="10">
        <f si="0" t="shared"/>
        <v>4.3429343603450666E-4</v>
      </c>
      <c r="E45" s="17">
        <v>34</v>
      </c>
      <c r="F45" s="54" t="n">
        <v>497.0</v>
      </c>
      <c r="G45" s="10">
        <f si="1" t="shared"/>
        <v>2.563559558176083E-3</v>
      </c>
    </row>
    <row r="46" spans="1:7" x14ac:dyDescent="0.45">
      <c r="A46">
        <v>35</v>
      </c>
      <c r="B46" s="52" t="n">
        <v>120.74720401575</v>
      </c>
      <c r="C46" s="10">
        <f si="0" t="shared"/>
        <v>5.6883774064072897E-4</v>
      </c>
      <c r="E46" s="17">
        <v>35</v>
      </c>
      <c r="F46" s="54" t="n">
        <v>404.0</v>
      </c>
      <c r="G46" s="10">
        <f si="1" t="shared"/>
        <v>2.4298086247060268E-3</v>
      </c>
    </row>
    <row r="47" spans="1:7" x14ac:dyDescent="0.45">
      <c r="A47">
        <v>36</v>
      </c>
      <c r="B47" s="52" t="n">
        <v>0.0</v>
      </c>
      <c r="C47" s="10">
        <f si="0" t="shared"/>
        <v>0</v>
      </c>
      <c r="E47" s="17">
        <v>36</v>
      </c>
      <c r="F47" s="54" t="n">
        <v>385.0</v>
      </c>
      <c r="G47" s="10">
        <f si="1" t="shared"/>
        <v>1.8669401130195387E-3</v>
      </c>
    </row>
    <row r="48" spans="1:7" x14ac:dyDescent="0.45">
      <c r="A48">
        <v>37</v>
      </c>
      <c r="B48" s="52" t="n">
        <v>0.0</v>
      </c>
      <c r="C48" s="10">
        <f si="0" t="shared"/>
        <v>0</v>
      </c>
      <c r="E48" s="17">
        <v>37</v>
      </c>
      <c r="F48" s="54" t="n">
        <v>345.0</v>
      </c>
      <c r="G48" s="10">
        <f si="1" t="shared"/>
        <v>1.9449614908770717E-3</v>
      </c>
    </row>
    <row r="49" spans="1:7" x14ac:dyDescent="0.45">
      <c r="A49">
        <v>38</v>
      </c>
      <c r="B49" s="52" t="n">
        <v>0.0</v>
      </c>
      <c r="C49" s="10">
        <f si="0" t="shared"/>
        <v>0</v>
      </c>
      <c r="E49" s="17">
        <v>38</v>
      </c>
      <c r="F49" s="54" t="n">
        <v>314.0</v>
      </c>
      <c r="G49" s="10">
        <f si="1" t="shared"/>
        <v>1.6551678016919493E-3</v>
      </c>
    </row>
    <row r="50" spans="1:7" x14ac:dyDescent="0.45">
      <c r="A50">
        <v>39</v>
      </c>
      <c r="B50" s="52" t="n">
        <v>0.0</v>
      </c>
      <c r="C50" s="10">
        <f si="0" t="shared"/>
        <v>0</v>
      </c>
      <c r="E50" s="17">
        <v>39</v>
      </c>
      <c r="F50" s="54" t="n">
        <v>255.0</v>
      </c>
      <c r="G50" s="10">
        <f si="1" t="shared"/>
        <v>1.4712602681706216E-3</v>
      </c>
    </row>
    <row r="51" spans="1:7" x14ac:dyDescent="0.45">
      <c r="A51">
        <v>40</v>
      </c>
      <c r="B51" s="52" t="n">
        <v>0.0</v>
      </c>
      <c r="C51" s="10">
        <f si="0" t="shared"/>
        <v>0</v>
      </c>
      <c r="E51" s="17">
        <v>40</v>
      </c>
      <c r="F51" s="54" t="n">
        <v>266.0</v>
      </c>
      <c r="G51" s="10">
        <f si="1" t="shared"/>
        <v>1.4991250459768833E-3</v>
      </c>
    </row>
    <row r="52" spans="1:7" x14ac:dyDescent="0.45">
      <c r="A52">
        <v>41</v>
      </c>
      <c r="B52" s="52" t="n">
        <v>0.0</v>
      </c>
      <c r="C52" s="10">
        <f si="0" t="shared"/>
        <v>0</v>
      </c>
      <c r="E52" s="17">
        <v>41</v>
      </c>
      <c r="F52" s="54" t="n">
        <v>220.0</v>
      </c>
      <c r="G52" s="10">
        <f si="1" t="shared"/>
        <v>1.4155307125580982E-3</v>
      </c>
    </row>
    <row r="53" spans="1:7" x14ac:dyDescent="0.45">
      <c r="A53">
        <v>42</v>
      </c>
      <c r="B53" s="52" t="n">
        <v>0.0</v>
      </c>
      <c r="C53" s="10">
        <f si="0" t="shared"/>
        <v>0</v>
      </c>
      <c r="E53" s="17">
        <v>42</v>
      </c>
      <c r="F53" s="54" t="n">
        <v>228.0</v>
      </c>
      <c r="G53" s="10">
        <f si="1" t="shared"/>
        <v>1.2037584012305085E-3</v>
      </c>
    </row>
    <row r="54" spans="1:7" x14ac:dyDescent="0.45">
      <c r="A54">
        <v>43</v>
      </c>
      <c r="B54" s="52" t="n">
        <v>78.3441108859256</v>
      </c>
      <c r="C54" s="10">
        <f si="0" t="shared"/>
        <v>3.6907758976384815E-4</v>
      </c>
      <c r="E54" s="17">
        <v>43</v>
      </c>
      <c r="F54" s="54" t="n">
        <v>187.0</v>
      </c>
      <c r="G54" s="10">
        <f si="1" t="shared"/>
        <v>1.2371961345980227E-3</v>
      </c>
    </row>
    <row r="55" spans="1:7" x14ac:dyDescent="0.45">
      <c r="A55">
        <v>44</v>
      </c>
      <c r="B55" s="52" t="n">
        <v>886.307258578798</v>
      </c>
      <c r="C55" s="10">
        <f si="0" t="shared"/>
        <v>4.1753763376390866E-3</v>
      </c>
      <c r="E55" s="17">
        <v>44</v>
      </c>
      <c r="F55" s="54" t="n">
        <v>221.0</v>
      </c>
      <c r="G55" s="10">
        <f si="1" t="shared"/>
        <v>1.2706338679655369E-3</v>
      </c>
    </row>
    <row r="56" spans="1:7" x14ac:dyDescent="0.45">
      <c r="A56">
        <v>45</v>
      </c>
      <c r="B56" s="52" t="n">
        <v>0.0</v>
      </c>
      <c r="C56" s="10">
        <f si="0" t="shared"/>
        <v>0</v>
      </c>
      <c r="E56" s="17">
        <v>45</v>
      </c>
      <c r="F56" s="54" t="n">
        <v>226.0</v>
      </c>
      <c r="G56" s="10">
        <f si="1" t="shared"/>
        <v>1.1201640678117233E-3</v>
      </c>
    </row>
    <row r="57" spans="1:7" x14ac:dyDescent="0.45">
      <c r="A57">
        <v>46</v>
      </c>
      <c r="B57" s="52" t="n">
        <v>180.440866596186</v>
      </c>
      <c r="C57" s="10">
        <f si="0" t="shared"/>
        <v>8.5005342948099474E-4</v>
      </c>
      <c r="E57" s="17">
        <v>46</v>
      </c>
      <c r="F57" s="54" t="n">
        <v>178.0</v>
      </c>
      <c r="G57" s="10">
        <f si="1" t="shared"/>
        <v>9.5297540097415265E-4</v>
      </c>
    </row>
    <row r="58" spans="1:7" x14ac:dyDescent="0.45">
      <c r="A58">
        <v>47</v>
      </c>
      <c r="B58" s="52" t="n">
        <v>26.8818455625007</v>
      </c>
      <c r="C58" s="10">
        <f si="0" t="shared"/>
        <v>1.2663985405435415E-4</v>
      </c>
      <c r="E58" s="17">
        <v>47</v>
      </c>
      <c r="F58" s="54" t="n">
        <v>165.0</v>
      </c>
      <c r="G58" s="10">
        <f si="1" t="shared"/>
        <v>7.9135968969783438E-4</v>
      </c>
    </row>
    <row r="59" spans="1:7" x14ac:dyDescent="0.45">
      <c r="A59">
        <v>48</v>
      </c>
      <c r="B59" s="52" t="n">
        <v>0.0</v>
      </c>
      <c r="C59" s="10">
        <f si="0" t="shared"/>
        <v>0</v>
      </c>
      <c r="E59" s="17">
        <v>48</v>
      </c>
      <c r="F59" s="54" t="n">
        <v>144.0</v>
      </c>
      <c r="G59" s="10">
        <f si="1" t="shared"/>
        <v>6.2974397842151611E-4</v>
      </c>
    </row>
    <row r="60" spans="1:7" x14ac:dyDescent="0.45">
      <c r="A60">
        <v>49</v>
      </c>
      <c r="B60" s="52" t="n">
        <v>0.0</v>
      </c>
      <c r="C60" s="10">
        <f si="0" t="shared"/>
        <v>0</v>
      </c>
      <c r="E60" s="17">
        <v>49</v>
      </c>
      <c r="F60" s="54" t="n">
        <v>124.0</v>
      </c>
      <c r="G60" s="10">
        <f si="1" t="shared"/>
        <v>5.7401442280899254E-4</v>
      </c>
    </row>
    <row r="61" spans="1:7" x14ac:dyDescent="0.45">
      <c r="A61">
        <v>50</v>
      </c>
      <c r="B61" s="52" t="n">
        <v>0.0</v>
      </c>
      <c r="C61" s="10">
        <f si="0" t="shared"/>
        <v>0</v>
      </c>
      <c r="E61" s="17">
        <v>50</v>
      </c>
      <c r="F61" s="54" t="n">
        <v>111.0</v>
      </c>
      <c r="G61" s="10">
        <f si="1" t="shared"/>
        <v>6.8547353403403957E-4</v>
      </c>
    </row>
    <row r="62" spans="1:7" x14ac:dyDescent="0.45">
      <c r="A62">
        <v>51</v>
      </c>
      <c r="B62" s="52" t="n">
        <v>0.0</v>
      </c>
      <c r="C62" s="10">
        <f si="0" t="shared"/>
        <v>0</v>
      </c>
      <c r="E62" s="17">
        <v>51</v>
      </c>
      <c r="F62" s="54" t="n">
        <v>102.0</v>
      </c>
      <c r="G62" s="10">
        <f si="1" t="shared"/>
        <v>4.4583644490018838E-4</v>
      </c>
    </row>
    <row r="63" spans="1:7" x14ac:dyDescent="0.45">
      <c r="A63">
        <v>52</v>
      </c>
      <c r="B63" s="52" t="n">
        <v>0.0</v>
      </c>
      <c r="C63" s="10">
        <f si="0" t="shared"/>
        <v>0</v>
      </c>
      <c r="E63" s="17">
        <v>52</v>
      </c>
      <c r="F63" s="54" t="n">
        <v>169.0</v>
      </c>
      <c r="G63" s="10">
        <f si="1" t="shared"/>
        <v>8.1922446750409611E-4</v>
      </c>
    </row>
    <row r="64" spans="1:7" x14ac:dyDescent="0.45">
      <c r="A64">
        <v>53</v>
      </c>
      <c r="B64" s="52" t="n">
        <v>0.0</v>
      </c>
      <c r="C64" s="10">
        <f si="0" t="shared"/>
        <v>0</v>
      </c>
      <c r="E64" s="17">
        <v>53</v>
      </c>
      <c r="F64" s="54" t="n">
        <v>87.0</v>
      </c>
      <c r="G64" s="10">
        <f si="1" t="shared"/>
        <v>4.40263489338936E-4</v>
      </c>
    </row>
    <row r="65" spans="1:7" x14ac:dyDescent="0.45">
      <c r="A65">
        <v>54</v>
      </c>
      <c r="B65" s="52" t="n">
        <v>0.0</v>
      </c>
      <c r="C65" s="10">
        <f si="0" t="shared"/>
        <v>0</v>
      </c>
      <c r="E65" s="17">
        <v>54</v>
      </c>
      <c r="F65" s="54" t="n">
        <v>65.0</v>
      </c>
      <c r="G65" s="10">
        <f si="1" t="shared"/>
        <v>3.7896097816516011E-4</v>
      </c>
    </row>
    <row r="66" spans="1:7" x14ac:dyDescent="0.45">
      <c r="A66">
        <v>55</v>
      </c>
      <c r="B66" s="52" t="n">
        <v>0.0</v>
      </c>
      <c r="C66" s="10">
        <f si="0" t="shared"/>
        <v>0</v>
      </c>
      <c r="E66" s="17">
        <v>55</v>
      </c>
      <c r="F66" s="54" t="n">
        <v>69.0</v>
      </c>
      <c r="G66" s="10">
        <f si="1" t="shared"/>
        <v>3.3995028923639362E-4</v>
      </c>
    </row>
    <row r="67" spans="1:7" x14ac:dyDescent="0.45">
      <c r="A67">
        <v>56</v>
      </c>
      <c r="B67" s="52" t="n">
        <v>0.0</v>
      </c>
      <c r="C67" s="10">
        <f si="0" t="shared"/>
        <v>0</v>
      </c>
      <c r="E67" s="17">
        <v>56</v>
      </c>
      <c r="F67" s="54" t="n">
        <v>78.0</v>
      </c>
      <c r="G67" s="10">
        <f si="1" t="shared"/>
        <v>3.7896097816516011E-4</v>
      </c>
    </row>
    <row r="68" spans="1:7" x14ac:dyDescent="0.45">
      <c r="A68">
        <v>57</v>
      </c>
      <c r="B68" s="52" t="n">
        <v>0.0</v>
      </c>
      <c r="C68" s="10">
        <f si="0" t="shared"/>
        <v>0</v>
      </c>
      <c r="E68" s="17">
        <v>57</v>
      </c>
      <c r="F68" s="54" t="n">
        <v>66.0</v>
      </c>
      <c r="G68" s="10">
        <f si="1" t="shared"/>
        <v>3.45523244797646E-4</v>
      </c>
    </row>
    <row r="69" spans="1:7" x14ac:dyDescent="0.45">
      <c r="A69">
        <v>58</v>
      </c>
      <c r="B69" s="52" t="n">
        <v>0.0</v>
      </c>
      <c r="C69" s="10">
        <f si="0" t="shared"/>
        <v>0</v>
      </c>
      <c r="E69" s="17">
        <v>58</v>
      </c>
      <c r="F69" s="54" t="n">
        <v>42.0</v>
      </c>
      <c r="G69" s="10">
        <f si="1" t="shared"/>
        <v>1.8948048908258005E-4</v>
      </c>
    </row>
    <row r="70" spans="1:7" x14ac:dyDescent="0.45">
      <c r="A70">
        <v>59</v>
      </c>
      <c r="B70" s="52" t="n">
        <v>0.0</v>
      </c>
      <c r="C70" s="10">
        <f si="0" t="shared"/>
        <v>0</v>
      </c>
      <c r="E70" s="17">
        <v>59</v>
      </c>
      <c r="F70" s="54" t="n">
        <v>44.0</v>
      </c>
      <c r="G70" s="10">
        <f si="1" t="shared"/>
        <v>2.3963708913385124E-4</v>
      </c>
    </row>
    <row r="71" spans="1:7" x14ac:dyDescent="0.45">
      <c r="A71">
        <v>60</v>
      </c>
      <c r="B71" s="52" t="n">
        <v>0.0</v>
      </c>
      <c r="C71" s="10">
        <f si="0" t="shared"/>
        <v>0</v>
      </c>
      <c r="E71" s="17">
        <v>60</v>
      </c>
      <c r="F71" s="54" t="n">
        <v>35.0</v>
      </c>
      <c r="G71" s="10">
        <f si="1" t="shared"/>
        <v>1.2260502234755181E-4</v>
      </c>
    </row>
    <row r="72" spans="1:7" x14ac:dyDescent="0.45">
      <c r="A72">
        <v>61</v>
      </c>
      <c r="B72" s="52" t="n">
        <v>0.0</v>
      </c>
      <c r="C72" s="10">
        <f si="0" t="shared"/>
        <v>0</v>
      </c>
      <c r="E72" s="17">
        <v>61</v>
      </c>
      <c r="F72" s="54" t="n">
        <v>47.0</v>
      </c>
      <c r="G72" s="10">
        <f si="1" t="shared"/>
        <v>2.8979368918512243E-4</v>
      </c>
    </row>
    <row r="73" spans="1:7" x14ac:dyDescent="0.45">
      <c r="A73">
        <v>62</v>
      </c>
      <c r="B73" s="52" t="n">
        <v>0.0</v>
      </c>
      <c r="C73" s="10">
        <f si="0" t="shared"/>
        <v>0</v>
      </c>
      <c r="E73" s="17">
        <v>62</v>
      </c>
      <c r="F73" s="54" t="n">
        <v>14.0</v>
      </c>
      <c r="G73" s="10">
        <f si="1" t="shared"/>
        <v>7.2448422296280608E-5</v>
      </c>
    </row>
    <row r="74" spans="1:7" x14ac:dyDescent="0.45">
      <c r="A74">
        <v>63</v>
      </c>
      <c r="B74" s="52" t="n">
        <v>0.0</v>
      </c>
      <c r="C74" s="10">
        <f si="0" t="shared"/>
        <v>0</v>
      </c>
      <c r="E74" s="17">
        <v>63</v>
      </c>
      <c r="F74" s="54" t="n">
        <v>17.0</v>
      </c>
      <c r="G74" s="10">
        <f si="1" t="shared"/>
        <v>1.0588615566379474E-4</v>
      </c>
    </row>
    <row r="75" spans="1:7" x14ac:dyDescent="0.45">
      <c r="A75">
        <v>64</v>
      </c>
      <c r="B75" s="52" t="n">
        <v>0.0</v>
      </c>
      <c r="C75" s="10">
        <f si="0" t="shared"/>
        <v>0</v>
      </c>
      <c r="E75" s="17">
        <v>64</v>
      </c>
      <c r="F75" s="54" t="n">
        <v>16.0</v>
      </c>
      <c r="G75" s="10">
        <f si="1" t="shared"/>
        <v>8.3594333418785324E-5</v>
      </c>
    </row>
    <row r="76" spans="1:7" x14ac:dyDescent="0.45">
      <c r="A76">
        <v>65</v>
      </c>
      <c r="B76" s="52" t="n">
        <v>0.0</v>
      </c>
      <c r="C76" s="10">
        <f si="0" t="shared"/>
        <v>0</v>
      </c>
      <c r="E76" s="17">
        <v>65</v>
      </c>
      <c r="F76" s="54" t="n">
        <v>16.0</v>
      </c>
      <c r="G76" s="10">
        <f si="1" t="shared"/>
        <v>1.0588615566379474E-4</v>
      </c>
    </row>
    <row r="77" spans="1:7" x14ac:dyDescent="0.45">
      <c r="A77">
        <v>66</v>
      </c>
      <c r="B77" s="52" t="n">
        <v>0.0</v>
      </c>
      <c r="C77" s="10">
        <f ref="C77:C102" si="2" t="shared">B77/B$102</f>
        <v>0</v>
      </c>
      <c r="E77" s="17">
        <v>66</v>
      </c>
      <c r="F77" s="54" t="n">
        <v>14.0</v>
      </c>
      <c r="G77" s="10">
        <f ref="G77:G102" si="3" t="shared">F77/F$102</f>
        <v>7.8021377857532959E-5</v>
      </c>
    </row>
    <row r="78" spans="1:7" x14ac:dyDescent="0.45">
      <c r="A78">
        <v>67</v>
      </c>
      <c r="B78" s="52" t="n">
        <v>0.0</v>
      </c>
      <c r="C78" s="10">
        <f si="2" t="shared"/>
        <v>0</v>
      </c>
      <c r="E78" s="17">
        <v>67</v>
      </c>
      <c r="F78" s="54" t="n">
        <v>15.0</v>
      </c>
      <c r="G78" s="10">
        <f si="3" t="shared"/>
        <v>1.2817797790880416E-4</v>
      </c>
    </row>
    <row r="79" spans="1:7" x14ac:dyDescent="0.45">
      <c r="A79">
        <v>68</v>
      </c>
      <c r="B79" s="52" t="n">
        <v>0.0</v>
      </c>
      <c r="C79" s="10">
        <f si="2" t="shared"/>
        <v>0</v>
      </c>
      <c r="E79" s="17">
        <v>68</v>
      </c>
      <c r="F79" s="54" t="n">
        <v>31.0</v>
      </c>
      <c r="G79" s="10">
        <f si="3" t="shared"/>
        <v>1.5046980015381357E-4</v>
      </c>
    </row>
    <row r="80" spans="1:7" x14ac:dyDescent="0.45">
      <c r="A80">
        <v>69</v>
      </c>
      <c r="B80" s="52" t="n">
        <v>0.0</v>
      </c>
      <c r="C80" s="10">
        <f si="2" t="shared"/>
        <v>0</v>
      </c>
      <c r="E80" s="17">
        <v>69</v>
      </c>
      <c r="F80" s="54" t="n">
        <v>10.0</v>
      </c>
      <c r="G80" s="10">
        <f si="3" t="shared"/>
        <v>3.901068892876648E-5</v>
      </c>
    </row>
    <row r="81" spans="1:7" x14ac:dyDescent="0.45">
      <c r="A81">
        <v>70</v>
      </c>
      <c r="B81" s="52" t="n">
        <v>0.0</v>
      </c>
      <c r="C81" s="10">
        <f si="2" t="shared"/>
        <v>0</v>
      </c>
      <c r="E81" s="17">
        <v>70</v>
      </c>
      <c r="F81" s="54" t="n">
        <v>5.0</v>
      </c>
      <c r="G81" s="10">
        <f si="3" t="shared"/>
        <v>4.4583644490018838E-5</v>
      </c>
    </row>
    <row r="82" spans="1:7" x14ac:dyDescent="0.45">
      <c r="A82">
        <v>71</v>
      </c>
      <c r="B82" s="52" t="n">
        <v>0.0</v>
      </c>
      <c r="C82" s="10">
        <f si="2" t="shared"/>
        <v>0</v>
      </c>
      <c r="E82" s="17">
        <v>71</v>
      </c>
      <c r="F82" s="54" t="n">
        <v>2.0</v>
      </c>
      <c r="G82" s="10">
        <f si="3" t="shared"/>
        <v>1.6718866683757064E-5</v>
      </c>
    </row>
    <row r="83" spans="1:7" x14ac:dyDescent="0.45">
      <c r="A83">
        <v>72</v>
      </c>
      <c r="B83" s="52" t="n">
        <v>0.0</v>
      </c>
      <c r="C83" s="10">
        <f si="2" t="shared"/>
        <v>0</v>
      </c>
      <c r="E83" s="17">
        <v>72</v>
      </c>
      <c r="F83" s="54" t="n">
        <v>11.0</v>
      </c>
      <c r="G83" s="10">
        <f si="3" t="shared"/>
        <v>2.2291822245009419E-5</v>
      </c>
    </row>
    <row r="84" spans="1:7" x14ac:dyDescent="0.45">
      <c r="A84">
        <v>73</v>
      </c>
      <c r="B84" s="52" t="n">
        <v>0.0</v>
      </c>
      <c r="C84" s="10">
        <f si="2" t="shared"/>
        <v>0</v>
      </c>
      <c r="E84" s="17">
        <v>73</v>
      </c>
      <c r="F84" s="54" t="n">
        <v>32.0</v>
      </c>
      <c r="G84" s="10">
        <f si="3" t="shared"/>
        <v>1.6718866683757065E-4</v>
      </c>
    </row>
    <row r="85" spans="1:7" x14ac:dyDescent="0.45">
      <c r="A85">
        <v>74</v>
      </c>
      <c r="B85" s="52" t="n">
        <v>0.0</v>
      </c>
      <c r="C85" s="10">
        <f si="2" t="shared"/>
        <v>0</v>
      </c>
      <c r="E85" s="17">
        <v>74</v>
      </c>
      <c r="F85" s="54" t="n">
        <v>6.0</v>
      </c>
      <c r="G85" s="10">
        <f si="3" t="shared"/>
        <v>3.3437733367514128E-5</v>
      </c>
    </row>
    <row r="86" spans="1:7" x14ac:dyDescent="0.45">
      <c r="A86">
        <v>75</v>
      </c>
      <c r="B86" s="52" t="n">
        <v>0.0</v>
      </c>
      <c r="C86" s="10">
        <f si="2" t="shared"/>
        <v>0</v>
      </c>
      <c r="E86" s="17">
        <v>75</v>
      </c>
      <c r="F86" s="54" t="n">
        <v>12.0</v>
      </c>
      <c r="G86" s="10">
        <f si="3" t="shared"/>
        <v>4.4583644490018838E-5</v>
      </c>
    </row>
    <row r="87" spans="1:7" x14ac:dyDescent="0.45">
      <c r="A87">
        <v>76</v>
      </c>
      <c r="B87" s="52" t="n">
        <v>0.0</v>
      </c>
      <c r="C87" s="10">
        <f si="2" t="shared"/>
        <v>0</v>
      </c>
      <c r="E87" s="17">
        <v>76</v>
      </c>
      <c r="F87" s="54" t="n">
        <v>8.0</v>
      </c>
      <c r="G87" s="10">
        <f si="3" t="shared"/>
        <v>1.1145911122504709E-5</v>
      </c>
    </row>
    <row r="88" spans="1:7" x14ac:dyDescent="0.45">
      <c r="A88">
        <v>77</v>
      </c>
      <c r="B88" s="52" t="n">
        <v>0.0</v>
      </c>
      <c r="C88" s="10">
        <f si="2" t="shared"/>
        <v>0</v>
      </c>
      <c r="E88" s="17">
        <v>77</v>
      </c>
      <c r="F88" s="54" t="n">
        <v>21.0</v>
      </c>
      <c r="G88" s="10">
        <f si="3" t="shared"/>
        <v>1.2817797790880416E-4</v>
      </c>
    </row>
    <row r="89" spans="1:7" x14ac:dyDescent="0.45">
      <c r="A89">
        <v>78</v>
      </c>
      <c r="B89" s="52" t="n">
        <v>0.0</v>
      </c>
      <c r="C89" s="10">
        <f si="2" t="shared"/>
        <v>0</v>
      </c>
      <c r="E89" s="17">
        <v>78</v>
      </c>
      <c r="F89" s="54" t="n">
        <v>2.0</v>
      </c>
      <c r="G89" s="10">
        <f si="3" t="shared"/>
        <v>1.6718866683757064E-5</v>
      </c>
    </row>
    <row r="90" spans="1:7" x14ac:dyDescent="0.45">
      <c r="A90">
        <v>79</v>
      </c>
      <c r="B90" s="52" t="n">
        <v>0.0</v>
      </c>
      <c r="C90" s="10">
        <f si="2" t="shared"/>
        <v>0</v>
      </c>
      <c r="E90" s="17">
        <v>79</v>
      </c>
      <c r="F90" s="54" t="n">
        <v>0.0</v>
      </c>
      <c r="G90" s="10">
        <f si="3" t="shared"/>
        <v>1.1145911122504709E-5</v>
      </c>
    </row>
    <row r="91" spans="1:7" x14ac:dyDescent="0.45">
      <c r="A91">
        <v>80</v>
      </c>
      <c r="B91" s="52" t="n">
        <v>0.0</v>
      </c>
      <c r="C91" s="10">
        <f si="2" t="shared"/>
        <v>0</v>
      </c>
      <c r="E91" s="17">
        <v>80</v>
      </c>
      <c r="F91" s="54" t="n">
        <v>2.0</v>
      </c>
      <c r="G91" s="10">
        <f si="3" t="shared"/>
        <v>3.3437733367514128E-5</v>
      </c>
    </row>
    <row r="92" spans="1:7" x14ac:dyDescent="0.45">
      <c r="A92">
        <v>81</v>
      </c>
      <c r="B92" s="52" t="n">
        <v>0.0</v>
      </c>
      <c r="C92" s="10">
        <f si="2" t="shared"/>
        <v>0</v>
      </c>
      <c r="E92" s="17">
        <v>81</v>
      </c>
      <c r="F92" s="54" t="n">
        <v>4.0</v>
      </c>
      <c r="G92" s="10">
        <f si="3" t="shared"/>
        <v>3.3437733367514128E-5</v>
      </c>
    </row>
    <row r="93" spans="1:7" x14ac:dyDescent="0.45">
      <c r="A93">
        <v>82</v>
      </c>
      <c r="B93" s="52" t="n">
        <v>0.0</v>
      </c>
      <c r="C93" s="10">
        <f si="2" t="shared"/>
        <v>0</v>
      </c>
      <c r="E93" s="17">
        <v>82</v>
      </c>
      <c r="F93" s="54" t="n">
        <v>5.0</v>
      </c>
      <c r="G93" s="10">
        <f si="3" t="shared"/>
        <v>2.7864777806261774E-5</v>
      </c>
    </row>
    <row r="94" spans="1:7" x14ac:dyDescent="0.45">
      <c r="A94">
        <v>83</v>
      </c>
      <c r="B94" s="52" t="n">
        <v>0.0</v>
      </c>
      <c r="C94" s="10">
        <f si="2" t="shared"/>
        <v>0</v>
      </c>
      <c r="E94" s="17">
        <v>83</v>
      </c>
      <c r="F94" s="54" t="n">
        <v>5.0</v>
      </c>
      <c r="G94" s="10">
        <f si="3" t="shared"/>
        <v>1.6718866683757064E-5</v>
      </c>
    </row>
    <row r="95" spans="1:7" x14ac:dyDescent="0.45">
      <c r="A95">
        <v>84</v>
      </c>
      <c r="B95" s="52" t="n">
        <v>0.0</v>
      </c>
      <c r="C95" s="10">
        <f si="2" t="shared"/>
        <v>0</v>
      </c>
      <c r="E95" s="17">
        <v>84</v>
      </c>
      <c r="F95" s="54" t="n">
        <v>2.0</v>
      </c>
      <c r="G95" s="10">
        <f si="3" t="shared"/>
        <v>1.6718866683757064E-5</v>
      </c>
    </row>
    <row r="96" spans="1:7" x14ac:dyDescent="0.45">
      <c r="A96">
        <v>85</v>
      </c>
      <c r="B96" s="52" t="n">
        <v>0.0</v>
      </c>
      <c r="C96" s="10">
        <f si="2" t="shared"/>
        <v>0</v>
      </c>
      <c r="E96" s="17">
        <v>85</v>
      </c>
      <c r="F96" s="54" t="n">
        <v>3.0</v>
      </c>
      <c r="G96" s="10">
        <f si="3" t="shared"/>
        <v>4.4583644490018838E-5</v>
      </c>
    </row>
    <row r="97" spans="1:7" x14ac:dyDescent="0.45">
      <c r="A97">
        <v>86</v>
      </c>
      <c r="B97" s="52" t="n">
        <v>0.0</v>
      </c>
      <c r="C97" s="10">
        <f si="2" t="shared"/>
        <v>0</v>
      </c>
      <c r="E97" s="17">
        <v>86</v>
      </c>
      <c r="F97" s="54" t="n">
        <v>5.0</v>
      </c>
      <c r="G97" s="10">
        <f si="3" t="shared"/>
        <v>3.3437733367514128E-5</v>
      </c>
    </row>
    <row r="98" spans="1:7" x14ac:dyDescent="0.45">
      <c r="A98">
        <v>87</v>
      </c>
      <c r="B98" s="52" t="n">
        <v>0.0</v>
      </c>
      <c r="C98" s="10">
        <f si="2" t="shared"/>
        <v>0</v>
      </c>
      <c r="E98" s="17">
        <v>87</v>
      </c>
      <c r="F98" s="54" t="n">
        <v>2.0</v>
      </c>
      <c r="G98" s="10">
        <f si="3" t="shared"/>
        <v>2.2291822245009419E-5</v>
      </c>
    </row>
    <row r="99" spans="1:7" x14ac:dyDescent="0.45">
      <c r="A99">
        <v>88</v>
      </c>
      <c r="B99" s="52" t="n">
        <v>0.0</v>
      </c>
      <c r="C99" s="10">
        <f si="2" t="shared"/>
        <v>0</v>
      </c>
      <c r="E99" s="17">
        <v>88</v>
      </c>
      <c r="F99" s="54" t="n">
        <v>6.0</v>
      </c>
      <c r="G99" s="10">
        <f si="3" t="shared"/>
        <v>3.3437733367514128E-5</v>
      </c>
    </row>
    <row r="100" spans="1:7" x14ac:dyDescent="0.45">
      <c r="A100">
        <v>89</v>
      </c>
      <c r="B100" s="52" t="n">
        <v>0.0</v>
      </c>
      <c r="C100" s="10">
        <f si="2" t="shared"/>
        <v>0</v>
      </c>
      <c r="E100" s="17">
        <v>89</v>
      </c>
      <c r="F100" s="54" t="n">
        <v>3.0</v>
      </c>
      <c r="G100" s="10">
        <f si="3" t="shared"/>
        <v>5.5729555612523547E-6</v>
      </c>
    </row>
    <row ht="14.65" r="101" spans="1:7" thickBot="1" x14ac:dyDescent="0.5">
      <c r="A101" s="1">
        <v>90</v>
      </c>
      <c r="B101" s="53" t="n">
        <v>0.0</v>
      </c>
      <c r="C101" s="10">
        <f si="2" t="shared"/>
        <v>0</v>
      </c>
      <c r="E101" s="18">
        <v>90</v>
      </c>
      <c r="F101" s="55" t="n">
        <v>78.0</v>
      </c>
      <c r="G101" s="10">
        <f si="3" t="shared"/>
        <v>4.8484713382895486E-4</v>
      </c>
    </row>
    <row r="102" spans="1:7" x14ac:dyDescent="0.45">
      <c r="B102" s="52">
        <f>SUM(B11:B101)</f>
        <v>212270.02955138392</v>
      </c>
      <c r="C102" s="10">
        <f si="2" t="shared"/>
        <v>1</v>
      </c>
      <c r="F102" s="52">
        <f>SUM(F11:F101)</f>
        <v>179438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4" t="s">
        <v>36</v>
      </c>
      <c r="B9" s="1"/>
      <c r="E9" s="4" t="s">
        <v>11</v>
      </c>
      <c r="F9" s="1"/>
      <c r="J9" s="9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7" t="n">
        <v>0.0</v>
      </c>
      <c r="C11" s="10">
        <f>B11/B$102</f>
        <v>0</v>
      </c>
      <c r="E11" s="17">
        <v>0</v>
      </c>
      <c r="F11" s="17" t="n">
        <v>2808.0</v>
      </c>
      <c r="G11" s="10">
        <f>F11/F$102</f>
        <v>1.5999955416355509E-2</v>
      </c>
      <c r="K11" s="7" t="n">
        <v>12.423453046459535</v>
      </c>
      <c r="L11" s="7" t="n">
        <v>17.968116258427308</v>
      </c>
    </row>
    <row r="12" spans="1:12" x14ac:dyDescent="0.45">
      <c r="A12">
        <v>1</v>
      </c>
      <c r="B12" s="7" t="n">
        <v>0.0</v>
      </c>
      <c r="C12" s="10">
        <f>B12/B$102</f>
        <v>0</v>
      </c>
      <c r="E12" s="17">
        <v>1</v>
      </c>
      <c r="F12" s="17" t="n">
        <v>2194.0</v>
      </c>
      <c r="G12" s="10">
        <f>F12/F$102</f>
        <v>1.2098886523478862E-2</v>
      </c>
      <c r="K12" s="7"/>
      <c r="L12" s="17"/>
    </row>
    <row r="13" spans="1:12" x14ac:dyDescent="0.45">
      <c r="A13">
        <v>2</v>
      </c>
      <c r="B13" s="7" t="n">
        <v>1297.3675540942368</v>
      </c>
      <c r="C13" s="10">
        <f ref="C13:C76" si="0" t="shared">B13/B$102</f>
        <v>6.1118734323263686E-3</v>
      </c>
      <c r="E13" s="17">
        <v>2</v>
      </c>
      <c r="F13" s="17" t="n">
        <v>2240.0</v>
      </c>
      <c r="G13" s="10">
        <f ref="G13:G76" si="1" t="shared">F13/F$102</f>
        <v>1.2277221101438937E-2</v>
      </c>
    </row>
    <row r="14" spans="1:12" x14ac:dyDescent="0.45">
      <c r="A14">
        <v>3</v>
      </c>
      <c r="B14" s="7" t="n">
        <v>12560.154297193583</v>
      </c>
      <c r="C14" s="10">
        <f si="0" t="shared"/>
        <v>5.917064374908923E-2</v>
      </c>
      <c r="E14" s="17">
        <v>3</v>
      </c>
      <c r="F14" s="17" t="n">
        <v>3547.0</v>
      </c>
      <c r="G14" s="10">
        <f si="1" t="shared"/>
        <v>1.9722689731272083E-2</v>
      </c>
    </row>
    <row r="15" spans="1:12" x14ac:dyDescent="0.45">
      <c r="A15">
        <v>4</v>
      </c>
      <c r="B15" s="7" t="n">
        <v>11204.866139626776</v>
      </c>
      <c r="C15" s="10">
        <f si="0" t="shared"/>
        <v>5.2785907475056092E-2</v>
      </c>
      <c r="E15" s="17">
        <v>4</v>
      </c>
      <c r="F15" s="17" t="n">
        <v>5586.0</v>
      </c>
      <c r="G15" s="10">
        <f si="1" t="shared"/>
        <v>2.9854322941628864E-2</v>
      </c>
    </row>
    <row r="16" spans="1:12" x14ac:dyDescent="0.45">
      <c r="A16">
        <v>5</v>
      </c>
      <c r="B16" s="7" t="n">
        <v>19715.549171450413</v>
      </c>
      <c r="C16" s="10">
        <f si="0" t="shared"/>
        <v>9.2879570484432863E-2</v>
      </c>
      <c r="E16" s="17">
        <v>5</v>
      </c>
      <c r="F16" s="17" t="n">
        <v>7777.0</v>
      </c>
      <c r="G16" s="10">
        <f si="1" t="shared"/>
        <v>4.1925344687301462E-2</v>
      </c>
    </row>
    <row r="17" spans="1:7" x14ac:dyDescent="0.45">
      <c r="A17">
        <v>6</v>
      </c>
      <c r="B17" s="7" t="n">
        <v>14252.150106065343</v>
      </c>
      <c r="C17" s="10">
        <f si="0" t="shared"/>
        <v>6.7141603250285231E-2</v>
      </c>
      <c r="E17" s="17">
        <v>6</v>
      </c>
      <c r="F17" s="17" t="n">
        <v>9742.0</v>
      </c>
      <c r="G17" s="10">
        <f si="1" t="shared"/>
        <v>5.4386473322261729E-2</v>
      </c>
    </row>
    <row r="18" spans="1:7" x14ac:dyDescent="0.45">
      <c r="A18">
        <v>7</v>
      </c>
      <c r="B18" s="7" t="n">
        <v>14897.766546432431</v>
      </c>
      <c r="C18" s="10">
        <f si="0" t="shared"/>
        <v>7.0183089802727638E-2</v>
      </c>
      <c r="E18" s="17">
        <v>7</v>
      </c>
      <c r="F18" s="17" t="n">
        <v>11421.0</v>
      </c>
      <c r="G18" s="10">
        <f si="1" t="shared"/>
        <v>6.4323053087974674E-2</v>
      </c>
    </row>
    <row r="19" spans="1:7" x14ac:dyDescent="0.45">
      <c r="A19">
        <v>8</v>
      </c>
      <c r="B19" s="7" t="n">
        <v>23614.93904424214</v>
      </c>
      <c r="C19" s="10">
        <f si="0" t="shared"/>
        <v>0.11124952068905092</v>
      </c>
      <c r="E19" s="17">
        <v>8</v>
      </c>
      <c r="F19" s="17" t="n">
        <v>11978.0</v>
      </c>
      <c r="G19" s="10">
        <f si="1" t="shared"/>
        <v>6.7176406335335878E-2</v>
      </c>
    </row>
    <row r="20" spans="1:7" x14ac:dyDescent="0.45">
      <c r="A20">
        <v>9</v>
      </c>
      <c r="B20" s="7" t="n">
        <v>17772.4102283067</v>
      </c>
      <c r="C20" s="10">
        <f si="0" t="shared"/>
        <v>8.3725480539420916E-2</v>
      </c>
      <c r="E20" s="17">
        <v>9</v>
      </c>
      <c r="F20" s="17" t="n">
        <v>11571.0</v>
      </c>
      <c r="G20" s="10">
        <f si="1" t="shared"/>
        <v>6.8385737692127649E-2</v>
      </c>
    </row>
    <row r="21" spans="1:7" x14ac:dyDescent="0.45">
      <c r="A21">
        <v>10</v>
      </c>
      <c r="B21" s="7" t="n">
        <v>11415.695705371085</v>
      </c>
      <c r="C21" s="10">
        <f si="0" t="shared"/>
        <v>5.3779121477946092E-2</v>
      </c>
      <c r="E21" s="17">
        <v>10</v>
      </c>
      <c r="F21" s="17" t="n">
        <v>10567.0</v>
      </c>
      <c r="G21" s="10">
        <f si="1" t="shared"/>
        <v>6.2021422441177455E-2</v>
      </c>
    </row>
    <row r="22" spans="1:7" x14ac:dyDescent="0.45">
      <c r="A22">
        <v>11</v>
      </c>
      <c r="B22" s="7" t="n">
        <v>14663.388837472765</v>
      </c>
      <c r="C22" s="10">
        <f si="0" t="shared"/>
        <v>6.9078940953005402E-2</v>
      </c>
      <c r="E22" s="17">
        <v>11</v>
      </c>
      <c r="F22" s="17" t="n">
        <v>9532.0</v>
      </c>
      <c r="G22" s="10">
        <f si="1" t="shared"/>
        <v>5.6180965012984987E-2</v>
      </c>
    </row>
    <row r="23" spans="1:7" x14ac:dyDescent="0.45">
      <c r="A23">
        <v>12</v>
      </c>
      <c r="B23" s="7" t="n">
        <v>4781.679036266247</v>
      </c>
      <c r="C23" s="10">
        <f si="0" t="shared"/>
        <v>2.2526397374004942E-2</v>
      </c>
      <c r="E23" s="17">
        <v>12</v>
      </c>
      <c r="F23" s="17" t="n">
        <v>8233.0</v>
      </c>
      <c r="G23" s="10">
        <f si="1" t="shared"/>
        <v>5.0390664184843788E-2</v>
      </c>
    </row>
    <row r="24" spans="1:7" x14ac:dyDescent="0.45">
      <c r="A24">
        <v>13</v>
      </c>
      <c r="B24" s="7" t="n">
        <v>8235.86483114413</v>
      </c>
      <c r="C24" s="10">
        <f si="0" t="shared"/>
        <v>3.8798999786027188E-2</v>
      </c>
      <c r="E24" s="17">
        <v>13</v>
      </c>
      <c r="F24" s="17" t="n">
        <v>7238.0</v>
      </c>
      <c r="G24" s="10">
        <f si="1" t="shared"/>
        <v>4.4377445134252499E-2</v>
      </c>
    </row>
    <row r="25" spans="1:7" x14ac:dyDescent="0.45">
      <c r="A25">
        <v>14</v>
      </c>
      <c r="B25" s="7" t="n">
        <v>5947.079879651186</v>
      </c>
      <c r="C25" s="10">
        <f si="0" t="shared"/>
        <v>2.8016578186849425E-2</v>
      </c>
      <c r="E25" s="17">
        <v>14</v>
      </c>
      <c r="F25" s="17" t="n">
        <v>6384.0</v>
      </c>
      <c r="G25" s="10">
        <f si="1" t="shared"/>
        <v>3.7076873349011913E-2</v>
      </c>
    </row>
    <row r="26" spans="1:7" x14ac:dyDescent="0.45">
      <c r="A26">
        <v>15</v>
      </c>
      <c r="B26" s="7" t="n">
        <v>4745.774136660218</v>
      </c>
      <c r="C26" s="10">
        <f si="0" t="shared"/>
        <v>2.2357250087023772E-2</v>
      </c>
      <c r="E26" s="17">
        <v>15</v>
      </c>
      <c r="F26" s="17" t="n">
        <v>5538.0</v>
      </c>
      <c r="G26" s="10">
        <f si="1" t="shared"/>
        <v>3.1264280698625711E-2</v>
      </c>
    </row>
    <row r="27" spans="1:7" x14ac:dyDescent="0.45">
      <c r="A27">
        <v>16</v>
      </c>
      <c r="B27" s="7" t="n">
        <v>2317.1896208126514</v>
      </c>
      <c r="C27" s="10">
        <f si="0" t="shared"/>
        <v>1.0916235446472824E-2</v>
      </c>
      <c r="E27" s="17">
        <v>16</v>
      </c>
      <c r="F27" s="17" t="n">
        <v>4715.0</v>
      </c>
      <c r="G27" s="10">
        <f si="1" t="shared"/>
        <v>2.686164580523635E-2</v>
      </c>
    </row>
    <row r="28" spans="1:7" x14ac:dyDescent="0.45">
      <c r="A28">
        <v>17</v>
      </c>
      <c r="B28" s="7" t="n">
        <v>3502.192670456962</v>
      </c>
      <c r="C28" s="10">
        <f si="0" t="shared"/>
        <v>1.6498761873537077E-2</v>
      </c>
      <c r="E28" s="17">
        <v>17</v>
      </c>
      <c r="F28" s="17" t="n">
        <v>3935.0</v>
      </c>
      <c r="G28" s="10">
        <f si="1" t="shared"/>
        <v>2.1879423533476744E-2</v>
      </c>
    </row>
    <row r="29" spans="1:7" x14ac:dyDescent="0.45">
      <c r="A29">
        <v>18</v>
      </c>
      <c r="B29" s="7" t="n">
        <v>4603.07545321039</v>
      </c>
      <c r="C29" s="10">
        <f si="0" t="shared"/>
        <v>2.1684999351715497E-2</v>
      </c>
      <c r="E29" s="17">
        <v>18</v>
      </c>
      <c r="F29" s="17" t="n">
        <v>3595.0</v>
      </c>
      <c r="G29" s="10">
        <f si="1" t="shared"/>
        <v>2.0079358887192235E-2</v>
      </c>
    </row>
    <row r="30" spans="1:7" x14ac:dyDescent="0.45">
      <c r="A30">
        <v>19</v>
      </c>
      <c r="B30" s="7" t="n">
        <v>4721.897221950022</v>
      </c>
      <c r="C30" s="10">
        <f si="0" t="shared"/>
        <v>2.2244766404043853E-2</v>
      </c>
      <c r="E30" s="17">
        <v>19</v>
      </c>
      <c r="F30" s="17" t="n">
        <v>3136.0</v>
      </c>
      <c r="G30" s="10">
        <f si="1" t="shared"/>
        <v>1.775543641815E-2</v>
      </c>
    </row>
    <row r="31" spans="1:7" x14ac:dyDescent="0.45">
      <c r="A31">
        <v>20</v>
      </c>
      <c r="B31" s="7" t="n">
        <v>3328.6534421561</v>
      </c>
      <c r="C31" s="10">
        <f si="0" t="shared"/>
        <v>1.5681221928460404E-2</v>
      </c>
      <c r="E31" s="17">
        <v>20</v>
      </c>
      <c r="F31" s="17" t="n">
        <v>2912.0</v>
      </c>
      <c r="G31" s="10">
        <f si="1" t="shared"/>
        <v>1.5788183105027921E-2</v>
      </c>
    </row>
    <row r="32" spans="1:7" x14ac:dyDescent="0.45">
      <c r="A32">
        <v>21</v>
      </c>
      <c r="B32" s="7" t="n">
        <v>1528.1233682282077</v>
      </c>
      <c r="C32" s="10">
        <f si="0" t="shared"/>
        <v>7.1989596056389899E-3</v>
      </c>
      <c r="E32" s="17">
        <v>21</v>
      </c>
      <c r="F32" s="17" t="n">
        <v>2569.0</v>
      </c>
      <c r="G32" s="10">
        <f si="1" t="shared"/>
        <v>1.3954680725375895E-2</v>
      </c>
    </row>
    <row r="33" spans="1:7" x14ac:dyDescent="0.45">
      <c r="A33">
        <v>22</v>
      </c>
      <c r="B33" s="7" t="n">
        <v>4144.606564452339</v>
      </c>
      <c r="C33" s="10">
        <f si="0" t="shared"/>
        <v>1.9525161292018658E-2</v>
      </c>
      <c r="E33" s="17">
        <v>22</v>
      </c>
      <c r="F33" s="17" t="n">
        <v>2412.0</v>
      </c>
      <c r="G33" s="10">
        <f si="1" t="shared"/>
        <v>1.2923683946544211E-2</v>
      </c>
    </row>
    <row r="34" spans="1:7" x14ac:dyDescent="0.45">
      <c r="A34">
        <v>23</v>
      </c>
      <c r="B34" s="7" t="n">
        <v>1879.7271250412084</v>
      </c>
      <c r="C34" s="10">
        <f si="0" t="shared"/>
        <v>8.855358097484908E-3</v>
      </c>
      <c r="E34" s="17">
        <v>23</v>
      </c>
      <c r="F34" s="17" t="n">
        <v>2241.0</v>
      </c>
      <c r="G34" s="10">
        <f si="1" t="shared"/>
        <v>1.1184921811433476E-2</v>
      </c>
    </row>
    <row r="35" spans="1:7" x14ac:dyDescent="0.45">
      <c r="A35">
        <v>24</v>
      </c>
      <c r="B35" s="7" t="n">
        <v>2248.7034077970598</v>
      </c>
      <c r="C35" s="10">
        <f si="0" t="shared"/>
        <v>1.0593598222742598E-2</v>
      </c>
      <c r="E35" s="17">
        <v>24</v>
      </c>
      <c r="F35" s="17" t="n">
        <v>2125.0</v>
      </c>
      <c r="G35" s="10">
        <f si="1" t="shared"/>
        <v>1.0399135077296893E-2</v>
      </c>
    </row>
    <row r="36" spans="1:7" x14ac:dyDescent="0.45">
      <c r="A36">
        <v>25</v>
      </c>
      <c r="B36" s="7" t="n">
        <v>1836.3550250468147</v>
      </c>
      <c r="C36" s="10">
        <f si="0" t="shared"/>
        <v>8.6510329740275022E-3</v>
      </c>
      <c r="E36" s="17">
        <v>25</v>
      </c>
      <c r="F36" s="17" t="n">
        <v>1911.0</v>
      </c>
      <c r="G36" s="10">
        <f si="1" t="shared"/>
        <v>9.9142879434679382E-3</v>
      </c>
    </row>
    <row r="37" spans="1:7" x14ac:dyDescent="0.45">
      <c r="A37">
        <v>26</v>
      </c>
      <c r="B37" s="7" t="n">
        <v>2835.7722648895237</v>
      </c>
      <c r="C37" s="10">
        <f si="0" t="shared"/>
        <v>1.3359268243768119E-2</v>
      </c>
      <c r="E37" s="17">
        <v>26</v>
      </c>
      <c r="F37" s="17" t="n">
        <v>1767.0</v>
      </c>
      <c r="G37" s="10">
        <f si="1" t="shared"/>
        <v>8.5433408753998602E-3</v>
      </c>
    </row>
    <row r="38" spans="1:7" x14ac:dyDescent="0.45">
      <c r="A38">
        <v>27</v>
      </c>
      <c r="B38" s="7" t="n">
        <v>1885.9204564767392</v>
      </c>
      <c r="C38" s="10">
        <f si="0" t="shared"/>
        <v>8.8845347619844594E-3</v>
      </c>
      <c r="E38" s="17">
        <v>27</v>
      </c>
      <c r="F38" s="17" t="n">
        <v>1645.0</v>
      </c>
      <c r="G38" s="10">
        <f si="1" t="shared"/>
        <v>8.4430276752973168E-3</v>
      </c>
    </row>
    <row r="39" spans="1:7" x14ac:dyDescent="0.45">
      <c r="A39">
        <v>28</v>
      </c>
      <c r="B39" s="7" t="n">
        <v>366.1088659359639</v>
      </c>
      <c r="C39" s="10">
        <f si="0" t="shared"/>
        <v>1.7247317801279164E-3</v>
      </c>
      <c r="E39" s="17">
        <v>28</v>
      </c>
      <c r="F39" s="17" t="n">
        <v>1555.0</v>
      </c>
      <c r="G39" s="10">
        <f si="1" t="shared"/>
        <v>8.1309421638671858E-3</v>
      </c>
    </row>
    <row r="40" spans="1:7" x14ac:dyDescent="0.45">
      <c r="A40">
        <v>29</v>
      </c>
      <c r="B40" s="7" t="n">
        <v>772.2018345058191</v>
      </c>
      <c r="C40" s="10">
        <f si="0" t="shared"/>
        <v>3.6378278937342547E-3</v>
      </c>
      <c r="E40" s="17">
        <v>29</v>
      </c>
      <c r="F40" s="17" t="n">
        <v>1447.0</v>
      </c>
      <c r="G40" s="10">
        <f si="1" t="shared"/>
        <v>7.1723938073317804E-3</v>
      </c>
    </row>
    <row r="41" spans="1:7" x14ac:dyDescent="0.45">
      <c r="A41">
        <v>30</v>
      </c>
      <c r="B41" s="7" t="n">
        <v>524.4989354901293</v>
      </c>
      <c r="C41" s="10">
        <f si="0" t="shared"/>
        <v>2.470904331612977E-3</v>
      </c>
      <c r="E41" s="17">
        <v>30</v>
      </c>
      <c r="F41" s="17" t="n">
        <v>1308.0</v>
      </c>
      <c r="G41" s="10">
        <f si="1" t="shared"/>
        <v>7.1891126740155371E-3</v>
      </c>
    </row>
    <row r="42" spans="1:7" x14ac:dyDescent="0.45">
      <c r="A42">
        <v>31</v>
      </c>
      <c r="B42" s="7" t="n">
        <v>3226.0058444587567</v>
      </c>
      <c r="C42" s="10">
        <f si="0" t="shared"/>
        <v>1.5197651082805552E-2</v>
      </c>
      <c r="E42" s="17">
        <v>31</v>
      </c>
      <c r="F42" s="17" t="n">
        <v>1256.0</v>
      </c>
      <c r="G42" s="10">
        <f si="1" t="shared"/>
        <v>6.7544221402378538E-3</v>
      </c>
    </row>
    <row r="43" spans="1:7" x14ac:dyDescent="0.45">
      <c r="A43">
        <v>32</v>
      </c>
      <c r="B43" s="7" t="n">
        <v>378.9884050414742</v>
      </c>
      <c r="C43" s="10">
        <f si="0" t="shared"/>
        <v>1.7854070395261943E-3</v>
      </c>
      <c r="E43" s="17">
        <v>32</v>
      </c>
      <c r="F43" s="17" t="n">
        <v>1184.0</v>
      </c>
      <c r="G43" s="10">
        <f si="1" t="shared"/>
        <v>6.0355108728362998E-3</v>
      </c>
    </row>
    <row r="44" spans="1:7" x14ac:dyDescent="0.45">
      <c r="A44">
        <v>33</v>
      </c>
      <c r="B44" s="7" t="n">
        <v>849.3060832907545</v>
      </c>
      <c r="C44" s="10">
        <f si="0" t="shared"/>
        <v>4.0010645171421333E-3</v>
      </c>
      <c r="E44" s="17">
        <v>33</v>
      </c>
      <c r="F44" s="17" t="n">
        <v>1079.0</v>
      </c>
      <c r="G44" s="10">
        <f si="1" t="shared"/>
        <v>6.0522297395200573E-3</v>
      </c>
    </row>
    <row r="45" spans="1:7" x14ac:dyDescent="0.45">
      <c r="A45">
        <v>34</v>
      </c>
      <c r="B45" s="7" t="n">
        <v>444.0968783910029</v>
      </c>
      <c r="C45" s="10">
        <f si="0" t="shared"/>
        <v>2.0921317970773682E-3</v>
      </c>
      <c r="E45" s="17">
        <v>34</v>
      </c>
      <c r="F45" s="17" t="n">
        <v>1111.0</v>
      </c>
      <c r="G45" s="10">
        <f si="1" t="shared"/>
        <v>5.8348844726312157E-3</v>
      </c>
    </row>
    <row r="46" spans="1:7" x14ac:dyDescent="0.45">
      <c r="A46">
        <v>35</v>
      </c>
      <c r="B46" s="7" t="n">
        <v>49.6927684640005</v>
      </c>
      <c r="C46" s="10">
        <f si="0" t="shared"/>
        <v>2.3410167025944391E-4</v>
      </c>
      <c r="E46" s="17">
        <v>35</v>
      </c>
      <c r="F46" s="17" t="n">
        <v>1007.0</v>
      </c>
      <c r="G46" s="10">
        <f si="1" t="shared"/>
        <v>5.5506637390073449E-3</v>
      </c>
    </row>
    <row r="47" spans="1:7" x14ac:dyDescent="0.45">
      <c r="A47">
        <v>36</v>
      </c>
      <c r="B47" s="7" t="n">
        <v>327.896125782144</v>
      </c>
      <c r="C47" s="10">
        <f si="0" t="shared"/>
        <v>1.5447123010022975E-3</v>
      </c>
      <c r="E47" s="17">
        <v>36</v>
      </c>
      <c r="F47" s="17" t="n">
        <v>933.0</v>
      </c>
      <c r="G47" s="10">
        <f si="1" t="shared"/>
        <v>5.1605568497196802E-3</v>
      </c>
    </row>
    <row r="48" spans="1:7" x14ac:dyDescent="0.45">
      <c r="A48">
        <v>37</v>
      </c>
      <c r="B48" s="7" t="n">
        <v>94.3601008487602</v>
      </c>
      <c r="C48" s="10">
        <f si="0" t="shared"/>
        <v>4.4452860843418576E-4</v>
      </c>
      <c r="E48" s="17">
        <v>37</v>
      </c>
      <c r="F48" s="17" t="n">
        <v>987.0</v>
      </c>
      <c r="G48" s="10">
        <f si="1" t="shared"/>
        <v>4.5586776491044262E-3</v>
      </c>
    </row>
    <row r="49" spans="1:7" x14ac:dyDescent="0.45">
      <c r="A49">
        <v>38</v>
      </c>
      <c r="B49" s="7" t="n">
        <v>145.8555799184429</v>
      </c>
      <c r="C49" s="10">
        <f si="0" t="shared"/>
        <v>6.8712281345933404E-4</v>
      </c>
      <c r="E49" s="17">
        <v>38</v>
      </c>
      <c r="F49" s="17" t="n">
        <v>865.0</v>
      </c>
      <c r="G49" s="10">
        <f si="1" t="shared"/>
        <v>4.4918021823693978E-3</v>
      </c>
    </row>
    <row r="50" spans="1:7" x14ac:dyDescent="0.45">
      <c r="A50">
        <v>39</v>
      </c>
      <c r="B50" s="7" t="n">
        <v>48.0000860889849</v>
      </c>
      <c r="C50" s="10">
        <f si="0" t="shared"/>
        <v>2.2612747635843513E-4</v>
      </c>
      <c r="E50" s="17">
        <v>39</v>
      </c>
      <c r="F50" s="17" t="n">
        <v>836.0</v>
      </c>
      <c r="G50" s="10">
        <f si="1" t="shared"/>
        <v>4.6144072047169492E-3</v>
      </c>
    </row>
    <row r="51" spans="1:7" x14ac:dyDescent="0.45">
      <c r="A51">
        <v>40</v>
      </c>
      <c r="B51" s="7" t="n">
        <v>341.8438697954875</v>
      </c>
      <c r="C51" s="10">
        <f si="0" t="shared"/>
        <v>1.6104198530425971E-3</v>
      </c>
      <c r="E51" s="17">
        <v>40</v>
      </c>
      <c r="F51" s="17" t="n">
        <v>784.0</v>
      </c>
      <c r="G51" s="10">
        <f si="1" t="shared"/>
        <v>4.1295600708879951E-3</v>
      </c>
    </row>
    <row r="52" spans="1:7" x14ac:dyDescent="0.45">
      <c r="A52">
        <v>41</v>
      </c>
      <c r="B52" s="7" t="n">
        <v>1216.2344627818184</v>
      </c>
      <c r="C52" s="10">
        <f si="0" t="shared"/>
        <v>5.7296570097636222E-3</v>
      </c>
      <c r="E52" s="17">
        <v>41</v>
      </c>
      <c r="F52" s="17" t="n">
        <v>709.0</v>
      </c>
      <c r="G52" s="10">
        <f si="1" t="shared"/>
        <v>3.9345066262441624E-3</v>
      </c>
    </row>
    <row r="53" spans="1:7" x14ac:dyDescent="0.45">
      <c r="A53">
        <v>42</v>
      </c>
      <c r="B53" s="7" t="n">
        <v>399.5653394805639</v>
      </c>
      <c r="C53" s="10">
        <f si="0" t="shared"/>
        <v>1.8823445793314012E-3</v>
      </c>
      <c r="E53" s="17">
        <v>42</v>
      </c>
      <c r="F53" s="17" t="n">
        <v>697.0</v>
      </c>
      <c r="G53" s="10">
        <f si="1" t="shared"/>
        <v>3.9122148039991526E-3</v>
      </c>
    </row>
    <row r="54" spans="1:7" x14ac:dyDescent="0.45">
      <c r="A54">
        <v>43</v>
      </c>
      <c r="B54" s="7" t="n">
        <v>0.0</v>
      </c>
      <c r="C54" s="10">
        <f si="0" t="shared"/>
        <v>0</v>
      </c>
      <c r="E54" s="17">
        <v>43</v>
      </c>
      <c r="F54" s="17" t="n">
        <v>643.0</v>
      </c>
      <c r="G54" s="10">
        <f si="1" t="shared"/>
        <v>3.7450261371615823E-3</v>
      </c>
    </row>
    <row r="55" spans="1:7" x14ac:dyDescent="0.45">
      <c r="A55">
        <v>44</v>
      </c>
      <c r="B55" s="7" t="n">
        <v>236.440855720579</v>
      </c>
      <c r="C55" s="10">
        <f si="0" t="shared"/>
        <v>1.1138682941735968E-3</v>
      </c>
      <c r="E55" s="17">
        <v>44</v>
      </c>
      <c r="F55" s="17" t="n">
        <v>640.0</v>
      </c>
      <c r="G55" s="10">
        <f si="1" t="shared"/>
        <v>3.3270544700676557E-3</v>
      </c>
    </row>
    <row r="56" spans="1:7" x14ac:dyDescent="0.45">
      <c r="A56">
        <v>45</v>
      </c>
      <c r="B56" s="7" t="n">
        <v>34.9577484619624</v>
      </c>
      <c r="C56" s="10">
        <f si="0" t="shared"/>
        <v>1.6468527627683881E-4</v>
      </c>
      <c r="E56" s="17">
        <v>45</v>
      </c>
      <c r="F56" s="17" t="n">
        <v>644.0</v>
      </c>
      <c r="G56" s="10">
        <f si="1" t="shared"/>
        <v>3.0484066920050379E-3</v>
      </c>
    </row>
    <row r="57" spans="1:7" x14ac:dyDescent="0.45">
      <c r="A57">
        <v>46</v>
      </c>
      <c r="B57" s="7" t="n">
        <v>82.4468197297628</v>
      </c>
      <c r="C57" s="10">
        <f si="0" t="shared"/>
        <v>3.8840537170512331E-4</v>
      </c>
      <c r="E57" s="17">
        <v>46</v>
      </c>
      <c r="F57" s="17" t="n">
        <v>558.0</v>
      </c>
      <c r="G57" s="10">
        <f si="1" t="shared"/>
        <v>3.0261148697600286E-3</v>
      </c>
    </row>
    <row r="58" spans="1:7" x14ac:dyDescent="0.45">
      <c r="A58">
        <v>47</v>
      </c>
      <c r="B58" s="7" t="n">
        <v>106.681227151876</v>
      </c>
      <c r="C58" s="10">
        <f si="0" t="shared"/>
        <v>5.0257319593038354E-4</v>
      </c>
      <c r="E58" s="17">
        <v>47</v>
      </c>
      <c r="F58" s="17" t="n">
        <v>523.0</v>
      </c>
      <c r="G58" s="10">
        <f si="1" t="shared"/>
        <v>2.9202287140962339E-3</v>
      </c>
    </row>
    <row r="59" spans="1:7" x14ac:dyDescent="0.45">
      <c r="A59">
        <v>48</v>
      </c>
      <c r="B59" s="7" t="n">
        <v>167.42433644846</v>
      </c>
      <c r="C59" s="10">
        <f si="0" t="shared"/>
        <v>7.8873280793477149E-4</v>
      </c>
      <c r="E59" s="17">
        <v>48</v>
      </c>
      <c r="F59" s="17" t="n">
        <v>513.0</v>
      </c>
      <c r="G59" s="10">
        <f si="1" t="shared"/>
        <v>2.7084564027686445E-3</v>
      </c>
    </row>
    <row r="60" spans="1:7" x14ac:dyDescent="0.45">
      <c r="A60">
        <v>49</v>
      </c>
      <c r="B60" s="7" t="n">
        <v>54.6598079620228</v>
      </c>
      <c r="C60" s="10">
        <f si="0" t="shared"/>
        <v>2.5750129718049233E-4</v>
      </c>
      <c r="E60" s="17">
        <v>49</v>
      </c>
      <c r="F60" s="17" t="n">
        <v>505.0</v>
      </c>
      <c r="G60" s="10">
        <f si="1" t="shared"/>
        <v>2.7530400472586631E-3</v>
      </c>
    </row>
    <row r="61" spans="1:7" x14ac:dyDescent="0.45">
      <c r="A61">
        <v>50</v>
      </c>
      <c r="B61" s="7" t="n">
        <v>158.3058596072953</v>
      </c>
      <c r="C61" s="10">
        <f si="0" t="shared"/>
        <v>7.4577584005552889E-4</v>
      </c>
      <c r="E61" s="17">
        <v>50</v>
      </c>
      <c r="F61" s="17" t="n">
        <v>468.0</v>
      </c>
      <c r="G61" s="10">
        <f si="1" t="shared"/>
        <v>2.3629331579709985E-3</v>
      </c>
    </row>
    <row r="62" spans="1:7" x14ac:dyDescent="0.45">
      <c r="A62">
        <v>51</v>
      </c>
      <c r="B62" s="7" t="n">
        <v>162.68379096318068</v>
      </c>
      <c r="C62" s="10">
        <f si="0" t="shared"/>
        <v>7.6640018992318469E-4</v>
      </c>
      <c r="E62" s="17">
        <v>51</v>
      </c>
      <c r="F62" s="17" t="n">
        <v>447.0</v>
      </c>
      <c r="G62" s="10">
        <f si="1" t="shared"/>
        <v>2.2459010911846989E-3</v>
      </c>
    </row>
    <row r="63" spans="1:7" x14ac:dyDescent="0.45">
      <c r="A63">
        <v>52</v>
      </c>
      <c r="B63" s="7" t="n">
        <v>0.0</v>
      </c>
      <c r="C63" s="10">
        <f si="0" t="shared"/>
        <v>0</v>
      </c>
      <c r="E63" s="17">
        <v>52</v>
      </c>
      <c r="F63" s="17" t="n">
        <v>403.0</v>
      </c>
      <c r="G63" s="10">
        <f si="1" t="shared"/>
        <v>2.2236092689396896E-3</v>
      </c>
    </row>
    <row r="64" spans="1:7" x14ac:dyDescent="0.45">
      <c r="A64">
        <v>53</v>
      </c>
      <c r="B64" s="7" t="n">
        <v>70.4186736778582</v>
      </c>
      <c r="C64" s="10">
        <f si="0" t="shared"/>
        <v>3.3174100850074094E-4</v>
      </c>
      <c r="E64" s="17">
        <v>53</v>
      </c>
      <c r="F64" s="17" t="n">
        <v>392.0</v>
      </c>
      <c r="G64" s="10">
        <f si="1" t="shared"/>
        <v>2.1957444911334277E-3</v>
      </c>
    </row>
    <row r="65" spans="1:7" x14ac:dyDescent="0.45">
      <c r="A65">
        <v>54</v>
      </c>
      <c r="B65" s="7" t="n">
        <v>335.3518242407474</v>
      </c>
      <c r="C65" s="10">
        <f si="0" t="shared"/>
        <v>1.579835952110089E-3</v>
      </c>
      <c r="E65" s="17">
        <v>54</v>
      </c>
      <c r="F65" s="17" t="n">
        <v>355.0</v>
      </c>
      <c r="G65" s="10">
        <f si="1" t="shared"/>
        <v>1.8502212463357816E-3</v>
      </c>
    </row>
    <row r="66" spans="1:7" x14ac:dyDescent="0.45">
      <c r="A66">
        <v>55</v>
      </c>
      <c r="B66" s="7" t="n">
        <v>123.6144106882526</v>
      </c>
      <c r="C66" s="10">
        <f si="0" t="shared"/>
        <v>5.8234509577024119E-4</v>
      </c>
      <c r="E66" s="17">
        <v>55</v>
      </c>
      <c r="F66" s="17" t="n">
        <v>372.0</v>
      </c>
      <c r="G66" s="10">
        <f si="1" t="shared"/>
        <v>1.8780860241420436E-3</v>
      </c>
    </row>
    <row r="67" spans="1:7" x14ac:dyDescent="0.45">
      <c r="A67">
        <v>56</v>
      </c>
      <c r="B67" s="7" t="n">
        <v>0.0</v>
      </c>
      <c r="C67" s="10">
        <f si="0" t="shared"/>
        <v>0</v>
      </c>
      <c r="E67" s="17">
        <v>56</v>
      </c>
      <c r="F67" s="17" t="n">
        <v>317.0</v>
      </c>
      <c r="G67" s="10">
        <f si="1" t="shared"/>
        <v>1.7833457796007535E-3</v>
      </c>
    </row>
    <row r="68" spans="1:7" x14ac:dyDescent="0.45">
      <c r="A68">
        <v>57</v>
      </c>
      <c r="B68" s="7" t="n">
        <v>0.0</v>
      </c>
      <c r="C68" s="10">
        <f si="0" t="shared"/>
        <v>0</v>
      </c>
      <c r="E68" s="17">
        <v>57</v>
      </c>
      <c r="F68" s="17" t="n">
        <v>342.0</v>
      </c>
      <c r="G68" s="10">
        <f si="1" t="shared"/>
        <v>1.6941784906207159E-3</v>
      </c>
    </row>
    <row r="69" spans="1:7" x14ac:dyDescent="0.45">
      <c r="A69">
        <v>58</v>
      </c>
      <c r="B69" s="7" t="n">
        <v>0.0</v>
      </c>
      <c r="C69" s="10">
        <f si="0" t="shared"/>
        <v>0</v>
      </c>
      <c r="E69" s="17">
        <v>58</v>
      </c>
      <c r="F69" s="17" t="n">
        <v>314.0</v>
      </c>
      <c r="G69" s="10">
        <f si="1" t="shared"/>
        <v>1.7220432684269776E-3</v>
      </c>
    </row>
    <row r="70" spans="1:7" x14ac:dyDescent="0.45">
      <c r="A70">
        <v>59</v>
      </c>
      <c r="B70" s="7" t="n">
        <v>0.0</v>
      </c>
      <c r="C70" s="10">
        <f si="0" t="shared"/>
        <v>0</v>
      </c>
      <c r="E70" s="17">
        <v>59</v>
      </c>
      <c r="F70" s="17" t="n">
        <v>280.0</v>
      </c>
      <c r="G70" s="10">
        <f si="1" t="shared"/>
        <v>1.2539150012817798E-3</v>
      </c>
    </row>
    <row r="71" spans="1:7" x14ac:dyDescent="0.45">
      <c r="A71">
        <v>60</v>
      </c>
      <c r="B71" s="7" t="n">
        <v>0.0</v>
      </c>
      <c r="C71" s="10">
        <f si="0" t="shared"/>
        <v>0</v>
      </c>
      <c r="E71" s="17">
        <v>60</v>
      </c>
      <c r="F71" s="17" t="n">
        <v>274.0</v>
      </c>
      <c r="G71" s="10">
        <f si="1" t="shared"/>
        <v>1.2817797790880415E-3</v>
      </c>
    </row>
    <row r="72" spans="1:7" x14ac:dyDescent="0.45">
      <c r="A72">
        <v>61</v>
      </c>
      <c r="B72" s="7" t="n">
        <v>122.658624470071</v>
      </c>
      <c r="C72" s="10">
        <f si="0" t="shared"/>
        <v>5.7784240539891752E-4</v>
      </c>
      <c r="E72" s="17">
        <v>61</v>
      </c>
      <c r="F72" s="17" t="n">
        <v>256.0</v>
      </c>
      <c r="G72" s="10">
        <f si="1" t="shared"/>
        <v>1.4211036681193504E-3</v>
      </c>
    </row>
    <row r="73" spans="1:7" x14ac:dyDescent="0.45">
      <c r="A73">
        <v>62</v>
      </c>
      <c r="B73" s="7" t="n">
        <v>0.0</v>
      </c>
      <c r="C73" s="10">
        <f si="0" t="shared"/>
        <v>0</v>
      </c>
      <c r="E73" s="17">
        <v>62</v>
      </c>
      <c r="F73" s="17" t="n">
        <v>238.0</v>
      </c>
      <c r="G73" s="10">
        <f si="1" t="shared"/>
        <v>1.1424558900567326E-3</v>
      </c>
    </row>
    <row r="74" spans="1:7" x14ac:dyDescent="0.45">
      <c r="A74">
        <v>63</v>
      </c>
      <c r="B74" s="7" t="n">
        <v>120.74720401575</v>
      </c>
      <c r="C74" s="10">
        <f si="0" t="shared"/>
        <v>5.6883774064072886E-4</v>
      </c>
      <c r="E74" s="17">
        <v>63</v>
      </c>
      <c r="F74" s="17" t="n">
        <v>241.0</v>
      </c>
      <c r="G74" s="10">
        <f si="1" t="shared"/>
        <v>1.1145911122504709E-3</v>
      </c>
    </row>
    <row r="75" spans="1:7" x14ac:dyDescent="0.45">
      <c r="A75">
        <v>64</v>
      </c>
      <c r="B75" s="7" t="n">
        <v>0.0</v>
      </c>
      <c r="C75" s="10">
        <f si="0" t="shared"/>
        <v>0</v>
      </c>
      <c r="E75" s="17">
        <v>64</v>
      </c>
      <c r="F75" s="17" t="n">
        <v>210.0</v>
      </c>
      <c r="G75" s="10">
        <f si="1" t="shared"/>
        <v>1.053288601076695E-3</v>
      </c>
    </row>
    <row r="76" spans="1:7" x14ac:dyDescent="0.45">
      <c r="A76">
        <v>65</v>
      </c>
      <c r="B76" s="7" t="n">
        <v>886.307258578798</v>
      </c>
      <c r="C76" s="10">
        <f si="0" t="shared"/>
        <v>4.1753763376390857E-3</v>
      </c>
      <c r="E76" s="17">
        <v>65</v>
      </c>
      <c r="F76" s="17" t="n">
        <v>194.0</v>
      </c>
      <c r="G76" s="10">
        <f si="1" t="shared"/>
        <v>9.1396471204538616E-4</v>
      </c>
    </row>
    <row r="77" spans="1:7" x14ac:dyDescent="0.45">
      <c r="A77">
        <v>66</v>
      </c>
      <c r="B77" s="7" t="n">
        <v>61.533373950259</v>
      </c>
      <c r="C77" s="10">
        <f ref="C77:C102" si="2" t="shared">B77/B$102</f>
        <v>2.8988253348956024E-4</v>
      </c>
      <c r="E77" s="17">
        <v>66</v>
      </c>
      <c r="F77" s="17" t="n">
        <v>186.0</v>
      </c>
      <c r="G77" s="10">
        <f ref="G77:G102" si="3" t="shared">F77/F$102</f>
        <v>1.0142779121479284E-3</v>
      </c>
    </row>
    <row r="78" spans="1:7" x14ac:dyDescent="0.45">
      <c r="A78">
        <v>67</v>
      </c>
      <c r="B78" s="7" t="n">
        <v>0.0</v>
      </c>
      <c r="C78" s="10">
        <f si="2" t="shared"/>
        <v>0</v>
      </c>
      <c r="E78" s="17">
        <v>67</v>
      </c>
      <c r="F78" s="17" t="n">
        <v>182.0</v>
      </c>
      <c r="G78" s="10">
        <f si="3" t="shared"/>
        <v>9.1396471204538616E-4</v>
      </c>
    </row>
    <row r="79" spans="1:7" x14ac:dyDescent="0.45">
      <c r="A79">
        <v>68</v>
      </c>
      <c r="B79" s="7" t="n">
        <v>0.0</v>
      </c>
      <c r="C79" s="10">
        <f si="2" t="shared"/>
        <v>0</v>
      </c>
      <c r="E79" s="17">
        <v>68</v>
      </c>
      <c r="F79" s="17" t="n">
        <v>203.0</v>
      </c>
      <c r="G79" s="10">
        <f si="3" t="shared"/>
        <v>7.969326452590867E-4</v>
      </c>
    </row>
    <row r="80" spans="1:7" x14ac:dyDescent="0.45">
      <c r="A80">
        <v>69</v>
      </c>
      <c r="B80" s="7" t="n">
        <v>46.3861174020209</v>
      </c>
      <c r="C80" s="10">
        <f si="2" t="shared"/>
        <v>2.1852410111806325E-4</v>
      </c>
      <c r="E80" s="17">
        <v>69</v>
      </c>
      <c r="F80" s="17" t="n">
        <v>172.0</v>
      </c>
      <c r="G80" s="10">
        <f si="3" t="shared"/>
        <v>7.746408230140773E-4</v>
      </c>
    </row>
    <row r="81" spans="1:7" x14ac:dyDescent="0.45">
      <c r="A81">
        <v>70</v>
      </c>
      <c r="B81" s="7" t="n">
        <v>180.440866596186</v>
      </c>
      <c r="C81" s="10">
        <f si="2" t="shared"/>
        <v>8.5005342948099463E-4</v>
      </c>
      <c r="E81" s="17">
        <v>70</v>
      </c>
      <c r="F81" s="17" t="n">
        <v>154.0</v>
      </c>
      <c r="G81" s="10">
        <f si="3" t="shared"/>
        <v>6.6318171178903016E-4</v>
      </c>
    </row>
    <row r="82" spans="1:7" x14ac:dyDescent="0.45">
      <c r="A82">
        <v>71</v>
      </c>
      <c r="B82" s="7" t="n">
        <v>0.0</v>
      </c>
      <c r="C82" s="10">
        <f si="2" t="shared"/>
        <v>0</v>
      </c>
      <c r="E82" s="17">
        <v>71</v>
      </c>
      <c r="F82" s="17" t="n">
        <v>145.0</v>
      </c>
      <c r="G82" s="10">
        <f si="3" t="shared"/>
        <v>7.0776535627904908E-4</v>
      </c>
    </row>
    <row r="83" spans="1:7" x14ac:dyDescent="0.45">
      <c r="A83">
        <v>72</v>
      </c>
      <c r="B83" s="7" t="n">
        <v>0.0</v>
      </c>
      <c r="C83" s="10">
        <f si="2" t="shared"/>
        <v>0</v>
      </c>
      <c r="E83" s="17">
        <v>72</v>
      </c>
      <c r="F83" s="17" t="n">
        <v>124.0</v>
      </c>
      <c r="G83" s="10">
        <f si="3" t="shared"/>
        <v>6.9661944515654432E-4</v>
      </c>
    </row>
    <row r="84" spans="1:7" x14ac:dyDescent="0.45">
      <c r="A84">
        <v>73</v>
      </c>
      <c r="B84" s="7" t="n">
        <v>0.0</v>
      </c>
      <c r="C84" s="10">
        <f si="2" t="shared"/>
        <v>0</v>
      </c>
      <c r="E84" s="17">
        <v>73</v>
      </c>
      <c r="F84" s="17" t="n">
        <v>123.0</v>
      </c>
      <c r="G84" s="10">
        <f si="3" t="shared"/>
        <v>6.2974397842151611E-4</v>
      </c>
    </row>
    <row r="85" spans="1:7" x14ac:dyDescent="0.45">
      <c r="A85">
        <v>74</v>
      </c>
      <c r="B85" s="7" t="n">
        <v>0.0</v>
      </c>
      <c r="C85" s="10">
        <f si="2" t="shared"/>
        <v>0</v>
      </c>
      <c r="E85" s="17">
        <v>74</v>
      </c>
      <c r="F85" s="17" t="n">
        <v>110.0</v>
      </c>
      <c r="G85" s="10">
        <f si="3" t="shared"/>
        <v>5.1271191163521665E-4</v>
      </c>
    </row>
    <row r="86" spans="1:7" x14ac:dyDescent="0.45">
      <c r="A86">
        <v>75</v>
      </c>
      <c r="B86" s="7" t="n">
        <v>0.0</v>
      </c>
      <c r="C86" s="10">
        <f si="2" t="shared"/>
        <v>0</v>
      </c>
      <c r="E86" s="17">
        <v>75</v>
      </c>
      <c r="F86" s="17" t="n">
        <v>119.0</v>
      </c>
      <c r="G86" s="10">
        <f si="3" t="shared"/>
        <v>5.1828486719646897E-4</v>
      </c>
    </row>
    <row r="87" spans="1:7" x14ac:dyDescent="0.45">
      <c r="A87">
        <v>76</v>
      </c>
      <c r="B87" s="7" t="n">
        <v>92.1874805010168</v>
      </c>
      <c r="C87" s="10">
        <f si="2" t="shared"/>
        <v>4.3429343603450661E-4</v>
      </c>
      <c r="E87" s="17">
        <v>76</v>
      </c>
      <c r="F87" s="17" t="n">
        <v>123.0</v>
      </c>
      <c r="G87" s="10">
        <f si="3" t="shared"/>
        <v>4.9042008939020724E-4</v>
      </c>
    </row>
    <row r="88" spans="1:7" x14ac:dyDescent="0.45">
      <c r="A88">
        <v>77</v>
      </c>
      <c r="B88" s="7" t="n">
        <v>0.0</v>
      </c>
      <c r="C88" s="10">
        <f si="2" t="shared"/>
        <v>0</v>
      </c>
      <c r="E88" s="17">
        <v>77</v>
      </c>
      <c r="F88" s="17" t="n">
        <v>83.0</v>
      </c>
      <c r="G88" s="10">
        <f si="3" t="shared"/>
        <v>4.2354462265517897E-4</v>
      </c>
    </row>
    <row r="89" spans="1:7" x14ac:dyDescent="0.45">
      <c r="A89">
        <v>78</v>
      </c>
      <c r="B89" s="7" t="n">
        <v>0.0</v>
      </c>
      <c r="C89" s="10">
        <f si="2" t="shared"/>
        <v>0</v>
      </c>
      <c r="E89" s="17">
        <v>78</v>
      </c>
      <c r="F89" s="17" t="n">
        <v>73.0</v>
      </c>
      <c r="G89" s="10">
        <f si="3" t="shared"/>
        <v>5.238578227577213E-4</v>
      </c>
    </row>
    <row r="90" spans="1:7" x14ac:dyDescent="0.45">
      <c r="A90">
        <v>79</v>
      </c>
      <c r="B90" s="7" t="n">
        <v>78.3441108859256</v>
      </c>
      <c r="C90" s="10">
        <f si="2" t="shared"/>
        <v>3.690775897638481E-4</v>
      </c>
      <c r="E90" s="17">
        <v>79</v>
      </c>
      <c r="F90" s="17" t="n">
        <v>76.0</v>
      </c>
      <c r="G90" s="10">
        <f si="3" t="shared"/>
        <v>4.514094004614407E-4</v>
      </c>
    </row>
    <row r="91" spans="1:7" x14ac:dyDescent="0.45">
      <c r="A91">
        <v>80</v>
      </c>
      <c r="B91" s="7" t="n">
        <v>0.0</v>
      </c>
      <c r="C91" s="10">
        <f si="2" t="shared"/>
        <v>0</v>
      </c>
      <c r="E91" s="17">
        <v>80</v>
      </c>
      <c r="F91" s="17" t="n">
        <v>95.0</v>
      </c>
      <c r="G91" s="10">
        <f si="3" t="shared"/>
        <v>4.9599304495145957E-4</v>
      </c>
    </row>
    <row r="92" spans="1:7" x14ac:dyDescent="0.45">
      <c r="A92">
        <v>81</v>
      </c>
      <c r="B92" s="7" t="n">
        <v>0.0</v>
      </c>
      <c r="C92" s="10">
        <f si="2" t="shared"/>
        <v>0</v>
      </c>
      <c r="E92" s="17">
        <v>81</v>
      </c>
      <c r="F92" s="17" t="n">
        <v>74.0</v>
      </c>
      <c r="G92" s="10">
        <f si="3" t="shared"/>
        <v>3.566691559201507E-4</v>
      </c>
    </row>
    <row r="93" spans="1:7" x14ac:dyDescent="0.45">
      <c r="A93">
        <v>82</v>
      </c>
      <c r="B93" s="7" t="n">
        <v>0.0</v>
      </c>
      <c r="C93" s="10">
        <f si="2" t="shared"/>
        <v>0</v>
      </c>
      <c r="E93" s="17">
        <v>82</v>
      </c>
      <c r="F93" s="17" t="n">
        <v>71.0</v>
      </c>
      <c r="G93" s="10">
        <f si="3" t="shared"/>
        <v>4.291175782164313E-4</v>
      </c>
    </row>
    <row r="94" spans="1:7" x14ac:dyDescent="0.45">
      <c r="A94">
        <v>83</v>
      </c>
      <c r="B94" s="7" t="n">
        <v>0.0</v>
      </c>
      <c r="C94" s="10">
        <f si="2" t="shared"/>
        <v>0</v>
      </c>
      <c r="E94" s="17">
        <v>83</v>
      </c>
      <c r="F94" s="17" t="n">
        <v>69.0</v>
      </c>
      <c r="G94" s="10">
        <f si="3" t="shared"/>
        <v>3.5109620035889832E-4</v>
      </c>
    </row>
    <row r="95" spans="1:7" x14ac:dyDescent="0.45">
      <c r="A95">
        <v>84</v>
      </c>
      <c r="B95" s="7" t="n">
        <v>26.8818455625007</v>
      </c>
      <c r="C95" s="10">
        <f si="2" t="shared"/>
        <v>1.2663985405435413E-4</v>
      </c>
      <c r="E95" s="17">
        <v>84</v>
      </c>
      <c r="F95" s="17" t="n">
        <v>54.0</v>
      </c>
      <c r="G95" s="10">
        <f si="3" t="shared"/>
        <v>3.566691559201507E-4</v>
      </c>
    </row>
    <row r="96" spans="1:7" x14ac:dyDescent="0.45">
      <c r="A96">
        <v>85</v>
      </c>
      <c r="B96" s="7" t="n">
        <v>0.0</v>
      </c>
      <c r="C96" s="10">
        <f si="2" t="shared"/>
        <v>0</v>
      </c>
      <c r="E96" s="17">
        <v>85</v>
      </c>
      <c r="F96" s="17" t="n">
        <v>56.0</v>
      </c>
      <c r="G96" s="10">
        <f si="3" t="shared"/>
        <v>3.343773336751413E-4</v>
      </c>
    </row>
    <row r="97" spans="1:7" x14ac:dyDescent="0.45">
      <c r="A97">
        <v>86</v>
      </c>
      <c r="B97" s="7" t="n">
        <v>0.0</v>
      </c>
      <c r="C97" s="10">
        <f si="2" t="shared"/>
        <v>0</v>
      </c>
      <c r="E97" s="17">
        <v>86</v>
      </c>
      <c r="F97" s="17" t="n">
        <v>73.0</v>
      </c>
      <c r="G97" s="10">
        <f si="3" t="shared"/>
        <v>3.9567984484891719E-4</v>
      </c>
    </row>
    <row r="98" spans="1:7" x14ac:dyDescent="0.45">
      <c r="A98">
        <v>87</v>
      </c>
      <c r="B98" s="7" t="n">
        <v>0.0</v>
      </c>
      <c r="C98" s="10">
        <f si="2" t="shared"/>
        <v>0</v>
      </c>
      <c r="E98" s="17">
        <v>87</v>
      </c>
      <c r="F98" s="17" t="n">
        <v>60.0</v>
      </c>
      <c r="G98" s="10">
        <f si="3" t="shared"/>
        <v>2.5635595581760832E-4</v>
      </c>
    </row>
    <row r="99" spans="1:7" x14ac:dyDescent="0.45">
      <c r="A99">
        <v>88</v>
      </c>
      <c r="B99" s="7" t="n">
        <v>0.0</v>
      </c>
      <c r="C99" s="10">
        <f si="2" t="shared"/>
        <v>0</v>
      </c>
      <c r="E99" s="17">
        <v>88</v>
      </c>
      <c r="F99" s="17" t="n">
        <v>43.0</v>
      </c>
      <c r="G99" s="10">
        <f si="3" t="shared"/>
        <v>3.1765846699138422E-4</v>
      </c>
    </row>
    <row r="100" spans="1:7" x14ac:dyDescent="0.45">
      <c r="A100">
        <v>89</v>
      </c>
      <c r="B100" s="7" t="n">
        <v>0.0</v>
      </c>
      <c r="C100" s="10">
        <f si="2" t="shared"/>
        <v>0</v>
      </c>
      <c r="E100" s="17">
        <v>89</v>
      </c>
      <c r="F100" s="17" t="n">
        <v>47.0</v>
      </c>
      <c r="G100" s="10">
        <f si="3" t="shared"/>
        <v>2.2849117801134654E-4</v>
      </c>
    </row>
    <row ht="14.65" r="101" spans="1:7" thickBot="1" x14ac:dyDescent="0.5">
      <c r="A101" s="1">
        <v>90</v>
      </c>
      <c r="B101" s="8" t="n">
        <v>0.0</v>
      </c>
      <c r="C101" s="10">
        <f si="2" t="shared"/>
        <v>0</v>
      </c>
      <c r="E101" s="18">
        <v>90</v>
      </c>
      <c r="F101" s="18" t="n">
        <v>2069.0</v>
      </c>
      <c r="G101" s="10">
        <f si="3" t="shared"/>
        <v>1.0984295411228391E-2</v>
      </c>
    </row>
    <row r="102" spans="1:7" x14ac:dyDescent="0.45">
      <c r="B102" s="7">
        <f>SUM(B11:B101)</f>
        <v>212270.02955138395</v>
      </c>
      <c r="C102" s="10">
        <f si="2" t="shared"/>
        <v>1</v>
      </c>
      <c r="F102" s="7">
        <f>SUM(F11:F101)</f>
        <v>179438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workbookViewId="0">
      <selection activeCell="K11" sqref="K11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ht="14.65" r="5" spans="1:21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19" t="s">
        <v>248</v>
      </c>
      <c r="B7" s="11" t="n">
        <v>69054.2861059696</v>
      </c>
      <c r="C7" s="11" t="n">
        <v>0.0</v>
      </c>
      <c r="D7" s="11" t="n">
        <v>0.0</v>
      </c>
      <c r="E7" s="11" t="n">
        <v>116.8047910798791</v>
      </c>
      <c r="F7" s="11" t="n">
        <v>443.5028731646758</v>
      </c>
      <c r="G7" s="11" t="n">
        <v>3028.607516347716</v>
      </c>
      <c r="H7" s="11" t="n">
        <v>0.0</v>
      </c>
      <c r="I7" s="11"/>
      <c r="J7" s="11">
        <f>SUM(B7:I7)</f>
        <v>72643.201286561874</v>
      </c>
      <c r="K7" s="11"/>
      <c r="L7" t="str">
        <f>$A$7</f>
        <v>Bellevue</v>
      </c>
      <c r="M7" s="54" t="n">
        <v>57032.0</v>
      </c>
      <c r="N7" s="54" t="n">
        <v>6.0</v>
      </c>
      <c r="O7" s="54" t="n">
        <v>24.0</v>
      </c>
      <c r="P7" s="54" t="n">
        <v>1913.0</v>
      </c>
      <c r="Q7" s="54" t="n">
        <v>253.0</v>
      </c>
      <c r="R7" s="54" t="n">
        <v>1985.0</v>
      </c>
      <c r="S7" s="54" t="n">
        <v>932.0</v>
      </c>
      <c r="T7" s="54"/>
      <c r="U7" s="52">
        <f>SUM(M7:T7)</f>
        <v>62632</v>
      </c>
    </row>
    <row r="8" spans="1:21" x14ac:dyDescent="0.45">
      <c r="A8" t="s">
        <v>249</v>
      </c>
      <c r="B8" s="11" t="n">
        <v>105.2259564484263</v>
      </c>
      <c r="C8" s="11" t="n">
        <v>11511.597885823312</v>
      </c>
      <c r="D8" s="11" t="n">
        <v>0.0</v>
      </c>
      <c r="E8" s="11" t="n">
        <v>886.307258578798</v>
      </c>
      <c r="F8" s="11" t="n">
        <v>0.0</v>
      </c>
      <c r="G8" s="11" t="n">
        <v>1358.1645597748611</v>
      </c>
      <c r="H8" s="11" t="n">
        <v>0.0</v>
      </c>
      <c r="I8" s="11"/>
      <c r="J8" s="11">
        <f ref="J8:J14" si="0" t="shared">SUM(B8:I8)</f>
        <v>13861.295660625397</v>
      </c>
      <c r="K8" s="11"/>
      <c r="L8" t="str">
        <f>$A$8</f>
        <v>Bellevue Downtown</v>
      </c>
      <c r="M8" s="54" t="n">
        <v>902.0</v>
      </c>
      <c r="N8" s="54" t="n">
        <v>5930.0</v>
      </c>
      <c r="O8" s="54" t="n">
        <v>1.0</v>
      </c>
      <c r="P8" s="54" t="n">
        <v>375.0</v>
      </c>
      <c r="Q8" s="54" t="n">
        <v>17.0</v>
      </c>
      <c r="R8" s="54" t="n">
        <v>2152.0</v>
      </c>
      <c r="S8" s="54" t="n">
        <v>38.0</v>
      </c>
      <c r="T8" s="54"/>
      <c r="U8" s="52">
        <f ref="U8:U14" si="1" t="shared">SUM(M8:T8)</f>
        <v>9351</v>
      </c>
    </row>
    <row r="9" spans="1:21" x14ac:dyDescent="0.45">
      <c r="A9" t="s">
        <v>250</v>
      </c>
      <c r="B9" s="11" t="n">
        <v>723.5454786123848</v>
      </c>
      <c r="C9" s="11" t="n">
        <v>0.0</v>
      </c>
      <c r="D9" s="11" t="n">
        <v>7589.45707736656</v>
      </c>
      <c r="E9" s="11" t="n">
        <v>0.0</v>
      </c>
      <c r="F9" s="11" t="n">
        <v>748.065546333499</v>
      </c>
      <c r="G9" s="11" t="n">
        <v>180.440866596186</v>
      </c>
      <c r="H9" s="11" t="n">
        <v>0.0</v>
      </c>
      <c r="I9" s="11"/>
      <c r="J9" s="11">
        <f si="0" t="shared"/>
        <v>9241.508968908629</v>
      </c>
      <c r="K9" s="11"/>
      <c r="L9" t="str">
        <f>$A$9</f>
        <v>Kirkland</v>
      </c>
      <c r="M9" s="54" t="n">
        <v>2836.0</v>
      </c>
      <c r="N9" s="54" t="n">
        <v>1.0</v>
      </c>
      <c r="O9" s="54" t="n">
        <v>3330.0</v>
      </c>
      <c r="P9" s="54" t="n">
        <v>108.0</v>
      </c>
      <c r="Q9" s="54" t="n">
        <v>387.0</v>
      </c>
      <c r="R9" s="54" t="n">
        <v>82.0</v>
      </c>
      <c r="S9" s="54" t="n">
        <v>69.0</v>
      </c>
      <c r="T9" s="54"/>
      <c r="U9" s="52">
        <f si="1" t="shared"/>
        <v>6773</v>
      </c>
    </row>
    <row r="10" spans="1:21" x14ac:dyDescent="0.45">
      <c r="A10" t="s">
        <v>251</v>
      </c>
      <c r="B10" s="11" t="n">
        <v>945.952975103149</v>
      </c>
      <c r="C10" s="11" t="n">
        <v>0.0</v>
      </c>
      <c r="D10" s="11" t="n">
        <v>0.0</v>
      </c>
      <c r="E10" s="11" t="n">
        <v>37910.077057198294</v>
      </c>
      <c r="F10" s="11" t="n">
        <v>0.0</v>
      </c>
      <c r="G10" s="11" t="n">
        <v>227.373766554728</v>
      </c>
      <c r="H10" s="11" t="n">
        <v>0.0</v>
      </c>
      <c r="I10" s="11"/>
      <c r="J10" s="11">
        <f si="0" t="shared"/>
        <v>39083.403798856176</v>
      </c>
      <c r="K10" s="11"/>
      <c r="L10" t="str">
        <f>$A$10</f>
        <v>Redmond</v>
      </c>
      <c r="M10" s="54" t="n">
        <v>2068.0</v>
      </c>
      <c r="N10" s="54" t="n">
        <v>10.0</v>
      </c>
      <c r="O10" s="54" t="n">
        <v>2.0</v>
      </c>
      <c r="P10" s="54" t="n">
        <v>35359.0</v>
      </c>
      <c r="Q10" s="54" t="n">
        <v>17.0</v>
      </c>
      <c r="R10" s="54" t="n">
        <v>380.0</v>
      </c>
      <c r="S10" s="54" t="n">
        <v>253.0</v>
      </c>
      <c r="T10" s="54"/>
      <c r="U10" s="52">
        <f si="1" t="shared"/>
        <v>38117</v>
      </c>
    </row>
    <row r="11" spans="1:21" x14ac:dyDescent="0.45">
      <c r="A11" t="s">
        <v>247</v>
      </c>
      <c r="B11" s="11" t="n">
        <v>1369.6464012995275</v>
      </c>
      <c r="C11" s="11" t="n">
        <v>0.0</v>
      </c>
      <c r="D11" s="11" t="n">
        <v>184.5448939545554</v>
      </c>
      <c r="E11" s="11" t="n">
        <v>0.0</v>
      </c>
      <c r="F11" s="11" t="n">
        <v>20883.499049338796</v>
      </c>
      <c r="G11" s="11" t="n">
        <v>28.4741211831502</v>
      </c>
      <c r="H11" s="11" t="n">
        <v>0.0</v>
      </c>
      <c r="I11" s="11"/>
      <c r="J11" s="11">
        <f si="0" t="shared"/>
        <v>22466.16446577603</v>
      </c>
      <c r="K11" s="11"/>
      <c r="L11" t="str">
        <f>$A$11</f>
        <v>Seattle</v>
      </c>
      <c r="M11" s="54" t="n">
        <v>5873.0</v>
      </c>
      <c r="N11" s="54" t="n">
        <v>6.0</v>
      </c>
      <c r="O11" s="54" t="n">
        <v>373.0</v>
      </c>
      <c r="P11" s="54" t="n">
        <v>389.0</v>
      </c>
      <c r="Q11" s="54" t="n">
        <v>12107.0</v>
      </c>
      <c r="R11" s="54" t="n">
        <v>187.0</v>
      </c>
      <c r="S11" s="54" t="n">
        <v>620.0</v>
      </c>
      <c r="T11" s="54"/>
      <c r="U11" s="52">
        <f si="1" t="shared"/>
        <v>19669</v>
      </c>
    </row>
    <row r="12" spans="1:21" x14ac:dyDescent="0.45">
      <c r="A12" t="s">
        <v>252</v>
      </c>
      <c r="B12" s="11" t="n">
        <v>4546.096584137439</v>
      </c>
      <c r="C12" s="11" t="n">
        <v>0.0</v>
      </c>
      <c r="D12" s="11" t="n">
        <v>0.0</v>
      </c>
      <c r="E12" s="11" t="n">
        <v>0.0</v>
      </c>
      <c r="F12" s="11" t="n">
        <v>61.533373950259</v>
      </c>
      <c r="G12" s="11" t="n">
        <v>32624.43078763933</v>
      </c>
      <c r="H12" s="11" t="n">
        <v>0.0</v>
      </c>
      <c r="I12" s="11"/>
      <c r="J12" s="11">
        <f si="0" t="shared"/>
        <v>37232.060745727023</v>
      </c>
      <c r="K12" s="11"/>
      <c r="L12" t="str">
        <f>$A$12</f>
        <v>Seattle Downtown</v>
      </c>
      <c r="M12" s="54" t="n">
        <v>4649.0</v>
      </c>
      <c r="N12" s="54" t="n">
        <v>1128.0</v>
      </c>
      <c r="O12" s="54" t="n">
        <v>1.0</v>
      </c>
      <c r="P12" s="54" t="n">
        <v>1249.0</v>
      </c>
      <c r="Q12" s="54" t="n">
        <v>10.0</v>
      </c>
      <c r="R12" s="54" t="n">
        <v>20615.0</v>
      </c>
      <c r="S12" s="54" t="n">
        <v>71.0</v>
      </c>
      <c r="T12" s="54"/>
      <c r="U12" s="52">
        <f si="1" t="shared"/>
        <v>27911</v>
      </c>
    </row>
    <row r="13" spans="1:21" x14ac:dyDescent="0.45">
      <c r="A13" t="s">
        <v>253</v>
      </c>
      <c r="B13" s="11" t="n">
        <v>3955.9528160385953</v>
      </c>
      <c r="C13" s="11" t="n">
        <v>0.0</v>
      </c>
      <c r="D13" s="11" t="n">
        <v>0.0</v>
      </c>
      <c r="E13" s="11" t="n">
        <v>335.0821907536926</v>
      </c>
      <c r="F13" s="11" t="n">
        <v>0.0</v>
      </c>
      <c r="G13" s="11" t="n">
        <v>0.0</v>
      </c>
      <c r="H13" s="11" t="n">
        <v>13451.359618136488</v>
      </c>
      <c r="I13" s="11"/>
      <c r="J13" s="11">
        <f si="0" t="shared"/>
        <v>17742.394624928776</v>
      </c>
      <c r="K13" s="11"/>
      <c r="L13" t="str">
        <f>A13</f>
        <v>Rest</v>
      </c>
      <c r="M13" s="54" t="n">
        <v>3482.0</v>
      </c>
      <c r="N13" s="54" t="n">
        <v>2.0</v>
      </c>
      <c r="O13" s="54" t="n">
        <v>3.0</v>
      </c>
      <c r="P13" s="54" t="n">
        <v>953.0</v>
      </c>
      <c r="Q13" s="54" t="n">
        <v>89.0</v>
      </c>
      <c r="R13" s="54" t="n">
        <v>109.0</v>
      </c>
      <c r="S13" s="54" t="n">
        <v>10412.0</v>
      </c>
      <c r="T13" s="54"/>
      <c r="U13" s="52">
        <f si="1" t="shared"/>
        <v>14985</v>
      </c>
    </row>
    <row r="14" spans="1:21" x14ac:dyDescent="0.45">
      <c r="A14" s="6" t="s">
        <v>13</v>
      </c>
      <c r="B14" s="12"/>
      <c r="C14" s="12"/>
      <c r="D14" s="12"/>
      <c r="E14" s="12"/>
      <c r="F14" s="12"/>
      <c r="G14" s="12"/>
      <c r="H14" s="12"/>
      <c r="I14" s="12"/>
      <c r="J14" s="12">
        <f si="0" t="shared"/>
        <v>0</v>
      </c>
      <c r="K14" s="11"/>
      <c r="L14" s="12" t="s">
        <v>13</v>
      </c>
      <c r="M14" s="56"/>
      <c r="N14" s="56"/>
      <c r="O14" s="56"/>
      <c r="P14" s="56"/>
      <c r="Q14" s="56"/>
      <c r="R14" s="56"/>
      <c r="S14" s="56"/>
      <c r="T14" s="56"/>
      <c r="U14" s="56">
        <f si="1" t="shared"/>
        <v>0</v>
      </c>
    </row>
    <row ht="14.65" r="15" spans="1:21" thickBot="1" x14ac:dyDescent="0.5">
      <c r="A15" s="1" t="s">
        <v>4</v>
      </c>
      <c r="B15" s="13">
        <f ref="B15:J15" si="2" t="shared">SUM(B7:B14)</f>
        <v>80700.706317609132</v>
      </c>
      <c r="C15" s="13">
        <f si="2" t="shared"/>
        <v>11511.597885823312</v>
      </c>
      <c r="D15" s="13">
        <f si="2" t="shared"/>
        <v>7774.001971321115</v>
      </c>
      <c r="E15" s="13">
        <f si="2" t="shared"/>
        <v>39248.271297610663</v>
      </c>
      <c r="F15" s="13">
        <f si="2" t="shared"/>
        <v>22136.600842787229</v>
      </c>
      <c r="G15" s="13">
        <f si="2" t="shared"/>
        <v>37447.49161809597</v>
      </c>
      <c r="H15" s="13">
        <f si="2" t="shared"/>
        <v>13451.359618136488</v>
      </c>
      <c r="I15" s="13">
        <f si="2" t="shared"/>
        <v>0</v>
      </c>
      <c r="J15" s="13">
        <f si="2" t="shared"/>
        <v>212270.02955138392</v>
      </c>
      <c r="K15" s="11"/>
      <c r="L15" s="13" t="s">
        <v>4</v>
      </c>
      <c r="M15" s="53">
        <f ref="M15:U15" si="3" t="shared">SUM(M7:M14)</f>
        <v>76451</v>
      </c>
      <c r="N15" s="53">
        <f si="3" t="shared"/>
        <v>7141</v>
      </c>
      <c r="O15" s="53">
        <f si="3" t="shared"/>
        <v>3764</v>
      </c>
      <c r="P15" s="53">
        <f si="3" t="shared"/>
        <v>40125</v>
      </c>
      <c r="Q15" s="53">
        <f si="3" t="shared"/>
        <v>12911</v>
      </c>
      <c r="R15" s="53">
        <f si="3" t="shared"/>
        <v>26932</v>
      </c>
      <c r="S15" s="53">
        <f si="3" t="shared"/>
        <v>12114</v>
      </c>
      <c r="T15" s="53">
        <f si="3" t="shared"/>
        <v>0</v>
      </c>
      <c r="U15" s="53">
        <f si="3" t="shared"/>
        <v>179438</v>
      </c>
    </row>
    <row ht="14.65" r="18" spans="1:32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1">
        <f ref="B20:G20" si="4" t="shared">($U7/$J7)*B7</f>
        <v>59537.685162412621</v>
      </c>
      <c r="C20" s="11">
        <f si="4" t="shared"/>
        <v>0</v>
      </c>
      <c r="D20" s="11">
        <f si="4" t="shared"/>
        <v>0</v>
      </c>
      <c r="E20" s="11">
        <f si="4" t="shared"/>
        <v>100.70753415802875</v>
      </c>
      <c r="F20" s="11">
        <f si="4" t="shared"/>
        <v>382.38226647630518</v>
      </c>
      <c r="G20" s="11">
        <f si="4" t="shared"/>
        <v>2611.2250369530466</v>
      </c>
      <c r="H20" s="11">
        <f ref="H20" si="5" t="shared">($U7/$J7)*H7</f>
        <v>0</v>
      </c>
      <c r="I20" s="11"/>
      <c r="J20" s="11">
        <f>SUM(B20:I20)</f>
        <v>62632</v>
      </c>
      <c r="K20" s="11"/>
      <c r="L20" t="str">
        <f>$A$7</f>
        <v>Bellevue</v>
      </c>
      <c r="M20" s="11">
        <f ref="M20:M26" si="6" t="shared">M7</f>
        <v>56775</v>
      </c>
      <c r="N20" s="11">
        <f ref="N20:U20" si="7" t="shared">N7</f>
        <v>12</v>
      </c>
      <c r="O20" s="11">
        <f si="7" t="shared"/>
        <v>21</v>
      </c>
      <c r="P20" s="11">
        <f si="7" t="shared"/>
        <v>1897</v>
      </c>
      <c r="Q20" s="11">
        <f si="7" t="shared"/>
        <v>265</v>
      </c>
      <c r="R20" s="11">
        <f si="7" t="shared"/>
        <v>2788</v>
      </c>
      <c r="S20" s="11">
        <f ref="S20" si="8" t="shared">S7</f>
        <v>874</v>
      </c>
      <c r="T20" s="11"/>
      <c r="U20" s="11">
        <f si="7" t="shared"/>
        <v>62632</v>
      </c>
    </row>
    <row r="21" spans="1:32" x14ac:dyDescent="0.45">
      <c r="A21" t="str">
        <f>$A$8</f>
        <v>Bellevue Downtown</v>
      </c>
      <c r="B21" s="11">
        <f ref="B21:G26" si="9" t="shared">($U8/$J8)*B8</f>
        <v>70.986720349982022</v>
      </c>
      <c r="C21" s="11">
        <f si="9" t="shared"/>
        <v>7765.8650724918625</v>
      </c>
      <c r="D21" s="11">
        <f si="9" t="shared"/>
        <v>0</v>
      </c>
      <c r="E21" s="11">
        <f si="9" t="shared"/>
        <v>597.91374326665266</v>
      </c>
      <c r="F21" s="11">
        <f si="9" t="shared"/>
        <v>0</v>
      </c>
      <c r="G21" s="11">
        <f si="9" t="shared"/>
        <v>916.23446389150286</v>
      </c>
      <c r="H21" s="11">
        <f ref="H21" si="10" t="shared">($U8/$J8)*H8</f>
        <v>0</v>
      </c>
      <c r="I21" s="11"/>
      <c r="J21" s="11">
        <f ref="J21:J27" si="11" t="shared">SUM(B21:I21)</f>
        <v>9351</v>
      </c>
      <c r="K21" s="11"/>
      <c r="L21" t="str">
        <f>$A$8</f>
        <v>Bellevue Downtown</v>
      </c>
      <c r="M21" s="11">
        <f si="6" t="shared"/>
        <v>798</v>
      </c>
      <c r="N21" s="11">
        <f ref="N21:R25" si="12" t="shared">N8</f>
        <v>5959</v>
      </c>
      <c r="O21" s="11">
        <f si="12" t="shared"/>
        <v>2</v>
      </c>
      <c r="P21" s="11">
        <f si="12" t="shared"/>
        <v>398</v>
      </c>
      <c r="Q21" s="11">
        <f si="12" t="shared"/>
        <v>12</v>
      </c>
      <c r="R21" s="11">
        <f si="12" t="shared"/>
        <v>2152</v>
      </c>
      <c r="S21" s="11">
        <f ref="S21" si="13" t="shared">S8</f>
        <v>30</v>
      </c>
      <c r="T21" s="11"/>
      <c r="U21" s="11">
        <f ref="U21:U26" si="14" t="shared">U8</f>
        <v>9351</v>
      </c>
    </row>
    <row r="22" spans="1:32" x14ac:dyDescent="0.45">
      <c r="A22" t="str">
        <f>$A$9</f>
        <v>Kirkland</v>
      </c>
      <c r="B22" s="11">
        <f si="9" t="shared"/>
        <v>530.27850139287511</v>
      </c>
      <c r="C22" s="11">
        <f si="9" t="shared"/>
        <v>0</v>
      </c>
      <c r="D22" s="11">
        <f si="9" t="shared"/>
        <v>5562.2293889386519</v>
      </c>
      <c r="E22" s="11">
        <f si="9" t="shared"/>
        <v>0</v>
      </c>
      <c r="F22" s="11">
        <f si="9" t="shared"/>
        <v>548.24898859727364</v>
      </c>
      <c r="G22" s="11">
        <f si="9" t="shared"/>
        <v>132.24312107120036</v>
      </c>
      <c r="H22" s="11">
        <f ref="H22" si="15" t="shared">($U9/$J9)*H9</f>
        <v>0</v>
      </c>
      <c r="I22" s="11"/>
      <c r="J22" s="11">
        <f si="11" t="shared"/>
        <v>6773.0000000000009</v>
      </c>
      <c r="K22" s="11"/>
      <c r="L22" t="str">
        <f>$A$9</f>
        <v>Kirkland</v>
      </c>
      <c r="M22" s="11">
        <f si="6" t="shared"/>
        <v>2774</v>
      </c>
      <c r="N22" s="11">
        <f si="12" t="shared"/>
        <v>4</v>
      </c>
      <c r="O22" s="11">
        <f si="12" t="shared"/>
        <v>3367</v>
      </c>
      <c r="P22" s="11">
        <f si="12" t="shared"/>
        <v>87</v>
      </c>
      <c r="Q22" s="11">
        <f si="12" t="shared"/>
        <v>371</v>
      </c>
      <c r="R22" s="11">
        <f si="12" t="shared"/>
        <v>111</v>
      </c>
      <c r="S22" s="11">
        <f ref="S22" si="16" t="shared">S9</f>
        <v>59</v>
      </c>
      <c r="T22" s="11"/>
      <c r="U22" s="11">
        <f si="14" t="shared"/>
        <v>6773</v>
      </c>
    </row>
    <row r="23" spans="1:32" x14ac:dyDescent="0.45">
      <c r="A23" t="str">
        <f>$A$10</f>
        <v>Redmond</v>
      </c>
      <c r="B23" s="11">
        <f si="9" t="shared"/>
        <v>922.56267487792309</v>
      </c>
      <c r="C23" s="11">
        <f si="9" t="shared"/>
        <v>0</v>
      </c>
      <c r="D23" s="11">
        <f si="9" t="shared"/>
        <v>0</v>
      </c>
      <c r="E23" s="11">
        <f si="9" t="shared"/>
        <v>36972.68576263354</v>
      </c>
      <c r="F23" s="11">
        <f si="9" t="shared"/>
        <v>0</v>
      </c>
      <c r="G23" s="11">
        <f si="9" t="shared"/>
        <v>221.75156248853159</v>
      </c>
      <c r="H23" s="11">
        <f ref="H23" si="17" t="shared">($U10/$J10)*H10</f>
        <v>0</v>
      </c>
      <c r="I23" s="11"/>
      <c r="J23" s="11">
        <f>SUM(B23:I23)</f>
        <v>38117</v>
      </c>
      <c r="K23" s="11"/>
      <c r="L23" t="str">
        <f>$A$10</f>
        <v>Redmond</v>
      </c>
      <c r="M23" s="11">
        <f si="6" t="shared"/>
        <v>2131</v>
      </c>
      <c r="N23" s="11">
        <f si="12" t="shared"/>
        <v>13</v>
      </c>
      <c r="O23" s="11">
        <f si="12" t="shared"/>
        <v>6</v>
      </c>
      <c r="P23" s="11">
        <f si="12" t="shared"/>
        <v>35276</v>
      </c>
      <c r="Q23" s="11">
        <f si="12" t="shared"/>
        <v>12</v>
      </c>
      <c r="R23" s="11">
        <f si="12" t="shared"/>
        <v>436</v>
      </c>
      <c r="S23" s="11">
        <f ref="S23" si="18" t="shared">S10</f>
        <v>243</v>
      </c>
      <c r="T23" s="11"/>
      <c r="U23" s="11">
        <f si="14" t="shared"/>
        <v>38117</v>
      </c>
    </row>
    <row r="24" spans="1:32" x14ac:dyDescent="0.45">
      <c r="A24" t="str">
        <f>$A$11</f>
        <v>Seattle</v>
      </c>
      <c r="B24" s="11">
        <f si="9" t="shared"/>
        <v>1199.117682424117</v>
      </c>
      <c r="C24" s="11">
        <f si="9" t="shared"/>
        <v>0</v>
      </c>
      <c r="D24" s="11">
        <f si="9" t="shared"/>
        <v>161.56801151890653</v>
      </c>
      <c r="E24" s="11">
        <f si="9" t="shared"/>
        <v>0</v>
      </c>
      <c r="F24" s="11">
        <f si="9" t="shared"/>
        <v>18283.385373910834</v>
      </c>
      <c r="G24" s="11">
        <f si="9" t="shared"/>
        <v>24.928932146141292</v>
      </c>
      <c r="H24" s="11">
        <f ref="H24" si="19" t="shared">($U11/$J11)*H11</f>
        <v>0</v>
      </c>
      <c r="I24" s="11"/>
      <c r="J24" s="11">
        <f si="11" t="shared"/>
        <v>19669</v>
      </c>
      <c r="K24" s="11"/>
      <c r="L24" t="str">
        <f>$A$11</f>
        <v>Seattle</v>
      </c>
      <c r="M24" s="11">
        <f si="6" t="shared"/>
        <v>6014</v>
      </c>
      <c r="N24" s="11">
        <f si="12" t="shared"/>
        <v>4</v>
      </c>
      <c r="O24" s="11">
        <f si="12" t="shared"/>
        <v>358</v>
      </c>
      <c r="P24" s="11">
        <f si="12" t="shared"/>
        <v>316</v>
      </c>
      <c r="Q24" s="11">
        <f si="12" t="shared"/>
        <v>12166</v>
      </c>
      <c r="R24" s="11">
        <f si="12" t="shared"/>
        <v>215</v>
      </c>
      <c r="S24" s="11">
        <f ref="S24" si="20" t="shared">S11</f>
        <v>596</v>
      </c>
      <c r="T24" s="11"/>
      <c r="U24" s="11">
        <f si="14" t="shared"/>
        <v>19669</v>
      </c>
    </row>
    <row r="25" spans="1:32" x14ac:dyDescent="0.45">
      <c r="A25" t="str">
        <f>$A$12</f>
        <v>Seattle Downtown</v>
      </c>
      <c r="B25" s="11">
        <f si="9" t="shared"/>
        <v>3407.9795536007841</v>
      </c>
      <c r="C25" s="11">
        <f si="9" t="shared"/>
        <v>0</v>
      </c>
      <c r="D25" s="11">
        <f si="9" t="shared"/>
        <v>0</v>
      </c>
      <c r="E25" s="11">
        <f si="9" t="shared"/>
        <v>0</v>
      </c>
      <c r="F25" s="11">
        <f si="9" t="shared"/>
        <v>46.128470085362778</v>
      </c>
      <c r="G25" s="11">
        <f si="9" t="shared"/>
        <v>24456.891976313855</v>
      </c>
      <c r="H25" s="11">
        <f ref="H25:H26" si="21" t="shared">($U12/$J12)*H12</f>
        <v>0</v>
      </c>
      <c r="I25" s="11"/>
      <c r="J25" s="11">
        <f si="11" t="shared"/>
        <v>27911</v>
      </c>
      <c r="K25" s="11"/>
      <c r="L25" t="str">
        <f>$A$12</f>
        <v>Seattle Downtown</v>
      </c>
      <c r="M25" s="11">
        <f si="6" t="shared"/>
        <v>4439</v>
      </c>
      <c r="N25" s="11">
        <f si="12" t="shared"/>
        <v>1148</v>
      </c>
      <c r="O25" s="11">
        <f si="12" t="shared"/>
        <v>6</v>
      </c>
      <c r="P25" s="11">
        <f si="12" t="shared"/>
        <v>1136</v>
      </c>
      <c r="Q25" s="11">
        <f si="12" t="shared"/>
        <v>16</v>
      </c>
      <c r="R25" s="11">
        <f si="12" t="shared"/>
        <v>21105</v>
      </c>
      <c r="S25" s="11">
        <f ref="S25" si="22" t="shared">S12</f>
        <v>61</v>
      </c>
      <c r="T25" s="11"/>
      <c r="U25" s="11">
        <f si="14" t="shared"/>
        <v>27911</v>
      </c>
    </row>
    <row r="26" spans="1:32" x14ac:dyDescent="0.45">
      <c r="A26" t="str">
        <f>$A$13</f>
        <v>Rest</v>
      </c>
      <c r="B26" s="11">
        <f si="9" t="shared"/>
        <v>3341.147246553046</v>
      </c>
      <c r="C26" s="11">
        <f si="9" t="shared"/>
        <v>0</v>
      </c>
      <c r="D26" s="11">
        <f si="9" t="shared"/>
        <v>0</v>
      </c>
      <c r="E26" s="11">
        <f si="9" t="shared"/>
        <v>283.00614063611721</v>
      </c>
      <c r="F26" s="11">
        <f si="9" t="shared"/>
        <v>0</v>
      </c>
      <c r="G26" s="11">
        <f si="9" t="shared"/>
        <v>0</v>
      </c>
      <c r="H26" s="11">
        <f si="21" t="shared"/>
        <v>11360.846612810836</v>
      </c>
      <c r="I26" s="11"/>
      <c r="J26" s="11">
        <f si="11" t="shared"/>
        <v>14985</v>
      </c>
      <c r="K26" s="11"/>
      <c r="L26" t="str">
        <f>$A$13</f>
        <v>Rest</v>
      </c>
      <c r="M26" s="11">
        <f si="6" t="shared"/>
        <v>3520</v>
      </c>
      <c r="N26" s="11">
        <f ref="N26:R26" si="23" t="shared">N13</f>
        <v>1</v>
      </c>
      <c r="O26" s="11">
        <f si="23" t="shared"/>
        <v>4</v>
      </c>
      <c r="P26" s="11">
        <f si="23" t="shared"/>
        <v>1015</v>
      </c>
      <c r="Q26" s="11">
        <f si="23" t="shared"/>
        <v>69</v>
      </c>
      <c r="R26" s="11">
        <f si="23" t="shared"/>
        <v>125</v>
      </c>
      <c r="S26" s="11">
        <f ref="S26" si="24" t="shared">S13</f>
        <v>10251</v>
      </c>
      <c r="T26" s="11"/>
      <c r="U26" s="11">
        <f si="14" t="shared"/>
        <v>14985</v>
      </c>
    </row>
    <row r="27" spans="1:32" x14ac:dyDescent="0.45">
      <c r="A27" s="6" t="s">
        <v>13</v>
      </c>
      <c r="B27" s="12"/>
      <c r="C27" s="12"/>
      <c r="D27" s="12"/>
      <c r="E27" s="12"/>
      <c r="F27" s="12"/>
      <c r="G27" s="12"/>
      <c r="H27" s="12"/>
      <c r="I27" s="12"/>
      <c r="J27" s="11">
        <f si="11" t="shared"/>
        <v>0</v>
      </c>
      <c r="K27" s="11"/>
      <c r="L27" s="12" t="s">
        <v>13</v>
      </c>
      <c r="M27" s="12"/>
      <c r="N27" s="12"/>
      <c r="O27" s="12"/>
      <c r="P27" s="12"/>
      <c r="Q27" s="12"/>
      <c r="R27" s="12"/>
      <c r="S27" s="12"/>
      <c r="T27" s="12"/>
      <c r="U27" s="12"/>
    </row>
    <row ht="14.65" r="28" spans="1:32" thickBot="1" x14ac:dyDescent="0.5">
      <c r="A28" s="1" t="s">
        <v>4</v>
      </c>
      <c r="B28" s="13">
        <f ref="B28:J28" si="25" t="shared">SUM(B20:B27)</f>
        <v>69009.757541611354</v>
      </c>
      <c r="C28" s="13">
        <f si="25" t="shared"/>
        <v>7765.8650724918625</v>
      </c>
      <c r="D28" s="13">
        <f si="25" t="shared"/>
        <v>5723.7974004575581</v>
      </c>
      <c r="E28" s="13">
        <f si="25" t="shared"/>
        <v>37954.313180694342</v>
      </c>
      <c r="F28" s="13">
        <f si="25" t="shared"/>
        <v>19260.145099069774</v>
      </c>
      <c r="G28" s="13">
        <f si="25" t="shared"/>
        <v>28363.275092864278</v>
      </c>
      <c r="H28" s="13">
        <f si="25" t="shared"/>
        <v>11360.846612810836</v>
      </c>
      <c r="I28" s="13">
        <f si="25" t="shared"/>
        <v>0</v>
      </c>
      <c r="J28" s="13">
        <f si="25" t="shared"/>
        <v>179438</v>
      </c>
      <c r="K28" s="11"/>
      <c r="L28" s="13" t="s">
        <v>4</v>
      </c>
      <c r="M28" s="13">
        <f ref="M28:U28" si="26" t="shared">M15</f>
        <v>76451</v>
      </c>
      <c r="N28" s="13">
        <f si="26" t="shared"/>
        <v>7141</v>
      </c>
      <c r="O28" s="13">
        <f si="26" t="shared"/>
        <v>3764</v>
      </c>
      <c r="P28" s="13">
        <f si="26" t="shared"/>
        <v>40125</v>
      </c>
      <c r="Q28" s="13">
        <f si="26" t="shared"/>
        <v>12911</v>
      </c>
      <c r="R28" s="13">
        <f si="26" t="shared"/>
        <v>26932</v>
      </c>
      <c r="S28" s="13">
        <f si="26" t="shared"/>
        <v>12114</v>
      </c>
      <c r="T28" s="13"/>
      <c r="U28" s="13">
        <f si="26" t="shared"/>
        <v>179438</v>
      </c>
    </row>
    <row ht="14.65" r="31" spans="1:32" thickBot="1" x14ac:dyDescent="0.5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4">
        <f ref="B33:J39" si="27" t="shared">B20/$J$28</f>
        <v>0.33180087362995919</v>
      </c>
      <c r="C33" s="14">
        <f si="27" t="shared"/>
        <v>0</v>
      </c>
      <c r="D33" s="14">
        <f si="27" t="shared"/>
        <v>0</v>
      </c>
      <c r="E33" s="14">
        <f si="27" t="shared"/>
        <v>5.6123861254599779E-4</v>
      </c>
      <c r="F33" s="14">
        <f si="27" t="shared"/>
        <v>2.1309993784834045E-3</v>
      </c>
      <c r="G33" s="14">
        <f si="27" t="shared"/>
        <v>1.4552241091368866E-2</v>
      </c>
      <c r="H33" s="14">
        <f ref="H33" si="28" t="shared">H20/$J$28</f>
        <v>0</v>
      </c>
      <c r="I33" s="14"/>
      <c r="J33" s="14">
        <f ref="J33:J38" si="29" t="shared">J20/$J$28</f>
        <v>0.34904535271235748</v>
      </c>
      <c r="K33" s="11"/>
      <c r="L33" t="str">
        <f>$A$7</f>
        <v>Bellevue</v>
      </c>
      <c r="M33" s="14">
        <f ref="M33:R33" si="30" t="shared">M20/$U$28</f>
        <v>0.31640455199010242</v>
      </c>
      <c r="N33" s="14">
        <f si="30" t="shared"/>
        <v>6.6875466735028257E-5</v>
      </c>
      <c r="O33" s="14">
        <f si="30" t="shared"/>
        <v>1.1703206678629945E-4</v>
      </c>
      <c r="P33" s="14">
        <f si="30" t="shared"/>
        <v>1.0571896699695717E-2</v>
      </c>
      <c r="Q33" s="14">
        <f si="30" t="shared"/>
        <v>1.4768332237318741E-3</v>
      </c>
      <c r="R33" s="14">
        <f si="30" t="shared"/>
        <v>1.5537400104771565E-2</v>
      </c>
      <c r="S33" s="14">
        <f ref="S33" si="31" t="shared">S20/$U$28</f>
        <v>4.870763160534558E-3</v>
      </c>
      <c r="T33" s="14"/>
      <c r="U33" s="14">
        <f ref="U33:U39" si="32" t="shared">U20/$U$28</f>
        <v>0.34904535271235748</v>
      </c>
      <c r="W33" t="str">
        <f>$A$7</f>
        <v>Bellevue</v>
      </c>
      <c r="X33" s="14">
        <f ref="X33:AD33" si="33" t="shared">M33-B33</f>
        <v>-1.5396321639856769E-2</v>
      </c>
      <c r="Y33" s="14">
        <f si="33" t="shared"/>
        <v>6.6875466735028257E-5</v>
      </c>
      <c r="Z33" s="14">
        <f si="33" t="shared"/>
        <v>1.1703206678629945E-4</v>
      </c>
      <c r="AA33" s="14">
        <f si="33" t="shared"/>
        <v>1.001065808714972E-2</v>
      </c>
      <c r="AB33" s="14">
        <f si="33" t="shared"/>
        <v>-6.5416615475153046E-4</v>
      </c>
      <c r="AC33" s="14">
        <f si="33" t="shared"/>
        <v>9.8515901340269843E-4</v>
      </c>
      <c r="AD33" s="14">
        <f si="33" t="shared"/>
        <v>4.870763160534558E-3</v>
      </c>
      <c r="AE33" s="14"/>
      <c r="AF33" s="14">
        <f ref="AF33:AF39" si="34" t="shared">U33-J33</f>
        <v>0</v>
      </c>
    </row>
    <row r="34" spans="1:32" x14ac:dyDescent="0.45">
      <c r="A34" t="str">
        <f>$A$8</f>
        <v>Bellevue Downtown</v>
      </c>
      <c r="B34" s="14">
        <f si="27" t="shared"/>
        <v>3.9560583794949797E-4</v>
      </c>
      <c r="C34" s="14">
        <f si="27" t="shared"/>
        <v>4.3278820943678943E-2</v>
      </c>
      <c r="D34" s="14">
        <f si="27" t="shared"/>
        <v>0</v>
      </c>
      <c r="E34" s="14">
        <f si="27" t="shared"/>
        <v>3.3321467206871044E-3</v>
      </c>
      <c r="F34" s="14">
        <f si="27" t="shared"/>
        <v>0</v>
      </c>
      <c r="G34" s="14">
        <f si="27" t="shared"/>
        <v>5.1061339509552205E-3</v>
      </c>
      <c r="H34" s="14">
        <f ref="H34" si="35" t="shared">H21/$J$28</f>
        <v>0</v>
      </c>
      <c r="I34" s="14"/>
      <c r="J34" s="14">
        <f si="29" t="shared"/>
        <v>5.2112707453270769E-2</v>
      </c>
      <c r="K34" s="11"/>
      <c r="L34" t="str">
        <f>$A$8</f>
        <v>Bellevue Downtown</v>
      </c>
      <c r="M34" s="14">
        <f ref="M34:R39" si="36" t="shared">M21/$U$28</f>
        <v>4.4472185378793792E-3</v>
      </c>
      <c r="N34" s="14">
        <f si="36" t="shared"/>
        <v>3.3209242189502781E-2</v>
      </c>
      <c r="O34" s="14">
        <f si="36" t="shared"/>
        <v>1.1145911122504709E-5</v>
      </c>
      <c r="P34" s="14">
        <f si="36" t="shared"/>
        <v>2.218036313378437E-3</v>
      </c>
      <c r="Q34" s="14">
        <f si="36" t="shared"/>
        <v>6.6875466735028257E-5</v>
      </c>
      <c r="R34" s="14">
        <f si="36" t="shared"/>
        <v>1.1993000367815067E-2</v>
      </c>
      <c r="S34" s="14">
        <f ref="S34" si="37" t="shared">S21/$U$28</f>
        <v>1.6718866683757065E-4</v>
      </c>
      <c r="T34" s="14"/>
      <c r="U34" s="14">
        <f si="32" t="shared"/>
        <v>5.2112707453270769E-2</v>
      </c>
      <c r="W34" t="str">
        <f>$A$8</f>
        <v>Bellevue Downtown</v>
      </c>
      <c r="X34" s="14">
        <f ref="X34:X38" si="38" t="shared">M34-B34</f>
        <v>4.051612699929881E-3</v>
      </c>
      <c r="Y34" s="14">
        <f ref="Y34:AD38" si="39" t="shared">N34-C34</f>
        <v>-1.0069578754176162E-2</v>
      </c>
      <c r="Z34" s="14">
        <f si="39" t="shared"/>
        <v>1.1145911122504709E-5</v>
      </c>
      <c r="AA34" s="14">
        <f si="39" t="shared"/>
        <v>-1.1141104073086674E-3</v>
      </c>
      <c r="AB34" s="14">
        <f si="39" t="shared"/>
        <v>6.6875466735028257E-5</v>
      </c>
      <c r="AC34" s="14">
        <f si="39" t="shared"/>
        <v>6.8868664168598463E-3</v>
      </c>
      <c r="AD34" s="14">
        <f si="39" t="shared"/>
        <v>1.6718866683757065E-4</v>
      </c>
      <c r="AE34" s="14"/>
      <c r="AF34" s="14">
        <f si="34" t="shared"/>
        <v>0</v>
      </c>
    </row>
    <row r="35" spans="1:32" x14ac:dyDescent="0.45">
      <c r="A35" t="str">
        <f>$A$9</f>
        <v>Kirkland</v>
      </c>
      <c r="B35" s="14">
        <f si="27" t="shared"/>
        <v>2.9552185233499878E-3</v>
      </c>
      <c r="C35" s="14">
        <f si="27" t="shared"/>
        <v>0</v>
      </c>
      <c r="D35" s="14">
        <f si="27" t="shared"/>
        <v>3.0998057206046946E-2</v>
      </c>
      <c r="E35" s="14">
        <f si="27" t="shared"/>
        <v>0</v>
      </c>
      <c r="F35" s="14">
        <f si="27" t="shared"/>
        <v>3.0553672499541548E-3</v>
      </c>
      <c r="G35" s="14">
        <f si="27" t="shared"/>
        <v>7.3698503701111445E-4</v>
      </c>
      <c r="H35" s="14">
        <f ref="H35" si="40" t="shared">H22/$J$28</f>
        <v>0</v>
      </c>
      <c r="I35" s="14"/>
      <c r="J35" s="14">
        <f si="29" t="shared"/>
        <v>3.77456280163622E-2</v>
      </c>
      <c r="K35" s="11"/>
      <c r="L35" t="str">
        <f>$A$9</f>
        <v>Kirkland</v>
      </c>
      <c r="M35" s="14">
        <f si="36" t="shared"/>
        <v>1.5459378726914032E-2</v>
      </c>
      <c r="N35" s="14">
        <f si="36" t="shared"/>
        <v>2.2291822245009419E-5</v>
      </c>
      <c r="O35" s="14">
        <f si="36" t="shared"/>
        <v>1.8764141374736677E-2</v>
      </c>
      <c r="P35" s="14">
        <f si="36" t="shared"/>
        <v>4.8484713382895486E-4</v>
      </c>
      <c r="Q35" s="14">
        <f si="36" t="shared"/>
        <v>2.0675665132246237E-3</v>
      </c>
      <c r="R35" s="14">
        <f si="36" t="shared"/>
        <v>6.1859806729901135E-4</v>
      </c>
      <c r="S35" s="14">
        <f ref="S35" si="41" t="shared">S22/$U$28</f>
        <v>3.2880437811388892E-4</v>
      </c>
      <c r="T35" s="14"/>
      <c r="U35" s="14">
        <f si="32" t="shared"/>
        <v>3.77456280163622E-2</v>
      </c>
      <c r="W35" t="str">
        <f>$A$9</f>
        <v>Kirkland</v>
      </c>
      <c r="X35" s="14">
        <f si="38" t="shared"/>
        <v>1.2504160203564044E-2</v>
      </c>
      <c r="Y35" s="14">
        <f si="39" t="shared"/>
        <v>2.2291822245009419E-5</v>
      </c>
      <c r="Z35" s="14">
        <f si="39" t="shared"/>
        <v>-1.2233915831310269E-2</v>
      </c>
      <c r="AA35" s="14">
        <f si="39" t="shared"/>
        <v>4.8484713382895486E-4</v>
      </c>
      <c r="AB35" s="14">
        <f si="39" t="shared"/>
        <v>-9.8780073672953116E-4</v>
      </c>
      <c r="AC35" s="14">
        <f si="39" t="shared"/>
        <v>-1.183869697121031E-4</v>
      </c>
      <c r="AD35" s="14">
        <f si="39" t="shared"/>
        <v>3.2880437811388892E-4</v>
      </c>
      <c r="AE35" s="14"/>
      <c r="AF35" s="14">
        <f si="34" t="shared"/>
        <v>0</v>
      </c>
    </row>
    <row r="36" spans="1:32" x14ac:dyDescent="0.45">
      <c r="A36" t="str">
        <f>$A$10</f>
        <v>Redmond</v>
      </c>
      <c r="B36" s="14">
        <f si="27" t="shared"/>
        <v>5.1414007895647694E-3</v>
      </c>
      <c r="C36" s="14">
        <f si="27" t="shared"/>
        <v>0</v>
      </c>
      <c r="D36" s="14">
        <f si="27" t="shared"/>
        <v>0</v>
      </c>
      <c r="E36" s="14">
        <f si="27" t="shared"/>
        <v>0.20604713473530434</v>
      </c>
      <c r="F36" s="14">
        <f si="27" t="shared"/>
        <v>0</v>
      </c>
      <c r="G36" s="14">
        <f si="27" t="shared"/>
        <v>1.2358116033868612E-3</v>
      </c>
      <c r="H36" s="14">
        <f ref="H36" si="42" t="shared">H23/$J$28</f>
        <v>0</v>
      </c>
      <c r="I36" s="14"/>
      <c r="J36" s="14">
        <f si="29" t="shared"/>
        <v>0.212424347128256</v>
      </c>
      <c r="K36" s="11"/>
      <c r="L36" t="str">
        <f>$A$10</f>
        <v>Redmond</v>
      </c>
      <c r="M36" s="14">
        <f si="36" t="shared"/>
        <v>1.1875968301028767E-2</v>
      </c>
      <c r="N36" s="14">
        <f si="36" t="shared"/>
        <v>7.2448422296280608E-5</v>
      </c>
      <c r="O36" s="14">
        <f si="36" t="shared"/>
        <v>3.3437733367514128E-5</v>
      </c>
      <c r="P36" s="14">
        <f si="36" t="shared"/>
        <v>0.19659158037873806</v>
      </c>
      <c r="Q36" s="14">
        <f si="36" t="shared"/>
        <v>6.6875466735028257E-5</v>
      </c>
      <c r="R36" s="14">
        <f si="36" t="shared"/>
        <v>2.4298086247060268E-3</v>
      </c>
      <c r="S36" s="14">
        <f ref="S36" si="43" t="shared">S23/$U$28</f>
        <v>1.3542282013843223E-3</v>
      </c>
      <c r="T36" s="14"/>
      <c r="U36" s="14">
        <f si="32" t="shared"/>
        <v>0.212424347128256</v>
      </c>
      <c r="W36" t="str">
        <f>$A$10</f>
        <v>Redmond</v>
      </c>
      <c r="X36" s="14">
        <f si="38" t="shared"/>
        <v>6.7345675114639974E-3</v>
      </c>
      <c r="Y36" s="14">
        <f si="39" t="shared"/>
        <v>7.2448422296280608E-5</v>
      </c>
      <c r="Z36" s="14">
        <f si="39" t="shared"/>
        <v>3.3437733367514128E-5</v>
      </c>
      <c r="AA36" s="14">
        <f si="39" t="shared"/>
        <v>-9.4555543565662814E-3</v>
      </c>
      <c r="AB36" s="14">
        <f si="39" t="shared"/>
        <v>6.6875466735028257E-5</v>
      </c>
      <c r="AC36" s="14">
        <f si="39" t="shared"/>
        <v>1.1939970213191656E-3</v>
      </c>
      <c r="AD36" s="14">
        <f si="39" t="shared"/>
        <v>1.3542282013843223E-3</v>
      </c>
      <c r="AE36" s="14"/>
      <c r="AF36" s="14">
        <f si="34" t="shared"/>
        <v>0</v>
      </c>
    </row>
    <row r="37" spans="1:32" x14ac:dyDescent="0.45">
      <c r="A37" t="str">
        <f>$A$11</f>
        <v>Seattle</v>
      </c>
      <c r="B37" s="14">
        <f si="27" t="shared"/>
        <v>6.6826295568615177E-3</v>
      </c>
      <c r="C37" s="14">
        <f si="27" t="shared"/>
        <v>0</v>
      </c>
      <c r="D37" s="14">
        <f si="27" t="shared"/>
        <v>9.0041134831477464E-4</v>
      </c>
      <c r="E37" s="14">
        <f si="27" t="shared"/>
        <v>0</v>
      </c>
      <c r="F37" s="14">
        <f si="27" t="shared"/>
        <v>0.10189249419805635</v>
      </c>
      <c r="G37" s="14">
        <f si="27" t="shared"/>
        <v>1.3892783103992072E-4</v>
      </c>
      <c r="H37" s="14">
        <f ref="H37" si="44" t="shared">H24/$J$28</f>
        <v>0</v>
      </c>
      <c r="I37" s="14"/>
      <c r="J37" s="14">
        <f si="29" t="shared"/>
        <v>0.10961446293427256</v>
      </c>
      <c r="K37" s="11"/>
      <c r="L37" t="str">
        <f>$A$11</f>
        <v>Seattle</v>
      </c>
      <c r="M37" s="14">
        <f si="36" t="shared"/>
        <v>3.3515754745371662E-2</v>
      </c>
      <c r="N37" s="14">
        <f si="36" t="shared"/>
        <v>2.2291822245009419E-5</v>
      </c>
      <c r="O37" s="14">
        <f si="36" t="shared"/>
        <v>1.9951180909283431E-3</v>
      </c>
      <c r="P37" s="14">
        <f si="36" t="shared"/>
        <v>1.761053957355744E-3</v>
      </c>
      <c r="Q37" s="14">
        <f si="36" t="shared"/>
        <v>6.780057735819614E-2</v>
      </c>
      <c r="R37" s="14">
        <f si="36" t="shared"/>
        <v>1.1981854456692563E-3</v>
      </c>
      <c r="S37" s="14">
        <f ref="S37" si="45" t="shared">S24/$U$28</f>
        <v>3.3214815145064035E-3</v>
      </c>
      <c r="T37" s="14"/>
      <c r="U37" s="14">
        <f si="32" t="shared"/>
        <v>0.10961446293427256</v>
      </c>
      <c r="W37" t="str">
        <f>$A$11</f>
        <v>Seattle</v>
      </c>
      <c r="X37" s="14">
        <f si="38" t="shared"/>
        <v>2.6833125188510144E-2</v>
      </c>
      <c r="Y37" s="14">
        <f si="39" t="shared"/>
        <v>2.2291822245009419E-5</v>
      </c>
      <c r="Z37" s="14">
        <f si="39" t="shared"/>
        <v>1.0947067426135685E-3</v>
      </c>
      <c r="AA37" s="14">
        <f si="39" t="shared"/>
        <v>1.761053957355744E-3</v>
      </c>
      <c r="AB37" s="14">
        <f si="39" t="shared"/>
        <v>-3.4091916839860209E-2</v>
      </c>
      <c r="AC37" s="14">
        <f si="39" t="shared"/>
        <v>1.0592576146293356E-3</v>
      </c>
      <c r="AD37" s="14">
        <f si="39" t="shared"/>
        <v>3.3214815145064035E-3</v>
      </c>
      <c r="AE37" s="14"/>
      <c r="AF37" s="14">
        <f si="34" t="shared"/>
        <v>0</v>
      </c>
    </row>
    <row r="38" spans="1:32" x14ac:dyDescent="0.45">
      <c r="A38" t="str">
        <f>$A$12</f>
        <v>Seattle Downtown</v>
      </c>
      <c r="B38" s="14">
        <f si="27" t="shared"/>
        <v>1.8992518605873806E-2</v>
      </c>
      <c r="C38" s="14">
        <f si="27" t="shared"/>
        <v>0</v>
      </c>
      <c r="D38" s="14">
        <f si="27" t="shared"/>
        <v>0</v>
      </c>
      <c r="E38" s="14">
        <f si="27" t="shared"/>
        <v>0</v>
      </c>
      <c r="F38" s="14">
        <f si="27" t="shared"/>
        <v>2.5707191389428538E-4</v>
      </c>
      <c r="G38" s="14">
        <f si="27" t="shared"/>
        <v>0.1362971721503464</v>
      </c>
      <c r="H38" s="14">
        <f ref="H38:H39" si="46" t="shared">H25/$J$28</f>
        <v>0</v>
      </c>
      <c r="I38" s="14"/>
      <c r="J38" s="14">
        <f si="29" t="shared"/>
        <v>0.15554676267011447</v>
      </c>
      <c r="K38" s="11"/>
      <c r="L38" t="str">
        <f>$A$12</f>
        <v>Seattle Downtown</v>
      </c>
      <c r="M38" s="14">
        <f si="36" t="shared"/>
        <v>2.4738349736399202E-2</v>
      </c>
      <c r="N38" s="14">
        <f si="36" t="shared"/>
        <v>6.3977529843177033E-3</v>
      </c>
      <c r="O38" s="14">
        <f si="36" t="shared"/>
        <v>3.3437733367514128E-5</v>
      </c>
      <c r="P38" s="14">
        <f si="36" t="shared"/>
        <v>6.330877517582675E-3</v>
      </c>
      <c r="Q38" s="14">
        <f si="36" t="shared"/>
        <v>8.9167288980037676E-5</v>
      </c>
      <c r="R38" s="14">
        <f si="36" t="shared"/>
        <v>0.11761722712023094</v>
      </c>
      <c r="S38" s="14">
        <f ref="S38:S39" si="47" t="shared">S25/$U$28</f>
        <v>3.3995028923639362E-4</v>
      </c>
      <c r="T38" s="14"/>
      <c r="U38" s="14">
        <f si="32" t="shared"/>
        <v>0.15554676267011447</v>
      </c>
      <c r="W38" t="str">
        <f>$A$12</f>
        <v>Seattle Downtown</v>
      </c>
      <c r="X38" s="14">
        <f si="38" t="shared"/>
        <v>5.7458311305253959E-3</v>
      </c>
      <c r="Y38" s="14">
        <f si="39" t="shared"/>
        <v>6.3977529843177033E-3</v>
      </c>
      <c r="Z38" s="14">
        <f si="39" t="shared"/>
        <v>3.3437733367514128E-5</v>
      </c>
      <c r="AA38" s="14">
        <f si="39" t="shared"/>
        <v>6.330877517582675E-3</v>
      </c>
      <c r="AB38" s="14">
        <f si="39" t="shared"/>
        <v>-1.6790462491424771E-4</v>
      </c>
      <c r="AC38" s="14">
        <f si="39" t="shared"/>
        <v>-1.8679945030115455E-2</v>
      </c>
      <c r="AD38" s="14">
        <f si="39" t="shared"/>
        <v>3.3995028923639362E-4</v>
      </c>
      <c r="AE38" s="14"/>
      <c r="AF38" s="14">
        <f si="34" t="shared"/>
        <v>0</v>
      </c>
    </row>
    <row r="39" spans="1:32" x14ac:dyDescent="0.45">
      <c r="A39" t="str">
        <f>$A$13</f>
        <v>Rest</v>
      </c>
      <c r="B39" s="14">
        <f si="27" t="shared"/>
        <v>1.8620065128640791E-2</v>
      </c>
      <c r="C39" s="14">
        <f si="27" t="shared"/>
        <v>0</v>
      </c>
      <c r="D39" s="14">
        <f si="27" t="shared"/>
        <v>0</v>
      </c>
      <c r="E39" s="14">
        <f si="27" t="shared"/>
        <v>1.5771806453266154E-3</v>
      </c>
      <c r="F39" s="14">
        <f si="27" t="shared"/>
        <v>0</v>
      </c>
      <c r="G39" s="14">
        <f si="27" t="shared"/>
        <v>0</v>
      </c>
      <c r="H39" s="14">
        <f si="46" t="shared"/>
        <v>6.3313493311399127E-2</v>
      </c>
      <c r="I39" s="14"/>
      <c r="J39" s="14">
        <f si="27" t="shared"/>
        <v>8.3510739085366534E-2</v>
      </c>
      <c r="K39" s="11"/>
      <c r="L39" t="str">
        <f>$A$13</f>
        <v>Rest</v>
      </c>
      <c r="M39" s="14">
        <f si="36" t="shared"/>
        <v>1.9616803575608289E-2</v>
      </c>
      <c r="N39" s="14">
        <f si="36" t="shared"/>
        <v>5.5729555612523547E-6</v>
      </c>
      <c r="O39" s="14">
        <f si="36" t="shared"/>
        <v>2.2291822245009419E-5</v>
      </c>
      <c r="P39" s="14">
        <f si="36" t="shared"/>
        <v>5.6565498946711396E-3</v>
      </c>
      <c r="Q39" s="14">
        <f si="36" t="shared"/>
        <v>3.8453393372641249E-4</v>
      </c>
      <c r="R39" s="14">
        <f si="36" t="shared"/>
        <v>6.9661944515654432E-4</v>
      </c>
      <c r="S39" s="14">
        <f si="47" t="shared"/>
        <v>5.7128367458397888E-2</v>
      </c>
      <c r="T39" s="14"/>
      <c r="U39" s="14">
        <f si="32" t="shared"/>
        <v>8.3510739085366534E-2</v>
      </c>
      <c r="W39" t="str">
        <f>$A$13</f>
        <v>Rest</v>
      </c>
      <c r="X39" s="14">
        <f ref="X39" si="48" t="shared">M39-B39</f>
        <v>9.9673844696749822E-4</v>
      </c>
      <c r="Y39" s="14">
        <f ref="Y39" si="49" t="shared">N39-C39</f>
        <v>5.5729555612523547E-6</v>
      </c>
      <c r="Z39" s="14">
        <f ref="Z39" si="50" t="shared">O39-D39</f>
        <v>2.2291822245009419E-5</v>
      </c>
      <c r="AA39" s="14">
        <f ref="AA39" si="51" t="shared">P39-E39</f>
        <v>4.0793692493445244E-3</v>
      </c>
      <c r="AB39" s="14">
        <f ref="AB39" si="52" t="shared">Q39-F39</f>
        <v>3.8453393372641249E-4</v>
      </c>
      <c r="AC39" s="14">
        <f ref="AC39" si="53" t="shared">R39-G39</f>
        <v>6.9661944515654432E-4</v>
      </c>
      <c r="AD39" s="14">
        <f ref="AD39" si="54" t="shared">S39-H39</f>
        <v>-6.1851258530012387E-3</v>
      </c>
      <c r="AE39" s="14"/>
      <c r="AF39" s="14">
        <f si="34" t="shared"/>
        <v>0</v>
      </c>
    </row>
    <row r="40" spans="1:32" x14ac:dyDescent="0.45">
      <c r="A40" s="6" t="s">
        <v>13</v>
      </c>
      <c r="B40" s="15"/>
      <c r="C40" s="15"/>
      <c r="D40" s="15"/>
      <c r="E40" s="15"/>
      <c r="F40" s="15"/>
      <c r="G40" s="15"/>
      <c r="H40" s="14"/>
      <c r="I40" s="15"/>
      <c r="J40" s="15">
        <f>J27/$J$28</f>
        <v>0</v>
      </c>
      <c r="K40" s="11"/>
      <c r="L40" s="12" t="s">
        <v>13</v>
      </c>
      <c r="M40" s="15"/>
      <c r="N40" s="15"/>
      <c r="O40" s="15"/>
      <c r="P40" s="15"/>
      <c r="Q40" s="15"/>
      <c r="R40" s="15"/>
      <c r="S40" s="15"/>
      <c r="T40" s="15"/>
      <c r="U40" s="15"/>
      <c r="W40" s="12" t="s">
        <v>13</v>
      </c>
      <c r="X40" s="15"/>
      <c r="Y40" s="15"/>
      <c r="Z40" s="15"/>
      <c r="AA40" s="15"/>
      <c r="AB40" s="15"/>
      <c r="AC40" s="15"/>
      <c r="AD40" s="15"/>
      <c r="AE40" s="15"/>
      <c r="AF40" s="15"/>
    </row>
    <row ht="14.65" r="41" spans="1:32" thickBot="1" x14ac:dyDescent="0.5">
      <c r="A41" s="1" t="s">
        <v>4</v>
      </c>
      <c r="B41" s="16">
        <f ref="B41:H41" si="55" t="shared">B28/$J$28</f>
        <v>0.38458831207219962</v>
      </c>
      <c r="C41" s="16">
        <f si="55" t="shared"/>
        <v>4.3278820943678943E-2</v>
      </c>
      <c r="D41" s="16">
        <f si="55" t="shared"/>
        <v>3.1898468554361716E-2</v>
      </c>
      <c r="E41" s="16">
        <f si="55" t="shared"/>
        <v>0.21151770071386408</v>
      </c>
      <c r="F41" s="16">
        <f si="55" t="shared"/>
        <v>0.10733593274038818</v>
      </c>
      <c r="G41" s="16">
        <f si="55" t="shared"/>
        <v>0.15806727166410836</v>
      </c>
      <c r="H41" s="16">
        <f si="55" t="shared"/>
        <v>6.3313493311399127E-2</v>
      </c>
      <c r="I41" s="16">
        <f>I28/$J$28</f>
        <v>0</v>
      </c>
      <c r="J41" s="16">
        <f>J28/$J$28</f>
        <v>1</v>
      </c>
      <c r="K41" s="11"/>
      <c r="L41" s="13" t="s">
        <v>4</v>
      </c>
      <c r="M41" s="16">
        <f>M28/$U$28</f>
        <v>0.42605802561330375</v>
      </c>
      <c r="N41" s="16">
        <f>N28/$U$28</f>
        <v>3.9796475662903064E-2</v>
      </c>
      <c r="O41" s="16">
        <f>O28/$U$28</f>
        <v>2.0976604732553864E-2</v>
      </c>
      <c r="P41" s="16">
        <f>P28/$U$28</f>
        <v>0.22361484189525072</v>
      </c>
      <c r="Q41" s="16">
        <f ref="Q41:S41" si="56" t="shared">Q28/$U$28</f>
        <v>7.195242925132915E-2</v>
      </c>
      <c r="R41" s="16">
        <f si="56" t="shared"/>
        <v>0.15009083917564842</v>
      </c>
      <c r="S41" s="16">
        <f si="56" t="shared"/>
        <v>6.7510783669011018E-2</v>
      </c>
      <c r="T41" s="16">
        <f>T28/$U$28</f>
        <v>0</v>
      </c>
      <c r="U41" s="16">
        <f>U28/$U$28</f>
        <v>1</v>
      </c>
      <c r="W41" s="13" t="s">
        <v>4</v>
      </c>
      <c r="X41" s="16">
        <f ref="X41:AF41" si="57" t="shared">M41-B41</f>
        <v>4.1469713541104125E-2</v>
      </c>
      <c r="Y41" s="16">
        <f si="57" t="shared"/>
        <v>-3.4823452807758795E-3</v>
      </c>
      <c r="Z41" s="16">
        <f si="57" t="shared"/>
        <v>-1.0921863821807851E-2</v>
      </c>
      <c r="AA41" s="16">
        <f si="57" t="shared"/>
        <v>1.2097141181386634E-2</v>
      </c>
      <c r="AB41" s="16">
        <f si="57" t="shared"/>
        <v>-3.5383503489059026E-2</v>
      </c>
      <c r="AC41" s="16">
        <f si="57" t="shared"/>
        <v>-7.9764324884599447E-3</v>
      </c>
      <c r="AD41" s="16">
        <f si="57" t="shared"/>
        <v>4.1972903576118908E-3</v>
      </c>
      <c r="AE41" s="16">
        <f si="57" t="shared"/>
        <v>0</v>
      </c>
      <c r="AF41" s="16">
        <f si="5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J16" sqref="J16"/>
    </sheetView>
  </sheetViews>
  <sheetFormatPr defaultRowHeight="14.25" x14ac:dyDescent="0.45"/>
  <sheetData>
    <row r="1" spans="1:3" x14ac:dyDescent="0.45">
      <c r="A1" s="9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24</v>
      </c>
    </row>
    <row r="4" spans="1:3" x14ac:dyDescent="0.45">
      <c r="B4" t="s">
        <v>21</v>
      </c>
      <c r="C4" t="s">
        <v>25</v>
      </c>
    </row>
    <row r="5" spans="1:3" x14ac:dyDescent="0.45">
      <c r="B5" t="s">
        <v>22</v>
      </c>
      <c r="C5" t="s">
        <v>26</v>
      </c>
    </row>
    <row r="6" spans="1:3" x14ac:dyDescent="0.45">
      <c r="B6" t="s">
        <v>23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31</v>
      </c>
    </row>
    <row r="12" spans="1:3" x14ac:dyDescent="0.45">
      <c r="A12">
        <v>4</v>
      </c>
      <c r="B12" t="s">
        <v>32</v>
      </c>
    </row>
    <row r="14" spans="1:3" x14ac:dyDescent="0.45">
      <c r="A14">
        <v>5</v>
      </c>
      <c r="B14" t="s">
        <v>29</v>
      </c>
    </row>
    <row r="15" spans="1:3" x14ac:dyDescent="0.4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10" workbookViewId="0">
      <selection activeCell="D28" sqref="D28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1" t="s">
        <v>41</v>
      </c>
    </row>
    <row r="2" spans="1:4" x14ac:dyDescent="0.45">
      <c r="A2" t="s">
        <v>256</v>
      </c>
      <c r="B2" t="s">
        <v>257</v>
      </c>
      <c r="C2" t="s">
        <v>90</v>
      </c>
      <c r="D2" t="s">
        <v>258</v>
      </c>
    </row>
    <row r="3" spans="1:4" x14ac:dyDescent="0.45">
      <c r="A3">
        <v>1</v>
      </c>
      <c r="B3" t="s">
        <v>44</v>
      </c>
      <c r="C3" t="s">
        <v>275</v>
      </c>
      <c r="D3" t="s">
        <v>45</v>
      </c>
    </row>
    <row r="4" spans="1:4" x14ac:dyDescent="0.45">
      <c r="A4">
        <v>2</v>
      </c>
      <c r="B4" t="s">
        <v>47</v>
      </c>
      <c r="C4" t="s">
        <v>275</v>
      </c>
      <c r="D4" t="s">
        <v>48</v>
      </c>
    </row>
    <row r="5" spans="1:4" x14ac:dyDescent="0.45">
      <c r="A5">
        <v>3</v>
      </c>
      <c r="B5" t="s">
        <v>50</v>
      </c>
      <c r="C5" t="s">
        <v>275</v>
      </c>
      <c r="D5" t="s">
        <v>51</v>
      </c>
    </row>
    <row r="6" spans="1:4" x14ac:dyDescent="0.45">
      <c r="A6">
        <v>4</v>
      </c>
      <c r="B6" t="s">
        <v>53</v>
      </c>
      <c r="C6" t="s">
        <v>275</v>
      </c>
      <c r="D6" t="s">
        <v>54</v>
      </c>
    </row>
    <row r="7" spans="1:4" x14ac:dyDescent="0.45">
      <c r="A7">
        <v>5</v>
      </c>
      <c r="B7" t="s">
        <v>56</v>
      </c>
      <c r="C7" t="s">
        <v>275</v>
      </c>
      <c r="D7" t="s">
        <v>57</v>
      </c>
    </row>
    <row r="8" spans="1:4" x14ac:dyDescent="0.45">
      <c r="A8">
        <v>6</v>
      </c>
      <c r="B8" t="s">
        <v>58</v>
      </c>
      <c r="C8" t="s">
        <v>275</v>
      </c>
      <c r="D8" t="s">
        <v>59</v>
      </c>
    </row>
    <row r="9" spans="1:4" x14ac:dyDescent="0.45">
      <c r="A9">
        <v>7</v>
      </c>
      <c r="B9" t="s">
        <v>60</v>
      </c>
      <c r="C9" t="s">
        <v>275</v>
      </c>
      <c r="D9" t="s">
        <v>61</v>
      </c>
    </row>
    <row r="10" spans="1:4" x14ac:dyDescent="0.45">
      <c r="A10">
        <v>8</v>
      </c>
      <c r="B10" t="s">
        <v>63</v>
      </c>
      <c r="C10" t="s">
        <v>275</v>
      </c>
      <c r="D10" t="s">
        <v>64</v>
      </c>
    </row>
    <row r="11" spans="1:4" x14ac:dyDescent="0.45">
      <c r="A11">
        <v>9</v>
      </c>
      <c r="B11" t="s">
        <v>65</v>
      </c>
      <c r="C11" t="s">
        <v>275</v>
      </c>
      <c r="D11" t="s">
        <v>66</v>
      </c>
    </row>
    <row r="12" spans="1:4" x14ac:dyDescent="0.45">
      <c r="A12">
        <v>10</v>
      </c>
      <c r="B12" t="s">
        <v>67</v>
      </c>
      <c r="C12" t="s">
        <v>275</v>
      </c>
      <c r="D12" t="s">
        <v>68</v>
      </c>
    </row>
    <row r="13" spans="1:4" x14ac:dyDescent="0.45">
      <c r="A13">
        <v>11</v>
      </c>
      <c r="B13" t="s">
        <v>69</v>
      </c>
      <c r="C13" t="s">
        <v>275</v>
      </c>
      <c r="D13" t="s">
        <v>70</v>
      </c>
    </row>
    <row r="14" spans="1:4" x14ac:dyDescent="0.45">
      <c r="A14">
        <v>12</v>
      </c>
      <c r="B14" t="s">
        <v>71</v>
      </c>
      <c r="C14" t="s">
        <v>275</v>
      </c>
      <c r="D14" t="s">
        <v>72</v>
      </c>
    </row>
    <row r="15" spans="1:4" x14ac:dyDescent="0.45">
      <c r="A15">
        <v>13</v>
      </c>
      <c r="B15" t="s">
        <v>73</v>
      </c>
      <c r="C15" t="s">
        <v>275</v>
      </c>
      <c r="D15" t="s">
        <v>74</v>
      </c>
    </row>
    <row r="16" spans="1:4" x14ac:dyDescent="0.45">
      <c r="A16">
        <v>14</v>
      </c>
      <c r="B16" t="s">
        <v>75</v>
      </c>
      <c r="C16" t="s">
        <v>275</v>
      </c>
      <c r="D16" t="s">
        <v>76</v>
      </c>
    </row>
    <row r="17" spans="1:4" x14ac:dyDescent="0.45">
      <c r="A17">
        <v>15</v>
      </c>
      <c r="B17" t="s">
        <v>77</v>
      </c>
      <c r="C17" t="s">
        <v>275</v>
      </c>
      <c r="D17" t="s">
        <v>78</v>
      </c>
    </row>
    <row r="18" spans="1:4" x14ac:dyDescent="0.45">
      <c r="A18">
        <v>16</v>
      </c>
      <c r="B18" t="s">
        <v>79</v>
      </c>
      <c r="C18" t="s">
        <v>275</v>
      </c>
      <c r="D18" t="s">
        <v>80</v>
      </c>
    </row>
    <row r="19" spans="1:4" x14ac:dyDescent="0.45">
      <c r="A19">
        <v>17</v>
      </c>
      <c r="B19" t="s">
        <v>82</v>
      </c>
      <c r="C19" t="s">
        <v>275</v>
      </c>
      <c r="D19" t="s">
        <v>83</v>
      </c>
    </row>
    <row r="20" spans="1:4" x14ac:dyDescent="0.45">
      <c r="A20">
        <v>18</v>
      </c>
      <c r="B20" t="s">
        <v>85</v>
      </c>
      <c r="C20" t="s">
        <v>275</v>
      </c>
      <c r="D20" t="s">
        <v>86</v>
      </c>
    </row>
    <row r="21" spans="1:4" x14ac:dyDescent="0.45">
      <c r="A21">
        <v>19</v>
      </c>
      <c r="B21" t="s">
        <v>88</v>
      </c>
      <c r="C21" t="s">
        <v>275</v>
      </c>
      <c r="D21" t="s">
        <v>89</v>
      </c>
    </row>
    <row r="22" spans="1:4" x14ac:dyDescent="0.45">
      <c r="A22">
        <v>20</v>
      </c>
      <c r="B22" t="s">
        <v>91</v>
      </c>
      <c r="C22" t="s">
        <v>87</v>
      </c>
      <c r="D22" t="s">
        <v>92</v>
      </c>
    </row>
    <row r="23" spans="1:4" x14ac:dyDescent="0.45">
      <c r="A23">
        <v>21</v>
      </c>
      <c r="B23" t="s">
        <v>93</v>
      </c>
      <c r="C23" t="s">
        <v>87</v>
      </c>
      <c r="D23" t="s">
        <v>94</v>
      </c>
    </row>
    <row r="24" spans="1:4" x14ac:dyDescent="0.45">
      <c r="A24">
        <v>22</v>
      </c>
      <c r="B24" t="s">
        <v>95</v>
      </c>
      <c r="C24" t="s">
        <v>87</v>
      </c>
      <c r="D24" t="s">
        <v>96</v>
      </c>
    </row>
    <row r="25" spans="1:4" x14ac:dyDescent="0.45">
      <c r="A25">
        <v>23</v>
      </c>
      <c r="B25" t="s">
        <v>97</v>
      </c>
      <c r="C25" t="s">
        <v>87</v>
      </c>
      <c r="D25" t="s">
        <v>98</v>
      </c>
    </row>
    <row r="26" spans="1:4" x14ac:dyDescent="0.45">
      <c r="A26">
        <v>24</v>
      </c>
      <c r="B26" t="s">
        <v>99</v>
      </c>
      <c r="C26" t="s">
        <v>87</v>
      </c>
      <c r="D26" t="s">
        <v>100</v>
      </c>
    </row>
    <row r="27" spans="1:4" x14ac:dyDescent="0.45">
      <c r="A27">
        <v>25</v>
      </c>
      <c r="B27" t="s">
        <v>102</v>
      </c>
      <c r="C27" t="s">
        <v>87</v>
      </c>
      <c r="D27" t="s">
        <v>103</v>
      </c>
    </row>
    <row r="28" spans="1:4" x14ac:dyDescent="0.45">
      <c r="A28">
        <v>26</v>
      </c>
      <c r="B28" t="s">
        <v>104</v>
      </c>
      <c r="C28" t="s">
        <v>101</v>
      </c>
      <c r="D28" t="s">
        <v>92</v>
      </c>
    </row>
    <row r="29" spans="1:4" x14ac:dyDescent="0.45">
      <c r="A29">
        <v>27</v>
      </c>
      <c r="B29" t="s">
        <v>105</v>
      </c>
      <c r="C29" t="s">
        <v>101</v>
      </c>
      <c r="D29" t="s">
        <v>94</v>
      </c>
    </row>
    <row r="30" spans="1:4" x14ac:dyDescent="0.45">
      <c r="A30">
        <v>28</v>
      </c>
      <c r="B30" t="s">
        <v>107</v>
      </c>
      <c r="C30" t="s">
        <v>101</v>
      </c>
      <c r="D30" t="s">
        <v>96</v>
      </c>
    </row>
    <row r="31" spans="1:4" x14ac:dyDescent="0.45">
      <c r="A31">
        <v>29</v>
      </c>
      <c r="B31" t="s">
        <v>108</v>
      </c>
      <c r="C31" t="s">
        <v>101</v>
      </c>
      <c r="D31" t="s">
        <v>98</v>
      </c>
    </row>
    <row r="32" spans="1:4" x14ac:dyDescent="0.45">
      <c r="A32">
        <v>30</v>
      </c>
      <c r="B32" t="s">
        <v>109</v>
      </c>
      <c r="C32" t="s">
        <v>101</v>
      </c>
      <c r="D32" t="s">
        <v>110</v>
      </c>
    </row>
    <row r="33" spans="1:4" x14ac:dyDescent="0.45">
      <c r="A33">
        <v>31</v>
      </c>
      <c r="B33" t="s">
        <v>111</v>
      </c>
      <c r="C33" t="s">
        <v>101</v>
      </c>
      <c r="D33" t="s">
        <v>112</v>
      </c>
    </row>
    <row r="34" spans="1:4" x14ac:dyDescent="0.45">
      <c r="A34">
        <v>32</v>
      </c>
      <c r="B34" t="s">
        <v>113</v>
      </c>
      <c r="C34" t="s">
        <v>101</v>
      </c>
      <c r="D34" t="s">
        <v>114</v>
      </c>
    </row>
    <row r="35" spans="1:4" x14ac:dyDescent="0.45">
      <c r="A35">
        <v>33</v>
      </c>
      <c r="B35" t="s">
        <v>115</v>
      </c>
      <c r="C35" t="s">
        <v>101</v>
      </c>
      <c r="D35" t="s">
        <v>116</v>
      </c>
    </row>
    <row r="36" spans="1:4" x14ac:dyDescent="0.45">
      <c r="A36">
        <v>34</v>
      </c>
      <c r="B36" t="s">
        <v>117</v>
      </c>
      <c r="C36" t="s">
        <v>101</v>
      </c>
      <c r="D36" t="s">
        <v>118</v>
      </c>
    </row>
    <row r="37" spans="1:4" x14ac:dyDescent="0.45">
      <c r="A37">
        <v>35</v>
      </c>
      <c r="B37" t="s">
        <v>120</v>
      </c>
      <c r="C37" t="s">
        <v>101</v>
      </c>
      <c r="D37" t="s">
        <v>121</v>
      </c>
    </row>
    <row r="38" spans="1:4" x14ac:dyDescent="0.45">
      <c r="A38">
        <v>36</v>
      </c>
      <c r="B38" t="s">
        <v>122</v>
      </c>
      <c r="C38" t="s">
        <v>119</v>
      </c>
      <c r="D38" t="s">
        <v>92</v>
      </c>
    </row>
    <row r="39" spans="1:4" x14ac:dyDescent="0.45">
      <c r="A39">
        <v>37</v>
      </c>
      <c r="B39" t="s">
        <v>123</v>
      </c>
      <c r="C39" t="s">
        <v>119</v>
      </c>
      <c r="D39" t="s">
        <v>94</v>
      </c>
    </row>
    <row r="40" spans="1:4" x14ac:dyDescent="0.45">
      <c r="A40">
        <v>38</v>
      </c>
      <c r="B40" t="s">
        <v>125</v>
      </c>
      <c r="C40" t="s">
        <v>119</v>
      </c>
      <c r="D40" t="s">
        <v>96</v>
      </c>
    </row>
    <row r="41" spans="1:4" x14ac:dyDescent="0.45">
      <c r="A41">
        <v>39</v>
      </c>
      <c r="B41" t="s">
        <v>126</v>
      </c>
      <c r="C41" t="s">
        <v>119</v>
      </c>
      <c r="D41" t="s">
        <v>98</v>
      </c>
    </row>
    <row r="42" spans="1:4" x14ac:dyDescent="0.45">
      <c r="A42">
        <v>40</v>
      </c>
      <c r="B42" t="s">
        <v>127</v>
      </c>
      <c r="C42" t="s">
        <v>119</v>
      </c>
      <c r="D42" t="s">
        <v>110</v>
      </c>
    </row>
    <row r="43" spans="1:4" x14ac:dyDescent="0.45">
      <c r="A43">
        <v>41</v>
      </c>
      <c r="B43" t="s">
        <v>128</v>
      </c>
      <c r="C43" t="s">
        <v>119</v>
      </c>
      <c r="D43" t="s">
        <v>112</v>
      </c>
    </row>
    <row r="44" spans="1:4" x14ac:dyDescent="0.45">
      <c r="A44">
        <v>42</v>
      </c>
      <c r="B44" t="s">
        <v>130</v>
      </c>
      <c r="C44" t="s">
        <v>119</v>
      </c>
      <c r="D44" t="s">
        <v>131</v>
      </c>
    </row>
    <row r="45" spans="1:4" x14ac:dyDescent="0.45">
      <c r="A45">
        <v>43</v>
      </c>
      <c r="B45" t="s">
        <v>132</v>
      </c>
      <c r="C45" t="s">
        <v>129</v>
      </c>
      <c r="D45" t="s">
        <v>92</v>
      </c>
    </row>
    <row r="46" spans="1:4" x14ac:dyDescent="0.45">
      <c r="A46">
        <v>44</v>
      </c>
      <c r="B46" t="s">
        <v>133</v>
      </c>
      <c r="C46" t="s">
        <v>129</v>
      </c>
      <c r="D46" t="s">
        <v>134</v>
      </c>
    </row>
    <row r="47" spans="1:4" x14ac:dyDescent="0.45">
      <c r="A47">
        <v>45</v>
      </c>
      <c r="B47" t="s">
        <v>135</v>
      </c>
      <c r="C47" t="s">
        <v>129</v>
      </c>
      <c r="D47" t="s">
        <v>136</v>
      </c>
    </row>
    <row r="48" spans="1:4" x14ac:dyDescent="0.45">
      <c r="A48">
        <v>46</v>
      </c>
      <c r="B48" t="s">
        <v>137</v>
      </c>
      <c r="C48" t="s">
        <v>129</v>
      </c>
      <c r="D48" t="s">
        <v>138</v>
      </c>
    </row>
    <row r="49" spans="1:4" x14ac:dyDescent="0.45">
      <c r="A49">
        <v>47</v>
      </c>
      <c r="B49" t="s">
        <v>139</v>
      </c>
      <c r="C49" t="s">
        <v>129</v>
      </c>
      <c r="D49" t="s">
        <v>140</v>
      </c>
    </row>
    <row r="50" spans="1:4" x14ac:dyDescent="0.45">
      <c r="A50">
        <v>48</v>
      </c>
      <c r="B50" t="s">
        <v>142</v>
      </c>
      <c r="C50" t="s">
        <v>129</v>
      </c>
      <c r="D50" t="s">
        <v>143</v>
      </c>
    </row>
    <row r="51" spans="1:4" x14ac:dyDescent="0.45">
      <c r="A51">
        <v>49</v>
      </c>
      <c r="B51" t="s">
        <v>144</v>
      </c>
      <c r="C51" t="s">
        <v>141</v>
      </c>
      <c r="D51" t="s">
        <v>92</v>
      </c>
    </row>
    <row r="52" spans="1:4" x14ac:dyDescent="0.45">
      <c r="A52">
        <v>50</v>
      </c>
      <c r="B52" t="s">
        <v>145</v>
      </c>
      <c r="C52" t="s">
        <v>141</v>
      </c>
      <c r="D52" t="s">
        <v>94</v>
      </c>
    </row>
    <row r="53" spans="1:4" x14ac:dyDescent="0.45">
      <c r="A53">
        <v>51</v>
      </c>
      <c r="B53" t="s">
        <v>146</v>
      </c>
      <c r="C53" t="s">
        <v>141</v>
      </c>
      <c r="D53" t="s">
        <v>96</v>
      </c>
    </row>
    <row r="54" spans="1:4" x14ac:dyDescent="0.45">
      <c r="A54">
        <v>52</v>
      </c>
      <c r="B54" t="s">
        <v>147</v>
      </c>
      <c r="C54" t="s">
        <v>141</v>
      </c>
      <c r="D54" t="s">
        <v>98</v>
      </c>
    </row>
    <row r="55" spans="1:4" x14ac:dyDescent="0.45">
      <c r="A55">
        <v>53</v>
      </c>
      <c r="B55" t="s">
        <v>148</v>
      </c>
      <c r="C55" t="s">
        <v>141</v>
      </c>
      <c r="D55" t="s">
        <v>110</v>
      </c>
    </row>
    <row r="56" spans="1:4" x14ac:dyDescent="0.45">
      <c r="A56">
        <v>54</v>
      </c>
      <c r="B56" t="s">
        <v>149</v>
      </c>
      <c r="C56" t="s">
        <v>141</v>
      </c>
      <c r="D56" t="s">
        <v>150</v>
      </c>
    </row>
    <row r="57" spans="1:4" x14ac:dyDescent="0.45">
      <c r="A57">
        <v>55</v>
      </c>
      <c r="B57" t="s">
        <v>151</v>
      </c>
      <c r="C57" t="s">
        <v>141</v>
      </c>
      <c r="D57" t="s">
        <v>114</v>
      </c>
    </row>
    <row r="58" spans="1:4" x14ac:dyDescent="0.45">
      <c r="A58">
        <v>56</v>
      </c>
      <c r="B58" t="s">
        <v>152</v>
      </c>
      <c r="C58" t="s">
        <v>141</v>
      </c>
      <c r="D58" t="s">
        <v>118</v>
      </c>
    </row>
    <row r="59" spans="1:4" x14ac:dyDescent="0.45">
      <c r="A59">
        <v>57</v>
      </c>
      <c r="B59" t="s">
        <v>153</v>
      </c>
      <c r="C59" t="s">
        <v>141</v>
      </c>
      <c r="D59" t="s">
        <v>121</v>
      </c>
    </row>
    <row r="60" spans="1:4" x14ac:dyDescent="0.45">
      <c r="A60">
        <v>118</v>
      </c>
      <c r="B60" t="s">
        <v>255</v>
      </c>
    </row>
    <row r="61" spans="1:4" x14ac:dyDescent="0.45">
      <c r="A61">
        <v>70</v>
      </c>
      <c r="B61" t="s">
        <v>154</v>
      </c>
      <c r="C61" t="s">
        <v>87</v>
      </c>
    </row>
    <row r="62" spans="1:4" x14ac:dyDescent="0.45">
      <c r="A62">
        <v>71</v>
      </c>
      <c r="B62" t="s">
        <v>155</v>
      </c>
      <c r="C62" t="s">
        <v>87</v>
      </c>
      <c r="D62" t="s">
        <v>156</v>
      </c>
    </row>
    <row r="63" spans="1:4" x14ac:dyDescent="0.45">
      <c r="A63">
        <v>72</v>
      </c>
      <c r="B63" t="s">
        <v>157</v>
      </c>
      <c r="C63" t="s">
        <v>87</v>
      </c>
      <c r="D63" t="s">
        <v>158</v>
      </c>
    </row>
    <row r="64" spans="1:4" x14ac:dyDescent="0.45">
      <c r="A64">
        <v>73</v>
      </c>
      <c r="B64" t="s">
        <v>159</v>
      </c>
      <c r="C64" t="s">
        <v>87</v>
      </c>
      <c r="D64" t="s">
        <v>160</v>
      </c>
    </row>
    <row r="65" spans="1:4" x14ac:dyDescent="0.45">
      <c r="A65">
        <v>74</v>
      </c>
      <c r="B65" t="s">
        <v>161</v>
      </c>
      <c r="C65" t="s">
        <v>87</v>
      </c>
      <c r="D65" t="s">
        <v>162</v>
      </c>
    </row>
    <row r="66" spans="1:4" x14ac:dyDescent="0.45">
      <c r="A66">
        <v>75</v>
      </c>
      <c r="B66" t="s">
        <v>163</v>
      </c>
      <c r="C66" t="s">
        <v>87</v>
      </c>
      <c r="D66" t="s">
        <v>164</v>
      </c>
    </row>
    <row r="67" spans="1:4" x14ac:dyDescent="0.45">
      <c r="A67">
        <v>76</v>
      </c>
      <c r="B67" t="s">
        <v>165</v>
      </c>
      <c r="C67" t="s">
        <v>87</v>
      </c>
      <c r="D67" t="s">
        <v>166</v>
      </c>
    </row>
    <row r="68" spans="1:4" x14ac:dyDescent="0.45">
      <c r="A68">
        <v>77</v>
      </c>
      <c r="B68" t="s">
        <v>167</v>
      </c>
      <c r="C68" t="s">
        <v>87</v>
      </c>
      <c r="D68" t="s">
        <v>168</v>
      </c>
    </row>
    <row r="69" spans="1:4" x14ac:dyDescent="0.45">
      <c r="A69">
        <v>78</v>
      </c>
      <c r="B69" t="s">
        <v>169</v>
      </c>
      <c r="C69" t="s">
        <v>87</v>
      </c>
      <c r="D69" t="s">
        <v>170</v>
      </c>
    </row>
    <row r="70" spans="1:4" x14ac:dyDescent="0.45">
      <c r="A70">
        <v>79</v>
      </c>
      <c r="B70" t="s">
        <v>171</v>
      </c>
      <c r="C70" t="s">
        <v>87</v>
      </c>
      <c r="D70" t="s">
        <v>172</v>
      </c>
    </row>
    <row r="71" spans="1:4" x14ac:dyDescent="0.45">
      <c r="A71">
        <v>80</v>
      </c>
      <c r="B71" t="s">
        <v>173</v>
      </c>
      <c r="C71" t="s">
        <v>87</v>
      </c>
      <c r="D71" t="s">
        <v>174</v>
      </c>
    </row>
    <row r="72" spans="1:4" x14ac:dyDescent="0.45">
      <c r="A72">
        <v>81</v>
      </c>
      <c r="B72" t="s">
        <v>175</v>
      </c>
      <c r="C72" t="s">
        <v>87</v>
      </c>
      <c r="D72" t="s">
        <v>176</v>
      </c>
    </row>
    <row r="73" spans="1:4" x14ac:dyDescent="0.45">
      <c r="A73">
        <v>82</v>
      </c>
      <c r="B73" t="s">
        <v>177</v>
      </c>
      <c r="C73" t="s">
        <v>87</v>
      </c>
      <c r="D73" t="s">
        <v>176</v>
      </c>
    </row>
    <row r="74" spans="1:4" x14ac:dyDescent="0.45">
      <c r="A74">
        <v>83</v>
      </c>
      <c r="B74" t="s">
        <v>178</v>
      </c>
      <c r="C74" t="s">
        <v>87</v>
      </c>
      <c r="D74" t="s">
        <v>179</v>
      </c>
    </row>
    <row r="75" spans="1:4" x14ac:dyDescent="0.45">
      <c r="A75">
        <v>84</v>
      </c>
      <c r="B75" t="s">
        <v>180</v>
      </c>
      <c r="C75" t="s">
        <v>87</v>
      </c>
      <c r="D75" t="s">
        <v>181</v>
      </c>
    </row>
    <row r="76" spans="1:4" x14ac:dyDescent="0.45">
      <c r="A76">
        <v>85</v>
      </c>
      <c r="B76" t="s">
        <v>182</v>
      </c>
      <c r="C76" t="s">
        <v>87</v>
      </c>
      <c r="D76" t="s">
        <v>183</v>
      </c>
    </row>
    <row r="77" spans="1:4" x14ac:dyDescent="0.45">
      <c r="A77">
        <v>86</v>
      </c>
      <c r="B77" t="s">
        <v>184</v>
      </c>
      <c r="C77" t="s">
        <v>87</v>
      </c>
      <c r="D77" t="s">
        <v>185</v>
      </c>
    </row>
    <row r="78" spans="1:4" x14ac:dyDescent="0.45">
      <c r="A78">
        <v>87</v>
      </c>
      <c r="B78" t="s">
        <v>186</v>
      </c>
      <c r="C78" t="s">
        <v>87</v>
      </c>
      <c r="D78" t="s">
        <v>187</v>
      </c>
    </row>
    <row r="79" spans="1:4" x14ac:dyDescent="0.45">
      <c r="A79">
        <v>88</v>
      </c>
      <c r="B79" t="s">
        <v>188</v>
      </c>
      <c r="C79" t="s">
        <v>87</v>
      </c>
      <c r="D79" t="s">
        <v>189</v>
      </c>
    </row>
    <row r="80" spans="1:4" x14ac:dyDescent="0.45">
      <c r="A80">
        <v>89</v>
      </c>
      <c r="B80" t="s">
        <v>190</v>
      </c>
      <c r="C80" t="s">
        <v>101</v>
      </c>
      <c r="D80" t="s">
        <v>191</v>
      </c>
    </row>
    <row r="81" spans="1:4" x14ac:dyDescent="0.45">
      <c r="A81">
        <v>90</v>
      </c>
      <c r="B81" t="s">
        <v>192</v>
      </c>
      <c r="C81" t="s">
        <v>101</v>
      </c>
      <c r="D81" t="s">
        <v>193</v>
      </c>
    </row>
    <row r="82" spans="1:4" x14ac:dyDescent="0.45">
      <c r="A82">
        <v>91</v>
      </c>
      <c r="B82" t="s">
        <v>194</v>
      </c>
      <c r="C82" t="s">
        <v>101</v>
      </c>
      <c r="D82" t="s">
        <v>195</v>
      </c>
    </row>
    <row r="83" spans="1:4" x14ac:dyDescent="0.45">
      <c r="A83">
        <v>92</v>
      </c>
      <c r="B83" t="s">
        <v>196</v>
      </c>
      <c r="C83" t="s">
        <v>101</v>
      </c>
      <c r="D83" t="s">
        <v>197</v>
      </c>
    </row>
    <row r="84" spans="1:4" x14ac:dyDescent="0.45">
      <c r="A84">
        <v>93</v>
      </c>
      <c r="B84" t="s">
        <v>198</v>
      </c>
      <c r="C84" t="s">
        <v>101</v>
      </c>
      <c r="D84" t="s">
        <v>199</v>
      </c>
    </row>
    <row r="85" spans="1:4" x14ac:dyDescent="0.45">
      <c r="A85">
        <v>94</v>
      </c>
      <c r="B85" t="s">
        <v>200</v>
      </c>
      <c r="C85" t="s">
        <v>101</v>
      </c>
      <c r="D85" t="s">
        <v>201</v>
      </c>
    </row>
    <row r="86" spans="1:4" x14ac:dyDescent="0.45">
      <c r="A86">
        <v>95</v>
      </c>
      <c r="B86" t="s">
        <v>202</v>
      </c>
      <c r="C86" t="s">
        <v>101</v>
      </c>
      <c r="D86" t="s">
        <v>203</v>
      </c>
    </row>
    <row r="87" spans="1:4" x14ac:dyDescent="0.45">
      <c r="A87">
        <v>96</v>
      </c>
      <c r="B87" t="s">
        <v>204</v>
      </c>
      <c r="C87" t="s">
        <v>101</v>
      </c>
      <c r="D87" t="s">
        <v>205</v>
      </c>
    </row>
    <row r="88" spans="1:4" x14ac:dyDescent="0.45">
      <c r="A88">
        <v>97</v>
      </c>
      <c r="B88" t="s">
        <v>206</v>
      </c>
      <c r="C88" t="s">
        <v>101</v>
      </c>
      <c r="D88" t="s">
        <v>207</v>
      </c>
    </row>
    <row r="89" spans="1:4" x14ac:dyDescent="0.45">
      <c r="A89">
        <v>98</v>
      </c>
      <c r="B89" t="s">
        <v>208</v>
      </c>
      <c r="C89" t="s">
        <v>119</v>
      </c>
      <c r="D89" t="s">
        <v>193</v>
      </c>
    </row>
    <row r="90" spans="1:4" x14ac:dyDescent="0.45">
      <c r="A90">
        <v>99</v>
      </c>
      <c r="B90" t="s">
        <v>209</v>
      </c>
      <c r="C90" t="s">
        <v>119</v>
      </c>
      <c r="D90" t="s">
        <v>195</v>
      </c>
    </row>
    <row r="91" spans="1:4" x14ac:dyDescent="0.45">
      <c r="A91">
        <v>100</v>
      </c>
      <c r="B91" t="s">
        <v>210</v>
      </c>
      <c r="C91" t="s">
        <v>119</v>
      </c>
      <c r="D91" t="s">
        <v>197</v>
      </c>
    </row>
    <row r="92" spans="1:4" x14ac:dyDescent="0.45">
      <c r="A92">
        <v>101</v>
      </c>
      <c r="B92" t="s">
        <v>211</v>
      </c>
      <c r="C92" t="s">
        <v>119</v>
      </c>
      <c r="D92" t="s">
        <v>199</v>
      </c>
    </row>
    <row r="93" spans="1:4" x14ac:dyDescent="0.45">
      <c r="A93">
        <v>102</v>
      </c>
      <c r="B93" t="s">
        <v>212</v>
      </c>
      <c r="C93" t="s">
        <v>129</v>
      </c>
      <c r="D93" t="s">
        <v>193</v>
      </c>
    </row>
    <row r="94" spans="1:4" x14ac:dyDescent="0.45">
      <c r="A94">
        <v>103</v>
      </c>
      <c r="B94" t="s">
        <v>213</v>
      </c>
      <c r="C94" t="s">
        <v>129</v>
      </c>
      <c r="D94" t="s">
        <v>195</v>
      </c>
    </row>
    <row r="95" spans="1:4" x14ac:dyDescent="0.45">
      <c r="A95">
        <v>104</v>
      </c>
      <c r="B95" t="s">
        <v>214</v>
      </c>
      <c r="C95" t="s">
        <v>129</v>
      </c>
      <c r="D95" t="s">
        <v>197</v>
      </c>
    </row>
    <row r="96" spans="1:4" x14ac:dyDescent="0.45">
      <c r="A96">
        <v>105</v>
      </c>
      <c r="B96" t="s">
        <v>215</v>
      </c>
      <c r="C96" t="s">
        <v>129</v>
      </c>
      <c r="D96" t="s">
        <v>199</v>
      </c>
    </row>
    <row r="97" spans="1:4" x14ac:dyDescent="0.45">
      <c r="A97">
        <v>106</v>
      </c>
      <c r="B97" t="s">
        <v>216</v>
      </c>
      <c r="C97" t="s">
        <v>141</v>
      </c>
      <c r="D97" t="s">
        <v>193</v>
      </c>
    </row>
    <row r="98" spans="1:4" x14ac:dyDescent="0.45">
      <c r="A98">
        <v>107</v>
      </c>
      <c r="B98" t="s">
        <v>217</v>
      </c>
      <c r="C98" t="s">
        <v>141</v>
      </c>
      <c r="D98" t="s">
        <v>218</v>
      </c>
    </row>
    <row r="99" spans="1:4" x14ac:dyDescent="0.45">
      <c r="A99">
        <v>108</v>
      </c>
      <c r="B99" t="s">
        <v>219</v>
      </c>
      <c r="C99" t="s">
        <v>141</v>
      </c>
      <c r="D99" t="s">
        <v>195</v>
      </c>
    </row>
    <row r="100" spans="1:4" x14ac:dyDescent="0.45">
      <c r="A100">
        <v>109</v>
      </c>
      <c r="B100" t="s">
        <v>220</v>
      </c>
      <c r="C100" t="s">
        <v>141</v>
      </c>
      <c r="D100" t="s">
        <v>197</v>
      </c>
    </row>
    <row r="101" spans="1:4" x14ac:dyDescent="0.45">
      <c r="A101">
        <v>110</v>
      </c>
      <c r="B101" t="s">
        <v>221</v>
      </c>
      <c r="C101" t="s">
        <v>141</v>
      </c>
      <c r="D101" t="s">
        <v>199</v>
      </c>
    </row>
    <row r="102" spans="1:4" x14ac:dyDescent="0.45">
      <c r="A102">
        <v>111</v>
      </c>
      <c r="B102" t="s">
        <v>222</v>
      </c>
      <c r="C102" t="s">
        <v>141</v>
      </c>
      <c r="D102" t="s">
        <v>205</v>
      </c>
    </row>
    <row r="103" spans="1:4" x14ac:dyDescent="0.45">
      <c r="A103">
        <v>112</v>
      </c>
      <c r="B103" t="s">
        <v>223</v>
      </c>
      <c r="C103" t="s">
        <v>141</v>
      </c>
      <c r="D103" t="s">
        <v>224</v>
      </c>
    </row>
    <row r="104" spans="1:4" x14ac:dyDescent="0.4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A8" sqref="A8:K619"/>
    </sheetView>
  </sheetViews>
  <sheetFormatPr defaultRowHeight="14.25" x14ac:dyDescent="0.45"/>
  <sheetData>
    <row r="1" spans="1:11" x14ac:dyDescent="0.45">
      <c r="A1" s="57" t="s">
        <v>237</v>
      </c>
      <c r="B1" s="58"/>
      <c r="C1" s="58"/>
      <c r="D1" s="58"/>
      <c r="E1" s="58"/>
      <c r="F1" s="58"/>
      <c r="G1" s="58"/>
      <c r="H1" s="58" t="s">
        <v>238</v>
      </c>
      <c r="I1" s="58"/>
      <c r="J1" s="58"/>
      <c r="K1" s="59"/>
    </row>
    <row r="2" spans="1:11" x14ac:dyDescent="0.45">
      <c r="A2" s="60">
        <v>1</v>
      </c>
      <c r="B2" s="61" t="s">
        <v>254</v>
      </c>
      <c r="C2" s="61"/>
      <c r="D2" s="61"/>
      <c r="E2" s="61"/>
      <c r="F2" s="61"/>
      <c r="G2" s="61"/>
      <c r="H2" s="61"/>
      <c r="I2" s="61"/>
      <c r="J2" s="61"/>
      <c r="K2" s="62"/>
    </row>
    <row r="3" spans="1:11" x14ac:dyDescent="0.45">
      <c r="A3" s="60">
        <v>2</v>
      </c>
      <c r="B3" s="61" t="s">
        <v>239</v>
      </c>
      <c r="C3" s="61"/>
      <c r="D3" s="61"/>
      <c r="E3" s="61"/>
      <c r="F3" s="61"/>
      <c r="G3" s="61"/>
      <c r="H3" s="61"/>
      <c r="I3" s="61"/>
      <c r="J3" s="61"/>
      <c r="K3" s="62"/>
    </row>
    <row r="4" spans="1:11" x14ac:dyDescent="0.45">
      <c r="A4" s="60">
        <v>3</v>
      </c>
      <c r="B4" s="61" t="s">
        <v>240</v>
      </c>
      <c r="C4" s="61"/>
      <c r="D4" s="61"/>
      <c r="E4" s="61"/>
      <c r="F4" s="61"/>
      <c r="G4" s="61"/>
      <c r="H4" s="61"/>
      <c r="I4" s="61"/>
      <c r="J4" s="61"/>
      <c r="K4" s="62"/>
    </row>
    <row r="5" spans="1:11" x14ac:dyDescent="0.45">
      <c r="A5" s="63">
        <v>4</v>
      </c>
      <c r="B5" s="64" t="s">
        <v>241</v>
      </c>
      <c r="C5" s="64"/>
      <c r="D5" s="64"/>
      <c r="E5" s="64"/>
      <c r="F5" s="64"/>
      <c r="G5" s="64"/>
      <c r="H5" s="64"/>
      <c r="I5" s="64"/>
      <c r="J5" s="64"/>
      <c r="K5" s="65"/>
    </row>
    <row r="8" spans="1:11" x14ac:dyDescent="0.45">
      <c r="A8" t="s">
        <v>227</v>
      </c>
      <c r="B8" t="s">
        <v>228</v>
      </c>
      <c r="C8" t="s">
        <v>229</v>
      </c>
      <c r="D8" t="s">
        <v>282</v>
      </c>
      <c r="E8" t="s">
        <v>283</v>
      </c>
      <c r="F8" t="s">
        <v>284</v>
      </c>
      <c r="G8" t="s">
        <v>285</v>
      </c>
    </row>
    <row r="9" spans="1:11" x14ac:dyDescent="0.4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49">
        <v>0.91831018518518526</v>
      </c>
      <c r="G9" t="s">
        <v>234</v>
      </c>
      <c r="H9">
        <v>30</v>
      </c>
      <c r="I9" t="s">
        <v>287</v>
      </c>
      <c r="J9">
        <v>20</v>
      </c>
    </row>
    <row r="10" spans="1:11" x14ac:dyDescent="0.45">
      <c r="A10" t="s">
        <v>226</v>
      </c>
    </row>
    <row r="11" spans="1:11" x14ac:dyDescent="0.45">
      <c r="B11">
        <v>1</v>
      </c>
      <c r="C11" t="s">
        <v>288</v>
      </c>
      <c r="D11" t="s">
        <v>235</v>
      </c>
      <c r="E11">
        <v>1</v>
      </c>
      <c r="F11">
        <v>1</v>
      </c>
    </row>
    <row r="12" spans="1:11" x14ac:dyDescent="0.45">
      <c r="B12">
        <v>2</v>
      </c>
      <c r="C12" t="s">
        <v>289</v>
      </c>
      <c r="D12" t="s">
        <v>236</v>
      </c>
      <c r="E12">
        <v>14.842474747500001</v>
      </c>
      <c r="F12">
        <v>1.83835803238</v>
      </c>
    </row>
    <row r="13" spans="1:11" x14ac:dyDescent="0.45">
      <c r="B13">
        <v>3</v>
      </c>
      <c r="C13" t="s">
        <v>290</v>
      </c>
      <c r="D13" t="s">
        <v>236</v>
      </c>
      <c r="E13" s="50">
        <v>5.2231850982500001E-2</v>
      </c>
      <c r="F13">
        <v>0.20210412377100001</v>
      </c>
    </row>
    <row r="14" spans="1:11" x14ac:dyDescent="0.45">
      <c r="B14">
        <v>4</v>
      </c>
      <c r="C14" t="s">
        <v>291</v>
      </c>
      <c r="D14" t="s">
        <v>236</v>
      </c>
      <c r="E14" s="50">
        <v>-0.28042629390099999</v>
      </c>
      <c r="F14">
        <v>0.214012249288</v>
      </c>
    </row>
    <row r="15" spans="1:11" x14ac:dyDescent="0.45">
      <c r="B15">
        <v>5</v>
      </c>
      <c r="C15" t="s">
        <v>292</v>
      </c>
      <c r="D15" t="s">
        <v>236</v>
      </c>
      <c r="E15" s="50">
        <v>3.8864252169499999E-2</v>
      </c>
      <c r="F15">
        <v>0.22261163226899999</v>
      </c>
    </row>
    <row r="16" spans="1:11" x14ac:dyDescent="0.45">
      <c r="B16">
        <v>6</v>
      </c>
      <c r="C16" t="s">
        <v>293</v>
      </c>
      <c r="D16" t="s">
        <v>236</v>
      </c>
      <c r="E16" s="50">
        <v>-5.4105027761100002E-2</v>
      </c>
      <c r="F16" s="50">
        <v>9.1881732487999995E-2</v>
      </c>
    </row>
    <row r="17" spans="2:6" x14ac:dyDescent="0.45">
      <c r="B17">
        <v>7</v>
      </c>
      <c r="C17" t="s">
        <v>294</v>
      </c>
      <c r="D17" t="s">
        <v>236</v>
      </c>
      <c r="E17">
        <v>-1.2443107654000001</v>
      </c>
      <c r="F17">
        <v>0.19943151784099999</v>
      </c>
    </row>
    <row r="18" spans="2:6" x14ac:dyDescent="0.45">
      <c r="B18">
        <v>8</v>
      </c>
      <c r="C18" t="s">
        <v>295</v>
      </c>
      <c r="D18" t="s">
        <v>236</v>
      </c>
      <c r="E18" s="50">
        <v>0.41298170440800003</v>
      </c>
      <c r="F18">
        <v>0.14496922102199999</v>
      </c>
    </row>
    <row r="19" spans="2:6" x14ac:dyDescent="0.45">
      <c r="B19">
        <v>9</v>
      </c>
      <c r="C19" t="s">
        <v>296</v>
      </c>
      <c r="D19" t="s">
        <v>236</v>
      </c>
      <c r="E19" s="50">
        <v>-0.26420630814700002</v>
      </c>
      <c r="F19">
        <v>0.19387529082999999</v>
      </c>
    </row>
    <row r="20" spans="2:6" x14ac:dyDescent="0.45">
      <c r="B20">
        <v>10</v>
      </c>
      <c r="C20" t="s">
        <v>297</v>
      </c>
      <c r="D20" t="s">
        <v>236</v>
      </c>
      <c r="E20">
        <v>-0.35872692861799998</v>
      </c>
      <c r="F20">
        <v>0.100051515259</v>
      </c>
    </row>
    <row r="21" spans="2:6" x14ac:dyDescent="0.45">
      <c r="B21">
        <v>11</v>
      </c>
      <c r="C21" t="s">
        <v>298</v>
      </c>
      <c r="D21" t="s">
        <v>236</v>
      </c>
      <c r="E21">
        <v>0.20317681554899999</v>
      </c>
      <c r="F21">
        <v>0.247232349657</v>
      </c>
    </row>
    <row r="22" spans="2:6" x14ac:dyDescent="0.45">
      <c r="B22">
        <v>12</v>
      </c>
      <c r="C22" t="s">
        <v>299</v>
      </c>
      <c r="D22" t="s">
        <v>236</v>
      </c>
      <c r="E22">
        <v>-0.25772334575</v>
      </c>
      <c r="F22">
        <v>0.170336028034</v>
      </c>
    </row>
    <row r="23" spans="2:6" x14ac:dyDescent="0.45">
      <c r="B23">
        <v>13</v>
      </c>
      <c r="C23" t="s">
        <v>300</v>
      </c>
      <c r="D23" t="s">
        <v>236</v>
      </c>
      <c r="E23">
        <v>-1.51291507531</v>
      </c>
      <c r="F23">
        <v>0.20916747597900001</v>
      </c>
    </row>
    <row r="24" spans="2:6" x14ac:dyDescent="0.45">
      <c r="B24">
        <v>14</v>
      </c>
      <c r="C24" t="s">
        <v>301</v>
      </c>
      <c r="D24" t="s">
        <v>236</v>
      </c>
      <c r="E24">
        <v>-0.21776561918199999</v>
      </c>
      <c r="F24" s="50">
        <v>7.7382027445400001E-2</v>
      </c>
    </row>
    <row r="25" spans="2:6" x14ac:dyDescent="0.45">
      <c r="B25">
        <v>15</v>
      </c>
      <c r="C25" t="s">
        <v>302</v>
      </c>
      <c r="D25" t="s">
        <v>236</v>
      </c>
      <c r="E25">
        <v>-1.27163179208</v>
      </c>
      <c r="F25">
        <v>0.50605159824699997</v>
      </c>
    </row>
    <row r="26" spans="2:6" x14ac:dyDescent="0.45">
      <c r="B26">
        <v>16</v>
      </c>
      <c r="C26" t="s">
        <v>303</v>
      </c>
      <c r="D26" t="s">
        <v>236</v>
      </c>
      <c r="E26">
        <v>-0.54089688480800002</v>
      </c>
      <c r="F26">
        <v>0.15561651788600001</v>
      </c>
    </row>
    <row r="27" spans="2:6" x14ac:dyDescent="0.45">
      <c r="B27">
        <v>17</v>
      </c>
      <c r="C27" t="s">
        <v>304</v>
      </c>
      <c r="D27" t="s">
        <v>235</v>
      </c>
      <c r="E27">
        <v>0</v>
      </c>
      <c r="F27">
        <v>1</v>
      </c>
    </row>
    <row r="28" spans="2:6" x14ac:dyDescent="0.45">
      <c r="B28">
        <v>18</v>
      </c>
      <c r="C28" t="s">
        <v>305</v>
      </c>
      <c r="D28" t="s">
        <v>235</v>
      </c>
      <c r="E28">
        <v>0</v>
      </c>
      <c r="F28">
        <v>1</v>
      </c>
    </row>
    <row r="29" spans="2:6" x14ac:dyDescent="0.45">
      <c r="B29">
        <v>19</v>
      </c>
      <c r="C29" t="s">
        <v>306</v>
      </c>
      <c r="D29" t="s">
        <v>235</v>
      </c>
      <c r="E29">
        <v>0</v>
      </c>
      <c r="F29">
        <v>1</v>
      </c>
    </row>
    <row r="30" spans="2:6" x14ac:dyDescent="0.45">
      <c r="B30">
        <v>20</v>
      </c>
      <c r="C30" t="s">
        <v>307</v>
      </c>
      <c r="D30" t="s">
        <v>236</v>
      </c>
      <c r="E30">
        <v>0.43763139961699998</v>
      </c>
      <c r="F30" s="50">
        <v>4.8429506021399997E-2</v>
      </c>
    </row>
    <row r="31" spans="2:6" x14ac:dyDescent="0.45">
      <c r="B31">
        <v>21</v>
      </c>
      <c r="C31" t="s">
        <v>308</v>
      </c>
      <c r="D31" t="s">
        <v>236</v>
      </c>
      <c r="E31">
        <v>-5.1729505125899999</v>
      </c>
      <c r="F31">
        <v>1.47237352721</v>
      </c>
    </row>
    <row r="32" spans="2:6" x14ac:dyDescent="0.45">
      <c r="B32">
        <v>22</v>
      </c>
      <c r="C32" t="s">
        <v>309</v>
      </c>
      <c r="D32" t="s">
        <v>236</v>
      </c>
      <c r="E32">
        <v>-5.9112646193599998</v>
      </c>
      <c r="F32">
        <v>0.31220814773599997</v>
      </c>
    </row>
    <row r="33" spans="2:6" x14ac:dyDescent="0.45">
      <c r="B33">
        <v>23</v>
      </c>
      <c r="C33" t="s">
        <v>310</v>
      </c>
      <c r="D33" t="s">
        <v>236</v>
      </c>
      <c r="E33">
        <v>-4.3510480079200002</v>
      </c>
      <c r="F33">
        <v>0.18576143123800001</v>
      </c>
    </row>
    <row r="34" spans="2:6" x14ac:dyDescent="0.45">
      <c r="B34">
        <v>24</v>
      </c>
      <c r="C34" t="s">
        <v>311</v>
      </c>
      <c r="D34" t="s">
        <v>236</v>
      </c>
      <c r="E34">
        <v>0.219929989326</v>
      </c>
      <c r="F34" s="50">
        <v>1.3645721239299999E-2</v>
      </c>
    </row>
    <row r="35" spans="2:6" x14ac:dyDescent="0.45">
      <c r="B35">
        <v>25</v>
      </c>
      <c r="C35" t="s">
        <v>312</v>
      </c>
      <c r="D35" t="s">
        <v>236</v>
      </c>
      <c r="E35">
        <v>-0.19965371290799999</v>
      </c>
      <c r="F35" s="50">
        <v>1.5268311706199999E-2</v>
      </c>
    </row>
    <row r="36" spans="2:6" x14ac:dyDescent="0.45">
      <c r="B36">
        <v>26</v>
      </c>
      <c r="C36" t="s">
        <v>313</v>
      </c>
      <c r="D36" t="s">
        <v>236</v>
      </c>
      <c r="E36">
        <v>0.456947594269</v>
      </c>
      <c r="F36" s="50">
        <v>8.45315868922E-2</v>
      </c>
    </row>
    <row r="37" spans="2:6" x14ac:dyDescent="0.45">
      <c r="B37">
        <v>27</v>
      </c>
      <c r="C37" t="s">
        <v>314</v>
      </c>
      <c r="D37" t="s">
        <v>236</v>
      </c>
      <c r="E37">
        <v>-16.041405463699999</v>
      </c>
      <c r="F37">
        <v>1.44425336446</v>
      </c>
    </row>
    <row r="38" spans="2:6" x14ac:dyDescent="0.45">
      <c r="B38">
        <v>28</v>
      </c>
      <c r="C38" t="s">
        <v>315</v>
      </c>
      <c r="D38" t="s">
        <v>236</v>
      </c>
      <c r="E38">
        <v>-4.0058838759500004</v>
      </c>
      <c r="F38">
        <v>0.35273062120999998</v>
      </c>
    </row>
    <row r="39" spans="2:6" x14ac:dyDescent="0.45">
      <c r="B39">
        <v>29</v>
      </c>
      <c r="C39" t="s">
        <v>316</v>
      </c>
      <c r="D39" t="s">
        <v>236</v>
      </c>
      <c r="E39">
        <v>-2.2602358254700001</v>
      </c>
      <c r="F39">
        <v>0.146992342355</v>
      </c>
    </row>
    <row r="40" spans="2:6" x14ac:dyDescent="0.45">
      <c r="B40">
        <v>30</v>
      </c>
      <c r="C40" t="s">
        <v>317</v>
      </c>
      <c r="D40" t="s">
        <v>236</v>
      </c>
      <c r="E40">
        <v>-0.57131171698200001</v>
      </c>
      <c r="F40" s="50">
        <v>8.1640985937999996E-2</v>
      </c>
    </row>
    <row r="41" spans="2:6" x14ac:dyDescent="0.45">
      <c r="B41">
        <v>31</v>
      </c>
      <c r="C41" t="s">
        <v>318</v>
      </c>
      <c r="D41" t="s">
        <v>236</v>
      </c>
      <c r="E41" s="50">
        <v>-9.1432405138999993E-3</v>
      </c>
      <c r="F41" s="50">
        <v>1.8681010178100001E-2</v>
      </c>
    </row>
    <row r="42" spans="2:6" x14ac:dyDescent="0.45">
      <c r="B42">
        <v>32</v>
      </c>
      <c r="C42" t="s">
        <v>319</v>
      </c>
      <c r="D42" t="s">
        <v>236</v>
      </c>
      <c r="E42">
        <v>-0.11638214876</v>
      </c>
      <c r="F42" s="50">
        <v>2.0027350623800001E-2</v>
      </c>
    </row>
    <row r="43" spans="2:6" x14ac:dyDescent="0.45">
      <c r="B43">
        <v>33</v>
      </c>
      <c r="C43" t="s">
        <v>320</v>
      </c>
      <c r="D43" t="s">
        <v>236</v>
      </c>
      <c r="E43" s="50">
        <v>5.6920874310099998E-2</v>
      </c>
      <c r="F43" s="50">
        <v>1.00062712342E-2</v>
      </c>
    </row>
    <row r="44" spans="2:6" x14ac:dyDescent="0.45">
      <c r="B44">
        <v>34</v>
      </c>
      <c r="C44" t="s">
        <v>321</v>
      </c>
      <c r="D44" t="s">
        <v>236</v>
      </c>
      <c r="E44" s="50">
        <v>-1.9362324458399999E-2</v>
      </c>
      <c r="F44" s="50">
        <v>1.63018501781E-2</v>
      </c>
    </row>
    <row r="45" spans="2:6" x14ac:dyDescent="0.45">
      <c r="B45">
        <v>35</v>
      </c>
      <c r="C45" t="s">
        <v>322</v>
      </c>
      <c r="D45" t="s">
        <v>236</v>
      </c>
      <c r="E45" s="50">
        <v>1.8323476485999999E-2</v>
      </c>
      <c r="F45" s="50">
        <v>1.2148526885499999E-2</v>
      </c>
    </row>
    <row r="46" spans="2:6" x14ac:dyDescent="0.45">
      <c r="B46">
        <v>36</v>
      </c>
      <c r="C46" t="s">
        <v>323</v>
      </c>
      <c r="D46" t="s">
        <v>236</v>
      </c>
      <c r="E46" s="50">
        <v>2.3040582229000002</v>
      </c>
      <c r="F46" s="50">
        <v>0.22055425229699999</v>
      </c>
    </row>
    <row r="47" spans="2:6" x14ac:dyDescent="0.45">
      <c r="B47">
        <v>37</v>
      </c>
      <c r="C47" t="s">
        <v>324</v>
      </c>
      <c r="D47" t="s">
        <v>236</v>
      </c>
      <c r="E47">
        <v>-7.2225250615199998</v>
      </c>
      <c r="F47">
        <v>1.6810961957599999</v>
      </c>
    </row>
    <row r="48" spans="2:6" x14ac:dyDescent="0.45">
      <c r="B48">
        <v>38</v>
      </c>
      <c r="C48" t="s">
        <v>325</v>
      </c>
      <c r="D48" t="s">
        <v>236</v>
      </c>
      <c r="E48">
        <v>-5.4693439766900003</v>
      </c>
      <c r="F48">
        <v>0.390672154306</v>
      </c>
    </row>
    <row r="49" spans="2:6" x14ac:dyDescent="0.45">
      <c r="B49">
        <v>39</v>
      </c>
      <c r="C49" t="s">
        <v>326</v>
      </c>
      <c r="D49" t="s">
        <v>236</v>
      </c>
      <c r="E49">
        <v>-2.4179033783600001</v>
      </c>
      <c r="F49">
        <v>0.223286996333</v>
      </c>
    </row>
    <row r="50" spans="2:6" x14ac:dyDescent="0.45">
      <c r="B50">
        <v>40</v>
      </c>
      <c r="C50" t="s">
        <v>327</v>
      </c>
      <c r="D50" t="s">
        <v>236</v>
      </c>
      <c r="E50">
        <v>-0.24529497763800001</v>
      </c>
      <c r="F50">
        <v>0.173792333986</v>
      </c>
    </row>
    <row r="51" spans="2:6" x14ac:dyDescent="0.45">
      <c r="B51">
        <v>41</v>
      </c>
      <c r="C51" t="s">
        <v>328</v>
      </c>
      <c r="D51" t="s">
        <v>236</v>
      </c>
      <c r="E51">
        <v>-0.100545011408</v>
      </c>
      <c r="F51" s="50">
        <v>1.7103318696699999E-2</v>
      </c>
    </row>
    <row r="52" spans="2:6" x14ac:dyDescent="0.45">
      <c r="B52">
        <v>42</v>
      </c>
      <c r="C52" t="s">
        <v>329</v>
      </c>
      <c r="D52" t="s">
        <v>236</v>
      </c>
      <c r="E52">
        <v>0.10049185695100001</v>
      </c>
      <c r="F52" s="50">
        <v>2.1833904078799999E-2</v>
      </c>
    </row>
    <row r="53" spans="2:6" x14ac:dyDescent="0.45">
      <c r="B53">
        <v>43</v>
      </c>
      <c r="C53" t="s">
        <v>330</v>
      </c>
      <c r="D53" t="s">
        <v>236</v>
      </c>
      <c r="E53">
        <v>1.7655971612000001</v>
      </c>
      <c r="F53" s="50">
        <v>0.154891246998</v>
      </c>
    </row>
    <row r="54" spans="2:6" x14ac:dyDescent="0.45">
      <c r="B54">
        <v>44</v>
      </c>
      <c r="C54" t="s">
        <v>331</v>
      </c>
      <c r="D54" t="s">
        <v>236</v>
      </c>
      <c r="E54">
        <v>-13.482142205440001</v>
      </c>
      <c r="F54">
        <v>1.7238420080500001</v>
      </c>
    </row>
    <row r="55" spans="2:6" x14ac:dyDescent="0.45">
      <c r="B55">
        <v>45</v>
      </c>
      <c r="C55" t="s">
        <v>332</v>
      </c>
      <c r="D55" t="s">
        <v>236</v>
      </c>
      <c r="E55">
        <v>-5.7740636752999999</v>
      </c>
      <c r="F55">
        <v>0.44296383007700002</v>
      </c>
    </row>
    <row r="56" spans="2:6" x14ac:dyDescent="0.45">
      <c r="B56">
        <v>46</v>
      </c>
      <c r="C56" t="s">
        <v>333</v>
      </c>
      <c r="D56" t="s">
        <v>236</v>
      </c>
      <c r="E56">
        <v>-3.2513620839500001</v>
      </c>
      <c r="F56">
        <v>0.22459177151199999</v>
      </c>
    </row>
    <row r="57" spans="2:6" x14ac:dyDescent="0.45">
      <c r="B57">
        <v>47</v>
      </c>
      <c r="C57" t="s">
        <v>334</v>
      </c>
      <c r="D57" t="s">
        <v>236</v>
      </c>
      <c r="E57">
        <v>-0.81757689945000001</v>
      </c>
      <c r="F57">
        <v>0.14989642806799999</v>
      </c>
    </row>
    <row r="58" spans="2:6" x14ac:dyDescent="0.45">
      <c r="B58">
        <v>48</v>
      </c>
      <c r="C58" t="s">
        <v>335</v>
      </c>
      <c r="D58" t="s">
        <v>236</v>
      </c>
      <c r="E58">
        <v>0.63335958983999996</v>
      </c>
      <c r="F58" s="50">
        <v>2.38840174789E-2</v>
      </c>
    </row>
    <row r="59" spans="2:6" x14ac:dyDescent="0.45">
      <c r="B59">
        <v>49</v>
      </c>
      <c r="C59" t="s">
        <v>336</v>
      </c>
      <c r="D59" t="s">
        <v>236</v>
      </c>
      <c r="E59">
        <v>0.54194850979700004</v>
      </c>
      <c r="F59" s="50">
        <v>0.13589969408700001</v>
      </c>
    </row>
    <row r="60" spans="2:6" x14ac:dyDescent="0.45">
      <c r="B60">
        <v>50</v>
      </c>
      <c r="C60" t="s">
        <v>337</v>
      </c>
      <c r="D60" t="s">
        <v>236</v>
      </c>
      <c r="E60">
        <v>-26.641935956609998</v>
      </c>
      <c r="F60">
        <v>1.5214646814199999</v>
      </c>
    </row>
    <row r="61" spans="2:6" x14ac:dyDescent="0.45">
      <c r="B61">
        <v>51</v>
      </c>
      <c r="C61" t="s">
        <v>338</v>
      </c>
      <c r="D61" t="s">
        <v>236</v>
      </c>
      <c r="E61">
        <v>-5.8569921168899999</v>
      </c>
      <c r="F61">
        <v>0.46611202703900001</v>
      </c>
    </row>
    <row r="62" spans="2:6" x14ac:dyDescent="0.45">
      <c r="B62">
        <v>52</v>
      </c>
      <c r="C62" t="s">
        <v>339</v>
      </c>
      <c r="D62" t="s">
        <v>236</v>
      </c>
      <c r="E62">
        <v>-3.0622160410500001</v>
      </c>
      <c r="F62">
        <v>0.205947789785</v>
      </c>
    </row>
    <row r="63" spans="2:6" x14ac:dyDescent="0.45">
      <c r="B63">
        <v>53</v>
      </c>
      <c r="C63" t="s">
        <v>340</v>
      </c>
      <c r="D63" t="s">
        <v>236</v>
      </c>
      <c r="E63">
        <v>-1.4592147580599999</v>
      </c>
      <c r="F63">
        <v>0.12706460553599999</v>
      </c>
    </row>
    <row r="64" spans="2:6" x14ac:dyDescent="0.45">
      <c r="B64">
        <v>54</v>
      </c>
      <c r="C64" t="s">
        <v>341</v>
      </c>
      <c r="D64" t="s">
        <v>236</v>
      </c>
      <c r="E64">
        <v>-0.160744421114</v>
      </c>
      <c r="F64" s="50">
        <v>3.1643512928099998E-2</v>
      </c>
    </row>
    <row r="65" spans="2:6" x14ac:dyDescent="0.45">
      <c r="B65">
        <v>55</v>
      </c>
      <c r="C65" t="s">
        <v>342</v>
      </c>
      <c r="D65" t="s">
        <v>236</v>
      </c>
      <c r="E65">
        <v>0.101769944302</v>
      </c>
      <c r="F65" s="50">
        <v>4.0472600922499997E-2</v>
      </c>
    </row>
    <row r="66" spans="2:6" x14ac:dyDescent="0.45">
      <c r="B66">
        <v>56</v>
      </c>
      <c r="C66" t="s">
        <v>343</v>
      </c>
      <c r="D66" t="s">
        <v>236</v>
      </c>
      <c r="E66" s="50">
        <v>-7.3004796389399995E-2</v>
      </c>
      <c r="F66" s="50">
        <v>2.7878888340600001E-2</v>
      </c>
    </row>
    <row r="67" spans="2:6" x14ac:dyDescent="0.45">
      <c r="B67">
        <v>57</v>
      </c>
      <c r="C67" t="s">
        <v>344</v>
      </c>
      <c r="D67" t="s">
        <v>236</v>
      </c>
      <c r="E67" s="50">
        <v>4.7664283443500002E-2</v>
      </c>
      <c r="F67" s="50">
        <v>1.5452195556500001E-2</v>
      </c>
    </row>
    <row r="68" spans="2:6" x14ac:dyDescent="0.45">
      <c r="B68">
        <v>70</v>
      </c>
      <c r="C68" t="s">
        <v>154</v>
      </c>
      <c r="D68" t="s">
        <v>236</v>
      </c>
      <c r="E68" s="50">
        <v>0.70165957865100004</v>
      </c>
      <c r="F68" s="50">
        <v>8.1041561582700008E-3</v>
      </c>
    </row>
    <row r="69" spans="2:6" x14ac:dyDescent="0.45">
      <c r="B69">
        <v>71</v>
      </c>
      <c r="C69" t="s">
        <v>155</v>
      </c>
      <c r="D69" t="s">
        <v>235</v>
      </c>
      <c r="E69">
        <v>0</v>
      </c>
      <c r="F69" s="50">
        <v>1</v>
      </c>
    </row>
    <row r="70" spans="2:6" x14ac:dyDescent="0.45">
      <c r="B70">
        <v>72</v>
      </c>
      <c r="C70" t="s">
        <v>157</v>
      </c>
      <c r="D70" t="s">
        <v>235</v>
      </c>
      <c r="E70">
        <v>0</v>
      </c>
      <c r="F70">
        <v>1</v>
      </c>
    </row>
    <row r="71" spans="2:6" x14ac:dyDescent="0.45">
      <c r="B71">
        <v>73</v>
      </c>
      <c r="C71" t="s">
        <v>159</v>
      </c>
      <c r="D71" t="s">
        <v>236</v>
      </c>
      <c r="E71">
        <v>-1.0451393946200001</v>
      </c>
      <c r="F71">
        <v>0.334189851298</v>
      </c>
    </row>
    <row r="72" spans="2:6" x14ac:dyDescent="0.45">
      <c r="B72">
        <v>74</v>
      </c>
      <c r="C72" t="s">
        <v>161</v>
      </c>
      <c r="D72" t="s">
        <v>235</v>
      </c>
      <c r="E72">
        <v>0</v>
      </c>
      <c r="F72">
        <v>1</v>
      </c>
    </row>
    <row r="73" spans="2:6" x14ac:dyDescent="0.45">
      <c r="B73">
        <v>75</v>
      </c>
      <c r="C73" t="s">
        <v>163</v>
      </c>
      <c r="D73" t="s">
        <v>236</v>
      </c>
      <c r="E73">
        <v>-0.200987204384</v>
      </c>
      <c r="F73">
        <v>0.32860050755699999</v>
      </c>
    </row>
    <row r="74" spans="2:6" x14ac:dyDescent="0.45">
      <c r="B74">
        <v>76</v>
      </c>
      <c r="C74" t="s">
        <v>165</v>
      </c>
      <c r="D74" t="s">
        <v>236</v>
      </c>
      <c r="E74">
        <v>-0.24680877359100001</v>
      </c>
      <c r="F74">
        <v>0.218776351024</v>
      </c>
    </row>
    <row r="75" spans="2:6" x14ac:dyDescent="0.45">
      <c r="B75">
        <v>77</v>
      </c>
      <c r="C75" t="s">
        <v>167</v>
      </c>
      <c r="D75" t="s">
        <v>236</v>
      </c>
      <c r="E75">
        <v>0.105207287565</v>
      </c>
      <c r="F75">
        <v>0.33160558063000001</v>
      </c>
    </row>
    <row r="76" spans="2:6" x14ac:dyDescent="0.45">
      <c r="B76">
        <v>78</v>
      </c>
      <c r="C76" t="s">
        <v>169</v>
      </c>
      <c r="D76" t="s">
        <v>236</v>
      </c>
      <c r="E76">
        <v>-3.0261765923500001</v>
      </c>
      <c r="F76">
        <v>0.63791961209799997</v>
      </c>
    </row>
    <row r="77" spans="2:6" x14ac:dyDescent="0.45">
      <c r="B77">
        <v>79</v>
      </c>
      <c r="C77" t="s">
        <v>171</v>
      </c>
      <c r="D77" t="s">
        <v>236</v>
      </c>
      <c r="E77">
        <v>-3.16760127533</v>
      </c>
      <c r="F77">
        <v>0.17589358259900001</v>
      </c>
    </row>
    <row r="78" spans="2:6" x14ac:dyDescent="0.45">
      <c r="B78">
        <v>80</v>
      </c>
      <c r="C78" t="s">
        <v>173</v>
      </c>
      <c r="D78" t="s">
        <v>236</v>
      </c>
      <c r="E78">
        <v>3.88384299801</v>
      </c>
      <c r="F78">
        <v>0.36343710851900002</v>
      </c>
    </row>
    <row r="79" spans="2:6" x14ac:dyDescent="0.45">
      <c r="B79">
        <v>81</v>
      </c>
      <c r="C79" t="s">
        <v>175</v>
      </c>
      <c r="D79" t="s">
        <v>236</v>
      </c>
      <c r="E79">
        <v>1.2853400619999999</v>
      </c>
      <c r="F79">
        <v>0.33194844094699999</v>
      </c>
    </row>
    <row r="80" spans="2:6" x14ac:dyDescent="0.45">
      <c r="B80">
        <v>82</v>
      </c>
      <c r="C80" t="s">
        <v>177</v>
      </c>
      <c r="D80" t="s">
        <v>235</v>
      </c>
      <c r="E80">
        <v>0</v>
      </c>
      <c r="F80">
        <v>1</v>
      </c>
    </row>
    <row r="81" spans="2:6" x14ac:dyDescent="0.45">
      <c r="B81">
        <v>83</v>
      </c>
      <c r="C81" t="s">
        <v>178</v>
      </c>
      <c r="D81" t="s">
        <v>236</v>
      </c>
      <c r="E81">
        <v>1.5962822273599999</v>
      </c>
      <c r="F81">
        <v>0.31630410811600002</v>
      </c>
    </row>
    <row r="82" spans="2:6" x14ac:dyDescent="0.45">
      <c r="B82">
        <v>84</v>
      </c>
      <c r="C82" t="s">
        <v>180</v>
      </c>
      <c r="D82" t="s">
        <v>236</v>
      </c>
      <c r="E82">
        <v>1.8203743806399999</v>
      </c>
      <c r="F82">
        <v>0.32723912579699999</v>
      </c>
    </row>
    <row r="83" spans="2:6" x14ac:dyDescent="0.45">
      <c r="B83">
        <v>85</v>
      </c>
      <c r="C83" t="s">
        <v>182</v>
      </c>
      <c r="D83" t="s">
        <v>236</v>
      </c>
      <c r="E83">
        <v>0.36845448573400003</v>
      </c>
      <c r="F83">
        <v>0.41451090741399998</v>
      </c>
    </row>
    <row r="84" spans="2:6" x14ac:dyDescent="0.45">
      <c r="B84">
        <v>86</v>
      </c>
      <c r="C84" t="s">
        <v>184</v>
      </c>
      <c r="D84" t="s">
        <v>236</v>
      </c>
      <c r="E84">
        <v>-0.89988004259099996</v>
      </c>
      <c r="F84">
        <v>0.58455068333600002</v>
      </c>
    </row>
    <row r="85" spans="2:6" x14ac:dyDescent="0.45">
      <c r="B85">
        <v>87</v>
      </c>
      <c r="C85" t="s">
        <v>186</v>
      </c>
      <c r="D85" t="s">
        <v>236</v>
      </c>
      <c r="E85">
        <v>-1.54651800243</v>
      </c>
      <c r="F85">
        <v>0.28922210484799998</v>
      </c>
    </row>
    <row r="86" spans="2:6" x14ac:dyDescent="0.45">
      <c r="B86">
        <v>88</v>
      </c>
      <c r="C86" t="s">
        <v>188</v>
      </c>
      <c r="D86" t="s">
        <v>235</v>
      </c>
      <c r="E86">
        <v>0</v>
      </c>
      <c r="F86">
        <v>1</v>
      </c>
    </row>
    <row r="87" spans="2:6" x14ac:dyDescent="0.45">
      <c r="B87">
        <v>89</v>
      </c>
      <c r="C87" t="s">
        <v>190</v>
      </c>
      <c r="D87" t="s">
        <v>236</v>
      </c>
      <c r="E87">
        <v>-1.3661763944</v>
      </c>
      <c r="F87">
        <v>0.21083771707000001</v>
      </c>
    </row>
    <row r="88" spans="2:6" x14ac:dyDescent="0.45">
      <c r="B88">
        <v>90</v>
      </c>
      <c r="C88" t="s">
        <v>192</v>
      </c>
      <c r="D88" t="s">
        <v>235</v>
      </c>
      <c r="E88">
        <v>0</v>
      </c>
      <c r="F88">
        <v>1</v>
      </c>
    </row>
    <row r="89" spans="2:6" x14ac:dyDescent="0.45">
      <c r="B89">
        <v>91</v>
      </c>
      <c r="C89" t="s">
        <v>194</v>
      </c>
      <c r="D89" t="s">
        <v>236</v>
      </c>
      <c r="E89">
        <v>-0.69659049737500001</v>
      </c>
      <c r="F89">
        <v>0.118317298537</v>
      </c>
    </row>
    <row r="90" spans="2:6" x14ac:dyDescent="0.45">
      <c r="B90">
        <v>92</v>
      </c>
      <c r="C90" t="s">
        <v>196</v>
      </c>
      <c r="D90" t="s">
        <v>236</v>
      </c>
      <c r="E90">
        <v>-1.8309142732699999</v>
      </c>
      <c r="F90">
        <v>0.55098538730699997</v>
      </c>
    </row>
    <row r="91" spans="2:6" x14ac:dyDescent="0.45">
      <c r="B91">
        <v>93</v>
      </c>
      <c r="C91" t="s">
        <v>198</v>
      </c>
      <c r="D91" t="s">
        <v>236</v>
      </c>
      <c r="E91">
        <v>-1.59616837557</v>
      </c>
      <c r="F91">
        <v>0.19643171679400001</v>
      </c>
    </row>
    <row r="92" spans="2:6" x14ac:dyDescent="0.45">
      <c r="B92">
        <v>94</v>
      </c>
      <c r="C92" t="s">
        <v>200</v>
      </c>
      <c r="D92" t="s">
        <v>235</v>
      </c>
      <c r="E92">
        <v>0</v>
      </c>
      <c r="F92">
        <v>1</v>
      </c>
    </row>
    <row r="93" spans="2:6" x14ac:dyDescent="0.45">
      <c r="B93">
        <v>95</v>
      </c>
      <c r="C93" t="s">
        <v>202</v>
      </c>
      <c r="D93" t="s">
        <v>236</v>
      </c>
      <c r="E93">
        <v>-3.7524312125899999</v>
      </c>
      <c r="F93">
        <v>0.30709606176900001</v>
      </c>
    </row>
    <row r="94" spans="2:6" x14ac:dyDescent="0.45">
      <c r="B94">
        <v>96</v>
      </c>
      <c r="C94" t="s">
        <v>204</v>
      </c>
      <c r="D94" t="s">
        <v>236</v>
      </c>
      <c r="E94">
        <v>-5.15903380474</v>
      </c>
      <c r="F94">
        <v>0.17390909328599999</v>
      </c>
    </row>
    <row r="95" spans="2:6" x14ac:dyDescent="0.45">
      <c r="B95">
        <v>97</v>
      </c>
      <c r="C95" t="s">
        <v>206</v>
      </c>
      <c r="D95" t="s">
        <v>236</v>
      </c>
      <c r="E95">
        <v>-4.5752497230499998</v>
      </c>
      <c r="F95">
        <v>0.48893954592400002</v>
      </c>
    </row>
    <row r="96" spans="2:6" x14ac:dyDescent="0.45">
      <c r="B96">
        <v>98</v>
      </c>
      <c r="C96" t="s">
        <v>208</v>
      </c>
      <c r="D96" t="s">
        <v>236</v>
      </c>
      <c r="E96">
        <v>-1.55830930615</v>
      </c>
      <c r="F96">
        <v>0.29568339221599999</v>
      </c>
    </row>
    <row r="97" spans="2:6" x14ac:dyDescent="0.45">
      <c r="B97">
        <v>99</v>
      </c>
      <c r="C97" t="s">
        <v>209</v>
      </c>
      <c r="D97" t="s">
        <v>236</v>
      </c>
      <c r="E97">
        <v>-6.7687936642300004</v>
      </c>
      <c r="F97">
        <v>0.63961427466800003</v>
      </c>
    </row>
    <row r="98" spans="2:6" x14ac:dyDescent="0.45">
      <c r="B98">
        <v>100</v>
      </c>
      <c r="C98" t="s">
        <v>210</v>
      </c>
      <c r="D98" t="s">
        <v>235</v>
      </c>
      <c r="E98">
        <v>0</v>
      </c>
      <c r="F98">
        <v>1</v>
      </c>
    </row>
    <row r="99" spans="2:6" x14ac:dyDescent="0.45">
      <c r="B99">
        <v>101</v>
      </c>
      <c r="C99" t="s">
        <v>211</v>
      </c>
      <c r="D99" t="s">
        <v>236</v>
      </c>
      <c r="E99">
        <v>-4.6092008435</v>
      </c>
      <c r="F99">
        <v>0.35687158855500001</v>
      </c>
    </row>
    <row r="100" spans="2:6" x14ac:dyDescent="0.45">
      <c r="B100">
        <v>102</v>
      </c>
      <c r="C100" t="s">
        <v>212</v>
      </c>
      <c r="D100" t="s">
        <v>235</v>
      </c>
      <c r="E100">
        <v>0</v>
      </c>
      <c r="F100">
        <v>1</v>
      </c>
    </row>
    <row r="101" spans="2:6" x14ac:dyDescent="0.45">
      <c r="B101">
        <v>103</v>
      </c>
      <c r="C101" t="s">
        <v>213</v>
      </c>
      <c r="D101" t="s">
        <v>235</v>
      </c>
      <c r="E101">
        <v>0</v>
      </c>
      <c r="F101">
        <v>1</v>
      </c>
    </row>
    <row r="102" spans="2:6" x14ac:dyDescent="0.45">
      <c r="B102">
        <v>104</v>
      </c>
      <c r="C102" t="s">
        <v>214</v>
      </c>
      <c r="D102" t="s">
        <v>235</v>
      </c>
      <c r="E102">
        <v>5</v>
      </c>
      <c r="F102">
        <v>1</v>
      </c>
    </row>
    <row r="103" spans="2:6" x14ac:dyDescent="0.45">
      <c r="B103">
        <v>105</v>
      </c>
      <c r="C103" t="s">
        <v>215</v>
      </c>
      <c r="D103" t="s">
        <v>235</v>
      </c>
      <c r="E103">
        <v>5</v>
      </c>
      <c r="F103">
        <v>1</v>
      </c>
    </row>
    <row r="104" spans="2:6" x14ac:dyDescent="0.45">
      <c r="B104">
        <v>106</v>
      </c>
      <c r="C104" t="s">
        <v>216</v>
      </c>
      <c r="D104" t="s">
        <v>235</v>
      </c>
      <c r="E104">
        <v>0</v>
      </c>
      <c r="F104">
        <v>1</v>
      </c>
    </row>
    <row r="105" spans="2:6" x14ac:dyDescent="0.45">
      <c r="B105">
        <v>107</v>
      </c>
      <c r="C105" t="s">
        <v>217</v>
      </c>
      <c r="D105" t="s">
        <v>236</v>
      </c>
      <c r="E105">
        <v>3.2721559987400002</v>
      </c>
      <c r="F105">
        <v>0.189098453</v>
      </c>
    </row>
    <row r="106" spans="2:6" x14ac:dyDescent="0.45">
      <c r="B106">
        <v>108</v>
      </c>
      <c r="C106" t="s">
        <v>219</v>
      </c>
      <c r="D106" t="s">
        <v>235</v>
      </c>
      <c r="E106">
        <v>0</v>
      </c>
      <c r="F106">
        <v>1</v>
      </c>
    </row>
    <row r="107" spans="2:6" x14ac:dyDescent="0.45">
      <c r="B107">
        <v>109</v>
      </c>
      <c r="C107" t="s">
        <v>220</v>
      </c>
      <c r="D107" t="s">
        <v>236</v>
      </c>
      <c r="E107">
        <v>3.7780647491999999</v>
      </c>
      <c r="F107">
        <v>0.16415128970699999</v>
      </c>
    </row>
    <row r="108" spans="2:6" x14ac:dyDescent="0.45">
      <c r="B108">
        <v>110</v>
      </c>
      <c r="C108" t="s">
        <v>221</v>
      </c>
      <c r="D108" t="s">
        <v>236</v>
      </c>
      <c r="E108">
        <v>3.6698694381700001</v>
      </c>
      <c r="F108">
        <v>0.17265670632899999</v>
      </c>
    </row>
    <row r="109" spans="2:6" x14ac:dyDescent="0.45">
      <c r="B109">
        <v>111</v>
      </c>
      <c r="C109" t="s">
        <v>222</v>
      </c>
      <c r="D109" t="s">
        <v>235</v>
      </c>
      <c r="E109">
        <v>0</v>
      </c>
      <c r="F109">
        <v>1</v>
      </c>
    </row>
    <row r="110" spans="2:6" x14ac:dyDescent="0.45">
      <c r="B110">
        <v>112</v>
      </c>
      <c r="C110" t="s">
        <v>223</v>
      </c>
      <c r="D110" t="s">
        <v>235</v>
      </c>
      <c r="E110">
        <v>0</v>
      </c>
      <c r="F110">
        <v>1</v>
      </c>
    </row>
    <row r="111" spans="2:6" x14ac:dyDescent="0.45">
      <c r="B111">
        <v>113</v>
      </c>
      <c r="C111" t="s">
        <v>225</v>
      </c>
      <c r="D111" t="s">
        <v>236</v>
      </c>
      <c r="E111">
        <v>1.3908719595400001</v>
      </c>
      <c r="F111">
        <v>0.25447036975100001</v>
      </c>
    </row>
    <row r="112" spans="2:6" x14ac:dyDescent="0.45">
      <c r="B112">
        <v>-1</v>
      </c>
    </row>
    <row r="113" spans="2:11" x14ac:dyDescent="0.45">
      <c r="B113">
        <v>13796</v>
      </c>
      <c r="C113" s="50">
        <v>-14054.777031400001</v>
      </c>
      <c r="D113" s="50">
        <v>-53772.333307300003</v>
      </c>
      <c r="E113" s="50">
        <v>-38222.555653299998</v>
      </c>
    </row>
    <row r="114" spans="2:11" x14ac:dyDescent="0.45">
      <c r="B114">
        <v>6</v>
      </c>
      <c r="C114" s="50" t="s">
        <v>345</v>
      </c>
      <c r="D114" s="50" t="s">
        <v>234</v>
      </c>
      <c r="E114" s="50">
        <v>30</v>
      </c>
      <c r="F114" t="s">
        <v>287</v>
      </c>
      <c r="G114">
        <v>20</v>
      </c>
    </row>
    <row r="115" spans="2:11" x14ac:dyDescent="0.4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4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4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4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4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4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4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4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4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4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4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4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4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4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4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4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4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4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4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4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4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4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4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4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4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4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4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4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4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4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4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4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4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4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4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4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4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4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4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4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4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4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4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4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4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4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4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4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4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4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4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4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4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4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4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4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4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4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4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4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4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4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4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4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4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4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4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4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4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4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4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4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4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4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4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4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4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4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4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4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4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4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4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4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4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4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4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4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4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4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4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4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4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4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4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4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4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4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4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4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4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4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4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4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4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4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4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4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4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4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4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4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4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4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4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4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4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4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4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4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4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4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4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4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4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4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4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4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4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4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4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4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4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4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4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4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4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4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4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4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4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4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4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4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4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4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4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4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4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4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4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4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4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4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4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4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4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4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4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4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4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4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4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4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4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4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4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4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4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4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4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4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4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4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4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4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4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4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4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4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4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4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4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4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4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4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4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4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4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4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4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4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4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4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4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4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4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4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4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4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4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4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4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4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4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4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4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4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4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4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4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4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4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4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4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4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4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4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4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4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4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4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4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4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4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4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4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4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4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4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4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4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4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4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4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4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4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4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4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4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4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4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4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4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4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4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4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4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4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4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4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4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4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4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4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4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4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4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4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4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4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4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4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4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4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4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4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4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4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4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4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4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4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4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4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4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4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4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4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4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4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4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4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4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4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4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4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4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4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4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4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4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4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4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4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4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4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4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4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4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4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4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4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4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4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4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4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4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4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4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4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4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4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4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4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4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4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4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4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4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4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4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4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4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4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4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4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4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4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4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4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4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4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4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4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4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4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4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4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4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4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4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4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4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4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4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4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4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4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4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4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4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4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4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4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4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4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4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4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4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4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4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4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4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4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4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4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4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4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4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4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4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4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4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4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4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4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4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4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4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4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4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4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4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4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4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4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4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4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4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4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4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4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4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4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4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4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4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4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4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4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4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4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4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4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4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4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4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4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4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4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4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4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4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4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4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4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4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workbookViewId="0" zoomScaleNormal="100">
      <selection activeCell="Q23" sqref="Q23:Q25"/>
    </sheetView>
  </sheetViews>
  <sheetFormatPr defaultColWidth="9.1328125" defaultRowHeight="14.25" x14ac:dyDescent="0.45"/>
  <cols>
    <col min="1" max="2" width="9.1328125" collapsed="true"/>
    <col min="3" max="3" bestFit="true" customWidth="true" width="12.73046875" collapsed="true"/>
    <col min="4" max="4" customWidth="true" style="20" width="18.86328125" collapsed="true"/>
    <col min="5" max="5" customWidth="true" width="6.73046875" collapsed="true"/>
    <col min="6" max="6" customWidth="true" width="12.73046875" collapsed="true"/>
    <col min="7" max="7" customWidth="true" style="20" width="18.86328125" collapsed="true"/>
    <col min="8" max="8" customWidth="true" style="20" width="8.73046875" collapsed="true"/>
    <col min="9" max="9" bestFit="true" customWidth="true" style="20" width="6.59765625" collapsed="true"/>
    <col min="10" max="10" bestFit="true" customWidth="true" style="20" width="10.1328125" collapsed="true"/>
    <col min="11" max="11" bestFit="true" customWidth="true" style="20" width="9.86328125" collapsed="true"/>
    <col min="12" max="14" width="9.1328125" collapsed="true"/>
    <col min="15" max="15" customWidth="true" width="13.0" collapsed="true"/>
    <col min="16" max="16" bestFit="true" customWidth="true" style="22" width="19.59765625" collapsed="true"/>
    <col min="17" max="17" customWidth="true" style="70" width="19.59765625" collapsed="true"/>
    <col min="18" max="16384" width="9.1328125" collapsed="true"/>
  </cols>
  <sheetData>
    <row r="1" spans="3:23" x14ac:dyDescent="0.45">
      <c r="C1" s="9" t="s">
        <v>39</v>
      </c>
      <c r="F1" s="9" t="s">
        <v>40</v>
      </c>
      <c r="N1" s="21" t="s">
        <v>260</v>
      </c>
      <c r="S1" s="21"/>
      <c r="T1" s="21" t="s">
        <v>260</v>
      </c>
      <c r="U1" s="38"/>
      <c r="V1" s="38"/>
      <c r="W1" s="38"/>
    </row>
    <row ht="14.65" r="2" spans="3:23" thickBot="1" x14ac:dyDescent="0.5">
      <c r="C2" s="21" t="s">
        <v>42</v>
      </c>
      <c r="M2" s="9" t="s">
        <v>90</v>
      </c>
      <c r="N2" s="9" t="s">
        <v>256</v>
      </c>
      <c r="O2" s="9" t="s">
        <v>257</v>
      </c>
      <c r="P2" s="74" t="s">
        <v>261</v>
      </c>
      <c r="Q2" s="71" t="s">
        <v>259</v>
      </c>
      <c r="R2" s="91" t="s">
        <v>346</v>
      </c>
      <c r="T2" s="38"/>
      <c r="U2" s="21" t="s">
        <v>262</v>
      </c>
      <c r="W2" s="38"/>
    </row>
    <row r="3" spans="3:23" x14ac:dyDescent="0.45">
      <c r="C3" s="5" t="s">
        <v>3</v>
      </c>
      <c r="D3" s="23" t="s">
        <v>43</v>
      </c>
      <c r="F3" s="5" t="s">
        <v>3</v>
      </c>
      <c r="G3" s="23" t="s">
        <v>43</v>
      </c>
      <c r="H3" s="82"/>
      <c r="I3" s="82"/>
      <c r="J3" s="82"/>
      <c r="K3" s="82"/>
      <c r="L3" s="24"/>
      <c r="M3" t="str">
        <f>VLOOKUP(N3,Coeff_Descr!$A:$D,3,FALSE)</f>
        <v>ALL</v>
      </c>
      <c r="N3">
        <f>OtherTourDestination!B11</f>
        <v>1</v>
      </c>
      <c r="O3" t="str">
        <f>OtherTourDestination!C11</f>
        <v>Beta000001</v>
      </c>
      <c r="P3">
        <f>OtherTourDestination!E11</f>
        <v>1</v>
      </c>
      <c r="Q3" s="72">
        <f>_xlfn.IFNA(VLOOKUP(N3,$B$43:$D$46,3,FALSE),P3)</f>
        <v>1</v>
      </c>
      <c r="R3">
        <f>IF(P3=Q3,0,1)</f>
        <v>0</v>
      </c>
      <c r="T3">
        <v>1</v>
      </c>
      <c r="U3" s="19" t="s">
        <v>280</v>
      </c>
      <c r="W3" s="38"/>
    </row>
    <row r="4" spans="3:23" x14ac:dyDescent="0.45">
      <c r="C4" s="25" t="s">
        <v>46</v>
      </c>
      <c r="D4" s="26">
        <f>TLFD!B11</f>
        <v>12167.118885070589</v>
      </c>
      <c r="F4" s="25" t="s">
        <v>46</v>
      </c>
      <c r="G4" s="26">
        <f>TLFD!F11</f>
        <v>14450</v>
      </c>
      <c r="H4" s="26"/>
      <c r="I4" s="26"/>
      <c r="J4" s="26"/>
      <c r="K4" s="26"/>
      <c r="L4" s="27"/>
      <c r="M4" t="str">
        <f>VLOOKUP(N4,Coeff_Descr!$A:$D,3,FALSE)</f>
        <v>ALL</v>
      </c>
      <c r="N4">
        <f>OtherTourDestination!B12</f>
        <v>2</v>
      </c>
      <c r="O4" t="str">
        <f>OtherTourDestination!C12</f>
        <v>Beta000002</v>
      </c>
      <c r="P4">
        <f>OtherTourDestination!E12</f>
        <v>14.842474747500001</v>
      </c>
      <c r="Q4" s="72">
        <f>_xlfn.IFNA(VLOOKUP(N4,$B$43:$D$46,3,FALSE),P4)</f>
        <v>14.842474747500001</v>
      </c>
      <c r="R4">
        <f ref="R4:R67" si="0" t="shared">IF(P4=Q4,0,1)</f>
        <v>0</v>
      </c>
      <c r="T4">
        <v>2</v>
      </c>
      <c r="U4" s="19" t="s">
        <v>264</v>
      </c>
      <c r="W4" s="38"/>
    </row>
    <row r="5" spans="3:23" x14ac:dyDescent="0.45">
      <c r="C5" s="11" t="s">
        <v>49</v>
      </c>
      <c r="D5" s="28">
        <f>TLFD!B12+TLFD!B13+(TLFD!B14/2)</f>
        <v>87421.40709344983</v>
      </c>
      <c r="F5" s="11" t="s">
        <v>49</v>
      </c>
      <c r="G5" s="28">
        <f>TLFD!F12+TLFD!F13+(TLFD!F14/2)</f>
        <v>54436</v>
      </c>
      <c r="H5" s="28"/>
      <c r="I5" s="28"/>
      <c r="J5" s="28"/>
      <c r="K5" s="28"/>
      <c r="L5" s="27"/>
      <c r="M5" t="str">
        <f>VLOOKUP(N5,Coeff_Descr!$A:$D,3,FALSE)</f>
        <v>ALL</v>
      </c>
      <c r="N5">
        <f>OtherTourDestination!B13</f>
        <v>3</v>
      </c>
      <c r="O5" t="str">
        <f>OtherTourDestination!C13</f>
        <v>Beta000003</v>
      </c>
      <c r="P5">
        <f>OtherTourDestination!E13</f>
        <v>5.2231850982500001E-2</v>
      </c>
      <c r="Q5" s="72">
        <f ref="Q5:Q68" si="1" t="shared">_xlfn.IFNA(VLOOKUP(N5,$B$43:$D$46,3,FALSE),P5)</f>
        <v>5.2231850982500001E-2</v>
      </c>
      <c r="R5">
        <f si="0" t="shared"/>
        <v>0</v>
      </c>
      <c r="T5">
        <v>3</v>
      </c>
      <c r="U5" s="38" t="s">
        <v>265</v>
      </c>
      <c r="V5" s="38"/>
      <c r="W5" s="38"/>
    </row>
    <row r="6" spans="3:23" x14ac:dyDescent="0.45">
      <c r="C6" s="11" t="s">
        <v>52</v>
      </c>
      <c r="D6" s="28">
        <f>(TLFD!B14/2)+SUM(TLFD!B15:B20)</f>
        <v>85403.905567449401</v>
      </c>
      <c r="F6" s="11" t="s">
        <v>52</v>
      </c>
      <c r="G6" s="28">
        <f>(TLFD!F14/2)+SUM(TLFD!F15:F20)</f>
        <v>72213</v>
      </c>
      <c r="H6" s="28"/>
      <c r="I6" s="90"/>
      <c r="J6" s="28"/>
      <c r="K6" s="28"/>
      <c r="L6" s="27"/>
      <c r="M6" t="str">
        <f>VLOOKUP(N6,Coeff_Descr!$A:$D,3,FALSE)</f>
        <v>ALL</v>
      </c>
      <c r="N6">
        <f>OtherTourDestination!B14</f>
        <v>4</v>
      </c>
      <c r="O6" t="str">
        <f>OtherTourDestination!C14</f>
        <v>Beta000004</v>
      </c>
      <c r="P6">
        <f>OtherTourDestination!E14</f>
        <v>-0.28042629390099999</v>
      </c>
      <c r="Q6" s="72">
        <f si="1" t="shared"/>
        <v>-0.28042629390099999</v>
      </c>
      <c r="R6">
        <f si="0" t="shared"/>
        <v>0</v>
      </c>
      <c r="T6">
        <v>4</v>
      </c>
      <c r="U6" s="38" t="s">
        <v>266</v>
      </c>
      <c r="V6" s="38"/>
      <c r="W6" s="38"/>
    </row>
    <row r="7" spans="3:23" x14ac:dyDescent="0.45">
      <c r="C7" s="12" t="s">
        <v>55</v>
      </c>
      <c r="D7" s="29">
        <f>SUM(TLFD!B21:B101)</f>
        <v>27277.598005414075</v>
      </c>
      <c r="F7" s="12" t="s">
        <v>55</v>
      </c>
      <c r="G7" s="29">
        <f>SUM(TLFD!F21:F101)</f>
        <v>38339</v>
      </c>
      <c r="H7" s="28"/>
      <c r="I7" s="28"/>
      <c r="J7" s="28"/>
      <c r="K7" s="28"/>
      <c r="L7" s="27"/>
      <c r="M7" t="str">
        <f>VLOOKUP(N7,Coeff_Descr!$A:$D,3,FALSE)</f>
        <v>ALL</v>
      </c>
      <c r="N7">
        <f>OtherTourDestination!B15</f>
        <v>5</v>
      </c>
      <c r="O7" t="str">
        <f>OtherTourDestination!C15</f>
        <v>Beta000005</v>
      </c>
      <c r="P7">
        <f>OtherTourDestination!E15</f>
        <v>3.8864252169499999E-2</v>
      </c>
      <c r="Q7" s="72">
        <f si="1" t="shared"/>
        <v>3.8864252169499999E-2</v>
      </c>
      <c r="R7">
        <f si="0" t="shared"/>
        <v>0</v>
      </c>
      <c r="T7" s="38">
        <v>5</v>
      </c>
      <c r="U7" s="38" t="s">
        <v>267</v>
      </c>
      <c r="V7" s="38"/>
      <c r="W7" s="38"/>
    </row>
    <row ht="14.65" r="8" spans="3:23" thickBot="1" x14ac:dyDescent="0.5">
      <c r="C8" s="30" t="s">
        <v>4</v>
      </c>
      <c r="D8" s="31">
        <f>SUM(D4:D7)</f>
        <v>212270.02955138389</v>
      </c>
      <c r="F8" s="30" t="s">
        <v>4</v>
      </c>
      <c r="G8" s="31">
        <f>SUM(G4:G7)</f>
        <v>179438</v>
      </c>
      <c r="H8" s="28"/>
      <c r="I8" s="28"/>
      <c r="J8" s="28" t="s">
        <v>286</v>
      </c>
      <c r="K8" s="92">
        <v>1</v>
      </c>
      <c r="M8" t="str">
        <f>VLOOKUP(N8,Coeff_Descr!$A:$D,3,FALSE)</f>
        <v>ALL</v>
      </c>
      <c r="N8">
        <f>OtherTourDestination!B16</f>
        <v>6</v>
      </c>
      <c r="O8" t="str">
        <f>OtherTourDestination!C16</f>
        <v>Beta000006</v>
      </c>
      <c r="P8">
        <f>OtherTourDestination!E16</f>
        <v>-5.4105027761100002E-2</v>
      </c>
      <c r="Q8" s="72">
        <f si="1" t="shared"/>
        <v>-5.4105027761100002E-2</v>
      </c>
      <c r="R8">
        <f si="0" t="shared"/>
        <v>0</v>
      </c>
      <c r="T8" s="38"/>
      <c r="U8" s="38"/>
      <c r="V8" s="38"/>
      <c r="W8" s="38"/>
    </row>
    <row r="9" spans="3:23" x14ac:dyDescent="0.45">
      <c r="M9" t="str">
        <f>VLOOKUP(N9,Coeff_Descr!$A:$D,3,FALSE)</f>
        <v>ALL</v>
      </c>
      <c r="N9">
        <f>OtherTourDestination!B17</f>
        <v>7</v>
      </c>
      <c r="O9" t="str">
        <f>OtherTourDestination!C17</f>
        <v>Beta000007</v>
      </c>
      <c r="P9">
        <f>OtherTourDestination!E17</f>
        <v>-1.2443107654000001</v>
      </c>
      <c r="Q9" s="72">
        <f si="1" t="shared"/>
        <v>-1.2443107654000001</v>
      </c>
      <c r="R9">
        <f si="0" t="shared"/>
        <v>0</v>
      </c>
      <c r="T9" s="38"/>
      <c r="U9" s="73" t="s">
        <v>268</v>
      </c>
      <c r="V9" s="38"/>
      <c r="W9" s="38"/>
    </row>
    <row ht="14.65" r="10" spans="3:23" thickBot="1" x14ac:dyDescent="0.5">
      <c r="C10" s="32" t="s">
        <v>62</v>
      </c>
      <c r="I10" s="89" t="s">
        <v>281</v>
      </c>
      <c r="J10" s="86"/>
      <c r="K10" s="86"/>
      <c r="L10" s="24" t="s">
        <v>286</v>
      </c>
      <c r="M10" t="str">
        <f>VLOOKUP(N10,Coeff_Descr!$A:$D,3,FALSE)</f>
        <v>ALL</v>
      </c>
      <c r="N10">
        <f>OtherTourDestination!B18</f>
        <v>8</v>
      </c>
      <c r="O10" t="str">
        <f>OtherTourDestination!C18</f>
        <v>Beta000008</v>
      </c>
      <c r="P10">
        <f>OtherTourDestination!E18</f>
        <v>0.41298170440800003</v>
      </c>
      <c r="Q10" s="72">
        <f si="1" t="shared"/>
        <v>0.41298170440800003</v>
      </c>
      <c r="R10">
        <f si="0" t="shared"/>
        <v>0</v>
      </c>
      <c r="T10" s="38">
        <v>1</v>
      </c>
      <c r="U10" s="19" t="s">
        <v>263</v>
      </c>
      <c r="V10" s="38"/>
      <c r="W10" s="38"/>
    </row>
    <row r="11" spans="3:23" x14ac:dyDescent="0.45">
      <c r="C11" s="5" t="s">
        <v>3</v>
      </c>
      <c r="D11" s="23" t="s">
        <v>43</v>
      </c>
      <c r="F11" s="5" t="s">
        <v>3</v>
      </c>
      <c r="G11" s="23" t="s">
        <v>43</v>
      </c>
      <c r="H11" s="82"/>
      <c r="I11" s="23" t="s">
        <v>277</v>
      </c>
      <c r="J11" s="23" t="s">
        <v>278</v>
      </c>
      <c r="K11" s="23" t="s">
        <v>279</v>
      </c>
      <c r="L11" s="33"/>
      <c r="M11" t="str">
        <f>VLOOKUP(N11,Coeff_Descr!$A:$D,3,FALSE)</f>
        <v>ALL</v>
      </c>
      <c r="N11">
        <f>OtherTourDestination!B19</f>
        <v>9</v>
      </c>
      <c r="O11" t="str">
        <f>OtherTourDestination!C19</f>
        <v>Beta000009</v>
      </c>
      <c r="P11">
        <f>OtherTourDestination!E19</f>
        <v>-0.26420630814700002</v>
      </c>
      <c r="Q11" s="72">
        <f si="1" t="shared"/>
        <v>-0.26420630814700002</v>
      </c>
      <c r="R11">
        <f si="0" t="shared"/>
        <v>0</v>
      </c>
      <c r="T11" s="38">
        <v>2</v>
      </c>
      <c r="U11" s="38" t="s">
        <v>269</v>
      </c>
      <c r="V11" s="38"/>
      <c r="W11" s="38"/>
    </row>
    <row r="12" spans="3:23" x14ac:dyDescent="0.45">
      <c r="C12" s="25" t="s">
        <v>46</v>
      </c>
      <c r="D12" s="34">
        <f>D4/D$8</f>
        <v>5.7319061531130151E-2</v>
      </c>
      <c r="F12" s="25" t="s">
        <v>46</v>
      </c>
      <c r="G12" s="34">
        <f>G4/G$8</f>
        <v>8.0529207860096527E-2</v>
      </c>
      <c r="H12" s="34"/>
      <c r="I12" s="84">
        <f>D12/G12</f>
        <v>0.71177977598774611</v>
      </c>
      <c r="J12" s="83">
        <f>LN(I12)</f>
        <v>-0.33998671880231707</v>
      </c>
      <c r="K12" s="83">
        <f>K8*J12</f>
        <v>-0.33998671880231707</v>
      </c>
      <c r="L12" s="84">
        <v>1</v>
      </c>
      <c r="M12" t="str">
        <f>VLOOKUP(N12,Coeff_Descr!$A:$D,3,FALSE)</f>
        <v>ALL</v>
      </c>
      <c r="N12">
        <f>OtherTourDestination!B20</f>
        <v>10</v>
      </c>
      <c r="O12" t="str">
        <f>OtherTourDestination!C20</f>
        <v>Beta000010</v>
      </c>
      <c r="P12">
        <f>OtherTourDestination!E20</f>
        <v>-0.35872692861799998</v>
      </c>
      <c r="Q12" s="72">
        <f si="1" t="shared"/>
        <v>-0.35872692861799998</v>
      </c>
      <c r="R12">
        <f si="0" t="shared"/>
        <v>0</v>
      </c>
      <c r="T12" s="38">
        <v>3</v>
      </c>
      <c r="U12" s="38" t="s">
        <v>270</v>
      </c>
      <c r="V12" s="38"/>
      <c r="W12" s="38"/>
    </row>
    <row r="13" spans="3:23" x14ac:dyDescent="0.45">
      <c r="C13" s="11" t="s">
        <v>49</v>
      </c>
      <c r="D13" s="35">
        <f ref="D13:D16" si="2" t="shared">D5/D$8</f>
        <v>0.41184055647520346</v>
      </c>
      <c r="F13" s="11" t="s">
        <v>49</v>
      </c>
      <c r="G13" s="35">
        <f ref="G13:G16" si="3" t="shared">G5/G$8</f>
        <v>0.30336940893233316</v>
      </c>
      <c r="H13" s="35"/>
      <c r="I13" s="84">
        <f ref="I13" si="4" t="shared">D13/G13</f>
        <v>1.3575546655301189</v>
      </c>
      <c r="J13" s="83">
        <f>LN(I13)</f>
        <v>0.3056850412822909</v>
      </c>
      <c r="K13" s="83">
        <f>K8*(J13-J12)</f>
        <v>0.64567176008460803</v>
      </c>
      <c r="L13" s="84">
        <v>1</v>
      </c>
      <c r="M13" t="str">
        <f>VLOOKUP(N13,Coeff_Descr!$A:$D,3,FALSE)</f>
        <v>ALL</v>
      </c>
      <c r="N13">
        <f>OtherTourDestination!B21</f>
        <v>11</v>
      </c>
      <c r="O13" t="str">
        <f>OtherTourDestination!C21</f>
        <v>Beta000011</v>
      </c>
      <c r="P13">
        <f>OtherTourDestination!E21</f>
        <v>0.20317681554899999</v>
      </c>
      <c r="Q13" s="72">
        <f si="1" t="shared"/>
        <v>0.20317681554899999</v>
      </c>
      <c r="R13">
        <f si="0" t="shared"/>
        <v>0</v>
      </c>
      <c r="T13" s="38">
        <v>4</v>
      </c>
      <c r="U13" s="38" t="s">
        <v>271</v>
      </c>
      <c r="V13" s="38"/>
      <c r="W13" s="38"/>
    </row>
    <row r="14" spans="3:23" x14ac:dyDescent="0.45">
      <c r="C14" s="11" t="s">
        <v>52</v>
      </c>
      <c r="D14" s="35">
        <f si="2" t="shared"/>
        <v>0.40233614584189714</v>
      </c>
      <c r="F14" s="11" t="s">
        <v>52</v>
      </c>
      <c r="G14" s="35">
        <f si="3" t="shared"/>
        <v>0.40243983994471627</v>
      </c>
      <c r="H14" s="35"/>
      <c r="I14" s="84">
        <f>(D14+D15)/(G14+G15)</f>
        <v>0.86161206006385693</v>
      </c>
      <c r="J14" s="83">
        <f>LN(I14)</f>
        <v>-0.14895015594932035</v>
      </c>
      <c r="K14" s="83">
        <f>K8*(J14-J13-J12)</f>
        <v>-0.11464847842929421</v>
      </c>
      <c r="L14" s="84">
        <v>1</v>
      </c>
      <c r="M14" t="str">
        <f>VLOOKUP(N14,Coeff_Descr!$A:$D,3,FALSE)</f>
        <v>ALL</v>
      </c>
      <c r="N14">
        <f>OtherTourDestination!B22</f>
        <v>12</v>
      </c>
      <c r="O14" t="str">
        <f>OtherTourDestination!C22</f>
        <v>Beta000012</v>
      </c>
      <c r="P14">
        <f>OtherTourDestination!E22</f>
        <v>-0.25772334575</v>
      </c>
      <c r="Q14" s="72">
        <f si="1" t="shared"/>
        <v>-0.25772334575</v>
      </c>
      <c r="R14">
        <f si="0" t="shared"/>
        <v>0</v>
      </c>
      <c r="T14" s="38">
        <v>5</v>
      </c>
      <c r="U14" s="19" t="s">
        <v>272</v>
      </c>
      <c r="V14" s="38"/>
      <c r="W14" s="38"/>
    </row>
    <row ht="14.65" r="15" spans="3:23" thickBot="1" x14ac:dyDescent="0.5">
      <c r="C15" s="12" t="s">
        <v>55</v>
      </c>
      <c r="D15" s="35">
        <f si="2" t="shared"/>
        <v>0.12850423615176926</v>
      </c>
      <c r="F15" s="12" t="s">
        <v>55</v>
      </c>
      <c r="G15" s="35">
        <f si="3" t="shared"/>
        <v>0.21366154326285403</v>
      </c>
      <c r="H15" s="35"/>
      <c r="I15" s="85"/>
      <c r="J15" s="87"/>
      <c r="K15" s="87"/>
      <c r="M15" t="str">
        <f>VLOOKUP(N15,Coeff_Descr!$A:$D,3,FALSE)</f>
        <v>ALL</v>
      </c>
      <c r="N15">
        <f>OtherTourDestination!B23</f>
        <v>13</v>
      </c>
      <c r="O15" t="str">
        <f>OtherTourDestination!C23</f>
        <v>Beta000013</v>
      </c>
      <c r="P15">
        <f>OtherTourDestination!E23</f>
        <v>-1.51291507531</v>
      </c>
      <c r="Q15" s="72">
        <f si="1" t="shared"/>
        <v>-1.51291507531</v>
      </c>
      <c r="R15">
        <f si="0" t="shared"/>
        <v>0</v>
      </c>
      <c r="T15" s="38">
        <v>6</v>
      </c>
      <c r="U15" s="38" t="s">
        <v>273</v>
      </c>
      <c r="V15" s="38"/>
      <c r="W15" s="38"/>
    </row>
    <row ht="14.65" r="16" spans="3:23" thickBot="1" x14ac:dyDescent="0.5">
      <c r="C16" s="30" t="s">
        <v>4</v>
      </c>
      <c r="D16" s="36">
        <f si="2" t="shared"/>
        <v>1</v>
      </c>
      <c r="F16" s="30" t="s">
        <v>4</v>
      </c>
      <c r="G16" s="36">
        <f si="3" t="shared"/>
        <v>1</v>
      </c>
      <c r="H16" s="35"/>
      <c r="I16" s="84"/>
      <c r="J16" s="84"/>
      <c r="K16" s="84"/>
      <c r="M16" t="str">
        <f>VLOOKUP(N16,Coeff_Descr!$A:$D,3,FALSE)</f>
        <v>ALL</v>
      </c>
      <c r="N16">
        <f>OtherTourDestination!B24</f>
        <v>14</v>
      </c>
      <c r="O16" t="str">
        <f>OtherTourDestination!C24</f>
        <v>Beta000014</v>
      </c>
      <c r="P16">
        <f>OtherTourDestination!E24</f>
        <v>-0.21776561918199999</v>
      </c>
      <c r="Q16" s="72">
        <f si="1" t="shared"/>
        <v>-0.21776561918199999</v>
      </c>
      <c r="R16">
        <f si="0" t="shared"/>
        <v>0</v>
      </c>
      <c r="T16" s="38">
        <v>7</v>
      </c>
      <c r="U16" s="38" t="s">
        <v>266</v>
      </c>
      <c r="V16" s="38"/>
      <c r="W16" s="38"/>
    </row>
    <row r="17" spans="2:23" x14ac:dyDescent="0.45">
      <c r="M17" t="str">
        <f>VLOOKUP(N17,Coeff_Descr!$A:$D,3,FALSE)</f>
        <v>ALL</v>
      </c>
      <c r="N17">
        <f>OtherTourDestination!B25</f>
        <v>15</v>
      </c>
      <c r="O17" t="str">
        <f>OtherTourDestination!C25</f>
        <v>Beta000015</v>
      </c>
      <c r="P17">
        <f>OtherTourDestination!E25</f>
        <v>-1.27163179208</v>
      </c>
      <c r="Q17" s="72">
        <f si="1" t="shared"/>
        <v>-1.27163179208</v>
      </c>
      <c r="R17">
        <f si="0" t="shared"/>
        <v>0</v>
      </c>
      <c r="T17" s="38">
        <v>8</v>
      </c>
      <c r="U17" s="38" t="s">
        <v>274</v>
      </c>
      <c r="V17" s="38"/>
      <c r="W17" s="38"/>
    </row>
    <row r="18" spans="2:23" x14ac:dyDescent="0.45">
      <c r="G18" s="88"/>
      <c r="H18" s="88"/>
      <c r="I18" s="88"/>
      <c r="J18" s="88"/>
      <c r="K18" s="83"/>
      <c r="M18" t="str">
        <f>VLOOKUP(N18,Coeff_Descr!$A:$D,3,FALSE)</f>
        <v>ALL</v>
      </c>
      <c r="N18">
        <f>OtherTourDestination!B26</f>
        <v>16</v>
      </c>
      <c r="O18" t="str">
        <f>OtherTourDestination!C26</f>
        <v>Beta000016</v>
      </c>
      <c r="P18">
        <f>OtherTourDestination!E26</f>
        <v>-0.54089688480800002</v>
      </c>
      <c r="Q18" s="72">
        <f si="1" t="shared"/>
        <v>-0.54089688480800002</v>
      </c>
      <c r="R18">
        <f si="0" t="shared"/>
        <v>0</v>
      </c>
    </row>
    <row r="19" spans="2:23" x14ac:dyDescent="0.45">
      <c r="C19" s="37" t="s">
        <v>81</v>
      </c>
      <c r="G19" s="88"/>
      <c r="H19" s="88"/>
      <c r="I19" s="88"/>
      <c r="J19" s="88"/>
      <c r="K19" s="83"/>
      <c r="M19" t="str">
        <f>VLOOKUP(N19,Coeff_Descr!$A:$D,3,FALSE)</f>
        <v>ALL</v>
      </c>
      <c r="N19">
        <f>OtherTourDestination!B27</f>
        <v>17</v>
      </c>
      <c r="O19" t="str">
        <f>OtherTourDestination!C27</f>
        <v>Beta000017</v>
      </c>
      <c r="P19">
        <f>OtherTourDestination!E27</f>
        <v>0</v>
      </c>
      <c r="Q19" s="72">
        <f si="1" t="shared"/>
        <v>0</v>
      </c>
      <c r="R19">
        <f si="0" t="shared"/>
        <v>0</v>
      </c>
    </row>
    <row r="20" spans="2:23" x14ac:dyDescent="0.45">
      <c r="C20" s="37" t="s">
        <v>84</v>
      </c>
      <c r="G20" s="88"/>
      <c r="H20" s="88"/>
      <c r="I20" s="88"/>
      <c r="J20" s="88"/>
      <c r="K20" s="83"/>
      <c r="M20" t="str">
        <f>VLOOKUP(N20,Coeff_Descr!$A:$D,3,FALSE)</f>
        <v>ALL</v>
      </c>
      <c r="N20">
        <f>OtherTourDestination!B28</f>
        <v>18</v>
      </c>
      <c r="O20" t="str">
        <f>OtherTourDestination!C28</f>
        <v>Beta000018</v>
      </c>
      <c r="P20">
        <f>OtherTourDestination!E28</f>
        <v>0</v>
      </c>
      <c r="Q20" s="72">
        <f si="1" t="shared"/>
        <v>0</v>
      </c>
      <c r="R20">
        <f si="0" t="shared"/>
        <v>0</v>
      </c>
    </row>
    <row ht="14.65" r="21" spans="2:23" thickBot="1" x14ac:dyDescent="0.5">
      <c r="C21" s="38"/>
      <c r="G21" s="88"/>
      <c r="H21" s="88"/>
      <c r="I21" s="88"/>
      <c r="J21" s="88"/>
      <c r="K21" s="83"/>
      <c r="M21" t="str">
        <f>VLOOKUP(N21,Coeff_Descr!$A:$D,3,FALSE)</f>
        <v>ALL</v>
      </c>
      <c r="N21">
        <f>OtherTourDestination!B29</f>
        <v>19</v>
      </c>
      <c r="O21" t="str">
        <f>OtherTourDestination!C29</f>
        <v>Beta000019</v>
      </c>
      <c r="P21">
        <f>OtherTourDestination!E29</f>
        <v>0</v>
      </c>
      <c r="Q21" s="72">
        <f si="1" t="shared"/>
        <v>0</v>
      </c>
      <c r="R21">
        <f si="0" t="shared"/>
        <v>0</v>
      </c>
    </row>
    <row r="22" spans="2:23" x14ac:dyDescent="0.45">
      <c r="B22" s="66" t="s">
        <v>256</v>
      </c>
      <c r="C22" s="39" t="s">
        <v>90</v>
      </c>
      <c r="D22" s="40"/>
      <c r="M22" t="str">
        <f>VLOOKUP(N22,Coeff_Descr!$A:$D,3,FALSE)</f>
        <v>ESCORT</v>
      </c>
      <c r="N22">
        <f>OtherTourDestination!B30</f>
        <v>20</v>
      </c>
      <c r="O22" t="str">
        <f>OtherTourDestination!C30</f>
        <v>Beta000020</v>
      </c>
      <c r="P22">
        <f>OtherTourDestination!E30</f>
        <v>0.43763139961699998</v>
      </c>
      <c r="Q22" s="72">
        <f si="1" t="shared"/>
        <v>0.43763139961699998</v>
      </c>
      <c r="R22">
        <f si="0" t="shared"/>
        <v>0</v>
      </c>
    </row>
    <row r="23" spans="2:23" x14ac:dyDescent="0.45">
      <c r="B23" s="67">
        <v>21</v>
      </c>
      <c r="C23" s="25" t="s">
        <v>46</v>
      </c>
      <c r="D23" s="78">
        <f>_xlfn.IFNA(VLOOKUP($B23,$N$3:$P$104,3,FALSE),0)</f>
        <v>-5.1729505125899999</v>
      </c>
      <c r="G23" s="81"/>
      <c r="H23" s="81"/>
      <c r="I23" s="81"/>
      <c r="J23" s="81"/>
      <c r="K23" s="81"/>
      <c r="M23" t="str">
        <f>VLOOKUP(N23,Coeff_Descr!$A:$D,3,FALSE)</f>
        <v>ESCORT</v>
      </c>
      <c r="N23" s="51">
        <f>OtherTourDestination!B31</f>
        <v>21</v>
      </c>
      <c r="O23" s="51" t="str">
        <f>OtherTourDestination!C31</f>
        <v>Beta000021</v>
      </c>
      <c r="P23" s="51">
        <f>OtherTourDestination!E31</f>
        <v>-5.1729505125899999</v>
      </c>
      <c r="Q23" s="72">
        <f si="1" t="shared"/>
        <v>-5.5129372313923168</v>
      </c>
      <c r="R23">
        <f si="0" t="shared"/>
        <v>1</v>
      </c>
      <c r="S23" t="str">
        <f>VLOOKUP(N23,Coeff_Descr!$A$2:$E$104,4,FALSE)</f>
        <v>distanceFromOrigin4</v>
      </c>
    </row>
    <row r="24" spans="2:23" x14ac:dyDescent="0.45">
      <c r="B24" s="67">
        <v>22</v>
      </c>
      <c r="C24" s="11" t="s">
        <v>49</v>
      </c>
      <c r="D24" s="79">
        <f ref="D24:D25" si="5" t="shared">_xlfn.IFNA(VLOOKUP($B24,$N$3:$P$104,3,FALSE),0)</f>
        <v>-5.9112646193599998</v>
      </c>
      <c r="F24" s="80"/>
      <c r="M24" t="str">
        <f>VLOOKUP(N24,Coeff_Descr!$A:$D,3,FALSE)</f>
        <v>ESCORT</v>
      </c>
      <c r="N24" s="51">
        <f>OtherTourDestination!B32</f>
        <v>22</v>
      </c>
      <c r="O24" s="51" t="str">
        <f>OtherTourDestination!C32</f>
        <v>Beta000022</v>
      </c>
      <c r="P24" s="51">
        <f>OtherTourDestination!E32</f>
        <v>-5.9112646193599998</v>
      </c>
      <c r="Q24" s="72">
        <f si="1" t="shared"/>
        <v>-5.265592859275392</v>
      </c>
      <c r="R24">
        <f si="0" t="shared"/>
        <v>1</v>
      </c>
      <c r="S24" t="str">
        <f>VLOOKUP(N24,Coeff_Descr!$A$2:$E$104,4,FALSE)</f>
        <v>distanceFromOrigin8</v>
      </c>
    </row>
    <row r="25" spans="2:23" x14ac:dyDescent="0.45">
      <c r="B25" s="67">
        <v>23</v>
      </c>
      <c r="C25" s="11" t="s">
        <v>52</v>
      </c>
      <c r="D25" s="79">
        <f si="5" t="shared"/>
        <v>-4.3510480079200002</v>
      </c>
      <c r="M25" t="str">
        <f>VLOOKUP(N25,Coeff_Descr!$A:$D,3,FALSE)</f>
        <v>ESCORT</v>
      </c>
      <c r="N25" s="51">
        <f>OtherTourDestination!B33</f>
        <v>23</v>
      </c>
      <c r="O25" s="51" t="str">
        <f>OtherTourDestination!C33</f>
        <v>Beta000023</v>
      </c>
      <c r="P25" s="51">
        <f>OtherTourDestination!E33</f>
        <v>-4.3510480079200002</v>
      </c>
      <c r="Q25" s="72">
        <f si="1" t="shared"/>
        <v>-4.4656964863492945</v>
      </c>
      <c r="R25">
        <f si="0" t="shared"/>
        <v>1</v>
      </c>
      <c r="S25" t="str">
        <f>VLOOKUP(N25,Coeff_Descr!$A$2:$E$104,4,FALSE)</f>
        <v>distanceFromOrigin9</v>
      </c>
    </row>
    <row ht="14.65" r="26" spans="2:23" thickBot="1" x14ac:dyDescent="0.5">
      <c r="B26" s="68"/>
      <c r="C26" s="13"/>
      <c r="D26" s="77"/>
      <c r="E26" t="s">
        <v>276</v>
      </c>
      <c r="M26" t="str">
        <f>VLOOKUP(N26,Coeff_Descr!$A:$D,3,FALSE)</f>
        <v>ESCORT</v>
      </c>
      <c r="N26">
        <f>OtherTourDestination!B34</f>
        <v>24</v>
      </c>
      <c r="O26" t="str">
        <f>OtherTourDestination!C34</f>
        <v>Beta000024</v>
      </c>
      <c r="P26">
        <f>OtherTourDestination!E34</f>
        <v>0.219929989326</v>
      </c>
      <c r="Q26" s="72">
        <f si="1" t="shared"/>
        <v>0.219929989326</v>
      </c>
      <c r="R26">
        <f si="0" t="shared"/>
        <v>0</v>
      </c>
    </row>
    <row r="27" spans="2:23" x14ac:dyDescent="0.45">
      <c r="C27" s="38"/>
      <c r="D27" s="43"/>
      <c r="M27" t="str">
        <f>VLOOKUP(N27,Coeff_Descr!$A:$D,3,FALSE)</f>
        <v>ESCORT</v>
      </c>
      <c r="N27">
        <f>OtherTourDestination!B35</f>
        <v>25</v>
      </c>
      <c r="O27" t="str">
        <f>OtherTourDestination!C35</f>
        <v>Beta000025</v>
      </c>
      <c r="P27">
        <f>OtherTourDestination!E35</f>
        <v>-0.19965371290799999</v>
      </c>
      <c r="Q27" s="72">
        <f si="1" t="shared"/>
        <v>-0.19965371290799999</v>
      </c>
      <c r="R27">
        <f si="0" t="shared"/>
        <v>0</v>
      </c>
    </row>
    <row r="28" spans="2:23" x14ac:dyDescent="0.45">
      <c r="C28" s="38"/>
      <c r="D28" s="43"/>
      <c r="M28" t="str">
        <f>VLOOKUP(N28,Coeff_Descr!$A:$D,3,FALSE)</f>
        <v>PERSBUS/MED</v>
      </c>
      <c r="N28">
        <f>OtherTourDestination!B36</f>
        <v>26</v>
      </c>
      <c r="O28" t="str">
        <f>OtherTourDestination!C36</f>
        <v>Beta000026</v>
      </c>
      <c r="P28">
        <f>OtherTourDestination!E36</f>
        <v>0.456947594269</v>
      </c>
      <c r="Q28" s="72">
        <f si="1" t="shared"/>
        <v>0.456947594269</v>
      </c>
      <c r="R28">
        <f si="0" t="shared"/>
        <v>0</v>
      </c>
    </row>
    <row r="29" spans="2:23" x14ac:dyDescent="0.45">
      <c r="C29" s="37" t="s">
        <v>81</v>
      </c>
      <c r="D29" s="44"/>
      <c r="M29" t="str">
        <f>VLOOKUP(N29,Coeff_Descr!$A:$D,3,FALSE)</f>
        <v>PERSBUS/MED</v>
      </c>
      <c r="N29">
        <f>OtherTourDestination!B37</f>
        <v>27</v>
      </c>
      <c r="O29" t="str">
        <f>OtherTourDestination!C37</f>
        <v>Beta000027</v>
      </c>
      <c r="P29">
        <f>OtherTourDestination!E37</f>
        <v>-16.041405463699999</v>
      </c>
      <c r="Q29" s="72">
        <f si="1" t="shared"/>
        <v>-16.041405463699999</v>
      </c>
      <c r="R29">
        <f si="0" t="shared"/>
        <v>0</v>
      </c>
    </row>
    <row r="30" spans="2:23" x14ac:dyDescent="0.45">
      <c r="C30" s="37" t="s">
        <v>106</v>
      </c>
      <c r="D30" s="44"/>
      <c r="M30" t="str">
        <f>VLOOKUP(N30,Coeff_Descr!$A:$D,3,FALSE)</f>
        <v>PERSBUS/MED</v>
      </c>
      <c r="N30">
        <f>OtherTourDestination!B38</f>
        <v>28</v>
      </c>
      <c r="O30" t="str">
        <f>OtherTourDestination!C38</f>
        <v>Beta000028</v>
      </c>
      <c r="P30">
        <f>OtherTourDestination!E38</f>
        <v>-4.0058838759500004</v>
      </c>
      <c r="Q30" s="72">
        <f si="1" t="shared"/>
        <v>-4.0058838759500004</v>
      </c>
      <c r="R30">
        <f si="0" t="shared"/>
        <v>0</v>
      </c>
    </row>
    <row ht="14.65" r="31" spans="2:23" thickBot="1" x14ac:dyDescent="0.5">
      <c r="C31" s="38"/>
      <c r="D31" s="43"/>
      <c r="M31" t="str">
        <f>VLOOKUP(N31,Coeff_Descr!$A:$D,3,FALSE)</f>
        <v>PERSBUS/MED</v>
      </c>
      <c r="N31">
        <f>OtherTourDestination!B39</f>
        <v>29</v>
      </c>
      <c r="O31" t="str">
        <f>OtherTourDestination!C39</f>
        <v>Beta000029</v>
      </c>
      <c r="P31">
        <f>OtherTourDestination!E39</f>
        <v>-2.2602358254700001</v>
      </c>
      <c r="Q31" s="72">
        <f si="1" t="shared"/>
        <v>-2.2602358254700001</v>
      </c>
      <c r="R31">
        <f si="0" t="shared"/>
        <v>0</v>
      </c>
    </row>
    <row r="32" spans="2:23" x14ac:dyDescent="0.45">
      <c r="B32" s="66" t="s">
        <v>256</v>
      </c>
      <c r="C32" s="39" t="s">
        <v>90</v>
      </c>
      <c r="D32" s="40"/>
      <c r="M32" t="str">
        <f>VLOOKUP(N32,Coeff_Descr!$A:$D,3,FALSE)</f>
        <v>PERSBUS/MED</v>
      </c>
      <c r="N32">
        <f>OtherTourDestination!B40</f>
        <v>30</v>
      </c>
      <c r="O32" t="str">
        <f>OtherTourDestination!C40</f>
        <v>Beta000030</v>
      </c>
      <c r="P32">
        <f>OtherTourDestination!E40</f>
        <v>-0.57131171698200001</v>
      </c>
      <c r="Q32" s="72">
        <f si="1" t="shared"/>
        <v>-0.57131171698200001</v>
      </c>
      <c r="R32">
        <f si="0" t="shared"/>
        <v>0</v>
      </c>
    </row>
    <row r="33" spans="2:18" x14ac:dyDescent="0.45">
      <c r="B33" s="67">
        <f>B23</f>
        <v>21</v>
      </c>
      <c r="C33" s="25" t="s">
        <v>46</v>
      </c>
      <c r="D33" s="41">
        <f>K12</f>
        <v>-0.33998671880231707</v>
      </c>
      <c r="M33" t="str">
        <f>VLOOKUP(N33,Coeff_Descr!$A:$D,3,FALSE)</f>
        <v>PERSBUS/MED</v>
      </c>
      <c r="N33">
        <f>OtherTourDestination!B41</f>
        <v>31</v>
      </c>
      <c r="O33" t="str">
        <f>OtherTourDestination!C41</f>
        <v>Beta000031</v>
      </c>
      <c r="P33">
        <f>OtherTourDestination!E41</f>
        <v>-9.1432405138999993E-3</v>
      </c>
      <c r="Q33" s="72">
        <f si="1" t="shared"/>
        <v>-9.1432405138999993E-3</v>
      </c>
      <c r="R33">
        <f si="0" t="shared"/>
        <v>0</v>
      </c>
    </row>
    <row r="34" spans="2:18" x14ac:dyDescent="0.45">
      <c r="B34" s="67">
        <f ref="B34:B35" si="6" t="shared">B24</f>
        <v>22</v>
      </c>
      <c r="C34" s="11" t="s">
        <v>49</v>
      </c>
      <c r="D34" s="41">
        <f ref="D34:D35" si="7" t="shared">K13</f>
        <v>0.64567176008460803</v>
      </c>
      <c r="M34" t="str">
        <f>VLOOKUP(N34,Coeff_Descr!$A:$D,3,FALSE)</f>
        <v>PERSBUS/MED</v>
      </c>
      <c r="N34">
        <f>OtherTourDestination!B42</f>
        <v>32</v>
      </c>
      <c r="O34" t="str">
        <f>OtherTourDestination!C42</f>
        <v>Beta000032</v>
      </c>
      <c r="P34">
        <f>OtherTourDestination!E42</f>
        <v>-0.11638214876</v>
      </c>
      <c r="Q34" s="72">
        <f si="1" t="shared"/>
        <v>-0.11638214876</v>
      </c>
      <c r="R34">
        <f si="0" t="shared"/>
        <v>0</v>
      </c>
    </row>
    <row r="35" spans="2:18" x14ac:dyDescent="0.45">
      <c r="B35" s="67">
        <f si="6" t="shared"/>
        <v>23</v>
      </c>
      <c r="C35" s="11" t="s">
        <v>52</v>
      </c>
      <c r="D35" s="41">
        <f si="7" t="shared"/>
        <v>-0.11464847842929421</v>
      </c>
      <c r="G35" s="45"/>
      <c r="H35" s="45"/>
      <c r="I35" s="45"/>
      <c r="J35" s="45"/>
      <c r="K35" s="45"/>
      <c r="M35" t="str">
        <f>VLOOKUP(N35,Coeff_Descr!$A:$D,3,FALSE)</f>
        <v>PERSBUS/MED</v>
      </c>
      <c r="N35">
        <f>OtherTourDestination!B43</f>
        <v>33</v>
      </c>
      <c r="O35" t="str">
        <f>OtherTourDestination!C43</f>
        <v>Beta000033</v>
      </c>
      <c r="P35">
        <f>OtherTourDestination!E43</f>
        <v>5.6920874310099998E-2</v>
      </c>
      <c r="Q35" s="72">
        <f si="1" t="shared"/>
        <v>5.6920874310099998E-2</v>
      </c>
      <c r="R35">
        <f si="0" t="shared"/>
        <v>0</v>
      </c>
    </row>
    <row ht="14.65" r="36" spans="2:18" thickBot="1" x14ac:dyDescent="0.5">
      <c r="B36" s="68"/>
      <c r="C36" s="13"/>
      <c r="D36" s="42"/>
      <c r="G36" s="46"/>
      <c r="H36" s="46"/>
      <c r="I36" s="46"/>
      <c r="J36" s="46"/>
      <c r="K36" s="46"/>
      <c r="M36" t="str">
        <f>VLOOKUP(N36,Coeff_Descr!$A:$D,3,FALSE)</f>
        <v>PERSBUS/MED</v>
      </c>
      <c r="N36">
        <f>OtherTourDestination!B44</f>
        <v>34</v>
      </c>
      <c r="O36" t="str">
        <f>OtherTourDestination!C44</f>
        <v>Beta000034</v>
      </c>
      <c r="P36">
        <f>OtherTourDestination!E44</f>
        <v>-1.9362324458399999E-2</v>
      </c>
      <c r="Q36" s="72">
        <f si="1" t="shared"/>
        <v>-1.9362324458399999E-2</v>
      </c>
      <c r="R36">
        <f si="0" t="shared"/>
        <v>0</v>
      </c>
    </row>
    <row r="37" spans="2:18" x14ac:dyDescent="0.45">
      <c r="C37" s="38"/>
      <c r="D37" s="41"/>
      <c r="M37" t="str">
        <f>VLOOKUP(N37,Coeff_Descr!$A:$D,3,FALSE)</f>
        <v>PERSBUS/MED</v>
      </c>
      <c r="N37">
        <f>OtherTourDestination!B45</f>
        <v>35</v>
      </c>
      <c r="O37" t="str">
        <f>OtherTourDestination!C45</f>
        <v>Beta000035</v>
      </c>
      <c r="P37">
        <f>OtherTourDestination!E45</f>
        <v>1.8323476485999999E-2</v>
      </c>
      <c r="Q37" s="72">
        <f si="1" t="shared"/>
        <v>1.8323476485999999E-2</v>
      </c>
      <c r="R37">
        <f si="0" t="shared"/>
        <v>0</v>
      </c>
    </row>
    <row r="38" spans="2:18" x14ac:dyDescent="0.45">
      <c r="C38" s="38"/>
      <c r="D38" s="41"/>
      <c r="M38" t="str">
        <f>VLOOKUP(N38,Coeff_Descr!$A:$D,3,FALSE)</f>
        <v>SHOP</v>
      </c>
      <c r="N38">
        <f>OtherTourDestination!B46</f>
        <v>36</v>
      </c>
      <c r="O38" t="str">
        <f>OtherTourDestination!C46</f>
        <v>Beta000036</v>
      </c>
      <c r="P38">
        <f>OtherTourDestination!E46</f>
        <v>2.3040582229000002</v>
      </c>
      <c r="Q38" s="72">
        <f si="1" t="shared"/>
        <v>2.3040582229000002</v>
      </c>
      <c r="R38">
        <f si="0" t="shared"/>
        <v>0</v>
      </c>
    </row>
    <row r="39" spans="2:18" x14ac:dyDescent="0.45">
      <c r="C39" s="37" t="s">
        <v>81</v>
      </c>
      <c r="D39" s="47"/>
      <c r="M39" t="str">
        <f>VLOOKUP(N39,Coeff_Descr!$A:$D,3,FALSE)</f>
        <v>SHOP</v>
      </c>
      <c r="N39">
        <f>OtherTourDestination!B47</f>
        <v>37</v>
      </c>
      <c r="O39" t="str">
        <f>OtherTourDestination!C47</f>
        <v>Beta000037</v>
      </c>
      <c r="P39">
        <f>OtherTourDestination!E47</f>
        <v>-7.2225250615199998</v>
      </c>
      <c r="Q39" s="72">
        <f si="1" t="shared"/>
        <v>-7.2225250615199998</v>
      </c>
      <c r="R39">
        <f si="0" t="shared"/>
        <v>0</v>
      </c>
    </row>
    <row r="40" spans="2:18" x14ac:dyDescent="0.45">
      <c r="C40" s="37" t="s">
        <v>124</v>
      </c>
      <c r="D40" s="47"/>
      <c r="M40" t="str">
        <f>VLOOKUP(N40,Coeff_Descr!$A:$D,3,FALSE)</f>
        <v>SHOP</v>
      </c>
      <c r="N40">
        <f>OtherTourDestination!B48</f>
        <v>38</v>
      </c>
      <c r="O40" t="str">
        <f>OtherTourDestination!C48</f>
        <v>Beta000038</v>
      </c>
      <c r="P40">
        <f>OtherTourDestination!E48</f>
        <v>-5.4693439766900003</v>
      </c>
      <c r="Q40" s="72">
        <f si="1" t="shared"/>
        <v>-5.4693439766900003</v>
      </c>
      <c r="R40">
        <f si="0" t="shared"/>
        <v>0</v>
      </c>
    </row>
    <row ht="14.65" r="41" spans="2:18" thickBot="1" x14ac:dyDescent="0.5">
      <c r="B41" s="1"/>
      <c r="C41" s="38"/>
      <c r="D41" s="41"/>
      <c r="M41" t="str">
        <f>VLOOKUP(N41,Coeff_Descr!$A:$D,3,FALSE)</f>
        <v>SHOP</v>
      </c>
      <c r="N41">
        <f>OtherTourDestination!B49</f>
        <v>39</v>
      </c>
      <c r="O41" t="str">
        <f>OtherTourDestination!C49</f>
        <v>Beta000039</v>
      </c>
      <c r="P41">
        <f>OtherTourDestination!E49</f>
        <v>-2.4179033783600001</v>
      </c>
      <c r="Q41" s="72">
        <f si="1" t="shared"/>
        <v>-2.4179033783600001</v>
      </c>
      <c r="R41">
        <f si="0" t="shared"/>
        <v>0</v>
      </c>
    </row>
    <row r="42" spans="2:18" x14ac:dyDescent="0.45">
      <c r="B42" s="66" t="s">
        <v>256</v>
      </c>
      <c r="C42" s="39" t="s">
        <v>90</v>
      </c>
      <c r="D42" s="48"/>
      <c r="M42" t="str">
        <f>VLOOKUP(N42,Coeff_Descr!$A:$D,3,FALSE)</f>
        <v>SHOP</v>
      </c>
      <c r="N42">
        <f>OtherTourDestination!B50</f>
        <v>40</v>
      </c>
      <c r="O42" t="str">
        <f>OtherTourDestination!C50</f>
        <v>Beta000040</v>
      </c>
      <c r="P42">
        <f>OtherTourDestination!E50</f>
        <v>-0.24529497763800001</v>
      </c>
      <c r="Q42" s="72">
        <f si="1" t="shared"/>
        <v>-0.24529497763800001</v>
      </c>
      <c r="R42">
        <f si="0" t="shared"/>
        <v>0</v>
      </c>
    </row>
    <row r="43" spans="2:18" x14ac:dyDescent="0.45">
      <c r="B43" s="67">
        <f>B33</f>
        <v>21</v>
      </c>
      <c r="C43" s="25" t="s">
        <v>46</v>
      </c>
      <c r="D43" s="75">
        <f>D23+D33</f>
        <v>-5.5129372313923168</v>
      </c>
      <c r="M43" t="str">
        <f>VLOOKUP(N43,Coeff_Descr!$A:$D,3,FALSE)</f>
        <v>SHOP</v>
      </c>
      <c r="N43">
        <f>OtherTourDestination!B51</f>
        <v>41</v>
      </c>
      <c r="O43" t="str">
        <f>OtherTourDestination!C51</f>
        <v>Beta000041</v>
      </c>
      <c r="P43">
        <f>OtherTourDestination!E51</f>
        <v>-0.100545011408</v>
      </c>
      <c r="Q43" s="72">
        <f si="1" t="shared"/>
        <v>-0.100545011408</v>
      </c>
      <c r="R43">
        <f si="0" t="shared"/>
        <v>0</v>
      </c>
    </row>
    <row r="44" spans="2:18" x14ac:dyDescent="0.45">
      <c r="B44" s="67">
        <f ref="B44:B45" si="8" t="shared">B34</f>
        <v>22</v>
      </c>
      <c r="C44" s="11" t="s">
        <v>49</v>
      </c>
      <c r="D44" s="75">
        <f ref="D44:D45" si="9" t="shared">D24+D34</f>
        <v>-5.265592859275392</v>
      </c>
      <c r="M44" t="str">
        <f>VLOOKUP(N44,Coeff_Descr!$A:$D,3,FALSE)</f>
        <v>SHOP</v>
      </c>
      <c r="N44">
        <f>OtherTourDestination!B52</f>
        <v>42</v>
      </c>
      <c r="O44" t="str">
        <f>OtherTourDestination!C52</f>
        <v>Beta000042</v>
      </c>
      <c r="P44">
        <f>OtherTourDestination!E52</f>
        <v>0.10049185695100001</v>
      </c>
      <c r="Q44" s="72">
        <f si="1" t="shared"/>
        <v>0.10049185695100001</v>
      </c>
      <c r="R44">
        <f si="0" t="shared"/>
        <v>0</v>
      </c>
    </row>
    <row r="45" spans="2:18" x14ac:dyDescent="0.45">
      <c r="B45" s="67">
        <f si="8" t="shared"/>
        <v>23</v>
      </c>
      <c r="C45" s="11" t="s">
        <v>52</v>
      </c>
      <c r="D45" s="75">
        <f si="9" t="shared"/>
        <v>-4.4656964863492945</v>
      </c>
      <c r="M45" t="str">
        <f>VLOOKUP(N45,Coeff_Descr!$A:$D,3,FALSE)</f>
        <v>MEAL</v>
      </c>
      <c r="N45">
        <f>OtherTourDestination!B53</f>
        <v>43</v>
      </c>
      <c r="O45" t="str">
        <f>OtherTourDestination!C53</f>
        <v>Beta000043</v>
      </c>
      <c r="P45">
        <f>OtherTourDestination!E53</f>
        <v>1.7655971612000001</v>
      </c>
      <c r="Q45" s="72">
        <f si="1" t="shared"/>
        <v>1.7655971612000001</v>
      </c>
      <c r="R45">
        <f si="0" t="shared"/>
        <v>0</v>
      </c>
    </row>
    <row ht="14.65" r="46" spans="2:18" thickBot="1" x14ac:dyDescent="0.5">
      <c r="B46" s="69"/>
      <c r="C46" s="13"/>
      <c r="D46" s="76"/>
      <c r="E46" t="s">
        <v>276</v>
      </c>
      <c r="M46" t="str">
        <f>VLOOKUP(N46,Coeff_Descr!$A:$D,3,FALSE)</f>
        <v>MEAL</v>
      </c>
      <c r="N46">
        <f>OtherTourDestination!B54</f>
        <v>44</v>
      </c>
      <c r="O46" t="str">
        <f>OtherTourDestination!C54</f>
        <v>Beta000044</v>
      </c>
      <c r="P46">
        <f>OtherTourDestination!E54</f>
        <v>-13.482142205440001</v>
      </c>
      <c r="Q46" s="72">
        <f si="1" t="shared"/>
        <v>-13.482142205440001</v>
      </c>
      <c r="R46">
        <f si="0" t="shared"/>
        <v>0</v>
      </c>
    </row>
    <row ht="14.65" r="47" spans="2:18" thickTop="1" x14ac:dyDescent="0.45">
      <c r="M47" t="str">
        <f>VLOOKUP(N47,Coeff_Descr!$A:$D,3,FALSE)</f>
        <v>MEAL</v>
      </c>
      <c r="N47">
        <f>OtherTourDestination!B55</f>
        <v>45</v>
      </c>
      <c r="O47" t="str">
        <f>OtherTourDestination!C55</f>
        <v>Beta000045</v>
      </c>
      <c r="P47">
        <f>OtherTourDestination!E55</f>
        <v>-5.7740636752999999</v>
      </c>
      <c r="Q47" s="72">
        <f si="1" t="shared"/>
        <v>-5.7740636752999999</v>
      </c>
      <c r="R47">
        <f si="0" t="shared"/>
        <v>0</v>
      </c>
    </row>
    <row r="48" spans="2:18" x14ac:dyDescent="0.45">
      <c r="M48" t="str">
        <f>VLOOKUP(N48,Coeff_Descr!$A:$D,3,FALSE)</f>
        <v>MEAL</v>
      </c>
      <c r="N48">
        <f>OtherTourDestination!B56</f>
        <v>46</v>
      </c>
      <c r="O48" t="str">
        <f>OtherTourDestination!C56</f>
        <v>Beta000046</v>
      </c>
      <c r="P48">
        <f>OtherTourDestination!E56</f>
        <v>-3.2513620839500001</v>
      </c>
      <c r="Q48" s="72">
        <f si="1" t="shared"/>
        <v>-3.2513620839500001</v>
      </c>
      <c r="R48">
        <f si="0" t="shared"/>
        <v>0</v>
      </c>
    </row>
    <row r="49" spans="13:18" x14ac:dyDescent="0.45">
      <c r="M49" t="str">
        <f>VLOOKUP(N49,Coeff_Descr!$A:$D,3,FALSE)</f>
        <v>MEAL</v>
      </c>
      <c r="N49">
        <f>OtherTourDestination!B57</f>
        <v>47</v>
      </c>
      <c r="O49" t="str">
        <f>OtherTourDestination!C57</f>
        <v>Beta000047</v>
      </c>
      <c r="P49">
        <f>OtherTourDestination!E57</f>
        <v>-0.81757689945000001</v>
      </c>
      <c r="Q49" s="72">
        <f si="1" t="shared"/>
        <v>-0.81757689945000001</v>
      </c>
      <c r="R49">
        <f si="0" t="shared"/>
        <v>0</v>
      </c>
    </row>
    <row r="50" spans="13:18" x14ac:dyDescent="0.45">
      <c r="M50" t="str">
        <f>VLOOKUP(N50,Coeff_Descr!$A:$D,3,FALSE)</f>
        <v>MEAL</v>
      </c>
      <c r="N50">
        <f>OtherTourDestination!B58</f>
        <v>48</v>
      </c>
      <c r="O50" t="str">
        <f>OtherTourDestination!C58</f>
        <v>Beta000048</v>
      </c>
      <c r="P50">
        <f>OtherTourDestination!E58</f>
        <v>0.63335958983999996</v>
      </c>
      <c r="Q50" s="72">
        <f si="1" t="shared"/>
        <v>0.63335958983999996</v>
      </c>
      <c r="R50">
        <f si="0" t="shared"/>
        <v>0</v>
      </c>
    </row>
    <row r="51" spans="13:18" x14ac:dyDescent="0.45">
      <c r="M51" t="str">
        <f>VLOOKUP(N51,Coeff_Descr!$A:$D,3,FALSE)</f>
        <v>SOCREC</v>
      </c>
      <c r="N51">
        <f>OtherTourDestination!B59</f>
        <v>49</v>
      </c>
      <c r="O51" t="str">
        <f>OtherTourDestination!C59</f>
        <v>Beta000049</v>
      </c>
      <c r="P51">
        <f>OtherTourDestination!E59</f>
        <v>0.54194850979700004</v>
      </c>
      <c r="Q51" s="72">
        <f si="1" t="shared"/>
        <v>0.54194850979700004</v>
      </c>
      <c r="R51">
        <f si="0" t="shared"/>
        <v>0</v>
      </c>
    </row>
    <row r="52" spans="13:18" x14ac:dyDescent="0.45">
      <c r="M52" t="str">
        <f>VLOOKUP(N52,Coeff_Descr!$A:$D,3,FALSE)</f>
        <v>SOCREC</v>
      </c>
      <c r="N52">
        <f>OtherTourDestination!B60</f>
        <v>50</v>
      </c>
      <c r="O52" t="str">
        <f>OtherTourDestination!C60</f>
        <v>Beta000050</v>
      </c>
      <c r="P52">
        <f>OtherTourDestination!E60</f>
        <v>-26.641935956609998</v>
      </c>
      <c r="Q52" s="72">
        <f si="1" t="shared"/>
        <v>-26.641935956609998</v>
      </c>
      <c r="R52">
        <f si="0" t="shared"/>
        <v>0</v>
      </c>
    </row>
    <row r="53" spans="13:18" x14ac:dyDescent="0.45">
      <c r="M53" t="str">
        <f>VLOOKUP(N53,Coeff_Descr!$A:$D,3,FALSE)</f>
        <v>SOCREC</v>
      </c>
      <c r="N53">
        <f>OtherTourDestination!B61</f>
        <v>51</v>
      </c>
      <c r="O53" t="str">
        <f>OtherTourDestination!C61</f>
        <v>Beta000051</v>
      </c>
      <c r="P53">
        <f>OtherTourDestination!E61</f>
        <v>-5.8569921168899999</v>
      </c>
      <c r="Q53" s="72">
        <f si="1" t="shared"/>
        <v>-5.8569921168899999</v>
      </c>
      <c r="R53">
        <f si="0" t="shared"/>
        <v>0</v>
      </c>
    </row>
    <row r="54" spans="13:18" x14ac:dyDescent="0.45">
      <c r="M54" t="str">
        <f>VLOOKUP(N54,Coeff_Descr!$A:$D,3,FALSE)</f>
        <v>SOCREC</v>
      </c>
      <c r="N54">
        <f>OtherTourDestination!B62</f>
        <v>52</v>
      </c>
      <c r="O54" t="str">
        <f>OtherTourDestination!C62</f>
        <v>Beta000052</v>
      </c>
      <c r="P54">
        <f>OtherTourDestination!E62</f>
        <v>-3.0622160410500001</v>
      </c>
      <c r="Q54" s="72">
        <f si="1" t="shared"/>
        <v>-3.0622160410500001</v>
      </c>
      <c r="R54">
        <f si="0" t="shared"/>
        <v>0</v>
      </c>
    </row>
    <row r="55" spans="13:18" x14ac:dyDescent="0.45">
      <c r="M55" t="str">
        <f>VLOOKUP(N55,Coeff_Descr!$A:$D,3,FALSE)</f>
        <v>SOCREC</v>
      </c>
      <c r="N55">
        <f>OtherTourDestination!B63</f>
        <v>53</v>
      </c>
      <c r="O55" t="str">
        <f>OtherTourDestination!C63</f>
        <v>Beta000053</v>
      </c>
      <c r="P55">
        <f>OtherTourDestination!E63</f>
        <v>-1.4592147580599999</v>
      </c>
      <c r="Q55" s="72">
        <f si="1" t="shared"/>
        <v>-1.4592147580599999</v>
      </c>
      <c r="R55">
        <f si="0" t="shared"/>
        <v>0</v>
      </c>
    </row>
    <row r="56" spans="13:18" x14ac:dyDescent="0.45">
      <c r="M56" t="str">
        <f>VLOOKUP(N56,Coeff_Descr!$A:$D,3,FALSE)</f>
        <v>SOCREC</v>
      </c>
      <c r="N56">
        <f>OtherTourDestination!B64</f>
        <v>54</v>
      </c>
      <c r="O56" t="str">
        <f>OtherTourDestination!C64</f>
        <v>Beta000054</v>
      </c>
      <c r="P56">
        <f>OtherTourDestination!E64</f>
        <v>-0.160744421114</v>
      </c>
      <c r="Q56" s="72">
        <f si="1" t="shared"/>
        <v>-0.160744421114</v>
      </c>
      <c r="R56">
        <f si="0" t="shared"/>
        <v>0</v>
      </c>
    </row>
    <row r="57" spans="13:18" x14ac:dyDescent="0.45">
      <c r="M57" t="str">
        <f>VLOOKUP(N57,Coeff_Descr!$A:$D,3,FALSE)</f>
        <v>SOCREC</v>
      </c>
      <c r="N57">
        <f>OtherTourDestination!B65</f>
        <v>55</v>
      </c>
      <c r="O57" t="str">
        <f>OtherTourDestination!C65</f>
        <v>Beta000055</v>
      </c>
      <c r="P57">
        <f>OtherTourDestination!E65</f>
        <v>0.101769944302</v>
      </c>
      <c r="Q57" s="72">
        <f si="1" t="shared"/>
        <v>0.101769944302</v>
      </c>
      <c r="R57">
        <f si="0" t="shared"/>
        <v>0</v>
      </c>
    </row>
    <row r="58" spans="13:18" x14ac:dyDescent="0.45">
      <c r="M58" t="str">
        <f>VLOOKUP(N58,Coeff_Descr!$A:$D,3,FALSE)</f>
        <v>SOCREC</v>
      </c>
      <c r="N58">
        <f>OtherTourDestination!B66</f>
        <v>56</v>
      </c>
      <c r="O58" t="str">
        <f>OtherTourDestination!C66</f>
        <v>Beta000056</v>
      </c>
      <c r="P58">
        <f>OtherTourDestination!E66</f>
        <v>-7.3004796389399995E-2</v>
      </c>
      <c r="Q58" s="72">
        <f si="1" t="shared"/>
        <v>-7.3004796389399995E-2</v>
      </c>
      <c r="R58">
        <f si="0" t="shared"/>
        <v>0</v>
      </c>
    </row>
    <row r="59" spans="13:18" x14ac:dyDescent="0.45">
      <c r="M59" t="str">
        <f>VLOOKUP(N59,Coeff_Descr!$A:$D,3,FALSE)</f>
        <v>SOCREC</v>
      </c>
      <c r="N59">
        <f>OtherTourDestination!B67</f>
        <v>57</v>
      </c>
      <c r="O59" t="str">
        <f>OtherTourDestination!C67</f>
        <v>Beta000057</v>
      </c>
      <c r="P59">
        <f>OtherTourDestination!E67</f>
        <v>4.7664283443500002E-2</v>
      </c>
      <c r="Q59" s="72">
        <f si="1" t="shared"/>
        <v>4.7664283443500002E-2</v>
      </c>
      <c r="R59">
        <f si="0" t="shared"/>
        <v>0</v>
      </c>
    </row>
    <row r="60" spans="13:18" x14ac:dyDescent="0.45">
      <c r="M60" t="str">
        <f>VLOOKUP(N60,Coeff_Descr!$A:$D,3,FALSE)</f>
        <v>ESCORT</v>
      </c>
      <c r="N60">
        <f>OtherTourDestination!B68</f>
        <v>70</v>
      </c>
      <c r="O60" t="str">
        <f>OtherTourDestination!C68</f>
        <v>LSM_0070</v>
      </c>
      <c r="P60">
        <f>OtherTourDestination!E68</f>
        <v>0.70165957865100004</v>
      </c>
      <c r="Q60" s="72">
        <f si="1" t="shared"/>
        <v>0.70165957865100004</v>
      </c>
      <c r="R60">
        <f si="0" t="shared"/>
        <v>0</v>
      </c>
    </row>
    <row r="61" spans="13:18" x14ac:dyDescent="0.45">
      <c r="M61" t="str">
        <f>VLOOKUP(N61,Coeff_Descr!$A:$D,3,FALSE)</f>
        <v>ESCORT</v>
      </c>
      <c r="N61">
        <f>OtherTourDestination!B69</f>
        <v>71</v>
      </c>
      <c r="O61" t="str">
        <f>OtherTourDestination!C69</f>
        <v>Gamma071</v>
      </c>
      <c r="P61">
        <f>OtherTourDestination!E69</f>
        <v>0</v>
      </c>
      <c r="Q61" s="72">
        <f si="1" t="shared"/>
        <v>0</v>
      </c>
      <c r="R61">
        <f si="0" t="shared"/>
        <v>0</v>
      </c>
    </row>
    <row r="62" spans="13:18" x14ac:dyDescent="0.45">
      <c r="M62" t="str">
        <f>VLOOKUP(N62,Coeff_Descr!$A:$D,3,FALSE)</f>
        <v>ESCORT</v>
      </c>
      <c r="N62">
        <f>OtherTourDestination!B70</f>
        <v>72</v>
      </c>
      <c r="O62" t="str">
        <f>OtherTourDestination!C70</f>
        <v>Gamma072</v>
      </c>
      <c r="P62">
        <f>OtherTourDestination!E70</f>
        <v>0</v>
      </c>
      <c r="Q62" s="72">
        <f si="1" t="shared"/>
        <v>0</v>
      </c>
      <c r="R62">
        <f si="0" t="shared"/>
        <v>0</v>
      </c>
    </row>
    <row r="63" spans="13:18" x14ac:dyDescent="0.45">
      <c r="M63" t="str">
        <f>VLOOKUP(N63,Coeff_Descr!$A:$D,3,FALSE)</f>
        <v>ESCORT</v>
      </c>
      <c r="N63">
        <f>OtherTourDestination!B71</f>
        <v>73</v>
      </c>
      <c r="O63" t="str">
        <f>OtherTourDestination!C71</f>
        <v>Gamma073</v>
      </c>
      <c r="P63">
        <f>OtherTourDestination!E71</f>
        <v>-1.0451393946200001</v>
      </c>
      <c r="Q63" s="72">
        <f si="1" t="shared"/>
        <v>-1.0451393946200001</v>
      </c>
      <c r="R63">
        <f si="0" t="shared"/>
        <v>0</v>
      </c>
    </row>
    <row r="64" spans="13:18" x14ac:dyDescent="0.45">
      <c r="M64" t="str">
        <f>VLOOKUP(N64,Coeff_Descr!$A:$D,3,FALSE)</f>
        <v>ESCORT</v>
      </c>
      <c r="N64">
        <f>OtherTourDestination!B72</f>
        <v>74</v>
      </c>
      <c r="O64" t="str">
        <f>OtherTourDestination!C72</f>
        <v>Gamma074</v>
      </c>
      <c r="P64">
        <f>OtherTourDestination!E72</f>
        <v>0</v>
      </c>
      <c r="Q64" s="72">
        <f si="1" t="shared"/>
        <v>0</v>
      </c>
      <c r="R64">
        <f si="0" t="shared"/>
        <v>0</v>
      </c>
    </row>
    <row r="65" spans="13:18" x14ac:dyDescent="0.45">
      <c r="M65" t="str">
        <f>VLOOKUP(N65,Coeff_Descr!$A:$D,3,FALSE)</f>
        <v>ESCORT</v>
      </c>
      <c r="N65">
        <f>OtherTourDestination!B73</f>
        <v>75</v>
      </c>
      <c r="O65" t="str">
        <f>OtherTourDestination!C73</f>
        <v>Gamma075</v>
      </c>
      <c r="P65">
        <f>OtherTourDestination!E73</f>
        <v>-0.200987204384</v>
      </c>
      <c r="Q65" s="72">
        <f si="1" t="shared"/>
        <v>-0.200987204384</v>
      </c>
      <c r="R65">
        <f si="0" t="shared"/>
        <v>0</v>
      </c>
    </row>
    <row r="66" spans="13:18" x14ac:dyDescent="0.45">
      <c r="M66" t="str">
        <f>VLOOKUP(N66,Coeff_Descr!$A:$D,3,FALSE)</f>
        <v>ESCORT</v>
      </c>
      <c r="N66">
        <f>OtherTourDestination!B74</f>
        <v>76</v>
      </c>
      <c r="O66" t="str">
        <f>OtherTourDestination!C74</f>
        <v>Gamma076</v>
      </c>
      <c r="P66">
        <f>OtherTourDestination!E74</f>
        <v>-0.24680877359100001</v>
      </c>
      <c r="Q66" s="72">
        <f si="1" t="shared"/>
        <v>-0.24680877359100001</v>
      </c>
      <c r="R66">
        <f si="0" t="shared"/>
        <v>0</v>
      </c>
    </row>
    <row r="67" spans="13:18" x14ac:dyDescent="0.45">
      <c r="M67" t="str">
        <f>VLOOKUP(N67,Coeff_Descr!$A:$D,3,FALSE)</f>
        <v>ESCORT</v>
      </c>
      <c r="N67">
        <f>OtherTourDestination!B75</f>
        <v>77</v>
      </c>
      <c r="O67" t="str">
        <f>OtherTourDestination!C75</f>
        <v>Gamma077</v>
      </c>
      <c r="P67">
        <f>OtherTourDestination!E75</f>
        <v>0.105207287565</v>
      </c>
      <c r="Q67" s="72">
        <f si="1" t="shared"/>
        <v>0.105207287565</v>
      </c>
      <c r="R67">
        <f si="0" t="shared"/>
        <v>0</v>
      </c>
    </row>
    <row r="68" spans="13:18" x14ac:dyDescent="0.45">
      <c r="M68" t="str">
        <f>VLOOKUP(N68,Coeff_Descr!$A:$D,3,FALSE)</f>
        <v>ESCORT</v>
      </c>
      <c r="N68">
        <f>OtherTourDestination!B76</f>
        <v>78</v>
      </c>
      <c r="O68" t="str">
        <f>OtherTourDestination!C76</f>
        <v>Gamma078</v>
      </c>
      <c r="P68">
        <f>OtherTourDestination!E76</f>
        <v>-3.0261765923500001</v>
      </c>
      <c r="Q68" s="72">
        <f si="1" t="shared"/>
        <v>-3.0261765923500001</v>
      </c>
      <c r="R68">
        <f ref="R68:R103" si="10" t="shared">IF(P68=Q68,0,1)</f>
        <v>0</v>
      </c>
    </row>
    <row r="69" spans="13:18" x14ac:dyDescent="0.45">
      <c r="M69" t="str">
        <f>VLOOKUP(N69,Coeff_Descr!$A:$D,3,FALSE)</f>
        <v>ESCORT</v>
      </c>
      <c r="N69">
        <f>OtherTourDestination!B77</f>
        <v>79</v>
      </c>
      <c r="O69" t="str">
        <f>OtherTourDestination!C77</f>
        <v>Gamma079</v>
      </c>
      <c r="P69">
        <f>OtherTourDestination!E77</f>
        <v>-3.16760127533</v>
      </c>
      <c r="Q69" s="72">
        <f ref="Q69:Q103" si="11" t="shared">_xlfn.IFNA(VLOOKUP(N69,$B$43:$D$46,3,FALSE),P69)</f>
        <v>-3.16760127533</v>
      </c>
      <c r="R69">
        <f si="10" t="shared"/>
        <v>0</v>
      </c>
    </row>
    <row r="70" spans="13:18" x14ac:dyDescent="0.45">
      <c r="M70" t="str">
        <f>VLOOKUP(N70,Coeff_Descr!$A:$D,3,FALSE)</f>
        <v>ESCORT</v>
      </c>
      <c r="N70">
        <f>OtherTourDestination!B78</f>
        <v>80</v>
      </c>
      <c r="O70" t="str">
        <f>OtherTourDestination!C78</f>
        <v>Gamma080</v>
      </c>
      <c r="P70">
        <f>OtherTourDestination!E78</f>
        <v>3.88384299801</v>
      </c>
      <c r="Q70" s="72">
        <f si="11" t="shared"/>
        <v>3.88384299801</v>
      </c>
      <c r="R70">
        <f si="10" t="shared"/>
        <v>0</v>
      </c>
    </row>
    <row r="71" spans="13:18" x14ac:dyDescent="0.45">
      <c r="M71" t="str">
        <f>VLOOKUP(N71,Coeff_Descr!$A:$D,3,FALSE)</f>
        <v>ESCORT</v>
      </c>
      <c r="N71">
        <f>OtherTourDestination!B79</f>
        <v>81</v>
      </c>
      <c r="O71" t="str">
        <f>OtherTourDestination!C79</f>
        <v>Gamma081</v>
      </c>
      <c r="P71">
        <f>OtherTourDestination!E79</f>
        <v>1.2853400619999999</v>
      </c>
      <c r="Q71" s="72">
        <f si="11" t="shared"/>
        <v>1.2853400619999999</v>
      </c>
      <c r="R71">
        <f si="10" t="shared"/>
        <v>0</v>
      </c>
    </row>
    <row r="72" spans="13:18" x14ac:dyDescent="0.45">
      <c r="M72" t="str">
        <f>VLOOKUP(N72,Coeff_Descr!$A:$D,3,FALSE)</f>
        <v>ESCORT</v>
      </c>
      <c r="N72">
        <f>OtherTourDestination!B80</f>
        <v>82</v>
      </c>
      <c r="O72" t="str">
        <f>OtherTourDestination!C80</f>
        <v>Gamma082</v>
      </c>
      <c r="P72">
        <f>OtherTourDestination!E80</f>
        <v>0</v>
      </c>
      <c r="Q72" s="72">
        <f si="11" t="shared"/>
        <v>0</v>
      </c>
      <c r="R72">
        <f si="10" t="shared"/>
        <v>0</v>
      </c>
    </row>
    <row r="73" spans="13:18" x14ac:dyDescent="0.45">
      <c r="M73" t="str">
        <f>VLOOKUP(N73,Coeff_Descr!$A:$D,3,FALSE)</f>
        <v>ESCORT</v>
      </c>
      <c r="N73">
        <f>OtherTourDestination!B81</f>
        <v>83</v>
      </c>
      <c r="O73" t="str">
        <f>OtherTourDestination!C81</f>
        <v>Gamma083</v>
      </c>
      <c r="P73">
        <f>OtherTourDestination!E81</f>
        <v>1.5962822273599999</v>
      </c>
      <c r="Q73" s="72">
        <f si="11" t="shared"/>
        <v>1.5962822273599999</v>
      </c>
      <c r="R73">
        <f si="10" t="shared"/>
        <v>0</v>
      </c>
    </row>
    <row r="74" spans="13:18" x14ac:dyDescent="0.45">
      <c r="M74" t="str">
        <f>VLOOKUP(N74,Coeff_Descr!$A:$D,3,FALSE)</f>
        <v>ESCORT</v>
      </c>
      <c r="N74">
        <f>OtherTourDestination!B82</f>
        <v>84</v>
      </c>
      <c r="O74" t="str">
        <f>OtherTourDestination!C82</f>
        <v>Gamma084</v>
      </c>
      <c r="P74">
        <f>OtherTourDestination!E82</f>
        <v>1.8203743806399999</v>
      </c>
      <c r="Q74" s="72">
        <f si="11" t="shared"/>
        <v>1.8203743806399999</v>
      </c>
      <c r="R74">
        <f si="10" t="shared"/>
        <v>0</v>
      </c>
    </row>
    <row r="75" spans="13:18" x14ac:dyDescent="0.45">
      <c r="M75" t="str">
        <f>VLOOKUP(N75,Coeff_Descr!$A:$D,3,FALSE)</f>
        <v>ESCORT</v>
      </c>
      <c r="N75">
        <f>OtherTourDestination!B83</f>
        <v>85</v>
      </c>
      <c r="O75" t="str">
        <f>OtherTourDestination!C83</f>
        <v>Gamma085</v>
      </c>
      <c r="P75">
        <f>OtherTourDestination!E83</f>
        <v>0.36845448573400003</v>
      </c>
      <c r="Q75" s="72">
        <f si="11" t="shared"/>
        <v>0.36845448573400003</v>
      </c>
      <c r="R75">
        <f si="10" t="shared"/>
        <v>0</v>
      </c>
    </row>
    <row r="76" spans="13:18" x14ac:dyDescent="0.45">
      <c r="M76" t="str">
        <f>VLOOKUP(N76,Coeff_Descr!$A:$D,3,FALSE)</f>
        <v>ESCORT</v>
      </c>
      <c r="N76">
        <f>OtherTourDestination!B84</f>
        <v>86</v>
      </c>
      <c r="O76" t="str">
        <f>OtherTourDestination!C84</f>
        <v>Gamma086</v>
      </c>
      <c r="P76">
        <f>OtherTourDestination!E84</f>
        <v>-0.89988004259099996</v>
      </c>
      <c r="Q76" s="72">
        <f si="11" t="shared"/>
        <v>-0.89988004259099996</v>
      </c>
      <c r="R76">
        <f si="10" t="shared"/>
        <v>0</v>
      </c>
    </row>
    <row r="77" spans="13:18" x14ac:dyDescent="0.45">
      <c r="M77" t="str">
        <f>VLOOKUP(N77,Coeff_Descr!$A:$D,3,FALSE)</f>
        <v>ESCORT</v>
      </c>
      <c r="N77">
        <f>OtherTourDestination!B85</f>
        <v>87</v>
      </c>
      <c r="O77" t="str">
        <f>OtherTourDestination!C85</f>
        <v>Gamma087</v>
      </c>
      <c r="P77">
        <f>OtherTourDestination!E85</f>
        <v>-1.54651800243</v>
      </c>
      <c r="Q77" s="72">
        <f si="11" t="shared"/>
        <v>-1.54651800243</v>
      </c>
      <c r="R77">
        <f si="10" t="shared"/>
        <v>0</v>
      </c>
    </row>
    <row r="78" spans="13:18" x14ac:dyDescent="0.45">
      <c r="M78" t="str">
        <f>VLOOKUP(N78,Coeff_Descr!$A:$D,3,FALSE)</f>
        <v>ESCORT</v>
      </c>
      <c r="N78">
        <f>OtherTourDestination!B86</f>
        <v>88</v>
      </c>
      <c r="O78" t="str">
        <f>OtherTourDestination!C86</f>
        <v>Gamma088</v>
      </c>
      <c r="P78">
        <f>OtherTourDestination!E86</f>
        <v>0</v>
      </c>
      <c r="Q78" s="72">
        <f si="11" t="shared"/>
        <v>0</v>
      </c>
      <c r="R78">
        <f si="10" t="shared"/>
        <v>0</v>
      </c>
    </row>
    <row r="79" spans="13:18" x14ac:dyDescent="0.45">
      <c r="M79" t="str">
        <f>VLOOKUP(N79,Coeff_Descr!$A:$D,3,FALSE)</f>
        <v>PERSBUS/MED</v>
      </c>
      <c r="N79">
        <f>OtherTourDestination!B87</f>
        <v>89</v>
      </c>
      <c r="O79" t="str">
        <f>OtherTourDestination!C87</f>
        <v>Gamma089</v>
      </c>
      <c r="P79">
        <f>OtherTourDestination!E87</f>
        <v>-1.3661763944</v>
      </c>
      <c r="Q79" s="72">
        <f si="11" t="shared"/>
        <v>-1.3661763944</v>
      </c>
      <c r="R79">
        <f si="10" t="shared"/>
        <v>0</v>
      </c>
    </row>
    <row r="80" spans="13:18" x14ac:dyDescent="0.45">
      <c r="M80" t="str">
        <f>VLOOKUP(N80,Coeff_Descr!$A:$D,3,FALSE)</f>
        <v>PERSBUS/MED</v>
      </c>
      <c r="N80">
        <f>OtherTourDestination!B88</f>
        <v>90</v>
      </c>
      <c r="O80" t="str">
        <f>OtherTourDestination!C88</f>
        <v>Gamma090</v>
      </c>
      <c r="P80">
        <f>OtherTourDestination!E88</f>
        <v>0</v>
      </c>
      <c r="Q80" s="72">
        <f si="11" t="shared"/>
        <v>0</v>
      </c>
      <c r="R80">
        <f si="10" t="shared"/>
        <v>0</v>
      </c>
    </row>
    <row r="81" spans="13:18" x14ac:dyDescent="0.45">
      <c r="M81" t="str">
        <f>VLOOKUP(N81,Coeff_Descr!$A:$D,3,FALSE)</f>
        <v>PERSBUS/MED</v>
      </c>
      <c r="N81">
        <f>OtherTourDestination!B89</f>
        <v>91</v>
      </c>
      <c r="O81" t="str">
        <f>OtherTourDestination!C89</f>
        <v>Gamma091</v>
      </c>
      <c r="P81">
        <f>OtherTourDestination!E89</f>
        <v>-0.69659049737500001</v>
      </c>
      <c r="Q81" s="72">
        <f si="11" t="shared"/>
        <v>-0.69659049737500001</v>
      </c>
      <c r="R81">
        <f si="10" t="shared"/>
        <v>0</v>
      </c>
    </row>
    <row r="82" spans="13:18" x14ac:dyDescent="0.45">
      <c r="M82" t="str">
        <f>VLOOKUP(N82,Coeff_Descr!$A:$D,3,FALSE)</f>
        <v>PERSBUS/MED</v>
      </c>
      <c r="N82">
        <f>OtherTourDestination!B90</f>
        <v>92</v>
      </c>
      <c r="O82" t="str">
        <f>OtherTourDestination!C90</f>
        <v>Gamma092</v>
      </c>
      <c r="P82">
        <f>OtherTourDestination!E90</f>
        <v>-1.8309142732699999</v>
      </c>
      <c r="Q82" s="72">
        <f si="11" t="shared"/>
        <v>-1.8309142732699999</v>
      </c>
      <c r="R82">
        <f si="10" t="shared"/>
        <v>0</v>
      </c>
    </row>
    <row r="83" spans="13:18" x14ac:dyDescent="0.45">
      <c r="M83" t="str">
        <f>VLOOKUP(N83,Coeff_Descr!$A:$D,3,FALSE)</f>
        <v>PERSBUS/MED</v>
      </c>
      <c r="N83">
        <f>OtherTourDestination!B91</f>
        <v>93</v>
      </c>
      <c r="O83" t="str">
        <f>OtherTourDestination!C91</f>
        <v>Gamma093</v>
      </c>
      <c r="P83">
        <f>OtherTourDestination!E91</f>
        <v>-1.59616837557</v>
      </c>
      <c r="Q83" s="72">
        <f si="11" t="shared"/>
        <v>-1.59616837557</v>
      </c>
      <c r="R83">
        <f si="10" t="shared"/>
        <v>0</v>
      </c>
    </row>
    <row r="84" spans="13:18" x14ac:dyDescent="0.45">
      <c r="M84" t="str">
        <f>VLOOKUP(N84,Coeff_Descr!$A:$D,3,FALSE)</f>
        <v>PERSBUS/MED</v>
      </c>
      <c r="N84">
        <f>OtherTourDestination!B92</f>
        <v>94</v>
      </c>
      <c r="O84" t="str">
        <f>OtherTourDestination!C92</f>
        <v>Gamma094</v>
      </c>
      <c r="P84">
        <f>OtherTourDestination!E92</f>
        <v>0</v>
      </c>
      <c r="Q84" s="72">
        <f si="11" t="shared"/>
        <v>0</v>
      </c>
      <c r="R84">
        <f si="10" t="shared"/>
        <v>0</v>
      </c>
    </row>
    <row r="85" spans="13:18" x14ac:dyDescent="0.45">
      <c r="M85" t="str">
        <f>VLOOKUP(N85,Coeff_Descr!$A:$D,3,FALSE)</f>
        <v>PERSBUS/MED</v>
      </c>
      <c r="N85">
        <f>OtherTourDestination!B93</f>
        <v>95</v>
      </c>
      <c r="O85" t="str">
        <f>OtherTourDestination!C93</f>
        <v>Gamma095</v>
      </c>
      <c r="P85">
        <f>OtherTourDestination!E93</f>
        <v>-3.7524312125899999</v>
      </c>
      <c r="Q85" s="72">
        <f si="11" t="shared"/>
        <v>-3.7524312125899999</v>
      </c>
      <c r="R85">
        <f si="10" t="shared"/>
        <v>0</v>
      </c>
    </row>
    <row r="86" spans="13:18" x14ac:dyDescent="0.45">
      <c r="M86" t="str">
        <f>VLOOKUP(N86,Coeff_Descr!$A:$D,3,FALSE)</f>
        <v>PERSBUS/MED</v>
      </c>
      <c r="N86">
        <f>OtherTourDestination!B94</f>
        <v>96</v>
      </c>
      <c r="O86" t="str">
        <f>OtherTourDestination!C94</f>
        <v>Gamma096</v>
      </c>
      <c r="P86">
        <f>OtherTourDestination!E94</f>
        <v>-5.15903380474</v>
      </c>
      <c r="Q86" s="72">
        <f si="11" t="shared"/>
        <v>-5.15903380474</v>
      </c>
      <c r="R86">
        <f si="10" t="shared"/>
        <v>0</v>
      </c>
    </row>
    <row r="87" spans="13:18" x14ac:dyDescent="0.45">
      <c r="M87" t="str">
        <f>VLOOKUP(N87,Coeff_Descr!$A:$D,3,FALSE)</f>
        <v>PERSBUS/MED</v>
      </c>
      <c r="N87">
        <f>OtherTourDestination!B95</f>
        <v>97</v>
      </c>
      <c r="O87" t="str">
        <f>OtherTourDestination!C95</f>
        <v>Gamma097</v>
      </c>
      <c r="P87">
        <f>OtherTourDestination!E95</f>
        <v>-4.5752497230499998</v>
      </c>
      <c r="Q87" s="72">
        <f si="11" t="shared"/>
        <v>-4.5752497230499998</v>
      </c>
      <c r="R87">
        <f si="10" t="shared"/>
        <v>0</v>
      </c>
    </row>
    <row r="88" spans="13:18" x14ac:dyDescent="0.45">
      <c r="M88" t="str">
        <f>VLOOKUP(N88,Coeff_Descr!$A:$D,3,FALSE)</f>
        <v>SHOP</v>
      </c>
      <c r="N88">
        <f>OtherTourDestination!B96</f>
        <v>98</v>
      </c>
      <c r="O88" t="str">
        <f>OtherTourDestination!C96</f>
        <v>Gamma098</v>
      </c>
      <c r="P88">
        <f>OtherTourDestination!E96</f>
        <v>-1.55830930615</v>
      </c>
      <c r="Q88" s="72">
        <f si="11" t="shared"/>
        <v>-1.55830930615</v>
      </c>
      <c r="R88">
        <f si="10" t="shared"/>
        <v>0</v>
      </c>
    </row>
    <row r="89" spans="13:18" x14ac:dyDescent="0.45">
      <c r="M89" t="str">
        <f>VLOOKUP(N89,Coeff_Descr!$A:$D,3,FALSE)</f>
        <v>SHOP</v>
      </c>
      <c r="N89">
        <f>OtherTourDestination!B97</f>
        <v>99</v>
      </c>
      <c r="O89" t="str">
        <f>OtherTourDestination!C97</f>
        <v>Gamma099</v>
      </c>
      <c r="P89">
        <f>OtherTourDestination!E97</f>
        <v>-6.7687936642300004</v>
      </c>
      <c r="Q89" s="72">
        <f si="11" t="shared"/>
        <v>-6.7687936642300004</v>
      </c>
      <c r="R89">
        <f si="10" t="shared"/>
        <v>0</v>
      </c>
    </row>
    <row r="90" spans="13:18" x14ac:dyDescent="0.45">
      <c r="M90" t="str">
        <f>VLOOKUP(N90,Coeff_Descr!$A:$D,3,FALSE)</f>
        <v>SHOP</v>
      </c>
      <c r="N90">
        <f>OtherTourDestination!B98</f>
        <v>100</v>
      </c>
      <c r="O90" t="str">
        <f>OtherTourDestination!C98</f>
        <v>Gamma100</v>
      </c>
      <c r="P90">
        <f>OtherTourDestination!E98</f>
        <v>0</v>
      </c>
      <c r="Q90" s="72">
        <f si="11" t="shared"/>
        <v>0</v>
      </c>
      <c r="R90">
        <f si="10" t="shared"/>
        <v>0</v>
      </c>
    </row>
    <row r="91" spans="13:18" x14ac:dyDescent="0.45">
      <c r="M91" t="str">
        <f>VLOOKUP(N91,Coeff_Descr!$A:$D,3,FALSE)</f>
        <v>SHOP</v>
      </c>
      <c r="N91">
        <f>OtherTourDestination!B99</f>
        <v>101</v>
      </c>
      <c r="O91" t="str">
        <f>OtherTourDestination!C99</f>
        <v>Gamma101</v>
      </c>
      <c r="P91">
        <f>OtherTourDestination!E99</f>
        <v>-4.6092008435</v>
      </c>
      <c r="Q91" s="72">
        <f si="11" t="shared"/>
        <v>-4.6092008435</v>
      </c>
      <c r="R91">
        <f si="10" t="shared"/>
        <v>0</v>
      </c>
    </row>
    <row r="92" spans="13:18" x14ac:dyDescent="0.45">
      <c r="M92" t="str">
        <f>VLOOKUP(N92,Coeff_Descr!$A:$D,3,FALSE)</f>
        <v>MEAL</v>
      </c>
      <c r="N92">
        <f>OtherTourDestination!B100</f>
        <v>102</v>
      </c>
      <c r="O92" t="str">
        <f>OtherTourDestination!C100</f>
        <v>Gamma102</v>
      </c>
      <c r="P92">
        <f>OtherTourDestination!E100</f>
        <v>0</v>
      </c>
      <c r="Q92" s="72">
        <f si="11" t="shared"/>
        <v>0</v>
      </c>
      <c r="R92">
        <f si="10" t="shared"/>
        <v>0</v>
      </c>
    </row>
    <row r="93" spans="13:18" x14ac:dyDescent="0.45">
      <c r="M93" t="str">
        <f>VLOOKUP(N93,Coeff_Descr!$A:$D,3,FALSE)</f>
        <v>MEAL</v>
      </c>
      <c r="N93">
        <f>OtherTourDestination!B101</f>
        <v>103</v>
      </c>
      <c r="O93" t="str">
        <f>OtherTourDestination!C101</f>
        <v>Gamma103</v>
      </c>
      <c r="P93">
        <f>OtherTourDestination!E101</f>
        <v>0</v>
      </c>
      <c r="Q93" s="72">
        <f si="11" t="shared"/>
        <v>0</v>
      </c>
      <c r="R93">
        <f si="10" t="shared"/>
        <v>0</v>
      </c>
    </row>
    <row r="94" spans="13:18" x14ac:dyDescent="0.45">
      <c r="M94" t="str">
        <f>VLOOKUP(N94,Coeff_Descr!$A:$D,3,FALSE)</f>
        <v>MEAL</v>
      </c>
      <c r="N94">
        <f>OtherTourDestination!B102</f>
        <v>104</v>
      </c>
      <c r="O94" t="str">
        <f>OtherTourDestination!C102</f>
        <v>Gamma104</v>
      </c>
      <c r="P94">
        <f>OtherTourDestination!E102</f>
        <v>5</v>
      </c>
      <c r="Q94" s="72">
        <f si="11" t="shared"/>
        <v>5</v>
      </c>
      <c r="R94">
        <f si="10" t="shared"/>
        <v>0</v>
      </c>
    </row>
    <row r="95" spans="13:18" x14ac:dyDescent="0.45">
      <c r="M95" t="str">
        <f>VLOOKUP(N95,Coeff_Descr!$A:$D,3,FALSE)</f>
        <v>MEAL</v>
      </c>
      <c r="N95">
        <f>OtherTourDestination!B103</f>
        <v>105</v>
      </c>
      <c r="O95" t="str">
        <f>OtherTourDestination!C103</f>
        <v>Gamma105</v>
      </c>
      <c r="P95">
        <f>OtherTourDestination!E103</f>
        <v>5</v>
      </c>
      <c r="Q95" s="72">
        <f si="11" t="shared"/>
        <v>5</v>
      </c>
      <c r="R95">
        <f si="10" t="shared"/>
        <v>0</v>
      </c>
    </row>
    <row r="96" spans="13:18" x14ac:dyDescent="0.45">
      <c r="M96" t="str">
        <f>VLOOKUP(N96,Coeff_Descr!$A:$D,3,FALSE)</f>
        <v>SOCREC</v>
      </c>
      <c r="N96">
        <f>OtherTourDestination!B104</f>
        <v>106</v>
      </c>
      <c r="O96" t="str">
        <f>OtherTourDestination!C104</f>
        <v>Gamma106</v>
      </c>
      <c r="P96">
        <f>OtherTourDestination!E104</f>
        <v>0</v>
      </c>
      <c r="Q96" s="72">
        <f si="11" t="shared"/>
        <v>0</v>
      </c>
      <c r="R96">
        <f si="10" t="shared"/>
        <v>0</v>
      </c>
    </row>
    <row r="97" spans="13:18" x14ac:dyDescent="0.45">
      <c r="M97" t="str">
        <f>VLOOKUP(N97,Coeff_Descr!$A:$D,3,FALSE)</f>
        <v>SOCREC</v>
      </c>
      <c r="N97">
        <f>OtherTourDestination!B105</f>
        <v>107</v>
      </c>
      <c r="O97" t="str">
        <f>OtherTourDestination!C105</f>
        <v>Gamma107</v>
      </c>
      <c r="P97">
        <f>OtherTourDestination!E105</f>
        <v>3.2721559987400002</v>
      </c>
      <c r="Q97" s="72">
        <f si="11" t="shared"/>
        <v>3.2721559987400002</v>
      </c>
      <c r="R97">
        <f si="10" t="shared"/>
        <v>0</v>
      </c>
    </row>
    <row r="98" spans="13:18" x14ac:dyDescent="0.45">
      <c r="M98" t="str">
        <f>VLOOKUP(N98,Coeff_Descr!$A:$D,3,FALSE)</f>
        <v>SOCREC</v>
      </c>
      <c r="N98">
        <f>OtherTourDestination!B106</f>
        <v>108</v>
      </c>
      <c r="O98" t="str">
        <f>OtherTourDestination!C106</f>
        <v>Gamma108</v>
      </c>
      <c r="P98">
        <f>OtherTourDestination!E106</f>
        <v>0</v>
      </c>
      <c r="Q98" s="72">
        <f si="11" t="shared"/>
        <v>0</v>
      </c>
      <c r="R98">
        <f si="10" t="shared"/>
        <v>0</v>
      </c>
    </row>
    <row r="99" spans="13:18" x14ac:dyDescent="0.45">
      <c r="M99" t="str">
        <f>VLOOKUP(N99,Coeff_Descr!$A:$D,3,FALSE)</f>
        <v>SOCREC</v>
      </c>
      <c r="N99">
        <f>OtherTourDestination!B107</f>
        <v>109</v>
      </c>
      <c r="O99" t="str">
        <f>OtherTourDestination!C107</f>
        <v>Gamma109</v>
      </c>
      <c r="P99">
        <f>OtherTourDestination!E107</f>
        <v>3.7780647491999999</v>
      </c>
      <c r="Q99" s="72">
        <f si="11" t="shared"/>
        <v>3.7780647491999999</v>
      </c>
      <c r="R99">
        <f si="10" t="shared"/>
        <v>0</v>
      </c>
    </row>
    <row r="100" spans="13:18" x14ac:dyDescent="0.45">
      <c r="M100" t="str">
        <f>VLOOKUP(N100,Coeff_Descr!$A:$D,3,FALSE)</f>
        <v>SOCREC</v>
      </c>
      <c r="N100">
        <f>OtherTourDestination!B108</f>
        <v>110</v>
      </c>
      <c r="O100" t="str">
        <f>OtherTourDestination!C108</f>
        <v>Gamma110</v>
      </c>
      <c r="P100">
        <f>OtherTourDestination!E108</f>
        <v>3.6698694381700001</v>
      </c>
      <c r="Q100" s="72">
        <f si="11" t="shared"/>
        <v>3.6698694381700001</v>
      </c>
      <c r="R100">
        <f si="10" t="shared"/>
        <v>0</v>
      </c>
    </row>
    <row r="101" spans="13:18" x14ac:dyDescent="0.45">
      <c r="M101" t="str">
        <f>VLOOKUP(N101,Coeff_Descr!$A:$D,3,FALSE)</f>
        <v>SOCREC</v>
      </c>
      <c r="N101">
        <f>OtherTourDestination!B109</f>
        <v>111</v>
      </c>
      <c r="O101" t="str">
        <f>OtherTourDestination!C109</f>
        <v>Gamma111</v>
      </c>
      <c r="P101">
        <f>OtherTourDestination!E109</f>
        <v>0</v>
      </c>
      <c r="Q101" s="72">
        <f si="11" t="shared"/>
        <v>0</v>
      </c>
      <c r="R101">
        <f si="10" t="shared"/>
        <v>0</v>
      </c>
    </row>
    <row r="102" spans="13:18" x14ac:dyDescent="0.45">
      <c r="M102" t="str">
        <f>VLOOKUP(N102,Coeff_Descr!$A:$D,3,FALSE)</f>
        <v>SOCREC</v>
      </c>
      <c r="N102">
        <f>OtherTourDestination!B110</f>
        <v>112</v>
      </c>
      <c r="O102" t="str">
        <f>OtherTourDestination!C110</f>
        <v>Gamma112</v>
      </c>
      <c r="P102">
        <f>OtherTourDestination!E110</f>
        <v>0</v>
      </c>
      <c r="Q102" s="72">
        <f si="11" t="shared"/>
        <v>0</v>
      </c>
      <c r="R102">
        <f si="10" t="shared"/>
        <v>0</v>
      </c>
    </row>
    <row r="103" spans="13:18" x14ac:dyDescent="0.45">
      <c r="M103" t="str">
        <f>VLOOKUP(N103,Coeff_Descr!$A:$D,3,FALSE)</f>
        <v>SOCREC</v>
      </c>
      <c r="N103">
        <f>OtherTourDestination!B111</f>
        <v>113</v>
      </c>
      <c r="O103" t="str">
        <f>OtherTourDestination!C111</f>
        <v>Gamma113</v>
      </c>
      <c r="P103">
        <f>OtherTourDestination!E111</f>
        <v>1.3908719595400001</v>
      </c>
      <c r="Q103" s="72">
        <f si="11" t="shared"/>
        <v>1.3908719595400001</v>
      </c>
      <c r="R103">
        <f si="10" t="shared"/>
        <v>0</v>
      </c>
    </row>
    <row r="104" spans="13:18" x14ac:dyDescent="0.45">
      <c r="P104"/>
      <c r="Q104" s="72"/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2DEE535-0A51-41E9-A7E3-DC9B440498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D1108C-6C1E-434F-9667-BC7BA07BC2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41969A-A3F8-4E1A-80E6-EB87A3D062D4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