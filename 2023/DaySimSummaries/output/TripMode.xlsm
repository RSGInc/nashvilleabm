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BEF36BF5-CF93-471E-B319-3B53CAB16322}" revIDLastSave="0" xr10:uidLastSave="{00000000-0000-0000-0000-000000000000}" xr6:coauthVersionLast="47" xr6:coauthVersionMax="47"/>
  <bookViews>
    <workbookView activeTab="1" windowHeight="11596" windowWidth="19396" xWindow="-98" xr2:uid="{00000000-000D-0000-FFFF-FFFF00000000}" yWindow="-98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externalReferences>
    <externalReference r:id="rId13"/>
  </externalReference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Work!$N$5:$U$15</definedName>
    <definedName name="out3">School!$B$5:$I$15</definedName>
    <definedName name="out4">School!$N$5:$U$15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Work!$N$5:$U$17</definedName>
    <definedName name="purp2">School!$N$5:$U$17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Work!$B$5:$J$16</definedName>
    <definedName name="out_3">School!$B$5:$J$16</definedName>
    <definedName name="out_5">Escort!$B$5:$J$16</definedName>
    <definedName name="out_7">Personal_Business!$B$5:$J$16</definedName>
    <definedName name="out_9">Shop!$B$5:$J$16</definedName>
    <definedName name="out_11">Meal!$B$5:$J$16</definedName>
    <definedName name="out_13">SocRec!$B$5:$J$16</definedName>
    <definedName name="out_15">Workbased!$B$5:$J$16</definedName>
    <definedName name="out_2">Work!$N$5:$V$16</definedName>
    <definedName name="out_4">School!N$5:$V$16</definedName>
    <definedName name="out_6">Escort!$N$5:$V$16</definedName>
    <definedName name="out_8">Personal_Business!$N$5:$V$16</definedName>
    <definedName name="out_10">Shop!$N$5:$V$16</definedName>
    <definedName name="out_12">Meal!$N$5:$V$16</definedName>
    <definedName name="out_14">SocRec!$N$5:$V$16</definedName>
    <definedName name="out_16">Workbased!$N$5:$V$16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20" l="1" r="B52"/>
  <c i="20" r="B50"/>
  <c i="20" r="B49"/>
  <c i="20" r="B48"/>
  <c i="20" r="B47"/>
  <c i="20" r="B46"/>
  <c i="20" r="B45"/>
  <c i="20" r="B44"/>
  <c i="20" r="H43"/>
  <c i="20" r="G43"/>
  <c i="20" r="F43"/>
  <c i="20" r="E43"/>
  <c i="20" r="D43"/>
  <c i="20" r="C43"/>
  <c i="20" r="B43"/>
  <c i="20" r="AF14"/>
  <c i="20" r="AG14"/>
  <c i="20" r="AF78"/>
  <c i="20" r="AG78"/>
  <c i="20" r="AH78"/>
  <c i="20" r="AF79"/>
  <c i="20" r="AG79"/>
  <c i="20" r="AH79"/>
  <c i="20" r="AF80"/>
  <c i="20" r="AG80"/>
  <c i="20" r="AH80"/>
  <c i="20" r="AF81"/>
  <c i="20" r="AG81"/>
  <c i="20" r="AH81"/>
  <c i="20" r="AF82"/>
  <c i="20" r="AG82"/>
  <c i="20" r="AH82"/>
  <c i="20" r="AF83"/>
  <c i="20" r="AG83"/>
  <c i="20" r="AH83"/>
  <c i="20" r="AF84"/>
  <c i="20" r="AG84"/>
  <c i="20" r="AH84"/>
  <c i="20" r="AF74"/>
  <c i="20" r="AG74"/>
  <c i="20" r="AH74"/>
  <c i="20" r="AF75"/>
  <c i="20" r="AG75"/>
  <c i="20" r="AH75"/>
  <c i="20" r="AF76"/>
  <c i="20" r="AG76"/>
  <c i="20" r="AH76"/>
  <c i="20" r="AF77"/>
  <c i="20" r="AG77"/>
  <c i="20" r="AH77"/>
  <c i="20" r="AF72"/>
  <c i="20" r="AG72"/>
  <c i="20" r="AH72"/>
  <c i="20" r="AF73"/>
  <c i="20" r="AG73"/>
  <c i="20" r="AH73"/>
  <c i="20" r="AF71"/>
  <c i="20" r="AG71"/>
  <c i="20" r="AH71"/>
  <c i="20" r="AF12"/>
  <c i="20" r="AG12"/>
  <c i="20" r="AH12"/>
  <c i="20" r="AF13"/>
  <c i="20" r="AG13"/>
  <c i="20" r="AH13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65"/>
  <c i="20" r="AG65"/>
  <c i="20" r="AH65"/>
  <c i="20" r="AF66"/>
  <c i="20" r="AG66"/>
  <c i="20" r="AH66"/>
  <c i="20" r="AF67"/>
  <c i="20" r="AG67"/>
  <c i="20" r="AH67"/>
  <c i="20" r="AF68"/>
  <c i="20" r="AG68"/>
  <c i="20" r="AH68"/>
  <c i="20" r="AF69"/>
  <c i="20" r="AG69"/>
  <c i="20" r="AH69"/>
  <c i="20" r="AF70"/>
  <c i="20" r="AG70"/>
  <c i="20" r="AH70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J12"/>
  <c i="7" r="V17"/>
  <c i="7" r="V24" s="1"/>
  <c i="7" r="U17"/>
  <c i="7" r="U34" s="1"/>
  <c i="7" r="T17"/>
  <c i="7" r="T34" s="1"/>
  <c i="7" r="S17"/>
  <c i="7" r="S34" s="1"/>
  <c i="7" r="R17"/>
  <c i="7" r="R34" s="1"/>
  <c i="7" r="Q17"/>
  <c i="7" r="Q35" s="1"/>
  <c i="7" r="P17"/>
  <c i="7" r="P34" s="1"/>
  <c i="7" r="O17"/>
  <c i="7" r="O35" s="1"/>
  <c i="7" r="N17"/>
  <c i="7" r="N30" s="1"/>
  <c i="7" r="J17"/>
  <c i="7" r="J34" s="1"/>
  <c i="7" r="I17"/>
  <c i="7" r="I34" s="1"/>
  <c i="7" r="H17"/>
  <c i="7" r="H34" s="1"/>
  <c i="7" r="G17"/>
  <c i="7" r="G35" s="1"/>
  <c i="7" r="F17"/>
  <c i="7" r="F32" s="1"/>
  <c i="7" r="E17"/>
  <c i="7" r="E35" s="1"/>
  <c i="7" r="D17"/>
  <c i="7" r="D26" s="1"/>
  <c i="7" r="C17"/>
  <c i="7" r="C34" s="1"/>
  <c i="7" r="B17"/>
  <c i="7" r="B34" s="1"/>
  <c i="7" r="W16"/>
  <c i="20" r="O12" s="1"/>
  <c i="7" r="K16"/>
  <c i="20" r="G12" s="1"/>
  <c i="7" r="W15"/>
  <c i="20" r="O10" s="1"/>
  <c i="7" r="K15"/>
  <c i="7" r="W14"/>
  <c i="20" r="O9" s="1"/>
  <c i="7" r="K14"/>
  <c i="7" r="W13"/>
  <c i="20" r="O11" s="1"/>
  <c i="7" r="K13"/>
  <c i="7" r="W12"/>
  <c i="7" r="K12"/>
  <c i="7" r="W11"/>
  <c i="7" r="K11"/>
  <c i="7" r="W10"/>
  <c i="7" r="K10"/>
  <c i="7" r="W9"/>
  <c i="7" r="K9"/>
  <c i="7" r="W8"/>
  <c i="7" r="K8"/>
  <c i="7" r="W7"/>
  <c i="20" r="O7" s="1"/>
  <c i="7" r="K7"/>
  <c i="7" r="W6"/>
  <c i="20" r="O6" s="1"/>
  <c i="7" r="K6"/>
  <c i="7" r="W5"/>
  <c i="20" r="O5" s="1"/>
  <c i="7" r="K5"/>
  <c i="17" r="V17"/>
  <c i="17" r="V35" s="1"/>
  <c i="17" r="U17"/>
  <c i="17" r="U34" s="1"/>
  <c i="17" r="T17"/>
  <c i="17" r="T34" s="1"/>
  <c i="17" r="S17"/>
  <c i="17" r="S34" s="1"/>
  <c i="17" r="R17"/>
  <c i="17" r="R34" s="1"/>
  <c i="17" r="Q17"/>
  <c i="17" r="Q35" s="1"/>
  <c i="17" r="P17"/>
  <c i="17" r="P34" s="1"/>
  <c i="17" r="O17"/>
  <c i="17" r="O35" s="1"/>
  <c i="17" r="N17"/>
  <c i="17" r="N35" s="1"/>
  <c i="17" r="J17"/>
  <c i="17" r="J27" s="1"/>
  <c i="17" r="I17"/>
  <c i="17" r="I34" s="1"/>
  <c i="17" r="H17"/>
  <c i="17" r="H34" s="1"/>
  <c i="17" r="G17"/>
  <c i="17" r="G35" s="1"/>
  <c i="17" r="F17"/>
  <c i="17" r="F34" s="1"/>
  <c i="17" r="E17"/>
  <c i="17" r="E35" s="1"/>
  <c i="17" r="D17"/>
  <c i="17" r="D26" s="1"/>
  <c i="17" r="C17"/>
  <c i="17" r="C34" s="1"/>
  <c i="17" r="B17"/>
  <c i="17" r="B25" s="1"/>
  <c i="17" r="W16"/>
  <c i="17" r="K16"/>
  <c i="17" r="W15"/>
  <c i="17" r="K15"/>
  <c i="17" r="W14"/>
  <c i="17" r="K14"/>
  <c i="17" r="W13"/>
  <c i="17" r="K13"/>
  <c i="17" r="W12"/>
  <c i="17" r="K12"/>
  <c i="17" r="W11"/>
  <c i="17" r="K11"/>
  <c i="17" r="W10"/>
  <c i="17" r="K10"/>
  <c i="17" r="W9"/>
  <c i="17" r="K9"/>
  <c i="17" r="W8"/>
  <c i="17" r="K8"/>
  <c i="17" r="W7"/>
  <c i="17" r="K7"/>
  <c i="17" r="W6"/>
  <c i="17" r="K6"/>
  <c i="17" r="W5"/>
  <c i="17" r="K5"/>
  <c i="16" r="V17"/>
  <c i="16" r="V24" s="1"/>
  <c i="16" r="U17"/>
  <c i="16" r="U34" s="1"/>
  <c i="16" r="T17"/>
  <c i="16" r="T31" s="1"/>
  <c i="16" r="S17"/>
  <c i="16" r="S34" s="1"/>
  <c i="16" r="R17"/>
  <c i="16" r="R33" s="1"/>
  <c i="16" r="Q17"/>
  <c i="16" r="Q34" s="1"/>
  <c i="16" r="P17"/>
  <c i="16" r="P35" s="1"/>
  <c i="16" r="O17"/>
  <c i="16" r="N17"/>
  <c i="16" r="N24" s="1"/>
  <c i="16" r="J17"/>
  <c i="16" r="J34" s="1"/>
  <c i="16" r="I17"/>
  <c i="16" r="I34" s="1"/>
  <c i="16" r="H17"/>
  <c i="16" r="H31" s="1"/>
  <c i="16" r="G17"/>
  <c i="16" r="G27" s="1"/>
  <c i="16" r="F17"/>
  <c i="16" r="F35" s="1"/>
  <c i="16" r="E17"/>
  <c i="16" r="E34" s="1"/>
  <c i="16" r="D17"/>
  <c i="16" r="D30" s="1"/>
  <c i="16" r="C17"/>
  <c i="16" r="C34" s="1"/>
  <c i="16" r="B17"/>
  <c i="16" r="B34" s="1"/>
  <c i="16" r="W16"/>
  <c i="16" r="K16"/>
  <c i="16" r="W15"/>
  <c i="16" r="K15"/>
  <c i="16" r="W14"/>
  <c i="16" r="K14"/>
  <c i="16" r="W13"/>
  <c i="16" r="K13"/>
  <c i="16" r="W12"/>
  <c i="16" r="K12"/>
  <c i="16" r="W11"/>
  <c i="16" r="K11"/>
  <c i="16" r="W10"/>
  <c i="16" r="K10"/>
  <c i="16" r="W9"/>
  <c i="16" r="K9"/>
  <c i="16" r="W8"/>
  <c i="16" r="K8"/>
  <c i="16" r="W7"/>
  <c i="16" r="K7"/>
  <c i="16" r="W6"/>
  <c i="16" r="K6"/>
  <c i="16" r="W5"/>
  <c i="16" r="K5"/>
  <c i="15" r="V17"/>
  <c i="15" r="V30" s="1"/>
  <c i="15" r="U17"/>
  <c i="15" r="U34" s="1"/>
  <c i="15" r="T17"/>
  <c i="15" r="T34" s="1"/>
  <c i="15" r="S17"/>
  <c i="15" r="S34" s="1"/>
  <c i="15" r="R17"/>
  <c i="15" r="R29" s="1"/>
  <c i="15" r="Q17"/>
  <c i="15" r="Q35" s="1"/>
  <c i="15" r="P17"/>
  <c i="15" r="P35" s="1"/>
  <c i="15" r="O17"/>
  <c i="15" r="O35" s="1"/>
  <c i="15" r="N17"/>
  <c i="15" r="N32" s="1"/>
  <c i="15" r="J17"/>
  <c i="15" r="J34" s="1"/>
  <c i="15" r="I17"/>
  <c i="15" r="I34" s="1"/>
  <c i="15" r="H17"/>
  <c i="15" r="H27" s="1"/>
  <c i="15" r="G17"/>
  <c i="15" r="G35" s="1"/>
  <c i="15" r="F17"/>
  <c i="15" r="F35" s="1"/>
  <c i="15" r="E17"/>
  <c i="15" r="E35" s="1"/>
  <c i="15" r="D17"/>
  <c i="15" r="D34" s="1"/>
  <c i="15" r="C17"/>
  <c i="15" r="C34" s="1"/>
  <c i="15" r="B17"/>
  <c i="15" r="B34" s="1"/>
  <c i="15" r="W16"/>
  <c i="15" r="K16"/>
  <c i="15" r="W15"/>
  <c i="15" r="K15"/>
  <c i="15" r="W14"/>
  <c i="15" r="K14"/>
  <c i="15" r="W13"/>
  <c i="15" r="K13"/>
  <c i="15" r="W12"/>
  <c i="15" r="K12"/>
  <c i="15" r="W11"/>
  <c i="15" r="K11"/>
  <c i="15" r="W10"/>
  <c i="15" r="K10"/>
  <c i="15" r="W9"/>
  <c i="15" r="K9"/>
  <c i="15" r="W8"/>
  <c i="15" r="K8"/>
  <c i="15" r="W7"/>
  <c i="15" r="K7"/>
  <c i="15" r="W6"/>
  <c i="15" r="K6"/>
  <c i="15" r="W5"/>
  <c i="15" r="K5"/>
  <c i="14" r="V17"/>
  <c i="14" r="V35" s="1"/>
  <c i="14" r="U17"/>
  <c i="14" r="U31" s="1"/>
  <c i="14" r="T17"/>
  <c i="14" r="S17"/>
  <c i="14" r="S34" s="1"/>
  <c i="14" r="R17"/>
  <c i="14" r="R29" s="1"/>
  <c i="14" r="Q17"/>
  <c i="14" r="Q35" s="1"/>
  <c i="14" r="P17"/>
  <c i="14" r="P35" s="1"/>
  <c i="14" r="O17"/>
  <c i="14" r="O35" s="1"/>
  <c i="14" r="N17"/>
  <c i="14" r="N35" s="1"/>
  <c i="14" r="J17"/>
  <c i="14" r="J35" s="1"/>
  <c i="14" r="I17"/>
  <c i="14" r="I34" s="1"/>
  <c i="14" r="H17"/>
  <c i="14" r="H34" s="1"/>
  <c i="14" r="G17"/>
  <c i="14" r="F17"/>
  <c i="14" r="F28" s="1"/>
  <c i="14" r="E17"/>
  <c i="14" r="E35" s="1"/>
  <c i="14" r="D17"/>
  <c i="14" r="D35" s="1"/>
  <c i="14" r="C17"/>
  <c i="14" r="C34" s="1"/>
  <c i="14" r="B17"/>
  <c i="14" r="B31" s="1"/>
  <c i="14" r="W16"/>
  <c i="14" r="K16"/>
  <c i="20" r="F12" s="1"/>
  <c i="14" r="W15"/>
  <c i="14" r="K15"/>
  <c i="14" r="W14"/>
  <c i="14" r="K14"/>
  <c i="14" r="W13"/>
  <c i="14" r="K13"/>
  <c i="14" r="W12"/>
  <c i="14" r="K12"/>
  <c i="14" r="W11"/>
  <c i="14" r="K11"/>
  <c i="14" r="W10"/>
  <c i="14" r="K10"/>
  <c i="14" r="W9"/>
  <c i="14" r="K9"/>
  <c i="14" r="W8"/>
  <c i="14" r="K8"/>
  <c i="14" r="W7"/>
  <c i="14" r="K7"/>
  <c i="14" r="W6"/>
  <c i="14" r="K6"/>
  <c i="14" r="W5"/>
  <c i="14" r="K5"/>
  <c i="13" r="V17"/>
  <c i="13" r="U17"/>
  <c i="13" r="U29" s="1"/>
  <c i="13" r="T17"/>
  <c i="13" r="T31" s="1"/>
  <c i="13" r="S17"/>
  <c i="13" r="S34" s="1"/>
  <c i="13" r="R17"/>
  <c i="13" r="R23" s="1"/>
  <c i="13" r="Q17"/>
  <c i="13" r="Q26" s="1"/>
  <c i="13" r="P17"/>
  <c i="13" r="P32" s="1"/>
  <c i="13" r="O17"/>
  <c i="13" r="O35" s="1"/>
  <c i="13" r="N17"/>
  <c i="13" r="N26" s="1"/>
  <c i="13" r="J17"/>
  <c i="13" r="J31" s="1"/>
  <c i="13" r="I17"/>
  <c i="13" r="I34" s="1"/>
  <c i="13" r="H17"/>
  <c i="13" r="G17"/>
  <c i="13" r="G24" s="1"/>
  <c i="13" r="F17"/>
  <c i="13" r="F28" s="1"/>
  <c i="13" r="E17"/>
  <c i="13" r="E35" s="1"/>
  <c i="13" r="D17"/>
  <c i="13" r="D24" s="1"/>
  <c i="13" r="C17"/>
  <c i="13" r="C25" s="1"/>
  <c i="13" r="B17"/>
  <c i="13" r="B24" s="1"/>
  <c i="13" r="W16"/>
  <c i="20" r="M12" s="1"/>
  <c i="13" r="K16"/>
  <c i="20" r="E12" s="1"/>
  <c i="13" r="W15"/>
  <c i="20" r="M10" s="1"/>
  <c i="13" r="K15"/>
  <c i="13" r="W14"/>
  <c i="20" r="M9" s="1"/>
  <c i="13" r="K14"/>
  <c i="13" r="W13"/>
  <c i="20" r="M11" s="1"/>
  <c i="13" r="K13"/>
  <c i="13" r="W12"/>
  <c i="13" r="K12"/>
  <c i="13" r="W11"/>
  <c i="13" r="K11"/>
  <c i="13" r="W10"/>
  <c i="13" r="K10"/>
  <c i="13" r="W9"/>
  <c i="13" r="K9"/>
  <c i="13" r="W8"/>
  <c i="13" r="K8"/>
  <c i="13" r="W7"/>
  <c i="20" r="M7" s="1"/>
  <c i="13" r="K7"/>
  <c i="13" r="W6"/>
  <c i="20" r="M6" s="1"/>
  <c i="13" r="K6"/>
  <c i="13" r="W5"/>
  <c i="20" r="M5" s="1"/>
  <c i="13" r="K5"/>
  <c i="12" r="V17"/>
  <c i="12" r="V25" s="1"/>
  <c i="12" r="U17"/>
  <c i="12" r="U34" s="1"/>
  <c i="12" r="T17"/>
  <c i="12" r="T34" s="1"/>
  <c i="12" r="S17"/>
  <c i="12" r="S26" s="1"/>
  <c i="12" r="R17"/>
  <c i="12" r="R34" s="1"/>
  <c i="12" r="Q17"/>
  <c i="12" r="Q23" s="1"/>
  <c i="12" r="P17"/>
  <c i="12" r="P27" s="1"/>
  <c i="12" r="O17"/>
  <c i="12" r="O35" s="1"/>
  <c i="12" r="N17"/>
  <c i="12" r="J17"/>
  <c i="12" r="J34" s="1"/>
  <c i="12" r="I17"/>
  <c i="12" r="I32" s="1"/>
  <c i="12" r="H17"/>
  <c i="12" r="H34" s="1"/>
  <c i="12" r="G17"/>
  <c i="12" r="G34" s="1"/>
  <c i="12" r="F17"/>
  <c i="12" r="F35" s="1"/>
  <c i="12" r="E17"/>
  <c i="12" r="E25" s="1"/>
  <c i="12" r="D17"/>
  <c i="12" r="D35" s="1"/>
  <c i="12" r="C17"/>
  <c i="12" r="C34" s="1"/>
  <c i="12" r="B17"/>
  <c i="12" r="B34" s="1"/>
  <c i="12" r="W16"/>
  <c i="12" r="K16"/>
  <c i="20" r="D12" s="1"/>
  <c i="12" r="W15"/>
  <c i="12" r="K15"/>
  <c i="12" r="W14"/>
  <c i="12" r="K14"/>
  <c i="12" r="W13"/>
  <c i="12" r="K13"/>
  <c i="12" r="W12"/>
  <c i="12" r="K12"/>
  <c i="12" r="W11"/>
  <c i="12" r="K11"/>
  <c i="12" r="W10"/>
  <c i="12" r="K10"/>
  <c i="12" r="W9"/>
  <c i="12" r="K9"/>
  <c i="12" r="W8"/>
  <c i="12" r="K8"/>
  <c i="12" r="W7"/>
  <c i="12" r="K7"/>
  <c i="12" r="W6"/>
  <c i="12" r="K6"/>
  <c i="12" r="W5"/>
  <c i="12" r="K5"/>
  <c i="11" r="W6"/>
  <c i="11" r="W7"/>
  <c i="11" r="W8"/>
  <c i="11" r="W9"/>
  <c i="11" r="W10"/>
  <c i="11" r="W11"/>
  <c i="11" r="W12"/>
  <c i="11" r="W13"/>
  <c i="11" r="W14"/>
  <c i="11" r="W15"/>
  <c i="11" r="W16"/>
  <c i="20" r="K12" s="1"/>
  <c i="11" r="W5"/>
  <c i="11" r="O17"/>
  <c i="11" r="O34" s="1"/>
  <c i="11" r="P17"/>
  <c i="11" r="P34" s="1"/>
  <c i="11" r="Q17"/>
  <c i="11" r="Q34" s="1"/>
  <c i="11" r="R17"/>
  <c i="11" r="R34" s="1"/>
  <c i="11" r="S17"/>
  <c i="11" r="S34" s="1"/>
  <c i="11" r="T17"/>
  <c i="11" r="T34" s="1"/>
  <c i="11" r="U17"/>
  <c i="11" r="U34" s="1"/>
  <c i="11" r="V17"/>
  <c i="11" r="V30" s="1"/>
  <c i="11" r="N17"/>
  <c i="11" r="N34" s="1"/>
  <c i="11" r="K6"/>
  <c i="11" r="K7"/>
  <c i="11" r="K8"/>
  <c i="11" r="K9"/>
  <c i="11" r="K10"/>
  <c i="11" r="K11"/>
  <c i="11" r="K12"/>
  <c i="11" r="K13"/>
  <c i="11" r="K14"/>
  <c i="11" r="K15"/>
  <c i="11" r="K16"/>
  <c i="20" r="C12" s="1"/>
  <c i="11" r="K5"/>
  <c i="11" r="C17"/>
  <c i="11" r="C34" s="1"/>
  <c i="11" r="D17"/>
  <c i="11" r="D34" s="1"/>
  <c i="11" r="E17"/>
  <c i="11" r="E34" s="1"/>
  <c i="11" r="F17"/>
  <c i="11" r="F34" s="1"/>
  <c i="11" r="G17"/>
  <c i="11" r="G34" s="1"/>
  <c i="11" r="H17"/>
  <c i="11" r="H34" s="1"/>
  <c i="11" r="I17"/>
  <c i="11" r="I34" s="1"/>
  <c i="11" r="J17"/>
  <c i="11" r="J23" s="1"/>
  <c i="11" r="B17"/>
  <c i="11" r="B34" s="1"/>
  <c i="20" l="1" r="AI77"/>
  <c i="20" r="AI40"/>
  <c i="20" r="AI48"/>
  <c i="20" r="AI64"/>
  <c i="20" r="AI74"/>
  <c i="20" r="AJ74" s="1"/>
  <c i="20" r="AI13"/>
  <c i="20" r="AI24"/>
  <c i="20" r="AJ24" s="1"/>
  <c i="20" r="AI32"/>
  <c i="20" r="AI56"/>
  <c i="12" r="P31"/>
  <c i="16" r="B25"/>
  <c i="11" r="R52"/>
  <c i="14" r="C31"/>
  <c i="16" r="E29"/>
  <c i="7" r="B25"/>
  <c i="11" r="O52"/>
  <c i="7" r="B29"/>
  <c i="7" r="B35"/>
  <c i="11" r="T52"/>
  <c i="20" r="AI71"/>
  <c i="20" r="AJ71" s="1"/>
  <c i="14" r="R31"/>
  <c i="12" r="E23"/>
  <c i="12" r="Q41" s="1"/>
  <c i="12" r="O25"/>
  <c i="12" r="F31"/>
  <c i="12" r="O31"/>
  <c i="16" r="G25"/>
  <c i="16" r="Q25"/>
  <c i="7" r="J33"/>
  <c i="16" r="B29"/>
  <c i="7" r="J35"/>
  <c i="14" r="C23"/>
  <c i="17" r="H31"/>
  <c i="14" r="H23"/>
  <c i="16" r="Q29"/>
  <c i="14" r="C25"/>
  <c i="16" r="B33"/>
  <c i="12" r="T52"/>
  <c i="14" r="H25"/>
  <c i="16" r="Q33"/>
  <c i="14" r="U27"/>
  <c i="16" r="Q35"/>
  <c i="20" r="AI37"/>
  <c i="20" r="AJ37" s="1"/>
  <c i="7" r="S23"/>
  <c i="20" r="AI73"/>
  <c i="20" r="AJ73" s="1"/>
  <c i="20" r="AI82"/>
  <c i="20" r="AJ82" s="1"/>
  <c i="13" r="T29"/>
  <c i="17" r="B31"/>
  <c i="7" r="T23"/>
  <c i="20" r="AI51"/>
  <c i="20" r="AJ51" s="1"/>
  <c i="14" r="C33"/>
  <c i="12" r="G33"/>
  <c i="14" r="H33"/>
  <c i="20" r="AI27"/>
  <c i="20" r="AJ27" s="1"/>
  <c i="17" r="R33"/>
  <c i="15" r="R27"/>
  <c i="17" r="T33"/>
  <c i="17" r="T35"/>
  <c i="17" r="T25"/>
  <c i="13" r="T25"/>
  <c i="20" r="AI59"/>
  <c i="20" r="AJ59" s="1"/>
  <c i="20" r="AI19"/>
  <c i="20" r="AJ19" s="1"/>
  <c i="20" r="AI67"/>
  <c i="20" r="AJ67" s="1"/>
  <c i="20" r="AI35"/>
  <c i="20" r="AJ35" s="1"/>
  <c i="11" r="P52"/>
  <c i="13" r="T26"/>
  <c i="20" r="AI43"/>
  <c i="20" r="AJ43" s="1"/>
  <c i="17" r="T23"/>
  <c i="15" r="R33"/>
  <c i="13" r="P24"/>
  <c i="13" r="P42" s="1"/>
  <c i="20" r="N6"/>
  <c i="16" r="J29"/>
  <c i="12" r="O27"/>
  <c i="17" r="R27"/>
  <c i="7" r="J25"/>
  <c i="7" r="I31"/>
  <c i="7" r="R35"/>
  <c i="11" r="Q52"/>
  <c i="11" r="J35"/>
  <c i="12" r="F23"/>
  <c i="12" r="G35"/>
  <c i="13" r="P28"/>
  <c i="14" r="H27"/>
  <c i="14" r="R35"/>
  <c i="16" r="B23"/>
  <c i="16" r="E27"/>
  <c i="16" r="B31"/>
  <c i="16" r="E35"/>
  <c i="17" r="T27"/>
  <c i="7" r="T25"/>
  <c i="7" r="J31"/>
  <c i="20" r="AI55"/>
  <c i="20" r="AJ55" s="1"/>
  <c i="20" r="AI47"/>
  <c i="20" r="AJ47" s="1"/>
  <c i="20" r="AI39"/>
  <c i="20" r="AJ39" s="1"/>
  <c i="20" r="AI23"/>
  <c i="20" r="AJ23" s="1"/>
  <c i="16" r="J33"/>
  <c i="17" r="Q53"/>
  <c i="20" r="AI53"/>
  <c i="20" r="AJ53" s="1"/>
  <c i="11" r="J30"/>
  <c i="11" r="V48" s="1"/>
  <c i="20" r="N10"/>
  <c i="12" r="O23"/>
  <c i="20" r="N8"/>
  <c i="20" r="N12"/>
  <c i="16" r="J23"/>
  <c i="16" r="E31"/>
  <c i="7" r="B23"/>
  <c i="7" r="B27"/>
  <c i="7" r="T31"/>
  <c i="20" r="AI9"/>
  <c i="20" r="AJ9" s="1"/>
  <c i="20" r="AI68"/>
  <c i="20" r="AJ68" s="1"/>
  <c i="20" r="AI60"/>
  <c i="20" r="AJ60" s="1"/>
  <c i="20" r="AI52"/>
  <c i="20" r="AJ52" s="1"/>
  <c i="20" r="AI44"/>
  <c i="20" r="AJ44" s="1"/>
  <c i="20" r="AI75"/>
  <c i="20" r="AJ75" s="1"/>
  <c i="20" r="AI78"/>
  <c i="20" r="AJ78" s="1"/>
  <c i="16" r="J25"/>
  <c i="20" r="O8"/>
  <c i="20" r="O13" s="1"/>
  <c i="20" r="O25" s="1"/>
  <c i="7" r="H31"/>
  <c i="20" r="AI79"/>
  <c i="20" r="AJ79" s="1"/>
  <c i="20" r="M8"/>
  <c i="20" r="M13" s="1"/>
  <c i="20" r="M25" s="1"/>
  <c i="16" r="Q23"/>
  <c i="16" r="H27"/>
  <c i="16" r="J31"/>
  <c i="7" r="J23"/>
  <c i="7" r="J27"/>
  <c i="7" r="B33"/>
  <c i="20" r="AJ13"/>
  <c i="20" r="N9"/>
  <c i="16" r="H33"/>
  <c i="7" r="H29"/>
  <c i="20" r="AI61"/>
  <c i="20" r="AJ61" s="1"/>
  <c i="11" r="U52"/>
  <c i="11" r="S52"/>
  <c i="12" r="Q27"/>
  <c i="11" r="N52"/>
  <c i="12" r="G29"/>
  <c i="12" r="D25"/>
  <c i="12" r="O29"/>
  <c i="13" r="T23"/>
  <c i="14" r="H31"/>
  <c i="15" r="I23"/>
  <c i="16" r="T23"/>
  <c i="16" r="Q27"/>
  <c i="17" r="T31"/>
  <c i="7" r="Q23"/>
  <c i="7" r="R27"/>
  <c i="7" r="I33"/>
  <c i="20" r="AJ64"/>
  <c i="20" r="AJ56"/>
  <c i="20" r="AJ48"/>
  <c i="20" r="AJ40"/>
  <c i="20" r="AJ32"/>
  <c i="13" r="B25"/>
  <c i="14" r="T34"/>
  <c i="14" r="T52" s="1"/>
  <c i="14" r="T27"/>
  <c i="14" r="T35"/>
  <c i="20" r="L12"/>
  <c i="14" r="J34"/>
  <c i="14" r="J33"/>
  <c i="14" r="J31"/>
  <c i="14" r="T31"/>
  <c i="20" r="N11"/>
  <c i="14" r="J29"/>
  <c i="16" r="O34"/>
  <c i="16" r="O52" s="1"/>
  <c i="16" r="O25"/>
  <c i="16" r="O35"/>
  <c i="16" r="O33"/>
  <c i="16" r="O31"/>
  <c i="16" r="O27"/>
  <c i="17" r="V24"/>
  <c i="12" r="W17"/>
  <c i="12" r="W33" s="1"/>
  <c i="12" r="N35"/>
  <c i="12" r="N23"/>
  <c i="12" r="V35"/>
  <c i="12" r="V23"/>
  <c i="12" r="N25"/>
  <c i="12" r="F29"/>
  <c i="12" r="F33"/>
  <c i="13" r="U25"/>
  <c i="14" r="T25"/>
  <c i="20" r="N5"/>
  <c i="16" r="H23"/>
  <c i="16" r="H25"/>
  <c i="13" r="B35"/>
  <c i="15" r="H34"/>
  <c i="15" r="T52" s="1"/>
  <c i="15" r="H29"/>
  <c i="15" r="H33"/>
  <c i="13" r="C23"/>
  <c i="14" r="T29"/>
  <c i="15" r="H23"/>
  <c i="15" r="H31"/>
  <c i="20" r="G13"/>
  <c i="13" r="U31"/>
  <c i="13" r="U23"/>
  <c i="13" r="U24"/>
  <c i="20" r="H12"/>
  <c i="13" r="F34"/>
  <c i="13" r="F23"/>
  <c i="13" r="R41" s="1"/>
  <c i="13" r="F25"/>
  <c i="13" r="F30"/>
  <c i="12" r="P34"/>
  <c i="12" r="P29"/>
  <c i="12" r="P35"/>
  <c i="12" r="P53" s="1"/>
  <c i="12" r="P33"/>
  <c i="13" r="R32"/>
  <c i="13" r="R27"/>
  <c i="13" r="R25"/>
  <c i="13" r="J24"/>
  <c i="13" r="B33"/>
  <c i="14" r="J23"/>
  <c i="14" r="T33"/>
  <c i="16" r="G34"/>
  <c i="16" r="S52" s="1"/>
  <c i="16" r="G31"/>
  <c i="16" r="G29"/>
  <c i="16" r="G23"/>
  <c i="16" r="R34"/>
  <c i="16" r="R35"/>
  <c i="16" r="R53" s="1"/>
  <c i="16" r="R31"/>
  <c i="16" r="R29"/>
  <c i="16" r="R27"/>
  <c i="16" r="O23"/>
  <c i="16" r="T49"/>
  <c i="16" r="G35"/>
  <c i="14" r="U34"/>
  <c i="14" r="U52" s="1"/>
  <c i="14" r="U29"/>
  <c i="13" r="J26"/>
  <c i="20" r="N7"/>
  <c i="14" r="G35"/>
  <c i="14" r="G24"/>
  <c i="14" r="R34"/>
  <c i="14" r="R25"/>
  <c i="14" r="R23"/>
  <c i="14" r="R33"/>
  <c i="14" r="T23"/>
  <c i="14" r="J27"/>
  <c i="14" r="U33"/>
  <c i="15" r="S23"/>
  <c i="15" r="H35"/>
  <c i="16" r="H34"/>
  <c i="16" r="H29"/>
  <c i="16" r="H35"/>
  <c i="16" r="R25"/>
  <c i="15" r="S25"/>
  <c i="13" r="C35"/>
  <c i="13" r="O53" s="1"/>
  <c i="13" r="C27"/>
  <c i="14" r="B34"/>
  <c i="14" r="B27"/>
  <c i="14" r="B33"/>
  <c i="14" r="B25"/>
  <c i="14" r="B23"/>
  <c i="14" r="B29"/>
  <c i="14" r="J25"/>
  <c i="14" r="U25"/>
  <c i="12" r="E35"/>
  <c i="12" r="E29"/>
  <c i="12" r="P25"/>
  <c i="12" r="F34"/>
  <c i="12" r="F27"/>
  <c i="12" r="F25"/>
  <c i="12" r="Q34"/>
  <c i="12" r="Q31"/>
  <c i="12" r="Q33"/>
  <c i="12" r="Q25"/>
  <c i="12" r="Q43" s="1"/>
  <c i="12" r="Q35"/>
  <c i="12" r="Q29"/>
  <c i="20" r="E13"/>
  <c i="13" r="N24"/>
  <c i="13" r="N42" s="1"/>
  <c i="13" r="B27"/>
  <c i="13" r="C33"/>
  <c i="12" r="P23"/>
  <c i="12" r="E27"/>
  <c i="12" r="E31"/>
  <c i="13" r="U27"/>
  <c i="13" r="J33"/>
  <c i="14" r="U23"/>
  <c i="14" r="R27"/>
  <c i="14" r="B35"/>
  <c i="14" r="N53" s="1"/>
  <c i="15" r="R34"/>
  <c i="15" r="R31"/>
  <c i="15" r="R23"/>
  <c i="15" r="R25"/>
  <c i="15" r="H25"/>
  <c i="15" r="R35"/>
  <c i="15" r="R53" s="1"/>
  <c i="16" r="T34"/>
  <c i="16" r="T35"/>
  <c i="16" r="T33"/>
  <c i="16" r="T29"/>
  <c i="16" r="T27"/>
  <c i="16" r="T25"/>
  <c i="16" r="R23"/>
  <c i="16" r="O29"/>
  <c i="16" r="G33"/>
  <c i="17" r="B34"/>
  <c i="17" r="B35"/>
  <c i="17" r="N53" s="1"/>
  <c i="17" r="B27"/>
  <c i="17" r="B33"/>
  <c i="17" r="B29"/>
  <c i="17" r="B23"/>
  <c i="17" r="J34"/>
  <c i="17" r="J33"/>
  <c i="17" r="J29"/>
  <c i="17" r="J35"/>
  <c i="17" r="V53" s="1"/>
  <c i="17" r="J23"/>
  <c i="17" r="J25"/>
  <c i="17" r="J31"/>
  <c i="14" r="C29"/>
  <c i="15" r="I25"/>
  <c i="17" r="H25"/>
  <c i="7" r="S35"/>
  <c i="7" r="S53" s="1"/>
  <c i="20" r="AI65"/>
  <c i="20" r="AJ65" s="1"/>
  <c i="20" r="AI57"/>
  <c i="20" r="AJ57" s="1"/>
  <c i="20" r="AI49"/>
  <c i="20" r="AJ49" s="1"/>
  <c i="20" r="AI33"/>
  <c i="20" r="AJ33" s="1"/>
  <c i="12" r="G25"/>
  <c i="12" r="G27"/>
  <c i="12" r="S32"/>
  <c i="14" r="C27"/>
  <c i="14" r="H29"/>
  <c i="15" r="K17"/>
  <c i="15" r="K35" s="1"/>
  <c i="16" r="Q52"/>
  <c i="16" r="E25"/>
  <c i="16" r="B27"/>
  <c i="16" r="Q31"/>
  <c i="16" r="J35"/>
  <c i="17" r="H23"/>
  <c i="17" r="R31"/>
  <c i="17" r="H35"/>
  <c i="7" r="H23"/>
  <c i="7" r="H25"/>
  <c i="7" r="I27"/>
  <c i="7" r="J29"/>
  <c i="7" r="R31"/>
  <c i="7" r="S33"/>
  <c i="7" r="T35"/>
  <c i="17" r="R25"/>
  <c i="17" r="H29"/>
  <c i="7" r="I23"/>
  <c i="7" r="I25"/>
  <c i="7" r="R29"/>
  <c i="7" r="S31"/>
  <c i="7" r="T33"/>
  <c i="20" r="AI10"/>
  <c i="20" r="AJ10" s="1"/>
  <c i="20" r="AI69"/>
  <c i="20" r="AJ69" s="1"/>
  <c i="17" r="R23"/>
  <c i="17" r="R35"/>
  <c i="7" r="S29"/>
  <c i="17" r="R29"/>
  <c i="17" r="H33"/>
  <c i="7" r="T52"/>
  <c i="7" r="R25"/>
  <c i="7" r="S27"/>
  <c i="7" r="T29"/>
  <c i="7" r="H35"/>
  <c i="20" r="AI63"/>
  <c i="20" r="AJ63" s="1"/>
  <c i="20" r="AI45"/>
  <c i="20" r="AJ45" s="1"/>
  <c i="20" r="AI31"/>
  <c i="20" r="AJ31" s="1"/>
  <c i="20" r="AI29"/>
  <c i="20" r="AJ29" s="1"/>
  <c i="20" r="AI76"/>
  <c i="20" r="AJ76" s="1"/>
  <c i="12" r="D23"/>
  <c i="12" r="G31"/>
  <c i="13" r="P34"/>
  <c i="14" r="H35"/>
  <c i="16" r="J27"/>
  <c i="16" r="E33"/>
  <c i="16" r="B35"/>
  <c i="17" r="T52"/>
  <c i="17" r="D24"/>
  <c i="17" r="H27"/>
  <c i="17" r="T45" s="1"/>
  <c i="17" r="T29"/>
  <c i="7" r="R23"/>
  <c i="7" r="S25"/>
  <c i="7" r="T27"/>
  <c i="7" r="B31"/>
  <c i="7" r="H33"/>
  <c i="7" r="I35"/>
  <c i="20" r="AJ77"/>
  <c i="12" r="G23"/>
  <c i="14" r="V53"/>
  <c i="16" r="E23"/>
  <c i="7" r="G23"/>
  <c i="7" r="S41" s="1"/>
  <c i="7" r="H27"/>
  <c i="7" r="I29"/>
  <c i="7" r="R33"/>
  <c i="20" r="AI41"/>
  <c i="20" r="AJ41" s="1"/>
  <c i="20" r="AI25"/>
  <c i="20" r="AJ25" s="1"/>
  <c i="20" r="AI7"/>
  <c i="20" r="AJ7" s="1"/>
  <c i="20" r="AI66"/>
  <c i="20" r="AJ66" s="1"/>
  <c i="20" r="AI58"/>
  <c i="20" r="AJ58" s="1"/>
  <c i="20" r="AI50"/>
  <c i="20" r="AJ50" s="1"/>
  <c i="20" r="AI42"/>
  <c i="20" r="AJ42" s="1"/>
  <c i="20" r="AI34"/>
  <c i="20" r="AJ34" s="1"/>
  <c i="20" r="AI26"/>
  <c i="20" r="AJ26" s="1"/>
  <c i="20" r="AI18"/>
  <c i="20" r="AJ18" s="1"/>
  <c i="20" r="AI12"/>
  <c i="20" r="AJ12" s="1"/>
  <c i="20" r="AI84"/>
  <c i="20" r="AJ84" s="1"/>
  <c i="20" r="AI4"/>
  <c i="20" r="AJ4" s="1"/>
  <c i="20" r="AI15"/>
  <c i="20" r="AJ15" s="1"/>
  <c i="20" r="AI72"/>
  <c i="20" r="AJ72" s="1"/>
  <c i="20" r="AI81"/>
  <c i="20" r="AJ81" s="1"/>
  <c i="20" r="AI36"/>
  <c i="20" r="AJ36" s="1"/>
  <c i="20" r="AI20"/>
  <c i="20" r="AJ20" s="1"/>
  <c i="20" r="AI17"/>
  <c i="20" r="AJ17" s="1"/>
  <c i="20" r="AI83"/>
  <c i="20" r="AJ83" s="1"/>
  <c i="20" r="AI11"/>
  <c i="20" r="AJ11" s="1"/>
  <c i="20" r="AI70"/>
  <c i="20" r="AJ70" s="1"/>
  <c i="20" r="AI62"/>
  <c i="20" r="AJ62" s="1"/>
  <c i="20" r="AI54"/>
  <c i="20" r="AJ54" s="1"/>
  <c i="20" r="AI46"/>
  <c i="20" r="AJ46" s="1"/>
  <c i="20" r="AI38"/>
  <c i="20" r="AJ38" s="1"/>
  <c i="20" r="AI30"/>
  <c i="20" r="AJ30" s="1"/>
  <c i="20" r="AI22"/>
  <c i="20" r="AJ22" s="1"/>
  <c i="20" r="AI80"/>
  <c i="20" r="AJ80" s="1"/>
  <c i="7" r="Q53"/>
  <c i="7" r="U52"/>
  <c i="7" r="V26"/>
  <c i="7" r="D28"/>
  <c i="7" r="N28"/>
  <c i="7" r="D32"/>
  <c i="7" r="N32"/>
  <c i="7" r="V32"/>
  <c i="7" r="D34"/>
  <c i="7" r="P52" s="1"/>
  <c i="7" r="N34"/>
  <c i="7" r="N52" s="1"/>
  <c i="7" r="V34"/>
  <c i="7" r="V52" s="1"/>
  <c i="7" r="W17"/>
  <c i="7" r="W32" s="1"/>
  <c i="7" r="E24"/>
  <c i="7" r="O24"/>
  <c i="7" r="E26"/>
  <c i="7" r="O26"/>
  <c i="7" r="E28"/>
  <c i="7" r="O28"/>
  <c i="7" r="E30"/>
  <c i="7" r="O30"/>
  <c i="7" r="E32"/>
  <c i="7" r="O32"/>
  <c i="7" r="E34"/>
  <c i="7" r="O34"/>
  <c i="7" r="O52" s="1"/>
  <c i="7" r="V30"/>
  <c i="7" r="F24"/>
  <c i="7" r="F26"/>
  <c i="7" r="P28"/>
  <c i="7" r="C23"/>
  <c i="7" r="U23"/>
  <c i="7" r="G24"/>
  <c i="7" r="Q24"/>
  <c i="7" r="C25"/>
  <c i="7" r="U25"/>
  <c i="7" r="G26"/>
  <c i="7" r="Q26"/>
  <c i="7" r="C27"/>
  <c i="7" r="U27"/>
  <c i="7" r="G28"/>
  <c i="7" r="Q28"/>
  <c i="7" r="C29"/>
  <c i="7" r="U29"/>
  <c i="7" r="G30"/>
  <c i="7" r="Q30"/>
  <c i="7" r="C31"/>
  <c i="7" r="U31"/>
  <c i="7" r="G32"/>
  <c i="7" r="Q32"/>
  <c i="7" r="C33"/>
  <c i="7" r="U33"/>
  <c i="7" r="G34"/>
  <c i="7" r="S52" s="1"/>
  <c i="7" r="Q34"/>
  <c i="7" r="C35"/>
  <c i="7" r="O53" s="1"/>
  <c i="7" r="U35"/>
  <c i="7" r="N24"/>
  <c i="7" r="N26"/>
  <c i="7" r="D30"/>
  <c i="7" r="D23"/>
  <c i="7" r="N23"/>
  <c i="7" r="V23"/>
  <c i="7" r="H24"/>
  <c i="7" r="R24"/>
  <c i="7" r="D25"/>
  <c i="7" r="N25"/>
  <c i="7" r="V25"/>
  <c i="7" r="H26"/>
  <c i="7" r="R26"/>
  <c i="7" r="D27"/>
  <c i="7" r="N27"/>
  <c i="7" r="V27"/>
  <c i="7" r="H28"/>
  <c i="7" r="R28"/>
  <c i="7" r="D29"/>
  <c i="7" r="N29"/>
  <c i="7" r="N47" s="1"/>
  <c i="7" r="V29"/>
  <c i="7" r="H30"/>
  <c i="7" r="R30"/>
  <c i="7" r="D31"/>
  <c i="7" r="N31"/>
  <c i="7" r="V31"/>
  <c i="7" r="H32"/>
  <c i="7" r="R32"/>
  <c i="7" r="R50" s="1"/>
  <c i="7" r="D33"/>
  <c i="7" r="N33"/>
  <c i="7" r="V33"/>
  <c i="7" r="D35"/>
  <c i="7" r="N35"/>
  <c i="7" r="N53" s="1"/>
  <c i="7" r="V35"/>
  <c i="7" r="V28"/>
  <c i="7" r="P24"/>
  <c i="7" r="F34"/>
  <c i="7" r="R52" s="1"/>
  <c i="7" r="E23"/>
  <c i="7" r="O23"/>
  <c i="7" r="I24"/>
  <c i="7" r="S24"/>
  <c i="7" r="E25"/>
  <c i="7" r="O25"/>
  <c i="7" r="I26"/>
  <c i="7" r="S26"/>
  <c i="7" r="E27"/>
  <c i="7" r="O27"/>
  <c i="7" r="I28"/>
  <c i="7" r="S28"/>
  <c i="7" r="E29"/>
  <c i="7" r="O29"/>
  <c i="7" r="I30"/>
  <c i="7" r="S30"/>
  <c i="7" r="E31"/>
  <c i="7" r="O31"/>
  <c i="7" r="I32"/>
  <c i="7" r="S32"/>
  <c i="7" r="E33"/>
  <c i="7" r="O33"/>
  <c i="7" r="D24"/>
  <c i="7" r="F30"/>
  <c i="7" r="P30"/>
  <c i="7" r="F23"/>
  <c i="7" r="P23"/>
  <c i="7" r="B24"/>
  <c i="7" r="J24"/>
  <c i="7" r="V42" s="1"/>
  <c i="7" r="T24"/>
  <c i="7" r="F25"/>
  <c i="7" r="P25"/>
  <c i="7" r="B26"/>
  <c i="7" r="J26"/>
  <c i="7" r="T26"/>
  <c i="7" r="F27"/>
  <c i="7" r="P27"/>
  <c i="7" r="B28"/>
  <c i="7" r="J28"/>
  <c i="7" r="T28"/>
  <c i="7" r="F29"/>
  <c i="7" r="P29"/>
  <c i="7" r="B30"/>
  <c i="7" r="N48" s="1"/>
  <c i="7" r="J30"/>
  <c i="7" r="T30"/>
  <c i="7" r="F31"/>
  <c i="7" r="P31"/>
  <c i="7" r="B32"/>
  <c i="7" r="J32"/>
  <c i="7" r="T32"/>
  <c i="7" r="F33"/>
  <c i="7" r="P33"/>
  <c i="7" r="F35"/>
  <c i="7" r="P35"/>
  <c i="7" r="P26"/>
  <c i="7" r="P44" s="1"/>
  <c i="7" r="F28"/>
  <c i="7" r="P32"/>
  <c i="7" r="K17"/>
  <c i="7" r="K35" s="1"/>
  <c i="7" r="C24"/>
  <c i="7" r="U24"/>
  <c i="7" r="G25"/>
  <c i="7" r="Q25"/>
  <c i="7" r="C26"/>
  <c i="7" r="U26"/>
  <c i="7" r="G27"/>
  <c i="7" r="Q27"/>
  <c i="7" r="C28"/>
  <c i="7" r="U28"/>
  <c i="7" r="G29"/>
  <c i="7" r="Q29"/>
  <c i="7" r="C30"/>
  <c i="7" r="U30"/>
  <c i="7" r="G31"/>
  <c i="7" r="Q31"/>
  <c i="7" r="C32"/>
  <c i="7" r="U32"/>
  <c i="7" r="G33"/>
  <c i="7" r="Q33"/>
  <c i="17" r="U52"/>
  <c i="17" r="R52"/>
  <c i="17" r="N24"/>
  <c i="17" r="V26"/>
  <c i="17" r="D28"/>
  <c i="17" r="N28"/>
  <c i="17" r="V28"/>
  <c i="17" r="D30"/>
  <c i="17" r="N30"/>
  <c i="17" r="V30"/>
  <c i="17" r="D32"/>
  <c i="17" r="N32"/>
  <c i="17" r="V32"/>
  <c i="17" r="D34"/>
  <c i="17" r="P52" s="1"/>
  <c i="17" r="N34"/>
  <c i="17" r="V34"/>
  <c i="17" r="W17"/>
  <c i="17" r="W35" s="1"/>
  <c i="17" r="I23"/>
  <c i="17" r="S23"/>
  <c i="17" r="E24"/>
  <c i="17" r="O24"/>
  <c i="17" r="I25"/>
  <c i="17" r="S25"/>
  <c i="17" r="E26"/>
  <c i="17" r="O26"/>
  <c i="17" r="I27"/>
  <c i="17" r="S27"/>
  <c i="17" r="E28"/>
  <c i="17" r="O28"/>
  <c i="17" r="I29"/>
  <c i="17" r="S29"/>
  <c i="17" r="E30"/>
  <c i="17" r="O30"/>
  <c i="17" r="I31"/>
  <c i="17" r="S31"/>
  <c i="17" r="E32"/>
  <c i="17" r="O32"/>
  <c i="17" r="I33"/>
  <c i="17" r="S33"/>
  <c i="17" r="E34"/>
  <c i="17" r="O34"/>
  <c i="17" r="O52" s="1"/>
  <c i="17" r="I35"/>
  <c i="17" r="S35"/>
  <c i="17" r="S53" s="1"/>
  <c i="17" r="N26"/>
  <c i="17" r="P24"/>
  <c i="17" r="F28"/>
  <c i="17" r="C23"/>
  <c i="17" r="U23"/>
  <c i="17" r="G24"/>
  <c i="17" r="Q24"/>
  <c i="17" r="C25"/>
  <c i="17" r="U25"/>
  <c i="17" r="G26"/>
  <c i="17" r="Q26"/>
  <c i="17" r="C27"/>
  <c i="17" r="U27"/>
  <c i="17" r="G28"/>
  <c i="17" r="Q28"/>
  <c i="17" r="C29"/>
  <c i="17" r="U29"/>
  <c i="17" r="G30"/>
  <c i="17" r="Q30"/>
  <c i="17" r="C31"/>
  <c i="17" r="U31"/>
  <c i="17" r="G32"/>
  <c i="17" r="Q32"/>
  <c i="17" r="C33"/>
  <c i="17" r="U33"/>
  <c i="17" r="G34"/>
  <c i="17" r="S52" s="1"/>
  <c i="17" r="Q34"/>
  <c i="17" r="C35"/>
  <c i="17" r="O53" s="1"/>
  <c i="17" r="U35"/>
  <c i="17" r="P26"/>
  <c i="17" r="P44" s="1"/>
  <c i="17" r="P30"/>
  <c i="17" r="P32"/>
  <c i="17" r="D23"/>
  <c i="17" r="N23"/>
  <c i="17" r="V23"/>
  <c i="17" r="H24"/>
  <c i="17" r="R24"/>
  <c i="17" r="D25"/>
  <c i="17" r="N25"/>
  <c i="17" r="N43" s="1"/>
  <c i="17" r="V25"/>
  <c i="17" r="H26"/>
  <c i="17" r="R26"/>
  <c i="17" r="D27"/>
  <c i="17" r="N27"/>
  <c i="17" r="V27"/>
  <c i="17" r="V45" s="1"/>
  <c i="17" r="H28"/>
  <c i="17" r="R28"/>
  <c i="17" r="D29"/>
  <c i="17" r="N29"/>
  <c i="17" r="V29"/>
  <c i="17" r="H30"/>
  <c i="17" r="R30"/>
  <c i="17" r="D31"/>
  <c i="17" r="N31"/>
  <c i="17" r="V31"/>
  <c i="17" r="H32"/>
  <c i="17" r="R32"/>
  <c i="17" r="D33"/>
  <c i="17" r="N33"/>
  <c i="17" r="V33"/>
  <c i="17" r="D35"/>
  <c i="17" r="F24"/>
  <c i="17" r="F30"/>
  <c i="17" r="E23"/>
  <c i="17" r="O23"/>
  <c i="17" r="I24"/>
  <c i="17" r="S24"/>
  <c i="17" r="E25"/>
  <c i="17" r="O25"/>
  <c i="17" r="I26"/>
  <c i="17" r="S26"/>
  <c i="17" r="E27"/>
  <c i="17" r="O27"/>
  <c i="17" r="I28"/>
  <c i="17" r="S28"/>
  <c i="17" r="E29"/>
  <c i="17" r="O29"/>
  <c i="17" r="I30"/>
  <c i="17" r="S30"/>
  <c i="17" r="E31"/>
  <c i="17" r="O31"/>
  <c i="17" r="I32"/>
  <c i="17" r="S32"/>
  <c i="17" r="E33"/>
  <c i="17" r="O33"/>
  <c i="17" r="F26"/>
  <c i="17" r="F23"/>
  <c i="17" r="P23"/>
  <c i="17" r="B24"/>
  <c i="17" r="J24"/>
  <c i="17" r="T24"/>
  <c i="17" r="F25"/>
  <c i="17" r="P25"/>
  <c i="17" r="B26"/>
  <c i="17" r="J26"/>
  <c i="17" r="T26"/>
  <c i="17" r="F27"/>
  <c i="17" r="P27"/>
  <c i="17" r="B28"/>
  <c i="17" r="J28"/>
  <c i="17" r="T28"/>
  <c i="17" r="F29"/>
  <c i="17" r="P29"/>
  <c i="17" r="B30"/>
  <c i="17" r="J30"/>
  <c i="17" r="T30"/>
  <c i="17" r="F31"/>
  <c i="17" r="P31"/>
  <c i="17" r="B32"/>
  <c i="17" r="J32"/>
  <c i="17" r="T32"/>
  <c i="17" r="F33"/>
  <c i="17" r="P33"/>
  <c i="17" r="F35"/>
  <c i="17" r="P35"/>
  <c i="17" r="P28"/>
  <c i="17" r="F32"/>
  <c i="17" r="K17"/>
  <c i="17" r="K25" s="1"/>
  <c i="17" r="G23"/>
  <c i="17" r="Q23"/>
  <c i="17" r="C24"/>
  <c i="17" r="U24"/>
  <c i="17" r="G25"/>
  <c i="17" r="Q25"/>
  <c i="17" r="C26"/>
  <c i="17" r="U26"/>
  <c i="17" r="G27"/>
  <c i="17" r="Q27"/>
  <c i="17" r="C28"/>
  <c i="17" r="U28"/>
  <c i="17" r="G29"/>
  <c i="17" r="Q29"/>
  <c i="17" r="C30"/>
  <c i="17" r="U30"/>
  <c i="17" r="G31"/>
  <c i="17" r="Q31"/>
  <c i="17" r="C32"/>
  <c i="17" r="U32"/>
  <c i="17" r="G33"/>
  <c i="17" r="Q33"/>
  <c i="16" r="U52"/>
  <c i="16" r="D26"/>
  <c i="16" r="N26"/>
  <c i="16" r="V26"/>
  <c i="16" r="D28"/>
  <c i="16" r="V28"/>
  <c i="16" r="N30"/>
  <c i="16" r="V30"/>
  <c i="16" r="D32"/>
  <c i="16" r="N32"/>
  <c i="16" r="V32"/>
  <c i="16" r="D34"/>
  <c i="16" r="N34"/>
  <c i="16" r="N52" s="1"/>
  <c i="16" r="V34"/>
  <c i="16" r="V52" s="1"/>
  <c i="16" r="W17"/>
  <c i="16" r="W30" s="1"/>
  <c i="16" r="I23"/>
  <c i="16" r="S23"/>
  <c i="16" r="E24"/>
  <c i="16" r="O24"/>
  <c i="16" r="I25"/>
  <c i="16" r="S25"/>
  <c i="16" r="E26"/>
  <c i="16" r="O26"/>
  <c i="16" r="I27"/>
  <c i="16" r="S27"/>
  <c i="16" r="S45" s="1"/>
  <c i="16" r="E28"/>
  <c i="16" r="O28"/>
  <c i="16" r="I29"/>
  <c i="16" r="S29"/>
  <c i="16" r="E30"/>
  <c i="16" r="O30"/>
  <c i="16" r="I31"/>
  <c i="16" r="S31"/>
  <c i="16" r="E32"/>
  <c i="16" r="O32"/>
  <c i="16" r="I33"/>
  <c i="16" r="S33"/>
  <c i="16" r="I35"/>
  <c i="16" r="S35"/>
  <c i="16" r="F24"/>
  <c i="16" r="F26"/>
  <c i="16" r="P26"/>
  <c i="16" r="F28"/>
  <c i="16" r="F30"/>
  <c i="16" r="P30"/>
  <c i="16" r="P48" s="1"/>
  <c i="16" r="F32"/>
  <c i="16" r="F34"/>
  <c i="16" r="P34"/>
  <c i="16" r="D24"/>
  <c i="16" r="N28"/>
  <c i="16" r="P24"/>
  <c i="16" r="P28"/>
  <c i="16" r="P32"/>
  <c i="16" r="C23"/>
  <c i="16" r="U23"/>
  <c i="16" r="G24"/>
  <c i="16" r="Q24"/>
  <c i="16" r="C25"/>
  <c i="16" r="U25"/>
  <c i="16" r="G26"/>
  <c i="16" r="Q26"/>
  <c i="16" r="C27"/>
  <c i="16" r="U27"/>
  <c i="16" r="G28"/>
  <c i="16" r="Q28"/>
  <c i="16" r="C29"/>
  <c i="16" r="U29"/>
  <c i="16" r="G30"/>
  <c i="16" r="Q30"/>
  <c i="16" r="C31"/>
  <c i="16" r="U31"/>
  <c i="16" r="G32"/>
  <c i="16" r="Q32"/>
  <c i="16" r="C33"/>
  <c i="16" r="U33"/>
  <c i="16" r="C35"/>
  <c i="16" r="U35"/>
  <c i="16" r="D23"/>
  <c i="16" r="N23"/>
  <c i="16" r="V23"/>
  <c i="16" r="H24"/>
  <c i="16" r="R24"/>
  <c i="16" r="D25"/>
  <c i="16" r="N25"/>
  <c i="16" r="N43" s="1"/>
  <c i="16" r="V25"/>
  <c i="16" r="H26"/>
  <c i="16" r="R26"/>
  <c i="16" r="D27"/>
  <c i="16" r="N27"/>
  <c i="16" r="V27"/>
  <c i="16" r="H28"/>
  <c i="16" r="R28"/>
  <c i="16" r="D29"/>
  <c i="16" r="N29"/>
  <c i="16" r="V29"/>
  <c i="16" r="H30"/>
  <c i="16" r="R30"/>
  <c i="16" r="D31"/>
  <c i="16" r="N31"/>
  <c i="16" r="V31"/>
  <c i="16" r="H32"/>
  <c i="16" r="R32"/>
  <c i="16" r="D33"/>
  <c i="16" r="N33"/>
  <c i="16" r="V33"/>
  <c i="16" r="D35"/>
  <c i="16" r="P53" s="1"/>
  <c i="16" r="N35"/>
  <c i="16" r="V35"/>
  <c i="16" r="I24"/>
  <c i="16" r="S24"/>
  <c i="16" r="I26"/>
  <c i="16" r="S26"/>
  <c i="16" r="I28"/>
  <c i="16" r="S28"/>
  <c i="16" r="I30"/>
  <c i="16" r="S30"/>
  <c i="16" r="I32"/>
  <c i="16" r="S32"/>
  <c i="16" r="F23"/>
  <c i="16" r="P23"/>
  <c i="16" r="B24"/>
  <c i="16" r="N42" s="1"/>
  <c i="16" r="J24"/>
  <c i="16" r="V42" s="1"/>
  <c i="16" r="T24"/>
  <c i="16" r="F25"/>
  <c i="16" r="P25"/>
  <c i="16" r="B26"/>
  <c i="16" r="J26"/>
  <c i="16" r="T26"/>
  <c i="16" r="F27"/>
  <c i="16" r="P27"/>
  <c i="16" r="B28"/>
  <c i="16" r="J28"/>
  <c i="16" r="T28"/>
  <c i="16" r="F29"/>
  <c i="16" r="P29"/>
  <c i="16" r="B30"/>
  <c i="16" r="J30"/>
  <c i="16" r="T30"/>
  <c i="16" r="F31"/>
  <c i="16" r="P31"/>
  <c i="16" r="B32"/>
  <c i="16" r="J32"/>
  <c i="16" r="T32"/>
  <c i="16" r="F33"/>
  <c i="16" r="R51" s="1"/>
  <c i="16" r="P33"/>
  <c i="16" r="K17"/>
  <c i="16" r="K35" s="1"/>
  <c i="16" r="C24"/>
  <c i="16" r="U24"/>
  <c i="16" r="C26"/>
  <c i="16" r="U26"/>
  <c i="16" r="C28"/>
  <c i="16" r="U28"/>
  <c i="16" r="C30"/>
  <c i="16" r="U30"/>
  <c i="16" r="C32"/>
  <c i="16" r="U32"/>
  <c i="15" r="Q53"/>
  <c i="15" r="U52"/>
  <c i="15" r="V34"/>
  <c i="15" r="V52" s="1"/>
  <c i="15" r="W17"/>
  <c i="15" r="W35" s="1"/>
  <c i="15" r="E24"/>
  <c i="15" r="O24"/>
  <c i="15" r="E26"/>
  <c i="15" r="O26"/>
  <c i="15" r="I27"/>
  <c i="15" r="S27"/>
  <c i="15" r="E28"/>
  <c i="15" r="O28"/>
  <c i="15" r="I29"/>
  <c i="15" r="S29"/>
  <c i="15" r="E30"/>
  <c i="15" r="O30"/>
  <c i="15" r="I31"/>
  <c i="15" r="S31"/>
  <c i="15" r="E32"/>
  <c i="15" r="O32"/>
  <c i="15" r="I33"/>
  <c i="15" r="S33"/>
  <c i="15" r="E34"/>
  <c i="15" r="O34"/>
  <c i="15" r="O52" s="1"/>
  <c i="15" r="I35"/>
  <c i="15" r="S35"/>
  <c i="15" r="S53" s="1"/>
  <c i="15" r="D24"/>
  <c i="15" r="N28"/>
  <c i="15" r="B23"/>
  <c i="15" r="J23"/>
  <c i="15" r="T23"/>
  <c i="15" r="F24"/>
  <c i="15" r="P24"/>
  <c i="15" r="B25"/>
  <c i="15" r="J25"/>
  <c i="15" r="T25"/>
  <c i="15" r="F26"/>
  <c i="15" r="P26"/>
  <c i="15" r="B27"/>
  <c i="15" r="J27"/>
  <c i="15" r="T27"/>
  <c i="15" r="T45" s="1"/>
  <c i="15" r="F28"/>
  <c i="15" r="P28"/>
  <c i="15" r="B29"/>
  <c i="15" r="J29"/>
  <c i="15" r="T29"/>
  <c i="15" r="F30"/>
  <c i="15" r="P30"/>
  <c i="15" r="B31"/>
  <c i="15" r="J31"/>
  <c i="15" r="T31"/>
  <c i="15" r="F32"/>
  <c i="15" r="P32"/>
  <c i="15" r="B33"/>
  <c i="15" r="J33"/>
  <c i="15" r="T33"/>
  <c i="15" r="F34"/>
  <c i="15" r="P34"/>
  <c i="15" r="P52" s="1"/>
  <c i="15" r="B35"/>
  <c i="15" r="J35"/>
  <c i="15" r="T35"/>
  <c i="15" r="N26"/>
  <c i="15" r="C23"/>
  <c i="15" r="U23"/>
  <c i="15" r="G24"/>
  <c i="15" r="Q24"/>
  <c i="15" r="C25"/>
  <c i="15" r="U25"/>
  <c i="15" r="G26"/>
  <c i="15" r="Q26"/>
  <c i="15" r="C27"/>
  <c i="15" r="U27"/>
  <c i="15" r="G28"/>
  <c i="15" r="Q28"/>
  <c i="15" r="C29"/>
  <c i="15" r="U29"/>
  <c i="15" r="G30"/>
  <c i="15" r="Q30"/>
  <c i="15" r="C31"/>
  <c i="15" r="U31"/>
  <c i="15" r="G32"/>
  <c i="15" r="Q32"/>
  <c i="15" r="C33"/>
  <c i="15" r="U33"/>
  <c i="15" r="G34"/>
  <c i="15" r="S52" s="1"/>
  <c i="15" r="Q34"/>
  <c i="15" r="C35"/>
  <c i="15" r="O53" s="1"/>
  <c i="15" r="U35"/>
  <c i="15" r="V24"/>
  <c i="15" r="D23"/>
  <c i="15" r="N23"/>
  <c i="15" r="V23"/>
  <c i="15" r="H24"/>
  <c i="15" r="R24"/>
  <c i="15" r="D25"/>
  <c i="15" r="N25"/>
  <c i="15" r="V25"/>
  <c i="15" r="H26"/>
  <c i="15" r="R26"/>
  <c i="15" r="D27"/>
  <c i="15" r="N27"/>
  <c i="15" r="V27"/>
  <c i="15" r="H28"/>
  <c i="15" r="R28"/>
  <c i="15" r="D29"/>
  <c i="15" r="N29"/>
  <c i="15" r="V29"/>
  <c i="15" r="H30"/>
  <c i="15" r="R30"/>
  <c i="15" r="D31"/>
  <c i="15" r="N31"/>
  <c i="15" r="V31"/>
  <c i="15" r="H32"/>
  <c i="15" r="R32"/>
  <c i="15" r="D33"/>
  <c i="15" r="N33"/>
  <c i="15" r="V33"/>
  <c i="15" r="D35"/>
  <c i="15" r="P53" s="1"/>
  <c i="15" r="N35"/>
  <c i="15" r="V35"/>
  <c i="15" r="D26"/>
  <c i="15" r="N30"/>
  <c i="15" r="D32"/>
  <c i="15" r="N34"/>
  <c i="15" r="N52" s="1"/>
  <c i="15" r="E23"/>
  <c i="15" r="O23"/>
  <c i="15" r="I24"/>
  <c i="15" r="S24"/>
  <c i="15" r="E25"/>
  <c i="15" r="O25"/>
  <c i="15" r="I26"/>
  <c i="15" r="S26"/>
  <c i="15" r="E27"/>
  <c i="15" r="O27"/>
  <c i="15" r="I28"/>
  <c i="15" r="S28"/>
  <c i="15" r="E29"/>
  <c i="15" r="O29"/>
  <c i="15" r="I30"/>
  <c i="15" r="S30"/>
  <c i="15" r="E31"/>
  <c i="15" r="O31"/>
  <c i="15" r="I32"/>
  <c i="15" r="S32"/>
  <c i="15" r="E33"/>
  <c i="15" r="O33"/>
  <c i="15" r="D28"/>
  <c i="15" r="D30"/>
  <c i="15" r="V32"/>
  <c i="15" r="F23"/>
  <c i="15" r="P23"/>
  <c i="15" r="B24"/>
  <c i="15" r="J24"/>
  <c i="15" r="T24"/>
  <c i="15" r="F25"/>
  <c i="15" r="P25"/>
  <c i="15" r="B26"/>
  <c i="15" r="J26"/>
  <c i="15" r="T26"/>
  <c i="15" r="F27"/>
  <c i="15" r="P27"/>
  <c i="15" r="B28"/>
  <c i="15" r="J28"/>
  <c i="15" r="T28"/>
  <c i="15" r="F29"/>
  <c i="15" r="R47" s="1"/>
  <c i="15" r="P29"/>
  <c i="15" r="B30"/>
  <c i="15" r="J30"/>
  <c i="15" r="V48" s="1"/>
  <c i="15" r="T30"/>
  <c i="15" r="F31"/>
  <c i="15" r="P31"/>
  <c i="15" r="B32"/>
  <c i="15" r="N50" s="1"/>
  <c i="15" r="J32"/>
  <c i="15" r="T32"/>
  <c i="15" r="F33"/>
  <c i="15" r="R51" s="1"/>
  <c i="15" r="P33"/>
  <c i="15" r="N24"/>
  <c i="15" r="V26"/>
  <c i="15" r="V28"/>
  <c i="15" r="G23"/>
  <c i="15" r="Q23"/>
  <c i="15" r="C24"/>
  <c i="15" r="U24"/>
  <c i="15" r="G25"/>
  <c i="15" r="S43" s="1"/>
  <c i="15" r="Q25"/>
  <c i="15" r="C26"/>
  <c i="15" r="U26"/>
  <c i="15" r="G27"/>
  <c i="15" r="Q27"/>
  <c i="15" r="C28"/>
  <c i="15" r="U28"/>
  <c i="15" r="G29"/>
  <c i="15" r="Q29"/>
  <c i="15" r="C30"/>
  <c i="15" r="U30"/>
  <c i="15" r="G31"/>
  <c i="15" r="Q31"/>
  <c i="15" r="C32"/>
  <c i="15" r="U32"/>
  <c i="15" r="G33"/>
  <c i="15" r="Q33"/>
  <c i="14" r="P53"/>
  <c i="14" r="Q53"/>
  <c i="14" r="P24"/>
  <c i="14" r="D24"/>
  <c i="14" r="N24"/>
  <c i="14" r="V24"/>
  <c i="14" r="D26"/>
  <c i="14" r="N26"/>
  <c i="14" r="V26"/>
  <c i="14" r="D28"/>
  <c i="14" r="N28"/>
  <c i="14" r="V28"/>
  <c i="14" r="D30"/>
  <c i="14" r="N30"/>
  <c i="14" r="V30"/>
  <c i="14" r="D32"/>
  <c i="14" r="N32"/>
  <c i="14" r="V32"/>
  <c i="14" r="D34"/>
  <c i="14" r="N34"/>
  <c i="14" r="V34"/>
  <c i="14" r="W17"/>
  <c i="14" r="W35" s="1"/>
  <c i="14" r="I23"/>
  <c i="14" r="S23"/>
  <c i="14" r="E24"/>
  <c i="14" r="O24"/>
  <c i="14" r="I25"/>
  <c i="14" r="S25"/>
  <c i="14" r="E26"/>
  <c i="14" r="O26"/>
  <c i="14" r="I27"/>
  <c i="14" r="S27"/>
  <c i="14" r="E28"/>
  <c i="14" r="O28"/>
  <c i="14" r="I29"/>
  <c i="14" r="S29"/>
  <c i="14" r="E30"/>
  <c i="14" r="O30"/>
  <c i="14" r="I31"/>
  <c i="14" r="U49" s="1"/>
  <c i="14" r="S31"/>
  <c i="14" r="E32"/>
  <c i="14" r="O32"/>
  <c i="14" r="I33"/>
  <c i="14" r="S33"/>
  <c i="14" r="E34"/>
  <c i="14" r="O34"/>
  <c i="14" r="O52" s="1"/>
  <c i="14" r="I35"/>
  <c i="14" r="S35"/>
  <c i="14" r="P34"/>
  <c i="14" r="Q24"/>
  <c i="14" r="Q26"/>
  <c i="14" r="G28"/>
  <c i="14" r="G30"/>
  <c i="14" r="Q30"/>
  <c i="14" r="G32"/>
  <c i="14" r="G34"/>
  <c i="14" r="S52" s="1"/>
  <c i="14" r="Q34"/>
  <c i="14" r="C35"/>
  <c i="14" r="O53" s="1"/>
  <c i="14" r="U35"/>
  <c i="14" r="F26"/>
  <c i="14" r="P26"/>
  <c i="14" r="P28"/>
  <c i="14" r="F30"/>
  <c i="14" r="F32"/>
  <c i="14" r="Q28"/>
  <c i="14" r="Q32"/>
  <c i="14" r="D23"/>
  <c i="14" r="N23"/>
  <c i="14" r="V23"/>
  <c i="14" r="H24"/>
  <c i="14" r="R24"/>
  <c i="14" r="D25"/>
  <c i="14" r="N25"/>
  <c i="14" r="V25"/>
  <c i="14" r="H26"/>
  <c i="14" r="R26"/>
  <c i="14" r="D27"/>
  <c i="14" r="N27"/>
  <c i="14" r="V27"/>
  <c i="14" r="H28"/>
  <c i="14" r="R28"/>
  <c i="14" r="R46" s="1"/>
  <c i="14" r="D29"/>
  <c i="14" r="N29"/>
  <c i="14" r="V29"/>
  <c i="14" r="H30"/>
  <c i="14" r="R30"/>
  <c i="14" r="D31"/>
  <c i="14" r="N31"/>
  <c i="14" r="N49" s="1"/>
  <c i="14" r="V31"/>
  <c i="14" r="H32"/>
  <c i="14" r="R32"/>
  <c i="14" r="D33"/>
  <c i="14" r="N33"/>
  <c i="14" r="V33"/>
  <c i="14" r="E23"/>
  <c i="14" r="O23"/>
  <c i="14" r="I24"/>
  <c i="14" r="S24"/>
  <c i="14" r="E25"/>
  <c i="14" r="O25"/>
  <c i="14" r="I26"/>
  <c i="14" r="S26"/>
  <c i="14" r="E27"/>
  <c i="14" r="O27"/>
  <c i="14" r="I28"/>
  <c i="14" r="S28"/>
  <c i="14" r="E29"/>
  <c i="14" r="O29"/>
  <c i="14" r="I30"/>
  <c i="14" r="S30"/>
  <c i="14" r="E31"/>
  <c i="14" r="O31"/>
  <c i="14" r="I32"/>
  <c i="14" r="S32"/>
  <c i="14" r="E33"/>
  <c i="14" r="O33"/>
  <c i="14" r="F24"/>
  <c i="14" r="P30"/>
  <c i="14" r="P32"/>
  <c i="14" r="F34"/>
  <c i="14" r="G26"/>
  <c i="14" r="F23"/>
  <c i="14" r="P23"/>
  <c i="14" r="B24"/>
  <c i="14" r="J24"/>
  <c i="14" r="T24"/>
  <c i="14" r="F25"/>
  <c i="14" r="P25"/>
  <c i="14" r="B26"/>
  <c i="14" r="J26"/>
  <c i="14" r="T26"/>
  <c i="14" r="F27"/>
  <c i="14" r="P27"/>
  <c i="14" r="B28"/>
  <c i="14" r="J28"/>
  <c i="14" r="T28"/>
  <c i="14" r="F29"/>
  <c i="14" r="R47" s="1"/>
  <c i="14" r="P29"/>
  <c i="14" r="B30"/>
  <c i="14" r="J30"/>
  <c i="14" r="T30"/>
  <c i="14" r="F31"/>
  <c i="14" r="P31"/>
  <c i="14" r="B32"/>
  <c i="14" r="J32"/>
  <c i="14" r="T32"/>
  <c i="14" r="F33"/>
  <c i="14" r="P33"/>
  <c i="14" r="F35"/>
  <c i="14" r="K17"/>
  <c i="14" r="K29" s="1"/>
  <c i="14" r="G23"/>
  <c i="14" r="Q23"/>
  <c i="14" r="C24"/>
  <c i="14" r="U24"/>
  <c i="14" r="G25"/>
  <c i="14" r="Q25"/>
  <c i="14" r="C26"/>
  <c i="14" r="U26"/>
  <c i="14" r="G27"/>
  <c i="14" r="Q27"/>
  <c i="14" r="C28"/>
  <c i="14" r="U28"/>
  <c i="14" r="G29"/>
  <c i="14" r="Q29"/>
  <c i="14" r="C30"/>
  <c i="14" r="U30"/>
  <c i="14" r="G31"/>
  <c i="14" r="Q31"/>
  <c i="14" r="C32"/>
  <c i="14" r="U32"/>
  <c i="14" r="G33"/>
  <c i="14" r="Q33"/>
  <c i="13" r="H34"/>
  <c i="13" r="H32"/>
  <c i="13" r="H30"/>
  <c i="13" r="H28"/>
  <c i="13" r="H26"/>
  <c i="13" r="H24"/>
  <c i="13" r="H35"/>
  <c i="13" r="H33"/>
  <c i="13" r="H31"/>
  <c i="13" r="T49" s="1"/>
  <c i="13" r="H29"/>
  <c i="13" r="H23"/>
  <c i="13" r="B34"/>
  <c i="13" r="B32"/>
  <c i="13" r="B30"/>
  <c i="13" r="B28"/>
  <c i="13" r="J34"/>
  <c i="13" r="J32"/>
  <c i="13" r="J30"/>
  <c i="13" r="J28"/>
  <c i="13" r="T34"/>
  <c i="13" r="T32"/>
  <c i="13" r="T30"/>
  <c i="13" r="T28"/>
  <c i="13" r="J23"/>
  <c i="13" r="C24"/>
  <c i="13" r="Q24"/>
  <c i="13" r="H25"/>
  <c i="13" r="B26"/>
  <c i="13" r="N44" s="1"/>
  <c i="13" r="P26"/>
  <c i="13" r="J27"/>
  <c i="13" r="Q28"/>
  <c i="13" r="G30"/>
  <c i="13" r="W17"/>
  <c i="13" r="W35" s="1"/>
  <c i="13" r="C34"/>
  <c i="13" r="C32"/>
  <c i="13" r="C30"/>
  <c i="13" r="C28"/>
  <c i="13" r="K17"/>
  <c i="13" r="K33" s="1"/>
  <c i="13" r="U34"/>
  <c i="13" r="U52" s="1"/>
  <c i="13" r="U32"/>
  <c i="13" r="U30"/>
  <c i="13" r="U28"/>
  <c i="13" r="T24"/>
  <c i="13" r="J25"/>
  <c i="13" r="C26"/>
  <c i="13" r="B29"/>
  <c i="13" r="P30"/>
  <c i="13" r="F32"/>
  <c i="13" r="T33"/>
  <c i="13" r="J35"/>
  <c i="13" r="Q35"/>
  <c i="13" r="Q53" s="1"/>
  <c i="13" r="Q33"/>
  <c i="13" r="Q31"/>
  <c i="13" r="Q29"/>
  <c i="13" r="Q27"/>
  <c i="13" r="G28"/>
  <c i="13" r="H27"/>
  <c i="13" r="D35"/>
  <c i="13" r="D33"/>
  <c i="13" r="D31"/>
  <c i="13" r="D27"/>
  <c i="13" r="D25"/>
  <c i="13" r="D23"/>
  <c i="13" r="D29"/>
  <c i="13" r="D34"/>
  <c i="13" r="D32"/>
  <c i="13" r="P50" s="1"/>
  <c i="13" r="D30"/>
  <c i="13" r="D28"/>
  <c i="13" r="N35"/>
  <c i="13" r="N31"/>
  <c i="13" r="N29"/>
  <c i="13" r="N25"/>
  <c i="13" r="N23"/>
  <c i="13" r="N33"/>
  <c i="13" r="N27"/>
  <c i="13" r="N34"/>
  <c i="13" r="N32"/>
  <c i="13" r="N30"/>
  <c i="13" r="N28"/>
  <c i="13" r="V33"/>
  <c i="13" r="V29"/>
  <c i="13" r="V27"/>
  <c i="13" r="V35"/>
  <c i="13" r="V31"/>
  <c i="13" r="V49" s="1"/>
  <c i="13" r="V25"/>
  <c i="13" r="V23"/>
  <c i="13" r="V34"/>
  <c i="13" r="V32"/>
  <c i="13" r="V30"/>
  <c i="13" r="V28"/>
  <c i="13" r="P23"/>
  <c i="13" r="F24"/>
  <c i="13" r="D26"/>
  <c i="13" r="C29"/>
  <c i="13" r="Q30"/>
  <c i="13" r="G32"/>
  <c i="13" r="U33"/>
  <c i="13" r="G23"/>
  <c i="13" r="Q34"/>
  <c i="13" r="G25"/>
  <c i="13" r="B23"/>
  <c i="13" r="Q23"/>
  <c i="13" r="V24"/>
  <c i="13" r="P25"/>
  <c i="13" r="F26"/>
  <c i="13" r="U26"/>
  <c i="13" r="T27"/>
  <c i="13" r="J29"/>
  <c i="13" r="B31"/>
  <c i="13" r="T35"/>
  <c i="13" r="G35"/>
  <c i="13" r="G33"/>
  <c i="13" r="G31"/>
  <c i="13" r="G29"/>
  <c i="13" r="G27"/>
  <c i="13" r="F35"/>
  <c i="13" r="F33"/>
  <c i="13" r="F31"/>
  <c i="13" r="F29"/>
  <c i="13" r="F27"/>
  <c i="13" r="R45" s="1"/>
  <c i="13" r="P35"/>
  <c i="13" r="P33"/>
  <c i="13" r="P31"/>
  <c i="13" r="P29"/>
  <c i="13" r="P27"/>
  <c i="13" r="Q25"/>
  <c i="13" r="G26"/>
  <c i="13" r="V26"/>
  <c i="13" r="C31"/>
  <c i="13" r="Q32"/>
  <c i="13" r="G34"/>
  <c i="13" r="S52" s="1"/>
  <c i="13" r="U35"/>
  <c i="13" r="R29"/>
  <c i="13" r="R31"/>
  <c i="13" r="R33"/>
  <c i="13" r="R35"/>
  <c i="13" r="I23"/>
  <c i="13" r="S23"/>
  <c i="13" r="E24"/>
  <c i="13" r="O24"/>
  <c i="13" r="I25"/>
  <c i="13" r="S25"/>
  <c i="13" r="E26"/>
  <c i="13" r="Q44" s="1"/>
  <c i="13" r="O26"/>
  <c i="13" r="I27"/>
  <c i="13" r="S27"/>
  <c i="13" r="E28"/>
  <c i="13" r="O28"/>
  <c i="13" r="I29"/>
  <c i="13" r="U47" s="1"/>
  <c i="13" r="S29"/>
  <c i="13" r="E30"/>
  <c i="13" r="O30"/>
  <c i="13" r="I31"/>
  <c i="13" r="S31"/>
  <c i="13" r="E32"/>
  <c i="13" r="O32"/>
  <c i="13" r="I33"/>
  <c i="13" r="S33"/>
  <c i="13" r="E34"/>
  <c i="13" r="O34"/>
  <c i="13" r="I35"/>
  <c i="13" r="S35"/>
  <c i="13" r="R30"/>
  <c i="13" r="R34"/>
  <c i="13" r="R24"/>
  <c i="13" r="R26"/>
  <c i="13" r="R28"/>
  <c i="13" r="R46" s="1"/>
  <c i="13" r="E23"/>
  <c i="13" r="O23"/>
  <c i="13" r="I24"/>
  <c i="13" r="S24"/>
  <c i="13" r="S42" s="1"/>
  <c i="13" r="E25"/>
  <c i="13" r="O25"/>
  <c i="13" r="O43" s="1"/>
  <c i="13" r="I26"/>
  <c i="13" r="S26"/>
  <c i="13" r="E27"/>
  <c i="13" r="O27"/>
  <c i="13" r="I28"/>
  <c i="13" r="S28"/>
  <c i="13" r="E29"/>
  <c i="13" r="O29"/>
  <c i="13" r="I30"/>
  <c i="13" r="S30"/>
  <c i="13" r="E31"/>
  <c i="13" r="O31"/>
  <c i="13" r="I32"/>
  <c i="13" r="S32"/>
  <c i="13" r="E33"/>
  <c i="13" r="O33"/>
  <c i="12" r="R52"/>
  <c i="12" r="S30"/>
  <c i="12" r="H23"/>
  <c i="12" r="H25"/>
  <c i="12" r="H27"/>
  <c i="12" r="H29"/>
  <c i="12" r="H31"/>
  <c i="12" r="N32"/>
  <c i="12" r="N34"/>
  <c i="12" r="N52" s="1"/>
  <c i="12" r="I23"/>
  <c i="12" r="S23"/>
  <c i="12" r="E24"/>
  <c i="12" r="O24"/>
  <c i="12" r="I25"/>
  <c i="12" r="S25"/>
  <c i="12" r="E26"/>
  <c i="12" r="O26"/>
  <c i="12" r="I27"/>
  <c i="12" r="S27"/>
  <c i="12" r="E28"/>
  <c i="12" r="O28"/>
  <c i="12" r="I29"/>
  <c i="12" r="S29"/>
  <c i="12" r="E30"/>
  <c i="12" r="O30"/>
  <c i="12" r="I31"/>
  <c i="12" r="S31"/>
  <c i="12" r="E32"/>
  <c i="12" r="O32"/>
  <c i="12" r="I33"/>
  <c i="12" r="S33"/>
  <c i="12" r="E34"/>
  <c i="12" r="O34"/>
  <c i="12" r="O52" s="1"/>
  <c i="12" r="I35"/>
  <c i="12" r="S35"/>
  <c i="12" r="S24"/>
  <c i="12" r="I26"/>
  <c i="12" r="I28"/>
  <c i="12" r="I30"/>
  <c i="12" r="K17"/>
  <c i="12" r="K27" s="1"/>
  <c i="12" r="D24"/>
  <c i="12" r="V24"/>
  <c i="12" r="D26"/>
  <c i="12" r="V26"/>
  <c i="12" r="R27"/>
  <c i="12" r="N28"/>
  <c i="12" r="D30"/>
  <c i="12" r="V30"/>
  <c i="12" r="D32"/>
  <c i="12" r="H33"/>
  <c i="12" r="D34"/>
  <c i="12" r="H35"/>
  <c i="12" r="B23"/>
  <c i="12" r="J23"/>
  <c i="12" r="T23"/>
  <c i="12" r="F24"/>
  <c i="12" r="P24"/>
  <c i="12" r="B25"/>
  <c i="12" r="N43" s="1"/>
  <c i="12" r="J25"/>
  <c i="12" r="V43" s="1"/>
  <c i="12" r="T25"/>
  <c i="12" r="F26"/>
  <c i="12" r="P26"/>
  <c i="12" r="B27"/>
  <c i="12" r="J27"/>
  <c i="12" r="T27"/>
  <c i="12" r="F28"/>
  <c i="12" r="P28"/>
  <c i="12" r="B29"/>
  <c i="12" r="J29"/>
  <c i="12" r="T29"/>
  <c i="12" r="F30"/>
  <c i="12" r="P30"/>
  <c i="12" r="B31"/>
  <c i="12" r="J31"/>
  <c i="12" r="T31"/>
  <c i="12" r="F32"/>
  <c i="12" r="P32"/>
  <c i="12" r="B33"/>
  <c i="12" r="J33"/>
  <c i="12" r="T33"/>
  <c i="12" r="B35"/>
  <c i="12" r="J35"/>
  <c i="12" r="T35"/>
  <c i="12" r="I24"/>
  <c i="12" r="R23"/>
  <c i="12" r="N24"/>
  <c i="12" r="R25"/>
  <c i="12" r="N26"/>
  <c i="12" r="D28"/>
  <c i="12" r="V28"/>
  <c i="12" r="R29"/>
  <c i="12" r="R47" s="1"/>
  <c i="12" r="N30"/>
  <c i="12" r="R31"/>
  <c i="12" r="V32"/>
  <c i="12" r="R33"/>
  <c i="12" r="V34"/>
  <c i="12" r="V52" s="1"/>
  <c i="12" r="R35"/>
  <c i="12" r="R53" s="1"/>
  <c i="12" r="C23"/>
  <c i="12" r="U23"/>
  <c i="12" r="G24"/>
  <c i="12" r="Q24"/>
  <c i="12" r="C25"/>
  <c i="12" r="U25"/>
  <c i="12" r="G26"/>
  <c i="12" r="S44" s="1"/>
  <c i="12" r="Q26"/>
  <c i="12" r="C27"/>
  <c i="12" r="U27"/>
  <c i="12" r="G28"/>
  <c i="12" r="Q28"/>
  <c i="12" r="C29"/>
  <c i="12" r="U29"/>
  <c i="12" r="G30"/>
  <c i="12" r="Q30"/>
  <c i="12" r="C31"/>
  <c i="12" r="U31"/>
  <c i="12" r="G32"/>
  <c i="12" r="Q32"/>
  <c i="12" r="C33"/>
  <c i="12" r="U33"/>
  <c i="12" r="C35"/>
  <c i="12" r="O53" s="1"/>
  <c i="12" r="U35"/>
  <c i="12" r="H24"/>
  <c i="12" r="R24"/>
  <c i="12" r="H26"/>
  <c i="12" r="R26"/>
  <c i="12" r="D27"/>
  <c i="12" r="P45" s="1"/>
  <c i="12" r="N27"/>
  <c i="12" r="V27"/>
  <c i="12" r="H28"/>
  <c i="12" r="R28"/>
  <c i="12" r="D29"/>
  <c i="12" r="N29"/>
  <c i="12" r="V29"/>
  <c i="12" r="H30"/>
  <c i="12" r="R30"/>
  <c i="12" r="D31"/>
  <c i="12" r="P49" s="1"/>
  <c i="12" r="N31"/>
  <c i="12" r="V31"/>
  <c i="12" r="H32"/>
  <c i="12" r="R32"/>
  <c i="12" r="D33"/>
  <c i="12" r="P51" s="1"/>
  <c i="12" r="N33"/>
  <c i="12" r="V33"/>
  <c i="12" r="E33"/>
  <c i="12" r="O33"/>
  <c i="12" r="I34"/>
  <c i="12" r="U52" s="1"/>
  <c i="12" r="S34"/>
  <c i="12" r="S52" s="1"/>
  <c i="12" r="S28"/>
  <c i="12" r="B24"/>
  <c i="12" r="J24"/>
  <c i="12" r="T24"/>
  <c i="12" r="B26"/>
  <c i="12" r="J26"/>
  <c i="12" r="T26"/>
  <c i="12" r="B28"/>
  <c i="12" r="J28"/>
  <c i="12" r="T28"/>
  <c i="12" r="B30"/>
  <c i="12" r="J30"/>
  <c i="12" r="T30"/>
  <c i="12" r="B32"/>
  <c i="12" r="J32"/>
  <c i="12" r="T32"/>
  <c i="12" r="C24"/>
  <c i="12" r="U24"/>
  <c i="12" r="C26"/>
  <c i="12" r="U26"/>
  <c i="12" r="C28"/>
  <c i="12" r="U28"/>
  <c i="12" r="C30"/>
  <c i="12" r="U30"/>
  <c i="12" r="C32"/>
  <c i="12" r="U32"/>
  <c i="12" r="U50" s="1"/>
  <c i="11" r="V29"/>
  <c i="11" r="J29"/>
  <c i="11" r="V28"/>
  <c i="11" r="J28"/>
  <c i="11" r="V35"/>
  <c i="11" r="V27"/>
  <c i="11" r="J27"/>
  <c i="11" r="V34"/>
  <c i="11" r="V26"/>
  <c i="11" r="J34"/>
  <c i="11" r="J26"/>
  <c i="11" r="V33"/>
  <c i="11" r="V25"/>
  <c i="11" r="J33"/>
  <c i="11" r="J25"/>
  <c i="11" r="V32"/>
  <c i="11" r="V24"/>
  <c i="11" r="J32"/>
  <c i="11" r="J24"/>
  <c i="11" r="V31"/>
  <c i="11" r="V23"/>
  <c i="11" r="V41" s="1"/>
  <c i="11" r="J31"/>
  <c i="11" r="K17"/>
  <c i="11" r="K34" s="1"/>
  <c i="11" r="W17"/>
  <c i="11" r="W34" s="1"/>
  <c i="20" r="AH3"/>
  <c i="20" r="AG3"/>
  <c i="20" r="AF3"/>
  <c i="20" r="U64" s="1"/>
  <c i="20" l="1" r="G25"/>
  <c i="13" r="R50"/>
  <c i="20" r="E25"/>
  <c i="14" r="O49"/>
  <c i="12" r="V53"/>
  <c i="12" r="V41"/>
  <c i="14" r="S53"/>
  <c i="14" r="N45"/>
  <c i="14" r="R49"/>
  <c i="12" r="R49"/>
  <c i="14" r="N43"/>
  <c i="16" r="N47"/>
  <c i="16" r="S43"/>
  <c i="17" r="N47"/>
  <c i="7" r="N43"/>
  <c i="16" r="N49"/>
  <c i="14" r="N51"/>
  <c i="16" r="V53"/>
  <c i="13" r="T47"/>
  <c i="13" r="R52"/>
  <c i="14" r="R45"/>
  <c i="13" r="N43"/>
  <c i="17" r="T41"/>
  <c i="16" r="S48"/>
  <c i="7" r="P46"/>
  <c i="12" r="S50"/>
  <c i="13" r="U45"/>
  <c i="16" r="Q53"/>
  <c i="7" r="V43"/>
  <c i="14" r="T51"/>
  <c i="17" r="V41"/>
  <c i="12" r="O49"/>
  <c i="15" r="R49"/>
  <c i="7" r="V53"/>
  <c i="15" r="T51"/>
  <c i="17" r="V43"/>
  <c i="15" r="R41"/>
  <c i="14" r="O51"/>
  <c i="12" r="O45"/>
  <c i="14" r="S42"/>
  <c i="16" r="V43"/>
  <c i="17" r="N49"/>
  <c i="12" r="S51"/>
  <c i="12" r="O43"/>
  <c i="17" r="R45"/>
  <c i="16" r="Q43"/>
  <c i="17" r="V49"/>
  <c i="7" r="V51"/>
  <c i="14" r="O41"/>
  <c i="17" r="N45"/>
  <c i="12" r="S47"/>
  <c i="13" r="R48"/>
  <c i="15" r="R43"/>
  <c i="12" r="R50"/>
  <c i="17" r="Q49"/>
  <c i="15" r="W53"/>
  <c i="13" r="T45"/>
  <c i="15" r="K31"/>
  <c i="17" r="N51"/>
  <c i="16" r="O41"/>
  <c i="15" r="U41"/>
  <c i="17" r="P42"/>
  <c i="17" r="T49"/>
  <c i="12" r="T45"/>
  <c i="17" r="R51"/>
  <c i="15" r="K27"/>
  <c i="12" r="S41"/>
  <c i="16" r="O43"/>
  <c i="14" r="V45"/>
  <c i="15" r="R45"/>
  <c i="7" r="R53"/>
  <c i="15" r="K23"/>
  <c i="7" r="U49"/>
  <c i="16" r="Q47"/>
  <c i="12" r="Q49"/>
  <c i="17" r="T51"/>
  <c i="14" r="Q45"/>
  <c i="7" r="Q43"/>
  <c i="14" r="T41"/>
  <c i="14" r="U51"/>
  <c i="7" r="V41"/>
  <c i="17" r="T53"/>
  <c i="16" r="T45"/>
  <c i="13" r="T43"/>
  <c i="13" r="S43"/>
  <c i="14" r="O43"/>
  <c i="7" r="S45"/>
  <c i="15" r="Q46"/>
  <c i="13" r="S44"/>
  <c i="12" r="N41"/>
  <c i="13" r="U42"/>
  <c i="12" r="O51"/>
  <c i="15" r="K34"/>
  <c i="13" r="S51"/>
  <c i="7" r="R47"/>
  <c i="12" r="R48"/>
  <c i="15" r="U48"/>
  <c i="16" r="V45"/>
  <c i="16" r="P44"/>
  <c i="7" r="S48"/>
  <c i="15" r="U45"/>
  <c i="14" r="Q41"/>
  <c i="13" r="V48"/>
  <c i="15" r="T49"/>
  <c i="7" r="N41"/>
  <c i="12" r="Q52"/>
  <c i="7" r="O47"/>
  <c i="16" r="Q45"/>
  <c i="14" r="P46"/>
  <c i="15" r="U46"/>
  <c i="17" r="Q47"/>
  <c i="7" r="T47"/>
  <c i="15" r="Q44"/>
  <c i="16" r="O45"/>
  <c i="7" r="S46"/>
  <c i="7" r="T45"/>
  <c i="12" r="S46"/>
  <c i="16" r="Q49"/>
  <c i="13" r="K30"/>
  <c i="14" r="P43"/>
  <c i="15" r="Q43"/>
  <c i="16" r="S49"/>
  <c i="17" r="U44"/>
  <c i="7" r="U51"/>
  <c i="13" r="R44"/>
  <c i="14" r="U45"/>
  <c i="16" r="N51"/>
  <c i="7" r="Q51"/>
  <c i="16" r="N41"/>
  <c i="17" r="Q43"/>
  <c i="13" r="K26"/>
  <c i="14" r="R53"/>
  <c i="16" r="R50"/>
  <c i="15" r="Q41"/>
  <c i="17" r="U42"/>
  <c i="16" r="Q51"/>
  <c i="14" r="P41"/>
  <c i="15" r="S41"/>
  <c i="7" r="N45"/>
  <c i="13" r="U49"/>
  <c i="13" r="O48"/>
  <c i="13" r="O49"/>
  <c i="13" r="U41"/>
  <c i="7" r="Q41"/>
  <c i="15" r="K33"/>
  <c i="12" r="V49"/>
  <c i="15" r="P49"/>
  <c i="7" r="N51"/>
  <c i="7" r="U44"/>
  <c i="16" r="T51"/>
  <c i="14" r="T46"/>
  <c i="15" r="Q47"/>
  <c i="17" r="U48"/>
  <c i="14" r="U44"/>
  <c i="14" r="S48"/>
  <c i="13" r="Q46"/>
  <c i="14" r="P45"/>
  <c i="17" r="R49"/>
  <c i="13" r="W24"/>
  <c i="14" r="Q43"/>
  <c i="15" r="Q45"/>
  <c i="17" r="U46"/>
  <c i="7" r="U53"/>
  <c i="14" r="T44"/>
  <c i="7" r="O45"/>
  <c i="7" r="T41"/>
  <c i="13" r="P53"/>
  <c i="15" r="U44"/>
  <c i="15" r="O50"/>
  <c i="17" r="Q45"/>
  <c i="13" r="N51"/>
  <c i="14" r="Q51"/>
  <c i="13" r="T41"/>
  <c i="16" r="Q41"/>
  <c i="17" r="T43"/>
  <c i="12" r="O47"/>
  <c i="12" r="V42"/>
  <c i="13" r="R53"/>
  <c i="14" r="T50"/>
  <c i="16" r="T41"/>
  <c i="15" r="V44"/>
  <c i="15" r="Q50"/>
  <c i="13" r="U46"/>
  <c i="15" r="K29"/>
  <c i="14" r="T43"/>
  <c i="7" r="T49"/>
  <c i="12" r="Q48"/>
  <c i="12" r="U47"/>
  <c i="7" r="R49"/>
  <c i="16" r="V47"/>
  <c i="12" r="W30"/>
  <c i="12" r="Q45"/>
  <c i="12" r="N49"/>
  <c i="12" r="T43"/>
  <c i="12" r="Q47"/>
  <c i="13" r="N45"/>
  <c i="16" r="O47"/>
  <c i="20" r="P12"/>
  <c i="13" r="W29"/>
  <c i="13" r="T44"/>
  <c i="14" r="U47"/>
  <c i="16" r="R47"/>
  <c i="12" r="V47"/>
  <c i="12" r="R41"/>
  <c i="13" r="R49"/>
  <c i="14" r="O45"/>
  <c i="17" r="P50"/>
  <c i="7" r="P50"/>
  <c i="16" r="T47"/>
  <c i="13" r="S48"/>
  <c i="12" r="N47"/>
  <c i="7" r="S44"/>
  <c i="7" r="T51"/>
  <c i="16" r="T53"/>
  <c i="12" r="S53"/>
  <c i="13" r="N53"/>
  <c i="14" r="Q48"/>
  <c i="16" r="R45"/>
  <c i="12" r="R46"/>
  <c i="15" r="U53"/>
  <c i="16" r="V41"/>
  <c i="7" r="O43"/>
  <c i="7" r="K27"/>
  <c i="11" r="V53"/>
  <c i="12" r="Q44"/>
  <c i="14" r="P51"/>
  <c i="14" r="R44"/>
  <c i="15" r="U42"/>
  <c i="12" r="V45"/>
  <c i="13" r="O45"/>
  <c i="13" r="T42"/>
  <c i="15" r="Q52"/>
  <c i="7" r="S42"/>
  <c i="7" r="R41"/>
  <c i="12" r="T50"/>
  <c i="15" r="U51"/>
  <c i="16" r="R43"/>
  <c i="16" r="V49"/>
  <c i="7" r="O41"/>
  <c i="12" r="R44"/>
  <c i="14" r="Q49"/>
  <c i="15" r="O46"/>
  <c i="16" r="T42"/>
  <c i="16" r="P42"/>
  <c i="17" r="Q41"/>
  <c i="7" r="S49"/>
  <c i="13" r="R51"/>
  <c i="14" r="P49"/>
  <c i="7" r="U48"/>
  <c i="7" r="R44"/>
  <c i="14" r="U48"/>
  <c i="14" r="P48"/>
  <c i="14" r="V51"/>
  <c i="15" r="Q51"/>
  <c i="12" r="N45"/>
  <c i="12" r="S49"/>
  <c i="12" r="O41"/>
  <c i="12" r="S48"/>
  <c i="14" r="T48"/>
  <c i="15" r="U49"/>
  <c i="7" r="Q47"/>
  <c i="7" r="O51"/>
  <c i="13" r="R43"/>
  <c i="12" r="U48"/>
  <c i="14" r="Q47"/>
  <c i="14" r="N52"/>
  <c i="15" r="U50"/>
  <c i="17" r="Q51"/>
  <c i="17" r="P46"/>
  <c i="13" r="V45"/>
  <c i="15" r="O41"/>
  <c i="15" r="Q48"/>
  <c i="7" r="S50"/>
  <c i="7" r="R51"/>
  <c i="20" r="N13"/>
  <c i="20" r="N25" s="1"/>
  <c i="12" r="U43"/>
  <c i="12" r="T49"/>
  <c i="12" r="K26"/>
  <c i="12" r="U44"/>
  <c i="12" r="U51"/>
  <c i="13" r="O44"/>
  <c i="13" r="W32"/>
  <c i="14" r="P47"/>
  <c i="15" r="Q49"/>
  <c i="17" r="U50"/>
  <c i="12" r="U46"/>
  <c i="12" r="V51"/>
  <c i="12" r="N51"/>
  <c i="12" r="T47"/>
  <c i="13" r="W28"/>
  <c i="13" r="W31"/>
  <c i="14" r="V49"/>
  <c i="14" r="Q46"/>
  <c i="15" r="U47"/>
  <c i="16" r="P49"/>
  <c i="16" r="R46"/>
  <c i="7" r="O49"/>
  <c i="13" r="S47"/>
  <c i="13" r="T51"/>
  <c i="14" r="V47"/>
  <c i="15" r="S50"/>
  <c i="15" r="S46"/>
  <c i="15" r="S42"/>
  <c i="15" r="V49"/>
  <c i="15" r="R46"/>
  <c i="15" r="N43"/>
  <c i="16" r="U48"/>
  <c i="16" r="N46"/>
  <c i="17" r="P49"/>
  <c i="7" r="P49"/>
  <c i="7" r="R43"/>
  <c i="7" r="U43"/>
  <c i="7" r="W25"/>
  <c i="7" r="T43"/>
  <c i="20" r="F13"/>
  <c i="12" r="W34"/>
  <c i="12" r="W25"/>
  <c i="16" r="V51"/>
  <c i="17" r="P53"/>
  <c i="17" r="Q52"/>
  <c i="17" r="Q48"/>
  <c i="17" r="Q44"/>
  <c i="7" r="P53"/>
  <c i="7" r="T42"/>
  <c i="7" r="K28"/>
  <c i="12" r="P43"/>
  <c i="15" r="K24"/>
  <c i="14" r="T42"/>
  <c i="14" r="V41"/>
  <c i="16" r="R49"/>
  <c i="17" r="V52"/>
  <c i="7" r="V47"/>
  <c i="13" r="V51"/>
  <c i="12" r="R51"/>
  <c i="11" r="V42"/>
  <c i="11" r="V44"/>
  <c i="13" r="O50"/>
  <c i="13" r="U53"/>
  <c i="13" r="N48"/>
  <c i="13" r="W30"/>
  <c i="13" r="W34"/>
  <c i="15" r="T50"/>
  <c i="15" r="P47"/>
  <c i="15" r="T41"/>
  <c i="16" r="U46"/>
  <c i="16" r="K31"/>
  <c i="17" r="R53"/>
  <c i="17" r="T48"/>
  <c i="17" r="P45"/>
  <c i="17" r="V42"/>
  <c i="17" r="N41"/>
  <c i="7" r="S51"/>
  <c i="7" r="S47"/>
  <c i="7" r="S43"/>
  <c i="7" r="T48"/>
  <c i="7" r="P45"/>
  <c i="7" r="V49"/>
  <c i="7" r="Q50"/>
  <c i="7" r="Q42"/>
  <c i="7" r="K25"/>
  <c i="14" r="T45"/>
  <c i="12" r="P42"/>
  <c i="14" r="V52"/>
  <c i="7" r="W33"/>
  <c i="12" r="R43"/>
  <c i="12" r="W27"/>
  <c i="12" r="W45" s="1"/>
  <c i="12" r="T46"/>
  <c i="12" r="R45"/>
  <c i="13" r="P47"/>
  <c i="13" r="N50"/>
  <c i="14" r="P52"/>
  <c i="14" r="V44"/>
  <c i="15" r="T47"/>
  <c i="15" r="W24"/>
  <c i="16" r="T50"/>
  <c i="16" r="P47"/>
  <c i="16" r="R41"/>
  <c i="16" r="R44"/>
  <c i="16" r="O48"/>
  <c i="16" r="K27"/>
  <c i="7" r="U50"/>
  <c i="7" r="U46"/>
  <c i="7" r="U42"/>
  <c i="7" r="R45"/>
  <c i="12" r="P41"/>
  <c i="12" r="Q53"/>
  <c i="14" r="T49"/>
  <c i="17" r="W26"/>
  <c i="12" r="K33"/>
  <c i="12" r="W51" s="1"/>
  <c i="13" r="N52"/>
  <c i="13" r="P46"/>
  <c i="14" r="R52"/>
  <c i="14" r="S49"/>
  <c i="14" r="S45"/>
  <c i="14" r="S41"/>
  <c i="15" r="T46"/>
  <c i="15" r="P43"/>
  <c i="15" r="U43"/>
  <c i="15" r="T53"/>
  <c i="15" r="P50"/>
  <c i="16" r="V46"/>
  <c i="16" r="K23"/>
  <c i="17" r="S49"/>
  <c i="17" r="S45"/>
  <c i="17" r="S41"/>
  <c i="7" r="V45"/>
  <c i="7" r="U41"/>
  <c i="14" r="U43"/>
  <c i="17" r="W24"/>
  <c i="12" r="P47"/>
  <c i="12" r="R42"/>
  <c i="12" r="U49"/>
  <c i="12" r="U45"/>
  <c i="12" r="U41"/>
  <c i="12" r="P46"/>
  <c i="12" r="P52"/>
  <c i="12" r="S45"/>
  <c i="12" r="W32"/>
  <c i="14" r="R43"/>
  <c i="14" r="U41"/>
  <c i="15" r="T43"/>
  <c i="15" r="N46"/>
  <c i="16" r="P50"/>
  <c i="17" r="R41"/>
  <c i="17" r="P48"/>
  <c i="7" r="Q49"/>
  <c i="7" r="Q45"/>
  <c i="7" r="K31"/>
  <c i="16" r="T52"/>
  <c i="12" r="N53"/>
  <c i="14" r="R51"/>
  <c i="14" r="N47"/>
  <c i="14" r="P42"/>
  <c i="16" r="T46"/>
  <c i="16" r="P43"/>
  <c i="16" r="S51"/>
  <c i="16" r="S47"/>
  <c i="16" r="K26"/>
  <c i="17" r="T46"/>
  <c i="17" r="P43"/>
  <c i="17" r="U53"/>
  <c i="17" r="U49"/>
  <c i="17" r="U45"/>
  <c i="17" r="U41"/>
  <c i="17" r="W33"/>
  <c i="17" r="K28"/>
  <c i="7" r="U45"/>
  <c i="7" r="K23"/>
  <c i="7" r="W28"/>
  <c i="12" r="W26"/>
  <c i="13" r="V43"/>
  <c i="14" r="W26"/>
  <c i="15" r="V46"/>
  <c i="16" r="U49"/>
  <c i="16" r="R52"/>
  <c i="16" r="N48"/>
  <c i="12" r="W35"/>
  <c i="14" r="O47"/>
  <c i="16" r="U44"/>
  <c i="16" r="S50"/>
  <c i="16" r="S42"/>
  <c i="16" r="O49"/>
  <c i="17" r="R47"/>
  <c i="17" r="K32"/>
  <c i="7" r="N49"/>
  <c i="11" r="V49"/>
  <c i="11" r="V51"/>
  <c i="12" r="W29"/>
  <c i="13" r="O51"/>
  <c i="13" r="R42"/>
  <c i="13" r="U43"/>
  <c i="11" r="V46"/>
  <c i="12" r="T48"/>
  <c i="12" r="Q51"/>
  <c i="12" r="K30"/>
  <c i="12" r="K31"/>
  <c i="13" r="O46"/>
  <c i="13" r="O42"/>
  <c i="13" r="P52"/>
  <c i="13" r="K32"/>
  <c i="13" r="T50"/>
  <c i="14" r="R41"/>
  <c i="14" r="S46"/>
  <c i="14" r="V43"/>
  <c i="14" r="W27"/>
  <c i="14" r="W33"/>
  <c i="15" r="R52"/>
  <c i="16" r="O53"/>
  <c i="16" r="K29"/>
  <c i="17" r="R43"/>
  <c i="17" r="V51"/>
  <c i="17" r="R48"/>
  <c i="17" r="N52"/>
  <c i="17" r="W29"/>
  <c i="17" r="K24"/>
  <c i="7" r="K34"/>
  <c i="7" r="T53"/>
  <c i="15" r="K26"/>
  <c i="15" r="K30"/>
  <c i="14" r="T53"/>
  <c i="11" r="V45"/>
  <c i="12" r="T53"/>
  <c i="13" r="K25"/>
  <c i="16" r="U41"/>
  <c i="11" r="V43"/>
  <c i="12" r="V46"/>
  <c i="12" r="W28"/>
  <c i="14" r="N41"/>
  <c i="15" r="T44"/>
  <c i="15" r="P41"/>
  <c i="15" r="N53"/>
  <c i="15" r="N49"/>
  <c i="16" r="N53"/>
  <c i="16" r="K25"/>
  <c i="17" r="S50"/>
  <c i="17" r="S46"/>
  <c i="17" r="S42"/>
  <c i="17" r="K33"/>
  <c i="17" r="W23"/>
  <c i="7" r="W24"/>
  <c i="7" r="K26"/>
  <c i="17" r="T47"/>
  <c i="15" r="K32"/>
  <c i="16" r="T43"/>
  <c i="14" r="W30"/>
  <c i="16" r="S53"/>
  <c i="12" r="T42"/>
  <c i="12" r="S43"/>
  <c i="13" r="V42"/>
  <c i="14" r="Q52"/>
  <c i="11" r="V47"/>
  <c i="12" r="W23"/>
  <c i="12" r="W24"/>
  <c i="13" r="S53"/>
  <c i="13" r="S49"/>
  <c i="13" r="Q50"/>
  <c i="13" r="P49"/>
  <c i="13" r="N47"/>
  <c i="13" r="K29"/>
  <c i="14" r="K33"/>
  <c i="16" r="T48"/>
  <c i="16" r="P45"/>
  <c i="16" r="S46"/>
  <c i="16" r="R42"/>
  <c i="16" r="O51"/>
  <c i="17" r="V47"/>
  <c i="17" r="R44"/>
  <c i="17" r="V50"/>
  <c i="17" r="K29"/>
  <c i="7" r="T46"/>
  <c i="7" r="P43"/>
  <c i="7" r="V44"/>
  <c i="15" r="K28"/>
  <c i="13" r="V44"/>
  <c i="14" r="W24"/>
  <c i="16" r="U45"/>
  <c i="12" r="T44"/>
  <c i="14" r="W23"/>
  <c i="11" r="W52"/>
  <c i="11" r="V50"/>
  <c i="11" r="V52"/>
  <c i="12" r="U42"/>
  <c i="12" r="Q50"/>
  <c i="12" r="Q46"/>
  <c i="12" r="Q42"/>
  <c i="12" r="W31"/>
  <c i="13" r="O41"/>
  <c i="13" r="N49"/>
  <c i="13" r="Q45"/>
  <c i="13" r="K23"/>
  <c i="14" r="R42"/>
  <c i="14" r="V48"/>
  <c i="15" r="V51"/>
  <c i="15" r="R48"/>
  <c i="15" r="N45"/>
  <c i="15" r="P44"/>
  <c i="15" r="S51"/>
  <c i="15" r="S47"/>
  <c i="15" r="O42"/>
  <c i="16" r="N45"/>
  <c i="16" r="S41"/>
  <c i="17" r="O41"/>
  <c i="17" r="R50"/>
  <c i="17" r="U51"/>
  <c i="17" r="U47"/>
  <c i="17" r="U43"/>
  <c i="17" r="N44"/>
  <c i="17" r="N50"/>
  <c i="17" r="V44"/>
  <c i="7" r="U47"/>
  <c i="7" r="O46"/>
  <c i="7" r="W31"/>
  <c i="7" r="W29"/>
  <c i="15" r="K25"/>
  <c i="14" r="T47"/>
  <c i="20" r="M38"/>
  <c i="20" r="O38"/>
  <c i="7" r="P42"/>
  <c i="7" r="V46"/>
  <c i="7" r="V48"/>
  <c i="7" r="R46"/>
  <c i="7" r="N44"/>
  <c i="7" r="Q46"/>
  <c i="7" r="O44"/>
  <c i="7" r="V50"/>
  <c i="7" r="K32"/>
  <c i="7" r="W50" s="1"/>
  <c i="7" r="K30"/>
  <c i="7" r="T44"/>
  <c i="7" r="P41"/>
  <c i="7" r="R42"/>
  <c i="7" r="O50"/>
  <c i="7" r="O42"/>
  <c i="7" r="K24"/>
  <c i="7" r="P51"/>
  <c i="7" r="N42"/>
  <c i="7" r="N50"/>
  <c i="7" r="T50"/>
  <c i="7" r="P47"/>
  <c i="7" r="R48"/>
  <c i="7" r="N46"/>
  <c i="7" r="W27"/>
  <c i="7" r="K33"/>
  <c i="7" r="P48"/>
  <c i="7" r="Q52"/>
  <c i="7" r="Q48"/>
  <c i="7" r="Q44"/>
  <c i="7" r="O48"/>
  <c i="7" r="W35"/>
  <c i="7" r="W53" s="1"/>
  <c i="7" r="W34"/>
  <c i="7" r="W30"/>
  <c i="7" r="W26"/>
  <c i="7" r="W23"/>
  <c i="7" r="K29"/>
  <c i="17" r="T44"/>
  <c i="17" r="T50"/>
  <c i="17" r="P47"/>
  <c i="17" r="S48"/>
  <c i="17" r="S44"/>
  <c i="17" r="R46"/>
  <c i="17" r="Q50"/>
  <c i="17" r="Q46"/>
  <c i="17" r="Q42"/>
  <c i="17" r="V48"/>
  <c i="17" r="W25"/>
  <c i="17" r="W43" s="1"/>
  <c i="17" r="K34"/>
  <c i="17" r="K30"/>
  <c i="17" r="K26"/>
  <c i="17" r="K35"/>
  <c i="17" r="W53" s="1"/>
  <c i="17" r="K31"/>
  <c i="17" r="K27"/>
  <c i="17" r="K23"/>
  <c i="17" r="O48"/>
  <c i="17" r="O44"/>
  <c i="17" r="N48"/>
  <c i="17" r="W30"/>
  <c i="17" r="W32"/>
  <c i="17" r="W31"/>
  <c i="17" r="P41"/>
  <c i="17" r="N42"/>
  <c i="17" r="O51"/>
  <c i="17" r="O47"/>
  <c i="17" r="O43"/>
  <c i="17" r="R42"/>
  <c i="17" r="W34"/>
  <c i="17" r="W28"/>
  <c i="17" r="W27"/>
  <c i="17" r="S51"/>
  <c i="17" r="S47"/>
  <c i="17" r="S43"/>
  <c i="17" r="V46"/>
  <c i="17" r="T42"/>
  <c i="17" r="N46"/>
  <c i="17" r="O50"/>
  <c i="17" r="O46"/>
  <c i="17" r="O42"/>
  <c i="17" r="P51"/>
  <c i="17" r="O49"/>
  <c i="17" r="O45"/>
  <c i="16" r="U53"/>
  <c i="16" r="W28"/>
  <c i="16" r="U50"/>
  <c i="16" r="U42"/>
  <c i="16" r="P46"/>
  <c i="16" r="V44"/>
  <c i="16" r="K34"/>
  <c i="16" r="W26"/>
  <c i="16" r="W24"/>
  <c i="16" r="K32"/>
  <c i="16" r="U51"/>
  <c i="16" r="U47"/>
  <c i="16" r="U43"/>
  <c i="16" r="O50"/>
  <c i="16" r="O46"/>
  <c i="16" r="O42"/>
  <c i="16" r="V50"/>
  <c i="16" r="N44"/>
  <c i="16" r="K33"/>
  <c i="16" r="K28"/>
  <c i="16" r="Q48"/>
  <c i="16" r="N50"/>
  <c i="16" r="K24"/>
  <c i="16" r="P51"/>
  <c i="16" r="R48"/>
  <c i="16" r="Q50"/>
  <c i="16" r="Q46"/>
  <c i="16" r="Q42"/>
  <c i="16" r="K30"/>
  <c i="16" r="W48" s="1"/>
  <c i="16" r="W34"/>
  <c i="16" r="W27"/>
  <c i="16" r="T44"/>
  <c i="16" r="P41"/>
  <c i="16" r="S44"/>
  <c i="16" r="P52"/>
  <c i="16" r="V48"/>
  <c i="16" r="O44"/>
  <c i="16" r="W35"/>
  <c i="16" r="W53" s="1"/>
  <c i="16" r="W33"/>
  <c i="16" r="W29"/>
  <c i="16" r="W25"/>
  <c i="16" r="W31"/>
  <c i="16" r="W32"/>
  <c i="16" r="W23"/>
  <c i="16" r="Q44"/>
  <c i="15" r="V50"/>
  <c i="15" r="N44"/>
  <c i="15" r="S44"/>
  <c i="15" r="N51"/>
  <c i="15" r="V41"/>
  <c i="15" r="R44"/>
  <c i="15" r="W32"/>
  <c i="15" r="O51"/>
  <c i="15" r="N48"/>
  <c i="15" r="N47"/>
  <c i="15" r="N42"/>
  <c i="15" r="T48"/>
  <c i="15" r="P45"/>
  <c i="15" r="V43"/>
  <c i="15" r="V42"/>
  <c i="15" r="S49"/>
  <c i="15" r="S45"/>
  <c i="15" r="W23"/>
  <c i="15" r="V47"/>
  <c i="15" r="N41"/>
  <c i="15" r="W31"/>
  <c i="15" r="T42"/>
  <c i="15" r="O47"/>
  <c i="15" r="O43"/>
  <c i="15" r="R50"/>
  <c i="15" r="Q42"/>
  <c i="15" r="P46"/>
  <c i="15" r="W27"/>
  <c i="15" r="P51"/>
  <c i="15" r="V53"/>
  <c i="15" r="P42"/>
  <c i="15" r="W28"/>
  <c i="15" r="W34"/>
  <c i="15" r="W33"/>
  <c i="15" r="S48"/>
  <c i="15" r="P48"/>
  <c i="15" r="O48"/>
  <c i="15" r="O44"/>
  <c i="15" r="W30"/>
  <c i="15" r="W29"/>
  <c i="15" r="W47" s="1"/>
  <c i="15" r="O49"/>
  <c i="15" r="O45"/>
  <c i="15" r="V45"/>
  <c i="15" r="R42"/>
  <c i="15" r="W26"/>
  <c i="15" r="W25"/>
  <c i="14" r="K26"/>
  <c i="14" r="K35"/>
  <c i="14" r="W53" s="1"/>
  <c i="14" r="K31"/>
  <c i="14" r="K27"/>
  <c i="14" r="K23"/>
  <c i="14" r="S44"/>
  <c i="14" r="R48"/>
  <c i="14" r="O48"/>
  <c i="14" r="O44"/>
  <c i="14" r="N48"/>
  <c i="14" r="V42"/>
  <c i="14" r="W29"/>
  <c i="14" r="W47" s="1"/>
  <c i="14" r="K25"/>
  <c i="14" r="P44"/>
  <c i="14" r="N42"/>
  <c i="14" r="K32"/>
  <c i="14" r="W25"/>
  <c i="14" r="K24"/>
  <c i="14" r="S51"/>
  <c i="14" r="S47"/>
  <c i="14" r="S43"/>
  <c i="14" r="V46"/>
  <c i="14" r="K34"/>
  <c i="14" r="K28"/>
  <c i="14" r="P50"/>
  <c i="14" r="R50"/>
  <c i="14" r="U53"/>
  <c i="14" r="Q44"/>
  <c i="14" r="N46"/>
  <c i="14" r="K30"/>
  <c i="14" r="W32"/>
  <c i="14" r="N44"/>
  <c i="14" r="U50"/>
  <c i="14" r="U46"/>
  <c i="14" r="U42"/>
  <c i="14" r="S50"/>
  <c i="14" r="Q50"/>
  <c i="14" r="Q42"/>
  <c i="14" r="O50"/>
  <c i="14" r="O46"/>
  <c i="14" r="O42"/>
  <c i="14" r="V50"/>
  <c i="14" r="W31"/>
  <c i="14" r="W34"/>
  <c i="14" r="W28"/>
  <c i="14" r="N50"/>
  <c i="13" r="O47"/>
  <c i="13" r="R47"/>
  <c i="13" r="Q43"/>
  <c i="13" r="U44"/>
  <c i="13" r="Q47"/>
  <c i="13" r="U50"/>
  <c i="13" r="W27"/>
  <c i="13" r="T48"/>
  <c i="13" r="P45"/>
  <c i="13" r="P41"/>
  <c i="13" r="V53"/>
  <c i="13" r="Q49"/>
  <c i="13" r="P48"/>
  <c i="13" r="P44"/>
  <c i="13" r="S50"/>
  <c i="13" r="S46"/>
  <c i="13" r="P43"/>
  <c i="13" r="U51"/>
  <c i="13" r="V46"/>
  <c i="13" r="Q51"/>
  <c i="13" r="K31"/>
  <c i="13" r="K35"/>
  <c i="13" r="W53" s="1"/>
  <c i="13" r="K24"/>
  <c i="13" r="W23"/>
  <c i="13" r="T52"/>
  <c i="13" r="W25"/>
  <c i="13" r="K27"/>
  <c i="13" r="U48"/>
  <c i="13" r="T46"/>
  <c i="13" r="S45"/>
  <c i="13" r="S41"/>
  <c i="13" r="V47"/>
  <c i="13" r="N41"/>
  <c i="13" r="V41"/>
  <c i="13" r="P51"/>
  <c i="13" r="T53"/>
  <c i="13" r="Q41"/>
  <c i="13" r="W26"/>
  <c i="13" r="Q48"/>
  <c i="13" r="V50"/>
  <c i="13" r="K28"/>
  <c i="13" r="W33"/>
  <c i="13" r="W51" s="1"/>
  <c i="13" r="K34"/>
  <c i="13" r="Q42"/>
  <c i="13" r="O52"/>
  <c i="13" r="Q52"/>
  <c i="13" r="V52"/>
  <c i="13" r="N46"/>
  <c i="12" r="U53"/>
  <c i="12" r="O48"/>
  <c i="12" r="O44"/>
  <c i="12" r="N44"/>
  <c i="12" r="T51"/>
  <c i="12" r="P48"/>
  <c i="12" r="V48"/>
  <c i="12" r="K35"/>
  <c i="12" r="K24"/>
  <c i="12" r="N50"/>
  <c i="12" r="V50"/>
  <c i="12" r="N42"/>
  <c i="12" r="P44"/>
  <c i="12" r="N46"/>
  <c i="12" r="K25"/>
  <c i="12" r="K29"/>
  <c i="12" r="P50"/>
  <c i="12" r="O50"/>
  <c i="12" r="O46"/>
  <c i="12" r="O42"/>
  <c i="12" r="K32"/>
  <c i="12" r="K23"/>
  <c i="12" r="T41"/>
  <c i="12" r="N48"/>
  <c i="12" r="V44"/>
  <c i="12" r="S42"/>
  <c i="12" r="K34"/>
  <c i="12" r="K28"/>
  <c i="20" r="U57"/>
  <c i="20" r="AI3"/>
  <c i="20" r="AJ3" s="1"/>
  <c i="20" r="U63"/>
  <c i="20" r="U56"/>
  <c i="20" r="U61"/>
  <c i="20" r="U59"/>
  <c i="20" r="U58"/>
  <c i="20" r="S50"/>
  <c i="20" r="S49"/>
  <c i="20" r="S48"/>
  <c i="20" r="S47"/>
  <c i="20" r="S46"/>
  <c i="20" r="S45"/>
  <c i="20" r="S44"/>
  <c i="20" r="S52"/>
  <c i="20" r="S30"/>
  <c i="20" r="S43" s="1"/>
  <c i="20" l="1" r="F25"/>
  <c i="15" r="W45"/>
  <c i="14" r="W45"/>
  <c i="15" r="W49"/>
  <c i="15" r="W52"/>
  <c i="16" r="W45"/>
  <c i="13" r="W42"/>
  <c i="15" r="W41"/>
  <c i="12" r="W48"/>
  <c i="13" r="W48"/>
  <c i="12" r="W43"/>
  <c i="12" r="W41"/>
  <c i="13" r="W52"/>
  <c i="7" r="W45"/>
  <c i="13" r="W47"/>
  <c i="16" r="W49"/>
  <c i="12" r="W50"/>
  <c i="7" r="W49"/>
  <c i="17" r="W47"/>
  <c i="13" r="W44"/>
  <c i="7" r="W48"/>
  <c i="12" r="W44"/>
  <c i="7" r="W46"/>
  <c i="14" r="W51"/>
  <c i="14" r="W44"/>
  <c i="16" r="W41"/>
  <c i="17" r="W42"/>
  <c i="13" r="W50"/>
  <c i="16" r="W47"/>
  <c i="17" r="W44"/>
  <c i="7" r="W51"/>
  <c i="16" r="W42"/>
  <c i="15" r="W51"/>
  <c i="16" r="W46"/>
  <c i="12" r="W42"/>
  <c i="12" r="W52"/>
  <c i="17" r="W52"/>
  <c i="7" r="W42"/>
  <c i="12" r="W53"/>
  <c i="13" r="W46"/>
  <c i="20" r="N38"/>
  <c i="7" r="W43"/>
  <c i="15" r="W42"/>
  <c i="14" r="W48"/>
  <c i="13" r="W41"/>
  <c i="14" r="W46"/>
  <c i="15" r="W43"/>
  <c i="14" r="W52"/>
  <c i="15" r="W44"/>
  <c i="14" r="W50"/>
  <c i="13" r="W49"/>
  <c i="14" r="W49"/>
  <c i="17" r="W50"/>
  <c i="14" r="W41"/>
  <c i="7" r="W41"/>
  <c i="13" r="W43"/>
  <c i="14" r="W42"/>
  <c i="12" r="W49"/>
  <c i="12" r="W47"/>
  <c i="17" r="W51"/>
  <c i="16" r="W52"/>
  <c i="7" r="W52"/>
  <c i="13" r="W45"/>
  <c i="17" r="W41"/>
  <c i="16" r="W43"/>
  <c i="16" r="W44"/>
  <c i="17" r="W46"/>
  <c i="12" r="W46"/>
  <c i="16" r="W51"/>
  <c i="7" r="W47"/>
  <c i="17" r="W49"/>
  <c i="17" r="W48"/>
  <c i="15" r="W46"/>
  <c i="7" r="W44"/>
  <c i="15" r="W48"/>
  <c i="15" r="W50"/>
  <c i="17" r="W45"/>
  <c i="16" r="W50"/>
  <c i="14" r="W43"/>
  <c i="20" r="J5"/>
  <c i="20" r="J18" s="1"/>
  <c i="20" r="J31" s="1"/>
  <c i="20" r="J6"/>
  <c i="20" r="J19" s="1"/>
  <c i="20" r="J32" s="1"/>
  <c i="20" r="J7"/>
  <c i="20" r="J20" s="1"/>
  <c i="20" r="J33" s="1"/>
  <c i="20" r="J8"/>
  <c i="20" r="J21" s="1"/>
  <c i="20" r="J34" s="1"/>
  <c i="20" r="J9"/>
  <c i="20" r="J22" s="1"/>
  <c i="20" r="J35" s="1"/>
  <c i="20" r="J10"/>
  <c i="20" r="J23" s="1"/>
  <c i="20" r="J36" s="1"/>
  <c i="20" r="J11"/>
  <c i="20" r="J24" s="1"/>
  <c i="20" r="J37" s="1"/>
  <c i="20" r="J13"/>
  <c i="20" r="J26" s="1"/>
  <c i="20" r="J39" s="1"/>
  <c i="20" r="J4"/>
  <c i="20" r="J17" s="1"/>
  <c i="20" r="J30" s="1"/>
  <c i="20" r="B26"/>
  <c i="20" r="H17"/>
  <c i="20" r="G17"/>
  <c i="20" r="F17"/>
  <c i="20" r="E17"/>
  <c i="20" r="D17"/>
  <c i="20" r="C17"/>
  <c i="20" r="B17"/>
  <c i="20" r="J16"/>
  <c i="20" r="B24"/>
  <c i="20" r="B23"/>
  <c i="20" r="B22"/>
  <c i="20" r="B21"/>
  <c i="20" r="B20"/>
  <c i="20" r="B19"/>
  <c i="20" r="B18"/>
  <c i="20" r="P4"/>
  <c i="20" r="P17" s="1"/>
  <c i="20" r="P30" s="1"/>
  <c i="20" r="O4"/>
  <c i="20" r="O17" s="1"/>
  <c i="20" r="O30" s="1"/>
  <c i="20" r="N4"/>
  <c i="20" r="N17" s="1"/>
  <c i="20" r="N30" s="1"/>
  <c i="20" r="M4"/>
  <c i="20" r="M17" s="1"/>
  <c i="20" r="M30" s="1"/>
  <c i="20" r="L4"/>
  <c i="20" r="L17" s="1"/>
  <c i="20" r="L30" s="1"/>
  <c i="20" r="K4"/>
  <c i="20" r="K17" s="1"/>
  <c i="20" r="K30" s="1"/>
  <c i="20" r="J3"/>
  <c i="18" l="1" r="B6"/>
  <c i="18" l="1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20" r="K11"/>
  <c i="20" r="L11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20" r="L10"/>
  <c i="20" r="L9"/>
  <c i="20" r="L7"/>
  <c i="20" r="L6"/>
  <c i="20" r="L5"/>
  <c i="11" r="U32"/>
  <c i="11" r="T33"/>
  <c i="11" r="S35"/>
  <c i="11" r="R31"/>
  <c i="11" r="Q32"/>
  <c i="11" r="P33"/>
  <c i="11" r="O35"/>
  <c i="11" r="N31"/>
  <c i="11" r="I32"/>
  <c i="11" r="H33"/>
  <c i="11" r="G35"/>
  <c i="11" r="F31"/>
  <c i="11" r="E32"/>
  <c i="11" r="D33"/>
  <c i="11" r="C35"/>
  <c i="11" r="B30"/>
  <c i="20" r="K10"/>
  <c i="20" r="K9"/>
  <c i="20" r="K7"/>
  <c i="20" r="K6"/>
  <c i="20" r="K5"/>
  <c i="20" l="1" r="H10"/>
  <c i="20" r="H9"/>
  <c i="20" r="L8"/>
  <c i="20" r="D13"/>
  <c i="20" r="C13"/>
  <c i="20" r="K8"/>
  <c i="20" r="E18"/>
  <c i="20" r="M26"/>
  <c i="20" r="H11"/>
  <c i="20" r="H6"/>
  <c i="20" r="H7"/>
  <c i="20" r="H5"/>
  <c i="20" r="P7"/>
  <c i="20" r="P11"/>
  <c i="20" r="O26"/>
  <c i="20" r="P10"/>
  <c i="20" r="P9"/>
  <c i="20" r="G26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1" r="P30"/>
  <c i="18" r="C16"/>
  <c i="18" r="C33" s="1"/>
  <c i="18" r="G16"/>
  <c i="18" r="G33" s="1"/>
  <c i="11" r="T29"/>
  <c i="11" r="T31"/>
  <c i="18" r="J11"/>
  <c i="18" r="J12"/>
  <c i="18" r="J13"/>
  <c i="18" r="U11"/>
  <c i="11" r="P29"/>
  <c i="11" r="P31"/>
  <c i="11" r="T30"/>
  <c i="11" r="R49"/>
  <c i="18" r="S16"/>
  <c i="18" r="S33" s="1"/>
  <c i="11" r="F29"/>
  <c i="11" r="B31"/>
  <c i="11" r="N49" s="1"/>
  <c i="11" r="N29"/>
  <c i="11" r="R29"/>
  <c i="11" r="N30"/>
  <c i="11" r="N48" s="1"/>
  <c i="11" r="R30"/>
  <c i="11" r="D29"/>
  <c i="11" r="H29"/>
  <c i="11" r="D30"/>
  <c i="11" r="H30"/>
  <c i="11" r="D31"/>
  <c i="11" r="H31"/>
  <c i="11" r="B29"/>
  <c i="11" r="F30"/>
  <c i="18" r="U12"/>
  <c i="11" r="Q29"/>
  <c i="11" r="U29"/>
  <c i="11" r="Q30"/>
  <c i="11" r="U30"/>
  <c i="11" r="Q31"/>
  <c i="11" r="U31"/>
  <c i="11" r="C29"/>
  <c i="11" r="G29"/>
  <c i="11" r="C30"/>
  <c i="11" r="G30"/>
  <c i="11" r="C31"/>
  <c i="11" r="G31"/>
  <c i="11" r="O29"/>
  <c i="11" r="S29"/>
  <c i="11" r="O30"/>
  <c i="11" r="S30"/>
  <c i="11" r="O31"/>
  <c i="11" r="S31"/>
  <c i="11" r="E29"/>
  <c i="11" r="I29"/>
  <c i="11" r="E30"/>
  <c i="11" r="I30"/>
  <c i="11" r="E31"/>
  <c i="11" r="I31"/>
  <c i="18" r="T16"/>
  <c i="18" r="T33" s="1"/>
  <c i="18" r="Q16"/>
  <c i="18" r="Q33" s="1"/>
  <c i="18" r="O16"/>
  <c i="18" r="O33" s="1"/>
  <c i="11" r="E23"/>
  <c i="11" r="I23"/>
  <c i="11" r="D24"/>
  <c i="11" r="H24"/>
  <c i="11" r="B25"/>
  <c i="11" r="F25"/>
  <c i="11" r="D26"/>
  <c i="11" r="H26"/>
  <c i="11" r="C27"/>
  <c i="11" r="G27"/>
  <c i="11" r="B28"/>
  <c i="11" r="F28"/>
  <c i="11" r="D32"/>
  <c i="11" r="H32"/>
  <c i="11" r="C33"/>
  <c i="11" r="G33"/>
  <c i="11" r="B35"/>
  <c i="11" r="F35"/>
  <c i="11" r="Q23"/>
  <c i="11" r="U23"/>
  <c i="11" r="P24"/>
  <c i="11" r="T24"/>
  <c i="11" r="N25"/>
  <c i="11" r="R25"/>
  <c i="11" r="P26"/>
  <c i="11" r="T26"/>
  <c i="11" r="O27"/>
  <c i="11" r="S27"/>
  <c i="11" r="N28"/>
  <c i="11" r="R28"/>
  <c i="11" r="P32"/>
  <c i="11" r="T32"/>
  <c i="11" r="O33"/>
  <c i="11" r="S33"/>
  <c i="11" r="N35"/>
  <c i="11" r="R35"/>
  <c i="11" r="D23"/>
  <c i="11" r="H23"/>
  <c i="11" r="C24"/>
  <c i="11" r="G24"/>
  <c i="11" r="E25"/>
  <c i="11" r="I25"/>
  <c i="11" r="C26"/>
  <c i="11" r="G26"/>
  <c i="11" r="B27"/>
  <c i="11" r="F27"/>
  <c i="11" r="E28"/>
  <c i="11" r="I28"/>
  <c i="11" r="C32"/>
  <c i="11" r="G32"/>
  <c i="11" r="B33"/>
  <c i="11" r="F33"/>
  <c i="11" r="E35"/>
  <c i="11" r="I35"/>
  <c i="11" r="P23"/>
  <c i="11" r="T23"/>
  <c i="11" r="O24"/>
  <c i="11" r="S24"/>
  <c i="11" r="Q25"/>
  <c i="11" r="U25"/>
  <c i="11" r="O26"/>
  <c i="11" r="S26"/>
  <c i="11" r="N27"/>
  <c i="11" r="R27"/>
  <c i="11" r="Q28"/>
  <c i="11" r="U28"/>
  <c i="11" r="O32"/>
  <c i="11" r="S32"/>
  <c i="11" r="N33"/>
  <c i="11" r="R33"/>
  <c i="11" r="Q35"/>
  <c i="11" r="U35"/>
  <c i="11" r="C23"/>
  <c i="11" r="G23"/>
  <c i="11" r="B24"/>
  <c i="11" r="F24"/>
  <c i="11" r="D25"/>
  <c i="11" r="H25"/>
  <c i="11" r="B26"/>
  <c i="11" r="F26"/>
  <c i="11" r="E27"/>
  <c i="11" r="I27"/>
  <c i="11" r="D28"/>
  <c i="11" r="H28"/>
  <c i="11" r="B32"/>
  <c i="11" r="F32"/>
  <c i="11" r="E33"/>
  <c i="11" r="I33"/>
  <c i="11" r="D35"/>
  <c i="11" r="H35"/>
  <c i="11" r="O23"/>
  <c i="11" r="S23"/>
  <c i="11" r="N24"/>
  <c i="11" r="R24"/>
  <c i="11" r="P25"/>
  <c i="11" r="T25"/>
  <c i="11" r="N26"/>
  <c i="11" r="R26"/>
  <c i="11" r="Q27"/>
  <c i="11" r="U27"/>
  <c i="11" r="P28"/>
  <c i="11" r="T28"/>
  <c i="11" r="N32"/>
  <c i="11" r="R32"/>
  <c i="11" r="Q33"/>
  <c i="11" r="U33"/>
  <c i="11" r="P35"/>
  <c i="11" r="T35"/>
  <c i="11" r="B23"/>
  <c i="11" r="F23"/>
  <c i="11" r="E24"/>
  <c i="11" r="I24"/>
  <c i="11" r="C25"/>
  <c i="11" r="G25"/>
  <c i="11" r="E26"/>
  <c i="11" r="I26"/>
  <c i="11" r="D27"/>
  <c i="11" r="H27"/>
  <c i="11" r="C28"/>
  <c i="11" r="G28"/>
  <c i="11" r="N23"/>
  <c i="11" r="R23"/>
  <c i="11" r="Q24"/>
  <c i="11" r="U24"/>
  <c i="11" r="O25"/>
  <c i="11" r="S25"/>
  <c i="11" r="Q26"/>
  <c i="11" r="U26"/>
  <c i="11" r="P27"/>
  <c i="11" r="T27"/>
  <c i="11" r="O28"/>
  <c i="11" r="S28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1" r="K23"/>
  <c i="11" r="W31"/>
  <c i="20" l="1" r="C25"/>
  <c i="20" r="D25"/>
  <c i="20" r="L13"/>
  <c i="20" r="C18"/>
  <c i="20" r="K13"/>
  <c i="20" r="D39" s="1"/>
  <c i="20" r="D52" s="1"/>
  <c i="20" r="E24"/>
  <c i="20" r="E21"/>
  <c i="20" r="E26"/>
  <c i="20" r="M39" s="1"/>
  <c i="20" r="H8"/>
  <c i="20" r="H13" s="1"/>
  <c i="20" r="H25" s="1"/>
  <c i="20" r="E22"/>
  <c i="20" r="C22"/>
  <c i="20" r="F23"/>
  <c i="20" r="N18"/>
  <c i="20" r="P5"/>
  <c i="20" r="O21"/>
  <c i="20" r="M18"/>
  <c i="20" r="M31" s="1"/>
  <c i="20" r="O19"/>
  <c i="20" r="O18"/>
  <c i="20" r="L24"/>
  <c i="20" r="O23"/>
  <c i="20" r="C21"/>
  <c i="20" r="C26"/>
  <c i="20" r="M21"/>
  <c i="20" r="M23"/>
  <c i="20" r="M24"/>
  <c i="20" r="D21"/>
  <c i="20" r="C23"/>
  <c i="20" r="M20"/>
  <c i="20" r="C20"/>
  <c i="20" r="G22"/>
  <c i="20" r="O39"/>
  <c i="20" r="O24"/>
  <c i="20" r="G18"/>
  <c i="20" r="M19"/>
  <c i="20" r="O22"/>
  <c i="20" r="G23"/>
  <c i="20" r="C24"/>
  <c i="20" r="P8"/>
  <c i="20" r="M22"/>
  <c i="20" r="E19"/>
  <c i="20" r="E23"/>
  <c i="20" r="P6"/>
  <c i="20" r="G19"/>
  <c i="20" r="G21"/>
  <c i="20" r="C19"/>
  <c i="20" r="G20"/>
  <c i="20" r="O20"/>
  <c i="20" r="G24"/>
  <c i="20" r="E20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18" r="O22"/>
  <c i="11" r="T49"/>
  <c i="18" r="Q32"/>
  <c i="18" r="Q26"/>
  <c i="18" r="R30"/>
  <c i="18" r="R29"/>
  <c i="18" r="E29"/>
  <c i="18" r="F29"/>
  <c i="18" r="R26"/>
  <c i="18" r="E25"/>
  <c i="18" r="R28"/>
  <c i="18" r="M24"/>
  <c i="18" r="N26"/>
  <c i="18" r="E32"/>
  <c i="18" r="B29"/>
  <c i="18" r="E28"/>
  <c i="18" r="N30"/>
  <c i="18" r="M28"/>
  <c i="18" r="N29"/>
  <c i="18" r="N28"/>
  <c i="11" r="P49"/>
  <c i="11" r="T48"/>
  <c i="18" r="M30"/>
  <c i="18" r="M29"/>
  <c i="18" r="B30"/>
  <c i="18" r="B28"/>
  <c i="18" r="F30"/>
  <c i="18" r="F28"/>
  <c i="11" r="P48"/>
  <c i="11" r="O48"/>
  <c i="11" r="U48"/>
  <c i="18" r="G22"/>
  <c i="18" r="S31"/>
  <c i="18" r="S25"/>
  <c i="18" r="G31"/>
  <c i="18" r="G23"/>
  <c i="11" r="O49"/>
  <c i="11" r="O47"/>
  <c i="18" r="S30"/>
  <c i="11" r="P47"/>
  <c i="18" r="G29"/>
  <c i="18" r="S27"/>
  <c i="18" r="G25"/>
  <c i="18" r="G24"/>
  <c i="18" r="S26"/>
  <c i="18" r="S24"/>
  <c i="18" r="S22"/>
  <c i="18" r="G26"/>
  <c i="18" r="T25"/>
  <c i="11" r="W29"/>
  <c i="18" r="D28"/>
  <c i="18" r="C29"/>
  <c i="18" r="P29"/>
  <c i="18" r="C22"/>
  <c i="18" r="C32"/>
  <c i="18" r="C25"/>
  <c i="18" r="C23"/>
  <c i="18" r="C31"/>
  <c i="11" r="S49"/>
  <c i="11" r="S47"/>
  <c i="11" r="T47"/>
  <c i="18" r="S29"/>
  <c i="18" r="D30"/>
  <c i="18" r="G28"/>
  <c i="18" r="C28"/>
  <c i="18" r="G30"/>
  <c i="18" r="C26"/>
  <c i="18" r="S28"/>
  <c i="18" r="C30"/>
  <c i="11" r="W27"/>
  <c i="11" r="W30"/>
  <c i="18" r="T27"/>
  <c i="11" r="U49"/>
  <c i="11" r="U47"/>
  <c i="11" r="R47"/>
  <c i="18" r="Q30"/>
  <c i="18" r="O29"/>
  <c i="18" r="T28"/>
  <c i="11" r="K31"/>
  <c i="11" r="W49" s="1"/>
  <c i="18" r="D29"/>
  <c i="18" r="T29"/>
  <c i="18" r="Q28"/>
  <c i="18" r="T30"/>
  <c i="18" r="T32"/>
  <c i="18" r="T26"/>
  <c i="18" r="T24"/>
  <c i="11" r="Q48"/>
  <c i="11" r="K30"/>
  <c i="18" r="P28"/>
  <c i="18" r="H29"/>
  <c i="18" r="P30"/>
  <c i="18" r="P47" s="1"/>
  <c i="18" r="AA47" s="1"/>
  <c i="11" r="R48"/>
  <c i="18" r="T23"/>
  <c i="11" r="S48"/>
  <c i="11" r="Q49"/>
  <c i="11" r="Q47"/>
  <c i="18" r="O30"/>
  <c i="11" r="N47"/>
  <c i="18" r="Q29"/>
  <c i="11" r="K29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1" r="K25"/>
  <c i="11" r="W33"/>
  <c i="11" r="W24"/>
  <c i="11" r="W35"/>
  <c i="11" r="K26"/>
  <c i="11" r="W25"/>
  <c i="11" r="K27"/>
  <c i="11" r="W32"/>
  <c i="11" r="W23"/>
  <c i="11" r="W41" s="1"/>
  <c i="11" r="K28"/>
  <c i="11" r="W26"/>
  <c i="11" r="K32"/>
  <c i="11" r="K35"/>
  <c i="11" r="K33"/>
  <c i="11" r="K24"/>
  <c i="11" r="W28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18" r="U16"/>
  <c i="18" r="J16"/>
  <c i="11" r="R51"/>
  <c i="11" r="N51"/>
  <c i="11" r="R50"/>
  <c i="11" r="N50"/>
  <c i="11" r="R46"/>
  <c i="11" r="N46"/>
  <c i="11" r="R45"/>
  <c i="11" r="N45"/>
  <c i="11" r="R44"/>
  <c i="11" r="N44"/>
  <c i="11" r="R43"/>
  <c i="11" r="N43"/>
  <c i="11" r="R42"/>
  <c i="11" r="N42"/>
  <c i="11" r="R41"/>
  <c i="11" r="N41"/>
  <c i="11" r="T53"/>
  <c i="11" r="P53"/>
  <c i="11" r="S53"/>
  <c i="20" l="1" r="C36"/>
  <c i="20" r="D37"/>
  <c i="20" r="D50" s="1"/>
  <c i="20" r="D35"/>
  <c i="20" r="D48" s="1"/>
  <c i="20" r="D33"/>
  <c i="20" r="D46" s="1"/>
  <c i="20" r="D31"/>
  <c i="20" r="D44" s="1"/>
  <c i="20" r="C35"/>
  <c i="20" r="G36"/>
  <c i="20" r="G49" s="1"/>
  <c i="20" r="G34"/>
  <c i="20" r="G47" s="1"/>
  <c i="20" r="G32"/>
  <c i="20" r="C31"/>
  <c i="20" r="C34"/>
  <c i="20" r="F36"/>
  <c i="20" r="F34"/>
  <c i="20" r="F32"/>
  <c i="20" r="F45" s="1"/>
  <c i="20" r="C33"/>
  <c i="20" r="E36"/>
  <c i="20" r="E34"/>
  <c i="20" r="E32"/>
  <c i="20" r="C32"/>
  <c i="20" r="D36"/>
  <c i="20" r="D49" s="1"/>
  <c i="20" r="D34"/>
  <c i="20" r="D47" s="1"/>
  <c i="20" r="D32"/>
  <c i="20" r="D45" s="1"/>
  <c i="20" r="C37"/>
  <c i="20" r="C50" s="1"/>
  <c i="20" r="G37"/>
  <c i="20" r="G50" s="1"/>
  <c i="20" r="G35"/>
  <c i="20" r="G33"/>
  <c i="20" r="G46" s="1"/>
  <c i="20" r="G31"/>
  <c i="20" r="G44" s="1"/>
  <c i="20" r="F37"/>
  <c i="20" r="F35"/>
  <c i="20" r="F48" s="1"/>
  <c i="20" r="F33"/>
  <c i="20" r="F46" s="1"/>
  <c i="20" r="F31"/>
  <c i="20" r="F44" s="1"/>
  <c i="20" r="E37"/>
  <c i="20" r="E50" s="1"/>
  <c i="20" r="E35"/>
  <c i="20" r="E33"/>
  <c i="20" r="E31"/>
  <c i="20" r="E44" s="1"/>
  <c i="20" r="G38"/>
  <c i="20" r="G51" s="1"/>
  <c i="20" r="C38"/>
  <c i="20" r="D38"/>
  <c i="20" r="D51" s="1"/>
  <c i="20" r="F38"/>
  <c i="20" r="F51" s="1"/>
  <c i="20" r="E38"/>
  <c i="20" r="E51" s="1"/>
  <c i="20" r="G39"/>
  <c i="20" r="G52" s="1"/>
  <c i="20" r="E39"/>
  <c i="20" r="E52" s="1"/>
  <c i="20" r="F39"/>
  <c i="20" r="F52" s="1"/>
  <c i="20" r="C39"/>
  <c i="20" r="C52" s="1"/>
  <c i="20" r="K19"/>
  <c i="20" r="K32" s="1"/>
  <c i="20" r="K25"/>
  <c i="20" r="K38" s="1"/>
  <c i="20" r="L26"/>
  <c i="20" r="L25"/>
  <c i="20" r="L38" s="1"/>
  <c i="20" r="L18"/>
  <c i="20" r="L19"/>
  <c i="20" r="L20"/>
  <c i="20" r="M37"/>
  <c i="20" r="L22"/>
  <c i="20" r="L21"/>
  <c i="20" r="L34" s="1"/>
  <c i="20" r="L23"/>
  <c i="20" r="K23"/>
  <c i="20" r="K36" s="1"/>
  <c i="20" r="K21"/>
  <c i="20" r="K34" s="1"/>
  <c i="20" r="K22"/>
  <c i="20" r="K35" s="1"/>
  <c i="20" r="K20"/>
  <c i="20" r="K33" s="1"/>
  <c i="20" r="K26"/>
  <c i="20" r="K39" s="1"/>
  <c i="20" r="K24"/>
  <c i="20" r="K37" s="1"/>
  <c i="20" r="K18"/>
  <c i="20" r="K31" s="1"/>
  <c i="20" r="P13"/>
  <c i="20" r="P25" s="1"/>
  <c i="20" r="P38" s="1"/>
  <c i="20" r="F19"/>
  <c i="20" r="M34"/>
  <c i="20" r="F20"/>
  <c i="20" r="M35"/>
  <c i="20" r="O34"/>
  <c i="20" r="O32"/>
  <c i="20" r="O31"/>
  <c i="20" r="O33"/>
  <c i="20" r="O36"/>
  <c i="20" r="O35"/>
  <c i="20" r="M32"/>
  <c i="20" r="O37"/>
  <c i="20" r="M36"/>
  <c i="20" r="D26"/>
  <c i="20" r="D18"/>
  <c i="20" r="D20"/>
  <c i="20" r="D19"/>
  <c i="20" r="D24"/>
  <c i="20" r="L37" s="1"/>
  <c i="20" r="D23"/>
  <c i="20" r="D22"/>
  <c i="20" r="N26"/>
  <c i="20" r="N23"/>
  <c i="20" r="N36" s="1"/>
  <c i="20" r="N20"/>
  <c i="20" r="N24"/>
  <c i="20" r="F21"/>
  <c i="20" r="F26"/>
  <c i="20" r="H19"/>
  <c i="20" r="F18"/>
  <c i="20" r="N31" s="1"/>
  <c i="20" r="N21"/>
  <c i="20" r="N22"/>
  <c i="20" r="F24"/>
  <c i="20" r="N19"/>
  <c i="20" r="F22"/>
  <c i="20" r="M33"/>
  <c i="18" r="P48"/>
  <c i="18" r="AA48" s="1"/>
  <c i="18" r="P41"/>
  <c i="18" r="AA41" s="1"/>
  <c i="11" r="W47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8" r="P49"/>
  <c i="18" r="AA49" s="1"/>
  <c i="18" r="O45"/>
  <c i="18" r="Z45" s="1"/>
  <c i="18" r="M47"/>
  <c i="18" r="X47" s="1"/>
  <c i="18" r="N45"/>
  <c i="18" r="Y45" s="1"/>
  <c i="18" r="N47"/>
  <c i="18" r="Y47" s="1"/>
  <c i="18" r="Q47"/>
  <c i="18" r="AB47" s="1"/>
  <c i="18" r="S47"/>
  <c i="18" r="AD47" s="1"/>
  <c i="18" r="S45"/>
  <c i="18" r="AD45" s="1"/>
  <c i="18" r="S46"/>
  <c i="18" r="AD46" s="1"/>
  <c i="11" r="W48"/>
  <c i="18" r="O47"/>
  <c i="18" r="Z47" s="1"/>
  <c i="18" r="U33"/>
  <c i="18" r="U30"/>
  <c i="18" r="U28"/>
  <c i="18" r="J33"/>
  <c i="18" r="J29"/>
  <c i="18" r="J28"/>
  <c i="18" r="J30"/>
  <c i="11" r="W42"/>
  <c i="18" r="O46"/>
  <c i="18" r="Z46" s="1"/>
  <c i="18" r="U29"/>
  <c i="11" r="W45"/>
  <c i="11" r="W53"/>
  <c i="11" r="W5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11" r="W43"/>
  <c i="18" r="S39"/>
  <c i="18" r="AD39" s="1"/>
  <c i="11" r="P41"/>
  <c i="11" r="P42"/>
  <c i="11" r="P43"/>
  <c i="11" r="P44"/>
  <c i="11" r="P45"/>
  <c i="11" r="P46"/>
  <c i="11" r="P50"/>
  <c i="11" r="P51"/>
  <c i="11" r="O41"/>
  <c i="11" r="O42"/>
  <c i="11" r="O43"/>
  <c i="11" r="O44"/>
  <c i="11" r="O45"/>
  <c i="11" r="O46"/>
  <c i="11" r="O50"/>
  <c i="11" r="O51"/>
  <c i="18" r="O50"/>
  <c i="18" r="Z50" s="1"/>
  <c i="11" r="S41"/>
  <c i="11" r="S42"/>
  <c i="11" r="S43"/>
  <c i="11" r="S44"/>
  <c i="11" r="S45"/>
  <c i="11" r="S46"/>
  <c i="11" r="S50"/>
  <c i="11" r="S51"/>
  <c i="11" r="O53"/>
  <c i="11" r="W46"/>
  <c i="11" r="W50"/>
  <c i="11" r="T41"/>
  <c i="11" r="T42"/>
  <c i="11" r="T43"/>
  <c i="11" r="T44"/>
  <c i="11" r="T45"/>
  <c i="11" r="T46"/>
  <c i="11" r="T50"/>
  <c i="11" r="T51"/>
  <c i="11" r="Q53"/>
  <c i="11" r="N53"/>
  <c i="11" r="Q41"/>
  <c i="11" r="U41"/>
  <c i="11" r="Q42"/>
  <c i="11" r="U42"/>
  <c i="11" r="Q43"/>
  <c i="11" r="U43"/>
  <c i="11" r="Q44"/>
  <c i="11" r="U44"/>
  <c i="11" r="Q45"/>
  <c i="11" r="U45"/>
  <c i="11" r="Q46"/>
  <c i="11" r="U46"/>
  <c i="11" r="Q50"/>
  <c i="11" r="U50"/>
  <c i="11" r="Q51"/>
  <c i="11" r="U51"/>
  <c i="11" r="W44"/>
  <c i="11" r="U53"/>
  <c i="11" r="R53"/>
  <c i="20" l="1" r="H36"/>
  <c i="20" r="E49"/>
  <c i="20" r="C48"/>
  <c i="20" r="H35"/>
  <c i="20" r="C51"/>
  <c i="20" r="H38"/>
  <c i="20" r="F47"/>
  <c i="20" r="H37"/>
  <c i="20" r="F50"/>
  <c i="20" r="F49"/>
  <c i="20" r="H33"/>
  <c i="20" r="C46"/>
  <c i="20" r="H32"/>
  <c i="20" r="C45"/>
  <c i="20" r="H34"/>
  <c i="20" r="C47"/>
  <c i="20" r="E46"/>
  <c i="20" r="E45"/>
  <c i="20" r="C44"/>
  <c i="20" r="H31"/>
  <c i="20" r="E48"/>
  <c i="20" r="G48"/>
  <c i="20" r="E47"/>
  <c i="20" r="G45"/>
  <c i="20" r="C49"/>
  <c i="20" r="L35"/>
  <c i="20" r="L31"/>
  <c i="20" r="Y38"/>
  <c i="20" r="Y51" s="1"/>
  <c i="20" r="L36"/>
  <c i="20" r="P19"/>
  <c i="20" r="Y32" s="1"/>
  <c i="20" r="Y45" s="1"/>
  <c i="20" r="L39"/>
  <c i="20" r="L33"/>
  <c i="20" r="L32"/>
  <c i="20" r="N32"/>
  <c i="20" r="N33"/>
  <c i="20" r="N37"/>
  <c i="20" r="N34"/>
  <c i="20" r="P26"/>
  <c i="20" r="P24"/>
  <c i="20" r="P23"/>
  <c i="20" r="P22"/>
  <c i="20" r="P20"/>
  <c i="20" r="P18"/>
  <c i="20" r="H26"/>
  <c i="20" r="H18"/>
  <c i="20" r="H20"/>
  <c i="20" r="N39"/>
  <c i="20" r="H24"/>
  <c i="20" r="H23"/>
  <c i="20" r="H21"/>
  <c i="20" r="N35"/>
  <c i="20" r="P21"/>
  <c i="20" r="H22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H39"/>
  <c i="20" r="H52" s="1"/>
  <c i="20" r="H44"/>
  <c i="20" r="H48"/>
  <c i="20" r="H46"/>
  <c i="20" r="P32"/>
  <c i="20" r="Y36"/>
  <c i="20" r="Y49" s="1"/>
  <c i="20" r="Z49" s="1"/>
  <c i="20" r="V62" s="1"/>
  <c i="20" r="Y33"/>
  <c i="20" r="Y46" s="1"/>
  <c i="20" r="P34"/>
  <c i="20" r="Y37"/>
  <c i="20" r="Y50" s="1"/>
  <c i="20" r="Y35"/>
  <c i="20" r="Y48" s="1"/>
  <c i="20" r="Y31"/>
  <c i="20" r="Y44" s="1"/>
  <c i="20" r="Y39"/>
  <c i="20" r="Y34"/>
  <c i="20" r="Y47" s="1"/>
  <c i="20" r="P31"/>
  <c i="20" r="P33"/>
  <c i="20" r="P35"/>
  <c i="20" r="P36"/>
  <c i="20" r="P37"/>
  <c i="20" r="P39"/>
  <c i="20" l="1" r="H45"/>
  <c i="20" r="H51"/>
  <c i="20" r="H47"/>
  <c i="20" r="H49"/>
  <c i="20" r="H50"/>
  <c i="20" r="Z51"/>
  <c i="20" r="V64" s="1"/>
  <c i="20" r="W64" s="1"/>
  <c i="20" r="AI28" s="1"/>
  <c i="20" r="AJ28" s="1"/>
  <c i="20" r="Z45"/>
  <c i="20" r="V57" s="1"/>
  <c i="20" r="W57" s="1"/>
  <c i="20" r="AI14" s="1"/>
  <c i="20" r="AJ14" s="1"/>
  <c i="20" r="Z50"/>
  <c i="20" r="V63" s="1"/>
  <c i="20" r="W63" s="1"/>
  <c i="20" r="AI5" s="1"/>
  <c i="20" r="AJ5" s="1"/>
  <c i="20" r="Z46"/>
  <c i="20" r="V58" s="1"/>
  <c i="20" r="W58" s="1"/>
  <c i="20" r="AI8" s="1"/>
  <c i="20" r="AJ8" s="1"/>
  <c i="20" r="Z47"/>
  <c i="20" r="V59" s="1"/>
  <c i="20" r="W59" s="1"/>
  <c i="20" r="AI6" s="1"/>
  <c i="20" r="AJ6" s="1"/>
  <c i="20" r="Z44"/>
  <c i="20" r="V56" s="1"/>
  <c i="20" r="W56" s="1"/>
  <c i="20" r="AI16" s="1"/>
  <c i="20" r="AJ16" s="1"/>
  <c i="20" r="Z48"/>
  <c i="20" r="V61" s="1"/>
  <c i="20" r="W61" s="1"/>
  <c i="20" r="AI21" s="1"/>
  <c i="20" r="AJ21" s="1"/>
</calcChain>
</file>

<file path=xl/sharedStrings.xml><?xml version="1.0" encoding="utf-8"?>
<sst xmlns="http://schemas.openxmlformats.org/spreadsheetml/2006/main" count="1488" uniqueCount="208">
  <si>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</si>
  <si>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</si>
  <si>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</si>
  <si>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</si>
  <si>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</si>
  <si>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</si>
  <si>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</si>
  <si>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</si>
  <si>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</si>
  <si>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</si>
  <si>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</si>
  <si>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</si>
  <si>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</si>
  <si>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</si>
  <si>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</si>
  <si>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</si>
  <si>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</si>
  <si>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</si>
  <si>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</si>
  <si>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</si>
  <si>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</si>
  <si>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</si>
  <si>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</si>
  <si>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</si>
  <si>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</si>
  <si>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</si>
  <si>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</si>
  <si>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</si>
  <si>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</si>
  <si>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</si>
  <si>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</si>
  <si>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</si>
  <si>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</si>
  <si>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</si>
  <si>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</si>
  <si>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</si>
  <si>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</si>
  <si>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</si>
  <si>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Workbased Tour Mode</t>
  </si>
  <si>
    <t>School Tour Mode</t>
  </si>
  <si>
    <t>Escort Tour Mode</t>
  </si>
  <si>
    <t>Personal Business Tour Mode</t>
  </si>
  <si>
    <t>Meal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</si>
  <si>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</si>
  <si>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</si>
  <si>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</si>
  <si>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</si>
  <si>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</si>
  <si>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</si>
  <si>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</si>
  <si>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</si>
  <si>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</si>
  <si>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</si>
  <si>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</si>
  <si>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</si>
  <si>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</si>
  <si>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</si>
  <si>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</si>
  <si>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</si>
  <si>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</si>
  <si>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</si>
  <si>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</si>
  <si>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</si>
  <si>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</si>
  <si>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</si>
  <si>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</si>
  <si>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</si>
  <si>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</si>
  <si>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</si>
  <si>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</si>
  <si>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</si>
  <si>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</si>
  <si>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</si>
  <si>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</si>
  <si>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</si>
  <si>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</si>
  <si>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</si>
  <si>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</si>
  <si>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</si>
  <si>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</si>
  <si>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</si>
  <si>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</si>
  <si>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</si>
  <si>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</si>
  <si>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</si>
  <si>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</si>
  <si>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</si>
  <si>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</si>
  <si>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</si>
  <si>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</si>
  <si>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</si>
  <si>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</si>
  <si>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</si>
  <si>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</si>
  <si>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</si>
  <si>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</si>
  <si>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</si>
  <si>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</si>
  <si>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</si>
  <si>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</si>
  <si>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</si>
  <si>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</si>
  <si>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</si>
  <si>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</si>
  <si>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</si>
  <si>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</si>
  <si>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</si>
  <si>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</si>
  <si>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</si>
  <si>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</si>
  <si>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</si>
  <si>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</si>
  <si>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</si>
  <si>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</si>
  <si>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</si>
  <si>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</si>
  <si>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</si>
  <si>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</si>
  <si>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</si>
  <si>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</si>
  <si>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</si>
  <si>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</si>
  <si>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</si>
  <si>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</si>
  <si>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</si>
  <si>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</si>
  <si>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</si>
  <si>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</si>
  <si>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</si>
  <si>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</si>
  <si>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</si>
  <si>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</si>
  <si>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</si>
  <si>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</si>
  <si>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</si>
  <si>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</si>
  <si>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</si>
  <si>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</si>
  <si>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</si>
  <si>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</si>
  <si>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</si>
  <si>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</si>
  <si>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</si>
  <si>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</si>
  <si>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</si>
  <si>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</si>
  <si>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</si>
  <si>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</si>
  <si>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</si>
  <si>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</si>
  <si>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</si>
  <si>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</si>
  <si>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</si>
  <si>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</si>
  <si>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</si>
  <si>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</si>
  <si>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</si>
  <si>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</si>
  <si>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</si>
  <si>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Old Coeff</t>
  </si>
  <si>
    <t>New Coeff</t>
  </si>
  <si>
    <t>Index</t>
  </si>
  <si>
    <t>WorkTourModeCoefficients_SACOG-v1.5.F12</t>
  </si>
  <si>
    <t>Old</t>
  </si>
  <si>
    <t>New</t>
  </si>
  <si>
    <t>damp</t>
  </si>
  <si>
    <t>TNC</t>
  </si>
  <si>
    <t>Table X. Observed School Tour Modes: Survey</t>
  </si>
  <si>
    <t>Table X. Observed School Tour Mode Shares: Survey</t>
  </si>
  <si>
    <t>Table X. Observed Escort Tour Modes: Survey</t>
  </si>
  <si>
    <t>Table X. Observed Escort Tour Mode Shares: Survey</t>
  </si>
  <si>
    <t>Table X. Observed Personal Business Tour Modes: Survey</t>
  </si>
  <si>
    <t>Table X. Observed Personal Business Tour Mode Shares: Survey</t>
  </si>
  <si>
    <t>Table X. Observed Shop Tour Modes: Survey</t>
  </si>
  <si>
    <t>Table X. Observed Shop Tour Mode Shares: Survey</t>
  </si>
  <si>
    <t>Table X. Observed Meal Tour Modes: Survey</t>
  </si>
  <si>
    <t>Table X. Observed Meal Tour Mode Shares: Survey</t>
  </si>
  <si>
    <t>Table X. Observed Social  Recreation Tour Modes: Survey</t>
  </si>
  <si>
    <t>Table X. Estimated Social  Recreation Tour Modes: DaySim</t>
  </si>
  <si>
    <t>Social  Recreation Tour Mode</t>
  </si>
  <si>
    <t>Table X. Observed Social  Recreation Tour Mode Shares: Survey</t>
  </si>
  <si>
    <t>Table X. Estimated Social  Recreation Tour Mode Shares: DaySim</t>
  </si>
  <si>
    <t>Table X. Estimated-Observed Social  Recreation Tour Mode Share Difference</t>
  </si>
  <si>
    <t>Table X. Observed Workbased Tour Modes: Survey</t>
  </si>
  <si>
    <t>Table X. Observed Workbased Tour Mode Shares: Survey</t>
  </si>
  <si>
    <t>Dec</t>
  </si>
  <si>
    <t>tnc-const</t>
  </si>
  <si>
    <t>tnc-nocars</t>
  </si>
  <si>
    <t>tnc-carltd</t>
  </si>
  <si>
    <t>tnc-und35</t>
  </si>
  <si>
    <t>tnc-a65up</t>
  </si>
  <si>
    <t>tnc-odens</t>
  </si>
  <si>
    <t>tnc-ddens</t>
  </si>
  <si>
    <t>tnc-incu25</t>
  </si>
  <si>
    <t>tnc-inc100</t>
  </si>
  <si>
    <t>tnc-wktour</t>
  </si>
  <si>
    <t>tnc-sctour</t>
  </si>
  <si>
    <t>tnc-estour</t>
  </si>
  <si>
    <t>tnc-shtour</t>
  </si>
  <si>
    <t>bi-tnctour</t>
  </si>
  <si>
    <t>da-tnctour</t>
  </si>
  <si>
    <t>sr-tnctour</t>
  </si>
  <si>
    <t>wt-tnctour</t>
  </si>
  <si>
    <t>019:09:33</t>
  </si>
  <si>
    <t>Diff</t>
  </si>
  <si>
    <t>Survey (Nashville HTS and OBS)</t>
  </si>
  <si>
    <t>SCALED</t>
  </si>
  <si>
    <t>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</si>
</sst>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8CBAD"/>
        <bgColor rgb="FF000000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81">
    <xf borderId="0" fillId="0" fontId="0" numFmtId="0" xfId="0"/>
    <xf applyBorder="1" applyFont="1" borderId="1" fillId="0" fontId="1" numFmtId="0" xfId="0"/>
    <xf applyBorder="1" borderId="1" fillId="0" fontId="0" numFmtId="0" xfId="0"/>
    <xf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Border="1" applyNumberFormat="1" borderId="1" fillId="0" fontId="0" numFmtId="3" xfId="0"/>
    <xf applyAlignment="1" borderId="0" fillId="0" fontId="0" numFmtId="0" xfId="0">
      <alignment horizontal="center"/>
    </xf>
    <xf applyBorder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Fill="1" applyFont="1" borderId="0" fillId="3" fontId="3" numFmtId="0" xfId="0"/>
    <xf applyAlignment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borderId="0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NumberFormat="1" borderId="0" fillId="0" fontId="0" numFmtId="167" xfId="0"/>
    <xf applyFill="1" applyNumberFormat="1" borderId="0" fillId="7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Fill="1" borderId="0" fillId="8" fontId="0" numFmtId="0" xfId="0"/>
    <xf applyBorder="1" applyFont="1" borderId="3" fillId="0" fontId="1" numFmtId="0" xfId="0"/>
    <xf applyBorder="1" applyFont="1" applyNumberFormat="1" borderId="3" fillId="0" fontId="1" numFmtId="3" xfId="0"/>
    <xf applyBorder="1" applyFont="1" applyNumberFormat="1" borderId="3" fillId="0" fontId="1" numFmtId="164" xfId="0"/>
    <xf applyAlignment="1" applyBorder="1" borderId="2" fillId="0" fontId="0" numFmtId="0" xfId="0">
      <alignment horizontal="right"/>
    </xf>
    <xf applyAlignment="1" applyNumberFormat="1" borderId="0" fillId="0" fontId="0" numFmtId="164" xfId="0">
      <alignment horizontal="right"/>
    </xf>
    <xf applyAlignment="1" applyBorder="1" applyNumberFormat="1" borderId="2" fillId="0" fontId="0" numFmtId="164" xfId="0">
      <alignment horizontal="right"/>
    </xf>
    <xf applyAlignment="1" applyBorder="1" applyFont="1" applyNumberFormat="1" borderId="3" fillId="0" fontId="1" numFmtId="164" xfId="0">
      <alignment horizontal="right"/>
    </xf>
    <xf applyBorder="1" applyFill="1" applyFont="1" borderId="0" fillId="2" fontId="0" numFmtId="9" xfId="8"/>
    <xf applyBorder="1" applyFill="1" applyFont="1" applyNumberFormat="1" borderId="0" fillId="2" fontId="1" numFmtId="164" xfId="8"/>
    <xf applyBorder="1" applyFill="1" applyFont="1" applyNumberFormat="1" borderId="0" fillId="2" fontId="0" numFmtId="164" xfId="8"/>
    <xf applyBorder="1" applyFill="1" applyFont="1" borderId="0" fillId="2" fontId="1" numFmtId="43" xfId="9"/>
    <xf applyBorder="1" applyFill="1" applyFont="1" applyNumberFormat="1" borderId="0" fillId="2" fontId="1" numFmtId="166" xfId="9"/>
    <xf applyBorder="1" applyNumberFormat="1" borderId="2" fillId="0" fontId="0" numFmtId="166" xfId="0"/>
    <xf applyFill="1" applyFont="1" applyNumberFormat="1" borderId="0" fillId="9" fontId="7" numFmtId="3" xfId="0"/>
    <xf applyFill="1" applyFont="1" applyNumberFormat="1" borderId="0" fillId="10" fontId="7" numFmtId="3" xfId="0"/>
    <xf applyAlignment="1" applyFill="1" applyFont="1" borderId="0" fillId="3" fontId="4" numFmtId="0" xfId="0">
      <alignment horizontal="center"/>
    </xf>
    <xf applyAlignment="1" borderId="0" fillId="0" fontId="0" numFmtId="0" xfId="0">
      <alignment horizontal="center"/>
    </xf>
    <xf applyAlignment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  <xf applyAlignment="1" applyBorder="1" borderId="4" fillId="0" fontId="0" numFmtId="0" xfId="0">
      <alignment horizontal="center"/>
    </xf>
  </cellXfs>
  <cellStyles count="10">
    <cellStyle builtinId="3" name="Comma" xfId="9"/>
    <cellStyle builtinId="0" name="Normal" xfId="0"/>
    <cellStyle builtinId="5" name="Percent" xfId="8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externalLinks/externalLink1.xml" Type="http://schemas.openxmlformats.org/officeDocument/2006/relationships/externalLink"/>
    <Relationship Id="rId14" Target="theme/theme1.xml" Type="http://schemas.openxmlformats.org/officeDocument/2006/relationships/theme"/>
    <Relationship Id="rId15" Target="styles.xml" Type="http://schemas.openxmlformats.org/officeDocument/2006/relationships/styles"/>
    <Relationship Id="rId16" Target="sharedStrings.xml" Type="http://schemas.openxmlformats.org/officeDocument/2006/relationships/sharedStrings"/>
    <Relationship Id="rId17" Target="calcChain.xml" Type="http://schemas.openxmlformats.org/officeDocument/2006/relationships/calcChain"/>
    <Relationship Id="rId18" Target="../customXml/item1.xml" Type="http://schemas.openxmlformats.org/officeDocument/2006/relationships/customXml"/>
    <Relationship Id="rId19" Target="../customXml/item2.xml" Type="http://schemas.openxmlformats.org/officeDocument/2006/relationships/customXml"/>
    <Relationship Id="rId2" Target="worksheets/sheet2.xml" Type="http://schemas.openxmlformats.org/officeDocument/2006/relationships/worksheet"/>
    <Relationship Id="rId20" Target="../customXml/item3.xml" Type="http://schemas.openxmlformats.org/officeDocument/2006/relationships/customXml"/>
    <Relationship Id="rId21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Mode Shares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Calibration!$E$41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Calibration!$B$44:$B$50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Calibration!$H$44:$H$50</c:f>
              <c:numCache>
                <c:formatCode>0.0%</c:formatCode>
                <c:ptCount val="7"/>
                <c:pt idx="0">
                  <c:v>0.5287983325211022</c:v>
                </c:pt>
                <c:pt idx="1">
                  <c:v>0.25445019405167185</c:v>
                </c:pt>
                <c:pt idx="2">
                  <c:v>0.1468751960571606</c:v>
                </c:pt>
                <c:pt idx="3">
                  <c:v>4.2864043791715862E-3</c:v>
                </c:pt>
                <c:pt idx="4">
                  <c:v>4.1972499650860433E-3</c:v>
                </c:pt>
                <c:pt idx="5">
                  <c:v>3.2329449451098217E-2</c:v>
                </c:pt>
                <c:pt idx="6">
                  <c:v>2.9063173574709354E-2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C-46C6-BFDD-66C1D699441C}"/>
            </c:ext>
          </c:extLst>
        </c:ser>
        <c:ser>
          <c:idx val="1"/>
          <c:order val="1"/>
          <c:tx>
            <c:strRef>
              <c:f>Calibration!$J$2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27432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Calibration!$B$44:$B$50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Calibration!$P$18:$P$24</c:f>
              <c:numCache>
                <c:formatCode>0.0%</c:formatCode>
                <c:ptCount val="7"/>
                <c:pt idx="0">
                  <c:v>0.53144047007021422</c:v>
                </c:pt>
                <c:pt idx="1">
                  <c:v>0.25305890694157035</c:v>
                </c:pt>
                <c:pt idx="2">
                  <c:v>0.1443675998397036</c:v>
                </c:pt>
                <c:pt idx="3">
                  <c:v>4.3606191896280663E-3</c:v>
                </c:pt>
                <c:pt idx="4">
                  <c:v>5.3675431592115248E-3</c:v>
                </c:pt>
                <c:pt idx="5">
                  <c:v>3.1745649772233916E-2</c:v>
                </c:pt>
                <c:pt idx="6">
                  <c:v>2.9659211027438331E-2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2C-46C6-BFDD-66C1D6994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6803519"/>
        <c:axId val="1276805439"/>
      </c:barChart>
      <c:catAx>
        <c:axId val="1276803519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Trip Mode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805439"/>
        <c:crosses val="autoZero"/>
        <c:auto val="1"/>
        <c:lblAlgn val="ctr"/>
        <c:lblOffset val="100"/>
        <c:noMultiLvlLbl val="0"/>
      </c:catAx>
      <c:valAx>
        <c:axId val="1276805439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803519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38100</xdr:colOff>
      <xdr:row>40</xdr:row>
      <xdr:rowOff>71438</xdr:rowOff>
    </xdr:from>
    <xdr:to>
      <xdr:col>17</xdr:col>
      <xdr:colOff>211933</xdr:colOff>
      <xdr:row>56</xdr:row>
      <xdr:rowOff>76201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7AD1D0-290B-4A1C-A63C-06A6063552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no"?>
<Relationships xmlns="http://schemas.openxmlformats.org/package/2006/relationships">
    <Relationship Id="rId1" Target="TourMode.xlsm" TargetMode="External" Type="http://schemas.openxmlformats.org/officeDocument/2006/relationships/externalLinkPath"/>
    <Relationship Id="rId2" Target="file:///C:/Projects/Clients/Nashville/ModelUpdate_2023/tasks/task6_model_validation/report_validation_summaries/03202025/daysim_summaries/output/TourMode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Purposes"/>
      <sheetName val="Work"/>
      <sheetName val="School"/>
      <sheetName val="Escort"/>
      <sheetName val="Personal_Business"/>
      <sheetName val="Shop"/>
      <sheetName val="Meal"/>
      <sheetName val="SocRec"/>
      <sheetName val="Workbased"/>
      <sheetName val="Documentation"/>
      <sheetName val="CoeffDef"/>
      <sheetName val="WorkCoefficients"/>
      <sheetName val="SchoolCoeffcients"/>
      <sheetName val="EscortCoefficients"/>
      <sheetName val="OtherCoefficients"/>
      <sheetName val="WorkBasedCoefficients"/>
      <sheetName val="Calibration_Work"/>
      <sheetName val="Calibration_School"/>
      <sheetName val="Calibration_Escort"/>
      <sheetName val="Calibration_Other"/>
      <sheetName val="Calibration_WorkBased"/>
    </sheetNames>
    <sheetDataSet>
      <sheetData sheetId="0">
        <row r="1">
          <cell r="P1" t="str">
            <v>ABM</v>
          </cell>
          <cell r="Z1" t="str">
            <v>Survey</v>
          </cell>
        </row>
        <row r="4">
          <cell r="X4" t="str">
            <v>Drive Alone</v>
          </cell>
        </row>
        <row r="5">
          <cell r="X5" t="str">
            <v>Shared Ride 2</v>
          </cell>
        </row>
        <row r="6">
          <cell r="X6" t="str">
            <v>Shared Ride 3+</v>
          </cell>
        </row>
        <row r="7">
          <cell r="X7" t="str">
            <v>Drive-Transit</v>
          </cell>
        </row>
        <row r="8">
          <cell r="X8" t="str">
            <v>Walk-Transit</v>
          </cell>
        </row>
        <row r="9">
          <cell r="X9" t="str">
            <v>Bike</v>
          </cell>
        </row>
        <row r="10">
          <cell r="X10" t="str">
            <v>Walk</v>
          </cell>
        </row>
        <row r="11">
          <cell r="X11" t="str">
            <v>School Bus</v>
          </cell>
        </row>
        <row r="18">
          <cell r="V18">
            <v>0.4448877673913032</v>
          </cell>
          <cell r="AD18">
            <v>0.4447764487286674</v>
          </cell>
        </row>
        <row r="19">
          <cell r="V19">
            <v>0.2716856614786935</v>
          </cell>
          <cell r="AD19">
            <v>0.27155527433985038</v>
          </cell>
        </row>
        <row r="20">
          <cell r="V20">
            <v>0.18867342472449941</v>
          </cell>
          <cell r="AD20">
            <v>0.18775524280830214</v>
          </cell>
        </row>
        <row r="21">
          <cell r="V21">
            <v>3.4617594028761139E-4</v>
          </cell>
          <cell r="AD21">
            <v>3.4253124128167485E-4</v>
          </cell>
        </row>
        <row r="22">
          <cell r="V22">
            <v>6.0341212111097173E-3</v>
          </cell>
          <cell r="AD22">
            <v>6.4120338920860857E-3</v>
          </cell>
        </row>
        <row r="23">
          <cell r="V23">
            <v>5.339077449194778E-3</v>
          </cell>
          <cell r="AD23">
            <v>5.2252096011844006E-3</v>
          </cell>
        </row>
        <row r="24">
          <cell r="V24">
            <v>3.4741420570388121E-2</v>
          </cell>
          <cell r="AD24">
            <v>3.5894743306394222E-2</v>
          </cell>
        </row>
        <row r="25">
          <cell r="V25">
            <v>4.8292351234523703E-2</v>
          </cell>
          <cell r="AD25">
            <v>4.8038516082233834E-2</v>
          </cell>
        </row>
      </sheetData>
      <sheetData refreshError="1" sheetId="1"/>
      <sheetData refreshError="1" sheetId="2"/>
      <sheetData refreshError="1" sheetId="3"/>
      <sheetData refreshError="1" sheetId="4"/>
      <sheetData refreshError="1" sheetId="5"/>
      <sheetData refreshError="1" sheetId="6"/>
      <sheetData refreshError="1" sheetId="7"/>
      <sheetData refreshError="1" sheetId="8"/>
      <sheetData refreshError="1" sheetId="9"/>
      <sheetData refreshError="1" sheetId="10"/>
      <sheetData refreshError="1" sheetId="11"/>
      <sheetData refreshError="1" sheetId="12"/>
      <sheetData refreshError="1" sheetId="13"/>
      <sheetData refreshError="1" sheetId="14"/>
      <sheetData refreshError="1" sheetId="15"/>
      <sheetData refreshError="1" sheetId="16"/>
      <sheetData refreshError="1" sheetId="17"/>
      <sheetData refreshError="1" sheetId="18"/>
      <sheetData refreshError="1" sheetId="19"/>
      <sheetData refreshError="1" sheetId="2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G50"/>
  <sheetViews>
    <sheetView workbookViewId="0">
      <selection activeCell="C46" sqref="C4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  <col min="24" max="24" customWidth="true" width="25.0" collapsed="true"/>
    <col min="25" max="33" customWidth="true" width="10.73046875" collapsed="true"/>
  </cols>
  <sheetData>
    <row ht="14.65" r="2" spans="1:21" thickBot="1" x14ac:dyDescent="0.5">
      <c r="A2" s="1" t="s">
        <v>54</v>
      </c>
      <c r="B2" s="1"/>
      <c r="C2" s="2"/>
      <c r="D2" s="2"/>
      <c r="E2" s="2"/>
      <c r="F2" s="2"/>
      <c r="G2" s="2"/>
      <c r="H2" s="2"/>
      <c r="I2" s="2"/>
      <c r="J2" s="2"/>
      <c r="L2" s="1" t="s">
        <v>25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77" t="s">
        <v>43</v>
      </c>
      <c r="C3" s="77"/>
      <c r="D3" s="77"/>
      <c r="E3" s="77"/>
      <c r="F3" s="77"/>
      <c r="G3" s="77"/>
      <c r="H3" s="77"/>
      <c r="I3" s="77"/>
      <c r="J3" s="8"/>
      <c r="L3" s="3"/>
      <c r="M3" s="77" t="s">
        <v>43</v>
      </c>
      <c r="N3" s="77"/>
      <c r="O3" s="77"/>
      <c r="P3" s="77"/>
      <c r="Q3" s="77"/>
      <c r="R3" s="77"/>
      <c r="S3" s="77"/>
      <c r="T3" s="77"/>
      <c r="U3" s="77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>
        <f>SUM(Work!B5,Workbased!B5,School!B5,Escort!B5,Personal_Business!B5,Shop!B5,Meal!B5,SocRec!B5)</f>
        <v>2496970.8001629515</v>
      </c>
      <c r="C5" s="6">
        <f>SUM(Work!C5,Workbased!C5,School!C5,Escort!C5,Personal_Business!C5,Shop!C5,Meal!C5,SocRec!C5)</f>
        <v>438672.66980927053</v>
      </c>
      <c r="D5" s="6">
        <f>SUM(Work!D5,Workbased!D5,School!D5,Escort!D5,Personal_Business!D5,Shop!D5,Meal!D5,SocRec!D5)</f>
        <v>167967.8072677477</v>
      </c>
      <c r="E5" s="6">
        <f>SUM(Work!E5,Workbased!E5,School!E5,Escort!E5,Personal_Business!E5,Shop!E5,Meal!E5,SocRec!E5)</f>
        <v>19689.733395220854</v>
      </c>
      <c r="F5" s="6">
        <f>SUM(Work!F5,Workbased!F5,School!F5,Escort!F5,Personal_Business!F5,Shop!F5,Meal!F5,SocRec!F5)</f>
        <v>794.14749932657401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120.07573796688899</v>
      </c>
      <c r="J5" s="6">
        <f>SUM(B5:I5)</f>
        <v>3124215.233872484</v>
      </c>
      <c r="K5" s="6"/>
      <c r="L5" t="s">
        <v>1</v>
      </c>
      <c r="M5" s="6">
        <f>SUM(Work!N5,Workbased!M5,School!N5,Escort!M5,Personal_Business!M5,Shop!M5,Meal!M5,SocRec!M5)</f>
        <v>1369272</v>
      </c>
      <c r="N5" s="6">
        <f>SUM(Work!O5,Workbased!N5,School!O5,Escort!N5,Personal_Business!N5,Shop!N5,Meal!N5,SocRec!N5)</f>
        <v>1037101</v>
      </c>
      <c r="O5" s="6">
        <f>SUM(Work!P5,Workbased!O5,School!P5,Escort!O5,Personal_Business!O5,Shop!O5,Meal!O5,SocRec!O5)</f>
        <v>198618</v>
      </c>
      <c r="P5" s="6">
        <f>SUM(Work!Q5,Workbased!P5,School!Q5,Escort!P5,Personal_Business!P5,Shop!P5,Meal!P5,SocRec!P5)</f>
        <v>66016</v>
      </c>
      <c r="Q5" s="6">
        <f>SUM(Work!R5,Workbased!Q5,School!R5,Escort!Q5,Personal_Business!Q5,Shop!Q5,Meal!Q5,SocRec!Q5)</f>
        <v>190</v>
      </c>
      <c r="R5" s="6">
        <f>SUM(Work!S5,Workbased!R5,School!S5,Escort!R5,Personal_Business!R5,Shop!R5,Meal!R5,SocRec!R5)</f>
        <v>25</v>
      </c>
      <c r="S5" s="6">
        <f>SUM(Work!T5,Workbased!S5,School!T5,Escort!S5,Personal_Business!S5,Shop!S5,Meal!S5,SocRec!S5)</f>
        <v>0</v>
      </c>
      <c r="T5" s="6">
        <f>SUM(Work!U5,Workbased!T5,School!U5,Escort!T5,Personal_Business!T5,Shop!T5,Meal!T5,SocRec!T5)</f>
        <v>959</v>
      </c>
      <c r="U5" s="6">
        <f ref="U5:U15" si="0" t="shared">SUM(M5:T5)</f>
        <v>2672181</v>
      </c>
    </row>
    <row r="6" spans="1:21" x14ac:dyDescent="0.4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1214870.7535395045</v>
      </c>
      <c r="D6" s="6">
        <f>SUM(Work!D6,Workbased!D6,School!D6,Escort!D6,Personal_Business!D6,Shop!D6,Meal!D6,SocRec!D6)</f>
        <v>202681.96554775775</v>
      </c>
      <c r="E6" s="6">
        <f>SUM(Work!E6,Workbased!E6,School!E6,Escort!E6,Personal_Business!E6,Shop!E6,Meal!E6,SocRec!E6)</f>
        <v>5590.428127365557</v>
      </c>
      <c r="F6" s="6">
        <f>SUM(Work!F6,Workbased!F6,School!F6,Escort!F6,Personal_Business!F6,Shop!F6,Meal!F6,SocRec!F6)</f>
        <v>3029.6271962520777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26954.763826790735</v>
      </c>
      <c r="J6" s="6">
        <f ref="J6:J15" si="1" t="shared">SUM(B6:I6)</f>
        <v>1453127.5382376707</v>
      </c>
      <c r="K6" s="6"/>
      <c r="L6" t="s">
        <v>12</v>
      </c>
      <c r="M6" s="6">
        <f>SUM(Work!N6,Workbased!M6,School!N6,Escort!M6,Personal_Business!M6,Shop!M6,Meal!M6,SocRec!M6)</f>
        <v>0</v>
      </c>
      <c r="N6" s="6">
        <f>SUM(Work!O6,Workbased!N6,School!O6,Escort!N6,Personal_Business!N6,Shop!N6,Meal!N6,SocRec!N6)</f>
        <v>337124</v>
      </c>
      <c r="O6" s="6">
        <f>SUM(Work!P6,Workbased!O6,School!P6,Escort!O6,Personal_Business!O6,Shop!O6,Meal!O6,SocRec!O6)</f>
        <v>798254</v>
      </c>
      <c r="P6" s="6">
        <f>SUM(Work!Q6,Workbased!P6,School!Q6,Escort!P6,Personal_Business!P6,Shop!P6,Meal!P6,SocRec!P6)</f>
        <v>108360</v>
      </c>
      <c r="Q6" s="6">
        <f>SUM(Work!R6,Workbased!Q6,School!R6,Escort!Q6,Personal_Business!Q6,Shop!Q6,Meal!Q6,SocRec!Q6)</f>
        <v>1232</v>
      </c>
      <c r="R6" s="6">
        <f>SUM(Work!S6,Workbased!R6,School!S6,Escort!R6,Personal_Business!R6,Shop!R6,Meal!R6,SocRec!R6)</f>
        <v>1211</v>
      </c>
      <c r="S6" s="6">
        <f>SUM(Work!T6,Workbased!S6,School!T6,Escort!S6,Personal_Business!S6,Shop!S6,Meal!S6,SocRec!S6)</f>
        <v>0</v>
      </c>
      <c r="T6" s="6">
        <f>SUM(Work!U6,Workbased!T6,School!U6,Escort!T6,Personal_Business!T6,Shop!T6,Meal!T6,SocRec!T6)</f>
        <v>26246</v>
      </c>
      <c r="U6" s="6">
        <f si="0" t="shared"/>
        <v>1272427</v>
      </c>
    </row>
    <row r="7" spans="1:21" x14ac:dyDescent="0.45">
      <c r="A7" t="s">
        <v>52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831458.55285842612</v>
      </c>
      <c r="E7" s="6">
        <f>SUM(Work!E7,Workbased!E7,School!E7,Escort!E7,Personal_Business!E7,Shop!E7,Meal!E7,SocRec!E7)</f>
        <v>1440.0910258387958</v>
      </c>
      <c r="F7" s="6">
        <f>SUM(Work!F7,Workbased!F7,School!F7,Escort!F7,Personal_Business!F7,Shop!F7,Meal!F7,SocRec!F7)</f>
        <v>2493.0925379126129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28106.585685034883</v>
      </c>
      <c r="J7" s="6">
        <f si="1" t="shared"/>
        <v>863498.32210721239</v>
      </c>
      <c r="K7" s="6"/>
      <c r="L7" t="s">
        <v>52</v>
      </c>
      <c r="M7" s="6">
        <f>SUM(Work!N7,Workbased!M7,School!N7,Escort!M7,Personal_Business!M7,Shop!M7,Meal!M7,SocRec!M7)</f>
        <v>0</v>
      </c>
      <c r="N7" s="6">
        <f>SUM(Work!O7,Workbased!N7,School!O7,Escort!N7,Personal_Business!N7,Shop!N7,Meal!N7,SocRec!N7)</f>
        <v>0</v>
      </c>
      <c r="O7" s="6">
        <f>SUM(Work!P7,Workbased!O7,School!P7,Escort!O7,Personal_Business!O7,Shop!O7,Meal!O7,SocRec!O7)</f>
        <v>253523</v>
      </c>
      <c r="P7" s="6">
        <f>SUM(Work!Q7,Workbased!P7,School!Q7,Escort!P7,Personal_Business!P7,Shop!P7,Meal!P7,SocRec!P7)</f>
        <v>442803</v>
      </c>
      <c r="Q7" s="6">
        <f>SUM(Work!R7,Workbased!Q7,School!R7,Escort!Q7,Personal_Business!Q7,Shop!Q7,Meal!Q7,SocRec!Q7)</f>
        <v>434</v>
      </c>
      <c r="R7" s="6">
        <f>SUM(Work!S7,Workbased!R7,School!S7,Escort!R7,Personal_Business!R7,Shop!R7,Meal!R7,SocRec!R7)</f>
        <v>381</v>
      </c>
      <c r="S7" s="6">
        <f>SUM(Work!T7,Workbased!S7,School!T7,Escort!S7,Personal_Business!S7,Shop!S7,Meal!S7,SocRec!S7)</f>
        <v>0</v>
      </c>
      <c r="T7" s="6">
        <f>SUM(Work!U7,Workbased!T7,School!U7,Escort!T7,Personal_Business!T7,Shop!T7,Meal!T7,SocRec!T7)</f>
        <v>28766</v>
      </c>
      <c r="U7" s="6">
        <f si="0" t="shared"/>
        <v>725907</v>
      </c>
    </row>
    <row r="8" spans="1:21" x14ac:dyDescent="0.45">
      <c r="A8" t="s">
        <v>47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10948.330774724996</v>
      </c>
      <c r="F8" s="6">
        <f>SUM(Work!F8,Workbased!F8,School!F8,Escort!F8,Personal_Business!F8,Shop!F8,Meal!F8,SocRec!F8)</f>
        <v>42059.675895028267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103.976599083586</v>
      </c>
      <c r="J8" s="6">
        <f si="1" t="shared"/>
        <v>53111.983268836848</v>
      </c>
      <c r="K8" s="6"/>
      <c r="L8" t="s">
        <v>47</v>
      </c>
      <c r="M8" s="6">
        <f>SUM(Work!N8,Workbased!M8,School!N8,Escort!M8,Personal_Business!M8,Shop!M8,Meal!M8,SocRec!M8)</f>
        <v>0</v>
      </c>
      <c r="N8" s="6">
        <f>SUM(Work!O8,Workbased!N8,School!O8,Escort!N8,Personal_Business!N8,Shop!N8,Meal!N8,SocRec!N8)</f>
        <v>0</v>
      </c>
      <c r="O8" s="6">
        <f>SUM(Work!P8,Workbased!O8,School!P8,Escort!O8,Personal_Business!O8,Shop!O8,Meal!O8,SocRec!O8)</f>
        <v>0</v>
      </c>
      <c r="P8" s="6">
        <f>SUM(Work!Q8,Workbased!P8,School!Q8,Escort!P8,Personal_Business!P8,Shop!P8,Meal!P8,SocRec!P8)</f>
        <v>926</v>
      </c>
      <c r="Q8" s="6">
        <f>SUM(Work!R8,Workbased!Q8,School!R8,Escort!Q8,Personal_Business!Q8,Shop!Q8,Meal!Q8,SocRec!Q8)</f>
        <v>10635</v>
      </c>
      <c r="R8" s="6">
        <f>SUM(Work!S8,Workbased!R8,School!S8,Escort!R8,Personal_Business!R8,Shop!R8,Meal!R8,SocRec!R8)</f>
        <v>9435</v>
      </c>
      <c r="S8" s="6">
        <f>SUM(Work!T8,Workbased!S8,School!T8,Escort!S8,Personal_Business!S8,Shop!S8,Meal!S8,SocRec!S8)</f>
        <v>0</v>
      </c>
      <c r="T8" s="6">
        <f>SUM(Work!U8,Workbased!T8,School!U8,Escort!T8,Personal_Business!T8,Shop!T8,Meal!T8,SocRec!T8)</f>
        <v>84</v>
      </c>
      <c r="U8" s="6">
        <f si="0" t="shared"/>
        <v>21080</v>
      </c>
    </row>
    <row r="9" spans="1:21" x14ac:dyDescent="0.45">
      <c r="A9" t="s">
        <v>48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48</v>
      </c>
      <c r="M9" s="6">
        <f>SUM(Work!N9,Workbased!M9,School!N9,Escort!M9,Personal_Business!M9,Shop!M9,Meal!M9,SocRec!M9)</f>
        <v>0</v>
      </c>
      <c r="N9" s="6">
        <f>SUM(Work!O9,Workbased!N9,School!O9,Escort!N9,Personal_Business!N9,Shop!N9,Meal!N9,SocRec!N9)</f>
        <v>0</v>
      </c>
      <c r="O9" s="6">
        <f>SUM(Work!P9,Workbased!O9,School!P9,Escort!O9,Personal_Business!O9,Shop!O9,Meal!O9,SocRec!O9)</f>
        <v>0</v>
      </c>
      <c r="P9" s="6">
        <f>SUM(Work!Q9,Workbased!P9,School!Q9,Escort!P9,Personal_Business!P9,Shop!P9,Meal!P9,SocRec!P9)</f>
        <v>0</v>
      </c>
      <c r="Q9" s="6">
        <f>SUM(Work!R9,Workbased!Q9,School!R9,Escort!Q9,Personal_Business!Q9,Shop!Q9,Meal!Q9,SocRec!Q9)</f>
        <v>0</v>
      </c>
      <c r="R9" s="6">
        <f>SUM(Work!S9,Workbased!R9,School!S9,Escort!R9,Personal_Business!R9,Shop!R9,Meal!R9,SocRec!R9)</f>
        <v>0</v>
      </c>
      <c r="S9" s="6">
        <f>SUM(Work!T9,Workbased!S9,School!T9,Escort!S9,Personal_Business!S9,Shop!S9,Meal!S9,SocRec!S9)</f>
        <v>0</v>
      </c>
      <c r="T9" s="6">
        <f>SUM(Work!U9,Workbased!T9,School!U9,Escort!T9,Personal_Business!T9,Shop!T9,Meal!T9,SocRec!T9)</f>
        <v>0</v>
      </c>
      <c r="U9" s="6">
        <f si="0" t="shared"/>
        <v>0</v>
      </c>
    </row>
    <row r="10" spans="1:21" x14ac:dyDescent="0.45">
      <c r="A10" t="s">
        <v>49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4919.1245846323545</v>
      </c>
      <c r="F10" s="6">
        <f>SUM(Work!F10,Workbased!F10,School!F10,Escort!F10,Personal_Business!F10,Shop!F10,Meal!F10,SocRec!F10)</f>
        <v>2848.4516193283803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7767.5762039607343</v>
      </c>
      <c r="K10" s="6"/>
      <c r="L10" t="s">
        <v>49</v>
      </c>
      <c r="M10" s="6">
        <f>SUM(Work!N10,Workbased!M10,School!N10,Escort!M10,Personal_Business!M10,Shop!M10,Meal!M10,SocRec!M10)</f>
        <v>0</v>
      </c>
      <c r="N10" s="6">
        <f>SUM(Work!O10,Workbased!N10,School!O10,Escort!N10,Personal_Business!N10,Shop!N10,Meal!N10,SocRec!N10)</f>
        <v>0</v>
      </c>
      <c r="O10" s="6">
        <f>SUM(Work!P10,Workbased!O10,School!P10,Escort!O10,Personal_Business!O10,Shop!O10,Meal!O10,SocRec!O10)</f>
        <v>0</v>
      </c>
      <c r="P10" s="6">
        <f>SUM(Work!Q10,Workbased!P10,School!Q10,Escort!P10,Personal_Business!P10,Shop!P10,Meal!P10,SocRec!P10)</f>
        <v>94</v>
      </c>
      <c r="Q10" s="6">
        <f>SUM(Work!R10,Workbased!Q10,School!R10,Escort!Q10,Personal_Business!Q10,Shop!Q10,Meal!Q10,SocRec!Q10)</f>
        <v>52</v>
      </c>
      <c r="R10" s="6">
        <f>SUM(Work!S10,Workbased!R10,School!S10,Escort!R10,Personal_Business!R10,Shop!R10,Meal!R10,SocRec!R10)</f>
        <v>59</v>
      </c>
      <c r="S10" s="6">
        <f>SUM(Work!T10,Workbased!S10,School!T10,Escort!S10,Personal_Business!S10,Shop!S10,Meal!S10,SocRec!S10)</f>
        <v>0</v>
      </c>
      <c r="T10" s="6">
        <f>SUM(Work!U10,Workbased!T10,School!U10,Escort!T10,Personal_Business!T10,Shop!T10,Meal!T10,SocRec!T10)</f>
        <v>2</v>
      </c>
      <c r="U10" s="6">
        <f si="0" t="shared"/>
        <v>207</v>
      </c>
    </row>
    <row r="11" spans="1:21" x14ac:dyDescent="0.45">
      <c r="A11" t="s">
        <v>50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4332.07001899226</v>
      </c>
      <c r="F11" s="6">
        <f>SUM(Work!F11,Workbased!F11,School!F11,Escort!F11,Personal_Business!F11,Shop!F11,Meal!F11,SocRec!F11)</f>
        <v>172.3513929340715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4504.4214119263315</v>
      </c>
      <c r="K11" s="6"/>
      <c r="L11" t="s">
        <v>50</v>
      </c>
      <c r="M11" s="6">
        <f>SUM(Work!N11,Workbased!M11,School!N11,Escort!M11,Personal_Business!M11,Shop!M11,Meal!M11,SocRec!M11)</f>
        <v>0</v>
      </c>
      <c r="N11" s="6">
        <f>SUM(Work!O11,Workbased!N11,School!O11,Escort!N11,Personal_Business!N11,Shop!N11,Meal!N11,SocRec!N11)</f>
        <v>0</v>
      </c>
      <c r="O11" s="6">
        <f>SUM(Work!P11,Workbased!O11,School!P11,Escort!O11,Personal_Business!O11,Shop!O11,Meal!O11,SocRec!O11)</f>
        <v>0</v>
      </c>
      <c r="P11" s="6">
        <f>SUM(Work!Q11,Workbased!P11,School!Q11,Escort!P11,Personal_Business!P11,Shop!P11,Meal!P11,SocRec!P11)</f>
        <v>250</v>
      </c>
      <c r="Q11" s="6">
        <f>SUM(Work!R11,Workbased!Q11,School!R11,Escort!Q11,Personal_Business!Q11,Shop!Q11,Meal!Q11,SocRec!Q11)</f>
        <v>155</v>
      </c>
      <c r="R11" s="6">
        <f>SUM(Work!S11,Workbased!R11,School!S11,Escort!R11,Personal_Business!R11,Shop!R11,Meal!R11,SocRec!R11)</f>
        <v>31</v>
      </c>
      <c r="S11" s="6">
        <f>SUM(Work!T11,Workbased!S11,School!T11,Escort!S11,Personal_Business!S11,Shop!S11,Meal!S11,SocRec!S11)</f>
        <v>0</v>
      </c>
      <c r="T11" s="6">
        <f>SUM(Work!U11,Workbased!T11,School!U11,Escort!T11,Personal_Business!T11,Shop!T11,Meal!T11,SocRec!T11)</f>
        <v>3</v>
      </c>
      <c r="U11" s="6">
        <f si="0" t="shared"/>
        <v>439</v>
      </c>
    </row>
    <row r="12" spans="1:21" x14ac:dyDescent="0.45">
      <c r="A12" t="s">
        <v>51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51</v>
      </c>
      <c r="M12" s="6">
        <f>SUM(Work!N12,Workbased!M12,School!N12,Escort!M12,Personal_Business!M12,Shop!M12,Meal!M12,SocRec!M12)</f>
        <v>0</v>
      </c>
      <c r="N12" s="6">
        <f>SUM(Work!O12,Workbased!N12,School!O12,Escort!N12,Personal_Business!N12,Shop!N12,Meal!N12,SocRec!N12)</f>
        <v>0</v>
      </c>
      <c r="O12" s="6">
        <f>SUM(Work!P12,Workbased!O12,School!P12,Escort!O12,Personal_Business!O12,Shop!O12,Meal!O12,SocRec!O12)</f>
        <v>0</v>
      </c>
      <c r="P12" s="6">
        <f>SUM(Work!Q12,Workbased!P12,School!Q12,Escort!P12,Personal_Business!P12,Shop!P12,Meal!P12,SocRec!P12)</f>
        <v>16</v>
      </c>
      <c r="Q12" s="6">
        <f>SUM(Work!R12,Workbased!Q12,School!R12,Escort!Q12,Personal_Business!Q12,Shop!Q12,Meal!Q12,SocRec!Q12)</f>
        <v>170</v>
      </c>
      <c r="R12" s="6">
        <f>SUM(Work!S12,Workbased!R12,School!S12,Escort!R12,Personal_Business!R12,Shop!R12,Meal!R12,SocRec!R12)</f>
        <v>12</v>
      </c>
      <c r="S12" s="6">
        <f>SUM(Work!T12,Workbased!S12,School!T12,Escort!S12,Personal_Business!S12,Shop!S12,Meal!S12,SocRec!S12)</f>
        <v>0</v>
      </c>
      <c r="T12" s="6">
        <f>SUM(Work!U12,Workbased!T12,School!U12,Escort!T12,Personal_Business!T12,Shop!T12,Meal!T12,SocRec!T12)</f>
        <v>2</v>
      </c>
      <c r="U12" s="6">
        <f si="0" t="shared"/>
        <v>200</v>
      </c>
    </row>
    <row r="13" spans="1:21" x14ac:dyDescent="0.45">
      <c r="A13" t="s">
        <v>23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181727.12897528615</v>
      </c>
      <c r="J13" s="6">
        <f si="1" t="shared"/>
        <v>181727.12897528615</v>
      </c>
      <c r="K13" s="6"/>
      <c r="L13" t="s">
        <v>23</v>
      </c>
      <c r="M13" s="6">
        <f>SUM(Work!N13,Workbased!M13,School!N13,Escort!M13,Personal_Business!M13,Shop!M13,Meal!M13,SocRec!M13)</f>
        <v>0</v>
      </c>
      <c r="N13" s="6">
        <f>SUM(Work!O13,Workbased!N13,School!O13,Escort!N13,Personal_Business!N13,Shop!N13,Meal!N13,SocRec!N13)</f>
        <v>0</v>
      </c>
      <c r="O13" s="6">
        <f>SUM(Work!P13,Workbased!O13,School!P13,Escort!O13,Personal_Business!O13,Shop!O13,Meal!O13,SocRec!O13)</f>
        <v>0</v>
      </c>
      <c r="P13" s="6">
        <f>SUM(Work!Q13,Workbased!P13,School!Q13,Escort!P13,Personal_Business!P13,Shop!P13,Meal!P13,SocRec!P13)</f>
        <v>0</v>
      </c>
      <c r="Q13" s="6">
        <f>SUM(Work!R13,Workbased!Q13,School!R13,Escort!Q13,Personal_Business!Q13,Shop!Q13,Meal!Q13,SocRec!Q13)</f>
        <v>0</v>
      </c>
      <c r="R13" s="6">
        <f>SUM(Work!S13,Workbased!R13,School!S13,Escort!R13,Personal_Business!R13,Shop!R13,Meal!R13,SocRec!R13)</f>
        <v>0</v>
      </c>
      <c r="S13" s="6">
        <f>SUM(Work!T13,Workbased!S13,School!T13,Escort!S13,Personal_Business!S13,Shop!S13,Meal!S13,SocRec!S13)</f>
        <v>0</v>
      </c>
      <c r="T13" s="6">
        <f>SUM(Work!U13,Workbased!T13,School!U13,Escort!T13,Personal_Business!T13,Shop!T13,Meal!T13,SocRec!T13)</f>
        <v>149132</v>
      </c>
      <c r="U13" s="6">
        <f si="0" t="shared"/>
        <v>149132</v>
      </c>
    </row>
    <row r="14" spans="1:21" x14ac:dyDescent="0.45">
      <c r="A14" t="s">
        <v>4</v>
      </c>
      <c r="B14" s="6">
        <f>SUM(Work!B14,Workbased!B14,School!B14,Escort!B14,Personal_Business!B14,Shop!B14,Meal!B14,SocRec!B14)</f>
        <v>1170.0451481631296</v>
      </c>
      <c r="C14" s="6">
        <f>SUM(Work!C14,Workbased!C14,School!C14,Escort!C14,Personal_Business!C14,Shop!C14,Meal!C14,SocRec!C14)</f>
        <v>542.65307633791417</v>
      </c>
      <c r="D14" s="6">
        <f>SUM(Work!D14,Workbased!D14,School!D14,Escort!D14,Personal_Business!D14,Shop!D14,Meal!D14,SocRec!D14)</f>
        <v>1044.4389818603681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425.1242784011427</v>
      </c>
      <c r="G14" s="6">
        <f>SUM(Work!G14,Workbased!G14,School!G14,Escort!G14,Personal_Business!G14,Shop!G14,Meal!G14,SocRec!G14)</f>
        <v>23744.670752953971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133.7152485297986</v>
      </c>
      <c r="J14" s="6">
        <f si="1" t="shared"/>
        <v>27060.647486246326</v>
      </c>
      <c r="K14" s="6"/>
      <c r="L14" t="s">
        <v>4</v>
      </c>
      <c r="M14" s="6">
        <f>SUM(Work!N14,Workbased!M14,School!N14,Escort!M14,Personal_Business!M14,Shop!M14,Meal!M14,SocRec!M14)</f>
        <v>163</v>
      </c>
      <c r="N14" s="6">
        <f>SUM(Work!O14,Workbased!N14,School!O14,Escort!N14,Personal_Business!N14,Shop!N14,Meal!N14,SocRec!N14)</f>
        <v>872</v>
      </c>
      <c r="O14" s="6">
        <f>SUM(Work!P14,Workbased!O14,School!P14,Escort!O14,Personal_Business!O14,Shop!O14,Meal!O14,SocRec!O14)</f>
        <v>1164</v>
      </c>
      <c r="P14" s="6">
        <f>SUM(Work!Q14,Workbased!P14,School!Q14,Escort!P14,Personal_Business!P14,Shop!P14,Meal!P14,SocRec!P14)</f>
        <v>668</v>
      </c>
      <c r="Q14" s="6">
        <f>SUM(Work!R14,Workbased!Q14,School!R14,Escort!Q14,Personal_Business!Q14,Shop!Q14,Meal!Q14,SocRec!Q14)</f>
        <v>190</v>
      </c>
      <c r="R14" s="6">
        <f>SUM(Work!S14,Workbased!R14,School!S14,Escort!R14,Personal_Business!R14,Shop!R14,Meal!R14,SocRec!R14)</f>
        <v>11882</v>
      </c>
      <c r="S14" s="6">
        <f>SUM(Work!T14,Workbased!S14,School!T14,Escort!S14,Personal_Business!S14,Shop!S14,Meal!S14,SocRec!S14)</f>
        <v>11659</v>
      </c>
      <c r="T14" s="6">
        <f>SUM(Work!U14,Workbased!T14,School!U14,Escort!T14,Personal_Business!T14,Shop!T14,Meal!T14,SocRec!T14)</f>
        <v>391</v>
      </c>
      <c r="U14" s="6">
        <f si="0" t="shared"/>
        <v>26989</v>
      </c>
    </row>
    <row r="15" spans="1:21" x14ac:dyDescent="0.45">
      <c r="A15" s="4" t="s">
        <v>5</v>
      </c>
      <c r="B15" s="6">
        <f>SUM(Work!B15,Workbased!B15,School!B15,Escort!B15,Personal_Business!B15,Shop!B15,Meal!B15,SocRec!B15)</f>
        <v>18065.211297289865</v>
      </c>
      <c r="C15" s="6">
        <f>SUM(Work!C15,Workbased!C15,School!C15,Escort!C15,Personal_Business!C15,Shop!C15,Meal!C15,SocRec!C15)</f>
        <v>13644.278403046828</v>
      </c>
      <c r="D15" s="6">
        <f>SUM(Work!D15,Workbased!D15,School!D15,Escort!D15,Personal_Business!D15,Shop!D15,Meal!D15,SocRec!D15)</f>
        <v>15340.763282709468</v>
      </c>
      <c r="E15" s="6">
        <f>SUM(Work!E15,Workbased!E15,School!E15,Escort!E15,Personal_Business!E15,Shop!E15,Meal!E15,SocRec!E15)</f>
        <v>488.466520122519</v>
      </c>
      <c r="F15" s="6">
        <f>SUM(Work!F15,Workbased!F15,School!F15,Escort!F15,Personal_Business!F15,Shop!F15,Meal!F15,SocRec!F15)</f>
        <v>3514.2520893741275</v>
      </c>
      <c r="G15" s="6">
        <f>SUM(Work!G15,Workbased!G15,School!G15,Escort!G15,Personal_Business!G15,Shop!G15,Meal!G15,SocRec!G15)</f>
        <v>932.00885832705842</v>
      </c>
      <c r="H15" s="6">
        <f>SUM(Work!H15,Workbased!H15,School!H15,Escort!H15,Personal_Business!H15,Shop!H15,Meal!H15,SocRec!H15)</f>
        <v>162397.03628229248</v>
      </c>
      <c r="I15" s="6">
        <f>SUM(Work!I15,Workbased!I15,School!I15,Escort!I15,Personal_Business!I15,Shop!I15,Meal!I15,SocRec!I15)</f>
        <v>2746.1199630281621</v>
      </c>
      <c r="J15" s="6">
        <f si="1" t="shared"/>
        <v>217128.13669619049</v>
      </c>
      <c r="K15" s="6"/>
      <c r="L15" s="4" t="s">
        <v>5</v>
      </c>
      <c r="M15" s="6">
        <f>SUM(Work!N15,Workbased!M15,School!N15,Escort!M15,Personal_Business!M15,Shop!M15,Meal!M15,SocRec!M15)</f>
        <v>1291</v>
      </c>
      <c r="N15" s="6">
        <f>SUM(Work!O15,Workbased!N15,School!O15,Escort!N15,Personal_Business!N15,Shop!N15,Meal!N15,SocRec!N15)</f>
        <v>2777</v>
      </c>
      <c r="O15" s="6">
        <f>SUM(Work!P15,Workbased!O15,School!P15,Escort!O15,Personal_Business!O15,Shop!O15,Meal!O15,SocRec!O15)</f>
        <v>2006</v>
      </c>
      <c r="P15" s="6">
        <f>SUM(Work!Q15,Workbased!P15,School!Q15,Escort!P15,Personal_Business!P15,Shop!P15,Meal!P15,SocRec!P15)</f>
        <v>683</v>
      </c>
      <c r="Q15" s="6">
        <f>SUM(Work!R15,Workbased!Q15,School!R15,Escort!Q15,Personal_Business!Q15,Shop!Q15,Meal!Q15,SocRec!Q15)</f>
        <v>131</v>
      </c>
      <c r="R15" s="6">
        <f>SUM(Work!S15,Workbased!R15,School!S15,Escort!R15,Personal_Business!R15,Shop!R15,Meal!R15,SocRec!R15)</f>
        <v>183</v>
      </c>
      <c r="S15" s="6">
        <f>SUM(Work!T15,Workbased!S15,School!T15,Escort!S15,Personal_Business!S15,Shop!S15,Meal!S15,SocRec!S15)</f>
        <v>27321</v>
      </c>
      <c r="T15" s="6">
        <f>SUM(Work!U15,Workbased!T15,School!U15,Escort!T15,Personal_Business!T15,Shop!T15,Meal!T15,SocRec!T15)</f>
        <v>125231</v>
      </c>
      <c r="U15" s="6">
        <f si="0" t="shared"/>
        <v>159623</v>
      </c>
    </row>
    <row ht="14.65" r="16" spans="1:21" thickBot="1" x14ac:dyDescent="0.5">
      <c r="A16" s="9" t="s">
        <v>7</v>
      </c>
      <c r="B16" s="13">
        <f ref="B16:J16" si="2" t="shared">SUM(B5:B15)</f>
        <v>2516206.0566084045</v>
      </c>
      <c r="C16" s="13">
        <f si="2" t="shared"/>
        <v>1667730.3548281598</v>
      </c>
      <c r="D16" s="13">
        <f si="2" t="shared"/>
        <v>1218493.5279385014</v>
      </c>
      <c r="E16" s="13">
        <f si="2" t="shared"/>
        <v>47408.244446897341</v>
      </c>
      <c r="F16" s="13">
        <f si="2" t="shared"/>
        <v>55336.722508557243</v>
      </c>
      <c r="G16" s="13">
        <f si="2" t="shared"/>
        <v>24676.67961128103</v>
      </c>
      <c r="H16" s="13">
        <f si="2" t="shared"/>
        <v>162397.03628229248</v>
      </c>
      <c r="I16" s="13">
        <f si="2" t="shared"/>
        <v>239892.36603572019</v>
      </c>
      <c r="J16" s="13">
        <f si="2" t="shared"/>
        <v>5932140.9882598137</v>
      </c>
      <c r="L16" s="7" t="s">
        <v>7</v>
      </c>
      <c r="M16" s="13">
        <f ref="M16:U16" si="3" t="shared">SUM(M5:M15)</f>
        <v>1370726</v>
      </c>
      <c r="N16" s="13">
        <f si="3" t="shared"/>
        <v>1377874</v>
      </c>
      <c r="O16" s="13">
        <f si="3" t="shared"/>
        <v>1253565</v>
      </c>
      <c r="P16" s="13">
        <f si="3" t="shared"/>
        <v>619816</v>
      </c>
      <c r="Q16" s="13">
        <f si="3" t="shared"/>
        <v>13189</v>
      </c>
      <c r="R16" s="13">
        <f si="3" t="shared"/>
        <v>23219</v>
      </c>
      <c r="S16" s="13">
        <f si="3" t="shared"/>
        <v>38980</v>
      </c>
      <c r="T16" s="13">
        <f si="3" t="shared"/>
        <v>330816</v>
      </c>
      <c r="U16" s="13">
        <f si="3" t="shared"/>
        <v>5028185</v>
      </c>
    </row>
    <row ht="14.65" r="19" spans="1:21" thickBot="1" x14ac:dyDescent="0.5">
      <c r="A19" s="1" t="s">
        <v>55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77" t="s">
        <v>43</v>
      </c>
      <c r="C20" s="77"/>
      <c r="D20" s="77"/>
      <c r="E20" s="77"/>
      <c r="F20" s="77"/>
      <c r="G20" s="77"/>
      <c r="H20" s="77"/>
      <c r="I20" s="77"/>
      <c r="J20" s="8"/>
      <c r="L20" s="3"/>
      <c r="M20" s="77" t="s">
        <v>43</v>
      </c>
      <c r="N20" s="77"/>
      <c r="O20" s="77"/>
      <c r="P20" s="77"/>
      <c r="Q20" s="77"/>
      <c r="R20" s="77"/>
      <c r="S20" s="77"/>
      <c r="T20" s="77"/>
      <c r="U20" s="77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0">
        <f ref="B22:D33" si="4" t="shared">B5/B$16</f>
        <v>0.99235545260892499</v>
      </c>
      <c r="C22" s="10">
        <f si="4" t="shared"/>
        <v>0.26303572909091211</v>
      </c>
      <c r="D22" s="10">
        <f si="4" t="shared"/>
        <v>0.13784874799616104</v>
      </c>
      <c r="E22" s="10">
        <f ref="E22:E33" si="5" t="shared">IF(E$16&gt;0,E5/E$16,0)</f>
        <v>0.41532298073757212</v>
      </c>
      <c r="F22" s="10">
        <f ref="F22:J33" si="6" t="shared">F5/F$16</f>
        <v>1.4351184228588302E-2</v>
      </c>
      <c r="G22" s="10">
        <f si="6" t="shared"/>
        <v>0</v>
      </c>
      <c r="H22" s="10">
        <f si="6" t="shared"/>
        <v>0</v>
      </c>
      <c r="I22" s="10">
        <f si="6" t="shared"/>
        <v>5.0054005448847672E-4</v>
      </c>
      <c r="J22" s="10">
        <f si="6" t="shared"/>
        <v>0.52665896512836741</v>
      </c>
      <c r="K22" s="6"/>
      <c r="L22" t="s">
        <v>1</v>
      </c>
      <c r="M22" s="10">
        <f ref="M22:P22" si="7" t="shared">M5/M$16</f>
        <v>0.998939248252386</v>
      </c>
      <c r="N22" s="10">
        <f si="7" t="shared"/>
        <v>0.75268203043239079</v>
      </c>
      <c r="O22" s="10">
        <f si="7" t="shared"/>
        <v>0.15844252192746289</v>
      </c>
      <c r="P22" s="10">
        <f si="7" t="shared"/>
        <v>0.10650902848587322</v>
      </c>
      <c r="Q22" s="10">
        <f ref="Q22:U33" si="8" t="shared">Q5/Q$16</f>
        <v>1.4405944347562363E-2</v>
      </c>
      <c r="R22" s="10">
        <f si="8" t="shared"/>
        <v>1.0767044231017701E-3</v>
      </c>
      <c r="S22" s="10">
        <f si="8" t="shared"/>
        <v>0</v>
      </c>
      <c r="T22" s="10">
        <f si="8" t="shared"/>
        <v>2.8988924356742117E-3</v>
      </c>
      <c r="U22" s="10">
        <f si="8" t="shared"/>
        <v>0.53144047007021422</v>
      </c>
    </row>
    <row r="23" spans="1:21" x14ac:dyDescent="0.45">
      <c r="A23" t="s">
        <v>12</v>
      </c>
      <c r="B23" s="10">
        <f si="4" t="shared"/>
        <v>0</v>
      </c>
      <c r="C23" s="10">
        <f si="4" t="shared"/>
        <v>0.72845754112611494</v>
      </c>
      <c r="D23" s="10">
        <f si="4" t="shared"/>
        <v>0.16633815518960007</v>
      </c>
      <c r="E23" s="10">
        <f si="5" t="shared"/>
        <v>0.11792101126266079</v>
      </c>
      <c r="F23" s="10">
        <f si="6" t="shared"/>
        <v>5.4748945346077875E-2</v>
      </c>
      <c r="G23" s="10">
        <f si="6" t="shared"/>
        <v>0</v>
      </c>
      <c r="H23" s="10">
        <f si="6" t="shared"/>
        <v>0</v>
      </c>
      <c r="I23" s="10">
        <f si="6" t="shared"/>
        <v>0.11236190743467488</v>
      </c>
      <c r="J23" s="10">
        <f si="6" t="shared"/>
        <v>0.24495836176407934</v>
      </c>
      <c r="K23" s="6"/>
      <c r="L23" t="s">
        <v>12</v>
      </c>
      <c r="M23" s="10">
        <f ref="M23:P23" si="9" t="shared">M6/M$16</f>
        <v>0</v>
      </c>
      <c r="N23" s="10">
        <f si="9" t="shared"/>
        <v>0.24466968677832662</v>
      </c>
      <c r="O23" s="10">
        <f si="9" t="shared"/>
        <v>0.63678708323860356</v>
      </c>
      <c r="P23" s="10">
        <f si="9" t="shared"/>
        <v>0.17482607741652362</v>
      </c>
      <c r="Q23" s="10">
        <f si="8" t="shared"/>
        <v>9.3411175979983316E-2</v>
      </c>
      <c r="R23" s="10">
        <f si="8" t="shared"/>
        <v>5.2155562255049741E-2</v>
      </c>
      <c r="S23" s="10">
        <f si="8" t="shared"/>
        <v>0</v>
      </c>
      <c r="T23" s="10">
        <f si="8" t="shared"/>
        <v>7.9337154188431028E-2</v>
      </c>
      <c r="U23" s="10">
        <f si="8" t="shared"/>
        <v>0.25305890694157035</v>
      </c>
    </row>
    <row r="24" spans="1:21" x14ac:dyDescent="0.45">
      <c r="A24" t="s">
        <v>52</v>
      </c>
      <c r="B24" s="10">
        <f si="4" t="shared"/>
        <v>0</v>
      </c>
      <c r="C24" s="10">
        <f si="4" t="shared"/>
        <v>0</v>
      </c>
      <c r="D24" s="10">
        <f si="4" t="shared"/>
        <v>0.68236599850072466</v>
      </c>
      <c r="E24" s="10">
        <f si="5" t="shared"/>
        <v>3.0376383741689959E-2</v>
      </c>
      <c r="F24" s="10">
        <f si="6" t="shared"/>
        <v>4.50531297282213E-2</v>
      </c>
      <c r="G24" s="10">
        <f si="6" t="shared"/>
        <v>0</v>
      </c>
      <c r="H24" s="10">
        <f si="6" t="shared"/>
        <v>0</v>
      </c>
      <c r="I24" s="10">
        <f si="6" t="shared"/>
        <v>0.11716331848946701</v>
      </c>
      <c r="J24" s="10">
        <f si="6" t="shared"/>
        <v>0.14556267691818947</v>
      </c>
      <c r="K24" s="6"/>
      <c r="L24" t="s">
        <v>52</v>
      </c>
      <c r="M24" s="10">
        <f ref="M24:P24" si="10" t="shared">M7/M$16</f>
        <v>0</v>
      </c>
      <c r="N24" s="10">
        <f si="10" t="shared"/>
        <v>0</v>
      </c>
      <c r="O24" s="10">
        <f si="10" t="shared"/>
        <v>0.20224160693701562</v>
      </c>
      <c r="P24" s="10">
        <f si="10" t="shared"/>
        <v>0.71441040566877911</v>
      </c>
      <c r="Q24" s="10">
        <f si="8" t="shared"/>
        <v>3.2906209720221395E-2</v>
      </c>
      <c r="R24" s="10">
        <f si="8" t="shared"/>
        <v>1.6408975408070976E-2</v>
      </c>
      <c r="S24" s="10">
        <f si="8" t="shared"/>
        <v>0</v>
      </c>
      <c r="T24" s="10">
        <f si="8" t="shared"/>
        <v>8.6954681756626045E-2</v>
      </c>
      <c r="U24" s="10">
        <f si="8" t="shared"/>
        <v>0.1443675998397036</v>
      </c>
    </row>
    <row r="25" spans="1:21" x14ac:dyDescent="0.45">
      <c r="A25" t="s">
        <v>47</v>
      </c>
      <c r="B25" s="10">
        <f si="4" t="shared"/>
        <v>0</v>
      </c>
      <c r="C25" s="10">
        <f si="4" t="shared"/>
        <v>0</v>
      </c>
      <c r="D25" s="10">
        <f si="4" t="shared"/>
        <v>0</v>
      </c>
      <c r="E25" s="10">
        <f si="5" t="shared"/>
        <v>0.23093727478114867</v>
      </c>
      <c r="F25" s="10">
        <f si="6" t="shared"/>
        <v>0.76006807032209367</v>
      </c>
      <c r="G25" s="10">
        <f si="6" t="shared"/>
        <v>0</v>
      </c>
      <c r="H25" s="10">
        <f si="6" t="shared"/>
        <v>0</v>
      </c>
      <c r="I25" s="10">
        <f si="6" t="shared"/>
        <v>4.334302120647882E-4</v>
      </c>
      <c r="J25" s="10">
        <f si="6" t="shared"/>
        <v>8.9532570742923596E-3</v>
      </c>
      <c r="K25" s="6"/>
      <c r="L25" t="s">
        <v>47</v>
      </c>
      <c r="M25" s="10">
        <f ref="M25:P25" si="11" t="shared">M8/M$16</f>
        <v>0</v>
      </c>
      <c r="N25" s="10">
        <f si="11" t="shared"/>
        <v>0</v>
      </c>
      <c r="O25" s="10">
        <f si="11" t="shared"/>
        <v>0</v>
      </c>
      <c r="P25" s="10">
        <f si="11" t="shared"/>
        <v>1.4939917652980884E-3</v>
      </c>
      <c r="Q25" s="10">
        <f si="8" t="shared"/>
        <v>0.80635377966487221</v>
      </c>
      <c r="R25" s="10">
        <f si="8" t="shared"/>
        <v>0.40634824927860802</v>
      </c>
      <c r="S25" s="10">
        <f si="8" t="shared"/>
        <v>0</v>
      </c>
      <c r="T25" s="10">
        <f si="8" t="shared"/>
        <v>2.5391758560650029E-4</v>
      </c>
      <c r="U25" s="10">
        <f si="8" t="shared"/>
        <v>4.1923676237051741E-3</v>
      </c>
    </row>
    <row r="26" spans="1:21" x14ac:dyDescent="0.45">
      <c r="A26" t="s">
        <v>48</v>
      </c>
      <c r="B26" s="10">
        <f si="4" t="shared"/>
        <v>0</v>
      </c>
      <c r="C26" s="10">
        <f si="4" t="shared"/>
        <v>0</v>
      </c>
      <c r="D26" s="10">
        <f si="4" t="shared"/>
        <v>0</v>
      </c>
      <c r="E26" s="10">
        <f si="5" t="shared"/>
        <v>0</v>
      </c>
      <c r="F26" s="10">
        <f si="6" t="shared"/>
        <v>0</v>
      </c>
      <c r="G26" s="10">
        <f si="6" t="shared"/>
        <v>0</v>
      </c>
      <c r="H26" s="10">
        <f si="6" t="shared"/>
        <v>0</v>
      </c>
      <c r="I26" s="10">
        <f si="6" t="shared"/>
        <v>0</v>
      </c>
      <c r="J26" s="10">
        <f si="6" t="shared"/>
        <v>0</v>
      </c>
      <c r="K26" s="6"/>
      <c r="L26" t="s">
        <v>48</v>
      </c>
      <c r="M26" s="10">
        <f ref="M26:P26" si="12" t="shared">M9/M$16</f>
        <v>0</v>
      </c>
      <c r="N26" s="10">
        <f si="12" t="shared"/>
        <v>0</v>
      </c>
      <c r="O26" s="10">
        <f si="12" t="shared"/>
        <v>0</v>
      </c>
      <c r="P26" s="10">
        <f si="12" t="shared"/>
        <v>0</v>
      </c>
      <c r="Q26" s="10">
        <f si="8" t="shared"/>
        <v>0</v>
      </c>
      <c r="R26" s="10">
        <f si="8" t="shared"/>
        <v>0</v>
      </c>
      <c r="S26" s="10">
        <f si="8" t="shared"/>
        <v>0</v>
      </c>
      <c r="T26" s="10">
        <f si="8" t="shared"/>
        <v>0</v>
      </c>
      <c r="U26" s="10">
        <f si="8" t="shared"/>
        <v>0</v>
      </c>
    </row>
    <row r="27" spans="1:21" x14ac:dyDescent="0.45">
      <c r="A27" t="s">
        <v>49</v>
      </c>
      <c r="B27" s="10">
        <f si="4" t="shared"/>
        <v>0</v>
      </c>
      <c r="C27" s="10">
        <f si="4" t="shared"/>
        <v>0</v>
      </c>
      <c r="D27" s="10">
        <f si="4" t="shared"/>
        <v>0</v>
      </c>
      <c r="E27" s="10">
        <f si="5" t="shared"/>
        <v>0.10376095217240826</v>
      </c>
      <c r="F27" s="10">
        <f si="6" t="shared"/>
        <v>5.1474888468284276E-2</v>
      </c>
      <c r="G27" s="10">
        <f si="6" t="shared"/>
        <v>0</v>
      </c>
      <c r="H27" s="10">
        <f si="6" t="shared"/>
        <v>0</v>
      </c>
      <c r="I27" s="10">
        <f si="6" t="shared"/>
        <v>0</v>
      </c>
      <c r="J27" s="10">
        <f si="6" t="shared"/>
        <v>1.3094051910319386E-3</v>
      </c>
      <c r="K27" s="6"/>
      <c r="L27" t="s">
        <v>49</v>
      </c>
      <c r="M27" s="10">
        <f ref="M27:P27" si="13" t="shared">M10/M$16</f>
        <v>0</v>
      </c>
      <c r="N27" s="10">
        <f si="13" t="shared"/>
        <v>0</v>
      </c>
      <c r="O27" s="10">
        <f si="13" t="shared"/>
        <v>0</v>
      </c>
      <c r="P27" s="10">
        <f si="13" t="shared"/>
        <v>1.5165791138015152E-4</v>
      </c>
      <c r="Q27" s="10">
        <f si="8" t="shared"/>
        <v>3.9426795056486464E-3</v>
      </c>
      <c r="R27" s="10">
        <f si="8" t="shared"/>
        <v>2.5410224385201776E-3</v>
      </c>
      <c r="S27" s="10">
        <f si="8" t="shared"/>
        <v>0</v>
      </c>
      <c r="T27" s="10">
        <f si="8" t="shared"/>
        <v>6.0456568001547686E-6</v>
      </c>
      <c r="U27" s="10">
        <f si="8" t="shared"/>
        <v>4.1167936342835435E-5</v>
      </c>
    </row>
    <row r="28" spans="1:21" x14ac:dyDescent="0.45">
      <c r="A28" t="s">
        <v>50</v>
      </c>
      <c r="B28" s="10">
        <f si="4" t="shared"/>
        <v>0</v>
      </c>
      <c r="C28" s="10">
        <f si="4" t="shared"/>
        <v>0</v>
      </c>
      <c r="D28" s="10">
        <f si="4" t="shared"/>
        <v>0</v>
      </c>
      <c r="E28" s="10">
        <f si="5" t="shared"/>
        <v>9.1377988565779403E-2</v>
      </c>
      <c r="F28" s="10">
        <f si="6" t="shared"/>
        <v>3.114593440322006E-3</v>
      </c>
      <c r="G28" s="10">
        <f si="6" t="shared"/>
        <v>0</v>
      </c>
      <c r="H28" s="10">
        <f si="6" t="shared"/>
        <v>0</v>
      </c>
      <c r="I28" s="10">
        <f si="6" t="shared"/>
        <v>0</v>
      </c>
      <c r="J28" s="10">
        <f si="6" t="shared"/>
        <v>7.5932473972566486E-4</v>
      </c>
      <c r="K28" s="6"/>
      <c r="L28" t="s">
        <v>50</v>
      </c>
      <c r="M28" s="10">
        <f ref="M28:P28" si="14" t="shared">M11/M$16</f>
        <v>0</v>
      </c>
      <c r="N28" s="10">
        <f si="14" t="shared"/>
        <v>0</v>
      </c>
      <c r="O28" s="10">
        <f si="14" t="shared"/>
        <v>0</v>
      </c>
      <c r="P28" s="10">
        <f si="14" t="shared"/>
        <v>4.0334550898976472E-4</v>
      </c>
      <c r="Q28" s="10">
        <f si="8" t="shared"/>
        <v>1.1752217757221928E-2</v>
      </c>
      <c r="R28" s="10">
        <f si="8" t="shared"/>
        <v>1.3351134846461949E-3</v>
      </c>
      <c r="S28" s="10">
        <f si="8" t="shared"/>
        <v>0</v>
      </c>
      <c r="T28" s="10">
        <f si="8" t="shared"/>
        <v>9.0684852002321533E-6</v>
      </c>
      <c r="U28" s="10">
        <f si="8" t="shared"/>
        <v>8.7307845673936026E-5</v>
      </c>
    </row>
    <row r="29" spans="1:21" x14ac:dyDescent="0.45">
      <c r="A29" t="s">
        <v>51</v>
      </c>
      <c r="B29" s="10">
        <f si="4" t="shared"/>
        <v>0</v>
      </c>
      <c r="C29" s="10">
        <f si="4" t="shared"/>
        <v>0</v>
      </c>
      <c r="D29" s="10">
        <f si="4" t="shared"/>
        <v>0</v>
      </c>
      <c r="E29" s="10">
        <f si="5" t="shared"/>
        <v>0</v>
      </c>
      <c r="F29" s="10">
        <f si="6" t="shared"/>
        <v>0</v>
      </c>
      <c r="G29" s="10">
        <f si="6" t="shared"/>
        <v>0</v>
      </c>
      <c r="H29" s="10">
        <f si="6" t="shared"/>
        <v>0</v>
      </c>
      <c r="I29" s="10">
        <f si="6" t="shared"/>
        <v>0</v>
      </c>
      <c r="J29" s="10">
        <f si="6" t="shared"/>
        <v>0</v>
      </c>
      <c r="K29" s="6"/>
      <c r="L29" t="s">
        <v>51</v>
      </c>
      <c r="M29" s="10">
        <f ref="M29:P29" si="15" t="shared">M12/M$16</f>
        <v>0</v>
      </c>
      <c r="N29" s="10">
        <f si="15" t="shared"/>
        <v>0</v>
      </c>
      <c r="O29" s="10">
        <f si="15" t="shared"/>
        <v>0</v>
      </c>
      <c r="P29" s="10">
        <f si="15" t="shared"/>
        <v>2.5814112575344941E-5</v>
      </c>
      <c r="Q29" s="10">
        <f si="8" t="shared"/>
        <v>1.2889529153082113E-2</v>
      </c>
      <c r="R29" s="10">
        <f si="8" t="shared"/>
        <v>5.168181230888496E-4</v>
      </c>
      <c r="S29" s="10">
        <f si="8" t="shared"/>
        <v>0</v>
      </c>
      <c r="T29" s="10">
        <f si="8" t="shared"/>
        <v>6.0456568001547686E-6</v>
      </c>
      <c r="U29" s="10">
        <f si="8" t="shared"/>
        <v>3.9775783906121193E-5</v>
      </c>
    </row>
    <row r="30" spans="1:21" x14ac:dyDescent="0.45">
      <c r="A30" t="s">
        <v>23</v>
      </c>
      <c r="B30" s="10">
        <f si="4" t="shared"/>
        <v>0</v>
      </c>
      <c r="C30" s="10">
        <f si="4" t="shared"/>
        <v>0</v>
      </c>
      <c r="D30" s="10">
        <f si="4" t="shared"/>
        <v>0</v>
      </c>
      <c r="E30" s="10">
        <f si="5" t="shared"/>
        <v>0</v>
      </c>
      <c r="F30" s="10">
        <f si="6" t="shared"/>
        <v>0</v>
      </c>
      <c r="G30" s="10">
        <f si="6" t="shared"/>
        <v>0</v>
      </c>
      <c r="H30" s="10">
        <f si="6" t="shared"/>
        <v>0</v>
      </c>
      <c r="I30" s="10">
        <f si="6" t="shared"/>
        <v>0.7575361066230295</v>
      </c>
      <c r="J30" s="10">
        <f si="6" t="shared"/>
        <v>3.0634323987737112E-2</v>
      </c>
      <c r="K30" s="6"/>
      <c r="L30" t="s">
        <v>23</v>
      </c>
      <c r="M30" s="10">
        <f ref="M30:P30" si="16" t="shared">M13/M$16</f>
        <v>0</v>
      </c>
      <c r="N30" s="10">
        <f si="16" t="shared"/>
        <v>0</v>
      </c>
      <c r="O30" s="10">
        <f si="16" t="shared"/>
        <v>0</v>
      </c>
      <c r="P30" s="10">
        <f si="16" t="shared"/>
        <v>0</v>
      </c>
      <c r="Q30" s="10">
        <f si="8" t="shared"/>
        <v>0</v>
      </c>
      <c r="R30" s="10">
        <f si="8" t="shared"/>
        <v>0</v>
      </c>
      <c r="S30" s="10">
        <f si="8" t="shared"/>
        <v>0</v>
      </c>
      <c r="T30" s="10">
        <f si="8" t="shared"/>
        <v>0.4508004449603405</v>
      </c>
      <c r="U30" s="10">
        <f si="8" t="shared"/>
        <v>2.9659211027438331E-2</v>
      </c>
    </row>
    <row r="31" spans="1:21" x14ac:dyDescent="0.45">
      <c r="A31" t="s">
        <v>4</v>
      </c>
      <c r="B31" s="10">
        <f si="4" t="shared"/>
        <v>4.650037086947617E-4</v>
      </c>
      <c r="C31" s="10">
        <f si="4" t="shared"/>
        <v>3.2538418142171924E-4</v>
      </c>
      <c r="D31" s="10">
        <f si="4" t="shared"/>
        <v>8.5715595357112307E-4</v>
      </c>
      <c r="E31" s="10">
        <f si="5" t="shared"/>
        <v>0</v>
      </c>
      <c r="F31" s="10">
        <f si="6" t="shared"/>
        <v>7.6824983325566795E-3</v>
      </c>
      <c r="G31" s="10">
        <f si="6" t="shared"/>
        <v>0.9622311885955277</v>
      </c>
      <c r="H31" s="10">
        <f si="6" t="shared"/>
        <v>0</v>
      </c>
      <c r="I31" s="10">
        <f si="6" t="shared"/>
        <v>5.57396847342313E-4</v>
      </c>
      <c r="J31" s="10">
        <f si="6" t="shared"/>
        <v>4.5616999899027238E-3</v>
      </c>
      <c r="K31" s="6"/>
      <c r="L31" t="s">
        <v>4</v>
      </c>
      <c r="M31" s="10">
        <f ref="M31:P31" si="17" t="shared">M14/M$16</f>
        <v>1.1891508587420097E-4</v>
      </c>
      <c r="N31" s="10">
        <f si="17" t="shared"/>
        <v>6.3285902774854591E-4</v>
      </c>
      <c r="O31" s="10">
        <f si="17" t="shared"/>
        <v>9.2855177035095903E-4</v>
      </c>
      <c r="P31" s="10">
        <f si="17" t="shared"/>
        <v>1.0777392000206514E-3</v>
      </c>
      <c r="Q31" s="10">
        <f si="8" t="shared"/>
        <v>1.4405944347562363E-2</v>
      </c>
      <c r="R31" s="10">
        <f si="8" t="shared"/>
        <v>0.51173607821180933</v>
      </c>
      <c r="S31" s="10">
        <f si="8" t="shared"/>
        <v>0.2991021036428938</v>
      </c>
      <c r="T31" s="10">
        <f si="8" t="shared"/>
        <v>1.1819259044302574E-3</v>
      </c>
      <c r="U31" s="10">
        <f si="8" t="shared"/>
        <v>5.3675431592115248E-3</v>
      </c>
    </row>
    <row r="32" spans="1:21" x14ac:dyDescent="0.45">
      <c r="A32" s="4" t="s">
        <v>5</v>
      </c>
      <c r="B32" s="11">
        <f si="4" t="shared"/>
        <v>7.1795436823802791E-3</v>
      </c>
      <c r="C32" s="11">
        <f si="4" t="shared"/>
        <v>8.1813456015512251E-3</v>
      </c>
      <c r="D32" s="11">
        <f si="4" t="shared"/>
        <v>1.2589942359943113E-2</v>
      </c>
      <c r="E32" s="10">
        <f si="5" t="shared"/>
        <v>1.0303408738740735E-2</v>
      </c>
      <c r="F32" s="11">
        <f si="6" t="shared"/>
        <v>6.3506690133856139E-2</v>
      </c>
      <c r="G32" s="11">
        <f si="6" t="shared"/>
        <v>3.7768811404472233E-2</v>
      </c>
      <c r="H32" s="11">
        <f si="6" t="shared"/>
        <v>1</v>
      </c>
      <c r="I32" s="11">
        <f si="6" t="shared"/>
        <v>1.1447300338933096E-2</v>
      </c>
      <c r="J32" s="11">
        <f si="6" t="shared"/>
        <v>3.6601985206674049E-2</v>
      </c>
      <c r="K32" s="6"/>
      <c r="L32" s="4" t="s">
        <v>5</v>
      </c>
      <c r="M32" s="11">
        <f ref="M32:P32" si="18" t="shared">M15/M$16</f>
        <v>9.4183666173983712E-4</v>
      </c>
      <c r="N32" s="11">
        <f si="18" t="shared"/>
        <v>2.0154237615340733E-3</v>
      </c>
      <c r="O32" s="11">
        <f si="18" t="shared"/>
        <v>1.6002361265670308E-3</v>
      </c>
      <c r="P32" s="11">
        <f si="18" t="shared"/>
        <v>1.1019399305600371E-3</v>
      </c>
      <c r="Q32" s="11">
        <f si="8" t="shared"/>
        <v>9.9325195238456291E-3</v>
      </c>
      <c r="R32" s="11">
        <f si="8" t="shared"/>
        <v>7.8814763771049567E-3</v>
      </c>
      <c r="S32" s="11">
        <f si="8" t="shared"/>
        <v>0.7008978963571062</v>
      </c>
      <c r="T32" s="11">
        <f si="8" t="shared"/>
        <v>0.37855182337009091</v>
      </c>
      <c r="U32" s="11">
        <f si="8" t="shared"/>
        <v>3.1745649772233916E-2</v>
      </c>
    </row>
    <row ht="14.65" r="33" spans="1:32" thickBot="1" x14ac:dyDescent="0.5">
      <c r="A33" s="9" t="s">
        <v>7</v>
      </c>
      <c r="B33" s="12">
        <f si="4" t="shared"/>
        <v>1</v>
      </c>
      <c r="C33" s="12">
        <f si="4" t="shared"/>
        <v>1</v>
      </c>
      <c r="D33" s="12">
        <f si="4" t="shared"/>
        <v>1</v>
      </c>
      <c r="E33" s="12">
        <f si="5" t="shared"/>
        <v>1</v>
      </c>
      <c r="F33" s="12">
        <f si="6" t="shared"/>
        <v>1</v>
      </c>
      <c r="G33" s="12">
        <f si="6" t="shared"/>
        <v>1</v>
      </c>
      <c r="H33" s="12">
        <f si="6" t="shared"/>
        <v>1</v>
      </c>
      <c r="I33" s="12">
        <f si="6" t="shared"/>
        <v>1</v>
      </c>
      <c r="J33" s="12">
        <f si="6" t="shared"/>
        <v>1</v>
      </c>
      <c r="L33" s="7" t="s">
        <v>7</v>
      </c>
      <c r="M33" s="12">
        <f ref="M33:P33" si="19" t="shared">M16/M$16</f>
        <v>1</v>
      </c>
      <c r="N33" s="12">
        <f si="19" t="shared"/>
        <v>1</v>
      </c>
      <c r="O33" s="12">
        <f si="19" t="shared"/>
        <v>1</v>
      </c>
      <c r="P33" s="12">
        <f si="19" t="shared"/>
        <v>1</v>
      </c>
      <c r="Q33" s="12">
        <f si="8" t="shared"/>
        <v>1</v>
      </c>
      <c r="R33" s="12">
        <f si="8" t="shared"/>
        <v>1</v>
      </c>
      <c r="S33" s="12">
        <f si="8" t="shared"/>
        <v>1</v>
      </c>
      <c r="T33" s="12">
        <f si="8" t="shared"/>
        <v>1</v>
      </c>
      <c r="U33" s="12">
        <f si="8" t="shared"/>
        <v>1</v>
      </c>
    </row>
    <row ht="14.65" r="36" spans="1:32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4" t="s">
        <v>44</v>
      </c>
      <c r="X36" s="14"/>
      <c r="Y36" s="15"/>
      <c r="Z36" s="15"/>
      <c r="AA36" s="15"/>
      <c r="AB36" s="15"/>
      <c r="AC36" s="15"/>
      <c r="AD36" s="15"/>
      <c r="AE36" s="15"/>
      <c r="AF36" s="15"/>
    </row>
    <row r="37" spans="1:32" x14ac:dyDescent="0.45">
      <c r="L37" s="3"/>
      <c r="M37" s="77" t="s">
        <v>43</v>
      </c>
      <c r="N37" s="77"/>
      <c r="O37" s="77"/>
      <c r="P37" s="77"/>
      <c r="Q37" s="77"/>
      <c r="R37" s="77"/>
      <c r="S37" s="77"/>
      <c r="T37" s="77"/>
      <c r="U37" s="77"/>
      <c r="W37" s="19"/>
      <c r="X37" s="76" t="s">
        <v>43</v>
      </c>
      <c r="Y37" s="76"/>
      <c r="Z37" s="76"/>
      <c r="AA37" s="76"/>
      <c r="AB37" s="76"/>
      <c r="AC37" s="76"/>
      <c r="AD37" s="76"/>
      <c r="AE37" s="76"/>
      <c r="AF37" s="20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1" t="s">
        <v>0</v>
      </c>
      <c r="X38" s="22" t="s">
        <v>11</v>
      </c>
      <c r="Y38" s="22" t="s">
        <v>12</v>
      </c>
      <c r="Z38" s="22" t="s">
        <v>13</v>
      </c>
      <c r="AA38" s="22" t="s">
        <v>14</v>
      </c>
      <c r="AB38" s="22" t="s">
        <v>15</v>
      </c>
      <c r="AC38" s="5" t="s">
        <v>4</v>
      </c>
      <c r="AD38" s="5" t="s">
        <v>5</v>
      </c>
      <c r="AE38" s="5" t="s">
        <v>16</v>
      </c>
      <c r="AF38" s="22" t="s">
        <v>7</v>
      </c>
    </row>
    <row r="39" spans="1:32" x14ac:dyDescent="0.45">
      <c r="L39" t="s">
        <v>1</v>
      </c>
      <c r="M39" s="10">
        <f ref="M39:P44" si="20" t="shared">M22-B22</f>
        <v>6.5837956434610101E-3</v>
      </c>
      <c r="N39" s="10">
        <f si="20" t="shared"/>
        <v>0.48964630134147868</v>
      </c>
      <c r="O39" s="10">
        <f si="20" t="shared"/>
        <v>2.0593773931301851E-2</v>
      </c>
      <c r="P39" s="10">
        <f si="20" t="shared"/>
        <v>-0.30881395225169889</v>
      </c>
      <c r="Q39" s="10">
        <f ref="Q39:Q50" si="21" t="shared">Q22-F22</f>
        <v>5.476011897406069E-5</v>
      </c>
      <c r="R39" s="10">
        <f ref="R39:R50" si="22" t="shared">R22-G22</f>
        <v>1.0767044231017701E-3</v>
      </c>
      <c r="S39" s="10">
        <f ref="S39:S50" si="23" t="shared">S22-H22</f>
        <v>0</v>
      </c>
      <c r="T39" s="10">
        <f ref="T39:T50" si="24" t="shared">T22-I22</f>
        <v>2.3983523811857352E-3</v>
      </c>
      <c r="U39" s="10">
        <f ref="U39:U50" si="25" t="shared">U22-J22</f>
        <v>4.7815049418468147E-3</v>
      </c>
      <c r="W39" s="17" t="s">
        <v>1</v>
      </c>
      <c r="X39" s="18">
        <f>M39</f>
        <v>6.5837956434610101E-3</v>
      </c>
      <c r="Y39" s="18">
        <f ref="Y39:AF39" si="26" t="shared">N39</f>
        <v>0.48964630134147868</v>
      </c>
      <c r="Z39" s="18">
        <f si="26" t="shared"/>
        <v>2.0593773931301851E-2</v>
      </c>
      <c r="AA39" s="18">
        <f si="26" t="shared"/>
        <v>-0.30881395225169889</v>
      </c>
      <c r="AB39" s="18">
        <f si="26" t="shared"/>
        <v>5.476011897406069E-5</v>
      </c>
      <c r="AC39" s="18">
        <f si="26" t="shared"/>
        <v>1.0767044231017701E-3</v>
      </c>
      <c r="AD39" s="18">
        <f si="26" t="shared"/>
        <v>0</v>
      </c>
      <c r="AE39" s="18">
        <f si="26" t="shared"/>
        <v>2.3983523811857352E-3</v>
      </c>
      <c r="AF39" s="18">
        <f si="26" t="shared"/>
        <v>4.7815049418468147E-3</v>
      </c>
    </row>
    <row r="40" spans="1:32" x14ac:dyDescent="0.45">
      <c r="L40" t="s">
        <v>9</v>
      </c>
      <c r="M40" s="10">
        <f si="20" t="shared"/>
        <v>0</v>
      </c>
      <c r="N40" s="10">
        <f si="20" t="shared"/>
        <v>-0.48378785434778832</v>
      </c>
      <c r="O40" s="10">
        <f si="20" t="shared"/>
        <v>0.47044892804900351</v>
      </c>
      <c r="P40" s="10">
        <f si="20" t="shared"/>
        <v>5.6905066153862829E-2</v>
      </c>
      <c r="Q40" s="10">
        <f si="21" t="shared"/>
        <v>3.8662230633905441E-2</v>
      </c>
      <c r="R40" s="10">
        <f si="22" t="shared"/>
        <v>5.2155562255049741E-2</v>
      </c>
      <c r="S40" s="10">
        <f si="23" t="shared"/>
        <v>0</v>
      </c>
      <c r="T40" s="10">
        <f si="24" t="shared"/>
        <v>-3.3024753246243849E-2</v>
      </c>
      <c r="U40" s="10">
        <f si="25" t="shared"/>
        <v>8.1005451774910087E-3</v>
      </c>
      <c r="W40" s="23" t="s">
        <v>9</v>
      </c>
      <c r="X40" s="18">
        <f ref="X40:X49" si="27" t="shared">M40</f>
        <v>0</v>
      </c>
      <c r="Y40" s="18">
        <f ref="Y40:Y50" si="28" t="shared">N40</f>
        <v>-0.48378785434778832</v>
      </c>
      <c r="Z40" s="18">
        <f ref="Z40:Z50" si="29" t="shared">O40</f>
        <v>0.47044892804900351</v>
      </c>
      <c r="AA40" s="18">
        <f ref="AA40:AA50" si="30" t="shared">P40</f>
        <v>5.6905066153862829E-2</v>
      </c>
      <c r="AB40" s="18">
        <f ref="AB40:AB50" si="31" t="shared">Q40</f>
        <v>3.8662230633905441E-2</v>
      </c>
      <c r="AC40" s="18">
        <f ref="AC40:AC50" si="32" t="shared">R40</f>
        <v>5.2155562255049741E-2</v>
      </c>
      <c r="AD40" s="18">
        <f ref="AD40:AD50" si="33" t="shared">S40</f>
        <v>0</v>
      </c>
      <c r="AE40" s="18">
        <f ref="AE40:AE50" si="34" t="shared">T40</f>
        <v>-3.3024753246243849E-2</v>
      </c>
      <c r="AF40" s="18">
        <f ref="AF40:AF50" si="35" t="shared">U40</f>
        <v>8.1005451774910087E-3</v>
      </c>
    </row>
    <row r="41" spans="1:32" x14ac:dyDescent="0.45">
      <c r="L41" t="s">
        <v>10</v>
      </c>
      <c r="M41" s="10">
        <f si="20" t="shared"/>
        <v>0</v>
      </c>
      <c r="N41" s="10">
        <f si="20" t="shared"/>
        <v>0</v>
      </c>
      <c r="O41" s="10">
        <f si="20" t="shared"/>
        <v>-0.48012439156370901</v>
      </c>
      <c r="P41" s="10">
        <f si="20" t="shared"/>
        <v>0.68403402192708918</v>
      </c>
      <c r="Q41" s="10">
        <f si="21" t="shared"/>
        <v>-1.2146920007999905E-2</v>
      </c>
      <c r="R41" s="10">
        <f si="22" t="shared"/>
        <v>1.6408975408070976E-2</v>
      </c>
      <c r="S41" s="10">
        <f si="23" t="shared"/>
        <v>0</v>
      </c>
      <c r="T41" s="10">
        <f si="24" t="shared"/>
        <v>-3.0208636732840966E-2</v>
      </c>
      <c r="U41" s="10">
        <f si="25" t="shared"/>
        <v>-1.1950770784858733E-3</v>
      </c>
      <c r="W41" s="23" t="s">
        <v>10</v>
      </c>
      <c r="X41" s="18">
        <f si="27" t="shared"/>
        <v>0</v>
      </c>
      <c r="Y41" s="18">
        <f si="28" t="shared"/>
        <v>0</v>
      </c>
      <c r="Z41" s="18">
        <f si="29" t="shared"/>
        <v>-0.48012439156370901</v>
      </c>
      <c r="AA41" s="18">
        <f si="30" t="shared"/>
        <v>0.68403402192708918</v>
      </c>
      <c r="AB41" s="18">
        <f si="31" t="shared"/>
        <v>-1.2146920007999905E-2</v>
      </c>
      <c r="AC41" s="18">
        <f si="32" t="shared"/>
        <v>1.6408975408070976E-2</v>
      </c>
      <c r="AD41" s="18">
        <f si="33" t="shared"/>
        <v>0</v>
      </c>
      <c r="AE41" s="18">
        <f si="34" t="shared"/>
        <v>-3.0208636732840966E-2</v>
      </c>
      <c r="AF41" s="18">
        <f si="35" t="shared"/>
        <v>-1.1950770784858733E-3</v>
      </c>
    </row>
    <row r="42" spans="1:32" x14ac:dyDescent="0.45">
      <c r="L42" t="s">
        <v>47</v>
      </c>
      <c r="M42" s="10">
        <f si="20" t="shared"/>
        <v>0</v>
      </c>
      <c r="N42" s="10">
        <f si="20" t="shared"/>
        <v>0</v>
      </c>
      <c r="O42" s="10">
        <f si="20" t="shared"/>
        <v>0</v>
      </c>
      <c r="P42" s="10">
        <f si="20" t="shared"/>
        <v>-0.2294432830158506</v>
      </c>
      <c r="Q42" s="10">
        <f si="21" t="shared"/>
        <v>4.6285709342778536E-2</v>
      </c>
      <c r="R42" s="10">
        <f si="22" t="shared"/>
        <v>0.40634824927860802</v>
      </c>
      <c r="S42" s="10">
        <f si="23" t="shared"/>
        <v>0</v>
      </c>
      <c r="T42" s="10">
        <f si="24" t="shared"/>
        <v>-1.7951262645828791E-4</v>
      </c>
      <c r="U42" s="10">
        <f si="25" t="shared"/>
        <v>-4.7608894505871855E-3</v>
      </c>
      <c r="W42" t="s">
        <v>47</v>
      </c>
      <c r="X42" s="18">
        <f si="27" t="shared"/>
        <v>0</v>
      </c>
      <c r="Y42" s="18">
        <f si="28" t="shared"/>
        <v>0</v>
      </c>
      <c r="Z42" s="18">
        <f si="29" t="shared"/>
        <v>0</v>
      </c>
      <c r="AA42" s="18">
        <f si="30" t="shared"/>
        <v>-0.2294432830158506</v>
      </c>
      <c r="AB42" s="18">
        <f si="31" t="shared"/>
        <v>4.6285709342778536E-2</v>
      </c>
      <c r="AC42" s="18">
        <f si="32" t="shared"/>
        <v>0.40634824927860802</v>
      </c>
      <c r="AD42" s="18">
        <f si="33" t="shared"/>
        <v>0</v>
      </c>
      <c r="AE42" s="18">
        <f si="34" t="shared"/>
        <v>-1.7951262645828791E-4</v>
      </c>
      <c r="AF42" s="18">
        <f si="35" t="shared"/>
        <v>-4.7608894505871855E-3</v>
      </c>
    </row>
    <row r="43" spans="1:32" x14ac:dyDescent="0.45">
      <c r="L43" t="s">
        <v>48</v>
      </c>
      <c r="M43" s="10">
        <f si="20" t="shared"/>
        <v>0</v>
      </c>
      <c r="N43" s="10">
        <f si="20" t="shared"/>
        <v>0</v>
      </c>
      <c r="O43" s="10">
        <f si="20" t="shared"/>
        <v>0</v>
      </c>
      <c r="P43" s="10">
        <f si="20" t="shared"/>
        <v>0</v>
      </c>
      <c r="Q43" s="10">
        <f si="21" t="shared"/>
        <v>0</v>
      </c>
      <c r="R43" s="10">
        <f si="22" t="shared"/>
        <v>0</v>
      </c>
      <c r="S43" s="10">
        <f si="23" t="shared"/>
        <v>0</v>
      </c>
      <c r="T43" s="10">
        <f si="24" t="shared"/>
        <v>0</v>
      </c>
      <c r="U43" s="10">
        <f si="25" t="shared"/>
        <v>0</v>
      </c>
      <c r="W43" t="s">
        <v>48</v>
      </c>
      <c r="X43" s="18">
        <f si="27" t="shared"/>
        <v>0</v>
      </c>
      <c r="Y43" s="18">
        <f si="28" t="shared"/>
        <v>0</v>
      </c>
      <c r="Z43" s="18">
        <f si="29" t="shared"/>
        <v>0</v>
      </c>
      <c r="AA43" s="18">
        <f si="30" t="shared"/>
        <v>0</v>
      </c>
      <c r="AB43" s="18">
        <f si="31" t="shared"/>
        <v>0</v>
      </c>
      <c r="AC43" s="18">
        <f si="32" t="shared"/>
        <v>0</v>
      </c>
      <c r="AD43" s="18">
        <f si="33" t="shared"/>
        <v>0</v>
      </c>
      <c r="AE43" s="18">
        <f si="34" t="shared"/>
        <v>0</v>
      </c>
      <c r="AF43" s="18">
        <f si="35" t="shared"/>
        <v>0</v>
      </c>
    </row>
    <row r="44" spans="1:32" x14ac:dyDescent="0.45">
      <c r="L44" t="s">
        <v>49</v>
      </c>
      <c r="M44" s="10">
        <f si="20" t="shared"/>
        <v>0</v>
      </c>
      <c r="N44" s="10">
        <f si="20" t="shared"/>
        <v>0</v>
      </c>
      <c r="O44" s="10">
        <f si="20" t="shared"/>
        <v>0</v>
      </c>
      <c r="P44" s="10">
        <f si="20" t="shared"/>
        <v>-0.10360929426102811</v>
      </c>
      <c r="Q44" s="10">
        <f si="21" t="shared"/>
        <v>-4.753220896263563E-2</v>
      </c>
      <c r="R44" s="10">
        <f si="22" t="shared"/>
        <v>2.5410224385201776E-3</v>
      </c>
      <c r="S44" s="10">
        <f si="23" t="shared"/>
        <v>0</v>
      </c>
      <c r="T44" s="10">
        <f si="24" t="shared"/>
        <v>6.0456568001547686E-6</v>
      </c>
      <c r="U44" s="10">
        <f si="25" t="shared"/>
        <v>-1.2682372546891031E-3</v>
      </c>
      <c r="W44" t="s">
        <v>49</v>
      </c>
      <c r="X44" s="18">
        <f si="27" t="shared"/>
        <v>0</v>
      </c>
      <c r="Y44" s="18">
        <f si="28" t="shared"/>
        <v>0</v>
      </c>
      <c r="Z44" s="18">
        <f si="29" t="shared"/>
        <v>0</v>
      </c>
      <c r="AA44" s="18">
        <f si="30" t="shared"/>
        <v>-0.10360929426102811</v>
      </c>
      <c r="AB44" s="18">
        <f si="31" t="shared"/>
        <v>-4.753220896263563E-2</v>
      </c>
      <c r="AC44" s="18">
        <f si="32" t="shared"/>
        <v>2.5410224385201776E-3</v>
      </c>
      <c r="AD44" s="18">
        <f si="33" t="shared"/>
        <v>0</v>
      </c>
      <c r="AE44" s="18">
        <f si="34" t="shared"/>
        <v>6.0456568001547686E-6</v>
      </c>
      <c r="AF44" s="18">
        <f si="35" t="shared"/>
        <v>-1.2682372546891031E-3</v>
      </c>
    </row>
    <row r="45" spans="1:32" x14ac:dyDescent="0.45">
      <c r="L45" t="s">
        <v>50</v>
      </c>
      <c r="M45" s="10">
        <f ref="M45:M47" si="36" t="shared">M28-B28</f>
        <v>0</v>
      </c>
      <c r="N45" s="10">
        <f ref="N45:N47" si="37" t="shared">N28-C28</f>
        <v>0</v>
      </c>
      <c r="O45" s="10">
        <f ref="O45:O47" si="38" t="shared">O28-D28</f>
        <v>0</v>
      </c>
      <c r="P45" s="10">
        <f ref="P45:P47" si="39" t="shared">P28-E28</f>
        <v>-9.0974643056789636E-2</v>
      </c>
      <c r="Q45" s="10">
        <f si="21" t="shared"/>
        <v>8.637624316899923E-3</v>
      </c>
      <c r="R45" s="10">
        <f si="22" t="shared"/>
        <v>1.3351134846461949E-3</v>
      </c>
      <c r="S45" s="10">
        <f si="23" t="shared"/>
        <v>0</v>
      </c>
      <c r="T45" s="10">
        <f si="24" t="shared"/>
        <v>9.0684852002321533E-6</v>
      </c>
      <c r="U45" s="10">
        <f si="25" t="shared"/>
        <v>-6.7201689405172881E-4</v>
      </c>
      <c r="W45" t="s">
        <v>50</v>
      </c>
      <c r="X45" s="18">
        <f si="27" t="shared"/>
        <v>0</v>
      </c>
      <c r="Y45" s="18">
        <f si="28" t="shared"/>
        <v>0</v>
      </c>
      <c r="Z45" s="18">
        <f si="29" t="shared"/>
        <v>0</v>
      </c>
      <c r="AA45" s="18">
        <f si="30" t="shared"/>
        <v>-9.0974643056789636E-2</v>
      </c>
      <c r="AB45" s="18">
        <f si="31" t="shared"/>
        <v>8.637624316899923E-3</v>
      </c>
      <c r="AC45" s="18">
        <f si="32" t="shared"/>
        <v>1.3351134846461949E-3</v>
      </c>
      <c r="AD45" s="18">
        <f si="33" t="shared"/>
        <v>0</v>
      </c>
      <c r="AE45" s="18">
        <f si="34" t="shared"/>
        <v>9.0684852002321533E-6</v>
      </c>
      <c r="AF45" s="18">
        <f si="35" t="shared"/>
        <v>-6.7201689405172881E-4</v>
      </c>
    </row>
    <row r="46" spans="1:32" x14ac:dyDescent="0.45">
      <c r="L46" t="s">
        <v>51</v>
      </c>
      <c r="M46" s="10">
        <f si="36" t="shared"/>
        <v>0</v>
      </c>
      <c r="N46" s="10">
        <f si="37" t="shared"/>
        <v>0</v>
      </c>
      <c r="O46" s="10">
        <f si="38" t="shared"/>
        <v>0</v>
      </c>
      <c r="P46" s="10">
        <f si="39" t="shared"/>
        <v>2.5814112575344941E-5</v>
      </c>
      <c r="Q46" s="10">
        <f si="21" t="shared"/>
        <v>1.2889529153082113E-2</v>
      </c>
      <c r="R46" s="10">
        <f si="22" t="shared"/>
        <v>5.168181230888496E-4</v>
      </c>
      <c r="S46" s="10">
        <f si="23" t="shared"/>
        <v>0</v>
      </c>
      <c r="T46" s="10">
        <f si="24" t="shared"/>
        <v>6.0456568001547686E-6</v>
      </c>
      <c r="U46" s="10">
        <f si="25" t="shared"/>
        <v>3.9775783906121193E-5</v>
      </c>
      <c r="W46" t="s">
        <v>51</v>
      </c>
      <c r="X46" s="18">
        <f si="27" t="shared"/>
        <v>0</v>
      </c>
      <c r="Y46" s="18">
        <f si="28" t="shared"/>
        <v>0</v>
      </c>
      <c r="Z46" s="18">
        <f si="29" t="shared"/>
        <v>0</v>
      </c>
      <c r="AA46" s="18">
        <f si="30" t="shared"/>
        <v>2.5814112575344941E-5</v>
      </c>
      <c r="AB46" s="18">
        <f si="31" t="shared"/>
        <v>1.2889529153082113E-2</v>
      </c>
      <c r="AC46" s="18">
        <f si="32" t="shared"/>
        <v>5.168181230888496E-4</v>
      </c>
      <c r="AD46" s="18">
        <f si="33" t="shared"/>
        <v>0</v>
      </c>
      <c r="AE46" s="18">
        <f si="34" t="shared"/>
        <v>6.0456568001547686E-6</v>
      </c>
      <c r="AF46" s="18">
        <f si="35" t="shared"/>
        <v>3.9775783906121193E-5</v>
      </c>
    </row>
    <row r="47" spans="1:32" x14ac:dyDescent="0.45">
      <c r="L47" t="s">
        <v>23</v>
      </c>
      <c r="M47" s="10">
        <f si="36" t="shared"/>
        <v>0</v>
      </c>
      <c r="N47" s="10">
        <f si="37" t="shared"/>
        <v>0</v>
      </c>
      <c r="O47" s="10">
        <f si="38" t="shared"/>
        <v>0</v>
      </c>
      <c r="P47" s="10">
        <f si="39" t="shared"/>
        <v>0</v>
      </c>
      <c r="Q47" s="10">
        <f si="21" t="shared"/>
        <v>0</v>
      </c>
      <c r="R47" s="10">
        <f si="22" t="shared"/>
        <v>0</v>
      </c>
      <c r="S47" s="10">
        <f si="23" t="shared"/>
        <v>0</v>
      </c>
      <c r="T47" s="10">
        <f si="24" t="shared"/>
        <v>-0.30673566166268901</v>
      </c>
      <c r="U47" s="10">
        <f si="25" t="shared"/>
        <v>-9.7511296029878167E-4</v>
      </c>
      <c r="W47" s="17" t="s">
        <v>23</v>
      </c>
      <c r="X47" s="18">
        <f si="27" t="shared"/>
        <v>0</v>
      </c>
      <c r="Y47" s="18">
        <f si="28" t="shared"/>
        <v>0</v>
      </c>
      <c r="Z47" s="18">
        <f si="29" t="shared"/>
        <v>0</v>
      </c>
      <c r="AA47" s="18">
        <f si="30" t="shared"/>
        <v>0</v>
      </c>
      <c r="AB47" s="18">
        <f si="31" t="shared"/>
        <v>0</v>
      </c>
      <c r="AC47" s="18">
        <f si="32" t="shared"/>
        <v>0</v>
      </c>
      <c r="AD47" s="18">
        <f si="33" t="shared"/>
        <v>0</v>
      </c>
      <c r="AE47" s="18">
        <f si="34" t="shared"/>
        <v>-0.30673566166268901</v>
      </c>
      <c r="AF47" s="18">
        <f si="35" t="shared"/>
        <v>-9.7511296029878167E-4</v>
      </c>
    </row>
    <row r="48" spans="1:32" x14ac:dyDescent="0.45">
      <c r="L48" t="s">
        <v>4</v>
      </c>
      <c r="M48" s="10">
        <f ref="M48:P50" si="40" t="shared">M31-B31</f>
        <v>-3.4608862282056073E-4</v>
      </c>
      <c r="N48" s="10">
        <f si="40" t="shared"/>
        <v>3.0747484632682667E-4</v>
      </c>
      <c r="O48" s="10">
        <f si="40" t="shared"/>
        <v>7.1395816779835962E-5</v>
      </c>
      <c r="P48" s="10">
        <f si="40" t="shared"/>
        <v>1.0777392000206514E-3</v>
      </c>
      <c r="Q48" s="10">
        <f si="21" t="shared"/>
        <v>6.7234460150056834E-3</v>
      </c>
      <c r="R48" s="10">
        <f si="22" t="shared"/>
        <v>-0.45049511038371837</v>
      </c>
      <c r="S48" s="10">
        <f si="23" t="shared"/>
        <v>0.2991021036428938</v>
      </c>
      <c r="T48" s="10">
        <f si="24" t="shared"/>
        <v>6.2452905708794437E-4</v>
      </c>
      <c r="U48" s="10">
        <f si="25" t="shared"/>
        <v>8.0584316930880102E-4</v>
      </c>
      <c r="W48" s="23" t="s">
        <v>4</v>
      </c>
      <c r="X48" s="18">
        <f si="27" t="shared"/>
        <v>-3.4608862282056073E-4</v>
      </c>
      <c r="Y48" s="18">
        <f si="28" t="shared"/>
        <v>3.0747484632682667E-4</v>
      </c>
      <c r="Z48" s="18">
        <f si="29" t="shared"/>
        <v>7.1395816779835962E-5</v>
      </c>
      <c r="AA48" s="18">
        <f si="30" t="shared"/>
        <v>1.0777392000206514E-3</v>
      </c>
      <c r="AB48" s="18">
        <f si="31" t="shared"/>
        <v>6.7234460150056834E-3</v>
      </c>
      <c r="AC48" s="18">
        <f si="32" t="shared"/>
        <v>-0.45049511038371837</v>
      </c>
      <c r="AD48" s="18">
        <f si="33" t="shared"/>
        <v>0.2991021036428938</v>
      </c>
      <c r="AE48" s="18">
        <f si="34" t="shared"/>
        <v>6.2452905708794437E-4</v>
      </c>
      <c r="AF48" s="18">
        <f si="35" t="shared"/>
        <v>8.0584316930880102E-4</v>
      </c>
    </row>
    <row r="49" spans="12:32" x14ac:dyDescent="0.45">
      <c r="L49" s="4" t="s">
        <v>5</v>
      </c>
      <c r="M49" s="10">
        <f si="40" t="shared"/>
        <v>-6.2377070206404419E-3</v>
      </c>
      <c r="N49" s="10">
        <f si="40" t="shared"/>
        <v>-6.1659218400171517E-3</v>
      </c>
      <c r="O49" s="10">
        <f si="40" t="shared"/>
        <v>-1.0989706233376082E-2</v>
      </c>
      <c r="P49" s="10">
        <f si="40" t="shared"/>
        <v>-9.2014688081806986E-3</v>
      </c>
      <c r="Q49" s="10">
        <f si="21" t="shared"/>
        <v>-5.3574170610010512E-2</v>
      </c>
      <c r="R49" s="10">
        <f si="22" t="shared"/>
        <v>-2.9887335027367276E-2</v>
      </c>
      <c r="S49" s="10">
        <f si="23" t="shared"/>
        <v>-0.2991021036428938</v>
      </c>
      <c r="T49" s="10">
        <f si="24" t="shared"/>
        <v>0.36710452303115781</v>
      </c>
      <c r="U49" s="10">
        <f si="25" t="shared"/>
        <v>-4.856335434440133E-3</v>
      </c>
      <c r="W49" s="16" t="s">
        <v>5</v>
      </c>
      <c r="X49" s="18">
        <f si="27" t="shared"/>
        <v>-6.2377070206404419E-3</v>
      </c>
      <c r="Y49" s="18">
        <f si="28" t="shared"/>
        <v>-6.1659218400171517E-3</v>
      </c>
      <c r="Z49" s="18">
        <f si="29" t="shared"/>
        <v>-1.0989706233376082E-2</v>
      </c>
      <c r="AA49" s="18">
        <f si="30" t="shared"/>
        <v>-9.2014688081806986E-3</v>
      </c>
      <c r="AB49" s="18">
        <f si="31" t="shared"/>
        <v>-5.3574170610010512E-2</v>
      </c>
      <c r="AC49" s="18">
        <f si="32" t="shared"/>
        <v>-2.9887335027367276E-2</v>
      </c>
      <c r="AD49" s="18">
        <f si="33" t="shared"/>
        <v>-0.2991021036428938</v>
      </c>
      <c r="AE49" s="18">
        <f si="34" t="shared"/>
        <v>0.36710452303115781</v>
      </c>
      <c r="AF49" s="18">
        <f si="35" t="shared"/>
        <v>-4.856335434440133E-3</v>
      </c>
    </row>
    <row ht="14.65" r="50" spans="12:32" thickBot="1" x14ac:dyDescent="0.5">
      <c r="L50" s="7" t="s">
        <v>7</v>
      </c>
      <c r="M50" s="12">
        <f si="40" t="shared"/>
        <v>0</v>
      </c>
      <c r="N50" s="12">
        <f si="40" t="shared"/>
        <v>0</v>
      </c>
      <c r="O50" s="12">
        <f si="40" t="shared"/>
        <v>0</v>
      </c>
      <c r="P50" s="12">
        <f si="40" t="shared"/>
        <v>0</v>
      </c>
      <c r="Q50" s="12">
        <f si="21" t="shared"/>
        <v>0</v>
      </c>
      <c r="R50" s="12">
        <f si="22" t="shared"/>
        <v>0</v>
      </c>
      <c r="S50" s="12">
        <f si="23" t="shared"/>
        <v>0</v>
      </c>
      <c r="T50" s="12">
        <f si="24" t="shared"/>
        <v>0</v>
      </c>
      <c r="U50" s="12">
        <f si="25" t="shared"/>
        <v>0</v>
      </c>
      <c r="W50" s="24" t="s">
        <v>7</v>
      </c>
      <c r="X50" s="25">
        <f>M50</f>
        <v>0</v>
      </c>
      <c r="Y50" s="25">
        <f si="28" t="shared"/>
        <v>0</v>
      </c>
      <c r="Z50" s="25">
        <f si="29" t="shared"/>
        <v>0</v>
      </c>
      <c r="AA50" s="25">
        <f si="30" t="shared"/>
        <v>0</v>
      </c>
      <c r="AB50" s="25">
        <f si="31" t="shared"/>
        <v>0</v>
      </c>
      <c r="AC50" s="25">
        <f si="32" t="shared"/>
        <v>0</v>
      </c>
      <c r="AD50" s="25">
        <f si="33" t="shared"/>
        <v>0</v>
      </c>
      <c r="AE50" s="25">
        <f si="34" t="shared"/>
        <v>0</v>
      </c>
      <c r="AF50" s="25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50"/>
  </sheetPr>
  <dimension ref="B1:AK85"/>
  <sheetViews>
    <sheetView tabSelected="1" topLeftCell="G10" workbookViewId="0">
      <selection activeCell="O29" sqref="O29"/>
    </sheetView>
  </sheetViews>
  <sheetFormatPr defaultRowHeight="14.25" x14ac:dyDescent="0.45"/>
  <cols>
    <col min="2" max="2" bestFit="true" customWidth="true" width="14.1328125" collapsed="true"/>
    <col min="3" max="3" bestFit="true" customWidth="true" width="9.1328125" collapsed="true"/>
    <col min="7" max="7" bestFit="true" customWidth="true" width="11.1328125" collapsed="true"/>
    <col min="8" max="8" bestFit="true" customWidth="true" width="10.1328125" collapsed="true"/>
    <col min="9" max="9" customWidth="true" width="5.86328125" collapsed="true"/>
    <col min="10" max="10" customWidth="true" width="14.86328125" collapsed="true"/>
    <col min="11" max="11" bestFit="true" customWidth="true" width="9.1328125" collapsed="true"/>
    <col min="15" max="15" bestFit="true" customWidth="true" width="11.1328125" collapsed="true"/>
    <col min="16" max="16" bestFit="true" customWidth="true" width="10.1328125" collapsed="true"/>
    <col min="19" max="19" bestFit="true" customWidth="true" width="14.1328125" collapsed="true"/>
    <col min="23" max="24" bestFit="true" customWidth="true" width="11.1328125" collapsed="true"/>
    <col min="25" max="25" bestFit="true" customWidth="true" width="8.86328125" collapsed="true"/>
    <col min="33" max="33" bestFit="true" customWidth="true" width="11.86328125" collapsed="true"/>
    <col min="34" max="35" bestFit="true" customWidth="true" width="15.3984375" collapsed="true"/>
  </cols>
  <sheetData>
    <row r="1" spans="2:36" x14ac:dyDescent="0.45">
      <c r="AF1" s="53" t="s">
        <v>162</v>
      </c>
    </row>
    <row r="2" spans="2:36" x14ac:dyDescent="0.45">
      <c r="B2" s="78" t="s">
        <v>205</v>
      </c>
      <c r="C2" s="78"/>
      <c r="D2" s="78"/>
      <c r="E2" s="78"/>
      <c r="F2" s="78"/>
      <c r="G2" s="78"/>
      <c r="H2" s="78"/>
      <c r="I2" s="17"/>
      <c r="J2" s="78" t="s">
        <v>56</v>
      </c>
      <c r="K2" s="78"/>
      <c r="L2" s="78"/>
      <c r="M2" s="78"/>
      <c r="N2" s="78"/>
      <c r="O2" s="78"/>
      <c r="P2" s="78"/>
      <c r="S2" t="s">
        <v>71</v>
      </c>
      <c r="AH2" s="54" t="s">
        <v>163</v>
      </c>
      <c r="AI2" s="54" t="s">
        <v>164</v>
      </c>
      <c r="AJ2" t="s">
        <v>204</v>
      </c>
    </row>
    <row ht="14.65" r="3" spans="2:36" thickBot="1" x14ac:dyDescent="0.5">
      <c r="B3" s="14" t="s">
        <v>57</v>
      </c>
      <c r="C3" s="15"/>
      <c r="D3" s="15"/>
      <c r="E3" s="15"/>
      <c r="F3" s="15"/>
      <c r="G3" s="15"/>
      <c r="H3" s="15"/>
      <c r="I3" s="17"/>
      <c r="J3" s="14" t="str">
        <f>B3</f>
        <v>Count</v>
      </c>
      <c r="K3" s="15"/>
      <c r="L3" s="15"/>
      <c r="M3" s="15"/>
      <c r="N3" s="15"/>
      <c r="O3" s="15"/>
      <c r="P3" s="15"/>
      <c r="T3" s="79" t="s">
        <v>70</v>
      </c>
      <c r="U3" s="79"/>
      <c r="V3" s="79"/>
      <c r="W3" s="79"/>
      <c r="X3" s="79"/>
      <c r="AF3">
        <f>TripModeCoefficient!B11</f>
        <v>1</v>
      </c>
      <c r="AG3" t="str">
        <f>TripModeCoefficient!C11</f>
        <v>costutil</v>
      </c>
      <c r="AH3" s="55">
        <f>TripModeCoefficient!E11</f>
        <v>0.80968477233699998</v>
      </c>
      <c r="AI3" s="56">
        <f ref="AI3:AI27" si="0" t="shared">_xlfn.IFNA(VLOOKUP(AF3,$T$55:$W$63,4,FALSE),AH3)</f>
        <v>0.80968477233699998</v>
      </c>
      <c r="AJ3">
        <f>IF(AH3=AI3,0,1)</f>
        <v>0</v>
      </c>
    </row>
    <row r="4" spans="2:36" x14ac:dyDescent="0.45">
      <c r="B4" s="26" t="s">
        <v>0</v>
      </c>
      <c r="C4" s="27" t="s">
        <v>58</v>
      </c>
      <c r="D4" s="27" t="s">
        <v>59</v>
      </c>
      <c r="E4" s="27" t="s">
        <v>60</v>
      </c>
      <c r="F4" s="27" t="s">
        <v>61</v>
      </c>
      <c r="G4" s="27" t="s">
        <v>62</v>
      </c>
      <c r="H4" s="27" t="s">
        <v>7</v>
      </c>
      <c r="I4" s="17"/>
      <c r="J4" s="26" t="str">
        <f>B4</f>
        <v>Mode</v>
      </c>
      <c r="K4" s="27" t="str">
        <f>C4</f>
        <v>Work</v>
      </c>
      <c r="L4" s="27" t="str">
        <f ref="L4:O4" si="1" t="shared">D4</f>
        <v>School</v>
      </c>
      <c r="M4" s="27" t="str">
        <f si="1" t="shared"/>
        <v>Escort</v>
      </c>
      <c r="N4" s="27" t="str">
        <f si="1" t="shared"/>
        <v>Other</v>
      </c>
      <c r="O4" s="27" t="str">
        <f si="1" t="shared"/>
        <v>WorkBased</v>
      </c>
      <c r="P4" s="27" t="str">
        <f>H4</f>
        <v>Total</v>
      </c>
      <c r="S4" s="26" t="s">
        <v>68</v>
      </c>
      <c r="T4" s="27" t="s">
        <v>58</v>
      </c>
      <c r="U4" s="27" t="s">
        <v>59</v>
      </c>
      <c r="V4" s="27" t="s">
        <v>60</v>
      </c>
      <c r="W4" s="27" t="s">
        <v>61</v>
      </c>
      <c r="X4" s="27" t="s">
        <v>62</v>
      </c>
      <c r="Y4" s="27" t="s">
        <v>7</v>
      </c>
      <c r="AF4">
        <f>TripModeCoefficient!B12</f>
        <v>2</v>
      </c>
      <c r="AG4" t="str">
        <f>TripModeCoefficient!C12</f>
        <v>timeutil</v>
      </c>
      <c r="AH4" s="55">
        <f>TripModeCoefficient!E12</f>
        <v>1.5539648423600001</v>
      </c>
      <c r="AI4" s="56">
        <f si="0" t="shared"/>
        <v>1.5539648423600001</v>
      </c>
      <c r="AJ4">
        <f ref="AJ4:AJ67" si="2" t="shared">IF(AH4=AI4,0,1)</f>
        <v>0</v>
      </c>
    </row>
    <row r="5" spans="2:36" x14ac:dyDescent="0.45">
      <c r="B5" s="17" t="s">
        <v>1</v>
      </c>
      <c r="C5" s="74">
        <v>1573120</v>
      </c>
      <c r="D5" s="74">
        <v>69163</v>
      </c>
      <c r="E5" s="74">
        <v>184887</v>
      </c>
      <c r="F5" s="74">
        <v>786471</v>
      </c>
      <c r="G5" s="74">
        <v>108809</v>
      </c>
      <c r="H5" s="29">
        <f>SUM(C5:G5)</f>
        <v>2722450</v>
      </c>
      <c r="I5" s="17"/>
      <c r="J5" s="17" t="str">
        <f ref="J5:J13" si="3" t="shared">B5</f>
        <v>Drive Alone</v>
      </c>
      <c r="K5" s="28">
        <f>Work!$W$5</f>
        <v>1587760</v>
      </c>
      <c r="L5" s="28">
        <f>School!$W$5</f>
        <v>58642</v>
      </c>
      <c r="M5" s="28">
        <f>Escort!$W$5</f>
        <v>166402</v>
      </c>
      <c r="N5" s="28">
        <f>Personal_Business!$W5+Shop!$W5+Meal!$W5+SocRec!$W5</f>
        <v>728930</v>
      </c>
      <c r="O5" s="28">
        <f>Workbased!$W$5</f>
        <v>130447</v>
      </c>
      <c r="P5" s="29">
        <f>SUM(K5:O5)</f>
        <v>2672181</v>
      </c>
      <c r="S5" s="17" t="s">
        <v>1</v>
      </c>
      <c r="T5" s="28"/>
      <c r="U5" s="28"/>
      <c r="V5" s="28"/>
      <c r="W5" s="28"/>
      <c r="X5" s="28"/>
      <c r="Y5" s="29">
        <v>50</v>
      </c>
      <c r="AF5">
        <f>TripModeCoefficient!B13</f>
        <v>18</v>
      </c>
      <c r="AG5" t="str">
        <f>TripModeCoefficient!C13</f>
        <v>sb-const</v>
      </c>
      <c r="AH5" s="55">
        <f>TripModeCoefficient!E13</f>
        <v>0</v>
      </c>
      <c r="AI5" s="56">
        <f si="0" t="shared"/>
        <v>-3.852373760203176E-2</v>
      </c>
      <c r="AJ5">
        <f si="2" t="shared"/>
        <v>1</v>
      </c>
    </row>
    <row r="6" spans="2:36" x14ac:dyDescent="0.45">
      <c r="B6" s="17" t="s">
        <v>2</v>
      </c>
      <c r="C6" s="74">
        <v>306050</v>
      </c>
      <c r="D6" s="74">
        <v>146340</v>
      </c>
      <c r="E6" s="74">
        <v>198301</v>
      </c>
      <c r="F6" s="74">
        <v>598165</v>
      </c>
      <c r="G6" s="74">
        <v>61148</v>
      </c>
      <c r="H6" s="29">
        <f ref="H6:H12" si="4" t="shared">SUM(C6:G6)</f>
        <v>1310004</v>
      </c>
      <c r="I6" s="17"/>
      <c r="J6" s="17" t="str">
        <f si="3" t="shared"/>
        <v>Shared Ride 2</v>
      </c>
      <c r="K6" s="28">
        <f>Work!$W$6</f>
        <v>286790</v>
      </c>
      <c r="L6" s="28">
        <f>School!$W$6</f>
        <v>137527</v>
      </c>
      <c r="M6" s="28">
        <f>Escort!$W$6</f>
        <v>192468</v>
      </c>
      <c r="N6" s="28">
        <f>Personal_Business!$W6+Shop!$W6+Meal!$W6+SocRec!$W6</f>
        <v>601354</v>
      </c>
      <c r="O6" s="28">
        <f>Workbased!$W$6</f>
        <v>54288</v>
      </c>
      <c r="P6" s="29">
        <f ref="P6:P11" si="5" t="shared">SUM(K6:O6)</f>
        <v>1272427</v>
      </c>
      <c r="S6" s="17" t="s">
        <v>2</v>
      </c>
      <c r="T6" s="28">
        <v>149</v>
      </c>
      <c r="U6" s="28">
        <v>150</v>
      </c>
      <c r="V6" s="28">
        <v>152</v>
      </c>
      <c r="W6" s="28">
        <v>153154155</v>
      </c>
      <c r="X6" s="28"/>
      <c r="Y6" s="29">
        <v>40</v>
      </c>
      <c r="AF6">
        <f>TripModeCoefficient!B14</f>
        <v>20</v>
      </c>
      <c r="AG6" t="str">
        <f>TripModeCoefficient!C14</f>
        <v>wt-const</v>
      </c>
      <c r="AH6" s="55">
        <f>TripModeCoefficient!E14</f>
        <v>-2.9097608799399999</v>
      </c>
      <c r="AI6" s="56">
        <f si="0" t="shared"/>
        <v>-2.9451495633840659</v>
      </c>
      <c r="AJ6">
        <f si="2" t="shared"/>
        <v>1</v>
      </c>
    </row>
    <row r="7" spans="2:36" x14ac:dyDescent="0.45">
      <c r="B7" s="17" t="s">
        <v>3</v>
      </c>
      <c r="C7" s="74">
        <v>96504</v>
      </c>
      <c r="D7" s="74">
        <v>178415</v>
      </c>
      <c r="E7" s="74">
        <v>148210</v>
      </c>
      <c r="F7" s="74">
        <v>293435</v>
      </c>
      <c r="G7" s="74">
        <v>39604</v>
      </c>
      <c r="H7" s="29">
        <f si="4" t="shared"/>
        <v>756168</v>
      </c>
      <c r="I7" s="17"/>
      <c r="J7" s="17" t="str">
        <f si="3" t="shared"/>
        <v>Shared Ride 3+</v>
      </c>
      <c r="K7" s="28">
        <f>Work!$W$7</f>
        <v>105358</v>
      </c>
      <c r="L7" s="28">
        <f>School!$W$7</f>
        <v>177365</v>
      </c>
      <c r="M7" s="28">
        <f>Escort!$W$7</f>
        <v>148539</v>
      </c>
      <c r="N7" s="28">
        <f>Personal_Business!$W7+Shop!$W7+Meal!$W7+SocRec!$W7</f>
        <v>275785</v>
      </c>
      <c r="O7" s="28">
        <f>Workbased!$W$7</f>
        <v>18860</v>
      </c>
      <c r="P7" s="29">
        <f si="5" t="shared"/>
        <v>725907</v>
      </c>
      <c r="S7" s="17" t="s">
        <v>3</v>
      </c>
      <c r="T7" s="28">
        <v>149</v>
      </c>
      <c r="U7" s="28">
        <v>150</v>
      </c>
      <c r="V7" s="28">
        <v>152</v>
      </c>
      <c r="W7" s="28">
        <v>153154155</v>
      </c>
      <c r="X7" s="28"/>
      <c r="Y7" s="29">
        <v>30</v>
      </c>
      <c r="AF7">
        <f>TripModeCoefficient!B15</f>
        <v>22</v>
      </c>
      <c r="AG7" t="str">
        <f>TripModeCoefficient!C15</f>
        <v>wt-carsltd</v>
      </c>
      <c r="AH7" s="55">
        <f>TripModeCoefficient!E15</f>
        <v>7.9845613997700002E-2</v>
      </c>
      <c r="AI7" s="56">
        <f si="0" t="shared"/>
        <v>7.9845613997700002E-2</v>
      </c>
      <c r="AJ7">
        <f si="2" t="shared"/>
        <v>0</v>
      </c>
    </row>
    <row r="8" spans="2:36" x14ac:dyDescent="0.45">
      <c r="B8" s="17" t="s">
        <v>65</v>
      </c>
      <c r="C8" s="75">
        <v>10814</v>
      </c>
      <c r="D8" s="75">
        <v>1672</v>
      </c>
      <c r="E8" s="75">
        <v>0</v>
      </c>
      <c r="F8" s="75">
        <v>9060</v>
      </c>
      <c r="G8" s="75">
        <v>522</v>
      </c>
      <c r="H8" s="29">
        <f si="4" t="shared"/>
        <v>22068</v>
      </c>
      <c r="I8" s="17"/>
      <c r="J8" s="17" t="str">
        <f si="3" t="shared"/>
        <v>Transit</v>
      </c>
      <c r="K8" s="28">
        <f>SUM(Work!$W$8:$W$12)</f>
        <v>10539</v>
      </c>
      <c r="L8" s="28">
        <f>SUM(School!$W$8:$W$12)</f>
        <v>1850</v>
      </c>
      <c r="M8" s="28">
        <f>SUM(Escort!$W$8:$W$12)</f>
        <v>0</v>
      </c>
      <c r="N8" s="28">
        <f>SUM(Personal_Business!$W8:$W13)+SUM(Shop!$W8:$W13)+SUM(Meal!$W8:$W12)+SUM(SocRec!$W8:$W12)</f>
        <v>9162</v>
      </c>
      <c r="O8" s="28">
        <f>SUM(Workbased!$W$8:$W$12)</f>
        <v>375</v>
      </c>
      <c r="P8" s="29">
        <f si="5" t="shared"/>
        <v>21926</v>
      </c>
      <c r="S8" s="17" t="s">
        <v>66</v>
      </c>
      <c r="T8" s="28"/>
      <c r="U8" s="28"/>
      <c r="V8" s="28"/>
      <c r="W8" s="28"/>
      <c r="X8" s="28"/>
      <c r="Y8" s="29">
        <v>20</v>
      </c>
      <c r="AF8">
        <f>TripModeCoefficient!B16</f>
        <v>30</v>
      </c>
      <c r="AG8" t="str">
        <f>TripModeCoefficient!C16</f>
        <v>s3-const</v>
      </c>
      <c r="AH8" s="55">
        <f>TripModeCoefficient!E16</f>
        <v>-1.18040741109</v>
      </c>
      <c r="AI8" s="56">
        <f si="0" t="shared"/>
        <v>-1.1814098764236898</v>
      </c>
      <c r="AJ8">
        <f si="2" t="shared"/>
        <v>1</v>
      </c>
    </row>
    <row r="9" spans="2:36" x14ac:dyDescent="0.45">
      <c r="B9" s="17" t="s">
        <v>4</v>
      </c>
      <c r="C9" s="74">
        <v>12167</v>
      </c>
      <c r="D9" s="74">
        <v>1658</v>
      </c>
      <c r="E9" s="74">
        <v>264</v>
      </c>
      <c r="F9" s="74">
        <v>5433</v>
      </c>
      <c r="G9" s="74">
        <v>2087</v>
      </c>
      <c r="H9" s="29">
        <f si="4" t="shared"/>
        <v>21609</v>
      </c>
      <c r="I9" s="17"/>
      <c r="J9" s="17" t="str">
        <f si="3" t="shared"/>
        <v>Bike</v>
      </c>
      <c r="K9" s="28">
        <f>Work!$W$14</f>
        <v>11477</v>
      </c>
      <c r="L9" s="28">
        <f>School!$W$14</f>
        <v>2020</v>
      </c>
      <c r="M9" s="28">
        <f>Escort!$W$14</f>
        <v>2244</v>
      </c>
      <c r="N9" s="28">
        <f>Personal_Business!$W14+Shop!$W14+Meal!$W14+SocRec!$W14</f>
        <v>10367</v>
      </c>
      <c r="O9" s="28">
        <f>Workbased!$W$14</f>
        <v>881</v>
      </c>
      <c r="P9" s="29">
        <f si="5" t="shared"/>
        <v>26989</v>
      </c>
      <c r="S9" s="17" t="s">
        <v>67</v>
      </c>
      <c r="T9" s="28"/>
      <c r="U9" s="28"/>
      <c r="V9" s="28"/>
      <c r="W9" s="28"/>
      <c r="X9" s="28"/>
      <c r="Y9" s="29"/>
      <c r="AF9">
        <f>TripModeCoefficient!B17</f>
        <v>32</v>
      </c>
      <c r="AG9" t="str">
        <f>TripModeCoefficient!C17</f>
        <v>sr-hh515</v>
      </c>
      <c r="AH9" s="55">
        <f>TripModeCoefficient!E17</f>
        <v>-7.4242155471400006E-2</v>
      </c>
      <c r="AI9" s="56">
        <f si="0" t="shared"/>
        <v>-7.4242155471400006E-2</v>
      </c>
      <c r="AJ9">
        <f si="2" t="shared"/>
        <v>0</v>
      </c>
    </row>
    <row r="10" spans="2:36" x14ac:dyDescent="0.45">
      <c r="B10" s="17" t="s">
        <v>5</v>
      </c>
      <c r="C10" s="74">
        <v>33223</v>
      </c>
      <c r="D10" s="74">
        <v>21158</v>
      </c>
      <c r="E10" s="74">
        <v>11393</v>
      </c>
      <c r="F10" s="74">
        <v>73449</v>
      </c>
      <c r="G10" s="74">
        <v>27221</v>
      </c>
      <c r="H10" s="29">
        <f si="4" t="shared"/>
        <v>166444</v>
      </c>
      <c r="I10" s="17"/>
      <c r="J10" s="17" t="str">
        <f si="3" t="shared"/>
        <v>Walk</v>
      </c>
      <c r="K10" s="28">
        <f>Work!$W$15</f>
        <v>17112</v>
      </c>
      <c r="L10" s="28">
        <f>School!$W$15</f>
        <v>14887</v>
      </c>
      <c r="M10" s="28">
        <f>Escort!$W$15</f>
        <v>11836</v>
      </c>
      <c r="N10" s="28">
        <f>Personal_Business!$W15+Shop!$W15+Meal!$W15+SocRec!$W15</f>
        <v>81784</v>
      </c>
      <c r="O10" s="28">
        <f>Workbased!$W$15</f>
        <v>34004</v>
      </c>
      <c r="P10" s="29">
        <f si="5" t="shared"/>
        <v>159623</v>
      </c>
      <c r="S10" s="17" t="s">
        <v>4</v>
      </c>
      <c r="T10" s="28"/>
      <c r="U10" s="28"/>
      <c r="V10" s="28"/>
      <c r="W10" s="28"/>
      <c r="X10" s="28">
        <v>147</v>
      </c>
      <c r="Y10" s="29">
        <v>60</v>
      </c>
      <c r="AF10">
        <f>TripModeCoefficient!B18</f>
        <v>34</v>
      </c>
      <c r="AG10" t="str">
        <f>TripModeCoefficient!C18</f>
        <v>sr-hhnwa</v>
      </c>
      <c r="AH10" s="55">
        <f>TripModeCoefficient!E18</f>
        <v>0.104391076877</v>
      </c>
      <c r="AI10" s="56">
        <f si="0" t="shared"/>
        <v>0.104391076877</v>
      </c>
      <c r="AJ10">
        <f si="2" t="shared"/>
        <v>0</v>
      </c>
    </row>
    <row r="11" spans="2:36" x14ac:dyDescent="0.45">
      <c r="B11" s="17" t="s">
        <v>23</v>
      </c>
      <c r="C11" s="74">
        <v>826</v>
      </c>
      <c r="D11" s="74">
        <v>145880</v>
      </c>
      <c r="E11" s="74">
        <v>416</v>
      </c>
      <c r="F11" s="74">
        <v>423</v>
      </c>
      <c r="G11" s="74">
        <v>2083</v>
      </c>
      <c r="H11" s="29">
        <f si="4" t="shared"/>
        <v>149628</v>
      </c>
      <c r="I11" s="17"/>
      <c r="J11" s="17" t="str">
        <f si="3" t="shared"/>
        <v>School Bus</v>
      </c>
      <c r="K11" s="28">
        <f>Work!$W$13</f>
        <v>0</v>
      </c>
      <c r="L11" s="28">
        <f>School!$W$13</f>
        <v>149132</v>
      </c>
      <c r="M11" s="28">
        <f>Escort!$W$13</f>
        <v>0</v>
      </c>
      <c r="N11" s="28">
        <f>Personal_Business!$W13+Shop!$W13+Meal!$W13+SocRec!$W13</f>
        <v>0</v>
      </c>
      <c r="O11" s="28">
        <f>Workbased!$W$13</f>
        <v>0</v>
      </c>
      <c r="P11" s="29">
        <f si="5" t="shared"/>
        <v>149132</v>
      </c>
      <c r="S11" s="17" t="s">
        <v>5</v>
      </c>
      <c r="T11" s="28">
        <v>141</v>
      </c>
      <c r="U11" s="28">
        <v>142</v>
      </c>
      <c r="V11" s="28"/>
      <c r="W11" s="28"/>
      <c r="X11" s="28"/>
      <c r="Y11" s="29"/>
      <c r="AF11">
        <f>TripModeCoefficient!B19</f>
        <v>36</v>
      </c>
      <c r="AG11" t="str">
        <f>TripModeCoefficient!C19</f>
        <v>s3-onephh</v>
      </c>
      <c r="AH11" s="55">
        <f>TripModeCoefficient!E19</f>
        <v>-0.70847623999800002</v>
      </c>
      <c r="AI11" s="56">
        <f si="0" t="shared"/>
        <v>-0.70847623999800002</v>
      </c>
      <c r="AJ11">
        <f si="2" t="shared"/>
        <v>0</v>
      </c>
    </row>
    <row r="12" spans="2:36" x14ac:dyDescent="0.45">
      <c r="B12" s="17" t="s">
        <v>166</v>
      </c>
      <c r="C12" s="28">
        <f>Work!$K$16</f>
        <v>0</v>
      </c>
      <c r="D12" s="28">
        <f>School!$K$16</f>
        <v>0</v>
      </c>
      <c r="E12" s="28">
        <f>Escort!$K$16</f>
        <v>0</v>
      </c>
      <c r="F12" s="28">
        <f>Personal_Business!$K16+Shop!$K16+Meal!$K16+SocRec!$K16</f>
        <v>0</v>
      </c>
      <c r="G12" s="28">
        <f>Workbased!$K$16</f>
        <v>0</v>
      </c>
      <c r="H12" s="29">
        <f si="4" t="shared"/>
        <v>0</v>
      </c>
      <c r="I12" s="17"/>
      <c r="J12" s="17" t="str">
        <f si="3" t="shared"/>
        <v>TNC</v>
      </c>
      <c r="K12" s="28">
        <f>Work!$W$16</f>
        <v>0</v>
      </c>
      <c r="L12" s="28">
        <f>School!$W$16</f>
        <v>0</v>
      </c>
      <c r="M12" s="28">
        <f>Escort!$W$16</f>
        <v>0</v>
      </c>
      <c r="N12" s="28">
        <f>Personal_Business!$W16+Shop!$W16+Meal!$W16+SocRec!$W16</f>
        <v>0</v>
      </c>
      <c r="O12" s="28">
        <f>Workbased!$W$16</f>
        <v>0</v>
      </c>
      <c r="P12" s="29">
        <f ref="P12" si="6" t="shared">SUM(K12:O12)</f>
        <v>0</v>
      </c>
      <c r="S12" s="17" t="s">
        <v>23</v>
      </c>
      <c r="T12" s="28"/>
      <c r="U12" s="28"/>
      <c r="V12" s="28"/>
      <c r="W12" s="28"/>
      <c r="X12" s="28"/>
      <c r="Y12" s="29">
        <v>18</v>
      </c>
      <c r="AF12">
        <f>TripModeCoefficient!B20</f>
        <v>37</v>
      </c>
      <c r="AG12" t="str">
        <f>TripModeCoefficient!C20</f>
        <v>s3-twophh</v>
      </c>
      <c r="AH12" s="55">
        <f>TripModeCoefficient!E20</f>
        <v>-0.65985759144800005</v>
      </c>
      <c r="AI12" s="56">
        <f si="0" t="shared"/>
        <v>-0.65985759144800005</v>
      </c>
      <c r="AJ12">
        <f si="2" t="shared"/>
        <v>0</v>
      </c>
    </row>
    <row ht="14.65" r="13" spans="2:36" thickBot="1" x14ac:dyDescent="0.5">
      <c r="B13" s="30" t="s">
        <v>7</v>
      </c>
      <c r="C13" s="31">
        <f>SUM(C5:C12)</f>
        <v>2032704</v>
      </c>
      <c r="D13" s="31">
        <f ref="D13:H13" si="7" t="shared">SUM(D5:D12)</f>
        <v>564286</v>
      </c>
      <c r="E13" s="31">
        <f si="7" t="shared"/>
        <v>543471</v>
      </c>
      <c r="F13" s="31">
        <f si="7" t="shared"/>
        <v>1766436</v>
      </c>
      <c r="G13" s="31">
        <f si="7" t="shared"/>
        <v>241474</v>
      </c>
      <c r="H13" s="31">
        <f si="7" t="shared"/>
        <v>5148371</v>
      </c>
      <c r="I13" s="17"/>
      <c r="J13" s="30" t="str">
        <f si="3" t="shared"/>
        <v>Total</v>
      </c>
      <c r="K13" s="31">
        <f>SUM(K5:K12)</f>
        <v>2019036</v>
      </c>
      <c r="L13" s="31">
        <f ref="L13:P13" si="8" t="shared">SUM(L5:L12)</f>
        <v>541423</v>
      </c>
      <c r="M13" s="31">
        <f si="8" t="shared"/>
        <v>521489</v>
      </c>
      <c r="N13" s="31">
        <f si="8" t="shared"/>
        <v>1707382</v>
      </c>
      <c r="O13" s="31">
        <f si="8" t="shared"/>
        <v>238855</v>
      </c>
      <c r="P13" s="31">
        <f si="8" t="shared"/>
        <v>5028185</v>
      </c>
      <c r="S13" s="16" t="s">
        <v>166</v>
      </c>
      <c r="T13" s="40"/>
      <c r="U13" s="40"/>
      <c r="V13" s="40"/>
      <c r="W13" s="40"/>
      <c r="X13" s="40"/>
      <c r="Y13" s="41">
        <v>80</v>
      </c>
      <c r="AF13">
        <f>TripModeCoefficient!B21</f>
        <v>38</v>
      </c>
      <c r="AG13" t="str">
        <f>TripModeCoefficient!C21</f>
        <v>s2-onephh</v>
      </c>
      <c r="AH13" s="55">
        <f>TripModeCoefficient!E21</f>
        <v>-0.35753290790300002</v>
      </c>
      <c r="AI13" s="56">
        <f si="0" t="shared"/>
        <v>-0.35753290790300002</v>
      </c>
      <c r="AJ13">
        <f si="2" t="shared"/>
        <v>0</v>
      </c>
    </row>
    <row r="14" spans="2:36" x14ac:dyDescent="0.45"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AF14">
        <f>TripModeCoefficient!B22</f>
        <v>40</v>
      </c>
      <c r="AG14" t="str">
        <f>TripModeCoefficient!C22</f>
        <v>s2-const</v>
      </c>
      <c r="AH14" s="55">
        <f>TripModeCoefficient!E22</f>
        <v>-1.72595055454</v>
      </c>
      <c r="AI14" s="56">
        <f si="0" t="shared"/>
        <v>-1.738690595908325</v>
      </c>
      <c r="AJ14">
        <f si="2" t="shared"/>
        <v>1</v>
      </c>
    </row>
    <row r="15" spans="2:36" x14ac:dyDescent="0.45"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S15" t="s">
        <v>71</v>
      </c>
      <c r="AF15">
        <f>TripModeCoefficient!B23</f>
        <v>41</v>
      </c>
      <c r="AG15" t="str">
        <f>TripModeCoefficient!C23</f>
        <v>sr-nocars</v>
      </c>
      <c r="AH15" s="55">
        <f>TripModeCoefficient!E23</f>
        <v>-0.88093586388400003</v>
      </c>
      <c r="AI15" s="56">
        <f si="0" t="shared"/>
        <v>-0.88093586388400003</v>
      </c>
      <c r="AJ15">
        <f si="2" t="shared"/>
        <v>0</v>
      </c>
    </row>
    <row ht="14.65" r="16" spans="2:36" thickBot="1" x14ac:dyDescent="0.5">
      <c r="B16" s="14" t="s">
        <v>63</v>
      </c>
      <c r="C16" s="15"/>
      <c r="D16" s="15"/>
      <c r="E16" s="15"/>
      <c r="F16" s="15"/>
      <c r="G16" s="15"/>
      <c r="H16" s="15"/>
      <c r="I16" s="17"/>
      <c r="J16" s="14" t="str">
        <f>B16</f>
        <v>Share</v>
      </c>
      <c r="K16" s="15"/>
      <c r="L16" s="15"/>
      <c r="M16" s="15"/>
      <c r="N16" s="15"/>
      <c r="O16" s="15"/>
      <c r="P16" s="15"/>
      <c r="T16" s="79" t="s">
        <v>69</v>
      </c>
      <c r="U16" s="79"/>
      <c r="V16" s="79"/>
      <c r="W16" s="79"/>
      <c r="X16" s="79"/>
      <c r="Y16" s="79"/>
      <c r="Z16" s="79"/>
      <c r="AA16" s="79"/>
      <c r="AF16">
        <f>TripModeCoefficient!B24</f>
        <v>50</v>
      </c>
      <c r="AG16" t="str">
        <f>TripModeCoefficient!C24</f>
        <v>da-const</v>
      </c>
      <c r="AH16" s="55">
        <f>TripModeCoefficient!E24</f>
        <v>-2.02844784341</v>
      </c>
      <c r="AI16" s="56">
        <f si="0" t="shared"/>
        <v>-2.0516547577296214</v>
      </c>
      <c r="AJ16">
        <f si="2" t="shared"/>
        <v>1</v>
      </c>
    </row>
    <row r="17" spans="2:36" x14ac:dyDescent="0.45">
      <c r="B17" s="26" t="str">
        <f ref="B17:H17" si="9" t="shared">B4</f>
        <v>Mode</v>
      </c>
      <c r="C17" s="27" t="str">
        <f si="9" t="shared"/>
        <v>Work</v>
      </c>
      <c r="D17" s="27" t="str">
        <f si="9" t="shared"/>
        <v>School</v>
      </c>
      <c r="E17" s="27" t="str">
        <f si="9" t="shared"/>
        <v>Escort</v>
      </c>
      <c r="F17" s="27" t="str">
        <f si="9" t="shared"/>
        <v>Other</v>
      </c>
      <c r="G17" s="27" t="str">
        <f si="9" t="shared"/>
        <v>WorkBased</v>
      </c>
      <c r="H17" s="27" t="str">
        <f si="9" t="shared"/>
        <v>Total</v>
      </c>
      <c r="I17" s="17"/>
      <c r="J17" s="26" t="str">
        <f ref="J17:P17" si="10" t="shared">J4</f>
        <v>Mode</v>
      </c>
      <c r="K17" s="27" t="str">
        <f si="10" t="shared"/>
        <v>Work</v>
      </c>
      <c r="L17" s="27" t="str">
        <f si="10" t="shared"/>
        <v>School</v>
      </c>
      <c r="M17" s="27" t="str">
        <f si="10" t="shared"/>
        <v>Escort</v>
      </c>
      <c r="N17" s="27" t="str">
        <f si="10" t="shared"/>
        <v>Other</v>
      </c>
      <c r="O17" s="27" t="str">
        <f si="10" t="shared"/>
        <v>WorkBased</v>
      </c>
      <c r="P17" s="27" t="str">
        <f si="10" t="shared"/>
        <v>Total</v>
      </c>
      <c r="S17" s="26" t="s">
        <v>68</v>
      </c>
      <c r="T17" s="42" t="s">
        <v>1</v>
      </c>
      <c r="U17" s="42" t="s">
        <v>2</v>
      </c>
      <c r="V17" s="42" t="s">
        <v>3</v>
      </c>
      <c r="W17" s="42" t="s">
        <v>66</v>
      </c>
      <c r="X17" s="42" t="s">
        <v>67</v>
      </c>
      <c r="Y17" s="42" t="s">
        <v>4</v>
      </c>
      <c r="Z17" s="42" t="s">
        <v>5</v>
      </c>
      <c r="AA17" s="42" t="s">
        <v>23</v>
      </c>
      <c r="AF17">
        <f>TripModeCoefficient!B25</f>
        <v>52</v>
      </c>
      <c r="AG17" t="str">
        <f>TripModeCoefficient!C25</f>
        <v>da-carsltd</v>
      </c>
      <c r="AH17" s="55">
        <f>TripModeCoefficient!E25</f>
        <v>-0.43964975737899997</v>
      </c>
      <c r="AI17" s="56">
        <f si="0" t="shared"/>
        <v>-0.43964975737899997</v>
      </c>
      <c r="AJ17">
        <f si="2" t="shared"/>
        <v>0</v>
      </c>
    </row>
    <row r="18" spans="2:36" x14ac:dyDescent="0.45">
      <c r="B18" s="17" t="str">
        <f ref="B18:B24" si="11" t="shared">B5</f>
        <v>Drive Alone</v>
      </c>
      <c r="C18" s="32">
        <f ref="C18:H26" si="12" t="shared">C5/C$13</f>
        <v>0.7739051037435849</v>
      </c>
      <c r="D18" s="32">
        <f si="12" t="shared"/>
        <v>0.12256727971276976</v>
      </c>
      <c r="E18" s="32">
        <f si="12" t="shared"/>
        <v>0.34019662502691034</v>
      </c>
      <c r="F18" s="32">
        <f si="12" t="shared"/>
        <v>0.44523039611964432</v>
      </c>
      <c r="G18" s="32">
        <f si="12" t="shared"/>
        <v>0.45060337758930569</v>
      </c>
      <c r="H18" s="33">
        <f si="12" t="shared"/>
        <v>0.52879833252110231</v>
      </c>
      <c r="I18" s="17"/>
      <c r="J18" s="17" t="str">
        <f ref="J18:J24" si="13" t="shared">J5</f>
        <v>Drive Alone</v>
      </c>
      <c r="K18" s="32">
        <f ref="K18:P26" si="14" t="shared">K5/K$13</f>
        <v>0.78639509151892284</v>
      </c>
      <c r="L18" s="32">
        <f si="14" t="shared"/>
        <v>0.10831087707762692</v>
      </c>
      <c r="M18" s="32">
        <f si="14" t="shared"/>
        <v>0.31909014379977335</v>
      </c>
      <c r="N18" s="32">
        <f si="14" t="shared"/>
        <v>0.42692847880556312</v>
      </c>
      <c r="O18" s="32">
        <f si="14" t="shared"/>
        <v>0.54613468422264555</v>
      </c>
      <c r="P18" s="33">
        <f si="14" t="shared"/>
        <v>0.53144047007021422</v>
      </c>
      <c r="S18" s="17" t="s">
        <v>1</v>
      </c>
      <c r="T18" s="28"/>
      <c r="U18" s="28">
        <v>125</v>
      </c>
      <c r="V18" s="28">
        <v>124</v>
      </c>
      <c r="W18" s="28">
        <v>122</v>
      </c>
      <c r="X18" s="28">
        <v>121</v>
      </c>
      <c r="Y18" s="29"/>
      <c r="Z18" s="17"/>
      <c r="AA18" s="17"/>
      <c r="AF18">
        <f>TripModeCoefficient!B26</f>
        <v>54</v>
      </c>
      <c r="AG18" t="str">
        <f>TripModeCoefficient!C26</f>
        <v>da-incu25</v>
      </c>
      <c r="AH18" s="55">
        <f>TripModeCoefficient!E26</f>
        <v>0.374073784041</v>
      </c>
      <c r="AI18" s="56">
        <f si="0" t="shared"/>
        <v>0.374073784041</v>
      </c>
      <c r="AJ18">
        <f si="2" t="shared"/>
        <v>0</v>
      </c>
    </row>
    <row r="19" spans="2:36" x14ac:dyDescent="0.45">
      <c r="B19" s="17" t="str">
        <f si="11" t="shared"/>
        <v>Shared Ride 2</v>
      </c>
      <c r="C19" s="32">
        <f si="12" t="shared"/>
        <v>0.15056299392336514</v>
      </c>
      <c r="D19" s="32">
        <f si="12" t="shared"/>
        <v>0.25933657755109996</v>
      </c>
      <c r="E19" s="32">
        <f si="12" t="shared"/>
        <v>0.36487871477962946</v>
      </c>
      <c r="F19" s="32">
        <f si="12" t="shared"/>
        <v>0.33862817560330516</v>
      </c>
      <c r="G19" s="32">
        <f si="12" t="shared"/>
        <v>0.25322809080894837</v>
      </c>
      <c r="H19" s="33">
        <f si="12" t="shared"/>
        <v>0.25445019405167185</v>
      </c>
      <c r="I19" s="17"/>
      <c r="J19" s="17" t="str">
        <f si="13" t="shared"/>
        <v>Shared Ride 2</v>
      </c>
      <c r="K19" s="32">
        <f si="14" t="shared"/>
        <v>0.14204303439859417</v>
      </c>
      <c r="L19" s="32">
        <f si="14" t="shared"/>
        <v>0.25401026554099104</v>
      </c>
      <c r="M19" s="32">
        <f si="14" t="shared"/>
        <v>0.36907394019816336</v>
      </c>
      <c r="N19" s="32">
        <f si="14" t="shared"/>
        <v>0.35220823459542155</v>
      </c>
      <c r="O19" s="32">
        <f si="14" t="shared"/>
        <v>0.2272843356848297</v>
      </c>
      <c r="P19" s="33">
        <f si="14" t="shared"/>
        <v>0.25305890694157035</v>
      </c>
      <c r="S19" s="17" t="s">
        <v>2</v>
      </c>
      <c r="T19" s="28"/>
      <c r="U19" s="28"/>
      <c r="V19" s="28">
        <v>120</v>
      </c>
      <c r="W19" s="28">
        <v>118</v>
      </c>
      <c r="X19" s="28"/>
      <c r="Y19" s="29"/>
      <c r="Z19" s="17"/>
      <c r="AA19" s="17">
        <v>119</v>
      </c>
      <c r="AF19">
        <f>TripModeCoefficient!B27</f>
        <v>55</v>
      </c>
      <c r="AG19" t="str">
        <f>TripModeCoefficient!C27</f>
        <v>da-inc2545</v>
      </c>
      <c r="AH19" s="55">
        <f>TripModeCoefficient!E27</f>
        <v>6.3453275698499997E-2</v>
      </c>
      <c r="AI19" s="56">
        <f si="0" t="shared"/>
        <v>6.3453275698499997E-2</v>
      </c>
      <c r="AJ19">
        <f si="2" t="shared"/>
        <v>0</v>
      </c>
    </row>
    <row r="20" spans="2:36" x14ac:dyDescent="0.45">
      <c r="B20" s="17" t="str">
        <f si="11" t="shared"/>
        <v>Shared Ride 3+</v>
      </c>
      <c r="C20" s="32">
        <f si="12" t="shared"/>
        <v>4.7475677717955987E-2</v>
      </c>
      <c r="D20" s="32">
        <f si="12" t="shared"/>
        <v>0.31617832092236914</v>
      </c>
      <c r="E20" s="32">
        <f si="12" t="shared"/>
        <v>0.27271004340617988</v>
      </c>
      <c r="F20" s="32">
        <f si="12" t="shared"/>
        <v>0.16611697225373578</v>
      </c>
      <c r="G20" s="32">
        <f si="12" t="shared"/>
        <v>0.1640093757505984</v>
      </c>
      <c r="H20" s="33">
        <f si="12" t="shared"/>
        <v>0.1468751960571606</v>
      </c>
      <c r="I20" s="17"/>
      <c r="J20" s="17" t="str">
        <f si="13" t="shared"/>
        <v>Shared Ride 3+</v>
      </c>
      <c r="K20" s="32">
        <f si="14" t="shared"/>
        <v>5.2182328596419282E-2</v>
      </c>
      <c r="L20" s="32">
        <f si="14" t="shared"/>
        <v>0.32759044222354794</v>
      </c>
      <c r="M20" s="32">
        <f si="14" t="shared"/>
        <v>0.28483630527201914</v>
      </c>
      <c r="N20" s="32">
        <f si="14" t="shared"/>
        <v>0.16152507171798694</v>
      </c>
      <c r="O20" s="32">
        <f si="14" t="shared"/>
        <v>7.8960038517091963E-2</v>
      </c>
      <c r="P20" s="33">
        <f si="14" t="shared"/>
        <v>0.1443675998397036</v>
      </c>
      <c r="S20" s="17" t="s">
        <v>3</v>
      </c>
      <c r="T20" s="28"/>
      <c r="U20" s="28"/>
      <c r="V20" s="28"/>
      <c r="W20" s="28">
        <v>115</v>
      </c>
      <c r="X20" s="28"/>
      <c r="Y20" s="29"/>
      <c r="Z20" s="17"/>
      <c r="AA20" s="17">
        <v>116</v>
      </c>
      <c r="AF20">
        <f>TripModeCoefficient!B28</f>
        <v>59</v>
      </c>
      <c r="AG20" t="str">
        <f>TripModeCoefficient!C28</f>
        <v>da-ch1617</v>
      </c>
      <c r="AH20" s="55">
        <f>TripModeCoefficient!E28</f>
        <v>-0.77067627320400001</v>
      </c>
      <c r="AI20" s="56">
        <f si="0" t="shared"/>
        <v>-0.77067627320400001</v>
      </c>
      <c r="AJ20">
        <f si="2" t="shared"/>
        <v>0</v>
      </c>
    </row>
    <row r="21" spans="2:36" x14ac:dyDescent="0.45">
      <c r="B21" s="17" t="str">
        <f si="11" t="shared"/>
        <v>Transit</v>
      </c>
      <c r="C21" s="32">
        <f si="12" t="shared"/>
        <v>5.3200072415855925E-3</v>
      </c>
      <c r="D21" s="32">
        <f si="12" t="shared"/>
        <v>2.9630364744119117E-3</v>
      </c>
      <c r="E21" s="32">
        <f si="12" t="shared"/>
        <v>0</v>
      </c>
      <c r="F21" s="32">
        <f si="12" t="shared"/>
        <v>5.1289715562862171E-3</v>
      </c>
      <c r="G21" s="32">
        <f si="12" t="shared"/>
        <v>2.161723415357347E-3</v>
      </c>
      <c r="H21" s="33">
        <f si="12" t="shared"/>
        <v>4.2864043791715862E-3</v>
      </c>
      <c r="I21" s="17"/>
      <c r="J21" s="17" t="str">
        <f si="13" t="shared"/>
        <v>Transit</v>
      </c>
      <c r="K21" s="37">
        <f si="14" t="shared"/>
        <v>5.2198177744230412E-3</v>
      </c>
      <c r="L21" s="37">
        <f si="14" t="shared"/>
        <v>3.4169217044713652E-3</v>
      </c>
      <c r="M21" s="37">
        <f si="14" t="shared"/>
        <v>0</v>
      </c>
      <c r="N21" s="37">
        <f si="14" t="shared"/>
        <v>5.3661102202084828E-3</v>
      </c>
      <c r="O21" s="37">
        <f si="14" t="shared"/>
        <v>1.5699901613949886E-3</v>
      </c>
      <c r="P21" s="33">
        <f si="14" t="shared"/>
        <v>4.3606191896280663E-3</v>
      </c>
      <c r="S21" s="17" t="s">
        <v>66</v>
      </c>
      <c r="T21" s="28"/>
      <c r="U21" s="28"/>
      <c r="V21" s="28"/>
      <c r="W21" s="28"/>
      <c r="X21" s="28"/>
      <c r="Y21" s="29"/>
      <c r="Z21" s="17"/>
      <c r="AA21" s="17"/>
      <c r="AF21">
        <f>TripModeCoefficient!B29</f>
        <v>60</v>
      </c>
      <c r="AG21" t="str">
        <f>TripModeCoefficient!C29</f>
        <v>bi-const</v>
      </c>
      <c r="AH21" s="55">
        <f>TripModeCoefficient!E29</f>
        <v>-2.4630488731</v>
      </c>
      <c r="AI21" s="56">
        <f si="0" t="shared"/>
        <v>-2.7272124857105426</v>
      </c>
      <c r="AJ21">
        <f si="2" t="shared"/>
        <v>1</v>
      </c>
    </row>
    <row r="22" spans="2:36" x14ac:dyDescent="0.45">
      <c r="B22" s="17" t="str">
        <f si="11" t="shared"/>
        <v>Bike</v>
      </c>
      <c r="C22" s="32">
        <f si="12" t="shared"/>
        <v>5.9856230912124931E-3</v>
      </c>
      <c r="D22" s="32">
        <f si="12" t="shared"/>
        <v>2.9382263603917164E-3</v>
      </c>
      <c r="E22" s="32">
        <f si="12" t="shared"/>
        <v>4.8576648984030428E-4</v>
      </c>
      <c r="F22" s="32">
        <f si="12" t="shared"/>
        <v>3.0756845988193175E-3</v>
      </c>
      <c r="G22" s="32">
        <f si="12" t="shared"/>
        <v>8.6427524288329172E-3</v>
      </c>
      <c r="H22" s="33">
        <f si="12" t="shared"/>
        <v>4.1972499650860433E-3</v>
      </c>
      <c r="I22" s="17"/>
      <c r="J22" s="17" t="str">
        <f si="13" t="shared"/>
        <v>Bike</v>
      </c>
      <c r="K22" s="32">
        <f si="14" t="shared"/>
        <v>5.6843959196368962E-3</v>
      </c>
      <c r="L22" s="32">
        <f si="14" t="shared"/>
        <v>3.7309091043417069E-3</v>
      </c>
      <c r="M22" s="32">
        <f si="14" t="shared"/>
        <v>4.3030629601007887E-3</v>
      </c>
      <c r="N22" s="32">
        <f si="14" t="shared"/>
        <v>6.0718690954923975E-3</v>
      </c>
      <c r="O22" s="32">
        <f si="14" t="shared"/>
        <v>3.6884302191706264E-3</v>
      </c>
      <c r="P22" s="33">
        <f si="14" t="shared"/>
        <v>5.3675431592115248E-3</v>
      </c>
      <c r="S22" s="17" t="s">
        <v>67</v>
      </c>
      <c r="T22" s="28"/>
      <c r="U22" s="28"/>
      <c r="V22" s="28"/>
      <c r="W22" s="28"/>
      <c r="X22" s="28"/>
      <c r="Y22" s="29"/>
      <c r="Z22" s="17"/>
      <c r="AA22" s="17"/>
      <c r="AF22">
        <f>TripModeCoefficient!B30</f>
        <v>61</v>
      </c>
      <c r="AG22" t="str">
        <f>TripModeCoefficient!C30</f>
        <v>bi-male</v>
      </c>
      <c r="AH22" s="55">
        <f>TripModeCoefficient!E30</f>
        <v>-0.29891161818799999</v>
      </c>
      <c r="AI22" s="56">
        <f si="0" t="shared"/>
        <v>-0.29891161818799999</v>
      </c>
      <c r="AJ22">
        <f si="2" t="shared"/>
        <v>0</v>
      </c>
    </row>
    <row r="23" spans="2:36" x14ac:dyDescent="0.45">
      <c r="B23" s="17" t="str">
        <f si="11" t="shared"/>
        <v>Walk</v>
      </c>
      <c r="C23" s="32">
        <f si="12" t="shared"/>
        <v>1.6344239003809703E-2</v>
      </c>
      <c r="D23" s="32">
        <f si="12" t="shared"/>
        <v>3.749517088852107E-2</v>
      </c>
      <c r="E23" s="32">
        <f si="12" t="shared"/>
        <v>2.096340007102495E-2</v>
      </c>
      <c r="F23" s="32">
        <f si="12" t="shared"/>
        <v>4.1580334639919024E-2</v>
      </c>
      <c r="G23" s="32">
        <f si="12" t="shared"/>
        <v>0.11272849250851023</v>
      </c>
      <c r="H23" s="33">
        <f si="12" t="shared"/>
        <v>3.2329449451098224E-2</v>
      </c>
      <c r="I23" s="17"/>
      <c r="J23" s="17" t="str">
        <f si="13" t="shared"/>
        <v>Walk</v>
      </c>
      <c r="K23" s="32">
        <f si="14" t="shared"/>
        <v>8.4753317920037083E-3</v>
      </c>
      <c r="L23" s="32">
        <f si="14" t="shared"/>
        <v>2.7496061305116334E-2</v>
      </c>
      <c r="M23" s="32">
        <f si="14" t="shared"/>
        <v>2.2696547769943374E-2</v>
      </c>
      <c r="N23" s="32">
        <f si="14" t="shared"/>
        <v>4.7900235565327499E-2</v>
      </c>
      <c r="O23" s="32">
        <f si="14" t="shared"/>
        <v>0.14236252119486717</v>
      </c>
      <c r="P23" s="33">
        <f si="14" t="shared"/>
        <v>3.1745649772233916E-2</v>
      </c>
      <c r="S23" s="17" t="s">
        <v>4</v>
      </c>
      <c r="T23" s="28">
        <v>131</v>
      </c>
      <c r="U23" s="28">
        <v>130</v>
      </c>
      <c r="V23" s="28"/>
      <c r="W23" s="28">
        <v>127</v>
      </c>
      <c r="X23" s="28"/>
      <c r="Y23" s="29"/>
      <c r="Z23" s="17"/>
      <c r="AA23" s="17">
        <v>128</v>
      </c>
      <c r="AF23">
        <f>TripModeCoefficient!B31</f>
        <v>62</v>
      </c>
      <c r="AG23" t="str">
        <f>TripModeCoefficient!C31</f>
        <v>bi-ageu35</v>
      </c>
      <c r="AH23" s="55">
        <f>TripModeCoefficient!E31</f>
        <v>8.0970846080599998E-2</v>
      </c>
      <c r="AI23" s="56">
        <f si="0" t="shared"/>
        <v>8.0970846080599998E-2</v>
      </c>
      <c r="AJ23">
        <f si="2" t="shared"/>
        <v>0</v>
      </c>
    </row>
    <row r="24" spans="2:36" x14ac:dyDescent="0.45">
      <c r="B24" s="17" t="str">
        <f si="11" t="shared"/>
        <v>School Bus</v>
      </c>
      <c r="C24" s="68">
        <f si="12" t="shared"/>
        <v>4.0635527848619375E-4</v>
      </c>
      <c r="D24" s="68">
        <f si="12" t="shared"/>
        <v>0.2585213880904364</v>
      </c>
      <c r="E24" s="68">
        <f si="12" t="shared"/>
        <v>7.6545022641502495E-4</v>
      </c>
      <c r="F24" s="68">
        <f si="12" t="shared"/>
        <v>2.3946522829018429E-4</v>
      </c>
      <c r="G24" s="68">
        <f si="12" t="shared"/>
        <v>8.6261874984470376E-3</v>
      </c>
      <c r="H24" s="69">
        <f si="12" t="shared"/>
        <v>2.9063173574709361E-2</v>
      </c>
      <c r="I24" s="17"/>
      <c r="J24" s="17" t="str">
        <f si="13" t="shared"/>
        <v>School Bus</v>
      </c>
      <c r="K24" s="68">
        <f si="14" t="shared"/>
        <v>0</v>
      </c>
      <c r="L24" s="68">
        <f si="14" t="shared"/>
        <v>0.27544452304390465</v>
      </c>
      <c r="M24" s="68">
        <f si="14" t="shared"/>
        <v>0</v>
      </c>
      <c r="N24" s="68">
        <f si="14" t="shared"/>
        <v>0</v>
      </c>
      <c r="O24" s="68">
        <f si="14" t="shared"/>
        <v>0</v>
      </c>
      <c r="P24" s="69">
        <f si="14" t="shared"/>
        <v>2.9659211027438331E-2</v>
      </c>
      <c r="S24" s="17" t="s">
        <v>5</v>
      </c>
      <c r="T24" s="28"/>
      <c r="U24" s="28"/>
      <c r="V24" s="28"/>
      <c r="W24" s="28"/>
      <c r="X24" s="28"/>
      <c r="Y24" s="29"/>
      <c r="Z24" s="17"/>
      <c r="AA24" s="17"/>
      <c r="AF24">
        <f>TripModeCoefficient!B32</f>
        <v>65</v>
      </c>
      <c r="AG24" t="str">
        <f>TripModeCoefficient!C32</f>
        <v>bi-ointd</v>
      </c>
      <c r="AH24" s="55">
        <f>TripModeCoefficient!E32</f>
        <v>4.1030585546699997E-3</v>
      </c>
      <c r="AI24" s="56">
        <f si="0" t="shared"/>
        <v>4.1030585546699997E-3</v>
      </c>
      <c r="AJ24">
        <f si="2" t="shared"/>
        <v>0</v>
      </c>
    </row>
    <row r="25" spans="2:36" x14ac:dyDescent="0.45">
      <c r="B25" s="17" t="s">
        <v>166</v>
      </c>
      <c r="C25" s="34">
        <f si="12" t="shared"/>
        <v>0</v>
      </c>
      <c r="D25" s="34">
        <f si="12" t="shared"/>
        <v>0</v>
      </c>
      <c r="E25" s="34">
        <f si="12" t="shared"/>
        <v>0</v>
      </c>
      <c r="F25" s="34">
        <f si="12" t="shared"/>
        <v>0</v>
      </c>
      <c r="G25" s="34">
        <f si="12" t="shared"/>
        <v>0</v>
      </c>
      <c r="H25" s="35">
        <f si="12" t="shared"/>
        <v>0</v>
      </c>
      <c r="I25" s="17"/>
      <c r="J25" s="17" t="s">
        <v>166</v>
      </c>
      <c r="K25" s="34">
        <f si="14" t="shared"/>
        <v>0</v>
      </c>
      <c r="L25" s="34">
        <f si="14" t="shared"/>
        <v>0</v>
      </c>
      <c r="M25" s="34">
        <f si="14" t="shared"/>
        <v>0</v>
      </c>
      <c r="N25" s="34">
        <f si="14" t="shared"/>
        <v>0</v>
      </c>
      <c r="O25" s="34">
        <f si="14" t="shared"/>
        <v>0</v>
      </c>
      <c r="P25" s="35">
        <f si="14" t="shared"/>
        <v>0</v>
      </c>
      <c r="S25" s="17" t="s">
        <v>23</v>
      </c>
      <c r="T25" s="28"/>
      <c r="U25" s="28"/>
      <c r="V25" s="28"/>
      <c r="W25" s="28"/>
      <c r="X25" s="28"/>
      <c r="Y25" s="29"/>
      <c r="Z25" s="17"/>
      <c r="AA25" s="17"/>
      <c r="AF25">
        <f>TripModeCoefficient!B33</f>
        <v>72</v>
      </c>
      <c r="AG25" t="str">
        <f>TripModeCoefficient!C33</f>
        <v>wk-ageu35</v>
      </c>
      <c r="AH25" s="55">
        <f>TripModeCoefficient!E33</f>
        <v>-2.84443713903E-2</v>
      </c>
      <c r="AI25" s="56">
        <f si="0" t="shared"/>
        <v>-2.84443713903E-2</v>
      </c>
      <c r="AJ25">
        <f si="2" t="shared"/>
        <v>0</v>
      </c>
    </row>
    <row ht="14.65" r="26" spans="2:36" thickBot="1" x14ac:dyDescent="0.5">
      <c r="B26" s="30" t="str">
        <f>B13</f>
        <v>Total</v>
      </c>
      <c r="C26" s="36">
        <f si="12" t="shared"/>
        <v>1</v>
      </c>
      <c r="D26" s="36">
        <f si="12" t="shared"/>
        <v>1</v>
      </c>
      <c r="E26" s="36">
        <f si="12" t="shared"/>
        <v>1</v>
      </c>
      <c r="F26" s="36">
        <f si="12" t="shared"/>
        <v>1</v>
      </c>
      <c r="G26" s="36">
        <f si="12" t="shared"/>
        <v>1</v>
      </c>
      <c r="H26" s="36">
        <f si="12" t="shared"/>
        <v>1</v>
      </c>
      <c r="I26" s="17"/>
      <c r="J26" s="30" t="str">
        <f>J13</f>
        <v>Total</v>
      </c>
      <c r="K26" s="36">
        <f si="14" t="shared"/>
        <v>1</v>
      </c>
      <c r="L26" s="36">
        <f si="14" t="shared"/>
        <v>1</v>
      </c>
      <c r="M26" s="36">
        <f si="14" t="shared"/>
        <v>1</v>
      </c>
      <c r="N26" s="36">
        <f si="14" t="shared"/>
        <v>1</v>
      </c>
      <c r="O26" s="36">
        <f si="14" t="shared"/>
        <v>1</v>
      </c>
      <c r="P26" s="36">
        <f si="14" t="shared"/>
        <v>1</v>
      </c>
      <c r="S26" s="16" t="s">
        <v>166</v>
      </c>
      <c r="T26" s="40"/>
      <c r="U26" s="40"/>
      <c r="V26" s="40"/>
      <c r="W26" s="40"/>
      <c r="X26" s="40"/>
      <c r="Y26" s="41"/>
      <c r="Z26" s="16"/>
      <c r="AA26" s="16"/>
      <c r="AF26">
        <f>TripModeCoefficient!B34</f>
        <v>75</v>
      </c>
      <c r="AG26" t="str">
        <f>TripModeCoefficient!C34</f>
        <v>wk-ointd</v>
      </c>
      <c r="AH26" s="55">
        <f>TripModeCoefficient!E34</f>
        <v>8.1593467830299998E-3</v>
      </c>
      <c r="AI26" s="56">
        <f si="0" t="shared"/>
        <v>8.1593467830299998E-3</v>
      </c>
      <c r="AJ26">
        <f si="2" t="shared"/>
        <v>0</v>
      </c>
    </row>
    <row r="27" spans="2:36" x14ac:dyDescent="0.4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AF27">
        <f>TripModeCoefficient!B35</f>
        <v>78</v>
      </c>
      <c r="AG27" t="str">
        <f>TripModeCoefficient!C35</f>
        <v>wk-dmixed</v>
      </c>
      <c r="AH27" s="55">
        <f>TripModeCoefficient!E35</f>
        <v>-0.86315963807999996</v>
      </c>
      <c r="AI27" s="56">
        <f si="0" t="shared"/>
        <v>-0.86315963807999996</v>
      </c>
      <c r="AJ27">
        <f si="2" t="shared"/>
        <v>0</v>
      </c>
    </row>
    <row r="28" spans="2:36" x14ac:dyDescent="0.4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AF28">
        <f>TripModeCoefficient!B36</f>
        <v>80</v>
      </c>
      <c r="AG28" t="str">
        <f>TripModeCoefficient!C36</f>
        <v>tnc-const</v>
      </c>
      <c r="AH28" s="55">
        <f>TripModeCoefficient!E36</f>
        <v>-3.1338332016899999</v>
      </c>
      <c r="AI28" s="56" t="e">
        <f>_xlfn.IFNA(VLOOKUP(AF28,$T$55:$W$64,4,FALSE),AH28)</f>
        <v>#DIV/0!</v>
      </c>
      <c r="AJ28" t="e">
        <f si="2" t="shared"/>
        <v>#DIV/0!</v>
      </c>
    </row>
    <row ht="14.65" r="29" spans="2:36" thickBot="1" x14ac:dyDescent="0.5">
      <c r="B29" s="14" t="s">
        <v>57</v>
      </c>
      <c r="C29" s="15"/>
      <c r="D29" s="15"/>
      <c r="E29" s="15"/>
      <c r="F29" s="15"/>
      <c r="G29" s="15"/>
      <c r="H29" s="15"/>
      <c r="I29" s="17"/>
      <c r="J29" s="14" t="s">
        <v>64</v>
      </c>
      <c r="K29" s="15"/>
      <c r="L29" s="15"/>
      <c r="M29" s="15"/>
      <c r="N29" s="15"/>
      <c r="O29" s="15"/>
      <c r="P29" s="15"/>
      <c r="S29" s="14" t="s">
        <v>72</v>
      </c>
      <c r="T29" s="15"/>
      <c r="U29" s="15"/>
      <c r="V29" s="15"/>
      <c r="W29" s="15"/>
      <c r="X29" s="15"/>
      <c r="Y29" s="15"/>
      <c r="AF29">
        <f>TripModeCoefficient!B37</f>
        <v>81</v>
      </c>
      <c r="AG29" t="str">
        <f>TripModeCoefficient!C37</f>
        <v>tnc-nocars</v>
      </c>
      <c r="AH29" s="55">
        <f>TripModeCoefficient!E37</f>
        <v>2.06190696537</v>
      </c>
      <c r="AI29" s="56">
        <f ref="AI29:AI60" si="15" t="shared">_xlfn.IFNA(VLOOKUP(AF29,$T$55:$W$63,4,FALSE),AH29)</f>
        <v>2.06190696537</v>
      </c>
      <c r="AJ29">
        <f si="2" t="shared"/>
        <v>0</v>
      </c>
    </row>
    <row r="30" spans="2:36" x14ac:dyDescent="0.45">
      <c r="B30" s="26" t="s">
        <v>0</v>
      </c>
      <c r="C30" s="27" t="s">
        <v>58</v>
      </c>
      <c r="D30" s="27" t="s">
        <v>59</v>
      </c>
      <c r="E30" s="27" t="s">
        <v>60</v>
      </c>
      <c r="F30" s="27" t="s">
        <v>61</v>
      </c>
      <c r="G30" s="27" t="s">
        <v>62</v>
      </c>
      <c r="H30" s="27" t="s">
        <v>7</v>
      </c>
      <c r="I30" s="17"/>
      <c r="J30" s="26" t="str">
        <f ref="J30:P30" si="16" t="shared">J17</f>
        <v>Mode</v>
      </c>
      <c r="K30" s="27" t="str">
        <f si="16" t="shared"/>
        <v>Work</v>
      </c>
      <c r="L30" s="27" t="str">
        <f si="16" t="shared"/>
        <v>School</v>
      </c>
      <c r="M30" s="27" t="str">
        <f si="16" t="shared"/>
        <v>Escort</v>
      </c>
      <c r="N30" s="27" t="str">
        <f si="16" t="shared"/>
        <v>Other</v>
      </c>
      <c r="O30" s="27" t="str">
        <f si="16" t="shared"/>
        <v>WorkBased</v>
      </c>
      <c r="P30" s="27" t="str">
        <f si="16" t="shared"/>
        <v>Total</v>
      </c>
      <c r="S30" s="26" t="str">
        <f>S17</f>
        <v>Trip Mode</v>
      </c>
      <c r="T30" s="27"/>
      <c r="U30" s="27"/>
      <c r="V30" s="27"/>
      <c r="W30" s="27"/>
      <c r="X30" s="27"/>
      <c r="Y30" s="27" t="s">
        <v>7</v>
      </c>
      <c r="AF30">
        <f>TripModeCoefficient!B38</f>
        <v>82</v>
      </c>
      <c r="AG30" t="str">
        <f>TripModeCoefficient!C38</f>
        <v>tnc-carltd</v>
      </c>
      <c r="AH30" s="55">
        <f>TripModeCoefficient!E38</f>
        <v>0.62426487718500001</v>
      </c>
      <c r="AI30" s="56">
        <f si="15" t="shared"/>
        <v>0.62426487718500001</v>
      </c>
      <c r="AJ30">
        <f si="2" t="shared"/>
        <v>0</v>
      </c>
    </row>
    <row r="31" spans="2:36" x14ac:dyDescent="0.45">
      <c r="B31" s="17" t="s">
        <v>1</v>
      </c>
      <c r="C31" s="74">
        <f>C5*$K$13/$C$13</f>
        <v>1562542.2650420326</v>
      </c>
      <c r="D31" s="74">
        <f ref="D31:G31" si="17" t="shared">D5*$K$13/$C$13</f>
        <v>68697.944643194482</v>
      </c>
      <c r="E31" s="74">
        <f si="17" t="shared"/>
        <v>183643.81087064324</v>
      </c>
      <c r="F31" s="74">
        <f si="17" t="shared"/>
        <v>781182.73096132046</v>
      </c>
      <c r="G31" s="74">
        <f si="17" t="shared"/>
        <v>108077.36302186643</v>
      </c>
      <c r="H31" s="29">
        <f>SUM(C31:G31)</f>
        <v>2704144.114539057</v>
      </c>
      <c r="I31" s="17"/>
      <c r="J31" s="17" t="str">
        <f ref="J31:J37" si="18" t="shared">J18</f>
        <v>Drive Alone</v>
      </c>
      <c r="K31" s="37">
        <f ref="K31:P38" si="19" t="shared">K18-C18</f>
        <v>1.2489987775337941E-2</v>
      </c>
      <c r="L31" s="37">
        <f si="19" t="shared"/>
        <v>-1.4256402635142842E-2</v>
      </c>
      <c r="M31" s="37">
        <f si="19" t="shared"/>
        <v>-2.1106481227136986E-2</v>
      </c>
      <c r="N31" s="37">
        <f si="19" t="shared"/>
        <v>-1.8301917314081206E-2</v>
      </c>
      <c r="O31" s="37">
        <f si="19" t="shared"/>
        <v>9.5531306633339863E-2</v>
      </c>
      <c r="P31" s="33">
        <f si="19" t="shared"/>
        <v>2.6421375491119115E-3</v>
      </c>
      <c r="S31" s="17" t="s">
        <v>1</v>
      </c>
      <c r="T31" s="37"/>
      <c r="U31" s="37"/>
      <c r="V31" s="37"/>
      <c r="W31" s="37"/>
      <c r="X31" s="37"/>
      <c r="Y31" s="43">
        <f ref="Y31:Y38" si="20" t="shared">H18/P18</f>
        <v>0.99502834710957777</v>
      </c>
      <c r="AF31">
        <f>TripModeCoefficient!B39</f>
        <v>83</v>
      </c>
      <c r="AG31" t="str">
        <f>TripModeCoefficient!C39</f>
        <v>tnc-und35</v>
      </c>
      <c r="AH31" s="55">
        <f>TripModeCoefficient!E39</f>
        <v>0</v>
      </c>
      <c r="AI31" s="56">
        <f si="15" t="shared"/>
        <v>0</v>
      </c>
      <c r="AJ31">
        <f si="2" t="shared"/>
        <v>0</v>
      </c>
    </row>
    <row r="32" spans="2:36" x14ac:dyDescent="0.45">
      <c r="B32" s="17" t="s">
        <v>2</v>
      </c>
      <c r="C32" s="74">
        <f ref="C32:C39" si="21" t="shared">C6*$K$13/$C$13</f>
        <v>303992.10499905545</v>
      </c>
      <c r="D32" s="74">
        <f ref="D32:G32" si="22" t="shared">D6*$K$13/$C$13</f>
        <v>145356.00276282232</v>
      </c>
      <c r="E32" s="74">
        <f si="22" t="shared"/>
        <v>196967.61448592614</v>
      </c>
      <c r="F32" s="74">
        <f si="22" t="shared"/>
        <v>594142.9096120242</v>
      </c>
      <c r="G32" s="74">
        <f si="22" t="shared"/>
        <v>60736.837890809482</v>
      </c>
      <c r="H32" s="29">
        <f ref="H32:H38" si="23" t="shared">SUM(C32:G32)</f>
        <v>1301195.4697506377</v>
      </c>
      <c r="I32" s="17"/>
      <c r="J32" s="17" t="str">
        <f si="18" t="shared"/>
        <v>Shared Ride 2</v>
      </c>
      <c r="K32" s="37">
        <f si="19" t="shared"/>
        <v>-8.5199595247709703E-3</v>
      </c>
      <c r="L32" s="37">
        <f si="19" t="shared"/>
        <v>-5.3263120101089134E-3</v>
      </c>
      <c r="M32" s="37">
        <f si="19" t="shared"/>
        <v>4.1952254185338989E-3</v>
      </c>
      <c r="N32" s="37">
        <f si="19" t="shared"/>
        <v>1.3580058992116395E-2</v>
      </c>
      <c r="O32" s="37">
        <f si="19" t="shared"/>
        <v>-2.5943755124118673E-2</v>
      </c>
      <c r="P32" s="33">
        <f si="19" t="shared"/>
        <v>-1.3912871101015023E-3</v>
      </c>
      <c r="S32" s="17" t="s">
        <v>2</v>
      </c>
      <c r="T32" s="37"/>
      <c r="U32" s="37"/>
      <c r="V32" s="37"/>
      <c r="W32" s="37"/>
      <c r="X32" s="37"/>
      <c r="Y32" s="43">
        <f si="20" t="shared"/>
        <v>1.0054978784462336</v>
      </c>
      <c r="AF32">
        <f>TripModeCoefficient!B40</f>
        <v>84</v>
      </c>
      <c r="AG32" t="str">
        <f>TripModeCoefficient!C40</f>
        <v>tnc-a65up</v>
      </c>
      <c r="AH32" s="55">
        <f>TripModeCoefficient!E40</f>
        <v>0</v>
      </c>
      <c r="AI32" s="56">
        <f si="15" t="shared"/>
        <v>0</v>
      </c>
      <c r="AJ32">
        <f si="2" t="shared"/>
        <v>0</v>
      </c>
    </row>
    <row r="33" spans="2:36" x14ac:dyDescent="0.45">
      <c r="B33" s="17" t="s">
        <v>3</v>
      </c>
      <c r="C33" s="74">
        <f si="21" t="shared"/>
        <v>95855.102436950983</v>
      </c>
      <c r="D33" s="74">
        <f ref="D33:G33" si="24" t="shared">D7*$K$13/$C$13</f>
        <v>177215.32891163693</v>
      </c>
      <c r="E33" s="74">
        <f si="24" t="shared"/>
        <v>147213.4287923869</v>
      </c>
      <c r="F33" s="74">
        <f si="24" t="shared"/>
        <v>291461.92886913195</v>
      </c>
      <c r="G33" s="74">
        <f si="24" t="shared"/>
        <v>39337.700788703129</v>
      </c>
      <c r="H33" s="29">
        <f si="23" t="shared"/>
        <v>751083.48979880998</v>
      </c>
      <c r="I33" s="17"/>
      <c r="J33" s="17" t="str">
        <f si="18" t="shared"/>
        <v>Shared Ride 3+</v>
      </c>
      <c r="K33" s="37">
        <f si="19" t="shared"/>
        <v>4.7066508784632949E-3</v>
      </c>
      <c r="L33" s="37">
        <f si="19" t="shared"/>
        <v>1.1412121301178801E-2</v>
      </c>
      <c r="M33" s="37">
        <f si="19" t="shared"/>
        <v>1.2126261865839261E-2</v>
      </c>
      <c r="N33" s="37">
        <f si="19" t="shared"/>
        <v>-4.591900535748844E-3</v>
      </c>
      <c r="O33" s="37">
        <f si="19" t="shared"/>
        <v>-8.5049337233506439E-2</v>
      </c>
      <c r="P33" s="33">
        <f si="19" t="shared"/>
        <v>-2.5075962174569977E-3</v>
      </c>
      <c r="S33" s="17" t="s">
        <v>3</v>
      </c>
      <c r="T33" s="37"/>
      <c r="U33" s="37"/>
      <c r="V33" s="37"/>
      <c r="W33" s="37"/>
      <c r="X33" s="37"/>
      <c r="Y33" s="43">
        <f si="20" t="shared"/>
        <v>1.0173695221105101</v>
      </c>
      <c r="AF33">
        <f>TripModeCoefficient!B41</f>
        <v>85</v>
      </c>
      <c r="AG33" t="str">
        <f>TripModeCoefficient!C41</f>
        <v>tnc-odens</v>
      </c>
      <c r="AH33" s="55">
        <f>TripModeCoefficient!E41</f>
        <v>-1.3429612451E-5</v>
      </c>
      <c r="AI33" s="56">
        <f si="15" t="shared"/>
        <v>-1.3429612451E-5</v>
      </c>
      <c r="AJ33">
        <f si="2" t="shared"/>
        <v>0</v>
      </c>
    </row>
    <row r="34" spans="2:36" x14ac:dyDescent="0.45">
      <c r="B34" s="17" t="s">
        <v>65</v>
      </c>
      <c r="C34" s="75">
        <f si="21" t="shared"/>
        <v>10741.286141022008</v>
      </c>
      <c r="D34" s="75">
        <f ref="D34:G34" si="25" t="shared">D8*$K$13/$C$13</f>
        <v>1660.7573911400775</v>
      </c>
      <c r="E34" s="75">
        <f si="25" t="shared"/>
        <v>0</v>
      </c>
      <c r="F34" s="75">
        <f si="25" t="shared"/>
        <v>8999.0801218475481</v>
      </c>
      <c r="G34" s="75">
        <f si="25" t="shared"/>
        <v>518.49004675545484</v>
      </c>
      <c r="H34" s="29">
        <f si="23" t="shared"/>
        <v>21919.61370076509</v>
      </c>
      <c r="I34" s="17"/>
      <c r="J34" s="17" t="str">
        <f si="18" t="shared"/>
        <v>Transit</v>
      </c>
      <c r="K34" s="37">
        <f si="19" t="shared"/>
        <v>-1.0018946716255136E-4</v>
      </c>
      <c r="L34" s="37">
        <f si="19" t="shared"/>
        <v>4.5388523005945348E-4</v>
      </c>
      <c r="M34" s="37">
        <f si="19" t="shared"/>
        <v>0</v>
      </c>
      <c r="N34" s="37">
        <f si="19" t="shared"/>
        <v>2.3713866392226571E-4</v>
      </c>
      <c r="O34" s="37">
        <f si="19" t="shared"/>
        <v>-5.9173325396235841E-4</v>
      </c>
      <c r="P34" s="33">
        <f si="19" t="shared"/>
        <v>7.4214810456480103E-5</v>
      </c>
      <c r="S34" s="17" t="s">
        <v>65</v>
      </c>
      <c r="T34" s="37"/>
      <c r="U34" s="37"/>
      <c r="V34" s="37"/>
      <c r="W34" s="37"/>
      <c r="X34" s="37"/>
      <c r="Y34" s="43">
        <f si="20" t="shared"/>
        <v>0.98298067149890012</v>
      </c>
      <c r="AF34">
        <f>TripModeCoefficient!B42</f>
        <v>86</v>
      </c>
      <c r="AG34" t="str">
        <f>TripModeCoefficient!C42</f>
        <v>tnc-ddens</v>
      </c>
      <c r="AH34" s="55">
        <f>TripModeCoefficient!E42</f>
        <v>0</v>
      </c>
      <c r="AI34" s="56">
        <f si="15" t="shared"/>
        <v>0</v>
      </c>
      <c r="AJ34">
        <f si="2" t="shared"/>
        <v>0</v>
      </c>
    </row>
    <row r="35" spans="2:36" x14ac:dyDescent="0.45">
      <c r="B35" s="17" t="s">
        <v>4</v>
      </c>
      <c r="C35" s="74">
        <f si="21" t="shared"/>
        <v>12085.188503589308</v>
      </c>
      <c r="D35" s="74">
        <f ref="D35:G35" si="26" t="shared">D9*$K$13/$C$13</f>
        <v>1646.8515278171342</v>
      </c>
      <c r="E35" s="74">
        <f si="26" t="shared"/>
        <v>262.2248512326438</v>
      </c>
      <c r="F35" s="74">
        <f si="26" t="shared"/>
        <v>5396.4682452536126</v>
      </c>
      <c r="G35" s="74">
        <f si="26" t="shared"/>
        <v>2072.9669110701802</v>
      </c>
      <c r="H35" s="29">
        <f si="23" t="shared"/>
        <v>21463.700038962881</v>
      </c>
      <c r="I35" s="17"/>
      <c r="J35" s="17" t="str">
        <f si="18" t="shared"/>
        <v>Bike</v>
      </c>
      <c r="K35" s="37">
        <f si="19" t="shared"/>
        <v>-3.0122717157559688E-4</v>
      </c>
      <c r="L35" s="37">
        <f si="19" t="shared"/>
        <v>7.9268274394999044E-4</v>
      </c>
      <c r="M35" s="37">
        <f si="19" t="shared"/>
        <v>3.8172964702604846E-3</v>
      </c>
      <c r="N35" s="37">
        <f si="19" t="shared"/>
        <v>2.9961844966730801E-3</v>
      </c>
      <c r="O35" s="37">
        <f si="19" t="shared"/>
        <v>-4.9543222096622907E-3</v>
      </c>
      <c r="P35" s="33">
        <f si="19" t="shared"/>
        <v>1.1702931941254815E-3</v>
      </c>
      <c r="S35" s="17" t="s">
        <v>4</v>
      </c>
      <c r="T35" s="37"/>
      <c r="U35" s="37"/>
      <c r="V35" s="37"/>
      <c r="W35" s="37"/>
      <c r="X35" s="37"/>
      <c r="Y35" s="43">
        <f si="20" t="shared"/>
        <v>0.78196855443685076</v>
      </c>
      <c r="AF35">
        <f>TripModeCoefficient!B43</f>
        <v>87</v>
      </c>
      <c r="AG35" t="str">
        <f>TripModeCoefficient!C43</f>
        <v>tnc-incu25</v>
      </c>
      <c r="AH35" s="55">
        <f>TripModeCoefficient!E43</f>
        <v>0.92404405514400001</v>
      </c>
      <c r="AI35" s="56">
        <f si="15" t="shared"/>
        <v>0.92404405514400001</v>
      </c>
      <c r="AJ35">
        <f si="2" t="shared"/>
        <v>0</v>
      </c>
    </row>
    <row r="36" spans="2:36" x14ac:dyDescent="0.45">
      <c r="B36" s="17" t="s">
        <v>5</v>
      </c>
      <c r="C36" s="74">
        <f si="21" t="shared"/>
        <v>32999.606941295926</v>
      </c>
      <c r="D36" s="74">
        <f ref="D36:G36" si="27" t="shared">D10*$K$13/$C$13</f>
        <v>21015.732584773777</v>
      </c>
      <c r="E36" s="74">
        <f si="27" t="shared"/>
        <v>11316.392917020874</v>
      </c>
      <c r="F36" s="74">
        <f si="27" t="shared"/>
        <v>72955.125371918388</v>
      </c>
      <c r="G36" s="74">
        <f si="27" t="shared"/>
        <v>27037.964679559838</v>
      </c>
      <c r="H36" s="29">
        <f si="23" t="shared"/>
        <v>165324.8224945688</v>
      </c>
      <c r="I36" s="17"/>
      <c r="J36" s="17" t="str">
        <f si="18" t="shared"/>
        <v>Walk</v>
      </c>
      <c r="K36" s="37">
        <f si="19" t="shared"/>
        <v>-7.8689072118059943E-3</v>
      </c>
      <c r="L36" s="37">
        <f si="19" t="shared"/>
        <v>-9.9991095834047368E-3</v>
      </c>
      <c r="M36" s="37">
        <f si="19" t="shared"/>
        <v>1.733147698918424E-3</v>
      </c>
      <c r="N36" s="37">
        <f si="19" t="shared"/>
        <v>6.3199009254084754E-3</v>
      </c>
      <c r="O36" s="37">
        <f si="19" t="shared"/>
        <v>2.9634028686356936E-2</v>
      </c>
      <c r="P36" s="33">
        <f si="19" t="shared"/>
        <v>-5.8379967886430795E-4</v>
      </c>
      <c r="S36" s="17" t="s">
        <v>5</v>
      </c>
      <c r="T36" s="37"/>
      <c r="U36" s="37"/>
      <c r="V36" s="37"/>
      <c r="W36" s="37"/>
      <c r="X36" s="37"/>
      <c r="Y36" s="43">
        <f si="20" t="shared"/>
        <v>1.0183899111548482</v>
      </c>
      <c r="AF36">
        <f>TripModeCoefficient!B44</f>
        <v>88</v>
      </c>
      <c r="AG36" t="str">
        <f>TripModeCoefficient!C44</f>
        <v>tnc-inc100</v>
      </c>
      <c r="AH36" s="55">
        <f>TripModeCoefficient!E44</f>
        <v>-0.26219801758400002</v>
      </c>
      <c r="AI36" s="56">
        <f si="15" t="shared"/>
        <v>-0.26219801758400002</v>
      </c>
      <c r="AJ36">
        <f si="2" t="shared"/>
        <v>0</v>
      </c>
    </row>
    <row r="37" spans="2:36" x14ac:dyDescent="0.45">
      <c r="B37" s="17" t="s">
        <v>23</v>
      </c>
      <c r="C37" s="74">
        <f si="21" t="shared"/>
        <v>820.44593605365071</v>
      </c>
      <c r="D37" s="74">
        <f ref="D37:G37" si="28" t="shared">D11*$K$13/$C$13</f>
        <v>144899.09582506848</v>
      </c>
      <c r="E37" s="74">
        <f si="28" t="shared"/>
        <v>413.20279588174174</v>
      </c>
      <c r="F37" s="74">
        <f si="28" t="shared"/>
        <v>420.1557275432134</v>
      </c>
      <c r="G37" s="74">
        <f si="28" t="shared"/>
        <v>2068.9938072636251</v>
      </c>
      <c r="H37" s="29">
        <f si="23" t="shared"/>
        <v>148621.89409181071</v>
      </c>
      <c r="I37" s="17"/>
      <c r="J37" s="17" t="str">
        <f si="18" t="shared"/>
        <v>School Bus</v>
      </c>
      <c r="K37" s="70">
        <f si="19" t="shared"/>
        <v>-4.0635527848619375E-4</v>
      </c>
      <c r="L37" s="70">
        <f si="19" t="shared"/>
        <v>1.6923134953468255E-2</v>
      </c>
      <c r="M37" s="70">
        <f si="19" t="shared"/>
        <v>-7.6545022641502495E-4</v>
      </c>
      <c r="N37" s="70">
        <f si="19" t="shared"/>
        <v>-2.3946522829018429E-4</v>
      </c>
      <c r="O37" s="70">
        <f si="19" t="shared"/>
        <v>-8.6261874984470376E-3</v>
      </c>
      <c r="P37" s="69">
        <f si="19" t="shared"/>
        <v>5.9603745272896955E-4</v>
      </c>
      <c r="S37" s="17" t="s">
        <v>23</v>
      </c>
      <c r="T37" s="70"/>
      <c r="U37" s="70"/>
      <c r="V37" s="70"/>
      <c r="W37" s="70"/>
      <c r="X37" s="70"/>
      <c r="Y37" s="71">
        <f si="20" t="shared"/>
        <v>0.97990379945786277</v>
      </c>
      <c r="AF37">
        <f>TripModeCoefficient!B45</f>
        <v>89</v>
      </c>
      <c r="AG37" t="str">
        <f>TripModeCoefficient!C45</f>
        <v>tnc-wktour</v>
      </c>
      <c r="AH37" s="55">
        <f>TripModeCoefficient!E45</f>
        <v>-1.5263709811799999</v>
      </c>
      <c r="AI37" s="56">
        <f si="15" t="shared"/>
        <v>-1.5263709811799999</v>
      </c>
      <c r="AJ37">
        <f si="2" t="shared"/>
        <v>0</v>
      </c>
    </row>
    <row r="38" spans="2:36" x14ac:dyDescent="0.45">
      <c r="B38" s="17" t="s">
        <v>166</v>
      </c>
      <c r="C38" s="28">
        <f si="21" t="shared"/>
        <v>0</v>
      </c>
      <c r="D38" s="28">
        <f ref="D38:G38" si="29" t="shared">D12*$K$13/$C$13</f>
        <v>0</v>
      </c>
      <c r="E38" s="28">
        <f si="29" t="shared"/>
        <v>0</v>
      </c>
      <c r="F38" s="28">
        <f si="29" t="shared"/>
        <v>0</v>
      </c>
      <c r="G38" s="28">
        <f si="29" t="shared"/>
        <v>0</v>
      </c>
      <c r="H38" s="29">
        <f si="23" t="shared"/>
        <v>0</v>
      </c>
      <c r="I38" s="17"/>
      <c r="J38" s="17" t="s">
        <v>166</v>
      </c>
      <c r="K38" s="38">
        <f si="19" t="shared"/>
        <v>0</v>
      </c>
      <c r="L38" s="38">
        <f si="19" t="shared"/>
        <v>0</v>
      </c>
      <c r="M38" s="38">
        <f si="19" t="shared"/>
        <v>0</v>
      </c>
      <c r="N38" s="38">
        <f si="19" t="shared"/>
        <v>0</v>
      </c>
      <c r="O38" s="38">
        <f si="19" t="shared"/>
        <v>0</v>
      </c>
      <c r="P38" s="35">
        <f si="19" t="shared"/>
        <v>0</v>
      </c>
      <c r="S38" s="17" t="s">
        <v>166</v>
      </c>
      <c r="T38" s="70"/>
      <c r="U38" s="70"/>
      <c r="V38" s="70"/>
      <c r="W38" s="70"/>
      <c r="X38" s="70"/>
      <c r="Y38" s="71" t="e">
        <f si="20" t="shared"/>
        <v>#DIV/0!</v>
      </c>
      <c r="AF38">
        <f>TripModeCoefficient!B46</f>
        <v>90</v>
      </c>
      <c r="AG38" t="str">
        <f>TripModeCoefficient!C46</f>
        <v>tnc-sctour</v>
      </c>
      <c r="AH38" s="55">
        <f>TripModeCoefficient!E46</f>
        <v>-1.7149809578499999</v>
      </c>
      <c r="AI38" s="56">
        <f si="15" t="shared"/>
        <v>-1.7149809578499999</v>
      </c>
      <c r="AJ38">
        <f si="2" t="shared"/>
        <v>0</v>
      </c>
    </row>
    <row ht="14.65" r="39" spans="2:36" thickBot="1" x14ac:dyDescent="0.5">
      <c r="B39" s="30" t="s">
        <v>7</v>
      </c>
      <c r="C39" s="31">
        <f si="21" t="shared"/>
        <v>2019036</v>
      </c>
      <c r="D39" s="31">
        <f ref="D39:G39" si="30" t="shared">D13*$K$13/$C$13</f>
        <v>560491.71364645322</v>
      </c>
      <c r="E39" s="31">
        <f si="30" t="shared"/>
        <v>539816.67471309158</v>
      </c>
      <c r="F39" s="31">
        <f si="30" t="shared"/>
        <v>1754558.3989090393</v>
      </c>
      <c r="G39" s="31">
        <f si="30" t="shared"/>
        <v>239850.31714602816</v>
      </c>
      <c r="H39" s="31">
        <f ref="D39:H39" si="31" t="shared">SUM(H31:H38)</f>
        <v>5113753.104414613</v>
      </c>
      <c r="I39" s="17"/>
      <c r="J39" s="30" t="str">
        <f ref="J39" si="32" t="shared">J26</f>
        <v>Total</v>
      </c>
      <c r="K39" s="39">
        <f ref="K39" si="33" t="shared">K26-C26</f>
        <v>0</v>
      </c>
      <c r="L39" s="39">
        <f ref="L39:P39" si="34" t="shared">L26-D26</f>
        <v>0</v>
      </c>
      <c r="M39" s="39">
        <f si="34" t="shared"/>
        <v>0</v>
      </c>
      <c r="N39" s="39">
        <f si="34" t="shared"/>
        <v>0</v>
      </c>
      <c r="O39" s="39">
        <f si="34" t="shared"/>
        <v>0</v>
      </c>
      <c r="P39" s="39">
        <f si="34" t="shared"/>
        <v>0</v>
      </c>
      <c r="S39" s="30" t="s">
        <v>7</v>
      </c>
      <c r="T39" s="39"/>
      <c r="U39" s="39"/>
      <c r="V39" s="39"/>
      <c r="W39" s="39"/>
      <c r="X39" s="39"/>
      <c r="Y39" s="44">
        <f ref="Y39" si="35" t="shared">H26/P26</f>
        <v>1</v>
      </c>
      <c r="AF39">
        <f>TripModeCoefficient!B47</f>
        <v>91</v>
      </c>
      <c r="AG39" t="str">
        <f>TripModeCoefficient!C47</f>
        <v>tnc-estour</v>
      </c>
      <c r="AH39" s="55">
        <f>TripModeCoefficient!E47</f>
        <v>-5</v>
      </c>
      <c r="AI39" s="56">
        <f si="15" t="shared"/>
        <v>-5</v>
      </c>
      <c r="AJ39">
        <f si="2" t="shared"/>
        <v>0</v>
      </c>
    </row>
    <row r="40" spans="2:36" x14ac:dyDescent="0.45"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AF40">
        <f>TripModeCoefficient!B48</f>
        <v>92</v>
      </c>
      <c r="AG40" t="str">
        <f>TripModeCoefficient!C48</f>
        <v>tnc-shtour</v>
      </c>
      <c r="AH40" s="55">
        <f>TripModeCoefficient!E48</f>
        <v>0</v>
      </c>
      <c r="AI40" s="56">
        <f si="15" t="shared"/>
        <v>0</v>
      </c>
      <c r="AJ40">
        <f si="2" t="shared"/>
        <v>0</v>
      </c>
    </row>
    <row r="41" spans="2:36" x14ac:dyDescent="0.45">
      <c r="D41" t="s">
        <v>206</v>
      </c>
      <c r="E41" t="s">
        <v>207</v>
      </c>
      <c r="AF41">
        <f>TripModeCoefficient!B49</f>
        <v>100</v>
      </c>
      <c r="AG41" t="str">
        <f>TripModeCoefficient!C49</f>
        <v>mainmode</v>
      </c>
      <c r="AH41" s="55">
        <f>TripModeCoefficient!E49</f>
        <v>3.1803543467900002</v>
      </c>
      <c r="AI41" s="56">
        <f si="15" t="shared"/>
        <v>3.1803543467900002</v>
      </c>
      <c r="AJ41">
        <f si="2" t="shared"/>
        <v>0</v>
      </c>
    </row>
    <row ht="14.65" r="42" spans="2:36" thickBot="1" x14ac:dyDescent="0.5">
      <c r="B42" s="14" t="s">
        <v>63</v>
      </c>
      <c r="C42" s="15"/>
      <c r="D42" s="15"/>
      <c r="E42" s="15"/>
      <c r="F42" s="15"/>
      <c r="G42" s="15"/>
      <c r="H42" s="15"/>
      <c r="S42" s="14" t="s">
        <v>73</v>
      </c>
      <c r="T42" s="15"/>
      <c r="U42" s="15"/>
      <c r="V42" s="15"/>
      <c r="W42" s="15"/>
      <c r="X42" s="15"/>
      <c r="Y42" s="15"/>
      <c r="AF42">
        <f>TripModeCoefficient!B50</f>
        <v>102</v>
      </c>
      <c r="AG42" t="str">
        <f>TripModeCoefficient!C50</f>
        <v>mm-onlyob</v>
      </c>
      <c r="AH42" s="55">
        <f>TripModeCoefficient!E50</f>
        <v>0.78181538481699997</v>
      </c>
      <c r="AI42" s="56">
        <f si="15" t="shared"/>
        <v>0.78181538481699997</v>
      </c>
      <c r="AJ42">
        <f si="2" t="shared"/>
        <v>0</v>
      </c>
    </row>
    <row r="43" spans="2:36" x14ac:dyDescent="0.45">
      <c r="B43" s="26" t="str">
        <f ref="B43:H50" si="36" t="shared">B30</f>
        <v>Mode</v>
      </c>
      <c r="C43" s="27" t="str">
        <f si="36" t="shared"/>
        <v>Work</v>
      </c>
      <c r="D43" s="27" t="str">
        <f si="36" t="shared"/>
        <v>School</v>
      </c>
      <c r="E43" s="27" t="str">
        <f si="36" t="shared"/>
        <v>Escort</v>
      </c>
      <c r="F43" s="27" t="str">
        <f si="36" t="shared"/>
        <v>Other</v>
      </c>
      <c r="G43" s="27" t="str">
        <f si="36" t="shared"/>
        <v>WorkBased</v>
      </c>
      <c r="H43" s="27" t="str">
        <f si="36" t="shared"/>
        <v>Total</v>
      </c>
      <c r="S43" s="26" t="str">
        <f ref="S43" si="37" t="shared">S30</f>
        <v>Trip Mode</v>
      </c>
      <c r="T43" s="27"/>
      <c r="U43" s="27"/>
      <c r="V43" s="27"/>
      <c r="W43" s="27"/>
      <c r="X43" s="27"/>
      <c r="Y43" s="27" t="s">
        <v>75</v>
      </c>
      <c r="Z43" s="3" t="s">
        <v>73</v>
      </c>
      <c r="AB43" t="s">
        <v>165</v>
      </c>
      <c r="AF43">
        <f>TripModeCoefficient!B51</f>
        <v>103</v>
      </c>
      <c r="AG43" t="str">
        <f>TripModeCoefficient!C51</f>
        <v>mm-onlyrt</v>
      </c>
      <c r="AH43" s="55">
        <f>TripModeCoefficient!E51</f>
        <v>0.77045698797100004</v>
      </c>
      <c r="AI43" s="56">
        <f si="15" t="shared"/>
        <v>0.77045698797100004</v>
      </c>
      <c r="AJ43">
        <f si="2" t="shared"/>
        <v>0</v>
      </c>
    </row>
    <row r="44" spans="2:36" x14ac:dyDescent="0.45">
      <c r="B44" s="17" t="str">
        <f si="36" t="shared"/>
        <v>Drive Alone</v>
      </c>
      <c r="C44" s="32">
        <f>C31/C$39</f>
        <v>0.7739051037435849</v>
      </c>
      <c r="D44" s="32">
        <f ref="D44:H44" si="38" t="shared">D31/D$39</f>
        <v>0.12256727971276976</v>
      </c>
      <c r="E44" s="32">
        <f si="38" t="shared"/>
        <v>0.34019662502691034</v>
      </c>
      <c r="F44" s="32">
        <f si="38" t="shared"/>
        <v>0.44523039611964432</v>
      </c>
      <c r="G44" s="32">
        <f si="38" t="shared"/>
        <v>0.45060337758930563</v>
      </c>
      <c r="H44" s="33">
        <f si="38" t="shared"/>
        <v>0.5287983325211022</v>
      </c>
      <c r="S44" s="17" t="str">
        <f ref="S44:S50" si="39" t="shared">S31</f>
        <v>Drive Alone</v>
      </c>
      <c r="T44" s="37"/>
      <c r="U44" s="37"/>
      <c r="V44" s="37"/>
      <c r="W44" s="37"/>
      <c r="X44" s="37"/>
      <c r="Y44" s="45">
        <f ref="Y44:Y51" si="40" t="shared">LN(Y31)</f>
        <v>-4.9840526719994198E-3</v>
      </c>
      <c r="Z44" s="47">
        <f>AB44*Y44-$Y$49</f>
        <v>-2.3206914319621387E-2</v>
      </c>
      <c r="AB44" s="60">
        <v>1</v>
      </c>
      <c r="AF44">
        <f>TripModeCoefficient!B52</f>
        <v>104</v>
      </c>
      <c r="AG44" t="str">
        <f>TripModeCoefficient!C52</f>
        <v>mm-frstob</v>
      </c>
      <c r="AH44" s="55">
        <f>TripModeCoefficient!E52</f>
        <v>0.24381041000299999</v>
      </c>
      <c r="AI44" s="56">
        <f si="15" t="shared"/>
        <v>0.24381041000299999</v>
      </c>
      <c r="AJ44">
        <f si="2" t="shared"/>
        <v>0</v>
      </c>
    </row>
    <row r="45" spans="2:36" x14ac:dyDescent="0.45">
      <c r="B45" s="17" t="str">
        <f si="36" t="shared"/>
        <v>Shared Ride 2</v>
      </c>
      <c r="C45" s="32">
        <f ref="C45:H52" si="41" t="shared">C32/C$39</f>
        <v>0.15056299392336514</v>
      </c>
      <c r="D45" s="32">
        <f si="41" t="shared"/>
        <v>0.25933657755109996</v>
      </c>
      <c r="E45" s="32">
        <f si="41" t="shared"/>
        <v>0.36487871477962941</v>
      </c>
      <c r="F45" s="32">
        <f si="41" t="shared"/>
        <v>0.33862817560330521</v>
      </c>
      <c r="G45" s="32">
        <f si="41" t="shared"/>
        <v>0.25322809080894837</v>
      </c>
      <c r="H45" s="33">
        <f si="41" t="shared"/>
        <v>0.25445019405167185</v>
      </c>
      <c r="S45" s="17" t="str">
        <f si="39" t="shared"/>
        <v>Shared Ride 2</v>
      </c>
      <c r="T45" s="37"/>
      <c r="U45" s="37"/>
      <c r="V45" s="37"/>
      <c r="W45" s="37"/>
      <c r="X45" s="37"/>
      <c r="Y45" s="45">
        <f si="40" t="shared"/>
        <v>5.4828202792971134E-3</v>
      </c>
      <c r="Z45" s="47">
        <f ref="Z45:Z51" si="42" t="shared">Y45-$Y$49</f>
        <v>-1.2740041368324854E-2</v>
      </c>
      <c r="AB45" s="60">
        <v>1</v>
      </c>
      <c r="AF45">
        <f>TripModeCoefficient!B53</f>
        <v>105</v>
      </c>
      <c r="AG45" t="str">
        <f>TripModeCoefficient!C53</f>
        <v>mm-frstrt</v>
      </c>
      <c r="AH45" s="55">
        <f>TripModeCoefficient!E53</f>
        <v>5.6269366776099998E-2</v>
      </c>
      <c r="AI45" s="56">
        <f si="15" t="shared"/>
        <v>5.6269366776099998E-2</v>
      </c>
      <c r="AJ45">
        <f si="2" t="shared"/>
        <v>0</v>
      </c>
    </row>
    <row r="46" spans="2:36" x14ac:dyDescent="0.45">
      <c r="B46" s="17" t="str">
        <f si="36" t="shared"/>
        <v>Shared Ride 3+</v>
      </c>
      <c r="C46" s="32">
        <f si="41" t="shared"/>
        <v>4.7475677717955987E-2</v>
      </c>
      <c r="D46" s="32">
        <f si="41" t="shared"/>
        <v>0.31617832092236914</v>
      </c>
      <c r="E46" s="32">
        <f si="41" t="shared"/>
        <v>0.27271004340617988</v>
      </c>
      <c r="F46" s="32">
        <f si="41" t="shared"/>
        <v>0.16611697225373578</v>
      </c>
      <c r="G46" s="32">
        <f si="41" t="shared"/>
        <v>0.1640093757505984</v>
      </c>
      <c r="H46" s="33">
        <f si="41" t="shared"/>
        <v>0.1468751960571606</v>
      </c>
      <c r="S46" s="17" t="str">
        <f si="39" t="shared"/>
        <v>Shared Ride 3+</v>
      </c>
      <c r="T46" s="37"/>
      <c r="U46" s="37"/>
      <c r="V46" s="37"/>
      <c r="W46" s="37"/>
      <c r="X46" s="37"/>
      <c r="Y46" s="45">
        <f si="40" t="shared"/>
        <v>1.7220396313932122E-2</v>
      </c>
      <c r="Z46" s="47">
        <f si="42" t="shared"/>
        <v>-1.0024653336898441E-3</v>
      </c>
      <c r="AB46" s="60">
        <v>1</v>
      </c>
      <c r="AF46">
        <f>TripModeCoefficient!B54</f>
        <v>106</v>
      </c>
      <c r="AG46" t="str">
        <f>TripModeCoefficient!C54</f>
        <v>mm-lastob</v>
      </c>
      <c r="AH46" s="55">
        <f>TripModeCoefficient!E54</f>
        <v>-7.09997802939E-2</v>
      </c>
      <c r="AI46" s="56">
        <f si="15" t="shared"/>
        <v>-7.09997802939E-2</v>
      </c>
      <c r="AJ46">
        <f si="2" t="shared"/>
        <v>0</v>
      </c>
    </row>
    <row r="47" spans="2:36" x14ac:dyDescent="0.45">
      <c r="B47" s="17" t="str">
        <f si="36" t="shared"/>
        <v>Transit</v>
      </c>
      <c r="C47" s="37">
        <f si="41" t="shared"/>
        <v>5.3200072415855925E-3</v>
      </c>
      <c r="D47" s="37">
        <f si="41" t="shared"/>
        <v>2.9630364744119117E-3</v>
      </c>
      <c r="E47" s="37">
        <f si="41" t="shared"/>
        <v>0</v>
      </c>
      <c r="F47" s="37">
        <f si="41" t="shared"/>
        <v>5.1289715562862163E-3</v>
      </c>
      <c r="G47" s="37">
        <f si="41" t="shared"/>
        <v>2.161723415357347E-3</v>
      </c>
      <c r="H47" s="33">
        <f si="41" t="shared"/>
        <v>4.2864043791715862E-3</v>
      </c>
      <c r="S47" s="17" t="str">
        <f si="39" t="shared"/>
        <v>Transit</v>
      </c>
      <c r="T47" s="37"/>
      <c r="U47" s="37"/>
      <c r="V47" s="37"/>
      <c r="W47" s="37"/>
      <c r="X47" s="37"/>
      <c r="Y47" s="45">
        <f si="40" t="shared"/>
        <v>-1.7165821796443839E-2</v>
      </c>
      <c r="Z47" s="47">
        <f si="42" t="shared"/>
        <v>-3.5388683444065802E-2</v>
      </c>
      <c r="AB47" s="60">
        <v>1</v>
      </c>
      <c r="AF47">
        <f>TripModeCoefficient!B55</f>
        <v>107</v>
      </c>
      <c r="AG47" t="str">
        <f>TripModeCoefficient!C55</f>
        <v>mm-lastrt</v>
      </c>
      <c r="AH47" s="55">
        <f>TripModeCoefficient!E55</f>
        <v>0.168560670936</v>
      </c>
      <c r="AI47" s="56">
        <f si="15" t="shared"/>
        <v>0.168560670936</v>
      </c>
      <c r="AJ47">
        <f si="2" t="shared"/>
        <v>0</v>
      </c>
    </row>
    <row r="48" spans="2:36" x14ac:dyDescent="0.45">
      <c r="B48" s="17" t="str">
        <f si="36" t="shared"/>
        <v>Bike</v>
      </c>
      <c r="C48" s="32">
        <f si="41" t="shared"/>
        <v>5.985623091212494E-3</v>
      </c>
      <c r="D48" s="32">
        <f si="41" t="shared"/>
        <v>2.938226360391716E-3</v>
      </c>
      <c r="E48" s="32">
        <f si="41" t="shared"/>
        <v>4.8576648984030422E-4</v>
      </c>
      <c r="F48" s="32">
        <f si="41" t="shared"/>
        <v>3.0756845988193175E-3</v>
      </c>
      <c r="G48" s="32">
        <f si="41" t="shared"/>
        <v>8.6427524288329172E-3</v>
      </c>
      <c r="H48" s="33">
        <f si="41" t="shared"/>
        <v>4.1972499650860433E-3</v>
      </c>
      <c r="S48" s="17" t="str">
        <f si="39" t="shared"/>
        <v>Bike</v>
      </c>
      <c r="T48" s="37"/>
      <c r="U48" s="37"/>
      <c r="V48" s="37"/>
      <c r="W48" s="37"/>
      <c r="X48" s="37"/>
      <c r="Y48" s="45">
        <f si="40" t="shared"/>
        <v>-0.24594075096292092</v>
      </c>
      <c r="Z48" s="47">
        <f si="42" t="shared"/>
        <v>-0.26416361261054289</v>
      </c>
      <c r="AB48" s="60">
        <v>1</v>
      </c>
      <c r="AF48">
        <f>TripModeCoefficient!B56</f>
        <v>115</v>
      </c>
      <c r="AG48" t="str">
        <f>TripModeCoefficient!C56</f>
        <v>s3-wttour</v>
      </c>
      <c r="AH48" s="55">
        <f>TripModeCoefficient!E56</f>
        <v>-1.5680535627900001</v>
      </c>
      <c r="AI48" s="56">
        <f si="15" t="shared"/>
        <v>-1.5680535627900001</v>
      </c>
      <c r="AJ48">
        <f si="2" t="shared"/>
        <v>0</v>
      </c>
    </row>
    <row r="49" spans="2:36" x14ac:dyDescent="0.45">
      <c r="B49" s="17" t="str">
        <f si="36" t="shared"/>
        <v>Walk</v>
      </c>
      <c r="C49" s="32">
        <f si="41" t="shared"/>
        <v>1.6344239003809703E-2</v>
      </c>
      <c r="D49" s="32">
        <f si="41" t="shared"/>
        <v>3.7495170888521064E-2</v>
      </c>
      <c r="E49" s="32">
        <f si="41" t="shared"/>
        <v>2.0963400071024946E-2</v>
      </c>
      <c r="F49" s="32">
        <f si="41" t="shared"/>
        <v>4.1580334639919024E-2</v>
      </c>
      <c r="G49" s="32">
        <f si="41" t="shared"/>
        <v>0.11272849250851023</v>
      </c>
      <c r="H49" s="33">
        <f si="41" t="shared"/>
        <v>3.2329449451098217E-2</v>
      </c>
      <c r="S49" s="17" t="str">
        <f si="39" t="shared"/>
        <v>Walk</v>
      </c>
      <c r="T49" s="37"/>
      <c r="U49" s="37"/>
      <c r="V49" s="37"/>
      <c r="W49" s="37"/>
      <c r="X49" s="37"/>
      <c r="Y49" s="45">
        <f si="40" t="shared"/>
        <v>1.8222861647621966E-2</v>
      </c>
      <c r="Z49" s="48">
        <f si="42" t="shared"/>
        <v>0</v>
      </c>
      <c r="AA49" t="s">
        <v>74</v>
      </c>
      <c r="AB49" s="60">
        <v>1</v>
      </c>
      <c r="AF49">
        <f>TripModeCoefficient!B57</f>
        <v>116</v>
      </c>
      <c r="AG49" t="str">
        <f>TripModeCoefficient!C57</f>
        <v>s3-sbtour</v>
      </c>
      <c r="AH49" s="55">
        <f>TripModeCoefficient!E57</f>
        <v>3.8185940022799998</v>
      </c>
      <c r="AI49" s="56">
        <f si="15" t="shared"/>
        <v>3.8185940022799998</v>
      </c>
      <c r="AJ49">
        <f si="2" t="shared"/>
        <v>0</v>
      </c>
    </row>
    <row r="50" spans="2:36" x14ac:dyDescent="0.45">
      <c r="B50" s="17" t="str">
        <f si="36" t="shared"/>
        <v>School Bus</v>
      </c>
      <c r="C50" s="68">
        <f si="41" t="shared"/>
        <v>4.0635527848619375E-4</v>
      </c>
      <c r="D50" s="68">
        <f si="41" t="shared"/>
        <v>0.2585213880904364</v>
      </c>
      <c r="E50" s="68">
        <f si="41" t="shared"/>
        <v>7.6545022641502484E-4</v>
      </c>
      <c r="F50" s="68">
        <f si="41" t="shared"/>
        <v>2.3946522829018432E-4</v>
      </c>
      <c r="G50" s="68">
        <f si="41" t="shared"/>
        <v>8.6261874984470376E-3</v>
      </c>
      <c r="H50" s="69">
        <f si="41" t="shared"/>
        <v>2.9063173574709354E-2</v>
      </c>
      <c r="S50" s="17" t="str">
        <f si="39" t="shared"/>
        <v>School Bus</v>
      </c>
      <c r="T50" s="70"/>
      <c r="U50" s="70"/>
      <c r="V50" s="70"/>
      <c r="W50" s="70"/>
      <c r="X50" s="70"/>
      <c r="Y50" s="72">
        <f si="40" t="shared"/>
        <v>-2.030087595440979E-2</v>
      </c>
      <c r="Z50" s="47">
        <f si="42" t="shared"/>
        <v>-3.852373760203176E-2</v>
      </c>
      <c r="AB50" s="60">
        <v>1</v>
      </c>
      <c r="AF50">
        <f>TripModeCoefficient!B58</f>
        <v>118</v>
      </c>
      <c r="AG50" t="str">
        <f>TripModeCoefficient!C58</f>
        <v>s2-wttour</v>
      </c>
      <c r="AH50" s="55">
        <f>TripModeCoefficient!E58</f>
        <v>-0.54995587745499996</v>
      </c>
      <c r="AI50" s="56">
        <f si="15" t="shared"/>
        <v>-0.54995587745499996</v>
      </c>
      <c r="AJ50">
        <f si="2" t="shared"/>
        <v>0</v>
      </c>
    </row>
    <row r="51" spans="2:36" x14ac:dyDescent="0.45">
      <c r="B51" s="17" t="s">
        <v>166</v>
      </c>
      <c r="C51" s="34">
        <f si="41" t="shared"/>
        <v>0</v>
      </c>
      <c r="D51" s="34">
        <f si="41" t="shared"/>
        <v>0</v>
      </c>
      <c r="E51" s="34">
        <f si="41" t="shared"/>
        <v>0</v>
      </c>
      <c r="F51" s="34">
        <f si="41" t="shared"/>
        <v>0</v>
      </c>
      <c r="G51" s="34">
        <f si="41" t="shared"/>
        <v>0</v>
      </c>
      <c r="H51" s="35">
        <f si="41" t="shared"/>
        <v>0</v>
      </c>
      <c r="S51" t="s">
        <v>166</v>
      </c>
      <c r="Y51" s="45" t="e">
        <f si="40" t="shared"/>
        <v>#DIV/0!</v>
      </c>
      <c r="Z51" s="47" t="e">
        <f si="42" t="shared"/>
        <v>#DIV/0!</v>
      </c>
      <c r="AF51">
        <f>TripModeCoefficient!B59</f>
        <v>119</v>
      </c>
      <c r="AG51" t="str">
        <f>TripModeCoefficient!C59</f>
        <v>s2-sbtour</v>
      </c>
      <c r="AH51" s="55">
        <f>TripModeCoefficient!E59</f>
        <v>4.6112080578899999</v>
      </c>
      <c r="AI51" s="56">
        <f si="15" t="shared"/>
        <v>4.6112080578899999</v>
      </c>
      <c r="AJ51">
        <f si="2" t="shared"/>
        <v>0</v>
      </c>
    </row>
    <row ht="14.65" r="52" spans="2:36" thickBot="1" x14ac:dyDescent="0.5">
      <c r="B52" s="30" t="str">
        <f>B39</f>
        <v>Total</v>
      </c>
      <c r="C52" s="36">
        <f si="41" t="shared"/>
        <v>1</v>
      </c>
      <c r="D52" s="36">
        <f si="41" t="shared"/>
        <v>1</v>
      </c>
      <c r="E52" s="36">
        <f si="41" t="shared"/>
        <v>1</v>
      </c>
      <c r="F52" s="36">
        <f si="41" t="shared"/>
        <v>1</v>
      </c>
      <c r="G52" s="36">
        <f si="41" t="shared"/>
        <v>1</v>
      </c>
      <c r="H52" s="36">
        <f si="41" t="shared"/>
        <v>1</v>
      </c>
      <c r="S52" s="30" t="str">
        <f>S39</f>
        <v>Total</v>
      </c>
      <c r="T52" s="39"/>
      <c r="U52" s="39"/>
      <c r="V52" s="39"/>
      <c r="W52" s="39"/>
      <c r="X52" s="39"/>
      <c r="Y52" s="44"/>
      <c r="AF52">
        <f>TripModeCoefficient!B60</f>
        <v>120</v>
      </c>
      <c r="AG52" t="str">
        <f>TripModeCoefficient!C60</f>
        <v>s2-s3tour</v>
      </c>
      <c r="AH52" s="55">
        <f>TripModeCoefficient!E60</f>
        <v>2.3693914932700002</v>
      </c>
      <c r="AI52" s="56">
        <f si="15" t="shared"/>
        <v>2.3693914932700002</v>
      </c>
      <c r="AJ52">
        <f si="2" t="shared"/>
        <v>0</v>
      </c>
    </row>
    <row r="53" spans="2:36" x14ac:dyDescent="0.45">
      <c r="B53" s="17"/>
      <c r="C53" s="17"/>
      <c r="D53" s="17"/>
      <c r="E53" s="17"/>
      <c r="F53" s="17"/>
      <c r="G53" s="17"/>
      <c r="H53" s="17"/>
      <c r="AF53">
        <f>TripModeCoefficient!B61</f>
        <v>121</v>
      </c>
      <c r="AG53" t="str">
        <f>TripModeCoefficient!C61</f>
        <v>da-dttour</v>
      </c>
      <c r="AH53" s="55">
        <f>TripModeCoefficient!E61</f>
        <v>-1.6664000000000001</v>
      </c>
      <c r="AI53" s="56">
        <f si="15" t="shared"/>
        <v>-1.6664000000000001</v>
      </c>
      <c r="AJ53">
        <f si="2" t="shared"/>
        <v>0</v>
      </c>
    </row>
    <row r="54" spans="2:36" x14ac:dyDescent="0.45">
      <c r="AF54">
        <f>TripModeCoefficient!B62</f>
        <v>122</v>
      </c>
      <c r="AG54" t="str">
        <f>TripModeCoefficient!C62</f>
        <v>da-wttour</v>
      </c>
      <c r="AH54" s="55">
        <f>TripModeCoefficient!E62</f>
        <v>-1.0906626925</v>
      </c>
      <c r="AI54" s="56">
        <f si="15" t="shared"/>
        <v>-1.0906626925</v>
      </c>
      <c r="AJ54">
        <f si="2" t="shared"/>
        <v>0</v>
      </c>
    </row>
    <row r="55" spans="2:36" x14ac:dyDescent="0.45">
      <c r="S55" s="26" t="s">
        <v>68</v>
      </c>
      <c r="T55" s="57" t="s">
        <v>161</v>
      </c>
      <c r="U55" s="57" t="s">
        <v>159</v>
      </c>
      <c r="V55" s="57" t="s">
        <v>73</v>
      </c>
      <c r="W55" s="57" t="s">
        <v>160</v>
      </c>
      <c r="AF55">
        <f>TripModeCoefficient!B63</f>
        <v>124</v>
      </c>
      <c r="AG55" t="str">
        <f>TripModeCoefficient!C63</f>
        <v>da-s3tour</v>
      </c>
      <c r="AH55" s="55">
        <f>TripModeCoefficient!E63</f>
        <v>2.31088998305</v>
      </c>
      <c r="AI55" s="56">
        <f si="15" t="shared"/>
        <v>2.31088998305</v>
      </c>
      <c r="AJ55">
        <f si="2" t="shared"/>
        <v>0</v>
      </c>
    </row>
    <row r="56" spans="2:36" x14ac:dyDescent="0.45">
      <c r="S56" s="17" t="s">
        <v>1</v>
      </c>
      <c r="T56">
        <v>50</v>
      </c>
      <c r="U56">
        <f>VLOOKUP($T56,$AF:$AH,3,FALSE)</f>
        <v>-2.02844784341</v>
      </c>
      <c r="V56" s="46">
        <f>Z44</f>
        <v>-2.3206914319621387E-2</v>
      </c>
      <c r="W56" s="58">
        <f>U56+V56</f>
        <v>-2.0516547577296214</v>
      </c>
      <c r="AF56">
        <f>TripModeCoefficient!B64</f>
        <v>125</v>
      </c>
      <c r="AG56" t="str">
        <f>TripModeCoefficient!C64</f>
        <v>da-s2tour</v>
      </c>
      <c r="AH56" s="55">
        <f>TripModeCoefficient!E64</f>
        <v>2.2294878229999999</v>
      </c>
      <c r="AI56" s="56">
        <f si="15" t="shared"/>
        <v>2.2294878229999999</v>
      </c>
      <c r="AJ56">
        <f si="2" t="shared"/>
        <v>0</v>
      </c>
    </row>
    <row r="57" spans="2:36" x14ac:dyDescent="0.45">
      <c r="S57" s="17" t="s">
        <v>2</v>
      </c>
      <c r="T57">
        <v>40</v>
      </c>
      <c r="U57">
        <f>VLOOKUP($T57,$AF:$AH,3,FALSE)</f>
        <v>-1.72595055454</v>
      </c>
      <c r="V57" s="46">
        <f ref="V57:V59" si="43" t="shared">Z45</f>
        <v>-1.2740041368324854E-2</v>
      </c>
      <c r="W57" s="58">
        <f ref="W57:W61" si="44" t="shared">U57+V57</f>
        <v>-1.738690595908325</v>
      </c>
      <c r="AF57">
        <f>TripModeCoefficient!B65</f>
        <v>127</v>
      </c>
      <c r="AG57" t="str">
        <f>TripModeCoefficient!C65</f>
        <v>bi-wttour</v>
      </c>
      <c r="AH57" s="55">
        <f>TripModeCoefficient!E65</f>
        <v>-0.37209065895499999</v>
      </c>
      <c r="AI57" s="56">
        <f si="15" t="shared"/>
        <v>-0.37209065895499999</v>
      </c>
      <c r="AJ57">
        <f si="2" t="shared"/>
        <v>0</v>
      </c>
    </row>
    <row r="58" spans="2:36" x14ac:dyDescent="0.45">
      <c r="S58" s="17" t="s">
        <v>3</v>
      </c>
      <c r="T58">
        <v>30</v>
      </c>
      <c r="U58">
        <f>VLOOKUP($T58,$AF:$AH,3,FALSE)</f>
        <v>-1.18040741109</v>
      </c>
      <c r="V58" s="46">
        <f si="43" t="shared"/>
        <v>-1.0024653336898441E-3</v>
      </c>
      <c r="W58" s="58">
        <f si="44" t="shared"/>
        <v>-1.1814098764236898</v>
      </c>
      <c r="AF58">
        <f>TripModeCoefficient!B66</f>
        <v>128</v>
      </c>
      <c r="AG58" t="str">
        <f>TripModeCoefficient!C66</f>
        <v>bi-sbtour</v>
      </c>
      <c r="AH58" s="55">
        <f>TripModeCoefficient!E66</f>
        <v>0</v>
      </c>
      <c r="AI58" s="56">
        <f si="15" t="shared"/>
        <v>0</v>
      </c>
      <c r="AJ58">
        <f si="2" t="shared"/>
        <v>0</v>
      </c>
    </row>
    <row r="59" spans="2:36" x14ac:dyDescent="0.45">
      <c r="S59" s="17" t="s">
        <v>66</v>
      </c>
      <c r="T59">
        <v>20</v>
      </c>
      <c r="U59">
        <f>VLOOKUP($T59,$AF:$AH,3,FALSE)</f>
        <v>-2.9097608799399999</v>
      </c>
      <c r="V59" s="46">
        <f si="43" t="shared"/>
        <v>-3.5388683444065802E-2</v>
      </c>
      <c r="W59" s="58">
        <f si="44" t="shared"/>
        <v>-2.9451495633840659</v>
      </c>
      <c r="AF59">
        <f>TripModeCoefficient!B67</f>
        <v>130</v>
      </c>
      <c r="AG59" t="str">
        <f>TripModeCoefficient!C67</f>
        <v>bi-s2tour</v>
      </c>
      <c r="AH59" s="55">
        <f>TripModeCoefficient!E67</f>
        <v>-0.43270903484099998</v>
      </c>
      <c r="AI59" s="56">
        <f si="15" t="shared"/>
        <v>-0.43270903484099998</v>
      </c>
      <c r="AJ59">
        <f si="2" t="shared"/>
        <v>0</v>
      </c>
    </row>
    <row r="60" spans="2:36" x14ac:dyDescent="0.45">
      <c r="S60" s="17" t="s">
        <v>67</v>
      </c>
      <c r="V60" s="46"/>
      <c r="W60" s="58"/>
      <c r="AF60">
        <f>TripModeCoefficient!B68</f>
        <v>131</v>
      </c>
      <c r="AG60" t="str">
        <f>TripModeCoefficient!C68</f>
        <v>bi-datour</v>
      </c>
      <c r="AH60" s="55">
        <f>TripModeCoefficient!E68</f>
        <v>-0.69153204154100001</v>
      </c>
      <c r="AI60" s="56">
        <f si="15" t="shared"/>
        <v>-0.69153204154100001</v>
      </c>
      <c r="AJ60">
        <f si="2" t="shared"/>
        <v>0</v>
      </c>
    </row>
    <row r="61" spans="2:36" x14ac:dyDescent="0.45">
      <c r="S61" s="17" t="s">
        <v>4</v>
      </c>
      <c r="T61">
        <v>60</v>
      </c>
      <c r="U61">
        <f>VLOOKUP($T61,$AF:$AH,3,FALSE)</f>
        <v>-2.4630488731</v>
      </c>
      <c r="V61" s="46">
        <f>Z48</f>
        <v>-0.26416361261054289</v>
      </c>
      <c r="W61" s="58">
        <f si="44" t="shared"/>
        <v>-2.7272124857105426</v>
      </c>
      <c r="AF61">
        <f>TripModeCoefficient!B69</f>
        <v>133</v>
      </c>
      <c r="AG61" t="str">
        <f>TripModeCoefficient!C69</f>
        <v>bi-tnctour</v>
      </c>
      <c r="AH61" s="55">
        <f>TripModeCoefficient!E69</f>
        <v>-2.1575034199499998</v>
      </c>
      <c r="AI61" s="56">
        <f ref="AI61:AI84" si="45" t="shared">_xlfn.IFNA(VLOOKUP(AF61,$T$55:$W$63,4,FALSE),AH61)</f>
        <v>-2.1575034199499998</v>
      </c>
      <c r="AJ61">
        <f si="2" t="shared"/>
        <v>0</v>
      </c>
    </row>
    <row r="62" spans="2:36" x14ac:dyDescent="0.45">
      <c r="S62" s="17" t="s">
        <v>5</v>
      </c>
      <c r="V62" s="46">
        <f ref="V62" si="46" t="shared">Z49</f>
        <v>0</v>
      </c>
      <c r="W62" s="58"/>
      <c r="AF62">
        <f>TripModeCoefficient!B70</f>
        <v>134</v>
      </c>
      <c r="AG62" t="str">
        <f>TripModeCoefficient!C70</f>
        <v>da-tnctour</v>
      </c>
      <c r="AH62" s="55">
        <f>TripModeCoefficient!E70</f>
        <v>-0.56169265574799998</v>
      </c>
      <c r="AI62" s="56">
        <f si="45" t="shared"/>
        <v>-0.56169265574799998</v>
      </c>
      <c r="AJ62">
        <f si="2" t="shared"/>
        <v>0</v>
      </c>
    </row>
    <row r="63" spans="2:36" x14ac:dyDescent="0.45">
      <c r="S63" s="17" t="s">
        <v>23</v>
      </c>
      <c r="T63">
        <v>18</v>
      </c>
      <c r="U63">
        <f>VLOOKUP($T63,$AF:$AH,3,FALSE)</f>
        <v>0</v>
      </c>
      <c r="V63" s="46">
        <f>Z50</f>
        <v>-3.852373760203176E-2</v>
      </c>
      <c r="W63" s="58">
        <f>U63+V63</f>
        <v>-3.852373760203176E-2</v>
      </c>
      <c r="AF63">
        <f>TripModeCoefficient!B71</f>
        <v>135</v>
      </c>
      <c r="AG63" t="str">
        <f>TripModeCoefficient!C71</f>
        <v>sr-tnctour</v>
      </c>
      <c r="AH63" s="55">
        <f>TripModeCoefficient!E71</f>
        <v>-0.87124958486899995</v>
      </c>
      <c r="AI63" s="56">
        <f si="45" t="shared"/>
        <v>-0.87124958486899995</v>
      </c>
      <c r="AJ63">
        <f si="2" t="shared"/>
        <v>0</v>
      </c>
    </row>
    <row r="64" spans="2:36" x14ac:dyDescent="0.45">
      <c r="S64" s="16" t="s">
        <v>166</v>
      </c>
      <c r="T64" s="4">
        <v>80</v>
      </c>
      <c r="U64" s="4">
        <f>VLOOKUP($T64,$AF:$AH,3,FALSE)</f>
        <v>-3.1338332016899999</v>
      </c>
      <c r="V64" s="73" t="e">
        <f>Z51</f>
        <v>#DIV/0!</v>
      </c>
      <c r="W64" s="59" t="e">
        <f>U64+V64</f>
        <v>#DIV/0!</v>
      </c>
      <c r="AF64">
        <f>TripModeCoefficient!B72</f>
        <v>136</v>
      </c>
      <c r="AG64" t="str">
        <f>TripModeCoefficient!C72</f>
        <v>wt-tnctour</v>
      </c>
      <c r="AH64" s="55">
        <f>TripModeCoefficient!E72</f>
        <v>0</v>
      </c>
      <c r="AI64" s="56">
        <f si="45" t="shared"/>
        <v>0</v>
      </c>
      <c r="AJ64">
        <f si="2" t="shared"/>
        <v>0</v>
      </c>
    </row>
    <row r="65" spans="32:36" x14ac:dyDescent="0.45">
      <c r="AF65">
        <f>TripModeCoefficient!B73</f>
        <v>141</v>
      </c>
      <c r="AG65" t="str">
        <f>TripModeCoefficient!C73</f>
        <v>wk-wktour</v>
      </c>
      <c r="AH65" s="55">
        <f>TripModeCoefficient!E73</f>
        <v>0.86912130711500002</v>
      </c>
      <c r="AI65" s="56">
        <f si="45" t="shared"/>
        <v>0.86912130711500002</v>
      </c>
      <c r="AJ65">
        <f si="2" t="shared"/>
        <v>0</v>
      </c>
    </row>
    <row r="66" spans="32:36" x14ac:dyDescent="0.45">
      <c r="AF66">
        <f>TripModeCoefficient!B74</f>
        <v>142</v>
      </c>
      <c r="AG66" t="str">
        <f>TripModeCoefficient!C74</f>
        <v>wk-sctour</v>
      </c>
      <c r="AH66" s="55">
        <f>TripModeCoefficient!E74</f>
        <v>-0.124632965368</v>
      </c>
      <c r="AI66" s="56">
        <f si="45" t="shared"/>
        <v>-0.124632965368</v>
      </c>
      <c r="AJ66">
        <f si="2" t="shared"/>
        <v>0</v>
      </c>
    </row>
    <row r="67" spans="32:36" x14ac:dyDescent="0.45">
      <c r="AF67">
        <f>TripModeCoefficient!B75</f>
        <v>147</v>
      </c>
      <c r="AG67" t="str">
        <f>TripModeCoefficient!C75</f>
        <v>bi-wbtour</v>
      </c>
      <c r="AH67" s="55">
        <f>TripModeCoefficient!E75</f>
        <v>-0.24512560843299999</v>
      </c>
      <c r="AI67" s="56">
        <f si="45" t="shared"/>
        <v>-0.24512560843299999</v>
      </c>
      <c r="AJ67">
        <f si="2" t="shared"/>
        <v>0</v>
      </c>
    </row>
    <row r="68" spans="32:36" x14ac:dyDescent="0.45">
      <c r="AF68">
        <f>TripModeCoefficient!B76</f>
        <v>149</v>
      </c>
      <c r="AG68" t="str">
        <f>TripModeCoefficient!C76</f>
        <v>sr-wktour</v>
      </c>
      <c r="AH68" s="55">
        <f>TripModeCoefficient!E76</f>
        <v>-1.4982611402099999</v>
      </c>
      <c r="AI68" s="56">
        <f si="45" t="shared"/>
        <v>-1.4982611402099999</v>
      </c>
      <c r="AJ68">
        <f ref="AJ68:AJ84" si="47" t="shared">IF(AH68=AI68,0,1)</f>
        <v>0</v>
      </c>
    </row>
    <row r="69" spans="32:36" x14ac:dyDescent="0.45">
      <c r="AF69">
        <f>TripModeCoefficient!B77</f>
        <v>150</v>
      </c>
      <c r="AG69" t="str">
        <f>TripModeCoefficient!C77</f>
        <v>sr-sctour</v>
      </c>
      <c r="AH69" s="55">
        <f>TripModeCoefficient!E77</f>
        <v>-0.31797853212799998</v>
      </c>
      <c r="AI69" s="56">
        <f si="45" t="shared"/>
        <v>-0.31797853212799998</v>
      </c>
      <c r="AJ69">
        <f si="47" t="shared"/>
        <v>0</v>
      </c>
    </row>
    <row r="70" spans="32:36" x14ac:dyDescent="0.45">
      <c r="AF70">
        <f>TripModeCoefficient!B78</f>
        <v>152</v>
      </c>
      <c r="AG70" t="str">
        <f>TripModeCoefficient!C78</f>
        <v>sr-estour</v>
      </c>
      <c r="AH70" s="55">
        <f>TripModeCoefficient!E78</f>
        <v>-0.86046411769499997</v>
      </c>
      <c r="AI70" s="56">
        <f si="45" t="shared"/>
        <v>-0.86046411769499997</v>
      </c>
      <c r="AJ70">
        <f si="47" t="shared"/>
        <v>0</v>
      </c>
    </row>
    <row r="71" spans="32:36" x14ac:dyDescent="0.45">
      <c r="AF71">
        <f>TripModeCoefficient!B79</f>
        <v>153</v>
      </c>
      <c r="AG71" t="str">
        <f>TripModeCoefficient!C79</f>
        <v>sr-shtour</v>
      </c>
      <c r="AH71" s="55">
        <f>TripModeCoefficient!E79</f>
        <v>0.72949151536300005</v>
      </c>
      <c r="AI71" s="56">
        <f si="45" t="shared"/>
        <v>0.72949151536300005</v>
      </c>
      <c r="AJ71">
        <f si="47" t="shared"/>
        <v>0</v>
      </c>
    </row>
    <row r="72" spans="32:36" x14ac:dyDescent="0.45">
      <c r="AF72">
        <f>TripModeCoefficient!B80</f>
        <v>154</v>
      </c>
      <c r="AG72" t="str">
        <f>TripModeCoefficient!C80</f>
        <v>sr-metour</v>
      </c>
      <c r="AH72" s="55">
        <f>TripModeCoefficient!E80</f>
        <v>0.62736032215799997</v>
      </c>
      <c r="AI72" s="56">
        <f si="45" t="shared"/>
        <v>0.62736032215799997</v>
      </c>
      <c r="AJ72">
        <f si="47" t="shared"/>
        <v>0</v>
      </c>
    </row>
    <row r="73" spans="32:36" x14ac:dyDescent="0.45">
      <c r="AF73">
        <f>TripModeCoefficient!B81</f>
        <v>155</v>
      </c>
      <c r="AG73" t="str">
        <f>TripModeCoefficient!C81</f>
        <v>sr-srtour</v>
      </c>
      <c r="AH73" s="55">
        <f>TripModeCoefficient!E81</f>
        <v>-0.17239214840799999</v>
      </c>
      <c r="AI73" s="56">
        <f si="45" t="shared"/>
        <v>-0.17239214840799999</v>
      </c>
      <c r="AJ73">
        <f si="47" t="shared"/>
        <v>0</v>
      </c>
    </row>
    <row r="74" spans="32:36" x14ac:dyDescent="0.45">
      <c r="AF74">
        <f>TripModeCoefficient!B82</f>
        <v>161</v>
      </c>
      <c r="AG74" t="str">
        <f>TripModeCoefficient!C82</f>
        <v>sr-escwkam</v>
      </c>
      <c r="AH74" s="55">
        <f>TripModeCoefficient!E82</f>
        <v>-1.8070418215399999</v>
      </c>
      <c r="AI74" s="56">
        <f si="45" t="shared"/>
        <v>-1.8070418215399999</v>
      </c>
      <c r="AJ74">
        <f si="47" t="shared"/>
        <v>0</v>
      </c>
    </row>
    <row r="75" spans="32:36" x14ac:dyDescent="0.45">
      <c r="AF75">
        <f>TripModeCoefficient!B83</f>
        <v>162</v>
      </c>
      <c r="AG75" t="str">
        <f>TripModeCoefficient!C83</f>
        <v>sr-wkescpm</v>
      </c>
      <c r="AH75" s="55">
        <f>TripModeCoefficient!E83</f>
        <v>-0.70138570112099996</v>
      </c>
      <c r="AI75" s="56">
        <f si="45" t="shared"/>
        <v>-0.70138570112099996</v>
      </c>
      <c r="AJ75">
        <f si="47" t="shared"/>
        <v>0</v>
      </c>
    </row>
    <row r="76" spans="32:36" x14ac:dyDescent="0.45">
      <c r="AF76">
        <f>TripModeCoefficient!B84</f>
        <v>163</v>
      </c>
      <c r="AG76" t="str">
        <f>TripModeCoefficient!C84</f>
        <v>sr-hmescam</v>
      </c>
      <c r="AH76" s="55">
        <f>TripModeCoefficient!E84</f>
        <v>2.5057038080799998</v>
      </c>
      <c r="AI76" s="56">
        <f si="45" t="shared"/>
        <v>2.5057038080799998</v>
      </c>
      <c r="AJ76">
        <f si="47" t="shared"/>
        <v>0</v>
      </c>
    </row>
    <row r="77" spans="32:36" x14ac:dyDescent="0.45">
      <c r="AF77">
        <f>TripModeCoefficient!B85</f>
        <v>164</v>
      </c>
      <c r="AG77" t="str">
        <f>TripModeCoefficient!C85</f>
        <v>sr-hmescmd</v>
      </c>
      <c r="AH77" s="55">
        <f>TripModeCoefficient!E85</f>
        <v>-0.30179762150200001</v>
      </c>
      <c r="AI77" s="56">
        <f si="45" t="shared"/>
        <v>-0.30179762150200001</v>
      </c>
      <c r="AJ77">
        <f si="47" t="shared"/>
        <v>0</v>
      </c>
    </row>
    <row r="78" spans="32:36" x14ac:dyDescent="0.45">
      <c r="AF78">
        <f>TripModeCoefficient!B86</f>
        <v>165</v>
      </c>
      <c r="AG78" t="str">
        <f>TripModeCoefficient!C86</f>
        <v>sr-hmescpm</v>
      </c>
      <c r="AH78" s="55">
        <f>TripModeCoefficient!E86</f>
        <v>-0.26267617354400002</v>
      </c>
      <c r="AI78" s="56">
        <f si="45" t="shared"/>
        <v>-0.26267617354400002</v>
      </c>
      <c r="AJ78">
        <f si="47" t="shared"/>
        <v>0</v>
      </c>
    </row>
    <row r="79" spans="32:36" x14ac:dyDescent="0.45">
      <c r="AF79">
        <f>TripModeCoefficient!B87</f>
        <v>166</v>
      </c>
      <c r="AG79" t="str">
        <f>TripModeCoefficient!C87</f>
        <v>sr-hmescev</v>
      </c>
      <c r="AH79" s="55">
        <f>TripModeCoefficient!E87</f>
        <v>-0.30895751716699998</v>
      </c>
      <c r="AI79" s="56">
        <f si="45" t="shared"/>
        <v>-0.30895751716699998</v>
      </c>
      <c r="AJ79">
        <f si="47" t="shared"/>
        <v>0</v>
      </c>
    </row>
    <row r="80" spans="32:36" x14ac:dyDescent="0.45">
      <c r="AF80">
        <f>TripModeCoefficient!B88</f>
        <v>167</v>
      </c>
      <c r="AG80" t="str">
        <f>TripModeCoefficient!C88</f>
        <v>sr-eschmam</v>
      </c>
      <c r="AH80" s="55">
        <f>TripModeCoefficient!E88</f>
        <v>-0.72017133674699996</v>
      </c>
      <c r="AI80" s="56">
        <f si="45" t="shared"/>
        <v>-0.72017133674699996</v>
      </c>
      <c r="AJ80">
        <f si="47" t="shared"/>
        <v>0</v>
      </c>
    </row>
    <row r="81" spans="32:36" x14ac:dyDescent="0.45">
      <c r="AF81">
        <f>TripModeCoefficient!B89</f>
        <v>168</v>
      </c>
      <c r="AG81" t="str">
        <f>TripModeCoefficient!C89</f>
        <v>sr-eschmmd</v>
      </c>
      <c r="AH81" s="55">
        <f>TripModeCoefficient!E89</f>
        <v>0.101710915901</v>
      </c>
      <c r="AI81" s="56">
        <f si="45" t="shared"/>
        <v>0.101710915901</v>
      </c>
      <c r="AJ81">
        <f si="47" t="shared"/>
        <v>0</v>
      </c>
    </row>
    <row r="82" spans="32:36" x14ac:dyDescent="0.45">
      <c r="AF82">
        <f>TripModeCoefficient!B90</f>
        <v>169</v>
      </c>
      <c r="AG82" t="str">
        <f>TripModeCoefficient!C90</f>
        <v>sr-eschmpm</v>
      </c>
      <c r="AH82" s="55">
        <f>TripModeCoefficient!E90</f>
        <v>0.70257864975499995</v>
      </c>
      <c r="AI82" s="56">
        <f si="45" t="shared"/>
        <v>0.70257864975499995</v>
      </c>
      <c r="AJ82">
        <f si="47" t="shared"/>
        <v>0</v>
      </c>
    </row>
    <row r="83" spans="32:36" x14ac:dyDescent="0.45">
      <c r="AF83">
        <f>TripModeCoefficient!B91</f>
        <v>170</v>
      </c>
      <c r="AG83" t="str">
        <f>TripModeCoefficient!C91</f>
        <v>sr-eschmev</v>
      </c>
      <c r="AH83" s="55">
        <f>TripModeCoefficient!E91</f>
        <v>-0.239563802401</v>
      </c>
      <c r="AI83" s="56">
        <f si="45" t="shared"/>
        <v>-0.239563802401</v>
      </c>
      <c r="AJ83">
        <f si="47" t="shared"/>
        <v>0</v>
      </c>
    </row>
    <row r="84" spans="32:36" x14ac:dyDescent="0.45">
      <c r="AF84">
        <f>TripModeCoefficient!B92</f>
        <v>99</v>
      </c>
      <c r="AG84" t="str">
        <f>TripModeCoefficient!C92</f>
        <v>Theta0099</v>
      </c>
      <c r="AH84" s="55">
        <f>TripModeCoefficient!E92</f>
        <v>1</v>
      </c>
      <c r="AI84" s="56">
        <f si="45" t="shared"/>
        <v>1</v>
      </c>
      <c r="AJ84">
        <f si="47" t="shared"/>
        <v>0</v>
      </c>
    </row>
    <row r="85" spans="32:36" x14ac:dyDescent="0.45">
      <c r="AH85" s="55"/>
    </row>
  </sheetData>
  <mergeCells count="4">
    <mergeCell ref="B2:H2"/>
    <mergeCell ref="J2:P2"/>
    <mergeCell ref="T16:AA16"/>
    <mergeCell ref="T3:X3"/>
  </mergeCells>
  <conditionalFormatting sqref="AJ3:AJ84">
    <cfRule dxfId="2" operator="greaterThan" priority="4" type="cellIs">
      <formula>0</formula>
    </cfRule>
  </conditionalFormatting>
  <conditionalFormatting sqref="K31:P38">
    <cfRule dxfId="1" operator="lessThan" priority="2" type="cellIs">
      <formula>-0.01</formula>
    </cfRule>
    <cfRule dxfId="0" operator="greaterThan" priority="1" type="cellIs">
      <formula>0.01</formula>
    </cfRule>
  </conditionalFormatting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A1:L428"/>
  <sheetViews>
    <sheetView workbookViewId="0">
      <selection activeCell="A8" sqref="A8:K428"/>
    </sheetView>
  </sheetViews>
  <sheetFormatPr defaultRowHeight="14.25" x14ac:dyDescent="0.45"/>
  <sheetData>
    <row r="1" spans="1:11" x14ac:dyDescent="0.45">
      <c r="A1" s="49" t="s">
        <v>76</v>
      </c>
      <c r="B1" s="50"/>
      <c r="C1" s="50"/>
      <c r="D1" s="50"/>
      <c r="E1" s="50"/>
      <c r="F1" s="50"/>
      <c r="G1" s="50"/>
      <c r="H1" s="50" t="s">
        <v>77</v>
      </c>
      <c r="I1" s="50"/>
      <c r="J1" s="50"/>
      <c r="K1" s="50"/>
    </row>
    <row r="2" spans="1:11" x14ac:dyDescent="0.45">
      <c r="A2" s="50">
        <v>1</v>
      </c>
      <c r="B2" s="50" t="s">
        <v>81</v>
      </c>
      <c r="C2" s="50"/>
      <c r="D2" s="50"/>
      <c r="E2" s="50"/>
      <c r="F2" s="50"/>
      <c r="G2" s="50"/>
      <c r="H2" s="50"/>
      <c r="I2" s="50"/>
      <c r="J2" s="50"/>
      <c r="K2" s="50"/>
    </row>
    <row r="3" spans="1:11" x14ac:dyDescent="0.45">
      <c r="A3" s="50">
        <v>2</v>
      </c>
      <c r="B3" s="50" t="s">
        <v>78</v>
      </c>
      <c r="C3" s="50"/>
      <c r="D3" s="50"/>
      <c r="E3" s="50"/>
      <c r="F3" s="50"/>
      <c r="G3" s="50"/>
      <c r="H3" s="50"/>
      <c r="I3" s="50"/>
      <c r="J3" s="50"/>
      <c r="K3" s="50"/>
    </row>
    <row r="4" spans="1:11" x14ac:dyDescent="0.45">
      <c r="A4" s="50">
        <v>3</v>
      </c>
      <c r="B4" s="50" t="s">
        <v>79</v>
      </c>
      <c r="C4" s="50"/>
      <c r="D4" s="50"/>
      <c r="E4" s="50"/>
      <c r="F4" s="50"/>
      <c r="G4" s="50"/>
      <c r="H4" s="50"/>
      <c r="I4" s="50"/>
      <c r="J4" s="50"/>
      <c r="K4" s="50"/>
    </row>
    <row r="5" spans="1:11" x14ac:dyDescent="0.45">
      <c r="A5" s="50">
        <v>4</v>
      </c>
      <c r="B5" s="50" t="s">
        <v>80</v>
      </c>
      <c r="C5" s="50"/>
      <c r="D5" s="50"/>
      <c r="E5" s="50"/>
      <c r="F5" s="50"/>
      <c r="G5" s="50"/>
      <c r="H5" s="50"/>
      <c r="I5" s="50"/>
      <c r="J5" s="50"/>
      <c r="K5" s="50"/>
    </row>
    <row r="6" spans="1:11" x14ac:dyDescent="0.4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</row>
    <row r="8" spans="1:11" x14ac:dyDescent="0.45">
      <c r="A8" t="s">
        <v>83</v>
      </c>
      <c r="B8" t="s">
        <v>84</v>
      </c>
      <c r="C8" t="s">
        <v>85</v>
      </c>
      <c r="D8" t="s">
        <v>86</v>
      </c>
    </row>
    <row r="9" spans="1:11" x14ac:dyDescent="0.45">
      <c r="A9" t="s">
        <v>87</v>
      </c>
      <c r="B9" t="s">
        <v>88</v>
      </c>
      <c r="C9" t="s">
        <v>89</v>
      </c>
      <c r="D9" t="s">
        <v>90</v>
      </c>
      <c r="E9">
        <v>4</v>
      </c>
      <c r="F9" s="51">
        <v>0.79829861111111111</v>
      </c>
      <c r="G9" t="s">
        <v>91</v>
      </c>
      <c r="H9">
        <v>28</v>
      </c>
      <c r="I9" t="s">
        <v>185</v>
      </c>
      <c r="J9">
        <v>20</v>
      </c>
    </row>
    <row r="10" spans="1:11" x14ac:dyDescent="0.45">
      <c r="A10" t="s">
        <v>82</v>
      </c>
    </row>
    <row r="11" spans="1:11" x14ac:dyDescent="0.45">
      <c r="B11">
        <v>1</v>
      </c>
      <c r="C11" t="s">
        <v>92</v>
      </c>
      <c r="D11" t="s">
        <v>93</v>
      </c>
      <c r="E11">
        <v>0.80968477233699998</v>
      </c>
      <c r="F11">
        <v>0.118981318547</v>
      </c>
    </row>
    <row r="12" spans="1:11" x14ac:dyDescent="0.45">
      <c r="B12">
        <v>2</v>
      </c>
      <c r="C12" t="s">
        <v>94</v>
      </c>
      <c r="D12" t="s">
        <v>93</v>
      </c>
      <c r="E12">
        <v>1.5539648423600001</v>
      </c>
      <c r="F12" s="52">
        <v>4.5709882588899999E-2</v>
      </c>
    </row>
    <row r="13" spans="1:11" x14ac:dyDescent="0.45">
      <c r="B13">
        <v>18</v>
      </c>
      <c r="C13" t="s">
        <v>95</v>
      </c>
      <c r="D13" t="s">
        <v>96</v>
      </c>
      <c r="E13">
        <v>0</v>
      </c>
      <c r="F13">
        <v>1</v>
      </c>
    </row>
    <row r="14" spans="1:11" x14ac:dyDescent="0.45">
      <c r="B14">
        <v>20</v>
      </c>
      <c r="C14" t="s">
        <v>97</v>
      </c>
      <c r="D14" t="s">
        <v>93</v>
      </c>
      <c r="E14">
        <v>-2.9097608799399999</v>
      </c>
      <c r="F14">
        <v>0.135142212815</v>
      </c>
    </row>
    <row r="15" spans="1:11" x14ac:dyDescent="0.45">
      <c r="B15">
        <v>22</v>
      </c>
      <c r="C15" t="s">
        <v>98</v>
      </c>
      <c r="D15" t="s">
        <v>93</v>
      </c>
      <c r="E15" s="52">
        <v>7.9845613997700002E-2</v>
      </c>
      <c r="F15">
        <v>0.13872043148099999</v>
      </c>
    </row>
    <row r="16" spans="1:11" x14ac:dyDescent="0.45">
      <c r="B16">
        <v>30</v>
      </c>
      <c r="C16" t="s">
        <v>99</v>
      </c>
      <c r="D16" t="s">
        <v>93</v>
      </c>
      <c r="E16">
        <v>-1.18040741109</v>
      </c>
      <c r="F16">
        <v>0.133999921435</v>
      </c>
    </row>
    <row r="17" spans="2:6" x14ac:dyDescent="0.45">
      <c r="B17">
        <v>32</v>
      </c>
      <c r="C17" t="s">
        <v>100</v>
      </c>
      <c r="D17" t="s">
        <v>93</v>
      </c>
      <c r="E17" s="52">
        <v>-7.4242155471400006E-2</v>
      </c>
      <c r="F17" s="52">
        <v>1.6288344606399999E-2</v>
      </c>
    </row>
    <row r="18" spans="2:6" x14ac:dyDescent="0.45">
      <c r="B18">
        <v>34</v>
      </c>
      <c r="C18" t="s">
        <v>101</v>
      </c>
      <c r="D18" t="s">
        <v>93</v>
      </c>
      <c r="E18" s="52">
        <v>0.104391076877</v>
      </c>
      <c r="F18" s="52">
        <v>2.5382710905400001E-2</v>
      </c>
    </row>
    <row r="19" spans="2:6" x14ac:dyDescent="0.45">
      <c r="B19">
        <v>36</v>
      </c>
      <c r="C19" t="s">
        <v>102</v>
      </c>
      <c r="D19" t="s">
        <v>93</v>
      </c>
      <c r="E19">
        <v>-0.70847623999800002</v>
      </c>
      <c r="F19" s="52">
        <v>8.5010984649000004E-2</v>
      </c>
    </row>
    <row r="20" spans="2:6" x14ac:dyDescent="0.45">
      <c r="B20">
        <v>37</v>
      </c>
      <c r="C20" t="s">
        <v>103</v>
      </c>
      <c r="D20" t="s">
        <v>93</v>
      </c>
      <c r="E20">
        <v>-0.65985759144800005</v>
      </c>
      <c r="F20" s="52">
        <v>5.60862341081E-2</v>
      </c>
    </row>
    <row r="21" spans="2:6" x14ac:dyDescent="0.45">
      <c r="B21">
        <v>38</v>
      </c>
      <c r="C21" t="s">
        <v>104</v>
      </c>
      <c r="D21" t="s">
        <v>93</v>
      </c>
      <c r="E21">
        <v>-0.35753290790300002</v>
      </c>
      <c r="F21" s="52">
        <v>5.4310169907299997E-2</v>
      </c>
    </row>
    <row r="22" spans="2:6" x14ac:dyDescent="0.45">
      <c r="B22">
        <v>40</v>
      </c>
      <c r="C22" t="s">
        <v>105</v>
      </c>
      <c r="D22" t="s">
        <v>93</v>
      </c>
      <c r="E22">
        <v>-1.72595055454</v>
      </c>
      <c r="F22">
        <v>0.122643032488</v>
      </c>
    </row>
    <row r="23" spans="2:6" x14ac:dyDescent="0.45">
      <c r="B23">
        <v>41</v>
      </c>
      <c r="C23" t="s">
        <v>106</v>
      </c>
      <c r="D23" t="s">
        <v>93</v>
      </c>
      <c r="E23">
        <v>-0.88093586388400003</v>
      </c>
      <c r="F23">
        <v>0.14851614210799999</v>
      </c>
    </row>
    <row r="24" spans="2:6" x14ac:dyDescent="0.45">
      <c r="B24">
        <v>50</v>
      </c>
      <c r="C24" t="s">
        <v>107</v>
      </c>
      <c r="D24" t="s">
        <v>93</v>
      </c>
      <c r="E24">
        <v>-2.02844784341</v>
      </c>
      <c r="F24">
        <v>0.113781613386</v>
      </c>
    </row>
    <row r="25" spans="2:6" x14ac:dyDescent="0.45">
      <c r="B25">
        <v>52</v>
      </c>
      <c r="C25" t="s">
        <v>108</v>
      </c>
      <c r="D25" t="s">
        <v>93</v>
      </c>
      <c r="E25">
        <v>-0.43964975737899997</v>
      </c>
      <c r="F25" s="52">
        <v>3.9766084966800001E-2</v>
      </c>
    </row>
    <row r="26" spans="2:6" x14ac:dyDescent="0.45">
      <c r="B26">
        <v>54</v>
      </c>
      <c r="C26" t="s">
        <v>109</v>
      </c>
      <c r="D26" t="s">
        <v>93</v>
      </c>
      <c r="E26">
        <v>0.374073784041</v>
      </c>
      <c r="F26" s="52">
        <v>4.1125394970199999E-2</v>
      </c>
    </row>
    <row r="27" spans="2:6" x14ac:dyDescent="0.45">
      <c r="B27">
        <v>55</v>
      </c>
      <c r="C27" t="s">
        <v>110</v>
      </c>
      <c r="D27" t="s">
        <v>93</v>
      </c>
      <c r="E27" s="52">
        <v>6.3453275698499997E-2</v>
      </c>
      <c r="F27" s="52">
        <v>3.5888152340399999E-2</v>
      </c>
    </row>
    <row r="28" spans="2:6" x14ac:dyDescent="0.45">
      <c r="B28">
        <v>59</v>
      </c>
      <c r="C28" t="s">
        <v>111</v>
      </c>
      <c r="D28" t="s">
        <v>93</v>
      </c>
      <c r="E28">
        <v>-0.77067627320400001</v>
      </c>
      <c r="F28">
        <v>0.15079559508199999</v>
      </c>
    </row>
    <row r="29" spans="2:6" x14ac:dyDescent="0.45">
      <c r="B29">
        <v>60</v>
      </c>
      <c r="C29" t="s">
        <v>112</v>
      </c>
      <c r="D29" t="s">
        <v>93</v>
      </c>
      <c r="E29">
        <v>-2.4630488731</v>
      </c>
      <c r="F29">
        <v>0.109473406693</v>
      </c>
    </row>
    <row r="30" spans="2:6" x14ac:dyDescent="0.45">
      <c r="B30">
        <v>61</v>
      </c>
      <c r="C30" t="s">
        <v>113</v>
      </c>
      <c r="D30" t="s">
        <v>93</v>
      </c>
      <c r="E30">
        <v>-0.29891161818799999</v>
      </c>
      <c r="F30" s="52">
        <v>7.6223925395299999E-2</v>
      </c>
    </row>
    <row r="31" spans="2:6" x14ac:dyDescent="0.45">
      <c r="B31">
        <v>62</v>
      </c>
      <c r="C31" t="s">
        <v>114</v>
      </c>
      <c r="D31" t="s">
        <v>93</v>
      </c>
      <c r="E31" s="52">
        <v>8.0970846080599998E-2</v>
      </c>
      <c r="F31" s="52">
        <v>8.1167026262899997E-2</v>
      </c>
    </row>
    <row r="32" spans="2:6" x14ac:dyDescent="0.45">
      <c r="B32">
        <v>65</v>
      </c>
      <c r="C32" t="s">
        <v>115</v>
      </c>
      <c r="D32" t="s">
        <v>93</v>
      </c>
      <c r="E32" s="52">
        <v>4.1030585546699997E-3</v>
      </c>
      <c r="F32" s="52">
        <v>1.4788028807199999E-3</v>
      </c>
    </row>
    <row r="33" spans="2:6" x14ac:dyDescent="0.45">
      <c r="B33">
        <v>72</v>
      </c>
      <c r="C33" t="s">
        <v>116</v>
      </c>
      <c r="D33" t="s">
        <v>93</v>
      </c>
      <c r="E33" s="52">
        <v>-2.84443713903E-2</v>
      </c>
      <c r="F33" s="52">
        <v>5.1548393642900002E-2</v>
      </c>
    </row>
    <row r="34" spans="2:6" x14ac:dyDescent="0.45">
      <c r="B34">
        <v>75</v>
      </c>
      <c r="C34" t="s">
        <v>117</v>
      </c>
      <c r="D34" t="s">
        <v>93</v>
      </c>
      <c r="E34" s="52">
        <v>8.1593467830299998E-3</v>
      </c>
      <c r="F34" s="52">
        <v>9.1889419861000004E-4</v>
      </c>
    </row>
    <row r="35" spans="2:6" x14ac:dyDescent="0.45">
      <c r="B35">
        <v>78</v>
      </c>
      <c r="C35" t="s">
        <v>118</v>
      </c>
      <c r="D35" t="s">
        <v>93</v>
      </c>
      <c r="E35">
        <v>-0.86315963807999996</v>
      </c>
      <c r="F35" s="52">
        <v>8.2033357331899995E-2</v>
      </c>
    </row>
    <row r="36" spans="2:6" x14ac:dyDescent="0.45">
      <c r="B36">
        <v>80</v>
      </c>
      <c r="C36" t="s">
        <v>186</v>
      </c>
      <c r="D36" t="s">
        <v>93</v>
      </c>
      <c r="E36">
        <v>-3.1338332016899999</v>
      </c>
      <c r="F36">
        <v>0.32211021186599997</v>
      </c>
    </row>
    <row r="37" spans="2:6" x14ac:dyDescent="0.45">
      <c r="B37">
        <v>81</v>
      </c>
      <c r="C37" t="s">
        <v>187</v>
      </c>
      <c r="D37" t="s">
        <v>93</v>
      </c>
      <c r="E37">
        <v>2.06190696537</v>
      </c>
      <c r="F37" s="52">
        <v>0.55601280188900004</v>
      </c>
    </row>
    <row r="38" spans="2:6" x14ac:dyDescent="0.45">
      <c r="B38">
        <v>82</v>
      </c>
      <c r="C38" t="s">
        <v>188</v>
      </c>
      <c r="D38" t="s">
        <v>93</v>
      </c>
      <c r="E38">
        <v>0.62426487718500001</v>
      </c>
      <c r="F38" s="52">
        <v>0.386879142482</v>
      </c>
    </row>
    <row r="39" spans="2:6" x14ac:dyDescent="0.45">
      <c r="B39">
        <v>83</v>
      </c>
      <c r="C39" t="s">
        <v>189</v>
      </c>
      <c r="D39" t="s">
        <v>96</v>
      </c>
      <c r="E39">
        <v>0</v>
      </c>
      <c r="F39">
        <v>1</v>
      </c>
    </row>
    <row r="40" spans="2:6" x14ac:dyDescent="0.45">
      <c r="B40">
        <v>84</v>
      </c>
      <c r="C40" t="s">
        <v>190</v>
      </c>
      <c r="D40" t="s">
        <v>96</v>
      </c>
      <c r="E40">
        <v>0</v>
      </c>
      <c r="F40" s="52">
        <v>1</v>
      </c>
    </row>
    <row r="41" spans="2:6" x14ac:dyDescent="0.45">
      <c r="B41">
        <v>85</v>
      </c>
      <c r="C41" t="s">
        <v>191</v>
      </c>
      <c r="D41" t="s">
        <v>93</v>
      </c>
      <c r="E41" s="52">
        <v>-1.3429612451E-5</v>
      </c>
      <c r="F41" s="52">
        <v>6.9534127653299996E-6</v>
      </c>
    </row>
    <row r="42" spans="2:6" x14ac:dyDescent="0.45">
      <c r="B42">
        <v>86</v>
      </c>
      <c r="C42" t="s">
        <v>192</v>
      </c>
      <c r="D42" t="s">
        <v>96</v>
      </c>
      <c r="E42">
        <v>0</v>
      </c>
      <c r="F42" s="52">
        <v>1</v>
      </c>
    </row>
    <row r="43" spans="2:6" x14ac:dyDescent="0.45">
      <c r="B43">
        <v>87</v>
      </c>
      <c r="C43" t="s">
        <v>193</v>
      </c>
      <c r="D43" t="s">
        <v>93</v>
      </c>
      <c r="E43">
        <v>0.92404405514400001</v>
      </c>
      <c r="F43">
        <v>0.41316000570099998</v>
      </c>
    </row>
    <row r="44" spans="2:6" x14ac:dyDescent="0.45">
      <c r="B44">
        <v>88</v>
      </c>
      <c r="C44" t="s">
        <v>194</v>
      </c>
      <c r="D44" t="s">
        <v>93</v>
      </c>
      <c r="E44">
        <v>-0.26219801758400002</v>
      </c>
      <c r="F44">
        <v>0.33745916948400001</v>
      </c>
    </row>
    <row r="45" spans="2:6" x14ac:dyDescent="0.45">
      <c r="B45">
        <v>89</v>
      </c>
      <c r="C45" t="s">
        <v>195</v>
      </c>
      <c r="D45" t="s">
        <v>93</v>
      </c>
      <c r="E45">
        <v>-1.5263709811799999</v>
      </c>
      <c r="F45">
        <v>0.314895925957</v>
      </c>
    </row>
    <row r="46" spans="2:6" x14ac:dyDescent="0.45">
      <c r="B46">
        <v>90</v>
      </c>
      <c r="C46" t="s">
        <v>196</v>
      </c>
      <c r="D46" t="s">
        <v>93</v>
      </c>
      <c r="E46">
        <v>-1.7149809578499999</v>
      </c>
      <c r="F46">
        <v>0.69158204789199995</v>
      </c>
    </row>
    <row r="47" spans="2:6" x14ac:dyDescent="0.45">
      <c r="B47">
        <v>91</v>
      </c>
      <c r="C47" t="s">
        <v>197</v>
      </c>
      <c r="D47" t="s">
        <v>96</v>
      </c>
      <c r="E47">
        <v>-5</v>
      </c>
      <c r="F47">
        <v>1</v>
      </c>
    </row>
    <row r="48" spans="2:6" x14ac:dyDescent="0.45">
      <c r="B48">
        <v>92</v>
      </c>
      <c r="C48" t="s">
        <v>198</v>
      </c>
      <c r="D48" t="s">
        <v>96</v>
      </c>
      <c r="E48">
        <v>0</v>
      </c>
      <c r="F48">
        <v>1</v>
      </c>
    </row>
    <row r="49" spans="2:6" x14ac:dyDescent="0.45">
      <c r="B49">
        <v>100</v>
      </c>
      <c r="C49" t="s">
        <v>119</v>
      </c>
      <c r="D49" t="s">
        <v>93</v>
      </c>
      <c r="E49">
        <v>3.1803543467900002</v>
      </c>
      <c r="F49" s="52">
        <v>9.1285148349000006E-2</v>
      </c>
    </row>
    <row r="50" spans="2:6" x14ac:dyDescent="0.45">
      <c r="B50">
        <v>102</v>
      </c>
      <c r="C50" t="s">
        <v>120</v>
      </c>
      <c r="D50" t="s">
        <v>93</v>
      </c>
      <c r="E50">
        <v>0.78181538481699997</v>
      </c>
      <c r="F50" s="52">
        <v>4.4613156350299998E-2</v>
      </c>
    </row>
    <row r="51" spans="2:6" x14ac:dyDescent="0.45">
      <c r="B51">
        <v>103</v>
      </c>
      <c r="C51" t="s">
        <v>121</v>
      </c>
      <c r="D51" t="s">
        <v>93</v>
      </c>
      <c r="E51">
        <v>0.77045698797100004</v>
      </c>
      <c r="F51" s="52">
        <v>4.7745887291400002E-2</v>
      </c>
    </row>
    <row r="52" spans="2:6" x14ac:dyDescent="0.45">
      <c r="B52">
        <v>104</v>
      </c>
      <c r="C52" t="s">
        <v>122</v>
      </c>
      <c r="D52" t="s">
        <v>93</v>
      </c>
      <c r="E52">
        <v>0.24381041000299999</v>
      </c>
      <c r="F52" s="52">
        <v>5.20247926519E-2</v>
      </c>
    </row>
    <row r="53" spans="2:6" x14ac:dyDescent="0.45">
      <c r="B53">
        <v>105</v>
      </c>
      <c r="C53" t="s">
        <v>123</v>
      </c>
      <c r="D53" t="s">
        <v>93</v>
      </c>
      <c r="E53" s="52">
        <v>5.6269366776099998E-2</v>
      </c>
      <c r="F53" s="52">
        <v>4.4218784241800001E-2</v>
      </c>
    </row>
    <row r="54" spans="2:6" x14ac:dyDescent="0.45">
      <c r="B54">
        <v>106</v>
      </c>
      <c r="C54" t="s">
        <v>124</v>
      </c>
      <c r="D54" t="s">
        <v>93</v>
      </c>
      <c r="E54" s="52">
        <v>-7.09997802939E-2</v>
      </c>
      <c r="F54" s="52">
        <v>4.8693031048599997E-2</v>
      </c>
    </row>
    <row r="55" spans="2:6" x14ac:dyDescent="0.45">
      <c r="B55">
        <v>107</v>
      </c>
      <c r="C55" t="s">
        <v>125</v>
      </c>
      <c r="D55" t="s">
        <v>93</v>
      </c>
      <c r="E55">
        <v>0.168560670936</v>
      </c>
      <c r="F55" s="52">
        <v>4.6214006907199998E-2</v>
      </c>
    </row>
    <row r="56" spans="2:6" x14ac:dyDescent="0.45">
      <c r="B56">
        <v>115</v>
      </c>
      <c r="C56" t="s">
        <v>126</v>
      </c>
      <c r="D56" t="s">
        <v>93</v>
      </c>
      <c r="E56">
        <v>-1.5680535627900001</v>
      </c>
      <c r="F56">
        <v>0.183983553513</v>
      </c>
    </row>
    <row r="57" spans="2:6" x14ac:dyDescent="0.45">
      <c r="B57">
        <v>116</v>
      </c>
      <c r="C57" t="s">
        <v>127</v>
      </c>
      <c r="D57" t="s">
        <v>93</v>
      </c>
      <c r="E57">
        <v>3.8185940022799998</v>
      </c>
      <c r="F57">
        <v>0.35381846844300002</v>
      </c>
    </row>
    <row r="58" spans="2:6" x14ac:dyDescent="0.45">
      <c r="B58">
        <v>118</v>
      </c>
      <c r="C58" t="s">
        <v>128</v>
      </c>
      <c r="D58" t="s">
        <v>93</v>
      </c>
      <c r="E58">
        <v>-0.54995587745499996</v>
      </c>
      <c r="F58">
        <v>0.158375512883</v>
      </c>
    </row>
    <row r="59" spans="2:6" x14ac:dyDescent="0.45">
      <c r="B59">
        <v>119</v>
      </c>
      <c r="C59" t="s">
        <v>129</v>
      </c>
      <c r="D59" t="s">
        <v>93</v>
      </c>
      <c r="E59">
        <v>4.6112080578899999</v>
      </c>
      <c r="F59">
        <v>0.33475529016799999</v>
      </c>
    </row>
    <row r="60" spans="2:6" x14ac:dyDescent="0.45">
      <c r="B60">
        <v>120</v>
      </c>
      <c r="C60" t="s">
        <v>130</v>
      </c>
      <c r="D60" t="s">
        <v>93</v>
      </c>
      <c r="E60">
        <v>2.3693914932700002</v>
      </c>
      <c r="F60" s="52">
        <v>9.9075243269300006E-2</v>
      </c>
    </row>
    <row r="61" spans="2:6" x14ac:dyDescent="0.45">
      <c r="B61">
        <v>121</v>
      </c>
      <c r="C61" t="s">
        <v>131</v>
      </c>
      <c r="D61" t="s">
        <v>96</v>
      </c>
      <c r="E61">
        <v>-1.6664000000000001</v>
      </c>
      <c r="F61">
        <v>1</v>
      </c>
    </row>
    <row r="62" spans="2:6" x14ac:dyDescent="0.45">
      <c r="B62">
        <v>122</v>
      </c>
      <c r="C62" t="s">
        <v>132</v>
      </c>
      <c r="D62" t="s">
        <v>93</v>
      </c>
      <c r="E62">
        <v>-1.0906626925</v>
      </c>
      <c r="F62">
        <v>0.163447946639</v>
      </c>
    </row>
    <row r="63" spans="2:6" x14ac:dyDescent="0.45">
      <c r="B63">
        <v>124</v>
      </c>
      <c r="C63" t="s">
        <v>133</v>
      </c>
      <c r="D63" t="s">
        <v>93</v>
      </c>
      <c r="E63">
        <v>2.31088998305</v>
      </c>
      <c r="F63">
        <v>0.10023340794500001</v>
      </c>
    </row>
    <row r="64" spans="2:6" x14ac:dyDescent="0.45">
      <c r="B64">
        <v>125</v>
      </c>
      <c r="C64" t="s">
        <v>134</v>
      </c>
      <c r="D64" t="s">
        <v>93</v>
      </c>
      <c r="E64" s="52">
        <v>2.2294878229999999</v>
      </c>
      <c r="F64">
        <v>0.10571483623900001</v>
      </c>
    </row>
    <row r="65" spans="2:6" x14ac:dyDescent="0.45">
      <c r="B65">
        <v>127</v>
      </c>
      <c r="C65" t="s">
        <v>135</v>
      </c>
      <c r="D65" t="s">
        <v>93</v>
      </c>
      <c r="E65">
        <v>-0.37209065895499999</v>
      </c>
      <c r="F65">
        <v>0.15083480968400001</v>
      </c>
    </row>
    <row r="66" spans="2:6" x14ac:dyDescent="0.45">
      <c r="B66">
        <v>128</v>
      </c>
      <c r="C66" t="s">
        <v>136</v>
      </c>
      <c r="D66" t="s">
        <v>96</v>
      </c>
      <c r="E66">
        <v>0</v>
      </c>
      <c r="F66">
        <v>1</v>
      </c>
    </row>
    <row r="67" spans="2:6" x14ac:dyDescent="0.45">
      <c r="B67">
        <v>130</v>
      </c>
      <c r="C67" t="s">
        <v>137</v>
      </c>
      <c r="D67" t="s">
        <v>93</v>
      </c>
      <c r="E67">
        <v>-0.43270903484099998</v>
      </c>
      <c r="F67">
        <v>0.13991525315799999</v>
      </c>
    </row>
    <row r="68" spans="2:6" x14ac:dyDescent="0.45">
      <c r="B68">
        <v>131</v>
      </c>
      <c r="C68" t="s">
        <v>138</v>
      </c>
      <c r="D68" t="s">
        <v>93</v>
      </c>
      <c r="E68">
        <v>-0.69153204154100001</v>
      </c>
      <c r="F68">
        <v>0.12773200699699999</v>
      </c>
    </row>
    <row r="69" spans="2:6" x14ac:dyDescent="0.45">
      <c r="B69">
        <v>133</v>
      </c>
      <c r="C69" t="s">
        <v>199</v>
      </c>
      <c r="D69" t="s">
        <v>93</v>
      </c>
      <c r="E69">
        <v>-2.1575034199499998</v>
      </c>
      <c r="F69">
        <v>0.71636424410099997</v>
      </c>
    </row>
    <row r="70" spans="2:6" x14ac:dyDescent="0.45">
      <c r="B70">
        <v>134</v>
      </c>
      <c r="C70" t="s">
        <v>200</v>
      </c>
      <c r="D70" t="s">
        <v>93</v>
      </c>
      <c r="E70">
        <v>-0.56169265574799998</v>
      </c>
      <c r="F70">
        <v>0.26917243067500002</v>
      </c>
    </row>
    <row r="71" spans="2:6" x14ac:dyDescent="0.45">
      <c r="B71">
        <v>135</v>
      </c>
      <c r="C71" t="s">
        <v>201</v>
      </c>
      <c r="D71" t="s">
        <v>93</v>
      </c>
      <c r="E71">
        <v>-0.87124958486899995</v>
      </c>
      <c r="F71">
        <v>0.25362345038900003</v>
      </c>
    </row>
    <row r="72" spans="2:6" x14ac:dyDescent="0.45">
      <c r="B72">
        <v>136</v>
      </c>
      <c r="C72" t="s">
        <v>202</v>
      </c>
      <c r="D72" t="s">
        <v>96</v>
      </c>
      <c r="E72">
        <v>0</v>
      </c>
      <c r="F72">
        <v>1</v>
      </c>
    </row>
    <row r="73" spans="2:6" x14ac:dyDescent="0.45">
      <c r="B73">
        <v>141</v>
      </c>
      <c r="C73" t="s">
        <v>139</v>
      </c>
      <c r="D73" t="s">
        <v>93</v>
      </c>
      <c r="E73">
        <v>0.86912130711500002</v>
      </c>
      <c r="F73" s="52">
        <v>4.8162453634300002E-2</v>
      </c>
    </row>
    <row r="74" spans="2:6" x14ac:dyDescent="0.45">
      <c r="B74">
        <v>142</v>
      </c>
      <c r="C74" t="s">
        <v>140</v>
      </c>
      <c r="D74" t="s">
        <v>93</v>
      </c>
      <c r="E74">
        <v>-0.124632965368</v>
      </c>
      <c r="F74" s="52">
        <v>9.4266717357299995E-2</v>
      </c>
    </row>
    <row r="75" spans="2:6" x14ac:dyDescent="0.45">
      <c r="B75">
        <v>147</v>
      </c>
      <c r="C75" t="s">
        <v>141</v>
      </c>
      <c r="D75" t="s">
        <v>93</v>
      </c>
      <c r="E75">
        <v>-0.24512560843299999</v>
      </c>
      <c r="F75" s="52">
        <v>0.130349907938</v>
      </c>
    </row>
    <row r="76" spans="2:6" x14ac:dyDescent="0.45">
      <c r="B76">
        <v>149</v>
      </c>
      <c r="C76" t="s">
        <v>142</v>
      </c>
      <c r="D76" t="s">
        <v>93</v>
      </c>
      <c r="E76">
        <v>-1.4982611402099999</v>
      </c>
      <c r="F76" s="52">
        <v>5.9692021042500001E-2</v>
      </c>
    </row>
    <row r="77" spans="2:6" x14ac:dyDescent="0.45">
      <c r="B77">
        <v>150</v>
      </c>
      <c r="C77" s="52" t="s">
        <v>143</v>
      </c>
      <c r="D77" s="52" t="s">
        <v>93</v>
      </c>
      <c r="E77" s="52">
        <v>-0.31797853212799998</v>
      </c>
      <c r="F77" s="52">
        <v>8.98872934038E-2</v>
      </c>
    </row>
    <row r="78" spans="2:6" x14ac:dyDescent="0.45">
      <c r="B78">
        <v>152</v>
      </c>
      <c r="C78" t="s">
        <v>144</v>
      </c>
      <c r="D78" t="s">
        <v>93</v>
      </c>
      <c r="E78">
        <v>-0.86046411769499997</v>
      </c>
      <c r="F78" s="52">
        <v>6.1271267356100001E-2</v>
      </c>
    </row>
    <row r="79" spans="2:6" x14ac:dyDescent="0.45">
      <c r="B79">
        <v>153</v>
      </c>
      <c r="C79" t="s">
        <v>145</v>
      </c>
      <c r="D79" t="s">
        <v>93</v>
      </c>
      <c r="E79">
        <v>0.72949151536300005</v>
      </c>
      <c r="F79" s="52">
        <v>8.4195879302700005E-2</v>
      </c>
    </row>
    <row r="80" spans="2:6" x14ac:dyDescent="0.45">
      <c r="B80">
        <v>154</v>
      </c>
      <c r="C80" t="s">
        <v>146</v>
      </c>
      <c r="D80" t="s">
        <v>93</v>
      </c>
      <c r="E80">
        <v>0.62736032215799997</v>
      </c>
      <c r="F80" s="52">
        <v>8.5722117249500004E-2</v>
      </c>
    </row>
    <row r="81" spans="2:11" x14ac:dyDescent="0.45">
      <c r="B81">
        <v>155</v>
      </c>
      <c r="C81" t="s">
        <v>147</v>
      </c>
      <c r="D81" t="s">
        <v>93</v>
      </c>
      <c r="E81">
        <v>-0.17239214840799999</v>
      </c>
      <c r="F81" s="52">
        <v>6.6219689818399999E-2</v>
      </c>
    </row>
    <row r="82" spans="2:11" x14ac:dyDescent="0.45">
      <c r="B82">
        <v>161</v>
      </c>
      <c r="C82" t="s">
        <v>148</v>
      </c>
      <c r="D82" t="s">
        <v>93</v>
      </c>
      <c r="E82">
        <v>-1.8070418215399999</v>
      </c>
      <c r="F82">
        <v>0.15322175014100001</v>
      </c>
    </row>
    <row r="83" spans="2:11" x14ac:dyDescent="0.45">
      <c r="B83">
        <v>162</v>
      </c>
      <c r="C83" t="s">
        <v>149</v>
      </c>
      <c r="D83" t="s">
        <v>93</v>
      </c>
      <c r="E83">
        <v>-0.70138570112099996</v>
      </c>
      <c r="F83">
        <v>0.14791420686000001</v>
      </c>
    </row>
    <row r="84" spans="2:11" x14ac:dyDescent="0.45">
      <c r="B84">
        <v>163</v>
      </c>
      <c r="C84" t="s">
        <v>150</v>
      </c>
      <c r="D84" t="s">
        <v>93</v>
      </c>
      <c r="E84">
        <v>2.5057038080799998</v>
      </c>
      <c r="F84">
        <v>0.16021194060800001</v>
      </c>
    </row>
    <row r="85" spans="2:11" x14ac:dyDescent="0.45">
      <c r="B85">
        <v>164</v>
      </c>
      <c r="C85" t="s">
        <v>151</v>
      </c>
      <c r="D85" t="s">
        <v>93</v>
      </c>
      <c r="E85">
        <v>-0.30179762150200001</v>
      </c>
      <c r="F85">
        <v>0.105464003374</v>
      </c>
    </row>
    <row r="86" spans="2:11" x14ac:dyDescent="0.45">
      <c r="B86">
        <v>165</v>
      </c>
      <c r="C86" t="s">
        <v>152</v>
      </c>
      <c r="D86" t="s">
        <v>93</v>
      </c>
      <c r="E86">
        <v>-0.26267617354400002</v>
      </c>
      <c r="F86">
        <v>0.104514899173</v>
      </c>
    </row>
    <row r="87" spans="2:11" x14ac:dyDescent="0.45">
      <c r="B87">
        <v>166</v>
      </c>
      <c r="C87" t="s">
        <v>153</v>
      </c>
      <c r="D87" t="s">
        <v>93</v>
      </c>
      <c r="E87">
        <v>-0.30895751716699998</v>
      </c>
      <c r="F87">
        <v>0.201970261649</v>
      </c>
    </row>
    <row r="88" spans="2:11" x14ac:dyDescent="0.45">
      <c r="B88">
        <v>167</v>
      </c>
      <c r="C88" t="s">
        <v>154</v>
      </c>
      <c r="D88" t="s">
        <v>93</v>
      </c>
      <c r="E88">
        <v>-0.72017133674699996</v>
      </c>
      <c r="F88">
        <v>0.11238096994000001</v>
      </c>
    </row>
    <row r="89" spans="2:11" x14ac:dyDescent="0.45">
      <c r="B89">
        <v>168</v>
      </c>
      <c r="C89" t="s">
        <v>155</v>
      </c>
      <c r="D89" t="s">
        <v>93</v>
      </c>
      <c r="E89">
        <v>0.101710915901</v>
      </c>
      <c r="F89">
        <v>0.132576820446</v>
      </c>
    </row>
    <row r="90" spans="2:11" x14ac:dyDescent="0.45">
      <c r="B90">
        <v>169</v>
      </c>
      <c r="C90" t="s">
        <v>156</v>
      </c>
      <c r="D90" t="s">
        <v>93</v>
      </c>
      <c r="E90">
        <v>0.70257864975499995</v>
      </c>
      <c r="F90">
        <v>0.12501303207</v>
      </c>
    </row>
    <row r="91" spans="2:11" x14ac:dyDescent="0.45">
      <c r="B91">
        <v>170</v>
      </c>
      <c r="C91" t="s">
        <v>157</v>
      </c>
      <c r="D91" t="s">
        <v>93</v>
      </c>
      <c r="E91">
        <v>-0.239563802401</v>
      </c>
      <c r="F91">
        <v>0.14574839579500001</v>
      </c>
    </row>
    <row r="92" spans="2:11" x14ac:dyDescent="0.45">
      <c r="B92">
        <v>99</v>
      </c>
      <c r="C92" t="s">
        <v>158</v>
      </c>
      <c r="D92" t="s">
        <v>96</v>
      </c>
      <c r="E92">
        <v>1</v>
      </c>
      <c r="F92">
        <v>1</v>
      </c>
    </row>
    <row r="93" spans="2:11" x14ac:dyDescent="0.45">
      <c r="B93">
        <v>-1</v>
      </c>
    </row>
    <row r="94" spans="2:11" x14ac:dyDescent="0.45">
      <c r="B94">
        <v>64818</v>
      </c>
      <c r="C94" s="52">
        <v>-52636.316793099999</v>
      </c>
      <c r="D94" s="52">
        <v>-78790.068259399995</v>
      </c>
      <c r="E94" s="52">
        <v>-26505.8112678</v>
      </c>
    </row>
    <row r="95" spans="2:11" x14ac:dyDescent="0.45">
      <c r="B95">
        <v>6</v>
      </c>
      <c r="C95" t="s">
        <v>203</v>
      </c>
      <c r="D95" t="s">
        <v>91</v>
      </c>
      <c r="E95">
        <v>28</v>
      </c>
      <c r="F95" t="s">
        <v>185</v>
      </c>
      <c r="G95">
        <v>20</v>
      </c>
    </row>
    <row r="96" spans="2:11" x14ac:dyDescent="0.45">
      <c r="B96">
        <v>-4671</v>
      </c>
      <c r="C96">
        <v>0</v>
      </c>
      <c r="D96">
        <v>0</v>
      </c>
      <c r="E96">
        <v>-12668</v>
      </c>
      <c r="F96">
        <v>-3228</v>
      </c>
      <c r="G96">
        <v>0</v>
      </c>
      <c r="H96">
        <v>2419</v>
      </c>
      <c r="I96">
        <v>-6613</v>
      </c>
      <c r="J96">
        <v>0</v>
      </c>
      <c r="K96">
        <v>-15483</v>
      </c>
    </row>
    <row r="97" spans="2:11" x14ac:dyDescent="0.45">
      <c r="B97">
        <v>-4751</v>
      </c>
      <c r="C97">
        <v>-24936</v>
      </c>
      <c r="D97">
        <v>0</v>
      </c>
      <c r="E97">
        <v>61483</v>
      </c>
      <c r="F97">
        <v>5332</v>
      </c>
      <c r="G97">
        <v>-876</v>
      </c>
      <c r="H97">
        <v>-469</v>
      </c>
      <c r="I97">
        <v>0</v>
      </c>
      <c r="J97">
        <v>2246</v>
      </c>
      <c r="K97">
        <v>-327</v>
      </c>
    </row>
    <row r="98" spans="2:11" x14ac:dyDescent="0.45">
      <c r="B98">
        <v>-13571</v>
      </c>
      <c r="C98">
        <v>4688</v>
      </c>
      <c r="D98">
        <v>-1319</v>
      </c>
      <c r="E98">
        <v>0</v>
      </c>
      <c r="F98">
        <v>-975</v>
      </c>
      <c r="G98">
        <v>5226</v>
      </c>
      <c r="H98">
        <v>-15104</v>
      </c>
      <c r="I98">
        <v>-9659</v>
      </c>
      <c r="J98">
        <v>-371</v>
      </c>
      <c r="K98">
        <v>-913</v>
      </c>
    </row>
    <row r="99" spans="2:11" x14ac:dyDescent="0.45">
      <c r="B99">
        <v>0</v>
      </c>
      <c r="C99">
        <v>-328</v>
      </c>
      <c r="D99">
        <v>-5279</v>
      </c>
      <c r="E99">
        <v>-15830</v>
      </c>
      <c r="F99">
        <v>20571</v>
      </c>
      <c r="G99">
        <v>3080</v>
      </c>
      <c r="H99">
        <v>-3625</v>
      </c>
      <c r="I99">
        <v>-107</v>
      </c>
      <c r="J99">
        <v>0</v>
      </c>
      <c r="K99">
        <v>-1480</v>
      </c>
    </row>
    <row r="100" spans="2:11" x14ac:dyDescent="0.45">
      <c r="B100">
        <v>-1892</v>
      </c>
      <c r="C100">
        <v>-14498</v>
      </c>
      <c r="D100">
        <v>27172</v>
      </c>
      <c r="E100">
        <v>-10590</v>
      </c>
      <c r="F100">
        <v>20140</v>
      </c>
      <c r="G100">
        <v>3251</v>
      </c>
      <c r="H100">
        <v>875</v>
      </c>
      <c r="I100">
        <v>0</v>
      </c>
      <c r="J100">
        <v>-432</v>
      </c>
      <c r="K100">
        <v>-3926</v>
      </c>
    </row>
    <row r="101" spans="2:11" x14ac:dyDescent="0.45">
      <c r="B101">
        <v>-9547</v>
      </c>
      <c r="C101">
        <v>10189</v>
      </c>
      <c r="D101">
        <v>10200</v>
      </c>
      <c r="E101">
        <v>30268</v>
      </c>
      <c r="F101">
        <v>4014</v>
      </c>
      <c r="G101">
        <v>-3649</v>
      </c>
      <c r="H101">
        <v>-25403</v>
      </c>
      <c r="I101">
        <v>0</v>
      </c>
      <c r="J101">
        <v>63715</v>
      </c>
      <c r="K101">
        <v>4980</v>
      </c>
    </row>
    <row r="102" spans="2:11" x14ac:dyDescent="0.45">
      <c r="B102">
        <v>87655</v>
      </c>
      <c r="C102">
        <v>-2539</v>
      </c>
      <c r="D102">
        <v>-12918</v>
      </c>
      <c r="E102">
        <v>-7533</v>
      </c>
      <c r="F102">
        <v>-1596</v>
      </c>
      <c r="G102">
        <v>-11654</v>
      </c>
      <c r="H102">
        <v>2124</v>
      </c>
      <c r="I102">
        <v>3134</v>
      </c>
      <c r="J102">
        <v>0</v>
      </c>
      <c r="K102">
        <v>-89</v>
      </c>
    </row>
    <row r="103" spans="2:11" x14ac:dyDescent="0.45">
      <c r="B103">
        <v>-8753</v>
      </c>
      <c r="C103">
        <v>-2941</v>
      </c>
      <c r="D103">
        <v>1174</v>
      </c>
      <c r="E103">
        <v>1001</v>
      </c>
      <c r="F103">
        <v>-7728</v>
      </c>
      <c r="G103">
        <v>-55</v>
      </c>
      <c r="H103">
        <v>-13570</v>
      </c>
      <c r="I103">
        <v>-3491</v>
      </c>
      <c r="J103">
        <v>2099</v>
      </c>
      <c r="K103">
        <v>-23602</v>
      </c>
    </row>
    <row r="104" spans="2:11" x14ac:dyDescent="0.45">
      <c r="B104">
        <v>0</v>
      </c>
      <c r="C104">
        <v>71994</v>
      </c>
      <c r="D104">
        <v>3705</v>
      </c>
      <c r="E104">
        <v>77715</v>
      </c>
      <c r="F104">
        <v>1856</v>
      </c>
      <c r="G104">
        <v>32</v>
      </c>
      <c r="H104">
        <v>-2630</v>
      </c>
      <c r="I104">
        <v>-2771</v>
      </c>
      <c r="J104">
        <v>-1428</v>
      </c>
      <c r="K104">
        <v>79840</v>
      </c>
    </row>
    <row r="105" spans="2:11" x14ac:dyDescent="0.45">
      <c r="B105">
        <v>1286</v>
      </c>
      <c r="C105">
        <v>-636</v>
      </c>
      <c r="D105">
        <v>-2356</v>
      </c>
      <c r="E105">
        <v>0</v>
      </c>
      <c r="F105">
        <v>-2508</v>
      </c>
      <c r="G105">
        <v>8838</v>
      </c>
      <c r="H105">
        <v>983</v>
      </c>
      <c r="I105">
        <v>-7827</v>
      </c>
      <c r="J105">
        <v>7614</v>
      </c>
      <c r="K105">
        <v>-9815</v>
      </c>
    </row>
    <row r="106" spans="2:11" x14ac:dyDescent="0.45">
      <c r="B106">
        <v>-472</v>
      </c>
      <c r="C106">
        <v>-14251</v>
      </c>
      <c r="D106">
        <v>993</v>
      </c>
      <c r="E106">
        <v>1624</v>
      </c>
      <c r="F106">
        <v>-5298</v>
      </c>
      <c r="G106">
        <v>19458</v>
      </c>
      <c r="H106">
        <v>5277</v>
      </c>
      <c r="I106">
        <v>0</v>
      </c>
      <c r="J106">
        <v>-3455</v>
      </c>
      <c r="K106">
        <v>-256</v>
      </c>
    </row>
    <row r="107" spans="2:11" x14ac:dyDescent="0.45">
      <c r="B107">
        <v>-6340</v>
      </c>
      <c r="C107">
        <v>1749</v>
      </c>
      <c r="D107">
        <v>4665</v>
      </c>
      <c r="E107">
        <v>10635</v>
      </c>
      <c r="F107">
        <v>2351</v>
      </c>
      <c r="G107">
        <v>15872</v>
      </c>
      <c r="H107">
        <v>-6158</v>
      </c>
      <c r="I107">
        <v>-1774</v>
      </c>
      <c r="J107">
        <v>-9972</v>
      </c>
      <c r="K107">
        <v>-9585</v>
      </c>
    </row>
    <row r="108" spans="2:11" x14ac:dyDescent="0.45">
      <c r="B108">
        <v>5692</v>
      </c>
      <c r="C108">
        <v>1061</v>
      </c>
      <c r="D108">
        <v>0</v>
      </c>
      <c r="E108">
        <v>-432</v>
      </c>
      <c r="F108">
        <v>-250</v>
      </c>
      <c r="G108">
        <v>-699</v>
      </c>
      <c r="H108">
        <v>-861</v>
      </c>
      <c r="I108">
        <v>2615</v>
      </c>
      <c r="J108">
        <v>2279</v>
      </c>
      <c r="K108">
        <v>-9</v>
      </c>
    </row>
    <row r="109" spans="2:11" x14ac:dyDescent="0.45">
      <c r="B109">
        <v>5300</v>
      </c>
      <c r="C109">
        <v>-495</v>
      </c>
      <c r="D109">
        <v>-613</v>
      </c>
      <c r="E109">
        <v>-9483</v>
      </c>
      <c r="F109">
        <v>-6350</v>
      </c>
      <c r="G109">
        <v>30744</v>
      </c>
      <c r="H109">
        <v>-4430</v>
      </c>
      <c r="I109">
        <v>-370</v>
      </c>
      <c r="J109">
        <v>0</v>
      </c>
      <c r="K109">
        <v>8007</v>
      </c>
    </row>
    <row r="110" spans="2:11" x14ac:dyDescent="0.45">
      <c r="B110">
        <v>652</v>
      </c>
      <c r="C110">
        <v>7239</v>
      </c>
      <c r="D110">
        <v>-305</v>
      </c>
      <c r="E110">
        <v>-2452</v>
      </c>
      <c r="F110">
        <v>-1579</v>
      </c>
      <c r="G110">
        <v>-1458</v>
      </c>
      <c r="H110">
        <v>-1982</v>
      </c>
      <c r="I110">
        <v>7040</v>
      </c>
      <c r="J110">
        <v>-317</v>
      </c>
      <c r="K110">
        <v>7164</v>
      </c>
    </row>
    <row r="111" spans="2:11" x14ac:dyDescent="0.45">
      <c r="B111">
        <v>-10008</v>
      </c>
      <c r="C111">
        <v>-303</v>
      </c>
      <c r="D111">
        <v>1398</v>
      </c>
      <c r="E111">
        <v>-84</v>
      </c>
      <c r="F111">
        <v>-21750</v>
      </c>
      <c r="G111">
        <v>0</v>
      </c>
      <c r="H111">
        <v>45494</v>
      </c>
      <c r="I111">
        <v>3428</v>
      </c>
      <c r="J111">
        <v>55340</v>
      </c>
      <c r="K111">
        <v>607</v>
      </c>
    </row>
    <row r="112" spans="2:11" x14ac:dyDescent="0.45">
      <c r="B112">
        <v>437</v>
      </c>
      <c r="C112">
        <v>-2608</v>
      </c>
      <c r="D112">
        <v>-2688</v>
      </c>
      <c r="E112">
        <v>-1285</v>
      </c>
      <c r="F112">
        <v>51907</v>
      </c>
      <c r="G112">
        <v>-52</v>
      </c>
      <c r="H112">
        <v>56897</v>
      </c>
      <c r="I112">
        <v>477</v>
      </c>
      <c r="J112">
        <v>-1919</v>
      </c>
      <c r="K112">
        <v>458</v>
      </c>
    </row>
    <row r="113" spans="2:11" x14ac:dyDescent="0.45">
      <c r="B113">
        <v>6219</v>
      </c>
      <c r="C113">
        <v>2470</v>
      </c>
      <c r="D113">
        <v>-5666</v>
      </c>
      <c r="E113">
        <v>0</v>
      </c>
      <c r="F113">
        <v>4256</v>
      </c>
      <c r="G113">
        <v>2276</v>
      </c>
      <c r="H113">
        <v>5388</v>
      </c>
      <c r="I113">
        <v>723</v>
      </c>
      <c r="J113">
        <v>1562</v>
      </c>
      <c r="K113">
        <v>288</v>
      </c>
    </row>
    <row r="114" spans="2:11" x14ac:dyDescent="0.45">
      <c r="B114">
        <v>-221</v>
      </c>
      <c r="C114">
        <v>-210</v>
      </c>
      <c r="D114">
        <v>6634</v>
      </c>
      <c r="E114">
        <v>1841</v>
      </c>
      <c r="F114">
        <v>8395</v>
      </c>
      <c r="G114">
        <v>843</v>
      </c>
      <c r="H114">
        <v>60</v>
      </c>
      <c r="I114">
        <v>-1162</v>
      </c>
      <c r="J114">
        <v>-346</v>
      </c>
      <c r="K114">
        <v>-37911</v>
      </c>
    </row>
    <row r="115" spans="2:11" x14ac:dyDescent="0.45">
      <c r="B115">
        <v>-1072</v>
      </c>
      <c r="C115">
        <v>-14350</v>
      </c>
      <c r="D115">
        <v>0</v>
      </c>
      <c r="E115">
        <v>-455</v>
      </c>
      <c r="F115">
        <v>5141</v>
      </c>
      <c r="G115">
        <v>4669</v>
      </c>
      <c r="H115">
        <v>3748</v>
      </c>
      <c r="I115">
        <v>-1586</v>
      </c>
      <c r="J115">
        <v>-2534</v>
      </c>
      <c r="K115">
        <v>-1446</v>
      </c>
    </row>
    <row r="116" spans="2:11" x14ac:dyDescent="0.45">
      <c r="B116">
        <v>-2646</v>
      </c>
      <c r="C116">
        <v>3100</v>
      </c>
      <c r="D116">
        <v>301</v>
      </c>
      <c r="E116">
        <v>1225</v>
      </c>
      <c r="F116">
        <v>2865</v>
      </c>
      <c r="G116">
        <v>-816</v>
      </c>
      <c r="H116">
        <v>737</v>
      </c>
      <c r="I116">
        <v>5185</v>
      </c>
      <c r="J116">
        <v>-31872</v>
      </c>
      <c r="K116">
        <v>19206</v>
      </c>
    </row>
    <row r="117" spans="2:11" x14ac:dyDescent="0.45">
      <c r="B117">
        <v>-23509</v>
      </c>
      <c r="C117">
        <v>11213</v>
      </c>
      <c r="D117">
        <v>0</v>
      </c>
      <c r="E117">
        <v>22119</v>
      </c>
      <c r="F117">
        <v>-5013</v>
      </c>
      <c r="G117">
        <v>11976</v>
      </c>
      <c r="H117">
        <v>-346</v>
      </c>
      <c r="I117">
        <v>-1677</v>
      </c>
      <c r="J117">
        <v>2442</v>
      </c>
      <c r="K117">
        <v>1536</v>
      </c>
    </row>
    <row r="118" spans="2:11" x14ac:dyDescent="0.45">
      <c r="B118">
        <v>1102</v>
      </c>
      <c r="C118">
        <v>14972</v>
      </c>
      <c r="D118">
        <v>2098</v>
      </c>
      <c r="E118">
        <v>16458</v>
      </c>
      <c r="F118">
        <v>-3113</v>
      </c>
      <c r="G118">
        <v>-3286</v>
      </c>
      <c r="H118">
        <v>-649</v>
      </c>
      <c r="I118">
        <v>521</v>
      </c>
      <c r="J118">
        <v>-22743</v>
      </c>
      <c r="K118">
        <v>-6606</v>
      </c>
    </row>
    <row r="119" spans="2:11" x14ac:dyDescent="0.45">
      <c r="B119">
        <v>-9249</v>
      </c>
      <c r="C119">
        <v>-6572</v>
      </c>
      <c r="D119">
        <v>-5188</v>
      </c>
      <c r="E119">
        <v>0</v>
      </c>
      <c r="F119">
        <v>9439</v>
      </c>
      <c r="G119">
        <v>4491</v>
      </c>
      <c r="H119">
        <v>14595</v>
      </c>
      <c r="I119">
        <v>3831</v>
      </c>
      <c r="J119">
        <v>-1316</v>
      </c>
      <c r="K119">
        <v>-1224</v>
      </c>
    </row>
    <row r="120" spans="2:11" x14ac:dyDescent="0.45">
      <c r="B120">
        <v>-1201</v>
      </c>
      <c r="C120">
        <v>-2114</v>
      </c>
      <c r="D120">
        <v>12786</v>
      </c>
      <c r="E120">
        <v>70</v>
      </c>
      <c r="F120">
        <v>9152</v>
      </c>
      <c r="G120">
        <v>4118</v>
      </c>
      <c r="H120">
        <v>879</v>
      </c>
      <c r="I120">
        <v>2863</v>
      </c>
      <c r="J120">
        <v>5065</v>
      </c>
      <c r="K120">
        <v>6075</v>
      </c>
    </row>
    <row r="121" spans="2:11" x14ac:dyDescent="0.45">
      <c r="B121">
        <v>2089</v>
      </c>
      <c r="C121">
        <v>26644</v>
      </c>
      <c r="D121">
        <v>1791</v>
      </c>
      <c r="E121">
        <v>-36788</v>
      </c>
      <c r="F121">
        <v>8966</v>
      </c>
      <c r="G121">
        <v>0</v>
      </c>
      <c r="H121">
        <v>20018</v>
      </c>
      <c r="I121">
        <v>-5598</v>
      </c>
      <c r="J121">
        <v>5480</v>
      </c>
      <c r="K121">
        <v>-338</v>
      </c>
    </row>
    <row r="122" spans="2:11" x14ac:dyDescent="0.45">
      <c r="B122">
        <v>-667</v>
      </c>
      <c r="C122">
        <v>2762</v>
      </c>
      <c r="D122">
        <v>2460</v>
      </c>
      <c r="E122">
        <v>891</v>
      </c>
      <c r="F122">
        <v>8049</v>
      </c>
      <c r="G122">
        <v>1736</v>
      </c>
      <c r="H122">
        <v>5680</v>
      </c>
      <c r="I122">
        <v>-1128</v>
      </c>
      <c r="J122">
        <v>-5808</v>
      </c>
      <c r="K122">
        <v>-2655</v>
      </c>
    </row>
    <row r="123" spans="2:11" x14ac:dyDescent="0.45">
      <c r="B123">
        <v>510</v>
      </c>
      <c r="C123">
        <v>69</v>
      </c>
      <c r="D123">
        <v>-3337</v>
      </c>
      <c r="E123">
        <v>-378</v>
      </c>
      <c r="F123">
        <v>34007</v>
      </c>
      <c r="G123">
        <v>-2566</v>
      </c>
      <c r="H123">
        <v>567</v>
      </c>
      <c r="I123">
        <v>-5027</v>
      </c>
      <c r="J123">
        <v>0</v>
      </c>
      <c r="K123">
        <v>37066</v>
      </c>
    </row>
    <row r="124" spans="2:11" x14ac:dyDescent="0.45">
      <c r="B124">
        <v>188</v>
      </c>
      <c r="C124">
        <v>32445</v>
      </c>
      <c r="D124">
        <v>-223</v>
      </c>
      <c r="E124">
        <v>-1694</v>
      </c>
      <c r="F124">
        <v>1264</v>
      </c>
      <c r="G124">
        <v>1510</v>
      </c>
      <c r="H124">
        <v>961</v>
      </c>
      <c r="I124">
        <v>39679</v>
      </c>
      <c r="J124">
        <v>1843</v>
      </c>
      <c r="K124">
        <v>47591</v>
      </c>
    </row>
    <row r="125" spans="2:11" x14ac:dyDescent="0.45">
      <c r="B125">
        <v>-1327</v>
      </c>
      <c r="C125">
        <v>396</v>
      </c>
      <c r="D125">
        <v>2298</v>
      </c>
      <c r="E125">
        <v>2719</v>
      </c>
      <c r="F125">
        <v>34842</v>
      </c>
      <c r="G125">
        <v>3855</v>
      </c>
      <c r="H125">
        <v>23</v>
      </c>
      <c r="I125">
        <v>5917</v>
      </c>
      <c r="J125">
        <v>724</v>
      </c>
      <c r="K125">
        <v>-23422</v>
      </c>
    </row>
    <row r="126" spans="2:11" x14ac:dyDescent="0.45">
      <c r="B126">
        <v>-3954</v>
      </c>
      <c r="C126">
        <v>-4568</v>
      </c>
      <c r="D126">
        <v>0</v>
      </c>
      <c r="E126">
        <v>31564</v>
      </c>
      <c r="F126">
        <v>520</v>
      </c>
      <c r="G126">
        <v>30010</v>
      </c>
      <c r="H126">
        <v>1714</v>
      </c>
      <c r="I126">
        <v>-1981</v>
      </c>
      <c r="J126">
        <v>-98</v>
      </c>
      <c r="K126">
        <v>-1424</v>
      </c>
    </row>
    <row r="127" spans="2:11" x14ac:dyDescent="0.45">
      <c r="B127">
        <v>-328</v>
      </c>
      <c r="C127">
        <v>31126</v>
      </c>
      <c r="D127">
        <v>1692</v>
      </c>
      <c r="E127">
        <v>33995</v>
      </c>
      <c r="F127">
        <v>-332</v>
      </c>
      <c r="G127">
        <v>-1319</v>
      </c>
      <c r="H127">
        <v>-387</v>
      </c>
      <c r="I127">
        <v>2562</v>
      </c>
      <c r="J127">
        <v>22784</v>
      </c>
      <c r="K127">
        <v>1711</v>
      </c>
    </row>
    <row r="128" spans="2:11" x14ac:dyDescent="0.45">
      <c r="B128">
        <v>21</v>
      </c>
      <c r="C128">
        <v>7427</v>
      </c>
      <c r="D128">
        <v>5142</v>
      </c>
      <c r="E128">
        <v>6813</v>
      </c>
      <c r="F128">
        <v>16187</v>
      </c>
      <c r="G128">
        <v>1490</v>
      </c>
      <c r="H128">
        <v>1756</v>
      </c>
      <c r="I128">
        <v>0</v>
      </c>
      <c r="J128">
        <v>-8852</v>
      </c>
      <c r="K128">
        <v>-8</v>
      </c>
    </row>
    <row r="129" spans="2:11" x14ac:dyDescent="0.45">
      <c r="B129">
        <v>-7741</v>
      </c>
      <c r="C129">
        <v>-582</v>
      </c>
      <c r="D129">
        <v>1171</v>
      </c>
      <c r="E129">
        <v>4065</v>
      </c>
      <c r="F129">
        <v>204</v>
      </c>
      <c r="G129">
        <v>1714</v>
      </c>
      <c r="H129">
        <v>-7680</v>
      </c>
      <c r="I129">
        <v>1774</v>
      </c>
      <c r="J129">
        <v>-8519</v>
      </c>
      <c r="K129">
        <v>356</v>
      </c>
    </row>
    <row r="130" spans="2:11" x14ac:dyDescent="0.45">
      <c r="B130">
        <v>312</v>
      </c>
      <c r="C130">
        <v>370</v>
      </c>
      <c r="D130">
        <v>-2331</v>
      </c>
      <c r="E130">
        <v>-4841</v>
      </c>
      <c r="F130">
        <v>-436</v>
      </c>
      <c r="G130">
        <v>-2264</v>
      </c>
      <c r="H130">
        <v>-304</v>
      </c>
      <c r="I130">
        <v>-6107</v>
      </c>
      <c r="J130">
        <v>1512</v>
      </c>
      <c r="K130">
        <v>-1631</v>
      </c>
    </row>
    <row r="131" spans="2:11" x14ac:dyDescent="0.45">
      <c r="B131">
        <v>-15690</v>
      </c>
      <c r="C131">
        <v>2011</v>
      </c>
      <c r="D131">
        <v>599</v>
      </c>
      <c r="E131">
        <v>0</v>
      </c>
      <c r="F131">
        <v>2381</v>
      </c>
      <c r="G131">
        <v>3090</v>
      </c>
      <c r="H131">
        <v>1679</v>
      </c>
      <c r="I131">
        <v>-1341</v>
      </c>
      <c r="J131">
        <v>2922</v>
      </c>
      <c r="K131">
        <v>-1899</v>
      </c>
    </row>
    <row r="132" spans="2:11" x14ac:dyDescent="0.45">
      <c r="B132">
        <v>-1748</v>
      </c>
      <c r="C132">
        <v>-83</v>
      </c>
      <c r="D132">
        <v>1942</v>
      </c>
      <c r="E132">
        <v>-3618</v>
      </c>
      <c r="F132">
        <v>2481</v>
      </c>
      <c r="G132">
        <v>2476</v>
      </c>
      <c r="H132">
        <v>-544</v>
      </c>
      <c r="I132">
        <v>1536</v>
      </c>
      <c r="J132">
        <v>-1879</v>
      </c>
      <c r="K132">
        <v>1649</v>
      </c>
    </row>
    <row r="133" spans="2:11" x14ac:dyDescent="0.45">
      <c r="B133">
        <v>-100</v>
      </c>
      <c r="C133">
        <v>-311</v>
      </c>
      <c r="D133">
        <v>93</v>
      </c>
      <c r="E133">
        <v>-1435</v>
      </c>
      <c r="F133">
        <v>200</v>
      </c>
      <c r="G133">
        <v>518</v>
      </c>
      <c r="H133">
        <v>-15032</v>
      </c>
      <c r="I133">
        <v>19178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-4696</v>
      </c>
      <c r="H139">
        <v>-1047</v>
      </c>
      <c r="I139">
        <v>0</v>
      </c>
      <c r="J139">
        <v>4573</v>
      </c>
      <c r="K139">
        <v>-106</v>
      </c>
    </row>
    <row r="140" spans="2:11" x14ac:dyDescent="0.45">
      <c r="B140">
        <v>3858</v>
      </c>
      <c r="C140">
        <v>-385</v>
      </c>
      <c r="D140">
        <v>477</v>
      </c>
      <c r="E140">
        <v>-98</v>
      </c>
      <c r="F140">
        <v>434</v>
      </c>
      <c r="G140">
        <v>-536</v>
      </c>
      <c r="H140">
        <v>4008</v>
      </c>
      <c r="I140">
        <v>-3142</v>
      </c>
      <c r="J140">
        <v>4170</v>
      </c>
      <c r="K140">
        <v>-249</v>
      </c>
    </row>
    <row r="141" spans="2:11" x14ac:dyDescent="0.45">
      <c r="B141">
        <v>-1049</v>
      </c>
      <c r="C141">
        <v>-312</v>
      </c>
      <c r="D141">
        <v>-220</v>
      </c>
      <c r="E141">
        <v>1179</v>
      </c>
      <c r="F141">
        <v>896</v>
      </c>
      <c r="G141">
        <v>528</v>
      </c>
      <c r="H141">
        <v>4018</v>
      </c>
      <c r="I141">
        <v>1430</v>
      </c>
      <c r="J141">
        <v>7535</v>
      </c>
      <c r="K141">
        <v>-1137</v>
      </c>
    </row>
    <row r="142" spans="2:11" x14ac:dyDescent="0.45">
      <c r="B142">
        <v>-58103</v>
      </c>
      <c r="C142">
        <v>-8578</v>
      </c>
      <c r="D142">
        <v>11548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-637</v>
      </c>
      <c r="I145">
        <v>221</v>
      </c>
      <c r="J145">
        <v>0</v>
      </c>
      <c r="K145">
        <v>-4230</v>
      </c>
    </row>
    <row r="146" spans="2:11" x14ac:dyDescent="0.45">
      <c r="B146">
        <v>-640</v>
      </c>
      <c r="C146">
        <v>-2421</v>
      </c>
      <c r="D146">
        <v>-492</v>
      </c>
      <c r="E146">
        <v>-264</v>
      </c>
      <c r="F146">
        <v>-543</v>
      </c>
      <c r="G146">
        <v>-505</v>
      </c>
      <c r="H146">
        <v>-631</v>
      </c>
      <c r="I146">
        <v>-3741</v>
      </c>
      <c r="J146">
        <v>8205</v>
      </c>
      <c r="K146">
        <v>-3912</v>
      </c>
    </row>
    <row r="147" spans="2:11" x14ac:dyDescent="0.45">
      <c r="B147">
        <v>-1806</v>
      </c>
      <c r="C147">
        <v>1135</v>
      </c>
      <c r="D147">
        <v>-251</v>
      </c>
      <c r="E147">
        <v>3531</v>
      </c>
      <c r="F147">
        <v>-2431</v>
      </c>
      <c r="G147">
        <v>172</v>
      </c>
      <c r="H147">
        <v>299</v>
      </c>
      <c r="I147">
        <v>-220</v>
      </c>
      <c r="J147">
        <v>2386</v>
      </c>
      <c r="K147">
        <v>-1902</v>
      </c>
    </row>
    <row r="148" spans="2:11" x14ac:dyDescent="0.45">
      <c r="B148">
        <v>-198</v>
      </c>
      <c r="C148">
        <v>-32117</v>
      </c>
      <c r="D148">
        <v>-33613</v>
      </c>
      <c r="E148">
        <v>-27039</v>
      </c>
      <c r="F148">
        <v>0</v>
      </c>
      <c r="G148">
        <v>0</v>
      </c>
      <c r="H148">
        <v>17589</v>
      </c>
      <c r="I148">
        <v>0</v>
      </c>
      <c r="J148">
        <v>2305</v>
      </c>
      <c r="K148">
        <v>590</v>
      </c>
    </row>
    <row r="149" spans="2:11" x14ac:dyDescent="0.45">
      <c r="B149">
        <v>0</v>
      </c>
      <c r="C149">
        <v>-4603</v>
      </c>
      <c r="D149">
        <v>602</v>
      </c>
      <c r="E149">
        <v>-2557</v>
      </c>
      <c r="F149">
        <v>255</v>
      </c>
      <c r="G149">
        <v>109</v>
      </c>
      <c r="H149">
        <v>-903</v>
      </c>
      <c r="I149">
        <v>864</v>
      </c>
      <c r="J149">
        <v>-91</v>
      </c>
      <c r="K149">
        <v>-3529</v>
      </c>
    </row>
    <row r="150" spans="2:11" x14ac:dyDescent="0.45">
      <c r="B150">
        <v>1243</v>
      </c>
      <c r="C150">
        <v>-3796</v>
      </c>
      <c r="D150">
        <v>-245</v>
      </c>
      <c r="E150">
        <v>-189</v>
      </c>
      <c r="F150">
        <v>-965</v>
      </c>
      <c r="G150">
        <v>129</v>
      </c>
      <c r="H150">
        <v>-2288</v>
      </c>
      <c r="I150">
        <v>-569</v>
      </c>
      <c r="J150">
        <v>991</v>
      </c>
      <c r="K150">
        <v>-1277</v>
      </c>
    </row>
    <row r="151" spans="2:11" x14ac:dyDescent="0.45">
      <c r="B151">
        <v>1168</v>
      </c>
      <c r="C151">
        <v>-2285</v>
      </c>
      <c r="D151">
        <v>-621</v>
      </c>
      <c r="E151">
        <v>-41539</v>
      </c>
      <c r="F151">
        <v>13230</v>
      </c>
      <c r="G151">
        <v>11051</v>
      </c>
      <c r="H151">
        <v>0</v>
      </c>
      <c r="I151">
        <v>0</v>
      </c>
      <c r="J151">
        <v>13182</v>
      </c>
      <c r="K151">
        <v>0</v>
      </c>
    </row>
    <row r="152" spans="2:11" x14ac:dyDescent="0.45">
      <c r="B152">
        <v>16418</v>
      </c>
      <c r="C152">
        <v>731</v>
      </c>
      <c r="D152">
        <v>-6279</v>
      </c>
      <c r="E152">
        <v>0</v>
      </c>
      <c r="F152">
        <v>1995</v>
      </c>
      <c r="G152">
        <v>466</v>
      </c>
      <c r="H152">
        <v>2919</v>
      </c>
      <c r="I152">
        <v>119</v>
      </c>
      <c r="J152">
        <v>1324</v>
      </c>
      <c r="K152">
        <v>-222</v>
      </c>
    </row>
    <row r="153" spans="2:11" x14ac:dyDescent="0.45">
      <c r="B153">
        <v>1807</v>
      </c>
      <c r="C153">
        <v>-355</v>
      </c>
      <c r="D153">
        <v>2353</v>
      </c>
      <c r="E153">
        <v>-3217</v>
      </c>
      <c r="F153">
        <v>3724</v>
      </c>
      <c r="G153">
        <v>1106</v>
      </c>
      <c r="H153">
        <v>-802</v>
      </c>
      <c r="I153">
        <v>-462</v>
      </c>
      <c r="J153">
        <v>2026</v>
      </c>
      <c r="K153">
        <v>2320</v>
      </c>
    </row>
    <row r="154" spans="2:11" x14ac:dyDescent="0.45">
      <c r="B154">
        <v>1814</v>
      </c>
      <c r="C154">
        <v>1139</v>
      </c>
      <c r="D154">
        <v>-988</v>
      </c>
      <c r="E154">
        <v>2118</v>
      </c>
      <c r="F154">
        <v>-2819</v>
      </c>
      <c r="G154">
        <v>1402</v>
      </c>
      <c r="H154">
        <v>-40992</v>
      </c>
      <c r="I154">
        <v>-7884</v>
      </c>
      <c r="J154">
        <v>-15519</v>
      </c>
      <c r="K154">
        <v>0</v>
      </c>
    </row>
    <row r="155" spans="2:11" x14ac:dyDescent="0.45">
      <c r="B155">
        <v>0</v>
      </c>
      <c r="C155">
        <v>10034</v>
      </c>
      <c r="D155">
        <v>0</v>
      </c>
      <c r="E155">
        <v>13542</v>
      </c>
      <c r="F155">
        <v>13556</v>
      </c>
      <c r="G155">
        <v>146</v>
      </c>
      <c r="H155">
        <v>-378</v>
      </c>
      <c r="I155">
        <v>0</v>
      </c>
      <c r="J155">
        <v>985</v>
      </c>
      <c r="K155">
        <v>1125</v>
      </c>
    </row>
    <row r="156" spans="2:11" x14ac:dyDescent="0.45">
      <c r="B156">
        <v>1030</v>
      </c>
      <c r="C156">
        <v>182</v>
      </c>
      <c r="D156">
        <v>457</v>
      </c>
      <c r="E156">
        <v>343</v>
      </c>
      <c r="F156">
        <v>-86</v>
      </c>
      <c r="G156">
        <v>372</v>
      </c>
      <c r="H156">
        <v>527</v>
      </c>
      <c r="I156">
        <v>-1109</v>
      </c>
      <c r="J156">
        <v>773</v>
      </c>
      <c r="K156">
        <v>1120</v>
      </c>
    </row>
    <row r="157" spans="2:11" x14ac:dyDescent="0.45">
      <c r="B157">
        <v>724</v>
      </c>
      <c r="C157">
        <v>49</v>
      </c>
      <c r="D157">
        <v>454</v>
      </c>
      <c r="E157">
        <v>1009</v>
      </c>
      <c r="F157">
        <v>147</v>
      </c>
      <c r="G157">
        <v>1330</v>
      </c>
      <c r="H157">
        <v>-875</v>
      </c>
      <c r="I157">
        <v>409</v>
      </c>
      <c r="J157">
        <v>-1640</v>
      </c>
      <c r="K157">
        <v>524</v>
      </c>
    </row>
    <row r="158" spans="2:11" x14ac:dyDescent="0.45">
      <c r="B158">
        <v>-15612</v>
      </c>
      <c r="C158">
        <v>8755</v>
      </c>
      <c r="D158">
        <v>-14433</v>
      </c>
      <c r="E158">
        <v>0</v>
      </c>
      <c r="F158">
        <v>0</v>
      </c>
      <c r="G158">
        <v>7510</v>
      </c>
      <c r="H158">
        <v>0</v>
      </c>
      <c r="I158">
        <v>-13285</v>
      </c>
      <c r="J158">
        <v>3723</v>
      </c>
      <c r="K158">
        <v>18275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-572</v>
      </c>
      <c r="F166">
        <v>1544</v>
      </c>
      <c r="G166">
        <v>0</v>
      </c>
      <c r="H166">
        <v>-57868</v>
      </c>
      <c r="I166">
        <v>-3649</v>
      </c>
      <c r="J166">
        <v>-65209</v>
      </c>
      <c r="K166">
        <v>-1840</v>
      </c>
    </row>
    <row r="167" spans="2:11" x14ac:dyDescent="0.45">
      <c r="B167">
        <v>-2051</v>
      </c>
      <c r="C167">
        <v>3315</v>
      </c>
      <c r="D167">
        <v>3614</v>
      </c>
      <c r="E167">
        <v>634</v>
      </c>
      <c r="F167">
        <v>-63097</v>
      </c>
      <c r="G167">
        <v>-1611</v>
      </c>
      <c r="H167">
        <v>-73063</v>
      </c>
      <c r="I167">
        <v>268</v>
      </c>
      <c r="J167">
        <v>1061</v>
      </c>
      <c r="K167">
        <v>549</v>
      </c>
    </row>
    <row r="168" spans="2:11" x14ac:dyDescent="0.45">
      <c r="B168">
        <v>-7532</v>
      </c>
      <c r="C168">
        <v>-39945</v>
      </c>
      <c r="D168">
        <v>-7149</v>
      </c>
      <c r="E168">
        <v>5847</v>
      </c>
      <c r="F168">
        <v>-11089</v>
      </c>
      <c r="G168">
        <v>-604</v>
      </c>
      <c r="H168">
        <v>1995</v>
      </c>
      <c r="I168">
        <v>-4700</v>
      </c>
      <c r="J168">
        <v>-29524</v>
      </c>
      <c r="K168">
        <v>9435</v>
      </c>
    </row>
    <row r="169" spans="2:11" x14ac:dyDescent="0.45">
      <c r="B169">
        <v>-2703</v>
      </c>
      <c r="C169">
        <v>0</v>
      </c>
      <c r="D169">
        <v>0</v>
      </c>
      <c r="E169">
        <v>-3237</v>
      </c>
      <c r="F169">
        <v>0</v>
      </c>
      <c r="G169">
        <v>5013</v>
      </c>
      <c r="H169">
        <v>4372</v>
      </c>
      <c r="I169">
        <v>-1042</v>
      </c>
      <c r="J169">
        <v>-1028</v>
      </c>
      <c r="K169">
        <v>0</v>
      </c>
    </row>
    <row r="170" spans="2:11" x14ac:dyDescent="0.45">
      <c r="B170">
        <v>0</v>
      </c>
      <c r="C170">
        <v>-2805</v>
      </c>
      <c r="D170">
        <v>-7994</v>
      </c>
      <c r="E170">
        <v>0</v>
      </c>
      <c r="F170">
        <v>3087</v>
      </c>
      <c r="G170">
        <v>-1491</v>
      </c>
      <c r="H170">
        <v>-978</v>
      </c>
      <c r="I170">
        <v>-1398</v>
      </c>
      <c r="J170">
        <v>4224</v>
      </c>
      <c r="K170">
        <v>2592</v>
      </c>
    </row>
    <row r="171" spans="2:11" x14ac:dyDescent="0.45">
      <c r="B171">
        <v>1525</v>
      </c>
      <c r="C171">
        <v>1796</v>
      </c>
      <c r="D171">
        <v>-739</v>
      </c>
      <c r="E171">
        <v>1435</v>
      </c>
      <c r="F171">
        <v>2453</v>
      </c>
      <c r="G171">
        <v>431</v>
      </c>
      <c r="H171">
        <v>-1980</v>
      </c>
      <c r="I171">
        <v>-657</v>
      </c>
      <c r="J171">
        <v>1433</v>
      </c>
      <c r="K171">
        <v>-3362</v>
      </c>
    </row>
    <row r="172" spans="2:11" x14ac:dyDescent="0.45">
      <c r="B172">
        <v>2303</v>
      </c>
      <c r="C172">
        <v>1307</v>
      </c>
      <c r="D172">
        <v>-1121</v>
      </c>
      <c r="E172">
        <v>2095</v>
      </c>
      <c r="F172">
        <v>5016</v>
      </c>
      <c r="G172">
        <v>-6199</v>
      </c>
      <c r="H172">
        <v>-663</v>
      </c>
      <c r="I172">
        <v>-1044</v>
      </c>
      <c r="J172">
        <v>-3089</v>
      </c>
      <c r="K172">
        <v>0</v>
      </c>
    </row>
    <row r="173" spans="2:11" x14ac:dyDescent="0.45">
      <c r="B173">
        <v>0</v>
      </c>
      <c r="C173">
        <v>286</v>
      </c>
      <c r="D173">
        <v>0</v>
      </c>
      <c r="E173">
        <v>-452</v>
      </c>
      <c r="F173">
        <v>493</v>
      </c>
      <c r="G173">
        <v>3172</v>
      </c>
      <c r="H173">
        <v>2790</v>
      </c>
      <c r="I173">
        <v>0</v>
      </c>
      <c r="J173">
        <v>0</v>
      </c>
      <c r="K173">
        <v>-27767</v>
      </c>
    </row>
    <row r="174" spans="2:11" x14ac:dyDescent="0.45">
      <c r="B174">
        <v>597</v>
      </c>
      <c r="C174">
        <v>-5946</v>
      </c>
      <c r="D174">
        <v>0</v>
      </c>
      <c r="E174">
        <v>4963</v>
      </c>
      <c r="F174">
        <v>-2079</v>
      </c>
      <c r="G174">
        <v>1279</v>
      </c>
      <c r="H174">
        <v>-1429</v>
      </c>
      <c r="I174">
        <v>4828</v>
      </c>
      <c r="J174">
        <v>1291</v>
      </c>
      <c r="K174">
        <v>1513</v>
      </c>
    </row>
    <row r="175" spans="2:11" x14ac:dyDescent="0.45">
      <c r="B175">
        <v>1471</v>
      </c>
      <c r="C175">
        <v>1730</v>
      </c>
      <c r="D175">
        <v>2041</v>
      </c>
      <c r="E175">
        <v>5201</v>
      </c>
      <c r="F175">
        <v>361</v>
      </c>
      <c r="G175">
        <v>-240</v>
      </c>
      <c r="H175">
        <v>-1219</v>
      </c>
      <c r="I175">
        <v>2950</v>
      </c>
      <c r="J175">
        <v>63</v>
      </c>
      <c r="K175">
        <v>2612</v>
      </c>
    </row>
    <row r="176" spans="2:11" x14ac:dyDescent="0.45">
      <c r="B176">
        <v>1700</v>
      </c>
      <c r="C176">
        <v>-2603</v>
      </c>
      <c r="D176">
        <v>1622</v>
      </c>
      <c r="E176">
        <v>893</v>
      </c>
      <c r="F176">
        <v>2557</v>
      </c>
      <c r="G176">
        <v>1223</v>
      </c>
      <c r="H176">
        <v>-1279</v>
      </c>
      <c r="I176">
        <v>-1049</v>
      </c>
      <c r="J176">
        <v>0</v>
      </c>
      <c r="K176">
        <v>0</v>
      </c>
    </row>
    <row r="177" spans="2:11" x14ac:dyDescent="0.45">
      <c r="B177">
        <v>-1269</v>
      </c>
      <c r="C177">
        <v>0</v>
      </c>
      <c r="D177">
        <v>-558</v>
      </c>
      <c r="E177">
        <v>889</v>
      </c>
      <c r="F177">
        <v>1292</v>
      </c>
      <c r="G177">
        <v>388</v>
      </c>
      <c r="H177">
        <v>0</v>
      </c>
      <c r="I177">
        <v>0</v>
      </c>
      <c r="J177">
        <v>-26398</v>
      </c>
      <c r="K177">
        <v>50690</v>
      </c>
    </row>
    <row r="178" spans="2:11" x14ac:dyDescent="0.45">
      <c r="B178">
        <v>-3272</v>
      </c>
      <c r="C178">
        <v>-239</v>
      </c>
      <c r="D178">
        <v>0</v>
      </c>
      <c r="E178">
        <v>1058</v>
      </c>
      <c r="F178">
        <v>397</v>
      </c>
      <c r="G178">
        <v>239</v>
      </c>
      <c r="H178">
        <v>-1549</v>
      </c>
      <c r="I178">
        <v>844</v>
      </c>
      <c r="J178">
        <v>922</v>
      </c>
      <c r="K178">
        <v>720</v>
      </c>
    </row>
    <row r="179" spans="2:11" x14ac:dyDescent="0.45">
      <c r="B179">
        <v>285</v>
      </c>
      <c r="C179">
        <v>746</v>
      </c>
      <c r="D179">
        <v>1529</v>
      </c>
      <c r="E179">
        <v>1243</v>
      </c>
      <c r="F179">
        <v>-524</v>
      </c>
      <c r="G179">
        <v>-993</v>
      </c>
      <c r="H179">
        <v>-1578</v>
      </c>
      <c r="I179">
        <v>1524</v>
      </c>
      <c r="J179">
        <v>173</v>
      </c>
      <c r="K179">
        <v>1393</v>
      </c>
    </row>
    <row r="180" spans="2:11" x14ac:dyDescent="0.45">
      <c r="B180">
        <v>1318</v>
      </c>
      <c r="C180">
        <v>-975</v>
      </c>
      <c r="D180">
        <v>891</v>
      </c>
      <c r="E180">
        <v>101</v>
      </c>
      <c r="F180">
        <v>2214</v>
      </c>
      <c r="G180">
        <v>448</v>
      </c>
      <c r="H180">
        <v>56</v>
      </c>
      <c r="I180">
        <v>-608</v>
      </c>
      <c r="J180">
        <v>0</v>
      </c>
      <c r="K180">
        <v>0</v>
      </c>
    </row>
    <row r="181" spans="2:11" x14ac:dyDescent="0.45">
      <c r="B181">
        <v>-1180</v>
      </c>
      <c r="C181">
        <v>0</v>
      </c>
      <c r="D181">
        <v>-654</v>
      </c>
      <c r="E181">
        <v>-155</v>
      </c>
      <c r="F181">
        <v>1077</v>
      </c>
      <c r="G181">
        <v>1074</v>
      </c>
      <c r="H181">
        <v>0</v>
      </c>
      <c r="I181">
        <v>0</v>
      </c>
      <c r="J181">
        <v>-19397</v>
      </c>
      <c r="K181">
        <v>40988</v>
      </c>
    </row>
    <row r="182" spans="2:11" x14ac:dyDescent="0.45">
      <c r="B182">
        <v>38692</v>
      </c>
      <c r="C182">
        <v>-1878</v>
      </c>
      <c r="D182">
        <v>4901</v>
      </c>
      <c r="E182">
        <v>0</v>
      </c>
      <c r="F182">
        <v>1047</v>
      </c>
      <c r="G182">
        <v>-882</v>
      </c>
      <c r="H182">
        <v>-2186</v>
      </c>
      <c r="I182">
        <v>-916</v>
      </c>
      <c r="J182">
        <v>-484</v>
      </c>
      <c r="K182">
        <v>3265</v>
      </c>
    </row>
    <row r="183" spans="2:11" x14ac:dyDescent="0.45">
      <c r="B183">
        <v>3802</v>
      </c>
      <c r="C183">
        <v>1565</v>
      </c>
      <c r="D183">
        <v>-2108</v>
      </c>
      <c r="E183">
        <v>1670</v>
      </c>
      <c r="F183">
        <v>-1101</v>
      </c>
      <c r="G183">
        <v>1100</v>
      </c>
      <c r="H183">
        <v>87</v>
      </c>
      <c r="I183">
        <v>-438</v>
      </c>
      <c r="J183">
        <v>573</v>
      </c>
      <c r="K183">
        <v>-1794</v>
      </c>
    </row>
    <row r="184" spans="2:11" x14ac:dyDescent="0.45">
      <c r="B184">
        <v>178</v>
      </c>
      <c r="C184">
        <v>981</v>
      </c>
      <c r="D184">
        <v>-446</v>
      </c>
      <c r="E184">
        <v>375</v>
      </c>
      <c r="F184">
        <v>3464</v>
      </c>
      <c r="G184">
        <v>-1179</v>
      </c>
      <c r="H184">
        <v>309</v>
      </c>
      <c r="I184">
        <v>723</v>
      </c>
      <c r="J184">
        <v>-609</v>
      </c>
      <c r="K184">
        <v>0</v>
      </c>
    </row>
    <row r="185" spans="2:11" x14ac:dyDescent="0.45">
      <c r="B185">
        <v>0</v>
      </c>
      <c r="C185">
        <v>-880</v>
      </c>
      <c r="D185">
        <v>0</v>
      </c>
      <c r="E185">
        <v>-435</v>
      </c>
      <c r="F185">
        <v>-92</v>
      </c>
      <c r="G185">
        <v>680</v>
      </c>
      <c r="H185">
        <v>1379</v>
      </c>
      <c r="I185">
        <v>0</v>
      </c>
      <c r="J185">
        <v>0</v>
      </c>
      <c r="K185">
        <v>-23298</v>
      </c>
    </row>
    <row r="186" spans="2:11" x14ac:dyDescent="0.45">
      <c r="B186">
        <v>48616</v>
      </c>
      <c r="C186">
        <v>45465</v>
      </c>
      <c r="D186">
        <v>40892</v>
      </c>
      <c r="E186">
        <v>-1510</v>
      </c>
      <c r="F186">
        <v>-6049</v>
      </c>
      <c r="G186">
        <v>0</v>
      </c>
      <c r="H186">
        <v>-1970</v>
      </c>
      <c r="I186">
        <v>-926</v>
      </c>
      <c r="J186">
        <v>-648</v>
      </c>
      <c r="K186">
        <v>192</v>
      </c>
    </row>
    <row r="187" spans="2:11" x14ac:dyDescent="0.45">
      <c r="B187">
        <v>1210</v>
      </c>
      <c r="C187">
        <v>1378</v>
      </c>
      <c r="D187">
        <v>2260</v>
      </c>
      <c r="E187">
        <v>1141</v>
      </c>
      <c r="F187">
        <v>-911</v>
      </c>
      <c r="G187">
        <v>1087</v>
      </c>
      <c r="H187">
        <v>-878</v>
      </c>
      <c r="I187">
        <v>1350</v>
      </c>
      <c r="J187">
        <v>-1678</v>
      </c>
      <c r="K187">
        <v>-1548</v>
      </c>
    </row>
    <row r="188" spans="2:11" x14ac:dyDescent="0.45">
      <c r="B188">
        <v>1365</v>
      </c>
      <c r="C188">
        <v>-3803</v>
      </c>
      <c r="D188">
        <v>3116</v>
      </c>
      <c r="E188">
        <v>1918</v>
      </c>
      <c r="F188">
        <v>-1116</v>
      </c>
      <c r="G188">
        <v>812</v>
      </c>
      <c r="H188">
        <v>1487</v>
      </c>
      <c r="I188">
        <v>-6368</v>
      </c>
      <c r="J188">
        <v>-1326</v>
      </c>
      <c r="K188">
        <v>403</v>
      </c>
    </row>
    <row r="189" spans="2:11" x14ac:dyDescent="0.45">
      <c r="B189">
        <v>-539</v>
      </c>
      <c r="C189">
        <v>0</v>
      </c>
      <c r="D189">
        <v>0</v>
      </c>
      <c r="E189">
        <v>1243</v>
      </c>
      <c r="F189">
        <v>0</v>
      </c>
      <c r="G189">
        <v>-1480</v>
      </c>
      <c r="H189">
        <v>-309</v>
      </c>
      <c r="I189">
        <v>1686</v>
      </c>
      <c r="J189">
        <v>2526</v>
      </c>
      <c r="K189">
        <v>0</v>
      </c>
    </row>
    <row r="190" spans="2:11" x14ac:dyDescent="0.45">
      <c r="B190">
        <v>0</v>
      </c>
      <c r="C190">
        <v>-23067</v>
      </c>
      <c r="D190">
        <v>49810</v>
      </c>
      <c r="E190">
        <v>43959</v>
      </c>
      <c r="F190">
        <v>37238</v>
      </c>
      <c r="G190">
        <v>44101</v>
      </c>
      <c r="H190">
        <v>549</v>
      </c>
      <c r="I190">
        <v>-7082</v>
      </c>
      <c r="J190">
        <v>0</v>
      </c>
      <c r="K190">
        <v>3905</v>
      </c>
    </row>
    <row r="191" spans="2:11" x14ac:dyDescent="0.45">
      <c r="B191">
        <v>-644</v>
      </c>
      <c r="C191">
        <v>3163</v>
      </c>
      <c r="D191">
        <v>-628</v>
      </c>
      <c r="E191">
        <v>244</v>
      </c>
      <c r="F191">
        <v>2181</v>
      </c>
      <c r="G191">
        <v>3205</v>
      </c>
      <c r="H191">
        <v>1011</v>
      </c>
      <c r="I191">
        <v>3987</v>
      </c>
      <c r="J191">
        <v>-308</v>
      </c>
      <c r="K191">
        <v>4833</v>
      </c>
    </row>
    <row r="192" spans="2:11" x14ac:dyDescent="0.45">
      <c r="B192">
        <v>1940</v>
      </c>
      <c r="C192">
        <v>-1360</v>
      </c>
      <c r="D192">
        <v>-847</v>
      </c>
      <c r="E192">
        <v>1109</v>
      </c>
      <c r="F192">
        <v>1944</v>
      </c>
      <c r="G192">
        <v>1227</v>
      </c>
      <c r="H192">
        <v>2456</v>
      </c>
      <c r="I192">
        <v>-2802</v>
      </c>
      <c r="J192">
        <v>1325</v>
      </c>
      <c r="K192">
        <v>-137</v>
      </c>
    </row>
    <row r="193" spans="2:11" x14ac:dyDescent="0.45">
      <c r="B193">
        <v>3782</v>
      </c>
      <c r="C193">
        <v>1608</v>
      </c>
      <c r="D193">
        <v>423</v>
      </c>
      <c r="E193">
        <v>-580</v>
      </c>
      <c r="F193">
        <v>0</v>
      </c>
      <c r="G193">
        <v>0</v>
      </c>
      <c r="H193">
        <v>-578</v>
      </c>
      <c r="I193">
        <v>0</v>
      </c>
      <c r="J193">
        <v>-757</v>
      </c>
      <c r="K193">
        <v>-217</v>
      </c>
    </row>
    <row r="194" spans="2:11" x14ac:dyDescent="0.45">
      <c r="B194">
        <v>448</v>
      </c>
      <c r="C194">
        <v>925</v>
      </c>
      <c r="D194">
        <v>0</v>
      </c>
      <c r="E194">
        <v>0</v>
      </c>
      <c r="F194">
        <v>-24793</v>
      </c>
      <c r="G194">
        <v>48456</v>
      </c>
      <c r="H194">
        <v>47845</v>
      </c>
      <c r="I194">
        <v>38920</v>
      </c>
      <c r="J194">
        <v>45997</v>
      </c>
      <c r="K194">
        <v>43248</v>
      </c>
    </row>
    <row r="195" spans="2:11" x14ac:dyDescent="0.45">
      <c r="B195">
        <v>170</v>
      </c>
      <c r="C195">
        <v>-16422</v>
      </c>
      <c r="D195">
        <v>0</v>
      </c>
      <c r="E195">
        <v>-7956</v>
      </c>
      <c r="F195">
        <v>10729</v>
      </c>
      <c r="G195">
        <v>-38984</v>
      </c>
      <c r="H195">
        <v>6925</v>
      </c>
      <c r="I195">
        <v>-711</v>
      </c>
      <c r="J195">
        <v>-3497</v>
      </c>
      <c r="K195">
        <v>-4307</v>
      </c>
    </row>
    <row r="196" spans="2:11" x14ac:dyDescent="0.45">
      <c r="B196">
        <v>-668</v>
      </c>
      <c r="C196">
        <v>-29825</v>
      </c>
      <c r="D196">
        <v>-10532</v>
      </c>
      <c r="E196">
        <v>-32300</v>
      </c>
      <c r="F196">
        <v>582</v>
      </c>
      <c r="G196">
        <v>-1067</v>
      </c>
      <c r="H196">
        <v>-561</v>
      </c>
      <c r="I196">
        <v>-3025</v>
      </c>
      <c r="J196">
        <v>-19683</v>
      </c>
      <c r="K196">
        <v>-2517</v>
      </c>
    </row>
    <row r="197" spans="2:11" x14ac:dyDescent="0.45">
      <c r="B197">
        <v>5955</v>
      </c>
      <c r="C197">
        <v>-5394</v>
      </c>
      <c r="D197">
        <v>-322</v>
      </c>
      <c r="E197">
        <v>4756</v>
      </c>
      <c r="F197">
        <v>1999</v>
      </c>
      <c r="G197">
        <v>-12875</v>
      </c>
      <c r="H197">
        <v>3410</v>
      </c>
      <c r="I197">
        <v>-101</v>
      </c>
      <c r="J197">
        <v>0</v>
      </c>
      <c r="K197">
        <v>0</v>
      </c>
    </row>
    <row r="198" spans="2:11" x14ac:dyDescent="0.45">
      <c r="B198">
        <v>-570</v>
      </c>
      <c r="C198">
        <v>0</v>
      </c>
      <c r="D198">
        <v>172</v>
      </c>
      <c r="E198">
        <v>807</v>
      </c>
      <c r="F198">
        <v>1079</v>
      </c>
      <c r="G198">
        <v>59</v>
      </c>
      <c r="H198">
        <v>0</v>
      </c>
      <c r="I198">
        <v>0</v>
      </c>
      <c r="J198">
        <v>48572</v>
      </c>
      <c r="K198">
        <v>917</v>
      </c>
    </row>
    <row r="199" spans="2:11" x14ac:dyDescent="0.45">
      <c r="B199">
        <v>-193</v>
      </c>
      <c r="C199">
        <v>2182</v>
      </c>
      <c r="D199">
        <v>-1938</v>
      </c>
      <c r="E199">
        <v>39</v>
      </c>
      <c r="F199">
        <v>874</v>
      </c>
      <c r="G199">
        <v>2036</v>
      </c>
      <c r="H199">
        <v>8106</v>
      </c>
      <c r="I199">
        <v>0</v>
      </c>
      <c r="J199">
        <v>-42445</v>
      </c>
      <c r="K199">
        <v>-4361</v>
      </c>
    </row>
    <row r="200" spans="2:11" x14ac:dyDescent="0.45">
      <c r="B200">
        <v>-49813</v>
      </c>
      <c r="C200">
        <v>-203</v>
      </c>
      <c r="D200">
        <v>-3762</v>
      </c>
      <c r="E200">
        <v>4210</v>
      </c>
      <c r="F200">
        <v>4279</v>
      </c>
      <c r="G200">
        <v>1465</v>
      </c>
      <c r="H200">
        <v>-45758</v>
      </c>
      <c r="I200">
        <v>-533</v>
      </c>
      <c r="J200">
        <v>-51683</v>
      </c>
      <c r="K200">
        <v>-993</v>
      </c>
    </row>
    <row r="201" spans="2:11" x14ac:dyDescent="0.45">
      <c r="B201">
        <v>430</v>
      </c>
      <c r="C201">
        <v>-97</v>
      </c>
      <c r="D201">
        <v>-9801</v>
      </c>
      <c r="E201">
        <v>-34900</v>
      </c>
      <c r="F201">
        <v>-3695</v>
      </c>
      <c r="G201">
        <v>-2066</v>
      </c>
      <c r="H201">
        <v>-7608</v>
      </c>
      <c r="I201">
        <v>-6489</v>
      </c>
      <c r="J201">
        <v>-1548</v>
      </c>
      <c r="K201">
        <v>-14857</v>
      </c>
    </row>
    <row r="202" spans="2:11" x14ac:dyDescent="0.45">
      <c r="B202">
        <v>-20374</v>
      </c>
      <c r="C202">
        <v>5498</v>
      </c>
      <c r="D202">
        <v>-1537</v>
      </c>
      <c r="E202">
        <v>0</v>
      </c>
      <c r="F202">
        <v>0</v>
      </c>
      <c r="G202">
        <v>-2236</v>
      </c>
      <c r="H202">
        <v>0</v>
      </c>
      <c r="I202">
        <v>2049</v>
      </c>
      <c r="J202">
        <v>2238</v>
      </c>
      <c r="K202">
        <v>-1677</v>
      </c>
    </row>
    <row r="203" spans="2:11" x14ac:dyDescent="0.45">
      <c r="B203">
        <v>-1402</v>
      </c>
      <c r="C203">
        <v>0</v>
      </c>
      <c r="D203">
        <v>0</v>
      </c>
      <c r="E203">
        <v>51123</v>
      </c>
      <c r="F203">
        <v>1464</v>
      </c>
      <c r="G203">
        <v>287</v>
      </c>
      <c r="H203">
        <v>1370</v>
      </c>
      <c r="I203">
        <v>1220</v>
      </c>
      <c r="J203">
        <v>992</v>
      </c>
      <c r="K203">
        <v>-1761</v>
      </c>
    </row>
    <row r="204" spans="2:11" x14ac:dyDescent="0.45">
      <c r="B204">
        <v>28005</v>
      </c>
      <c r="C204">
        <v>-123</v>
      </c>
      <c r="D204">
        <v>-19447</v>
      </c>
      <c r="E204">
        <v>0</v>
      </c>
      <c r="F204">
        <v>-6373</v>
      </c>
      <c r="G204">
        <v>3540</v>
      </c>
      <c r="H204">
        <v>-31870</v>
      </c>
      <c r="I204">
        <v>381</v>
      </c>
      <c r="J204">
        <v>-5842</v>
      </c>
      <c r="K204">
        <v>2295</v>
      </c>
    </row>
    <row r="205" spans="2:11" x14ac:dyDescent="0.45">
      <c r="B205">
        <v>2657</v>
      </c>
      <c r="C205">
        <v>-4157</v>
      </c>
      <c r="D205">
        <v>-37998</v>
      </c>
      <c r="E205">
        <v>-22086</v>
      </c>
      <c r="F205">
        <v>-34576</v>
      </c>
      <c r="G205">
        <v>-349</v>
      </c>
      <c r="H205">
        <v>-1112</v>
      </c>
      <c r="I205">
        <v>-922</v>
      </c>
      <c r="J205">
        <v>-2590</v>
      </c>
      <c r="K205">
        <v>-16954</v>
      </c>
    </row>
    <row r="206" spans="2:11" x14ac:dyDescent="0.45">
      <c r="B206">
        <v>-3198</v>
      </c>
      <c r="C206">
        <v>6701</v>
      </c>
      <c r="D206">
        <v>-7965</v>
      </c>
      <c r="E206">
        <v>-69</v>
      </c>
      <c r="F206">
        <v>3378</v>
      </c>
      <c r="G206">
        <v>-596</v>
      </c>
      <c r="H206">
        <v>-14014</v>
      </c>
      <c r="I206">
        <v>2854</v>
      </c>
      <c r="J206">
        <v>-610</v>
      </c>
      <c r="K206">
        <v>0</v>
      </c>
    </row>
    <row r="207" spans="2:11" x14ac:dyDescent="0.45">
      <c r="B207">
        <v>0</v>
      </c>
      <c r="C207">
        <v>-395</v>
      </c>
      <c r="D207">
        <v>0</v>
      </c>
      <c r="E207">
        <v>766</v>
      </c>
      <c r="F207">
        <v>1469</v>
      </c>
      <c r="G207">
        <v>2236</v>
      </c>
      <c r="H207">
        <v>695</v>
      </c>
      <c r="I207">
        <v>0</v>
      </c>
      <c r="J207">
        <v>0</v>
      </c>
      <c r="K207">
        <v>51232</v>
      </c>
    </row>
    <row r="208" spans="2:11" x14ac:dyDescent="0.45">
      <c r="B208">
        <v>20</v>
      </c>
      <c r="C208">
        <v>-345</v>
      </c>
      <c r="D208">
        <v>1387</v>
      </c>
      <c r="E208">
        <v>-1946</v>
      </c>
      <c r="F208">
        <v>-677</v>
      </c>
      <c r="G208">
        <v>213</v>
      </c>
      <c r="H208">
        <v>61901</v>
      </c>
      <c r="I208">
        <v>26708</v>
      </c>
      <c r="J208">
        <v>3371</v>
      </c>
      <c r="K208">
        <v>8147</v>
      </c>
    </row>
    <row r="209" spans="2:11" x14ac:dyDescent="0.45">
      <c r="B209">
        <v>0</v>
      </c>
      <c r="C209">
        <v>-44702</v>
      </c>
      <c r="D209">
        <v>-4589</v>
      </c>
      <c r="E209">
        <v>-45922</v>
      </c>
      <c r="F209">
        <v>-3773</v>
      </c>
      <c r="G209">
        <v>-3697</v>
      </c>
      <c r="H209">
        <v>1152</v>
      </c>
      <c r="I209">
        <v>418</v>
      </c>
      <c r="J209">
        <v>2176</v>
      </c>
      <c r="K209">
        <v>-50912</v>
      </c>
    </row>
    <row r="210" spans="2:11" x14ac:dyDescent="0.45">
      <c r="B210">
        <v>-545</v>
      </c>
      <c r="C210">
        <v>-53657</v>
      </c>
      <c r="D210">
        <v>-962</v>
      </c>
      <c r="E210">
        <v>387</v>
      </c>
      <c r="F210">
        <v>-218</v>
      </c>
      <c r="G210">
        <v>-11582</v>
      </c>
      <c r="H210">
        <v>-34497</v>
      </c>
      <c r="I210">
        <v>-4195</v>
      </c>
      <c r="J210">
        <v>-2354</v>
      </c>
      <c r="K210">
        <v>-8906</v>
      </c>
    </row>
    <row r="211" spans="2:11" x14ac:dyDescent="0.45">
      <c r="B211">
        <v>-6213</v>
      </c>
      <c r="C211">
        <v>-3108</v>
      </c>
      <c r="D211">
        <v>-17158</v>
      </c>
      <c r="E211">
        <v>-21256</v>
      </c>
      <c r="F211">
        <v>5596</v>
      </c>
      <c r="G211">
        <v>-1619</v>
      </c>
      <c r="H211">
        <v>0</v>
      </c>
      <c r="I211">
        <v>0</v>
      </c>
      <c r="J211">
        <v>-2431</v>
      </c>
      <c r="K211">
        <v>0</v>
      </c>
    </row>
    <row r="212" spans="2:11" x14ac:dyDescent="0.45">
      <c r="B212">
        <v>2527</v>
      </c>
      <c r="C212">
        <v>2659</v>
      </c>
      <c r="D212">
        <v>-1475</v>
      </c>
      <c r="E212">
        <v>-1548</v>
      </c>
      <c r="F212">
        <v>0</v>
      </c>
      <c r="G212">
        <v>0</v>
      </c>
      <c r="H212">
        <v>52625</v>
      </c>
      <c r="I212">
        <v>-1484</v>
      </c>
      <c r="J212">
        <v>-449</v>
      </c>
      <c r="K212">
        <v>-304</v>
      </c>
    </row>
    <row r="213" spans="2:11" x14ac:dyDescent="0.45">
      <c r="B213">
        <v>72</v>
      </c>
      <c r="C213">
        <v>-449</v>
      </c>
      <c r="D213">
        <v>-3096</v>
      </c>
      <c r="E213">
        <v>25136</v>
      </c>
      <c r="F213">
        <v>48792</v>
      </c>
      <c r="G213">
        <v>29696</v>
      </c>
      <c r="H213">
        <v>-2112</v>
      </c>
      <c r="I213">
        <v>-2003</v>
      </c>
      <c r="J213">
        <v>0</v>
      </c>
      <c r="K213">
        <v>-47981</v>
      </c>
    </row>
    <row r="214" spans="2:11" x14ac:dyDescent="0.45">
      <c r="B214">
        <v>-2806</v>
      </c>
      <c r="C214">
        <v>-36438</v>
      </c>
      <c r="D214">
        <v>-9462</v>
      </c>
      <c r="E214">
        <v>-3741</v>
      </c>
      <c r="F214">
        <v>-2858</v>
      </c>
      <c r="G214">
        <v>-5417</v>
      </c>
      <c r="H214">
        <v>2390</v>
      </c>
      <c r="I214">
        <v>-64004</v>
      </c>
      <c r="J214">
        <v>-367</v>
      </c>
      <c r="K214">
        <v>-60114</v>
      </c>
    </row>
    <row r="215" spans="2:11" x14ac:dyDescent="0.45">
      <c r="B215">
        <v>386</v>
      </c>
      <c r="C215">
        <v>117</v>
      </c>
      <c r="D215">
        <v>-296</v>
      </c>
      <c r="E215">
        <v>-5407</v>
      </c>
      <c r="F215">
        <v>-26873</v>
      </c>
      <c r="G215">
        <v>-6670</v>
      </c>
      <c r="H215">
        <v>8592</v>
      </c>
      <c r="I215">
        <v>-13256</v>
      </c>
      <c r="J215">
        <v>4144</v>
      </c>
      <c r="K215">
        <v>3</v>
      </c>
    </row>
    <row r="216" spans="2:11" x14ac:dyDescent="0.45">
      <c r="B216">
        <v>-10161</v>
      </c>
      <c r="C216">
        <v>-25091</v>
      </c>
      <c r="D216">
        <v>7725</v>
      </c>
      <c r="E216">
        <v>-3219</v>
      </c>
      <c r="F216">
        <v>0</v>
      </c>
      <c r="G216">
        <v>0</v>
      </c>
      <c r="H216">
        <v>-2841</v>
      </c>
      <c r="I216">
        <v>0</v>
      </c>
      <c r="J216">
        <v>5529</v>
      </c>
      <c r="K216">
        <v>5031</v>
      </c>
    </row>
    <row r="217" spans="2:11" x14ac:dyDescent="0.45">
      <c r="B217">
        <v>858</v>
      </c>
      <c r="C217">
        <v>451</v>
      </c>
      <c r="D217">
        <v>0</v>
      </c>
      <c r="E217">
        <v>0</v>
      </c>
      <c r="F217">
        <v>71649</v>
      </c>
      <c r="G217">
        <v>-876</v>
      </c>
      <c r="H217">
        <v>-1204</v>
      </c>
      <c r="I217">
        <v>-178</v>
      </c>
      <c r="J217">
        <v>518</v>
      </c>
      <c r="K217">
        <v>1168</v>
      </c>
    </row>
    <row r="218" spans="2:11" x14ac:dyDescent="0.45">
      <c r="B218">
        <v>-1259</v>
      </c>
      <c r="C218">
        <v>29066</v>
      </c>
      <c r="D218">
        <v>36910</v>
      </c>
      <c r="E218">
        <v>50822</v>
      </c>
      <c r="F218">
        <v>48549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2961</v>
      </c>
      <c r="H223">
        <v>-24467</v>
      </c>
      <c r="I223">
        <v>0</v>
      </c>
      <c r="J223">
        <v>-6662</v>
      </c>
      <c r="K223">
        <v>11559</v>
      </c>
    </row>
    <row r="224" spans="2:11" x14ac:dyDescent="0.45">
      <c r="B224">
        <v>-30423</v>
      </c>
      <c r="C224">
        <v>-332</v>
      </c>
      <c r="D224">
        <v>-548</v>
      </c>
      <c r="E224">
        <v>3504</v>
      </c>
      <c r="F224">
        <v>2587</v>
      </c>
      <c r="G224">
        <v>517</v>
      </c>
      <c r="H224">
        <v>-28629</v>
      </c>
      <c r="I224">
        <v>-11864</v>
      </c>
      <c r="J224">
        <v>-39537</v>
      </c>
      <c r="K224">
        <v>-3501</v>
      </c>
    </row>
    <row r="225" spans="2:11" x14ac:dyDescent="0.45">
      <c r="B225">
        <v>-188</v>
      </c>
      <c r="C225">
        <v>-1098</v>
      </c>
      <c r="D225">
        <v>-2161</v>
      </c>
      <c r="E225">
        <v>-16317</v>
      </c>
      <c r="F225">
        <v>-2261</v>
      </c>
      <c r="G225">
        <v>8654</v>
      </c>
      <c r="H225">
        <v>-8946</v>
      </c>
      <c r="I225">
        <v>3054</v>
      </c>
      <c r="J225">
        <v>3534</v>
      </c>
      <c r="K225">
        <v>-3652</v>
      </c>
    </row>
    <row r="226" spans="2:11" x14ac:dyDescent="0.45">
      <c r="B226">
        <v>-13162</v>
      </c>
      <c r="C226">
        <v>3197</v>
      </c>
      <c r="D226">
        <v>-1036</v>
      </c>
      <c r="E226">
        <v>0</v>
      </c>
      <c r="F226">
        <v>0</v>
      </c>
      <c r="G226">
        <v>-1274</v>
      </c>
      <c r="H226">
        <v>0</v>
      </c>
      <c r="I226">
        <v>1433</v>
      </c>
      <c r="J226">
        <v>1694</v>
      </c>
      <c r="K226">
        <v>1638</v>
      </c>
    </row>
    <row r="227" spans="2:11" x14ac:dyDescent="0.45">
      <c r="B227">
        <v>517</v>
      </c>
      <c r="C227">
        <v>0</v>
      </c>
      <c r="D227">
        <v>0</v>
      </c>
      <c r="E227">
        <v>51197</v>
      </c>
      <c r="F227">
        <v>2438</v>
      </c>
      <c r="G227">
        <v>1680</v>
      </c>
      <c r="H227">
        <v>2696</v>
      </c>
      <c r="I227">
        <v>-842</v>
      </c>
      <c r="J227">
        <v>-427</v>
      </c>
      <c r="K227">
        <v>1933</v>
      </c>
    </row>
    <row r="228" spans="2:11" x14ac:dyDescent="0.45">
      <c r="B228">
        <v>60447</v>
      </c>
      <c r="C228">
        <v>26371</v>
      </c>
      <c r="D228">
        <v>67919</v>
      </c>
      <c r="E228">
        <v>26534</v>
      </c>
      <c r="F228">
        <v>41876</v>
      </c>
      <c r="G228">
        <v>0</v>
      </c>
      <c r="H228">
        <v>-5247</v>
      </c>
      <c r="I228">
        <v>-7286</v>
      </c>
      <c r="J228">
        <v>0</v>
      </c>
      <c r="K228">
        <v>-49372</v>
      </c>
    </row>
    <row r="229" spans="2:11" x14ac:dyDescent="0.45">
      <c r="B229">
        <v>-1780</v>
      </c>
      <c r="C229">
        <v>-37845</v>
      </c>
      <c r="D229">
        <v>-4466</v>
      </c>
      <c r="E229">
        <v>-1563</v>
      </c>
      <c r="F229">
        <v>1238</v>
      </c>
      <c r="G229">
        <v>1071</v>
      </c>
      <c r="H229">
        <v>-100</v>
      </c>
      <c r="I229">
        <v>-49975</v>
      </c>
      <c r="J229">
        <v>-3733</v>
      </c>
      <c r="K229">
        <v>-71145</v>
      </c>
    </row>
    <row r="230" spans="2:11" x14ac:dyDescent="0.45">
      <c r="B230">
        <v>1396</v>
      </c>
      <c r="C230">
        <v>-826</v>
      </c>
      <c r="D230">
        <v>-858</v>
      </c>
      <c r="E230">
        <v>-7318</v>
      </c>
      <c r="F230">
        <v>-26366</v>
      </c>
      <c r="G230">
        <v>-6620</v>
      </c>
      <c r="H230">
        <v>9325</v>
      </c>
      <c r="I230">
        <v>-14110</v>
      </c>
      <c r="J230">
        <v>6956</v>
      </c>
      <c r="K230">
        <v>1620</v>
      </c>
    </row>
    <row r="231" spans="2:11" x14ac:dyDescent="0.45">
      <c r="B231">
        <v>-15294</v>
      </c>
      <c r="C231">
        <v>-24467</v>
      </c>
      <c r="D231">
        <v>7960</v>
      </c>
      <c r="E231">
        <v>-3336</v>
      </c>
      <c r="F231">
        <v>0</v>
      </c>
      <c r="G231">
        <v>0</v>
      </c>
      <c r="H231">
        <v>-3263</v>
      </c>
      <c r="I231">
        <v>0</v>
      </c>
      <c r="J231">
        <v>4811</v>
      </c>
      <c r="K231">
        <v>4929</v>
      </c>
    </row>
    <row r="232" spans="2:11" x14ac:dyDescent="0.45">
      <c r="B232">
        <v>-241</v>
      </c>
      <c r="C232">
        <v>229</v>
      </c>
      <c r="D232">
        <v>0</v>
      </c>
      <c r="E232">
        <v>0</v>
      </c>
      <c r="F232">
        <v>74057</v>
      </c>
      <c r="G232">
        <v>-3578</v>
      </c>
      <c r="H232">
        <v>-4793</v>
      </c>
      <c r="I232">
        <v>-986</v>
      </c>
      <c r="J232">
        <v>-1445</v>
      </c>
      <c r="K232">
        <v>-227</v>
      </c>
    </row>
    <row r="233" spans="2:11" x14ac:dyDescent="0.45">
      <c r="B233">
        <v>-2709</v>
      </c>
      <c r="C233">
        <v>30868</v>
      </c>
      <c r="D233">
        <v>37911</v>
      </c>
      <c r="E233">
        <v>42546</v>
      </c>
      <c r="F233">
        <v>44180</v>
      </c>
      <c r="G233">
        <v>77295</v>
      </c>
      <c r="H233">
        <v>0</v>
      </c>
      <c r="I233">
        <v>51473</v>
      </c>
      <c r="J233">
        <v>-3277</v>
      </c>
      <c r="K233">
        <v>-4791</v>
      </c>
    </row>
    <row r="234" spans="2:11" x14ac:dyDescent="0.45">
      <c r="B234">
        <v>0</v>
      </c>
      <c r="C234">
        <v>-51233</v>
      </c>
      <c r="D234">
        <v>-2590</v>
      </c>
      <c r="E234">
        <v>-54843</v>
      </c>
      <c r="F234">
        <v>-4829</v>
      </c>
      <c r="G234">
        <v>1180</v>
      </c>
      <c r="H234">
        <v>3202</v>
      </c>
      <c r="I234">
        <v>3645</v>
      </c>
      <c r="J234">
        <v>343</v>
      </c>
      <c r="K234">
        <v>-41785</v>
      </c>
    </row>
    <row r="235" spans="2:11" x14ac:dyDescent="0.45">
      <c r="B235">
        <v>-4873</v>
      </c>
      <c r="C235">
        <v>-73621</v>
      </c>
      <c r="D235">
        <v>1555</v>
      </c>
      <c r="E235">
        <v>-1943</v>
      </c>
      <c r="F235">
        <v>53</v>
      </c>
      <c r="G235">
        <v>-6806</v>
      </c>
      <c r="H235">
        <v>-35056</v>
      </c>
      <c r="I235">
        <v>-5755</v>
      </c>
      <c r="J235">
        <v>6922</v>
      </c>
      <c r="K235">
        <v>-11302</v>
      </c>
    </row>
    <row r="236" spans="2:11" x14ac:dyDescent="0.45">
      <c r="B236">
        <v>2797</v>
      </c>
      <c r="C236">
        <v>3886</v>
      </c>
      <c r="D236">
        <v>-9472</v>
      </c>
      <c r="E236">
        <v>-25070</v>
      </c>
      <c r="F236">
        <v>8348</v>
      </c>
      <c r="G236">
        <v>-2776</v>
      </c>
      <c r="H236">
        <v>0</v>
      </c>
      <c r="I236">
        <v>0</v>
      </c>
      <c r="J236">
        <v>-3574</v>
      </c>
      <c r="K236">
        <v>0</v>
      </c>
    </row>
    <row r="237" spans="2:11" x14ac:dyDescent="0.45">
      <c r="B237">
        <v>3563</v>
      </c>
      <c r="C237">
        <v>3825</v>
      </c>
      <c r="D237">
        <v>-1465</v>
      </c>
      <c r="E237">
        <v>-582</v>
      </c>
      <c r="F237">
        <v>0</v>
      </c>
      <c r="G237">
        <v>0</v>
      </c>
      <c r="H237">
        <v>80171</v>
      </c>
      <c r="I237">
        <v>-2555</v>
      </c>
      <c r="J237">
        <v>-3649</v>
      </c>
      <c r="K237">
        <v>332</v>
      </c>
    </row>
    <row r="238" spans="2:11" x14ac:dyDescent="0.45">
      <c r="B238">
        <v>-562</v>
      </c>
      <c r="C238">
        <v>-228</v>
      </c>
      <c r="D238">
        <v>-1336</v>
      </c>
      <c r="E238">
        <v>43144</v>
      </c>
      <c r="F238">
        <v>45582</v>
      </c>
      <c r="G238">
        <v>37068</v>
      </c>
      <c r="H238">
        <v>42471</v>
      </c>
      <c r="I238">
        <v>50375</v>
      </c>
      <c r="J238">
        <v>0</v>
      </c>
      <c r="K238">
        <v>54345</v>
      </c>
    </row>
    <row r="239" spans="2:11" x14ac:dyDescent="0.45">
      <c r="B239">
        <v>78757</v>
      </c>
      <c r="C239">
        <v>-982</v>
      </c>
      <c r="D239">
        <v>-3536</v>
      </c>
      <c r="E239">
        <v>0</v>
      </c>
      <c r="F239">
        <v>-413</v>
      </c>
      <c r="G239">
        <v>-595</v>
      </c>
      <c r="H239">
        <v>-26152</v>
      </c>
      <c r="I239">
        <v>-679</v>
      </c>
      <c r="J239">
        <v>-143</v>
      </c>
      <c r="K239">
        <v>2254</v>
      </c>
    </row>
    <row r="240" spans="2:11" x14ac:dyDescent="0.45">
      <c r="B240">
        <v>2803</v>
      </c>
      <c r="C240">
        <v>444</v>
      </c>
      <c r="D240">
        <v>-21563</v>
      </c>
      <c r="E240">
        <v>-1360</v>
      </c>
      <c r="F240">
        <v>-24426</v>
      </c>
      <c r="G240">
        <v>309</v>
      </c>
      <c r="H240">
        <v>-336</v>
      </c>
      <c r="I240">
        <v>125</v>
      </c>
      <c r="J240">
        <v>-2114</v>
      </c>
      <c r="K240">
        <v>-17742</v>
      </c>
    </row>
    <row r="241" spans="2:11" x14ac:dyDescent="0.45">
      <c r="B241">
        <v>-11288</v>
      </c>
      <c r="C241">
        <v>-2725</v>
      </c>
      <c r="D241">
        <v>-9112</v>
      </c>
      <c r="E241">
        <v>-1830</v>
      </c>
      <c r="F241">
        <v>2389</v>
      </c>
      <c r="G241">
        <v>3017</v>
      </c>
      <c r="H241">
        <v>-9343</v>
      </c>
      <c r="I241">
        <v>2469</v>
      </c>
      <c r="J241">
        <v>-655</v>
      </c>
      <c r="K241">
        <v>0</v>
      </c>
    </row>
    <row r="242" spans="2:11" x14ac:dyDescent="0.45">
      <c r="B242">
        <v>0</v>
      </c>
      <c r="C242">
        <v>-829</v>
      </c>
      <c r="D242">
        <v>0</v>
      </c>
      <c r="E242">
        <v>915</v>
      </c>
      <c r="F242">
        <v>946</v>
      </c>
      <c r="G242">
        <v>514</v>
      </c>
      <c r="H242">
        <v>378</v>
      </c>
      <c r="I242">
        <v>0</v>
      </c>
      <c r="J242">
        <v>0</v>
      </c>
      <c r="K242">
        <v>34376</v>
      </c>
    </row>
    <row r="243" spans="2:11" x14ac:dyDescent="0.45">
      <c r="B243">
        <v>2318</v>
      </c>
      <c r="C243">
        <v>1756</v>
      </c>
      <c r="D243">
        <v>2262</v>
      </c>
      <c r="E243">
        <v>450</v>
      </c>
      <c r="F243">
        <v>951</v>
      </c>
      <c r="G243">
        <v>2434</v>
      </c>
      <c r="H243">
        <v>37054</v>
      </c>
      <c r="I243">
        <v>19753</v>
      </c>
      <c r="J243">
        <v>37570</v>
      </c>
      <c r="K243">
        <v>18607</v>
      </c>
    </row>
    <row r="244" spans="2:11" x14ac:dyDescent="0.45">
      <c r="B244">
        <v>23658</v>
      </c>
      <c r="C244">
        <v>0</v>
      </c>
      <c r="D244">
        <v>38305</v>
      </c>
      <c r="E244">
        <v>23984</v>
      </c>
      <c r="F244">
        <v>31110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2270</v>
      </c>
      <c r="C250">
        <v>112</v>
      </c>
      <c r="D250">
        <v>0</v>
      </c>
      <c r="E250">
        <v>-23268</v>
      </c>
      <c r="F250">
        <v>-2770</v>
      </c>
      <c r="G250">
        <v>-28483</v>
      </c>
      <c r="H250">
        <v>-1154</v>
      </c>
      <c r="I250">
        <v>-2393</v>
      </c>
      <c r="J250">
        <v>2207</v>
      </c>
      <c r="K250">
        <v>3881</v>
      </c>
    </row>
    <row r="251" spans="2:11" x14ac:dyDescent="0.45">
      <c r="B251">
        <v>742</v>
      </c>
      <c r="C251">
        <v>-14978</v>
      </c>
      <c r="D251">
        <v>1584</v>
      </c>
      <c r="E251">
        <v>-29237</v>
      </c>
      <c r="F251">
        <v>-645</v>
      </c>
      <c r="G251">
        <v>670</v>
      </c>
      <c r="H251">
        <v>592</v>
      </c>
      <c r="I251">
        <v>-4959</v>
      </c>
      <c r="J251">
        <v>-35301</v>
      </c>
      <c r="K251">
        <v>-5745</v>
      </c>
    </row>
    <row r="252" spans="2:11" x14ac:dyDescent="0.45">
      <c r="B252">
        <v>18447</v>
      </c>
      <c r="C252">
        <v>-4796</v>
      </c>
      <c r="D252">
        <v>762</v>
      </c>
      <c r="E252">
        <v>419</v>
      </c>
      <c r="F252">
        <v>2413</v>
      </c>
      <c r="G252">
        <v>-11885</v>
      </c>
      <c r="H252">
        <v>3941</v>
      </c>
      <c r="I252">
        <v>-1388</v>
      </c>
      <c r="J252">
        <v>0</v>
      </c>
      <c r="K252">
        <v>0</v>
      </c>
    </row>
    <row r="253" spans="2:11" x14ac:dyDescent="0.45">
      <c r="B253">
        <v>-1710</v>
      </c>
      <c r="C253">
        <v>0</v>
      </c>
      <c r="D253">
        <v>1392</v>
      </c>
      <c r="E253">
        <v>1844</v>
      </c>
      <c r="F253">
        <v>-928</v>
      </c>
      <c r="G253">
        <v>-768</v>
      </c>
      <c r="H253">
        <v>0</v>
      </c>
      <c r="I253">
        <v>0</v>
      </c>
      <c r="J253">
        <v>37690</v>
      </c>
      <c r="K253">
        <v>1212</v>
      </c>
    </row>
    <row r="254" spans="2:11" x14ac:dyDescent="0.45">
      <c r="B254">
        <v>1718</v>
      </c>
      <c r="C254">
        <v>818</v>
      </c>
      <c r="D254">
        <v>1196</v>
      </c>
      <c r="E254">
        <v>-603</v>
      </c>
      <c r="F254">
        <v>2097</v>
      </c>
      <c r="G254">
        <v>22508</v>
      </c>
      <c r="H254">
        <v>24273</v>
      </c>
      <c r="I254">
        <v>14416</v>
      </c>
      <c r="J254">
        <v>20252</v>
      </c>
      <c r="K254">
        <v>15103</v>
      </c>
    </row>
    <row r="255" spans="2:11" x14ac:dyDescent="0.45">
      <c r="B255">
        <v>0</v>
      </c>
      <c r="C255">
        <v>22068</v>
      </c>
      <c r="D255">
        <v>27310</v>
      </c>
      <c r="E255">
        <v>45262</v>
      </c>
      <c r="F255">
        <v>25001</v>
      </c>
      <c r="G255">
        <v>0</v>
      </c>
      <c r="H255">
        <v>3467</v>
      </c>
      <c r="I255">
        <v>45</v>
      </c>
      <c r="J255">
        <v>0</v>
      </c>
      <c r="K255">
        <v>-24064</v>
      </c>
    </row>
    <row r="256" spans="2:11" x14ac:dyDescent="0.45">
      <c r="B256">
        <v>-3071</v>
      </c>
      <c r="C256">
        <v>-32742</v>
      </c>
      <c r="D256">
        <v>-1722</v>
      </c>
      <c r="E256">
        <v>-204</v>
      </c>
      <c r="F256">
        <v>2794</v>
      </c>
      <c r="G256">
        <v>3572</v>
      </c>
      <c r="H256">
        <v>1339</v>
      </c>
      <c r="I256">
        <v>-27386</v>
      </c>
      <c r="J256">
        <v>-609</v>
      </c>
      <c r="K256">
        <v>-21864</v>
      </c>
    </row>
    <row r="257" spans="2:11" x14ac:dyDescent="0.45">
      <c r="B257">
        <v>-2050</v>
      </c>
      <c r="C257">
        <v>144</v>
      </c>
      <c r="D257">
        <v>2262</v>
      </c>
      <c r="E257">
        <v>-3117</v>
      </c>
      <c r="F257">
        <v>-36258</v>
      </c>
      <c r="G257">
        <v>3341</v>
      </c>
      <c r="H257">
        <v>11204</v>
      </c>
      <c r="I257">
        <v>-8709</v>
      </c>
      <c r="J257">
        <v>-3196</v>
      </c>
      <c r="K257">
        <v>-1651</v>
      </c>
    </row>
    <row r="258" spans="2:11" x14ac:dyDescent="0.45">
      <c r="B258">
        <v>7953</v>
      </c>
      <c r="C258">
        <v>-13448</v>
      </c>
      <c r="D258">
        <v>3784</v>
      </c>
      <c r="E258">
        <v>-1231</v>
      </c>
      <c r="F258">
        <v>0</v>
      </c>
      <c r="G258">
        <v>0</v>
      </c>
      <c r="H258">
        <v>-1108</v>
      </c>
      <c r="I258">
        <v>0</v>
      </c>
      <c r="J258">
        <v>1331</v>
      </c>
      <c r="K258">
        <v>1904</v>
      </c>
    </row>
    <row r="259" spans="2:11" x14ac:dyDescent="0.45">
      <c r="B259">
        <v>211</v>
      </c>
      <c r="C259">
        <v>-447</v>
      </c>
      <c r="D259">
        <v>0</v>
      </c>
      <c r="E259">
        <v>0</v>
      </c>
      <c r="F259">
        <v>38761</v>
      </c>
      <c r="G259">
        <v>3820</v>
      </c>
      <c r="H259">
        <v>5697</v>
      </c>
      <c r="I259">
        <v>886</v>
      </c>
      <c r="J259">
        <v>3018</v>
      </c>
      <c r="K259">
        <v>2702</v>
      </c>
    </row>
    <row r="260" spans="2:11" x14ac:dyDescent="0.45">
      <c r="B260">
        <v>4880</v>
      </c>
      <c r="C260">
        <v>25083</v>
      </c>
      <c r="D260">
        <v>25555</v>
      </c>
      <c r="E260">
        <v>23391</v>
      </c>
      <c r="F260">
        <v>24507</v>
      </c>
      <c r="G260">
        <v>26798</v>
      </c>
      <c r="H260">
        <v>0</v>
      </c>
      <c r="I260">
        <v>17758</v>
      </c>
      <c r="J260">
        <v>17017</v>
      </c>
      <c r="K260">
        <v>26272</v>
      </c>
    </row>
    <row r="261" spans="2:11" x14ac:dyDescent="0.45">
      <c r="B261">
        <v>25699</v>
      </c>
      <c r="C261">
        <v>0</v>
      </c>
      <c r="D261">
        <v>31318</v>
      </c>
      <c r="E261">
        <v>-882</v>
      </c>
      <c r="F261">
        <v>179</v>
      </c>
      <c r="G261">
        <v>0</v>
      </c>
      <c r="H261">
        <v>-1592</v>
      </c>
      <c r="I261">
        <v>-486</v>
      </c>
      <c r="J261">
        <v>-4162</v>
      </c>
      <c r="K261">
        <v>58</v>
      </c>
    </row>
    <row r="262" spans="2:11" x14ac:dyDescent="0.45">
      <c r="B262">
        <v>-87</v>
      </c>
      <c r="C262">
        <v>150</v>
      </c>
      <c r="D262">
        <v>569</v>
      </c>
      <c r="E262">
        <v>-385</v>
      </c>
      <c r="F262">
        <v>-3275</v>
      </c>
      <c r="G262">
        <v>4102</v>
      </c>
      <c r="H262">
        <v>-4079</v>
      </c>
      <c r="I262">
        <v>603</v>
      </c>
      <c r="J262">
        <v>433</v>
      </c>
      <c r="K262">
        <v>424</v>
      </c>
    </row>
    <row r="263" spans="2:11" x14ac:dyDescent="0.45">
      <c r="B263">
        <v>-412</v>
      </c>
      <c r="C263">
        <v>-4879</v>
      </c>
      <c r="D263">
        <v>-6369</v>
      </c>
      <c r="E263">
        <v>5926</v>
      </c>
      <c r="F263">
        <v>1741</v>
      </c>
      <c r="G263">
        <v>1023</v>
      </c>
      <c r="H263">
        <v>2282</v>
      </c>
      <c r="I263">
        <v>770</v>
      </c>
      <c r="J263">
        <v>6526</v>
      </c>
      <c r="K263">
        <v>1975</v>
      </c>
    </row>
    <row r="264" spans="2:11" x14ac:dyDescent="0.45">
      <c r="B264">
        <v>5910</v>
      </c>
      <c r="C264">
        <v>0</v>
      </c>
      <c r="D264">
        <v>0</v>
      </c>
      <c r="E264">
        <v>-5431</v>
      </c>
      <c r="F264">
        <v>0</v>
      </c>
      <c r="G264">
        <v>-107</v>
      </c>
      <c r="H264">
        <v>3561</v>
      </c>
      <c r="I264">
        <v>-15890</v>
      </c>
      <c r="J264">
        <v>-1093</v>
      </c>
      <c r="K264">
        <v>0</v>
      </c>
    </row>
    <row r="265" spans="2:11" x14ac:dyDescent="0.45">
      <c r="B265">
        <v>0</v>
      </c>
      <c r="C265">
        <v>5771</v>
      </c>
      <c r="D265">
        <v>126</v>
      </c>
      <c r="E265">
        <v>-233</v>
      </c>
      <c r="F265">
        <v>213</v>
      </c>
      <c r="G265">
        <v>464</v>
      </c>
      <c r="H265">
        <v>-39</v>
      </c>
      <c r="I265">
        <v>410</v>
      </c>
      <c r="J265">
        <v>3868</v>
      </c>
      <c r="K265">
        <v>3252</v>
      </c>
    </row>
    <row r="266" spans="2:11" x14ac:dyDescent="0.45">
      <c r="B266">
        <v>3490</v>
      </c>
      <c r="C266">
        <v>3048</v>
      </c>
      <c r="D266">
        <v>3800</v>
      </c>
      <c r="E266">
        <v>0</v>
      </c>
      <c r="F266">
        <v>3998</v>
      </c>
      <c r="G266">
        <v>3905</v>
      </c>
      <c r="H266">
        <v>5207</v>
      </c>
      <c r="I266">
        <v>5054</v>
      </c>
      <c r="J266">
        <v>0</v>
      </c>
      <c r="K266">
        <v>5007</v>
      </c>
    </row>
    <row r="267" spans="2:11" x14ac:dyDescent="0.45">
      <c r="B267">
        <v>5747</v>
      </c>
      <c r="C267">
        <v>-378</v>
      </c>
      <c r="D267">
        <v>-8192</v>
      </c>
      <c r="E267">
        <v>0</v>
      </c>
      <c r="F267">
        <v>-6668</v>
      </c>
      <c r="G267">
        <v>-279</v>
      </c>
      <c r="H267">
        <v>-12839</v>
      </c>
      <c r="I267">
        <v>-268</v>
      </c>
      <c r="J267">
        <v>3</v>
      </c>
      <c r="K267">
        <v>2945</v>
      </c>
    </row>
    <row r="268" spans="2:11" x14ac:dyDescent="0.45">
      <c r="B268">
        <v>1910</v>
      </c>
      <c r="C268">
        <v>340</v>
      </c>
      <c r="D268">
        <v>-11978</v>
      </c>
      <c r="E268">
        <v>-979</v>
      </c>
      <c r="F268">
        <v>-17079</v>
      </c>
      <c r="G268">
        <v>1956</v>
      </c>
      <c r="H268">
        <v>-1383</v>
      </c>
      <c r="I268">
        <v>-3006</v>
      </c>
      <c r="J268">
        <v>-3196</v>
      </c>
      <c r="K268">
        <v>-5579</v>
      </c>
    </row>
    <row r="269" spans="2:11" x14ac:dyDescent="0.45">
      <c r="B269">
        <v>-1485</v>
      </c>
      <c r="C269">
        <v>4773</v>
      </c>
      <c r="D269">
        <v>-2641</v>
      </c>
      <c r="E269">
        <v>4357</v>
      </c>
      <c r="F269">
        <v>6965</v>
      </c>
      <c r="G269">
        <v>-2576</v>
      </c>
      <c r="H269">
        <v>6384</v>
      </c>
      <c r="I269">
        <v>-7830</v>
      </c>
      <c r="J269">
        <v>2737</v>
      </c>
      <c r="K269">
        <v>0</v>
      </c>
    </row>
    <row r="270" spans="2:11" x14ac:dyDescent="0.45">
      <c r="B270">
        <v>0</v>
      </c>
      <c r="C270">
        <v>-2723</v>
      </c>
      <c r="D270">
        <v>0</v>
      </c>
      <c r="E270">
        <v>-8470</v>
      </c>
      <c r="F270">
        <v>3125</v>
      </c>
      <c r="G270">
        <v>21512</v>
      </c>
      <c r="H270">
        <v>4976</v>
      </c>
      <c r="I270">
        <v>0</v>
      </c>
      <c r="J270">
        <v>0</v>
      </c>
      <c r="K270">
        <v>21841</v>
      </c>
    </row>
    <row r="271" spans="2:11" x14ac:dyDescent="0.45">
      <c r="B271">
        <v>1062</v>
      </c>
      <c r="C271">
        <v>-323</v>
      </c>
      <c r="D271">
        <v>-119</v>
      </c>
      <c r="E271">
        <v>941</v>
      </c>
      <c r="F271">
        <v>-3</v>
      </c>
      <c r="G271">
        <v>544</v>
      </c>
      <c r="H271">
        <v>15989</v>
      </c>
      <c r="I271">
        <v>10804</v>
      </c>
      <c r="J271">
        <v>17589</v>
      </c>
      <c r="K271">
        <v>10901</v>
      </c>
    </row>
    <row r="272" spans="2:11" x14ac:dyDescent="0.45">
      <c r="B272">
        <v>17790</v>
      </c>
      <c r="C272">
        <v>0</v>
      </c>
      <c r="D272">
        <v>21256</v>
      </c>
      <c r="E272">
        <v>22929</v>
      </c>
      <c r="F272">
        <v>24141</v>
      </c>
      <c r="G272">
        <v>11161</v>
      </c>
      <c r="H272">
        <v>0</v>
      </c>
      <c r="I272">
        <v>8896</v>
      </c>
      <c r="J272">
        <v>5827</v>
      </c>
      <c r="K272">
        <v>5430</v>
      </c>
    </row>
    <row r="273" spans="2:11" x14ac:dyDescent="0.45">
      <c r="B273">
        <v>-68</v>
      </c>
      <c r="C273">
        <v>-6605</v>
      </c>
      <c r="D273">
        <v>0</v>
      </c>
      <c r="E273">
        <v>-6555</v>
      </c>
      <c r="F273">
        <v>-1157</v>
      </c>
      <c r="G273">
        <v>-20850</v>
      </c>
      <c r="H273">
        <v>811</v>
      </c>
      <c r="I273">
        <v>4201</v>
      </c>
      <c r="J273">
        <v>-670</v>
      </c>
      <c r="K273">
        <v>-6182</v>
      </c>
    </row>
    <row r="274" spans="2:11" x14ac:dyDescent="0.45">
      <c r="B274">
        <v>2437</v>
      </c>
      <c r="C274">
        <v>-16801</v>
      </c>
      <c r="D274">
        <v>231</v>
      </c>
      <c r="E274">
        <v>-14816</v>
      </c>
      <c r="F274">
        <v>250</v>
      </c>
      <c r="G274">
        <v>515</v>
      </c>
      <c r="H274">
        <v>491</v>
      </c>
      <c r="I274">
        <v>-3479</v>
      </c>
      <c r="J274">
        <v>-8198</v>
      </c>
      <c r="K274">
        <v>-1613</v>
      </c>
    </row>
    <row r="275" spans="2:11" x14ac:dyDescent="0.45">
      <c r="B275">
        <v>2643</v>
      </c>
      <c r="C275">
        <v>-1654</v>
      </c>
      <c r="D275">
        <v>703</v>
      </c>
      <c r="E275">
        <v>7504</v>
      </c>
      <c r="F275">
        <v>897</v>
      </c>
      <c r="G275">
        <v>28380</v>
      </c>
      <c r="H275">
        <v>-11559</v>
      </c>
      <c r="I275">
        <v>14913</v>
      </c>
      <c r="J275">
        <v>0</v>
      </c>
      <c r="K275">
        <v>0</v>
      </c>
    </row>
    <row r="276" spans="2:11" x14ac:dyDescent="0.45">
      <c r="B276">
        <v>-10517</v>
      </c>
      <c r="C276">
        <v>0</v>
      </c>
      <c r="D276">
        <v>-15859</v>
      </c>
      <c r="E276">
        <v>-5656</v>
      </c>
      <c r="F276">
        <v>-21501</v>
      </c>
      <c r="G276">
        <v>-13423</v>
      </c>
      <c r="H276">
        <v>0</v>
      </c>
      <c r="I276">
        <v>0</v>
      </c>
      <c r="J276">
        <v>22767</v>
      </c>
      <c r="K276">
        <v>601</v>
      </c>
    </row>
    <row r="277" spans="2:11" x14ac:dyDescent="0.45">
      <c r="B277">
        <v>217</v>
      </c>
      <c r="C277">
        <v>667</v>
      </c>
      <c r="D277">
        <v>330</v>
      </c>
      <c r="E277">
        <v>78</v>
      </c>
      <c r="F277">
        <v>87</v>
      </c>
      <c r="G277">
        <v>21527</v>
      </c>
      <c r="H277">
        <v>13877</v>
      </c>
      <c r="I277">
        <v>19367</v>
      </c>
      <c r="J277">
        <v>12610</v>
      </c>
      <c r="K277">
        <v>13502</v>
      </c>
    </row>
    <row r="278" spans="2:11" x14ac:dyDescent="0.45">
      <c r="B278">
        <v>0</v>
      </c>
      <c r="C278">
        <v>19134</v>
      </c>
      <c r="D278">
        <v>12797</v>
      </c>
      <c r="E278">
        <v>19190</v>
      </c>
      <c r="F278">
        <v>13051</v>
      </c>
      <c r="G278">
        <v>0</v>
      </c>
      <c r="H278">
        <v>9550</v>
      </c>
      <c r="I278">
        <v>11676</v>
      </c>
      <c r="J278">
        <v>13458</v>
      </c>
      <c r="K278">
        <v>36385</v>
      </c>
    </row>
    <row r="279" spans="2:11" x14ac:dyDescent="0.4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4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-1813</v>
      </c>
      <c r="D285">
        <v>-1044</v>
      </c>
      <c r="E285">
        <v>0</v>
      </c>
      <c r="F285">
        <v>11300</v>
      </c>
      <c r="G285">
        <v>1145</v>
      </c>
      <c r="H285">
        <v>4592</v>
      </c>
      <c r="I285">
        <v>-2265</v>
      </c>
      <c r="J285">
        <v>527</v>
      </c>
      <c r="K285">
        <v>-2716</v>
      </c>
    </row>
    <row r="286" spans="2:11" x14ac:dyDescent="0.45">
      <c r="B286">
        <v>-406</v>
      </c>
      <c r="C286">
        <v>-2490</v>
      </c>
      <c r="D286">
        <v>4339</v>
      </c>
      <c r="E286">
        <v>-3944</v>
      </c>
      <c r="F286">
        <v>5121</v>
      </c>
      <c r="G286">
        <v>477</v>
      </c>
      <c r="H286">
        <v>-6148</v>
      </c>
      <c r="I286">
        <v>-3018</v>
      </c>
      <c r="J286">
        <v>224</v>
      </c>
      <c r="K286">
        <v>8503</v>
      </c>
    </row>
    <row r="287" spans="2:11" x14ac:dyDescent="0.45">
      <c r="B287">
        <v>1506</v>
      </c>
      <c r="C287">
        <v>2232</v>
      </c>
      <c r="D287">
        <v>1154</v>
      </c>
      <c r="E287">
        <v>-7520</v>
      </c>
      <c r="F287">
        <v>-12992</v>
      </c>
      <c r="G287">
        <v>-1430</v>
      </c>
      <c r="H287">
        <v>-2162</v>
      </c>
      <c r="I287">
        <v>1736</v>
      </c>
      <c r="J287">
        <v>-308</v>
      </c>
      <c r="K287">
        <v>0</v>
      </c>
    </row>
    <row r="288" spans="2:11" x14ac:dyDescent="0.45">
      <c r="B288">
        <v>0</v>
      </c>
      <c r="C288">
        <v>-331</v>
      </c>
      <c r="D288">
        <v>0</v>
      </c>
      <c r="E288">
        <v>1181</v>
      </c>
      <c r="F288">
        <v>-264</v>
      </c>
      <c r="G288">
        <v>8210</v>
      </c>
      <c r="H288">
        <v>2029</v>
      </c>
      <c r="I288">
        <v>0</v>
      </c>
      <c r="J288">
        <v>0</v>
      </c>
      <c r="K288">
        <v>8318</v>
      </c>
    </row>
    <row r="289" spans="2:11" x14ac:dyDescent="0.45">
      <c r="B289">
        <v>-4769</v>
      </c>
      <c r="C289">
        <v>-5736</v>
      </c>
      <c r="D289">
        <v>603</v>
      </c>
      <c r="E289">
        <v>1016</v>
      </c>
      <c r="F289">
        <v>60</v>
      </c>
      <c r="G289">
        <v>81</v>
      </c>
      <c r="H289">
        <v>6698</v>
      </c>
      <c r="I289">
        <v>-947</v>
      </c>
      <c r="J289">
        <v>8370</v>
      </c>
      <c r="K289">
        <v>-697</v>
      </c>
    </row>
    <row r="290" spans="2:11" x14ac:dyDescent="0.45">
      <c r="B290">
        <v>7405</v>
      </c>
      <c r="C290">
        <v>0</v>
      </c>
      <c r="D290">
        <v>10580</v>
      </c>
      <c r="E290">
        <v>8459</v>
      </c>
      <c r="F290">
        <v>8226</v>
      </c>
      <c r="G290">
        <v>7164</v>
      </c>
      <c r="H290">
        <v>0</v>
      </c>
      <c r="I290">
        <v>1371</v>
      </c>
      <c r="J290">
        <v>507</v>
      </c>
      <c r="K290">
        <v>-1304</v>
      </c>
    </row>
    <row r="291" spans="2:11" x14ac:dyDescent="0.45">
      <c r="B291">
        <v>4710</v>
      </c>
      <c r="C291">
        <v>-415</v>
      </c>
      <c r="D291">
        <v>0</v>
      </c>
      <c r="E291">
        <v>-2259</v>
      </c>
      <c r="F291">
        <v>-16522</v>
      </c>
      <c r="G291">
        <v>0</v>
      </c>
      <c r="H291">
        <v>17897</v>
      </c>
      <c r="I291">
        <v>6609</v>
      </c>
      <c r="J291">
        <v>13571</v>
      </c>
      <c r="K291">
        <v>3629</v>
      </c>
    </row>
    <row r="292" spans="2:11" x14ac:dyDescent="0.45">
      <c r="B292">
        <v>-260</v>
      </c>
      <c r="C292">
        <v>-1518</v>
      </c>
      <c r="D292">
        <v>210</v>
      </c>
      <c r="E292">
        <v>-3037</v>
      </c>
      <c r="F292">
        <v>13772</v>
      </c>
      <c r="G292">
        <v>-3359</v>
      </c>
      <c r="H292">
        <v>12628</v>
      </c>
      <c r="I292">
        <v>2057</v>
      </c>
      <c r="J292">
        <v>-1460</v>
      </c>
      <c r="K292">
        <v>-2101</v>
      </c>
    </row>
    <row r="293" spans="2:11" x14ac:dyDescent="0.45">
      <c r="B293">
        <v>13981</v>
      </c>
      <c r="C293">
        <v>18352</v>
      </c>
      <c r="D293">
        <v>-394</v>
      </c>
      <c r="E293">
        <v>5621</v>
      </c>
      <c r="F293">
        <v>-2282</v>
      </c>
      <c r="G293">
        <v>-28816</v>
      </c>
      <c r="H293">
        <v>4156</v>
      </c>
      <c r="I293">
        <v>9217</v>
      </c>
      <c r="J293">
        <v>3905</v>
      </c>
      <c r="K293">
        <v>1098</v>
      </c>
    </row>
    <row r="294" spans="2:11" x14ac:dyDescent="0.45">
      <c r="B294">
        <v>3</v>
      </c>
      <c r="C294">
        <v>0</v>
      </c>
      <c r="D294">
        <v>0</v>
      </c>
      <c r="E294">
        <v>-420</v>
      </c>
      <c r="F294">
        <v>0</v>
      </c>
      <c r="G294">
        <v>105</v>
      </c>
      <c r="H294">
        <v>-66</v>
      </c>
      <c r="I294">
        <v>3263</v>
      </c>
      <c r="J294">
        <v>6280</v>
      </c>
      <c r="K294">
        <v>0</v>
      </c>
    </row>
    <row r="295" spans="2:11" x14ac:dyDescent="0.45">
      <c r="B295">
        <v>0</v>
      </c>
      <c r="C295">
        <v>-1061</v>
      </c>
      <c r="D295">
        <v>1624</v>
      </c>
      <c r="E295">
        <v>301</v>
      </c>
      <c r="F295">
        <v>3845</v>
      </c>
      <c r="G295">
        <v>120</v>
      </c>
      <c r="H295">
        <v>-485</v>
      </c>
      <c r="I295">
        <v>1297</v>
      </c>
      <c r="J295">
        <v>7070</v>
      </c>
      <c r="K295">
        <v>-16343</v>
      </c>
    </row>
    <row r="296" spans="2:11" x14ac:dyDescent="0.45">
      <c r="B296">
        <v>10124</v>
      </c>
      <c r="C296">
        <v>-18760</v>
      </c>
      <c r="D296">
        <v>821</v>
      </c>
      <c r="E296">
        <v>0</v>
      </c>
      <c r="F296">
        <v>12807</v>
      </c>
      <c r="G296">
        <v>4242</v>
      </c>
      <c r="H296">
        <v>2687</v>
      </c>
      <c r="I296">
        <v>7896</v>
      </c>
      <c r="J296">
        <v>0</v>
      </c>
      <c r="K296">
        <v>-4932</v>
      </c>
    </row>
    <row r="297" spans="2:11" x14ac:dyDescent="0.45">
      <c r="B297">
        <v>-7872</v>
      </c>
      <c r="C297">
        <v>221</v>
      </c>
      <c r="D297">
        <v>5109</v>
      </c>
      <c r="E297">
        <v>334</v>
      </c>
      <c r="F297">
        <v>0</v>
      </c>
      <c r="G297">
        <v>25208</v>
      </c>
      <c r="H297">
        <v>-1496</v>
      </c>
      <c r="I297">
        <v>3847</v>
      </c>
      <c r="J297">
        <v>0</v>
      </c>
      <c r="K297">
        <v>5150</v>
      </c>
    </row>
    <row r="298" spans="2:11" x14ac:dyDescent="0.45">
      <c r="B298">
        <v>112</v>
      </c>
      <c r="C298">
        <v>7029</v>
      </c>
      <c r="D298">
        <v>398</v>
      </c>
      <c r="E298">
        <v>-1665</v>
      </c>
      <c r="F298">
        <v>675</v>
      </c>
      <c r="G298">
        <v>390</v>
      </c>
      <c r="H298">
        <v>741</v>
      </c>
      <c r="I298">
        <v>8614</v>
      </c>
      <c r="J298">
        <v>-1070</v>
      </c>
      <c r="K298">
        <v>6787</v>
      </c>
    </row>
    <row r="299" spans="2:11" x14ac:dyDescent="0.45">
      <c r="B299">
        <v>-755</v>
      </c>
      <c r="C299">
        <v>-380</v>
      </c>
      <c r="D299">
        <v>-1272</v>
      </c>
      <c r="E299">
        <v>-524</v>
      </c>
      <c r="F299">
        <v>-7731</v>
      </c>
      <c r="G299">
        <v>-840</v>
      </c>
      <c r="H299">
        <v>2174</v>
      </c>
      <c r="I299">
        <v>5318</v>
      </c>
      <c r="J299">
        <v>1338</v>
      </c>
      <c r="K299">
        <v>504</v>
      </c>
    </row>
    <row r="300" spans="2:11" x14ac:dyDescent="0.45">
      <c r="B300">
        <v>-1274</v>
      </c>
      <c r="C300">
        <v>3992</v>
      </c>
      <c r="D300">
        <v>-2083</v>
      </c>
      <c r="E300">
        <v>128</v>
      </c>
      <c r="F300">
        <v>0</v>
      </c>
      <c r="G300">
        <v>0</v>
      </c>
      <c r="H300">
        <v>474</v>
      </c>
      <c r="I300">
        <v>0</v>
      </c>
      <c r="J300">
        <v>-777</v>
      </c>
      <c r="K300">
        <v>-1075</v>
      </c>
    </row>
    <row r="301" spans="2:11" x14ac:dyDescent="0.45">
      <c r="B301">
        <v>-1066</v>
      </c>
      <c r="C301">
        <v>-670</v>
      </c>
      <c r="D301">
        <v>0</v>
      </c>
      <c r="E301">
        <v>0</v>
      </c>
      <c r="F301">
        <v>-12147</v>
      </c>
      <c r="G301">
        <v>-595</v>
      </c>
      <c r="H301">
        <v>-1798</v>
      </c>
      <c r="I301">
        <v>1266</v>
      </c>
      <c r="J301">
        <v>-654</v>
      </c>
      <c r="K301">
        <v>-472</v>
      </c>
    </row>
    <row r="302" spans="2:11" x14ac:dyDescent="0.45">
      <c r="B302">
        <v>-1233</v>
      </c>
      <c r="C302">
        <v>-6848</v>
      </c>
      <c r="D302">
        <v>-4697</v>
      </c>
      <c r="E302">
        <v>-8628</v>
      </c>
      <c r="F302">
        <v>-5236</v>
      </c>
      <c r="G302">
        <v>-12615</v>
      </c>
      <c r="H302">
        <v>0</v>
      </c>
      <c r="I302">
        <v>-8763</v>
      </c>
      <c r="J302">
        <v>-12466</v>
      </c>
      <c r="K302">
        <v>-10746</v>
      </c>
    </row>
    <row r="303" spans="2:11" x14ac:dyDescent="0.45">
      <c r="B303">
        <v>-2261</v>
      </c>
      <c r="C303">
        <v>0</v>
      </c>
      <c r="D303">
        <v>-5317</v>
      </c>
      <c r="E303">
        <v>-16701</v>
      </c>
      <c r="F303">
        <v>-2464</v>
      </c>
      <c r="G303">
        <v>-3803</v>
      </c>
      <c r="H303">
        <v>-3179</v>
      </c>
      <c r="I303">
        <v>0</v>
      </c>
      <c r="J303">
        <v>-9641</v>
      </c>
      <c r="K303">
        <v>-6367</v>
      </c>
    </row>
    <row r="304" spans="2:11" x14ac:dyDescent="0.45">
      <c r="B304">
        <v>1777</v>
      </c>
      <c r="C304">
        <v>-8924</v>
      </c>
      <c r="D304">
        <v>0</v>
      </c>
      <c r="E304">
        <v>5291</v>
      </c>
      <c r="F304">
        <v>-900</v>
      </c>
      <c r="G304">
        <v>-27559</v>
      </c>
      <c r="H304">
        <v>-6804</v>
      </c>
      <c r="I304">
        <v>26824</v>
      </c>
      <c r="J304">
        <v>4962</v>
      </c>
      <c r="K304">
        <v>-4302</v>
      </c>
    </row>
    <row r="305" spans="2:11" x14ac:dyDescent="0.45">
      <c r="B305">
        <v>7953</v>
      </c>
      <c r="C305">
        <v>-28424</v>
      </c>
      <c r="D305">
        <v>7546</v>
      </c>
      <c r="E305">
        <v>6473</v>
      </c>
      <c r="F305">
        <v>4094</v>
      </c>
      <c r="G305">
        <v>594</v>
      </c>
      <c r="H305">
        <v>-2046</v>
      </c>
      <c r="I305">
        <v>-1031</v>
      </c>
      <c r="J305">
        <v>3302</v>
      </c>
      <c r="K305">
        <v>2796</v>
      </c>
    </row>
    <row r="306" spans="2:11" x14ac:dyDescent="0.45">
      <c r="B306">
        <v>-167</v>
      </c>
      <c r="C306">
        <v>-718</v>
      </c>
      <c r="D306">
        <v>-1847</v>
      </c>
      <c r="E306">
        <v>-1272</v>
      </c>
      <c r="F306">
        <v>1423</v>
      </c>
      <c r="G306">
        <v>1497</v>
      </c>
      <c r="H306">
        <v>-21</v>
      </c>
      <c r="I306">
        <v>1125</v>
      </c>
      <c r="J306">
        <v>0</v>
      </c>
      <c r="K306">
        <v>0</v>
      </c>
    </row>
    <row r="307" spans="2:11" x14ac:dyDescent="0.45">
      <c r="B307">
        <v>-750</v>
      </c>
      <c r="C307">
        <v>0</v>
      </c>
      <c r="D307">
        <v>-1260</v>
      </c>
      <c r="E307">
        <v>32</v>
      </c>
      <c r="F307">
        <v>1883</v>
      </c>
      <c r="G307">
        <v>667</v>
      </c>
      <c r="H307">
        <v>0</v>
      </c>
      <c r="I307">
        <v>0</v>
      </c>
      <c r="J307">
        <v>-6047</v>
      </c>
      <c r="K307">
        <v>12194</v>
      </c>
    </row>
    <row r="308" spans="2:11" x14ac:dyDescent="0.45">
      <c r="B308">
        <v>12229</v>
      </c>
      <c r="C308">
        <v>4494</v>
      </c>
      <c r="D308">
        <v>4220</v>
      </c>
      <c r="E308">
        <v>6715</v>
      </c>
      <c r="F308">
        <v>4257</v>
      </c>
      <c r="G308">
        <v>90</v>
      </c>
      <c r="H308">
        <v>-2423</v>
      </c>
      <c r="I308">
        <v>-2542</v>
      </c>
      <c r="J308">
        <v>-2507</v>
      </c>
      <c r="K308">
        <v>-3738</v>
      </c>
    </row>
    <row r="309" spans="2:11" x14ac:dyDescent="0.45">
      <c r="B309">
        <v>0</v>
      </c>
      <c r="C309">
        <v>4107</v>
      </c>
      <c r="D309">
        <v>-4086</v>
      </c>
      <c r="E309">
        <v>-3214</v>
      </c>
      <c r="F309">
        <v>773</v>
      </c>
      <c r="G309">
        <v>0</v>
      </c>
      <c r="H309">
        <v>-3715</v>
      </c>
      <c r="I309">
        <v>741</v>
      </c>
      <c r="J309">
        <v>-786</v>
      </c>
      <c r="K309">
        <v>2528</v>
      </c>
    </row>
    <row r="310" spans="2:11" x14ac:dyDescent="0.45">
      <c r="B310">
        <v>6299</v>
      </c>
      <c r="C310">
        <v>0</v>
      </c>
      <c r="D310">
        <v>8142</v>
      </c>
      <c r="E310">
        <v>2982</v>
      </c>
      <c r="F310">
        <v>-6045</v>
      </c>
      <c r="G310">
        <v>-2251</v>
      </c>
      <c r="H310">
        <v>5653</v>
      </c>
      <c r="I310">
        <v>0</v>
      </c>
      <c r="J310">
        <v>8634</v>
      </c>
      <c r="K310">
        <v>2407</v>
      </c>
    </row>
    <row r="311" spans="2:11" x14ac:dyDescent="0.45">
      <c r="B311">
        <v>-20637</v>
      </c>
      <c r="C311">
        <v>-5739</v>
      </c>
      <c r="D311">
        <v>11594</v>
      </c>
      <c r="E311">
        <v>5361</v>
      </c>
      <c r="F311">
        <v>1011</v>
      </c>
      <c r="G311">
        <v>5348</v>
      </c>
      <c r="H311">
        <v>-19897</v>
      </c>
      <c r="I311">
        <v>599</v>
      </c>
      <c r="J311">
        <v>3730</v>
      </c>
      <c r="K311">
        <v>3011</v>
      </c>
    </row>
    <row r="312" spans="2:11" x14ac:dyDescent="0.45">
      <c r="B312">
        <v>6892</v>
      </c>
      <c r="C312">
        <v>1278</v>
      </c>
      <c r="D312">
        <v>18889</v>
      </c>
      <c r="E312">
        <v>5220</v>
      </c>
      <c r="F312">
        <v>-725</v>
      </c>
      <c r="G312">
        <v>7679</v>
      </c>
      <c r="H312">
        <v>-1044</v>
      </c>
      <c r="I312">
        <v>2741</v>
      </c>
      <c r="J312">
        <v>935</v>
      </c>
      <c r="K312">
        <v>549</v>
      </c>
    </row>
    <row r="313" spans="2:11" x14ac:dyDescent="0.45">
      <c r="B313">
        <v>1557</v>
      </c>
      <c r="C313">
        <v>-926</v>
      </c>
      <c r="D313">
        <v>-168</v>
      </c>
      <c r="E313">
        <v>0</v>
      </c>
      <c r="F313">
        <v>0</v>
      </c>
      <c r="G313">
        <v>-525</v>
      </c>
      <c r="H313">
        <v>0</v>
      </c>
      <c r="I313">
        <v>335</v>
      </c>
      <c r="J313">
        <v>-210</v>
      </c>
      <c r="K313">
        <v>1709</v>
      </c>
    </row>
    <row r="314" spans="2:11" x14ac:dyDescent="0.45">
      <c r="B314">
        <v>3589</v>
      </c>
      <c r="C314">
        <v>0</v>
      </c>
      <c r="D314">
        <v>0</v>
      </c>
      <c r="E314">
        <v>-5261</v>
      </c>
      <c r="F314">
        <v>5673</v>
      </c>
      <c r="G314">
        <v>4589</v>
      </c>
      <c r="H314">
        <v>-291</v>
      </c>
      <c r="I314">
        <v>363</v>
      </c>
      <c r="J314">
        <v>1085</v>
      </c>
      <c r="K314">
        <v>2014</v>
      </c>
    </row>
    <row r="315" spans="2:11" x14ac:dyDescent="0.45">
      <c r="B315">
        <v>1187</v>
      </c>
      <c r="C315">
        <v>-18197</v>
      </c>
      <c r="D315">
        <v>1398</v>
      </c>
      <c r="E315">
        <v>-23347</v>
      </c>
      <c r="F315">
        <v>-6535</v>
      </c>
      <c r="G315">
        <v>0</v>
      </c>
      <c r="H315">
        <v>-135</v>
      </c>
      <c r="I315">
        <v>-9250</v>
      </c>
      <c r="J315">
        <v>-7545</v>
      </c>
      <c r="K315">
        <v>1346</v>
      </c>
    </row>
    <row r="316" spans="2:11" x14ac:dyDescent="0.45">
      <c r="B316">
        <v>0</v>
      </c>
      <c r="C316">
        <v>-8594</v>
      </c>
      <c r="D316">
        <v>-4707</v>
      </c>
      <c r="E316">
        <v>24</v>
      </c>
      <c r="F316">
        <v>2126</v>
      </c>
      <c r="G316">
        <v>2345</v>
      </c>
      <c r="H316">
        <v>0</v>
      </c>
      <c r="I316">
        <v>3377</v>
      </c>
      <c r="J316">
        <v>42119</v>
      </c>
      <c r="K316">
        <v>-5173</v>
      </c>
    </row>
    <row r="317" spans="2:11" x14ac:dyDescent="0.45">
      <c r="B317">
        <v>44272</v>
      </c>
      <c r="C317">
        <v>5089</v>
      </c>
      <c r="D317">
        <v>-5302</v>
      </c>
      <c r="E317">
        <v>0</v>
      </c>
      <c r="F317">
        <v>4170</v>
      </c>
      <c r="G317">
        <v>-500</v>
      </c>
      <c r="H317">
        <v>-28758</v>
      </c>
      <c r="I317">
        <v>536</v>
      </c>
      <c r="J317">
        <v>23795</v>
      </c>
      <c r="K317">
        <v>5349</v>
      </c>
    </row>
    <row r="318" spans="2:11" x14ac:dyDescent="0.45">
      <c r="B318">
        <v>-3395</v>
      </c>
      <c r="C318">
        <v>6573</v>
      </c>
      <c r="D318">
        <v>-28315</v>
      </c>
      <c r="E318">
        <v>4747</v>
      </c>
      <c r="F318">
        <v>6201</v>
      </c>
      <c r="G318">
        <v>40</v>
      </c>
      <c r="H318">
        <v>6158</v>
      </c>
      <c r="I318">
        <v>1880</v>
      </c>
      <c r="J318">
        <v>-341</v>
      </c>
      <c r="K318">
        <v>3150</v>
      </c>
    </row>
    <row r="319" spans="2:11" x14ac:dyDescent="0.45">
      <c r="B319">
        <v>3032</v>
      </c>
      <c r="C319">
        <v>-856</v>
      </c>
      <c r="D319">
        <v>-1600</v>
      </c>
      <c r="E319">
        <v>-501</v>
      </c>
      <c r="F319">
        <v>-2715</v>
      </c>
      <c r="G319">
        <v>1265</v>
      </c>
      <c r="H319">
        <v>1255</v>
      </c>
      <c r="I319">
        <v>-998</v>
      </c>
      <c r="J319">
        <v>516</v>
      </c>
      <c r="K319">
        <v>0</v>
      </c>
    </row>
    <row r="320" spans="2:11" x14ac:dyDescent="0.45">
      <c r="B320">
        <v>0</v>
      </c>
      <c r="C320">
        <v>-288</v>
      </c>
      <c r="D320">
        <v>0</v>
      </c>
      <c r="E320">
        <v>-697</v>
      </c>
      <c r="F320">
        <v>-276</v>
      </c>
      <c r="G320">
        <v>1077</v>
      </c>
      <c r="H320">
        <v>499</v>
      </c>
      <c r="I320">
        <v>0</v>
      </c>
      <c r="J320">
        <v>0</v>
      </c>
      <c r="K320">
        <v>-10299</v>
      </c>
    </row>
    <row r="321" spans="2:11" x14ac:dyDescent="0.45">
      <c r="B321">
        <v>15922</v>
      </c>
      <c r="C321">
        <v>13537</v>
      </c>
      <c r="D321">
        <v>96</v>
      </c>
      <c r="E321">
        <v>2759</v>
      </c>
      <c r="F321">
        <v>6584</v>
      </c>
      <c r="G321">
        <v>6990</v>
      </c>
      <c r="H321">
        <v>3401</v>
      </c>
      <c r="I321">
        <v>-3096</v>
      </c>
      <c r="J321">
        <v>311</v>
      </c>
      <c r="K321">
        <v>-4371</v>
      </c>
    </row>
    <row r="322" spans="2:11" x14ac:dyDescent="0.45">
      <c r="B322">
        <v>-8800</v>
      </c>
      <c r="C322">
        <v>0</v>
      </c>
      <c r="D322">
        <v>-1200</v>
      </c>
      <c r="E322">
        <v>-6839</v>
      </c>
      <c r="F322">
        <v>-8246</v>
      </c>
      <c r="G322">
        <v>-2324</v>
      </c>
      <c r="H322">
        <v>0</v>
      </c>
      <c r="I322">
        <v>-4340</v>
      </c>
      <c r="J322">
        <v>-1468</v>
      </c>
      <c r="K322">
        <v>-534</v>
      </c>
    </row>
    <row r="323" spans="2:11" x14ac:dyDescent="0.45">
      <c r="B323">
        <v>-361</v>
      </c>
      <c r="C323">
        <v>5188</v>
      </c>
      <c r="D323">
        <v>0</v>
      </c>
      <c r="E323">
        <v>-3651</v>
      </c>
      <c r="F323">
        <v>-852</v>
      </c>
      <c r="G323">
        <v>-5216</v>
      </c>
      <c r="H323">
        <v>69178</v>
      </c>
      <c r="I323">
        <v>44445</v>
      </c>
      <c r="J323">
        <v>4129</v>
      </c>
      <c r="K323">
        <v>119</v>
      </c>
    </row>
    <row r="324" spans="2:11" x14ac:dyDescent="0.45">
      <c r="B324">
        <v>0</v>
      </c>
      <c r="C324">
        <v>-661</v>
      </c>
      <c r="D324">
        <v>-1084</v>
      </c>
      <c r="E324">
        <v>-18884</v>
      </c>
      <c r="F324">
        <v>-1189</v>
      </c>
      <c r="G324">
        <v>-2635</v>
      </c>
      <c r="H324">
        <v>2321</v>
      </c>
      <c r="I324">
        <v>1227</v>
      </c>
      <c r="J324">
        <v>3710</v>
      </c>
      <c r="K324">
        <v>-20318</v>
      </c>
    </row>
    <row r="325" spans="2:11" x14ac:dyDescent="0.45">
      <c r="B325">
        <v>-3978</v>
      </c>
      <c r="C325">
        <v>-1379</v>
      </c>
      <c r="D325">
        <v>149</v>
      </c>
      <c r="E325">
        <v>7373</v>
      </c>
      <c r="F325">
        <v>4994</v>
      </c>
      <c r="G325">
        <v>992</v>
      </c>
      <c r="H325">
        <v>471</v>
      </c>
      <c r="I325">
        <v>588</v>
      </c>
      <c r="J325">
        <v>-533</v>
      </c>
      <c r="K325">
        <v>-2712</v>
      </c>
    </row>
    <row r="326" spans="2:11" x14ac:dyDescent="0.45">
      <c r="B326">
        <v>1189</v>
      </c>
      <c r="C326">
        <v>-2648</v>
      </c>
      <c r="D326">
        <v>155</v>
      </c>
      <c r="E326">
        <v>1036</v>
      </c>
      <c r="F326">
        <v>-2027</v>
      </c>
      <c r="G326">
        <v>1603</v>
      </c>
      <c r="H326">
        <v>0</v>
      </c>
      <c r="I326">
        <v>0</v>
      </c>
      <c r="J326">
        <v>-1232</v>
      </c>
      <c r="K326">
        <v>0</v>
      </c>
    </row>
    <row r="327" spans="2:11" x14ac:dyDescent="0.45">
      <c r="B327">
        <v>2524</v>
      </c>
      <c r="C327">
        <v>-650</v>
      </c>
      <c r="D327">
        <v>-1253</v>
      </c>
      <c r="E327">
        <v>-1413</v>
      </c>
      <c r="F327">
        <v>0</v>
      </c>
      <c r="G327">
        <v>0</v>
      </c>
      <c r="H327">
        <v>682</v>
      </c>
      <c r="I327">
        <v>811</v>
      </c>
      <c r="J327">
        <v>-390</v>
      </c>
      <c r="K327">
        <v>-1992</v>
      </c>
    </row>
    <row r="328" spans="2:11" x14ac:dyDescent="0.45">
      <c r="B328">
        <v>752</v>
      </c>
      <c r="C328">
        <v>-2301</v>
      </c>
      <c r="D328">
        <v>883</v>
      </c>
      <c r="E328">
        <v>139</v>
      </c>
      <c r="F328">
        <v>466</v>
      </c>
      <c r="G328">
        <v>290</v>
      </c>
      <c r="H328">
        <v>284</v>
      </c>
      <c r="I328">
        <v>258</v>
      </c>
      <c r="J328">
        <v>0</v>
      </c>
      <c r="K328">
        <v>545</v>
      </c>
    </row>
    <row r="329" spans="2:11" x14ac:dyDescent="0.45">
      <c r="B329">
        <v>69</v>
      </c>
      <c r="C329">
        <v>1955</v>
      </c>
      <c r="D329">
        <v>25</v>
      </c>
      <c r="E329">
        <v>0</v>
      </c>
      <c r="F329">
        <v>776</v>
      </c>
      <c r="G329">
        <v>398</v>
      </c>
      <c r="H329">
        <v>98</v>
      </c>
      <c r="I329">
        <v>1479</v>
      </c>
      <c r="J329">
        <v>3467</v>
      </c>
      <c r="K329">
        <v>0</v>
      </c>
    </row>
    <row r="330" spans="2:11" x14ac:dyDescent="0.45">
      <c r="B330">
        <v>316</v>
      </c>
      <c r="C330">
        <v>19</v>
      </c>
      <c r="D330">
        <v>-3909</v>
      </c>
      <c r="E330">
        <v>41521</v>
      </c>
      <c r="F330">
        <v>28499</v>
      </c>
      <c r="G330">
        <v>40879</v>
      </c>
      <c r="H330">
        <v>1205</v>
      </c>
      <c r="I330">
        <v>-1756</v>
      </c>
      <c r="J330">
        <v>0</v>
      </c>
      <c r="K330">
        <v>-736</v>
      </c>
    </row>
    <row r="331" spans="2:11" x14ac:dyDescent="0.45">
      <c r="B331">
        <v>-665</v>
      </c>
      <c r="C331">
        <v>-17629</v>
      </c>
      <c r="D331">
        <v>1559</v>
      </c>
      <c r="E331">
        <v>2029</v>
      </c>
      <c r="F331">
        <v>3215</v>
      </c>
      <c r="G331">
        <v>-2246</v>
      </c>
      <c r="H331">
        <v>2723</v>
      </c>
      <c r="I331">
        <v>-20369</v>
      </c>
      <c r="J331">
        <v>-724</v>
      </c>
      <c r="K331">
        <v>418</v>
      </c>
    </row>
    <row r="332" spans="2:11" x14ac:dyDescent="0.45">
      <c r="B332">
        <v>-2054</v>
      </c>
      <c r="C332">
        <v>1947</v>
      </c>
      <c r="D332">
        <v>-1933</v>
      </c>
      <c r="E332">
        <v>950</v>
      </c>
      <c r="F332">
        <v>-130</v>
      </c>
      <c r="G332">
        <v>1525</v>
      </c>
      <c r="H332">
        <v>1783</v>
      </c>
      <c r="I332">
        <v>-2500</v>
      </c>
      <c r="J332">
        <v>-2857</v>
      </c>
      <c r="K332">
        <v>-4840</v>
      </c>
    </row>
    <row r="333" spans="2:11" x14ac:dyDescent="0.45">
      <c r="B333">
        <v>-565</v>
      </c>
      <c r="C333">
        <v>3223</v>
      </c>
      <c r="D333">
        <v>1573</v>
      </c>
      <c r="E333">
        <v>234</v>
      </c>
      <c r="F333">
        <v>0</v>
      </c>
      <c r="G333">
        <v>0</v>
      </c>
      <c r="H333">
        <v>-3029</v>
      </c>
      <c r="I333">
        <v>0</v>
      </c>
      <c r="J333">
        <v>-528</v>
      </c>
      <c r="K333">
        <v>-2263</v>
      </c>
    </row>
    <row r="334" spans="2:11" x14ac:dyDescent="0.45">
      <c r="B334">
        <v>-2526</v>
      </c>
      <c r="C334">
        <v>-1039</v>
      </c>
      <c r="D334">
        <v>0</v>
      </c>
      <c r="E334">
        <v>0</v>
      </c>
      <c r="F334">
        <v>-195</v>
      </c>
      <c r="G334">
        <v>-2096</v>
      </c>
      <c r="H334">
        <v>-4753</v>
      </c>
      <c r="I334">
        <v>-2679</v>
      </c>
      <c r="J334">
        <v>-1401</v>
      </c>
      <c r="K334">
        <v>-1426</v>
      </c>
    </row>
    <row r="335" spans="2:11" x14ac:dyDescent="0.45">
      <c r="B335">
        <v>-461</v>
      </c>
      <c r="C335">
        <v>472</v>
      </c>
      <c r="D335">
        <v>-2288</v>
      </c>
      <c r="E335">
        <v>787</v>
      </c>
      <c r="F335">
        <v>-859</v>
      </c>
      <c r="G335">
        <v>452</v>
      </c>
      <c r="H335">
        <v>0</v>
      </c>
      <c r="I335">
        <v>107</v>
      </c>
      <c r="J335">
        <v>1222</v>
      </c>
      <c r="K335">
        <v>-178</v>
      </c>
    </row>
    <row r="336" spans="2:11" x14ac:dyDescent="0.45">
      <c r="B336">
        <v>-1236</v>
      </c>
      <c r="C336">
        <v>0</v>
      </c>
      <c r="D336">
        <v>-3000</v>
      </c>
      <c r="E336">
        <v>-477</v>
      </c>
      <c r="F336">
        <v>-236</v>
      </c>
      <c r="G336">
        <v>-1417</v>
      </c>
      <c r="H336">
        <v>-1145</v>
      </c>
      <c r="I336">
        <v>0</v>
      </c>
      <c r="J336">
        <v>3049</v>
      </c>
      <c r="K336">
        <v>2729</v>
      </c>
    </row>
    <row r="337" spans="2:11" x14ac:dyDescent="0.45">
      <c r="B337">
        <v>-3743</v>
      </c>
      <c r="C337">
        <v>41952</v>
      </c>
      <c r="D337">
        <v>27844</v>
      </c>
      <c r="E337">
        <v>41076</v>
      </c>
      <c r="F337">
        <v>29400</v>
      </c>
      <c r="G337">
        <v>693</v>
      </c>
      <c r="H337">
        <v>-3704</v>
      </c>
      <c r="I337">
        <v>0</v>
      </c>
      <c r="J337">
        <v>2257</v>
      </c>
      <c r="K337">
        <v>-1609</v>
      </c>
    </row>
    <row r="338" spans="2:11" x14ac:dyDescent="0.45">
      <c r="B338">
        <v>-20644</v>
      </c>
      <c r="C338">
        <v>-626</v>
      </c>
      <c r="D338">
        <v>-2109</v>
      </c>
      <c r="E338">
        <v>4466</v>
      </c>
      <c r="F338">
        <v>-1357</v>
      </c>
      <c r="G338">
        <v>5833</v>
      </c>
      <c r="H338">
        <v>-23349</v>
      </c>
      <c r="I338">
        <v>502</v>
      </c>
      <c r="J338">
        <v>3590</v>
      </c>
      <c r="K338">
        <v>-2545</v>
      </c>
    </row>
    <row r="339" spans="2:11" x14ac:dyDescent="0.45">
      <c r="B339">
        <v>-910</v>
      </c>
      <c r="C339">
        <v>-2633</v>
      </c>
      <c r="D339">
        <v>-442</v>
      </c>
      <c r="E339">
        <v>3537</v>
      </c>
      <c r="F339">
        <v>162</v>
      </c>
      <c r="G339">
        <v>1022</v>
      </c>
      <c r="H339">
        <v>-377</v>
      </c>
      <c r="I339">
        <v>-2341</v>
      </c>
      <c r="J339">
        <v>-1115</v>
      </c>
      <c r="K339">
        <v>1946</v>
      </c>
    </row>
    <row r="340" spans="2:11" x14ac:dyDescent="0.45">
      <c r="B340">
        <v>5118</v>
      </c>
      <c r="C340">
        <v>-735</v>
      </c>
      <c r="D340">
        <v>-551</v>
      </c>
      <c r="E340">
        <v>0</v>
      </c>
      <c r="F340">
        <v>0</v>
      </c>
      <c r="G340">
        <v>-4001</v>
      </c>
      <c r="H340">
        <v>0</v>
      </c>
      <c r="I340">
        <v>-1310</v>
      </c>
      <c r="J340">
        <v>219</v>
      </c>
      <c r="K340">
        <v>-1251</v>
      </c>
    </row>
    <row r="341" spans="2:11" x14ac:dyDescent="0.45">
      <c r="B341">
        <v>-470</v>
      </c>
      <c r="C341">
        <v>0</v>
      </c>
      <c r="D341">
        <v>0</v>
      </c>
      <c r="E341">
        <v>-976</v>
      </c>
      <c r="F341">
        <v>-72</v>
      </c>
      <c r="G341">
        <v>-1964</v>
      </c>
      <c r="H341">
        <v>-260</v>
      </c>
      <c r="I341">
        <v>-603</v>
      </c>
      <c r="J341">
        <v>-1284</v>
      </c>
      <c r="K341">
        <v>-615</v>
      </c>
    </row>
    <row r="342" spans="2:11" x14ac:dyDescent="0.45">
      <c r="B342">
        <v>3065</v>
      </c>
      <c r="C342">
        <v>-1314</v>
      </c>
      <c r="D342">
        <v>2910</v>
      </c>
      <c r="E342">
        <v>-1213</v>
      </c>
      <c r="F342">
        <v>-385</v>
      </c>
      <c r="G342">
        <v>0</v>
      </c>
      <c r="H342">
        <v>1396</v>
      </c>
      <c r="I342">
        <v>273</v>
      </c>
      <c r="J342">
        <v>182</v>
      </c>
      <c r="K342">
        <v>-998</v>
      </c>
    </row>
    <row r="343" spans="2:11" x14ac:dyDescent="0.45">
      <c r="B343">
        <v>0</v>
      </c>
      <c r="C343">
        <v>-1369</v>
      </c>
      <c r="D343">
        <v>-1210</v>
      </c>
      <c r="E343">
        <v>-94</v>
      </c>
      <c r="F343">
        <v>2159</v>
      </c>
      <c r="G343">
        <v>4185</v>
      </c>
      <c r="H343">
        <v>0</v>
      </c>
      <c r="I343">
        <v>3357</v>
      </c>
      <c r="J343">
        <v>3139</v>
      </c>
      <c r="K343">
        <v>-5608</v>
      </c>
    </row>
    <row r="344" spans="2:11" x14ac:dyDescent="0.45">
      <c r="B344">
        <v>54378</v>
      </c>
      <c r="C344">
        <v>35644</v>
      </c>
      <c r="D344">
        <v>53149</v>
      </c>
      <c r="E344">
        <v>38393</v>
      </c>
      <c r="F344">
        <v>37994</v>
      </c>
      <c r="G344">
        <v>-2557</v>
      </c>
      <c r="H344">
        <v>-1697</v>
      </c>
      <c r="I344">
        <v>0</v>
      </c>
      <c r="J344">
        <v>345</v>
      </c>
      <c r="K344">
        <v>33</v>
      </c>
    </row>
    <row r="345" spans="2:11" x14ac:dyDescent="0.45">
      <c r="B345">
        <v>-239</v>
      </c>
      <c r="C345">
        <v>-847</v>
      </c>
      <c r="D345">
        <v>1719</v>
      </c>
      <c r="E345">
        <v>3344</v>
      </c>
      <c r="F345">
        <v>3698</v>
      </c>
      <c r="G345">
        <v>2748</v>
      </c>
      <c r="H345">
        <v>306</v>
      </c>
      <c r="I345">
        <v>-2059</v>
      </c>
      <c r="J345">
        <v>651</v>
      </c>
      <c r="K345">
        <v>-1689</v>
      </c>
    </row>
    <row r="346" spans="2:11" x14ac:dyDescent="0.45">
      <c r="B346">
        <v>-957</v>
      </c>
      <c r="C346">
        <v>-1228</v>
      </c>
      <c r="D346">
        <v>-898</v>
      </c>
      <c r="E346">
        <v>343</v>
      </c>
      <c r="F346">
        <v>-250</v>
      </c>
      <c r="G346">
        <v>-746</v>
      </c>
      <c r="H346">
        <v>1060</v>
      </c>
      <c r="I346">
        <v>-474</v>
      </c>
      <c r="J346">
        <v>1811</v>
      </c>
      <c r="K346">
        <v>-814</v>
      </c>
    </row>
    <row r="347" spans="2:11" x14ac:dyDescent="0.45">
      <c r="B347">
        <v>295</v>
      </c>
      <c r="C347">
        <v>-197</v>
      </c>
      <c r="D347">
        <v>-214</v>
      </c>
      <c r="E347">
        <v>0</v>
      </c>
      <c r="F347">
        <v>0</v>
      </c>
      <c r="G347">
        <v>524</v>
      </c>
      <c r="H347">
        <v>0</v>
      </c>
      <c r="I347">
        <v>169</v>
      </c>
      <c r="J347">
        <v>-272</v>
      </c>
      <c r="K347">
        <v>-213</v>
      </c>
    </row>
    <row r="348" spans="2:11" x14ac:dyDescent="0.45">
      <c r="B348">
        <v>-194</v>
      </c>
      <c r="C348">
        <v>0</v>
      </c>
      <c r="D348">
        <v>0</v>
      </c>
      <c r="E348">
        <v>768</v>
      </c>
      <c r="F348">
        <v>-745</v>
      </c>
      <c r="G348">
        <v>-1869</v>
      </c>
      <c r="H348">
        <v>-26699</v>
      </c>
      <c r="I348">
        <v>-1008</v>
      </c>
      <c r="J348">
        <v>-1143</v>
      </c>
      <c r="K348">
        <v>-152</v>
      </c>
    </row>
    <row r="349" spans="2:11" x14ac:dyDescent="0.45">
      <c r="B349">
        <v>321</v>
      </c>
      <c r="C349">
        <v>-668</v>
      </c>
      <c r="D349">
        <v>1375</v>
      </c>
      <c r="E349">
        <v>-952</v>
      </c>
      <c r="F349">
        <v>-238</v>
      </c>
      <c r="G349">
        <v>0</v>
      </c>
      <c r="H349">
        <v>-1142</v>
      </c>
      <c r="I349">
        <v>1359</v>
      </c>
      <c r="J349">
        <v>-190</v>
      </c>
      <c r="K349">
        <v>-774</v>
      </c>
    </row>
    <row r="350" spans="2:11" x14ac:dyDescent="0.45">
      <c r="B350">
        <v>0</v>
      </c>
      <c r="C350">
        <v>-147</v>
      </c>
      <c r="D350">
        <v>-228</v>
      </c>
      <c r="E350">
        <v>62</v>
      </c>
      <c r="F350">
        <v>-117</v>
      </c>
      <c r="G350">
        <v>-138</v>
      </c>
      <c r="H350">
        <v>0</v>
      </c>
      <c r="I350">
        <v>-1520</v>
      </c>
      <c r="J350">
        <v>-1044</v>
      </c>
      <c r="K350">
        <v>-378</v>
      </c>
    </row>
    <row r="351" spans="2:11" x14ac:dyDescent="0.45">
      <c r="B351">
        <v>-10070</v>
      </c>
      <c r="C351">
        <v>1190</v>
      </c>
      <c r="D351">
        <v>2731</v>
      </c>
      <c r="E351">
        <v>722</v>
      </c>
      <c r="F351">
        <v>992</v>
      </c>
      <c r="G351">
        <v>826</v>
      </c>
      <c r="H351">
        <v>49</v>
      </c>
      <c r="I351">
        <v>-2781</v>
      </c>
      <c r="J351">
        <v>0</v>
      </c>
      <c r="K351">
        <v>-212</v>
      </c>
    </row>
    <row r="352" spans="2:11" x14ac:dyDescent="0.45">
      <c r="B352">
        <v>489</v>
      </c>
      <c r="C352">
        <v>-255</v>
      </c>
      <c r="D352">
        <v>-205</v>
      </c>
      <c r="E352">
        <v>3256</v>
      </c>
      <c r="F352">
        <v>2088</v>
      </c>
      <c r="G352">
        <v>2491</v>
      </c>
      <c r="H352">
        <v>2491</v>
      </c>
      <c r="I352">
        <v>643</v>
      </c>
      <c r="J352">
        <v>-2098</v>
      </c>
      <c r="K352">
        <v>1165</v>
      </c>
    </row>
    <row r="353" spans="2:11" x14ac:dyDescent="0.45">
      <c r="B353">
        <v>-2301</v>
      </c>
      <c r="C353">
        <v>-1808</v>
      </c>
      <c r="D353">
        <v>-1791</v>
      </c>
      <c r="E353">
        <v>-662</v>
      </c>
      <c r="F353">
        <v>487</v>
      </c>
      <c r="G353">
        <v>121</v>
      </c>
      <c r="H353">
        <v>-406</v>
      </c>
      <c r="I353">
        <v>238</v>
      </c>
      <c r="J353">
        <v>-244</v>
      </c>
      <c r="K353">
        <v>-298</v>
      </c>
    </row>
    <row r="354" spans="2:11" x14ac:dyDescent="0.45">
      <c r="B354">
        <v>-312</v>
      </c>
      <c r="C354">
        <v>-42</v>
      </c>
      <c r="D354">
        <v>-318</v>
      </c>
      <c r="E354">
        <v>-273</v>
      </c>
      <c r="F354">
        <v>0</v>
      </c>
      <c r="G354">
        <v>0</v>
      </c>
      <c r="H354">
        <v>257</v>
      </c>
      <c r="I354">
        <v>0</v>
      </c>
      <c r="J354">
        <v>165</v>
      </c>
      <c r="K354">
        <v>17</v>
      </c>
    </row>
    <row r="355" spans="2:11" x14ac:dyDescent="0.45">
      <c r="B355">
        <v>194</v>
      </c>
      <c r="C355">
        <v>-170</v>
      </c>
      <c r="D355">
        <v>0</v>
      </c>
      <c r="E355">
        <v>0</v>
      </c>
      <c r="F355">
        <v>861</v>
      </c>
      <c r="G355">
        <v>-1271</v>
      </c>
      <c r="H355">
        <v>-1924</v>
      </c>
      <c r="I355">
        <v>-1313</v>
      </c>
      <c r="J355">
        <v>-17297</v>
      </c>
      <c r="K355">
        <v>-1418</v>
      </c>
    </row>
    <row r="356" spans="2:11" x14ac:dyDescent="0.45">
      <c r="B356">
        <v>-335</v>
      </c>
      <c r="C356">
        <v>2604</v>
      </c>
      <c r="D356">
        <v>-381</v>
      </c>
      <c r="E356">
        <v>2394</v>
      </c>
      <c r="F356">
        <v>-901</v>
      </c>
      <c r="G356">
        <v>-1258</v>
      </c>
      <c r="H356">
        <v>0</v>
      </c>
      <c r="I356">
        <v>-303</v>
      </c>
      <c r="J356">
        <v>1083</v>
      </c>
      <c r="K356">
        <v>158</v>
      </c>
    </row>
    <row r="357" spans="2:11" x14ac:dyDescent="0.45">
      <c r="B357">
        <v>-260</v>
      </c>
      <c r="C357">
        <v>0</v>
      </c>
      <c r="D357">
        <v>132</v>
      </c>
      <c r="E357">
        <v>-661</v>
      </c>
      <c r="F357">
        <v>-89</v>
      </c>
      <c r="G357">
        <v>-280</v>
      </c>
      <c r="H357">
        <v>-355</v>
      </c>
      <c r="I357">
        <v>0</v>
      </c>
      <c r="J357">
        <v>-1550</v>
      </c>
      <c r="K357">
        <v>-96</v>
      </c>
    </row>
    <row r="358" spans="2:11" x14ac:dyDescent="0.45">
      <c r="B358">
        <v>137</v>
      </c>
      <c r="C358">
        <v>-10044</v>
      </c>
      <c r="D358">
        <v>833</v>
      </c>
      <c r="E358">
        <v>2147</v>
      </c>
      <c r="F358">
        <v>-210</v>
      </c>
      <c r="G358">
        <v>534</v>
      </c>
      <c r="H358">
        <v>916</v>
      </c>
      <c r="I358">
        <v>4604</v>
      </c>
      <c r="J358">
        <v>496</v>
      </c>
      <c r="K358">
        <v>2272</v>
      </c>
    </row>
    <row r="359" spans="2:11" x14ac:dyDescent="0.45">
      <c r="B359">
        <v>0</v>
      </c>
      <c r="C359">
        <v>-1327</v>
      </c>
      <c r="D359">
        <v>139</v>
      </c>
      <c r="E359">
        <v>-1573</v>
      </c>
      <c r="F359">
        <v>-5804</v>
      </c>
      <c r="G359">
        <v>2622</v>
      </c>
      <c r="H359">
        <v>6539</v>
      </c>
      <c r="I359">
        <v>1365</v>
      </c>
      <c r="J359">
        <v>5894</v>
      </c>
      <c r="K359">
        <v>-1617</v>
      </c>
    </row>
    <row r="360" spans="2:11" x14ac:dyDescent="0.45">
      <c r="B360">
        <v>-1150</v>
      </c>
      <c r="C360">
        <v>-1242</v>
      </c>
      <c r="D360">
        <v>-2705</v>
      </c>
      <c r="E360">
        <v>-146</v>
      </c>
      <c r="F360">
        <v>428</v>
      </c>
      <c r="G360">
        <v>-251</v>
      </c>
      <c r="H360">
        <v>-189</v>
      </c>
      <c r="I360">
        <v>-713</v>
      </c>
      <c r="J360">
        <v>-1417</v>
      </c>
      <c r="K360">
        <v>33</v>
      </c>
    </row>
    <row r="361" spans="2:11" x14ac:dyDescent="0.45">
      <c r="B361">
        <v>-2276</v>
      </c>
      <c r="C361">
        <v>-187</v>
      </c>
      <c r="D361">
        <v>-500</v>
      </c>
      <c r="E361">
        <v>-1903</v>
      </c>
      <c r="F361">
        <v>-299</v>
      </c>
      <c r="G361">
        <v>-2683</v>
      </c>
      <c r="H361">
        <v>0</v>
      </c>
      <c r="I361">
        <v>0</v>
      </c>
      <c r="J361">
        <v>845</v>
      </c>
      <c r="K361">
        <v>0</v>
      </c>
    </row>
    <row r="362" spans="2:11" x14ac:dyDescent="0.45">
      <c r="B362">
        <v>2086</v>
      </c>
      <c r="C362">
        <v>714</v>
      </c>
      <c r="D362">
        <v>484</v>
      </c>
      <c r="E362">
        <v>144</v>
      </c>
      <c r="F362">
        <v>0</v>
      </c>
      <c r="G362">
        <v>0</v>
      </c>
      <c r="H362">
        <v>2157</v>
      </c>
      <c r="I362">
        <v>-5444</v>
      </c>
      <c r="J362">
        <v>-3049</v>
      </c>
      <c r="K362">
        <v>-969</v>
      </c>
    </row>
    <row r="363" spans="2:11" x14ac:dyDescent="0.45">
      <c r="B363">
        <v>-785</v>
      </c>
      <c r="C363">
        <v>-14389</v>
      </c>
      <c r="D363">
        <v>-1301</v>
      </c>
      <c r="E363">
        <v>-2195</v>
      </c>
      <c r="F363">
        <v>203</v>
      </c>
      <c r="G363">
        <v>-199</v>
      </c>
      <c r="H363">
        <v>136</v>
      </c>
      <c r="I363">
        <v>-394</v>
      </c>
      <c r="J363">
        <v>0</v>
      </c>
      <c r="K363">
        <v>-687</v>
      </c>
    </row>
    <row r="364" spans="2:11" x14ac:dyDescent="0.45">
      <c r="B364">
        <v>781</v>
      </c>
      <c r="C364">
        <v>909</v>
      </c>
      <c r="D364">
        <v>-95</v>
      </c>
      <c r="E364">
        <v>0</v>
      </c>
      <c r="F364">
        <v>1182</v>
      </c>
      <c r="G364">
        <v>-387</v>
      </c>
      <c r="H364">
        <v>-203</v>
      </c>
      <c r="I364">
        <v>-1057</v>
      </c>
      <c r="J364">
        <v>-1385</v>
      </c>
      <c r="K364">
        <v>0</v>
      </c>
    </row>
    <row r="365" spans="2:11" x14ac:dyDescent="0.45">
      <c r="B365">
        <v>785</v>
      </c>
      <c r="C365">
        <v>-273</v>
      </c>
      <c r="D365">
        <v>-91</v>
      </c>
      <c r="E365">
        <v>-7952</v>
      </c>
      <c r="F365">
        <v>1387</v>
      </c>
      <c r="G365">
        <v>-3102</v>
      </c>
      <c r="H365">
        <v>556</v>
      </c>
      <c r="I365">
        <v>313</v>
      </c>
      <c r="J365">
        <v>667</v>
      </c>
      <c r="K365">
        <v>3288</v>
      </c>
    </row>
    <row r="366" spans="2:11" x14ac:dyDescent="0.45">
      <c r="B366">
        <v>3373</v>
      </c>
      <c r="C366">
        <v>529</v>
      </c>
      <c r="D366">
        <v>2009</v>
      </c>
      <c r="E366">
        <v>0</v>
      </c>
      <c r="F366">
        <v>-1544</v>
      </c>
      <c r="G366">
        <v>192</v>
      </c>
      <c r="H366">
        <v>-505</v>
      </c>
      <c r="I366">
        <v>-949</v>
      </c>
      <c r="J366">
        <v>-4694</v>
      </c>
      <c r="K366">
        <v>580</v>
      </c>
    </row>
    <row r="367" spans="2:11" x14ac:dyDescent="0.45">
      <c r="B367">
        <v>2413</v>
      </c>
      <c r="C367">
        <v>-374</v>
      </c>
      <c r="D367">
        <v>-792</v>
      </c>
      <c r="E367">
        <v>-679</v>
      </c>
      <c r="F367">
        <v>-1717</v>
      </c>
      <c r="G367">
        <v>-1320</v>
      </c>
      <c r="H367">
        <v>1390</v>
      </c>
      <c r="I367">
        <v>-942</v>
      </c>
      <c r="J367">
        <v>-883</v>
      </c>
      <c r="K367">
        <v>51</v>
      </c>
    </row>
    <row r="368" spans="2:11" x14ac:dyDescent="0.45">
      <c r="B368">
        <v>-765</v>
      </c>
      <c r="C368">
        <v>-136</v>
      </c>
      <c r="D368">
        <v>-608</v>
      </c>
      <c r="E368">
        <v>146</v>
      </c>
      <c r="F368">
        <v>-1451</v>
      </c>
      <c r="G368">
        <v>-1105</v>
      </c>
      <c r="H368">
        <v>445</v>
      </c>
      <c r="I368">
        <v>348</v>
      </c>
      <c r="J368">
        <v>775</v>
      </c>
      <c r="K368">
        <v>0</v>
      </c>
    </row>
    <row r="369" spans="2:11" x14ac:dyDescent="0.45">
      <c r="B369">
        <v>0</v>
      </c>
      <c r="C369">
        <v>-600</v>
      </c>
      <c r="D369">
        <v>0</v>
      </c>
      <c r="E369">
        <v>-79</v>
      </c>
      <c r="F369">
        <v>-310</v>
      </c>
      <c r="G369">
        <v>-1233</v>
      </c>
      <c r="H369">
        <v>-929</v>
      </c>
      <c r="I369">
        <v>0</v>
      </c>
      <c r="J369">
        <v>0</v>
      </c>
      <c r="K369">
        <v>3753</v>
      </c>
    </row>
    <row r="370" spans="2:11" x14ac:dyDescent="0.45">
      <c r="B370">
        <v>-23284</v>
      </c>
      <c r="C370">
        <v>-6414</v>
      </c>
      <c r="D370">
        <v>-241</v>
      </c>
      <c r="E370">
        <v>-1474</v>
      </c>
      <c r="F370">
        <v>-10590</v>
      </c>
      <c r="G370">
        <v>-3934</v>
      </c>
      <c r="H370">
        <v>-407</v>
      </c>
      <c r="I370">
        <v>384</v>
      </c>
      <c r="J370">
        <v>861</v>
      </c>
      <c r="K370">
        <v>1152</v>
      </c>
    </row>
    <row r="371" spans="2:11" x14ac:dyDescent="0.45">
      <c r="B371">
        <v>489</v>
      </c>
      <c r="C371">
        <v>0</v>
      </c>
      <c r="D371">
        <v>-539</v>
      </c>
      <c r="E371">
        <v>-103</v>
      </c>
      <c r="F371">
        <v>-372</v>
      </c>
      <c r="G371">
        <v>-708</v>
      </c>
      <c r="H371">
        <v>0</v>
      </c>
      <c r="I371">
        <v>-165</v>
      </c>
      <c r="J371">
        <v>-1211</v>
      </c>
      <c r="K371">
        <v>-177</v>
      </c>
    </row>
    <row r="372" spans="2:11" x14ac:dyDescent="0.45">
      <c r="B372">
        <v>-279</v>
      </c>
      <c r="C372">
        <v>75</v>
      </c>
      <c r="D372">
        <v>0</v>
      </c>
      <c r="E372">
        <v>141</v>
      </c>
      <c r="F372">
        <v>-1863</v>
      </c>
      <c r="G372">
        <v>484</v>
      </c>
      <c r="H372">
        <v>-5041</v>
      </c>
      <c r="I372">
        <v>-2857</v>
      </c>
      <c r="J372">
        <v>-22143</v>
      </c>
      <c r="K372">
        <v>163</v>
      </c>
    </row>
    <row r="373" spans="2:11" x14ac:dyDescent="0.45">
      <c r="B373">
        <v>306</v>
      </c>
      <c r="C373">
        <v>248</v>
      </c>
      <c r="D373">
        <v>-1340</v>
      </c>
      <c r="E373">
        <v>-787</v>
      </c>
      <c r="F373">
        <v>4239</v>
      </c>
      <c r="G373">
        <v>270</v>
      </c>
      <c r="H373">
        <v>2058</v>
      </c>
      <c r="I373">
        <v>0</v>
      </c>
      <c r="J373">
        <v>-2573</v>
      </c>
      <c r="K373">
        <v>239</v>
      </c>
    </row>
    <row r="374" spans="2:11" x14ac:dyDescent="0.45">
      <c r="B374">
        <v>-2527</v>
      </c>
      <c r="C374">
        <v>-2531</v>
      </c>
      <c r="D374">
        <v>-703</v>
      </c>
      <c r="E374">
        <v>1040</v>
      </c>
      <c r="F374">
        <v>1376</v>
      </c>
      <c r="G374">
        <v>912</v>
      </c>
      <c r="H374">
        <v>-1963</v>
      </c>
      <c r="I374">
        <v>410</v>
      </c>
      <c r="J374">
        <v>-2425</v>
      </c>
      <c r="K374">
        <v>1076</v>
      </c>
    </row>
    <row r="375" spans="2:11" x14ac:dyDescent="0.45">
      <c r="B375">
        <v>-1821</v>
      </c>
      <c r="C375">
        <v>-2240</v>
      </c>
      <c r="D375">
        <v>-1385</v>
      </c>
      <c r="E375">
        <v>-974</v>
      </c>
      <c r="F375">
        <v>-733</v>
      </c>
      <c r="G375">
        <v>-493</v>
      </c>
      <c r="H375">
        <v>-463</v>
      </c>
      <c r="I375">
        <v>-63</v>
      </c>
      <c r="J375">
        <v>-819</v>
      </c>
      <c r="K375">
        <v>-1834</v>
      </c>
    </row>
    <row r="376" spans="2:11" x14ac:dyDescent="0.45">
      <c r="B376">
        <v>54</v>
      </c>
      <c r="C376">
        <v>518</v>
      </c>
      <c r="D376">
        <v>876</v>
      </c>
      <c r="E376">
        <v>0</v>
      </c>
      <c r="F376">
        <v>0</v>
      </c>
      <c r="G376">
        <v>-572</v>
      </c>
      <c r="H376">
        <v>0</v>
      </c>
      <c r="I376">
        <v>-103</v>
      </c>
      <c r="J376">
        <v>-307</v>
      </c>
      <c r="K376">
        <v>-1231</v>
      </c>
    </row>
    <row r="377" spans="2:11" x14ac:dyDescent="0.45">
      <c r="B377">
        <v>-904</v>
      </c>
      <c r="C377">
        <v>0</v>
      </c>
      <c r="D377">
        <v>0</v>
      </c>
      <c r="E377">
        <v>4327</v>
      </c>
      <c r="F377">
        <v>-21609</v>
      </c>
      <c r="G377">
        <v>-6285</v>
      </c>
      <c r="H377">
        <v>-63</v>
      </c>
      <c r="I377">
        <v>-1375</v>
      </c>
      <c r="J377">
        <v>-10067</v>
      </c>
      <c r="K377">
        <v>-3968</v>
      </c>
    </row>
    <row r="378" spans="2:11" x14ac:dyDescent="0.45">
      <c r="B378">
        <v>-35</v>
      </c>
      <c r="C378">
        <v>888</v>
      </c>
      <c r="D378">
        <v>-50</v>
      </c>
      <c r="E378">
        <v>1317</v>
      </c>
      <c r="F378">
        <v>-562</v>
      </c>
      <c r="G378">
        <v>0</v>
      </c>
      <c r="H378">
        <v>-562</v>
      </c>
      <c r="I378">
        <v>-467</v>
      </c>
      <c r="J378">
        <v>519</v>
      </c>
      <c r="K378">
        <v>-336</v>
      </c>
    </row>
    <row r="379" spans="2:11" x14ac:dyDescent="0.45">
      <c r="B379">
        <v>0</v>
      </c>
      <c r="C379">
        <v>721</v>
      </c>
      <c r="D379">
        <v>-560</v>
      </c>
      <c r="E379">
        <v>-54</v>
      </c>
      <c r="F379">
        <v>36</v>
      </c>
      <c r="G379">
        <v>588</v>
      </c>
      <c r="H379">
        <v>0</v>
      </c>
      <c r="I379">
        <v>-335</v>
      </c>
      <c r="J379">
        <v>-2052</v>
      </c>
      <c r="K379">
        <v>553</v>
      </c>
    </row>
    <row r="380" spans="2:11" x14ac:dyDescent="0.45">
      <c r="B380">
        <v>-3369</v>
      </c>
      <c r="C380">
        <v>-1612</v>
      </c>
      <c r="D380">
        <v>-21839</v>
      </c>
      <c r="E380">
        <v>-230</v>
      </c>
      <c r="F380">
        <v>284</v>
      </c>
      <c r="G380">
        <v>293</v>
      </c>
      <c r="H380">
        <v>-1291</v>
      </c>
      <c r="I380">
        <v>-702</v>
      </c>
      <c r="J380">
        <v>4293</v>
      </c>
      <c r="K380">
        <v>17145</v>
      </c>
    </row>
    <row r="381" spans="2:11" x14ac:dyDescent="0.45">
      <c r="B381">
        <v>634</v>
      </c>
      <c r="C381">
        <v>1359</v>
      </c>
      <c r="D381">
        <v>0</v>
      </c>
      <c r="E381">
        <v>-817</v>
      </c>
      <c r="F381">
        <v>51</v>
      </c>
      <c r="G381">
        <v>-192</v>
      </c>
      <c r="H381">
        <v>-655</v>
      </c>
      <c r="I381">
        <v>517</v>
      </c>
      <c r="J381">
        <v>155</v>
      </c>
      <c r="K381">
        <v>-1316</v>
      </c>
    </row>
    <row r="382" spans="2:11" x14ac:dyDescent="0.45">
      <c r="B382">
        <v>52</v>
      </c>
      <c r="C382">
        <v>-507</v>
      </c>
      <c r="D382">
        <v>778</v>
      </c>
      <c r="E382">
        <v>-805</v>
      </c>
      <c r="F382">
        <v>-429</v>
      </c>
      <c r="G382">
        <v>969</v>
      </c>
      <c r="H382">
        <v>-686</v>
      </c>
      <c r="I382">
        <v>-1827</v>
      </c>
      <c r="J382">
        <v>258</v>
      </c>
      <c r="K382">
        <v>-743</v>
      </c>
    </row>
    <row r="383" spans="2:11" x14ac:dyDescent="0.45">
      <c r="B383">
        <v>-255</v>
      </c>
      <c r="C383">
        <v>-25</v>
      </c>
      <c r="D383">
        <v>-407</v>
      </c>
      <c r="E383">
        <v>-461</v>
      </c>
      <c r="F383">
        <v>133</v>
      </c>
      <c r="G383">
        <v>-33</v>
      </c>
      <c r="H383">
        <v>940</v>
      </c>
      <c r="I383">
        <v>444</v>
      </c>
      <c r="J383">
        <v>0</v>
      </c>
      <c r="K383">
        <v>0</v>
      </c>
    </row>
    <row r="384" spans="2:11" x14ac:dyDescent="0.45">
      <c r="B384">
        <v>-157</v>
      </c>
      <c r="C384">
        <v>0</v>
      </c>
      <c r="D384">
        <v>212</v>
      </c>
      <c r="E384">
        <v>-88</v>
      </c>
      <c r="F384">
        <v>-683</v>
      </c>
      <c r="G384">
        <v>-450</v>
      </c>
      <c r="H384">
        <v>0</v>
      </c>
      <c r="I384">
        <v>0</v>
      </c>
      <c r="J384">
        <v>2399</v>
      </c>
      <c r="K384">
        <v>-12647</v>
      </c>
    </row>
    <row r="385" spans="2:11" x14ac:dyDescent="0.45">
      <c r="B385">
        <v>-3499</v>
      </c>
      <c r="C385">
        <v>-119</v>
      </c>
      <c r="D385">
        <v>-894</v>
      </c>
      <c r="E385">
        <v>-3929</v>
      </c>
      <c r="F385">
        <v>-2209</v>
      </c>
      <c r="G385">
        <v>-342</v>
      </c>
      <c r="H385">
        <v>6</v>
      </c>
      <c r="I385">
        <v>-98</v>
      </c>
      <c r="J385">
        <v>495</v>
      </c>
      <c r="K385">
        <v>584</v>
      </c>
    </row>
    <row r="386" spans="2:11" x14ac:dyDescent="0.45">
      <c r="B386">
        <v>0</v>
      </c>
      <c r="C386">
        <v>-310</v>
      </c>
      <c r="D386">
        <v>474</v>
      </c>
      <c r="E386">
        <v>541</v>
      </c>
      <c r="F386">
        <v>-181</v>
      </c>
      <c r="G386">
        <v>0</v>
      </c>
      <c r="H386">
        <v>557</v>
      </c>
      <c r="I386">
        <v>-359</v>
      </c>
      <c r="J386">
        <v>38</v>
      </c>
      <c r="K386">
        <v>-293</v>
      </c>
    </row>
    <row r="387" spans="2:11" x14ac:dyDescent="0.45">
      <c r="B387">
        <v>-367</v>
      </c>
      <c r="C387">
        <v>0</v>
      </c>
      <c r="D387">
        <v>725</v>
      </c>
      <c r="E387">
        <v>-507</v>
      </c>
      <c r="F387">
        <v>107</v>
      </c>
      <c r="G387">
        <v>-1827</v>
      </c>
      <c r="H387">
        <v>-1241</v>
      </c>
      <c r="I387">
        <v>-11562</v>
      </c>
      <c r="J387">
        <v>-206</v>
      </c>
      <c r="K387">
        <v>322</v>
      </c>
    </row>
    <row r="388" spans="2:11" x14ac:dyDescent="0.45">
      <c r="B388">
        <v>103</v>
      </c>
      <c r="C388">
        <v>-828</v>
      </c>
      <c r="D388">
        <v>-448</v>
      </c>
      <c r="E388">
        <v>1884</v>
      </c>
      <c r="F388">
        <v>9140</v>
      </c>
      <c r="G388">
        <v>9050</v>
      </c>
      <c r="H388">
        <v>203</v>
      </c>
      <c r="I388">
        <v>2618</v>
      </c>
      <c r="J388">
        <v>0</v>
      </c>
      <c r="K388">
        <v>-3279</v>
      </c>
    </row>
    <row r="389" spans="2:11" x14ac:dyDescent="0.45">
      <c r="B389">
        <v>42</v>
      </c>
      <c r="C389">
        <v>-3285</v>
      </c>
      <c r="D389">
        <v>-2160</v>
      </c>
      <c r="E389">
        <v>-1717</v>
      </c>
      <c r="F389">
        <v>3472</v>
      </c>
      <c r="G389">
        <v>2683</v>
      </c>
      <c r="H389">
        <v>4498</v>
      </c>
      <c r="I389">
        <v>-3410</v>
      </c>
      <c r="J389">
        <v>-327</v>
      </c>
      <c r="K389">
        <v>-3666</v>
      </c>
    </row>
    <row r="390" spans="2:11" x14ac:dyDescent="0.45">
      <c r="B390">
        <v>-1401</v>
      </c>
      <c r="C390">
        <v>-316</v>
      </c>
      <c r="D390">
        <v>776</v>
      </c>
      <c r="E390">
        <v>-1018</v>
      </c>
      <c r="F390">
        <v>-2054</v>
      </c>
      <c r="G390">
        <v>-1265</v>
      </c>
      <c r="H390">
        <v>-1069</v>
      </c>
      <c r="I390">
        <v>636</v>
      </c>
      <c r="J390">
        <v>-1094</v>
      </c>
      <c r="K390">
        <v>560</v>
      </c>
    </row>
    <row r="391" spans="2:11" x14ac:dyDescent="0.45">
      <c r="B391">
        <v>-4373</v>
      </c>
      <c r="C391">
        <v>-668</v>
      </c>
      <c r="D391">
        <v>824</v>
      </c>
      <c r="E391">
        <v>243</v>
      </c>
      <c r="F391">
        <v>0</v>
      </c>
      <c r="G391">
        <v>0</v>
      </c>
      <c r="H391">
        <v>84</v>
      </c>
      <c r="I391">
        <v>0</v>
      </c>
      <c r="J391">
        <v>-134</v>
      </c>
      <c r="K391">
        <v>-518</v>
      </c>
    </row>
    <row r="392" spans="2:11" x14ac:dyDescent="0.45">
      <c r="B392">
        <v>-650</v>
      </c>
      <c r="C392">
        <v>23</v>
      </c>
      <c r="D392">
        <v>0</v>
      </c>
      <c r="E392">
        <v>0</v>
      </c>
      <c r="F392">
        <v>4305</v>
      </c>
      <c r="G392">
        <v>-6501</v>
      </c>
      <c r="H392">
        <v>-26608</v>
      </c>
      <c r="I392">
        <v>-235</v>
      </c>
      <c r="J392">
        <v>-1164</v>
      </c>
      <c r="K392">
        <v>-3605</v>
      </c>
    </row>
    <row r="393" spans="2:11" x14ac:dyDescent="0.45">
      <c r="B393">
        <v>-6205</v>
      </c>
      <c r="C393">
        <v>-366</v>
      </c>
      <c r="D393">
        <v>1207</v>
      </c>
      <c r="E393">
        <v>-52</v>
      </c>
      <c r="F393">
        <v>1121</v>
      </c>
      <c r="G393">
        <v>531</v>
      </c>
      <c r="H393">
        <v>0</v>
      </c>
      <c r="I393">
        <v>-770</v>
      </c>
      <c r="J393">
        <v>381</v>
      </c>
      <c r="K393">
        <v>457</v>
      </c>
    </row>
    <row r="394" spans="2:11" x14ac:dyDescent="0.45">
      <c r="B394">
        <v>-361</v>
      </c>
      <c r="C394">
        <v>0</v>
      </c>
      <c r="D394">
        <v>-391</v>
      </c>
      <c r="E394">
        <v>-1422</v>
      </c>
      <c r="F394">
        <v>6</v>
      </c>
      <c r="G394">
        <v>290</v>
      </c>
      <c r="H394">
        <v>477</v>
      </c>
      <c r="I394">
        <v>0</v>
      </c>
      <c r="J394">
        <v>477</v>
      </c>
      <c r="K394">
        <v>-1441</v>
      </c>
    </row>
    <row r="395" spans="2:11" x14ac:dyDescent="0.45">
      <c r="B395">
        <v>994</v>
      </c>
      <c r="C395">
        <v>-3681</v>
      </c>
      <c r="D395">
        <v>-1191</v>
      </c>
      <c r="E395">
        <v>-20432</v>
      </c>
      <c r="F395">
        <v>247</v>
      </c>
      <c r="G395">
        <v>1319</v>
      </c>
      <c r="H395">
        <v>1044</v>
      </c>
      <c r="I395">
        <v>-797</v>
      </c>
      <c r="J395">
        <v>-439</v>
      </c>
      <c r="K395">
        <v>2610</v>
      </c>
    </row>
    <row r="396" spans="2:11" x14ac:dyDescent="0.45">
      <c r="B396">
        <v>10762</v>
      </c>
      <c r="C396">
        <v>11277</v>
      </c>
      <c r="D396">
        <v>5731</v>
      </c>
      <c r="E396">
        <v>-676</v>
      </c>
      <c r="F396">
        <v>1582</v>
      </c>
      <c r="G396">
        <v>0</v>
      </c>
      <c r="H396">
        <v>-2645</v>
      </c>
      <c r="I396">
        <v>410</v>
      </c>
      <c r="J396">
        <v>-2462</v>
      </c>
      <c r="K396">
        <v>-1313</v>
      </c>
    </row>
    <row r="397" spans="2:11" x14ac:dyDescent="0.45">
      <c r="B397">
        <v>-1865</v>
      </c>
      <c r="C397">
        <v>1430</v>
      </c>
      <c r="D397">
        <v>1815</v>
      </c>
      <c r="E397">
        <v>484</v>
      </c>
      <c r="F397">
        <v>-2267</v>
      </c>
      <c r="G397">
        <v>-201</v>
      </c>
      <c r="H397">
        <v>-3040</v>
      </c>
      <c r="I397">
        <v>2401</v>
      </c>
      <c r="J397">
        <v>685</v>
      </c>
      <c r="K397">
        <v>294</v>
      </c>
    </row>
    <row r="398" spans="2:11" x14ac:dyDescent="0.45">
      <c r="B398">
        <v>-1326</v>
      </c>
      <c r="C398">
        <v>-1387</v>
      </c>
      <c r="D398">
        <v>-421</v>
      </c>
      <c r="E398">
        <v>-270</v>
      </c>
      <c r="F398">
        <v>-674</v>
      </c>
      <c r="G398">
        <v>897</v>
      </c>
      <c r="H398">
        <v>-238</v>
      </c>
      <c r="I398">
        <v>-2855</v>
      </c>
      <c r="J398">
        <v>-561</v>
      </c>
      <c r="K398">
        <v>340</v>
      </c>
    </row>
    <row r="399" spans="2:11" x14ac:dyDescent="0.45">
      <c r="B399">
        <v>149</v>
      </c>
      <c r="C399">
        <v>0</v>
      </c>
      <c r="D399">
        <v>0</v>
      </c>
      <c r="E399">
        <v>25</v>
      </c>
      <c r="F399">
        <v>0</v>
      </c>
      <c r="G399">
        <v>8</v>
      </c>
      <c r="H399">
        <v>-365</v>
      </c>
      <c r="I399">
        <v>-360</v>
      </c>
      <c r="J399">
        <v>-89</v>
      </c>
      <c r="K399">
        <v>0</v>
      </c>
    </row>
    <row r="400" spans="2:11" x14ac:dyDescent="0.45">
      <c r="B400">
        <v>0</v>
      </c>
      <c r="C400">
        <v>3711</v>
      </c>
      <c r="D400">
        <v>-4905</v>
      </c>
      <c r="E400">
        <v>-16328</v>
      </c>
      <c r="F400">
        <v>-281</v>
      </c>
      <c r="G400">
        <v>-968</v>
      </c>
      <c r="H400">
        <v>-2829</v>
      </c>
      <c r="I400">
        <v>-8716</v>
      </c>
      <c r="J400">
        <v>340</v>
      </c>
      <c r="K400">
        <v>1658</v>
      </c>
    </row>
    <row r="401" spans="2:11" x14ac:dyDescent="0.45">
      <c r="B401">
        <v>475</v>
      </c>
      <c r="C401">
        <v>1581</v>
      </c>
      <c r="D401">
        <v>325</v>
      </c>
      <c r="E401">
        <v>0</v>
      </c>
      <c r="F401">
        <v>-425</v>
      </c>
      <c r="G401">
        <v>1158</v>
      </c>
      <c r="H401">
        <v>649</v>
      </c>
      <c r="I401">
        <v>-89</v>
      </c>
      <c r="J401">
        <v>0</v>
      </c>
      <c r="K401">
        <v>-1181</v>
      </c>
    </row>
    <row r="402" spans="2:11" x14ac:dyDescent="0.45">
      <c r="B402">
        <v>-745</v>
      </c>
      <c r="C402">
        <v>62</v>
      </c>
      <c r="D402">
        <v>231</v>
      </c>
      <c r="E402">
        <v>606</v>
      </c>
      <c r="F402">
        <v>0</v>
      </c>
      <c r="G402">
        <v>229</v>
      </c>
      <c r="H402">
        <v>-2246</v>
      </c>
      <c r="I402">
        <v>776</v>
      </c>
      <c r="J402">
        <v>-3798</v>
      </c>
      <c r="K402">
        <v>-2745</v>
      </c>
    </row>
    <row r="403" spans="2:11" x14ac:dyDescent="0.45">
      <c r="B403">
        <v>-14155</v>
      </c>
      <c r="C403">
        <v>120</v>
      </c>
      <c r="D403">
        <v>707</v>
      </c>
      <c r="E403">
        <v>536</v>
      </c>
      <c r="F403">
        <v>-163</v>
      </c>
      <c r="G403">
        <v>6</v>
      </c>
      <c r="H403">
        <v>1765</v>
      </c>
      <c r="I403">
        <v>7609</v>
      </c>
      <c r="J403">
        <v>7859</v>
      </c>
      <c r="K403">
        <v>3984</v>
      </c>
    </row>
    <row r="404" spans="2:11" x14ac:dyDescent="0.45">
      <c r="B404">
        <v>12232</v>
      </c>
      <c r="C404">
        <v>624</v>
      </c>
      <c r="D404">
        <v>2057</v>
      </c>
      <c r="E404">
        <v>0</v>
      </c>
      <c r="F404">
        <v>-2767</v>
      </c>
      <c r="G404">
        <v>153</v>
      </c>
      <c r="H404">
        <v>-3804</v>
      </c>
      <c r="I404">
        <v>-2293</v>
      </c>
      <c r="J404">
        <v>897</v>
      </c>
      <c r="K404">
        <v>3777</v>
      </c>
    </row>
    <row r="405" spans="2:11" x14ac:dyDescent="0.45">
      <c r="B405">
        <v>984</v>
      </c>
      <c r="C405">
        <v>3619</v>
      </c>
      <c r="D405">
        <v>-3517</v>
      </c>
      <c r="E405">
        <v>-113</v>
      </c>
      <c r="F405">
        <v>-3074</v>
      </c>
      <c r="G405">
        <v>-3655</v>
      </c>
      <c r="H405">
        <v>2404</v>
      </c>
      <c r="I405">
        <v>-53</v>
      </c>
      <c r="J405">
        <v>-3792</v>
      </c>
      <c r="K405">
        <v>-1840</v>
      </c>
    </row>
    <row r="406" spans="2:11" x14ac:dyDescent="0.45">
      <c r="B406">
        <v>-475</v>
      </c>
      <c r="C406">
        <v>-1129</v>
      </c>
      <c r="D406">
        <v>-294</v>
      </c>
      <c r="E406">
        <v>-1091</v>
      </c>
      <c r="F406">
        <v>-587</v>
      </c>
      <c r="G406">
        <v>-3855</v>
      </c>
      <c r="H406">
        <v>-1177</v>
      </c>
      <c r="I406">
        <v>217</v>
      </c>
      <c r="J406">
        <v>-218</v>
      </c>
      <c r="K406">
        <v>0</v>
      </c>
    </row>
    <row r="407" spans="2:11" x14ac:dyDescent="0.45">
      <c r="B407">
        <v>0</v>
      </c>
      <c r="C407">
        <v>116</v>
      </c>
      <c r="D407">
        <v>0</v>
      </c>
      <c r="E407">
        <v>461</v>
      </c>
      <c r="F407">
        <v>-180</v>
      </c>
      <c r="G407">
        <v>-164</v>
      </c>
      <c r="H407">
        <v>28</v>
      </c>
      <c r="I407">
        <v>0</v>
      </c>
      <c r="J407">
        <v>0</v>
      </c>
      <c r="K407">
        <v>2967</v>
      </c>
    </row>
    <row r="408" spans="2:11" x14ac:dyDescent="0.45">
      <c r="B408">
        <v>-3728</v>
      </c>
      <c r="C408">
        <v>-8378</v>
      </c>
      <c r="D408">
        <v>-1111</v>
      </c>
      <c r="E408">
        <v>-1376</v>
      </c>
      <c r="F408">
        <v>-2714</v>
      </c>
      <c r="G408">
        <v>-18068</v>
      </c>
      <c r="H408">
        <v>2684</v>
      </c>
      <c r="I408">
        <v>1377</v>
      </c>
      <c r="J408">
        <v>1102</v>
      </c>
      <c r="K408">
        <v>1108</v>
      </c>
    </row>
    <row r="409" spans="2:11" x14ac:dyDescent="0.45">
      <c r="B409">
        <v>-393</v>
      </c>
      <c r="C409">
        <v>0</v>
      </c>
      <c r="D409">
        <v>-772</v>
      </c>
      <c r="E409">
        <v>1524</v>
      </c>
      <c r="F409">
        <v>-344</v>
      </c>
      <c r="G409">
        <v>-605</v>
      </c>
      <c r="H409">
        <v>0</v>
      </c>
      <c r="I409">
        <v>24</v>
      </c>
      <c r="J409">
        <v>-1281</v>
      </c>
      <c r="K409">
        <v>-38</v>
      </c>
    </row>
    <row r="410" spans="2:11" x14ac:dyDescent="0.45">
      <c r="B410">
        <v>-304</v>
      </c>
      <c r="C410">
        <v>-121</v>
      </c>
      <c r="D410">
        <v>0</v>
      </c>
      <c r="E410">
        <v>-762</v>
      </c>
      <c r="F410">
        <v>-1116</v>
      </c>
      <c r="G410">
        <v>423</v>
      </c>
      <c r="H410">
        <v>-8910</v>
      </c>
      <c r="I410">
        <v>779</v>
      </c>
      <c r="J410">
        <v>-5755</v>
      </c>
      <c r="K410">
        <v>-150</v>
      </c>
    </row>
    <row r="411" spans="2:11" x14ac:dyDescent="0.45">
      <c r="B411">
        <v>590</v>
      </c>
      <c r="C411">
        <v>927</v>
      </c>
      <c r="D411">
        <v>3061</v>
      </c>
      <c r="E411">
        <v>3268</v>
      </c>
      <c r="F411">
        <v>3193</v>
      </c>
      <c r="G411">
        <v>3722</v>
      </c>
      <c r="H411">
        <v>3784</v>
      </c>
      <c r="I411">
        <v>1758</v>
      </c>
      <c r="J411">
        <v>6135</v>
      </c>
      <c r="K411">
        <v>5388</v>
      </c>
    </row>
    <row r="412" spans="2:11" x14ac:dyDescent="0.45">
      <c r="B412">
        <v>-491</v>
      </c>
      <c r="C412">
        <v>750</v>
      </c>
      <c r="D412">
        <v>0</v>
      </c>
      <c r="E412">
        <v>-1878</v>
      </c>
      <c r="F412">
        <v>-90</v>
      </c>
      <c r="G412">
        <v>-1192</v>
      </c>
      <c r="H412">
        <v>-469</v>
      </c>
      <c r="I412">
        <v>-705</v>
      </c>
      <c r="J412">
        <v>-316</v>
      </c>
      <c r="K412">
        <v>-4200</v>
      </c>
    </row>
    <row r="413" spans="2:11" x14ac:dyDescent="0.45">
      <c r="B413">
        <v>-1322</v>
      </c>
      <c r="C413">
        <v>-1093</v>
      </c>
      <c r="D413">
        <v>403</v>
      </c>
      <c r="E413">
        <v>-1876</v>
      </c>
      <c r="F413">
        <v>-321</v>
      </c>
      <c r="G413">
        <v>-932</v>
      </c>
      <c r="H413">
        <v>-1803</v>
      </c>
      <c r="I413">
        <v>-1199</v>
      </c>
      <c r="J413">
        <v>-585</v>
      </c>
      <c r="K413">
        <v>-922</v>
      </c>
    </row>
    <row r="414" spans="2:11" x14ac:dyDescent="0.45">
      <c r="B414">
        <v>90</v>
      </c>
      <c r="C414">
        <v>-306</v>
      </c>
      <c r="D414">
        <v>70</v>
      </c>
      <c r="E414">
        <v>-45</v>
      </c>
      <c r="F414">
        <v>-2411</v>
      </c>
      <c r="G414">
        <v>-371</v>
      </c>
      <c r="H414">
        <v>314</v>
      </c>
      <c r="I414">
        <v>111</v>
      </c>
      <c r="J414">
        <v>0</v>
      </c>
      <c r="K414">
        <v>0</v>
      </c>
    </row>
    <row r="415" spans="2:11" x14ac:dyDescent="0.45">
      <c r="B415">
        <v>-16</v>
      </c>
      <c r="C415">
        <v>0</v>
      </c>
      <c r="D415">
        <v>22</v>
      </c>
      <c r="E415">
        <v>-244</v>
      </c>
      <c r="F415">
        <v>-277</v>
      </c>
      <c r="G415">
        <v>-37</v>
      </c>
      <c r="H415">
        <v>0</v>
      </c>
      <c r="I415">
        <v>0</v>
      </c>
      <c r="J415">
        <v>3500</v>
      </c>
      <c r="K415">
        <v>-4563</v>
      </c>
    </row>
    <row r="416" spans="2:11" x14ac:dyDescent="0.45">
      <c r="B416">
        <v>-15096</v>
      </c>
      <c r="C416">
        <v>-321</v>
      </c>
      <c r="D416">
        <v>-1233</v>
      </c>
      <c r="E416">
        <v>-2667</v>
      </c>
      <c r="F416">
        <v>-9738</v>
      </c>
      <c r="G416">
        <v>761</v>
      </c>
      <c r="H416">
        <v>966</v>
      </c>
      <c r="I416">
        <v>741</v>
      </c>
      <c r="J416">
        <v>814</v>
      </c>
      <c r="K416">
        <v>417</v>
      </c>
    </row>
    <row r="417" spans="2:11" x14ac:dyDescent="0.45">
      <c r="B417">
        <v>0</v>
      </c>
      <c r="C417">
        <v>13</v>
      </c>
      <c r="D417">
        <v>610</v>
      </c>
      <c r="E417">
        <v>1558</v>
      </c>
      <c r="F417">
        <v>17</v>
      </c>
      <c r="G417">
        <v>0</v>
      </c>
      <c r="H417">
        <v>502</v>
      </c>
      <c r="I417">
        <v>-929</v>
      </c>
      <c r="J417">
        <v>8</v>
      </c>
      <c r="K417">
        <v>270</v>
      </c>
    </row>
    <row r="418" spans="2:11" x14ac:dyDescent="0.45">
      <c r="B418">
        <v>696</v>
      </c>
      <c r="C418">
        <v>0</v>
      </c>
      <c r="D418">
        <v>911</v>
      </c>
      <c r="E418">
        <v>-79</v>
      </c>
      <c r="F418">
        <v>293</v>
      </c>
      <c r="G418">
        <v>-3668</v>
      </c>
      <c r="H418">
        <v>-2001</v>
      </c>
      <c r="I418">
        <v>-13218</v>
      </c>
      <c r="J418">
        <v>-215</v>
      </c>
      <c r="K418">
        <v>747</v>
      </c>
    </row>
    <row r="419" spans="2:11" x14ac:dyDescent="0.45">
      <c r="B419">
        <v>497</v>
      </c>
      <c r="C419">
        <v>-453</v>
      </c>
      <c r="D419">
        <v>-75</v>
      </c>
      <c r="E419">
        <v>1455</v>
      </c>
      <c r="F419">
        <v>6717</v>
      </c>
      <c r="G419">
        <v>6989</v>
      </c>
      <c r="H419">
        <v>3717</v>
      </c>
      <c r="I419">
        <v>10897</v>
      </c>
      <c r="J419">
        <v>7711</v>
      </c>
      <c r="K419">
        <v>5144</v>
      </c>
    </row>
    <row r="420" spans="2:11" x14ac:dyDescent="0.4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2:11" x14ac:dyDescent="0.4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2:11" x14ac:dyDescent="0.45"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</row>
    <row r="423" spans="2:11" x14ac:dyDescent="0.45"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</row>
    <row r="424" spans="2:11" x14ac:dyDescent="0.45"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4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2:11" x14ac:dyDescent="0.4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2:11" x14ac:dyDescent="0.4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2:11" x14ac:dyDescent="0.45">
      <c r="B428"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AI53"/>
  <sheetViews>
    <sheetView workbookViewId="0">
      <selection activeCell="F13" sqref="F13"/>
    </sheetView>
  </sheetViews>
  <sheetFormatPr defaultRowHeight="14.25" x14ac:dyDescent="0.45"/>
  <cols>
    <col min="1" max="1" customWidth="true" width="25.0" collapsed="true"/>
    <col min="2" max="11" customWidth="true" width="10.73046875" collapsed="true"/>
    <col min="12" max="12" customWidth="true" width="3.73046875" collapsed="true"/>
    <col min="13" max="13" customWidth="true" width="25.0" collapsed="true"/>
    <col min="14" max="24" customWidth="true" width="10.73046875" collapsed="true"/>
    <col min="25" max="25" customWidth="true" width="17.0" collapsed="true"/>
  </cols>
  <sheetData>
    <row ht="14.65" r="2" spans="1:23" thickBot="1" x14ac:dyDescent="0.5">
      <c r="A2" s="1" t="s">
        <v>183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27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38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38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282562.22878918453</v>
      </c>
      <c r="C5" s="6" t="n">
        <v>17725.881814542132</v>
      </c>
      <c r="D5" s="6" t="n">
        <v>3169.29552107384</v>
      </c>
      <c r="E5" s="6" t="n">
        <v>565.171341960254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304022.57746676076</v>
      </c>
      <c r="L5" s="6"/>
      <c r="M5" t="s">
        <v>1</v>
      </c>
      <c r="N5" s="6" t="n">
        <v>122647.0</v>
      </c>
      <c r="O5" s="6" t="n">
        <v>5920.0</v>
      </c>
      <c r="P5" s="6" t="n">
        <v>1078.0</v>
      </c>
      <c r="Q5" s="6" t="n">
        <v>0.0</v>
      </c>
      <c r="R5" s="6" t="n">
        <v>9.0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130447</v>
      </c>
    </row>
    <row r="6" spans="1:23" x14ac:dyDescent="0.45">
      <c r="A6" t="s">
        <v>12</v>
      </c>
      <c r="B6" s="6" t="n">
        <v>0.0</v>
      </c>
      <c r="C6" s="6" t="n">
        <v>164059.0951548779</v>
      </c>
      <c r="D6" s="6" t="n">
        <v>6412.117803063946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382.6994895938046</v>
      </c>
      <c r="J6" s="6" t="n">
        <v>0.0</v>
      </c>
      <c r="K6" s="6">
        <f ref="K6:K16" si="0" t="shared">SUM(B6:J6)</f>
        <v>170853.91244753564</v>
      </c>
      <c r="L6" s="6"/>
      <c r="M6" t="s">
        <v>12</v>
      </c>
      <c r="N6" s="6" t="n">
        <v>0.0</v>
      </c>
      <c r="O6" s="6" t="n">
        <v>49610.0</v>
      </c>
      <c r="P6" s="6" t="n">
        <v>4208.0</v>
      </c>
      <c r="Q6" s="6" t="n">
        <v>0.0</v>
      </c>
      <c r="R6" s="6" t="n">
        <v>100.0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54288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110302.44982004257</v>
      </c>
      <c r="E7" s="6" t="n">
        <v>0.0</v>
      </c>
      <c r="F7" s="6" t="n">
        <v>37.2230547618264</v>
      </c>
      <c r="G7" s="6" t="n">
        <v>0.0</v>
      </c>
      <c r="H7" s="6" t="n">
        <v>0.0</v>
      </c>
      <c r="I7" s="6" t="n">
        <v>317.2540974473336</v>
      </c>
      <c r="J7" s="6" t="n">
        <v>0.0</v>
      </c>
      <c r="K7" s="6">
        <f si="0" t="shared"/>
        <v>110656.92697225173</v>
      </c>
      <c r="L7" s="6"/>
      <c r="M7" t="s">
        <v>52</v>
      </c>
      <c r="N7" s="6" t="n">
        <v>0.0</v>
      </c>
      <c r="O7" s="6" t="n">
        <v>0.0</v>
      </c>
      <c r="P7" s="6" t="n">
        <v>18692.0</v>
      </c>
      <c r="Q7" s="6" t="n">
        <v>0.0</v>
      </c>
      <c r="R7" s="6" t="n">
        <v>34.0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18860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565.171341960254</v>
      </c>
      <c r="F8" s="6" t="n">
        <v>623.2718361318122</v>
      </c>
      <c r="G8" s="6" t="n">
        <v>0.0</v>
      </c>
      <c r="H8" s="6" t="n">
        <v>0.0</v>
      </c>
      <c r="I8" s="6" t="n">
        <v>0.0</v>
      </c>
      <c r="J8" s="6" t="n">
        <v>0.0</v>
      </c>
      <c r="K8" s="6">
        <f si="0" t="shared"/>
        <v>1188.4431780920663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348.0</v>
      </c>
      <c r="S8" s="6" t="n">
        <v>0.0</v>
      </c>
      <c r="T8" s="6" t="n">
        <v>0.0</v>
      </c>
      <c r="U8" s="6" t="n">
        <v>0.0</v>
      </c>
      <c r="V8" s="6" t="n">
        <v>0.0</v>
      </c>
      <c r="W8" s="6">
        <f si="1" t="shared"/>
        <v>370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242.822618257236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242.822618257236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1.0</v>
      </c>
      <c r="S10" s="6" t="n">
        <v>0.0</v>
      </c>
      <c r="T10" s="6" t="n">
        <v>0.0</v>
      </c>
      <c r="U10" s="6" t="n">
        <v>0.0</v>
      </c>
      <c r="V10" s="6" t="n">
        <v>0.0</v>
      </c>
      <c r="W10" s="6">
        <f si="1" t="shared"/>
        <v>4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0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 t="n">
        <v>0.0</v>
      </c>
      <c r="V11" s="6" t="n">
        <v>0.0</v>
      </c>
      <c r="W11" s="6">
        <f si="1" t="shared"/>
        <v>0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1.0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1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5818.604838947827</v>
      </c>
      <c r="J13" s="6" t="n">
        <v>0.0</v>
      </c>
      <c r="K13" s="6">
        <f si="0" t="shared"/>
        <v>5818.6048389478274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0.0</v>
      </c>
      <c r="V13" s="6" t="n">
        <v>0.0</v>
      </c>
      <c r="W13" s="6">
        <f si="1" t="shared"/>
        <v>0</v>
      </c>
    </row>
    <row r="14" spans="1:23" x14ac:dyDescent="0.45">
      <c r="A14" t="s">
        <v>4</v>
      </c>
      <c r="B14" s="6" t="n">
        <v>149.394057960733</v>
      </c>
      <c r="C14" s="6" t="n">
        <v>327.041443635468</v>
      </c>
      <c r="D14" s="6" t="n">
        <v>0.0</v>
      </c>
      <c r="E14" s="6" t="n">
        <v>0.0</v>
      </c>
      <c r="F14" s="6" t="n">
        <v>28.4975484599947</v>
      </c>
      <c r="G14" s="6" t="n">
        <v>5324.986876093964</v>
      </c>
      <c r="H14" s="6" t="n">
        <v>0.0</v>
      </c>
      <c r="I14" s="6" t="n">
        <v>0.0</v>
      </c>
      <c r="J14" s="6" t="n">
        <v>0.0</v>
      </c>
      <c r="K14" s="6">
        <f si="0" t="shared"/>
        <v>5829.9199261501599</v>
      </c>
      <c r="L14" s="6"/>
      <c r="M14" t="s">
        <v>4</v>
      </c>
      <c r="N14" s="6" t="n">
        <v>34.0</v>
      </c>
      <c r="O14" s="6" t="n">
        <v>18.0</v>
      </c>
      <c r="P14" s="6" t="n">
        <v>5.0</v>
      </c>
      <c r="Q14" s="6" t="n">
        <v>0.0</v>
      </c>
      <c r="R14" s="6" t="n">
        <v>1.0</v>
      </c>
      <c r="S14" s="6" t="n">
        <v>861.0</v>
      </c>
      <c r="T14" s="6" t="n">
        <v>0.0</v>
      </c>
      <c r="U14" s="6" t="n">
        <v>0.0</v>
      </c>
      <c r="V14" s="6" t="n">
        <v>0.0</v>
      </c>
      <c r="W14" s="6">
        <f si="1" t="shared"/>
        <v>881</v>
      </c>
    </row>
    <row r="15" spans="1:23" x14ac:dyDescent="0.45">
      <c r="A15" t="s">
        <v>5</v>
      </c>
      <c r="B15" s="6" t="n">
        <v>1261.2736413918606</v>
      </c>
      <c r="C15" s="6" t="n">
        <v>1689.6078280225465</v>
      </c>
      <c r="D15" s="6" t="n">
        <v>6183.372931267418</v>
      </c>
      <c r="E15" s="6" t="n">
        <v>0.0</v>
      </c>
      <c r="F15" s="6" t="n">
        <v>202.2546183187156</v>
      </c>
      <c r="G15" s="6" t="n">
        <v>783.4766458233711</v>
      </c>
      <c r="H15" s="6" t="n">
        <v>65938.11876354124</v>
      </c>
      <c r="I15" s="6" t="n">
        <v>0.0</v>
      </c>
      <c r="J15" s="6" t="n">
        <v>0.0</v>
      </c>
      <c r="K15" s="6">
        <f si="0" t="shared"/>
        <v>76058.104428365143</v>
      </c>
      <c r="L15" s="6"/>
      <c r="M15" t="s">
        <v>5</v>
      </c>
      <c r="N15" s="6" t="n">
        <v>76.0</v>
      </c>
      <c r="O15" s="6" t="n">
        <v>18.0</v>
      </c>
      <c r="P15" s="6" t="n">
        <v>7.0</v>
      </c>
      <c r="Q15" s="6" t="n">
        <v>0.0</v>
      </c>
      <c r="R15" s="6" t="n">
        <v>2.0</v>
      </c>
      <c r="S15" s="6" t="n">
        <v>10.0</v>
      </c>
      <c r="T15" s="6" t="n">
        <v>33566.0</v>
      </c>
      <c r="U15" s="6" t="n">
        <v>0.0</v>
      </c>
      <c r="V15" s="6" t="n">
        <v>0.0</v>
      </c>
      <c r="W15" s="6">
        <f si="1" t="shared"/>
        <v>34004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283972.89648853708</v>
      </c>
      <c r="C17" s="62">
        <f ref="C17:K17" si="2" t="shared">SUM(C5:C16)</f>
        <v>183801.62624107805</v>
      </c>
      <c r="D17" s="62">
        <f si="2" t="shared"/>
        <v>126067.23607544777</v>
      </c>
      <c r="E17" s="62">
        <f si="2" t="shared"/>
        <v>1130.3426839205081</v>
      </c>
      <c r="F17" s="62">
        <f si="2" t="shared"/>
        <v>1134.0696759295847</v>
      </c>
      <c r="G17" s="62">
        <f si="2" t="shared"/>
        <v>6108.4635219173351</v>
      </c>
      <c r="H17" s="62">
        <f si="2" t="shared"/>
        <v>65938.118763541235</v>
      </c>
      <c r="I17" s="62">
        <f si="2" t="shared"/>
        <v>6518.5584259889656</v>
      </c>
      <c r="J17" s="62">
        <f si="2" t="shared"/>
        <v>0</v>
      </c>
      <c r="K17" s="62">
        <f si="2" t="shared"/>
        <v>674671.31187636056</v>
      </c>
      <c r="M17" s="61" t="s">
        <v>7</v>
      </c>
      <c r="N17" s="62">
        <f>SUM(N5:N16)</f>
        <v>123511</v>
      </c>
      <c r="O17" s="62">
        <f ref="O17:W17" si="3" t="shared">SUM(O5:O16)</f>
        <v>56043</v>
      </c>
      <c r="P17" s="62">
        <f si="3" t="shared"/>
        <v>24016</v>
      </c>
      <c r="Q17" s="62">
        <f si="3" t="shared"/>
        <v>0</v>
      </c>
      <c r="R17" s="62">
        <f si="3" t="shared"/>
        <v>530</v>
      </c>
      <c r="S17" s="62">
        <f si="3" t="shared"/>
        <v>847</v>
      </c>
      <c r="T17" s="62">
        <f si="3" t="shared"/>
        <v>33908</v>
      </c>
      <c r="U17" s="62">
        <f si="3" t="shared"/>
        <v>0</v>
      </c>
      <c r="V17" s="62">
        <f si="3" t="shared"/>
        <v>0</v>
      </c>
      <c r="W17" s="62">
        <f si="3" t="shared"/>
        <v>238855</v>
      </c>
    </row>
    <row ht="14.65" r="20" spans="1:23" thickBot="1" x14ac:dyDescent="0.5">
      <c r="A20" s="1" t="s">
        <v>184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26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38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38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0.99503238612981681</v>
      </c>
      <c r="C23" s="10">
        <f si="4" t="shared"/>
        <v>9.6440288244743252E-2</v>
      </c>
      <c r="D23" s="10">
        <f si="4" t="shared"/>
        <v>2.5139724005506903E-2</v>
      </c>
      <c r="E23" s="10">
        <f si="4" t="shared"/>
        <v>0.5</v>
      </c>
      <c r="F23" s="10">
        <f si="4" t="shared"/>
        <v>0</v>
      </c>
      <c r="G23" s="10">
        <f si="4" t="shared"/>
        <v>0</v>
      </c>
      <c r="H23" s="10">
        <f si="4" t="shared"/>
        <v>0</v>
      </c>
      <c r="I23" s="10">
        <f si="4" t="shared"/>
        <v>0</v>
      </c>
      <c r="J23" s="65" t="e">
        <f si="4" t="shared"/>
        <v>#DIV/0!</v>
      </c>
      <c r="K23" s="10">
        <f ref="K23:K35" si="5" t="shared">K5/K$17</f>
        <v>0.45062324737245618</v>
      </c>
      <c r="L23" s="6"/>
      <c r="M23" t="s">
        <v>1</v>
      </c>
      <c r="N23" s="10">
        <f ref="N23:Q35" si="6" t="shared">N5/N$17</f>
        <v>0.99927941640825513</v>
      </c>
      <c r="O23" s="10">
        <f si="6" t="shared"/>
        <v>0.10684652855842836</v>
      </c>
      <c r="P23" s="10">
        <f si="6" t="shared"/>
        <v>4.2804796802131909E-2</v>
      </c>
      <c r="Q23" s="10" t="e">
        <f si="6" t="shared"/>
        <v>#DIV/0!</v>
      </c>
      <c r="R23" s="10">
        <f ref="R23:W35" si="7" t="shared">R5/R$17</f>
        <v>1.6981132075471698E-2</v>
      </c>
      <c r="S23" s="10">
        <f si="7" t="shared"/>
        <v>0</v>
      </c>
      <c r="T23" s="10">
        <f si="7" t="shared"/>
        <v>0</v>
      </c>
      <c r="U23" s="10" t="e">
        <f si="7" t="shared"/>
        <v>#DIV/0!</v>
      </c>
      <c r="V23" s="65" t="e">
        <f si="7" t="shared"/>
        <v>#DIV/0!</v>
      </c>
      <c r="W23" s="10">
        <f si="7" t="shared"/>
        <v>0.54613468422264555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0.89258783238236727</v>
      </c>
      <c r="D24" s="10">
        <f si="8" t="shared"/>
        <v>5.0862682507185848E-2</v>
      </c>
      <c r="E24" s="10">
        <f si="8" t="shared"/>
        <v>0</v>
      </c>
      <c r="F24" s="10">
        <f si="8" t="shared"/>
        <v>0</v>
      </c>
      <c r="G24" s="10">
        <f si="8" t="shared"/>
        <v>0</v>
      </c>
      <c r="H24" s="10">
        <f si="8" t="shared"/>
        <v>0</v>
      </c>
      <c r="I24" s="10">
        <f si="8" t="shared"/>
        <v>5.8709221362197611E-2</v>
      </c>
      <c r="J24" s="65" t="e">
        <f si="8" t="shared"/>
        <v>#DIV/0!</v>
      </c>
      <c r="K24" s="10">
        <f si="5" t="shared"/>
        <v>0.25324022148261449</v>
      </c>
      <c r="L24" s="6"/>
      <c r="M24" t="s">
        <v>12</v>
      </c>
      <c r="N24" s="10">
        <f si="6" t="shared"/>
        <v>0</v>
      </c>
      <c r="O24" s="10">
        <f si="6" t="shared"/>
        <v>0.89268954195885297</v>
      </c>
      <c r="P24" s="10">
        <f si="6" t="shared"/>
        <v>0.17334277148567623</v>
      </c>
      <c r="Q24" s="10" t="e">
        <f si="6" t="shared"/>
        <v>#DIV/0!</v>
      </c>
      <c r="R24" s="10">
        <f si="7" t="shared"/>
        <v>0.1811320754716981</v>
      </c>
      <c r="S24" s="10">
        <f si="7" t="shared"/>
        <v>0</v>
      </c>
      <c r="T24" s="10">
        <f si="7" t="shared"/>
        <v>0</v>
      </c>
      <c r="U24" s="10" t="e">
        <f si="7" t="shared"/>
        <v>#DIV/0!</v>
      </c>
      <c r="V24" s="65" t="e">
        <f si="7" t="shared"/>
        <v>#DIV/0!</v>
      </c>
      <c r="W24" s="10">
        <f si="7" t="shared"/>
        <v>0.2272843356848297</v>
      </c>
    </row>
    <row r="25" spans="1:23" x14ac:dyDescent="0.45">
      <c r="A25" t="s">
        <v>52</v>
      </c>
      <c r="B25" s="10">
        <f ref="B25:J25" si="9" t="shared">B7/B$17</f>
        <v>0</v>
      </c>
      <c r="C25" s="10">
        <f si="9" t="shared"/>
        <v>0</v>
      </c>
      <c r="D25" s="10">
        <f si="9" t="shared"/>
        <v>0.87494937823519503</v>
      </c>
      <c r="E25" s="10">
        <f si="9" t="shared"/>
        <v>0</v>
      </c>
      <c r="F25" s="10">
        <f si="9" t="shared"/>
        <v>3.2822546578820264E-2</v>
      </c>
      <c r="G25" s="10">
        <f si="9" t="shared"/>
        <v>0</v>
      </c>
      <c r="H25" s="10">
        <f si="9" t="shared"/>
        <v>0</v>
      </c>
      <c r="I25" s="10">
        <f si="9" t="shared"/>
        <v>4.866936471451528E-2</v>
      </c>
      <c r="J25" s="65" t="e">
        <f si="9" t="shared"/>
        <v>#DIV/0!</v>
      </c>
      <c r="K25" s="10">
        <f si="5" t="shared"/>
        <v>0.1640160549653408</v>
      </c>
      <c r="L25" s="6"/>
      <c r="M25" t="s">
        <v>52</v>
      </c>
      <c r="N25" s="10">
        <f si="6" t="shared"/>
        <v>0</v>
      </c>
      <c r="O25" s="10">
        <f si="6" t="shared"/>
        <v>0</v>
      </c>
      <c r="P25" s="10">
        <f si="6" t="shared"/>
        <v>0.7835193204530313</v>
      </c>
      <c r="Q25" s="10" t="e">
        <f si="6" t="shared"/>
        <v>#DIV/0!</v>
      </c>
      <c r="R25" s="10">
        <f si="7" t="shared"/>
        <v>8.1132075471698109E-2</v>
      </c>
      <c r="S25" s="10">
        <f si="7" t="shared"/>
        <v>0</v>
      </c>
      <c r="T25" s="10">
        <f si="7" t="shared"/>
        <v>0</v>
      </c>
      <c r="U25" s="10" t="e">
        <f si="7" t="shared"/>
        <v>#DIV/0!</v>
      </c>
      <c r="V25" s="65" t="e">
        <f si="7" t="shared"/>
        <v>#DIV/0!</v>
      </c>
      <c r="W25" s="10">
        <f si="7" t="shared"/>
        <v>7.8960038517091963E-2</v>
      </c>
    </row>
    <row r="26" spans="1:23" x14ac:dyDescent="0.45">
      <c r="A26" t="s">
        <v>47</v>
      </c>
      <c r="B26" s="10">
        <f ref="B26:J26" si="10" t="shared">B8/B$17</f>
        <v>0</v>
      </c>
      <c r="C26" s="10">
        <f si="10" t="shared"/>
        <v>0</v>
      </c>
      <c r="D26" s="10">
        <f si="10" t="shared"/>
        <v>0</v>
      </c>
      <c r="E26" s="10">
        <f si="10" t="shared"/>
        <v>0.5</v>
      </c>
      <c r="F26" s="10">
        <f si="10" t="shared"/>
        <v>0.54958866228472514</v>
      </c>
      <c r="G26" s="10">
        <f si="10" t="shared"/>
        <v>0</v>
      </c>
      <c r="H26" s="10">
        <f si="10" t="shared"/>
        <v>0</v>
      </c>
      <c r="I26" s="10">
        <f si="10" t="shared"/>
        <v>0</v>
      </c>
      <c r="J26" s="65" t="e">
        <f si="10" t="shared"/>
        <v>#DIV/0!</v>
      </c>
      <c r="K26" s="10">
        <f si="5" t="shared"/>
        <v>1.7615143213764793E-3</v>
      </c>
      <c r="L26" s="6"/>
      <c r="M26" t="s">
        <v>47</v>
      </c>
      <c r="N26" s="10">
        <f si="6" t="shared"/>
        <v>0</v>
      </c>
      <c r="O26" s="10">
        <f si="6" t="shared"/>
        <v>0</v>
      </c>
      <c r="P26" s="10">
        <f si="6" t="shared"/>
        <v>0</v>
      </c>
      <c r="Q26" s="10" t="e">
        <f si="6" t="shared"/>
        <v>#DIV/0!</v>
      </c>
      <c r="R26" s="10">
        <f si="7" t="shared"/>
        <v>0.69811320754716977</v>
      </c>
      <c r="S26" s="10">
        <f si="7" t="shared"/>
        <v>0</v>
      </c>
      <c r="T26" s="10">
        <f si="7" t="shared"/>
        <v>0</v>
      </c>
      <c r="U26" s="10" t="e">
        <f si="7" t="shared"/>
        <v>#DIV/0!</v>
      </c>
      <c r="V26" s="65" t="e">
        <f si="7" t="shared"/>
        <v>#DIV/0!</v>
      </c>
      <c r="W26" s="10">
        <f si="7" t="shared"/>
        <v>1.5490569592430555E-3</v>
      </c>
    </row>
    <row r="27" spans="1:23" x14ac:dyDescent="0.45">
      <c r="A27" t="s">
        <v>48</v>
      </c>
      <c r="B27" s="10">
        <f ref="B27:J27" si="11" t="shared">B9/B$17</f>
        <v>0</v>
      </c>
      <c r="C27" s="10">
        <f si="11" t="shared"/>
        <v>0</v>
      </c>
      <c r="D27" s="10">
        <f si="11" t="shared"/>
        <v>0</v>
      </c>
      <c r="E27" s="10">
        <f si="11" t="shared"/>
        <v>0</v>
      </c>
      <c r="F27" s="10">
        <f si="11" t="shared"/>
        <v>0</v>
      </c>
      <c r="G27" s="10">
        <f si="11" t="shared"/>
        <v>0</v>
      </c>
      <c r="H27" s="10">
        <f si="11" t="shared"/>
        <v>0</v>
      </c>
      <c r="I27" s="10">
        <f si="11" t="shared"/>
        <v>0</v>
      </c>
      <c r="J27" s="65" t="e">
        <f si="11" t="shared"/>
        <v>#DIV/0!</v>
      </c>
      <c r="K27" s="10">
        <f si="5" t="shared"/>
        <v>0</v>
      </c>
      <c r="L27" s="6"/>
      <c r="M27" t="s">
        <v>48</v>
      </c>
      <c r="N27" s="10">
        <f si="6" t="shared"/>
        <v>0</v>
      </c>
      <c r="O27" s="10">
        <f si="6" t="shared"/>
        <v>0</v>
      </c>
      <c r="P27" s="10">
        <f si="6" t="shared"/>
        <v>0</v>
      </c>
      <c r="Q27" s="10" t="e">
        <f si="6" t="shared"/>
        <v>#DIV/0!</v>
      </c>
      <c r="R27" s="10">
        <f si="7" t="shared"/>
        <v>0</v>
      </c>
      <c r="S27" s="10">
        <f si="7" t="shared"/>
        <v>0</v>
      </c>
      <c r="T27" s="10">
        <f si="7" t="shared"/>
        <v>0</v>
      </c>
      <c r="U27" s="10" t="e">
        <f si="7" t="shared"/>
        <v>#DIV/0!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12" t="shared">B10/B$17</f>
        <v>0</v>
      </c>
      <c r="C28" s="10">
        <f si="12" t="shared"/>
        <v>0</v>
      </c>
      <c r="D28" s="10">
        <f si="12" t="shared"/>
        <v>0</v>
      </c>
      <c r="E28" s="10">
        <f si="12" t="shared"/>
        <v>0</v>
      </c>
      <c r="F28" s="10">
        <f si="12" t="shared"/>
        <v>0.21411613713963112</v>
      </c>
      <c r="G28" s="10">
        <f si="12" t="shared"/>
        <v>0</v>
      </c>
      <c r="H28" s="10">
        <f si="12" t="shared"/>
        <v>0</v>
      </c>
      <c r="I28" s="10">
        <f si="12" t="shared"/>
        <v>0</v>
      </c>
      <c r="J28" s="65" t="e">
        <f si="12" t="shared"/>
        <v>#DIV/0!</v>
      </c>
      <c r="K28" s="10">
        <f si="5" t="shared"/>
        <v>3.5991246994319416E-4</v>
      </c>
      <c r="L28" s="6"/>
      <c r="M28" t="s">
        <v>49</v>
      </c>
      <c r="N28" s="10">
        <f si="6" t="shared"/>
        <v>0</v>
      </c>
      <c r="O28" s="10">
        <f si="6" t="shared"/>
        <v>0</v>
      </c>
      <c r="P28" s="10">
        <f si="6" t="shared"/>
        <v>0</v>
      </c>
      <c r="Q28" s="10" t="e">
        <f si="6" t="shared"/>
        <v>#DIV/0!</v>
      </c>
      <c r="R28" s="10">
        <f si="7" t="shared"/>
        <v>7.5471698113207548E-3</v>
      </c>
      <c r="S28" s="10">
        <f si="7" t="shared"/>
        <v>0</v>
      </c>
      <c r="T28" s="10">
        <f si="7" t="shared"/>
        <v>0</v>
      </c>
      <c r="U28" s="10" t="e">
        <f si="7" t="shared"/>
        <v>#DIV/0!</v>
      </c>
      <c r="V28" s="65" t="e">
        <f si="7" t="shared"/>
        <v>#DIV/0!</v>
      </c>
      <c r="W28" s="10">
        <f si="7" t="shared"/>
        <v>1.6746561721546544E-5</v>
      </c>
    </row>
    <row r="29" spans="1:23" x14ac:dyDescent="0.45">
      <c r="A29" t="s">
        <v>50</v>
      </c>
      <c r="B29" s="10">
        <f ref="B29:J29" si="13" t="shared">B11/B$17</f>
        <v>0</v>
      </c>
      <c r="C29" s="10">
        <f si="13" t="shared"/>
        <v>0</v>
      </c>
      <c r="D29" s="10">
        <f si="13" t="shared"/>
        <v>0</v>
      </c>
      <c r="E29" s="10">
        <f si="13" t="shared"/>
        <v>0</v>
      </c>
      <c r="F29" s="10">
        <f si="13" t="shared"/>
        <v>0</v>
      </c>
      <c r="G29" s="10">
        <f si="13" t="shared"/>
        <v>0</v>
      </c>
      <c r="H29" s="10">
        <f si="13" t="shared"/>
        <v>0</v>
      </c>
      <c r="I29" s="10">
        <f si="13" t="shared"/>
        <v>0</v>
      </c>
      <c r="J29" s="65" t="e">
        <f si="13" t="shared"/>
        <v>#DIV/0!</v>
      </c>
      <c r="K29" s="10">
        <f si="5" t="shared"/>
        <v>0</v>
      </c>
      <c r="L29" s="6"/>
      <c r="M29" t="s">
        <v>50</v>
      </c>
      <c r="N29" s="10">
        <f si="6" t="shared"/>
        <v>0</v>
      </c>
      <c r="O29" s="10">
        <f si="6" t="shared"/>
        <v>0</v>
      </c>
      <c r="P29" s="10">
        <f si="6" t="shared"/>
        <v>0</v>
      </c>
      <c r="Q29" s="10" t="e">
        <f si="6" t="shared"/>
        <v>#DIV/0!</v>
      </c>
      <c r="R29" s="10">
        <f si="7" t="shared"/>
        <v>0</v>
      </c>
      <c r="S29" s="10">
        <f si="7" t="shared"/>
        <v>0</v>
      </c>
      <c r="T29" s="10">
        <f si="7" t="shared"/>
        <v>0</v>
      </c>
      <c r="U29" s="10" t="e">
        <f si="7" t="shared"/>
        <v>#DIV/0!</v>
      </c>
      <c r="V29" s="65" t="e">
        <f si="7" t="shared"/>
        <v>#DIV/0!</v>
      </c>
      <c r="W29" s="10">
        <f si="7" t="shared"/>
        <v>0</v>
      </c>
    </row>
    <row r="30" spans="1:23" x14ac:dyDescent="0.45">
      <c r="A30" t="s">
        <v>51</v>
      </c>
      <c r="B30" s="10">
        <f ref="B30:J30" si="14" t="shared">B12/B$17</f>
        <v>0</v>
      </c>
      <c r="C30" s="10">
        <f si="14" t="shared"/>
        <v>0</v>
      </c>
      <c r="D30" s="10">
        <f si="14" t="shared"/>
        <v>0</v>
      </c>
      <c r="E30" s="10">
        <f si="14" t="shared"/>
        <v>0</v>
      </c>
      <c r="F30" s="10">
        <f si="14" t="shared"/>
        <v>0</v>
      </c>
      <c r="G30" s="10">
        <f si="14" t="shared"/>
        <v>0</v>
      </c>
      <c r="H30" s="10">
        <f si="14" t="shared"/>
        <v>0</v>
      </c>
      <c r="I30" s="10">
        <f si="14" t="shared"/>
        <v>0</v>
      </c>
      <c r="J30" s="65" t="e">
        <f si="14" t="shared"/>
        <v>#DIV/0!</v>
      </c>
      <c r="K30" s="10">
        <f si="5" t="shared"/>
        <v>0</v>
      </c>
      <c r="L30" s="6"/>
      <c r="M30" t="s">
        <v>51</v>
      </c>
      <c r="N30" s="10">
        <f si="6" t="shared"/>
        <v>0</v>
      </c>
      <c r="O30" s="10">
        <f si="6" t="shared"/>
        <v>0</v>
      </c>
      <c r="P30" s="10">
        <f si="6" t="shared"/>
        <v>0</v>
      </c>
      <c r="Q30" s="10" t="e">
        <f si="6" t="shared"/>
        <v>#DIV/0!</v>
      </c>
      <c r="R30" s="10">
        <f si="7" t="shared"/>
        <v>1.8867924528301887E-3</v>
      </c>
      <c r="S30" s="10">
        <f si="7" t="shared"/>
        <v>0</v>
      </c>
      <c r="T30" s="10">
        <f si="7" t="shared"/>
        <v>0</v>
      </c>
      <c r="U30" s="10" t="e">
        <f si="7" t="shared"/>
        <v>#DIV/0!</v>
      </c>
      <c r="V30" s="65" t="e">
        <f si="7" t="shared"/>
        <v>#DIV/0!</v>
      </c>
      <c r="W30" s="10">
        <f si="7" t="shared"/>
        <v>4.186640430386636E-6</v>
      </c>
    </row>
    <row r="31" spans="1:23" x14ac:dyDescent="0.45">
      <c r="A31" t="s">
        <v>23</v>
      </c>
      <c r="B31" s="10">
        <f ref="B31:J31" si="15" t="shared">B13/B$17</f>
        <v>0</v>
      </c>
      <c r="C31" s="10">
        <f si="15" t="shared"/>
        <v>0</v>
      </c>
      <c r="D31" s="10">
        <f si="15" t="shared"/>
        <v>0</v>
      </c>
      <c r="E31" s="10">
        <f si="15" t="shared"/>
        <v>0</v>
      </c>
      <c r="F31" s="10">
        <f si="15" t="shared"/>
        <v>0</v>
      </c>
      <c r="G31" s="10">
        <f si="15" t="shared"/>
        <v>0</v>
      </c>
      <c r="H31" s="10">
        <f si="15" t="shared"/>
        <v>0</v>
      </c>
      <c r="I31" s="10">
        <f si="15" t="shared"/>
        <v>0.89262141392328709</v>
      </c>
      <c r="J31" s="65" t="e">
        <f si="15" t="shared"/>
        <v>#DIV/0!</v>
      </c>
      <c r="K31" s="10">
        <f si="5" t="shared"/>
        <v>8.6243549066365791E-3</v>
      </c>
      <c r="L31" s="6"/>
      <c r="M31" t="s">
        <v>23</v>
      </c>
      <c r="N31" s="10">
        <f si="6" t="shared"/>
        <v>0</v>
      </c>
      <c r="O31" s="10">
        <f si="6" t="shared"/>
        <v>0</v>
      </c>
      <c r="P31" s="10">
        <f si="6" t="shared"/>
        <v>0</v>
      </c>
      <c r="Q31" s="10" t="e">
        <f si="6" t="shared"/>
        <v>#DIV/0!</v>
      </c>
      <c r="R31" s="10">
        <f si="7" t="shared"/>
        <v>0</v>
      </c>
      <c r="S31" s="10">
        <f si="7" t="shared"/>
        <v>0</v>
      </c>
      <c r="T31" s="10">
        <f si="7" t="shared"/>
        <v>0</v>
      </c>
      <c r="U31" s="10" t="e">
        <f si="7" t="shared"/>
        <v>#DIV/0!</v>
      </c>
      <c r="V31" s="65" t="e">
        <f si="7" t="shared"/>
        <v>#DIV/0!</v>
      </c>
      <c r="W31" s="10">
        <f si="7" t="shared"/>
        <v>0</v>
      </c>
    </row>
    <row r="32" spans="1:23" x14ac:dyDescent="0.45">
      <c r="A32" t="s">
        <v>4</v>
      </c>
      <c r="B32" s="10">
        <f ref="B32:J32" si="16" t="shared">B14/B$17</f>
        <v>5.2608562228319375E-4</v>
      </c>
      <c r="C32" s="10">
        <f si="16" t="shared"/>
        <v>1.7793174648330567E-3</v>
      </c>
      <c r="D32" s="10">
        <f si="16" t="shared"/>
        <v>0</v>
      </c>
      <c r="E32" s="10">
        <f si="16" t="shared"/>
        <v>0</v>
      </c>
      <c r="F32" s="10">
        <f si="16" t="shared"/>
        <v>2.5128569315316155E-2</v>
      </c>
      <c r="G32" s="10">
        <f si="16" t="shared"/>
        <v>0.87173916271870411</v>
      </c>
      <c r="H32" s="10">
        <f si="16" t="shared"/>
        <v>0</v>
      </c>
      <c r="I32" s="10">
        <f si="16" t="shared"/>
        <v>0</v>
      </c>
      <c r="J32" s="65" t="e">
        <f si="16" t="shared"/>
        <v>#DIV/0!</v>
      </c>
      <c r="K32" s="10">
        <f si="5" t="shared"/>
        <v>8.6411261654749955E-3</v>
      </c>
      <c r="L32" s="6"/>
      <c r="M32" t="s">
        <v>4</v>
      </c>
      <c r="N32" s="10">
        <f si="6" t="shared"/>
        <v>2.3479690068091102E-4</v>
      </c>
      <c r="O32" s="10">
        <f si="6" t="shared"/>
        <v>1.9627785807326518E-4</v>
      </c>
      <c r="P32" s="10">
        <f si="6" t="shared"/>
        <v>1.2491672218520986E-4</v>
      </c>
      <c r="Q32" s="10" t="e">
        <f si="6" t="shared"/>
        <v>#DIV/0!</v>
      </c>
      <c r="R32" s="10">
        <f si="7" t="shared"/>
        <v>5.6603773584905656E-3</v>
      </c>
      <c r="S32" s="10">
        <f si="7" t="shared"/>
        <v>0.98583234946871312</v>
      </c>
      <c r="T32" s="10">
        <f si="7" t="shared"/>
        <v>0</v>
      </c>
      <c r="U32" s="10" t="e">
        <f si="7" t="shared"/>
        <v>#DIV/0!</v>
      </c>
      <c r="V32" s="65" t="e">
        <f si="7" t="shared"/>
        <v>#DIV/0!</v>
      </c>
      <c r="W32" s="10">
        <f si="7" t="shared"/>
        <v>3.6884302191706264E-3</v>
      </c>
    </row>
    <row r="33" spans="1:34" x14ac:dyDescent="0.45">
      <c r="A33" t="s">
        <v>5</v>
      </c>
      <c r="B33" s="10">
        <f ref="B33:J33" si="17" t="shared">B15/B$17</f>
        <v>4.4415282479001424E-3</v>
      </c>
      <c r="C33" s="10">
        <f si="17" t="shared"/>
        <v>9.1925619080563611E-3</v>
      </c>
      <c r="D33" s="10">
        <f si="17" t="shared"/>
        <v>4.9048215252112289E-2</v>
      </c>
      <c r="E33" s="10">
        <f si="17" t="shared"/>
        <v>0</v>
      </c>
      <c r="F33" s="10">
        <f si="17" t="shared"/>
        <v>0.17834408468150748</v>
      </c>
      <c r="G33" s="10">
        <f si="17" t="shared"/>
        <v>0.12826083728129592</v>
      </c>
      <c r="H33" s="10">
        <f si="17" t="shared"/>
        <v>1</v>
      </c>
      <c r="I33" s="10">
        <f si="17" t="shared"/>
        <v>0</v>
      </c>
      <c r="J33" s="65" t="e">
        <f si="17" t="shared"/>
        <v>#DIV/0!</v>
      </c>
      <c r="K33" s="10">
        <f si="5" t="shared"/>
        <v>0.11273356831615727</v>
      </c>
      <c r="L33" s="6"/>
      <c r="M33" t="s">
        <v>5</v>
      </c>
      <c r="N33" s="10">
        <f si="6" t="shared"/>
        <v>4.8578669106395382E-4</v>
      </c>
      <c r="O33" s="10">
        <f si="6" t="shared"/>
        <v>2.6765162464536157E-4</v>
      </c>
      <c r="P33" s="10">
        <f si="6" t="shared"/>
        <v>2.0819453697534977E-4</v>
      </c>
      <c r="Q33" s="10" t="e">
        <f si="6" t="shared"/>
        <v>#DIV/0!</v>
      </c>
      <c r="R33" s="10">
        <f si="7" t="shared"/>
        <v>7.5471698113207548E-3</v>
      </c>
      <c r="S33" s="10">
        <f si="7" t="shared"/>
        <v>1.4167650531286895E-2</v>
      </c>
      <c r="T33" s="10">
        <f si="7" t="shared"/>
        <v>1</v>
      </c>
      <c r="U33" s="10" t="e">
        <f si="7" t="shared"/>
        <v>#DIV/0!</v>
      </c>
      <c r="V33" s="65" t="e">
        <f si="7" t="shared"/>
        <v>#DIV/0!</v>
      </c>
      <c r="W33" s="10">
        <f si="7" t="shared"/>
        <v>0.14236252119486717</v>
      </c>
    </row>
    <row r="34" spans="1:34" x14ac:dyDescent="0.45">
      <c r="A34" t="s">
        <v>166</v>
      </c>
      <c r="B34" s="11">
        <f ref="B34:J34" si="18" t="shared">B16/B$17</f>
        <v>0</v>
      </c>
      <c r="C34" s="11">
        <f si="18" t="shared"/>
        <v>0</v>
      </c>
      <c r="D34" s="11">
        <f si="18" t="shared"/>
        <v>0</v>
      </c>
      <c r="E34" s="11">
        <f si="18" t="shared"/>
        <v>0</v>
      </c>
      <c r="F34" s="11">
        <f si="18" t="shared"/>
        <v>0</v>
      </c>
      <c r="G34" s="11">
        <f si="18" t="shared"/>
        <v>0</v>
      </c>
      <c r="H34" s="11">
        <f si="18" t="shared"/>
        <v>0</v>
      </c>
      <c r="I34" s="11">
        <f si="18" t="shared"/>
        <v>0</v>
      </c>
      <c r="J34" s="66" t="e">
        <f si="18" t="shared"/>
        <v>#DIV/0!</v>
      </c>
      <c r="K34" s="10">
        <f si="5" t="shared"/>
        <v>0</v>
      </c>
      <c r="L34" s="6"/>
      <c r="M34" t="s">
        <v>166</v>
      </c>
      <c r="N34" s="11">
        <f si="6" t="shared"/>
        <v>0</v>
      </c>
      <c r="O34" s="11">
        <f si="6" t="shared"/>
        <v>0</v>
      </c>
      <c r="P34" s="11">
        <f si="6" t="shared"/>
        <v>0</v>
      </c>
      <c r="Q34" s="11" t="e">
        <f si="6" t="shared"/>
        <v>#DIV/0!</v>
      </c>
      <c r="R34" s="11">
        <f si="7" t="shared"/>
        <v>0</v>
      </c>
      <c r="S34" s="11">
        <f si="7" t="shared"/>
        <v>0</v>
      </c>
      <c r="T34" s="11">
        <f si="7" t="shared"/>
        <v>0</v>
      </c>
      <c r="U34" s="11" t="e">
        <f si="7" t="shared"/>
        <v>#DIV/0!</v>
      </c>
      <c r="V34" s="66" t="e">
        <f si="7" t="shared"/>
        <v>#DIV/0!</v>
      </c>
      <c r="W34" s="10">
        <f si="7" t="shared"/>
        <v>0</v>
      </c>
    </row>
    <row ht="14.65" r="35" spans="1:34" thickBot="1" x14ac:dyDescent="0.5">
      <c r="A35" s="61" t="s">
        <v>7</v>
      </c>
      <c r="B35" s="63">
        <f ref="B35:J35" si="19" t="shared">B17/B$17</f>
        <v>1</v>
      </c>
      <c r="C35" s="63">
        <f si="19" t="shared"/>
        <v>1</v>
      </c>
      <c r="D35" s="63">
        <f si="19" t="shared"/>
        <v>1</v>
      </c>
      <c r="E35" s="63">
        <f si="19" t="shared"/>
        <v>1</v>
      </c>
      <c r="F35" s="63">
        <f si="19" t="shared"/>
        <v>1</v>
      </c>
      <c r="G35" s="63">
        <f si="19" t="shared"/>
        <v>1</v>
      </c>
      <c r="H35" s="63">
        <f si="19" t="shared"/>
        <v>1</v>
      </c>
      <c r="I35" s="63">
        <f si="19" t="shared"/>
        <v>1</v>
      </c>
      <c r="J35" s="67" t="e">
        <f si="19" t="shared"/>
        <v>#DIV/0!</v>
      </c>
      <c r="K35" s="63">
        <f si="5" t="shared"/>
        <v>1</v>
      </c>
      <c r="M35" s="61" t="s">
        <v>7</v>
      </c>
      <c r="N35" s="63">
        <f si="6" t="shared"/>
        <v>1</v>
      </c>
      <c r="O35" s="63">
        <f si="6" t="shared"/>
        <v>1</v>
      </c>
      <c r="P35" s="63">
        <f si="6" t="shared"/>
        <v>1</v>
      </c>
      <c r="Q35" s="63" t="e">
        <f si="6" t="shared"/>
        <v>#DIV/0!</v>
      </c>
      <c r="R35" s="63">
        <f si="7" t="shared"/>
        <v>1</v>
      </c>
      <c r="S35" s="63">
        <f si="7" t="shared"/>
        <v>1</v>
      </c>
      <c r="T35" s="63">
        <f si="7" t="shared"/>
        <v>1</v>
      </c>
      <c r="U35" s="63" t="e">
        <f si="7" t="shared"/>
        <v>#DIV/0!</v>
      </c>
      <c r="V35" s="67" t="e">
        <f si="7" t="shared"/>
        <v>#DIV/0!</v>
      </c>
      <c r="W35" s="63">
        <f si="7" t="shared"/>
        <v>1</v>
      </c>
    </row>
    <row ht="14.65" r="38" spans="1:34" thickBot="1" x14ac:dyDescent="0.5">
      <c r="M38" s="1" t="s">
        <v>8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45">
      <c r="M39" s="3"/>
      <c r="N39" s="77" t="s">
        <v>38</v>
      </c>
      <c r="O39" s="77"/>
      <c r="P39" s="77"/>
      <c r="Q39" s="77"/>
      <c r="R39" s="77"/>
      <c r="S39" s="77"/>
      <c r="T39" s="77"/>
      <c r="U39" s="77"/>
      <c r="V39" s="8"/>
      <c r="W39" s="8"/>
    </row>
    <row r="40" spans="1:34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</row>
    <row r="41" spans="1:34" x14ac:dyDescent="0.45">
      <c r="M41" t="s">
        <v>1</v>
      </c>
      <c r="N41" s="10">
        <f ref="N41:W46" si="20" t="shared">N23-B23</f>
        <v>4.2470302784383129E-3</v>
      </c>
      <c r="O41" s="10">
        <f si="20" t="shared"/>
        <v>1.0406240313685103E-2</v>
      </c>
      <c r="P41" s="10">
        <f si="20" t="shared"/>
        <v>1.7665072796625006E-2</v>
      </c>
      <c r="Q41" s="10" t="e">
        <f si="20" t="shared"/>
        <v>#DIV/0!</v>
      </c>
      <c r="R41" s="10">
        <f si="20" t="shared"/>
        <v>1.6981132075471698E-2</v>
      </c>
      <c r="S41" s="10">
        <f si="20" t="shared"/>
        <v>0</v>
      </c>
      <c r="T41" s="10">
        <f si="20" t="shared"/>
        <v>0</v>
      </c>
      <c r="U41" s="10" t="e">
        <f si="20" t="shared"/>
        <v>#DIV/0!</v>
      </c>
      <c r="V41" s="65" t="e">
        <f si="20" t="shared"/>
        <v>#DIV/0!</v>
      </c>
      <c r="W41" s="10">
        <f si="20" t="shared"/>
        <v>9.5511436850189368E-2</v>
      </c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x14ac:dyDescent="0.45">
      <c r="M42" t="s">
        <v>9</v>
      </c>
      <c r="N42" s="10">
        <f si="20" t="shared"/>
        <v>0</v>
      </c>
      <c r="O42" s="10">
        <f si="20" t="shared"/>
        <v>1.0170957648569789E-4</v>
      </c>
      <c r="P42" s="10">
        <f si="20" t="shared"/>
        <v>0.12248008897849039</v>
      </c>
      <c r="Q42" s="10" t="e">
        <f si="20" t="shared"/>
        <v>#DIV/0!</v>
      </c>
      <c r="R42" s="10">
        <f si="20" t="shared"/>
        <v>0.1811320754716981</v>
      </c>
      <c r="S42" s="10">
        <f si="20" t="shared"/>
        <v>0</v>
      </c>
      <c r="T42" s="10">
        <f si="20" t="shared"/>
        <v>0</v>
      </c>
      <c r="U42" s="10" t="e">
        <f si="20" t="shared"/>
        <v>#DIV/0!</v>
      </c>
      <c r="V42" s="65" t="e">
        <f si="20" t="shared"/>
        <v>#DIV/0!</v>
      </c>
      <c r="W42" s="10">
        <f si="20" t="shared"/>
        <v>-2.5955885797784795E-2</v>
      </c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x14ac:dyDescent="0.45">
      <c r="M43" t="s">
        <v>10</v>
      </c>
      <c r="N43" s="10">
        <f si="20" t="shared"/>
        <v>0</v>
      </c>
      <c r="O43" s="10">
        <f si="20" t="shared"/>
        <v>0</v>
      </c>
      <c r="P43" s="10">
        <f si="20" t="shared"/>
        <v>-9.1430057782163732E-2</v>
      </c>
      <c r="Q43" s="10" t="e">
        <f si="20" t="shared"/>
        <v>#DIV/0!</v>
      </c>
      <c r="R43" s="10">
        <f si="20" t="shared"/>
        <v>4.8309528892877845E-2</v>
      </c>
      <c r="S43" s="10">
        <f si="20" t="shared"/>
        <v>0</v>
      </c>
      <c r="T43" s="10">
        <f si="20" t="shared"/>
        <v>0</v>
      </c>
      <c r="U43" s="10" t="e">
        <f si="20" t="shared"/>
        <v>#DIV/0!</v>
      </c>
      <c r="V43" s="65" t="e">
        <f si="20" t="shared"/>
        <v>#DIV/0!</v>
      </c>
      <c r="W43" s="10">
        <f si="20" t="shared"/>
        <v>-8.5056016448248839E-2</v>
      </c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x14ac:dyDescent="0.45">
      <c r="M44" t="s">
        <v>47</v>
      </c>
      <c r="N44" s="10">
        <f si="20" t="shared"/>
        <v>0</v>
      </c>
      <c r="O44" s="10">
        <f si="20" t="shared"/>
        <v>0</v>
      </c>
      <c r="P44" s="10">
        <f si="20" t="shared"/>
        <v>0</v>
      </c>
      <c r="Q44" s="10" t="e">
        <f si="20" t="shared"/>
        <v>#DIV/0!</v>
      </c>
      <c r="R44" s="10">
        <f si="20" t="shared"/>
        <v>0.14852454526244463</v>
      </c>
      <c r="S44" s="10">
        <f si="20" t="shared"/>
        <v>0</v>
      </c>
      <c r="T44" s="10">
        <f si="20" t="shared"/>
        <v>0</v>
      </c>
      <c r="U44" s="10" t="e">
        <f si="20" t="shared"/>
        <v>#DIV/0!</v>
      </c>
      <c r="V44" s="65" t="e">
        <f si="20" t="shared"/>
        <v>#DIV/0!</v>
      </c>
      <c r="W44" s="10">
        <f si="20" t="shared"/>
        <v>-2.1245736213342382E-4</v>
      </c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x14ac:dyDescent="0.45">
      <c r="M45" t="s">
        <v>48</v>
      </c>
      <c r="N45" s="10">
        <f si="20" t="shared"/>
        <v>0</v>
      </c>
      <c r="O45" s="10">
        <f si="20" t="shared"/>
        <v>0</v>
      </c>
      <c r="P45" s="10">
        <f si="20" t="shared"/>
        <v>0</v>
      </c>
      <c r="Q45" s="10" t="e">
        <f si="20" t="shared"/>
        <v>#DIV/0!</v>
      </c>
      <c r="R45" s="10">
        <f si="20" t="shared"/>
        <v>0</v>
      </c>
      <c r="S45" s="10">
        <f si="20" t="shared"/>
        <v>0</v>
      </c>
      <c r="T45" s="10">
        <f si="20" t="shared"/>
        <v>0</v>
      </c>
      <c r="U45" s="10" t="e">
        <f si="20" t="shared"/>
        <v>#DIV/0!</v>
      </c>
      <c r="V45" s="65" t="e">
        <f si="20" t="shared"/>
        <v>#DIV/0!</v>
      </c>
      <c r="W45" s="10">
        <f si="20" t="shared"/>
        <v>0</v>
      </c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x14ac:dyDescent="0.45">
      <c r="M46" t="s">
        <v>49</v>
      </c>
      <c r="N46" s="10">
        <f si="20" t="shared"/>
        <v>0</v>
      </c>
      <c r="O46" s="10">
        <f si="20" t="shared"/>
        <v>0</v>
      </c>
      <c r="P46" s="10">
        <f si="20" t="shared"/>
        <v>0</v>
      </c>
      <c r="Q46" s="10" t="e">
        <f si="20" t="shared"/>
        <v>#DIV/0!</v>
      </c>
      <c r="R46" s="10">
        <f si="20" t="shared"/>
        <v>-0.20656896732831037</v>
      </c>
      <c r="S46" s="10">
        <f si="20" t="shared"/>
        <v>0</v>
      </c>
      <c r="T46" s="10">
        <f si="20" t="shared"/>
        <v>0</v>
      </c>
      <c r="U46" s="10" t="e">
        <f si="20" t="shared"/>
        <v>#DIV/0!</v>
      </c>
      <c r="V46" s="65" t="e">
        <f si="20" t="shared"/>
        <v>#DIV/0!</v>
      </c>
      <c r="W46" s="10">
        <f si="20" t="shared"/>
        <v>-3.4316590822164761E-4</v>
      </c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x14ac:dyDescent="0.45">
      <c r="M47" t="s">
        <v>50</v>
      </c>
      <c r="N47" s="10">
        <f ref="N47:Q49" si="21" t="shared">N29-B29</f>
        <v>0</v>
      </c>
      <c r="O47" s="10">
        <f si="21" t="shared"/>
        <v>0</v>
      </c>
      <c r="P47" s="10">
        <f si="21" t="shared"/>
        <v>0</v>
      </c>
      <c r="Q47" s="10" t="e">
        <f si="21" t="shared"/>
        <v>#DIV/0!</v>
      </c>
      <c r="R47" s="10">
        <f ref="R47:W52" si="22" t="shared">R29-F29</f>
        <v>0</v>
      </c>
      <c r="S47" s="10">
        <f si="22" t="shared"/>
        <v>0</v>
      </c>
      <c r="T47" s="10">
        <f si="22" t="shared"/>
        <v>0</v>
      </c>
      <c r="U47" s="10" t="e">
        <f si="22" t="shared"/>
        <v>#DIV/0!</v>
      </c>
      <c r="V47" s="65" t="e">
        <f si="22" t="shared"/>
        <v>#DIV/0!</v>
      </c>
      <c r="W47" s="10">
        <f si="22" t="shared"/>
        <v>0</v>
      </c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x14ac:dyDescent="0.45">
      <c r="M48" t="s">
        <v>51</v>
      </c>
      <c r="N48" s="10">
        <f si="21" t="shared"/>
        <v>0</v>
      </c>
      <c r="O48" s="10">
        <f si="21" t="shared"/>
        <v>0</v>
      </c>
      <c r="P48" s="10">
        <f si="21" t="shared"/>
        <v>0</v>
      </c>
      <c r="Q48" s="10" t="e">
        <f si="21" t="shared"/>
        <v>#DIV/0!</v>
      </c>
      <c r="R48" s="10">
        <f si="22" t="shared"/>
        <v>1.8867924528301887E-3</v>
      </c>
      <c r="S48" s="10">
        <f si="22" t="shared"/>
        <v>0</v>
      </c>
      <c r="T48" s="10">
        <f si="22" t="shared"/>
        <v>0</v>
      </c>
      <c r="U48" s="10" t="e">
        <f si="22" t="shared"/>
        <v>#DIV/0!</v>
      </c>
      <c r="V48" s="65" t="e">
        <f si="22" t="shared"/>
        <v>#DIV/0!</v>
      </c>
      <c r="W48" s="10">
        <f si="22" t="shared"/>
        <v>4.186640430386636E-6</v>
      </c>
      <c r="Z48" s="10"/>
      <c r="AA48" s="10"/>
      <c r="AB48" s="10"/>
      <c r="AC48" s="10"/>
      <c r="AD48" s="10"/>
      <c r="AE48" s="10"/>
      <c r="AF48" s="10"/>
      <c r="AG48" s="10"/>
      <c r="AH48" s="10"/>
    </row>
    <row r="49" spans="13:34" x14ac:dyDescent="0.45">
      <c r="M49" t="s">
        <v>23</v>
      </c>
      <c r="N49" s="10">
        <f si="21" t="shared"/>
        <v>0</v>
      </c>
      <c r="O49" s="10">
        <f si="21" t="shared"/>
        <v>0</v>
      </c>
      <c r="P49" s="10">
        <f si="21" t="shared"/>
        <v>0</v>
      </c>
      <c r="Q49" s="10" t="e">
        <f si="21" t="shared"/>
        <v>#DIV/0!</v>
      </c>
      <c r="R49" s="10">
        <f si="22" t="shared"/>
        <v>0</v>
      </c>
      <c r="S49" s="10">
        <f si="22" t="shared"/>
        <v>0</v>
      </c>
      <c r="T49" s="10">
        <f si="22" t="shared"/>
        <v>0</v>
      </c>
      <c r="U49" s="10" t="e">
        <f si="22" t="shared"/>
        <v>#DIV/0!</v>
      </c>
      <c r="V49" s="65" t="e">
        <f si="22" t="shared"/>
        <v>#DIV/0!</v>
      </c>
      <c r="W49" s="10">
        <f si="22" t="shared"/>
        <v>-8.6243549066365791E-3</v>
      </c>
      <c r="Z49" s="10"/>
      <c r="AA49" s="10"/>
      <c r="AB49" s="10"/>
      <c r="AC49" s="10"/>
      <c r="AD49" s="10"/>
      <c r="AE49" s="10"/>
      <c r="AF49" s="10"/>
      <c r="AG49" s="10"/>
      <c r="AH49" s="10"/>
    </row>
    <row r="50" spans="13:34" x14ac:dyDescent="0.45">
      <c r="M50" t="s">
        <v>4</v>
      </c>
      <c r="N50" s="10">
        <f ref="N50:Q53" si="23" t="shared">N32-B32</f>
        <v>-2.9128872160228271E-4</v>
      </c>
      <c r="O50" s="10">
        <f si="23" t="shared"/>
        <v>-1.5830396067597916E-3</v>
      </c>
      <c r="P50" s="10">
        <f si="23" t="shared"/>
        <v>1.2491672218520986E-4</v>
      </c>
      <c r="Q50" s="10" t="e">
        <f si="23" t="shared"/>
        <v>#DIV/0!</v>
      </c>
      <c r="R50" s="10">
        <f si="22" t="shared"/>
        <v>-1.946819195682559E-2</v>
      </c>
      <c r="S50" s="10">
        <f si="22" t="shared"/>
        <v>0.11409318675000901</v>
      </c>
      <c r="T50" s="10">
        <f si="22" t="shared"/>
        <v>0</v>
      </c>
      <c r="U50" s="10" t="e">
        <f si="22" t="shared"/>
        <v>#DIV/0!</v>
      </c>
      <c r="V50" s="65" t="e">
        <f si="22" t="shared"/>
        <v>#DIV/0!</v>
      </c>
      <c r="W50" s="10">
        <f si="22" t="shared"/>
        <v>-4.9526959463043691E-3</v>
      </c>
      <c r="Z50" s="10"/>
      <c r="AA50" s="10"/>
      <c r="AB50" s="10"/>
      <c r="AC50" s="10"/>
      <c r="AD50" s="10"/>
      <c r="AE50" s="10"/>
      <c r="AF50" s="10"/>
      <c r="AG50" s="10"/>
      <c r="AH50" s="10"/>
    </row>
    <row r="51" spans="13:34" x14ac:dyDescent="0.45">
      <c r="M51" t="s">
        <v>5</v>
      </c>
      <c r="N51" s="10">
        <f si="23" t="shared"/>
        <v>-3.9557415568361887E-3</v>
      </c>
      <c r="O51" s="10">
        <f si="23" t="shared"/>
        <v>-8.924910283410999E-3</v>
      </c>
      <c r="P51" s="10">
        <f si="23" t="shared"/>
        <v>-4.8840020715136941E-2</v>
      </c>
      <c r="Q51" s="10" t="e">
        <f si="23" t="shared"/>
        <v>#DIV/0!</v>
      </c>
      <c r="R51" s="10">
        <f si="22" t="shared"/>
        <v>-0.17079691487018672</v>
      </c>
      <c r="S51" s="10">
        <f si="22" t="shared"/>
        <v>-0.11409318675000903</v>
      </c>
      <c r="T51" s="10">
        <f si="22" t="shared"/>
        <v>0</v>
      </c>
      <c r="U51" s="10" t="e">
        <f si="22" t="shared"/>
        <v>#DIV/0!</v>
      </c>
      <c r="V51" s="65" t="e">
        <f si="22" t="shared"/>
        <v>#DIV/0!</v>
      </c>
      <c r="W51" s="10">
        <f si="22" t="shared"/>
        <v>2.9628952878709897E-2</v>
      </c>
      <c r="Z51" s="10"/>
      <c r="AA51" s="10"/>
      <c r="AB51" s="10"/>
      <c r="AC51" s="10"/>
      <c r="AD51" s="10"/>
      <c r="AE51" s="10"/>
      <c r="AF51" s="10"/>
      <c r="AG51" s="10"/>
      <c r="AH51" s="10"/>
    </row>
    <row r="52" spans="13:34" x14ac:dyDescent="0.45">
      <c r="M52" t="s">
        <v>166</v>
      </c>
      <c r="N52" s="11">
        <f si="23" t="shared"/>
        <v>0</v>
      </c>
      <c r="O52" s="11">
        <f si="23" t="shared"/>
        <v>0</v>
      </c>
      <c r="P52" s="11">
        <f si="23" t="shared"/>
        <v>0</v>
      </c>
      <c r="Q52" s="11" t="e">
        <f si="23" t="shared"/>
        <v>#DIV/0!</v>
      </c>
      <c r="R52" s="11">
        <f si="22" t="shared"/>
        <v>0</v>
      </c>
      <c r="S52" s="11">
        <f si="22" t="shared"/>
        <v>0</v>
      </c>
      <c r="T52" s="11">
        <f si="22" t="shared"/>
        <v>0</v>
      </c>
      <c r="U52" s="11" t="e">
        <f si="22" t="shared"/>
        <v>#DIV/0!</v>
      </c>
      <c r="V52" s="66" t="e">
        <f si="22" t="shared"/>
        <v>#DIV/0!</v>
      </c>
      <c r="W52" s="10">
        <f si="22" t="shared"/>
        <v>0</v>
      </c>
      <c r="Z52" s="10"/>
      <c r="AA52" s="10"/>
      <c r="AB52" s="10"/>
      <c r="AC52" s="10"/>
      <c r="AD52" s="10"/>
      <c r="AE52" s="10"/>
      <c r="AF52" s="10"/>
      <c r="AG52" s="10"/>
      <c r="AH52" s="10"/>
    </row>
    <row ht="14.65" r="53" spans="13:34" thickBot="1" x14ac:dyDescent="0.5">
      <c r="M53" s="61" t="s">
        <v>7</v>
      </c>
      <c r="N53" s="63">
        <f si="23" t="shared"/>
        <v>0</v>
      </c>
      <c r="O53" s="63">
        <f si="23" t="shared"/>
        <v>0</v>
      </c>
      <c r="P53" s="63">
        <f si="23" t="shared"/>
        <v>0</v>
      </c>
      <c r="Q53" s="63" t="e">
        <f si="23" t="shared"/>
        <v>#DIV/0!</v>
      </c>
      <c r="R53" s="63">
        <f ref="R53:W53" si="24" t="shared">R35-F35</f>
        <v>0</v>
      </c>
      <c r="S53" s="63">
        <f si="24" t="shared"/>
        <v>0</v>
      </c>
      <c r="T53" s="63">
        <f si="24" t="shared"/>
        <v>0</v>
      </c>
      <c r="U53" s="63" t="e">
        <f si="24" t="shared"/>
        <v>#DIV/0!</v>
      </c>
      <c r="V53" s="67" t="e">
        <f si="24" t="shared"/>
        <v>#DIV/0!</v>
      </c>
      <c r="W53" s="63">
        <f si="24" t="shared"/>
        <v>0</v>
      </c>
      <c r="Z53" s="10"/>
      <c r="AA53" s="10"/>
      <c r="AB53" s="10"/>
      <c r="AC53" s="10"/>
      <c r="AD53" s="10"/>
      <c r="AE53" s="10"/>
      <c r="AF53" s="10"/>
      <c r="AG53" s="10"/>
      <c r="AH53" s="10"/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I53"/>
  <sheetViews>
    <sheetView workbookViewId="0">
      <selection activeCell="B14" sqref="B14"/>
    </sheetView>
  </sheetViews>
  <sheetFormatPr defaultRowHeight="14.25" x14ac:dyDescent="0.45"/>
  <cols>
    <col min="1" max="1" customWidth="true" width="25.0" collapsed="true"/>
    <col min="2" max="11" customWidth="true" width="10.73046875" collapsed="true"/>
    <col min="12" max="12" customWidth="true" width="3.73046875" collapsed="true"/>
    <col min="13" max="13" customWidth="true" width="25.0" collapsed="true"/>
    <col min="14" max="24" customWidth="true" width="10.73046875" collapsed="true"/>
    <col min="25" max="25" customWidth="true" width="17.0" collapsed="true"/>
  </cols>
  <sheetData>
    <row ht="14.65" r="2" spans="1:23" thickBot="1" x14ac:dyDescent="0.5">
      <c r="A2" s="1" t="s">
        <v>54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25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6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6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1484126.533161381</v>
      </c>
      <c r="C5" s="6" t="n">
        <v>246390.07685919217</v>
      </c>
      <c r="D5" s="6" t="n">
        <v>92829.95966261701</v>
      </c>
      <c r="E5" s="6" t="n">
        <v>16152.645358728954</v>
      </c>
      <c r="F5" s="6" t="n">
        <v>794.147499326574</v>
      </c>
      <c r="G5" s="6" t="n">
        <v>0.0</v>
      </c>
      <c r="H5" s="6" t="n">
        <v>0.0</v>
      </c>
      <c r="I5" s="6" t="n">
        <v>120.075737966889</v>
      </c>
      <c r="J5" s="6" t="n">
        <v>0.0</v>
      </c>
      <c r="K5" s="6">
        <f>SUM(B5:J5)</f>
        <v>1840413.4382792127</v>
      </c>
      <c r="L5" s="6"/>
      <c r="M5" t="s">
        <v>1</v>
      </c>
      <c r="N5" s="6" t="n">
        <v>1310234.0</v>
      </c>
      <c r="O5" s="6" t="n">
        <v>214277.0</v>
      </c>
      <c r="P5" s="6" t="n">
        <v>52517.0</v>
      </c>
      <c r="Q5" s="6" t="n">
        <v>1147.0</v>
      </c>
      <c r="R5" s="6" t="n">
        <v>269.0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1587760</v>
      </c>
    </row>
    <row r="6" spans="1:23" x14ac:dyDescent="0.45">
      <c r="A6" t="s">
        <v>12</v>
      </c>
      <c r="B6" s="6" t="n">
        <v>0.0</v>
      </c>
      <c r="C6" s="6" t="n">
        <v>303454.9753105043</v>
      </c>
      <c r="D6" s="6" t="n">
        <v>48845.14726115036</v>
      </c>
      <c r="E6" s="6" t="n">
        <v>4257.623956554982</v>
      </c>
      <c r="F6" s="6" t="n">
        <v>1380.5341303338676</v>
      </c>
      <c r="G6" s="6" t="n">
        <v>0.0</v>
      </c>
      <c r="H6" s="6" t="n">
        <v>0.0</v>
      </c>
      <c r="I6" s="6" t="n">
        <v>113.5171880835098</v>
      </c>
      <c r="J6" s="6" t="n">
        <v>0.0</v>
      </c>
      <c r="K6" s="6">
        <f ref="K6:K16" si="0" t="shared">SUM(B6:J6)</f>
        <v>358051.79784662701</v>
      </c>
      <c r="L6" s="6"/>
      <c r="M6" t="s">
        <v>12</v>
      </c>
      <c r="N6" s="6" t="n">
        <v>0.0</v>
      </c>
      <c r="O6" s="6" t="n">
        <v>253170.0</v>
      </c>
      <c r="P6" s="6" t="n">
        <v>28105.0</v>
      </c>
      <c r="Q6" s="6" t="n">
        <v>364.0</v>
      </c>
      <c r="R6" s="6" t="n">
        <v>1276.0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286790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110962.16077331376</v>
      </c>
      <c r="E7" s="6" t="n">
        <v>661.927791356172</v>
      </c>
      <c r="F7" s="6" t="n">
        <v>1051.302606424904</v>
      </c>
      <c r="G7" s="6" t="n">
        <v>0.0</v>
      </c>
      <c r="H7" s="6" t="n">
        <v>0.0</v>
      </c>
      <c r="I7" s="6" t="n">
        <v>225.3418157753694</v>
      </c>
      <c r="J7" s="6" t="n">
        <v>0.0</v>
      </c>
      <c r="K7" s="6">
        <f si="0" t="shared"/>
        <v>112900.73298687019</v>
      </c>
      <c r="L7" s="6"/>
      <c r="M7" t="s">
        <v>52</v>
      </c>
      <c r="N7" s="6" t="n">
        <v>0.0</v>
      </c>
      <c r="O7" s="6" t="n">
        <v>0.0</v>
      </c>
      <c r="P7" s="6" t="n">
        <v>105121.0</v>
      </c>
      <c r="Q7" s="6" t="n">
        <v>0.0</v>
      </c>
      <c r="R7" s="6" t="n">
        <v>364.0</v>
      </c>
      <c r="S7" s="6" t="n">
        <v>0.0</v>
      </c>
      <c r="T7" s="6" t="n">
        <v>1.0</v>
      </c>
      <c r="U7" s="6" t="n">
        <v>0.0</v>
      </c>
      <c r="V7" s="6" t="n">
        <v>0.0</v>
      </c>
      <c r="W7" s="6">
        <f si="1" t="shared"/>
        <v>105358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7131.306965479454</v>
      </c>
      <c r="F8" s="6" t="n">
        <v>19811.829905747807</v>
      </c>
      <c r="G8" s="6" t="n">
        <v>0.0</v>
      </c>
      <c r="H8" s="6" t="n">
        <v>0.0</v>
      </c>
      <c r="I8" s="6" t="n">
        <v>0.0</v>
      </c>
      <c r="J8" s="6" t="n">
        <v>0.0</v>
      </c>
      <c r="K8" s="6">
        <f si="0" t="shared"/>
        <v>26943.13687122726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870.0</v>
      </c>
      <c r="R8" s="6" t="n">
        <v>9541.0</v>
      </c>
      <c r="S8" s="6" t="n">
        <v>0.0</v>
      </c>
      <c r="T8" s="6" t="n">
        <v>0.0</v>
      </c>
      <c r="U8" s="6" t="n">
        <v>0.0</v>
      </c>
      <c r="V8" s="6" t="n">
        <v>0.0</v>
      </c>
      <c r="W8" s="6">
        <f si="1" t="shared"/>
        <v>9812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4644.415265057306</v>
      </c>
      <c r="F10" s="6" t="n">
        <v>2423.162841823421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7067.5781068807264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110.0</v>
      </c>
      <c r="R10" s="6" t="n">
        <v>53.0</v>
      </c>
      <c r="S10" s="6" t="n">
        <v>0.0</v>
      </c>
      <c r="T10" s="6" t="n">
        <v>0.0</v>
      </c>
      <c r="U10" s="6" t="n">
        <v>0.0</v>
      </c>
      <c r="V10" s="6" t="n">
        <v>0.0</v>
      </c>
      <c r="W10" s="6">
        <f si="1" t="shared"/>
        <v>145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4332.07001899226</v>
      </c>
      <c r="F11" s="6" t="n">
        <v>172.3513929340715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4504.4214119263315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232.0</v>
      </c>
      <c r="R11" s="6" t="n">
        <v>155.0</v>
      </c>
      <c r="S11" s="6" t="n">
        <v>0.0</v>
      </c>
      <c r="T11" s="6" t="n">
        <v>0.0</v>
      </c>
      <c r="U11" s="6" t="n">
        <v>0.0</v>
      </c>
      <c r="V11" s="6" t="n">
        <v>0.0</v>
      </c>
      <c r="W11" s="6">
        <f si="1" t="shared"/>
        <v>402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16.0</v>
      </c>
      <c r="R12" s="6" t="n">
        <v>186.0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180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965.6743327851624</v>
      </c>
      <c r="J13" s="6" t="n">
        <v>0.0</v>
      </c>
      <c r="K13" s="6">
        <f si="0" t="shared"/>
        <v>965.67433278516239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0.0</v>
      </c>
      <c r="V13" s="6" t="n">
        <v>0.0</v>
      </c>
      <c r="W13" s="6">
        <f si="1" t="shared"/>
        <v>0</v>
      </c>
    </row>
    <row r="14" spans="1:23" x14ac:dyDescent="0.45">
      <c r="A14" t="s">
        <v>4</v>
      </c>
      <c r="B14" s="6" t="n">
        <v>1020.6510902023966</v>
      </c>
      <c r="C14" s="6" t="n">
        <v>215.61163270244623</v>
      </c>
      <c r="D14" s="6" t="n">
        <v>365.893941573163</v>
      </c>
      <c r="E14" s="6" t="n">
        <v>0.0</v>
      </c>
      <c r="F14" s="6" t="n">
        <v>0.0</v>
      </c>
      <c r="G14" s="6" t="n">
        <v>12631.80934121843</v>
      </c>
      <c r="H14" s="6" t="n">
        <v>0.0</v>
      </c>
      <c r="I14" s="6" t="n">
        <v>0.0</v>
      </c>
      <c r="J14" s="6" t="n">
        <v>0.0</v>
      </c>
      <c r="K14" s="6">
        <f si="0" t="shared"/>
        <v>14233.966005696435</v>
      </c>
      <c r="L14" s="6"/>
      <c r="M14" t="s">
        <v>4</v>
      </c>
      <c r="N14" s="6" t="n">
        <v>135.0</v>
      </c>
      <c r="O14" s="6" t="n">
        <v>216.0</v>
      </c>
      <c r="P14" s="6" t="n">
        <v>73.0</v>
      </c>
      <c r="Q14" s="6" t="n">
        <v>0.0</v>
      </c>
      <c r="R14" s="6" t="n">
        <v>173.0</v>
      </c>
      <c r="S14" s="6" t="n">
        <v>11706.0</v>
      </c>
      <c r="T14" s="6" t="n">
        <v>0.0</v>
      </c>
      <c r="U14" s="6" t="n">
        <v>0.0</v>
      </c>
      <c r="V14" s="6" t="n">
        <v>0.0</v>
      </c>
      <c r="W14" s="6">
        <f si="1" t="shared"/>
        <v>11477</v>
      </c>
    </row>
    <row r="15" spans="1:23" x14ac:dyDescent="0.45">
      <c r="A15" t="s">
        <v>5</v>
      </c>
      <c r="B15" s="6" t="n">
        <v>12493.626504415304</v>
      </c>
      <c r="C15" s="6" t="n">
        <v>5117.800313337278</v>
      </c>
      <c r="D15" s="6" t="n">
        <v>1333.9296779471163</v>
      </c>
      <c r="E15" s="6" t="n">
        <v>488.466520122519</v>
      </c>
      <c r="F15" s="6" t="n">
        <v>2414.2408013219087</v>
      </c>
      <c r="G15" s="6" t="n">
        <v>148.5322125036873</v>
      </c>
      <c r="H15" s="6" t="n">
        <v>16871.612828467132</v>
      </c>
      <c r="I15" s="6" t="n">
        <v>0.0</v>
      </c>
      <c r="J15" s="6" t="n">
        <v>0.0</v>
      </c>
      <c r="K15" s="6">
        <f si="0" t="shared"/>
        <v>38868.208858114944</v>
      </c>
      <c r="L15" s="6"/>
      <c r="M15" t="s">
        <v>5</v>
      </c>
      <c r="N15" s="6" t="n">
        <v>1301.0</v>
      </c>
      <c r="O15" s="6" t="n">
        <v>914.0</v>
      </c>
      <c r="P15" s="6" t="n">
        <v>310.0</v>
      </c>
      <c r="Q15" s="6" t="n">
        <v>0.0</v>
      </c>
      <c r="R15" s="6" t="n">
        <v>114.0</v>
      </c>
      <c r="S15" s="6" t="n">
        <v>30.0</v>
      </c>
      <c r="T15" s="6" t="n">
        <v>16004.0</v>
      </c>
      <c r="U15" s="6" t="n">
        <v>0.0</v>
      </c>
      <c r="V15" s="6" t="n">
        <v>0.0</v>
      </c>
      <c r="W15" s="6">
        <f si="1" t="shared"/>
        <v>17112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1497640.8107559988</v>
      </c>
      <c r="C17" s="62">
        <f ref="C17:K17" si="2" t="shared">SUM(C5:C16)</f>
        <v>555178.46411573607</v>
      </c>
      <c r="D17" s="62">
        <f si="2" t="shared"/>
        <v>254337.09131660141</v>
      </c>
      <c r="E17" s="62">
        <f si="2" t="shared"/>
        <v>37668.455876291649</v>
      </c>
      <c r="F17" s="62">
        <f si="2" t="shared"/>
        <v>28047.569177912552</v>
      </c>
      <c r="G17" s="62">
        <f si="2" t="shared"/>
        <v>12780.341553722117</v>
      </c>
      <c r="H17" s="62">
        <f si="2" t="shared"/>
        <v>16871.612828467132</v>
      </c>
      <c r="I17" s="62">
        <f si="2" t="shared"/>
        <v>1424.6090746109305</v>
      </c>
      <c r="J17" s="62">
        <f si="2" t="shared"/>
        <v>0</v>
      </c>
      <c r="K17" s="62">
        <f si="2" t="shared"/>
        <v>2403948.9546993407</v>
      </c>
      <c r="M17" s="61" t="s">
        <v>7</v>
      </c>
      <c r="N17" s="62">
        <f>SUM(N5:N16)</f>
        <v>1319812</v>
      </c>
      <c r="O17" s="62">
        <f ref="O17:W17" si="3" t="shared">SUM(O5:O16)</f>
        <v>474095</v>
      </c>
      <c r="P17" s="62">
        <f si="3" t="shared"/>
        <v>185527</v>
      </c>
      <c r="Q17" s="62">
        <f si="3" t="shared"/>
        <v>2871</v>
      </c>
      <c r="R17" s="62">
        <f si="3" t="shared"/>
        <v>11238</v>
      </c>
      <c r="S17" s="62">
        <f si="3" t="shared"/>
        <v>10915</v>
      </c>
      <c r="T17" s="62">
        <f si="3" t="shared"/>
        <v>14578</v>
      </c>
      <c r="U17" s="62">
        <f si="3" t="shared"/>
        <v>0</v>
      </c>
      <c r="V17" s="62">
        <f si="3" t="shared"/>
        <v>0</v>
      </c>
      <c r="W17" s="62">
        <f si="3" t="shared"/>
        <v>2019036</v>
      </c>
    </row>
    <row ht="14.65" r="20" spans="1:23" thickBot="1" x14ac:dyDescent="0.5">
      <c r="A20" s="1" t="s">
        <v>55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24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6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6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0.99097628917591007</v>
      </c>
      <c r="C23" s="10">
        <f si="4" t="shared"/>
        <v>0.44380337636408768</v>
      </c>
      <c r="D23" s="10">
        <f si="4" t="shared"/>
        <v>0.36498789532456094</v>
      </c>
      <c r="E23" s="10">
        <f si="4" t="shared"/>
        <v>0.42881092370168944</v>
      </c>
      <c r="F23" s="10">
        <f si="4" t="shared"/>
        <v>2.8314307535498115E-2</v>
      </c>
      <c r="G23" s="10">
        <f si="4" t="shared"/>
        <v>0</v>
      </c>
      <c r="H23" s="10">
        <f si="4" t="shared"/>
        <v>0</v>
      </c>
      <c r="I23" s="10">
        <f si="4" t="shared"/>
        <v>8.428679846763043E-2</v>
      </c>
      <c r="J23" s="65" t="e">
        <f si="4" t="shared"/>
        <v>#DIV/0!</v>
      </c>
      <c r="K23" s="10">
        <f ref="K23" si="5" t="shared">K5/K$17</f>
        <v>0.76557925020890938</v>
      </c>
      <c r="L23" s="6"/>
      <c r="M23" t="s">
        <v>1</v>
      </c>
      <c r="N23" s="10">
        <f ref="N23:Q23" si="6" t="shared">N5/N$17</f>
        <v>0.99899076535142883</v>
      </c>
      <c r="O23" s="10">
        <f si="6" t="shared"/>
        <v>0.45536021261561499</v>
      </c>
      <c r="P23" s="10">
        <f si="6" t="shared"/>
        <v>0.28096719075929649</v>
      </c>
      <c r="Q23" s="10">
        <f si="6" t="shared"/>
        <v>0.37652385928247994</v>
      </c>
      <c r="R23" s="10">
        <f ref="R23:W35" si="7" t="shared">R5/R$17</f>
        <v>1.6728955330129917E-2</v>
      </c>
      <c r="S23" s="10">
        <f si="7" t="shared"/>
        <v>0</v>
      </c>
      <c r="T23" s="10">
        <f si="7" t="shared"/>
        <v>0</v>
      </c>
      <c r="U23" s="10" t="e">
        <f si="7" t="shared"/>
        <v>#DIV/0!</v>
      </c>
      <c r="V23" s="65" t="e">
        <f si="7" t="shared"/>
        <v>#DIV/0!</v>
      </c>
      <c r="W23" s="10">
        <f si="7" t="shared"/>
        <v>0.78639509151892284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0.54658996147091932</v>
      </c>
      <c r="D24" s="10">
        <f si="8" t="shared"/>
        <v>0.1920488553529435</v>
      </c>
      <c r="E24" s="10">
        <f si="8" t="shared"/>
        <v>0.11302889533188194</v>
      </c>
      <c r="F24" s="10">
        <f si="8" t="shared"/>
        <v>4.9221168564619763E-2</v>
      </c>
      <c r="G24" s="10">
        <f si="8" t="shared"/>
        <v>0</v>
      </c>
      <c r="H24" s="10">
        <f si="8" t="shared"/>
        <v>0</v>
      </c>
      <c r="I24" s="10">
        <f si="8" t="shared"/>
        <v>7.968304435693141E-2</v>
      </c>
      <c r="J24" s="65" t="e">
        <f si="8" t="shared"/>
        <v>#DIV/0!</v>
      </c>
      <c r="K24" s="10">
        <f ref="K24" si="9" t="shared">K6/K$17</f>
        <v>0.1489431783261006</v>
      </c>
      <c r="L24" s="6"/>
      <c r="M24" t="s">
        <v>12</v>
      </c>
      <c r="N24" s="10">
        <f ref="N24:Q24" si="10" t="shared">N6/N$17</f>
        <v>0</v>
      </c>
      <c r="O24" s="10">
        <f si="10" t="shared"/>
        <v>0.54233012370938316</v>
      </c>
      <c r="P24" s="10">
        <f si="10" t="shared"/>
        <v>0.15116398152290503</v>
      </c>
      <c r="Q24" s="10">
        <f si="10" t="shared"/>
        <v>0.17554858934169279</v>
      </c>
      <c r="R24" s="10">
        <f si="7" t="shared"/>
        <v>0.100106780565937</v>
      </c>
      <c r="S24" s="10">
        <f si="7" t="shared"/>
        <v>0</v>
      </c>
      <c r="T24" s="10">
        <f si="7" t="shared"/>
        <v>0</v>
      </c>
      <c r="U24" s="10" t="e">
        <f si="7" t="shared"/>
        <v>#DIV/0!</v>
      </c>
      <c r="V24" s="65" t="e">
        <f si="7" t="shared"/>
        <v>#DIV/0!</v>
      </c>
      <c r="W24" s="10">
        <f si="7" t="shared"/>
        <v>0.14204303439859417</v>
      </c>
    </row>
    <row r="25" spans="1:23" x14ac:dyDescent="0.45">
      <c r="A25" t="s">
        <v>52</v>
      </c>
      <c r="B25" s="10">
        <f ref="B25:J25" si="11" t="shared">B7/B$17</f>
        <v>0</v>
      </c>
      <c r="C25" s="10">
        <f si="11" t="shared"/>
        <v>0</v>
      </c>
      <c r="D25" s="10">
        <f si="11" t="shared"/>
        <v>0.43627990002915829</v>
      </c>
      <c r="E25" s="10">
        <f si="11" t="shared"/>
        <v>1.7572469482954999E-2</v>
      </c>
      <c r="F25" s="10">
        <f si="11" t="shared"/>
        <v>3.7482842087178253E-2</v>
      </c>
      <c r="G25" s="10">
        <f si="11" t="shared"/>
        <v>0</v>
      </c>
      <c r="H25" s="10">
        <f si="11" t="shared"/>
        <v>0</v>
      </c>
      <c r="I25" s="10">
        <f si="11" t="shared"/>
        <v>0.15817800110315292</v>
      </c>
      <c r="J25" s="65" t="e">
        <f si="11" t="shared"/>
        <v>#DIV/0!</v>
      </c>
      <c r="K25" s="10">
        <f ref="K25" si="12" t="shared">K7/K$17</f>
        <v>4.6964696470017421E-2</v>
      </c>
      <c r="L25" s="6"/>
      <c r="M25" t="s">
        <v>52</v>
      </c>
      <c r="N25" s="10">
        <f ref="N25:Q25" si="13" t="shared">N7/N$17</f>
        <v>0</v>
      </c>
      <c r="O25" s="10">
        <f si="13" t="shared"/>
        <v>0</v>
      </c>
      <c r="P25" s="10">
        <f si="13" t="shared"/>
        <v>0.56573436750446027</v>
      </c>
      <c r="Q25" s="10">
        <f si="13" t="shared"/>
        <v>0</v>
      </c>
      <c r="R25" s="10">
        <f si="7" t="shared"/>
        <v>3.5504538174052323E-2</v>
      </c>
      <c r="S25" s="10">
        <f si="7" t="shared"/>
        <v>0</v>
      </c>
      <c r="T25" s="10">
        <f si="7" t="shared"/>
        <v>0</v>
      </c>
      <c r="U25" s="10" t="e">
        <f si="7" t="shared"/>
        <v>#DIV/0!</v>
      </c>
      <c r="V25" s="65" t="e">
        <f si="7" t="shared"/>
        <v>#DIV/0!</v>
      </c>
      <c r="W25" s="10">
        <f si="7" t="shared"/>
        <v>5.2182328596419282E-2</v>
      </c>
    </row>
    <row r="26" spans="1:23" x14ac:dyDescent="0.45">
      <c r="A26" t="s">
        <v>47</v>
      </c>
      <c r="B26" s="10">
        <f ref="B26:J26" si="14" t="shared">B8/B$17</f>
        <v>0</v>
      </c>
      <c r="C26" s="10">
        <f si="14" t="shared"/>
        <v>0</v>
      </c>
      <c r="D26" s="10">
        <f si="14" t="shared"/>
        <v>0</v>
      </c>
      <c r="E26" s="10">
        <f si="14" t="shared"/>
        <v>0.18931774078819796</v>
      </c>
      <c r="F26" s="10">
        <f si="14" t="shared"/>
        <v>0.70636531030823213</v>
      </c>
      <c r="G26" s="10">
        <f si="14" t="shared"/>
        <v>0</v>
      </c>
      <c r="H26" s="10">
        <f si="14" t="shared"/>
        <v>0</v>
      </c>
      <c r="I26" s="10">
        <f si="14" t="shared"/>
        <v>0</v>
      </c>
      <c r="J26" s="65" t="e">
        <f si="14" t="shared"/>
        <v>#DIV/0!</v>
      </c>
      <c r="K26" s="10">
        <f ref="K26" si="15" t="shared">K8/K$17</f>
        <v>1.1207865632320386E-2</v>
      </c>
      <c r="L26" s="6"/>
      <c r="M26" t="s">
        <v>47</v>
      </c>
      <c r="N26" s="10">
        <f ref="N26:Q26" si="16" t="shared">N8/N$17</f>
        <v>0</v>
      </c>
      <c r="O26" s="10">
        <f si="16" t="shared"/>
        <v>0</v>
      </c>
      <c r="P26" s="10">
        <f si="16" t="shared"/>
        <v>0</v>
      </c>
      <c r="Q26" s="10">
        <f si="16" t="shared"/>
        <v>0.32253570184604669</v>
      </c>
      <c r="R26" s="10">
        <f si="7" t="shared"/>
        <v>0.79071009076348109</v>
      </c>
      <c r="S26" s="10">
        <f si="7" t="shared"/>
        <v>0</v>
      </c>
      <c r="T26" s="10">
        <f si="7" t="shared"/>
        <v>0</v>
      </c>
      <c r="U26" s="10" t="e">
        <f si="7" t="shared"/>
        <v>#DIV/0!</v>
      </c>
      <c r="V26" s="65" t="e">
        <f si="7" t="shared"/>
        <v>#DIV/0!</v>
      </c>
      <c r="W26" s="10">
        <f si="7" t="shared"/>
        <v>4.8597449475888494E-3</v>
      </c>
    </row>
    <row r="27" spans="1:23" x14ac:dyDescent="0.45">
      <c r="A27" t="s">
        <v>48</v>
      </c>
      <c r="B27" s="10">
        <f ref="B27:J27" si="17" t="shared">B9/B$17</f>
        <v>0</v>
      </c>
      <c r="C27" s="10">
        <f si="17" t="shared"/>
        <v>0</v>
      </c>
      <c r="D27" s="10">
        <f si="17" t="shared"/>
        <v>0</v>
      </c>
      <c r="E27" s="10">
        <f si="17" t="shared"/>
        <v>0</v>
      </c>
      <c r="F27" s="10">
        <f si="17" t="shared"/>
        <v>0</v>
      </c>
      <c r="G27" s="10">
        <f si="17" t="shared"/>
        <v>0</v>
      </c>
      <c r="H27" s="10">
        <f si="17" t="shared"/>
        <v>0</v>
      </c>
      <c r="I27" s="10">
        <f si="17" t="shared"/>
        <v>0</v>
      </c>
      <c r="J27" s="65" t="e">
        <f si="17" t="shared"/>
        <v>#DIV/0!</v>
      </c>
      <c r="K27" s="10">
        <f ref="K27" si="18" t="shared">K9/K$17</f>
        <v>0</v>
      </c>
      <c r="L27" s="6"/>
      <c r="M27" t="s">
        <v>48</v>
      </c>
      <c r="N27" s="10">
        <f ref="N27:Q27" si="19" t="shared">N9/N$17</f>
        <v>0</v>
      </c>
      <c r="O27" s="10">
        <f si="19" t="shared"/>
        <v>0</v>
      </c>
      <c r="P27" s="10">
        <f si="19" t="shared"/>
        <v>0</v>
      </c>
      <c r="Q27" s="10">
        <f si="19" t="shared"/>
        <v>0</v>
      </c>
      <c r="R27" s="10">
        <f si="7" t="shared"/>
        <v>0</v>
      </c>
      <c r="S27" s="10">
        <f si="7" t="shared"/>
        <v>0</v>
      </c>
      <c r="T27" s="10">
        <f si="7" t="shared"/>
        <v>0</v>
      </c>
      <c r="U27" s="10" t="e">
        <f si="7" t="shared"/>
        <v>#DIV/0!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20" t="shared">B10/B$17</f>
        <v>0</v>
      </c>
      <c r="C28" s="10">
        <f si="20" t="shared"/>
        <v>0</v>
      </c>
      <c r="D28" s="10">
        <f si="20" t="shared"/>
        <v>0</v>
      </c>
      <c r="E28" s="10">
        <f si="20" t="shared"/>
        <v>0.12329720337648561</v>
      </c>
      <c r="F28" s="10">
        <f si="20" t="shared"/>
        <v>8.6394754085557635E-2</v>
      </c>
      <c r="G28" s="10">
        <f si="20" t="shared"/>
        <v>0</v>
      </c>
      <c r="H28" s="10">
        <f si="20" t="shared"/>
        <v>0</v>
      </c>
      <c r="I28" s="10">
        <f si="20" t="shared"/>
        <v>0</v>
      </c>
      <c r="J28" s="65" t="e">
        <f si="20" t="shared"/>
        <v>#DIV/0!</v>
      </c>
      <c r="K28" s="10">
        <f ref="K28" si="21" t="shared">K10/K$17</f>
        <v>2.9399867634729627E-3</v>
      </c>
      <c r="L28" s="6"/>
      <c r="M28" t="s">
        <v>49</v>
      </c>
      <c r="N28" s="10">
        <f ref="N28:Q28" si="22" t="shared">N10/N$17</f>
        <v>0</v>
      </c>
      <c r="O28" s="10">
        <f si="22" t="shared"/>
        <v>0</v>
      </c>
      <c r="P28" s="10">
        <f si="22" t="shared"/>
        <v>0</v>
      </c>
      <c r="Q28" s="10">
        <f si="22" t="shared"/>
        <v>3.274120515499826E-2</v>
      </c>
      <c r="R28" s="10">
        <f si="7" t="shared"/>
        <v>4.5381740523224769E-3</v>
      </c>
      <c r="S28" s="10">
        <f si="7" t="shared"/>
        <v>0</v>
      </c>
      <c r="T28" s="10">
        <f si="7" t="shared"/>
        <v>0</v>
      </c>
      <c r="U28" s="10" t="e">
        <f si="7" t="shared"/>
        <v>#DIV/0!</v>
      </c>
      <c r="V28" s="65" t="e">
        <f si="7" t="shared"/>
        <v>#DIV/0!</v>
      </c>
      <c r="W28" s="10">
        <f si="7" t="shared"/>
        <v>7.1816451019199261E-5</v>
      </c>
    </row>
    <row r="29" spans="1:23" x14ac:dyDescent="0.45">
      <c r="A29" t="s">
        <v>50</v>
      </c>
      <c r="B29" s="10">
        <f ref="B29:J29" si="23" t="shared">B11/B$17</f>
        <v>0</v>
      </c>
      <c r="C29" s="10">
        <f si="23" t="shared"/>
        <v>0</v>
      </c>
      <c r="D29" s="10">
        <f si="23" t="shared"/>
        <v>0</v>
      </c>
      <c r="E29" s="10">
        <f si="23" t="shared"/>
        <v>0.1150052455884937</v>
      </c>
      <c r="F29" s="10">
        <f si="23" t="shared"/>
        <v>6.1449672105559202E-3</v>
      </c>
      <c r="G29" s="10">
        <f si="23" t="shared"/>
        <v>0</v>
      </c>
      <c r="H29" s="10">
        <f si="23" t="shared"/>
        <v>0</v>
      </c>
      <c r="I29" s="10">
        <f si="23" t="shared"/>
        <v>0</v>
      </c>
      <c r="J29" s="65" t="e">
        <f si="23" t="shared"/>
        <v>#DIV/0!</v>
      </c>
      <c r="K29" s="10">
        <f ref="K29" si="24" t="shared">K11/K$17</f>
        <v>1.873759175759909E-3</v>
      </c>
      <c r="L29" s="6"/>
      <c r="M29" t="s">
        <v>50</v>
      </c>
      <c r="N29" s="10">
        <f ref="N29:Q29" si="25" t="shared">N11/N$17</f>
        <v>0</v>
      </c>
      <c r="O29" s="10">
        <f si="25" t="shared"/>
        <v>0</v>
      </c>
      <c r="P29" s="10">
        <f si="25" t="shared"/>
        <v>0</v>
      </c>
      <c r="Q29" s="10">
        <f si="25" t="shared"/>
        <v>8.7077673284569834E-2</v>
      </c>
      <c r="R29" s="10">
        <f si="7" t="shared"/>
        <v>1.3525538352019932E-2</v>
      </c>
      <c r="S29" s="10">
        <f si="7" t="shared"/>
        <v>0</v>
      </c>
      <c r="T29" s="10">
        <f si="7" t="shared"/>
        <v>0</v>
      </c>
      <c r="U29" s="10" t="e">
        <f si="7" t="shared"/>
        <v>#DIV/0!</v>
      </c>
      <c r="V29" s="65" t="e">
        <f si="7" t="shared"/>
        <v>#DIV/0!</v>
      </c>
      <c r="W29" s="10">
        <f si="7" t="shared"/>
        <v>1.9910491937736623E-4</v>
      </c>
    </row>
    <row r="30" spans="1:23" x14ac:dyDescent="0.45">
      <c r="A30" t="s">
        <v>51</v>
      </c>
      <c r="B30" s="10">
        <f ref="B30:J30" si="26" t="shared">B12/B$17</f>
        <v>0</v>
      </c>
      <c r="C30" s="10">
        <f si="26" t="shared"/>
        <v>0</v>
      </c>
      <c r="D30" s="10">
        <f si="26" t="shared"/>
        <v>0</v>
      </c>
      <c r="E30" s="10">
        <f si="26" t="shared"/>
        <v>0</v>
      </c>
      <c r="F30" s="10">
        <f si="26" t="shared"/>
        <v>0</v>
      </c>
      <c r="G30" s="10">
        <f si="26" t="shared"/>
        <v>0</v>
      </c>
      <c r="H30" s="10">
        <f si="26" t="shared"/>
        <v>0</v>
      </c>
      <c r="I30" s="10">
        <f si="26" t="shared"/>
        <v>0</v>
      </c>
      <c r="J30" s="65" t="e">
        <f si="26" t="shared"/>
        <v>#DIV/0!</v>
      </c>
      <c r="K30" s="10">
        <f ref="K30" si="27" t="shared">K12/K$17</f>
        <v>0</v>
      </c>
      <c r="L30" s="6"/>
      <c r="M30" t="s">
        <v>51</v>
      </c>
      <c r="N30" s="10">
        <f ref="N30:Q30" si="28" t="shared">N12/N$17</f>
        <v>0</v>
      </c>
      <c r="O30" s="10">
        <f si="28" t="shared"/>
        <v>0</v>
      </c>
      <c r="P30" s="10">
        <f si="28" t="shared"/>
        <v>0</v>
      </c>
      <c r="Q30" s="10">
        <f si="28" t="shared"/>
        <v>5.5729710902124698E-3</v>
      </c>
      <c r="R30" s="10">
        <f si="7" t="shared"/>
        <v>1.4593344011389927E-2</v>
      </c>
      <c r="S30" s="10">
        <f si="7" t="shared"/>
        <v>0</v>
      </c>
      <c r="T30" s="10">
        <f si="7" t="shared"/>
        <v>0</v>
      </c>
      <c r="U30" s="10" t="e">
        <f si="7" t="shared"/>
        <v>#DIV/0!</v>
      </c>
      <c r="V30" s="65" t="e">
        <f si="7" t="shared"/>
        <v>#DIV/0!</v>
      </c>
      <c r="W30" s="10">
        <f si="7" t="shared"/>
        <v>8.9151456437626668E-5</v>
      </c>
    </row>
    <row r="31" spans="1:23" x14ac:dyDescent="0.45">
      <c r="A31" t="s">
        <v>23</v>
      </c>
      <c r="B31" s="10">
        <f ref="B31:J31" si="29" t="shared">B13/B$17</f>
        <v>0</v>
      </c>
      <c r="C31" s="10">
        <f si="29" t="shared"/>
        <v>0</v>
      </c>
      <c r="D31" s="10">
        <f si="29" t="shared"/>
        <v>0</v>
      </c>
      <c r="E31" s="10">
        <f si="29" t="shared"/>
        <v>0</v>
      </c>
      <c r="F31" s="10">
        <f si="29" t="shared"/>
        <v>0</v>
      </c>
      <c r="G31" s="10">
        <f si="29" t="shared"/>
        <v>0</v>
      </c>
      <c r="H31" s="10">
        <f si="29" t="shared"/>
        <v>0</v>
      </c>
      <c r="I31" s="10">
        <f si="29" t="shared"/>
        <v>0.67785215607228533</v>
      </c>
      <c r="J31" s="65" t="e">
        <f si="29" t="shared"/>
        <v>#DIV/0!</v>
      </c>
      <c r="K31" s="10">
        <f ref="K31" si="30" t="shared">K13/K$17</f>
        <v>4.017033435329072E-4</v>
      </c>
      <c r="L31" s="6"/>
      <c r="M31" t="s">
        <v>23</v>
      </c>
      <c r="N31" s="10">
        <f ref="N31:Q31" si="31" t="shared">N13/N$17</f>
        <v>0</v>
      </c>
      <c r="O31" s="10">
        <f si="31" t="shared"/>
        <v>0</v>
      </c>
      <c r="P31" s="10">
        <f si="31" t="shared"/>
        <v>0</v>
      </c>
      <c r="Q31" s="10">
        <f si="31" t="shared"/>
        <v>0</v>
      </c>
      <c r="R31" s="10">
        <f si="7" t="shared"/>
        <v>0</v>
      </c>
      <c r="S31" s="10">
        <f si="7" t="shared"/>
        <v>0</v>
      </c>
      <c r="T31" s="10">
        <f si="7" t="shared"/>
        <v>0</v>
      </c>
      <c r="U31" s="10" t="e">
        <f si="7" t="shared"/>
        <v>#DIV/0!</v>
      </c>
      <c r="V31" s="65" t="e">
        <f si="7" t="shared"/>
        <v>#DIV/0!</v>
      </c>
      <c r="W31" s="10">
        <f si="7" t="shared"/>
        <v>0</v>
      </c>
    </row>
    <row r="32" spans="1:23" x14ac:dyDescent="0.45">
      <c r="A32" t="s">
        <v>4</v>
      </c>
      <c r="B32" s="10">
        <f ref="B32:J32" si="32" t="shared">B14/B$17</f>
        <v>6.8150592777127842E-4</v>
      </c>
      <c r="C32" s="10">
        <f si="32" t="shared"/>
        <v>3.8836454696754671E-4</v>
      </c>
      <c r="D32" s="10">
        <f si="32" t="shared"/>
        <v>1.438618094117049E-3</v>
      </c>
      <c r="E32" s="10">
        <f si="32" t="shared"/>
        <v>0</v>
      </c>
      <c r="F32" s="10">
        <f si="32" t="shared"/>
        <v>0</v>
      </c>
      <c r="G32" s="10">
        <f si="32" t="shared"/>
        <v>0.98837807175345571</v>
      </c>
      <c r="H32" s="10">
        <f si="32" t="shared"/>
        <v>0</v>
      </c>
      <c r="I32" s="10">
        <f si="32" t="shared"/>
        <v>0</v>
      </c>
      <c r="J32" s="65" t="e">
        <f si="32" t="shared"/>
        <v>#DIV/0!</v>
      </c>
      <c r="K32" s="10">
        <f ref="K32" si="33" t="shared">K14/K$17</f>
        <v>5.9210766426097683E-3</v>
      </c>
      <c r="L32" s="6"/>
      <c r="M32" t="s">
        <v>4</v>
      </c>
      <c r="N32" s="10">
        <f ref="N32:Q32" si="34" t="shared">N14/N$17</f>
        <v>9.8498877112800919E-5</v>
      </c>
      <c r="O32" s="10">
        <f si="34" t="shared"/>
        <v>4.7880699016019995E-4</v>
      </c>
      <c r="P32" s="10">
        <f si="34" t="shared"/>
        <v>4.0425382828375385E-4</v>
      </c>
      <c r="Q32" s="10">
        <f si="34" t="shared"/>
        <v>0</v>
      </c>
      <c r="R32" s="10">
        <f si="7" t="shared"/>
        <v>1.4237408791599928E-2</v>
      </c>
      <c r="S32" s="10">
        <f si="7" t="shared"/>
        <v>0.9972514887769125</v>
      </c>
      <c r="T32" s="10">
        <f si="7" t="shared"/>
        <v>0</v>
      </c>
      <c r="U32" s="10" t="e">
        <f si="7" t="shared"/>
        <v>#DIV/0!</v>
      </c>
      <c r="V32" s="65" t="e">
        <f si="7" t="shared"/>
        <v>#DIV/0!</v>
      </c>
      <c r="W32" s="10">
        <f si="7" t="shared"/>
        <v>5.6843959196368962E-3</v>
      </c>
    </row>
    <row r="33" spans="1:34" x14ac:dyDescent="0.45">
      <c r="A33" t="s">
        <v>5</v>
      </c>
      <c r="B33" s="10">
        <f ref="B33:J33" si="35" t="shared">B15/B$17</f>
        <v>8.3422048963186345E-3</v>
      </c>
      <c r="C33" s="10">
        <f si="35" t="shared"/>
        <v>9.2182976180257385E-3</v>
      </c>
      <c r="D33" s="10">
        <f si="35" t="shared"/>
        <v>5.2447311992202782E-3</v>
      </c>
      <c r="E33" s="10">
        <f si="35" t="shared"/>
        <v>1.2967521730296291E-2</v>
      </c>
      <c r="F33" s="10">
        <f si="35" t="shared"/>
        <v>8.6076650208358252E-2</v>
      </c>
      <c r="G33" s="10">
        <f si="35" t="shared"/>
        <v>1.1621928246544328E-2</v>
      </c>
      <c r="H33" s="10">
        <f si="35" t="shared"/>
        <v>1</v>
      </c>
      <c r="I33" s="10">
        <f si="35" t="shared"/>
        <v>0</v>
      </c>
      <c r="J33" s="65" t="e">
        <f si="35" t="shared"/>
        <v>#DIV/0!</v>
      </c>
      <c r="K33" s="10">
        <f ref="K33:K34" si="36" t="shared">K15/K$17</f>
        <v>1.6168483437276709E-2</v>
      </c>
      <c r="L33" s="6"/>
      <c r="M33" t="s">
        <v>5</v>
      </c>
      <c r="N33" s="10">
        <f ref="N33:Q34" si="37" t="shared">N15/N$17</f>
        <v>9.1073577145835919E-4</v>
      </c>
      <c r="O33" s="10">
        <f si="37" t="shared"/>
        <v>1.8308566848416457E-3</v>
      </c>
      <c r="P33" s="10">
        <f si="37" t="shared"/>
        <v>1.7302063850544664E-3</v>
      </c>
      <c r="Q33" s="10">
        <f si="37" t="shared"/>
        <v>0</v>
      </c>
      <c r="R33" s="10">
        <f si="7" t="shared"/>
        <v>1.005516995906745E-2</v>
      </c>
      <c r="S33" s="10">
        <f si="7" t="shared"/>
        <v>2.7485112230874941E-3</v>
      </c>
      <c r="T33" s="10">
        <f si="7" t="shared"/>
        <v>1</v>
      </c>
      <c r="U33" s="10" t="e">
        <f si="7" t="shared"/>
        <v>#DIV/0!</v>
      </c>
      <c r="V33" s="65" t="e">
        <f si="7" t="shared"/>
        <v>#DIV/0!</v>
      </c>
      <c r="W33" s="10">
        <f si="7" t="shared"/>
        <v>8.4753317920037083E-3</v>
      </c>
    </row>
    <row r="34" spans="1:34" x14ac:dyDescent="0.45">
      <c r="A34" t="s">
        <v>166</v>
      </c>
      <c r="B34" s="11">
        <f ref="B34:J34" si="38" t="shared">B16/B$17</f>
        <v>0</v>
      </c>
      <c r="C34" s="11">
        <f si="38" t="shared"/>
        <v>0</v>
      </c>
      <c r="D34" s="11">
        <f si="38" t="shared"/>
        <v>0</v>
      </c>
      <c r="E34" s="11">
        <f si="38" t="shared"/>
        <v>0</v>
      </c>
      <c r="F34" s="11">
        <f si="38" t="shared"/>
        <v>0</v>
      </c>
      <c r="G34" s="11">
        <f si="38" t="shared"/>
        <v>0</v>
      </c>
      <c r="H34" s="11">
        <f si="38" t="shared"/>
        <v>0</v>
      </c>
      <c r="I34" s="11">
        <f si="38" t="shared"/>
        <v>0</v>
      </c>
      <c r="J34" s="66" t="e">
        <f si="38" t="shared"/>
        <v>#DIV/0!</v>
      </c>
      <c r="K34" s="10">
        <f si="36" t="shared"/>
        <v>0</v>
      </c>
      <c r="L34" s="6"/>
      <c r="M34" t="s">
        <v>166</v>
      </c>
      <c r="N34" s="11">
        <f si="37" t="shared"/>
        <v>0</v>
      </c>
      <c r="O34" s="11">
        <f si="37" t="shared"/>
        <v>0</v>
      </c>
      <c r="P34" s="11">
        <f si="37" t="shared"/>
        <v>0</v>
      </c>
      <c r="Q34" s="11">
        <f si="37" t="shared"/>
        <v>0</v>
      </c>
      <c r="R34" s="11">
        <f si="7" t="shared"/>
        <v>0</v>
      </c>
      <c r="S34" s="11">
        <f si="7" t="shared"/>
        <v>0</v>
      </c>
      <c r="T34" s="11">
        <f si="7" t="shared"/>
        <v>0</v>
      </c>
      <c r="U34" s="11" t="e">
        <f si="7" t="shared"/>
        <v>#DIV/0!</v>
      </c>
      <c r="V34" s="66" t="e">
        <f si="7" t="shared"/>
        <v>#DIV/0!</v>
      </c>
      <c r="W34" s="10">
        <f si="7" t="shared"/>
        <v>0</v>
      </c>
    </row>
    <row ht="14.65" r="35" spans="1:34" thickBot="1" x14ac:dyDescent="0.5">
      <c r="A35" s="61" t="s">
        <v>7</v>
      </c>
      <c r="B35" s="63">
        <f ref="B35:J35" si="39" t="shared">B17/B$17</f>
        <v>1</v>
      </c>
      <c r="C35" s="63">
        <f si="39" t="shared"/>
        <v>1</v>
      </c>
      <c r="D35" s="63">
        <f si="39" t="shared"/>
        <v>1</v>
      </c>
      <c r="E35" s="63">
        <f si="39" t="shared"/>
        <v>1</v>
      </c>
      <c r="F35" s="63">
        <f si="39" t="shared"/>
        <v>1</v>
      </c>
      <c r="G35" s="63">
        <f si="39" t="shared"/>
        <v>1</v>
      </c>
      <c r="H35" s="63">
        <f si="39" t="shared"/>
        <v>1</v>
      </c>
      <c r="I35" s="63">
        <f si="39" t="shared"/>
        <v>1</v>
      </c>
      <c r="J35" s="67" t="e">
        <f si="39" t="shared"/>
        <v>#DIV/0!</v>
      </c>
      <c r="K35" s="63">
        <f ref="K35" si="40" t="shared">K17/K$17</f>
        <v>1</v>
      </c>
      <c r="M35" s="61" t="s">
        <v>7</v>
      </c>
      <c r="N35" s="63">
        <f ref="N35:Q35" si="41" t="shared">N17/N$17</f>
        <v>1</v>
      </c>
      <c r="O35" s="63">
        <f si="41" t="shared"/>
        <v>1</v>
      </c>
      <c r="P35" s="63">
        <f si="41" t="shared"/>
        <v>1</v>
      </c>
      <c r="Q35" s="63">
        <f si="41" t="shared"/>
        <v>1</v>
      </c>
      <c r="R35" s="63">
        <f si="7" t="shared"/>
        <v>1</v>
      </c>
      <c r="S35" s="63">
        <f si="7" t="shared"/>
        <v>1</v>
      </c>
      <c r="T35" s="63">
        <f si="7" t="shared"/>
        <v>1</v>
      </c>
      <c r="U35" s="63" t="e">
        <f si="7" t="shared"/>
        <v>#DIV/0!</v>
      </c>
      <c r="V35" s="67" t="e">
        <f si="7" t="shared"/>
        <v>#DIV/0!</v>
      </c>
      <c r="W35" s="63">
        <f si="7" t="shared"/>
        <v>1</v>
      </c>
    </row>
    <row ht="14.65" r="38" spans="1:34" thickBot="1" x14ac:dyDescent="0.5">
      <c r="M38" s="1" t="s">
        <v>17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45">
      <c r="M39" s="3"/>
      <c r="N39" s="77" t="s">
        <v>6</v>
      </c>
      <c r="O39" s="77"/>
      <c r="P39" s="77"/>
      <c r="Q39" s="77"/>
      <c r="R39" s="77"/>
      <c r="S39" s="77"/>
      <c r="T39" s="77"/>
      <c r="U39" s="77"/>
      <c r="V39" s="8"/>
      <c r="W39" s="8"/>
    </row>
    <row r="40" spans="1:34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</row>
    <row r="41" spans="1:34" x14ac:dyDescent="0.45">
      <c r="M41" t="s">
        <v>1</v>
      </c>
      <c r="N41" s="10">
        <f ref="N41:W46" si="42" t="shared">N23-B23</f>
        <v>8.0144761755187588E-3</v>
      </c>
      <c r="O41" s="10">
        <f si="42" t="shared"/>
        <v>1.1556836251527314E-2</v>
      </c>
      <c r="P41" s="10">
        <f si="42" t="shared"/>
        <v>-8.4020704565264448E-2</v>
      </c>
      <c r="Q41" s="10">
        <f si="42" t="shared"/>
        <v>-5.2287064419209495E-2</v>
      </c>
      <c r="R41" s="10">
        <f si="42" t="shared"/>
        <v>-1.1585352205368198E-2</v>
      </c>
      <c r="S41" s="10">
        <f si="42" t="shared"/>
        <v>0</v>
      </c>
      <c r="T41" s="10">
        <f si="42" t="shared"/>
        <v>0</v>
      </c>
      <c r="U41" s="10" t="e">
        <f si="42" t="shared"/>
        <v>#DIV/0!</v>
      </c>
      <c r="V41" s="65" t="e">
        <f si="42" t="shared"/>
        <v>#DIV/0!</v>
      </c>
      <c r="W41" s="10">
        <f si="42" t="shared"/>
        <v>2.0815841310013461E-2</v>
      </c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x14ac:dyDescent="0.45">
      <c r="M42" t="s">
        <v>9</v>
      </c>
      <c r="N42" s="10">
        <f si="42" t="shared"/>
        <v>0</v>
      </c>
      <c r="O42" s="10">
        <f si="42" t="shared"/>
        <v>-4.259837761536156E-3</v>
      </c>
      <c r="P42" s="10">
        <f si="42" t="shared"/>
        <v>-4.0884873830038471E-2</v>
      </c>
      <c r="Q42" s="10">
        <f si="42" t="shared"/>
        <v>6.2519694009810847E-2</v>
      </c>
      <c r="R42" s="10">
        <f si="42" t="shared"/>
        <v>5.0885612001317235E-2</v>
      </c>
      <c r="S42" s="10">
        <f si="42" t="shared"/>
        <v>0</v>
      </c>
      <c r="T42" s="10">
        <f si="42" t="shared"/>
        <v>0</v>
      </c>
      <c r="U42" s="10" t="e">
        <f si="42" t="shared"/>
        <v>#DIV/0!</v>
      </c>
      <c r="V42" s="65" t="e">
        <f si="42" t="shared"/>
        <v>#DIV/0!</v>
      </c>
      <c r="W42" s="10">
        <f si="42" t="shared"/>
        <v>-6.9001439275064302E-3</v>
      </c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x14ac:dyDescent="0.45">
      <c r="M43" t="s">
        <v>10</v>
      </c>
      <c r="N43" s="10">
        <f si="42" t="shared"/>
        <v>0</v>
      </c>
      <c r="O43" s="10">
        <f si="42" t="shared"/>
        <v>0</v>
      </c>
      <c r="P43" s="10">
        <f si="42" t="shared"/>
        <v>0.12945446747530198</v>
      </c>
      <c r="Q43" s="10">
        <f si="42" t="shared"/>
        <v>-1.7572469482954999E-2</v>
      </c>
      <c r="R43" s="10">
        <f si="42" t="shared"/>
        <v>-1.9783039131259297E-3</v>
      </c>
      <c r="S43" s="10">
        <f si="42" t="shared"/>
        <v>0</v>
      </c>
      <c r="T43" s="10">
        <f si="42" t="shared"/>
        <v>0</v>
      </c>
      <c r="U43" s="10" t="e">
        <f si="42" t="shared"/>
        <v>#DIV/0!</v>
      </c>
      <c r="V43" s="65" t="e">
        <f si="42" t="shared"/>
        <v>#DIV/0!</v>
      </c>
      <c r="W43" s="10">
        <f si="42" t="shared"/>
        <v>5.217632126401861E-3</v>
      </c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x14ac:dyDescent="0.45">
      <c r="M44" t="s">
        <v>47</v>
      </c>
      <c r="N44" s="10">
        <f si="42" t="shared"/>
        <v>0</v>
      </c>
      <c r="O44" s="10">
        <f si="42" t="shared"/>
        <v>0</v>
      </c>
      <c r="P44" s="10">
        <f si="42" t="shared"/>
        <v>0</v>
      </c>
      <c r="Q44" s="10">
        <f si="42" t="shared"/>
        <v>0.13321796105784872</v>
      </c>
      <c r="R44" s="10">
        <f si="42" t="shared"/>
        <v>8.4344780455248958E-2</v>
      </c>
      <c r="S44" s="10">
        <f si="42" t="shared"/>
        <v>0</v>
      </c>
      <c r="T44" s="10">
        <f si="42" t="shared"/>
        <v>0</v>
      </c>
      <c r="U44" s="10" t="e">
        <f si="42" t="shared"/>
        <v>#DIV/0!</v>
      </c>
      <c r="V44" s="65" t="e">
        <f si="42" t="shared"/>
        <v>#DIV/0!</v>
      </c>
      <c r="W44" s="10">
        <f si="42" t="shared"/>
        <v>-6.3481206847315367E-3</v>
      </c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x14ac:dyDescent="0.45">
      <c r="M45" t="s">
        <v>48</v>
      </c>
      <c r="N45" s="10">
        <f si="42" t="shared"/>
        <v>0</v>
      </c>
      <c r="O45" s="10">
        <f si="42" t="shared"/>
        <v>0</v>
      </c>
      <c r="P45" s="10">
        <f si="42" t="shared"/>
        <v>0</v>
      </c>
      <c r="Q45" s="10">
        <f si="42" t="shared"/>
        <v>0</v>
      </c>
      <c r="R45" s="10">
        <f si="42" t="shared"/>
        <v>0</v>
      </c>
      <c r="S45" s="10">
        <f si="42" t="shared"/>
        <v>0</v>
      </c>
      <c r="T45" s="10">
        <f si="42" t="shared"/>
        <v>0</v>
      </c>
      <c r="U45" s="10" t="e">
        <f si="42" t="shared"/>
        <v>#DIV/0!</v>
      </c>
      <c r="V45" s="65" t="e">
        <f si="42" t="shared"/>
        <v>#DIV/0!</v>
      </c>
      <c r="W45" s="10">
        <f si="42" t="shared"/>
        <v>0</v>
      </c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x14ac:dyDescent="0.45">
      <c r="M46" t="s">
        <v>49</v>
      </c>
      <c r="N46" s="10">
        <f si="42" t="shared"/>
        <v>0</v>
      </c>
      <c r="O46" s="10">
        <f si="42" t="shared"/>
        <v>0</v>
      </c>
      <c r="P46" s="10">
        <f si="42" t="shared"/>
        <v>0</v>
      </c>
      <c r="Q46" s="10">
        <f si="42" t="shared"/>
        <v>-9.0555998221487355E-2</v>
      </c>
      <c r="R46" s="10">
        <f si="42" t="shared"/>
        <v>-8.1856580033235163E-2</v>
      </c>
      <c r="S46" s="10">
        <f si="42" t="shared"/>
        <v>0</v>
      </c>
      <c r="T46" s="10">
        <f si="42" t="shared"/>
        <v>0</v>
      </c>
      <c r="U46" s="10" t="e">
        <f si="42" t="shared"/>
        <v>#DIV/0!</v>
      </c>
      <c r="V46" s="65" t="e">
        <f si="42" t="shared"/>
        <v>#DIV/0!</v>
      </c>
      <c r="W46" s="10">
        <f si="42" t="shared"/>
        <v>-2.8681703124537636E-3</v>
      </c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x14ac:dyDescent="0.45">
      <c r="M47" t="s">
        <v>50</v>
      </c>
      <c r="N47" s="10">
        <f ref="N47:N49" si="43" t="shared">N29-B29</f>
        <v>0</v>
      </c>
      <c r="O47" s="10">
        <f ref="O47:O49" si="44" t="shared">O29-C29</f>
        <v>0</v>
      </c>
      <c r="P47" s="10">
        <f ref="P47:P49" si="45" t="shared">P29-D29</f>
        <v>0</v>
      </c>
      <c r="Q47" s="10">
        <f ref="Q47:Q49" si="46" t="shared">Q29-E29</f>
        <v>-2.792757230392387E-2</v>
      </c>
      <c r="R47" s="10">
        <f ref="R47:W52" si="47" t="shared">R29-F29</f>
        <v>7.3805711414640122E-3</v>
      </c>
      <c r="S47" s="10">
        <f si="47" t="shared"/>
        <v>0</v>
      </c>
      <c r="T47" s="10">
        <f si="47" t="shared"/>
        <v>0</v>
      </c>
      <c r="U47" s="10" t="e">
        <f si="47" t="shared"/>
        <v>#DIV/0!</v>
      </c>
      <c r="V47" s="65" t="e">
        <f si="47" t="shared"/>
        <v>#DIV/0!</v>
      </c>
      <c r="W47" s="10">
        <f si="47" t="shared"/>
        <v>-1.6746542563825428E-3</v>
      </c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x14ac:dyDescent="0.45">
      <c r="M48" t="s">
        <v>51</v>
      </c>
      <c r="N48" s="10">
        <f si="43" t="shared"/>
        <v>0</v>
      </c>
      <c r="O48" s="10">
        <f si="44" t="shared"/>
        <v>0</v>
      </c>
      <c r="P48" s="10">
        <f si="45" t="shared"/>
        <v>0</v>
      </c>
      <c r="Q48" s="10">
        <f si="46" t="shared"/>
        <v>5.5729710902124698E-3</v>
      </c>
      <c r="R48" s="10">
        <f si="47" t="shared"/>
        <v>1.4593344011389927E-2</v>
      </c>
      <c r="S48" s="10">
        <f si="47" t="shared"/>
        <v>0</v>
      </c>
      <c r="T48" s="10">
        <f si="47" t="shared"/>
        <v>0</v>
      </c>
      <c r="U48" s="10" t="e">
        <f si="47" t="shared"/>
        <v>#DIV/0!</v>
      </c>
      <c r="V48" s="65" t="e">
        <f si="47" t="shared"/>
        <v>#DIV/0!</v>
      </c>
      <c r="W48" s="10">
        <f si="47" t="shared"/>
        <v>8.9151456437626668E-5</v>
      </c>
      <c r="Z48" s="10"/>
      <c r="AA48" s="10"/>
      <c r="AB48" s="10"/>
      <c r="AC48" s="10"/>
      <c r="AD48" s="10"/>
      <c r="AE48" s="10"/>
      <c r="AF48" s="10"/>
      <c r="AG48" s="10"/>
      <c r="AH48" s="10"/>
    </row>
    <row r="49" spans="13:34" x14ac:dyDescent="0.45">
      <c r="M49" t="s">
        <v>23</v>
      </c>
      <c r="N49" s="10">
        <f si="43" t="shared"/>
        <v>0</v>
      </c>
      <c r="O49" s="10">
        <f si="44" t="shared"/>
        <v>0</v>
      </c>
      <c r="P49" s="10">
        <f si="45" t="shared"/>
        <v>0</v>
      </c>
      <c r="Q49" s="10">
        <f si="46" t="shared"/>
        <v>0</v>
      </c>
      <c r="R49" s="10">
        <f si="47" t="shared"/>
        <v>0</v>
      </c>
      <c r="S49" s="10">
        <f si="47" t="shared"/>
        <v>0</v>
      </c>
      <c r="T49" s="10">
        <f si="47" t="shared"/>
        <v>0</v>
      </c>
      <c r="U49" s="10" t="e">
        <f si="47" t="shared"/>
        <v>#DIV/0!</v>
      </c>
      <c r="V49" s="65" t="e">
        <f si="47" t="shared"/>
        <v>#DIV/0!</v>
      </c>
      <c r="W49" s="10">
        <f si="47" t="shared"/>
        <v>-4.017033435329072E-4</v>
      </c>
      <c r="Z49" s="10"/>
      <c r="AA49" s="10"/>
      <c r="AB49" s="10"/>
      <c r="AC49" s="10"/>
      <c r="AD49" s="10"/>
      <c r="AE49" s="10"/>
      <c r="AF49" s="10"/>
      <c r="AG49" s="10"/>
      <c r="AH49" s="10"/>
    </row>
    <row r="50" spans="13:34" x14ac:dyDescent="0.45">
      <c r="M50" t="s">
        <v>4</v>
      </c>
      <c r="N50" s="10">
        <f ref="N50:Q53" si="48" t="shared">N32-B32</f>
        <v>-5.8300705065847749E-4</v>
      </c>
      <c r="O50" s="10">
        <f si="48" t="shared"/>
        <v>9.0442443192653244E-5</v>
      </c>
      <c r="P50" s="10">
        <f si="48" t="shared"/>
        <v>-1.0343642658332951E-3</v>
      </c>
      <c r="Q50" s="10">
        <f si="48" t="shared"/>
        <v>0</v>
      </c>
      <c r="R50" s="10">
        <f si="47" t="shared"/>
        <v>1.4237408791599928E-2</v>
      </c>
      <c r="S50" s="10">
        <f si="47" t="shared"/>
        <v>8.8734170234567866E-3</v>
      </c>
      <c r="T50" s="10">
        <f si="47" t="shared"/>
        <v>0</v>
      </c>
      <c r="U50" s="10" t="e">
        <f si="47" t="shared"/>
        <v>#DIV/0!</v>
      </c>
      <c r="V50" s="65" t="e">
        <f si="47" t="shared"/>
        <v>#DIV/0!</v>
      </c>
      <c r="W50" s="10">
        <f si="47" t="shared"/>
        <v>-2.3668072297287207E-4</v>
      </c>
      <c r="Z50" s="10"/>
      <c r="AA50" s="10"/>
      <c r="AB50" s="10"/>
      <c r="AC50" s="10"/>
      <c r="AD50" s="10"/>
      <c r="AE50" s="10"/>
      <c r="AF50" s="10"/>
      <c r="AG50" s="10"/>
      <c r="AH50" s="10"/>
    </row>
    <row r="51" spans="13:34" x14ac:dyDescent="0.45">
      <c r="M51" t="s">
        <v>5</v>
      </c>
      <c r="N51" s="10">
        <f si="48" t="shared"/>
        <v>-7.4314691248602753E-3</v>
      </c>
      <c r="O51" s="10">
        <f si="48" t="shared"/>
        <v>-7.3874409331840928E-3</v>
      </c>
      <c r="P51" s="10">
        <f si="48" t="shared"/>
        <v>-3.5145248141658118E-3</v>
      </c>
      <c r="Q51" s="10">
        <f si="48" t="shared"/>
        <v>-1.2967521730296291E-2</v>
      </c>
      <c r="R51" s="10">
        <f si="47" t="shared"/>
        <v>-7.6021480249290799E-2</v>
      </c>
      <c r="S51" s="10">
        <f si="47" t="shared"/>
        <v>-8.8734170234568352E-3</v>
      </c>
      <c r="T51" s="10">
        <f si="47" t="shared"/>
        <v>0</v>
      </c>
      <c r="U51" s="10" t="e">
        <f si="47" t="shared"/>
        <v>#DIV/0!</v>
      </c>
      <c r="V51" s="65" t="e">
        <f si="47" t="shared"/>
        <v>#DIV/0!</v>
      </c>
      <c r="W51" s="10">
        <f si="47" t="shared"/>
        <v>-7.6931516452730005E-3</v>
      </c>
      <c r="Z51" s="10"/>
      <c r="AA51" s="10"/>
      <c r="AB51" s="10"/>
      <c r="AC51" s="10"/>
      <c r="AD51" s="10"/>
      <c r="AE51" s="10"/>
      <c r="AF51" s="10"/>
      <c r="AG51" s="10"/>
      <c r="AH51" s="10"/>
    </row>
    <row r="52" spans="13:34" x14ac:dyDescent="0.45">
      <c r="M52" t="s">
        <v>166</v>
      </c>
      <c r="N52" s="11">
        <f si="48" t="shared"/>
        <v>0</v>
      </c>
      <c r="O52" s="11">
        <f si="48" t="shared"/>
        <v>0</v>
      </c>
      <c r="P52" s="11">
        <f si="48" t="shared"/>
        <v>0</v>
      </c>
      <c r="Q52" s="11">
        <f si="48" t="shared"/>
        <v>0</v>
      </c>
      <c r="R52" s="11">
        <f si="47" t="shared"/>
        <v>0</v>
      </c>
      <c r="S52" s="11">
        <f si="47" t="shared"/>
        <v>0</v>
      </c>
      <c r="T52" s="11">
        <f si="47" t="shared"/>
        <v>0</v>
      </c>
      <c r="U52" s="11" t="e">
        <f si="47" t="shared"/>
        <v>#DIV/0!</v>
      </c>
      <c r="V52" s="66" t="e">
        <f si="47" t="shared"/>
        <v>#DIV/0!</v>
      </c>
      <c r="W52" s="10">
        <f si="47" t="shared"/>
        <v>0</v>
      </c>
      <c r="Z52" s="10"/>
      <c r="AA52" s="10"/>
      <c r="AB52" s="10"/>
      <c r="AC52" s="10"/>
      <c r="AD52" s="10"/>
      <c r="AE52" s="10"/>
      <c r="AF52" s="10"/>
      <c r="AG52" s="10"/>
      <c r="AH52" s="10"/>
    </row>
    <row ht="14.65" r="53" spans="13:34" thickBot="1" x14ac:dyDescent="0.5">
      <c r="M53" s="61" t="s">
        <v>7</v>
      </c>
      <c r="N53" s="63">
        <f si="48" t="shared"/>
        <v>0</v>
      </c>
      <c r="O53" s="63">
        <f si="48" t="shared"/>
        <v>0</v>
      </c>
      <c r="P53" s="63">
        <f si="48" t="shared"/>
        <v>0</v>
      </c>
      <c r="Q53" s="63">
        <f si="48" t="shared"/>
        <v>0</v>
      </c>
      <c r="R53" s="63">
        <f ref="R53" si="49" t="shared">R35-F35</f>
        <v>0</v>
      </c>
      <c r="S53" s="63">
        <f ref="S53" si="50" t="shared">S35-G35</f>
        <v>0</v>
      </c>
      <c r="T53" s="63">
        <f ref="T53" si="51" t="shared">T35-H35</f>
        <v>0</v>
      </c>
      <c r="U53" s="63" t="e">
        <f ref="U53:V53" si="52" t="shared">U35-I35</f>
        <v>#DIV/0!</v>
      </c>
      <c r="V53" s="67" t="e">
        <f si="52" t="shared"/>
        <v>#DIV/0!</v>
      </c>
      <c r="W53" s="63">
        <f ref="W53" si="53" t="shared">W35-K35</f>
        <v>0</v>
      </c>
      <c r="Z53" s="10"/>
      <c r="AA53" s="10"/>
      <c r="AB53" s="10"/>
      <c r="AC53" s="10"/>
      <c r="AD53" s="10"/>
      <c r="AE53" s="10"/>
      <c r="AF53" s="10"/>
      <c r="AG53" s="10"/>
      <c r="AH53" s="10"/>
    </row>
  </sheetData>
  <mergeCells count="5">
    <mergeCell ref="B3:I3"/>
    <mergeCell ref="B21:I21"/>
    <mergeCell ref="N3:U3"/>
    <mergeCell ref="N21:U21"/>
    <mergeCell ref="N39:U39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I53"/>
  <sheetViews>
    <sheetView workbookViewId="0">
      <selection activeCell="N5" sqref="N5"/>
    </sheetView>
  </sheetViews>
  <sheetFormatPr defaultRowHeight="14.25" x14ac:dyDescent="0.45"/>
  <cols>
    <col min="1" max="1" customWidth="true" width="25.0" collapsed="true"/>
    <col min="2" max="11" customWidth="true" width="10.73046875" collapsed="true"/>
    <col min="12" max="12" customWidth="true" width="3.73046875" collapsed="true"/>
    <col min="13" max="13" customWidth="true" width="25.0" collapsed="true"/>
    <col min="14" max="24" customWidth="true" width="10.73046875" collapsed="true"/>
    <col min="25" max="25" customWidth="true" width="17.0" collapsed="true"/>
  </cols>
  <sheetData>
    <row ht="14.65" r="2" spans="1:23" thickBot="1" x14ac:dyDescent="0.5">
      <c r="A2" s="1" t="s">
        <v>167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28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39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39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64827.877424317965</v>
      </c>
      <c r="C5" s="6" t="n">
        <v>11159.333801282848</v>
      </c>
      <c r="D5" s="6" t="n">
        <v>4873.496646887734</v>
      </c>
      <c r="E5" s="6" t="n">
        <v>1676.9888400752366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82537.696712563789</v>
      </c>
      <c r="L5" s="6"/>
      <c r="M5" t="s">
        <v>1</v>
      </c>
      <c r="N5" s="6" t="n">
        <v>50964.0</v>
      </c>
      <c r="O5" s="6" t="n">
        <v>3638.0</v>
      </c>
      <c r="P5" s="6" t="n">
        <v>3232.0</v>
      </c>
      <c r="Q5" s="6" t="n">
        <v>0.0</v>
      </c>
      <c r="R5" s="6" t="n">
        <v>4.0</v>
      </c>
      <c r="S5" s="6" t="n">
        <v>0.0</v>
      </c>
      <c r="T5" s="6" t="n">
        <v>0.0</v>
      </c>
      <c r="U5" s="6" t="n">
        <v>946.0</v>
      </c>
      <c r="V5" s="6" t="n">
        <v>0.0</v>
      </c>
      <c r="W5" s="6">
        <f>SUM(N5:V5)</f>
        <v>58642</v>
      </c>
    </row>
    <row r="6" spans="1:23" x14ac:dyDescent="0.45">
      <c r="A6" t="s">
        <v>12</v>
      </c>
      <c r="B6" s="6" t="n">
        <v>0.0</v>
      </c>
      <c r="C6" s="6" t="n">
        <v>94959.60468069025</v>
      </c>
      <c r="D6" s="6" t="n">
        <v>52890.57915492022</v>
      </c>
      <c r="E6" s="6" t="n">
        <v>64.2966103522118</v>
      </c>
      <c r="F6" s="6" t="n">
        <v>751.4365849394902</v>
      </c>
      <c r="G6" s="6" t="n">
        <v>0.0</v>
      </c>
      <c r="H6" s="6" t="n">
        <v>0.0</v>
      </c>
      <c r="I6" s="6" t="n">
        <v>25973.42389863834</v>
      </c>
      <c r="J6" s="6" t="n">
        <v>0.0</v>
      </c>
      <c r="K6" s="6">
        <f ref="K6:K16" si="0" t="shared">SUM(B6:J6)</f>
        <v>174639.34092954049</v>
      </c>
      <c r="L6" s="6"/>
      <c r="M6" t="s">
        <v>12</v>
      </c>
      <c r="N6" s="6" t="n">
        <v>0.0</v>
      </c>
      <c r="O6" s="6" t="n">
        <v>79325.0</v>
      </c>
      <c r="P6" s="6" t="n">
        <v>31325.0</v>
      </c>
      <c r="Q6" s="6" t="n">
        <v>0.0</v>
      </c>
      <c r="R6" s="6" t="n">
        <v>114.0</v>
      </c>
      <c r="S6" s="6" t="n">
        <v>0.0</v>
      </c>
      <c r="T6" s="6" t="n">
        <v>0.0</v>
      </c>
      <c r="U6" s="6" t="n">
        <v>25986.0</v>
      </c>
      <c r="V6" s="6" t="n">
        <v>0.0</v>
      </c>
      <c r="W6" s="6">
        <f ref="W6:W16" si="1" t="shared">SUM(N6:V6)</f>
        <v>137527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185028.52941384428</v>
      </c>
      <c r="E7" s="6" t="n">
        <v>778.1632344826237</v>
      </c>
      <c r="F7" s="6" t="n">
        <v>1404.5668767258824</v>
      </c>
      <c r="G7" s="6" t="n">
        <v>0.0</v>
      </c>
      <c r="H7" s="6" t="n">
        <v>0.0</v>
      </c>
      <c r="I7" s="6" t="n">
        <v>25706.077627309107</v>
      </c>
      <c r="J7" s="6" t="n">
        <v>0.0</v>
      </c>
      <c r="K7" s="6">
        <f si="0" t="shared"/>
        <v>212917.3371523619</v>
      </c>
      <c r="L7" s="6"/>
      <c r="M7" t="s">
        <v>52</v>
      </c>
      <c r="N7" s="6" t="n">
        <v>0.0</v>
      </c>
      <c r="O7" s="6" t="n">
        <v>0.0</v>
      </c>
      <c r="P7" s="6" t="n">
        <v>148070.0</v>
      </c>
      <c r="Q7" s="6" t="n">
        <v>0.0</v>
      </c>
      <c r="R7" s="6" t="n">
        <v>32.0</v>
      </c>
      <c r="S7" s="6" t="n">
        <v>0.0</v>
      </c>
      <c r="T7" s="6" t="n">
        <v>0.0</v>
      </c>
      <c r="U7" s="6" t="n">
        <v>28866.0</v>
      </c>
      <c r="V7" s="6" t="n">
        <v>0.0</v>
      </c>
      <c r="W7" s="6">
        <f si="1" t="shared"/>
        <v>177365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1808.1869679089275</v>
      </c>
      <c r="F8" s="6" t="n">
        <v>6920.583999650388</v>
      </c>
      <c r="G8" s="6" t="n">
        <v>0.0</v>
      </c>
      <c r="H8" s="6" t="n">
        <v>0.0</v>
      </c>
      <c r="I8" s="6" t="n">
        <v>103.976599083586</v>
      </c>
      <c r="J8" s="6" t="n">
        <v>0.0</v>
      </c>
      <c r="K8" s="6">
        <f si="0" t="shared"/>
        <v>8832.7475666429018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1687.0</v>
      </c>
      <c r="S8" s="6" t="n">
        <v>0.0</v>
      </c>
      <c r="T8" s="6" t="n">
        <v>0.0</v>
      </c>
      <c r="U8" s="6" t="n">
        <v>72.0</v>
      </c>
      <c r="V8" s="6" t="n">
        <v>0.0</v>
      </c>
      <c r="W8" s="6">
        <f si="1" t="shared"/>
        <v>1833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74.8323670759137</v>
      </c>
      <c r="F10" s="6" t="n">
        <v>0.0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74.832367075913695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2.0</v>
      </c>
      <c r="S10" s="6" t="n">
        <v>0.0</v>
      </c>
      <c r="T10" s="6" t="n">
        <v>0.0</v>
      </c>
      <c r="U10" s="6" t="n">
        <v>3.0</v>
      </c>
      <c r="V10" s="6" t="n">
        <v>0.0</v>
      </c>
      <c r="W10" s="6">
        <f si="1" t="shared"/>
        <v>3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0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5.0</v>
      </c>
      <c r="S11" s="6" t="n">
        <v>0.0</v>
      </c>
      <c r="T11" s="6" t="n">
        <v>0.0</v>
      </c>
      <c r="U11" s="6" t="n">
        <v>5.0</v>
      </c>
      <c r="V11" s="6" t="n">
        <v>0.0</v>
      </c>
      <c r="W11" s="6">
        <f si="1" t="shared"/>
        <v>6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5.0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8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174090.39349683918</v>
      </c>
      <c r="J13" s="6" t="n">
        <v>0.0</v>
      </c>
      <c r="K13" s="6">
        <f si="0" t="shared"/>
        <v>174090.39349683918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148126.0</v>
      </c>
      <c r="V13" s="6" t="n">
        <v>0.0</v>
      </c>
      <c r="W13" s="6">
        <f si="1" t="shared"/>
        <v>149132</v>
      </c>
    </row>
    <row r="14" spans="1:23" x14ac:dyDescent="0.45">
      <c r="A14" t="s">
        <v>4</v>
      </c>
      <c r="B14" s="6" t="n">
        <v>0.0</v>
      </c>
      <c r="C14" s="6" t="n">
        <v>0.0</v>
      </c>
      <c r="D14" s="6" t="n">
        <v>328.5186180062657</v>
      </c>
      <c r="E14" s="6" t="n">
        <v>0.0</v>
      </c>
      <c r="F14" s="6" t="n">
        <v>0.0</v>
      </c>
      <c r="G14" s="6" t="n">
        <v>1516.3883830612624</v>
      </c>
      <c r="H14" s="6" t="n">
        <v>0.0</v>
      </c>
      <c r="I14" s="6" t="n">
        <v>133.7152485297986</v>
      </c>
      <c r="J14" s="6" t="n">
        <v>0.0</v>
      </c>
      <c r="K14" s="6">
        <f si="0" t="shared"/>
        <v>1978.6222495973268</v>
      </c>
      <c r="L14" s="6"/>
      <c r="M14" t="s">
        <v>4</v>
      </c>
      <c r="N14" s="6" t="n">
        <v>27.0</v>
      </c>
      <c r="O14" s="6" t="n">
        <v>328.0</v>
      </c>
      <c r="P14" s="6" t="n">
        <v>311.0</v>
      </c>
      <c r="Q14" s="6" t="n">
        <v>0.0</v>
      </c>
      <c r="R14" s="6" t="n">
        <v>31.0</v>
      </c>
      <c r="S14" s="6" t="n">
        <v>887.0</v>
      </c>
      <c r="T14" s="6" t="n">
        <v>0.0</v>
      </c>
      <c r="U14" s="6" t="n">
        <v>396.0</v>
      </c>
      <c r="V14" s="6" t="n">
        <v>0.0</v>
      </c>
      <c r="W14" s="6">
        <f si="1" t="shared"/>
        <v>2020</v>
      </c>
    </row>
    <row r="15" spans="1:23" x14ac:dyDescent="0.45">
      <c r="A15" t="s">
        <v>5</v>
      </c>
      <c r="B15" s="6" t="n">
        <v>1574.2849389742028</v>
      </c>
      <c r="C15" s="6" t="n">
        <v>2463.7507552643597</v>
      </c>
      <c r="D15" s="6" t="n">
        <v>5716.552671900331</v>
      </c>
      <c r="E15" s="6" t="n">
        <v>0.0</v>
      </c>
      <c r="F15" s="6" t="n">
        <v>109.5336788806728</v>
      </c>
      <c r="G15" s="6" t="n">
        <v>0.0</v>
      </c>
      <c r="H15" s="6" t="n">
        <v>12717.544386055704</v>
      </c>
      <c r="I15" s="6" t="n">
        <v>2666.9287621433805</v>
      </c>
      <c r="J15" s="6" t="n">
        <v>0.0</v>
      </c>
      <c r="K15" s="6">
        <f si="0" t="shared"/>
        <v>25248.595193218651</v>
      </c>
      <c r="L15" s="6"/>
      <c r="M15" t="s">
        <v>5</v>
      </c>
      <c r="N15" s="6" t="n">
        <v>85.0</v>
      </c>
      <c r="O15" s="6" t="n">
        <v>651.0</v>
      </c>
      <c r="P15" s="6" t="n">
        <v>765.0</v>
      </c>
      <c r="Q15" s="6" t="n">
        <v>0.0</v>
      </c>
      <c r="R15" s="6" t="n">
        <v>27.0</v>
      </c>
      <c r="S15" s="6" t="n">
        <v>5.0</v>
      </c>
      <c r="T15" s="6" t="n">
        <v>12496.0</v>
      </c>
      <c r="U15" s="6" t="n">
        <v>677.0</v>
      </c>
      <c r="V15" s="6" t="n">
        <v>0.0</v>
      </c>
      <c r="W15" s="6">
        <f si="1" t="shared"/>
        <v>14887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66402.162363292169</v>
      </c>
      <c r="C17" s="62">
        <f ref="C17:K17" si="2" t="shared">SUM(C5:C16)</f>
        <v>108582.68923723746</v>
      </c>
      <c r="D17" s="62">
        <f si="2" t="shared"/>
        <v>248837.67650555883</v>
      </c>
      <c r="E17" s="62">
        <f si="2" t="shared"/>
        <v>4402.4680198949136</v>
      </c>
      <c r="F17" s="62">
        <f si="2" t="shared"/>
        <v>9186.1211401964338</v>
      </c>
      <c r="G17" s="62">
        <f si="2" t="shared"/>
        <v>1516.3883830612624</v>
      </c>
      <c r="H17" s="62">
        <f si="2" t="shared"/>
        <v>12717.544386055704</v>
      </c>
      <c r="I17" s="62">
        <f si="2" t="shared"/>
        <v>228674.51563254339</v>
      </c>
      <c r="J17" s="62">
        <f si="2" t="shared"/>
        <v>0</v>
      </c>
      <c r="K17" s="62">
        <f si="2" t="shared"/>
        <v>680319.56566784019</v>
      </c>
      <c r="M17" s="61" t="s">
        <v>7</v>
      </c>
      <c r="N17" s="62">
        <f>SUM(N5:N16)</f>
        <v>50914</v>
      </c>
      <c r="O17" s="62">
        <f ref="O17:W17" si="3" t="shared">SUM(O5:O16)</f>
        <v>84617</v>
      </c>
      <c r="P17" s="62">
        <f si="3" t="shared"/>
        <v>184116</v>
      </c>
      <c r="Q17" s="62">
        <f si="3" t="shared"/>
        <v>0</v>
      </c>
      <c r="R17" s="62">
        <f si="3" t="shared"/>
        <v>1951</v>
      </c>
      <c r="S17" s="62">
        <f si="3" t="shared"/>
        <v>919</v>
      </c>
      <c r="T17" s="62">
        <f si="3" t="shared"/>
        <v>12642</v>
      </c>
      <c r="U17" s="62">
        <f si="3" t="shared"/>
        <v>206264</v>
      </c>
      <c r="V17" s="62">
        <f si="3" t="shared"/>
        <v>0</v>
      </c>
      <c r="W17" s="62">
        <f si="3" t="shared"/>
        <v>541423</v>
      </c>
    </row>
    <row ht="14.65" r="20" spans="1:23" thickBot="1" x14ac:dyDescent="0.5">
      <c r="A20" s="1" t="s">
        <v>168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29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39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39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0.97629166155220748</v>
      </c>
      <c r="C23" s="10">
        <f si="4" t="shared"/>
        <v>0.1027726784045781</v>
      </c>
      <c r="D23" s="10">
        <f si="4" t="shared"/>
        <v>1.9585043211006126E-2</v>
      </c>
      <c r="E23" s="10">
        <f si="4" t="shared"/>
        <v>0.38092016398457929</v>
      </c>
      <c r="F23" s="10">
        <f si="4" t="shared"/>
        <v>0</v>
      </c>
      <c r="G23" s="10">
        <f si="4" t="shared"/>
        <v>0</v>
      </c>
      <c r="H23" s="10">
        <f si="4" t="shared"/>
        <v>0</v>
      </c>
      <c r="I23" s="10">
        <f si="4" t="shared"/>
        <v>0</v>
      </c>
      <c r="J23" s="65" t="e">
        <f si="4" t="shared"/>
        <v>#DIV/0!</v>
      </c>
      <c r="K23" s="10">
        <f ref="K23:K35" si="5" t="shared">K5/K$17</f>
        <v>0.12132195056236567</v>
      </c>
      <c r="L23" s="6"/>
      <c r="M23" t="s">
        <v>1</v>
      </c>
      <c r="N23" s="10">
        <f ref="N23:Q35" si="6" t="shared">N5/N$17</f>
        <v>0.99760380249047409</v>
      </c>
      <c r="O23" s="10">
        <f si="6" t="shared"/>
        <v>4.2745547585000647E-2</v>
      </c>
      <c r="P23" s="10">
        <f si="6" t="shared"/>
        <v>1.7771404983814552E-2</v>
      </c>
      <c r="Q23" s="10" t="e">
        <f si="6" t="shared"/>
        <v>#DIV/0!</v>
      </c>
      <c r="R23" s="10">
        <f ref="R23:W35" si="7" t="shared">R5/R$17</f>
        <v>1.0251153254741158E-3</v>
      </c>
      <c r="S23" s="10">
        <f si="7" t="shared"/>
        <v>0</v>
      </c>
      <c r="T23" s="10">
        <f si="7" t="shared"/>
        <v>0</v>
      </c>
      <c r="U23" s="10">
        <f si="7" t="shared"/>
        <v>4.6493813753248261E-3</v>
      </c>
      <c r="V23" s="65" t="e">
        <f si="7" t="shared"/>
        <v>#DIV/0!</v>
      </c>
      <c r="W23" s="10">
        <f si="7" t="shared"/>
        <v>0.10831087707762692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0.87453723376860981</v>
      </c>
      <c r="D24" s="10">
        <f si="8" t="shared"/>
        <v>0.21255052650251974</v>
      </c>
      <c r="E24" s="10">
        <f si="8" t="shared"/>
        <v>1.4604674028670526E-2</v>
      </c>
      <c r="F24" s="10">
        <f si="8" t="shared"/>
        <v>8.1801292784107749E-2</v>
      </c>
      <c r="G24" s="10">
        <f si="8" t="shared"/>
        <v>0</v>
      </c>
      <c r="H24" s="10">
        <f si="8" t="shared"/>
        <v>0</v>
      </c>
      <c r="I24" s="10">
        <f si="8" t="shared"/>
        <v>0.11358250317833833</v>
      </c>
      <c r="J24" s="65" t="e">
        <f si="8" t="shared"/>
        <v>#DIV/0!</v>
      </c>
      <c r="K24" s="10">
        <f si="5" t="shared"/>
        <v>0.25670192324706204</v>
      </c>
      <c r="L24" s="6"/>
      <c r="M24" t="s">
        <v>12</v>
      </c>
      <c r="N24" s="10">
        <f si="6" t="shared"/>
        <v>0</v>
      </c>
      <c r="O24" s="10">
        <f si="6" t="shared"/>
        <v>0.94553103986196629</v>
      </c>
      <c r="P24" s="10">
        <f si="6" t="shared"/>
        <v>0.16927371874253189</v>
      </c>
      <c r="Q24" s="10" t="e">
        <f si="6" t="shared"/>
        <v>#DIV/0!</v>
      </c>
      <c r="R24" s="10">
        <f si="7" t="shared"/>
        <v>5.4843669912865198E-2</v>
      </c>
      <c r="S24" s="10">
        <f si="7" t="shared"/>
        <v>0</v>
      </c>
      <c r="T24" s="10">
        <f si="7" t="shared"/>
        <v>0</v>
      </c>
      <c r="U24" s="10">
        <f si="7" t="shared"/>
        <v>0.12724469611759687</v>
      </c>
      <c r="V24" s="65" t="e">
        <f si="7" t="shared"/>
        <v>#DIV/0!</v>
      </c>
      <c r="W24" s="10">
        <f si="7" t="shared"/>
        <v>0.25401026554099104</v>
      </c>
    </row>
    <row r="25" spans="1:23" x14ac:dyDescent="0.45">
      <c r="A25" t="s">
        <v>52</v>
      </c>
      <c r="B25" s="10">
        <f ref="B25:J25" si="9" t="shared">B7/B$17</f>
        <v>0</v>
      </c>
      <c r="C25" s="10">
        <f si="9" t="shared"/>
        <v>0</v>
      </c>
      <c r="D25" s="10">
        <f si="9" t="shared"/>
        <v>0.74357119875177302</v>
      </c>
      <c r="E25" s="10">
        <f si="9" t="shared"/>
        <v>0.17675613564166182</v>
      </c>
      <c r="F25" s="10">
        <f si="9" t="shared"/>
        <v>0.15290097477376044</v>
      </c>
      <c r="G25" s="10">
        <f si="9" t="shared"/>
        <v>0</v>
      </c>
      <c r="H25" s="10">
        <f si="9" t="shared"/>
        <v>0</v>
      </c>
      <c r="I25" s="10">
        <f si="9" t="shared"/>
        <v>0.11241339051797163</v>
      </c>
      <c r="J25" s="65" t="e">
        <f si="9" t="shared"/>
        <v>#DIV/0!</v>
      </c>
      <c r="K25" s="10">
        <f si="5" t="shared"/>
        <v>0.31296665258090905</v>
      </c>
      <c r="L25" s="6"/>
      <c r="M25" t="s">
        <v>52</v>
      </c>
      <c r="N25" s="10">
        <f si="6" t="shared"/>
        <v>0</v>
      </c>
      <c r="O25" s="10">
        <f si="6" t="shared"/>
        <v>0</v>
      </c>
      <c r="P25" s="10">
        <f si="6" t="shared"/>
        <v>0.80690434291424973</v>
      </c>
      <c r="Q25" s="10" t="e">
        <f si="6" t="shared"/>
        <v>#DIV/0!</v>
      </c>
      <c r="R25" s="10">
        <f si="7" t="shared"/>
        <v>1.7939518195797026E-2</v>
      </c>
      <c r="S25" s="10">
        <f si="7" t="shared"/>
        <v>0</v>
      </c>
      <c r="T25" s="10">
        <f si="7" t="shared"/>
        <v>0</v>
      </c>
      <c r="U25" s="10">
        <f si="7" t="shared"/>
        <v>0.13946204863669859</v>
      </c>
      <c r="V25" s="65" t="e">
        <f si="7" t="shared"/>
        <v>#DIV/0!</v>
      </c>
      <c r="W25" s="10">
        <f si="7" t="shared"/>
        <v>0.32759044222354794</v>
      </c>
    </row>
    <row r="26" spans="1:23" x14ac:dyDescent="0.45">
      <c r="A26" t="s">
        <v>47</v>
      </c>
      <c r="B26" s="10">
        <f ref="B26:J26" si="10" t="shared">B8/B$17</f>
        <v>0</v>
      </c>
      <c r="C26" s="10">
        <f si="10" t="shared"/>
        <v>0</v>
      </c>
      <c r="D26" s="10">
        <f si="10" t="shared"/>
        <v>0</v>
      </c>
      <c r="E26" s="10">
        <f si="10" t="shared"/>
        <v>0.41072120450112631</v>
      </c>
      <c r="F26" s="10">
        <f si="10" t="shared"/>
        <v>0.75337390983964314</v>
      </c>
      <c r="G26" s="10">
        <f si="10" t="shared"/>
        <v>0</v>
      </c>
      <c r="H26" s="10">
        <f si="10" t="shared"/>
        <v>0</v>
      </c>
      <c r="I26" s="10">
        <f si="10" t="shared"/>
        <v>4.5469255197052991E-4</v>
      </c>
      <c r="J26" s="65" t="e">
        <f si="10" t="shared"/>
        <v>#DIV/0!</v>
      </c>
      <c r="K26" s="10">
        <f si="5" t="shared"/>
        <v>1.2983233192730797E-2</v>
      </c>
      <c r="L26" s="6"/>
      <c r="M26" t="s">
        <v>47</v>
      </c>
      <c r="N26" s="10">
        <f si="6" t="shared"/>
        <v>0</v>
      </c>
      <c r="O26" s="10">
        <f si="6" t="shared"/>
        <v>0</v>
      </c>
      <c r="P26" s="10">
        <f si="6" t="shared"/>
        <v>0</v>
      </c>
      <c r="Q26" s="10" t="e">
        <f si="6" t="shared"/>
        <v>#DIV/0!</v>
      </c>
      <c r="R26" s="10">
        <f si="7" t="shared"/>
        <v>0.89646335212711425</v>
      </c>
      <c r="S26" s="10">
        <f si="7" t="shared"/>
        <v>0</v>
      </c>
      <c r="T26" s="10">
        <f si="7" t="shared"/>
        <v>0</v>
      </c>
      <c r="U26" s="10">
        <f si="7" t="shared"/>
        <v>4.0724508397005778E-4</v>
      </c>
      <c r="V26" s="65" t="e">
        <f si="7" t="shared"/>
        <v>#DIV/0!</v>
      </c>
      <c r="W26" s="10">
        <f si="7" t="shared"/>
        <v>3.3855229644843311E-3</v>
      </c>
    </row>
    <row r="27" spans="1:23" x14ac:dyDescent="0.45">
      <c r="A27" t="s">
        <v>48</v>
      </c>
      <c r="B27" s="10">
        <f ref="B27:J27" si="11" t="shared">B9/B$17</f>
        <v>0</v>
      </c>
      <c r="C27" s="10">
        <f si="11" t="shared"/>
        <v>0</v>
      </c>
      <c r="D27" s="10">
        <f si="11" t="shared"/>
        <v>0</v>
      </c>
      <c r="E27" s="10">
        <f si="11" t="shared"/>
        <v>0</v>
      </c>
      <c r="F27" s="10">
        <f si="11" t="shared"/>
        <v>0</v>
      </c>
      <c r="G27" s="10">
        <f si="11" t="shared"/>
        <v>0</v>
      </c>
      <c r="H27" s="10">
        <f si="11" t="shared"/>
        <v>0</v>
      </c>
      <c r="I27" s="10">
        <f si="11" t="shared"/>
        <v>0</v>
      </c>
      <c r="J27" s="65" t="e">
        <f si="11" t="shared"/>
        <v>#DIV/0!</v>
      </c>
      <c r="K27" s="10">
        <f si="5" t="shared"/>
        <v>0</v>
      </c>
      <c r="L27" s="6"/>
      <c r="M27" t="s">
        <v>48</v>
      </c>
      <c r="N27" s="10">
        <f si="6" t="shared"/>
        <v>0</v>
      </c>
      <c r="O27" s="10">
        <f si="6" t="shared"/>
        <v>0</v>
      </c>
      <c r="P27" s="10">
        <f si="6" t="shared"/>
        <v>0</v>
      </c>
      <c r="Q27" s="10" t="e">
        <f si="6" t="shared"/>
        <v>#DIV/0!</v>
      </c>
      <c r="R27" s="10">
        <f si="7" t="shared"/>
        <v>0</v>
      </c>
      <c r="S27" s="10">
        <f si="7" t="shared"/>
        <v>0</v>
      </c>
      <c r="T27" s="10">
        <f si="7" t="shared"/>
        <v>0</v>
      </c>
      <c r="U27" s="10">
        <f si="7" t="shared"/>
        <v>0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12" t="shared">B10/B$17</f>
        <v>0</v>
      </c>
      <c r="C28" s="10">
        <f si="12" t="shared"/>
        <v>0</v>
      </c>
      <c r="D28" s="10">
        <f si="12" t="shared"/>
        <v>0</v>
      </c>
      <c r="E28" s="10">
        <f si="12" t="shared"/>
        <v>1.6997821843961956E-2</v>
      </c>
      <c r="F28" s="10">
        <f si="12" t="shared"/>
        <v>0</v>
      </c>
      <c r="G28" s="10">
        <f si="12" t="shared"/>
        <v>0</v>
      </c>
      <c r="H28" s="10">
        <f si="12" t="shared"/>
        <v>0</v>
      </c>
      <c r="I28" s="10">
        <f si="12" t="shared"/>
        <v>0</v>
      </c>
      <c r="J28" s="65" t="e">
        <f si="12" t="shared"/>
        <v>#DIV/0!</v>
      </c>
      <c r="K28" s="10">
        <f si="5" t="shared"/>
        <v>1.099959061186988E-4</v>
      </c>
      <c r="L28" s="6"/>
      <c r="M28" t="s">
        <v>49</v>
      </c>
      <c r="N28" s="10">
        <f si="6" t="shared"/>
        <v>0</v>
      </c>
      <c r="O28" s="10">
        <f si="6" t="shared"/>
        <v>0</v>
      </c>
      <c r="P28" s="10">
        <f si="6" t="shared"/>
        <v>0</v>
      </c>
      <c r="Q28" s="10" t="e">
        <f si="6" t="shared"/>
        <v>#DIV/0!</v>
      </c>
      <c r="R28" s="10">
        <f si="7" t="shared"/>
        <v>5.1255766273705791E-4</v>
      </c>
      <c r="S28" s="10">
        <f si="7" t="shared"/>
        <v>0</v>
      </c>
      <c r="T28" s="10">
        <f si="7" t="shared"/>
        <v>0</v>
      </c>
      <c r="U28" s="10">
        <f si="7" t="shared"/>
        <v>9.6963115230966136E-6</v>
      </c>
      <c r="V28" s="65" t="e">
        <f si="7" t="shared"/>
        <v>#DIV/0!</v>
      </c>
      <c r="W28" s="10">
        <f si="7" t="shared"/>
        <v>5.5409541153589705E-6</v>
      </c>
    </row>
    <row r="29" spans="1:23" x14ac:dyDescent="0.45">
      <c r="A29" t="s">
        <v>50</v>
      </c>
      <c r="B29" s="10">
        <f ref="B29:J29" si="13" t="shared">B11/B$17</f>
        <v>0</v>
      </c>
      <c r="C29" s="10">
        <f si="13" t="shared"/>
        <v>0</v>
      </c>
      <c r="D29" s="10">
        <f si="13" t="shared"/>
        <v>0</v>
      </c>
      <c r="E29" s="10">
        <f si="13" t="shared"/>
        <v>0</v>
      </c>
      <c r="F29" s="10">
        <f si="13" t="shared"/>
        <v>0</v>
      </c>
      <c r="G29" s="10">
        <f si="13" t="shared"/>
        <v>0</v>
      </c>
      <c r="H29" s="10">
        <f si="13" t="shared"/>
        <v>0</v>
      </c>
      <c r="I29" s="10">
        <f si="13" t="shared"/>
        <v>0</v>
      </c>
      <c r="J29" s="65" t="e">
        <f si="13" t="shared"/>
        <v>#DIV/0!</v>
      </c>
      <c r="K29" s="10">
        <f si="5" t="shared"/>
        <v>0</v>
      </c>
      <c r="L29" s="6"/>
      <c r="M29" t="s">
        <v>50</v>
      </c>
      <c r="N29" s="10">
        <f si="6" t="shared"/>
        <v>0</v>
      </c>
      <c r="O29" s="10">
        <f si="6" t="shared"/>
        <v>0</v>
      </c>
      <c r="P29" s="10">
        <f si="6" t="shared"/>
        <v>0</v>
      </c>
      <c r="Q29" s="10" t="e">
        <f si="6" t="shared"/>
        <v>#DIV/0!</v>
      </c>
      <c r="R29" s="10">
        <f si="7" t="shared"/>
        <v>1.5376729882111738E-3</v>
      </c>
      <c r="S29" s="10">
        <f si="7" t="shared"/>
        <v>0</v>
      </c>
      <c r="T29" s="10">
        <f si="7" t="shared"/>
        <v>0</v>
      </c>
      <c r="U29" s="10">
        <f si="7" t="shared"/>
        <v>1.4544467284644921E-5</v>
      </c>
      <c r="V29" s="65" t="e">
        <f si="7" t="shared"/>
        <v>#DIV/0!</v>
      </c>
      <c r="W29" s="10">
        <f si="7" t="shared"/>
        <v>1.1081908230717941E-5</v>
      </c>
    </row>
    <row r="30" spans="1:23" x14ac:dyDescent="0.45">
      <c r="A30" t="s">
        <v>51</v>
      </c>
      <c r="B30" s="10">
        <f ref="B30:J30" si="14" t="shared">B12/B$17</f>
        <v>0</v>
      </c>
      <c r="C30" s="10">
        <f si="14" t="shared"/>
        <v>0</v>
      </c>
      <c r="D30" s="10">
        <f si="14" t="shared"/>
        <v>0</v>
      </c>
      <c r="E30" s="10">
        <f si="14" t="shared"/>
        <v>0</v>
      </c>
      <c r="F30" s="10">
        <f si="14" t="shared"/>
        <v>0</v>
      </c>
      <c r="G30" s="10">
        <f si="14" t="shared"/>
        <v>0</v>
      </c>
      <c r="H30" s="10">
        <f si="14" t="shared"/>
        <v>0</v>
      </c>
      <c r="I30" s="10">
        <f si="14" t="shared"/>
        <v>0</v>
      </c>
      <c r="J30" s="65" t="e">
        <f si="14" t="shared"/>
        <v>#DIV/0!</v>
      </c>
      <c r="K30" s="10">
        <f si="5" t="shared"/>
        <v>0</v>
      </c>
      <c r="L30" s="6"/>
      <c r="M30" t="s">
        <v>51</v>
      </c>
      <c r="N30" s="10">
        <f si="6" t="shared"/>
        <v>0</v>
      </c>
      <c r="O30" s="10">
        <f si="6" t="shared"/>
        <v>0</v>
      </c>
      <c r="P30" s="10">
        <f si="6" t="shared"/>
        <v>0</v>
      </c>
      <c r="Q30" s="10" t="e">
        <f si="6" t="shared"/>
        <v>#DIV/0!</v>
      </c>
      <c r="R30" s="10">
        <f si="7" t="shared"/>
        <v>3.0753459764223477E-3</v>
      </c>
      <c r="S30" s="10">
        <f si="7" t="shared"/>
        <v>0</v>
      </c>
      <c r="T30" s="10">
        <f si="7" t="shared"/>
        <v>0</v>
      </c>
      <c r="U30" s="10">
        <f si="7" t="shared"/>
        <v>9.6963115230966136E-6</v>
      </c>
      <c r="V30" s="65" t="e">
        <f si="7" t="shared"/>
        <v>#DIV/0!</v>
      </c>
      <c r="W30" s="10">
        <f si="7" t="shared"/>
        <v>1.4775877640957255E-5</v>
      </c>
    </row>
    <row r="31" spans="1:23" x14ac:dyDescent="0.45">
      <c r="A31" t="s">
        <v>23</v>
      </c>
      <c r="B31" s="10">
        <f ref="B31:J31" si="15" t="shared">B13/B$17</f>
        <v>0</v>
      </c>
      <c r="C31" s="10">
        <f si="15" t="shared"/>
        <v>0</v>
      </c>
      <c r="D31" s="10">
        <f si="15" t="shared"/>
        <v>0</v>
      </c>
      <c r="E31" s="10">
        <f si="15" t="shared"/>
        <v>0</v>
      </c>
      <c r="F31" s="10">
        <f si="15" t="shared"/>
        <v>0</v>
      </c>
      <c r="G31" s="10">
        <f si="15" t="shared"/>
        <v>0</v>
      </c>
      <c r="H31" s="10">
        <f si="15" t="shared"/>
        <v>0</v>
      </c>
      <c r="I31" s="10">
        <f si="15" t="shared"/>
        <v>0.76130211980675921</v>
      </c>
      <c r="J31" s="65" t="e">
        <f si="15" t="shared"/>
        <v>#DIV/0!</v>
      </c>
      <c r="K31" s="10">
        <f si="5" t="shared"/>
        <v>0.25589502681132242</v>
      </c>
      <c r="L31" s="6"/>
      <c r="M31" t="s">
        <v>23</v>
      </c>
      <c r="N31" s="10">
        <f si="6" t="shared"/>
        <v>0</v>
      </c>
      <c r="O31" s="10">
        <f si="6" t="shared"/>
        <v>0</v>
      </c>
      <c r="P31" s="10">
        <f si="6" t="shared"/>
        <v>0</v>
      </c>
      <c r="Q31" s="10" t="e">
        <f si="6" t="shared"/>
        <v>#DIV/0!</v>
      </c>
      <c r="R31" s="10">
        <f si="7" t="shared"/>
        <v>0</v>
      </c>
      <c r="S31" s="10">
        <f si="7" t="shared"/>
        <v>0</v>
      </c>
      <c r="T31" s="10">
        <f si="7" t="shared"/>
        <v>0</v>
      </c>
      <c r="U31" s="10">
        <f si="7" t="shared"/>
        <v>0.7230151650312221</v>
      </c>
      <c r="V31" s="65" t="e">
        <f si="7" t="shared"/>
        <v>#DIV/0!</v>
      </c>
      <c r="W31" s="10">
        <f si="7" t="shared"/>
        <v>0.27544452304390465</v>
      </c>
    </row>
    <row r="32" spans="1:23" x14ac:dyDescent="0.45">
      <c r="A32" t="s">
        <v>4</v>
      </c>
      <c r="B32" s="10">
        <f ref="B32:J32" si="16" t="shared">B14/B$17</f>
        <v>0</v>
      </c>
      <c r="C32" s="10">
        <f si="16" t="shared"/>
        <v>0</v>
      </c>
      <c r="D32" s="10">
        <f si="16" t="shared"/>
        <v>1.3202125281817074E-3</v>
      </c>
      <c r="E32" s="10">
        <f si="16" t="shared"/>
        <v>0</v>
      </c>
      <c r="F32" s="10">
        <f si="16" t="shared"/>
        <v>0</v>
      </c>
      <c r="G32" s="10">
        <f si="16" t="shared"/>
        <v>1</v>
      </c>
      <c r="H32" s="10">
        <f si="16" t="shared"/>
        <v>0</v>
      </c>
      <c r="I32" s="10">
        <f si="16" t="shared"/>
        <v>5.8474049091095646E-4</v>
      </c>
      <c r="J32" s="65" t="e">
        <f si="16" t="shared"/>
        <v>#DIV/0!</v>
      </c>
      <c r="K32" s="10">
        <f si="5" t="shared"/>
        <v>2.9083718144354695E-3</v>
      </c>
      <c r="L32" s="6"/>
      <c r="M32" t="s">
        <v>4</v>
      </c>
      <c r="N32" s="10">
        <f si="6" t="shared"/>
        <v>6.4815178536355427E-4</v>
      </c>
      <c r="O32" s="10">
        <f si="6" t="shared"/>
        <v>3.9590153278891947E-3</v>
      </c>
      <c r="P32" s="10">
        <f si="6" t="shared"/>
        <v>1.7108779247865477E-3</v>
      </c>
      <c r="Q32" s="10" t="e">
        <f si="6" t="shared"/>
        <v>#DIV/0!</v>
      </c>
      <c r="R32" s="10">
        <f si="7" t="shared"/>
        <v>1.5376729882111738E-2</v>
      </c>
      <c r="S32" s="10">
        <f si="7" t="shared"/>
        <v>0.99673558215451574</v>
      </c>
      <c r="T32" s="10">
        <f si="7" t="shared"/>
        <v>0</v>
      </c>
      <c r="U32" s="10">
        <f si="7" t="shared"/>
        <v>1.8956289027653879E-3</v>
      </c>
      <c r="V32" s="65" t="e">
        <f si="7" t="shared"/>
        <v>#DIV/0!</v>
      </c>
      <c r="W32" s="10">
        <f si="7" t="shared"/>
        <v>3.7309091043417069E-3</v>
      </c>
    </row>
    <row r="33" spans="1:34" x14ac:dyDescent="0.45">
      <c r="A33" t="s">
        <v>5</v>
      </c>
      <c r="B33" s="10">
        <f ref="B33:J33" si="17" t="shared">B15/B$17</f>
        <v>2.3708338447792545E-2</v>
      </c>
      <c r="C33" s="10">
        <f si="17" t="shared"/>
        <v>2.2690087826812071E-2</v>
      </c>
      <c r="D33" s="10">
        <f si="17" t="shared"/>
        <v>2.2973019006519407E-2</v>
      </c>
      <c r="E33" s="10">
        <f si="17" t="shared"/>
        <v>0</v>
      </c>
      <c r="F33" s="10">
        <f si="17" t="shared"/>
        <v>1.1923822602488622E-2</v>
      </c>
      <c r="G33" s="10">
        <f si="17" t="shared"/>
        <v>0</v>
      </c>
      <c r="H33" s="10">
        <f si="17" t="shared"/>
        <v>1</v>
      </c>
      <c r="I33" s="10">
        <f si="17" t="shared"/>
        <v>1.1662553454049348E-2</v>
      </c>
      <c r="J33" s="65" t="e">
        <f si="17" t="shared"/>
        <v>#DIV/0!</v>
      </c>
      <c r="K33" s="10">
        <f si="5" t="shared"/>
        <v>3.7112845885055798E-2</v>
      </c>
      <c r="L33" s="6"/>
      <c r="M33" t="s">
        <v>5</v>
      </c>
      <c r="N33" s="10">
        <f si="6" t="shared"/>
        <v>1.748045724162313E-3</v>
      </c>
      <c r="O33" s="10">
        <f si="6" t="shared"/>
        <v>7.7643972251438837E-3</v>
      </c>
      <c r="P33" s="10">
        <f si="6" t="shared"/>
        <v>4.3396554346173061E-3</v>
      </c>
      <c r="Q33" s="10" t="e">
        <f si="6" t="shared"/>
        <v>#DIV/0!</v>
      </c>
      <c r="R33" s="10">
        <f si="7" t="shared"/>
        <v>9.226037929267043E-3</v>
      </c>
      <c r="S33" s="10">
        <f si="7" t="shared"/>
        <v>3.2644178454842221E-3</v>
      </c>
      <c r="T33" s="10">
        <f si="7" t="shared"/>
        <v>1</v>
      </c>
      <c r="U33" s="10">
        <f si="7" t="shared"/>
        <v>3.2918977620913004E-3</v>
      </c>
      <c r="V33" s="65" t="e">
        <f si="7" t="shared"/>
        <v>#DIV/0!</v>
      </c>
      <c r="W33" s="10">
        <f si="7" t="shared"/>
        <v>2.7496061305116334E-2</v>
      </c>
    </row>
    <row r="34" spans="1:34" x14ac:dyDescent="0.45">
      <c r="A34" t="s">
        <v>166</v>
      </c>
      <c r="B34" s="11">
        <f ref="B34:J34" si="18" t="shared">B16/B$17</f>
        <v>0</v>
      </c>
      <c r="C34" s="11">
        <f si="18" t="shared"/>
        <v>0</v>
      </c>
      <c r="D34" s="11">
        <f si="18" t="shared"/>
        <v>0</v>
      </c>
      <c r="E34" s="11">
        <f si="18" t="shared"/>
        <v>0</v>
      </c>
      <c r="F34" s="11">
        <f si="18" t="shared"/>
        <v>0</v>
      </c>
      <c r="G34" s="11">
        <f si="18" t="shared"/>
        <v>0</v>
      </c>
      <c r="H34" s="11">
        <f si="18" t="shared"/>
        <v>0</v>
      </c>
      <c r="I34" s="11">
        <f si="18" t="shared"/>
        <v>0</v>
      </c>
      <c r="J34" s="66" t="e">
        <f si="18" t="shared"/>
        <v>#DIV/0!</v>
      </c>
      <c r="K34" s="10">
        <f si="5" t="shared"/>
        <v>0</v>
      </c>
      <c r="L34" s="6"/>
      <c r="M34" t="s">
        <v>166</v>
      </c>
      <c r="N34" s="11">
        <f si="6" t="shared"/>
        <v>0</v>
      </c>
      <c r="O34" s="11">
        <f si="6" t="shared"/>
        <v>0</v>
      </c>
      <c r="P34" s="11">
        <f si="6" t="shared"/>
        <v>0</v>
      </c>
      <c r="Q34" s="11" t="e">
        <f si="6" t="shared"/>
        <v>#DIV/0!</v>
      </c>
      <c r="R34" s="11">
        <f si="7" t="shared"/>
        <v>0</v>
      </c>
      <c r="S34" s="11">
        <f si="7" t="shared"/>
        <v>0</v>
      </c>
      <c r="T34" s="11">
        <f si="7" t="shared"/>
        <v>0</v>
      </c>
      <c r="U34" s="11">
        <f si="7" t="shared"/>
        <v>0</v>
      </c>
      <c r="V34" s="66" t="e">
        <f si="7" t="shared"/>
        <v>#DIV/0!</v>
      </c>
      <c r="W34" s="10">
        <f si="7" t="shared"/>
        <v>0</v>
      </c>
    </row>
    <row ht="14.65" r="35" spans="1:34" thickBot="1" x14ac:dyDescent="0.5">
      <c r="A35" s="61" t="s">
        <v>7</v>
      </c>
      <c r="B35" s="63">
        <f ref="B35:J35" si="19" t="shared">B17/B$17</f>
        <v>1</v>
      </c>
      <c r="C35" s="63">
        <f si="19" t="shared"/>
        <v>1</v>
      </c>
      <c r="D35" s="63">
        <f si="19" t="shared"/>
        <v>1</v>
      </c>
      <c r="E35" s="63">
        <f si="19" t="shared"/>
        <v>1</v>
      </c>
      <c r="F35" s="63">
        <f si="19" t="shared"/>
        <v>1</v>
      </c>
      <c r="G35" s="63">
        <f si="19" t="shared"/>
        <v>1</v>
      </c>
      <c r="H35" s="63">
        <f si="19" t="shared"/>
        <v>1</v>
      </c>
      <c r="I35" s="63">
        <f si="19" t="shared"/>
        <v>1</v>
      </c>
      <c r="J35" s="67" t="e">
        <f si="19" t="shared"/>
        <v>#DIV/0!</v>
      </c>
      <c r="K35" s="63">
        <f si="5" t="shared"/>
        <v>1</v>
      </c>
      <c r="M35" s="61" t="s">
        <v>7</v>
      </c>
      <c r="N35" s="63">
        <f si="6" t="shared"/>
        <v>1</v>
      </c>
      <c r="O35" s="63">
        <f si="6" t="shared"/>
        <v>1</v>
      </c>
      <c r="P35" s="63">
        <f si="6" t="shared"/>
        <v>1</v>
      </c>
      <c r="Q35" s="63" t="e">
        <f si="6" t="shared"/>
        <v>#DIV/0!</v>
      </c>
      <c r="R35" s="63">
        <f si="7" t="shared"/>
        <v>1</v>
      </c>
      <c r="S35" s="63">
        <f si="7" t="shared"/>
        <v>1</v>
      </c>
      <c r="T35" s="63">
        <f si="7" t="shared"/>
        <v>1</v>
      </c>
      <c r="U35" s="63">
        <f si="7" t="shared"/>
        <v>1</v>
      </c>
      <c r="V35" s="67" t="e">
        <f si="7" t="shared"/>
        <v>#DIV/0!</v>
      </c>
      <c r="W35" s="63">
        <f si="7" t="shared"/>
        <v>1</v>
      </c>
    </row>
    <row ht="14.65" r="38" spans="1:34" thickBot="1" x14ac:dyDescent="0.5">
      <c r="M38" s="1" t="s">
        <v>18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45">
      <c r="M39" s="3"/>
      <c r="N39" s="77" t="s">
        <v>39</v>
      </c>
      <c r="O39" s="77"/>
      <c r="P39" s="77"/>
      <c r="Q39" s="77"/>
      <c r="R39" s="77"/>
      <c r="S39" s="77"/>
      <c r="T39" s="77"/>
      <c r="U39" s="77"/>
      <c r="V39" s="8"/>
      <c r="W39" s="8"/>
    </row>
    <row r="40" spans="1:34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</row>
    <row r="41" spans="1:34" x14ac:dyDescent="0.45">
      <c r="M41" t="s">
        <v>1</v>
      </c>
      <c r="N41" s="10">
        <f ref="N41:W46" si="20" t="shared">N23-B23</f>
        <v>2.131214093826661E-2</v>
      </c>
      <c r="O41" s="10">
        <f si="20" t="shared"/>
        <v>-6.0027130819577453E-2</v>
      </c>
      <c r="P41" s="10">
        <f si="20" t="shared"/>
        <v>-1.8136382271915739E-3</v>
      </c>
      <c r="Q41" s="10" t="e">
        <f si="20" t="shared"/>
        <v>#DIV/0!</v>
      </c>
      <c r="R41" s="10">
        <f si="20" t="shared"/>
        <v>1.0251153254741158E-3</v>
      </c>
      <c r="S41" s="10">
        <f si="20" t="shared"/>
        <v>0</v>
      </c>
      <c r="T41" s="10">
        <f si="20" t="shared"/>
        <v>0</v>
      </c>
      <c r="U41" s="10">
        <f si="20" t="shared"/>
        <v>4.6493813753248261E-3</v>
      </c>
      <c r="V41" s="65" t="e">
        <f si="20" t="shared"/>
        <v>#DIV/0!</v>
      </c>
      <c r="W41" s="10">
        <f si="20" t="shared"/>
        <v>-1.3011073484738747E-2</v>
      </c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x14ac:dyDescent="0.45">
      <c r="M42" t="s">
        <v>9</v>
      </c>
      <c r="N42" s="10">
        <f si="20" t="shared"/>
        <v>0</v>
      </c>
      <c r="O42" s="10">
        <f si="20" t="shared"/>
        <v>7.0993806093356482E-2</v>
      </c>
      <c r="P42" s="10">
        <f si="20" t="shared"/>
        <v>-4.3276807759987851E-2</v>
      </c>
      <c r="Q42" s="10" t="e">
        <f si="20" t="shared"/>
        <v>#DIV/0!</v>
      </c>
      <c r="R42" s="10">
        <f si="20" t="shared"/>
        <v>-2.6957622871242551E-2</v>
      </c>
      <c r="S42" s="10">
        <f si="20" t="shared"/>
        <v>0</v>
      </c>
      <c r="T42" s="10">
        <f si="20" t="shared"/>
        <v>0</v>
      </c>
      <c r="U42" s="10">
        <f si="20" t="shared"/>
        <v>1.3662192939258536E-2</v>
      </c>
      <c r="V42" s="65" t="e">
        <f si="20" t="shared"/>
        <v>#DIV/0!</v>
      </c>
      <c r="W42" s="10">
        <f si="20" t="shared"/>
        <v>-2.6916577060709934E-3</v>
      </c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x14ac:dyDescent="0.45">
      <c r="M43" t="s">
        <v>10</v>
      </c>
      <c r="N43" s="10">
        <f si="20" t="shared"/>
        <v>0</v>
      </c>
      <c r="O43" s="10">
        <f si="20" t="shared"/>
        <v>0</v>
      </c>
      <c r="P43" s="10">
        <f si="20" t="shared"/>
        <v>6.3333144162476707E-2</v>
      </c>
      <c r="Q43" s="10" t="e">
        <f si="20" t="shared"/>
        <v>#DIV/0!</v>
      </c>
      <c r="R43" s="10">
        <f si="20" t="shared"/>
        <v>-0.13496145657796341</v>
      </c>
      <c r="S43" s="10">
        <f si="20" t="shared"/>
        <v>0</v>
      </c>
      <c r="T43" s="10">
        <f si="20" t="shared"/>
        <v>0</v>
      </c>
      <c r="U43" s="10">
        <f si="20" t="shared"/>
        <v>2.7048658118726962E-2</v>
      </c>
      <c r="V43" s="65" t="e">
        <f si="20" t="shared"/>
        <v>#DIV/0!</v>
      </c>
      <c r="W43" s="10">
        <f si="20" t="shared"/>
        <v>1.4623789642638885E-2</v>
      </c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x14ac:dyDescent="0.45">
      <c r="M44" t="s">
        <v>47</v>
      </c>
      <c r="N44" s="10">
        <f si="20" t="shared"/>
        <v>0</v>
      </c>
      <c r="O44" s="10">
        <f si="20" t="shared"/>
        <v>0</v>
      </c>
      <c r="P44" s="10">
        <f si="20" t="shared"/>
        <v>0</v>
      </c>
      <c r="Q44" s="10" t="e">
        <f si="20" t="shared"/>
        <v>#DIV/0!</v>
      </c>
      <c r="R44" s="10">
        <f si="20" t="shared"/>
        <v>0.14308944228747111</v>
      </c>
      <c r="S44" s="10">
        <f si="20" t="shared"/>
        <v>0</v>
      </c>
      <c r="T44" s="10">
        <f si="20" t="shared"/>
        <v>0</v>
      </c>
      <c r="U44" s="10">
        <f si="20" t="shared"/>
        <v>-4.7447468000472138E-5</v>
      </c>
      <c r="V44" s="65" t="e">
        <f si="20" t="shared"/>
        <v>#DIV/0!</v>
      </c>
      <c r="W44" s="10">
        <f si="20" t="shared"/>
        <v>-9.5977102282464657E-3</v>
      </c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x14ac:dyDescent="0.45">
      <c r="M45" t="s">
        <v>48</v>
      </c>
      <c r="N45" s="10">
        <f si="20" t="shared"/>
        <v>0</v>
      </c>
      <c r="O45" s="10">
        <f si="20" t="shared"/>
        <v>0</v>
      </c>
      <c r="P45" s="10">
        <f si="20" t="shared"/>
        <v>0</v>
      </c>
      <c r="Q45" s="10" t="e">
        <f si="20" t="shared"/>
        <v>#DIV/0!</v>
      </c>
      <c r="R45" s="10">
        <f si="20" t="shared"/>
        <v>0</v>
      </c>
      <c r="S45" s="10">
        <f si="20" t="shared"/>
        <v>0</v>
      </c>
      <c r="T45" s="10">
        <f si="20" t="shared"/>
        <v>0</v>
      </c>
      <c r="U45" s="10">
        <f si="20" t="shared"/>
        <v>0</v>
      </c>
      <c r="V45" s="65" t="e">
        <f si="20" t="shared"/>
        <v>#DIV/0!</v>
      </c>
      <c r="W45" s="10">
        <f si="20" t="shared"/>
        <v>0</v>
      </c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x14ac:dyDescent="0.45">
      <c r="M46" t="s">
        <v>49</v>
      </c>
      <c r="N46" s="10">
        <f si="20" t="shared"/>
        <v>0</v>
      </c>
      <c r="O46" s="10">
        <f si="20" t="shared"/>
        <v>0</v>
      </c>
      <c r="P46" s="10">
        <f si="20" t="shared"/>
        <v>0</v>
      </c>
      <c r="Q46" s="10" t="e">
        <f si="20" t="shared"/>
        <v>#DIV/0!</v>
      </c>
      <c r="R46" s="10">
        <f si="20" t="shared"/>
        <v>5.1255766273705791E-4</v>
      </c>
      <c r="S46" s="10">
        <f si="20" t="shared"/>
        <v>0</v>
      </c>
      <c r="T46" s="10">
        <f si="20" t="shared"/>
        <v>0</v>
      </c>
      <c r="U46" s="10">
        <f si="20" t="shared"/>
        <v>9.6963115230966136E-6</v>
      </c>
      <c r="V46" s="65" t="e">
        <f si="20" t="shared"/>
        <v>#DIV/0!</v>
      </c>
      <c r="W46" s="10">
        <f si="20" t="shared"/>
        <v>-1.0445495200333982E-4</v>
      </c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x14ac:dyDescent="0.45">
      <c r="M47" t="s">
        <v>50</v>
      </c>
      <c r="N47" s="10">
        <f ref="N47:Q49" si="21" t="shared">N29-B29</f>
        <v>0</v>
      </c>
      <c r="O47" s="10">
        <f si="21" t="shared"/>
        <v>0</v>
      </c>
      <c r="P47" s="10">
        <f si="21" t="shared"/>
        <v>0</v>
      </c>
      <c r="Q47" s="10" t="e">
        <f si="21" t="shared"/>
        <v>#DIV/0!</v>
      </c>
      <c r="R47" s="10">
        <f ref="R47:W52" si="22" t="shared">R29-F29</f>
        <v>1.5376729882111738E-3</v>
      </c>
      <c r="S47" s="10">
        <f si="22" t="shared"/>
        <v>0</v>
      </c>
      <c r="T47" s="10">
        <f si="22" t="shared"/>
        <v>0</v>
      </c>
      <c r="U47" s="10">
        <f si="22" t="shared"/>
        <v>1.4544467284644921E-5</v>
      </c>
      <c r="V47" s="65" t="e">
        <f si="22" t="shared"/>
        <v>#DIV/0!</v>
      </c>
      <c r="W47" s="10">
        <f si="22" t="shared"/>
        <v>1.1081908230717941E-5</v>
      </c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x14ac:dyDescent="0.45">
      <c r="M48" t="s">
        <v>51</v>
      </c>
      <c r="N48" s="10">
        <f si="21" t="shared"/>
        <v>0</v>
      </c>
      <c r="O48" s="10">
        <f si="21" t="shared"/>
        <v>0</v>
      </c>
      <c r="P48" s="10">
        <f si="21" t="shared"/>
        <v>0</v>
      </c>
      <c r="Q48" s="10" t="e">
        <f si="21" t="shared"/>
        <v>#DIV/0!</v>
      </c>
      <c r="R48" s="10">
        <f si="22" t="shared"/>
        <v>3.0753459764223477E-3</v>
      </c>
      <c r="S48" s="10">
        <f si="22" t="shared"/>
        <v>0</v>
      </c>
      <c r="T48" s="10">
        <f si="22" t="shared"/>
        <v>0</v>
      </c>
      <c r="U48" s="10">
        <f si="22" t="shared"/>
        <v>9.6963115230966136E-6</v>
      </c>
      <c r="V48" s="65" t="e">
        <f si="22" t="shared"/>
        <v>#DIV/0!</v>
      </c>
      <c r="W48" s="10">
        <f si="22" t="shared"/>
        <v>1.4775877640957255E-5</v>
      </c>
      <c r="Z48" s="10"/>
      <c r="AA48" s="10"/>
      <c r="AB48" s="10"/>
      <c r="AC48" s="10"/>
      <c r="AD48" s="10"/>
      <c r="AE48" s="10"/>
      <c r="AF48" s="10"/>
      <c r="AG48" s="10"/>
      <c r="AH48" s="10"/>
    </row>
    <row r="49" spans="13:34" x14ac:dyDescent="0.45">
      <c r="M49" t="s">
        <v>23</v>
      </c>
      <c r="N49" s="10">
        <f si="21" t="shared"/>
        <v>0</v>
      </c>
      <c r="O49" s="10">
        <f si="21" t="shared"/>
        <v>0</v>
      </c>
      <c r="P49" s="10">
        <f si="21" t="shared"/>
        <v>0</v>
      </c>
      <c r="Q49" s="10" t="e">
        <f si="21" t="shared"/>
        <v>#DIV/0!</v>
      </c>
      <c r="R49" s="10">
        <f si="22" t="shared"/>
        <v>0</v>
      </c>
      <c r="S49" s="10">
        <f si="22" t="shared"/>
        <v>0</v>
      </c>
      <c r="T49" s="10">
        <f si="22" t="shared"/>
        <v>0</v>
      </c>
      <c r="U49" s="10">
        <f si="22" t="shared"/>
        <v>-3.8286954775537119E-2</v>
      </c>
      <c r="V49" s="65" t="e">
        <f si="22" t="shared"/>
        <v>#DIV/0!</v>
      </c>
      <c r="W49" s="10">
        <f si="22" t="shared"/>
        <v>1.9549496232582231E-2</v>
      </c>
      <c r="Z49" s="10"/>
      <c r="AA49" s="10"/>
      <c r="AB49" s="10"/>
      <c r="AC49" s="10"/>
      <c r="AD49" s="10"/>
      <c r="AE49" s="10"/>
      <c r="AF49" s="10"/>
      <c r="AG49" s="10"/>
      <c r="AH49" s="10"/>
    </row>
    <row r="50" spans="13:34" x14ac:dyDescent="0.45">
      <c r="M50" t="s">
        <v>4</v>
      </c>
      <c r="N50" s="10">
        <f ref="N50:Q53" si="23" t="shared">N32-B32</f>
        <v>6.4815178536355427E-4</v>
      </c>
      <c r="O50" s="10">
        <f si="23" t="shared"/>
        <v>3.9590153278891947E-3</v>
      </c>
      <c r="P50" s="10">
        <f si="23" t="shared"/>
        <v>3.9066539660484022E-4</v>
      </c>
      <c r="Q50" s="10" t="e">
        <f si="23" t="shared"/>
        <v>#DIV/0!</v>
      </c>
      <c r="R50" s="10">
        <f si="22" t="shared"/>
        <v>1.5376729882111738E-2</v>
      </c>
      <c r="S50" s="10">
        <f si="22" t="shared"/>
        <v>-3.2644178454842576E-3</v>
      </c>
      <c r="T50" s="10">
        <f si="22" t="shared"/>
        <v>0</v>
      </c>
      <c r="U50" s="10">
        <f si="22" t="shared"/>
        <v>1.3108884118544315E-3</v>
      </c>
      <c r="V50" s="65" t="e">
        <f si="22" t="shared"/>
        <v>#DIV/0!</v>
      </c>
      <c r="W50" s="10">
        <f si="22" t="shared"/>
        <v>8.2253728990623739E-4</v>
      </c>
      <c r="Z50" s="10"/>
      <c r="AA50" s="10"/>
      <c r="AB50" s="10"/>
      <c r="AC50" s="10"/>
      <c r="AD50" s="10"/>
      <c r="AE50" s="10"/>
      <c r="AF50" s="10"/>
      <c r="AG50" s="10"/>
      <c r="AH50" s="10"/>
    </row>
    <row r="51" spans="13:34" x14ac:dyDescent="0.45">
      <c r="M51" t="s">
        <v>5</v>
      </c>
      <c r="N51" s="10">
        <f si="23" t="shared"/>
        <v>-2.1960292723630231E-2</v>
      </c>
      <c r="O51" s="10">
        <f si="23" t="shared"/>
        <v>-1.4925690601668188E-2</v>
      </c>
      <c r="P51" s="10">
        <f si="23" t="shared"/>
        <v>-1.8633363571902102E-2</v>
      </c>
      <c r="Q51" s="10" t="e">
        <f si="23" t="shared"/>
        <v>#DIV/0!</v>
      </c>
      <c r="R51" s="10">
        <f si="22" t="shared"/>
        <v>-2.6977846732215791E-3</v>
      </c>
      <c r="S51" s="10">
        <f si="22" t="shared"/>
        <v>3.2644178454842221E-3</v>
      </c>
      <c r="T51" s="10">
        <f si="22" t="shared"/>
        <v>0</v>
      </c>
      <c r="U51" s="10">
        <f si="22" t="shared"/>
        <v>-8.3706556919580476E-3</v>
      </c>
      <c r="V51" s="65" t="e">
        <f si="22" t="shared"/>
        <v>#DIV/0!</v>
      </c>
      <c r="W51" s="10">
        <f si="22" t="shared"/>
        <v>-9.6167845799394643E-3</v>
      </c>
      <c r="Z51" s="10"/>
      <c r="AA51" s="10"/>
      <c r="AB51" s="10"/>
      <c r="AC51" s="10"/>
      <c r="AD51" s="10"/>
      <c r="AE51" s="10"/>
      <c r="AF51" s="10"/>
      <c r="AG51" s="10"/>
      <c r="AH51" s="10"/>
    </row>
    <row r="52" spans="13:34" x14ac:dyDescent="0.45">
      <c r="M52" t="s">
        <v>166</v>
      </c>
      <c r="N52" s="11">
        <f si="23" t="shared"/>
        <v>0</v>
      </c>
      <c r="O52" s="11">
        <f si="23" t="shared"/>
        <v>0</v>
      </c>
      <c r="P52" s="11">
        <f si="23" t="shared"/>
        <v>0</v>
      </c>
      <c r="Q52" s="11" t="e">
        <f si="23" t="shared"/>
        <v>#DIV/0!</v>
      </c>
      <c r="R52" s="11">
        <f si="22" t="shared"/>
        <v>0</v>
      </c>
      <c r="S52" s="11">
        <f si="22" t="shared"/>
        <v>0</v>
      </c>
      <c r="T52" s="11">
        <f si="22" t="shared"/>
        <v>0</v>
      </c>
      <c r="U52" s="11">
        <f si="22" t="shared"/>
        <v>0</v>
      </c>
      <c r="V52" s="66" t="e">
        <f si="22" t="shared"/>
        <v>#DIV/0!</v>
      </c>
      <c r="W52" s="10">
        <f si="22" t="shared"/>
        <v>0</v>
      </c>
      <c r="Z52" s="10"/>
      <c r="AA52" s="10"/>
      <c r="AB52" s="10"/>
      <c r="AC52" s="10"/>
      <c r="AD52" s="10"/>
      <c r="AE52" s="10"/>
      <c r="AF52" s="10"/>
      <c r="AG52" s="10"/>
      <c r="AH52" s="10"/>
    </row>
    <row ht="14.65" r="53" spans="13:34" thickBot="1" x14ac:dyDescent="0.5">
      <c r="M53" s="61" t="s">
        <v>7</v>
      </c>
      <c r="N53" s="63">
        <f si="23" t="shared"/>
        <v>0</v>
      </c>
      <c r="O53" s="63">
        <f si="23" t="shared"/>
        <v>0</v>
      </c>
      <c r="P53" s="63">
        <f si="23" t="shared"/>
        <v>0</v>
      </c>
      <c r="Q53" s="63" t="e">
        <f si="23" t="shared"/>
        <v>#DIV/0!</v>
      </c>
      <c r="R53" s="63">
        <f ref="R53:W53" si="24" t="shared">R35-F35</f>
        <v>0</v>
      </c>
      <c r="S53" s="63">
        <f si="24" t="shared"/>
        <v>0</v>
      </c>
      <c r="T53" s="63">
        <f si="24" t="shared"/>
        <v>0</v>
      </c>
      <c r="U53" s="63">
        <f si="24" t="shared"/>
        <v>0</v>
      </c>
      <c r="V53" s="67" t="e">
        <f si="24" t="shared"/>
        <v>#DIV/0!</v>
      </c>
      <c r="W53" s="63">
        <f si="24" t="shared"/>
        <v>0</v>
      </c>
      <c r="Z53" s="10"/>
      <c r="AA53" s="10"/>
      <c r="AB53" s="10"/>
      <c r="AC53" s="10"/>
      <c r="AD53" s="10"/>
      <c r="AE53" s="10"/>
      <c r="AF53" s="10"/>
      <c r="AG53" s="10"/>
      <c r="AH53" s="10"/>
    </row>
  </sheetData>
  <mergeCells count="5">
    <mergeCell ref="B3:I3"/>
    <mergeCell ref="B21:I21"/>
    <mergeCell ref="N3:U3"/>
    <mergeCell ref="N21:U21"/>
    <mergeCell ref="N39:U39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AG53"/>
  <sheetViews>
    <sheetView workbookViewId="0" zoomScaleNormal="100">
      <selection sqref="A1:XFD104857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5.0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169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30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40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40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12285.680826037747</v>
      </c>
      <c r="C5" s="6" t="n">
        <v>142957.81371065977</v>
      </c>
      <c r="D5" s="6" t="n">
        <v>59418.34092341134</v>
      </c>
      <c r="E5" s="6" t="n">
        <v>635.109639501205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215296.94509961005</v>
      </c>
      <c r="L5" s="6"/>
      <c r="M5" t="s">
        <v>1</v>
      </c>
      <c r="N5" s="6" t="n">
        <v>11216.0</v>
      </c>
      <c r="O5" s="6" t="n">
        <v>99823.0</v>
      </c>
      <c r="P5" s="6" t="n">
        <v>56746.0</v>
      </c>
      <c r="Q5" s="6" t="n">
        <v>0.0</v>
      </c>
      <c r="R5" s="6" t="n">
        <v>0.0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166402</v>
      </c>
    </row>
    <row r="6" spans="1:23" x14ac:dyDescent="0.45">
      <c r="A6" t="s">
        <v>12</v>
      </c>
      <c r="B6" s="6" t="n">
        <v>0.0</v>
      </c>
      <c r="C6" s="6" t="n">
        <v>147934.63453662657</v>
      </c>
      <c r="D6" s="6" t="n">
        <v>81861.90881751786</v>
      </c>
      <c r="E6" s="6" t="n">
        <v>635.109639501205</v>
      </c>
      <c r="F6" s="6" t="n">
        <v>0.0</v>
      </c>
      <c r="G6" s="6" t="n">
        <v>0.0</v>
      </c>
      <c r="H6" s="6" t="n">
        <v>0.0</v>
      </c>
      <c r="I6" s="6" t="n">
        <v>485.123250475081</v>
      </c>
      <c r="J6" s="6" t="n">
        <v>0.0</v>
      </c>
      <c r="K6" s="6">
        <f ref="K6:K16" si="0" t="shared">SUM(B6:J6)</f>
        <v>230916.77624412073</v>
      </c>
      <c r="L6" s="6"/>
      <c r="M6" t="s">
        <v>12</v>
      </c>
      <c r="N6" s="6" t="n">
        <v>0.0</v>
      </c>
      <c r="O6" s="6" t="n">
        <v>147247.0</v>
      </c>
      <c r="P6" s="6" t="n">
        <v>43732.0</v>
      </c>
      <c r="Q6" s="6" t="n">
        <v>0.0</v>
      </c>
      <c r="R6" s="6" t="n">
        <v>0.0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192468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171131.9022454872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1455.369751425243</v>
      </c>
      <c r="J7" s="6" t="n">
        <v>0.0</v>
      </c>
      <c r="K7" s="6">
        <f si="0" t="shared"/>
        <v>172587.27199691246</v>
      </c>
      <c r="L7" s="6"/>
      <c r="M7" t="s">
        <v>52</v>
      </c>
      <c r="N7" s="6" t="n">
        <v>0.0</v>
      </c>
      <c r="O7" s="6" t="n">
        <v>0.0</v>
      </c>
      <c r="P7" s="6" t="n">
        <v>147226.0</v>
      </c>
      <c r="Q7" s="6" t="n">
        <v>0.0</v>
      </c>
      <c r="R7" s="6" t="n">
        <v>0.0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148539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635.109639501205</v>
      </c>
      <c r="F8" s="6" t="n">
        <v>1758.0558798080162</v>
      </c>
      <c r="G8" s="6" t="n">
        <v>0.0</v>
      </c>
      <c r="H8" s="6" t="n">
        <v>0.0</v>
      </c>
      <c r="I8" s="6" t="n">
        <v>0.0</v>
      </c>
      <c r="J8" s="6" t="n">
        <v>0.0</v>
      </c>
      <c r="K8" s="6">
        <f si="0" t="shared"/>
        <v>2393.1655193092211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 t="n">
        <v>0.0</v>
      </c>
      <c r="V8" s="6" t="n">
        <v>0.0</v>
      </c>
      <c r="W8" s="6">
        <f si="1" t="shared"/>
        <v>0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0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 t="n">
        <v>0.0</v>
      </c>
      <c r="V10" s="6" t="n">
        <v>0.0</v>
      </c>
      <c r="W10" s="6">
        <f si="1" t="shared"/>
        <v>0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0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 t="n">
        <v>0.0</v>
      </c>
      <c r="V11" s="6" t="n">
        <v>0.0</v>
      </c>
      <c r="W11" s="6">
        <f si="1" t="shared"/>
        <v>0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0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485.123250475081</v>
      </c>
      <c r="J13" s="6" t="n">
        <v>0.0</v>
      </c>
      <c r="K13" s="6">
        <f si="0" t="shared"/>
        <v>485.12325047508102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0.0</v>
      </c>
      <c r="V13" s="6" t="n">
        <v>0.0</v>
      </c>
      <c r="W13" s="6">
        <f si="1" t="shared"/>
        <v>0</v>
      </c>
    </row>
    <row r="14" spans="1:23" x14ac:dyDescent="0.45">
      <c r="A14" t="s">
        <v>4</v>
      </c>
      <c r="B14" s="6" t="n">
        <v>0.0</v>
      </c>
      <c r="C14" s="6" t="n">
        <v>0.0</v>
      </c>
      <c r="D14" s="6" t="n">
        <v>307.3695754856933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 t="n">
        <v>0.0</v>
      </c>
      <c r="K14" s="6">
        <f si="0" t="shared"/>
        <v>307.3695754856933</v>
      </c>
      <c r="L14" s="6"/>
      <c r="M14" t="s">
        <v>4</v>
      </c>
      <c r="N14" s="6" t="n">
        <v>2.0</v>
      </c>
      <c r="O14" s="6" t="n">
        <v>474.0</v>
      </c>
      <c r="P14" s="6" t="n">
        <v>556.0</v>
      </c>
      <c r="Q14" s="6" t="n">
        <v>0.0</v>
      </c>
      <c r="R14" s="6" t="n">
        <v>0.0</v>
      </c>
      <c r="S14" s="6" t="n">
        <v>1110.0</v>
      </c>
      <c r="T14" s="6" t="n">
        <v>0.0</v>
      </c>
      <c r="U14" s="6" t="n">
        <v>0.0</v>
      </c>
      <c r="V14" s="6" t="n">
        <v>0.0</v>
      </c>
      <c r="W14" s="6">
        <f si="1" t="shared"/>
        <v>2244</v>
      </c>
    </row>
    <row r="15" spans="1:23" x14ac:dyDescent="0.45">
      <c r="A15" t="s">
        <v>5</v>
      </c>
      <c r="B15" s="6" t="n">
        <v>0.0</v>
      </c>
      <c r="C15" s="6" t="n">
        <v>1057.5290245083665</v>
      </c>
      <c r="D15" s="6" t="n">
        <v>1370.75806099882</v>
      </c>
      <c r="E15" s="6" t="n">
        <v>0.0</v>
      </c>
      <c r="F15" s="6" t="n">
        <v>0.0</v>
      </c>
      <c r="G15" s="6" t="n">
        <v>0.0</v>
      </c>
      <c r="H15" s="6" t="n">
        <v>10838.386383292032</v>
      </c>
      <c r="I15" s="6" t="n">
        <v>0.0</v>
      </c>
      <c r="J15" s="6" t="n">
        <v>0.0</v>
      </c>
      <c r="K15" s="6">
        <f si="0" t="shared"/>
        <v>13266.673468799219</v>
      </c>
      <c r="L15" s="6"/>
      <c r="M15" t="s">
        <v>5</v>
      </c>
      <c r="N15" s="6" t="n">
        <v>4.0</v>
      </c>
      <c r="O15" s="6" t="n">
        <v>581.0</v>
      </c>
      <c r="P15" s="6" t="n">
        <v>548.0</v>
      </c>
      <c r="Q15" s="6" t="n">
        <v>0.0</v>
      </c>
      <c r="R15" s="6" t="n">
        <v>0.0</v>
      </c>
      <c r="S15" s="6" t="n">
        <v>0.0</v>
      </c>
      <c r="T15" s="6" t="n">
        <v>10558.0</v>
      </c>
      <c r="U15" s="6" t="n">
        <v>0.0</v>
      </c>
      <c r="V15" s="6" t="n">
        <v>0.0</v>
      </c>
      <c r="W15" s="6">
        <f si="1" t="shared"/>
        <v>11836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12285.680826037747</v>
      </c>
      <c r="C17" s="62">
        <f ref="C17:K17" si="2" t="shared">SUM(C5:C16)</f>
        <v>291949.97727179475</v>
      </c>
      <c r="D17" s="62">
        <f si="2" t="shared"/>
        <v>314090.27962290094</v>
      </c>
      <c r="E17" s="62">
        <f si="2" t="shared"/>
        <v>1905.3289185036151</v>
      </c>
      <c r="F17" s="62">
        <f si="2" t="shared"/>
        <v>1758.0558798080162</v>
      </c>
      <c r="G17" s="62">
        <f si="2" t="shared"/>
        <v>0</v>
      </c>
      <c r="H17" s="62">
        <f si="2" t="shared"/>
        <v>10838.386383292032</v>
      </c>
      <c r="I17" s="62">
        <f si="2" t="shared"/>
        <v>2425.6162523754051</v>
      </c>
      <c r="J17" s="62">
        <f si="2" t="shared"/>
        <v>0</v>
      </c>
      <c r="K17" s="62">
        <f si="2" t="shared"/>
        <v>635253.32515471242</v>
      </c>
      <c r="M17" s="61" t="s">
        <v>7</v>
      </c>
      <c r="N17" s="62">
        <f>SUM(N5:N16)</f>
        <v>10183</v>
      </c>
      <c r="O17" s="62">
        <f ref="O17:W17" si="3" t="shared">SUM(O5:O16)</f>
        <v>249377</v>
      </c>
      <c r="P17" s="62">
        <f si="3" t="shared"/>
        <v>249995</v>
      </c>
      <c r="Q17" s="62">
        <f si="3" t="shared"/>
        <v>0</v>
      </c>
      <c r="R17" s="62">
        <f si="3" t="shared"/>
        <v>0</v>
      </c>
      <c r="S17" s="62">
        <f si="3" t="shared"/>
        <v>1168</v>
      </c>
      <c r="T17" s="62">
        <f si="3" t="shared"/>
        <v>10766</v>
      </c>
      <c r="U17" s="62">
        <f si="3" t="shared"/>
        <v>0</v>
      </c>
      <c r="V17" s="62">
        <f si="3" t="shared"/>
        <v>0</v>
      </c>
      <c r="W17" s="62">
        <f si="3" t="shared"/>
        <v>521489</v>
      </c>
    </row>
    <row ht="14.65" r="20" spans="1:23" thickBot="1" x14ac:dyDescent="0.5">
      <c r="A20" s="1" t="s">
        <v>170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31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40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40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1</v>
      </c>
      <c r="C23" s="10">
        <f si="4" t="shared"/>
        <v>0.48966543873908674</v>
      </c>
      <c r="D23" s="10">
        <f si="4" t="shared"/>
        <v>0.18917599422290124</v>
      </c>
      <c r="E23" s="10">
        <f si="4" t="shared"/>
        <v>0.33333333333333331</v>
      </c>
      <c r="F23" s="10">
        <f si="4" t="shared"/>
        <v>0</v>
      </c>
      <c r="G23" s="10" t="e">
        <f si="4" t="shared"/>
        <v>#DIV/0!</v>
      </c>
      <c r="H23" s="10">
        <f si="4" t="shared"/>
        <v>0</v>
      </c>
      <c r="I23" s="10">
        <f si="4" t="shared"/>
        <v>0</v>
      </c>
      <c r="J23" s="65" t="e">
        <f si="4" t="shared"/>
        <v>#DIV/0!</v>
      </c>
      <c r="K23" s="10">
        <f ref="K23:K35" si="5" t="shared">K5/K$17</f>
        <v>0.33891510138443692</v>
      </c>
      <c r="L23" s="6"/>
      <c r="M23" t="s">
        <v>1</v>
      </c>
      <c r="N23" s="10">
        <f ref="N23:Q35" si="6" t="shared">N5/N$17</f>
        <v>0.999116174015516</v>
      </c>
      <c r="O23" s="10">
        <f si="6" t="shared"/>
        <v>0.40067448080616896</v>
      </c>
      <c r="P23" s="10">
        <f si="6" t="shared"/>
        <v>0.22524050481009619</v>
      </c>
      <c r="Q23" s="10" t="e">
        <f si="6" t="shared"/>
        <v>#DIV/0!</v>
      </c>
      <c r="R23" s="10" t="e">
        <f ref="R23:W35" si="7" t="shared">R5/R$17</f>
        <v>#DIV/0!</v>
      </c>
      <c r="S23" s="10">
        <f si="7" t="shared"/>
        <v>0</v>
      </c>
      <c r="T23" s="10">
        <f si="7" t="shared"/>
        <v>0</v>
      </c>
      <c r="U23" s="10" t="e">
        <f si="7" t="shared"/>
        <v>#DIV/0!</v>
      </c>
      <c r="V23" s="65" t="e">
        <f si="7" t="shared"/>
        <v>#DIV/0!</v>
      </c>
      <c r="W23" s="10">
        <f si="7" t="shared"/>
        <v>0.31909014379977335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0.50671226598145902</v>
      </c>
      <c r="D24" s="10">
        <f si="8" t="shared"/>
        <v>0.26063178050527974</v>
      </c>
      <c r="E24" s="10">
        <f si="8" t="shared"/>
        <v>0.33333333333333331</v>
      </c>
      <c r="F24" s="10">
        <f si="8" t="shared"/>
        <v>0</v>
      </c>
      <c r="G24" s="10" t="e">
        <f si="8" t="shared"/>
        <v>#DIV/0!</v>
      </c>
      <c r="H24" s="10">
        <f si="8" t="shared"/>
        <v>0</v>
      </c>
      <c r="I24" s="10">
        <f si="8" t="shared"/>
        <v>0.2</v>
      </c>
      <c r="J24" s="65" t="e">
        <f si="8" t="shared"/>
        <v>#DIV/0!</v>
      </c>
      <c r="K24" s="10">
        <f si="5" t="shared"/>
        <v>0.36350345145833313</v>
      </c>
      <c r="L24" s="6"/>
      <c r="M24" t="s">
        <v>12</v>
      </c>
      <c r="N24" s="10">
        <f si="6" t="shared"/>
        <v>0</v>
      </c>
      <c r="O24" s="10">
        <f si="6" t="shared"/>
        <v>0.59536765619924847</v>
      </c>
      <c r="P24" s="10">
        <f si="6" t="shared"/>
        <v>0.1759915198303966</v>
      </c>
      <c r="Q24" s="10" t="e">
        <f si="6" t="shared"/>
        <v>#DIV/0!</v>
      </c>
      <c r="R24" s="10" t="e">
        <f si="7" t="shared"/>
        <v>#DIV/0!</v>
      </c>
      <c r="S24" s="10">
        <f si="7" t="shared"/>
        <v>0</v>
      </c>
      <c r="T24" s="10">
        <f si="7" t="shared"/>
        <v>0</v>
      </c>
      <c r="U24" s="10" t="e">
        <f si="7" t="shared"/>
        <v>#DIV/0!</v>
      </c>
      <c r="V24" s="65" t="e">
        <f si="7" t="shared"/>
        <v>#DIV/0!</v>
      </c>
      <c r="W24" s="10">
        <f si="7" t="shared"/>
        <v>0.36907394019816336</v>
      </c>
    </row>
    <row r="25" spans="1:23" x14ac:dyDescent="0.45">
      <c r="A25" t="s">
        <v>52</v>
      </c>
      <c r="B25" s="10">
        <f ref="B25:J25" si="9" t="shared">B7/B$17</f>
        <v>0</v>
      </c>
      <c r="C25" s="10">
        <f si="9" t="shared"/>
        <v>0</v>
      </c>
      <c r="D25" s="10">
        <f si="9" t="shared"/>
        <v>0.54484940588084863</v>
      </c>
      <c r="E25" s="10">
        <f si="9" t="shared"/>
        <v>0</v>
      </c>
      <c r="F25" s="10">
        <f si="9" t="shared"/>
        <v>0</v>
      </c>
      <c r="G25" s="10" t="e">
        <f si="9" t="shared"/>
        <v>#DIV/0!</v>
      </c>
      <c r="H25" s="10">
        <f si="9" t="shared"/>
        <v>0</v>
      </c>
      <c r="I25" s="10">
        <f si="9" t="shared"/>
        <v>0.6</v>
      </c>
      <c r="J25" s="65" t="e">
        <f si="9" t="shared"/>
        <v>#DIV/0!</v>
      </c>
      <c r="K25" s="10">
        <f si="5" t="shared"/>
        <v>0.27168259521487714</v>
      </c>
      <c r="L25" s="6"/>
      <c r="M25" t="s">
        <v>52</v>
      </c>
      <c r="N25" s="10">
        <f si="6" t="shared"/>
        <v>0</v>
      </c>
      <c r="O25" s="10">
        <f si="6" t="shared"/>
        <v>0</v>
      </c>
      <c r="P25" s="10">
        <f si="6" t="shared"/>
        <v>0.59416788335766713</v>
      </c>
      <c r="Q25" s="10" t="e">
        <f si="6" t="shared"/>
        <v>#DIV/0!</v>
      </c>
      <c r="R25" s="10" t="e">
        <f si="7" t="shared"/>
        <v>#DIV/0!</v>
      </c>
      <c r="S25" s="10">
        <f si="7" t="shared"/>
        <v>0</v>
      </c>
      <c r="T25" s="10">
        <f si="7" t="shared"/>
        <v>0</v>
      </c>
      <c r="U25" s="10" t="e">
        <f si="7" t="shared"/>
        <v>#DIV/0!</v>
      </c>
      <c r="V25" s="65" t="e">
        <f si="7" t="shared"/>
        <v>#DIV/0!</v>
      </c>
      <c r="W25" s="10">
        <f si="7" t="shared"/>
        <v>0.28483630527201914</v>
      </c>
    </row>
    <row r="26" spans="1:23" x14ac:dyDescent="0.45">
      <c r="A26" t="s">
        <v>47</v>
      </c>
      <c r="B26" s="10">
        <f ref="B26:J26" si="10" t="shared">B8/B$17</f>
        <v>0</v>
      </c>
      <c r="C26" s="10">
        <f si="10" t="shared"/>
        <v>0</v>
      </c>
      <c r="D26" s="10">
        <f si="10" t="shared"/>
        <v>0</v>
      </c>
      <c r="E26" s="10">
        <f si="10" t="shared"/>
        <v>0.33333333333333331</v>
      </c>
      <c r="F26" s="10">
        <f si="10" t="shared"/>
        <v>1</v>
      </c>
      <c r="G26" s="10" t="e">
        <f si="10" t="shared"/>
        <v>#DIV/0!</v>
      </c>
      <c r="H26" s="10">
        <f si="10" t="shared"/>
        <v>0</v>
      </c>
      <c r="I26" s="10">
        <f si="10" t="shared"/>
        <v>0</v>
      </c>
      <c r="J26" s="65" t="e">
        <f si="10" t="shared"/>
        <v>#DIV/0!</v>
      </c>
      <c r="K26" s="10">
        <f si="5" t="shared"/>
        <v>3.7672616963104898E-3</v>
      </c>
      <c r="L26" s="6"/>
      <c r="M26" t="s">
        <v>47</v>
      </c>
      <c r="N26" s="10">
        <f si="6" t="shared"/>
        <v>0</v>
      </c>
      <c r="O26" s="10">
        <f si="6" t="shared"/>
        <v>0</v>
      </c>
      <c r="P26" s="10">
        <f si="6" t="shared"/>
        <v>0</v>
      </c>
      <c r="Q26" s="10" t="e">
        <f si="6" t="shared"/>
        <v>#DIV/0!</v>
      </c>
      <c r="R26" s="10" t="e">
        <f si="7" t="shared"/>
        <v>#DIV/0!</v>
      </c>
      <c r="S26" s="10">
        <f si="7" t="shared"/>
        <v>0</v>
      </c>
      <c r="T26" s="10">
        <f si="7" t="shared"/>
        <v>0</v>
      </c>
      <c r="U26" s="10" t="e">
        <f si="7" t="shared"/>
        <v>#DIV/0!</v>
      </c>
      <c r="V26" s="65" t="e">
        <f si="7" t="shared"/>
        <v>#DIV/0!</v>
      </c>
      <c r="W26" s="10">
        <f si="7" t="shared"/>
        <v>0</v>
      </c>
    </row>
    <row r="27" spans="1:23" x14ac:dyDescent="0.45">
      <c r="A27" t="s">
        <v>48</v>
      </c>
      <c r="B27" s="10">
        <f ref="B27:J27" si="11" t="shared">B9/B$17</f>
        <v>0</v>
      </c>
      <c r="C27" s="10">
        <f si="11" t="shared"/>
        <v>0</v>
      </c>
      <c r="D27" s="10">
        <f si="11" t="shared"/>
        <v>0</v>
      </c>
      <c r="E27" s="10">
        <f si="11" t="shared"/>
        <v>0</v>
      </c>
      <c r="F27" s="10">
        <f si="11" t="shared"/>
        <v>0</v>
      </c>
      <c r="G27" s="10" t="e">
        <f si="11" t="shared"/>
        <v>#DIV/0!</v>
      </c>
      <c r="H27" s="10">
        <f si="11" t="shared"/>
        <v>0</v>
      </c>
      <c r="I27" s="10">
        <f si="11" t="shared"/>
        <v>0</v>
      </c>
      <c r="J27" s="65" t="e">
        <f si="11" t="shared"/>
        <v>#DIV/0!</v>
      </c>
      <c r="K27" s="10">
        <f si="5" t="shared"/>
        <v>0</v>
      </c>
      <c r="L27" s="6"/>
      <c r="M27" t="s">
        <v>48</v>
      </c>
      <c r="N27" s="10">
        <f si="6" t="shared"/>
        <v>0</v>
      </c>
      <c r="O27" s="10">
        <f si="6" t="shared"/>
        <v>0</v>
      </c>
      <c r="P27" s="10">
        <f si="6" t="shared"/>
        <v>0</v>
      </c>
      <c r="Q27" s="10" t="e">
        <f si="6" t="shared"/>
        <v>#DIV/0!</v>
      </c>
      <c r="R27" s="10" t="e">
        <f si="7" t="shared"/>
        <v>#DIV/0!</v>
      </c>
      <c r="S27" s="10">
        <f si="7" t="shared"/>
        <v>0</v>
      </c>
      <c r="T27" s="10">
        <f si="7" t="shared"/>
        <v>0</v>
      </c>
      <c r="U27" s="10" t="e">
        <f si="7" t="shared"/>
        <v>#DIV/0!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12" t="shared">B10/B$17</f>
        <v>0</v>
      </c>
      <c r="C28" s="10">
        <f si="12" t="shared"/>
        <v>0</v>
      </c>
      <c r="D28" s="10">
        <f si="12" t="shared"/>
        <v>0</v>
      </c>
      <c r="E28" s="10">
        <f si="12" t="shared"/>
        <v>0</v>
      </c>
      <c r="F28" s="10">
        <f si="12" t="shared"/>
        <v>0</v>
      </c>
      <c r="G28" s="10" t="e">
        <f si="12" t="shared"/>
        <v>#DIV/0!</v>
      </c>
      <c r="H28" s="10">
        <f si="12" t="shared"/>
        <v>0</v>
      </c>
      <c r="I28" s="10">
        <f si="12" t="shared"/>
        <v>0</v>
      </c>
      <c r="J28" s="65" t="e">
        <f si="12" t="shared"/>
        <v>#DIV/0!</v>
      </c>
      <c r="K28" s="10">
        <f si="5" t="shared"/>
        <v>0</v>
      </c>
      <c r="L28" s="6"/>
      <c r="M28" t="s">
        <v>49</v>
      </c>
      <c r="N28" s="10">
        <f si="6" t="shared"/>
        <v>0</v>
      </c>
      <c r="O28" s="10">
        <f si="6" t="shared"/>
        <v>0</v>
      </c>
      <c r="P28" s="10">
        <f si="6" t="shared"/>
        <v>0</v>
      </c>
      <c r="Q28" s="10" t="e">
        <f si="6" t="shared"/>
        <v>#DIV/0!</v>
      </c>
      <c r="R28" s="10" t="e">
        <f si="7" t="shared"/>
        <v>#DIV/0!</v>
      </c>
      <c r="S28" s="10">
        <f si="7" t="shared"/>
        <v>0</v>
      </c>
      <c r="T28" s="10">
        <f si="7" t="shared"/>
        <v>0</v>
      </c>
      <c r="U28" s="10" t="e">
        <f si="7" t="shared"/>
        <v>#DIV/0!</v>
      </c>
      <c r="V28" s="65" t="e">
        <f si="7" t="shared"/>
        <v>#DIV/0!</v>
      </c>
      <c r="W28" s="10">
        <f si="7" t="shared"/>
        <v>0</v>
      </c>
    </row>
    <row r="29" spans="1:23" x14ac:dyDescent="0.45">
      <c r="A29" t="s">
        <v>50</v>
      </c>
      <c r="B29" s="10">
        <f ref="B29:J29" si="13" t="shared">B11/B$17</f>
        <v>0</v>
      </c>
      <c r="C29" s="10">
        <f si="13" t="shared"/>
        <v>0</v>
      </c>
      <c r="D29" s="10">
        <f si="13" t="shared"/>
        <v>0</v>
      </c>
      <c r="E29" s="10">
        <f si="13" t="shared"/>
        <v>0</v>
      </c>
      <c r="F29" s="10">
        <f si="13" t="shared"/>
        <v>0</v>
      </c>
      <c r="G29" s="10" t="e">
        <f si="13" t="shared"/>
        <v>#DIV/0!</v>
      </c>
      <c r="H29" s="10">
        <f si="13" t="shared"/>
        <v>0</v>
      </c>
      <c r="I29" s="10">
        <f si="13" t="shared"/>
        <v>0</v>
      </c>
      <c r="J29" s="65" t="e">
        <f si="13" t="shared"/>
        <v>#DIV/0!</v>
      </c>
      <c r="K29" s="10">
        <f si="5" t="shared"/>
        <v>0</v>
      </c>
      <c r="L29" s="6"/>
      <c r="M29" t="s">
        <v>50</v>
      </c>
      <c r="N29" s="10">
        <f si="6" t="shared"/>
        <v>0</v>
      </c>
      <c r="O29" s="10">
        <f si="6" t="shared"/>
        <v>0</v>
      </c>
      <c r="P29" s="10">
        <f si="6" t="shared"/>
        <v>0</v>
      </c>
      <c r="Q29" s="10" t="e">
        <f si="6" t="shared"/>
        <v>#DIV/0!</v>
      </c>
      <c r="R29" s="10" t="e">
        <f si="7" t="shared"/>
        <v>#DIV/0!</v>
      </c>
      <c r="S29" s="10">
        <f si="7" t="shared"/>
        <v>0</v>
      </c>
      <c r="T29" s="10">
        <f si="7" t="shared"/>
        <v>0</v>
      </c>
      <c r="U29" s="10" t="e">
        <f si="7" t="shared"/>
        <v>#DIV/0!</v>
      </c>
      <c r="V29" s="65" t="e">
        <f si="7" t="shared"/>
        <v>#DIV/0!</v>
      </c>
      <c r="W29" s="10">
        <f si="7" t="shared"/>
        <v>0</v>
      </c>
    </row>
    <row r="30" spans="1:23" x14ac:dyDescent="0.45">
      <c r="A30" t="s">
        <v>51</v>
      </c>
      <c r="B30" s="10">
        <f ref="B30:J30" si="14" t="shared">B12/B$17</f>
        <v>0</v>
      </c>
      <c r="C30" s="10">
        <f si="14" t="shared"/>
        <v>0</v>
      </c>
      <c r="D30" s="10">
        <f si="14" t="shared"/>
        <v>0</v>
      </c>
      <c r="E30" s="10">
        <f si="14" t="shared"/>
        <v>0</v>
      </c>
      <c r="F30" s="10">
        <f si="14" t="shared"/>
        <v>0</v>
      </c>
      <c r="G30" s="10" t="e">
        <f si="14" t="shared"/>
        <v>#DIV/0!</v>
      </c>
      <c r="H30" s="10">
        <f si="14" t="shared"/>
        <v>0</v>
      </c>
      <c r="I30" s="10">
        <f si="14" t="shared"/>
        <v>0</v>
      </c>
      <c r="J30" s="65" t="e">
        <f si="14" t="shared"/>
        <v>#DIV/0!</v>
      </c>
      <c r="K30" s="10">
        <f si="5" t="shared"/>
        <v>0</v>
      </c>
      <c r="L30" s="6"/>
      <c r="M30" t="s">
        <v>51</v>
      </c>
      <c r="N30" s="10">
        <f si="6" t="shared"/>
        <v>0</v>
      </c>
      <c r="O30" s="10">
        <f si="6" t="shared"/>
        <v>0</v>
      </c>
      <c r="P30" s="10">
        <f si="6" t="shared"/>
        <v>0</v>
      </c>
      <c r="Q30" s="10" t="e">
        <f si="6" t="shared"/>
        <v>#DIV/0!</v>
      </c>
      <c r="R30" s="10" t="e">
        <f si="7" t="shared"/>
        <v>#DIV/0!</v>
      </c>
      <c r="S30" s="10">
        <f si="7" t="shared"/>
        <v>0</v>
      </c>
      <c r="T30" s="10">
        <f si="7" t="shared"/>
        <v>0</v>
      </c>
      <c r="U30" s="10" t="e">
        <f si="7" t="shared"/>
        <v>#DIV/0!</v>
      </c>
      <c r="V30" s="65" t="e">
        <f si="7" t="shared"/>
        <v>#DIV/0!</v>
      </c>
      <c r="W30" s="10">
        <f si="7" t="shared"/>
        <v>0</v>
      </c>
    </row>
    <row r="31" spans="1:23" x14ac:dyDescent="0.45">
      <c r="A31" t="s">
        <v>23</v>
      </c>
      <c r="B31" s="10">
        <f ref="B31:J31" si="15" t="shared">B13/B$17</f>
        <v>0</v>
      </c>
      <c r="C31" s="10">
        <f si="15" t="shared"/>
        <v>0</v>
      </c>
      <c r="D31" s="10">
        <f si="15" t="shared"/>
        <v>0</v>
      </c>
      <c r="E31" s="10">
        <f si="15" t="shared"/>
        <v>0</v>
      </c>
      <c r="F31" s="10">
        <f si="15" t="shared"/>
        <v>0</v>
      </c>
      <c r="G31" s="10" t="e">
        <f si="15" t="shared"/>
        <v>#DIV/0!</v>
      </c>
      <c r="H31" s="10">
        <f si="15" t="shared"/>
        <v>0</v>
      </c>
      <c r="I31" s="10">
        <f si="15" t="shared"/>
        <v>0.2</v>
      </c>
      <c r="J31" s="65" t="e">
        <f si="15" t="shared"/>
        <v>#DIV/0!</v>
      </c>
      <c r="K31" s="10">
        <f si="5" t="shared"/>
        <v>7.6366896679672157E-4</v>
      </c>
      <c r="L31" s="6"/>
      <c r="M31" t="s">
        <v>23</v>
      </c>
      <c r="N31" s="10">
        <f si="6" t="shared"/>
        <v>0</v>
      </c>
      <c r="O31" s="10">
        <f si="6" t="shared"/>
        <v>0</v>
      </c>
      <c r="P31" s="10">
        <f si="6" t="shared"/>
        <v>0</v>
      </c>
      <c r="Q31" s="10" t="e">
        <f si="6" t="shared"/>
        <v>#DIV/0!</v>
      </c>
      <c r="R31" s="10" t="e">
        <f si="7" t="shared"/>
        <v>#DIV/0!</v>
      </c>
      <c r="S31" s="10">
        <f si="7" t="shared"/>
        <v>0</v>
      </c>
      <c r="T31" s="10">
        <f si="7" t="shared"/>
        <v>0</v>
      </c>
      <c r="U31" s="10" t="e">
        <f si="7" t="shared"/>
        <v>#DIV/0!</v>
      </c>
      <c r="V31" s="65" t="e">
        <f si="7" t="shared"/>
        <v>#DIV/0!</v>
      </c>
      <c r="W31" s="10">
        <f si="7" t="shared"/>
        <v>0</v>
      </c>
    </row>
    <row r="32" spans="1:23" x14ac:dyDescent="0.45">
      <c r="A32" t="s">
        <v>4</v>
      </c>
      <c r="B32" s="10">
        <f ref="B32:J32" si="16" t="shared">B14/B$17</f>
        <v>0</v>
      </c>
      <c r="C32" s="10">
        <f si="16" t="shared"/>
        <v>0</v>
      </c>
      <c r="D32" s="10">
        <f si="16" t="shared"/>
        <v>9.786026356967284E-4</v>
      </c>
      <c r="E32" s="10">
        <f si="16" t="shared"/>
        <v>0</v>
      </c>
      <c r="F32" s="10">
        <f si="16" t="shared"/>
        <v>0</v>
      </c>
      <c r="G32" s="10" t="e">
        <f si="16" t="shared"/>
        <v>#DIV/0!</v>
      </c>
      <c r="H32" s="10">
        <f si="16" t="shared"/>
        <v>0</v>
      </c>
      <c r="I32" s="10">
        <f si="16" t="shared"/>
        <v>0</v>
      </c>
      <c r="J32" s="65" t="e">
        <f si="16" t="shared"/>
        <v>#DIV/0!</v>
      </c>
      <c r="K32" s="10">
        <f si="5" t="shared"/>
        <v>4.838535483633008E-4</v>
      </c>
      <c r="L32" s="6"/>
      <c r="M32" t="s">
        <v>4</v>
      </c>
      <c r="N32" s="10">
        <f si="6" t="shared"/>
        <v>1.9640577432976529E-4</v>
      </c>
      <c r="O32" s="10">
        <f si="6" t="shared"/>
        <v>1.9568765363285308E-3</v>
      </c>
      <c r="P32" s="10">
        <f si="6" t="shared"/>
        <v>2.3480469609392187E-3</v>
      </c>
      <c r="Q32" s="10" t="e">
        <f si="6" t="shared"/>
        <v>#DIV/0!</v>
      </c>
      <c r="R32" s="10" t="e">
        <f si="7" t="shared"/>
        <v>#DIV/0!</v>
      </c>
      <c r="S32" s="10">
        <f si="7" t="shared"/>
        <v>0.99914383561643838</v>
      </c>
      <c r="T32" s="10">
        <f si="7" t="shared"/>
        <v>0</v>
      </c>
      <c r="U32" s="10" t="e">
        <f si="7" t="shared"/>
        <v>#DIV/0!</v>
      </c>
      <c r="V32" s="65" t="e">
        <f si="7" t="shared"/>
        <v>#DIV/0!</v>
      </c>
      <c r="W32" s="10">
        <f si="7" t="shared"/>
        <v>4.3030629601007887E-3</v>
      </c>
    </row>
    <row r="33" spans="1:32" x14ac:dyDescent="0.45">
      <c r="A33" t="s">
        <v>5</v>
      </c>
      <c r="B33" s="10">
        <f ref="B33:J33" si="17" t="shared">B15/B$17</f>
        <v>0</v>
      </c>
      <c r="C33" s="10">
        <f si="17" t="shared"/>
        <v>3.6222952794541432E-3</v>
      </c>
      <c r="D33" s="10">
        <f si="17" t="shared"/>
        <v>4.3642167552735535E-3</v>
      </c>
      <c r="E33" s="10">
        <f si="17" t="shared"/>
        <v>0</v>
      </c>
      <c r="F33" s="10">
        <f si="17" t="shared"/>
        <v>0</v>
      </c>
      <c r="G33" s="10" t="e">
        <f si="17" t="shared"/>
        <v>#DIV/0!</v>
      </c>
      <c r="H33" s="10">
        <f si="17" t="shared"/>
        <v>1</v>
      </c>
      <c r="I33" s="10">
        <f si="17" t="shared"/>
        <v>0</v>
      </c>
      <c r="J33" s="65" t="e">
        <f si="17" t="shared"/>
        <v>#DIV/0!</v>
      </c>
      <c r="K33" s="10">
        <f si="5" t="shared"/>
        <v>2.0884067730882312E-2</v>
      </c>
      <c r="L33" s="6"/>
      <c r="M33" t="s">
        <v>5</v>
      </c>
      <c r="N33" s="10">
        <f si="6" t="shared"/>
        <v>6.8742021015417857E-4</v>
      </c>
      <c r="O33" s="10">
        <f si="6" t="shared"/>
        <v>2.0009864582539688E-3</v>
      </c>
      <c r="P33" s="10">
        <f si="6" t="shared"/>
        <v>2.2520450409008182E-3</v>
      </c>
      <c r="Q33" s="10" t="e">
        <f si="6" t="shared"/>
        <v>#DIV/0!</v>
      </c>
      <c r="R33" s="10" t="e">
        <f si="7" t="shared"/>
        <v>#DIV/0!</v>
      </c>
      <c r="S33" s="10">
        <f si="7" t="shared"/>
        <v>8.5616438356164379E-4</v>
      </c>
      <c r="T33" s="10">
        <f si="7" t="shared"/>
        <v>1</v>
      </c>
      <c r="U33" s="10" t="e">
        <f si="7" t="shared"/>
        <v>#DIV/0!</v>
      </c>
      <c r="V33" s="65" t="e">
        <f si="7" t="shared"/>
        <v>#DIV/0!</v>
      </c>
      <c r="W33" s="10">
        <f si="7" t="shared"/>
        <v>2.2696547769943374E-2</v>
      </c>
    </row>
    <row r="34" spans="1:32" x14ac:dyDescent="0.45">
      <c r="A34" t="s">
        <v>166</v>
      </c>
      <c r="B34" s="11">
        <f ref="B34:J34" si="18" t="shared">B16/B$17</f>
        <v>0</v>
      </c>
      <c r="C34" s="11">
        <f si="18" t="shared"/>
        <v>0</v>
      </c>
      <c r="D34" s="11">
        <f si="18" t="shared"/>
        <v>0</v>
      </c>
      <c r="E34" s="11">
        <f si="18" t="shared"/>
        <v>0</v>
      </c>
      <c r="F34" s="11">
        <f si="18" t="shared"/>
        <v>0</v>
      </c>
      <c r="G34" s="11" t="e">
        <f si="18" t="shared"/>
        <v>#DIV/0!</v>
      </c>
      <c r="H34" s="11">
        <f si="18" t="shared"/>
        <v>0</v>
      </c>
      <c r="I34" s="11">
        <f si="18" t="shared"/>
        <v>0</v>
      </c>
      <c r="J34" s="66" t="e">
        <f si="18" t="shared"/>
        <v>#DIV/0!</v>
      </c>
      <c r="K34" s="10">
        <f si="5" t="shared"/>
        <v>0</v>
      </c>
      <c r="L34" s="6"/>
      <c r="M34" t="s">
        <v>166</v>
      </c>
      <c r="N34" s="11">
        <f si="6" t="shared"/>
        <v>0</v>
      </c>
      <c r="O34" s="11">
        <f si="6" t="shared"/>
        <v>0</v>
      </c>
      <c r="P34" s="11">
        <f si="6" t="shared"/>
        <v>0</v>
      </c>
      <c r="Q34" s="11" t="e">
        <f si="6" t="shared"/>
        <v>#DIV/0!</v>
      </c>
      <c r="R34" s="11" t="e">
        <f si="7" t="shared"/>
        <v>#DIV/0!</v>
      </c>
      <c r="S34" s="11">
        <f si="7" t="shared"/>
        <v>0</v>
      </c>
      <c r="T34" s="11">
        <f si="7" t="shared"/>
        <v>0</v>
      </c>
      <c r="U34" s="11" t="e">
        <f si="7" t="shared"/>
        <v>#DIV/0!</v>
      </c>
      <c r="V34" s="66" t="e">
        <f si="7" t="shared"/>
        <v>#DIV/0!</v>
      </c>
      <c r="W34" s="10">
        <f si="7" t="shared"/>
        <v>0</v>
      </c>
    </row>
    <row ht="14.65" r="35" spans="1:32" thickBot="1" x14ac:dyDescent="0.5">
      <c r="A35" s="61" t="s">
        <v>7</v>
      </c>
      <c r="B35" s="63">
        <f ref="B35:J35" si="19" t="shared">B17/B$17</f>
        <v>1</v>
      </c>
      <c r="C35" s="63">
        <f si="19" t="shared"/>
        <v>1</v>
      </c>
      <c r="D35" s="63">
        <f si="19" t="shared"/>
        <v>1</v>
      </c>
      <c r="E35" s="63">
        <f si="19" t="shared"/>
        <v>1</v>
      </c>
      <c r="F35" s="63">
        <f si="19" t="shared"/>
        <v>1</v>
      </c>
      <c r="G35" s="63" t="e">
        <f si="19" t="shared"/>
        <v>#DIV/0!</v>
      </c>
      <c r="H35" s="63">
        <f si="19" t="shared"/>
        <v>1</v>
      </c>
      <c r="I35" s="63">
        <f si="19" t="shared"/>
        <v>1</v>
      </c>
      <c r="J35" s="67" t="e">
        <f si="19" t="shared"/>
        <v>#DIV/0!</v>
      </c>
      <c r="K35" s="63">
        <f si="5" t="shared"/>
        <v>1</v>
      </c>
      <c r="M35" s="61" t="s">
        <v>7</v>
      </c>
      <c r="N35" s="63">
        <f si="6" t="shared"/>
        <v>1</v>
      </c>
      <c r="O35" s="63">
        <f si="6" t="shared"/>
        <v>1</v>
      </c>
      <c r="P35" s="63">
        <f si="6" t="shared"/>
        <v>1</v>
      </c>
      <c r="Q35" s="63" t="e">
        <f si="6" t="shared"/>
        <v>#DIV/0!</v>
      </c>
      <c r="R35" s="63" t="e">
        <f si="7" t="shared"/>
        <v>#DIV/0!</v>
      </c>
      <c r="S35" s="63">
        <f si="7" t="shared"/>
        <v>1</v>
      </c>
      <c r="T35" s="63">
        <f si="7" t="shared"/>
        <v>1</v>
      </c>
      <c r="U35" s="63" t="e">
        <f si="7" t="shared"/>
        <v>#DIV/0!</v>
      </c>
      <c r="V35" s="67" t="e">
        <f si="7" t="shared"/>
        <v>#DIV/0!</v>
      </c>
      <c r="W35" s="63">
        <f si="7" t="shared"/>
        <v>1</v>
      </c>
    </row>
    <row ht="14.65" r="38" spans="1:32" thickBot="1" x14ac:dyDescent="0.5">
      <c r="M38" s="1" t="s">
        <v>19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77" t="s">
        <v>40</v>
      </c>
      <c r="O39" s="77"/>
      <c r="P39" s="77"/>
      <c r="Q39" s="77"/>
      <c r="R39" s="77"/>
      <c r="S39" s="77"/>
      <c r="T39" s="77"/>
      <c r="U39" s="77"/>
      <c r="V39" s="8"/>
      <c r="W39" s="8"/>
      <c r="Y39" s="10"/>
      <c r="Z39" s="10"/>
      <c r="AA39" s="10"/>
      <c r="AB39" s="10"/>
      <c r="AC39" s="10"/>
      <c r="AD39" s="10"/>
      <c r="AE39" s="10"/>
      <c r="AF39" s="10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  <c r="Y40" s="10"/>
      <c r="Z40" s="10"/>
      <c r="AA40" s="10"/>
      <c r="AB40" s="10"/>
      <c r="AC40" s="10"/>
      <c r="AD40" s="10"/>
      <c r="AE40" s="10"/>
      <c r="AF40" s="10"/>
    </row>
    <row r="41" spans="1:32" x14ac:dyDescent="0.45">
      <c r="M41" t="s">
        <v>1</v>
      </c>
      <c r="N41" s="10">
        <f ref="N41:W46" si="20" t="shared">N23-B23</f>
        <v>-8.8382598448399907E-4</v>
      </c>
      <c r="O41" s="10">
        <f si="20" t="shared"/>
        <v>-8.899095793291778E-2</v>
      </c>
      <c r="P41" s="10">
        <f si="20" t="shared"/>
        <v>3.6064510587194953E-2</v>
      </c>
      <c r="Q41" s="10" t="e">
        <f si="20" t="shared"/>
        <v>#DIV/0!</v>
      </c>
      <c r="R41" s="10" t="e">
        <f si="20" t="shared"/>
        <v>#DIV/0!</v>
      </c>
      <c r="S41" s="10" t="e">
        <f si="20" t="shared"/>
        <v>#DIV/0!</v>
      </c>
      <c r="T41" s="10">
        <f si="20" t="shared"/>
        <v>0</v>
      </c>
      <c r="U41" s="10" t="e">
        <f si="20" t="shared"/>
        <v>#DIV/0!</v>
      </c>
      <c r="V41" s="65" t="e">
        <f si="20" t="shared"/>
        <v>#DIV/0!</v>
      </c>
      <c r="W41" s="10">
        <f si="20" t="shared"/>
        <v>-1.9824957584663572E-2</v>
      </c>
      <c r="Y41" s="10"/>
      <c r="Z41" s="10"/>
      <c r="AA41" s="10"/>
      <c r="AB41" s="10"/>
      <c r="AC41" s="10"/>
      <c r="AD41" s="10"/>
      <c r="AE41" s="10"/>
      <c r="AF41" s="10"/>
    </row>
    <row r="42" spans="1:32" x14ac:dyDescent="0.45">
      <c r="M42" t="s">
        <v>9</v>
      </c>
      <c r="N42" s="10">
        <f si="20" t="shared"/>
        <v>0</v>
      </c>
      <c r="O42" s="10">
        <f si="20" t="shared"/>
        <v>8.8655390217789454E-2</v>
      </c>
      <c r="P42" s="10">
        <f si="20" t="shared"/>
        <v>-8.4640260674883144E-2</v>
      </c>
      <c r="Q42" s="10" t="e">
        <f si="20" t="shared"/>
        <v>#DIV/0!</v>
      </c>
      <c r="R42" s="10" t="e">
        <f si="20" t="shared"/>
        <v>#DIV/0!</v>
      </c>
      <c r="S42" s="10" t="e">
        <f si="20" t="shared"/>
        <v>#DIV/0!</v>
      </c>
      <c r="T42" s="10">
        <f si="20" t="shared"/>
        <v>0</v>
      </c>
      <c r="U42" s="10" t="e">
        <f si="20" t="shared"/>
        <v>#DIV/0!</v>
      </c>
      <c r="V42" s="65" t="e">
        <f si="20" t="shared"/>
        <v>#DIV/0!</v>
      </c>
      <c r="W42" s="10">
        <f si="20" t="shared"/>
        <v>5.5704887398302372E-3</v>
      </c>
      <c r="Y42" s="10"/>
      <c r="Z42" s="10"/>
      <c r="AA42" s="10"/>
      <c r="AB42" s="10"/>
      <c r="AC42" s="10"/>
      <c r="AD42" s="10"/>
      <c r="AE42" s="10"/>
      <c r="AF42" s="10"/>
    </row>
    <row r="43" spans="1:32" x14ac:dyDescent="0.45">
      <c r="M43" t="s">
        <v>10</v>
      </c>
      <c r="N43" s="10">
        <f si="20" t="shared"/>
        <v>0</v>
      </c>
      <c r="O43" s="10">
        <f si="20" t="shared"/>
        <v>0</v>
      </c>
      <c r="P43" s="10">
        <f si="20" t="shared"/>
        <v>4.9318477476818501E-2</v>
      </c>
      <c r="Q43" s="10" t="e">
        <f si="20" t="shared"/>
        <v>#DIV/0!</v>
      </c>
      <c r="R43" s="10" t="e">
        <f si="20" t="shared"/>
        <v>#DIV/0!</v>
      </c>
      <c r="S43" s="10" t="e">
        <f si="20" t="shared"/>
        <v>#DIV/0!</v>
      </c>
      <c r="T43" s="10">
        <f si="20" t="shared"/>
        <v>0</v>
      </c>
      <c r="U43" s="10" t="e">
        <f si="20" t="shared"/>
        <v>#DIV/0!</v>
      </c>
      <c r="V43" s="65" t="e">
        <f si="20" t="shared"/>
        <v>#DIV/0!</v>
      </c>
      <c r="W43" s="10">
        <f si="20" t="shared"/>
        <v>1.3153710057141998E-2</v>
      </c>
      <c r="Y43" s="10"/>
      <c r="Z43" s="10"/>
      <c r="AA43" s="10"/>
      <c r="AB43" s="10"/>
      <c r="AC43" s="10"/>
      <c r="AD43" s="10"/>
      <c r="AE43" s="10"/>
      <c r="AF43" s="10"/>
    </row>
    <row r="44" spans="1:32" x14ac:dyDescent="0.45">
      <c r="M44" t="s">
        <v>47</v>
      </c>
      <c r="N44" s="10">
        <f si="20" t="shared"/>
        <v>0</v>
      </c>
      <c r="O44" s="10">
        <f si="20" t="shared"/>
        <v>0</v>
      </c>
      <c r="P44" s="10">
        <f si="20" t="shared"/>
        <v>0</v>
      </c>
      <c r="Q44" s="10" t="e">
        <f si="20" t="shared"/>
        <v>#DIV/0!</v>
      </c>
      <c r="R44" s="10" t="e">
        <f si="20" t="shared"/>
        <v>#DIV/0!</v>
      </c>
      <c r="S44" s="10" t="e">
        <f si="20" t="shared"/>
        <v>#DIV/0!</v>
      </c>
      <c r="T44" s="10">
        <f si="20" t="shared"/>
        <v>0</v>
      </c>
      <c r="U44" s="10" t="e">
        <f si="20" t="shared"/>
        <v>#DIV/0!</v>
      </c>
      <c r="V44" s="65" t="e">
        <f si="20" t="shared"/>
        <v>#DIV/0!</v>
      </c>
      <c r="W44" s="10">
        <f si="20" t="shared"/>
        <v>-3.7672616963104898E-3</v>
      </c>
      <c r="Y44" s="10"/>
      <c r="Z44" s="10"/>
      <c r="AA44" s="10"/>
      <c r="AB44" s="10"/>
      <c r="AC44" s="10"/>
      <c r="AD44" s="10"/>
      <c r="AE44" s="10"/>
      <c r="AF44" s="10"/>
    </row>
    <row r="45" spans="1:32" x14ac:dyDescent="0.45">
      <c r="M45" t="s">
        <v>48</v>
      </c>
      <c r="N45" s="10">
        <f si="20" t="shared"/>
        <v>0</v>
      </c>
      <c r="O45" s="10">
        <f si="20" t="shared"/>
        <v>0</v>
      </c>
      <c r="P45" s="10">
        <f si="20" t="shared"/>
        <v>0</v>
      </c>
      <c r="Q45" s="10" t="e">
        <f si="20" t="shared"/>
        <v>#DIV/0!</v>
      </c>
      <c r="R45" s="10" t="e">
        <f si="20" t="shared"/>
        <v>#DIV/0!</v>
      </c>
      <c r="S45" s="10" t="e">
        <f si="20" t="shared"/>
        <v>#DIV/0!</v>
      </c>
      <c r="T45" s="10">
        <f si="20" t="shared"/>
        <v>0</v>
      </c>
      <c r="U45" s="10" t="e">
        <f si="20" t="shared"/>
        <v>#DIV/0!</v>
      </c>
      <c r="V45" s="65" t="e">
        <f si="20" t="shared"/>
        <v>#DIV/0!</v>
      </c>
      <c r="W45" s="10">
        <f si="20" t="shared"/>
        <v>0</v>
      </c>
      <c r="Y45" s="10"/>
      <c r="Z45" s="10"/>
      <c r="AA45" s="10"/>
      <c r="AB45" s="10"/>
      <c r="AC45" s="10"/>
      <c r="AD45" s="10"/>
      <c r="AE45" s="10"/>
      <c r="AF45" s="10"/>
    </row>
    <row r="46" spans="1:32" x14ac:dyDescent="0.45">
      <c r="M46" t="s">
        <v>49</v>
      </c>
      <c r="N46" s="10">
        <f si="20" t="shared"/>
        <v>0</v>
      </c>
      <c r="O46" s="10">
        <f si="20" t="shared"/>
        <v>0</v>
      </c>
      <c r="P46" s="10">
        <f si="20" t="shared"/>
        <v>0</v>
      </c>
      <c r="Q46" s="10" t="e">
        <f si="20" t="shared"/>
        <v>#DIV/0!</v>
      </c>
      <c r="R46" s="10" t="e">
        <f si="20" t="shared"/>
        <v>#DIV/0!</v>
      </c>
      <c r="S46" s="10" t="e">
        <f si="20" t="shared"/>
        <v>#DIV/0!</v>
      </c>
      <c r="T46" s="10">
        <f si="20" t="shared"/>
        <v>0</v>
      </c>
      <c r="U46" s="10" t="e">
        <f si="20" t="shared"/>
        <v>#DIV/0!</v>
      </c>
      <c r="V46" s="65" t="e">
        <f si="20" t="shared"/>
        <v>#DIV/0!</v>
      </c>
      <c r="W46" s="10">
        <f si="20" t="shared"/>
        <v>0</v>
      </c>
      <c r="Y46" s="10"/>
      <c r="Z46" s="10"/>
      <c r="AA46" s="10"/>
      <c r="AB46" s="10"/>
      <c r="AC46" s="10"/>
      <c r="AD46" s="10"/>
      <c r="AE46" s="10"/>
      <c r="AF46" s="10"/>
    </row>
    <row r="47" spans="1:32" x14ac:dyDescent="0.45">
      <c r="M47" t="s">
        <v>50</v>
      </c>
      <c r="N47" s="10">
        <f ref="N47:Q49" si="21" t="shared">N29-B29</f>
        <v>0</v>
      </c>
      <c r="O47" s="10">
        <f si="21" t="shared"/>
        <v>0</v>
      </c>
      <c r="P47" s="10">
        <f si="21" t="shared"/>
        <v>0</v>
      </c>
      <c r="Q47" s="10" t="e">
        <f si="21" t="shared"/>
        <v>#DIV/0!</v>
      </c>
      <c r="R47" s="10" t="e">
        <f ref="R47:W52" si="22" t="shared">R29-F29</f>
        <v>#DIV/0!</v>
      </c>
      <c r="S47" s="10" t="e">
        <f si="22" t="shared"/>
        <v>#DIV/0!</v>
      </c>
      <c r="T47" s="10">
        <f si="22" t="shared"/>
        <v>0</v>
      </c>
      <c r="U47" s="10" t="e">
        <f si="22" t="shared"/>
        <v>#DIV/0!</v>
      </c>
      <c r="V47" s="65" t="e">
        <f si="22" t="shared"/>
        <v>#DIV/0!</v>
      </c>
      <c r="W47" s="10">
        <f si="22" t="shared"/>
        <v>0</v>
      </c>
      <c r="Y47" s="10"/>
      <c r="Z47" s="10"/>
      <c r="AA47" s="10"/>
      <c r="AB47" s="10"/>
      <c r="AC47" s="10"/>
      <c r="AD47" s="10"/>
      <c r="AE47" s="10"/>
      <c r="AF47" s="10"/>
    </row>
    <row r="48" spans="1:32" x14ac:dyDescent="0.45">
      <c r="M48" t="s">
        <v>51</v>
      </c>
      <c r="N48" s="10">
        <f si="21" t="shared"/>
        <v>0</v>
      </c>
      <c r="O48" s="10">
        <f si="21" t="shared"/>
        <v>0</v>
      </c>
      <c r="P48" s="10">
        <f si="21" t="shared"/>
        <v>0</v>
      </c>
      <c r="Q48" s="10" t="e">
        <f si="21" t="shared"/>
        <v>#DIV/0!</v>
      </c>
      <c r="R48" s="10" t="e">
        <f si="22" t="shared"/>
        <v>#DIV/0!</v>
      </c>
      <c r="S48" s="10" t="e">
        <f si="22" t="shared"/>
        <v>#DIV/0!</v>
      </c>
      <c r="T48" s="10">
        <f si="22" t="shared"/>
        <v>0</v>
      </c>
      <c r="U48" s="10" t="e">
        <f si="22" t="shared"/>
        <v>#DIV/0!</v>
      </c>
      <c r="V48" s="65" t="e">
        <f si="22" t="shared"/>
        <v>#DIV/0!</v>
      </c>
      <c r="W48" s="10">
        <f si="22" t="shared"/>
        <v>0</v>
      </c>
      <c r="Y48" s="10"/>
      <c r="Z48" s="10"/>
      <c r="AA48" s="10"/>
      <c r="AB48" s="10"/>
      <c r="AC48" s="10"/>
      <c r="AD48" s="10"/>
      <c r="AE48" s="10"/>
      <c r="AF48" s="10"/>
    </row>
    <row r="49" spans="13:32" x14ac:dyDescent="0.45">
      <c r="M49" t="s">
        <v>23</v>
      </c>
      <c r="N49" s="10">
        <f si="21" t="shared"/>
        <v>0</v>
      </c>
      <c r="O49" s="10">
        <f si="21" t="shared"/>
        <v>0</v>
      </c>
      <c r="P49" s="10">
        <f si="21" t="shared"/>
        <v>0</v>
      </c>
      <c r="Q49" s="10" t="e">
        <f si="21" t="shared"/>
        <v>#DIV/0!</v>
      </c>
      <c r="R49" s="10" t="e">
        <f si="22" t="shared"/>
        <v>#DIV/0!</v>
      </c>
      <c r="S49" s="10" t="e">
        <f si="22" t="shared"/>
        <v>#DIV/0!</v>
      </c>
      <c r="T49" s="10">
        <f si="22" t="shared"/>
        <v>0</v>
      </c>
      <c r="U49" s="10" t="e">
        <f si="22" t="shared"/>
        <v>#DIV/0!</v>
      </c>
      <c r="V49" s="65" t="e">
        <f si="22" t="shared"/>
        <v>#DIV/0!</v>
      </c>
      <c r="W49" s="10">
        <f si="22" t="shared"/>
        <v>-7.6366896679672157E-4</v>
      </c>
      <c r="Y49" s="10"/>
      <c r="Z49" s="10"/>
      <c r="AA49" s="10"/>
      <c r="AB49" s="10"/>
      <c r="AC49" s="10"/>
      <c r="AD49" s="10"/>
      <c r="AE49" s="10"/>
      <c r="AF49" s="10"/>
    </row>
    <row r="50" spans="13:32" x14ac:dyDescent="0.45">
      <c r="M50" t="s">
        <v>4</v>
      </c>
      <c r="N50" s="10">
        <f ref="N50:Q53" si="23" t="shared">N32-B32</f>
        <v>1.9640577432976529E-4</v>
      </c>
      <c r="O50" s="10">
        <f si="23" t="shared"/>
        <v>1.9568765363285308E-3</v>
      </c>
      <c r="P50" s="10">
        <f si="23" t="shared"/>
        <v>1.3694443252424903E-3</v>
      </c>
      <c r="Q50" s="10" t="e">
        <f si="23" t="shared"/>
        <v>#DIV/0!</v>
      </c>
      <c r="R50" s="10" t="e">
        <f si="22" t="shared"/>
        <v>#DIV/0!</v>
      </c>
      <c r="S50" s="10" t="e">
        <f si="22" t="shared"/>
        <v>#DIV/0!</v>
      </c>
      <c r="T50" s="10">
        <f si="22" t="shared"/>
        <v>0</v>
      </c>
      <c r="U50" s="10" t="e">
        <f si="22" t="shared"/>
        <v>#DIV/0!</v>
      </c>
      <c r="V50" s="65" t="e">
        <f si="22" t="shared"/>
        <v>#DIV/0!</v>
      </c>
      <c r="W50" s="10">
        <f si="22" t="shared"/>
        <v>3.8192094117374879E-3</v>
      </c>
      <c r="Y50" s="10"/>
      <c r="Z50" s="10"/>
      <c r="AA50" s="10"/>
      <c r="AB50" s="10"/>
      <c r="AC50" s="10"/>
      <c r="AD50" s="10"/>
      <c r="AE50" s="10"/>
      <c r="AF50" s="10"/>
    </row>
    <row r="51" spans="13:32" x14ac:dyDescent="0.45">
      <c r="M51" t="s">
        <v>5</v>
      </c>
      <c r="N51" s="10">
        <f si="23" t="shared"/>
        <v>6.8742021015417857E-4</v>
      </c>
      <c r="O51" s="10">
        <f si="23" t="shared"/>
        <v>-1.6213088212001744E-3</v>
      </c>
      <c r="P51" s="10">
        <f si="23" t="shared"/>
        <v>-2.1121717143727354E-3</v>
      </c>
      <c r="Q51" s="10" t="e">
        <f si="23" t="shared"/>
        <v>#DIV/0!</v>
      </c>
      <c r="R51" s="10" t="e">
        <f si="22" t="shared"/>
        <v>#DIV/0!</v>
      </c>
      <c r="S51" s="10" t="e">
        <f si="22" t="shared"/>
        <v>#DIV/0!</v>
      </c>
      <c r="T51" s="10">
        <f si="22" t="shared"/>
        <v>0</v>
      </c>
      <c r="U51" s="10" t="e">
        <f si="22" t="shared"/>
        <v>#DIV/0!</v>
      </c>
      <c r="V51" s="65" t="e">
        <f si="22" t="shared"/>
        <v>#DIV/0!</v>
      </c>
      <c r="W51" s="10">
        <f si="22" t="shared"/>
        <v>1.8124800390610617E-3</v>
      </c>
    </row>
    <row r="52" spans="13:32" x14ac:dyDescent="0.45">
      <c r="M52" t="s">
        <v>166</v>
      </c>
      <c r="N52" s="11">
        <f si="23" t="shared"/>
        <v>0</v>
      </c>
      <c r="O52" s="11">
        <f si="23" t="shared"/>
        <v>0</v>
      </c>
      <c r="P52" s="11">
        <f si="23" t="shared"/>
        <v>0</v>
      </c>
      <c r="Q52" s="11" t="e">
        <f si="23" t="shared"/>
        <v>#DIV/0!</v>
      </c>
      <c r="R52" s="11" t="e">
        <f si="22" t="shared"/>
        <v>#DIV/0!</v>
      </c>
      <c r="S52" s="11" t="e">
        <f si="22" t="shared"/>
        <v>#DIV/0!</v>
      </c>
      <c r="T52" s="11">
        <f si="22" t="shared"/>
        <v>0</v>
      </c>
      <c r="U52" s="11" t="e">
        <f si="22" t="shared"/>
        <v>#DIV/0!</v>
      </c>
      <c r="V52" s="66" t="e">
        <f si="22" t="shared"/>
        <v>#DIV/0!</v>
      </c>
      <c r="W52" s="10">
        <f si="22" t="shared"/>
        <v>0</v>
      </c>
    </row>
    <row ht="14.65" r="53" spans="13:32" thickBot="1" x14ac:dyDescent="0.5">
      <c r="M53" s="61" t="s">
        <v>7</v>
      </c>
      <c r="N53" s="63">
        <f si="23" t="shared"/>
        <v>0</v>
      </c>
      <c r="O53" s="63">
        <f si="23" t="shared"/>
        <v>0</v>
      </c>
      <c r="P53" s="63">
        <f si="23" t="shared"/>
        <v>0</v>
      </c>
      <c r="Q53" s="63" t="e">
        <f si="23" t="shared"/>
        <v>#DIV/0!</v>
      </c>
      <c r="R53" s="63" t="e">
        <f ref="R53:W53" si="24" t="shared">R35-F35</f>
        <v>#DIV/0!</v>
      </c>
      <c r="S53" s="63" t="e">
        <f si="24" t="shared"/>
        <v>#DIV/0!</v>
      </c>
      <c r="T53" s="63">
        <f si="24" t="shared"/>
        <v>0</v>
      </c>
      <c r="U53" s="63" t="e">
        <f si="24" t="shared"/>
        <v>#DIV/0!</v>
      </c>
      <c r="V53" s="67" t="e">
        <f si="24" t="shared"/>
        <v>#DIV/0!</v>
      </c>
      <c r="W53" s="63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2:AG53"/>
  <sheetViews>
    <sheetView workbookViewId="0">
      <selection sqref="A1:XFD104857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4.132812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171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32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41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41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268976.02472484414</v>
      </c>
      <c r="C5" s="6" t="n">
        <v>9473.630400518834</v>
      </c>
      <c r="D5" s="6" t="n">
        <v>3007.872084139656</v>
      </c>
      <c r="E5" s="6" t="n">
        <v>461.9159327391619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281919.4431422418</v>
      </c>
      <c r="L5" s="6"/>
      <c r="M5" t="s">
        <v>1</v>
      </c>
      <c r="N5" s="6" t="n">
        <v>289392.0</v>
      </c>
      <c r="O5" s="6" t="n">
        <v>15521.0</v>
      </c>
      <c r="P5" s="6" t="n">
        <v>3194.0</v>
      </c>
      <c r="Q5" s="6" t="n">
        <v>0.0</v>
      </c>
      <c r="R5" s="6" t="n">
        <v>13.0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306305</v>
      </c>
    </row>
    <row r="6" spans="1:23" x14ac:dyDescent="0.45">
      <c r="A6" t="s">
        <v>12</v>
      </c>
      <c r="B6" s="6" t="n">
        <v>0.0</v>
      </c>
      <c r="C6" s="6" t="n">
        <v>133594.92554450096</v>
      </c>
      <c r="D6" s="6" t="n">
        <v>6078.352305138936</v>
      </c>
      <c r="E6" s="6" t="n">
        <v>633.397920957158</v>
      </c>
      <c r="F6" s="6" t="n">
        <v>104.4030210964237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140411.07879169349</v>
      </c>
      <c r="L6" s="6"/>
      <c r="M6" t="s">
        <v>12</v>
      </c>
      <c r="N6" s="6" t="n">
        <v>0.0</v>
      </c>
      <c r="O6" s="6" t="n">
        <v>163512.0</v>
      </c>
      <c r="P6" s="6" t="n">
        <v>18760.0</v>
      </c>
      <c r="Q6" s="6" t="n">
        <v>0.0</v>
      </c>
      <c r="R6" s="6" t="n">
        <v>401.0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182399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79027.11710101803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149.60987456264</v>
      </c>
      <c r="J7" s="6" t="n">
        <v>0.0</v>
      </c>
      <c r="K7" s="6">
        <f si="0" t="shared"/>
        <v>79176.726975580663</v>
      </c>
      <c r="L7" s="6"/>
      <c r="M7" t="s">
        <v>52</v>
      </c>
      <c r="N7" s="6" t="n">
        <v>0.0</v>
      </c>
      <c r="O7" s="6" t="n">
        <v>0.0</v>
      </c>
      <c r="P7" s="6" t="n">
        <v>82705.0</v>
      </c>
      <c r="Q7" s="6" t="n">
        <v>0.0</v>
      </c>
      <c r="R7" s="6" t="n">
        <v>91.0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82729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416.70063600925243</v>
      </c>
      <c r="F8" s="6" t="n">
        <v>6729.1126853549</v>
      </c>
      <c r="G8" s="6" t="n">
        <v>0.0</v>
      </c>
      <c r="H8" s="6" t="n">
        <v>0.0</v>
      </c>
      <c r="I8" s="6" t="n">
        <v>0.0</v>
      </c>
      <c r="J8" s="6" t="n">
        <v>0.0</v>
      </c>
      <c r="K8" s="6">
        <f si="0" t="shared"/>
        <v>7145.8133213641531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3749.0</v>
      </c>
      <c r="S8" s="6" t="n">
        <v>0.0</v>
      </c>
      <c r="T8" s="6" t="n">
        <v>0.0</v>
      </c>
      <c r="U8" s="6" t="n">
        <v>0.0</v>
      </c>
      <c r="V8" s="6" t="n">
        <v>0.0</v>
      </c>
      <c r="W8" s="6">
        <f si="1" t="shared"/>
        <v>3824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182.4661592477234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182.4661592477234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7.0</v>
      </c>
      <c r="S10" s="6" t="n">
        <v>0.0</v>
      </c>
      <c r="T10" s="6" t="n">
        <v>0.0</v>
      </c>
      <c r="U10" s="6" t="n">
        <v>0.0</v>
      </c>
      <c r="V10" s="6" t="n">
        <v>0.0</v>
      </c>
      <c r="W10" s="6">
        <f si="1" t="shared"/>
        <v>7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0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8.0</v>
      </c>
      <c r="S11" s="6" t="n">
        <v>0.0</v>
      </c>
      <c r="T11" s="6" t="n">
        <v>0.0</v>
      </c>
      <c r="U11" s="6" t="n">
        <v>0.0</v>
      </c>
      <c r="V11" s="6" t="n">
        <v>0.0</v>
      </c>
      <c r="W11" s="6">
        <f si="1" t="shared"/>
        <v>13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9.0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9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114.4005377237109</v>
      </c>
      <c r="J13" s="6" t="n">
        <v>0.0</v>
      </c>
      <c r="K13" s="6">
        <f si="0" t="shared"/>
        <v>114.4005377237109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0.0</v>
      </c>
      <c r="V13" s="6" t="n">
        <v>0.0</v>
      </c>
      <c r="W13" s="6">
        <f si="1" t="shared"/>
        <v>0</v>
      </c>
    </row>
    <row r="14" spans="1:23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976.0602230645823</v>
      </c>
      <c r="H14" s="6" t="n">
        <v>0.0</v>
      </c>
      <c r="I14" s="6" t="n">
        <v>0.0</v>
      </c>
      <c r="J14" s="6" t="n">
        <v>0.0</v>
      </c>
      <c r="K14" s="6">
        <f si="0" t="shared"/>
        <v>976.06022306458226</v>
      </c>
      <c r="L14" s="6"/>
      <c r="M14" t="s">
        <v>4</v>
      </c>
      <c r="N14" s="6" t="n">
        <v>128.0</v>
      </c>
      <c r="O14" s="6" t="n">
        <v>114.0</v>
      </c>
      <c r="P14" s="6" t="n">
        <v>21.0</v>
      </c>
      <c r="Q14" s="6" t="n">
        <v>0.0</v>
      </c>
      <c r="R14" s="6" t="n">
        <v>50.0</v>
      </c>
      <c r="S14" s="6" t="n">
        <v>3135.0</v>
      </c>
      <c r="T14" s="6" t="n">
        <v>0.0</v>
      </c>
      <c r="U14" s="6" t="n">
        <v>0.0</v>
      </c>
      <c r="V14" s="6" t="n">
        <v>0.0</v>
      </c>
      <c r="W14" s="6">
        <f si="1" t="shared"/>
        <v>3478</v>
      </c>
    </row>
    <row r="15" spans="1:23" x14ac:dyDescent="0.45">
      <c r="A15" t="s">
        <v>5</v>
      </c>
      <c r="B15" s="6" t="n">
        <v>508.50498075241796</v>
      </c>
      <c r="C15" s="6" t="n">
        <v>1003.7680724602036</v>
      </c>
      <c r="D15" s="6" t="n">
        <v>226.57489881509468</v>
      </c>
      <c r="E15" s="6" t="n">
        <v>0.0</v>
      </c>
      <c r="F15" s="6" t="n">
        <v>175.77935616237158</v>
      </c>
      <c r="G15" s="6" t="n">
        <v>0.0</v>
      </c>
      <c r="H15" s="6" t="n">
        <v>16318.38960986203</v>
      </c>
      <c r="I15" s="6" t="n">
        <v>79.1912008847818</v>
      </c>
      <c r="J15" s="6" t="n">
        <v>0.0</v>
      </c>
      <c r="K15" s="6">
        <f si="0" t="shared"/>
        <v>18312.208118936902</v>
      </c>
      <c r="L15" s="6"/>
      <c r="M15" t="s">
        <v>5</v>
      </c>
      <c r="N15" s="6" t="n">
        <v>439.0</v>
      </c>
      <c r="O15" s="6" t="n">
        <v>145.0</v>
      </c>
      <c r="P15" s="6" t="n">
        <v>56.0</v>
      </c>
      <c r="Q15" s="6" t="n">
        <v>0.0</v>
      </c>
      <c r="R15" s="6" t="n">
        <v>58.0</v>
      </c>
      <c r="S15" s="6" t="n">
        <v>42.0</v>
      </c>
      <c r="T15" s="6" t="n">
        <v>29507.0</v>
      </c>
      <c r="U15" s="6" t="n">
        <v>0.0</v>
      </c>
      <c r="V15" s="6" t="n">
        <v>0.0</v>
      </c>
      <c r="W15" s="6">
        <f si="1" t="shared"/>
        <v>29846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269484.52970559656</v>
      </c>
      <c r="C17" s="62">
        <f ref="C17:K17" si="2" t="shared">SUM(C5:C16)</f>
        <v>144072.32401747999</v>
      </c>
      <c r="D17" s="62">
        <f si="2" t="shared"/>
        <v>88339.916389111706</v>
      </c>
      <c r="E17" s="62">
        <f si="2" t="shared"/>
        <v>1512.0144897055725</v>
      </c>
      <c r="F17" s="62">
        <f si="2" t="shared"/>
        <v>7191.7612218614186</v>
      </c>
      <c r="G17" s="62">
        <f si="2" t="shared"/>
        <v>976.06022306458226</v>
      </c>
      <c r="H17" s="62">
        <f si="2" t="shared"/>
        <v>16318.38960986203</v>
      </c>
      <c r="I17" s="62">
        <f si="2" t="shared"/>
        <v>343.20161317113264</v>
      </c>
      <c r="J17" s="62">
        <f si="2" t="shared"/>
        <v>0</v>
      </c>
      <c r="K17" s="62">
        <f si="2" t="shared"/>
        <v>528238.19726985309</v>
      </c>
      <c r="M17" s="61" t="s">
        <v>7</v>
      </c>
      <c r="N17" s="62">
        <f>SUM(N5:N16)</f>
        <v>288427</v>
      </c>
      <c r="O17" s="62">
        <f ref="O17:W17" si="3" t="shared">SUM(O5:O16)</f>
        <v>178735</v>
      </c>
      <c r="P17" s="62">
        <f si="3" t="shared"/>
        <v>104666</v>
      </c>
      <c r="Q17" s="62">
        <f si="3" t="shared"/>
        <v>0</v>
      </c>
      <c r="R17" s="62">
        <f si="3" t="shared"/>
        <v>4485</v>
      </c>
      <c r="S17" s="62">
        <f si="3" t="shared"/>
        <v>3231</v>
      </c>
      <c r="T17" s="62">
        <f si="3" t="shared"/>
        <v>29066</v>
      </c>
      <c r="U17" s="62">
        <f si="3" t="shared"/>
        <v>0</v>
      </c>
      <c r="V17" s="62">
        <f si="3" t="shared"/>
        <v>0</v>
      </c>
      <c r="W17" s="62">
        <f si="3" t="shared"/>
        <v>608610</v>
      </c>
    </row>
    <row ht="14.65" r="20" spans="1:23" thickBot="1" x14ac:dyDescent="0.5">
      <c r="A20" s="1" t="s">
        <v>172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33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41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41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0.99811304574215098</v>
      </c>
      <c r="C23" s="10">
        <f si="4" t="shared"/>
        <v>6.5756074007450718E-2</v>
      </c>
      <c r="D23" s="10">
        <f si="4" t="shared"/>
        <v>3.4048844589017406E-2</v>
      </c>
      <c r="E23" s="10">
        <f si="4" t="shared"/>
        <v>0.30549702789495664</v>
      </c>
      <c r="F23" s="10">
        <f si="4" t="shared"/>
        <v>0</v>
      </c>
      <c r="G23" s="10">
        <f si="4" t="shared"/>
        <v>0</v>
      </c>
      <c r="H23" s="10">
        <f si="4" t="shared"/>
        <v>0</v>
      </c>
      <c r="I23" s="10">
        <f si="4" t="shared"/>
        <v>0</v>
      </c>
      <c r="J23" s="65" t="e">
        <f si="4" t="shared"/>
        <v>#DIV/0!</v>
      </c>
      <c r="K23" s="10">
        <f ref="K23:K35" si="5" t="shared">K5/K$17</f>
        <v>0.53369757166239506</v>
      </c>
      <c r="L23" s="6"/>
      <c r="M23" t="s">
        <v>1</v>
      </c>
      <c r="N23" s="10">
        <f ref="N23:Q35" si="6" t="shared">N5/N$17</f>
        <v>0.99800642796964223</v>
      </c>
      <c r="O23" s="10">
        <f si="6" t="shared"/>
        <v>8.5428147816599992E-2</v>
      </c>
      <c r="P23" s="10">
        <f si="6" t="shared"/>
        <v>3.0334588118395657E-2</v>
      </c>
      <c r="Q23" s="10" t="e">
        <f si="6" t="shared"/>
        <v>#DIV/0!</v>
      </c>
      <c r="R23" s="10">
        <f ref="R23:W35" si="7" t="shared">R5/R$17</f>
        <v>2.0066889632107021E-3</v>
      </c>
      <c r="S23" s="10">
        <f si="7" t="shared"/>
        <v>0</v>
      </c>
      <c r="T23" s="10">
        <f si="7" t="shared"/>
        <v>0</v>
      </c>
      <c r="U23" s="10" t="e">
        <f si="7" t="shared"/>
        <v>#DIV/0!</v>
      </c>
      <c r="V23" s="65" t="e">
        <f si="7" t="shared"/>
        <v>#DIV/0!</v>
      </c>
      <c r="W23" s="10">
        <f si="7" t="shared"/>
        <v>0.50328617669772102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0.92727681361128167</v>
      </c>
      <c r="D24" s="10">
        <f si="8" t="shared"/>
        <v>6.8806407721347135E-2</v>
      </c>
      <c r="E24" s="10">
        <f si="8" t="shared"/>
        <v>0.41890995441485263</v>
      </c>
      <c r="F24" s="10">
        <f si="8" t="shared"/>
        <v>1.4517031068698555E-2</v>
      </c>
      <c r="G24" s="10">
        <f si="8" t="shared"/>
        <v>0</v>
      </c>
      <c r="H24" s="10">
        <f si="8" t="shared"/>
        <v>0</v>
      </c>
      <c r="I24" s="10">
        <f si="8" t="shared"/>
        <v>0</v>
      </c>
      <c r="J24" s="65" t="e">
        <f si="8" t="shared"/>
        <v>#DIV/0!</v>
      </c>
      <c r="K24" s="10">
        <f si="5" t="shared"/>
        <v>0.26581015821535486</v>
      </c>
      <c r="L24" s="6"/>
      <c r="M24" t="s">
        <v>12</v>
      </c>
      <c r="N24" s="10">
        <f si="6" t="shared"/>
        <v>0</v>
      </c>
      <c r="O24" s="10">
        <f si="6" t="shared"/>
        <v>0.91309480515847485</v>
      </c>
      <c r="P24" s="10">
        <f si="6" t="shared"/>
        <v>0.17967630367072401</v>
      </c>
      <c r="Q24" s="10" t="e">
        <f si="6" t="shared"/>
        <v>#DIV/0!</v>
      </c>
      <c r="R24" s="10">
        <f si="7" t="shared"/>
        <v>8.7179487179487175E-2</v>
      </c>
      <c r="S24" s="10">
        <f si="7" t="shared"/>
        <v>0</v>
      </c>
      <c r="T24" s="10">
        <f si="7" t="shared"/>
        <v>0</v>
      </c>
      <c r="U24" s="10" t="e">
        <f si="7" t="shared"/>
        <v>#DIV/0!</v>
      </c>
      <c r="V24" s="65" t="e">
        <f si="7" t="shared"/>
        <v>#DIV/0!</v>
      </c>
      <c r="W24" s="10">
        <f si="7" t="shared"/>
        <v>0.29969767174380968</v>
      </c>
    </row>
    <row r="25" spans="1:23" x14ac:dyDescent="0.45">
      <c r="A25" t="s">
        <v>52</v>
      </c>
      <c r="B25" s="10">
        <f ref="B25:J25" si="9" t="shared">B7/B$17</f>
        <v>0</v>
      </c>
      <c r="C25" s="10">
        <f si="9" t="shared"/>
        <v>0</v>
      </c>
      <c r="D25" s="10">
        <f si="9" t="shared"/>
        <v>0.89457993997782947</v>
      </c>
      <c r="E25" s="10">
        <f si="9" t="shared"/>
        <v>0</v>
      </c>
      <c r="F25" s="10">
        <f si="9" t="shared"/>
        <v>0</v>
      </c>
      <c r="G25" s="10">
        <f si="9" t="shared"/>
        <v>0</v>
      </c>
      <c r="H25" s="10">
        <f si="9" t="shared"/>
        <v>0</v>
      </c>
      <c r="I25" s="10">
        <f si="9" t="shared"/>
        <v>0.4359241589229918</v>
      </c>
      <c r="J25" s="65" t="e">
        <f si="9" t="shared"/>
        <v>#DIV/0!</v>
      </c>
      <c r="K25" s="10">
        <f si="5" t="shared"/>
        <v>0.14988830301329542</v>
      </c>
      <c r="L25" s="6"/>
      <c r="M25" t="s">
        <v>52</v>
      </c>
      <c r="N25" s="10">
        <f si="6" t="shared"/>
        <v>0</v>
      </c>
      <c r="O25" s="10">
        <f si="6" t="shared"/>
        <v>0</v>
      </c>
      <c r="P25" s="10">
        <f si="6" t="shared"/>
        <v>0.78928209733819965</v>
      </c>
      <c r="Q25" s="10" t="e">
        <f si="6" t="shared"/>
        <v>#DIV/0!</v>
      </c>
      <c r="R25" s="10">
        <f si="7" t="shared"/>
        <v>2.6309921962095875E-2</v>
      </c>
      <c r="S25" s="10">
        <f si="7" t="shared"/>
        <v>0</v>
      </c>
      <c r="T25" s="10">
        <f si="7" t="shared"/>
        <v>0</v>
      </c>
      <c r="U25" s="10" t="e">
        <f si="7" t="shared"/>
        <v>#DIV/0!</v>
      </c>
      <c r="V25" s="65" t="e">
        <f si="7" t="shared"/>
        <v>#DIV/0!</v>
      </c>
      <c r="W25" s="10">
        <f si="7" t="shared"/>
        <v>0.1359310560128818</v>
      </c>
    </row>
    <row r="26" spans="1:23" x14ac:dyDescent="0.45">
      <c r="A26" t="s">
        <v>47</v>
      </c>
      <c r="B26" s="10">
        <f ref="B26:J26" si="10" t="shared">B8/B$17</f>
        <v>0</v>
      </c>
      <c r="C26" s="10">
        <f si="10" t="shared"/>
        <v>0</v>
      </c>
      <c r="D26" s="10">
        <f si="10" t="shared"/>
        <v>0</v>
      </c>
      <c r="E26" s="10">
        <f si="10" t="shared"/>
        <v>0.27559301769019068</v>
      </c>
      <c r="F26" s="10">
        <f si="10" t="shared"/>
        <v>0.93566964722074397</v>
      </c>
      <c r="G26" s="10">
        <f si="10" t="shared"/>
        <v>0</v>
      </c>
      <c r="H26" s="10">
        <f si="10" t="shared"/>
        <v>0</v>
      </c>
      <c r="I26" s="10">
        <f si="10" t="shared"/>
        <v>0</v>
      </c>
      <c r="J26" s="65" t="e">
        <f si="10" t="shared"/>
        <v>#DIV/0!</v>
      </c>
      <c r="K26" s="10">
        <f si="5" t="shared"/>
        <v>1.3527634613128288E-2</v>
      </c>
      <c r="L26" s="6"/>
      <c r="M26" t="s">
        <v>47</v>
      </c>
      <c r="N26" s="10">
        <f si="6" t="shared"/>
        <v>0</v>
      </c>
      <c r="O26" s="10">
        <f si="6" t="shared"/>
        <v>0</v>
      </c>
      <c r="P26" s="10">
        <f si="6" t="shared"/>
        <v>0</v>
      </c>
      <c r="Q26" s="10" t="e">
        <f si="6" t="shared"/>
        <v>#DIV/0!</v>
      </c>
      <c r="R26" s="10">
        <f si="7" t="shared"/>
        <v>0.85261984392419177</v>
      </c>
      <c r="S26" s="10">
        <f si="7" t="shared"/>
        <v>0</v>
      </c>
      <c r="T26" s="10">
        <f si="7" t="shared"/>
        <v>0</v>
      </c>
      <c r="U26" s="10" t="e">
        <f si="7" t="shared"/>
        <v>#DIV/0!</v>
      </c>
      <c r="V26" s="65" t="e">
        <f si="7" t="shared"/>
        <v>#DIV/0!</v>
      </c>
      <c r="W26" s="10">
        <f si="7" t="shared"/>
        <v>6.2831698460426213E-3</v>
      </c>
    </row>
    <row r="27" spans="1:23" x14ac:dyDescent="0.45">
      <c r="A27" t="s">
        <v>48</v>
      </c>
      <c r="B27" s="10">
        <f ref="B27:J27" si="11" t="shared">B9/B$17</f>
        <v>0</v>
      </c>
      <c r="C27" s="10">
        <f si="11" t="shared"/>
        <v>0</v>
      </c>
      <c r="D27" s="10">
        <f si="11" t="shared"/>
        <v>0</v>
      </c>
      <c r="E27" s="10">
        <f si="11" t="shared"/>
        <v>0</v>
      </c>
      <c r="F27" s="10">
        <f si="11" t="shared"/>
        <v>0</v>
      </c>
      <c r="G27" s="10">
        <f si="11" t="shared"/>
        <v>0</v>
      </c>
      <c r="H27" s="10">
        <f si="11" t="shared"/>
        <v>0</v>
      </c>
      <c r="I27" s="10">
        <f si="11" t="shared"/>
        <v>0</v>
      </c>
      <c r="J27" s="65" t="e">
        <f si="11" t="shared"/>
        <v>#DIV/0!</v>
      </c>
      <c r="K27" s="10">
        <f si="5" t="shared"/>
        <v>0</v>
      </c>
      <c r="L27" s="6"/>
      <c r="M27" t="s">
        <v>48</v>
      </c>
      <c r="N27" s="10">
        <f si="6" t="shared"/>
        <v>0</v>
      </c>
      <c r="O27" s="10">
        <f si="6" t="shared"/>
        <v>0</v>
      </c>
      <c r="P27" s="10">
        <f si="6" t="shared"/>
        <v>0</v>
      </c>
      <c r="Q27" s="10" t="e">
        <f si="6" t="shared"/>
        <v>#DIV/0!</v>
      </c>
      <c r="R27" s="10">
        <f si="7" t="shared"/>
        <v>0</v>
      </c>
      <c r="S27" s="10">
        <f si="7" t="shared"/>
        <v>0</v>
      </c>
      <c r="T27" s="10">
        <f si="7" t="shared"/>
        <v>0</v>
      </c>
      <c r="U27" s="10" t="e">
        <f si="7" t="shared"/>
        <v>#DIV/0!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12" t="shared">B10/B$17</f>
        <v>0</v>
      </c>
      <c r="C28" s="10">
        <f si="12" t="shared"/>
        <v>0</v>
      </c>
      <c r="D28" s="10">
        <f si="12" t="shared"/>
        <v>0</v>
      </c>
      <c r="E28" s="10">
        <f si="12" t="shared"/>
        <v>0</v>
      </c>
      <c r="F28" s="10">
        <f si="12" t="shared"/>
        <v>2.5371554146300802E-2</v>
      </c>
      <c r="G28" s="10">
        <f si="12" t="shared"/>
        <v>0</v>
      </c>
      <c r="H28" s="10">
        <f si="12" t="shared"/>
        <v>0</v>
      </c>
      <c r="I28" s="10">
        <f si="12" t="shared"/>
        <v>0</v>
      </c>
      <c r="J28" s="65" t="e">
        <f si="12" t="shared"/>
        <v>#DIV/0!</v>
      </c>
      <c r="K28" s="10">
        <f si="5" t="shared"/>
        <v>3.4542401551190675E-4</v>
      </c>
      <c r="L28" s="6"/>
      <c r="M28" t="s">
        <v>49</v>
      </c>
      <c r="N28" s="10">
        <f si="6" t="shared"/>
        <v>0</v>
      </c>
      <c r="O28" s="10">
        <f si="6" t="shared"/>
        <v>0</v>
      </c>
      <c r="P28" s="10">
        <f si="6" t="shared"/>
        <v>0</v>
      </c>
      <c r="Q28" s="10" t="e">
        <f si="6" t="shared"/>
        <v>#DIV/0!</v>
      </c>
      <c r="R28" s="10">
        <f si="7" t="shared"/>
        <v>1.560758082497213E-3</v>
      </c>
      <c r="S28" s="10">
        <f si="7" t="shared"/>
        <v>0</v>
      </c>
      <c r="T28" s="10">
        <f si="7" t="shared"/>
        <v>0</v>
      </c>
      <c r="U28" s="10" t="e">
        <f si="7" t="shared"/>
        <v>#DIV/0!</v>
      </c>
      <c r="V28" s="65" t="e">
        <f si="7" t="shared"/>
        <v>#DIV/0!</v>
      </c>
      <c r="W28" s="10">
        <f si="7" t="shared"/>
        <v>1.1501618442023628E-5</v>
      </c>
    </row>
    <row r="29" spans="1:23" x14ac:dyDescent="0.45">
      <c r="A29" t="s">
        <v>50</v>
      </c>
      <c r="B29" s="10">
        <f ref="B29:J29" si="13" t="shared">B11/B$17</f>
        <v>0</v>
      </c>
      <c r="C29" s="10">
        <f si="13" t="shared"/>
        <v>0</v>
      </c>
      <c r="D29" s="10">
        <f si="13" t="shared"/>
        <v>0</v>
      </c>
      <c r="E29" s="10">
        <f si="13" t="shared"/>
        <v>0</v>
      </c>
      <c r="F29" s="10">
        <f si="13" t="shared"/>
        <v>0</v>
      </c>
      <c r="G29" s="10">
        <f si="13" t="shared"/>
        <v>0</v>
      </c>
      <c r="H29" s="10">
        <f si="13" t="shared"/>
        <v>0</v>
      </c>
      <c r="I29" s="10">
        <f si="13" t="shared"/>
        <v>0</v>
      </c>
      <c r="J29" s="65" t="e">
        <f si="13" t="shared"/>
        <v>#DIV/0!</v>
      </c>
      <c r="K29" s="10">
        <f si="5" t="shared"/>
        <v>0</v>
      </c>
      <c r="L29" s="6"/>
      <c r="M29" t="s">
        <v>50</v>
      </c>
      <c r="N29" s="10">
        <f si="6" t="shared"/>
        <v>0</v>
      </c>
      <c r="O29" s="10">
        <f si="6" t="shared"/>
        <v>0</v>
      </c>
      <c r="P29" s="10">
        <f si="6" t="shared"/>
        <v>0</v>
      </c>
      <c r="Q29" s="10" t="e">
        <f si="6" t="shared"/>
        <v>#DIV/0!</v>
      </c>
      <c r="R29" s="10">
        <f si="7" t="shared"/>
        <v>2.8985507246376812E-3</v>
      </c>
      <c r="S29" s="10">
        <f si="7" t="shared"/>
        <v>0</v>
      </c>
      <c r="T29" s="10">
        <f si="7" t="shared"/>
        <v>0</v>
      </c>
      <c r="U29" s="10" t="e">
        <f si="7" t="shared"/>
        <v>#DIV/0!</v>
      </c>
      <c r="V29" s="65" t="e">
        <f si="7" t="shared"/>
        <v>#DIV/0!</v>
      </c>
      <c r="W29" s="10">
        <f si="7" t="shared"/>
        <v>2.1360148535186736E-5</v>
      </c>
    </row>
    <row r="30" spans="1:23" x14ac:dyDescent="0.45">
      <c r="A30" t="s">
        <v>51</v>
      </c>
      <c r="B30" s="10">
        <f ref="B30:J30" si="14" t="shared">B12/B$17</f>
        <v>0</v>
      </c>
      <c r="C30" s="10">
        <f si="14" t="shared"/>
        <v>0</v>
      </c>
      <c r="D30" s="10">
        <f si="14" t="shared"/>
        <v>0</v>
      </c>
      <c r="E30" s="10">
        <f si="14" t="shared"/>
        <v>0</v>
      </c>
      <c r="F30" s="10">
        <f si="14" t="shared"/>
        <v>0</v>
      </c>
      <c r="G30" s="10">
        <f si="14" t="shared"/>
        <v>0</v>
      </c>
      <c r="H30" s="10">
        <f si="14" t="shared"/>
        <v>0</v>
      </c>
      <c r="I30" s="10">
        <f si="14" t="shared"/>
        <v>0</v>
      </c>
      <c r="J30" s="65" t="e">
        <f si="14" t="shared"/>
        <v>#DIV/0!</v>
      </c>
      <c r="K30" s="10">
        <f si="5" t="shared"/>
        <v>0</v>
      </c>
      <c r="L30" s="6"/>
      <c r="M30" t="s">
        <v>51</v>
      </c>
      <c r="N30" s="10">
        <f si="6" t="shared"/>
        <v>0</v>
      </c>
      <c r="O30" s="10">
        <f si="6" t="shared"/>
        <v>0</v>
      </c>
      <c r="P30" s="10">
        <f si="6" t="shared"/>
        <v>0</v>
      </c>
      <c r="Q30" s="10" t="e">
        <f si="6" t="shared"/>
        <v>#DIV/0!</v>
      </c>
      <c r="R30" s="10">
        <f si="7" t="shared"/>
        <v>2.0066889632107021E-3</v>
      </c>
      <c r="S30" s="10">
        <f si="7" t="shared"/>
        <v>0</v>
      </c>
      <c r="T30" s="10">
        <f si="7" t="shared"/>
        <v>0</v>
      </c>
      <c r="U30" s="10" t="e">
        <f si="7" t="shared"/>
        <v>#DIV/0!</v>
      </c>
      <c r="V30" s="65" t="e">
        <f si="7" t="shared"/>
        <v>#DIV/0!</v>
      </c>
      <c r="W30" s="10">
        <f si="7" t="shared"/>
        <v>1.4787795139744663E-5</v>
      </c>
    </row>
    <row r="31" spans="1:23" x14ac:dyDescent="0.45">
      <c r="A31" t="s">
        <v>23</v>
      </c>
      <c r="B31" s="10">
        <f ref="B31:J31" si="15" t="shared">B13/B$17</f>
        <v>0</v>
      </c>
      <c r="C31" s="10">
        <f si="15" t="shared"/>
        <v>0</v>
      </c>
      <c r="D31" s="10">
        <f si="15" t="shared"/>
        <v>0</v>
      </c>
      <c r="E31" s="10">
        <f si="15" t="shared"/>
        <v>0</v>
      </c>
      <c r="F31" s="10">
        <f si="15" t="shared"/>
        <v>0</v>
      </c>
      <c r="G31" s="10">
        <f si="15" t="shared"/>
        <v>0</v>
      </c>
      <c r="H31" s="10">
        <f si="15" t="shared"/>
        <v>0</v>
      </c>
      <c r="I31" s="10">
        <f si="15" t="shared"/>
        <v>0.33333333333333337</v>
      </c>
      <c r="J31" s="65" t="e">
        <f si="15" t="shared"/>
        <v>#DIV/0!</v>
      </c>
      <c r="K31" s="10">
        <f si="5" t="shared"/>
        <v>2.1656998360773373E-4</v>
      </c>
      <c r="L31" s="6"/>
      <c r="M31" t="s">
        <v>23</v>
      </c>
      <c r="N31" s="10">
        <f si="6" t="shared"/>
        <v>0</v>
      </c>
      <c r="O31" s="10">
        <f si="6" t="shared"/>
        <v>0</v>
      </c>
      <c r="P31" s="10">
        <f si="6" t="shared"/>
        <v>0</v>
      </c>
      <c r="Q31" s="10" t="e">
        <f si="6" t="shared"/>
        <v>#DIV/0!</v>
      </c>
      <c r="R31" s="10">
        <f si="7" t="shared"/>
        <v>0</v>
      </c>
      <c r="S31" s="10">
        <f si="7" t="shared"/>
        <v>0</v>
      </c>
      <c r="T31" s="10">
        <f si="7" t="shared"/>
        <v>0</v>
      </c>
      <c r="U31" s="10" t="e">
        <f si="7" t="shared"/>
        <v>#DIV/0!</v>
      </c>
      <c r="V31" s="65" t="e">
        <f si="7" t="shared"/>
        <v>#DIV/0!</v>
      </c>
      <c r="W31" s="10">
        <f si="7" t="shared"/>
        <v>0</v>
      </c>
    </row>
    <row r="32" spans="1:23" x14ac:dyDescent="0.45">
      <c r="A32" t="s">
        <v>4</v>
      </c>
      <c r="B32" s="10">
        <f ref="B32:J32" si="16" t="shared">B14/B$17</f>
        <v>0</v>
      </c>
      <c r="C32" s="10">
        <f si="16" t="shared"/>
        <v>0</v>
      </c>
      <c r="D32" s="10">
        <f si="16" t="shared"/>
        <v>0</v>
      </c>
      <c r="E32" s="10">
        <f si="16" t="shared"/>
        <v>0</v>
      </c>
      <c r="F32" s="10">
        <f si="16" t="shared"/>
        <v>0</v>
      </c>
      <c r="G32" s="10">
        <f si="16" t="shared"/>
        <v>1</v>
      </c>
      <c r="H32" s="10">
        <f si="16" t="shared"/>
        <v>0</v>
      </c>
      <c r="I32" s="10">
        <f si="16" t="shared"/>
        <v>0</v>
      </c>
      <c r="J32" s="65" t="e">
        <f si="16" t="shared"/>
        <v>#DIV/0!</v>
      </c>
      <c r="K32" s="10">
        <f si="5" t="shared"/>
        <v>1.8477653227450287E-3</v>
      </c>
      <c r="L32" s="6"/>
      <c r="M32" t="s">
        <v>4</v>
      </c>
      <c r="N32" s="10">
        <f si="6" t="shared"/>
        <v>3.9178024248770054E-4</v>
      </c>
      <c r="O32" s="10">
        <f si="6" t="shared"/>
        <v>6.2662601057431391E-4</v>
      </c>
      <c r="P32" s="10">
        <f si="6" t="shared"/>
        <v>2.675176275008121E-4</v>
      </c>
      <c r="Q32" s="10" t="e">
        <f si="6" t="shared"/>
        <v>#DIV/0!</v>
      </c>
      <c r="R32" s="10">
        <f si="7" t="shared"/>
        <v>7.803790412486065E-3</v>
      </c>
      <c r="S32" s="10">
        <f si="7" t="shared"/>
        <v>0.98731043020736609</v>
      </c>
      <c r="T32" s="10">
        <f si="7" t="shared"/>
        <v>0</v>
      </c>
      <c r="U32" s="10" t="e">
        <f si="7" t="shared"/>
        <v>#DIV/0!</v>
      </c>
      <c r="V32" s="65" t="e">
        <f si="7" t="shared"/>
        <v>#DIV/0!</v>
      </c>
      <c r="W32" s="10">
        <f si="7" t="shared"/>
        <v>5.714661277336882E-3</v>
      </c>
    </row>
    <row r="33" spans="1:32" x14ac:dyDescent="0.45">
      <c r="A33" t="s">
        <v>5</v>
      </c>
      <c r="B33" s="10">
        <f ref="B33:J33" si="17" t="shared">B15/B$17</f>
        <v>1.8869542578490268E-3</v>
      </c>
      <c r="C33" s="10">
        <f si="17" t="shared"/>
        <v>6.9671123812677484E-3</v>
      </c>
      <c r="D33" s="10">
        <f si="17" t="shared"/>
        <v>2.5648077118060422E-3</v>
      </c>
      <c r="E33" s="10">
        <f si="17" t="shared"/>
        <v>0</v>
      </c>
      <c r="F33" s="10">
        <f si="17" t="shared"/>
        <v>2.4441767564256704E-2</v>
      </c>
      <c r="G33" s="10">
        <f si="17" t="shared"/>
        <v>0</v>
      </c>
      <c r="H33" s="10">
        <f si="17" t="shared"/>
        <v>1</v>
      </c>
      <c r="I33" s="10">
        <f si="17" t="shared"/>
        <v>0.23074250774367491</v>
      </c>
      <c r="J33" s="65" t="e">
        <f si="17" t="shared"/>
        <v>#DIV/0!</v>
      </c>
      <c r="K33" s="10">
        <f si="5" t="shared"/>
        <v>3.466657317396156E-2</v>
      </c>
      <c r="L33" s="6"/>
      <c r="M33" t="s">
        <v>5</v>
      </c>
      <c r="N33" s="10">
        <f si="6" t="shared"/>
        <v>1.6017917878700676E-3</v>
      </c>
      <c r="O33" s="10">
        <f si="6" t="shared"/>
        <v>8.5042101435085457E-4</v>
      </c>
      <c r="P33" s="10">
        <f si="6" t="shared"/>
        <v>4.3949324517990562E-4</v>
      </c>
      <c r="Q33" s="10" t="e">
        <f si="6" t="shared"/>
        <v>#DIV/0!</v>
      </c>
      <c r="R33" s="10">
        <f si="7" t="shared"/>
        <v>1.7614269788182833E-2</v>
      </c>
      <c r="S33" s="10">
        <f si="7" t="shared"/>
        <v>1.2689569792633859E-2</v>
      </c>
      <c r="T33" s="10">
        <f si="7" t="shared"/>
        <v>1</v>
      </c>
      <c r="U33" s="10" t="e">
        <f si="7" t="shared"/>
        <v>#DIV/0!</v>
      </c>
      <c r="V33" s="65" t="e">
        <f si="7" t="shared"/>
        <v>#DIV/0!</v>
      </c>
      <c r="W33" s="10">
        <f si="7" t="shared"/>
        <v>4.9039614860091028E-2</v>
      </c>
    </row>
    <row r="34" spans="1:32" x14ac:dyDescent="0.45">
      <c r="A34" t="s">
        <v>166</v>
      </c>
      <c r="B34" s="11">
        <f ref="B34:J34" si="18" t="shared">B16/B$17</f>
        <v>0</v>
      </c>
      <c r="C34" s="11">
        <f si="18" t="shared"/>
        <v>0</v>
      </c>
      <c r="D34" s="11">
        <f si="18" t="shared"/>
        <v>0</v>
      </c>
      <c r="E34" s="11">
        <f si="18" t="shared"/>
        <v>0</v>
      </c>
      <c r="F34" s="11">
        <f si="18" t="shared"/>
        <v>0</v>
      </c>
      <c r="G34" s="11">
        <f si="18" t="shared"/>
        <v>0</v>
      </c>
      <c r="H34" s="11">
        <f si="18" t="shared"/>
        <v>0</v>
      </c>
      <c r="I34" s="11">
        <f si="18" t="shared"/>
        <v>0</v>
      </c>
      <c r="J34" s="66" t="e">
        <f si="18" t="shared"/>
        <v>#DIV/0!</v>
      </c>
      <c r="K34" s="10">
        <f si="5" t="shared"/>
        <v>0</v>
      </c>
      <c r="L34" s="6"/>
      <c r="M34" t="s">
        <v>166</v>
      </c>
      <c r="N34" s="11">
        <f si="6" t="shared"/>
        <v>0</v>
      </c>
      <c r="O34" s="11">
        <f si="6" t="shared"/>
        <v>0</v>
      </c>
      <c r="P34" s="11">
        <f si="6" t="shared"/>
        <v>0</v>
      </c>
      <c r="Q34" s="11" t="e">
        <f si="6" t="shared"/>
        <v>#DIV/0!</v>
      </c>
      <c r="R34" s="11">
        <f si="7" t="shared"/>
        <v>0</v>
      </c>
      <c r="S34" s="11">
        <f si="7" t="shared"/>
        <v>0</v>
      </c>
      <c r="T34" s="11">
        <f si="7" t="shared"/>
        <v>0</v>
      </c>
      <c r="U34" s="11" t="e">
        <f si="7" t="shared"/>
        <v>#DIV/0!</v>
      </c>
      <c r="V34" s="66" t="e">
        <f si="7" t="shared"/>
        <v>#DIV/0!</v>
      </c>
      <c r="W34" s="10">
        <f si="7" t="shared"/>
        <v>0</v>
      </c>
    </row>
    <row ht="14.65" r="35" spans="1:32" thickBot="1" x14ac:dyDescent="0.5">
      <c r="A35" s="61" t="s">
        <v>7</v>
      </c>
      <c r="B35" s="63">
        <f ref="B35:J35" si="19" t="shared">B17/B$17</f>
        <v>1</v>
      </c>
      <c r="C35" s="63">
        <f si="19" t="shared"/>
        <v>1</v>
      </c>
      <c r="D35" s="63">
        <f si="19" t="shared"/>
        <v>1</v>
      </c>
      <c r="E35" s="63">
        <f si="19" t="shared"/>
        <v>1</v>
      </c>
      <c r="F35" s="63">
        <f si="19" t="shared"/>
        <v>1</v>
      </c>
      <c r="G35" s="63">
        <f si="19" t="shared"/>
        <v>1</v>
      </c>
      <c r="H35" s="63">
        <f si="19" t="shared"/>
        <v>1</v>
      </c>
      <c r="I35" s="63">
        <f si="19" t="shared"/>
        <v>1</v>
      </c>
      <c r="J35" s="67" t="e">
        <f si="19" t="shared"/>
        <v>#DIV/0!</v>
      </c>
      <c r="K35" s="63">
        <f si="5" t="shared"/>
        <v>1</v>
      </c>
      <c r="M35" s="61" t="s">
        <v>7</v>
      </c>
      <c r="N35" s="63">
        <f si="6" t="shared"/>
        <v>1</v>
      </c>
      <c r="O35" s="63">
        <f si="6" t="shared"/>
        <v>1</v>
      </c>
      <c r="P35" s="63">
        <f si="6" t="shared"/>
        <v>1</v>
      </c>
      <c r="Q35" s="63" t="e">
        <f si="6" t="shared"/>
        <v>#DIV/0!</v>
      </c>
      <c r="R35" s="63">
        <f si="7" t="shared"/>
        <v>1</v>
      </c>
      <c r="S35" s="63">
        <f si="7" t="shared"/>
        <v>1</v>
      </c>
      <c r="T35" s="63">
        <f si="7" t="shared"/>
        <v>1</v>
      </c>
      <c r="U35" s="63" t="e">
        <f si="7" t="shared"/>
        <v>#DIV/0!</v>
      </c>
      <c r="V35" s="67" t="e">
        <f si="7" t="shared"/>
        <v>#DIV/0!</v>
      </c>
      <c r="W35" s="63">
        <f si="7" t="shared"/>
        <v>1</v>
      </c>
    </row>
    <row ht="14.65" r="38" spans="1:32" thickBot="1" x14ac:dyDescent="0.5">
      <c r="M38" s="1" t="s">
        <v>20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77" t="s">
        <v>41</v>
      </c>
      <c r="O39" s="77"/>
      <c r="P39" s="77"/>
      <c r="Q39" s="77"/>
      <c r="R39" s="77"/>
      <c r="S39" s="77"/>
      <c r="T39" s="77"/>
      <c r="U39" s="77"/>
      <c r="V39" s="8"/>
      <c r="W39" s="8"/>
      <c r="Y39" s="10"/>
      <c r="Z39" s="10"/>
      <c r="AA39" s="10"/>
      <c r="AB39" s="10"/>
      <c r="AC39" s="10"/>
      <c r="AD39" s="10"/>
      <c r="AE39" s="10"/>
      <c r="AF39" s="10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  <c r="Y40" s="10"/>
      <c r="Z40" s="10"/>
      <c r="AA40" s="10"/>
      <c r="AB40" s="10"/>
      <c r="AC40" s="10"/>
      <c r="AD40" s="10"/>
      <c r="AE40" s="10"/>
      <c r="AF40" s="10"/>
    </row>
    <row r="41" spans="1:32" x14ac:dyDescent="0.45">
      <c r="M41" t="s">
        <v>1</v>
      </c>
      <c r="N41" s="10">
        <f ref="N41:W46" si="20" t="shared">N23-B23</f>
        <v>-1.066177725087547E-4</v>
      </c>
      <c r="O41" s="10">
        <f si="20" t="shared"/>
        <v>1.9672073809149274E-2</v>
      </c>
      <c r="P41" s="10">
        <f si="20" t="shared"/>
        <v>-3.714256470621749E-3</v>
      </c>
      <c r="Q41" s="10" t="e">
        <f si="20" t="shared"/>
        <v>#DIV/0!</v>
      </c>
      <c r="R41" s="10">
        <f si="20" t="shared"/>
        <v>2.0066889632107021E-3</v>
      </c>
      <c r="S41" s="10">
        <f si="20" t="shared"/>
        <v>0</v>
      </c>
      <c r="T41" s="10">
        <f si="20" t="shared"/>
        <v>0</v>
      </c>
      <c r="U41" s="10" t="e">
        <f si="20" t="shared"/>
        <v>#DIV/0!</v>
      </c>
      <c r="V41" s="65" t="e">
        <f si="20" t="shared"/>
        <v>#DIV/0!</v>
      </c>
      <c r="W41" s="10">
        <f si="20" t="shared"/>
        <v>-3.0411394964674043E-2</v>
      </c>
      <c r="Y41" s="10"/>
      <c r="Z41" s="10"/>
      <c r="AA41" s="10"/>
      <c r="AB41" s="10"/>
      <c r="AC41" s="10"/>
      <c r="AD41" s="10"/>
      <c r="AE41" s="10"/>
      <c r="AF41" s="10"/>
    </row>
    <row r="42" spans="1:32" x14ac:dyDescent="0.45">
      <c r="M42" t="s">
        <v>9</v>
      </c>
      <c r="N42" s="10">
        <f si="20" t="shared"/>
        <v>0</v>
      </c>
      <c r="O42" s="10">
        <f si="20" t="shared"/>
        <v>-1.4182008452806816E-2</v>
      </c>
      <c r="P42" s="10">
        <f si="20" t="shared"/>
        <v>0.11086989594937688</v>
      </c>
      <c r="Q42" s="10" t="e">
        <f si="20" t="shared"/>
        <v>#DIV/0!</v>
      </c>
      <c r="R42" s="10">
        <f si="20" t="shared"/>
        <v>7.2662456110788615E-2</v>
      </c>
      <c r="S42" s="10">
        <f si="20" t="shared"/>
        <v>0</v>
      </c>
      <c r="T42" s="10">
        <f si="20" t="shared"/>
        <v>0</v>
      </c>
      <c r="U42" s="10" t="e">
        <f si="20" t="shared"/>
        <v>#DIV/0!</v>
      </c>
      <c r="V42" s="65" t="e">
        <f si="20" t="shared"/>
        <v>#DIV/0!</v>
      </c>
      <c r="W42" s="10">
        <f si="20" t="shared"/>
        <v>3.3887513528454816E-2</v>
      </c>
      <c r="Y42" s="10"/>
      <c r="Z42" s="10"/>
      <c r="AA42" s="10"/>
      <c r="AB42" s="10"/>
      <c r="AC42" s="10"/>
      <c r="AD42" s="10"/>
      <c r="AE42" s="10"/>
      <c r="AF42" s="10"/>
    </row>
    <row r="43" spans="1:32" x14ac:dyDescent="0.45">
      <c r="M43" t="s">
        <v>10</v>
      </c>
      <c r="N43" s="10">
        <f si="20" t="shared"/>
        <v>0</v>
      </c>
      <c r="O43" s="10">
        <f si="20" t="shared"/>
        <v>0</v>
      </c>
      <c r="P43" s="10">
        <f si="20" t="shared"/>
        <v>-0.10529784263962982</v>
      </c>
      <c r="Q43" s="10" t="e">
        <f si="20" t="shared"/>
        <v>#DIV/0!</v>
      </c>
      <c r="R43" s="10">
        <f si="20" t="shared"/>
        <v>2.6309921962095875E-2</v>
      </c>
      <c r="S43" s="10">
        <f si="20" t="shared"/>
        <v>0</v>
      </c>
      <c r="T43" s="10">
        <f si="20" t="shared"/>
        <v>0</v>
      </c>
      <c r="U43" s="10" t="e">
        <f si="20" t="shared"/>
        <v>#DIV/0!</v>
      </c>
      <c r="V43" s="65" t="e">
        <f si="20" t="shared"/>
        <v>#DIV/0!</v>
      </c>
      <c r="W43" s="10">
        <f si="20" t="shared"/>
        <v>-1.395724700041362E-2</v>
      </c>
      <c r="Y43" s="10"/>
      <c r="Z43" s="10"/>
      <c r="AA43" s="10"/>
      <c r="AB43" s="10"/>
      <c r="AC43" s="10"/>
      <c r="AD43" s="10"/>
      <c r="AE43" s="10"/>
      <c r="AF43" s="10"/>
    </row>
    <row r="44" spans="1:32" x14ac:dyDescent="0.45">
      <c r="M44" t="s">
        <v>47</v>
      </c>
      <c r="N44" s="10">
        <f si="20" t="shared"/>
        <v>0</v>
      </c>
      <c r="O44" s="10">
        <f si="20" t="shared"/>
        <v>0</v>
      </c>
      <c r="P44" s="10">
        <f si="20" t="shared"/>
        <v>0</v>
      </c>
      <c r="Q44" s="10" t="e">
        <f si="20" t="shared"/>
        <v>#DIV/0!</v>
      </c>
      <c r="R44" s="10">
        <f si="20" t="shared"/>
        <v>-8.3049803296552205E-2</v>
      </c>
      <c r="S44" s="10">
        <f si="20" t="shared"/>
        <v>0</v>
      </c>
      <c r="T44" s="10">
        <f si="20" t="shared"/>
        <v>0</v>
      </c>
      <c r="U44" s="10" t="e">
        <f si="20" t="shared"/>
        <v>#DIV/0!</v>
      </c>
      <c r="V44" s="65" t="e">
        <f si="20" t="shared"/>
        <v>#DIV/0!</v>
      </c>
      <c r="W44" s="10">
        <f si="20" t="shared"/>
        <v>-7.2444647670856666E-3</v>
      </c>
      <c r="Y44" s="10"/>
      <c r="Z44" s="10"/>
      <c r="AA44" s="10"/>
      <c r="AB44" s="10"/>
      <c r="AC44" s="10"/>
      <c r="AD44" s="10"/>
      <c r="AE44" s="10"/>
      <c r="AF44" s="10"/>
    </row>
    <row r="45" spans="1:32" x14ac:dyDescent="0.45">
      <c r="M45" t="s">
        <v>48</v>
      </c>
      <c r="N45" s="10">
        <f si="20" t="shared"/>
        <v>0</v>
      </c>
      <c r="O45" s="10">
        <f si="20" t="shared"/>
        <v>0</v>
      </c>
      <c r="P45" s="10">
        <f si="20" t="shared"/>
        <v>0</v>
      </c>
      <c r="Q45" s="10" t="e">
        <f si="20" t="shared"/>
        <v>#DIV/0!</v>
      </c>
      <c r="R45" s="10">
        <f si="20" t="shared"/>
        <v>0</v>
      </c>
      <c r="S45" s="10">
        <f si="20" t="shared"/>
        <v>0</v>
      </c>
      <c r="T45" s="10">
        <f si="20" t="shared"/>
        <v>0</v>
      </c>
      <c r="U45" s="10" t="e">
        <f si="20" t="shared"/>
        <v>#DIV/0!</v>
      </c>
      <c r="V45" s="65" t="e">
        <f si="20" t="shared"/>
        <v>#DIV/0!</v>
      </c>
      <c r="W45" s="10">
        <f si="20" t="shared"/>
        <v>0</v>
      </c>
      <c r="Y45" s="10"/>
      <c r="Z45" s="10"/>
      <c r="AA45" s="10"/>
      <c r="AB45" s="10"/>
      <c r="AC45" s="10"/>
      <c r="AD45" s="10"/>
      <c r="AE45" s="10"/>
      <c r="AF45" s="10"/>
    </row>
    <row r="46" spans="1:32" x14ac:dyDescent="0.45">
      <c r="M46" t="s">
        <v>49</v>
      </c>
      <c r="N46" s="10">
        <f si="20" t="shared"/>
        <v>0</v>
      </c>
      <c r="O46" s="10">
        <f si="20" t="shared"/>
        <v>0</v>
      </c>
      <c r="P46" s="10">
        <f si="20" t="shared"/>
        <v>0</v>
      </c>
      <c r="Q46" s="10" t="e">
        <f si="20" t="shared"/>
        <v>#DIV/0!</v>
      </c>
      <c r="R46" s="10">
        <f si="20" t="shared"/>
        <v>-2.381079606380359E-2</v>
      </c>
      <c r="S46" s="10">
        <f si="20" t="shared"/>
        <v>0</v>
      </c>
      <c r="T46" s="10">
        <f si="20" t="shared"/>
        <v>0</v>
      </c>
      <c r="U46" s="10" t="e">
        <f si="20" t="shared"/>
        <v>#DIV/0!</v>
      </c>
      <c r="V46" s="65" t="e">
        <f si="20" t="shared"/>
        <v>#DIV/0!</v>
      </c>
      <c r="W46" s="10">
        <f si="20" t="shared"/>
        <v>-3.3392239706988311E-4</v>
      </c>
      <c r="Y46" s="10"/>
      <c r="Z46" s="10"/>
      <c r="AA46" s="10"/>
      <c r="AB46" s="10"/>
      <c r="AC46" s="10"/>
      <c r="AD46" s="10"/>
      <c r="AE46" s="10"/>
      <c r="AF46" s="10"/>
    </row>
    <row r="47" spans="1:32" x14ac:dyDescent="0.45">
      <c r="M47" t="s">
        <v>50</v>
      </c>
      <c r="N47" s="10">
        <f ref="N47:Q49" si="21" t="shared">N29-B29</f>
        <v>0</v>
      </c>
      <c r="O47" s="10">
        <f si="21" t="shared"/>
        <v>0</v>
      </c>
      <c r="P47" s="10">
        <f si="21" t="shared"/>
        <v>0</v>
      </c>
      <c r="Q47" s="10" t="e">
        <f si="21" t="shared"/>
        <v>#DIV/0!</v>
      </c>
      <c r="R47" s="10">
        <f ref="R47:W52" si="22" t="shared">R29-F29</f>
        <v>2.8985507246376812E-3</v>
      </c>
      <c r="S47" s="10">
        <f si="22" t="shared"/>
        <v>0</v>
      </c>
      <c r="T47" s="10">
        <f si="22" t="shared"/>
        <v>0</v>
      </c>
      <c r="U47" s="10" t="e">
        <f si="22" t="shared"/>
        <v>#DIV/0!</v>
      </c>
      <c r="V47" s="65" t="e">
        <f si="22" t="shared"/>
        <v>#DIV/0!</v>
      </c>
      <c r="W47" s="10">
        <f si="22" t="shared"/>
        <v>2.1360148535186736E-5</v>
      </c>
      <c r="Y47" s="10"/>
      <c r="Z47" s="10"/>
      <c r="AA47" s="10"/>
      <c r="AB47" s="10"/>
      <c r="AC47" s="10"/>
      <c r="AD47" s="10"/>
      <c r="AE47" s="10"/>
      <c r="AF47" s="10"/>
    </row>
    <row r="48" spans="1:32" x14ac:dyDescent="0.45">
      <c r="M48" t="s">
        <v>51</v>
      </c>
      <c r="N48" s="10">
        <f si="21" t="shared"/>
        <v>0</v>
      </c>
      <c r="O48" s="10">
        <f si="21" t="shared"/>
        <v>0</v>
      </c>
      <c r="P48" s="10">
        <f si="21" t="shared"/>
        <v>0</v>
      </c>
      <c r="Q48" s="10" t="e">
        <f si="21" t="shared"/>
        <v>#DIV/0!</v>
      </c>
      <c r="R48" s="10">
        <f si="22" t="shared"/>
        <v>2.0066889632107021E-3</v>
      </c>
      <c r="S48" s="10">
        <f si="22" t="shared"/>
        <v>0</v>
      </c>
      <c r="T48" s="10">
        <f si="22" t="shared"/>
        <v>0</v>
      </c>
      <c r="U48" s="10" t="e">
        <f si="22" t="shared"/>
        <v>#DIV/0!</v>
      </c>
      <c r="V48" s="65" t="e">
        <f si="22" t="shared"/>
        <v>#DIV/0!</v>
      </c>
      <c r="W48" s="10">
        <f si="22" t="shared"/>
        <v>1.4787795139744663E-5</v>
      </c>
      <c r="Y48" s="10"/>
      <c r="Z48" s="10"/>
      <c r="AA48" s="10"/>
      <c r="AB48" s="10"/>
      <c r="AC48" s="10"/>
      <c r="AD48" s="10"/>
      <c r="AE48" s="10"/>
      <c r="AF48" s="10"/>
    </row>
    <row r="49" spans="13:32" x14ac:dyDescent="0.45">
      <c r="M49" t="s">
        <v>23</v>
      </c>
      <c r="N49" s="10">
        <f si="21" t="shared"/>
        <v>0</v>
      </c>
      <c r="O49" s="10">
        <f si="21" t="shared"/>
        <v>0</v>
      </c>
      <c r="P49" s="10">
        <f si="21" t="shared"/>
        <v>0</v>
      </c>
      <c r="Q49" s="10" t="e">
        <f si="21" t="shared"/>
        <v>#DIV/0!</v>
      </c>
      <c r="R49" s="10">
        <f si="22" t="shared"/>
        <v>0</v>
      </c>
      <c r="S49" s="10">
        <f si="22" t="shared"/>
        <v>0</v>
      </c>
      <c r="T49" s="10">
        <f si="22" t="shared"/>
        <v>0</v>
      </c>
      <c r="U49" s="10" t="e">
        <f si="22" t="shared"/>
        <v>#DIV/0!</v>
      </c>
      <c r="V49" s="65" t="e">
        <f si="22" t="shared"/>
        <v>#DIV/0!</v>
      </c>
      <c r="W49" s="10">
        <f si="22" t="shared"/>
        <v>-2.1656998360773373E-4</v>
      </c>
      <c r="Y49" s="10"/>
      <c r="Z49" s="10"/>
      <c r="AA49" s="10"/>
      <c r="AB49" s="10"/>
      <c r="AC49" s="10"/>
      <c r="AD49" s="10"/>
      <c r="AE49" s="10"/>
      <c r="AF49" s="10"/>
    </row>
    <row r="50" spans="13:32" x14ac:dyDescent="0.45">
      <c r="M50" t="s">
        <v>4</v>
      </c>
      <c r="N50" s="10">
        <f ref="N50:Q53" si="23" t="shared">N32-B32</f>
        <v>3.9178024248770054E-4</v>
      </c>
      <c r="O50" s="10">
        <f si="23" t="shared"/>
        <v>6.2662601057431391E-4</v>
      </c>
      <c r="P50" s="10">
        <f si="23" t="shared"/>
        <v>2.675176275008121E-4</v>
      </c>
      <c r="Q50" s="10" t="e">
        <f si="23" t="shared"/>
        <v>#DIV/0!</v>
      </c>
      <c r="R50" s="10">
        <f si="22" t="shared"/>
        <v>7.803790412486065E-3</v>
      </c>
      <c r="S50" s="10">
        <f si="22" t="shared"/>
        <v>-1.2689569792633915E-2</v>
      </c>
      <c r="T50" s="10">
        <f si="22" t="shared"/>
        <v>0</v>
      </c>
      <c r="U50" s="10" t="e">
        <f si="22" t="shared"/>
        <v>#DIV/0!</v>
      </c>
      <c r="V50" s="65" t="e">
        <f si="22" t="shared"/>
        <v>#DIV/0!</v>
      </c>
      <c r="W50" s="10">
        <f si="22" t="shared"/>
        <v>3.866895954591853E-3</v>
      </c>
      <c r="Y50" s="10"/>
      <c r="Z50" s="10"/>
      <c r="AA50" s="10"/>
      <c r="AB50" s="10"/>
      <c r="AC50" s="10"/>
      <c r="AD50" s="10"/>
      <c r="AE50" s="10"/>
      <c r="AF50" s="10"/>
    </row>
    <row r="51" spans="13:32" x14ac:dyDescent="0.45">
      <c r="M51" t="s">
        <v>5</v>
      </c>
      <c r="N51" s="10">
        <f si="23" t="shared"/>
        <v>-2.8516246997895922E-4</v>
      </c>
      <c r="O51" s="10">
        <f si="23" t="shared"/>
        <v>-6.1166913669168941E-3</v>
      </c>
      <c r="P51" s="10">
        <f si="23" t="shared"/>
        <v>-2.1253144666261367E-3</v>
      </c>
      <c r="Q51" s="10" t="e">
        <f si="23" t="shared"/>
        <v>#DIV/0!</v>
      </c>
      <c r="R51" s="10">
        <f si="22" t="shared"/>
        <v>-6.8274977760738702E-3</v>
      </c>
      <c r="S51" s="10">
        <f si="22" t="shared"/>
        <v>1.2689569792633859E-2</v>
      </c>
      <c r="T51" s="10">
        <f si="22" t="shared"/>
        <v>0</v>
      </c>
      <c r="U51" s="10" t="e">
        <f si="22" t="shared"/>
        <v>#DIV/0!</v>
      </c>
      <c r="V51" s="65" t="e">
        <f si="22" t="shared"/>
        <v>#DIV/0!</v>
      </c>
      <c r="W51" s="10">
        <f si="22" t="shared"/>
        <v>1.4373041686129469E-2</v>
      </c>
    </row>
    <row r="52" spans="13:32" x14ac:dyDescent="0.45">
      <c r="M52" t="s">
        <v>166</v>
      </c>
      <c r="N52" s="11">
        <f si="23" t="shared"/>
        <v>0</v>
      </c>
      <c r="O52" s="11">
        <f si="23" t="shared"/>
        <v>0</v>
      </c>
      <c r="P52" s="11">
        <f si="23" t="shared"/>
        <v>0</v>
      </c>
      <c r="Q52" s="11" t="e">
        <f si="23" t="shared"/>
        <v>#DIV/0!</v>
      </c>
      <c r="R52" s="11">
        <f si="22" t="shared"/>
        <v>0</v>
      </c>
      <c r="S52" s="11">
        <f si="22" t="shared"/>
        <v>0</v>
      </c>
      <c r="T52" s="11">
        <f si="22" t="shared"/>
        <v>0</v>
      </c>
      <c r="U52" s="11" t="e">
        <f si="22" t="shared"/>
        <v>#DIV/0!</v>
      </c>
      <c r="V52" s="66" t="e">
        <f si="22" t="shared"/>
        <v>#DIV/0!</v>
      </c>
      <c r="W52" s="10">
        <f si="22" t="shared"/>
        <v>0</v>
      </c>
    </row>
    <row ht="14.65" r="53" spans="13:32" thickBot="1" x14ac:dyDescent="0.5">
      <c r="M53" s="61" t="s">
        <v>7</v>
      </c>
      <c r="N53" s="63">
        <f si="23" t="shared"/>
        <v>0</v>
      </c>
      <c r="O53" s="63">
        <f si="23" t="shared"/>
        <v>0</v>
      </c>
      <c r="P53" s="63">
        <f si="23" t="shared"/>
        <v>0</v>
      </c>
      <c r="Q53" s="63" t="e">
        <f si="23" t="shared"/>
        <v>#DIV/0!</v>
      </c>
      <c r="R53" s="63">
        <f ref="R53:W53" si="24" t="shared">R35-F35</f>
        <v>0</v>
      </c>
      <c r="S53" s="63">
        <f si="24" t="shared"/>
        <v>0</v>
      </c>
      <c r="T53" s="63">
        <f si="24" t="shared"/>
        <v>0</v>
      </c>
      <c r="U53" s="63" t="e">
        <f si="24" t="shared"/>
        <v>#DIV/0!</v>
      </c>
      <c r="V53" s="67" t="e">
        <f si="24" t="shared"/>
        <v>#DIV/0!</v>
      </c>
      <c r="W53" s="63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2:AG53"/>
  <sheetViews>
    <sheetView workbookViewId="0">
      <selection activeCell="F12" sqref="F12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4.398437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173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34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53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53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254340.15304430918</v>
      </c>
      <c r="C5" s="6" t="n">
        <v>3753.565620182531</v>
      </c>
      <c r="D5" s="6" t="n">
        <v>709.838220130999</v>
      </c>
      <c r="E5" s="6" t="n">
        <v>197.90228221604292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259001.45916683873</v>
      </c>
      <c r="L5" s="6"/>
      <c r="M5" t="s">
        <v>1</v>
      </c>
      <c r="N5" s="6" t="n">
        <v>191430.0</v>
      </c>
      <c r="O5" s="6" t="n">
        <v>3492.0</v>
      </c>
      <c r="P5" s="6" t="n">
        <v>615.0</v>
      </c>
      <c r="Q5" s="6" t="n">
        <v>0.0</v>
      </c>
      <c r="R5" s="6" t="n">
        <v>1.0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192965</v>
      </c>
    </row>
    <row r="6" spans="1:23" x14ac:dyDescent="0.45">
      <c r="A6" t="s">
        <v>12</v>
      </c>
      <c r="B6" s="6" t="n">
        <v>0.0</v>
      </c>
      <c r="C6" s="6" t="n">
        <v>156358.559369759</v>
      </c>
      <c r="D6" s="6" t="n">
        <v>638.8608562583623</v>
      </c>
      <c r="E6" s="6" t="n">
        <v>0.0</v>
      </c>
      <c r="F6" s="6" t="n">
        <v>793.253459882296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157790.67368589964</v>
      </c>
      <c r="L6" s="6"/>
      <c r="M6" t="s">
        <v>12</v>
      </c>
      <c r="N6" s="6" t="n">
        <v>0.0</v>
      </c>
      <c r="O6" s="6" t="n">
        <v>112610.0</v>
      </c>
      <c r="P6" s="6" t="n">
        <v>12495.0</v>
      </c>
      <c r="Q6" s="6" t="n">
        <v>0.0</v>
      </c>
      <c r="R6" s="6" t="n">
        <v>368.0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126006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48884.487463564445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 t="n">
        <v>0.0</v>
      </c>
      <c r="K7" s="6">
        <f si="0" t="shared"/>
        <v>48884.487463564445</v>
      </c>
      <c r="L7" s="6"/>
      <c r="M7" t="s">
        <v>52</v>
      </c>
      <c r="N7" s="6" t="n">
        <v>0.0</v>
      </c>
      <c r="O7" s="6" t="n">
        <v>0.0</v>
      </c>
      <c r="P7" s="6" t="n">
        <v>52594.0</v>
      </c>
      <c r="Q7" s="6" t="n">
        <v>0.0</v>
      </c>
      <c r="R7" s="6" t="n">
        <v>127.0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53288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391.8552238659028</v>
      </c>
      <c r="F8" s="6" t="n">
        <v>5700.78406388361</v>
      </c>
      <c r="G8" s="6" t="n">
        <v>0.0</v>
      </c>
      <c r="H8" s="6" t="n">
        <v>0.0</v>
      </c>
      <c r="I8" s="6" t="n">
        <v>0.0</v>
      </c>
      <c r="J8" s="6" t="n">
        <v>0.0</v>
      </c>
      <c r="K8" s="6">
        <f si="0" t="shared"/>
        <v>6092.6392877495127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2045.0</v>
      </c>
      <c r="S8" s="6" t="n">
        <v>0.0</v>
      </c>
      <c r="T8" s="6" t="n">
        <v>0.0</v>
      </c>
      <c r="U8" s="6" t="n">
        <v>0.0</v>
      </c>
      <c r="V8" s="6" t="n">
        <v>0.0</v>
      </c>
      <c r="W8" s="6">
        <f si="1" t="shared"/>
        <v>2270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199.8769524991344</v>
      </c>
      <c r="F10" s="6" t="n">
        <v>0.0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199.8769524991344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13.0</v>
      </c>
      <c r="S10" s="6" t="n">
        <v>0.0</v>
      </c>
      <c r="T10" s="6" t="n">
        <v>0.0</v>
      </c>
      <c r="U10" s="6" t="n">
        <v>0.0</v>
      </c>
      <c r="V10" s="6" t="n">
        <v>0.0</v>
      </c>
      <c r="W10" s="6">
        <f si="1" t="shared"/>
        <v>23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0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7.0</v>
      </c>
      <c r="S11" s="6" t="n">
        <v>0.0</v>
      </c>
      <c r="T11" s="6" t="n">
        <v>0.0</v>
      </c>
      <c r="U11" s="6" t="n">
        <v>0.0</v>
      </c>
      <c r="V11" s="6" t="n">
        <v>0.0</v>
      </c>
      <c r="W11" s="6">
        <f si="1" t="shared"/>
        <v>14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4.0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2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 t="n">
        <v>0.0</v>
      </c>
      <c r="K13" s="6">
        <f si="0" t="shared"/>
        <v>0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0.0</v>
      </c>
      <c r="V13" s="6" t="n">
        <v>0.0</v>
      </c>
      <c r="W13" s="6">
        <f si="1" t="shared"/>
        <v>0</v>
      </c>
    </row>
    <row r="14" spans="1:23" x14ac:dyDescent="0.45">
      <c r="A14" t="s">
        <v>4</v>
      </c>
      <c r="B14" s="6" t="n">
        <v>0.0</v>
      </c>
      <c r="C14" s="6" t="n">
        <v>0.0</v>
      </c>
      <c r="D14" s="6" t="n">
        <v>42.6568467952461</v>
      </c>
      <c r="E14" s="6" t="n">
        <v>0.0</v>
      </c>
      <c r="F14" s="6" t="n">
        <v>396.626729941148</v>
      </c>
      <c r="G14" s="6" t="n">
        <v>1296.5793742276499</v>
      </c>
      <c r="H14" s="6" t="n">
        <v>0.0</v>
      </c>
      <c r="I14" s="6" t="n">
        <v>0.0</v>
      </c>
      <c r="J14" s="6" t="n">
        <v>0.0</v>
      </c>
      <c r="K14" s="6">
        <f si="0" t="shared"/>
        <v>1735.8629509640441</v>
      </c>
      <c r="L14" s="6"/>
      <c r="M14" t="s">
        <v>4</v>
      </c>
      <c r="N14" s="6" t="n">
        <v>78.0</v>
      </c>
      <c r="O14" s="6" t="n">
        <v>12.0</v>
      </c>
      <c r="P14" s="6" t="n">
        <v>6.0</v>
      </c>
      <c r="Q14" s="6" t="n">
        <v>0.0</v>
      </c>
      <c r="R14" s="6" t="n">
        <v>16.0</v>
      </c>
      <c r="S14" s="6" t="n">
        <v>2043.0</v>
      </c>
      <c r="T14" s="6" t="n">
        <v>0.0</v>
      </c>
      <c r="U14" s="6" t="n">
        <v>0.0</v>
      </c>
      <c r="V14" s="6" t="n">
        <v>0.0</v>
      </c>
      <c r="W14" s="6">
        <f si="1" t="shared"/>
        <v>2012</v>
      </c>
    </row>
    <row r="15" spans="1:23" x14ac:dyDescent="0.45">
      <c r="A15" t="s">
        <v>5</v>
      </c>
      <c r="B15" s="6" t="n">
        <v>1282.4941505031093</v>
      </c>
      <c r="C15" s="6" t="n">
        <v>773.644464910371</v>
      </c>
      <c r="D15" s="6" t="n">
        <v>121.7618199559941</v>
      </c>
      <c r="E15" s="6" t="n">
        <v>0.0</v>
      </c>
      <c r="F15" s="6" t="n">
        <v>562.9328971892302</v>
      </c>
      <c r="G15" s="6" t="n">
        <v>0.0</v>
      </c>
      <c r="H15" s="6" t="n">
        <v>9347.531207754286</v>
      </c>
      <c r="I15" s="6" t="n">
        <v>0.0</v>
      </c>
      <c r="J15" s="6" t="n">
        <v>0.0</v>
      </c>
      <c r="K15" s="6">
        <f si="0" t="shared"/>
        <v>12088.36454031299</v>
      </c>
      <c r="L15" s="6"/>
      <c r="M15" t="s">
        <v>5</v>
      </c>
      <c r="N15" s="6" t="n">
        <v>530.0</v>
      </c>
      <c r="O15" s="6" t="n">
        <v>74.0</v>
      </c>
      <c r="P15" s="6" t="n">
        <v>19.0</v>
      </c>
      <c r="Q15" s="6" t="n">
        <v>0.0</v>
      </c>
      <c r="R15" s="6" t="n">
        <v>39.0</v>
      </c>
      <c r="S15" s="6" t="n">
        <v>22.0</v>
      </c>
      <c r="T15" s="6" t="n">
        <v>13769.0</v>
      </c>
      <c r="U15" s="6" t="n">
        <v>0.0</v>
      </c>
      <c r="V15" s="6" t="n">
        <v>0.0</v>
      </c>
      <c r="W15" s="6">
        <f si="1" t="shared"/>
        <v>14211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255622.64719481228</v>
      </c>
      <c r="C17" s="62">
        <f ref="C17:K17" si="2" t="shared">SUM(C5:C16)</f>
        <v>160885.76945485189</v>
      </c>
      <c r="D17" s="62">
        <f si="2" t="shared"/>
        <v>50397.605206705048</v>
      </c>
      <c r="E17" s="62">
        <f si="2" t="shared"/>
        <v>789.63445858108014</v>
      </c>
      <c r="F17" s="62">
        <f si="2" t="shared"/>
        <v>7453.5971508962839</v>
      </c>
      <c r="G17" s="62">
        <f si="2" t="shared"/>
        <v>1296.5793742276499</v>
      </c>
      <c r="H17" s="62">
        <f si="2" t="shared"/>
        <v>9347.5312077542858</v>
      </c>
      <c r="I17" s="62">
        <f si="2" t="shared"/>
        <v>0</v>
      </c>
      <c r="J17" s="62">
        <f si="2" t="shared"/>
        <v>0</v>
      </c>
      <c r="K17" s="62">
        <f si="2" t="shared"/>
        <v>485793.36404782848</v>
      </c>
      <c r="M17" s="61" t="s">
        <v>7</v>
      </c>
      <c r="N17" s="62">
        <f>SUM(N5:N16)</f>
        <v>189414</v>
      </c>
      <c r="O17" s="62">
        <f ref="O17:W17" si="3" t="shared">SUM(O5:O16)</f>
        <v>116652</v>
      </c>
      <c r="P17" s="62">
        <f si="3" t="shared"/>
        <v>66369</v>
      </c>
      <c r="Q17" s="62">
        <f si="3" t="shared"/>
        <v>0</v>
      </c>
      <c r="R17" s="62">
        <f si="3" t="shared"/>
        <v>2900</v>
      </c>
      <c r="S17" s="62">
        <f si="3" t="shared"/>
        <v>1908</v>
      </c>
      <c r="T17" s="62">
        <f si="3" t="shared"/>
        <v>13548</v>
      </c>
      <c r="U17" s="62">
        <f si="3" t="shared"/>
        <v>0</v>
      </c>
      <c r="V17" s="62">
        <f si="3" t="shared"/>
        <v>0</v>
      </c>
      <c r="W17" s="62">
        <f si="3" t="shared"/>
        <v>390791</v>
      </c>
    </row>
    <row ht="14.65" r="20" spans="1:23" thickBot="1" x14ac:dyDescent="0.5">
      <c r="A20" s="1" t="s">
        <v>174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35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53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53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0.99498286179031037</v>
      </c>
      <c r="C23" s="10">
        <f si="4" t="shared"/>
        <v>2.3330625405224945E-2</v>
      </c>
      <c r="D23" s="10">
        <f si="4" t="shared"/>
        <v>1.4084760917103261E-2</v>
      </c>
      <c r="E23" s="10">
        <f si="4" t="shared"/>
        <v>0.25062518493893993</v>
      </c>
      <c r="F23" s="10">
        <f si="4" t="shared"/>
        <v>0</v>
      </c>
      <c r="G23" s="10">
        <f si="4" t="shared"/>
        <v>0</v>
      </c>
      <c r="H23" s="10">
        <f si="4" t="shared"/>
        <v>0</v>
      </c>
      <c r="I23" s="10" t="e">
        <f si="4" t="shared"/>
        <v>#DIV/0!</v>
      </c>
      <c r="J23" s="65" t="e">
        <f si="4" t="shared"/>
        <v>#DIV/0!</v>
      </c>
      <c r="K23" s="10">
        <f ref="K23:K35" si="5" t="shared">K5/K$17</f>
        <v>0.53315149677783347</v>
      </c>
      <c r="L23" s="6"/>
      <c r="M23" t="s">
        <v>1</v>
      </c>
      <c r="N23" s="10">
        <f ref="N23:Q35" si="6" t="shared">N5/N$17</f>
        <v>0.99689040936783979</v>
      </c>
      <c r="O23" s="10">
        <f si="6" t="shared"/>
        <v>2.996090937146384E-2</v>
      </c>
      <c r="P23" s="10">
        <f si="6" t="shared"/>
        <v>9.7033253476773787E-3</v>
      </c>
      <c r="Q23" s="10" t="e">
        <f si="6" t="shared"/>
        <v>#DIV/0!</v>
      </c>
      <c r="R23" s="10">
        <f ref="R23:W35" si="7" t="shared">R5/R$17</f>
        <v>3.4482758620689653E-4</v>
      </c>
      <c r="S23" s="10">
        <f si="7" t="shared"/>
        <v>0</v>
      </c>
      <c r="T23" s="10">
        <f si="7" t="shared"/>
        <v>0</v>
      </c>
      <c r="U23" s="10" t="e">
        <f si="7" t="shared"/>
        <v>#DIV/0!</v>
      </c>
      <c r="V23" s="65" t="e">
        <f si="7" t="shared"/>
        <v>#DIV/0!</v>
      </c>
      <c r="W23" s="10">
        <f si="7" t="shared"/>
        <v>0.49378056301194245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0.97186071769782389</v>
      </c>
      <c r="D24" s="10">
        <f si="8" t="shared"/>
        <v>1.2676412969189385E-2</v>
      </c>
      <c r="E24" s="10">
        <f si="8" t="shared"/>
        <v>0</v>
      </c>
      <c r="F24" s="10">
        <f si="8" t="shared"/>
        <v>0.10642558805138919</v>
      </c>
      <c r="G24" s="10">
        <f si="8" t="shared"/>
        <v>0</v>
      </c>
      <c r="H24" s="10">
        <f si="8" t="shared"/>
        <v>0</v>
      </c>
      <c r="I24" s="10" t="e">
        <f si="8" t="shared"/>
        <v>#DIV/0!</v>
      </c>
      <c r="J24" s="65" t="e">
        <f si="8" t="shared"/>
        <v>#DIV/0!</v>
      </c>
      <c r="K24" s="10">
        <f si="5" t="shared"/>
        <v>0.324810269887434</v>
      </c>
      <c r="L24" s="6"/>
      <c r="M24" t="s">
        <v>12</v>
      </c>
      <c r="N24" s="10">
        <f si="6" t="shared"/>
        <v>0</v>
      </c>
      <c r="O24" s="10">
        <f si="6" t="shared"/>
        <v>0.96919898501525903</v>
      </c>
      <c r="P24" s="10">
        <f si="6" t="shared"/>
        <v>0.18898883514894002</v>
      </c>
      <c r="Q24" s="10" t="e">
        <f si="6" t="shared"/>
        <v>#DIV/0!</v>
      </c>
      <c r="R24" s="10">
        <f si="7" t="shared"/>
        <v>0.1393103448275862</v>
      </c>
      <c r="S24" s="10">
        <f si="7" t="shared"/>
        <v>0</v>
      </c>
      <c r="T24" s="10">
        <f si="7" t="shared"/>
        <v>0</v>
      </c>
      <c r="U24" s="10" t="e">
        <f si="7" t="shared"/>
        <v>#DIV/0!</v>
      </c>
      <c r="V24" s="65" t="e">
        <f si="7" t="shared"/>
        <v>#DIV/0!</v>
      </c>
      <c r="W24" s="10">
        <f si="7" t="shared"/>
        <v>0.32243833660447657</v>
      </c>
    </row>
    <row r="25" spans="1:23" x14ac:dyDescent="0.45">
      <c r="A25" t="s">
        <v>52</v>
      </c>
      <c r="B25" s="10">
        <f ref="B25:J25" si="9" t="shared">B7/B$17</f>
        <v>0</v>
      </c>
      <c r="C25" s="10">
        <f si="9" t="shared"/>
        <v>0</v>
      </c>
      <c r="D25" s="10">
        <f si="9" t="shared"/>
        <v>0.96997639596297136</v>
      </c>
      <c r="E25" s="10">
        <f si="9" t="shared"/>
        <v>0</v>
      </c>
      <c r="F25" s="10">
        <f si="9" t="shared"/>
        <v>0</v>
      </c>
      <c r="G25" s="10">
        <f si="9" t="shared"/>
        <v>0</v>
      </c>
      <c r="H25" s="10">
        <f si="9" t="shared"/>
        <v>0</v>
      </c>
      <c r="I25" s="10" t="e">
        <f si="9" t="shared"/>
        <v>#DIV/0!</v>
      </c>
      <c r="J25" s="65" t="e">
        <f si="9" t="shared"/>
        <v>#DIV/0!</v>
      </c>
      <c r="K25" s="10">
        <f si="5" t="shared"/>
        <v>0.10062814991180397</v>
      </c>
      <c r="L25" s="6"/>
      <c r="M25" t="s">
        <v>52</v>
      </c>
      <c r="N25" s="10">
        <f si="6" t="shared"/>
        <v>0</v>
      </c>
      <c r="O25" s="10">
        <f si="6" t="shared"/>
        <v>0</v>
      </c>
      <c r="P25" s="10">
        <f si="6" t="shared"/>
        <v>0.80094622489415235</v>
      </c>
      <c r="Q25" s="10" t="e">
        <f si="6" t="shared"/>
        <v>#DIV/0!</v>
      </c>
      <c r="R25" s="10">
        <f si="7" t="shared"/>
        <v>4.4827586206896551E-2</v>
      </c>
      <c r="S25" s="10">
        <f si="7" t="shared"/>
        <v>0</v>
      </c>
      <c r="T25" s="10">
        <f si="7" t="shared"/>
        <v>0</v>
      </c>
      <c r="U25" s="10" t="e">
        <f si="7" t="shared"/>
        <v>#DIV/0!</v>
      </c>
      <c r="V25" s="65" t="e">
        <f si="7" t="shared"/>
        <v>#DIV/0!</v>
      </c>
      <c r="W25" s="10">
        <f si="7" t="shared"/>
        <v>0.13635933273795967</v>
      </c>
    </row>
    <row r="26" spans="1:23" x14ac:dyDescent="0.45">
      <c r="A26" t="s">
        <v>47</v>
      </c>
      <c r="B26" s="10">
        <f ref="B26:J26" si="10" t="shared">B8/B$17</f>
        <v>0</v>
      </c>
      <c r="C26" s="10">
        <f si="10" t="shared"/>
        <v>0</v>
      </c>
      <c r="D26" s="10">
        <f si="10" t="shared"/>
        <v>0</v>
      </c>
      <c r="E26" s="10">
        <f si="10" t="shared"/>
        <v>0.49624889036636044</v>
      </c>
      <c r="F26" s="10">
        <f si="10" t="shared"/>
        <v>0.76483662163014787</v>
      </c>
      <c r="G26" s="10">
        <f si="10" t="shared"/>
        <v>0</v>
      </c>
      <c r="H26" s="10">
        <f si="10" t="shared"/>
        <v>0</v>
      </c>
      <c r="I26" s="10" t="e">
        <f si="10" t="shared"/>
        <v>#DIV/0!</v>
      </c>
      <c r="J26" s="65" t="e">
        <f si="10" t="shared"/>
        <v>#DIV/0!</v>
      </c>
      <c r="K26" s="10">
        <f si="5" t="shared"/>
        <v>1.2541627240403527E-2</v>
      </c>
      <c r="L26" s="6"/>
      <c r="M26" t="s">
        <v>47</v>
      </c>
      <c r="N26" s="10">
        <f si="6" t="shared"/>
        <v>0</v>
      </c>
      <c r="O26" s="10">
        <f si="6" t="shared"/>
        <v>0</v>
      </c>
      <c r="P26" s="10">
        <f si="6" t="shared"/>
        <v>0</v>
      </c>
      <c r="Q26" s="10" t="e">
        <f si="6" t="shared"/>
        <v>#DIV/0!</v>
      </c>
      <c r="R26" s="10">
        <f si="7" t="shared"/>
        <v>0.78275862068965518</v>
      </c>
      <c r="S26" s="10">
        <f si="7" t="shared"/>
        <v>0</v>
      </c>
      <c r="T26" s="10">
        <f si="7" t="shared"/>
        <v>0</v>
      </c>
      <c r="U26" s="10" t="e">
        <f si="7" t="shared"/>
        <v>#DIV/0!</v>
      </c>
      <c r="V26" s="65" t="e">
        <f si="7" t="shared"/>
        <v>#DIV/0!</v>
      </c>
      <c r="W26" s="10">
        <f si="7" t="shared"/>
        <v>5.8087315214526434E-3</v>
      </c>
    </row>
    <row r="27" spans="1:23" x14ac:dyDescent="0.45">
      <c r="A27" t="s">
        <v>48</v>
      </c>
      <c r="B27" s="10">
        <f ref="B27:J27" si="11" t="shared">B9/B$17</f>
        <v>0</v>
      </c>
      <c r="C27" s="10">
        <f si="11" t="shared"/>
        <v>0</v>
      </c>
      <c r="D27" s="10">
        <f si="11" t="shared"/>
        <v>0</v>
      </c>
      <c r="E27" s="10">
        <f si="11" t="shared"/>
        <v>0</v>
      </c>
      <c r="F27" s="10">
        <f si="11" t="shared"/>
        <v>0</v>
      </c>
      <c r="G27" s="10">
        <f si="11" t="shared"/>
        <v>0</v>
      </c>
      <c r="H27" s="10">
        <f si="11" t="shared"/>
        <v>0</v>
      </c>
      <c r="I27" s="10" t="e">
        <f si="11" t="shared"/>
        <v>#DIV/0!</v>
      </c>
      <c r="J27" s="65" t="e">
        <f si="11" t="shared"/>
        <v>#DIV/0!</v>
      </c>
      <c r="K27" s="10">
        <f si="5" t="shared"/>
        <v>0</v>
      </c>
      <c r="L27" s="6"/>
      <c r="M27" t="s">
        <v>48</v>
      </c>
      <c r="N27" s="10">
        <f si="6" t="shared"/>
        <v>0</v>
      </c>
      <c r="O27" s="10">
        <f si="6" t="shared"/>
        <v>0</v>
      </c>
      <c r="P27" s="10">
        <f si="6" t="shared"/>
        <v>0</v>
      </c>
      <c r="Q27" s="10" t="e">
        <f si="6" t="shared"/>
        <v>#DIV/0!</v>
      </c>
      <c r="R27" s="10">
        <f si="7" t="shared"/>
        <v>0</v>
      </c>
      <c r="S27" s="10">
        <f si="7" t="shared"/>
        <v>0</v>
      </c>
      <c r="T27" s="10">
        <f si="7" t="shared"/>
        <v>0</v>
      </c>
      <c r="U27" s="10" t="e">
        <f si="7" t="shared"/>
        <v>#DIV/0!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12" t="shared">B10/B$17</f>
        <v>0</v>
      </c>
      <c r="C28" s="10">
        <f si="12" t="shared"/>
        <v>0</v>
      </c>
      <c r="D28" s="10">
        <f si="12" t="shared"/>
        <v>0</v>
      </c>
      <c r="E28" s="10">
        <f si="12" t="shared"/>
        <v>0.25312592469469963</v>
      </c>
      <c r="F28" s="10">
        <f si="12" t="shared"/>
        <v>0</v>
      </c>
      <c r="G28" s="10">
        <f si="12" t="shared"/>
        <v>0</v>
      </c>
      <c r="H28" s="10">
        <f si="12" t="shared"/>
        <v>0</v>
      </c>
      <c r="I28" s="10" t="e">
        <f si="12" t="shared"/>
        <v>#DIV/0!</v>
      </c>
      <c r="J28" s="65" t="e">
        <f si="12" t="shared"/>
        <v>#DIV/0!</v>
      </c>
      <c r="K28" s="10">
        <f si="5" t="shared"/>
        <v>4.1144438621737873E-4</v>
      </c>
      <c r="L28" s="6"/>
      <c r="M28" t="s">
        <v>49</v>
      </c>
      <c r="N28" s="10">
        <f si="6" t="shared"/>
        <v>0</v>
      </c>
      <c r="O28" s="10">
        <f si="6" t="shared"/>
        <v>0</v>
      </c>
      <c r="P28" s="10">
        <f si="6" t="shared"/>
        <v>0</v>
      </c>
      <c r="Q28" s="10" t="e">
        <f si="6" t="shared"/>
        <v>#DIV/0!</v>
      </c>
      <c r="R28" s="10">
        <f si="7" t="shared"/>
        <v>7.9310344827586213E-3</v>
      </c>
      <c r="S28" s="10">
        <f si="7" t="shared"/>
        <v>0</v>
      </c>
      <c r="T28" s="10">
        <f si="7" t="shared"/>
        <v>0</v>
      </c>
      <c r="U28" s="10" t="e">
        <f si="7" t="shared"/>
        <v>#DIV/0!</v>
      </c>
      <c r="V28" s="65" t="e">
        <f si="7" t="shared"/>
        <v>#DIV/0!</v>
      </c>
      <c r="W28" s="10">
        <f si="7" t="shared"/>
        <v>5.8854988983881412E-5</v>
      </c>
    </row>
    <row r="29" spans="1:23" x14ac:dyDescent="0.45">
      <c r="A29" t="s">
        <v>50</v>
      </c>
      <c r="B29" s="10">
        <f ref="B29:J29" si="13" t="shared">B11/B$17</f>
        <v>0</v>
      </c>
      <c r="C29" s="10">
        <f si="13" t="shared"/>
        <v>0</v>
      </c>
      <c r="D29" s="10">
        <f si="13" t="shared"/>
        <v>0</v>
      </c>
      <c r="E29" s="10">
        <f si="13" t="shared"/>
        <v>0</v>
      </c>
      <c r="F29" s="10">
        <f si="13" t="shared"/>
        <v>0</v>
      </c>
      <c r="G29" s="10">
        <f si="13" t="shared"/>
        <v>0</v>
      </c>
      <c r="H29" s="10">
        <f si="13" t="shared"/>
        <v>0</v>
      </c>
      <c r="I29" s="10" t="e">
        <f si="13" t="shared"/>
        <v>#DIV/0!</v>
      </c>
      <c r="J29" s="65" t="e">
        <f si="13" t="shared"/>
        <v>#DIV/0!</v>
      </c>
      <c r="K29" s="10">
        <f si="5" t="shared"/>
        <v>0</v>
      </c>
      <c r="L29" s="6"/>
      <c r="M29" t="s">
        <v>50</v>
      </c>
      <c r="N29" s="10">
        <f si="6" t="shared"/>
        <v>0</v>
      </c>
      <c r="O29" s="10">
        <f si="6" t="shared"/>
        <v>0</v>
      </c>
      <c r="P29" s="10">
        <f si="6" t="shared"/>
        <v>0</v>
      </c>
      <c r="Q29" s="10" t="e">
        <f si="6" t="shared"/>
        <v>#DIV/0!</v>
      </c>
      <c r="R29" s="10">
        <f si="7" t="shared"/>
        <v>4.827586206896552E-3</v>
      </c>
      <c r="S29" s="10">
        <f si="7" t="shared"/>
        <v>0</v>
      </c>
      <c r="T29" s="10">
        <f si="7" t="shared"/>
        <v>0</v>
      </c>
      <c r="U29" s="10" t="e">
        <f si="7" t="shared"/>
        <v>#DIV/0!</v>
      </c>
      <c r="V29" s="65" t="e">
        <f si="7" t="shared"/>
        <v>#DIV/0!</v>
      </c>
      <c r="W29" s="10">
        <f si="7" t="shared"/>
        <v>3.5824775903232162E-5</v>
      </c>
    </row>
    <row r="30" spans="1:23" x14ac:dyDescent="0.45">
      <c r="A30" t="s">
        <v>51</v>
      </c>
      <c r="B30" s="10">
        <f ref="B30:J30" si="14" t="shared">B12/B$17</f>
        <v>0</v>
      </c>
      <c r="C30" s="10">
        <f si="14" t="shared"/>
        <v>0</v>
      </c>
      <c r="D30" s="10">
        <f si="14" t="shared"/>
        <v>0</v>
      </c>
      <c r="E30" s="10">
        <f si="14" t="shared"/>
        <v>0</v>
      </c>
      <c r="F30" s="10">
        <f si="14" t="shared"/>
        <v>0</v>
      </c>
      <c r="G30" s="10">
        <f si="14" t="shared"/>
        <v>0</v>
      </c>
      <c r="H30" s="10">
        <f si="14" t="shared"/>
        <v>0</v>
      </c>
      <c r="I30" s="10" t="e">
        <f si="14" t="shared"/>
        <v>#DIV/0!</v>
      </c>
      <c r="J30" s="65" t="e">
        <f si="14" t="shared"/>
        <v>#DIV/0!</v>
      </c>
      <c r="K30" s="10">
        <f si="5" t="shared"/>
        <v>0</v>
      </c>
      <c r="L30" s="6"/>
      <c r="M30" t="s">
        <v>51</v>
      </c>
      <c r="N30" s="10">
        <f si="6" t="shared"/>
        <v>0</v>
      </c>
      <c r="O30" s="10">
        <f si="6" t="shared"/>
        <v>0</v>
      </c>
      <c r="P30" s="10">
        <f si="6" t="shared"/>
        <v>0</v>
      </c>
      <c r="Q30" s="10" t="e">
        <f si="6" t="shared"/>
        <v>#DIV/0!</v>
      </c>
      <c r="R30" s="10">
        <f si="7" t="shared"/>
        <v>6.8965517241379305E-4</v>
      </c>
      <c r="S30" s="10">
        <f si="7" t="shared"/>
        <v>0</v>
      </c>
      <c r="T30" s="10">
        <f si="7" t="shared"/>
        <v>0</v>
      </c>
      <c r="U30" s="10" t="e">
        <f si="7" t="shared"/>
        <v>#DIV/0!</v>
      </c>
      <c r="V30" s="65" t="e">
        <f si="7" t="shared"/>
        <v>#DIV/0!</v>
      </c>
      <c r="W30" s="10">
        <f si="7" t="shared"/>
        <v>5.1178251290331659E-6</v>
      </c>
    </row>
    <row r="31" spans="1:23" x14ac:dyDescent="0.45">
      <c r="A31" t="s">
        <v>23</v>
      </c>
      <c r="B31" s="10">
        <f ref="B31:J31" si="15" t="shared">B13/B$17</f>
        <v>0</v>
      </c>
      <c r="C31" s="10">
        <f si="15" t="shared"/>
        <v>0</v>
      </c>
      <c r="D31" s="10">
        <f si="15" t="shared"/>
        <v>0</v>
      </c>
      <c r="E31" s="10">
        <f si="15" t="shared"/>
        <v>0</v>
      </c>
      <c r="F31" s="10">
        <f si="15" t="shared"/>
        <v>0</v>
      </c>
      <c r="G31" s="10">
        <f si="15" t="shared"/>
        <v>0</v>
      </c>
      <c r="H31" s="10">
        <f si="15" t="shared"/>
        <v>0</v>
      </c>
      <c r="I31" s="10" t="e">
        <f si="15" t="shared"/>
        <v>#DIV/0!</v>
      </c>
      <c r="J31" s="65" t="e">
        <f si="15" t="shared"/>
        <v>#DIV/0!</v>
      </c>
      <c r="K31" s="10">
        <f si="5" t="shared"/>
        <v>0</v>
      </c>
      <c r="L31" s="6"/>
      <c r="M31" t="s">
        <v>23</v>
      </c>
      <c r="N31" s="10">
        <f si="6" t="shared"/>
        <v>0</v>
      </c>
      <c r="O31" s="10">
        <f si="6" t="shared"/>
        <v>0</v>
      </c>
      <c r="P31" s="10">
        <f si="6" t="shared"/>
        <v>0</v>
      </c>
      <c r="Q31" s="10" t="e">
        <f si="6" t="shared"/>
        <v>#DIV/0!</v>
      </c>
      <c r="R31" s="10">
        <f si="7" t="shared"/>
        <v>0</v>
      </c>
      <c r="S31" s="10">
        <f si="7" t="shared"/>
        <v>0</v>
      </c>
      <c r="T31" s="10">
        <f si="7" t="shared"/>
        <v>0</v>
      </c>
      <c r="U31" s="10" t="e">
        <f si="7" t="shared"/>
        <v>#DIV/0!</v>
      </c>
      <c r="V31" s="65" t="e">
        <f si="7" t="shared"/>
        <v>#DIV/0!</v>
      </c>
      <c r="W31" s="10">
        <f si="7" t="shared"/>
        <v>0</v>
      </c>
    </row>
    <row r="32" spans="1:23" x14ac:dyDescent="0.45">
      <c r="A32" t="s">
        <v>4</v>
      </c>
      <c r="B32" s="10">
        <f ref="B32:J32" si="16" t="shared">B14/B$17</f>
        <v>0</v>
      </c>
      <c r="C32" s="10">
        <f si="16" t="shared"/>
        <v>0</v>
      </c>
      <c r="D32" s="10">
        <f si="16" t="shared"/>
        <v>8.4640622546031032E-4</v>
      </c>
      <c r="E32" s="10">
        <f si="16" t="shared"/>
        <v>0</v>
      </c>
      <c r="F32" s="10">
        <f si="16" t="shared"/>
        <v>5.3212794025694593E-2</v>
      </c>
      <c r="G32" s="10">
        <f si="16" t="shared"/>
        <v>1</v>
      </c>
      <c r="H32" s="10">
        <f si="16" t="shared"/>
        <v>0</v>
      </c>
      <c r="I32" s="10" t="e">
        <f si="16" t="shared"/>
        <v>#DIV/0!</v>
      </c>
      <c r="J32" s="65" t="e">
        <f si="16" t="shared"/>
        <v>#DIV/0!</v>
      </c>
      <c r="K32" s="10">
        <f si="5" t="shared"/>
        <v>3.5732537317927234E-3</v>
      </c>
      <c r="L32" s="6"/>
      <c r="M32" t="s">
        <v>4</v>
      </c>
      <c r="N32" s="10">
        <f si="6" t="shared"/>
        <v>4.2235526413042328E-4</v>
      </c>
      <c r="O32" s="10">
        <f si="6" t="shared"/>
        <v>1.8859513767445051E-4</v>
      </c>
      <c r="P32" s="10">
        <f si="6" t="shared"/>
        <v>9.0403652307553223E-5</v>
      </c>
      <c r="Q32" s="10" t="e">
        <f si="6" t="shared"/>
        <v>#DIV/0!</v>
      </c>
      <c r="R32" s="10">
        <f si="7" t="shared"/>
        <v>5.8620689655172415E-3</v>
      </c>
      <c r="S32" s="10">
        <f si="7" t="shared"/>
        <v>0.98899371069182385</v>
      </c>
      <c r="T32" s="10">
        <f si="7" t="shared"/>
        <v>0</v>
      </c>
      <c r="U32" s="10" t="e">
        <f si="7" t="shared"/>
        <v>#DIV/0!</v>
      </c>
      <c r="V32" s="65" t="e">
        <f si="7" t="shared"/>
        <v>#DIV/0!</v>
      </c>
      <c r="W32" s="10">
        <f si="7" t="shared"/>
        <v>5.1485320798073646E-3</v>
      </c>
    </row>
    <row r="33" spans="1:32" x14ac:dyDescent="0.45">
      <c r="A33" t="s">
        <v>5</v>
      </c>
      <c r="B33" s="10">
        <f ref="B33:J33" si="17" t="shared">B15/B$17</f>
        <v>5.0171382096896493E-3</v>
      </c>
      <c r="C33" s="10">
        <f si="17" t="shared"/>
        <v>4.8086568969511797E-3</v>
      </c>
      <c r="D33" s="10">
        <f si="17" t="shared"/>
        <v>2.4160239252756111E-3</v>
      </c>
      <c r="E33" s="10">
        <f si="17" t="shared"/>
        <v>0</v>
      </c>
      <c r="F33" s="10">
        <f si="17" t="shared"/>
        <v>7.5524996292768293E-2</v>
      </c>
      <c r="G33" s="10">
        <f si="17" t="shared"/>
        <v>0</v>
      </c>
      <c r="H33" s="10">
        <f si="17" t="shared"/>
        <v>1</v>
      </c>
      <c r="I33" s="10" t="e">
        <f si="17" t="shared"/>
        <v>#DIV/0!</v>
      </c>
      <c r="J33" s="65" t="e">
        <f si="17" t="shared"/>
        <v>#DIV/0!</v>
      </c>
      <c r="K33" s="10">
        <f si="5" t="shared"/>
        <v>2.4883758064514934E-2</v>
      </c>
      <c r="L33" s="6"/>
      <c r="M33" t="s">
        <v>5</v>
      </c>
      <c r="N33" s="10">
        <f si="6" t="shared"/>
        <v>2.6872353680298185E-3</v>
      </c>
      <c r="O33" s="10">
        <f si="6" t="shared"/>
        <v>6.5151047560264722E-4</v>
      </c>
      <c r="P33" s="10">
        <f si="6" t="shared"/>
        <v>2.7121095692265968E-4</v>
      </c>
      <c r="Q33" s="10" t="e">
        <f si="6" t="shared"/>
        <v>#DIV/0!</v>
      </c>
      <c r="R33" s="10">
        <f si="7" t="shared"/>
        <v>1.3448275862068966E-2</v>
      </c>
      <c r="S33" s="10">
        <f si="7" t="shared"/>
        <v>1.10062893081761E-2</v>
      </c>
      <c r="T33" s="10">
        <f si="7" t="shared"/>
        <v>1</v>
      </c>
      <c r="U33" s="10" t="e">
        <f si="7" t="shared"/>
        <v>#DIV/0!</v>
      </c>
      <c r="V33" s="65" t="e">
        <f si="7" t="shared"/>
        <v>#DIV/0!</v>
      </c>
      <c r="W33" s="10">
        <f si="7" t="shared"/>
        <v>3.6364706454345162E-2</v>
      </c>
    </row>
    <row r="34" spans="1:32" x14ac:dyDescent="0.45">
      <c r="A34" t="s">
        <v>166</v>
      </c>
      <c r="B34" s="11">
        <f ref="B34:J34" si="18" t="shared">B16/B$17</f>
        <v>0</v>
      </c>
      <c r="C34" s="11">
        <f si="18" t="shared"/>
        <v>0</v>
      </c>
      <c r="D34" s="11">
        <f si="18" t="shared"/>
        <v>0</v>
      </c>
      <c r="E34" s="11">
        <f si="18" t="shared"/>
        <v>0</v>
      </c>
      <c r="F34" s="11">
        <f si="18" t="shared"/>
        <v>0</v>
      </c>
      <c r="G34" s="11">
        <f si="18" t="shared"/>
        <v>0</v>
      </c>
      <c r="H34" s="11">
        <f si="18" t="shared"/>
        <v>0</v>
      </c>
      <c r="I34" s="11" t="e">
        <f si="18" t="shared"/>
        <v>#DIV/0!</v>
      </c>
      <c r="J34" s="66" t="e">
        <f si="18" t="shared"/>
        <v>#DIV/0!</v>
      </c>
      <c r="K34" s="10">
        <f si="5" t="shared"/>
        <v>0</v>
      </c>
      <c r="L34" s="6"/>
      <c r="M34" t="s">
        <v>166</v>
      </c>
      <c r="N34" s="11">
        <f si="6" t="shared"/>
        <v>0</v>
      </c>
      <c r="O34" s="11">
        <f si="6" t="shared"/>
        <v>0</v>
      </c>
      <c r="P34" s="11">
        <f si="6" t="shared"/>
        <v>0</v>
      </c>
      <c r="Q34" s="11" t="e">
        <f si="6" t="shared"/>
        <v>#DIV/0!</v>
      </c>
      <c r="R34" s="11">
        <f si="7" t="shared"/>
        <v>0</v>
      </c>
      <c r="S34" s="11">
        <f si="7" t="shared"/>
        <v>0</v>
      </c>
      <c r="T34" s="11">
        <f si="7" t="shared"/>
        <v>0</v>
      </c>
      <c r="U34" s="11" t="e">
        <f si="7" t="shared"/>
        <v>#DIV/0!</v>
      </c>
      <c r="V34" s="66" t="e">
        <f si="7" t="shared"/>
        <v>#DIV/0!</v>
      </c>
      <c r="W34" s="10">
        <f si="7" t="shared"/>
        <v>0</v>
      </c>
    </row>
    <row ht="14.65" r="35" spans="1:32" thickBot="1" x14ac:dyDescent="0.5">
      <c r="A35" s="61" t="s">
        <v>7</v>
      </c>
      <c r="B35" s="63">
        <f ref="B35:J35" si="19" t="shared">B17/B$17</f>
        <v>1</v>
      </c>
      <c r="C35" s="63">
        <f si="19" t="shared"/>
        <v>1</v>
      </c>
      <c r="D35" s="63">
        <f si="19" t="shared"/>
        <v>1</v>
      </c>
      <c r="E35" s="63">
        <f si="19" t="shared"/>
        <v>1</v>
      </c>
      <c r="F35" s="63">
        <f si="19" t="shared"/>
        <v>1</v>
      </c>
      <c r="G35" s="63">
        <f si="19" t="shared"/>
        <v>1</v>
      </c>
      <c r="H35" s="63">
        <f si="19" t="shared"/>
        <v>1</v>
      </c>
      <c r="I35" s="63" t="e">
        <f si="19" t="shared"/>
        <v>#DIV/0!</v>
      </c>
      <c r="J35" s="67" t="e">
        <f si="19" t="shared"/>
        <v>#DIV/0!</v>
      </c>
      <c r="K35" s="63">
        <f si="5" t="shared"/>
        <v>1</v>
      </c>
      <c r="M35" s="61" t="s">
        <v>7</v>
      </c>
      <c r="N35" s="63">
        <f si="6" t="shared"/>
        <v>1</v>
      </c>
      <c r="O35" s="63">
        <f si="6" t="shared"/>
        <v>1</v>
      </c>
      <c r="P35" s="63">
        <f si="6" t="shared"/>
        <v>1</v>
      </c>
      <c r="Q35" s="63" t="e">
        <f si="6" t="shared"/>
        <v>#DIV/0!</v>
      </c>
      <c r="R35" s="63">
        <f si="7" t="shared"/>
        <v>1</v>
      </c>
      <c r="S35" s="63">
        <f si="7" t="shared"/>
        <v>1</v>
      </c>
      <c r="T35" s="63">
        <f si="7" t="shared"/>
        <v>1</v>
      </c>
      <c r="U35" s="63" t="e">
        <f si="7" t="shared"/>
        <v>#DIV/0!</v>
      </c>
      <c r="V35" s="67" t="e">
        <f si="7" t="shared"/>
        <v>#DIV/0!</v>
      </c>
      <c r="W35" s="63">
        <f si="7" t="shared"/>
        <v>1</v>
      </c>
    </row>
    <row ht="14.65" r="38" spans="1:32" thickBot="1" x14ac:dyDescent="0.5">
      <c r="M38" s="1" t="s">
        <v>21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77" t="s">
        <v>53</v>
      </c>
      <c r="O39" s="77"/>
      <c r="P39" s="77"/>
      <c r="Q39" s="77"/>
      <c r="R39" s="77"/>
      <c r="S39" s="77"/>
      <c r="T39" s="77"/>
      <c r="U39" s="77"/>
      <c r="V39" s="8"/>
      <c r="W39" s="8"/>
      <c r="Y39" s="10"/>
      <c r="Z39" s="10"/>
      <c r="AA39" s="10"/>
      <c r="AB39" s="10"/>
      <c r="AC39" s="10"/>
      <c r="AD39" s="10"/>
      <c r="AE39" s="10"/>
      <c r="AF39" s="10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  <c r="Y40" s="10"/>
      <c r="Z40" s="10"/>
      <c r="AA40" s="10"/>
      <c r="AB40" s="10"/>
      <c r="AC40" s="10"/>
      <c r="AD40" s="10"/>
      <c r="AE40" s="10"/>
      <c r="AF40" s="10"/>
    </row>
    <row r="41" spans="1:32" x14ac:dyDescent="0.45">
      <c r="M41" t="s">
        <v>1</v>
      </c>
      <c r="N41" s="10">
        <f ref="N41:W46" si="20" t="shared">N23-B23</f>
        <v>1.9075475775294226E-3</v>
      </c>
      <c r="O41" s="10">
        <f si="20" t="shared"/>
        <v>6.6302839662388952E-3</v>
      </c>
      <c r="P41" s="10">
        <f si="20" t="shared"/>
        <v>-4.3814355694258827E-3</v>
      </c>
      <c r="Q41" s="10" t="e">
        <f si="20" t="shared"/>
        <v>#DIV/0!</v>
      </c>
      <c r="R41" s="10">
        <f si="20" t="shared"/>
        <v>3.4482758620689653E-4</v>
      </c>
      <c r="S41" s="10">
        <f si="20" t="shared"/>
        <v>0</v>
      </c>
      <c r="T41" s="10">
        <f si="20" t="shared"/>
        <v>0</v>
      </c>
      <c r="U41" s="10" t="e">
        <f si="20" t="shared"/>
        <v>#DIV/0!</v>
      </c>
      <c r="V41" s="65" t="e">
        <f si="20" t="shared"/>
        <v>#DIV/0!</v>
      </c>
      <c r="W41" s="10">
        <f si="20" t="shared"/>
        <v>-3.9370933765891014E-2</v>
      </c>
      <c r="Y41" s="10"/>
      <c r="Z41" s="10"/>
      <c r="AA41" s="10"/>
      <c r="AB41" s="10"/>
      <c r="AC41" s="10"/>
      <c r="AD41" s="10"/>
      <c r="AE41" s="10"/>
      <c r="AF41" s="10"/>
    </row>
    <row r="42" spans="1:32" x14ac:dyDescent="0.45">
      <c r="M42" t="s">
        <v>9</v>
      </c>
      <c r="N42" s="10">
        <f si="20" t="shared"/>
        <v>0</v>
      </c>
      <c r="O42" s="10">
        <f si="20" t="shared"/>
        <v>-2.6617326825648657E-3</v>
      </c>
      <c r="P42" s="10">
        <f si="20" t="shared"/>
        <v>0.17631242217975063</v>
      </c>
      <c r="Q42" s="10" t="e">
        <f si="20" t="shared"/>
        <v>#DIV/0!</v>
      </c>
      <c r="R42" s="10">
        <f si="20" t="shared"/>
        <v>3.2884756776197011E-2</v>
      </c>
      <c r="S42" s="10">
        <f si="20" t="shared"/>
        <v>0</v>
      </c>
      <c r="T42" s="10">
        <f si="20" t="shared"/>
        <v>0</v>
      </c>
      <c r="U42" s="10" t="e">
        <f si="20" t="shared"/>
        <v>#DIV/0!</v>
      </c>
      <c r="V42" s="65" t="e">
        <f si="20" t="shared"/>
        <v>#DIV/0!</v>
      </c>
      <c r="W42" s="10">
        <f si="20" t="shared"/>
        <v>-2.371933282957428E-3</v>
      </c>
      <c r="Y42" s="10"/>
      <c r="Z42" s="10"/>
      <c r="AA42" s="10"/>
      <c r="AB42" s="10"/>
      <c r="AC42" s="10"/>
      <c r="AD42" s="10"/>
      <c r="AE42" s="10"/>
      <c r="AF42" s="10"/>
    </row>
    <row r="43" spans="1:32" x14ac:dyDescent="0.45">
      <c r="M43" t="s">
        <v>10</v>
      </c>
      <c r="N43" s="10">
        <f si="20" t="shared"/>
        <v>0</v>
      </c>
      <c r="O43" s="10">
        <f si="20" t="shared"/>
        <v>0</v>
      </c>
      <c r="P43" s="10">
        <f si="20" t="shared"/>
        <v>-0.16903017106881901</v>
      </c>
      <c r="Q43" s="10" t="e">
        <f si="20" t="shared"/>
        <v>#DIV/0!</v>
      </c>
      <c r="R43" s="10">
        <f si="20" t="shared"/>
        <v>4.4827586206896551E-2</v>
      </c>
      <c r="S43" s="10">
        <f si="20" t="shared"/>
        <v>0</v>
      </c>
      <c r="T43" s="10">
        <f si="20" t="shared"/>
        <v>0</v>
      </c>
      <c r="U43" s="10" t="e">
        <f si="20" t="shared"/>
        <v>#DIV/0!</v>
      </c>
      <c r="V43" s="65" t="e">
        <f si="20" t="shared"/>
        <v>#DIV/0!</v>
      </c>
      <c r="W43" s="10">
        <f si="20" t="shared"/>
        <v>3.57311828261557E-2</v>
      </c>
      <c r="Y43" s="10"/>
      <c r="Z43" s="10"/>
      <c r="AA43" s="10"/>
      <c r="AB43" s="10"/>
      <c r="AC43" s="10"/>
      <c r="AD43" s="10"/>
      <c r="AE43" s="10"/>
      <c r="AF43" s="10"/>
    </row>
    <row r="44" spans="1:32" x14ac:dyDescent="0.45">
      <c r="M44" t="s">
        <v>47</v>
      </c>
      <c r="N44" s="10">
        <f si="20" t="shared"/>
        <v>0</v>
      </c>
      <c r="O44" s="10">
        <f si="20" t="shared"/>
        <v>0</v>
      </c>
      <c r="P44" s="10">
        <f si="20" t="shared"/>
        <v>0</v>
      </c>
      <c r="Q44" s="10" t="e">
        <f si="20" t="shared"/>
        <v>#DIV/0!</v>
      </c>
      <c r="R44" s="10">
        <f si="20" t="shared"/>
        <v>1.792199905950731E-2</v>
      </c>
      <c r="S44" s="10">
        <f si="20" t="shared"/>
        <v>0</v>
      </c>
      <c r="T44" s="10">
        <f si="20" t="shared"/>
        <v>0</v>
      </c>
      <c r="U44" s="10" t="e">
        <f si="20" t="shared"/>
        <v>#DIV/0!</v>
      </c>
      <c r="V44" s="65" t="e">
        <f si="20" t="shared"/>
        <v>#DIV/0!</v>
      </c>
      <c r="W44" s="10">
        <f si="20" t="shared"/>
        <v>-6.7328957189508832E-3</v>
      </c>
      <c r="Y44" s="10"/>
      <c r="Z44" s="10"/>
      <c r="AA44" s="10"/>
      <c r="AB44" s="10"/>
      <c r="AC44" s="10"/>
      <c r="AD44" s="10"/>
      <c r="AE44" s="10"/>
      <c r="AF44" s="10"/>
    </row>
    <row r="45" spans="1:32" x14ac:dyDescent="0.45">
      <c r="M45" t="s">
        <v>48</v>
      </c>
      <c r="N45" s="10">
        <f si="20" t="shared"/>
        <v>0</v>
      </c>
      <c r="O45" s="10">
        <f si="20" t="shared"/>
        <v>0</v>
      </c>
      <c r="P45" s="10">
        <f si="20" t="shared"/>
        <v>0</v>
      </c>
      <c r="Q45" s="10" t="e">
        <f si="20" t="shared"/>
        <v>#DIV/0!</v>
      </c>
      <c r="R45" s="10">
        <f si="20" t="shared"/>
        <v>0</v>
      </c>
      <c r="S45" s="10">
        <f si="20" t="shared"/>
        <v>0</v>
      </c>
      <c r="T45" s="10">
        <f si="20" t="shared"/>
        <v>0</v>
      </c>
      <c r="U45" s="10" t="e">
        <f si="20" t="shared"/>
        <v>#DIV/0!</v>
      </c>
      <c r="V45" s="65" t="e">
        <f si="20" t="shared"/>
        <v>#DIV/0!</v>
      </c>
      <c r="W45" s="10">
        <f si="20" t="shared"/>
        <v>0</v>
      </c>
      <c r="Y45" s="10"/>
      <c r="Z45" s="10"/>
      <c r="AA45" s="10"/>
      <c r="AB45" s="10"/>
      <c r="AC45" s="10"/>
      <c r="AD45" s="10"/>
      <c r="AE45" s="10"/>
      <c r="AF45" s="10"/>
    </row>
    <row r="46" spans="1:32" x14ac:dyDescent="0.45">
      <c r="M46" t="s">
        <v>49</v>
      </c>
      <c r="N46" s="10">
        <f si="20" t="shared"/>
        <v>0</v>
      </c>
      <c r="O46" s="10">
        <f si="20" t="shared"/>
        <v>0</v>
      </c>
      <c r="P46" s="10">
        <f si="20" t="shared"/>
        <v>0</v>
      </c>
      <c r="Q46" s="10" t="e">
        <f si="20" t="shared"/>
        <v>#DIV/0!</v>
      </c>
      <c r="R46" s="10">
        <f si="20" t="shared"/>
        <v>7.9310344827586213E-3</v>
      </c>
      <c r="S46" s="10">
        <f si="20" t="shared"/>
        <v>0</v>
      </c>
      <c r="T46" s="10">
        <f si="20" t="shared"/>
        <v>0</v>
      </c>
      <c r="U46" s="10" t="e">
        <f si="20" t="shared"/>
        <v>#DIV/0!</v>
      </c>
      <c r="V46" s="65" t="e">
        <f si="20" t="shared"/>
        <v>#DIV/0!</v>
      </c>
      <c r="W46" s="10">
        <f si="20" t="shared"/>
        <v>-3.5258939723349734E-4</v>
      </c>
      <c r="Y46" s="10"/>
      <c r="Z46" s="10"/>
      <c r="AA46" s="10"/>
      <c r="AB46" s="10"/>
      <c r="AC46" s="10"/>
      <c r="AD46" s="10"/>
      <c r="AE46" s="10"/>
      <c r="AF46" s="10"/>
    </row>
    <row r="47" spans="1:32" x14ac:dyDescent="0.45">
      <c r="M47" t="s">
        <v>50</v>
      </c>
      <c r="N47" s="10">
        <f ref="N47:Q49" si="21" t="shared">N29-B29</f>
        <v>0</v>
      </c>
      <c r="O47" s="10">
        <f si="21" t="shared"/>
        <v>0</v>
      </c>
      <c r="P47" s="10">
        <f si="21" t="shared"/>
        <v>0</v>
      </c>
      <c r="Q47" s="10" t="e">
        <f si="21" t="shared"/>
        <v>#DIV/0!</v>
      </c>
      <c r="R47" s="10">
        <f ref="R47:W52" si="22" t="shared">R29-F29</f>
        <v>4.827586206896552E-3</v>
      </c>
      <c r="S47" s="10">
        <f si="22" t="shared"/>
        <v>0</v>
      </c>
      <c r="T47" s="10">
        <f si="22" t="shared"/>
        <v>0</v>
      </c>
      <c r="U47" s="10" t="e">
        <f si="22" t="shared"/>
        <v>#DIV/0!</v>
      </c>
      <c r="V47" s="65" t="e">
        <f si="22" t="shared"/>
        <v>#DIV/0!</v>
      </c>
      <c r="W47" s="10">
        <f si="22" t="shared"/>
        <v>3.5824775903232162E-5</v>
      </c>
      <c r="Y47" s="10"/>
      <c r="Z47" s="10"/>
      <c r="AA47" s="10"/>
      <c r="AB47" s="10"/>
      <c r="AC47" s="10"/>
      <c r="AD47" s="10"/>
      <c r="AE47" s="10"/>
      <c r="AF47" s="10"/>
    </row>
    <row r="48" spans="1:32" x14ac:dyDescent="0.45">
      <c r="M48" t="s">
        <v>51</v>
      </c>
      <c r="N48" s="10">
        <f si="21" t="shared"/>
        <v>0</v>
      </c>
      <c r="O48" s="10">
        <f si="21" t="shared"/>
        <v>0</v>
      </c>
      <c r="P48" s="10">
        <f si="21" t="shared"/>
        <v>0</v>
      </c>
      <c r="Q48" s="10" t="e">
        <f si="21" t="shared"/>
        <v>#DIV/0!</v>
      </c>
      <c r="R48" s="10">
        <f si="22" t="shared"/>
        <v>6.8965517241379305E-4</v>
      </c>
      <c r="S48" s="10">
        <f si="22" t="shared"/>
        <v>0</v>
      </c>
      <c r="T48" s="10">
        <f si="22" t="shared"/>
        <v>0</v>
      </c>
      <c r="U48" s="10" t="e">
        <f si="22" t="shared"/>
        <v>#DIV/0!</v>
      </c>
      <c r="V48" s="65" t="e">
        <f si="22" t="shared"/>
        <v>#DIV/0!</v>
      </c>
      <c r="W48" s="10">
        <f si="22" t="shared"/>
        <v>5.1178251290331659E-6</v>
      </c>
      <c r="Y48" s="10"/>
      <c r="Z48" s="10"/>
      <c r="AA48" s="10"/>
      <c r="AB48" s="10"/>
      <c r="AC48" s="10"/>
      <c r="AD48" s="10"/>
      <c r="AE48" s="10"/>
      <c r="AF48" s="10"/>
    </row>
    <row r="49" spans="13:32" x14ac:dyDescent="0.45">
      <c r="M49" t="s">
        <v>23</v>
      </c>
      <c r="N49" s="10">
        <f si="21" t="shared"/>
        <v>0</v>
      </c>
      <c r="O49" s="10">
        <f si="21" t="shared"/>
        <v>0</v>
      </c>
      <c r="P49" s="10">
        <f si="21" t="shared"/>
        <v>0</v>
      </c>
      <c r="Q49" s="10" t="e">
        <f si="21" t="shared"/>
        <v>#DIV/0!</v>
      </c>
      <c r="R49" s="10">
        <f si="22" t="shared"/>
        <v>0</v>
      </c>
      <c r="S49" s="10">
        <f si="22" t="shared"/>
        <v>0</v>
      </c>
      <c r="T49" s="10">
        <f si="22" t="shared"/>
        <v>0</v>
      </c>
      <c r="U49" s="10" t="e">
        <f si="22" t="shared"/>
        <v>#DIV/0!</v>
      </c>
      <c r="V49" s="65" t="e">
        <f si="22" t="shared"/>
        <v>#DIV/0!</v>
      </c>
      <c r="W49" s="10">
        <f si="22" t="shared"/>
        <v>0</v>
      </c>
      <c r="Y49" s="10"/>
      <c r="Z49" s="10"/>
      <c r="AA49" s="10"/>
      <c r="AB49" s="10"/>
      <c r="AC49" s="10"/>
      <c r="AD49" s="10"/>
      <c r="AE49" s="10"/>
      <c r="AF49" s="10"/>
    </row>
    <row r="50" spans="13:32" x14ac:dyDescent="0.45">
      <c r="M50" t="s">
        <v>4</v>
      </c>
      <c r="N50" s="10">
        <f ref="N50:Q53" si="23" t="shared">N32-B32</f>
        <v>4.2235526413042328E-4</v>
      </c>
      <c r="O50" s="10">
        <f si="23" t="shared"/>
        <v>1.8859513767445051E-4</v>
      </c>
      <c r="P50" s="10">
        <f si="23" t="shared"/>
        <v>-7.5600257315275711E-4</v>
      </c>
      <c r="Q50" s="10" t="e">
        <f si="23" t="shared"/>
        <v>#DIV/0!</v>
      </c>
      <c r="R50" s="10">
        <f si="22" t="shared"/>
        <v>-4.7350725060177352E-2</v>
      </c>
      <c r="S50" s="10">
        <f si="22" t="shared"/>
        <v>-1.1006289308176154E-2</v>
      </c>
      <c r="T50" s="10">
        <f si="22" t="shared"/>
        <v>0</v>
      </c>
      <c r="U50" s="10" t="e">
        <f si="22" t="shared"/>
        <v>#DIV/0!</v>
      </c>
      <c r="V50" s="65" t="e">
        <f si="22" t="shared"/>
        <v>#DIV/0!</v>
      </c>
      <c r="W50" s="10">
        <f si="22" t="shared"/>
        <v>1.5752783480146412E-3</v>
      </c>
      <c r="Y50" s="10"/>
      <c r="Z50" s="10"/>
      <c r="AA50" s="10"/>
      <c r="AB50" s="10"/>
      <c r="AC50" s="10"/>
      <c r="AD50" s="10"/>
      <c r="AE50" s="10"/>
      <c r="AF50" s="10"/>
    </row>
    <row r="51" spans="13:32" x14ac:dyDescent="0.45">
      <c r="M51" t="s">
        <v>5</v>
      </c>
      <c r="N51" s="10">
        <f si="23" t="shared"/>
        <v>-2.3299028416598308E-3</v>
      </c>
      <c r="O51" s="10">
        <f si="23" t="shared"/>
        <v>-4.1571464213485329E-3</v>
      </c>
      <c r="P51" s="10">
        <f si="23" t="shared"/>
        <v>-2.1448129683529515E-3</v>
      </c>
      <c r="Q51" s="10" t="e">
        <f si="23" t="shared"/>
        <v>#DIV/0!</v>
      </c>
      <c r="R51" s="10">
        <f si="22" t="shared"/>
        <v>-6.2076720430699325E-2</v>
      </c>
      <c r="S51" s="10">
        <f si="22" t="shared"/>
        <v>1.10062893081761E-2</v>
      </c>
      <c r="T51" s="10">
        <f si="22" t="shared"/>
        <v>0</v>
      </c>
      <c r="U51" s="10" t="e">
        <f si="22" t="shared"/>
        <v>#DIV/0!</v>
      </c>
      <c r="V51" s="65" t="e">
        <f si="22" t="shared"/>
        <v>#DIV/0!</v>
      </c>
      <c r="W51" s="10">
        <f si="22" t="shared"/>
        <v>1.1480948389830228E-2</v>
      </c>
    </row>
    <row r="52" spans="13:32" x14ac:dyDescent="0.45">
      <c r="M52" t="s">
        <v>166</v>
      </c>
      <c r="N52" s="11">
        <f si="23" t="shared"/>
        <v>0</v>
      </c>
      <c r="O52" s="11">
        <f si="23" t="shared"/>
        <v>0</v>
      </c>
      <c r="P52" s="11">
        <f si="23" t="shared"/>
        <v>0</v>
      </c>
      <c r="Q52" s="11" t="e">
        <f si="23" t="shared"/>
        <v>#DIV/0!</v>
      </c>
      <c r="R52" s="11">
        <f si="22" t="shared"/>
        <v>0</v>
      </c>
      <c r="S52" s="11">
        <f si="22" t="shared"/>
        <v>0</v>
      </c>
      <c r="T52" s="11">
        <f si="22" t="shared"/>
        <v>0</v>
      </c>
      <c r="U52" s="11" t="e">
        <f si="22" t="shared"/>
        <v>#DIV/0!</v>
      </c>
      <c r="V52" s="66" t="e">
        <f si="22" t="shared"/>
        <v>#DIV/0!</v>
      </c>
      <c r="W52" s="10">
        <f si="22" t="shared"/>
        <v>0</v>
      </c>
    </row>
    <row ht="14.65" r="53" spans="13:32" thickBot="1" x14ac:dyDescent="0.5">
      <c r="M53" s="61" t="s">
        <v>7</v>
      </c>
      <c r="N53" s="63">
        <f si="23" t="shared"/>
        <v>0</v>
      </c>
      <c r="O53" s="63">
        <f si="23" t="shared"/>
        <v>0</v>
      </c>
      <c r="P53" s="63">
        <f si="23" t="shared"/>
        <v>0</v>
      </c>
      <c r="Q53" s="63" t="e">
        <f si="23" t="shared"/>
        <v>#DIV/0!</v>
      </c>
      <c r="R53" s="63">
        <f ref="R53:W53" si="24" t="shared">R35-F35</f>
        <v>0</v>
      </c>
      <c r="S53" s="63">
        <f si="24" t="shared"/>
        <v>0</v>
      </c>
      <c r="T53" s="63">
        <f si="24" t="shared"/>
        <v>0</v>
      </c>
      <c r="U53" s="63" t="e">
        <f si="24" t="shared"/>
        <v>#DIV/0!</v>
      </c>
      <c r="V53" s="67" t="e">
        <f si="24" t="shared"/>
        <v>#DIV/0!</v>
      </c>
      <c r="W53" s="63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AG53"/>
  <sheetViews>
    <sheetView workbookViewId="0">
      <selection sqref="A1:XFD104857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3.8632812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175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37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42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42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56680.07686102027</v>
      </c>
      <c r="C5" s="6" t="n">
        <v>3758.730130132733</v>
      </c>
      <c r="D5" s="6" t="n">
        <v>1013.8292015399212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61452.636192692924</v>
      </c>
      <c r="L5" s="6"/>
      <c r="M5" t="s">
        <v>1</v>
      </c>
      <c r="N5" s="6" t="n">
        <v>43585.0</v>
      </c>
      <c r="O5" s="6" t="n">
        <v>5012.0</v>
      </c>
      <c r="P5" s="6" t="n">
        <v>824.0</v>
      </c>
      <c r="Q5" s="6" t="n">
        <v>0.0</v>
      </c>
      <c r="R5" s="6" t="n">
        <v>1.0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49116</v>
      </c>
    </row>
    <row r="6" spans="1:23" x14ac:dyDescent="0.45">
      <c r="A6" t="s">
        <v>12</v>
      </c>
      <c r="B6" s="6" t="n">
        <v>0.0</v>
      </c>
      <c r="C6" s="6" t="n">
        <v>149086.2298533062</v>
      </c>
      <c r="D6" s="6" t="n">
        <v>1902.9125214585706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150989.14237476478</v>
      </c>
      <c r="L6" s="6"/>
      <c r="M6" t="s">
        <v>12</v>
      </c>
      <c r="N6" s="6" t="n">
        <v>0.0</v>
      </c>
      <c r="O6" s="6" t="n">
        <v>101731.0</v>
      </c>
      <c r="P6" s="6" t="n">
        <v>8765.0</v>
      </c>
      <c r="Q6" s="6" t="n">
        <v>0.0</v>
      </c>
      <c r="R6" s="6" t="n">
        <v>142.0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110823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75983.0853195855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252.932518515191</v>
      </c>
      <c r="J7" s="6" t="n">
        <v>0.0</v>
      </c>
      <c r="K7" s="6">
        <f si="0" t="shared"/>
        <v>76236.017838100699</v>
      </c>
      <c r="L7" s="6"/>
      <c r="M7" t="s">
        <v>52</v>
      </c>
      <c r="N7" s="6" t="n">
        <v>0.0</v>
      </c>
      <c r="O7" s="6" t="n">
        <v>0.0</v>
      </c>
      <c r="P7" s="6" t="n">
        <v>42590.0</v>
      </c>
      <c r="Q7" s="6" t="n">
        <v>0.0</v>
      </c>
      <c r="R7" s="6" t="n">
        <v>56.0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42489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56.9950969199894</v>
      </c>
      <c r="G8" s="6" t="n">
        <v>0.0</v>
      </c>
      <c r="H8" s="6" t="n">
        <v>0.0</v>
      </c>
      <c r="I8" s="6" t="n">
        <v>0.0</v>
      </c>
      <c r="J8" s="6" t="n">
        <v>0.0</v>
      </c>
      <c r="K8" s="6">
        <f si="0" t="shared"/>
        <v>56.9950969199894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914.0</v>
      </c>
      <c r="S8" s="6" t="n">
        <v>0.0</v>
      </c>
      <c r="T8" s="6" t="n">
        <v>0.0</v>
      </c>
      <c r="U8" s="6" t="n">
        <v>0.0</v>
      </c>
      <c r="V8" s="6" t="n">
        <v>0.0</v>
      </c>
      <c r="W8" s="6">
        <f si="1" t="shared"/>
        <v>931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0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2.0</v>
      </c>
      <c r="S10" s="6" t="n">
        <v>0.0</v>
      </c>
      <c r="T10" s="6" t="n">
        <v>0.0</v>
      </c>
      <c r="U10" s="6" t="n">
        <v>0.0</v>
      </c>
      <c r="V10" s="6" t="n">
        <v>0.0</v>
      </c>
      <c r="W10" s="6">
        <f si="1" t="shared"/>
        <v>0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0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 t="n">
        <v>0.0</v>
      </c>
      <c r="V11" s="6" t="n">
        <v>0.0</v>
      </c>
      <c r="W11" s="6">
        <f si="1" t="shared"/>
        <v>3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4.0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0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252.932518515191</v>
      </c>
      <c r="J13" s="6" t="n">
        <v>0.0</v>
      </c>
      <c r="K13" s="6">
        <f si="0" t="shared"/>
        <v>252.93251851519099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0.0</v>
      </c>
      <c r="V13" s="6" t="n">
        <v>0.0</v>
      </c>
      <c r="W13" s="6">
        <f si="1" t="shared"/>
        <v>0</v>
      </c>
    </row>
    <row r="14" spans="1:23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1383.0753050516212</v>
      </c>
      <c r="H14" s="6" t="n">
        <v>0.0</v>
      </c>
      <c r="I14" s="6" t="n">
        <v>0.0</v>
      </c>
      <c r="J14" s="6" t="n">
        <v>0.0</v>
      </c>
      <c r="K14" s="6">
        <f si="0" t="shared"/>
        <v>1383.0753050516212</v>
      </c>
      <c r="L14" s="6"/>
      <c r="M14" t="s">
        <v>4</v>
      </c>
      <c r="N14" s="6" t="n">
        <v>15.0</v>
      </c>
      <c r="O14" s="6" t="n">
        <v>21.0</v>
      </c>
      <c r="P14" s="6" t="n">
        <v>1.0</v>
      </c>
      <c r="Q14" s="6" t="n">
        <v>0.0</v>
      </c>
      <c r="R14" s="6" t="n">
        <v>2.0</v>
      </c>
      <c r="S14" s="6" t="n">
        <v>452.0</v>
      </c>
      <c r="T14" s="6" t="n">
        <v>0.0</v>
      </c>
      <c r="U14" s="6" t="n">
        <v>0.0</v>
      </c>
      <c r="V14" s="6" t="n">
        <v>0.0</v>
      </c>
      <c r="W14" s="6">
        <f si="1" t="shared"/>
        <v>518</v>
      </c>
    </row>
    <row r="15" spans="1:23" x14ac:dyDescent="0.45">
      <c r="A15" t="s">
        <v>5</v>
      </c>
      <c r="B15" s="6" t="n">
        <v>870.7542392955855</v>
      </c>
      <c r="C15" s="6" t="n">
        <v>395.8062847551161</v>
      </c>
      <c r="D15" s="6" t="n">
        <v>342.54940982985124</v>
      </c>
      <c r="E15" s="6" t="n">
        <v>0.0</v>
      </c>
      <c r="F15" s="6" t="n">
        <v>0.0</v>
      </c>
      <c r="G15" s="6" t="n">
        <v>0.0</v>
      </c>
      <c r="H15" s="6" t="n">
        <v>6438.668190974358</v>
      </c>
      <c r="I15" s="6" t="n">
        <v>0.0</v>
      </c>
      <c r="J15" s="6" t="n">
        <v>0.0</v>
      </c>
      <c r="K15" s="6">
        <f si="0" t="shared"/>
        <v>8047.7781248549109</v>
      </c>
      <c r="L15" s="6"/>
      <c r="M15" t="s">
        <v>5</v>
      </c>
      <c r="N15" s="6" t="n">
        <v>43.0</v>
      </c>
      <c r="O15" s="6" t="n">
        <v>48.0</v>
      </c>
      <c r="P15" s="6" t="n">
        <v>6.0</v>
      </c>
      <c r="Q15" s="6" t="n">
        <v>0.0</v>
      </c>
      <c r="R15" s="6" t="n">
        <v>5.0</v>
      </c>
      <c r="S15" s="6" t="n">
        <v>4.0</v>
      </c>
      <c r="T15" s="6" t="n">
        <v>5792.0</v>
      </c>
      <c r="U15" s="6" t="n">
        <v>0.0</v>
      </c>
      <c r="V15" s="6" t="n">
        <v>0.0</v>
      </c>
      <c r="W15" s="6">
        <f si="1" t="shared"/>
        <v>5888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57550.83110031586</v>
      </c>
      <c r="C17" s="62">
        <f ref="C17:K17" si="2" t="shared">SUM(C5:C16)</f>
        <v>153240.76626819404</v>
      </c>
      <c r="D17" s="62">
        <f si="2" t="shared"/>
        <v>79242.376452413839</v>
      </c>
      <c r="E17" s="62">
        <f si="2" t="shared"/>
        <v>0</v>
      </c>
      <c r="F17" s="62">
        <f si="2" t="shared"/>
        <v>56.9950969199894</v>
      </c>
      <c r="G17" s="62">
        <f si="2" t="shared"/>
        <v>1383.0753050516212</v>
      </c>
      <c r="H17" s="62">
        <f si="2" t="shared"/>
        <v>6438.6681909743584</v>
      </c>
      <c r="I17" s="62">
        <f si="2" t="shared"/>
        <v>505.86503703038198</v>
      </c>
      <c r="J17" s="62">
        <f si="2" t="shared"/>
        <v>0</v>
      </c>
      <c r="K17" s="62">
        <f si="2" t="shared"/>
        <v>298418.57745090011</v>
      </c>
      <c r="M17" s="61" t="s">
        <v>7</v>
      </c>
      <c r="N17" s="62">
        <f>SUM(N5:N16)</f>
        <v>43392</v>
      </c>
      <c r="O17" s="62">
        <f ref="O17:W17" si="3" t="shared">SUM(O5:O16)</f>
        <v>106912</v>
      </c>
      <c r="P17" s="62">
        <f si="3" t="shared"/>
        <v>52102</v>
      </c>
      <c r="Q17" s="62">
        <f si="3" t="shared"/>
        <v>0</v>
      </c>
      <c r="R17" s="62">
        <f si="3" t="shared"/>
        <v>1115</v>
      </c>
      <c r="S17" s="62">
        <f si="3" t="shared"/>
        <v>473</v>
      </c>
      <c r="T17" s="62">
        <f si="3" t="shared"/>
        <v>5774</v>
      </c>
      <c r="U17" s="62">
        <f si="3" t="shared"/>
        <v>0</v>
      </c>
      <c r="V17" s="62">
        <f si="3" t="shared"/>
        <v>0</v>
      </c>
      <c r="W17" s="62">
        <f si="3" t="shared"/>
        <v>209768</v>
      </c>
    </row>
    <row ht="14.65" r="20" spans="1:23" thickBot="1" x14ac:dyDescent="0.5">
      <c r="A20" s="1" t="s">
        <v>176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36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42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42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0.98486982337791451</v>
      </c>
      <c r="C23" s="10">
        <f si="4" t="shared"/>
        <v>2.4528265041134017E-2</v>
      </c>
      <c r="D23" s="10">
        <f si="4" t="shared"/>
        <v>1.27940282324665E-2</v>
      </c>
      <c r="E23" s="10" t="e">
        <f si="4" t="shared"/>
        <v>#DIV/0!</v>
      </c>
      <c r="F23" s="10">
        <f si="4" t="shared"/>
        <v>0</v>
      </c>
      <c r="G23" s="10">
        <f si="4" t="shared"/>
        <v>0</v>
      </c>
      <c r="H23" s="10">
        <f si="4" t="shared"/>
        <v>0</v>
      </c>
      <c r="I23" s="10">
        <f si="4" t="shared"/>
        <v>0</v>
      </c>
      <c r="J23" s="65" t="e">
        <f si="4" t="shared"/>
        <v>#DIV/0!</v>
      </c>
      <c r="K23" s="10">
        <f ref="K23:K35" si="5" t="shared">K5/K$17</f>
        <v>0.20592764940314062</v>
      </c>
      <c r="L23" s="6"/>
      <c r="M23" t="s">
        <v>1</v>
      </c>
      <c r="N23" s="10">
        <f ref="N23:Q35" si="6" t="shared">N5/N$17</f>
        <v>0.99868639380530977</v>
      </c>
      <c r="O23" s="10">
        <f si="6" t="shared"/>
        <v>4.6477476803352291E-2</v>
      </c>
      <c r="P23" s="10">
        <f si="6" t="shared"/>
        <v>1.5546428160147403E-2</v>
      </c>
      <c r="Q23" s="10" t="e">
        <f si="6" t="shared"/>
        <v>#DIV/0!</v>
      </c>
      <c r="R23" s="10">
        <f ref="R23:W35" si="7" t="shared">R5/R$17</f>
        <v>1.7937219730941704E-3</v>
      </c>
      <c r="S23" s="10">
        <f si="7" t="shared"/>
        <v>0</v>
      </c>
      <c r="T23" s="10">
        <f si="7" t="shared"/>
        <v>0</v>
      </c>
      <c r="U23" s="10" t="e">
        <f si="7" t="shared"/>
        <v>#DIV/0!</v>
      </c>
      <c r="V23" s="65" t="e">
        <f si="7" t="shared"/>
        <v>#DIV/0!</v>
      </c>
      <c r="W23" s="10">
        <f si="7" t="shared"/>
        <v>0.23414438808588536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0.97288883032849893</v>
      </c>
      <c r="D24" s="10">
        <f si="8" t="shared"/>
        <v>2.4013824504636055E-2</v>
      </c>
      <c r="E24" s="10" t="e">
        <f si="8" t="shared"/>
        <v>#DIV/0!</v>
      </c>
      <c r="F24" s="10">
        <f si="8" t="shared"/>
        <v>0</v>
      </c>
      <c r="G24" s="10">
        <f si="8" t="shared"/>
        <v>0</v>
      </c>
      <c r="H24" s="10">
        <f si="8" t="shared"/>
        <v>0</v>
      </c>
      <c r="I24" s="10">
        <f si="8" t="shared"/>
        <v>0</v>
      </c>
      <c r="J24" s="65" t="e">
        <f si="8" t="shared"/>
        <v>#DIV/0!</v>
      </c>
      <c r="K24" s="10">
        <f si="5" t="shared"/>
        <v>0.50596428568394869</v>
      </c>
      <c r="L24" s="6"/>
      <c r="M24" t="s">
        <v>12</v>
      </c>
      <c r="N24" s="10">
        <f si="6" t="shared"/>
        <v>0</v>
      </c>
      <c r="O24" s="10">
        <f si="6" t="shared"/>
        <v>0.95288648608201132</v>
      </c>
      <c r="P24" s="10">
        <f si="6" t="shared"/>
        <v>0.16930252197612375</v>
      </c>
      <c r="Q24" s="10" t="e">
        <f si="6" t="shared"/>
        <v>#DIV/0!</v>
      </c>
      <c r="R24" s="10">
        <f si="7" t="shared"/>
        <v>0.11390134529147983</v>
      </c>
      <c r="S24" s="10">
        <f si="7" t="shared"/>
        <v>0</v>
      </c>
      <c r="T24" s="10">
        <f si="7" t="shared"/>
        <v>0</v>
      </c>
      <c r="U24" s="10" t="e">
        <f si="7" t="shared"/>
        <v>#DIV/0!</v>
      </c>
      <c r="V24" s="65" t="e">
        <f si="7" t="shared"/>
        <v>#DIV/0!</v>
      </c>
      <c r="W24" s="10">
        <f si="7" t="shared"/>
        <v>0.52831223065481869</v>
      </c>
    </row>
    <row r="25" spans="1:23" x14ac:dyDescent="0.45">
      <c r="A25" t="s">
        <v>52</v>
      </c>
      <c r="B25" s="10">
        <f ref="B25:J25" si="9" t="shared">B7/B$17</f>
        <v>0</v>
      </c>
      <c r="C25" s="10">
        <f si="9" t="shared"/>
        <v>0</v>
      </c>
      <c r="D25" s="10">
        <f si="9" t="shared"/>
        <v>0.95886934139606994</v>
      </c>
      <c r="E25" s="10" t="e">
        <f si="9" t="shared"/>
        <v>#DIV/0!</v>
      </c>
      <c r="F25" s="10">
        <f si="9" t="shared"/>
        <v>0</v>
      </c>
      <c r="G25" s="10">
        <f si="9" t="shared"/>
        <v>0</v>
      </c>
      <c r="H25" s="10">
        <f si="9" t="shared"/>
        <v>0</v>
      </c>
      <c r="I25" s="10">
        <f si="9" t="shared"/>
        <v>0.5</v>
      </c>
      <c r="J25" s="65" t="e">
        <f si="9" t="shared"/>
        <v>#DIV/0!</v>
      </c>
      <c r="K25" s="10">
        <f si="5" t="shared"/>
        <v>0.25546672894600231</v>
      </c>
      <c r="L25" s="6"/>
      <c r="M25" t="s">
        <v>52</v>
      </c>
      <c r="N25" s="10">
        <f si="6" t="shared"/>
        <v>0</v>
      </c>
      <c r="O25" s="10">
        <f si="6" t="shared"/>
        <v>0</v>
      </c>
      <c r="P25" s="10">
        <f si="6" t="shared"/>
        <v>0.81484395992476299</v>
      </c>
      <c r="Q25" s="10" t="e">
        <f si="6" t="shared"/>
        <v>#DIV/0!</v>
      </c>
      <c r="R25" s="10">
        <f si="7" t="shared"/>
        <v>3.0493273542600896E-2</v>
      </c>
      <c r="S25" s="10">
        <f si="7" t="shared"/>
        <v>0</v>
      </c>
      <c r="T25" s="10">
        <f si="7" t="shared"/>
        <v>0</v>
      </c>
      <c r="U25" s="10" t="e">
        <f si="7" t="shared"/>
        <v>#DIV/0!</v>
      </c>
      <c r="V25" s="65" t="e">
        <f si="7" t="shared"/>
        <v>#DIV/0!</v>
      </c>
      <c r="W25" s="10">
        <f si="7" t="shared"/>
        <v>0.20255234354143625</v>
      </c>
    </row>
    <row r="26" spans="1:23" x14ac:dyDescent="0.45">
      <c r="A26" t="s">
        <v>47</v>
      </c>
      <c r="B26" s="10">
        <f ref="B26:J26" si="10" t="shared">B8/B$17</f>
        <v>0</v>
      </c>
      <c r="C26" s="10">
        <f si="10" t="shared"/>
        <v>0</v>
      </c>
      <c r="D26" s="10">
        <f si="10" t="shared"/>
        <v>0</v>
      </c>
      <c r="E26" s="10" t="e">
        <f si="10" t="shared"/>
        <v>#DIV/0!</v>
      </c>
      <c r="F26" s="10">
        <f si="10" t="shared"/>
        <v>1</v>
      </c>
      <c r="G26" s="10">
        <f si="10" t="shared"/>
        <v>0</v>
      </c>
      <c r="H26" s="10">
        <f si="10" t="shared"/>
        <v>0</v>
      </c>
      <c r="I26" s="10">
        <f si="10" t="shared"/>
        <v>0</v>
      </c>
      <c r="J26" s="65" t="e">
        <f si="10" t="shared"/>
        <v>#DIV/0!</v>
      </c>
      <c r="K26" s="10">
        <f si="5" t="shared"/>
        <v>1.9099044505487266E-4</v>
      </c>
      <c r="L26" s="6"/>
      <c r="M26" t="s">
        <v>47</v>
      </c>
      <c r="N26" s="10">
        <f si="6" t="shared"/>
        <v>0</v>
      </c>
      <c r="O26" s="10">
        <f si="6" t="shared"/>
        <v>0</v>
      </c>
      <c r="P26" s="10">
        <f si="6" t="shared"/>
        <v>0</v>
      </c>
      <c r="Q26" s="10" t="e">
        <f si="6" t="shared"/>
        <v>#DIV/0!</v>
      </c>
      <c r="R26" s="10">
        <f si="7" t="shared"/>
        <v>0.83497757847533627</v>
      </c>
      <c r="S26" s="10">
        <f si="7" t="shared"/>
        <v>0</v>
      </c>
      <c r="T26" s="10">
        <f si="7" t="shared"/>
        <v>0</v>
      </c>
      <c r="U26" s="10" t="e">
        <f si="7" t="shared"/>
        <v>#DIV/0!</v>
      </c>
      <c r="V26" s="65" t="e">
        <f si="7" t="shared"/>
        <v>#DIV/0!</v>
      </c>
      <c r="W26" s="10">
        <f si="7" t="shared"/>
        <v>4.4382365279737618E-3</v>
      </c>
    </row>
    <row r="27" spans="1:23" x14ac:dyDescent="0.45">
      <c r="A27" t="s">
        <v>48</v>
      </c>
      <c r="B27" s="10">
        <f ref="B27:J27" si="11" t="shared">B9/B$17</f>
        <v>0</v>
      </c>
      <c r="C27" s="10">
        <f si="11" t="shared"/>
        <v>0</v>
      </c>
      <c r="D27" s="10">
        <f si="11" t="shared"/>
        <v>0</v>
      </c>
      <c r="E27" s="10" t="e">
        <f si="11" t="shared"/>
        <v>#DIV/0!</v>
      </c>
      <c r="F27" s="10">
        <f si="11" t="shared"/>
        <v>0</v>
      </c>
      <c r="G27" s="10">
        <f si="11" t="shared"/>
        <v>0</v>
      </c>
      <c r="H27" s="10">
        <f si="11" t="shared"/>
        <v>0</v>
      </c>
      <c r="I27" s="10">
        <f si="11" t="shared"/>
        <v>0</v>
      </c>
      <c r="J27" s="65" t="e">
        <f si="11" t="shared"/>
        <v>#DIV/0!</v>
      </c>
      <c r="K27" s="10">
        <f si="5" t="shared"/>
        <v>0</v>
      </c>
      <c r="L27" s="6"/>
      <c r="M27" t="s">
        <v>48</v>
      </c>
      <c r="N27" s="10">
        <f si="6" t="shared"/>
        <v>0</v>
      </c>
      <c r="O27" s="10">
        <f si="6" t="shared"/>
        <v>0</v>
      </c>
      <c r="P27" s="10">
        <f si="6" t="shared"/>
        <v>0</v>
      </c>
      <c r="Q27" s="10" t="e">
        <f si="6" t="shared"/>
        <v>#DIV/0!</v>
      </c>
      <c r="R27" s="10">
        <f si="7" t="shared"/>
        <v>0</v>
      </c>
      <c r="S27" s="10">
        <f si="7" t="shared"/>
        <v>0</v>
      </c>
      <c r="T27" s="10">
        <f si="7" t="shared"/>
        <v>0</v>
      </c>
      <c r="U27" s="10" t="e">
        <f si="7" t="shared"/>
        <v>#DIV/0!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12" t="shared">B10/B$17</f>
        <v>0</v>
      </c>
      <c r="C28" s="10">
        <f si="12" t="shared"/>
        <v>0</v>
      </c>
      <c r="D28" s="10">
        <f si="12" t="shared"/>
        <v>0</v>
      </c>
      <c r="E28" s="10" t="e">
        <f si="12" t="shared"/>
        <v>#DIV/0!</v>
      </c>
      <c r="F28" s="10">
        <f si="12" t="shared"/>
        <v>0</v>
      </c>
      <c r="G28" s="10">
        <f si="12" t="shared"/>
        <v>0</v>
      </c>
      <c r="H28" s="10">
        <f si="12" t="shared"/>
        <v>0</v>
      </c>
      <c r="I28" s="10">
        <f si="12" t="shared"/>
        <v>0</v>
      </c>
      <c r="J28" s="65" t="e">
        <f si="12" t="shared"/>
        <v>#DIV/0!</v>
      </c>
      <c r="K28" s="10">
        <f si="5" t="shared"/>
        <v>0</v>
      </c>
      <c r="L28" s="6"/>
      <c r="M28" t="s">
        <v>49</v>
      </c>
      <c r="N28" s="10">
        <f si="6" t="shared"/>
        <v>0</v>
      </c>
      <c r="O28" s="10">
        <f si="6" t="shared"/>
        <v>0</v>
      </c>
      <c r="P28" s="10">
        <f si="6" t="shared"/>
        <v>0</v>
      </c>
      <c r="Q28" s="10" t="e">
        <f si="6" t="shared"/>
        <v>#DIV/0!</v>
      </c>
      <c r="R28" s="10">
        <f si="7" t="shared"/>
        <v>0</v>
      </c>
      <c r="S28" s="10">
        <f si="7" t="shared"/>
        <v>0</v>
      </c>
      <c r="T28" s="10">
        <f si="7" t="shared"/>
        <v>0</v>
      </c>
      <c r="U28" s="10" t="e">
        <f si="7" t="shared"/>
        <v>#DIV/0!</v>
      </c>
      <c r="V28" s="65" t="e">
        <f si="7" t="shared"/>
        <v>#DIV/0!</v>
      </c>
      <c r="W28" s="10">
        <f si="7" t="shared"/>
        <v>0</v>
      </c>
    </row>
    <row r="29" spans="1:23" x14ac:dyDescent="0.45">
      <c r="A29" t="s">
        <v>50</v>
      </c>
      <c r="B29" s="10">
        <f ref="B29:J29" si="13" t="shared">B11/B$17</f>
        <v>0</v>
      </c>
      <c r="C29" s="10">
        <f si="13" t="shared"/>
        <v>0</v>
      </c>
      <c r="D29" s="10">
        <f si="13" t="shared"/>
        <v>0</v>
      </c>
      <c r="E29" s="10" t="e">
        <f si="13" t="shared"/>
        <v>#DIV/0!</v>
      </c>
      <c r="F29" s="10">
        <f si="13" t="shared"/>
        <v>0</v>
      </c>
      <c r="G29" s="10">
        <f si="13" t="shared"/>
        <v>0</v>
      </c>
      <c r="H29" s="10">
        <f si="13" t="shared"/>
        <v>0</v>
      </c>
      <c r="I29" s="10">
        <f si="13" t="shared"/>
        <v>0</v>
      </c>
      <c r="J29" s="65" t="e">
        <f si="13" t="shared"/>
        <v>#DIV/0!</v>
      </c>
      <c r="K29" s="10">
        <f si="5" t="shared"/>
        <v>0</v>
      </c>
      <c r="L29" s="6"/>
      <c r="M29" t="s">
        <v>50</v>
      </c>
      <c r="N29" s="10">
        <f si="6" t="shared"/>
        <v>0</v>
      </c>
      <c r="O29" s="10">
        <f si="6" t="shared"/>
        <v>0</v>
      </c>
      <c r="P29" s="10">
        <f si="6" t="shared"/>
        <v>0</v>
      </c>
      <c r="Q29" s="10" t="e">
        <f si="6" t="shared"/>
        <v>#DIV/0!</v>
      </c>
      <c r="R29" s="10">
        <f si="7" t="shared"/>
        <v>2.6905829596412557E-3</v>
      </c>
      <c r="S29" s="10">
        <f si="7" t="shared"/>
        <v>0</v>
      </c>
      <c r="T29" s="10">
        <f si="7" t="shared"/>
        <v>0</v>
      </c>
      <c r="U29" s="10" t="e">
        <f si="7" t="shared"/>
        <v>#DIV/0!</v>
      </c>
      <c r="V29" s="65" t="e">
        <f si="7" t="shared"/>
        <v>#DIV/0!</v>
      </c>
      <c r="W29" s="10">
        <f si="7" t="shared"/>
        <v>1.4301514053621143E-5</v>
      </c>
    </row>
    <row r="30" spans="1:23" x14ac:dyDescent="0.45">
      <c r="A30" t="s">
        <v>51</v>
      </c>
      <c r="B30" s="10">
        <f ref="B30:J30" si="14" t="shared">B12/B$17</f>
        <v>0</v>
      </c>
      <c r="C30" s="10">
        <f si="14" t="shared"/>
        <v>0</v>
      </c>
      <c r="D30" s="10">
        <f si="14" t="shared"/>
        <v>0</v>
      </c>
      <c r="E30" s="10" t="e">
        <f si="14" t="shared"/>
        <v>#DIV/0!</v>
      </c>
      <c r="F30" s="10">
        <f si="14" t="shared"/>
        <v>0</v>
      </c>
      <c r="G30" s="10">
        <f si="14" t="shared"/>
        <v>0</v>
      </c>
      <c r="H30" s="10">
        <f si="14" t="shared"/>
        <v>0</v>
      </c>
      <c r="I30" s="10">
        <f si="14" t="shared"/>
        <v>0</v>
      </c>
      <c r="J30" s="65" t="e">
        <f si="14" t="shared"/>
        <v>#DIV/0!</v>
      </c>
      <c r="K30" s="10">
        <f si="5" t="shared"/>
        <v>0</v>
      </c>
      <c r="L30" s="6"/>
      <c r="M30" t="s">
        <v>51</v>
      </c>
      <c r="N30" s="10">
        <f si="6" t="shared"/>
        <v>0</v>
      </c>
      <c r="O30" s="10">
        <f si="6" t="shared"/>
        <v>0</v>
      </c>
      <c r="P30" s="10">
        <f si="6" t="shared"/>
        <v>0</v>
      </c>
      <c r="Q30" s="10" t="e">
        <f si="6" t="shared"/>
        <v>#DIV/0!</v>
      </c>
      <c r="R30" s="10">
        <f si="7" t="shared"/>
        <v>0</v>
      </c>
      <c r="S30" s="10">
        <f si="7" t="shared"/>
        <v>0</v>
      </c>
      <c r="T30" s="10">
        <f si="7" t="shared"/>
        <v>0</v>
      </c>
      <c r="U30" s="10" t="e">
        <f si="7" t="shared"/>
        <v>#DIV/0!</v>
      </c>
      <c r="V30" s="65" t="e">
        <f si="7" t="shared"/>
        <v>#DIV/0!</v>
      </c>
      <c r="W30" s="10">
        <f si="7" t="shared"/>
        <v>0</v>
      </c>
    </row>
    <row r="31" spans="1:23" x14ac:dyDescent="0.45">
      <c r="A31" t="s">
        <v>23</v>
      </c>
      <c r="B31" s="10">
        <f ref="B31:J31" si="15" t="shared">B13/B$17</f>
        <v>0</v>
      </c>
      <c r="C31" s="10">
        <f si="15" t="shared"/>
        <v>0</v>
      </c>
      <c r="D31" s="10">
        <f si="15" t="shared"/>
        <v>0</v>
      </c>
      <c r="E31" s="10" t="e">
        <f si="15" t="shared"/>
        <v>#DIV/0!</v>
      </c>
      <c r="F31" s="10">
        <f si="15" t="shared"/>
        <v>0</v>
      </c>
      <c r="G31" s="10">
        <f si="15" t="shared"/>
        <v>0</v>
      </c>
      <c r="H31" s="10">
        <f si="15" t="shared"/>
        <v>0</v>
      </c>
      <c r="I31" s="10">
        <f si="15" t="shared"/>
        <v>0.5</v>
      </c>
      <c r="J31" s="65" t="e">
        <f si="15" t="shared"/>
        <v>#DIV/0!</v>
      </c>
      <c r="K31" s="10">
        <f si="5" t="shared"/>
        <v>8.4757631604489138E-4</v>
      </c>
      <c r="L31" s="6"/>
      <c r="M31" t="s">
        <v>23</v>
      </c>
      <c r="N31" s="10">
        <f si="6" t="shared"/>
        <v>0</v>
      </c>
      <c r="O31" s="10">
        <f si="6" t="shared"/>
        <v>0</v>
      </c>
      <c r="P31" s="10">
        <f si="6" t="shared"/>
        <v>0</v>
      </c>
      <c r="Q31" s="10" t="e">
        <f si="6" t="shared"/>
        <v>#DIV/0!</v>
      </c>
      <c r="R31" s="10">
        <f si="7" t="shared"/>
        <v>0</v>
      </c>
      <c r="S31" s="10">
        <f si="7" t="shared"/>
        <v>0</v>
      </c>
      <c r="T31" s="10">
        <f si="7" t="shared"/>
        <v>0</v>
      </c>
      <c r="U31" s="10" t="e">
        <f si="7" t="shared"/>
        <v>#DIV/0!</v>
      </c>
      <c r="V31" s="65" t="e">
        <f si="7" t="shared"/>
        <v>#DIV/0!</v>
      </c>
      <c r="W31" s="10">
        <f si="7" t="shared"/>
        <v>0</v>
      </c>
    </row>
    <row r="32" spans="1:23" x14ac:dyDescent="0.45">
      <c r="A32" t="s">
        <v>4</v>
      </c>
      <c r="B32" s="10">
        <f ref="B32:J32" si="16" t="shared">B14/B$17</f>
        <v>0</v>
      </c>
      <c r="C32" s="10">
        <f si="16" t="shared"/>
        <v>0</v>
      </c>
      <c r="D32" s="10">
        <f si="16" t="shared"/>
        <v>0</v>
      </c>
      <c r="E32" s="10" t="e">
        <f si="16" t="shared"/>
        <v>#DIV/0!</v>
      </c>
      <c r="F32" s="10">
        <f si="16" t="shared"/>
        <v>0</v>
      </c>
      <c r="G32" s="10">
        <f si="16" t="shared"/>
        <v>1</v>
      </c>
      <c r="H32" s="10">
        <f si="16" t="shared"/>
        <v>0</v>
      </c>
      <c r="I32" s="10">
        <f si="16" t="shared"/>
        <v>0</v>
      </c>
      <c r="J32" s="65" t="e">
        <f si="16" t="shared"/>
        <v>#DIV/0!</v>
      </c>
      <c r="K32" s="10">
        <f si="5" t="shared"/>
        <v>4.6346823206044659E-3</v>
      </c>
      <c r="L32" s="6"/>
      <c r="M32" t="s">
        <v>4</v>
      </c>
      <c r="N32" s="10">
        <f si="6" t="shared"/>
        <v>3.456858407079646E-4</v>
      </c>
      <c r="O32" s="10">
        <f si="6" t="shared"/>
        <v>2.4319066147859923E-4</v>
      </c>
      <c r="P32" s="10">
        <f si="6" t="shared"/>
        <v>7.6772484741468661E-5</v>
      </c>
      <c r="Q32" s="10" t="e">
        <f si="6" t="shared"/>
        <v>#DIV/0!</v>
      </c>
      <c r="R32" s="10">
        <f si="7" t="shared"/>
        <v>7.1748878923766817E-3</v>
      </c>
      <c r="S32" s="10">
        <f si="7" t="shared"/>
        <v>0.9830866807610994</v>
      </c>
      <c r="T32" s="10">
        <f si="7" t="shared"/>
        <v>0</v>
      </c>
      <c r="U32" s="10" t="e">
        <f si="7" t="shared"/>
        <v>#DIV/0!</v>
      </c>
      <c r="V32" s="65" t="e">
        <f si="7" t="shared"/>
        <v>#DIV/0!</v>
      </c>
      <c r="W32" s="10">
        <f si="7" t="shared"/>
        <v>2.469394759925251E-3</v>
      </c>
    </row>
    <row r="33" spans="1:32" x14ac:dyDescent="0.45">
      <c r="A33" t="s">
        <v>5</v>
      </c>
      <c r="B33" s="10">
        <f ref="B33:J33" si="17" t="shared">B15/B$17</f>
        <v>1.513017662208542E-2</v>
      </c>
      <c r="C33" s="10">
        <f si="17" t="shared"/>
        <v>2.5829046303670689E-3</v>
      </c>
      <c r="D33" s="10">
        <f si="17" t="shared"/>
        <v>4.3228058668275428E-3</v>
      </c>
      <c r="E33" s="10" t="e">
        <f si="17" t="shared"/>
        <v>#DIV/0!</v>
      </c>
      <c r="F33" s="10">
        <f si="17" t="shared"/>
        <v>0</v>
      </c>
      <c r="G33" s="10">
        <f si="17" t="shared"/>
        <v>0</v>
      </c>
      <c r="H33" s="10">
        <f si="17" t="shared"/>
        <v>1</v>
      </c>
      <c r="I33" s="10">
        <f si="17" t="shared"/>
        <v>0</v>
      </c>
      <c r="J33" s="65" t="e">
        <f si="17" t="shared"/>
        <v>#DIV/0!</v>
      </c>
      <c r="K33" s="10">
        <f si="5" t="shared"/>
        <v>2.6968086885204193E-2</v>
      </c>
      <c r="L33" s="6"/>
      <c r="M33" t="s">
        <v>5</v>
      </c>
      <c r="N33" s="10">
        <f si="6" t="shared"/>
        <v>9.6792035398230087E-4</v>
      </c>
      <c r="O33" s="10">
        <f si="6" t="shared"/>
        <v>3.9284645315773722E-4</v>
      </c>
      <c r="P33" s="10">
        <f si="6" t="shared"/>
        <v>2.3031745422440598E-4</v>
      </c>
      <c r="Q33" s="10" t="e">
        <f si="6" t="shared"/>
        <v>#DIV/0!</v>
      </c>
      <c r="R33" s="10">
        <f si="7" t="shared"/>
        <v>8.9686098654708519E-3</v>
      </c>
      <c r="S33" s="10">
        <f si="7" t="shared"/>
        <v>1.6913319238900635E-2</v>
      </c>
      <c r="T33" s="10">
        <f si="7" t="shared"/>
        <v>1</v>
      </c>
      <c r="U33" s="10" t="e">
        <f si="7" t="shared"/>
        <v>#DIV/0!</v>
      </c>
      <c r="V33" s="65" t="e">
        <f si="7" t="shared"/>
        <v>#DIV/0!</v>
      </c>
      <c r="W33" s="10">
        <f si="7" t="shared"/>
        <v>2.8069104915907098E-2</v>
      </c>
    </row>
    <row r="34" spans="1:32" x14ac:dyDescent="0.45">
      <c r="A34" t="s">
        <v>166</v>
      </c>
      <c r="B34" s="11">
        <f ref="B34:J34" si="18" t="shared">B16/B$17</f>
        <v>0</v>
      </c>
      <c r="C34" s="11">
        <f si="18" t="shared"/>
        <v>0</v>
      </c>
      <c r="D34" s="11">
        <f si="18" t="shared"/>
        <v>0</v>
      </c>
      <c r="E34" s="11" t="e">
        <f si="18" t="shared"/>
        <v>#DIV/0!</v>
      </c>
      <c r="F34" s="11">
        <f si="18" t="shared"/>
        <v>0</v>
      </c>
      <c r="G34" s="11">
        <f si="18" t="shared"/>
        <v>0</v>
      </c>
      <c r="H34" s="11">
        <f si="18" t="shared"/>
        <v>0</v>
      </c>
      <c r="I34" s="11">
        <f si="18" t="shared"/>
        <v>0</v>
      </c>
      <c r="J34" s="66" t="e">
        <f si="18" t="shared"/>
        <v>#DIV/0!</v>
      </c>
      <c r="K34" s="10">
        <f si="5" t="shared"/>
        <v>0</v>
      </c>
      <c r="L34" s="6"/>
      <c r="M34" t="s">
        <v>166</v>
      </c>
      <c r="N34" s="11">
        <f si="6" t="shared"/>
        <v>0</v>
      </c>
      <c r="O34" s="11">
        <f si="6" t="shared"/>
        <v>0</v>
      </c>
      <c r="P34" s="11">
        <f si="6" t="shared"/>
        <v>0</v>
      </c>
      <c r="Q34" s="11" t="e">
        <f si="6" t="shared"/>
        <v>#DIV/0!</v>
      </c>
      <c r="R34" s="11">
        <f si="7" t="shared"/>
        <v>0</v>
      </c>
      <c r="S34" s="11">
        <f si="7" t="shared"/>
        <v>0</v>
      </c>
      <c r="T34" s="11">
        <f si="7" t="shared"/>
        <v>0</v>
      </c>
      <c r="U34" s="11" t="e">
        <f si="7" t="shared"/>
        <v>#DIV/0!</v>
      </c>
      <c r="V34" s="66" t="e">
        <f si="7" t="shared"/>
        <v>#DIV/0!</v>
      </c>
      <c r="W34" s="10">
        <f si="7" t="shared"/>
        <v>0</v>
      </c>
    </row>
    <row ht="14.65" r="35" spans="1:32" thickBot="1" x14ac:dyDescent="0.5">
      <c r="A35" s="61" t="s">
        <v>7</v>
      </c>
      <c r="B35" s="63">
        <f ref="B35:J35" si="19" t="shared">B17/B$17</f>
        <v>1</v>
      </c>
      <c r="C35" s="63">
        <f si="19" t="shared"/>
        <v>1</v>
      </c>
      <c r="D35" s="63">
        <f si="19" t="shared"/>
        <v>1</v>
      </c>
      <c r="E35" s="63" t="e">
        <f si="19" t="shared"/>
        <v>#DIV/0!</v>
      </c>
      <c r="F35" s="63">
        <f si="19" t="shared"/>
        <v>1</v>
      </c>
      <c r="G35" s="63">
        <f si="19" t="shared"/>
        <v>1</v>
      </c>
      <c r="H35" s="63">
        <f si="19" t="shared"/>
        <v>1</v>
      </c>
      <c r="I35" s="63">
        <f si="19" t="shared"/>
        <v>1</v>
      </c>
      <c r="J35" s="67" t="e">
        <f si="19" t="shared"/>
        <v>#DIV/0!</v>
      </c>
      <c r="K35" s="63">
        <f si="5" t="shared"/>
        <v>1</v>
      </c>
      <c r="M35" s="61" t="s">
        <v>7</v>
      </c>
      <c r="N35" s="63">
        <f si="6" t="shared"/>
        <v>1</v>
      </c>
      <c r="O35" s="63">
        <f si="6" t="shared"/>
        <v>1</v>
      </c>
      <c r="P35" s="63">
        <f si="6" t="shared"/>
        <v>1</v>
      </c>
      <c r="Q35" s="63" t="e">
        <f si="6" t="shared"/>
        <v>#DIV/0!</v>
      </c>
      <c r="R35" s="63">
        <f si="7" t="shared"/>
        <v>1</v>
      </c>
      <c r="S35" s="63">
        <f si="7" t="shared"/>
        <v>1</v>
      </c>
      <c r="T35" s="63">
        <f si="7" t="shared"/>
        <v>1</v>
      </c>
      <c r="U35" s="63" t="e">
        <f si="7" t="shared"/>
        <v>#DIV/0!</v>
      </c>
      <c r="V35" s="67" t="e">
        <f si="7" t="shared"/>
        <v>#DIV/0!</v>
      </c>
      <c r="W35" s="63">
        <f si="7" t="shared"/>
        <v>1</v>
      </c>
    </row>
    <row ht="14.65" r="38" spans="1:32" thickBot="1" x14ac:dyDescent="0.5">
      <c r="M38" s="1" t="s">
        <v>22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77" t="s">
        <v>42</v>
      </c>
      <c r="O39" s="77"/>
      <c r="P39" s="77"/>
      <c r="Q39" s="77"/>
      <c r="R39" s="77"/>
      <c r="S39" s="77"/>
      <c r="T39" s="77"/>
      <c r="U39" s="77"/>
      <c r="V39" s="8"/>
      <c r="W39" s="8"/>
      <c r="Y39" s="10"/>
      <c r="Z39" s="10"/>
      <c r="AA39" s="10"/>
      <c r="AB39" s="10"/>
      <c r="AC39" s="10"/>
      <c r="AD39" s="10"/>
      <c r="AE39" s="10"/>
      <c r="AF39" s="10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  <c r="Y40" s="10"/>
      <c r="Z40" s="10"/>
      <c r="AA40" s="10"/>
      <c r="AB40" s="10"/>
      <c r="AC40" s="10"/>
      <c r="AD40" s="10"/>
      <c r="AE40" s="10"/>
      <c r="AF40" s="10"/>
    </row>
    <row r="41" spans="1:32" x14ac:dyDescent="0.45">
      <c r="M41" t="s">
        <v>1</v>
      </c>
      <c r="N41" s="10">
        <f ref="N41:W46" si="20" t="shared">N23-B23</f>
        <v>1.3816570427395258E-2</v>
      </c>
      <c r="O41" s="10">
        <f si="20" t="shared"/>
        <v>2.1949211762218274E-2</v>
      </c>
      <c r="P41" s="10">
        <f si="20" t="shared"/>
        <v>2.7523999276809034E-3</v>
      </c>
      <c r="Q41" s="10" t="e">
        <f si="20" t="shared"/>
        <v>#DIV/0!</v>
      </c>
      <c r="R41" s="10">
        <f si="20" t="shared"/>
        <v>1.7937219730941704E-3</v>
      </c>
      <c r="S41" s="10">
        <f si="20" t="shared"/>
        <v>0</v>
      </c>
      <c r="T41" s="10">
        <f si="20" t="shared"/>
        <v>0</v>
      </c>
      <c r="U41" s="10" t="e">
        <f si="20" t="shared"/>
        <v>#DIV/0!</v>
      </c>
      <c r="V41" s="65" t="e">
        <f si="20" t="shared"/>
        <v>#DIV/0!</v>
      </c>
      <c r="W41" s="10">
        <f si="20" t="shared"/>
        <v>2.8216738682744741E-2</v>
      </c>
      <c r="Y41" s="10"/>
      <c r="Z41" s="10"/>
      <c r="AA41" s="10"/>
      <c r="AB41" s="10"/>
      <c r="AC41" s="10"/>
      <c r="AD41" s="10"/>
      <c r="AE41" s="10"/>
      <c r="AF41" s="10"/>
    </row>
    <row r="42" spans="1:32" x14ac:dyDescent="0.45">
      <c r="M42" t="s">
        <v>9</v>
      </c>
      <c r="N42" s="10">
        <f si="20" t="shared"/>
        <v>0</v>
      </c>
      <c r="O42" s="10">
        <f si="20" t="shared"/>
        <v>-2.0002344246487613E-2</v>
      </c>
      <c r="P42" s="10">
        <f si="20" t="shared"/>
        <v>0.1452886974714877</v>
      </c>
      <c r="Q42" s="10" t="e">
        <f si="20" t="shared"/>
        <v>#DIV/0!</v>
      </c>
      <c r="R42" s="10">
        <f si="20" t="shared"/>
        <v>0.11390134529147983</v>
      </c>
      <c r="S42" s="10">
        <f si="20" t="shared"/>
        <v>0</v>
      </c>
      <c r="T42" s="10">
        <f si="20" t="shared"/>
        <v>0</v>
      </c>
      <c r="U42" s="10" t="e">
        <f si="20" t="shared"/>
        <v>#DIV/0!</v>
      </c>
      <c r="V42" s="65" t="e">
        <f si="20" t="shared"/>
        <v>#DIV/0!</v>
      </c>
      <c r="W42" s="10">
        <f si="20" t="shared"/>
        <v>2.2347944970870004E-2</v>
      </c>
      <c r="Y42" s="10"/>
      <c r="Z42" s="10"/>
      <c r="AA42" s="10"/>
      <c r="AB42" s="10"/>
      <c r="AC42" s="10"/>
      <c r="AD42" s="10"/>
      <c r="AE42" s="10"/>
      <c r="AF42" s="10"/>
    </row>
    <row r="43" spans="1:32" x14ac:dyDescent="0.45">
      <c r="M43" t="s">
        <v>10</v>
      </c>
      <c r="N43" s="10">
        <f si="20" t="shared"/>
        <v>0</v>
      </c>
      <c r="O43" s="10">
        <f si="20" t="shared"/>
        <v>0</v>
      </c>
      <c r="P43" s="10">
        <f si="20" t="shared"/>
        <v>-0.14402538147130695</v>
      </c>
      <c r="Q43" s="10" t="e">
        <f si="20" t="shared"/>
        <v>#DIV/0!</v>
      </c>
      <c r="R43" s="10">
        <f si="20" t="shared"/>
        <v>3.0493273542600896E-2</v>
      </c>
      <c r="S43" s="10">
        <f si="20" t="shared"/>
        <v>0</v>
      </c>
      <c r="T43" s="10">
        <f si="20" t="shared"/>
        <v>0</v>
      </c>
      <c r="U43" s="10" t="e">
        <f si="20" t="shared"/>
        <v>#DIV/0!</v>
      </c>
      <c r="V43" s="65" t="e">
        <f si="20" t="shared"/>
        <v>#DIV/0!</v>
      </c>
      <c r="W43" s="10">
        <f si="20" t="shared"/>
        <v>-5.2914385404566056E-2</v>
      </c>
      <c r="Y43" s="10"/>
      <c r="Z43" s="10"/>
      <c r="AA43" s="10"/>
      <c r="AB43" s="10"/>
      <c r="AC43" s="10"/>
      <c r="AD43" s="10"/>
      <c r="AE43" s="10"/>
      <c r="AF43" s="10"/>
    </row>
    <row r="44" spans="1:32" x14ac:dyDescent="0.45">
      <c r="M44" t="s">
        <v>47</v>
      </c>
      <c r="N44" s="10">
        <f si="20" t="shared"/>
        <v>0</v>
      </c>
      <c r="O44" s="10">
        <f si="20" t="shared"/>
        <v>0</v>
      </c>
      <c r="P44" s="10">
        <f si="20" t="shared"/>
        <v>0</v>
      </c>
      <c r="Q44" s="10" t="e">
        <f si="20" t="shared"/>
        <v>#DIV/0!</v>
      </c>
      <c r="R44" s="10">
        <f si="20" t="shared"/>
        <v>-0.16502242152466373</v>
      </c>
      <c r="S44" s="10">
        <f si="20" t="shared"/>
        <v>0</v>
      </c>
      <c r="T44" s="10">
        <f si="20" t="shared"/>
        <v>0</v>
      </c>
      <c r="U44" s="10" t="e">
        <f si="20" t="shared"/>
        <v>#DIV/0!</v>
      </c>
      <c r="V44" s="65" t="e">
        <f si="20" t="shared"/>
        <v>#DIV/0!</v>
      </c>
      <c r="W44" s="10">
        <f si="20" t="shared"/>
        <v>4.2472460829188893E-3</v>
      </c>
      <c r="Y44" s="10"/>
      <c r="Z44" s="10"/>
      <c r="AA44" s="10"/>
      <c r="AB44" s="10"/>
      <c r="AC44" s="10"/>
      <c r="AD44" s="10"/>
      <c r="AE44" s="10"/>
      <c r="AF44" s="10"/>
    </row>
    <row r="45" spans="1:32" x14ac:dyDescent="0.45">
      <c r="M45" t="s">
        <v>48</v>
      </c>
      <c r="N45" s="10">
        <f si="20" t="shared"/>
        <v>0</v>
      </c>
      <c r="O45" s="10">
        <f si="20" t="shared"/>
        <v>0</v>
      </c>
      <c r="P45" s="10">
        <f si="20" t="shared"/>
        <v>0</v>
      </c>
      <c r="Q45" s="10" t="e">
        <f si="20" t="shared"/>
        <v>#DIV/0!</v>
      </c>
      <c r="R45" s="10">
        <f si="20" t="shared"/>
        <v>0</v>
      </c>
      <c r="S45" s="10">
        <f si="20" t="shared"/>
        <v>0</v>
      </c>
      <c r="T45" s="10">
        <f si="20" t="shared"/>
        <v>0</v>
      </c>
      <c r="U45" s="10" t="e">
        <f si="20" t="shared"/>
        <v>#DIV/0!</v>
      </c>
      <c r="V45" s="65" t="e">
        <f si="20" t="shared"/>
        <v>#DIV/0!</v>
      </c>
      <c r="W45" s="10">
        <f si="20" t="shared"/>
        <v>0</v>
      </c>
      <c r="Y45" s="10"/>
      <c r="Z45" s="10"/>
      <c r="AA45" s="10"/>
      <c r="AB45" s="10"/>
      <c r="AC45" s="10"/>
      <c r="AD45" s="10"/>
      <c r="AE45" s="10"/>
      <c r="AF45" s="10"/>
    </row>
    <row r="46" spans="1:32" x14ac:dyDescent="0.45">
      <c r="M46" t="s">
        <v>49</v>
      </c>
      <c r="N46" s="10">
        <f si="20" t="shared"/>
        <v>0</v>
      </c>
      <c r="O46" s="10">
        <f si="20" t="shared"/>
        <v>0</v>
      </c>
      <c r="P46" s="10">
        <f si="20" t="shared"/>
        <v>0</v>
      </c>
      <c r="Q46" s="10" t="e">
        <f si="20" t="shared"/>
        <v>#DIV/0!</v>
      </c>
      <c r="R46" s="10">
        <f si="20" t="shared"/>
        <v>0</v>
      </c>
      <c r="S46" s="10">
        <f si="20" t="shared"/>
        <v>0</v>
      </c>
      <c r="T46" s="10">
        <f si="20" t="shared"/>
        <v>0</v>
      </c>
      <c r="U46" s="10" t="e">
        <f si="20" t="shared"/>
        <v>#DIV/0!</v>
      </c>
      <c r="V46" s="65" t="e">
        <f si="20" t="shared"/>
        <v>#DIV/0!</v>
      </c>
      <c r="W46" s="10">
        <f si="20" t="shared"/>
        <v>0</v>
      </c>
      <c r="Y46" s="10"/>
      <c r="Z46" s="10"/>
      <c r="AA46" s="10"/>
      <c r="AB46" s="10"/>
      <c r="AC46" s="10"/>
      <c r="AD46" s="10"/>
      <c r="AE46" s="10"/>
      <c r="AF46" s="10"/>
    </row>
    <row r="47" spans="1:32" x14ac:dyDescent="0.45">
      <c r="M47" t="s">
        <v>50</v>
      </c>
      <c r="N47" s="10">
        <f ref="N47:Q49" si="21" t="shared">N29-B29</f>
        <v>0</v>
      </c>
      <c r="O47" s="10">
        <f si="21" t="shared"/>
        <v>0</v>
      </c>
      <c r="P47" s="10">
        <f si="21" t="shared"/>
        <v>0</v>
      </c>
      <c r="Q47" s="10" t="e">
        <f si="21" t="shared"/>
        <v>#DIV/0!</v>
      </c>
      <c r="R47" s="10">
        <f ref="R47:W52" si="22" t="shared">R29-F29</f>
        <v>2.6905829596412557E-3</v>
      </c>
      <c r="S47" s="10">
        <f si="22" t="shared"/>
        <v>0</v>
      </c>
      <c r="T47" s="10">
        <f si="22" t="shared"/>
        <v>0</v>
      </c>
      <c r="U47" s="10" t="e">
        <f si="22" t="shared"/>
        <v>#DIV/0!</v>
      </c>
      <c r="V47" s="65" t="e">
        <f si="22" t="shared"/>
        <v>#DIV/0!</v>
      </c>
      <c r="W47" s="10">
        <f si="22" t="shared"/>
        <v>1.4301514053621143E-5</v>
      </c>
      <c r="Y47" s="10"/>
      <c r="Z47" s="10"/>
      <c r="AA47" s="10"/>
      <c r="AB47" s="10"/>
      <c r="AC47" s="10"/>
      <c r="AD47" s="10"/>
      <c r="AE47" s="10"/>
      <c r="AF47" s="10"/>
    </row>
    <row r="48" spans="1:32" x14ac:dyDescent="0.45">
      <c r="M48" t="s">
        <v>51</v>
      </c>
      <c r="N48" s="10">
        <f si="21" t="shared"/>
        <v>0</v>
      </c>
      <c r="O48" s="10">
        <f si="21" t="shared"/>
        <v>0</v>
      </c>
      <c r="P48" s="10">
        <f si="21" t="shared"/>
        <v>0</v>
      </c>
      <c r="Q48" s="10" t="e">
        <f si="21" t="shared"/>
        <v>#DIV/0!</v>
      </c>
      <c r="R48" s="10">
        <f si="22" t="shared"/>
        <v>0</v>
      </c>
      <c r="S48" s="10">
        <f si="22" t="shared"/>
        <v>0</v>
      </c>
      <c r="T48" s="10">
        <f si="22" t="shared"/>
        <v>0</v>
      </c>
      <c r="U48" s="10" t="e">
        <f si="22" t="shared"/>
        <v>#DIV/0!</v>
      </c>
      <c r="V48" s="65" t="e">
        <f si="22" t="shared"/>
        <v>#DIV/0!</v>
      </c>
      <c r="W48" s="10">
        <f si="22" t="shared"/>
        <v>0</v>
      </c>
      <c r="Y48" s="10"/>
      <c r="Z48" s="10"/>
      <c r="AA48" s="10"/>
      <c r="AB48" s="10"/>
      <c r="AC48" s="10"/>
      <c r="AD48" s="10"/>
      <c r="AE48" s="10"/>
      <c r="AF48" s="10"/>
    </row>
    <row r="49" spans="13:32" x14ac:dyDescent="0.45">
      <c r="M49" t="s">
        <v>23</v>
      </c>
      <c r="N49" s="10">
        <f si="21" t="shared"/>
        <v>0</v>
      </c>
      <c r="O49" s="10">
        <f si="21" t="shared"/>
        <v>0</v>
      </c>
      <c r="P49" s="10">
        <f si="21" t="shared"/>
        <v>0</v>
      </c>
      <c r="Q49" s="10" t="e">
        <f si="21" t="shared"/>
        <v>#DIV/0!</v>
      </c>
      <c r="R49" s="10">
        <f si="22" t="shared"/>
        <v>0</v>
      </c>
      <c r="S49" s="10">
        <f si="22" t="shared"/>
        <v>0</v>
      </c>
      <c r="T49" s="10">
        <f si="22" t="shared"/>
        <v>0</v>
      </c>
      <c r="U49" s="10" t="e">
        <f si="22" t="shared"/>
        <v>#DIV/0!</v>
      </c>
      <c r="V49" s="65" t="e">
        <f si="22" t="shared"/>
        <v>#DIV/0!</v>
      </c>
      <c r="W49" s="10">
        <f si="22" t="shared"/>
        <v>-8.4757631604489138E-4</v>
      </c>
      <c r="Y49" s="10"/>
      <c r="Z49" s="10"/>
      <c r="AA49" s="10"/>
      <c r="AB49" s="10"/>
      <c r="AC49" s="10"/>
      <c r="AD49" s="10"/>
      <c r="AE49" s="10"/>
      <c r="AF49" s="10"/>
    </row>
    <row r="50" spans="13:32" x14ac:dyDescent="0.45">
      <c r="M50" t="s">
        <v>4</v>
      </c>
      <c r="N50" s="10">
        <f ref="N50:Q53" si="23" t="shared">N32-B32</f>
        <v>3.456858407079646E-4</v>
      </c>
      <c r="O50" s="10">
        <f si="23" t="shared"/>
        <v>2.4319066147859923E-4</v>
      </c>
      <c r="P50" s="10">
        <f si="23" t="shared"/>
        <v>7.6772484741468661E-5</v>
      </c>
      <c r="Q50" s="10" t="e">
        <f si="23" t="shared"/>
        <v>#DIV/0!</v>
      </c>
      <c r="R50" s="10">
        <f si="22" t="shared"/>
        <v>7.1748878923766817E-3</v>
      </c>
      <c r="S50" s="10">
        <f si="22" t="shared"/>
        <v>-1.6913319238900604E-2</v>
      </c>
      <c r="T50" s="10">
        <f si="22" t="shared"/>
        <v>0</v>
      </c>
      <c r="U50" s="10" t="e">
        <f si="22" t="shared"/>
        <v>#DIV/0!</v>
      </c>
      <c r="V50" s="65" t="e">
        <f si="22" t="shared"/>
        <v>#DIV/0!</v>
      </c>
      <c r="W50" s="10">
        <f si="22" t="shared"/>
        <v>-2.165287560679215E-3</v>
      </c>
      <c r="Y50" s="10"/>
      <c r="Z50" s="10"/>
      <c r="AA50" s="10"/>
      <c r="AB50" s="10"/>
      <c r="AC50" s="10"/>
      <c r="AD50" s="10"/>
      <c r="AE50" s="10"/>
      <c r="AF50" s="10"/>
    </row>
    <row r="51" spans="13:32" x14ac:dyDescent="0.45">
      <c r="M51" t="s">
        <v>5</v>
      </c>
      <c r="N51" s="10">
        <f si="23" t="shared"/>
        <v>-1.4162256268103119E-2</v>
      </c>
      <c r="O51" s="10">
        <f si="23" t="shared"/>
        <v>-2.1900581772093318E-3</v>
      </c>
      <c r="P51" s="10">
        <f si="23" t="shared"/>
        <v>-4.0924884126031366E-3</v>
      </c>
      <c r="Q51" s="10" t="e">
        <f si="23" t="shared"/>
        <v>#DIV/0!</v>
      </c>
      <c r="R51" s="10">
        <f si="22" t="shared"/>
        <v>8.9686098654708519E-3</v>
      </c>
      <c r="S51" s="10">
        <f si="22" t="shared"/>
        <v>1.6913319238900635E-2</v>
      </c>
      <c r="T51" s="10">
        <f si="22" t="shared"/>
        <v>0</v>
      </c>
      <c r="U51" s="10" t="e">
        <f si="22" t="shared"/>
        <v>#DIV/0!</v>
      </c>
      <c r="V51" s="65" t="e">
        <f si="22" t="shared"/>
        <v>#DIV/0!</v>
      </c>
      <c r="W51" s="10">
        <f si="22" t="shared"/>
        <v>1.1010180307029042E-3</v>
      </c>
    </row>
    <row r="52" spans="13:32" x14ac:dyDescent="0.45">
      <c r="M52" t="s">
        <v>166</v>
      </c>
      <c r="N52" s="11">
        <f si="23" t="shared"/>
        <v>0</v>
      </c>
      <c r="O52" s="11">
        <f si="23" t="shared"/>
        <v>0</v>
      </c>
      <c r="P52" s="11">
        <f si="23" t="shared"/>
        <v>0</v>
      </c>
      <c r="Q52" s="11" t="e">
        <f si="23" t="shared"/>
        <v>#DIV/0!</v>
      </c>
      <c r="R52" s="11">
        <f si="22" t="shared"/>
        <v>0</v>
      </c>
      <c r="S52" s="11">
        <f si="22" t="shared"/>
        <v>0</v>
      </c>
      <c r="T52" s="11">
        <f si="22" t="shared"/>
        <v>0</v>
      </c>
      <c r="U52" s="11" t="e">
        <f si="22" t="shared"/>
        <v>#DIV/0!</v>
      </c>
      <c r="V52" s="66" t="e">
        <f si="22" t="shared"/>
        <v>#DIV/0!</v>
      </c>
      <c r="W52" s="10">
        <f si="22" t="shared"/>
        <v>0</v>
      </c>
    </row>
    <row ht="14.65" r="53" spans="13:32" thickBot="1" x14ac:dyDescent="0.5">
      <c r="M53" s="61" t="s">
        <v>7</v>
      </c>
      <c r="N53" s="63">
        <f si="23" t="shared"/>
        <v>0</v>
      </c>
      <c r="O53" s="63">
        <f si="23" t="shared"/>
        <v>0</v>
      </c>
      <c r="P53" s="63">
        <f si="23" t="shared"/>
        <v>0</v>
      </c>
      <c r="Q53" s="63" t="e">
        <f si="23" t="shared"/>
        <v>#DIV/0!</v>
      </c>
      <c r="R53" s="63">
        <f ref="R53:W53" si="24" t="shared">R35-F35</f>
        <v>0</v>
      </c>
      <c r="S53" s="63">
        <f si="24" t="shared"/>
        <v>0</v>
      </c>
      <c r="T53" s="63">
        <f si="24" t="shared"/>
        <v>0</v>
      </c>
      <c r="U53" s="63" t="e">
        <f si="24" t="shared"/>
        <v>#DIV/0!</v>
      </c>
      <c r="V53" s="67" t="e">
        <f si="24" t="shared"/>
        <v>#DIV/0!</v>
      </c>
      <c r="W53" s="63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2:AG53"/>
  <sheetViews>
    <sheetView workbookViewId="0">
      <selection activeCell="J16" sqref="J1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3.26562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177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178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80" t="s">
        <v>179</v>
      </c>
      <c r="C3" s="80"/>
      <c r="D3" s="80"/>
      <c r="E3" s="80"/>
      <c r="F3" s="80"/>
      <c r="G3" s="80"/>
      <c r="H3" s="80"/>
      <c r="I3" s="80"/>
      <c r="J3" s="8"/>
      <c r="K3" s="8"/>
      <c r="M3" s="3"/>
      <c r="N3" s="80" t="s">
        <v>179</v>
      </c>
      <c r="O3" s="80"/>
      <c r="P3" s="80"/>
      <c r="Q3" s="80"/>
      <c r="R3" s="80"/>
      <c r="S3" s="80"/>
      <c r="T3" s="80"/>
      <c r="U3" s="80"/>
      <c r="V3" s="8"/>
      <c r="W3" s="8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73172.22533185752</v>
      </c>
      <c r="C5" s="6" t="n">
        <v>3453.6374727595385</v>
      </c>
      <c r="D5" s="6" t="n">
        <v>2945.175007947202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79571.03781256426</v>
      </c>
      <c r="L5" s="6"/>
      <c r="M5" t="s">
        <v>1</v>
      </c>
      <c r="N5" s="6" t="n">
        <v>164509.0</v>
      </c>
      <c r="O5" s="6" t="n">
        <v>14010.0</v>
      </c>
      <c r="P5" s="6" t="n">
        <v>3006.0</v>
      </c>
      <c r="Q5" s="6" t="n">
        <v>0.0</v>
      </c>
      <c r="R5" s="6" t="n">
        <v>6.0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180544</v>
      </c>
    </row>
    <row r="6" spans="1:23" x14ac:dyDescent="0.45">
      <c r="A6" t="s">
        <v>12</v>
      </c>
      <c r="B6" s="6" t="n">
        <v>0.0</v>
      </c>
      <c r="C6" s="6" t="n">
        <v>65422.72908923949</v>
      </c>
      <c r="D6" s="6" t="n">
        <v>4052.0868282494444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69474.81591748893</v>
      </c>
      <c r="L6" s="6"/>
      <c r="M6" t="s">
        <v>12</v>
      </c>
      <c r="N6" s="6" t="n">
        <v>0.0</v>
      </c>
      <c r="O6" s="6" t="n">
        <v>162601.0</v>
      </c>
      <c r="P6" s="6" t="n">
        <v>19322.0</v>
      </c>
      <c r="Q6" s="6" t="n">
        <v>0.0</v>
      </c>
      <c r="R6" s="6" t="n">
        <v>214.0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182126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50138.82072157024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 t="n">
        <v>0.0</v>
      </c>
      <c r="K7" s="6">
        <f si="0" t="shared"/>
        <v>50138.820721570242</v>
      </c>
      <c r="L7" s="6"/>
      <c r="M7" t="s">
        <v>52</v>
      </c>
      <c r="N7" s="6" t="n">
        <v>0.0</v>
      </c>
      <c r="O7" s="6" t="n">
        <v>0.0</v>
      </c>
      <c r="P7" s="6" t="n">
        <v>96784.0</v>
      </c>
      <c r="Q7" s="6" t="n">
        <v>0.0</v>
      </c>
      <c r="R7" s="6" t="n">
        <v>56.0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97279</v>
      </c>
    </row>
    <row r="8" spans="1:23" x14ac:dyDescent="0.45">
      <c r="A8" t="s">
        <v>47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459.0424275317448</v>
      </c>
      <c r="G8" s="6" t="n">
        <v>0.0</v>
      </c>
      <c r="H8" s="6" t="n">
        <v>0.0</v>
      </c>
      <c r="I8" s="6" t="n">
        <v>0.0</v>
      </c>
      <c r="J8" s="6" t="n">
        <v>0.0</v>
      </c>
      <c r="K8" s="6">
        <f si="0" t="shared"/>
        <v>459.04242753174481</v>
      </c>
      <c r="L8" s="6"/>
      <c r="M8" t="s">
        <v>47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2045.0</v>
      </c>
      <c r="S8" s="6" t="n">
        <v>0.0</v>
      </c>
      <c r="T8" s="6" t="n">
        <v>0.0</v>
      </c>
      <c r="U8" s="6" t="n">
        <v>0.0</v>
      </c>
      <c r="V8" s="6" t="n">
        <v>0.0</v>
      </c>
      <c r="W8" s="6">
        <f si="1" t="shared"/>
        <v>2040</v>
      </c>
    </row>
    <row r="9" spans="1:23" x14ac:dyDescent="0.45">
      <c r="A9" t="s">
        <v>48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 t="n">
        <v>0.0</v>
      </c>
      <c r="K9" s="6">
        <f si="0" t="shared"/>
        <v>0</v>
      </c>
      <c r="L9" s="6"/>
      <c r="M9" t="s">
        <v>48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 t="n">
        <v>0.0</v>
      </c>
      <c r="V9" s="6" t="n">
        <v>0.0</v>
      </c>
      <c r="W9" s="6">
        <f si="1" t="shared"/>
        <v>0</v>
      </c>
    </row>
    <row r="10" spans="1:23" x14ac:dyDescent="0.45">
      <c r="A10" t="s">
        <v>49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 t="n">
        <v>0.0</v>
      </c>
      <c r="K10" s="6">
        <f si="0" t="shared"/>
        <v>0</v>
      </c>
      <c r="L10" s="6"/>
      <c r="M10" t="s">
        <v>49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21.0</v>
      </c>
      <c r="S10" s="6" t="n">
        <v>0.0</v>
      </c>
      <c r="T10" s="6" t="n">
        <v>0.0</v>
      </c>
      <c r="U10" s="6" t="n">
        <v>0.0</v>
      </c>
      <c r="V10" s="6" t="n">
        <v>0.0</v>
      </c>
      <c r="W10" s="6">
        <f si="1" t="shared"/>
        <v>25</v>
      </c>
    </row>
    <row r="11" spans="1:23" x14ac:dyDescent="0.45">
      <c r="A11" t="s">
        <v>50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 t="n">
        <v>0.0</v>
      </c>
      <c r="K11" s="6">
        <f si="0" t="shared"/>
        <v>0</v>
      </c>
      <c r="L11" s="6"/>
      <c r="M11" t="s">
        <v>50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5.0</v>
      </c>
      <c r="S11" s="6" t="n">
        <v>0.0</v>
      </c>
      <c r="T11" s="6" t="n">
        <v>0.0</v>
      </c>
      <c r="U11" s="6" t="n">
        <v>0.0</v>
      </c>
      <c r="V11" s="6" t="n">
        <v>0.0</v>
      </c>
      <c r="W11" s="6">
        <f si="1" t="shared"/>
        <v>1</v>
      </c>
    </row>
    <row r="12" spans="1:23" x14ac:dyDescent="0.45">
      <c r="A12" t="s">
        <v>51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 t="n">
        <v>0.0</v>
      </c>
      <c r="K12" s="6">
        <f si="0" t="shared"/>
        <v>0</v>
      </c>
      <c r="L12" s="6"/>
      <c r="M12" t="s">
        <v>51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1.0</v>
      </c>
      <c r="S12" s="6" t="n">
        <v>0.0</v>
      </c>
      <c r="T12" s="6" t="n">
        <v>0.0</v>
      </c>
      <c r="U12" s="6" t="n">
        <v>0.0</v>
      </c>
      <c r="V12" s="6" t="n">
        <v>0.0</v>
      </c>
      <c r="W12" s="6">
        <f si="1" t="shared"/>
        <v>0</v>
      </c>
    </row>
    <row r="13" spans="1:23" x14ac:dyDescent="0.45">
      <c r="A13" t="s">
        <v>23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 t="n">
        <v>0.0</v>
      </c>
      <c r="K13" s="6">
        <f si="0" t="shared"/>
        <v>0</v>
      </c>
      <c r="L13" s="6"/>
      <c r="M13" t="s">
        <v>23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 t="n">
        <v>0.0</v>
      </c>
      <c r="V13" s="6" t="n">
        <v>0.0</v>
      </c>
      <c r="W13" s="6">
        <f si="1" t="shared"/>
        <v>0</v>
      </c>
    </row>
    <row r="14" spans="1:23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615.7712502364582</v>
      </c>
      <c r="H14" s="6" t="n">
        <v>0.0</v>
      </c>
      <c r="I14" s="6" t="n">
        <v>0.0</v>
      </c>
      <c r="J14" s="6" t="n">
        <v>0.0</v>
      </c>
      <c r="K14" s="6">
        <f si="0" t="shared"/>
        <v>615.77125023645817</v>
      </c>
      <c r="L14" s="6"/>
      <c r="M14" t="s">
        <v>4</v>
      </c>
      <c r="N14" s="6" t="n">
        <v>71.0</v>
      </c>
      <c r="O14" s="6" t="n">
        <v>113.0</v>
      </c>
      <c r="P14" s="6" t="n">
        <v>31.0</v>
      </c>
      <c r="Q14" s="6" t="n">
        <v>0.0</v>
      </c>
      <c r="R14" s="6" t="n">
        <v>26.0</v>
      </c>
      <c r="S14" s="6" t="n">
        <v>4269.0</v>
      </c>
      <c r="T14" s="6" t="n">
        <v>0.0</v>
      </c>
      <c r="U14" s="6" t="n">
        <v>0.0</v>
      </c>
      <c r="V14" s="6" t="n">
        <v>0.0</v>
      </c>
      <c r="W14" s="6">
        <f si="1" t="shared"/>
        <v>4359</v>
      </c>
    </row>
    <row r="15" spans="1:23" x14ac:dyDescent="0.45">
      <c r="A15" t="s">
        <v>5</v>
      </c>
      <c r="B15" s="6" t="n">
        <v>74.2728419573886</v>
      </c>
      <c r="C15" s="6" t="n">
        <v>1142.371659788588</v>
      </c>
      <c r="D15" s="6" t="n">
        <v>45.2638119948407</v>
      </c>
      <c r="E15" s="6" t="n">
        <v>0.0</v>
      </c>
      <c r="F15" s="6" t="n">
        <v>49.5107375012291</v>
      </c>
      <c r="G15" s="6" t="n">
        <v>0.0</v>
      </c>
      <c r="H15" s="6" t="n">
        <v>23926.78491234571</v>
      </c>
      <c r="I15" s="6" t="n">
        <v>0.0</v>
      </c>
      <c r="J15" s="6" t="n">
        <v>0.0</v>
      </c>
      <c r="K15" s="6">
        <f si="0" t="shared"/>
        <v>25238.203963587755</v>
      </c>
      <c r="L15" s="6"/>
      <c r="M15" t="s">
        <v>5</v>
      </c>
      <c r="N15" s="6" t="n">
        <v>168.0</v>
      </c>
      <c r="O15" s="6" t="n">
        <v>106.0</v>
      </c>
      <c r="P15" s="6" t="n">
        <v>40.0</v>
      </c>
      <c r="Q15" s="6" t="n">
        <v>0.0</v>
      </c>
      <c r="R15" s="6" t="n">
        <v>22.0</v>
      </c>
      <c r="S15" s="6" t="n">
        <v>37.0</v>
      </c>
      <c r="T15" s="6" t="n">
        <v>31360.0</v>
      </c>
      <c r="U15" s="6" t="n">
        <v>0.0</v>
      </c>
      <c r="V15" s="6" t="n">
        <v>0.0</v>
      </c>
      <c r="W15" s="6">
        <f si="1" t="shared"/>
        <v>31839</v>
      </c>
    </row>
    <row r="16" spans="1:23" x14ac:dyDescent="0.45">
      <c r="A16" t="s">
        <v>166</v>
      </c>
      <c r="B16" s="6" t="n">
        <v>0.0</v>
      </c>
      <c r="C16" s="6" t="n">
        <v>0.0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 t="n">
        <v>0.0</v>
      </c>
      <c r="K16" s="6">
        <f si="0" t="shared"/>
        <v>0</v>
      </c>
      <c r="L16" s="6"/>
      <c r="M16" t="s">
        <v>166</v>
      </c>
      <c r="N16" s="6" t="n">
        <v>0.0</v>
      </c>
      <c r="O16" s="6" t="n">
        <v>0.0</v>
      </c>
      <c r="P16" s="6" t="n">
        <v>0.0</v>
      </c>
      <c r="Q16" s="6" t="n">
        <v>0.0</v>
      </c>
      <c r="R16" s="6" t="n">
        <v>0.0</v>
      </c>
      <c r="S16" s="6" t="n">
        <v>0.0</v>
      </c>
      <c r="T16" s="6" t="n">
        <v>0.0</v>
      </c>
      <c r="U16" s="6" t="n">
        <v>0.0</v>
      </c>
      <c r="V16" s="6" t="n">
        <v>0.0</v>
      </c>
      <c r="W16" s="6">
        <f si="1" t="shared"/>
        <v>0</v>
      </c>
    </row>
    <row ht="14.65" r="17" spans="1:23" thickBot="1" x14ac:dyDescent="0.5">
      <c r="A17" s="61" t="s">
        <v>7</v>
      </c>
      <c r="B17" s="62">
        <f>SUM(B5:B16)</f>
        <v>73246.498173814907</v>
      </c>
      <c r="C17" s="62">
        <f ref="C17:K17" si="2" t="shared">SUM(C5:C16)</f>
        <v>70018.738221787615</v>
      </c>
      <c r="D17" s="62">
        <f si="2" t="shared"/>
        <v>57181.346369761726</v>
      </c>
      <c r="E17" s="62">
        <f si="2" t="shared"/>
        <v>0</v>
      </c>
      <c r="F17" s="62">
        <f si="2" t="shared"/>
        <v>508.55316503297388</v>
      </c>
      <c r="G17" s="62">
        <f si="2" t="shared"/>
        <v>615.77125023645817</v>
      </c>
      <c r="H17" s="62">
        <f si="2" t="shared"/>
        <v>23926.784912345709</v>
      </c>
      <c r="I17" s="62">
        <f si="2" t="shared"/>
        <v>0</v>
      </c>
      <c r="J17" s="62">
        <f si="2" t="shared"/>
        <v>0</v>
      </c>
      <c r="K17" s="62">
        <f si="2" t="shared"/>
        <v>225497.69209297936</v>
      </c>
      <c r="M17" s="61" t="s">
        <v>7</v>
      </c>
      <c r="N17" s="62">
        <f>SUM(N5:N16)</f>
        <v>164235</v>
      </c>
      <c r="O17" s="62">
        <f ref="O17:W17" si="3" t="shared">SUM(O5:O16)</f>
        <v>176203</v>
      </c>
      <c r="P17" s="62">
        <f si="3" t="shared"/>
        <v>119797</v>
      </c>
      <c r="Q17" s="62">
        <f si="3" t="shared"/>
        <v>0</v>
      </c>
      <c r="R17" s="62">
        <f si="3" t="shared"/>
        <v>2355</v>
      </c>
      <c r="S17" s="62">
        <f si="3" t="shared"/>
        <v>4133</v>
      </c>
      <c r="T17" s="62">
        <f si="3" t="shared"/>
        <v>31490</v>
      </c>
      <c r="U17" s="62">
        <f si="3" t="shared"/>
        <v>0</v>
      </c>
      <c r="V17" s="62">
        <f si="3" t="shared"/>
        <v>0</v>
      </c>
      <c r="W17" s="62">
        <f si="3" t="shared"/>
        <v>498213</v>
      </c>
    </row>
    <row ht="14.65" r="20" spans="1:23" thickBot="1" x14ac:dyDescent="0.5">
      <c r="A20" s="1" t="s">
        <v>180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181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77" t="s">
        <v>179</v>
      </c>
      <c r="C21" s="77"/>
      <c r="D21" s="77"/>
      <c r="E21" s="77"/>
      <c r="F21" s="77"/>
      <c r="G21" s="77"/>
      <c r="H21" s="77"/>
      <c r="I21" s="77"/>
      <c r="J21" s="8"/>
      <c r="K21" s="8"/>
      <c r="M21" s="3"/>
      <c r="N21" s="77" t="s">
        <v>179</v>
      </c>
      <c r="O21" s="77"/>
      <c r="P21" s="77"/>
      <c r="Q21" s="77"/>
      <c r="R21" s="77"/>
      <c r="S21" s="77"/>
      <c r="T21" s="77"/>
      <c r="U21" s="77"/>
      <c r="V21" s="8"/>
      <c r="W21" s="8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64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64" t="s">
        <v>166</v>
      </c>
      <c r="W22" s="5" t="s">
        <v>7</v>
      </c>
    </row>
    <row r="23" spans="1:23" x14ac:dyDescent="0.45">
      <c r="A23" t="s">
        <v>1</v>
      </c>
      <c r="B23" s="10">
        <f ref="B23:J23" si="4" t="shared">B5/B$17</f>
        <v>0.99898598781089665</v>
      </c>
      <c r="C23" s="10">
        <f si="4" t="shared"/>
        <v>4.9324474568793013E-2</v>
      </c>
      <c r="D23" s="10">
        <f si="4" t="shared"/>
        <v>5.1505870269341031E-2</v>
      </c>
      <c r="E23" s="10" t="e">
        <f si="4" t="shared"/>
        <v>#DIV/0!</v>
      </c>
      <c r="F23" s="10">
        <f si="4" t="shared"/>
        <v>0</v>
      </c>
      <c r="G23" s="10">
        <f si="4" t="shared"/>
        <v>0</v>
      </c>
      <c r="H23" s="10">
        <f si="4" t="shared"/>
        <v>0</v>
      </c>
      <c r="I23" s="10" t="e">
        <f si="4" t="shared"/>
        <v>#DIV/0!</v>
      </c>
      <c r="J23" s="65" t="e">
        <f si="4" t="shared"/>
        <v>#DIV/0!</v>
      </c>
      <c r="K23" s="10">
        <f ref="K23:K35" si="5" t="shared">K5/K$17</f>
        <v>0.35286852416988274</v>
      </c>
      <c r="L23" s="6"/>
      <c r="M23" t="s">
        <v>1</v>
      </c>
      <c r="N23" s="10">
        <f ref="N23:Q35" si="6" t="shared">N5/N$17</f>
        <v>0.9985204128230889</v>
      </c>
      <c r="O23" s="10">
        <f si="6" t="shared"/>
        <v>7.7064522170451122E-2</v>
      </c>
      <c r="P23" s="10">
        <f si="6" t="shared"/>
        <v>2.478359224354533E-2</v>
      </c>
      <c r="Q23" s="10" t="e">
        <f si="6" t="shared"/>
        <v>#DIV/0!</v>
      </c>
      <c r="R23" s="10">
        <f ref="R23:W35" si="7" t="shared">R5/R$17</f>
        <v>1.6985138004246285E-3</v>
      </c>
      <c r="S23" s="10">
        <f si="7" t="shared"/>
        <v>0</v>
      </c>
      <c r="T23" s="10">
        <f si="7" t="shared"/>
        <v>0</v>
      </c>
      <c r="U23" s="10" t="e">
        <f si="7" t="shared"/>
        <v>#DIV/0!</v>
      </c>
      <c r="V23" s="65" t="e">
        <f si="7" t="shared"/>
        <v>#DIV/0!</v>
      </c>
      <c r="W23" s="10">
        <f si="7" t="shared"/>
        <v>0.36238315740456389</v>
      </c>
    </row>
    <row r="24" spans="1:23" x14ac:dyDescent="0.45">
      <c r="A24" t="s">
        <v>12</v>
      </c>
      <c r="B24" s="10">
        <f ref="B24:J24" si="8" t="shared">B6/B$17</f>
        <v>0</v>
      </c>
      <c r="C24" s="10">
        <f si="8" t="shared"/>
        <v>0.93436029769645301</v>
      </c>
      <c r="D24" s="10">
        <f si="8" t="shared"/>
        <v>7.0863788376837572E-2</v>
      </c>
      <c r="E24" s="10" t="e">
        <f si="8" t="shared"/>
        <v>#DIV/0!</v>
      </c>
      <c r="F24" s="10">
        <f si="8" t="shared"/>
        <v>0</v>
      </c>
      <c r="G24" s="10">
        <f si="8" t="shared"/>
        <v>0</v>
      </c>
      <c r="H24" s="10">
        <f si="8" t="shared"/>
        <v>0</v>
      </c>
      <c r="I24" s="10" t="e">
        <f si="8" t="shared"/>
        <v>#DIV/0!</v>
      </c>
      <c r="J24" s="65" t="e">
        <f si="8" t="shared"/>
        <v>#DIV/0!</v>
      </c>
      <c r="K24" s="10">
        <f si="5" t="shared"/>
        <v>0.30809546329566162</v>
      </c>
      <c r="L24" s="6"/>
      <c r="M24" t="s">
        <v>12</v>
      </c>
      <c r="N24" s="10">
        <f si="6" t="shared"/>
        <v>0</v>
      </c>
      <c r="O24" s="10">
        <f si="6" t="shared"/>
        <v>0.92170394374670128</v>
      </c>
      <c r="P24" s="10">
        <f si="6" t="shared"/>
        <v>0.16299239546900174</v>
      </c>
      <c r="Q24" s="10" t="e">
        <f si="6" t="shared"/>
        <v>#DIV/0!</v>
      </c>
      <c r="R24" s="10">
        <f si="7" t="shared"/>
        <v>8.1953290870488318E-2</v>
      </c>
      <c r="S24" s="10">
        <f si="7" t="shared"/>
        <v>0</v>
      </c>
      <c r="T24" s="10">
        <f si="7" t="shared"/>
        <v>0</v>
      </c>
      <c r="U24" s="10" t="e">
        <f si="7" t="shared"/>
        <v>#DIV/0!</v>
      </c>
      <c r="V24" s="65" t="e">
        <f si="7" t="shared"/>
        <v>#DIV/0!</v>
      </c>
      <c r="W24" s="10">
        <f si="7" t="shared"/>
        <v>0.36555850610080426</v>
      </c>
    </row>
    <row r="25" spans="1:23" x14ac:dyDescent="0.45">
      <c r="A25" t="s">
        <v>52</v>
      </c>
      <c r="B25" s="10">
        <f ref="B25:J25" si="9" t="shared">B7/B$17</f>
        <v>0</v>
      </c>
      <c r="C25" s="10">
        <f si="9" t="shared"/>
        <v>0</v>
      </c>
      <c r="D25" s="10">
        <f si="9" t="shared"/>
        <v>0.87683875782407827</v>
      </c>
      <c r="E25" s="10" t="e">
        <f si="9" t="shared"/>
        <v>#DIV/0!</v>
      </c>
      <c r="F25" s="10">
        <f si="9" t="shared"/>
        <v>0</v>
      </c>
      <c r="G25" s="10">
        <f si="9" t="shared"/>
        <v>0</v>
      </c>
      <c r="H25" s="10">
        <f si="9" t="shared"/>
        <v>0</v>
      </c>
      <c r="I25" s="10" t="e">
        <f si="9" t="shared"/>
        <v>#DIV/0!</v>
      </c>
      <c r="J25" s="65" t="e">
        <f si="9" t="shared"/>
        <v>#DIV/0!</v>
      </c>
      <c r="K25" s="10">
        <f si="5" t="shared"/>
        <v>0.22234737861927442</v>
      </c>
      <c r="L25" s="6"/>
      <c r="M25" t="s">
        <v>52</v>
      </c>
      <c r="N25" s="10">
        <f si="6" t="shared"/>
        <v>0</v>
      </c>
      <c r="O25" s="10">
        <f si="6" t="shared"/>
        <v>0</v>
      </c>
      <c r="P25" s="10">
        <f si="6" t="shared"/>
        <v>0.81156456338639527</v>
      </c>
      <c r="Q25" s="10" t="e">
        <f si="6" t="shared"/>
        <v>#DIV/0!</v>
      </c>
      <c r="R25" s="10">
        <f si="7" t="shared"/>
        <v>2.37791932059448E-2</v>
      </c>
      <c r="S25" s="10">
        <f si="7" t="shared"/>
        <v>0</v>
      </c>
      <c r="T25" s="10">
        <f si="7" t="shared"/>
        <v>0</v>
      </c>
      <c r="U25" s="10" t="e">
        <f si="7" t="shared"/>
        <v>#DIV/0!</v>
      </c>
      <c r="V25" s="65" t="e">
        <f si="7" t="shared"/>
        <v>#DIV/0!</v>
      </c>
      <c r="W25" s="10">
        <f si="7" t="shared"/>
        <v>0.19525584438784216</v>
      </c>
    </row>
    <row r="26" spans="1:23" x14ac:dyDescent="0.45">
      <c r="A26" t="s">
        <v>47</v>
      </c>
      <c r="B26" s="10">
        <f ref="B26:J26" si="10" t="shared">B8/B$17</f>
        <v>0</v>
      </c>
      <c r="C26" s="10">
        <f si="10" t="shared"/>
        <v>0</v>
      </c>
      <c r="D26" s="10">
        <f si="10" t="shared"/>
        <v>0</v>
      </c>
      <c r="E26" s="10" t="e">
        <f si="10" t="shared"/>
        <v>#DIV/0!</v>
      </c>
      <c r="F26" s="10">
        <f si="10" t="shared"/>
        <v>0.90264393006379406</v>
      </c>
      <c r="G26" s="10">
        <f si="10" t="shared"/>
        <v>0</v>
      </c>
      <c r="H26" s="10">
        <f si="10" t="shared"/>
        <v>0</v>
      </c>
      <c r="I26" s="10" t="e">
        <f si="10" t="shared"/>
        <v>#DIV/0!</v>
      </c>
      <c r="J26" s="65" t="e">
        <f si="10" t="shared"/>
        <v>#DIV/0!</v>
      </c>
      <c r="K26" s="10">
        <f si="5" t="shared"/>
        <v>2.0356857015745777E-3</v>
      </c>
      <c r="L26" s="6"/>
      <c r="M26" t="s">
        <v>47</v>
      </c>
      <c r="N26" s="10">
        <f si="6" t="shared"/>
        <v>0</v>
      </c>
      <c r="O26" s="10">
        <f si="6" t="shared"/>
        <v>0</v>
      </c>
      <c r="P26" s="10">
        <f si="6" t="shared"/>
        <v>0</v>
      </c>
      <c r="Q26" s="10" t="e">
        <f si="6" t="shared"/>
        <v>#DIV/0!</v>
      </c>
      <c r="R26" s="10">
        <f si="7" t="shared"/>
        <v>0.86624203821656054</v>
      </c>
      <c r="S26" s="10">
        <f si="7" t="shared"/>
        <v>0</v>
      </c>
      <c r="T26" s="10">
        <f si="7" t="shared"/>
        <v>0</v>
      </c>
      <c r="U26" s="10" t="e">
        <f si="7" t="shared"/>
        <v>#DIV/0!</v>
      </c>
      <c r="V26" s="65" t="e">
        <f si="7" t="shared"/>
        <v>#DIV/0!</v>
      </c>
      <c r="W26" s="10">
        <f si="7" t="shared"/>
        <v>4.0946342227119728E-3</v>
      </c>
    </row>
    <row r="27" spans="1:23" x14ac:dyDescent="0.45">
      <c r="A27" t="s">
        <v>48</v>
      </c>
      <c r="B27" s="10">
        <f ref="B27:J27" si="11" t="shared">B9/B$17</f>
        <v>0</v>
      </c>
      <c r="C27" s="10">
        <f si="11" t="shared"/>
        <v>0</v>
      </c>
      <c r="D27" s="10">
        <f si="11" t="shared"/>
        <v>0</v>
      </c>
      <c r="E27" s="10" t="e">
        <f si="11" t="shared"/>
        <v>#DIV/0!</v>
      </c>
      <c r="F27" s="10">
        <f si="11" t="shared"/>
        <v>0</v>
      </c>
      <c r="G27" s="10">
        <f si="11" t="shared"/>
        <v>0</v>
      </c>
      <c r="H27" s="10">
        <f si="11" t="shared"/>
        <v>0</v>
      </c>
      <c r="I27" s="10" t="e">
        <f si="11" t="shared"/>
        <v>#DIV/0!</v>
      </c>
      <c r="J27" s="65" t="e">
        <f si="11" t="shared"/>
        <v>#DIV/0!</v>
      </c>
      <c r="K27" s="10">
        <f si="5" t="shared"/>
        <v>0</v>
      </c>
      <c r="L27" s="6"/>
      <c r="M27" t="s">
        <v>48</v>
      </c>
      <c r="N27" s="10">
        <f si="6" t="shared"/>
        <v>0</v>
      </c>
      <c r="O27" s="10">
        <f si="6" t="shared"/>
        <v>0</v>
      </c>
      <c r="P27" s="10">
        <f si="6" t="shared"/>
        <v>0</v>
      </c>
      <c r="Q27" s="10" t="e">
        <f si="6" t="shared"/>
        <v>#DIV/0!</v>
      </c>
      <c r="R27" s="10">
        <f si="7" t="shared"/>
        <v>0</v>
      </c>
      <c r="S27" s="10">
        <f si="7" t="shared"/>
        <v>0</v>
      </c>
      <c r="T27" s="10">
        <f si="7" t="shared"/>
        <v>0</v>
      </c>
      <c r="U27" s="10" t="e">
        <f si="7" t="shared"/>
        <v>#DIV/0!</v>
      </c>
      <c r="V27" s="65" t="e">
        <f si="7" t="shared"/>
        <v>#DIV/0!</v>
      </c>
      <c r="W27" s="10">
        <f si="7" t="shared"/>
        <v>0</v>
      </c>
    </row>
    <row r="28" spans="1:23" x14ac:dyDescent="0.45">
      <c r="A28" t="s">
        <v>49</v>
      </c>
      <c r="B28" s="10">
        <f ref="B28:J28" si="12" t="shared">B10/B$17</f>
        <v>0</v>
      </c>
      <c r="C28" s="10">
        <f si="12" t="shared"/>
        <v>0</v>
      </c>
      <c r="D28" s="10">
        <f si="12" t="shared"/>
        <v>0</v>
      </c>
      <c r="E28" s="10" t="e">
        <f si="12" t="shared"/>
        <v>#DIV/0!</v>
      </c>
      <c r="F28" s="10">
        <f si="12" t="shared"/>
        <v>0</v>
      </c>
      <c r="G28" s="10">
        <f si="12" t="shared"/>
        <v>0</v>
      </c>
      <c r="H28" s="10">
        <f si="12" t="shared"/>
        <v>0</v>
      </c>
      <c r="I28" s="10" t="e">
        <f si="12" t="shared"/>
        <v>#DIV/0!</v>
      </c>
      <c r="J28" s="65" t="e">
        <f si="12" t="shared"/>
        <v>#DIV/0!</v>
      </c>
      <c r="K28" s="10">
        <f si="5" t="shared"/>
        <v>0</v>
      </c>
      <c r="L28" s="6"/>
      <c r="M28" t="s">
        <v>49</v>
      </c>
      <c r="N28" s="10">
        <f si="6" t="shared"/>
        <v>0</v>
      </c>
      <c r="O28" s="10">
        <f si="6" t="shared"/>
        <v>0</v>
      </c>
      <c r="P28" s="10">
        <f si="6" t="shared"/>
        <v>0</v>
      </c>
      <c r="Q28" s="10" t="e">
        <f si="6" t="shared"/>
        <v>#DIV/0!</v>
      </c>
      <c r="R28" s="10">
        <f si="7" t="shared"/>
        <v>1.0615711252653927E-2</v>
      </c>
      <c r="S28" s="10">
        <f si="7" t="shared"/>
        <v>0</v>
      </c>
      <c r="T28" s="10">
        <f si="7" t="shared"/>
        <v>0</v>
      </c>
      <c r="U28" s="10" t="e">
        <f si="7" t="shared"/>
        <v>#DIV/0!</v>
      </c>
      <c r="V28" s="65" t="e">
        <f si="7" t="shared"/>
        <v>#DIV/0!</v>
      </c>
      <c r="W28" s="10">
        <f si="7" t="shared"/>
        <v>5.0179340964607509E-5</v>
      </c>
    </row>
    <row r="29" spans="1:23" x14ac:dyDescent="0.45">
      <c r="A29" t="s">
        <v>50</v>
      </c>
      <c r="B29" s="10">
        <f ref="B29:J29" si="13" t="shared">B11/B$17</f>
        <v>0</v>
      </c>
      <c r="C29" s="10">
        <f si="13" t="shared"/>
        <v>0</v>
      </c>
      <c r="D29" s="10">
        <f si="13" t="shared"/>
        <v>0</v>
      </c>
      <c r="E29" s="10" t="e">
        <f si="13" t="shared"/>
        <v>#DIV/0!</v>
      </c>
      <c r="F29" s="10">
        <f si="13" t="shared"/>
        <v>0</v>
      </c>
      <c r="G29" s="10">
        <f si="13" t="shared"/>
        <v>0</v>
      </c>
      <c r="H29" s="10">
        <f si="13" t="shared"/>
        <v>0</v>
      </c>
      <c r="I29" s="10" t="e">
        <f si="13" t="shared"/>
        <v>#DIV/0!</v>
      </c>
      <c r="J29" s="65" t="e">
        <f si="13" t="shared"/>
        <v>#DIV/0!</v>
      </c>
      <c r="K29" s="10">
        <f si="5" t="shared"/>
        <v>0</v>
      </c>
      <c r="L29" s="6"/>
      <c r="M29" t="s">
        <v>50</v>
      </c>
      <c r="N29" s="10">
        <f si="6" t="shared"/>
        <v>0</v>
      </c>
      <c r="O29" s="10">
        <f si="6" t="shared"/>
        <v>0</v>
      </c>
      <c r="P29" s="10">
        <f si="6" t="shared"/>
        <v>0</v>
      </c>
      <c r="Q29" s="10" t="e">
        <f si="6" t="shared"/>
        <v>#DIV/0!</v>
      </c>
      <c r="R29" s="10">
        <f si="7" t="shared"/>
        <v>4.2462845010615713E-4</v>
      </c>
      <c r="S29" s="10">
        <f si="7" t="shared"/>
        <v>0</v>
      </c>
      <c r="T29" s="10">
        <f si="7" t="shared"/>
        <v>0</v>
      </c>
      <c r="U29" s="10" t="e">
        <f si="7" t="shared"/>
        <v>#DIV/0!</v>
      </c>
      <c r="V29" s="65" t="e">
        <f si="7" t="shared"/>
        <v>#DIV/0!</v>
      </c>
      <c r="W29" s="10">
        <f si="7" t="shared"/>
        <v>2.0071736385843002E-6</v>
      </c>
    </row>
    <row r="30" spans="1:23" x14ac:dyDescent="0.45">
      <c r="A30" t="s">
        <v>51</v>
      </c>
      <c r="B30" s="10">
        <f ref="B30:J30" si="14" t="shared">B12/B$17</f>
        <v>0</v>
      </c>
      <c r="C30" s="10">
        <f si="14" t="shared"/>
        <v>0</v>
      </c>
      <c r="D30" s="10">
        <f si="14" t="shared"/>
        <v>0</v>
      </c>
      <c r="E30" s="10" t="e">
        <f si="14" t="shared"/>
        <v>#DIV/0!</v>
      </c>
      <c r="F30" s="10">
        <f si="14" t="shared"/>
        <v>0</v>
      </c>
      <c r="G30" s="10">
        <f si="14" t="shared"/>
        <v>0</v>
      </c>
      <c r="H30" s="10">
        <f si="14" t="shared"/>
        <v>0</v>
      </c>
      <c r="I30" s="10" t="e">
        <f si="14" t="shared"/>
        <v>#DIV/0!</v>
      </c>
      <c r="J30" s="65" t="e">
        <f si="14" t="shared"/>
        <v>#DIV/0!</v>
      </c>
      <c r="K30" s="10">
        <f si="5" t="shared"/>
        <v>0</v>
      </c>
      <c r="L30" s="6"/>
      <c r="M30" t="s">
        <v>51</v>
      </c>
      <c r="N30" s="10">
        <f si="6" t="shared"/>
        <v>0</v>
      </c>
      <c r="O30" s="10">
        <f si="6" t="shared"/>
        <v>0</v>
      </c>
      <c r="P30" s="10">
        <f si="6" t="shared"/>
        <v>0</v>
      </c>
      <c r="Q30" s="10" t="e">
        <f si="6" t="shared"/>
        <v>#DIV/0!</v>
      </c>
      <c r="R30" s="10">
        <f si="7" t="shared"/>
        <v>0</v>
      </c>
      <c r="S30" s="10">
        <f si="7" t="shared"/>
        <v>0</v>
      </c>
      <c r="T30" s="10">
        <f si="7" t="shared"/>
        <v>0</v>
      </c>
      <c r="U30" s="10" t="e">
        <f si="7" t="shared"/>
        <v>#DIV/0!</v>
      </c>
      <c r="V30" s="65" t="e">
        <f si="7" t="shared"/>
        <v>#DIV/0!</v>
      </c>
      <c r="W30" s="10">
        <f si="7" t="shared"/>
        <v>0</v>
      </c>
    </row>
    <row r="31" spans="1:23" x14ac:dyDescent="0.45">
      <c r="A31" t="s">
        <v>23</v>
      </c>
      <c r="B31" s="10">
        <f ref="B31:J31" si="15" t="shared">B13/B$17</f>
        <v>0</v>
      </c>
      <c r="C31" s="10">
        <f si="15" t="shared"/>
        <v>0</v>
      </c>
      <c r="D31" s="10">
        <f si="15" t="shared"/>
        <v>0</v>
      </c>
      <c r="E31" s="10" t="e">
        <f si="15" t="shared"/>
        <v>#DIV/0!</v>
      </c>
      <c r="F31" s="10">
        <f si="15" t="shared"/>
        <v>0</v>
      </c>
      <c r="G31" s="10">
        <f si="15" t="shared"/>
        <v>0</v>
      </c>
      <c r="H31" s="10">
        <f si="15" t="shared"/>
        <v>0</v>
      </c>
      <c r="I31" s="10" t="e">
        <f si="15" t="shared"/>
        <v>#DIV/0!</v>
      </c>
      <c r="J31" s="65" t="e">
        <f si="15" t="shared"/>
        <v>#DIV/0!</v>
      </c>
      <c r="K31" s="10">
        <f si="5" t="shared"/>
        <v>0</v>
      </c>
      <c r="L31" s="6"/>
      <c r="M31" t="s">
        <v>23</v>
      </c>
      <c r="N31" s="10">
        <f si="6" t="shared"/>
        <v>0</v>
      </c>
      <c r="O31" s="10">
        <f si="6" t="shared"/>
        <v>0</v>
      </c>
      <c r="P31" s="10">
        <f si="6" t="shared"/>
        <v>0</v>
      </c>
      <c r="Q31" s="10" t="e">
        <f si="6" t="shared"/>
        <v>#DIV/0!</v>
      </c>
      <c r="R31" s="10">
        <f si="7" t="shared"/>
        <v>0</v>
      </c>
      <c r="S31" s="10">
        <f si="7" t="shared"/>
        <v>0</v>
      </c>
      <c r="T31" s="10">
        <f si="7" t="shared"/>
        <v>0</v>
      </c>
      <c r="U31" s="10" t="e">
        <f si="7" t="shared"/>
        <v>#DIV/0!</v>
      </c>
      <c r="V31" s="65" t="e">
        <f si="7" t="shared"/>
        <v>#DIV/0!</v>
      </c>
      <c r="W31" s="10">
        <f si="7" t="shared"/>
        <v>0</v>
      </c>
    </row>
    <row r="32" spans="1:23" x14ac:dyDescent="0.45">
      <c r="A32" t="s">
        <v>4</v>
      </c>
      <c r="B32" s="10">
        <f ref="B32:J32" si="16" t="shared">B14/B$17</f>
        <v>0</v>
      </c>
      <c r="C32" s="10">
        <f si="16" t="shared"/>
        <v>0</v>
      </c>
      <c r="D32" s="10">
        <f si="16" t="shared"/>
        <v>0</v>
      </c>
      <c r="E32" s="10" t="e">
        <f si="16" t="shared"/>
        <v>#DIV/0!</v>
      </c>
      <c r="F32" s="10">
        <f si="16" t="shared"/>
        <v>0</v>
      </c>
      <c r="G32" s="10">
        <f si="16" t="shared"/>
        <v>1</v>
      </c>
      <c r="H32" s="10">
        <f si="16" t="shared"/>
        <v>0</v>
      </c>
      <c r="I32" s="10" t="e">
        <f si="16" t="shared"/>
        <v>#DIV/0!</v>
      </c>
      <c r="J32" s="65" t="e">
        <f si="16" t="shared"/>
        <v>#DIV/0!</v>
      </c>
      <c r="K32" s="10">
        <f si="5" t="shared"/>
        <v>2.7307208535977279E-3</v>
      </c>
      <c r="L32" s="6"/>
      <c r="M32" t="s">
        <v>4</v>
      </c>
      <c r="N32" s="10">
        <f si="6" t="shared"/>
        <v>4.3230736444728593E-4</v>
      </c>
      <c r="O32" s="10">
        <f si="6" t="shared"/>
        <v>6.5265631118652918E-4</v>
      </c>
      <c r="P32" s="10">
        <f si="6" t="shared"/>
        <v>3.3389817775069492E-4</v>
      </c>
      <c r="Q32" s="10" t="e">
        <f si="6" t="shared"/>
        <v>#DIV/0!</v>
      </c>
      <c r="R32" s="10">
        <f si="7" t="shared"/>
        <v>7.6433121019108281E-3</v>
      </c>
      <c r="S32" s="10">
        <f si="7" t="shared"/>
        <v>0.9956448100653279</v>
      </c>
      <c r="T32" s="10">
        <f si="7" t="shared"/>
        <v>0</v>
      </c>
      <c r="U32" s="10" t="e">
        <f si="7" t="shared"/>
        <v>#DIV/0!</v>
      </c>
      <c r="V32" s="65" t="e">
        <f si="7" t="shared"/>
        <v>#DIV/0!</v>
      </c>
      <c r="W32" s="10">
        <f si="7" t="shared"/>
        <v>8.7492698905889642E-3</v>
      </c>
    </row>
    <row r="33" spans="1:32" x14ac:dyDescent="0.45">
      <c r="A33" t="s">
        <v>5</v>
      </c>
      <c r="B33" s="10">
        <f ref="B33:J33" si="17" t="shared">B15/B$17</f>
        <v>1.0140121891034047E-3</v>
      </c>
      <c r="C33" s="10">
        <f si="17" t="shared"/>
        <v>1.6315227734753981E-2</v>
      </c>
      <c r="D33" s="10">
        <f si="17" t="shared"/>
        <v>7.9158352974313347E-4</v>
      </c>
      <c r="E33" s="10" t="e">
        <f si="17" t="shared"/>
        <v>#DIV/0!</v>
      </c>
      <c r="F33" s="10">
        <f si="17" t="shared"/>
        <v>9.7356069936205963E-2</v>
      </c>
      <c r="G33" s="10">
        <f si="17" t="shared"/>
        <v>0</v>
      </c>
      <c r="H33" s="10">
        <f si="17" t="shared"/>
        <v>1</v>
      </c>
      <c r="I33" s="10" t="e">
        <f si="17" t="shared"/>
        <v>#DIV/0!</v>
      </c>
      <c r="J33" s="65" t="e">
        <f si="17" t="shared"/>
        <v>#DIV/0!</v>
      </c>
      <c r="K33" s="10">
        <f si="5" t="shared"/>
        <v>0.11192222736000908</v>
      </c>
      <c r="L33" s="6"/>
      <c r="M33" t="s">
        <v>5</v>
      </c>
      <c r="N33" s="10">
        <f si="6" t="shared"/>
        <v>1.0472798124638476E-3</v>
      </c>
      <c r="O33" s="10">
        <f si="6" t="shared"/>
        <v>5.7887777166109548E-4</v>
      </c>
      <c r="P33" s="10">
        <f si="6" t="shared"/>
        <v>3.2555072330692756E-4</v>
      </c>
      <c r="Q33" s="10" t="e">
        <f si="6" t="shared"/>
        <v>#DIV/0!</v>
      </c>
      <c r="R33" s="10">
        <f si="7" t="shared"/>
        <v>7.6433121019108281E-3</v>
      </c>
      <c r="S33" s="10">
        <f si="7" t="shared"/>
        <v>4.3551899346721511E-3</v>
      </c>
      <c r="T33" s="10">
        <f si="7" t="shared"/>
        <v>1</v>
      </c>
      <c r="U33" s="10" t="e">
        <f si="7" t="shared"/>
        <v>#DIV/0!</v>
      </c>
      <c r="V33" s="65" t="e">
        <f si="7" t="shared"/>
        <v>#DIV/0!</v>
      </c>
      <c r="W33" s="10">
        <f si="7" t="shared"/>
        <v>6.390640147888553E-2</v>
      </c>
    </row>
    <row r="34" spans="1:32" x14ac:dyDescent="0.45">
      <c r="A34" t="s">
        <v>166</v>
      </c>
      <c r="B34" s="11">
        <f ref="B34:J34" si="18" t="shared">B16/B$17</f>
        <v>0</v>
      </c>
      <c r="C34" s="11">
        <f si="18" t="shared"/>
        <v>0</v>
      </c>
      <c r="D34" s="11">
        <f si="18" t="shared"/>
        <v>0</v>
      </c>
      <c r="E34" s="11" t="e">
        <f si="18" t="shared"/>
        <v>#DIV/0!</v>
      </c>
      <c r="F34" s="11">
        <f si="18" t="shared"/>
        <v>0</v>
      </c>
      <c r="G34" s="11">
        <f si="18" t="shared"/>
        <v>0</v>
      </c>
      <c r="H34" s="11">
        <f si="18" t="shared"/>
        <v>0</v>
      </c>
      <c r="I34" s="11" t="e">
        <f si="18" t="shared"/>
        <v>#DIV/0!</v>
      </c>
      <c r="J34" s="66" t="e">
        <f si="18" t="shared"/>
        <v>#DIV/0!</v>
      </c>
      <c r="K34" s="10">
        <f si="5" t="shared"/>
        <v>0</v>
      </c>
      <c r="L34" s="6"/>
      <c r="M34" t="s">
        <v>166</v>
      </c>
      <c r="N34" s="11">
        <f si="6" t="shared"/>
        <v>0</v>
      </c>
      <c r="O34" s="11">
        <f si="6" t="shared"/>
        <v>0</v>
      </c>
      <c r="P34" s="11">
        <f si="6" t="shared"/>
        <v>0</v>
      </c>
      <c r="Q34" s="11" t="e">
        <f si="6" t="shared"/>
        <v>#DIV/0!</v>
      </c>
      <c r="R34" s="11">
        <f si="7" t="shared"/>
        <v>0</v>
      </c>
      <c r="S34" s="11">
        <f si="7" t="shared"/>
        <v>0</v>
      </c>
      <c r="T34" s="11">
        <f si="7" t="shared"/>
        <v>0</v>
      </c>
      <c r="U34" s="11" t="e">
        <f si="7" t="shared"/>
        <v>#DIV/0!</v>
      </c>
      <c r="V34" s="66" t="e">
        <f si="7" t="shared"/>
        <v>#DIV/0!</v>
      </c>
      <c r="W34" s="10">
        <f si="7" t="shared"/>
        <v>0</v>
      </c>
    </row>
    <row ht="14.65" r="35" spans="1:32" thickBot="1" x14ac:dyDescent="0.5">
      <c r="A35" s="61" t="s">
        <v>7</v>
      </c>
      <c r="B35" s="63">
        <f ref="B35:J35" si="19" t="shared">B17/B$17</f>
        <v>1</v>
      </c>
      <c r="C35" s="63">
        <f si="19" t="shared"/>
        <v>1</v>
      </c>
      <c r="D35" s="63">
        <f si="19" t="shared"/>
        <v>1</v>
      </c>
      <c r="E35" s="63" t="e">
        <f si="19" t="shared"/>
        <v>#DIV/0!</v>
      </c>
      <c r="F35" s="63">
        <f si="19" t="shared"/>
        <v>1</v>
      </c>
      <c r="G35" s="63">
        <f si="19" t="shared"/>
        <v>1</v>
      </c>
      <c r="H35" s="63">
        <f si="19" t="shared"/>
        <v>1</v>
      </c>
      <c r="I35" s="63" t="e">
        <f si="19" t="shared"/>
        <v>#DIV/0!</v>
      </c>
      <c r="J35" s="67" t="e">
        <f si="19" t="shared"/>
        <v>#DIV/0!</v>
      </c>
      <c r="K35" s="63">
        <f si="5" t="shared"/>
        <v>1</v>
      </c>
      <c r="M35" s="61" t="s">
        <v>7</v>
      </c>
      <c r="N35" s="63">
        <f si="6" t="shared"/>
        <v>1</v>
      </c>
      <c r="O35" s="63">
        <f si="6" t="shared"/>
        <v>1</v>
      </c>
      <c r="P35" s="63">
        <f si="6" t="shared"/>
        <v>1</v>
      </c>
      <c r="Q35" s="63" t="e">
        <f si="6" t="shared"/>
        <v>#DIV/0!</v>
      </c>
      <c r="R35" s="63">
        <f si="7" t="shared"/>
        <v>1</v>
      </c>
      <c r="S35" s="63">
        <f si="7" t="shared"/>
        <v>1</v>
      </c>
      <c r="T35" s="63">
        <f si="7" t="shared"/>
        <v>1</v>
      </c>
      <c r="U35" s="63" t="e">
        <f si="7" t="shared"/>
        <v>#DIV/0!</v>
      </c>
      <c r="V35" s="67" t="e">
        <f si="7" t="shared"/>
        <v>#DIV/0!</v>
      </c>
      <c r="W35" s="63">
        <f si="7" t="shared"/>
        <v>1</v>
      </c>
    </row>
    <row ht="14.65" r="38" spans="1:32" thickBot="1" x14ac:dyDescent="0.5">
      <c r="M38" s="1" t="s">
        <v>182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77" t="s">
        <v>179</v>
      </c>
      <c r="O39" s="77"/>
      <c r="P39" s="77"/>
      <c r="Q39" s="77"/>
      <c r="R39" s="77"/>
      <c r="S39" s="77"/>
      <c r="T39" s="77"/>
      <c r="U39" s="77"/>
      <c r="V39" s="8"/>
      <c r="W39" s="8"/>
      <c r="Y39" s="10"/>
      <c r="Z39" s="10"/>
      <c r="AA39" s="10"/>
      <c r="AB39" s="10"/>
      <c r="AC39" s="10"/>
      <c r="AD39" s="10"/>
      <c r="AE39" s="10"/>
      <c r="AF39" s="10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64" t="s">
        <v>166</v>
      </c>
      <c r="W40" s="5" t="s">
        <v>7</v>
      </c>
      <c r="Y40" s="10"/>
      <c r="Z40" s="10"/>
      <c r="AA40" s="10"/>
      <c r="AB40" s="10"/>
      <c r="AC40" s="10"/>
      <c r="AD40" s="10"/>
      <c r="AE40" s="10"/>
      <c r="AF40" s="10"/>
    </row>
    <row r="41" spans="1:32" x14ac:dyDescent="0.45">
      <c r="M41" t="s">
        <v>1</v>
      </c>
      <c r="N41" s="10">
        <f ref="N41:W46" si="20" t="shared">N23-B23</f>
        <v>-4.6557498780774864E-4</v>
      </c>
      <c r="O41" s="10">
        <f si="20" t="shared"/>
        <v>2.7740047601658109E-2</v>
      </c>
      <c r="P41" s="10">
        <f si="20" t="shared"/>
        <v>-2.6722278025795701E-2</v>
      </c>
      <c r="Q41" s="10" t="e">
        <f si="20" t="shared"/>
        <v>#DIV/0!</v>
      </c>
      <c r="R41" s="10">
        <f si="20" t="shared"/>
        <v>1.6985138004246285E-3</v>
      </c>
      <c r="S41" s="10">
        <f si="20" t="shared"/>
        <v>0</v>
      </c>
      <c r="T41" s="10">
        <f si="20" t="shared"/>
        <v>0</v>
      </c>
      <c r="U41" s="10" t="e">
        <f si="20" t="shared"/>
        <v>#DIV/0!</v>
      </c>
      <c r="V41" s="65" t="e">
        <f si="20" t="shared"/>
        <v>#DIV/0!</v>
      </c>
      <c r="W41" s="10">
        <f si="20" t="shared"/>
        <v>9.514633234681158E-3</v>
      </c>
      <c r="Y41" s="10"/>
      <c r="Z41" s="10"/>
      <c r="AA41" s="10"/>
      <c r="AB41" s="10"/>
      <c r="AC41" s="10"/>
      <c r="AD41" s="10"/>
      <c r="AE41" s="10"/>
      <c r="AF41" s="10"/>
    </row>
    <row r="42" spans="1:32" x14ac:dyDescent="0.45">
      <c r="M42" t="s">
        <v>9</v>
      </c>
      <c r="N42" s="10">
        <f si="20" t="shared"/>
        <v>0</v>
      </c>
      <c r="O42" s="10">
        <f si="20" t="shared"/>
        <v>-1.2656353949751731E-2</v>
      </c>
      <c r="P42" s="10">
        <f si="20" t="shared"/>
        <v>9.2128607092164166E-2</v>
      </c>
      <c r="Q42" s="10" t="e">
        <f si="20" t="shared"/>
        <v>#DIV/0!</v>
      </c>
      <c r="R42" s="10">
        <f si="20" t="shared"/>
        <v>8.1953290870488318E-2</v>
      </c>
      <c r="S42" s="10">
        <f si="20" t="shared"/>
        <v>0</v>
      </c>
      <c r="T42" s="10">
        <f si="20" t="shared"/>
        <v>0</v>
      </c>
      <c r="U42" s="10" t="e">
        <f si="20" t="shared"/>
        <v>#DIV/0!</v>
      </c>
      <c r="V42" s="65" t="e">
        <f si="20" t="shared"/>
        <v>#DIV/0!</v>
      </c>
      <c r="W42" s="10">
        <f si="20" t="shared"/>
        <v>5.7463042805142639E-2</v>
      </c>
      <c r="Y42" s="10"/>
      <c r="Z42" s="10"/>
      <c r="AA42" s="10"/>
      <c r="AB42" s="10"/>
      <c r="AC42" s="10"/>
      <c r="AD42" s="10"/>
      <c r="AE42" s="10"/>
      <c r="AF42" s="10"/>
    </row>
    <row r="43" spans="1:32" x14ac:dyDescent="0.45">
      <c r="M43" t="s">
        <v>10</v>
      </c>
      <c r="N43" s="10">
        <f si="20" t="shared"/>
        <v>0</v>
      </c>
      <c r="O43" s="10">
        <f si="20" t="shared"/>
        <v>0</v>
      </c>
      <c r="P43" s="10">
        <f si="20" t="shared"/>
        <v>-6.5274194437683009E-2</v>
      </c>
      <c r="Q43" s="10" t="e">
        <f si="20" t="shared"/>
        <v>#DIV/0!</v>
      </c>
      <c r="R43" s="10">
        <f si="20" t="shared"/>
        <v>2.37791932059448E-2</v>
      </c>
      <c r="S43" s="10">
        <f si="20" t="shared"/>
        <v>0</v>
      </c>
      <c r="T43" s="10">
        <f si="20" t="shared"/>
        <v>0</v>
      </c>
      <c r="U43" s="10" t="e">
        <f si="20" t="shared"/>
        <v>#DIV/0!</v>
      </c>
      <c r="V43" s="65" t="e">
        <f si="20" t="shared"/>
        <v>#DIV/0!</v>
      </c>
      <c r="W43" s="10">
        <f si="20" t="shared"/>
        <v>-2.7091534231432263E-2</v>
      </c>
      <c r="Y43" s="10"/>
      <c r="Z43" s="10"/>
      <c r="AA43" s="10"/>
      <c r="AB43" s="10"/>
      <c r="AC43" s="10"/>
      <c r="AD43" s="10"/>
      <c r="AE43" s="10"/>
      <c r="AF43" s="10"/>
    </row>
    <row r="44" spans="1:32" x14ac:dyDescent="0.45">
      <c r="M44" t="s">
        <v>47</v>
      </c>
      <c r="N44" s="10">
        <f si="20" t="shared"/>
        <v>0</v>
      </c>
      <c r="O44" s="10">
        <f si="20" t="shared"/>
        <v>0</v>
      </c>
      <c r="P44" s="10">
        <f si="20" t="shared"/>
        <v>0</v>
      </c>
      <c r="Q44" s="10" t="e">
        <f si="20" t="shared"/>
        <v>#DIV/0!</v>
      </c>
      <c r="R44" s="10">
        <f si="20" t="shared"/>
        <v>-3.6401891847233525E-2</v>
      </c>
      <c r="S44" s="10">
        <f si="20" t="shared"/>
        <v>0</v>
      </c>
      <c r="T44" s="10">
        <f si="20" t="shared"/>
        <v>0</v>
      </c>
      <c r="U44" s="10" t="e">
        <f si="20" t="shared"/>
        <v>#DIV/0!</v>
      </c>
      <c r="V44" s="65" t="e">
        <f si="20" t="shared"/>
        <v>#DIV/0!</v>
      </c>
      <c r="W44" s="10">
        <f si="20" t="shared"/>
        <v>2.0589485211373951E-3</v>
      </c>
      <c r="Y44" s="10"/>
      <c r="Z44" s="10"/>
      <c r="AA44" s="10"/>
      <c r="AB44" s="10"/>
      <c r="AC44" s="10"/>
      <c r="AD44" s="10"/>
      <c r="AE44" s="10"/>
      <c r="AF44" s="10"/>
    </row>
    <row r="45" spans="1:32" x14ac:dyDescent="0.45">
      <c r="M45" t="s">
        <v>48</v>
      </c>
      <c r="N45" s="10">
        <f si="20" t="shared"/>
        <v>0</v>
      </c>
      <c r="O45" s="10">
        <f si="20" t="shared"/>
        <v>0</v>
      </c>
      <c r="P45" s="10">
        <f si="20" t="shared"/>
        <v>0</v>
      </c>
      <c r="Q45" s="10" t="e">
        <f si="20" t="shared"/>
        <v>#DIV/0!</v>
      </c>
      <c r="R45" s="10">
        <f si="20" t="shared"/>
        <v>0</v>
      </c>
      <c r="S45" s="10">
        <f si="20" t="shared"/>
        <v>0</v>
      </c>
      <c r="T45" s="10">
        <f si="20" t="shared"/>
        <v>0</v>
      </c>
      <c r="U45" s="10" t="e">
        <f si="20" t="shared"/>
        <v>#DIV/0!</v>
      </c>
      <c r="V45" s="65" t="e">
        <f si="20" t="shared"/>
        <v>#DIV/0!</v>
      </c>
      <c r="W45" s="10">
        <f si="20" t="shared"/>
        <v>0</v>
      </c>
      <c r="Y45" s="10"/>
      <c r="Z45" s="10"/>
      <c r="AA45" s="10"/>
      <c r="AB45" s="10"/>
      <c r="AC45" s="10"/>
      <c r="AD45" s="10"/>
      <c r="AE45" s="10"/>
      <c r="AF45" s="10"/>
    </row>
    <row r="46" spans="1:32" x14ac:dyDescent="0.45">
      <c r="M46" t="s">
        <v>49</v>
      </c>
      <c r="N46" s="10">
        <f si="20" t="shared"/>
        <v>0</v>
      </c>
      <c r="O46" s="10">
        <f si="20" t="shared"/>
        <v>0</v>
      </c>
      <c r="P46" s="10">
        <f si="20" t="shared"/>
        <v>0</v>
      </c>
      <c r="Q46" s="10" t="e">
        <f si="20" t="shared"/>
        <v>#DIV/0!</v>
      </c>
      <c r="R46" s="10">
        <f si="20" t="shared"/>
        <v>1.0615711252653927E-2</v>
      </c>
      <c r="S46" s="10">
        <f si="20" t="shared"/>
        <v>0</v>
      </c>
      <c r="T46" s="10">
        <f si="20" t="shared"/>
        <v>0</v>
      </c>
      <c r="U46" s="10" t="e">
        <f si="20" t="shared"/>
        <v>#DIV/0!</v>
      </c>
      <c r="V46" s="65" t="e">
        <f si="20" t="shared"/>
        <v>#DIV/0!</v>
      </c>
      <c r="W46" s="10">
        <f si="20" t="shared"/>
        <v>5.0179340964607509E-5</v>
      </c>
      <c r="Y46" s="10"/>
      <c r="Z46" s="10"/>
      <c r="AA46" s="10"/>
      <c r="AB46" s="10"/>
      <c r="AC46" s="10"/>
      <c r="AD46" s="10"/>
      <c r="AE46" s="10"/>
      <c r="AF46" s="10"/>
    </row>
    <row r="47" spans="1:32" x14ac:dyDescent="0.45">
      <c r="M47" t="s">
        <v>50</v>
      </c>
      <c r="N47" s="10">
        <f ref="N47:Q49" si="21" t="shared">N29-B29</f>
        <v>0</v>
      </c>
      <c r="O47" s="10">
        <f si="21" t="shared"/>
        <v>0</v>
      </c>
      <c r="P47" s="10">
        <f si="21" t="shared"/>
        <v>0</v>
      </c>
      <c r="Q47" s="10" t="e">
        <f si="21" t="shared"/>
        <v>#DIV/0!</v>
      </c>
      <c r="R47" s="10">
        <f ref="R47:W52" si="22" t="shared">R29-F29</f>
        <v>4.2462845010615713E-4</v>
      </c>
      <c r="S47" s="10">
        <f si="22" t="shared"/>
        <v>0</v>
      </c>
      <c r="T47" s="10">
        <f si="22" t="shared"/>
        <v>0</v>
      </c>
      <c r="U47" s="10" t="e">
        <f si="22" t="shared"/>
        <v>#DIV/0!</v>
      </c>
      <c r="V47" s="65" t="e">
        <f si="22" t="shared"/>
        <v>#DIV/0!</v>
      </c>
      <c r="W47" s="10">
        <f si="22" t="shared"/>
        <v>2.0071736385843002E-6</v>
      </c>
      <c r="Y47" s="10"/>
      <c r="Z47" s="10"/>
      <c r="AA47" s="10"/>
      <c r="AB47" s="10"/>
      <c r="AC47" s="10"/>
      <c r="AD47" s="10"/>
      <c r="AE47" s="10"/>
      <c r="AF47" s="10"/>
    </row>
    <row r="48" spans="1:32" x14ac:dyDescent="0.45">
      <c r="M48" t="s">
        <v>51</v>
      </c>
      <c r="N48" s="10">
        <f si="21" t="shared"/>
        <v>0</v>
      </c>
      <c r="O48" s="10">
        <f si="21" t="shared"/>
        <v>0</v>
      </c>
      <c r="P48" s="10">
        <f si="21" t="shared"/>
        <v>0</v>
      </c>
      <c r="Q48" s="10" t="e">
        <f si="21" t="shared"/>
        <v>#DIV/0!</v>
      </c>
      <c r="R48" s="10">
        <f si="22" t="shared"/>
        <v>0</v>
      </c>
      <c r="S48" s="10">
        <f si="22" t="shared"/>
        <v>0</v>
      </c>
      <c r="T48" s="10">
        <f si="22" t="shared"/>
        <v>0</v>
      </c>
      <c r="U48" s="10" t="e">
        <f si="22" t="shared"/>
        <v>#DIV/0!</v>
      </c>
      <c r="V48" s="65" t="e">
        <f si="22" t="shared"/>
        <v>#DIV/0!</v>
      </c>
      <c r="W48" s="10">
        <f si="22" t="shared"/>
        <v>0</v>
      </c>
      <c r="Y48" s="10"/>
      <c r="Z48" s="10"/>
      <c r="AA48" s="10"/>
      <c r="AB48" s="10"/>
      <c r="AC48" s="10"/>
      <c r="AD48" s="10"/>
      <c r="AE48" s="10"/>
      <c r="AF48" s="10"/>
    </row>
    <row r="49" spans="13:32" x14ac:dyDescent="0.45">
      <c r="M49" t="s">
        <v>23</v>
      </c>
      <c r="N49" s="10">
        <f si="21" t="shared"/>
        <v>0</v>
      </c>
      <c r="O49" s="10">
        <f si="21" t="shared"/>
        <v>0</v>
      </c>
      <c r="P49" s="10">
        <f si="21" t="shared"/>
        <v>0</v>
      </c>
      <c r="Q49" s="10" t="e">
        <f si="21" t="shared"/>
        <v>#DIV/0!</v>
      </c>
      <c r="R49" s="10">
        <f si="22" t="shared"/>
        <v>0</v>
      </c>
      <c r="S49" s="10">
        <f si="22" t="shared"/>
        <v>0</v>
      </c>
      <c r="T49" s="10">
        <f si="22" t="shared"/>
        <v>0</v>
      </c>
      <c r="U49" s="10" t="e">
        <f si="22" t="shared"/>
        <v>#DIV/0!</v>
      </c>
      <c r="V49" s="65" t="e">
        <f si="22" t="shared"/>
        <v>#DIV/0!</v>
      </c>
      <c r="W49" s="10">
        <f si="22" t="shared"/>
        <v>0</v>
      </c>
      <c r="Y49" s="10"/>
      <c r="Z49" s="10"/>
      <c r="AA49" s="10"/>
      <c r="AB49" s="10"/>
      <c r="AC49" s="10"/>
      <c r="AD49" s="10"/>
      <c r="AE49" s="10"/>
      <c r="AF49" s="10"/>
    </row>
    <row r="50" spans="13:32" x14ac:dyDescent="0.45">
      <c r="M50" t="s">
        <v>4</v>
      </c>
      <c r="N50" s="10">
        <f ref="N50:Q53" si="23" t="shared">N32-B32</f>
        <v>4.3230736444728593E-4</v>
      </c>
      <c r="O50" s="10">
        <f si="23" t="shared"/>
        <v>6.5265631118652918E-4</v>
      </c>
      <c r="P50" s="10">
        <f si="23" t="shared"/>
        <v>3.3389817775069492E-4</v>
      </c>
      <c r="Q50" s="10" t="e">
        <f si="23" t="shared"/>
        <v>#DIV/0!</v>
      </c>
      <c r="R50" s="10">
        <f si="22" t="shared"/>
        <v>7.6433121019108281E-3</v>
      </c>
      <c r="S50" s="10">
        <f si="22" t="shared"/>
        <v>-4.355189934672099E-3</v>
      </c>
      <c r="T50" s="10">
        <f si="22" t="shared"/>
        <v>0</v>
      </c>
      <c r="U50" s="10" t="e">
        <f si="22" t="shared"/>
        <v>#DIV/0!</v>
      </c>
      <c r="V50" s="65" t="e">
        <f si="22" t="shared"/>
        <v>#DIV/0!</v>
      </c>
      <c r="W50" s="10">
        <f si="22" t="shared"/>
        <v>6.0185490369912362E-3</v>
      </c>
      <c r="Y50" s="10"/>
      <c r="Z50" s="10"/>
      <c r="AA50" s="10"/>
      <c r="AB50" s="10"/>
      <c r="AC50" s="10"/>
      <c r="AD50" s="10"/>
      <c r="AE50" s="10"/>
      <c r="AF50" s="10"/>
    </row>
    <row r="51" spans="13:32" x14ac:dyDescent="0.45">
      <c r="M51" t="s">
        <v>5</v>
      </c>
      <c r="N51" s="10">
        <f si="23" t="shared"/>
        <v>3.3267623360442927E-5</v>
      </c>
      <c r="O51" s="10">
        <f si="23" t="shared"/>
        <v>-1.5736349963092887E-2</v>
      </c>
      <c r="P51" s="10">
        <f si="23" t="shared"/>
        <v>-4.6603280643620591E-4</v>
      </c>
      <c r="Q51" s="10" t="e">
        <f si="23" t="shared"/>
        <v>#DIV/0!</v>
      </c>
      <c r="R51" s="10">
        <f si="22" t="shared"/>
        <v>-8.9712757834295137E-2</v>
      </c>
      <c r="S51" s="10">
        <f si="22" t="shared"/>
        <v>4.3551899346721511E-3</v>
      </c>
      <c r="T51" s="10">
        <f si="22" t="shared"/>
        <v>0</v>
      </c>
      <c r="U51" s="10" t="e">
        <f si="22" t="shared"/>
        <v>#DIV/0!</v>
      </c>
      <c r="V51" s="65" t="e">
        <f si="22" t="shared"/>
        <v>#DIV/0!</v>
      </c>
      <c r="W51" s="10">
        <f si="22" t="shared"/>
        <v>-4.8015825881123547E-2</v>
      </c>
    </row>
    <row r="52" spans="13:32" x14ac:dyDescent="0.45">
      <c r="M52" t="s">
        <v>166</v>
      </c>
      <c r="N52" s="11">
        <f si="23" t="shared"/>
        <v>0</v>
      </c>
      <c r="O52" s="11">
        <f si="23" t="shared"/>
        <v>0</v>
      </c>
      <c r="P52" s="11">
        <f si="23" t="shared"/>
        <v>0</v>
      </c>
      <c r="Q52" s="11" t="e">
        <f si="23" t="shared"/>
        <v>#DIV/0!</v>
      </c>
      <c r="R52" s="11">
        <f si="22" t="shared"/>
        <v>0</v>
      </c>
      <c r="S52" s="11">
        <f si="22" t="shared"/>
        <v>0</v>
      </c>
      <c r="T52" s="11">
        <f si="22" t="shared"/>
        <v>0</v>
      </c>
      <c r="U52" s="11" t="e">
        <f si="22" t="shared"/>
        <v>#DIV/0!</v>
      </c>
      <c r="V52" s="66" t="e">
        <f si="22" t="shared"/>
        <v>#DIV/0!</v>
      </c>
      <c r="W52" s="10">
        <f si="22" t="shared"/>
        <v>0</v>
      </c>
    </row>
    <row ht="14.65" r="53" spans="13:32" thickBot="1" x14ac:dyDescent="0.5">
      <c r="M53" s="61" t="s">
        <v>7</v>
      </c>
      <c r="N53" s="63">
        <f si="23" t="shared"/>
        <v>0</v>
      </c>
      <c r="O53" s="63">
        <f si="23" t="shared"/>
        <v>0</v>
      </c>
      <c r="P53" s="63">
        <f si="23" t="shared"/>
        <v>0</v>
      </c>
      <c r="Q53" s="63" t="e">
        <f si="23" t="shared"/>
        <v>#DIV/0!</v>
      </c>
      <c r="R53" s="63">
        <f ref="R53:W53" si="24" t="shared">R35-F35</f>
        <v>0</v>
      </c>
      <c r="S53" s="63">
        <f si="24" t="shared"/>
        <v>0</v>
      </c>
      <c r="T53" s="63">
        <f si="24" t="shared"/>
        <v>0</v>
      </c>
      <c r="U53" s="63" t="e">
        <f si="24" t="shared"/>
        <v>#DIV/0!</v>
      </c>
      <c r="V53" s="67" t="e">
        <f si="24" t="shared"/>
        <v>#DIV/0!</v>
      </c>
      <c r="W53" s="63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2:C3"/>
  <sheetViews>
    <sheetView workbookViewId="0">
      <selection activeCell="M31" sqref="M31"/>
    </sheetView>
  </sheetViews>
  <sheetFormatPr defaultRowHeight="14.25" x14ac:dyDescent="0.45"/>
  <sheetData>
    <row r="2" spans="2:2" x14ac:dyDescent="0.45">
      <c r="B2" t="s">
        <v>46</v>
      </c>
    </row>
    <row r="3" spans="2:2" x14ac:dyDescent="0.45">
      <c r="B3" t="s">
        <v>45</v>
      </c>
    </row>
  </sheetData>
  <pageMargins bottom="0.75" footer="0.3" header="0.3" left="0.7" right="0.7" top="0.75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570D52-999F-4777-A93B-EC96A6A581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4D20BC-0B7D-43A1-A1DB-553B77C9AA74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3.xml><?xml version="1.0" encoding="utf-8"?>
<ds:datastoreItem xmlns:ds="http://schemas.openxmlformats.org/officeDocument/2006/customXml" ds:itemID="{ABF69792-D23E-40AF-9932-CFD5B562BA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2025-03-20T14:02:20Z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