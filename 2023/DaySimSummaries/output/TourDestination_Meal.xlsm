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EC126F3F-8AB6-4E65-916D-EDDDB7FE99A9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S49" s="1"/>
  <c i="7" r="P48"/>
  <c i="7" r="O48"/>
  <c i="7" r="N48"/>
  <c i="7" r="S48" s="1"/>
  <c i="7" r="P47"/>
  <c i="7" r="O47"/>
  <c i="7" r="N47"/>
  <c i="7" r="S47" s="1"/>
  <c i="7" r="P46"/>
  <c i="7" r="O46"/>
  <c i="7" r="N46"/>
  <c i="7" r="S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R50" s="1"/>
  <c i="7" r="Q23"/>
  <c i="7" r="R23" s="1"/>
  <c i="7" r="M49"/>
  <c i="7" r="Q99"/>
  <c i="7" r="R99" s="1"/>
  <c i="7" r="Q93"/>
  <c i="7" r="R93" s="1"/>
  <c i="7" r="Q25"/>
  <c i="7" r="R25" s="1"/>
  <c i="7" r="Q56"/>
  <c i="7" r="R56" s="1"/>
  <c i="7" r="Q58"/>
  <c i="7" r="R58" s="1"/>
  <c i="7" r="Q59"/>
  <c i="7" r="R59" s="1"/>
  <c i="7" r="Q57"/>
  <c i="7" r="R57" s="1"/>
  <c i="7" r="Q86"/>
  <c i="7" r="R86" s="1"/>
  <c i="7" r="Q51"/>
  <c i="7" r="R51" s="1"/>
  <c i="7" r="Q84"/>
  <c i="7" r="R84" s="1"/>
  <c i="7" r="Q83"/>
  <c i="7" r="R83" s="1"/>
  <c i="7" r="Q60"/>
  <c i="7" r="R60" s="1"/>
  <c i="7" r="Q85"/>
  <c i="7" r="R85" s="1"/>
  <c i="7" r="Q82"/>
  <c i="7" r="R82" s="1"/>
  <c i="7" r="Q88"/>
  <c i="7" r="R88" s="1"/>
  <c i="7" r="Q14"/>
  <c i="7" r="R14" s="1"/>
  <c i="7" r="Q89"/>
  <c i="7" r="R89" s="1"/>
  <c i="7" r="Q16"/>
  <c i="7" r="R16" s="1"/>
  <c i="7" r="Q90"/>
  <c i="7" r="R90" s="1"/>
  <c i="7" r="Q91"/>
  <c i="7" r="R91" s="1"/>
  <c i="7" r="Q17"/>
  <c i="7" r="R17" s="1"/>
  <c i="7" r="Q18"/>
  <c i="7" r="R18" s="1"/>
  <c i="7" r="Q19"/>
  <c i="7" r="R19" s="1"/>
  <c i="7" r="Q20"/>
  <c i="7" r="R20" s="1"/>
  <c i="7" r="Q80"/>
  <c i="7" r="R80" s="1"/>
  <c i="7" r="Q22"/>
  <c i="7" r="R22" s="1"/>
  <c i="7" r="Q24"/>
  <c i="7" r="R24" s="1"/>
  <c i="7" r="Q87"/>
  <c i="7" r="R87" s="1"/>
  <c i="7" r="Q81"/>
  <c i="7" r="R81" s="1"/>
  <c i="7" r="Q75"/>
  <c i="7" r="R75" s="1"/>
  <c i="7" r="Q69"/>
  <c i="7" r="R69" s="1"/>
  <c i="7" r="Q95"/>
  <c i="7" r="R95" s="1"/>
  <c i="7" r="Q63"/>
  <c i="7" r="R63" s="1"/>
  <c i="7" r="Q31"/>
  <c i="7" r="R31" s="1"/>
  <c i="7" r="Q65"/>
  <c i="7" r="R65" s="1"/>
  <c i="7" r="Q96"/>
  <c i="7" r="R96" s="1"/>
  <c i="7" r="Q45"/>
  <c i="7" r="R45" s="1"/>
  <c i="7" r="Q66"/>
  <c i="7" r="R66" s="1"/>
  <c i="7" r="Q97"/>
  <c i="7" r="R97" s="1"/>
  <c i="7" r="Q39"/>
  <c i="7" r="R39" s="1"/>
  <c i="7" r="Q92"/>
  <c i="7" r="R92" s="1"/>
  <c i="7" r="Q67"/>
  <c i="7" r="R67" s="1"/>
  <c i="7" r="Q98"/>
  <c i="7" r="R98" s="1"/>
  <c i="7" r="Q102"/>
  <c i="7" r="R102" s="1"/>
  <c i="7" r="Q62"/>
  <c i="7" r="R62" s="1"/>
  <c i="7" r="Q35"/>
  <c i="7" r="R35" s="1"/>
  <c i="7" r="Q68"/>
  <c i="7" r="R68" s="1"/>
  <c i="7" r="Q101"/>
  <c i="7" r="R101" s="1"/>
  <c i="7" r="Q77"/>
  <c i="7" r="R77" s="1"/>
  <c i="7" r="Q64"/>
  <c i="7" r="R64" s="1"/>
  <c i="7" r="Q103"/>
  <c i="7" r="R103" s="1"/>
  <c i="7" r="Q21"/>
  <c i="7" r="R21" s="1"/>
  <c i="7" r="Q33"/>
  <c i="7" r="R33" s="1"/>
  <c i="7" r="Q61"/>
  <c i="7" r="R61" s="1"/>
  <c i="7" r="Q3"/>
  <c i="7" r="R3" s="1"/>
  <c i="7" r="Q71"/>
  <c i="7" r="R71" s="1"/>
  <c i="7" r="Q104"/>
  <c i="7" r="R104" s="1"/>
  <c i="7" r="Q15"/>
  <c i="7" r="R15" s="1"/>
  <c i="7" r="Q27"/>
  <c i="7" r="R27" s="1"/>
  <c i="7" r="Q32"/>
  <c i="7" r="R32" s="1"/>
  <c i="7" r="Q70"/>
  <c i="7" r="R70" s="1"/>
  <c i="7" r="Q6"/>
  <c i="7" r="R6" s="1"/>
  <c i="7" r="Q7"/>
  <c i="7" r="R7" s="1"/>
  <c i="7" r="Q38"/>
  <c i="7" r="R38" s="1"/>
  <c i="7" r="Q72"/>
  <c i="7" r="R72" s="1"/>
  <c i="7" r="Q30"/>
  <c i="7" r="R30" s="1"/>
  <c i="7" r="Q5"/>
  <c i="7" r="R5" s="1"/>
  <c i="7" r="Q37"/>
  <c i="7" r="R37" s="1"/>
  <c i="7" r="Q8"/>
  <c i="7" r="R8" s="1"/>
  <c i="7" r="Q40"/>
  <c i="7" r="R40" s="1"/>
  <c i="7" r="Q73"/>
  <c i="7" r="R73" s="1"/>
  <c i="7" r="Q36"/>
  <c i="7" r="R36" s="1"/>
  <c i="7" r="Q10"/>
  <c i="7" r="R10" s="1"/>
  <c i="7" r="Q41"/>
  <c i="7" r="R41" s="1"/>
  <c i="7" r="Q74"/>
  <c i="7" r="R74" s="1"/>
  <c i="7" r="Q9"/>
  <c i="7" r="R9" s="1"/>
  <c i="7" r="Q26"/>
  <c i="7" r="R26" s="1"/>
  <c i="7" r="Q11"/>
  <c i="7" r="R11" s="1"/>
  <c i="7" r="Q42"/>
  <c i="7" r="R42" s="1"/>
  <c i="7" r="Q78"/>
  <c i="7" r="R78" s="1"/>
  <c i="7" r="Q29"/>
  <c i="7" r="R29" s="1"/>
  <c i="7" r="Q34"/>
  <c i="7" r="R34" s="1"/>
  <c i="7" r="Q12"/>
  <c i="7" r="R12" s="1"/>
  <c i="7" r="Q43"/>
  <c i="7" r="R43" s="1"/>
  <c i="7" r="Q79"/>
  <c i="7" r="R79" s="1"/>
  <c i="7" r="Q94"/>
  <c i="7" r="R94" s="1"/>
  <c i="7" r="Q13"/>
  <c i="7" r="R13" s="1"/>
  <c i="7" r="Q44"/>
  <c i="7" r="R44" s="1"/>
  <c i="7" r="M48"/>
  <c i="7" r="M102"/>
  <c i="7" r="Q4"/>
  <c i="7" r="R4" s="1"/>
  <c i="7" r="Q28"/>
  <c i="7" r="R28" s="1"/>
  <c i="7" r="Q76"/>
  <c i="7" r="R76" s="1"/>
  <c i="7" r="Q100"/>
  <c i="7" r="R100" s="1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G12"/>
  <c i="7" l="1" r="I15"/>
  <c i="7" r="J15" s="1"/>
  <c i="7" r="I13"/>
  <c i="7" r="J13" s="1"/>
  <c i="7" r="I12"/>
  <c i="7" r="J12" s="1"/>
  <c i="7" r="I14"/>
  <c i="7" r="J14" s="1"/>
  <c i="1" r="H15"/>
  <c i="1" r="J13"/>
  <c i="7" l="1" r="K13"/>
  <c i="7" r="D34" s="1"/>
  <c i="7" r="D44" s="1"/>
  <c i="7" r="K14"/>
  <c i="7" r="D35" s="1"/>
  <c i="7" r="D45" s="1"/>
  <c i="7" r="Q48" s="1"/>
  <c i="7" r="R48" s="1"/>
  <c i="7" r="K12"/>
  <c i="7" r="D33" s="1"/>
  <c i="7" r="D43" s="1"/>
  <c i="7" r="Q46" s="1"/>
  <c i="7" r="R46" s="1"/>
  <c i="7" r="K15"/>
  <c i="7" r="D36" s="1"/>
  <c i="7" r="D46" s="1"/>
  <c i="7" r="Q54"/>
  <c i="7" r="R54" s="1"/>
  <c i="7" r="Q52"/>
  <c i="7" r="R52" s="1"/>
  <c i="1" r="G26"/>
  <c i="1" r="B26"/>
  <c i="1" r="E26"/>
  <c i="1" r="F26"/>
  <c i="1" r="C26"/>
  <c i="1" r="D26"/>
  <c i="1" r="H26"/>
  <c i="1" r="S15"/>
  <c i="7" l="1" r="Q55"/>
  <c i="7" r="R55" s="1"/>
  <c i="7" r="Q49"/>
  <c i="7" r="R49" s="1"/>
  <c i="7" r="Q53"/>
  <c i="7" r="R53" s="1"/>
  <c i="7" r="Q47"/>
  <c i="7" r="R47" s="1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X39" s="1"/>
  <c i="1" r="D39"/>
  <c i="1" r="Z39" s="1"/>
  <c i="1" r="E39"/>
  <c i="1" r="AA39" s="1"/>
  <c i="1" r="F39"/>
  <c i="1" r="AB39" s="1"/>
  <c i="1" r="G39"/>
  <c i="1" r="AC39" s="1"/>
  <c i="1" r="J39"/>
  <c i="1" r="AD39"/>
  <c i="1" r="AF39"/>
  <c i="1" r="Y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<sst xmlns="http://schemas.openxmlformats.org/spreadsheetml/2006/main" count="724" uniqueCount="352">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</sst>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Font="1" borderId="0" fillId="0" fontId="5" numFmtId="0" xfId="0"/>
    <xf applyBorder="1" applyNumberFormat="1" borderId="4" fillId="0" fontId="0" numFmtId="3" xfId="0"/>
    <xf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Alignment="1" applyNumberFormat="1" borderId="0" fillId="0" fontId="0" numFmtId="1" xfId="0">
      <alignment horizontal="right"/>
    </xf>
    <xf applyNumberFormat="1" borderId="0" fillId="0" fontId="0" numFmtId="166" xfId="0"/>
    <xf applyAlignment="1" applyBorder="1" applyNumberFormat="1" borderId="2" fillId="0" fontId="0" numFmtId="1" xfId="0">
      <alignment horizontal="center" vertical="top"/>
    </xf>
    <xf applyAlignment="1" borderId="0" fillId="0" fontId="0" numFmtId="0" xfId="0">
      <alignment horizontal="center" vertical="top"/>
    </xf>
    <xf applyAlignment="1" borderId="0" fillId="0" fontId="0" numFmtId="0" xfId="0">
      <alignment horizontal="left" vertical="top"/>
    </xf>
    <xf applyAlignment="1" applyNumberFormat="1" borderId="0" fillId="0" fontId="0" numFmtId="3" xfId="0">
      <alignment horizontal="right" vertical="top"/>
    </xf>
    <xf applyNumberFormat="1" borderId="0" fillId="0" fontId="0" numFmtId="1" xfId="0"/>
    <xf applyAlignment="1" applyNumberFormat="1" borderId="0" fillId="0" fontId="0" numFmtId="3" xfId="0">
      <alignment horizontal="right"/>
    </xf>
    <xf applyAlignment="1" applyBorder="1" applyNumberFormat="1" borderId="3" fillId="0" fontId="0" numFmtId="3" xfId="0">
      <alignment horizontal="right"/>
    </xf>
    <xf applyAlignment="1" applyBorder="1" applyNumberFormat="1" borderId="4" fillId="0" fontId="0" numFmtId="3" xfId="0">
      <alignment horizontal="right"/>
    </xf>
    <xf applyNumberFormat="1" borderId="0" fillId="0" fontId="0" numFmtId="9" xfId="0"/>
    <xf applyAlignment="1" applyNumberFormat="1" borderId="0" fillId="0" fontId="0" numFmtId="164" xfId="0">
      <alignment horizontal="right" vertical="top"/>
    </xf>
    <xf applyAlignment="1" applyNumberFormat="1" borderId="0" fillId="0" fontId="0" numFmtId="164" xfId="0">
      <alignment horizontal="right"/>
    </xf>
    <xf applyAlignment="1" applyBorder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NumberFormat="1" borderId="0" fillId="0" fontId="0" numFmtId="167" xfId="0">
      <alignment horizontal="right"/>
    </xf>
    <xf applyAlignment="1" applyNumberFormat="1" borderId="0" fillId="0" fontId="0" numFmtId="168" xfId="0">
      <alignment horizontal="right"/>
    </xf>
    <xf applyNumberFormat="1" borderId="0" fillId="0" fontId="0" numFmtId="21" xfId="0"/>
    <xf applyNumberFormat="1" borderId="0" fillId="0" fontId="0" numFmtId="11" xfId="0"/>
    <xf applyFill="1" borderId="0" fillId="4" fontId="0" numFmtId="0" xfId="0"/>
    <xf applyFill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Alignment="1" applyNumberFormat="1" borderId="0" fillId="0" fontId="0" numFmtId="1" xfId="0">
      <alignment horizontal="center" vertical="top"/>
    </xf>
    <xf applyAlignment="1" applyBorder="1" applyFont="1" applyNumberFormat="1" borderId="1" fillId="0" fontId="5" numFmtId="1" xfId="0">
      <alignment horizontal="left"/>
    </xf>
    <xf applyAlignment="1" applyBorder="1" applyNumberFormat="1" borderId="1" fillId="0" fontId="0" numFmtId="1" xfId="0">
      <alignment horizontal="right"/>
    </xf>
    <xf applyAlignment="1" applyNumberFormat="1" borderId="0" fillId="0" fontId="0" numFmtId="2" xfId="0">
      <alignment horizontal="right" vertical="top"/>
    </xf>
    <xf applyAlignment="1" applyNumberFormat="1" borderId="0" fillId="0" fontId="0" numFmtId="170" xfId="0">
      <alignment horizontal="right" vertical="top"/>
    </xf>
    <xf applyAlignment="1" applyBorder="1" applyNumberFormat="1" borderId="1" fillId="0" fontId="0" numFmtId="2" xfId="0">
      <alignment horizontal="right" vertical="top"/>
    </xf>
    <xf applyAlignment="1" applyBorder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borderId="0" fillId="0" fontId="0" numFmtId="0" xfId="0">
      <alignment horizontal="left"/>
    </xf>
    <xf applyAlignment="1" applyBorder="1" borderId="1" fillId="0" fontId="0" numFmtId="0" xfId="0">
      <alignment horizontal="left"/>
    </xf>
    <xf applyAlignment="1" applyBorder="1" borderId="5" fillId="0" fontId="0" numFmtId="0" xfId="0">
      <alignment horizontal="left"/>
    </xf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NumberFormat="1" borderId="0" fillId="3" fontId="0" numFmtId="167" xfId="0"/>
    <xf applyFill="1" applyNumberFormat="1" borderId="0" fillId="4" fontId="0" numFmtId="167" xfId="0"/>
    <xf applyAlignment="1" applyFill="1" applyNumberFormat="1" borderId="0" fillId="7" fontId="0" numFmtId="171" xfId="0">
      <alignment horizontal="right"/>
    </xf>
    <xf applyFont="1" borderId="0" fillId="0" fontId="8" numFmtId="0" xfId="0"/>
    <xf applyAlignment="1" applyFont="1" borderId="0" fillId="0" fontId="1" numFmtId="0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4.4958507359031966E-2</c:v>
                </c:pt>
                <c:pt idx="1">
                  <c:v>0.19969079984996849</c:v>
                </c:pt>
                <c:pt idx="2">
                  <c:v>0.11296934179878358</c:v>
                </c:pt>
                <c:pt idx="3">
                  <c:v>0.14408447168065949</c:v>
                </c:pt>
                <c:pt idx="4">
                  <c:v>9.5449078918070043E-2</c:v>
                </c:pt>
                <c:pt idx="5">
                  <c:v>9.0710841071123149E-2</c:v>
                </c:pt>
                <c:pt idx="6">
                  <c:v>7.9964002904505865E-2</c:v>
                </c:pt>
                <c:pt idx="7">
                  <c:v>1.1169020054036825E-2</c:v>
                </c:pt>
                <c:pt idx="8">
                  <c:v>3.4189670974896509E-2</c:v>
                </c:pt>
                <c:pt idx="9">
                  <c:v>3.2578926386481091E-2</c:v>
                </c:pt>
                <c:pt idx="10">
                  <c:v>2.6555552127258436E-2</c:v>
                </c:pt>
                <c:pt idx="11">
                  <c:v>1.541961905522545E-2</c:v>
                </c:pt>
                <c:pt idx="12">
                  <c:v>9.4897598177185929E-3</c:v>
                </c:pt>
                <c:pt idx="13">
                  <c:v>4.1689723849150095E-3</c:v>
                </c:pt>
                <c:pt idx="14">
                  <c:v>1.543378348687322E-2</c:v>
                </c:pt>
                <c:pt idx="15">
                  <c:v>4.791670140968202E-3</c:v>
                </c:pt>
                <c:pt idx="16">
                  <c:v>8.5560852340932029E-3</c:v>
                </c:pt>
                <c:pt idx="17">
                  <c:v>1.4690378627234785E-2</c:v>
                </c:pt>
                <c:pt idx="18">
                  <c:v>1.9421851960194754E-2</c:v>
                </c:pt>
                <c:pt idx="19">
                  <c:v>4.9325107249804786E-3</c:v>
                </c:pt>
                <c:pt idx="20">
                  <c:v>7.0693964929650441E-3</c:v>
                </c:pt>
                <c:pt idx="21">
                  <c:v>0</c:v>
                </c:pt>
                <c:pt idx="22">
                  <c:v>8.6276860220038526E-3</c:v>
                </c:pt>
                <c:pt idx="23">
                  <c:v>0</c:v>
                </c:pt>
                <c:pt idx="24">
                  <c:v>1.0421670721382505E-3</c:v>
                </c:pt>
                <c:pt idx="25">
                  <c:v>0</c:v>
                </c:pt>
                <c:pt idx="26">
                  <c:v>3.5138076365199659E-3</c:v>
                </c:pt>
                <c:pt idx="27">
                  <c:v>0</c:v>
                </c:pt>
                <c:pt idx="28">
                  <c:v>0</c:v>
                </c:pt>
                <c:pt idx="29">
                  <c:v>1.0522098219353852E-2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6.4897894282534133E-2</c:v>
                </c:pt>
                <c:pt idx="1">
                  <c:v>8.8442405106421637E-2</c:v>
                </c:pt>
                <c:pt idx="2">
                  <c:v>0.12137973332121846</c:v>
                </c:pt>
                <c:pt idx="3">
                  <c:v>0.14511732503464098</c:v>
                </c:pt>
                <c:pt idx="4">
                  <c:v>0.11827908138927379</c:v>
                </c:pt>
                <c:pt idx="5">
                  <c:v>9.8232741975785381E-2</c:v>
                </c:pt>
                <c:pt idx="6">
                  <c:v>7.8652068237057907E-2</c:v>
                </c:pt>
                <c:pt idx="7">
                  <c:v>5.7753901369738549E-2</c:v>
                </c:pt>
                <c:pt idx="8">
                  <c:v>4.5567089930263725E-2</c:v>
                </c:pt>
                <c:pt idx="9">
                  <c:v>3.8502600913159032E-2</c:v>
                </c:pt>
                <c:pt idx="10">
                  <c:v>3.0813438429911636E-2</c:v>
                </c:pt>
                <c:pt idx="11">
                  <c:v>2.4941507848170275E-2</c:v>
                </c:pt>
                <c:pt idx="12">
                  <c:v>2.0875451468550531E-2</c:v>
                </c:pt>
                <c:pt idx="13">
                  <c:v>1.3254435181609613E-2</c:v>
                </c:pt>
                <c:pt idx="14">
                  <c:v>1.0505871930581742E-2</c:v>
                </c:pt>
                <c:pt idx="15">
                  <c:v>8.1093973604706628E-3</c:v>
                </c:pt>
                <c:pt idx="16">
                  <c:v>6.2240192626581555E-3</c:v>
                </c:pt>
                <c:pt idx="17">
                  <c:v>4.3386411648456491E-3</c:v>
                </c:pt>
                <c:pt idx="18">
                  <c:v>3.1120096313290778E-3</c:v>
                </c:pt>
                <c:pt idx="19">
                  <c:v>3.0325057356381893E-3</c:v>
                </c:pt>
                <c:pt idx="20">
                  <c:v>2.3851168707266657E-3</c:v>
                </c:pt>
                <c:pt idx="21">
                  <c:v>2.1352474842695865E-3</c:v>
                </c:pt>
                <c:pt idx="22">
                  <c:v>1.5332894168957137E-3</c:v>
                </c:pt>
                <c:pt idx="23">
                  <c:v>1.2493469322853964E-3</c:v>
                </c:pt>
                <c:pt idx="24">
                  <c:v>9.9947754582831692E-4</c:v>
                </c:pt>
                <c:pt idx="25">
                  <c:v>1.1357699384412694E-3</c:v>
                </c:pt>
                <c:pt idx="26">
                  <c:v>8.4046975444653936E-4</c:v>
                </c:pt>
                <c:pt idx="27">
                  <c:v>5.5652726983622196E-4</c:v>
                </c:pt>
                <c:pt idx="28">
                  <c:v>9.767621470594917E-4</c:v>
                </c:pt>
                <c:pt idx="29">
                  <c:v>3.6344638030120618E-4</c:v>
                </c:pt>
                <c:pt idx="30">
                  <c:v>7.9503895690888858E-4</c:v>
                </c:pt>
                <c:pt idx="31">
                  <c:v>4.2023487722326968E-4</c:v>
                </c:pt>
                <c:pt idx="32">
                  <c:v>2.8394248461031734E-4</c:v>
                </c:pt>
                <c:pt idx="33">
                  <c:v>2.7258478522590462E-4</c:v>
                </c:pt>
                <c:pt idx="34">
                  <c:v>1.1357699384412693E-4</c:v>
                </c:pt>
                <c:pt idx="35">
                  <c:v>1.0221929445971424E-4</c:v>
                </c:pt>
                <c:pt idx="36">
                  <c:v>2.6122708584149195E-4</c:v>
                </c:pt>
                <c:pt idx="37">
                  <c:v>2.1579628830384117E-4</c:v>
                </c:pt>
                <c:pt idx="38">
                  <c:v>4.0887717783885696E-4</c:v>
                </c:pt>
                <c:pt idx="39">
                  <c:v>1.1357699384412693E-4</c:v>
                </c:pt>
                <c:pt idx="40">
                  <c:v>1.8172319015060309E-4</c:v>
                </c:pt>
                <c:pt idx="41">
                  <c:v>2.4986938645707923E-4</c:v>
                </c:pt>
                <c:pt idx="42">
                  <c:v>1.3629239261295231E-4</c:v>
                </c:pt>
                <c:pt idx="43">
                  <c:v>5.6788496922063467E-5</c:v>
                </c:pt>
                <c:pt idx="44">
                  <c:v>0</c:v>
                </c:pt>
                <c:pt idx="45">
                  <c:v>2.1579628830384117E-4</c:v>
                </c:pt>
                <c:pt idx="46">
                  <c:v>3.4073098153238079E-4</c:v>
                </c:pt>
                <c:pt idx="47">
                  <c:v>2.2715398768825386E-5</c:v>
                </c:pt>
                <c:pt idx="48">
                  <c:v>1.1357699384412693E-5</c:v>
                </c:pt>
                <c:pt idx="49">
                  <c:v>3.4073098153238078E-5</c:v>
                </c:pt>
                <c:pt idx="50">
                  <c:v>4.5430797537650772E-5</c:v>
                </c:pt>
                <c:pt idx="51">
                  <c:v>3.4073098153238078E-5</c:v>
                </c:pt>
                <c:pt idx="52">
                  <c:v>1.3629239261295231E-4</c:v>
                </c:pt>
                <c:pt idx="53">
                  <c:v>5.6788496922063467E-5</c:v>
                </c:pt>
                <c:pt idx="54">
                  <c:v>2.2715398768825386E-5</c:v>
                </c:pt>
                <c:pt idx="55">
                  <c:v>0</c:v>
                </c:pt>
                <c:pt idx="56">
                  <c:v>2.2715398768825386E-5</c:v>
                </c:pt>
                <c:pt idx="57">
                  <c:v>1.1357699384412693E-4</c:v>
                </c:pt>
                <c:pt idx="58">
                  <c:v>3.4073098153238078E-5</c:v>
                </c:pt>
                <c:pt idx="59">
                  <c:v>1.1357699384412693E-5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7.9061452719119268E-3</c:v>
                </c:pt>
                <c:pt idx="4">
                  <c:v>8.8155711645870938E-2</c:v>
                </c:pt>
                <c:pt idx="5">
                  <c:v>0.10182758168963076</c:v>
                </c:pt>
                <c:pt idx="6">
                  <c:v>4.5952754448845334E-2</c:v>
                </c:pt>
                <c:pt idx="7">
                  <c:v>6.7985592911133139E-2</c:v>
                </c:pt>
                <c:pt idx="8">
                  <c:v>9.747892861863712E-2</c:v>
                </c:pt>
                <c:pt idx="9">
                  <c:v>8.0669026477739575E-2</c:v>
                </c:pt>
                <c:pt idx="10">
                  <c:v>4.8361406801459596E-2</c:v>
                </c:pt>
                <c:pt idx="11">
                  <c:v>3.6701127788053532E-2</c:v>
                </c:pt>
                <c:pt idx="12">
                  <c:v>4.8584876546054721E-2</c:v>
                </c:pt>
                <c:pt idx="13">
                  <c:v>4.1087072076494716E-2</c:v>
                </c:pt>
                <c:pt idx="14">
                  <c:v>2.6420873115347958E-2</c:v>
                </c:pt>
                <c:pt idx="15">
                  <c:v>3.3156963277862585E-2</c:v>
                </c:pt>
                <c:pt idx="16">
                  <c:v>2.4365422484692052E-2</c:v>
                </c:pt>
                <c:pt idx="17">
                  <c:v>4.2249748880089533E-2</c:v>
                </c:pt>
                <c:pt idx="18">
                  <c:v>1.2445077588301419E-2</c:v>
                </c:pt>
                <c:pt idx="19">
                  <c:v>2.0884917258695953E-2</c:v>
                </c:pt>
                <c:pt idx="20">
                  <c:v>1.8047306650907338E-2</c:v>
                </c:pt>
                <c:pt idx="21">
                  <c:v>1.8133013174692316E-2</c:v>
                </c:pt>
                <c:pt idx="22">
                  <c:v>9.8445120766579904E-3</c:v>
                </c:pt>
                <c:pt idx="23">
                  <c:v>4.1002406507368826E-3</c:v>
                </c:pt>
                <c:pt idx="24">
                  <c:v>8.7529593108481522E-3</c:v>
                </c:pt>
                <c:pt idx="25">
                  <c:v>5.199010117937262E-3</c:v>
                </c:pt>
                <c:pt idx="26">
                  <c:v>6.055712661712646E-3</c:v>
                </c:pt>
                <c:pt idx="27">
                  <c:v>1.752270261722497E-2</c:v>
                </c:pt>
                <c:pt idx="28">
                  <c:v>5.6995146995940235E-3</c:v>
                </c:pt>
                <c:pt idx="29">
                  <c:v>1.2050160742857596E-2</c:v>
                </c:pt>
                <c:pt idx="30">
                  <c:v>7.6413603475772489E-3</c:v>
                </c:pt>
                <c:pt idx="31">
                  <c:v>0</c:v>
                </c:pt>
                <c:pt idx="32">
                  <c:v>6.3459131656832578E-3</c:v>
                </c:pt>
                <c:pt idx="33">
                  <c:v>1.4504689672762328E-2</c:v>
                </c:pt>
                <c:pt idx="34">
                  <c:v>4.4581606869503378E-3</c:v>
                </c:pt>
                <c:pt idx="35">
                  <c:v>0</c:v>
                </c:pt>
                <c:pt idx="36">
                  <c:v>1.1927492615006481E-2</c:v>
                </c:pt>
                <c:pt idx="37">
                  <c:v>0</c:v>
                </c:pt>
                <c:pt idx="38">
                  <c:v>0</c:v>
                </c:pt>
                <c:pt idx="39">
                  <c:v>2.7250826860402517E-4</c:v>
                </c:pt>
                <c:pt idx="40">
                  <c:v>2.9303337301428011E-3</c:v>
                </c:pt>
                <c:pt idx="41">
                  <c:v>9.5566329742102708E-4</c:v>
                </c:pt>
                <c:pt idx="42">
                  <c:v>0</c:v>
                </c:pt>
                <c:pt idx="43">
                  <c:v>5.5379753354913852E-3</c:v>
                </c:pt>
                <c:pt idx="44">
                  <c:v>2.0358841961471753E-3</c:v>
                </c:pt>
                <c:pt idx="45">
                  <c:v>2.1873938087320749E-3</c:v>
                </c:pt>
                <c:pt idx="46">
                  <c:v>0</c:v>
                </c:pt>
                <c:pt idx="47">
                  <c:v>1.1322418566122271E-2</c:v>
                </c:pt>
                <c:pt idx="48">
                  <c:v>0</c:v>
                </c:pt>
                <c:pt idx="49">
                  <c:v>2.4184672536983225E-4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1.4889943892965041E-2</c:v>
                </c:pt>
                <c:pt idx="1">
                  <c:v>7.6778047838629805E-3</c:v>
                </c:pt>
                <c:pt idx="2">
                  <c:v>8.3251936487745044E-3</c:v>
                </c:pt>
                <c:pt idx="3">
                  <c:v>1.3072711991459009E-2</c:v>
                </c:pt>
                <c:pt idx="4">
                  <c:v>2.3680803216500467E-2</c:v>
                </c:pt>
                <c:pt idx="5">
                  <c:v>3.3153124503100651E-2</c:v>
                </c:pt>
                <c:pt idx="6">
                  <c:v>4.5328578243191059E-2</c:v>
                </c:pt>
                <c:pt idx="7">
                  <c:v>5.7844762964813848E-2</c:v>
                </c:pt>
                <c:pt idx="8">
                  <c:v>6.4591236399154983E-2</c:v>
                </c:pt>
                <c:pt idx="9">
                  <c:v>7.02360129932081E-2</c:v>
                </c:pt>
                <c:pt idx="10">
                  <c:v>6.5545283147445649E-2</c:v>
                </c:pt>
                <c:pt idx="11">
                  <c:v>6.3887059037321406E-2</c:v>
                </c:pt>
                <c:pt idx="12">
                  <c:v>6.1899461645049177E-2</c:v>
                </c:pt>
                <c:pt idx="13">
                  <c:v>5.7640324375894419E-2</c:v>
                </c:pt>
                <c:pt idx="14">
                  <c:v>5.139358971446744E-2</c:v>
                </c:pt>
                <c:pt idx="15">
                  <c:v>4.6248551893328486E-2</c:v>
                </c:pt>
                <c:pt idx="16">
                  <c:v>3.9502078458987344E-2</c:v>
                </c:pt>
                <c:pt idx="17">
                  <c:v>3.4970356404606683E-2</c:v>
                </c:pt>
                <c:pt idx="18">
                  <c:v>3.1233673307134908E-2</c:v>
                </c:pt>
                <c:pt idx="19">
                  <c:v>2.7190332326283987E-2</c:v>
                </c:pt>
                <c:pt idx="20">
                  <c:v>2.4089680394339324E-2</c:v>
                </c:pt>
                <c:pt idx="21">
                  <c:v>2.0534720487018151E-2</c:v>
                </c:pt>
                <c:pt idx="22">
                  <c:v>1.7104695272925515E-2</c:v>
                </c:pt>
                <c:pt idx="23">
                  <c:v>1.5253390273266247E-2</c:v>
                </c:pt>
                <c:pt idx="24">
                  <c:v>1.3299865979147264E-2</c:v>
                </c:pt>
                <c:pt idx="25">
                  <c:v>1.1289553188106217E-2</c:v>
                </c:pt>
                <c:pt idx="26">
                  <c:v>9.7676214705949161E-3</c:v>
                </c:pt>
                <c:pt idx="27">
                  <c:v>8.6999977284601231E-3</c:v>
                </c:pt>
                <c:pt idx="28">
                  <c:v>7.4847238943279645E-3</c:v>
                </c:pt>
                <c:pt idx="29">
                  <c:v>6.5761079435749494E-3</c:v>
                </c:pt>
                <c:pt idx="30">
                  <c:v>5.5539149989778068E-3</c:v>
                </c:pt>
                <c:pt idx="31">
                  <c:v>4.4635758580741881E-3</c:v>
                </c:pt>
                <c:pt idx="32">
                  <c:v>3.8275446925470778E-3</c:v>
                </c:pt>
                <c:pt idx="33">
                  <c:v>3.4186675147082207E-3</c:v>
                </c:pt>
                <c:pt idx="34">
                  <c:v>2.78263634918111E-3</c:v>
                </c:pt>
                <c:pt idx="35">
                  <c:v>2.294255275651364E-3</c:v>
                </c:pt>
                <c:pt idx="36">
                  <c:v>2.0671012879631104E-3</c:v>
                </c:pt>
                <c:pt idx="37">
                  <c:v>1.6809395088930787E-3</c:v>
                </c:pt>
                <c:pt idx="38">
                  <c:v>1.5900779138177772E-3</c:v>
                </c:pt>
                <c:pt idx="39">
                  <c:v>1.374281625513936E-3</c:v>
                </c:pt>
                <c:pt idx="40">
                  <c:v>1.18120073597892E-3</c:v>
                </c:pt>
                <c:pt idx="41">
                  <c:v>9.3133134952184081E-4</c:v>
                </c:pt>
                <c:pt idx="42">
                  <c:v>8.5182745383095197E-4</c:v>
                </c:pt>
                <c:pt idx="43">
                  <c:v>7.7232355814006314E-4</c:v>
                </c:pt>
                <c:pt idx="44">
                  <c:v>7.496081593712378E-4</c:v>
                </c:pt>
                <c:pt idx="45">
                  <c:v>4.8838107352974585E-4</c:v>
                </c:pt>
                <c:pt idx="46">
                  <c:v>4.0887717783885696E-4</c:v>
                </c:pt>
                <c:pt idx="47">
                  <c:v>4.5430797537650774E-4</c:v>
                </c:pt>
                <c:pt idx="48">
                  <c:v>3.0665788337914273E-4</c:v>
                </c:pt>
                <c:pt idx="49">
                  <c:v>2.7258478522590462E-4</c:v>
                </c:pt>
                <c:pt idx="50">
                  <c:v>2.8394248461031734E-4</c:v>
                </c:pt>
                <c:pt idx="51">
                  <c:v>3.2937328214796812E-4</c:v>
                </c:pt>
                <c:pt idx="52">
                  <c:v>1.9308088953501578E-4</c:v>
                </c:pt>
                <c:pt idx="53">
                  <c:v>1.3629239261295231E-4</c:v>
                </c:pt>
                <c:pt idx="54">
                  <c:v>1.4765009199736501E-4</c:v>
                </c:pt>
                <c:pt idx="55">
                  <c:v>1.2493469322853962E-4</c:v>
                </c:pt>
                <c:pt idx="56">
                  <c:v>9.0861595075301545E-5</c:v>
                </c:pt>
                <c:pt idx="57">
                  <c:v>5.6788496922063467E-5</c:v>
                </c:pt>
                <c:pt idx="58">
                  <c:v>1.1357699384412693E-4</c:v>
                </c:pt>
                <c:pt idx="59">
                  <c:v>1.0221929445971424E-4</c:v>
                </c:pt>
                <c:pt idx="60">
                  <c:v>1.1357699384412693E-4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abSelected="1" topLeftCell="D1" workbookViewId="0">
      <selection activeCell="G11" sqref="G1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5" max="5" customWidth="true" width="12.73046875" collapsed="true"/>
    <col min="6" max="6" bestFit="true" customWidth="true" width="10.59765625" collapsed="true"/>
    <col min="12" max="12" customWidth="true" width="10.2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4" t="s">
        <v>35</v>
      </c>
      <c r="B9" s="1"/>
      <c r="E9" s="4" t="s">
        <v>10</v>
      </c>
      <c r="F9" s="1"/>
      <c r="J9" s="8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351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52" t="n">
        <v>4701.535291814325</v>
      </c>
      <c r="C11" s="9">
        <f>B11/B$102</f>
        <v>4.4958507359031966E-2</v>
      </c>
      <c r="E11" s="16">
        <v>0</v>
      </c>
      <c r="F11" s="54" t="n">
        <v>5793.0</v>
      </c>
      <c r="G11" s="9">
        <f>F11/F$102</f>
        <v>6.4897894282534133E-2</v>
      </c>
      <c r="K11" s="7" t="n">
        <v>5.769127663228035</v>
      </c>
      <c r="L11" s="7" t="n">
        <v>5.88430688971302</v>
      </c>
    </row>
    <row r="12" spans="1:12" x14ac:dyDescent="0.45">
      <c r="A12">
        <v>1</v>
      </c>
      <c r="B12" s="52" t="n">
        <v>20882.662661545106</v>
      </c>
      <c r="C12" s="9">
        <f>B12/B$102</f>
        <v>0.19969079984996849</v>
      </c>
      <c r="E12" s="16">
        <v>1</v>
      </c>
      <c r="F12" s="54" t="n">
        <v>8059.0</v>
      </c>
      <c r="G12" s="9">
        <f>F12/F$102</f>
        <v>8.8442405106421637E-2</v>
      </c>
      <c r="K12" s="7"/>
      <c r="L12" s="16"/>
    </row>
    <row r="13" spans="1:12" x14ac:dyDescent="0.45">
      <c r="A13">
        <v>2</v>
      </c>
      <c r="B13" s="52" t="n">
        <v>11813.767372624186</v>
      </c>
      <c r="C13" s="9">
        <f ref="C13:C76" si="0" t="shared">B13/B$102</f>
        <v>0.11296934179878358</v>
      </c>
      <c r="E13" s="16">
        <v>2</v>
      </c>
      <c r="F13" s="54" t="n">
        <v>10691.0</v>
      </c>
      <c r="G13" s="9">
        <f ref="G13:G76" si="1" t="shared">F13/F$102</f>
        <v>0.12137973332121846</v>
      </c>
    </row>
    <row r="14" spans="1:12" x14ac:dyDescent="0.45">
      <c r="A14">
        <v>3</v>
      </c>
      <c r="B14" s="52" t="n">
        <v>15067.631654211315</v>
      </c>
      <c r="C14" s="9">
        <f si="0" t="shared"/>
        <v>0.14408447168065949</v>
      </c>
      <c r="E14" s="16">
        <v>3</v>
      </c>
      <c r="F14" s="54" t="n">
        <v>12812.0</v>
      </c>
      <c r="G14" s="9">
        <f si="1" t="shared"/>
        <v>0.14511732503464098</v>
      </c>
    </row>
    <row r="15" spans="1:12" x14ac:dyDescent="0.45">
      <c r="A15">
        <v>4</v>
      </c>
      <c r="B15" s="52" t="n">
        <v>9981.586121638082</v>
      </c>
      <c r="C15" s="9">
        <f si="0" t="shared"/>
        <v>9.5449078918070043E-2</v>
      </c>
      <c r="E15" s="16">
        <v>4</v>
      </c>
      <c r="F15" s="54" t="n">
        <v>10486.0</v>
      </c>
      <c r="G15" s="9">
        <f si="1" t="shared"/>
        <v>0.11827908138927379</v>
      </c>
    </row>
    <row r="16" spans="1:12" x14ac:dyDescent="0.45">
      <c r="A16">
        <v>5</v>
      </c>
      <c r="B16" s="52" t="n">
        <v>9486.084963636318</v>
      </c>
      <c r="C16" s="9">
        <f si="0" t="shared"/>
        <v>9.0710841071123149E-2</v>
      </c>
      <c r="E16" s="16">
        <v>5</v>
      </c>
      <c r="F16" s="54" t="n">
        <v>8670.0</v>
      </c>
      <c r="G16" s="9">
        <f si="1" t="shared"/>
        <v>9.8232741975785381E-2</v>
      </c>
    </row>
    <row r="17" spans="1:7" x14ac:dyDescent="0.45">
      <c r="A17">
        <v>6</v>
      </c>
      <c r="B17" s="52" t="n">
        <v>8362.234509432621</v>
      </c>
      <c r="C17" s="9">
        <f si="0" t="shared"/>
        <v>7.9964002904505865E-2</v>
      </c>
      <c r="E17" s="16">
        <v>6</v>
      </c>
      <c r="F17" s="54" t="n">
        <v>6910.0</v>
      </c>
      <c r="G17" s="9">
        <f si="1" t="shared"/>
        <v>7.8652068237057907E-2</v>
      </c>
    </row>
    <row r="18" spans="1:7" x14ac:dyDescent="0.45">
      <c r="A18">
        <v>7</v>
      </c>
      <c r="B18" s="52" t="n">
        <v>1168.0001193030432</v>
      </c>
      <c r="C18" s="9">
        <f si="0" t="shared"/>
        <v>1.1169020054036825E-2</v>
      </c>
      <c r="E18" s="16">
        <v>7</v>
      </c>
      <c r="F18" s="54" t="n">
        <v>4891.0</v>
      </c>
      <c r="G18" s="9">
        <f si="1" t="shared"/>
        <v>5.7753901369738549E-2</v>
      </c>
    </row>
    <row r="19" spans="1:7" x14ac:dyDescent="0.45">
      <c r="A19">
        <v>8</v>
      </c>
      <c r="B19" s="52" t="n">
        <v>3575.384374314711</v>
      </c>
      <c r="C19" s="9">
        <f si="0" t="shared"/>
        <v>3.4189670974896509E-2</v>
      </c>
      <c r="E19" s="16">
        <v>8</v>
      </c>
      <c r="F19" s="54" t="n">
        <v>4119.0</v>
      </c>
      <c r="G19" s="9">
        <f si="1" t="shared"/>
        <v>4.5567089930263725E-2</v>
      </c>
    </row>
    <row r="20" spans="1:7" x14ac:dyDescent="0.45">
      <c r="A20">
        <v>9</v>
      </c>
      <c r="B20" s="52" t="n">
        <v>3406.940781024182</v>
      </c>
      <c r="C20" s="9">
        <f si="0" t="shared"/>
        <v>3.2578926386481091E-2</v>
      </c>
      <c r="E20" s="16">
        <v>9</v>
      </c>
      <c r="F20" s="54" t="n">
        <v>3269.0</v>
      </c>
      <c r="G20" s="9">
        <f si="1" t="shared"/>
        <v>3.8502600913159032E-2</v>
      </c>
    </row>
    <row r="21" spans="1:7" x14ac:dyDescent="0.45">
      <c r="A21">
        <v>10</v>
      </c>
      <c r="B21" s="52" t="n">
        <v>2777.0465002957517</v>
      </c>
      <c r="C21" s="9">
        <f si="0" t="shared"/>
        <v>2.6555552127258436E-2</v>
      </c>
      <c r="E21" s="16">
        <v>10</v>
      </c>
      <c r="F21" s="54" t="n">
        <v>2654.0</v>
      </c>
      <c r="G21" s="9">
        <f si="1" t="shared"/>
        <v>3.0813438429911636E-2</v>
      </c>
    </row>
    <row r="22" spans="1:7" x14ac:dyDescent="0.45">
      <c r="A22">
        <v>11</v>
      </c>
      <c r="B22" s="52" t="n">
        <v>1612.5064516829652</v>
      </c>
      <c r="C22" s="9">
        <f si="0" t="shared"/>
        <v>1.541961905522545E-2</v>
      </c>
      <c r="E22" s="16">
        <v>11</v>
      </c>
      <c r="F22" s="54" t="n">
        <v>2113.0</v>
      </c>
      <c r="G22" s="9">
        <f si="1" t="shared"/>
        <v>2.4941507848170275E-2</v>
      </c>
    </row>
    <row r="23" spans="1:7" x14ac:dyDescent="0.45">
      <c r="A23">
        <v>12</v>
      </c>
      <c r="B23" s="52" t="n">
        <v>992.391503070713</v>
      </c>
      <c r="C23" s="9">
        <f si="0" t="shared"/>
        <v>9.4897598177185929E-3</v>
      </c>
      <c r="E23" s="16">
        <v>12</v>
      </c>
      <c r="F23" s="54" t="n">
        <v>1866.0</v>
      </c>
      <c r="G23" s="9">
        <f si="1" t="shared"/>
        <v>2.0875451468550531E-2</v>
      </c>
    </row>
    <row r="24" spans="1:7" x14ac:dyDescent="0.45">
      <c r="A24">
        <v>13</v>
      </c>
      <c r="B24" s="52" t="n">
        <v>435.9702301001678</v>
      </c>
      <c r="C24" s="9">
        <f si="0" t="shared"/>
        <v>4.1689723849150095E-3</v>
      </c>
      <c r="E24" s="16">
        <v>13</v>
      </c>
      <c r="F24" s="54" t="n">
        <v>1250.0</v>
      </c>
      <c r="G24" s="9">
        <f si="1" t="shared"/>
        <v>1.3254435181609613E-2</v>
      </c>
    </row>
    <row r="25" spans="1:7" x14ac:dyDescent="0.45">
      <c r="A25">
        <v>14</v>
      </c>
      <c r="B25" s="52" t="n">
        <v>1613.9876969286909</v>
      </c>
      <c r="C25" s="9">
        <f si="0" t="shared"/>
        <v>1.543378348687322E-2</v>
      </c>
      <c r="E25" s="16">
        <v>14</v>
      </c>
      <c r="F25" s="54" t="n">
        <v>943.0</v>
      </c>
      <c r="G25" s="9">
        <f si="1" t="shared"/>
        <v>1.0505871930581742E-2</v>
      </c>
    </row>
    <row r="26" spans="1:7" x14ac:dyDescent="0.45">
      <c r="A26">
        <v>15</v>
      </c>
      <c r="B26" s="52" t="n">
        <v>501.0888394178217</v>
      </c>
      <c r="C26" s="9">
        <f si="0" t="shared"/>
        <v>4.791670140968202E-3</v>
      </c>
      <c r="E26" s="16">
        <v>15</v>
      </c>
      <c r="F26" s="54" t="n">
        <v>716.0</v>
      </c>
      <c r="G26" s="9">
        <f si="1" t="shared"/>
        <v>8.1093973604706628E-3</v>
      </c>
    </row>
    <row r="27" spans="1:7" x14ac:dyDescent="0.45">
      <c r="A27">
        <v>16</v>
      </c>
      <c r="B27" s="52" t="n">
        <v>894.7524962654094</v>
      </c>
      <c r="C27" s="9">
        <f si="0" t="shared"/>
        <v>8.5560852340932029E-3</v>
      </c>
      <c r="E27" s="16">
        <v>16</v>
      </c>
      <c r="F27" s="54" t="n">
        <v>583.0</v>
      </c>
      <c r="G27" s="9">
        <f si="1" t="shared"/>
        <v>6.2240192626581555E-3</v>
      </c>
    </row>
    <row r="28" spans="1:7" x14ac:dyDescent="0.45">
      <c r="A28">
        <v>17</v>
      </c>
      <c r="B28" s="52" t="n">
        <v>1536.246143905485</v>
      </c>
      <c r="C28" s="9">
        <f si="0" t="shared"/>
        <v>1.4690378627234785E-2</v>
      </c>
      <c r="E28" s="16">
        <v>17</v>
      </c>
      <c r="F28" s="54" t="n">
        <v>394.0</v>
      </c>
      <c r="G28" s="9">
        <f si="1" t="shared"/>
        <v>4.3386411648456491E-3</v>
      </c>
    </row>
    <row r="29" spans="1:7" x14ac:dyDescent="0.45">
      <c r="A29">
        <v>18</v>
      </c>
      <c r="B29" s="52" t="n">
        <v>2031.039902949638</v>
      </c>
      <c r="C29" s="9">
        <f si="0" t="shared"/>
        <v>1.9421851960194754E-2</v>
      </c>
      <c r="E29" s="16">
        <v>18</v>
      </c>
      <c r="F29" s="54" t="n">
        <v>300.0</v>
      </c>
      <c r="G29" s="9">
        <f si="1" t="shared"/>
        <v>3.1120096313290778E-3</v>
      </c>
    </row>
    <row r="30" spans="1:7" x14ac:dyDescent="0.45">
      <c r="A30">
        <v>19</v>
      </c>
      <c r="B30" s="52" t="n">
        <v>515.8172415635045</v>
      </c>
      <c r="C30" s="9">
        <f si="0" t="shared"/>
        <v>4.9325107249804786E-3</v>
      </c>
      <c r="E30" s="16">
        <v>19</v>
      </c>
      <c r="F30" s="54" t="n">
        <v>236.0</v>
      </c>
      <c r="G30" s="9">
        <f si="1" t="shared"/>
        <v>3.0325057356381893E-3</v>
      </c>
    </row>
    <row r="31" spans="1:7" x14ac:dyDescent="0.45">
      <c r="A31">
        <v>20</v>
      </c>
      <c r="B31" s="52" t="n">
        <v>739.2820415072434</v>
      </c>
      <c r="C31" s="9">
        <f si="0" t="shared"/>
        <v>7.0693964929650441E-3</v>
      </c>
      <c r="E31" s="16">
        <v>20</v>
      </c>
      <c r="F31" s="54" t="n">
        <v>186.0</v>
      </c>
      <c r="G31" s="9">
        <f si="1" t="shared"/>
        <v>2.3851168707266657E-3</v>
      </c>
    </row>
    <row r="32" spans="1:7" x14ac:dyDescent="0.45">
      <c r="A32">
        <v>21</v>
      </c>
      <c r="B32" s="52" t="n">
        <v>0.0</v>
      </c>
      <c r="C32" s="9">
        <f si="0" t="shared"/>
        <v>0</v>
      </c>
      <c r="E32" s="16">
        <v>21</v>
      </c>
      <c r="F32" s="54" t="n">
        <v>201.0</v>
      </c>
      <c r="G32" s="9">
        <f si="1" t="shared"/>
        <v>2.1352474842695865E-3</v>
      </c>
    </row>
    <row r="33" spans="1:7" x14ac:dyDescent="0.45">
      <c r="A33">
        <v>22</v>
      </c>
      <c r="B33" s="52" t="n">
        <v>902.24014768131</v>
      </c>
      <c r="C33" s="9">
        <f si="0" t="shared"/>
        <v>8.6276860220038526E-3</v>
      </c>
      <c r="E33" s="16">
        <v>22</v>
      </c>
      <c r="F33" s="54" t="n">
        <v>133.0</v>
      </c>
      <c r="G33" s="9">
        <f si="1" t="shared"/>
        <v>1.5332894168957137E-3</v>
      </c>
    </row>
    <row r="34" spans="1:7" x14ac:dyDescent="0.45">
      <c r="A34">
        <v>23</v>
      </c>
      <c r="B34" s="52" t="n">
        <v>0.0</v>
      </c>
      <c r="C34" s="9">
        <f si="0" t="shared"/>
        <v>0</v>
      </c>
      <c r="E34" s="16">
        <v>23</v>
      </c>
      <c r="F34" s="54" t="n">
        <v>127.0</v>
      </c>
      <c r="G34" s="9">
        <f si="1" t="shared"/>
        <v>1.2493469322853964E-3</v>
      </c>
    </row>
    <row r="35" spans="1:7" x14ac:dyDescent="0.45">
      <c r="A35">
        <v>24</v>
      </c>
      <c r="B35" s="52" t="n">
        <v>108.9846073068181</v>
      </c>
      <c r="C35" s="9">
        <f si="0" t="shared"/>
        <v>1.0421670721382505E-3</v>
      </c>
      <c r="E35" s="16">
        <v>24</v>
      </c>
      <c r="F35" s="54" t="n">
        <v>89.0</v>
      </c>
      <c r="G35" s="9">
        <f si="1" t="shared"/>
        <v>9.9947754582831692E-4</v>
      </c>
    </row>
    <row r="36" spans="1:7" x14ac:dyDescent="0.45">
      <c r="A36">
        <v>25</v>
      </c>
      <c r="B36" s="52" t="n">
        <v>0.0</v>
      </c>
      <c r="C36" s="9">
        <f si="0" t="shared"/>
        <v>0</v>
      </c>
      <c r="E36" s="16">
        <v>25</v>
      </c>
      <c r="F36" s="54" t="n">
        <v>105.0</v>
      </c>
      <c r="G36" s="9">
        <f si="1" t="shared"/>
        <v>1.1357699384412694E-3</v>
      </c>
    </row>
    <row r="37" spans="1:7" x14ac:dyDescent="0.45">
      <c r="A37">
        <v>26</v>
      </c>
      <c r="B37" s="52" t="n">
        <v>367.45638550267506</v>
      </c>
      <c r="C37" s="9">
        <f si="0" t="shared"/>
        <v>3.5138076365199659E-3</v>
      </c>
      <c r="E37" s="16">
        <v>26</v>
      </c>
      <c r="F37" s="54" t="n">
        <v>70.0</v>
      </c>
      <c r="G37" s="9">
        <f si="1" t="shared"/>
        <v>8.4046975444653936E-4</v>
      </c>
    </row>
    <row r="38" spans="1:7" x14ac:dyDescent="0.45">
      <c r="A38">
        <v>27</v>
      </c>
      <c r="B38" s="52" t="n">
        <v>0.0</v>
      </c>
      <c r="C38" s="9">
        <f si="0" t="shared"/>
        <v>0</v>
      </c>
      <c r="E38" s="16">
        <v>27</v>
      </c>
      <c r="F38" s="54" t="n">
        <v>50.0</v>
      </c>
      <c r="G38" s="9">
        <f si="1" t="shared"/>
        <v>5.5652726983622196E-4</v>
      </c>
    </row>
    <row r="39" spans="1:7" x14ac:dyDescent="0.45">
      <c r="A39">
        <v>28</v>
      </c>
      <c r="B39" s="52" t="n">
        <v>0.0</v>
      </c>
      <c r="C39" s="9">
        <f si="0" t="shared"/>
        <v>0</v>
      </c>
      <c r="E39" s="16">
        <v>28</v>
      </c>
      <c r="F39" s="54" t="n">
        <v>72.0</v>
      </c>
      <c r="G39" s="9">
        <f si="1" t="shared"/>
        <v>9.767621470594917E-4</v>
      </c>
    </row>
    <row r="40" spans="1:7" x14ac:dyDescent="0.45">
      <c r="A40">
        <v>29</v>
      </c>
      <c r="B40" s="52" t="n">
        <v>1100.348277294186</v>
      </c>
      <c r="C40" s="9">
        <f si="0" t="shared"/>
        <v>1.0522098219353852E-2</v>
      </c>
      <c r="E40" s="16">
        <v>29</v>
      </c>
      <c r="F40" s="54" t="n">
        <v>33.0</v>
      </c>
      <c r="G40" s="9">
        <f si="1" t="shared"/>
        <v>3.6344638030120618E-4</v>
      </c>
    </row>
    <row r="41" spans="1:7" x14ac:dyDescent="0.45">
      <c r="A41">
        <v>30</v>
      </c>
      <c r="B41" s="52" t="n">
        <v>0.0</v>
      </c>
      <c r="C41" s="9">
        <f si="0" t="shared"/>
        <v>0</v>
      </c>
      <c r="E41" s="16">
        <v>30</v>
      </c>
      <c r="F41" s="54" t="n">
        <v>66.0</v>
      </c>
      <c r="G41" s="9">
        <f si="1" t="shared"/>
        <v>7.9503895690888858E-4</v>
      </c>
    </row>
    <row r="42" spans="1:7" x14ac:dyDescent="0.45">
      <c r="A42">
        <v>31</v>
      </c>
      <c r="B42" s="52" t="n">
        <v>0.0</v>
      </c>
      <c r="C42" s="9">
        <f si="0" t="shared"/>
        <v>0</v>
      </c>
      <c r="E42" s="16">
        <v>31</v>
      </c>
      <c r="F42" s="54" t="n">
        <v>46.0</v>
      </c>
      <c r="G42" s="9">
        <f si="1" t="shared"/>
        <v>4.2023487722326968E-4</v>
      </c>
    </row>
    <row r="43" spans="1:7" x14ac:dyDescent="0.45">
      <c r="A43">
        <v>32</v>
      </c>
      <c r="B43" s="52" t="n">
        <v>0.0</v>
      </c>
      <c r="C43" s="9">
        <f si="0" t="shared"/>
        <v>0</v>
      </c>
      <c r="E43" s="16">
        <v>32</v>
      </c>
      <c r="F43" s="54" t="n">
        <v>22.0</v>
      </c>
      <c r="G43" s="9">
        <f si="1" t="shared"/>
        <v>2.8394248461031734E-4</v>
      </c>
    </row>
    <row r="44" spans="1:7" x14ac:dyDescent="0.45">
      <c r="A44">
        <v>33</v>
      </c>
      <c r="B44" s="52" t="n">
        <v>0.0</v>
      </c>
      <c r="C44" s="9">
        <f si="0" t="shared"/>
        <v>0</v>
      </c>
      <c r="E44" s="16">
        <v>33</v>
      </c>
      <c r="F44" s="54" t="n">
        <v>17.0</v>
      </c>
      <c r="G44" s="9">
        <f si="1" t="shared"/>
        <v>2.7258478522590462E-4</v>
      </c>
    </row>
    <row r="45" spans="1:7" x14ac:dyDescent="0.45">
      <c r="A45">
        <v>34</v>
      </c>
      <c r="B45" s="52" t="n">
        <v>0.0</v>
      </c>
      <c r="C45" s="9">
        <f si="0" t="shared"/>
        <v>0</v>
      </c>
      <c r="E45" s="16">
        <v>34</v>
      </c>
      <c r="F45" s="54" t="n">
        <v>23.0</v>
      </c>
      <c r="G45" s="9">
        <f si="1" t="shared"/>
        <v>1.1357699384412693E-4</v>
      </c>
    </row>
    <row r="46" spans="1:7" x14ac:dyDescent="0.45">
      <c r="A46">
        <v>35</v>
      </c>
      <c r="B46" s="52" t="n">
        <v>0.0</v>
      </c>
      <c r="C46" s="9">
        <f si="0" t="shared"/>
        <v>0</v>
      </c>
      <c r="E46" s="16">
        <v>35</v>
      </c>
      <c r="F46" s="54" t="n">
        <v>16.0</v>
      </c>
      <c r="G46" s="9">
        <f si="1" t="shared"/>
        <v>1.0221929445971424E-4</v>
      </c>
    </row>
    <row r="47" spans="1:7" x14ac:dyDescent="0.45">
      <c r="A47">
        <v>36</v>
      </c>
      <c r="B47" s="52" t="n">
        <v>0.0</v>
      </c>
      <c r="C47" s="9">
        <f si="0" t="shared"/>
        <v>0</v>
      </c>
      <c r="E47" s="16">
        <v>36</v>
      </c>
      <c r="F47" s="54" t="n">
        <v>17.0</v>
      </c>
      <c r="G47" s="9">
        <f si="1" t="shared"/>
        <v>2.6122708584149195E-4</v>
      </c>
    </row>
    <row r="48" spans="1:7" x14ac:dyDescent="0.45">
      <c r="A48">
        <v>37</v>
      </c>
      <c r="B48" s="52" t="n">
        <v>0.0</v>
      </c>
      <c r="C48" s="9">
        <f si="0" t="shared"/>
        <v>0</v>
      </c>
      <c r="E48" s="16">
        <v>37</v>
      </c>
      <c r="F48" s="54" t="n">
        <v>20.0</v>
      </c>
      <c r="G48" s="9">
        <f si="1" t="shared"/>
        <v>2.1579628830384117E-4</v>
      </c>
    </row>
    <row r="49" spans="1:7" x14ac:dyDescent="0.45">
      <c r="A49">
        <v>38</v>
      </c>
      <c r="B49" s="52" t="n">
        <v>0.0</v>
      </c>
      <c r="C49" s="9">
        <f si="0" t="shared"/>
        <v>0</v>
      </c>
      <c r="E49" s="16">
        <v>38</v>
      </c>
      <c r="F49" s="54" t="n">
        <v>25.0</v>
      </c>
      <c r="G49" s="9">
        <f si="1" t="shared"/>
        <v>4.0887717783885696E-4</v>
      </c>
    </row>
    <row r="50" spans="1:7" x14ac:dyDescent="0.45">
      <c r="A50">
        <v>39</v>
      </c>
      <c r="B50" s="52" t="n">
        <v>0.0</v>
      </c>
      <c r="C50" s="9">
        <f si="0" t="shared"/>
        <v>0</v>
      </c>
      <c r="E50" s="16">
        <v>39</v>
      </c>
      <c r="F50" s="54" t="n">
        <v>3.0</v>
      </c>
      <c r="G50" s="9">
        <f si="1" t="shared"/>
        <v>1.1357699384412693E-4</v>
      </c>
    </row>
    <row r="51" spans="1:7" x14ac:dyDescent="0.45">
      <c r="A51">
        <v>40</v>
      </c>
      <c r="B51" s="52" t="n">
        <v>0.0</v>
      </c>
      <c r="C51" s="9">
        <f si="0" t="shared"/>
        <v>0</v>
      </c>
      <c r="E51" s="16">
        <v>40</v>
      </c>
      <c r="F51" s="54" t="n">
        <v>17.0</v>
      </c>
      <c r="G51" s="9">
        <f si="1" t="shared"/>
        <v>1.8172319015060309E-4</v>
      </c>
    </row>
    <row r="52" spans="1:7" x14ac:dyDescent="0.45">
      <c r="A52">
        <v>41</v>
      </c>
      <c r="B52" s="52" t="n">
        <v>0.0</v>
      </c>
      <c r="C52" s="9">
        <f si="0" t="shared"/>
        <v>0</v>
      </c>
      <c r="E52" s="16">
        <v>41</v>
      </c>
      <c r="F52" s="54" t="n">
        <v>20.0</v>
      </c>
      <c r="G52" s="9">
        <f si="1" t="shared"/>
        <v>2.4986938645707923E-4</v>
      </c>
    </row>
    <row r="53" spans="1:7" x14ac:dyDescent="0.45">
      <c r="A53">
        <v>42</v>
      </c>
      <c r="B53" s="52" t="n">
        <v>0.0</v>
      </c>
      <c r="C53" s="9">
        <f si="0" t="shared"/>
        <v>0</v>
      </c>
      <c r="E53" s="16">
        <v>42</v>
      </c>
      <c r="F53" s="54" t="n">
        <v>13.0</v>
      </c>
      <c r="G53" s="9">
        <f si="1" t="shared"/>
        <v>1.3629239261295231E-4</v>
      </c>
    </row>
    <row r="54" spans="1:7" x14ac:dyDescent="0.45">
      <c r="A54">
        <v>43</v>
      </c>
      <c r="B54" s="52" t="n">
        <v>0.0</v>
      </c>
      <c r="C54" s="9">
        <f si="0" t="shared"/>
        <v>0</v>
      </c>
      <c r="E54" s="16">
        <v>43</v>
      </c>
      <c r="F54" s="54" t="n">
        <v>1.0</v>
      </c>
      <c r="G54" s="9">
        <f si="1" t="shared"/>
        <v>5.6788496922063467E-5</v>
      </c>
    </row>
    <row r="55" spans="1:7" x14ac:dyDescent="0.45">
      <c r="A55">
        <v>44</v>
      </c>
      <c r="B55" s="52" t="n">
        <v>0.0</v>
      </c>
      <c r="C55" s="9">
        <f si="0" t="shared"/>
        <v>0</v>
      </c>
      <c r="E55" s="16">
        <v>44</v>
      </c>
      <c r="F55" s="54" t="n">
        <v>3.0</v>
      </c>
      <c r="G55" s="9">
        <f si="1" t="shared"/>
        <v>0</v>
      </c>
    </row>
    <row r="56" spans="1:7" x14ac:dyDescent="0.45">
      <c r="A56">
        <v>45</v>
      </c>
      <c r="B56" s="52" t="n">
        <v>0.0</v>
      </c>
      <c r="C56" s="9">
        <f si="0" t="shared"/>
        <v>0</v>
      </c>
      <c r="E56" s="16">
        <v>45</v>
      </c>
      <c r="F56" s="54" t="n">
        <v>21.0</v>
      </c>
      <c r="G56" s="9">
        <f si="1" t="shared"/>
        <v>2.1579628830384117E-4</v>
      </c>
    </row>
    <row r="57" spans="1:7" x14ac:dyDescent="0.45">
      <c r="A57">
        <v>46</v>
      </c>
      <c r="B57" s="52" t="n">
        <v>0.0</v>
      </c>
      <c r="C57" s="9">
        <f si="0" t="shared"/>
        <v>0</v>
      </c>
      <c r="E57" s="16">
        <v>46</v>
      </c>
      <c r="F57" s="54" t="n">
        <v>21.0</v>
      </c>
      <c r="G57" s="9">
        <f si="1" t="shared"/>
        <v>3.4073098153238079E-4</v>
      </c>
    </row>
    <row r="58" spans="1:7" x14ac:dyDescent="0.45">
      <c r="A58">
        <v>47</v>
      </c>
      <c r="B58" s="52" t="n">
        <v>0.0</v>
      </c>
      <c r="C58" s="9">
        <f si="0" t="shared"/>
        <v>0</v>
      </c>
      <c r="E58" s="16">
        <v>47</v>
      </c>
      <c r="F58" s="54" t="n">
        <v>11.0</v>
      </c>
      <c r="G58" s="9">
        <f si="1" t="shared"/>
        <v>2.2715398768825386E-5</v>
      </c>
    </row>
    <row r="59" spans="1:7" x14ac:dyDescent="0.45">
      <c r="A59">
        <v>48</v>
      </c>
      <c r="B59" s="52" t="n">
        <v>0.0</v>
      </c>
      <c r="C59" s="9">
        <f si="0" t="shared"/>
        <v>0</v>
      </c>
      <c r="E59" s="16">
        <v>48</v>
      </c>
      <c r="F59" s="54" t="n">
        <v>6.0</v>
      </c>
      <c r="G59" s="9">
        <f si="1" t="shared"/>
        <v>1.1357699384412693E-5</v>
      </c>
    </row>
    <row r="60" spans="1:7" x14ac:dyDescent="0.45">
      <c r="A60">
        <v>49</v>
      </c>
      <c r="B60" s="52" t="n">
        <v>0.0</v>
      </c>
      <c r="C60" s="9">
        <f si="0" t="shared"/>
        <v>0</v>
      </c>
      <c r="E60" s="16">
        <v>49</v>
      </c>
      <c r="F60" s="54" t="n">
        <v>1.0</v>
      </c>
      <c r="G60" s="9">
        <f si="1" t="shared"/>
        <v>3.4073098153238078E-5</v>
      </c>
    </row>
    <row r="61" spans="1:7" x14ac:dyDescent="0.45">
      <c r="A61">
        <v>50</v>
      </c>
      <c r="B61" s="52" t="n">
        <v>0.0</v>
      </c>
      <c r="C61" s="9">
        <f si="0" t="shared"/>
        <v>0</v>
      </c>
      <c r="E61" s="16">
        <v>50</v>
      </c>
      <c r="F61" s="54" t="n">
        <v>2.0</v>
      </c>
      <c r="G61" s="9">
        <f si="1" t="shared"/>
        <v>4.5430797537650772E-5</v>
      </c>
    </row>
    <row r="62" spans="1:7" x14ac:dyDescent="0.45">
      <c r="A62">
        <v>51</v>
      </c>
      <c r="B62" s="52" t="n">
        <v>0.0</v>
      </c>
      <c r="C62" s="9">
        <f si="0" t="shared"/>
        <v>0</v>
      </c>
      <c r="E62" s="16">
        <v>51</v>
      </c>
      <c r="F62" s="54" t="n">
        <v>1.0</v>
      </c>
      <c r="G62" s="9">
        <f si="1" t="shared"/>
        <v>3.4073098153238078E-5</v>
      </c>
    </row>
    <row r="63" spans="1:7" x14ac:dyDescent="0.45">
      <c r="A63">
        <v>52</v>
      </c>
      <c r="B63" s="52" t="n">
        <v>0.0</v>
      </c>
      <c r="C63" s="9">
        <f si="0" t="shared"/>
        <v>0</v>
      </c>
      <c r="E63" s="16">
        <v>52</v>
      </c>
      <c r="F63" s="54" t="n">
        <v>8.0</v>
      </c>
      <c r="G63" s="9">
        <f si="1" t="shared"/>
        <v>1.3629239261295231E-4</v>
      </c>
    </row>
    <row r="64" spans="1:7" x14ac:dyDescent="0.45">
      <c r="A64">
        <v>53</v>
      </c>
      <c r="B64" s="52" t="n">
        <v>0.0</v>
      </c>
      <c r="C64" s="9">
        <f si="0" t="shared"/>
        <v>0</v>
      </c>
      <c r="E64" s="16">
        <v>53</v>
      </c>
      <c r="F64" s="54" t="n">
        <v>2.0</v>
      </c>
      <c r="G64" s="9">
        <f si="1" t="shared"/>
        <v>5.6788496922063467E-5</v>
      </c>
    </row>
    <row r="65" spans="1:7" x14ac:dyDescent="0.45">
      <c r="A65">
        <v>54</v>
      </c>
      <c r="B65" s="52" t="n">
        <v>0.0</v>
      </c>
      <c r="C65" s="9">
        <f si="0" t="shared"/>
        <v>0</v>
      </c>
      <c r="E65" s="16">
        <v>54</v>
      </c>
      <c r="F65" s="54" t="n">
        <v>1.0</v>
      </c>
      <c r="G65" s="9">
        <f si="1" t="shared"/>
        <v>2.2715398768825386E-5</v>
      </c>
    </row>
    <row r="66" spans="1:7" x14ac:dyDescent="0.45">
      <c r="A66">
        <v>55</v>
      </c>
      <c r="B66" s="52" t="n">
        <v>0.0</v>
      </c>
      <c r="C66" s="9">
        <f si="0" t="shared"/>
        <v>0</v>
      </c>
      <c r="E66" s="16">
        <v>55</v>
      </c>
      <c r="F66" s="54" t="n">
        <v>1.0</v>
      </c>
      <c r="G66" s="9">
        <f si="1" t="shared"/>
        <v>0</v>
      </c>
    </row>
    <row r="67" spans="1:7" x14ac:dyDescent="0.45">
      <c r="A67">
        <v>56</v>
      </c>
      <c r="B67" s="52" t="n">
        <v>0.0</v>
      </c>
      <c r="C67" s="9">
        <f si="0" t="shared"/>
        <v>0</v>
      </c>
      <c r="E67" s="16">
        <v>56</v>
      </c>
      <c r="F67" s="54" t="n">
        <v>4.0</v>
      </c>
      <c r="G67" s="9">
        <f si="1" t="shared"/>
        <v>2.2715398768825386E-5</v>
      </c>
    </row>
    <row r="68" spans="1:7" x14ac:dyDescent="0.45">
      <c r="A68">
        <v>57</v>
      </c>
      <c r="B68" s="52" t="n">
        <v>0.0</v>
      </c>
      <c r="C68" s="9">
        <f si="0" t="shared"/>
        <v>0</v>
      </c>
      <c r="E68" s="16">
        <v>57</v>
      </c>
      <c r="F68" s="54" t="n">
        <v>7.0</v>
      </c>
      <c r="G68" s="9">
        <f si="1" t="shared"/>
        <v>1.1357699384412693E-4</v>
      </c>
    </row>
    <row r="69" spans="1:7" x14ac:dyDescent="0.45">
      <c r="A69">
        <v>58</v>
      </c>
      <c r="B69" s="52" t="n">
        <v>0.0</v>
      </c>
      <c r="C69" s="9">
        <f si="0" t="shared"/>
        <v>0</v>
      </c>
      <c r="E69" s="16">
        <v>58</v>
      </c>
      <c r="F69" s="54" t="n">
        <v>5.0</v>
      </c>
      <c r="G69" s="9">
        <f si="1" t="shared"/>
        <v>3.4073098153238078E-5</v>
      </c>
    </row>
    <row r="70" spans="1:7" x14ac:dyDescent="0.45">
      <c r="A70">
        <v>59</v>
      </c>
      <c r="B70" s="52" t="n">
        <v>0.0</v>
      </c>
      <c r="C70" s="9">
        <f si="0" t="shared"/>
        <v>0</v>
      </c>
      <c r="E70" s="16">
        <v>59</v>
      </c>
      <c r="F70" s="54" t="n">
        <v>1.0</v>
      </c>
      <c r="G70" s="9">
        <f si="1" t="shared"/>
        <v>1.1357699384412693E-5</v>
      </c>
    </row>
    <row r="71" spans="1:7" x14ac:dyDescent="0.45">
      <c r="A71">
        <v>60</v>
      </c>
      <c r="B71" s="52" t="n">
        <v>0.0</v>
      </c>
      <c r="C71" s="9">
        <f si="0" t="shared"/>
        <v>0</v>
      </c>
      <c r="E71" s="16">
        <v>60</v>
      </c>
      <c r="F71" s="54" t="n">
        <v>1.0</v>
      </c>
      <c r="G71" s="9">
        <f si="1" t="shared"/>
        <v>0</v>
      </c>
    </row>
    <row r="72" spans="1:7" x14ac:dyDescent="0.45">
      <c r="A72">
        <v>61</v>
      </c>
      <c r="B72" s="52" t="n">
        <v>0.0</v>
      </c>
      <c r="C72" s="9">
        <f si="0" t="shared"/>
        <v>0</v>
      </c>
      <c r="E72" s="16">
        <v>61</v>
      </c>
      <c r="F72" s="54" t="n">
        <v>14.0</v>
      </c>
      <c r="G72" s="9">
        <f si="1" t="shared"/>
        <v>1.8172319015060309E-4</v>
      </c>
    </row>
    <row r="73" spans="1:7" x14ac:dyDescent="0.45">
      <c r="A73">
        <v>62</v>
      </c>
      <c r="B73" s="52" t="n">
        <v>0.0</v>
      </c>
      <c r="C73" s="9">
        <f si="0" t="shared"/>
        <v>0</v>
      </c>
      <c r="E73" s="16">
        <v>62</v>
      </c>
      <c r="F73" s="54" t="n">
        <v>0.0</v>
      </c>
      <c r="G73" s="9">
        <f si="1" t="shared"/>
        <v>0</v>
      </c>
    </row>
    <row r="74" spans="1:7" x14ac:dyDescent="0.45">
      <c r="A74">
        <v>63</v>
      </c>
      <c r="B74" s="52" t="n">
        <v>0.0</v>
      </c>
      <c r="C74" s="9">
        <f si="0" t="shared"/>
        <v>0</v>
      </c>
      <c r="E74" s="16">
        <v>63</v>
      </c>
      <c r="F74" s="54" t="n">
        <v>2.0</v>
      </c>
      <c r="G74" s="9">
        <f si="1" t="shared"/>
        <v>7.950389569088885E-5</v>
      </c>
    </row>
    <row r="75" spans="1:7" x14ac:dyDescent="0.45">
      <c r="A75">
        <v>64</v>
      </c>
      <c r="B75" s="52" t="n">
        <v>0.0</v>
      </c>
      <c r="C75" s="9">
        <f si="0" t="shared"/>
        <v>0</v>
      </c>
      <c r="E75" s="16">
        <v>64</v>
      </c>
      <c r="F75" s="54" t="n">
        <v>0.0</v>
      </c>
      <c r="G75" s="9">
        <f si="1" t="shared"/>
        <v>1.1357699384412693E-5</v>
      </c>
    </row>
    <row r="76" spans="1:7" x14ac:dyDescent="0.45">
      <c r="A76">
        <v>65</v>
      </c>
      <c r="B76" s="52" t="n">
        <v>0.0</v>
      </c>
      <c r="C76" s="9">
        <f si="0" t="shared"/>
        <v>0</v>
      </c>
      <c r="E76" s="16">
        <v>65</v>
      </c>
      <c r="F76" s="54" t="n">
        <v>0.0</v>
      </c>
      <c r="G76" s="9">
        <f si="1" t="shared"/>
        <v>0</v>
      </c>
    </row>
    <row r="77" spans="1:7" x14ac:dyDescent="0.45">
      <c r="A77">
        <v>66</v>
      </c>
      <c r="B77" s="52" t="n">
        <v>0.0</v>
      </c>
      <c r="C77" s="9">
        <f ref="C77:C102" si="2" t="shared">B77/B$102</f>
        <v>0</v>
      </c>
      <c r="E77" s="16">
        <v>66</v>
      </c>
      <c r="F77" s="54" t="n">
        <v>1.0</v>
      </c>
      <c r="G77" s="9">
        <f ref="G77:G102" si="3" t="shared">F77/F$102</f>
        <v>2.2715398768825386E-5</v>
      </c>
    </row>
    <row r="78" spans="1:7" x14ac:dyDescent="0.45">
      <c r="A78">
        <v>67</v>
      </c>
      <c r="B78" s="52" t="n">
        <v>0.0</v>
      </c>
      <c r="C78" s="9">
        <f si="2" t="shared"/>
        <v>0</v>
      </c>
      <c r="E78" s="16">
        <v>67</v>
      </c>
      <c r="F78" s="54" t="n">
        <v>11.0</v>
      </c>
      <c r="G78" s="9">
        <f si="3" t="shared"/>
        <v>2.0443858891942848E-4</v>
      </c>
    </row>
    <row r="79" spans="1:7" x14ac:dyDescent="0.45">
      <c r="A79">
        <v>68</v>
      </c>
      <c r="B79" s="52" t="n">
        <v>0.0</v>
      </c>
      <c r="C79" s="9">
        <f si="2" t="shared"/>
        <v>0</v>
      </c>
      <c r="E79" s="16">
        <v>68</v>
      </c>
      <c r="F79" s="54" t="n">
        <v>18.0</v>
      </c>
      <c r="G79" s="9">
        <f si="3" t="shared"/>
        <v>2.6122708584149195E-4</v>
      </c>
    </row>
    <row r="80" spans="1:7" x14ac:dyDescent="0.45">
      <c r="A80">
        <v>69</v>
      </c>
      <c r="B80" s="52" t="n">
        <v>0.0</v>
      </c>
      <c r="C80" s="9">
        <f si="2" t="shared"/>
        <v>0</v>
      </c>
      <c r="E80" s="16">
        <v>69</v>
      </c>
      <c r="F80" s="54" t="n">
        <v>2.0</v>
      </c>
      <c r="G80" s="9">
        <f si="3" t="shared"/>
        <v>1.1357699384412693E-5</v>
      </c>
    </row>
    <row r="81" spans="1:7" x14ac:dyDescent="0.45">
      <c r="A81">
        <v>70</v>
      </c>
      <c r="B81" s="52" t="n">
        <v>0.0</v>
      </c>
      <c r="C81" s="9">
        <f si="2" t="shared"/>
        <v>0</v>
      </c>
      <c r="E81" s="16">
        <v>70</v>
      </c>
      <c r="F81" s="54" t="n">
        <v>1.0</v>
      </c>
      <c r="G81" s="9">
        <f si="3" t="shared"/>
        <v>1.1357699384412693E-5</v>
      </c>
    </row>
    <row r="82" spans="1:7" x14ac:dyDescent="0.45">
      <c r="A82">
        <v>71</v>
      </c>
      <c r="B82" s="52" t="n">
        <v>0.0</v>
      </c>
      <c r="C82" s="9">
        <f si="2" t="shared"/>
        <v>0</v>
      </c>
      <c r="E82" s="16">
        <v>71</v>
      </c>
      <c r="F82" s="54" t="n">
        <v>0.0</v>
      </c>
      <c r="G82" s="9">
        <f si="3" t="shared"/>
        <v>1.1357699384412693E-5</v>
      </c>
    </row>
    <row r="83" spans="1:7" x14ac:dyDescent="0.45">
      <c r="A83">
        <v>72</v>
      </c>
      <c r="B83" s="52" t="n">
        <v>0.0</v>
      </c>
      <c r="C83" s="9">
        <f si="2" t="shared"/>
        <v>0</v>
      </c>
      <c r="E83" s="16">
        <v>72</v>
      </c>
      <c r="F83" s="54" t="n">
        <v>1.0</v>
      </c>
      <c r="G83" s="9">
        <f si="3" t="shared"/>
        <v>1.1357699384412693E-5</v>
      </c>
    </row>
    <row r="84" spans="1:7" x14ac:dyDescent="0.45">
      <c r="A84">
        <v>73</v>
      </c>
      <c r="B84" s="52" t="n">
        <v>0.0</v>
      </c>
      <c r="C84" s="9">
        <f si="2" t="shared"/>
        <v>0</v>
      </c>
      <c r="E84" s="16">
        <v>73</v>
      </c>
      <c r="F84" s="54" t="n">
        <v>3.0</v>
      </c>
      <c r="G84" s="9">
        <f si="3" t="shared"/>
        <v>4.5430797537650772E-5</v>
      </c>
    </row>
    <row r="85" spans="1:7" x14ac:dyDescent="0.45">
      <c r="A85">
        <v>74</v>
      </c>
      <c r="B85" s="52" t="n">
        <v>0.0</v>
      </c>
      <c r="C85" s="9">
        <f si="2" t="shared"/>
        <v>0</v>
      </c>
      <c r="E85" s="16">
        <v>74</v>
      </c>
      <c r="F85" s="54" t="n">
        <v>1.0</v>
      </c>
      <c r="G85" s="9">
        <f si="3" t="shared"/>
        <v>0</v>
      </c>
    </row>
    <row r="86" spans="1:7" x14ac:dyDescent="0.45">
      <c r="A86">
        <v>75</v>
      </c>
      <c r="B86" s="52" t="n">
        <v>0.0</v>
      </c>
      <c r="C86" s="9">
        <f si="2" t="shared"/>
        <v>0</v>
      </c>
      <c r="E86" s="16">
        <v>75</v>
      </c>
      <c r="F86" s="54" t="n">
        <v>2.0</v>
      </c>
      <c r="G86" s="9">
        <f si="3" t="shared"/>
        <v>3.4073098153238078E-5</v>
      </c>
    </row>
    <row r="87" spans="1:7" x14ac:dyDescent="0.45">
      <c r="A87">
        <v>76</v>
      </c>
      <c r="B87" s="52" t="n">
        <v>0.0</v>
      </c>
      <c r="C87" s="9">
        <f si="2" t="shared"/>
        <v>0</v>
      </c>
      <c r="E87" s="16">
        <v>76</v>
      </c>
      <c r="F87" s="54" t="n">
        <v>1.0</v>
      </c>
      <c r="G87" s="9">
        <f si="3" t="shared"/>
        <v>0</v>
      </c>
    </row>
    <row r="88" spans="1:7" x14ac:dyDescent="0.45">
      <c r="A88">
        <v>77</v>
      </c>
      <c r="B88" s="52" t="n">
        <v>0.0</v>
      </c>
      <c r="C88" s="9">
        <f si="2" t="shared"/>
        <v>0</v>
      </c>
      <c r="E88" s="16">
        <v>77</v>
      </c>
      <c r="F88" s="54" t="n">
        <v>10.0</v>
      </c>
      <c r="G88" s="9">
        <f si="3" t="shared"/>
        <v>3.4073098153238078E-5</v>
      </c>
    </row>
    <row r="89" spans="1:7" x14ac:dyDescent="0.45">
      <c r="A89">
        <v>78</v>
      </c>
      <c r="B89" s="52" t="n">
        <v>0.0</v>
      </c>
      <c r="C89" s="9">
        <f si="2" t="shared"/>
        <v>0</v>
      </c>
      <c r="E89" s="16">
        <v>78</v>
      </c>
      <c r="F89" s="54" t="n">
        <v>0.0</v>
      </c>
      <c r="G89" s="9">
        <f si="3" t="shared"/>
        <v>1.1357699384412693E-5</v>
      </c>
    </row>
    <row r="90" spans="1:7" x14ac:dyDescent="0.45">
      <c r="A90">
        <v>79</v>
      </c>
      <c r="B90" s="52" t="n">
        <v>0.0</v>
      </c>
      <c r="C90" s="9">
        <f si="2" t="shared"/>
        <v>0</v>
      </c>
      <c r="E90" s="16">
        <v>79</v>
      </c>
      <c r="F90" s="54" t="n">
        <v>0.0</v>
      </c>
      <c r="G90" s="9">
        <f si="3" t="shared"/>
        <v>0</v>
      </c>
    </row>
    <row r="91" spans="1:7" x14ac:dyDescent="0.45">
      <c r="A91">
        <v>80</v>
      </c>
      <c r="B91" s="52" t="n">
        <v>0.0</v>
      </c>
      <c r="C91" s="9">
        <f si="2" t="shared"/>
        <v>0</v>
      </c>
      <c r="E91" s="16">
        <v>80</v>
      </c>
      <c r="F91" s="54" t="n">
        <v>0.0</v>
      </c>
      <c r="G91" s="9">
        <f si="3" t="shared"/>
        <v>0</v>
      </c>
    </row>
    <row r="92" spans="1:7" x14ac:dyDescent="0.45">
      <c r="A92">
        <v>81</v>
      </c>
      <c r="B92" s="52" t="n">
        <v>0.0</v>
      </c>
      <c r="C92" s="9">
        <f si="2" t="shared"/>
        <v>0</v>
      </c>
      <c r="E92" s="16">
        <v>81</v>
      </c>
      <c r="F92" s="54" t="n">
        <v>0.0</v>
      </c>
      <c r="G92" s="9">
        <f si="3" t="shared"/>
        <v>0</v>
      </c>
    </row>
    <row r="93" spans="1:7" x14ac:dyDescent="0.45">
      <c r="A93">
        <v>82</v>
      </c>
      <c r="B93" s="52" t="n">
        <v>0.0</v>
      </c>
      <c r="C93" s="9">
        <f si="2" t="shared"/>
        <v>0</v>
      </c>
      <c r="E93" s="16">
        <v>82</v>
      </c>
      <c r="F93" s="54" t="n">
        <v>0.0</v>
      </c>
      <c r="G93" s="9">
        <f si="3" t="shared"/>
        <v>0</v>
      </c>
    </row>
    <row r="94" spans="1:7" x14ac:dyDescent="0.45">
      <c r="A94">
        <v>83</v>
      </c>
      <c r="B94" s="52" t="n">
        <v>0.0</v>
      </c>
      <c r="C94" s="9">
        <f si="2" t="shared"/>
        <v>0</v>
      </c>
      <c r="E94" s="16">
        <v>83</v>
      </c>
      <c r="F94" s="54" t="n">
        <v>0.0</v>
      </c>
      <c r="G94" s="9">
        <f si="3" t="shared"/>
        <v>0</v>
      </c>
    </row>
    <row r="95" spans="1:7" x14ac:dyDescent="0.45">
      <c r="A95">
        <v>84</v>
      </c>
      <c r="B95" s="52" t="n">
        <v>0.0</v>
      </c>
      <c r="C95" s="9">
        <f si="2" t="shared"/>
        <v>0</v>
      </c>
      <c r="E95" s="16">
        <v>84</v>
      </c>
      <c r="F95" s="54" t="n">
        <v>0.0</v>
      </c>
      <c r="G95" s="9">
        <f si="3" t="shared"/>
        <v>0</v>
      </c>
    </row>
    <row r="96" spans="1:7" x14ac:dyDescent="0.45">
      <c r="A96">
        <v>85</v>
      </c>
      <c r="B96" s="52" t="n">
        <v>0.0</v>
      </c>
      <c r="C96" s="9">
        <f si="2" t="shared"/>
        <v>0</v>
      </c>
      <c r="E96" s="16">
        <v>85</v>
      </c>
      <c r="F96" s="54" t="n">
        <v>6.0</v>
      </c>
      <c r="G96" s="9">
        <f si="3" t="shared"/>
        <v>2.2715398768825386E-5</v>
      </c>
    </row>
    <row r="97" spans="1:7" x14ac:dyDescent="0.45">
      <c r="A97">
        <v>86</v>
      </c>
      <c r="B97" s="52" t="n">
        <v>0.0</v>
      </c>
      <c r="C97" s="9">
        <f si="2" t="shared"/>
        <v>0</v>
      </c>
      <c r="E97" s="16">
        <v>86</v>
      </c>
      <c r="F97" s="54" t="n">
        <v>0.0</v>
      </c>
      <c r="G97" s="9">
        <f si="3" t="shared"/>
        <v>1.1357699384412693E-5</v>
      </c>
    </row>
    <row r="98" spans="1:7" x14ac:dyDescent="0.45">
      <c r="A98">
        <v>87</v>
      </c>
      <c r="B98" s="52" t="n">
        <v>0.0</v>
      </c>
      <c r="C98" s="9">
        <f si="2" t="shared"/>
        <v>0</v>
      </c>
      <c r="E98" s="16">
        <v>87</v>
      </c>
      <c r="F98" s="54" t="n">
        <v>1.0</v>
      </c>
      <c r="G98" s="9">
        <f si="3" t="shared"/>
        <v>0</v>
      </c>
    </row>
    <row r="99" spans="1:7" x14ac:dyDescent="0.45">
      <c r="A99">
        <v>88</v>
      </c>
      <c r="B99" s="52" t="n">
        <v>0.0</v>
      </c>
      <c r="C99" s="9">
        <f si="2" t="shared"/>
        <v>0</v>
      </c>
      <c r="E99" s="16">
        <v>88</v>
      </c>
      <c r="F99" s="54" t="n">
        <v>1.0</v>
      </c>
      <c r="G99" s="9">
        <f si="3" t="shared"/>
        <v>0</v>
      </c>
    </row>
    <row r="100" spans="1:7" x14ac:dyDescent="0.45">
      <c r="A100">
        <v>89</v>
      </c>
      <c r="B100" s="52" t="n">
        <v>0.0</v>
      </c>
      <c r="C100" s="9">
        <f si="2" t="shared"/>
        <v>0</v>
      </c>
      <c r="E100" s="16">
        <v>89</v>
      </c>
      <c r="F100" s="54" t="n">
        <v>0.0</v>
      </c>
      <c r="G100" s="9">
        <f si="3" t="shared"/>
        <v>0</v>
      </c>
    </row>
    <row ht="14.65" r="101" spans="1:7" thickBot="1" x14ac:dyDescent="0.5">
      <c r="A101" s="1">
        <v>90</v>
      </c>
      <c r="B101" s="53" t="n">
        <v>0.0</v>
      </c>
      <c r="C101" s="9">
        <f si="2" t="shared"/>
        <v>0</v>
      </c>
      <c r="E101" s="17">
        <v>90</v>
      </c>
      <c r="F101" s="55" t="n">
        <v>17.0</v>
      </c>
      <c r="G101" s="9">
        <f si="3" t="shared"/>
        <v>1.1357699384412693E-4</v>
      </c>
    </row>
    <row r="102" spans="1:7" x14ac:dyDescent="0.45">
      <c r="B102" s="52">
        <f>SUM(B11:B101)</f>
        <v>104574.98631501626</v>
      </c>
      <c r="C102" s="9">
        <f si="2" t="shared"/>
        <v>1</v>
      </c>
      <c r="F102" s="52">
        <f>SUM(F11:F101)</f>
        <v>88046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F11" sqref="F11:F101"/>
    </sheetView>
  </sheetViews>
  <sheetFormatPr defaultRowHeight="14.25" x14ac:dyDescent="0.45"/>
  <cols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0</v>
      </c>
    </row>
    <row r="2" spans="1:12" x14ac:dyDescent="0.45">
      <c r="A2" t="s">
        <v>245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4" t="s">
        <v>37</v>
      </c>
      <c r="B9" s="1"/>
      <c r="E9" s="4" t="s">
        <v>11</v>
      </c>
      <c r="F9" s="1"/>
      <c r="J9" s="8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52" t="n">
        <v>0.0</v>
      </c>
      <c r="C11" s="9">
        <f>B11/B$102</f>
        <v>0</v>
      </c>
      <c r="E11" s="16">
        <v>0</v>
      </c>
      <c r="F11" s="54" t="n">
        <v>1328.0</v>
      </c>
      <c r="G11" s="9">
        <f>F11/F$102</f>
        <v>1.4889943892965041E-2</v>
      </c>
      <c r="K11" s="7" t="n">
        <v>13.4203702132081</v>
      </c>
      <c r="L11" s="7" t="n">
        <v>15.284767482245128</v>
      </c>
    </row>
    <row r="12" spans="1:12" x14ac:dyDescent="0.45">
      <c r="A12">
        <v>1</v>
      </c>
      <c r="B12" s="52" t="n">
        <v>0.0</v>
      </c>
      <c r="C12" s="9">
        <f>B12/B$102</f>
        <v>0</v>
      </c>
      <c r="E12" s="16">
        <v>1</v>
      </c>
      <c r="F12" s="54" t="n">
        <v>637.0</v>
      </c>
      <c r="G12" s="9">
        <f>F12/F$102</f>
        <v>7.6778047838629805E-3</v>
      </c>
      <c r="K12" s="7"/>
      <c r="L12" s="16"/>
    </row>
    <row r="13" spans="1:12" x14ac:dyDescent="0.45">
      <c r="A13">
        <v>2</v>
      </c>
      <c r="B13" s="52" t="n">
        <v>0.0</v>
      </c>
      <c r="C13" s="9">
        <f ref="C13:C76" si="0" t="shared">B13/B$102</f>
        <v>0</v>
      </c>
      <c r="E13" s="16">
        <v>2</v>
      </c>
      <c r="F13" s="54" t="n">
        <v>700.0</v>
      </c>
      <c r="G13" s="9">
        <f ref="G13:G76" si="1" t="shared">F13/F$102</f>
        <v>8.3251936487745044E-3</v>
      </c>
    </row>
    <row r="14" spans="1:12" x14ac:dyDescent="0.45">
      <c r="A14">
        <v>3</v>
      </c>
      <c r="B14" s="52" t="n">
        <v>826.7850336147201</v>
      </c>
      <c r="C14" s="9">
        <f si="0" t="shared"/>
        <v>7.9061452719119268E-3</v>
      </c>
      <c r="E14" s="16">
        <v>3</v>
      </c>
      <c r="F14" s="54" t="n">
        <v>1237.0</v>
      </c>
      <c r="G14" s="9">
        <f si="1" t="shared"/>
        <v>1.3072711991459009E-2</v>
      </c>
    </row>
    <row r="15" spans="1:12" x14ac:dyDescent="0.45">
      <c r="A15">
        <v>4</v>
      </c>
      <c r="B15" s="52" t="n">
        <v>9218.882338957472</v>
      </c>
      <c r="C15" s="9">
        <f si="0" t="shared"/>
        <v>8.8155711645870938E-2</v>
      </c>
      <c r="E15" s="16">
        <v>4</v>
      </c>
      <c r="F15" s="54" t="n">
        <v>2036.0</v>
      </c>
      <c r="G15" s="9">
        <f si="1" t="shared"/>
        <v>2.3680803216500467E-2</v>
      </c>
    </row>
    <row r="16" spans="1:12" x14ac:dyDescent="0.45">
      <c r="A16">
        <v>5</v>
      </c>
      <c r="B16" s="52" t="n">
        <v>10648.617961684335</v>
      </c>
      <c r="C16" s="9">
        <f si="0" t="shared"/>
        <v>0.10182758168963076</v>
      </c>
      <c r="E16" s="16">
        <v>5</v>
      </c>
      <c r="F16" s="54" t="n">
        <v>3147.0</v>
      </c>
      <c r="G16" s="9">
        <f si="1" t="shared"/>
        <v>3.3153124503100651E-2</v>
      </c>
    </row>
    <row r="17" spans="1:7" x14ac:dyDescent="0.45">
      <c r="A17">
        <v>6</v>
      </c>
      <c r="B17" s="52" t="n">
        <v>4805.508667625302</v>
      </c>
      <c r="C17" s="9">
        <f si="0" t="shared"/>
        <v>4.5952754448845334E-2</v>
      </c>
      <c r="E17" s="16">
        <v>6</v>
      </c>
      <c r="F17" s="54" t="n">
        <v>4155.0</v>
      </c>
      <c r="G17" s="9">
        <f si="1" t="shared"/>
        <v>4.5328578243191059E-2</v>
      </c>
    </row>
    <row r="18" spans="1:7" x14ac:dyDescent="0.45">
      <c r="A18">
        <v>7</v>
      </c>
      <c r="B18" s="52" t="n">
        <v>7109.592448300013</v>
      </c>
      <c r="C18" s="9">
        <f si="0" t="shared"/>
        <v>6.7985592911133139E-2</v>
      </c>
      <c r="E18" s="16">
        <v>7</v>
      </c>
      <c r="F18" s="54" t="n">
        <v>5071.0</v>
      </c>
      <c r="G18" s="9">
        <f si="1" t="shared"/>
        <v>5.7844762964813848E-2</v>
      </c>
    </row>
    <row r="19" spans="1:7" x14ac:dyDescent="0.45">
      <c r="A19">
        <v>8</v>
      </c>
      <c r="B19" s="52" t="n">
        <v>10193.857626296422</v>
      </c>
      <c r="C19" s="9">
        <f si="0" t="shared"/>
        <v>9.747892861863712E-2</v>
      </c>
      <c r="E19" s="16">
        <v>8</v>
      </c>
      <c r="F19" s="54" t="n">
        <v>5660.0</v>
      </c>
      <c r="G19" s="9">
        <f si="1" t="shared"/>
        <v>6.4591236399154983E-2</v>
      </c>
    </row>
    <row r="20" spans="1:7" x14ac:dyDescent="0.45">
      <c r="A20">
        <v>9</v>
      </c>
      <c r="B20" s="52" t="n">
        <v>8435.962339955298</v>
      </c>
      <c r="C20" s="9">
        <f si="0" t="shared"/>
        <v>8.0669026477739575E-2</v>
      </c>
      <c r="E20" s="16">
        <v>9</v>
      </c>
      <c r="F20" s="54" t="n">
        <v>5902.0</v>
      </c>
      <c r="G20" s="9">
        <f si="1" t="shared"/>
        <v>7.02360129932081E-2</v>
      </c>
    </row>
    <row r="21" spans="1:7" x14ac:dyDescent="0.45">
      <c r="A21">
        <v>10</v>
      </c>
      <c r="B21" s="52" t="n">
        <v>5057.393454437571</v>
      </c>
      <c r="C21" s="9">
        <f si="0" t="shared"/>
        <v>4.8361406801459596E-2</v>
      </c>
      <c r="E21" s="16">
        <v>10</v>
      </c>
      <c r="F21" s="54" t="n">
        <v>5710.0</v>
      </c>
      <c r="G21" s="9">
        <f si="1" t="shared"/>
        <v>6.5545283147445649E-2</v>
      </c>
    </row>
    <row r="22" spans="1:7" x14ac:dyDescent="0.45">
      <c r="A22">
        <v>11</v>
      </c>
      <c r="B22" s="52" t="n">
        <v>3838.01993618136</v>
      </c>
      <c r="C22" s="9">
        <f si="0" t="shared"/>
        <v>3.6701127788053532E-2</v>
      </c>
      <c r="E22" s="16">
        <v>11</v>
      </c>
      <c r="F22" s="54" t="n">
        <v>5487.0</v>
      </c>
      <c r="G22" s="9">
        <f si="1" t="shared"/>
        <v>6.3887059037321406E-2</v>
      </c>
    </row>
    <row r="23" spans="1:7" x14ac:dyDescent="0.45">
      <c r="A23">
        <v>12</v>
      </c>
      <c r="B23" s="52" t="n">
        <v>5080.762799920426</v>
      </c>
      <c r="C23" s="9">
        <f si="0" t="shared"/>
        <v>4.8584876546054721E-2</v>
      </c>
      <c r="E23" s="16">
        <v>12</v>
      </c>
      <c r="F23" s="54" t="n">
        <v>5171.0</v>
      </c>
      <c r="G23" s="9">
        <f si="1" t="shared"/>
        <v>6.1899461645049177E-2</v>
      </c>
    </row>
    <row r="24" spans="1:7" x14ac:dyDescent="0.45">
      <c r="A24">
        <v>13</v>
      </c>
      <c r="B24" s="52" t="n">
        <v>4296.680000123521</v>
      </c>
      <c r="C24" s="9">
        <f si="0" t="shared"/>
        <v>4.1087072076494716E-2</v>
      </c>
      <c r="E24" s="16">
        <v>13</v>
      </c>
      <c r="F24" s="54" t="n">
        <v>4778.0</v>
      </c>
      <c r="G24" s="9">
        <f si="1" t="shared"/>
        <v>5.7640324375894419E-2</v>
      </c>
    </row>
    <row r="25" spans="1:7" x14ac:dyDescent="0.45">
      <c r="A25">
        <v>14</v>
      </c>
      <c r="B25" s="52" t="n">
        <v>2762.962444468293</v>
      </c>
      <c r="C25" s="9">
        <f si="0" t="shared"/>
        <v>2.6420873115347958E-2</v>
      </c>
      <c r="E25" s="16">
        <v>14</v>
      </c>
      <c r="F25" s="54" t="n">
        <v>4328.0</v>
      </c>
      <c r="G25" s="9">
        <f si="1" t="shared"/>
        <v>5.139358971446744E-2</v>
      </c>
    </row>
    <row r="26" spans="1:7" x14ac:dyDescent="0.45">
      <c r="A26">
        <v>15</v>
      </c>
      <c r="B26" s="52" t="n">
        <v>3467.388981029976</v>
      </c>
      <c r="C26" s="9">
        <f si="0" t="shared"/>
        <v>3.3156963277862585E-2</v>
      </c>
      <c r="E26" s="16">
        <v>15</v>
      </c>
      <c r="F26" s="54" t="n">
        <v>3904.0</v>
      </c>
      <c r="G26" s="9">
        <f si="1" t="shared"/>
        <v>4.6248551893328486E-2</v>
      </c>
    </row>
    <row r="27" spans="1:7" x14ac:dyDescent="0.45">
      <c r="A27">
        <v>16</v>
      </c>
      <c r="B27" s="52" t="n">
        <v>2548.0137228962603</v>
      </c>
      <c r="C27" s="9">
        <f si="0" t="shared"/>
        <v>2.4365422484692052E-2</v>
      </c>
      <c r="E27" s="16">
        <v>16</v>
      </c>
      <c r="F27" s="54" t="n">
        <v>3403.0</v>
      </c>
      <c r="G27" s="9">
        <f si="1" t="shared"/>
        <v>3.9502078458987344E-2</v>
      </c>
    </row>
    <row r="28" spans="1:7" x14ac:dyDescent="0.45">
      <c r="A28">
        <v>17</v>
      </c>
      <c r="B28" s="52" t="n">
        <v>4418.266910948236</v>
      </c>
      <c r="C28" s="9">
        <f si="0" t="shared"/>
        <v>4.2249748880089533E-2</v>
      </c>
      <c r="E28" s="16">
        <v>17</v>
      </c>
      <c r="F28" s="54" t="n">
        <v>3059.0</v>
      </c>
      <c r="G28" s="9">
        <f si="1" t="shared"/>
        <v>3.4970356404606683E-2</v>
      </c>
    </row>
    <row r="29" spans="1:7" x14ac:dyDescent="0.45">
      <c r="A29">
        <v>18</v>
      </c>
      <c r="B29" s="52" t="n">
        <v>1301.4438184859362</v>
      </c>
      <c r="C29" s="9">
        <f si="0" t="shared"/>
        <v>1.2445077588301419E-2</v>
      </c>
      <c r="E29" s="16">
        <v>18</v>
      </c>
      <c r="F29" s="54" t="n">
        <v>2705.0</v>
      </c>
      <c r="G29" s="9">
        <f si="1" t="shared"/>
        <v>3.1233673307134908E-2</v>
      </c>
    </row>
    <row r="30" spans="1:7" x14ac:dyDescent="0.45">
      <c r="A30">
        <v>19</v>
      </c>
      <c r="B30" s="52" t="n">
        <v>2184.0399365183757</v>
      </c>
      <c r="C30" s="9">
        <f si="0" t="shared"/>
        <v>2.0884917258695953E-2</v>
      </c>
      <c r="E30" s="16">
        <v>19</v>
      </c>
      <c r="F30" s="54" t="n">
        <v>2296.0</v>
      </c>
      <c r="G30" s="9">
        <f si="1" t="shared"/>
        <v>2.7190332326283987E-2</v>
      </c>
    </row>
    <row r="31" spans="1:7" x14ac:dyDescent="0.45">
      <c r="A31">
        <v>20</v>
      </c>
      <c r="B31" s="52" t="n">
        <v>1887.2968460415364</v>
      </c>
      <c r="C31" s="9">
        <f si="0" t="shared"/>
        <v>1.8047306650907338E-2</v>
      </c>
      <c r="E31" s="16">
        <v>20</v>
      </c>
      <c r="F31" s="54" t="n">
        <v>2171.0</v>
      </c>
      <c r="G31" s="9">
        <f si="1" t="shared"/>
        <v>2.4089680394339324E-2</v>
      </c>
    </row>
    <row r="32" spans="1:7" x14ac:dyDescent="0.45">
      <c r="A32">
        <v>21</v>
      </c>
      <c r="B32" s="52" t="n">
        <v>1896.2596045934583</v>
      </c>
      <c r="C32" s="9">
        <f si="0" t="shared"/>
        <v>1.8133013174692316E-2</v>
      </c>
      <c r="E32" s="16">
        <v>21</v>
      </c>
      <c r="F32" s="54" t="n">
        <v>1760.0</v>
      </c>
      <c r="G32" s="9">
        <f si="1" t="shared"/>
        <v>2.0534720487018151E-2</v>
      </c>
    </row>
    <row r="33" spans="1:7" x14ac:dyDescent="0.45">
      <c r="A33">
        <v>22</v>
      </c>
      <c r="B33" s="52" t="n">
        <v>1029.4897156945215</v>
      </c>
      <c r="C33" s="9">
        <f si="0" t="shared"/>
        <v>9.8445120766579904E-3</v>
      </c>
      <c r="E33" s="16">
        <v>22</v>
      </c>
      <c r="F33" s="54" t="n">
        <v>1659.0</v>
      </c>
      <c r="G33" s="9">
        <f si="1" t="shared"/>
        <v>1.7104695272925515E-2</v>
      </c>
    </row>
    <row r="34" spans="1:7" x14ac:dyDescent="0.45">
      <c r="A34">
        <v>23</v>
      </c>
      <c r="B34" s="52" t="n">
        <v>428.7826099390828</v>
      </c>
      <c r="C34" s="9">
        <f si="0" t="shared"/>
        <v>4.1002406507368826E-3</v>
      </c>
      <c r="E34" s="16">
        <v>23</v>
      </c>
      <c r="F34" s="54" t="n">
        <v>1451.0</v>
      </c>
      <c r="G34" s="9">
        <f si="1" t="shared"/>
        <v>1.5253390273266247E-2</v>
      </c>
    </row>
    <row r="35" spans="1:7" x14ac:dyDescent="0.45">
      <c r="A35">
        <v>24</v>
      </c>
      <c r="B35" s="52" t="n">
        <v>915.3406001478395</v>
      </c>
      <c r="C35" s="9">
        <f si="0" t="shared"/>
        <v>8.7529593108481522E-3</v>
      </c>
      <c r="E35" s="16">
        <v>24</v>
      </c>
      <c r="F35" s="54" t="n">
        <v>1207.0</v>
      </c>
      <c r="G35" s="9">
        <f si="1" t="shared"/>
        <v>1.3299865979147264E-2</v>
      </c>
    </row>
    <row r="36" spans="1:7" x14ac:dyDescent="0.45">
      <c r="A36">
        <v>25</v>
      </c>
      <c r="B36" s="52" t="n">
        <v>543.6864119349201</v>
      </c>
      <c r="C36" s="9">
        <f si="0" t="shared"/>
        <v>5.199010117937262E-3</v>
      </c>
      <c r="E36" s="16">
        <v>25</v>
      </c>
      <c r="F36" s="54" t="n">
        <v>1139.0</v>
      </c>
      <c r="G36" s="9">
        <f si="1" t="shared"/>
        <v>1.1289553188106217E-2</v>
      </c>
    </row>
    <row r="37" spans="1:7" x14ac:dyDescent="0.45">
      <c r="A37">
        <v>26</v>
      </c>
      <c r="B37" s="52" t="n">
        <v>633.2760687262705</v>
      </c>
      <c r="C37" s="9">
        <f si="0" t="shared"/>
        <v>6.055712661712646E-3</v>
      </c>
      <c r="E37" s="16">
        <v>26</v>
      </c>
      <c r="F37" s="54" t="n">
        <v>1006.0</v>
      </c>
      <c r="G37" s="9">
        <f si="1" t="shared"/>
        <v>9.7676214705949161E-3</v>
      </c>
    </row>
    <row r="38" spans="1:7" x14ac:dyDescent="0.45">
      <c r="A38">
        <v>27</v>
      </c>
      <c r="B38" s="52" t="n">
        <v>1832.4363863984004</v>
      </c>
      <c r="C38" s="9">
        <f si="0" t="shared"/>
        <v>1.752270261722497E-2</v>
      </c>
      <c r="E38" s="16">
        <v>27</v>
      </c>
      <c r="F38" s="54" t="n">
        <v>812.0</v>
      </c>
      <c r="G38" s="9">
        <f si="1" t="shared"/>
        <v>8.6999977284601231E-3</v>
      </c>
    </row>
    <row r="39" spans="1:7" x14ac:dyDescent="0.45">
      <c r="A39">
        <v>28</v>
      </c>
      <c r="B39" s="52" t="n">
        <v>596.0266717122789</v>
      </c>
      <c r="C39" s="9">
        <f si="0" t="shared"/>
        <v>5.6995146995940235E-3</v>
      </c>
      <c r="E39" s="16">
        <v>28</v>
      </c>
      <c r="F39" s="54" t="n">
        <v>720.0</v>
      </c>
      <c r="G39" s="9">
        <f si="1" t="shared"/>
        <v>7.4847238943279645E-3</v>
      </c>
    </row>
    <row r="40" spans="1:7" x14ac:dyDescent="0.45">
      <c r="A40">
        <v>29</v>
      </c>
      <c r="B40" s="52" t="n">
        <v>1260.145394778079</v>
      </c>
      <c r="C40" s="9">
        <f si="0" t="shared"/>
        <v>1.2050160742857596E-2</v>
      </c>
      <c r="E40" s="16">
        <v>29</v>
      </c>
      <c r="F40" s="54" t="n">
        <v>634.0</v>
      </c>
      <c r="G40" s="9">
        <f si="1" t="shared"/>
        <v>6.5761079435749494E-3</v>
      </c>
    </row>
    <row r="41" spans="1:7" x14ac:dyDescent="0.45">
      <c r="A41">
        <v>30</v>
      </c>
      <c r="B41" s="52" t="n">
        <v>799.0951537759986</v>
      </c>
      <c r="C41" s="9">
        <f si="0" t="shared"/>
        <v>7.6413603475772489E-3</v>
      </c>
      <c r="E41" s="16">
        <v>30</v>
      </c>
      <c r="F41" s="54" t="n">
        <v>486.0</v>
      </c>
      <c r="G41" s="9">
        <f si="1" t="shared"/>
        <v>5.5539149989778068E-3</v>
      </c>
    </row>
    <row r="42" spans="1:7" x14ac:dyDescent="0.45">
      <c r="A42">
        <v>31</v>
      </c>
      <c r="B42" s="52" t="n">
        <v>0.0</v>
      </c>
      <c r="C42" s="9">
        <f si="0" t="shared"/>
        <v>0</v>
      </c>
      <c r="E42" s="16">
        <v>31</v>
      </c>
      <c r="F42" s="54" t="n">
        <v>434.0</v>
      </c>
      <c r="G42" s="9">
        <f si="1" t="shared"/>
        <v>4.4635758580741881E-3</v>
      </c>
    </row>
    <row r="43" spans="1:7" x14ac:dyDescent="0.45">
      <c r="A43">
        <v>32</v>
      </c>
      <c r="B43" s="52" t="n">
        <v>663.6237824576081</v>
      </c>
      <c r="C43" s="9">
        <f si="0" t="shared"/>
        <v>6.3459131656832578E-3</v>
      </c>
      <c r="E43" s="16">
        <v>32</v>
      </c>
      <c r="F43" s="54" t="n">
        <v>399.0</v>
      </c>
      <c r="G43" s="9">
        <f si="1" t="shared"/>
        <v>3.8275446925470778E-3</v>
      </c>
    </row>
    <row r="44" spans="1:7" x14ac:dyDescent="0.45">
      <c r="A44">
        <v>33</v>
      </c>
      <c r="B44" s="52" t="n">
        <v>1516.827724032678</v>
      </c>
      <c r="C44" s="9">
        <f si="0" t="shared"/>
        <v>1.4504689672762328E-2</v>
      </c>
      <c r="E44" s="16">
        <v>33</v>
      </c>
      <c r="F44" s="54" t="n">
        <v>394.0</v>
      </c>
      <c r="G44" s="9">
        <f si="1" t="shared"/>
        <v>3.4186675147082207E-3</v>
      </c>
    </row>
    <row r="45" spans="1:7" x14ac:dyDescent="0.45">
      <c r="A45">
        <v>34</v>
      </c>
      <c r="B45" s="52" t="n">
        <v>466.21209282797497</v>
      </c>
      <c r="C45" s="9">
        <f si="0" t="shared"/>
        <v>4.4581606869503378E-3</v>
      </c>
      <c r="E45" s="16">
        <v>34</v>
      </c>
      <c r="F45" s="54" t="n">
        <v>346.0</v>
      </c>
      <c r="G45" s="9">
        <f si="1" t="shared"/>
        <v>2.78263634918111E-3</v>
      </c>
    </row>
    <row r="46" spans="1:7" x14ac:dyDescent="0.45">
      <c r="A46">
        <v>35</v>
      </c>
      <c r="B46" s="52" t="n">
        <v>0.0</v>
      </c>
      <c r="C46" s="9">
        <f si="0" t="shared"/>
        <v>0</v>
      </c>
      <c r="E46" s="16">
        <v>35</v>
      </c>
      <c r="F46" s="54" t="n">
        <v>284.0</v>
      </c>
      <c r="G46" s="9">
        <f si="1" t="shared"/>
        <v>2.294255275651364E-3</v>
      </c>
    </row>
    <row r="47" spans="1:7" x14ac:dyDescent="0.45">
      <c r="A47">
        <v>36</v>
      </c>
      <c r="B47" s="52" t="n">
        <v>1247.31737698676</v>
      </c>
      <c r="C47" s="9">
        <f si="0" t="shared"/>
        <v>1.1927492615006481E-2</v>
      </c>
      <c r="E47" s="16">
        <v>36</v>
      </c>
      <c r="F47" s="54" t="n">
        <v>238.0</v>
      </c>
      <c r="G47" s="9">
        <f si="1" t="shared"/>
        <v>2.0671012879631104E-3</v>
      </c>
    </row>
    <row r="48" spans="1:7" x14ac:dyDescent="0.45">
      <c r="A48">
        <v>37</v>
      </c>
      <c r="B48" s="52" t="n">
        <v>0.0</v>
      </c>
      <c r="C48" s="9">
        <f si="0" t="shared"/>
        <v>0</v>
      </c>
      <c r="E48" s="16">
        <v>37</v>
      </c>
      <c r="F48" s="54" t="n">
        <v>225.0</v>
      </c>
      <c r="G48" s="9">
        <f si="1" t="shared"/>
        <v>1.6809395088930787E-3</v>
      </c>
    </row>
    <row r="49" spans="1:7" x14ac:dyDescent="0.45">
      <c r="A49">
        <v>38</v>
      </c>
      <c r="B49" s="52" t="n">
        <v>0.0</v>
      </c>
      <c r="C49" s="9">
        <f si="0" t="shared"/>
        <v>0</v>
      </c>
      <c r="E49" s="16">
        <v>38</v>
      </c>
      <c r="F49" s="54" t="n">
        <v>184.0</v>
      </c>
      <c r="G49" s="9">
        <f si="1" t="shared"/>
        <v>1.5900779138177772E-3</v>
      </c>
    </row>
    <row r="50" spans="1:7" x14ac:dyDescent="0.45">
      <c r="A50">
        <v>39</v>
      </c>
      <c r="B50" s="52" t="n">
        <v>28.4975484599947</v>
      </c>
      <c r="C50" s="9">
        <f si="0" t="shared"/>
        <v>2.7250826860402517E-4</v>
      </c>
      <c r="E50" s="16">
        <v>39</v>
      </c>
      <c r="F50" s="54" t="n">
        <v>163.0</v>
      </c>
      <c r="G50" s="9">
        <f si="1" t="shared"/>
        <v>1.374281625513936E-3</v>
      </c>
    </row>
    <row r="51" spans="1:7" x14ac:dyDescent="0.45">
      <c r="A51">
        <v>40</v>
      </c>
      <c r="B51" s="52" t="n">
        <v>306.4396097281139</v>
      </c>
      <c r="C51" s="9">
        <f si="0" t="shared"/>
        <v>2.9303337301428011E-3</v>
      </c>
      <c r="E51" s="16">
        <v>40</v>
      </c>
      <c r="F51" s="54" t="n">
        <v>105.0</v>
      </c>
      <c r="G51" s="9">
        <f si="1" t="shared"/>
        <v>1.18120073597892E-3</v>
      </c>
    </row>
    <row r="52" spans="1:7" x14ac:dyDescent="0.45">
      <c r="A52">
        <v>41</v>
      </c>
      <c r="B52" s="52" t="n">
        <v>99.9384762495672</v>
      </c>
      <c r="C52" s="9">
        <f si="0" t="shared"/>
        <v>9.5566329742102708E-4</v>
      </c>
      <c r="E52" s="16">
        <v>41</v>
      </c>
      <c r="F52" s="54" t="n">
        <v>127.0</v>
      </c>
      <c r="G52" s="9">
        <f si="1" t="shared"/>
        <v>9.3133134952184081E-4</v>
      </c>
    </row>
    <row r="53" spans="1:7" x14ac:dyDescent="0.45">
      <c r="A53">
        <v>42</v>
      </c>
      <c r="B53" s="52" t="n">
        <v>0.0</v>
      </c>
      <c r="C53" s="9">
        <f si="0" t="shared"/>
        <v>0</v>
      </c>
      <c r="E53" s="16">
        <v>42</v>
      </c>
      <c r="F53" s="54" t="n">
        <v>97.0</v>
      </c>
      <c r="G53" s="9">
        <f si="1" t="shared"/>
        <v>8.5182745383095197E-4</v>
      </c>
    </row>
    <row r="54" spans="1:7" x14ac:dyDescent="0.45">
      <c r="A54">
        <v>43</v>
      </c>
      <c r="B54" s="52" t="n">
        <v>579.1336949219091</v>
      </c>
      <c r="C54" s="9">
        <f si="0" t="shared"/>
        <v>5.5379753354913852E-3</v>
      </c>
      <c r="E54" s="16">
        <v>43</v>
      </c>
      <c r="F54" s="54" t="n">
        <v>79.0</v>
      </c>
      <c r="G54" s="9">
        <f si="1" t="shared"/>
        <v>7.7232355814006314E-4</v>
      </c>
    </row>
    <row r="55" spans="1:7" x14ac:dyDescent="0.45">
      <c r="A55">
        <v>44</v>
      </c>
      <c r="B55" s="52" t="n">
        <v>212.9025619510487</v>
      </c>
      <c r="C55" s="9">
        <f si="0" t="shared"/>
        <v>2.0358841961471753E-3</v>
      </c>
      <c r="E55" s="16">
        <v>44</v>
      </c>
      <c r="F55" s="54" t="n">
        <v>86.0</v>
      </c>
      <c r="G55" s="9">
        <f si="1" t="shared"/>
        <v>7.496081593712378E-4</v>
      </c>
    </row>
    <row r="56" spans="1:7" x14ac:dyDescent="0.45">
      <c r="A56">
        <v>45</v>
      </c>
      <c r="B56" s="52" t="n">
        <v>228.746677613708</v>
      </c>
      <c r="C56" s="9">
        <f si="0" t="shared"/>
        <v>2.1873938087320749E-3</v>
      </c>
      <c r="E56" s="16">
        <v>45</v>
      </c>
      <c r="F56" s="54" t="n">
        <v>68.0</v>
      </c>
      <c r="G56" s="9">
        <f si="1" t="shared"/>
        <v>4.8838107352974585E-4</v>
      </c>
    </row>
    <row r="57" spans="1:7" x14ac:dyDescent="0.45">
      <c r="A57">
        <v>46</v>
      </c>
      <c r="B57" s="52" t="n">
        <v>0.0</v>
      </c>
      <c r="C57" s="9">
        <f si="0" t="shared"/>
        <v>0</v>
      </c>
      <c r="E57" s="16">
        <v>46</v>
      </c>
      <c r="F57" s="54" t="n">
        <v>66.0</v>
      </c>
      <c r="G57" s="9">
        <f si="1" t="shared"/>
        <v>4.0887717783885696E-4</v>
      </c>
    </row>
    <row r="58" spans="1:7" x14ac:dyDescent="0.45">
      <c r="A58">
        <v>47</v>
      </c>
      <c r="B58" s="52" t="n">
        <v>1184.0417666051223</v>
      </c>
      <c r="C58" s="9">
        <f si="0" t="shared"/>
        <v>1.1322418566122271E-2</v>
      </c>
      <c r="E58" s="16">
        <v>47</v>
      </c>
      <c r="F58" s="54" t="n">
        <v>55.0</v>
      </c>
      <c r="G58" s="9">
        <f si="1" t="shared"/>
        <v>4.5430797537650774E-4</v>
      </c>
    </row>
    <row r="59" spans="1:7" x14ac:dyDescent="0.45">
      <c r="A59">
        <v>48</v>
      </c>
      <c r="B59" s="52" t="n">
        <v>0.0</v>
      </c>
      <c r="C59" s="9">
        <f si="0" t="shared"/>
        <v>0</v>
      </c>
      <c r="E59" s="16">
        <v>48</v>
      </c>
      <c r="F59" s="54" t="n">
        <v>47.0</v>
      </c>
      <c r="G59" s="9">
        <f si="1" t="shared"/>
        <v>3.0665788337914273E-4</v>
      </c>
    </row>
    <row r="60" spans="1:7" x14ac:dyDescent="0.45">
      <c r="A60">
        <v>49</v>
      </c>
      <c r="B60" s="52" t="n">
        <v>25.2911179958817</v>
      </c>
      <c r="C60" s="9">
        <f si="0" t="shared"/>
        <v>2.4184672536983225E-4</v>
      </c>
      <c r="E60" s="16">
        <v>49</v>
      </c>
      <c r="F60" s="54" t="n">
        <v>28.0</v>
      </c>
      <c r="G60" s="9">
        <f si="1" t="shared"/>
        <v>2.7258478522590462E-4</v>
      </c>
    </row>
    <row r="61" spans="1:7" x14ac:dyDescent="0.45">
      <c r="A61">
        <v>50</v>
      </c>
      <c r="B61" s="52" t="n">
        <v>0.0</v>
      </c>
      <c r="C61" s="9">
        <f si="0" t="shared"/>
        <v>0</v>
      </c>
      <c r="E61" s="16">
        <v>50</v>
      </c>
      <c r="F61" s="54" t="n">
        <v>30.0</v>
      </c>
      <c r="G61" s="9">
        <f si="1" t="shared"/>
        <v>2.8394248461031734E-4</v>
      </c>
    </row>
    <row r="62" spans="1:7" x14ac:dyDescent="0.45">
      <c r="A62">
        <v>51</v>
      </c>
      <c r="B62" s="52" t="n">
        <v>0.0</v>
      </c>
      <c r="C62" s="9">
        <f si="0" t="shared"/>
        <v>0</v>
      </c>
      <c r="E62" s="16">
        <v>51</v>
      </c>
      <c r="F62" s="54" t="n">
        <v>33.0</v>
      </c>
      <c r="G62" s="9">
        <f si="1" t="shared"/>
        <v>3.2937328214796812E-4</v>
      </c>
    </row>
    <row r="63" spans="1:7" x14ac:dyDescent="0.45">
      <c r="A63">
        <v>52</v>
      </c>
      <c r="B63" s="52" t="n">
        <v>0.0</v>
      </c>
      <c r="C63" s="9">
        <f si="0" t="shared"/>
        <v>0</v>
      </c>
      <c r="E63" s="16">
        <v>52</v>
      </c>
      <c r="F63" s="54" t="n">
        <v>17.0</v>
      </c>
      <c r="G63" s="9">
        <f si="1" t="shared"/>
        <v>1.9308088953501578E-4</v>
      </c>
    </row>
    <row r="64" spans="1:7" x14ac:dyDescent="0.45">
      <c r="A64">
        <v>53</v>
      </c>
      <c r="B64" s="52" t="n">
        <v>0.0</v>
      </c>
      <c r="C64" s="9">
        <f si="0" t="shared"/>
        <v>0</v>
      </c>
      <c r="E64" s="16">
        <v>53</v>
      </c>
      <c r="F64" s="54" t="n">
        <v>22.0</v>
      </c>
      <c r="G64" s="9">
        <f si="1" t="shared"/>
        <v>1.3629239261295231E-4</v>
      </c>
    </row>
    <row r="65" spans="1:7" x14ac:dyDescent="0.45">
      <c r="A65">
        <v>54</v>
      </c>
      <c r="B65" s="52" t="n">
        <v>0.0</v>
      </c>
      <c r="C65" s="9">
        <f si="0" t="shared"/>
        <v>0</v>
      </c>
      <c r="E65" s="16">
        <v>54</v>
      </c>
      <c r="F65" s="54" t="n">
        <v>13.0</v>
      </c>
      <c r="G65" s="9">
        <f si="1" t="shared"/>
        <v>1.4765009199736501E-4</v>
      </c>
    </row>
    <row r="66" spans="1:7" x14ac:dyDescent="0.45">
      <c r="A66">
        <v>55</v>
      </c>
      <c r="B66" s="52" t="n">
        <v>0.0</v>
      </c>
      <c r="C66" s="9">
        <f si="0" t="shared"/>
        <v>0</v>
      </c>
      <c r="E66" s="16">
        <v>55</v>
      </c>
      <c r="F66" s="54" t="n">
        <v>20.0</v>
      </c>
      <c r="G66" s="9">
        <f si="1" t="shared"/>
        <v>1.2493469322853962E-4</v>
      </c>
    </row>
    <row r="67" spans="1:7" x14ac:dyDescent="0.45">
      <c r="A67">
        <v>56</v>
      </c>
      <c r="B67" s="52" t="n">
        <v>0.0</v>
      </c>
      <c r="C67" s="9">
        <f si="0" t="shared"/>
        <v>0</v>
      </c>
      <c r="E67" s="16">
        <v>56</v>
      </c>
      <c r="F67" s="54" t="n">
        <v>17.0</v>
      </c>
      <c r="G67" s="9">
        <f si="1" t="shared"/>
        <v>9.0861595075301545E-5</v>
      </c>
    </row>
    <row r="68" spans="1:7" x14ac:dyDescent="0.45">
      <c r="A68">
        <v>57</v>
      </c>
      <c r="B68" s="52" t="n">
        <v>0.0</v>
      </c>
      <c r="C68" s="9">
        <f si="0" t="shared"/>
        <v>0</v>
      </c>
      <c r="E68" s="16">
        <v>57</v>
      </c>
      <c r="F68" s="54" t="n">
        <v>18.0</v>
      </c>
      <c r="G68" s="9">
        <f si="1" t="shared"/>
        <v>5.6788496922063467E-5</v>
      </c>
    </row>
    <row r="69" spans="1:7" x14ac:dyDescent="0.45">
      <c r="A69">
        <v>58</v>
      </c>
      <c r="B69" s="52" t="n">
        <v>0.0</v>
      </c>
      <c r="C69" s="9">
        <f si="0" t="shared"/>
        <v>0</v>
      </c>
      <c r="E69" s="16">
        <v>58</v>
      </c>
      <c r="F69" s="54" t="n">
        <v>14.0</v>
      </c>
      <c r="G69" s="9">
        <f si="1" t="shared"/>
        <v>1.1357699384412693E-4</v>
      </c>
    </row>
    <row r="70" spans="1:7" x14ac:dyDescent="0.45">
      <c r="A70">
        <v>59</v>
      </c>
      <c r="B70" s="52" t="n">
        <v>0.0</v>
      </c>
      <c r="C70" s="9">
        <f si="0" t="shared"/>
        <v>0</v>
      </c>
      <c r="E70" s="16">
        <v>59</v>
      </c>
      <c r="F70" s="54" t="n">
        <v>7.0</v>
      </c>
      <c r="G70" s="9">
        <f si="1" t="shared"/>
        <v>1.0221929445971424E-4</v>
      </c>
    </row>
    <row r="71" spans="1:7" x14ac:dyDescent="0.45">
      <c r="A71">
        <v>60</v>
      </c>
      <c r="B71" s="52" t="n">
        <v>0.0</v>
      </c>
      <c r="C71" s="9">
        <f si="0" t="shared"/>
        <v>0</v>
      </c>
      <c r="E71" s="16">
        <v>60</v>
      </c>
      <c r="F71" s="54" t="n">
        <v>12.0</v>
      </c>
      <c r="G71" s="9">
        <f si="1" t="shared"/>
        <v>1.1357699384412693E-4</v>
      </c>
    </row>
    <row r="72" spans="1:7" x14ac:dyDescent="0.45">
      <c r="A72">
        <v>61</v>
      </c>
      <c r="B72" s="52" t="n">
        <v>0.0</v>
      </c>
      <c r="C72" s="9">
        <f si="0" t="shared"/>
        <v>0</v>
      </c>
      <c r="E72" s="16">
        <v>61</v>
      </c>
      <c r="F72" s="54" t="n">
        <v>12.0</v>
      </c>
      <c r="G72" s="9">
        <f si="1" t="shared"/>
        <v>1.1357699384412693E-4</v>
      </c>
    </row>
    <row r="73" spans="1:7" x14ac:dyDescent="0.45">
      <c r="A73">
        <v>62</v>
      </c>
      <c r="B73" s="52" t="n">
        <v>0.0</v>
      </c>
      <c r="C73" s="9">
        <f si="0" t="shared"/>
        <v>0</v>
      </c>
      <c r="E73" s="16">
        <v>62</v>
      </c>
      <c r="F73" s="54" t="n">
        <v>9.0</v>
      </c>
      <c r="G73" s="9">
        <f si="1" t="shared"/>
        <v>4.5430797537650772E-5</v>
      </c>
    </row>
    <row r="74" spans="1:7" x14ac:dyDescent="0.45">
      <c r="A74">
        <v>63</v>
      </c>
      <c r="B74" s="52" t="n">
        <v>0.0</v>
      </c>
      <c r="C74" s="9">
        <f si="0" t="shared"/>
        <v>0</v>
      </c>
      <c r="E74" s="16">
        <v>63</v>
      </c>
      <c r="F74" s="54" t="n">
        <v>7.0</v>
      </c>
      <c r="G74" s="9">
        <f si="1" t="shared"/>
        <v>6.8146196306476155E-5</v>
      </c>
    </row>
    <row r="75" spans="1:7" x14ac:dyDescent="0.45">
      <c r="A75">
        <v>64</v>
      </c>
      <c r="B75" s="52" t="n">
        <v>0.0</v>
      </c>
      <c r="C75" s="9">
        <f si="0" t="shared"/>
        <v>0</v>
      </c>
      <c r="E75" s="16">
        <v>64</v>
      </c>
      <c r="F75" s="54" t="n">
        <v>8.0</v>
      </c>
      <c r="G75" s="9">
        <f si="1" t="shared"/>
        <v>1.3629239261295231E-4</v>
      </c>
    </row>
    <row r="76" spans="1:7" x14ac:dyDescent="0.45">
      <c r="A76">
        <v>65</v>
      </c>
      <c r="B76" s="52" t="n">
        <v>0.0</v>
      </c>
      <c r="C76" s="9">
        <f si="0" t="shared"/>
        <v>0</v>
      </c>
      <c r="E76" s="16">
        <v>65</v>
      </c>
      <c r="F76" s="54" t="n">
        <v>14.0</v>
      </c>
      <c r="G76" s="9">
        <f si="1" t="shared"/>
        <v>1.0221929445971424E-4</v>
      </c>
    </row>
    <row r="77" spans="1:7" x14ac:dyDescent="0.45">
      <c r="A77">
        <v>66</v>
      </c>
      <c r="B77" s="52" t="n">
        <v>0.0</v>
      </c>
      <c r="C77" s="9">
        <f ref="C77:C102" si="2" t="shared">B77/B$102</f>
        <v>0</v>
      </c>
      <c r="E77" s="16">
        <v>66</v>
      </c>
      <c r="F77" s="54" t="n">
        <v>14.0</v>
      </c>
      <c r="G77" s="9">
        <f ref="G77:G102" si="3" t="shared">F77/F$102</f>
        <v>1.2493469322853962E-4</v>
      </c>
    </row>
    <row r="78" spans="1:7" x14ac:dyDescent="0.45">
      <c r="A78">
        <v>67</v>
      </c>
      <c r="B78" s="52" t="n">
        <v>0.0</v>
      </c>
      <c r="C78" s="9">
        <f si="2" t="shared"/>
        <v>0</v>
      </c>
      <c r="E78" s="16">
        <v>67</v>
      </c>
      <c r="F78" s="54" t="n">
        <v>7.0</v>
      </c>
      <c r="G78" s="9">
        <f si="3" t="shared"/>
        <v>1.2493469322853962E-4</v>
      </c>
    </row>
    <row r="79" spans="1:7" x14ac:dyDescent="0.45">
      <c r="A79">
        <v>68</v>
      </c>
      <c r="B79" s="52" t="n">
        <v>0.0</v>
      </c>
      <c r="C79" s="9">
        <f si="2" t="shared"/>
        <v>0</v>
      </c>
      <c r="E79" s="16">
        <v>68</v>
      </c>
      <c r="F79" s="54" t="n">
        <v>10.0</v>
      </c>
      <c r="G79" s="9">
        <f si="3" t="shared"/>
        <v>5.6788496922063467E-5</v>
      </c>
    </row>
    <row r="80" spans="1:7" x14ac:dyDescent="0.45">
      <c r="A80">
        <v>69</v>
      </c>
      <c r="B80" s="52" t="n">
        <v>0.0</v>
      </c>
      <c r="C80" s="9">
        <f si="2" t="shared"/>
        <v>0</v>
      </c>
      <c r="E80" s="16">
        <v>69</v>
      </c>
      <c r="F80" s="54" t="n">
        <v>4.0</v>
      </c>
      <c r="G80" s="9">
        <f si="3" t="shared"/>
        <v>6.8146196306476155E-5</v>
      </c>
    </row>
    <row r="81" spans="1:7" x14ac:dyDescent="0.45">
      <c r="A81">
        <v>70</v>
      </c>
      <c r="B81" s="52" t="n">
        <v>0.0</v>
      </c>
      <c r="C81" s="9">
        <f si="2" t="shared"/>
        <v>0</v>
      </c>
      <c r="E81" s="16">
        <v>70</v>
      </c>
      <c r="F81" s="54" t="n">
        <v>3.0</v>
      </c>
      <c r="G81" s="9">
        <f si="3" t="shared"/>
        <v>3.4073098153238078E-5</v>
      </c>
    </row>
    <row r="82" spans="1:7" x14ac:dyDescent="0.45">
      <c r="A82">
        <v>71</v>
      </c>
      <c r="B82" s="52" t="n">
        <v>0.0</v>
      </c>
      <c r="C82" s="9">
        <f si="2" t="shared"/>
        <v>0</v>
      </c>
      <c r="E82" s="16">
        <v>71</v>
      </c>
      <c r="F82" s="54" t="n">
        <v>4.0</v>
      </c>
      <c r="G82" s="9">
        <f si="3" t="shared"/>
        <v>2.2715398768825386E-5</v>
      </c>
    </row>
    <row r="83" spans="1:7" x14ac:dyDescent="0.45">
      <c r="A83">
        <v>72</v>
      </c>
      <c r="B83" s="52" t="n">
        <v>0.0</v>
      </c>
      <c r="C83" s="9">
        <f si="2" t="shared"/>
        <v>0</v>
      </c>
      <c r="E83" s="16">
        <v>72</v>
      </c>
      <c r="F83" s="54" t="n">
        <v>2.0</v>
      </c>
      <c r="G83" s="9">
        <f si="3" t="shared"/>
        <v>6.8146196306476155E-5</v>
      </c>
    </row>
    <row r="84" spans="1:7" x14ac:dyDescent="0.45">
      <c r="A84">
        <v>73</v>
      </c>
      <c r="B84" s="52" t="n">
        <v>0.0</v>
      </c>
      <c r="C84" s="9">
        <f si="2" t="shared"/>
        <v>0</v>
      </c>
      <c r="E84" s="16">
        <v>73</v>
      </c>
      <c r="F84" s="54" t="n">
        <v>5.0</v>
      </c>
      <c r="G84" s="9">
        <f si="3" t="shared"/>
        <v>7.950389569088885E-5</v>
      </c>
    </row>
    <row r="85" spans="1:7" x14ac:dyDescent="0.45">
      <c r="A85">
        <v>74</v>
      </c>
      <c r="B85" s="52" t="n">
        <v>0.0</v>
      </c>
      <c r="C85" s="9">
        <f si="2" t="shared"/>
        <v>0</v>
      </c>
      <c r="E85" s="16">
        <v>74</v>
      </c>
      <c r="F85" s="54" t="n">
        <v>7.0</v>
      </c>
      <c r="G85" s="9">
        <f si="3" t="shared"/>
        <v>9.0861595075301545E-5</v>
      </c>
    </row>
    <row r="86" spans="1:7" x14ac:dyDescent="0.45">
      <c r="A86">
        <v>75</v>
      </c>
      <c r="B86" s="52" t="n">
        <v>0.0</v>
      </c>
      <c r="C86" s="9">
        <f si="2" t="shared"/>
        <v>0</v>
      </c>
      <c r="E86" s="16">
        <v>75</v>
      </c>
      <c r="F86" s="54" t="n">
        <v>4.0</v>
      </c>
      <c r="G86" s="9">
        <f si="3" t="shared"/>
        <v>9.0861595075301545E-5</v>
      </c>
    </row>
    <row r="87" spans="1:7" x14ac:dyDescent="0.45">
      <c r="A87">
        <v>76</v>
      </c>
      <c r="B87" s="52" t="n">
        <v>0.0</v>
      </c>
      <c r="C87" s="9">
        <f si="2" t="shared"/>
        <v>0</v>
      </c>
      <c r="E87" s="16">
        <v>76</v>
      </c>
      <c r="F87" s="54" t="n">
        <v>7.0</v>
      </c>
      <c r="G87" s="9">
        <f si="3" t="shared"/>
        <v>1.590077913817777E-4</v>
      </c>
    </row>
    <row r="88" spans="1:7" x14ac:dyDescent="0.45">
      <c r="A88">
        <v>77</v>
      </c>
      <c r="B88" s="52" t="n">
        <v>0.0</v>
      </c>
      <c r="C88" s="9">
        <f si="2" t="shared"/>
        <v>0</v>
      </c>
      <c r="E88" s="16">
        <v>77</v>
      </c>
      <c r="F88" s="54" t="n">
        <v>5.0</v>
      </c>
      <c r="G88" s="9">
        <f si="3" t="shared"/>
        <v>5.6788496922063467E-5</v>
      </c>
    </row>
    <row r="89" spans="1:7" x14ac:dyDescent="0.45">
      <c r="A89">
        <v>78</v>
      </c>
      <c r="B89" s="52" t="n">
        <v>0.0</v>
      </c>
      <c r="C89" s="9">
        <f si="2" t="shared"/>
        <v>0</v>
      </c>
      <c r="E89" s="16">
        <v>78</v>
      </c>
      <c r="F89" s="54" t="n">
        <v>2.0</v>
      </c>
      <c r="G89" s="9">
        <f si="3" t="shared"/>
        <v>7.950389569088885E-5</v>
      </c>
    </row>
    <row r="90" spans="1:7" x14ac:dyDescent="0.45">
      <c r="A90">
        <v>79</v>
      </c>
      <c r="B90" s="52" t="n">
        <v>0.0</v>
      </c>
      <c r="C90" s="9">
        <f si="2" t="shared"/>
        <v>0</v>
      </c>
      <c r="E90" s="16">
        <v>79</v>
      </c>
      <c r="F90" s="54" t="n">
        <v>8.0</v>
      </c>
      <c r="G90" s="9">
        <f si="3" t="shared"/>
        <v>4.5430797537650772E-5</v>
      </c>
    </row>
    <row r="91" spans="1:7" x14ac:dyDescent="0.45">
      <c r="A91">
        <v>80</v>
      </c>
      <c r="B91" s="52" t="n">
        <v>0.0</v>
      </c>
      <c r="C91" s="9">
        <f si="2" t="shared"/>
        <v>0</v>
      </c>
      <c r="E91" s="16">
        <v>80</v>
      </c>
      <c r="F91" s="54" t="n">
        <v>5.0</v>
      </c>
      <c r="G91" s="9">
        <f si="3" t="shared"/>
        <v>9.0861595075301545E-5</v>
      </c>
    </row>
    <row r="92" spans="1:7" x14ac:dyDescent="0.45">
      <c r="A92">
        <v>81</v>
      </c>
      <c r="B92" s="52" t="n">
        <v>0.0</v>
      </c>
      <c r="C92" s="9">
        <f si="2" t="shared"/>
        <v>0</v>
      </c>
      <c r="E92" s="16">
        <v>81</v>
      </c>
      <c r="F92" s="54" t="n">
        <v>5.0</v>
      </c>
      <c r="G92" s="9">
        <f si="3" t="shared"/>
        <v>1.0221929445971424E-4</v>
      </c>
    </row>
    <row r="93" spans="1:7" x14ac:dyDescent="0.45">
      <c r="A93">
        <v>82</v>
      </c>
      <c r="B93" s="52" t="n">
        <v>0.0</v>
      </c>
      <c r="C93" s="9">
        <f si="2" t="shared"/>
        <v>0</v>
      </c>
      <c r="E93" s="16">
        <v>82</v>
      </c>
      <c r="F93" s="54" t="n">
        <v>9.0</v>
      </c>
      <c r="G93" s="9">
        <f si="3" t="shared"/>
        <v>2.2715398768825386E-5</v>
      </c>
    </row>
    <row r="94" spans="1:7" x14ac:dyDescent="0.45">
      <c r="A94">
        <v>83</v>
      </c>
      <c r="B94" s="52" t="n">
        <v>0.0</v>
      </c>
      <c r="C94" s="9">
        <f si="2" t="shared"/>
        <v>0</v>
      </c>
      <c r="E94" s="16">
        <v>83</v>
      </c>
      <c r="F94" s="54" t="n">
        <v>7.0</v>
      </c>
      <c r="G94" s="9">
        <f si="3" t="shared"/>
        <v>5.6788496922063467E-5</v>
      </c>
    </row>
    <row r="95" spans="1:7" x14ac:dyDescent="0.45">
      <c r="A95">
        <v>84</v>
      </c>
      <c r="B95" s="52" t="n">
        <v>0.0</v>
      </c>
      <c r="C95" s="9">
        <f si="2" t="shared"/>
        <v>0</v>
      </c>
      <c r="E95" s="16">
        <v>84</v>
      </c>
      <c r="F95" s="54" t="n">
        <v>12.0</v>
      </c>
      <c r="G95" s="9">
        <f si="3" t="shared"/>
        <v>1.0221929445971424E-4</v>
      </c>
    </row>
    <row r="96" spans="1:7" x14ac:dyDescent="0.45">
      <c r="A96">
        <v>85</v>
      </c>
      <c r="B96" s="52" t="n">
        <v>0.0</v>
      </c>
      <c r="C96" s="9">
        <f si="2" t="shared"/>
        <v>0</v>
      </c>
      <c r="E96" s="16">
        <v>85</v>
      </c>
      <c r="F96" s="54" t="n">
        <v>9.0</v>
      </c>
      <c r="G96" s="9">
        <f si="3" t="shared"/>
        <v>5.6788496922063467E-5</v>
      </c>
    </row>
    <row r="97" spans="1:7" x14ac:dyDescent="0.45">
      <c r="A97">
        <v>86</v>
      </c>
      <c r="B97" s="52" t="n">
        <v>0.0</v>
      </c>
      <c r="C97" s="9">
        <f si="2" t="shared"/>
        <v>0</v>
      </c>
      <c r="E97" s="16">
        <v>86</v>
      </c>
      <c r="F97" s="54" t="n">
        <v>9.0</v>
      </c>
      <c r="G97" s="9">
        <f si="3" t="shared"/>
        <v>1.3629239261295231E-4</v>
      </c>
    </row>
    <row r="98" spans="1:7" x14ac:dyDescent="0.45">
      <c r="A98">
        <v>87</v>
      </c>
      <c r="B98" s="52" t="n">
        <v>0.0</v>
      </c>
      <c r="C98" s="9">
        <f si="2" t="shared"/>
        <v>0</v>
      </c>
      <c r="E98" s="16">
        <v>87</v>
      </c>
      <c r="F98" s="54" t="n">
        <v>9.0</v>
      </c>
      <c r="G98" s="9">
        <f si="3" t="shared"/>
        <v>5.6788496922063467E-5</v>
      </c>
    </row>
    <row r="99" spans="1:7" x14ac:dyDescent="0.45">
      <c r="A99">
        <v>88</v>
      </c>
      <c r="B99" s="52" t="n">
        <v>0.0</v>
      </c>
      <c r="C99" s="9">
        <f si="2" t="shared"/>
        <v>0</v>
      </c>
      <c r="E99" s="16">
        <v>88</v>
      </c>
      <c r="F99" s="54" t="n">
        <v>9.0</v>
      </c>
      <c r="G99" s="9">
        <f si="3" t="shared"/>
        <v>1.8172319015060309E-4</v>
      </c>
    </row>
    <row r="100" spans="1:7" x14ac:dyDescent="0.45">
      <c r="A100">
        <v>89</v>
      </c>
      <c r="B100" s="52" t="n">
        <v>0.0</v>
      </c>
      <c r="C100" s="9">
        <f si="2" t="shared"/>
        <v>0</v>
      </c>
      <c r="E100" s="16">
        <v>89</v>
      </c>
      <c r="F100" s="54" t="n">
        <v>6.0</v>
      </c>
      <c r="G100" s="9">
        <f si="3" t="shared"/>
        <v>1.1357699384412693E-4</v>
      </c>
    </row>
    <row ht="14.65" r="101" spans="1:7" thickBot="1" x14ac:dyDescent="0.5">
      <c r="A101" s="1">
        <v>90</v>
      </c>
      <c r="B101" s="53" t="n">
        <v>0.0</v>
      </c>
      <c r="C101" s="9">
        <f si="2" t="shared"/>
        <v>0</v>
      </c>
      <c r="E101" s="17">
        <v>90</v>
      </c>
      <c r="F101" s="55" t="n">
        <v>716.0</v>
      </c>
      <c r="G101" s="9">
        <f si="3" t="shared"/>
        <v>7.9390318697044725E-3</v>
      </c>
    </row>
    <row r="102" spans="1:7" x14ac:dyDescent="0.45">
      <c r="B102" s="52">
        <f>SUM(B11:B101)</f>
        <v>104574.98631501624</v>
      </c>
      <c r="C102" s="9">
        <f si="2" t="shared"/>
        <v>1</v>
      </c>
      <c r="F102" s="52">
        <f>SUM(F11:F101)</f>
        <v>88046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workbookViewId="0">
      <selection activeCell="T3" sqref="T3"/>
    </sheetView>
  </sheetViews>
  <sheetFormatPr defaultRowHeight="14.25" x14ac:dyDescent="0.45"/>
  <cols>
    <col min="1" max="1" customWidth="true" width="12.1328125" collapsed="true"/>
    <col min="4" max="4" bestFit="true" customWidth="true" width="12.265625" collapsed="true"/>
    <col min="5" max="5" customWidth="true" width="11.0" collapsed="true"/>
    <col min="7" max="7" customWidth="true" width="11.3984375" collapsed="true"/>
    <col min="12" max="12" customWidth="true" width="11.59765625" collapsed="true"/>
    <col min="13" max="13" bestFit="true" customWidth="true" width="10.59765625" collapsed="true"/>
    <col min="14" max="14" bestFit="true" customWidth="true" width="9.59765625" collapsed="true"/>
    <col min="15" max="15" bestFit="true" customWidth="true" width="12.3984375" collapsed="true"/>
    <col min="16" max="16" customWidth="true" width="11.59765625" collapsed="true"/>
    <col min="17" max="18" bestFit="true" customWidth="true" width="10.59765625" collapsed="true"/>
    <col min="21" max="21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ht="14.65" r="5" spans="1:21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18" t="s">
        <v>254</v>
      </c>
      <c r="B7" s="10" t="n">
        <v>34026.5259024499</v>
      </c>
      <c r="C7" s="10" t="n">
        <v>0.0</v>
      </c>
      <c r="D7" s="10" t="n">
        <v>0.0</v>
      </c>
      <c r="E7" s="10" t="n">
        <v>169.3039781715296</v>
      </c>
      <c r="F7" s="10" t="n">
        <v>579.436262352998</v>
      </c>
      <c r="G7" s="10" t="n">
        <v>832.5355831873757</v>
      </c>
      <c r="H7" s="10" t="n">
        <v>1892.042352276838</v>
      </c>
      <c r="I7" s="10"/>
      <c r="J7" s="10">
        <f>SUM(B7:I7)</f>
        <v>37499.84407843864</v>
      </c>
      <c r="K7" s="10"/>
      <c r="L7" t="str">
        <f>$A$7</f>
        <v>Bellevue</v>
      </c>
      <c r="M7" s="54" t="n">
        <v>32557.0</v>
      </c>
      <c r="N7" s="54" t="n">
        <v>0.0</v>
      </c>
      <c r="O7" s="54" t="n">
        <v>6.0</v>
      </c>
      <c r="P7" s="54" t="n">
        <v>679.0</v>
      </c>
      <c r="Q7" s="54" t="n">
        <v>131.0</v>
      </c>
      <c r="R7" s="54" t="n">
        <v>951.0</v>
      </c>
      <c r="S7" s="54" t="n">
        <v>522.0</v>
      </c>
      <c r="T7" s="54"/>
      <c r="U7" s="52">
        <f>SUM(M7:T7)</f>
        <v>34738</v>
      </c>
    </row>
    <row r="8" spans="1:21" x14ac:dyDescent="0.45">
      <c r="A8" t="s">
        <v>255</v>
      </c>
      <c r="B8" s="10" t="n">
        <v>0.0</v>
      </c>
      <c r="C8" s="10" t="n">
        <v>2916.3980416795494</v>
      </c>
      <c r="D8" s="10" t="n">
        <v>0.0</v>
      </c>
      <c r="E8" s="10" t="n">
        <v>0.0</v>
      </c>
      <c r="F8" s="10" t="n">
        <v>0.0</v>
      </c>
      <c r="G8" s="10" t="n">
        <v>1808.75758474802</v>
      </c>
      <c r="H8" s="10" t="n">
        <v>0.0</v>
      </c>
      <c r="I8" s="10"/>
      <c r="J8" s="10">
        <f ref="J8:J14" si="0" t="shared">SUM(B8:I8)</f>
        <v>4725.1556264275696</v>
      </c>
      <c r="K8" s="10"/>
      <c r="L8" t="str">
        <f>$A$8</f>
        <v>Bellevue Downtown</v>
      </c>
      <c r="M8" s="54" t="n">
        <v>6.0</v>
      </c>
      <c r="N8" s="54" t="n">
        <v>4632.0</v>
      </c>
      <c r="O8" s="54" t="n">
        <v>0.0</v>
      </c>
      <c r="P8" s="54" t="n">
        <v>3.0</v>
      </c>
      <c r="Q8" s="54" t="n">
        <v>0.0</v>
      </c>
      <c r="R8" s="54" t="n">
        <v>543.0</v>
      </c>
      <c r="S8" s="54" t="n">
        <v>0.0</v>
      </c>
      <c r="T8" s="54"/>
      <c r="U8" s="52">
        <f ref="U8:U13" si="1" t="shared">SUM(M8:T8)</f>
        <v>5114</v>
      </c>
    </row>
    <row r="9" spans="1:21" x14ac:dyDescent="0.45">
      <c r="A9" t="s">
        <v>256</v>
      </c>
      <c r="B9" s="10" t="n">
        <v>438.29855935999603</v>
      </c>
      <c r="C9" s="10" t="n">
        <v>0.0</v>
      </c>
      <c r="D9" s="10" t="n">
        <v>2006.617592495184</v>
      </c>
      <c r="E9" s="10" t="n">
        <v>0.0</v>
      </c>
      <c r="F9" s="10" t="n">
        <v>83.6934893109364</v>
      </c>
      <c r="G9" s="10" t="n">
        <v>0.0</v>
      </c>
      <c r="H9" s="10" t="n">
        <v>0.0</v>
      </c>
      <c r="I9" s="10"/>
      <c r="J9" s="10">
        <f si="0" t="shared"/>
        <v>2528.6096411661165</v>
      </c>
      <c r="K9" s="10"/>
      <c r="L9" t="str">
        <f>$A$9</f>
        <v>Kirkland</v>
      </c>
      <c r="M9" s="54" t="n">
        <v>572.0</v>
      </c>
      <c r="N9" s="54" t="n">
        <v>0.0</v>
      </c>
      <c r="O9" s="54" t="n">
        <v>2780.0</v>
      </c>
      <c r="P9" s="54" t="n">
        <v>0.0</v>
      </c>
      <c r="Q9" s="54" t="n">
        <v>172.0</v>
      </c>
      <c r="R9" s="54" t="n">
        <v>1.0</v>
      </c>
      <c r="S9" s="54" t="n">
        <v>3.0</v>
      </c>
      <c r="T9" s="54"/>
      <c r="U9" s="52">
        <f si="1" t="shared"/>
        <v>3395</v>
      </c>
    </row>
    <row r="10" spans="1:21" x14ac:dyDescent="0.45">
      <c r="A10" t="s">
        <v>257</v>
      </c>
      <c r="B10" s="10" t="n">
        <v>150.5269693648378</v>
      </c>
      <c r="C10" s="10" t="n">
        <v>0.0</v>
      </c>
      <c r="D10" s="10" t="n">
        <v>0.0</v>
      </c>
      <c r="E10" s="10" t="n">
        <v>18226.04523046586</v>
      </c>
      <c r="F10" s="10" t="n">
        <v>0.0</v>
      </c>
      <c r="G10" s="10" t="n">
        <v>0.0</v>
      </c>
      <c r="H10" s="10" t="n">
        <v>0.0</v>
      </c>
      <c r="I10" s="10"/>
      <c r="J10" s="10">
        <f si="0" t="shared"/>
        <v>18376.572199830698</v>
      </c>
      <c r="K10" s="10"/>
      <c r="L10" t="str">
        <f>$A$10</f>
        <v>Redmond</v>
      </c>
      <c r="M10" s="54" t="n">
        <v>487.0</v>
      </c>
      <c r="N10" s="54" t="n">
        <v>0.0</v>
      </c>
      <c r="O10" s="54" t="n">
        <v>0.0</v>
      </c>
      <c r="P10" s="54" t="n">
        <v>15080.0</v>
      </c>
      <c r="Q10" s="54" t="n">
        <v>0.0</v>
      </c>
      <c r="R10" s="54" t="n">
        <v>61.0</v>
      </c>
      <c r="S10" s="54" t="n">
        <v>38.0</v>
      </c>
      <c r="T10" s="54"/>
      <c r="U10" s="52">
        <f si="1" t="shared"/>
        <v>15783</v>
      </c>
    </row>
    <row r="11" spans="1:21" x14ac:dyDescent="0.45">
      <c r="A11" t="s">
        <v>252</v>
      </c>
      <c r="B11" s="10" t="n">
        <v>3868.5264266295703</v>
      </c>
      <c r="C11" s="10" t="n">
        <v>0.0</v>
      </c>
      <c r="D11" s="10" t="n">
        <v>839.0498073153633</v>
      </c>
      <c r="E11" s="10" t="n">
        <v>0.0</v>
      </c>
      <c r="F11" s="10" t="n">
        <v>8503.200623647306</v>
      </c>
      <c r="G11" s="10" t="n">
        <v>0.0</v>
      </c>
      <c r="H11" s="10" t="n">
        <v>0.0</v>
      </c>
      <c r="I11" s="10"/>
      <c r="J11" s="10">
        <f si="0" t="shared"/>
        <v>13210.77685759224</v>
      </c>
      <c r="K11" s="10"/>
      <c r="L11" t="str">
        <f>$A$11</f>
        <v>Seattle</v>
      </c>
      <c r="M11" s="54" t="n">
        <v>1463.0</v>
      </c>
      <c r="N11" s="54" t="n">
        <v>0.0</v>
      </c>
      <c r="O11" s="54" t="n">
        <v>460.0</v>
      </c>
      <c r="P11" s="54" t="n">
        <v>1.0</v>
      </c>
      <c r="Q11" s="54" t="n">
        <v>7735.0</v>
      </c>
      <c r="R11" s="54" t="n">
        <v>2.0</v>
      </c>
      <c r="S11" s="54" t="n">
        <v>77.0</v>
      </c>
      <c r="T11" s="54"/>
      <c r="U11" s="52">
        <f si="1" t="shared"/>
        <v>9625</v>
      </c>
    </row>
    <row r="12" spans="1:21" x14ac:dyDescent="0.45">
      <c r="A12" t="s">
        <v>258</v>
      </c>
      <c r="B12" s="10" t="n">
        <v>3969.4513173113633</v>
      </c>
      <c r="C12" s="10" t="n">
        <v>726.345683407868</v>
      </c>
      <c r="D12" s="10" t="n">
        <v>0.0</v>
      </c>
      <c r="E12" s="10" t="n">
        <v>0.0</v>
      </c>
      <c r="F12" s="10" t="n">
        <v>0.0</v>
      </c>
      <c r="G12" s="10" t="n">
        <v>11762.029663444071</v>
      </c>
      <c r="H12" s="10" t="n">
        <v>0.0</v>
      </c>
      <c r="I12" s="10"/>
      <c r="J12" s="10">
        <f si="0" t="shared"/>
        <v>16457.826664163302</v>
      </c>
      <c r="K12" s="10"/>
      <c r="L12" t="str">
        <f>$A$12</f>
        <v>Seattle Downtown</v>
      </c>
      <c r="M12" s="54" t="n">
        <v>1588.0</v>
      </c>
      <c r="N12" s="54" t="n">
        <v>888.0</v>
      </c>
      <c r="O12" s="54" t="n">
        <v>0.0</v>
      </c>
      <c r="P12" s="54" t="n">
        <v>291.0</v>
      </c>
      <c r="Q12" s="54" t="n">
        <v>0.0</v>
      </c>
      <c r="R12" s="54" t="n">
        <v>9148.0</v>
      </c>
      <c r="S12" s="54" t="n">
        <v>1.0</v>
      </c>
      <c r="T12" s="54"/>
      <c r="U12" s="52">
        <f si="1" t="shared"/>
        <v>11977</v>
      </c>
    </row>
    <row r="13" spans="1:21" x14ac:dyDescent="0.45">
      <c r="A13" t="s">
        <v>259</v>
      </c>
      <c r="B13" s="10" t="n">
        <v>2689.729927495442</v>
      </c>
      <c r="C13" s="10" t="n">
        <v>0.0</v>
      </c>
      <c r="D13" s="10" t="n">
        <v>0.0</v>
      </c>
      <c r="E13" s="10" t="n">
        <v>22.8699173794201</v>
      </c>
      <c r="F13" s="10" t="n">
        <v>278.49479259614</v>
      </c>
      <c r="G13" s="10" t="n">
        <v>0.0</v>
      </c>
      <c r="H13" s="10" t="n">
        <v>8785.106609926697</v>
      </c>
      <c r="I13" s="10"/>
      <c r="J13" s="10">
        <f si="0" t="shared"/>
        <v>11776.201247397699</v>
      </c>
      <c r="K13" s="10"/>
      <c r="L13" t="str">
        <f>A13</f>
        <v>Rest</v>
      </c>
      <c r="M13" s="54" t="n">
        <v>1047.0</v>
      </c>
      <c r="N13" s="54" t="n">
        <v>0.0</v>
      </c>
      <c r="O13" s="54" t="n">
        <v>0.0</v>
      </c>
      <c r="P13" s="54" t="n">
        <v>198.0</v>
      </c>
      <c r="Q13" s="54" t="n">
        <v>45.0</v>
      </c>
      <c r="R13" s="54" t="n">
        <v>2.0</v>
      </c>
      <c r="S13" s="54" t="n">
        <v>6145.0</v>
      </c>
      <c r="T13" s="54"/>
      <c r="U13" s="52">
        <f si="1" t="shared"/>
        <v>7414</v>
      </c>
    </row>
    <row r="14" spans="1:21" x14ac:dyDescent="0.45">
      <c r="A14" s="6" t="s">
        <v>13</v>
      </c>
      <c r="B14" s="11"/>
      <c r="C14" s="11"/>
      <c r="D14" s="11"/>
      <c r="E14" s="11"/>
      <c r="F14" s="11"/>
      <c r="G14" s="11"/>
      <c r="H14" s="11"/>
      <c r="I14" s="11"/>
      <c r="J14" s="11">
        <f si="0" t="shared"/>
        <v>0</v>
      </c>
      <c r="K14" s="10"/>
      <c r="L14" s="6" t="s">
        <v>13</v>
      </c>
      <c r="M14" s="56"/>
      <c r="N14" s="56"/>
      <c r="O14" s="56"/>
      <c r="P14" s="56"/>
      <c r="Q14" s="56"/>
      <c r="R14" s="56"/>
      <c r="S14" s="56"/>
      <c r="T14" s="56"/>
      <c r="U14" s="56"/>
    </row>
    <row ht="14.65" r="15" spans="1:21" thickBot="1" x14ac:dyDescent="0.5">
      <c r="A15" s="1" t="s">
        <v>4</v>
      </c>
      <c r="B15" s="12">
        <f ref="B15:J15" si="2" t="shared">SUM(B7:B14)</f>
        <v>45143.059102611114</v>
      </c>
      <c r="C15" s="12">
        <f si="2" t="shared"/>
        <v>3642.7437250874173</v>
      </c>
      <c r="D15" s="12">
        <f si="2" t="shared"/>
        <v>2845.6673998105471</v>
      </c>
      <c r="E15" s="12">
        <f si="2" t="shared"/>
        <v>18418.219126016811</v>
      </c>
      <c r="F15" s="12">
        <f si="2" t="shared"/>
        <v>9444.8251679073819</v>
      </c>
      <c r="G15" s="12">
        <f si="2" t="shared"/>
        <v>14403.322831379466</v>
      </c>
      <c r="H15" s="12">
        <f si="2" t="shared"/>
        <v>10677.148962203535</v>
      </c>
      <c r="I15" s="12">
        <f si="2" t="shared"/>
        <v>0</v>
      </c>
      <c r="J15" s="12">
        <f si="2" t="shared"/>
        <v>104574.98631501626</v>
      </c>
      <c r="K15" s="10"/>
      <c r="L15" s="12" t="s">
        <v>4</v>
      </c>
      <c r="M15" s="12">
        <f ref="M15:U15" si="3" t="shared">SUM(M7:M14)</f>
        <v>36471</v>
      </c>
      <c r="N15" s="12">
        <f si="3" t="shared"/>
        <v>5390</v>
      </c>
      <c r="O15" s="12">
        <f si="3" t="shared"/>
        <v>3099</v>
      </c>
      <c r="P15" s="12">
        <f si="3" t="shared"/>
        <v>16202</v>
      </c>
      <c r="Q15" s="12">
        <f si="3" t="shared"/>
        <v>7947</v>
      </c>
      <c r="R15" s="12">
        <f si="3" t="shared"/>
        <v>12064</v>
      </c>
      <c r="S15" s="12">
        <f si="3" t="shared"/>
        <v>6873</v>
      </c>
      <c r="T15" s="12">
        <f si="3" t="shared"/>
        <v>0</v>
      </c>
      <c r="U15" s="12">
        <f si="3" t="shared"/>
        <v>88046</v>
      </c>
    </row>
    <row ht="14.65" r="18" spans="1:32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0">
        <f ref="B20:H20" si="4" t="shared">($U7/$J7)*B7</f>
        <v>31520.489907288156</v>
      </c>
      <c r="C20" s="10">
        <f si="4" t="shared"/>
        <v>0</v>
      </c>
      <c r="D20" s="10">
        <f si="4" t="shared"/>
        <v>0</v>
      </c>
      <c r="E20" s="10">
        <f si="4" t="shared"/>
        <v>156.83482793743579</v>
      </c>
      <c r="F20" s="10">
        <f si="4" t="shared"/>
        <v>536.76108197985127</v>
      </c>
      <c r="G20" s="10">
        <f si="4" t="shared"/>
        <v>771.21976902809581</v>
      </c>
      <c r="H20" s="10">
        <f si="4" t="shared"/>
        <v>1752.6944137664634</v>
      </c>
      <c r="I20" s="10"/>
      <c r="J20" s="10">
        <f>SUM(B20:I20)</f>
        <v>34738</v>
      </c>
      <c r="K20" s="10"/>
      <c r="L20" t="str">
        <f>$A$7</f>
        <v>Bellevue</v>
      </c>
      <c r="M20" s="10">
        <f ref="M20:M26" si="5" t="shared">M7</f>
        <v>31697</v>
      </c>
      <c r="N20" s="10">
        <f ref="N20:U20" si="6" t="shared">N7</f>
        <v>0</v>
      </c>
      <c r="O20" s="10">
        <f si="6" t="shared"/>
        <v>10</v>
      </c>
      <c r="P20" s="10">
        <f si="6" t="shared"/>
        <v>604</v>
      </c>
      <c r="Q20" s="10">
        <f si="6" t="shared"/>
        <v>124</v>
      </c>
      <c r="R20" s="10">
        <f si="6" t="shared"/>
        <v>1778</v>
      </c>
      <c r="S20" s="10">
        <f ref="S20" si="7" t="shared">S7</f>
        <v>525</v>
      </c>
      <c r="T20" s="10"/>
      <c r="U20" s="10">
        <f si="6" t="shared"/>
        <v>34738</v>
      </c>
    </row>
    <row r="21" spans="1:32" x14ac:dyDescent="0.45">
      <c r="A21" t="str">
        <f>$A$8</f>
        <v>Bellevue Downtown</v>
      </c>
      <c r="B21" s="10">
        <f ref="B21:G26" si="8" t="shared">($U8/$J8)*B8</f>
        <v>0</v>
      </c>
      <c r="C21" s="10">
        <f si="8" t="shared"/>
        <v>3156.3954215038666</v>
      </c>
      <c r="D21" s="10">
        <f si="8" t="shared"/>
        <v>0</v>
      </c>
      <c r="E21" s="10">
        <f si="8" t="shared"/>
        <v>0</v>
      </c>
      <c r="F21" s="10">
        <f si="8" t="shared"/>
        <v>0</v>
      </c>
      <c r="G21" s="10">
        <f si="8" t="shared"/>
        <v>1957.6045784961329</v>
      </c>
      <c r="H21" s="10">
        <f ref="H21:H26" si="9" t="shared">($U8/$J8)*H8</f>
        <v>0</v>
      </c>
      <c r="I21" s="10"/>
      <c r="J21" s="10">
        <f ref="J21:J26" si="10" t="shared">SUM(B21:I21)</f>
        <v>5114</v>
      </c>
      <c r="K21" s="10"/>
      <c r="L21" t="str">
        <f>$A$8</f>
        <v>Bellevue Downtown</v>
      </c>
      <c r="M21" s="10">
        <f si="5" t="shared"/>
        <v>8</v>
      </c>
      <c r="N21" s="10">
        <f ref="N21:R25" si="11" t="shared">N8</f>
        <v>4526</v>
      </c>
      <c r="O21" s="10">
        <f si="11" t="shared"/>
        <v>0</v>
      </c>
      <c r="P21" s="10">
        <f si="11" t="shared"/>
        <v>0</v>
      </c>
      <c r="Q21" s="10">
        <f si="11" t="shared"/>
        <v>0</v>
      </c>
      <c r="R21" s="10">
        <f si="11" t="shared"/>
        <v>579</v>
      </c>
      <c r="S21" s="10">
        <f ref="S21" si="12" t="shared">S8</f>
        <v>1</v>
      </c>
      <c r="T21" s="10"/>
      <c r="U21" s="10">
        <f ref="U21:U26" si="13" t="shared">U8</f>
        <v>5114</v>
      </c>
    </row>
    <row r="22" spans="1:32" x14ac:dyDescent="0.45">
      <c r="A22" t="str">
        <f>$A$9</f>
        <v>Kirkland</v>
      </c>
      <c r="B22" s="10">
        <f si="8" t="shared"/>
        <v>588.47501994849472</v>
      </c>
      <c r="C22" s="10">
        <f si="8" t="shared"/>
        <v>0</v>
      </c>
      <c r="D22" s="10">
        <f si="8" t="shared"/>
        <v>2694.1551655950543</v>
      </c>
      <c r="E22" s="10">
        <f si="8" t="shared"/>
        <v>0</v>
      </c>
      <c r="F22" s="10">
        <f si="8" t="shared"/>
        <v>112.36981445645078</v>
      </c>
      <c r="G22" s="10">
        <f si="8" t="shared"/>
        <v>0</v>
      </c>
      <c r="H22" s="10">
        <f si="9" t="shared"/>
        <v>0</v>
      </c>
      <c r="I22" s="10"/>
      <c r="J22" s="10">
        <f si="10" t="shared"/>
        <v>3395</v>
      </c>
      <c r="K22" s="10"/>
      <c r="L22" t="str">
        <f>$A$9</f>
        <v>Kirkland</v>
      </c>
      <c r="M22" s="10">
        <f si="5" t="shared"/>
        <v>574</v>
      </c>
      <c r="N22" s="10">
        <f si="11" t="shared"/>
        <v>0</v>
      </c>
      <c r="O22" s="10">
        <f si="11" t="shared"/>
        <v>2649</v>
      </c>
      <c r="P22" s="10">
        <f si="11" t="shared"/>
        <v>1</v>
      </c>
      <c r="Q22" s="10">
        <f si="11" t="shared"/>
        <v>169</v>
      </c>
      <c r="R22" s="10">
        <f si="11" t="shared"/>
        <v>2</v>
      </c>
      <c r="S22" s="10">
        <f ref="S22" si="14" t="shared">S9</f>
        <v>0</v>
      </c>
      <c r="T22" s="10"/>
      <c r="U22" s="10">
        <f si="13" t="shared"/>
        <v>3395</v>
      </c>
    </row>
    <row r="23" spans="1:32" x14ac:dyDescent="0.45">
      <c r="A23" t="str">
        <f>$A$10</f>
        <v>Redmond</v>
      </c>
      <c r="B23" s="10">
        <f si="8" t="shared"/>
        <v>129.28238910122329</v>
      </c>
      <c r="C23" s="10">
        <f si="8" t="shared"/>
        <v>0</v>
      </c>
      <c r="D23" s="10">
        <f si="8" t="shared"/>
        <v>0</v>
      </c>
      <c r="E23" s="10">
        <f si="8" t="shared"/>
        <v>15653.717610898777</v>
      </c>
      <c r="F23" s="10">
        <f si="8" t="shared"/>
        <v>0</v>
      </c>
      <c r="G23" s="10">
        <f si="8" t="shared"/>
        <v>0</v>
      </c>
      <c r="H23" s="10">
        <f si="9" t="shared"/>
        <v>0</v>
      </c>
      <c r="I23" s="10"/>
      <c r="J23" s="10">
        <f>SUM(B23:I23)</f>
        <v>15783</v>
      </c>
      <c r="K23" s="10"/>
      <c r="L23" t="str">
        <f>$A$10</f>
        <v>Redmond</v>
      </c>
      <c r="M23" s="10">
        <f si="5" t="shared"/>
        <v>527</v>
      </c>
      <c r="N23" s="10">
        <f si="11" t="shared"/>
        <v>3</v>
      </c>
      <c r="O23" s="10">
        <f si="11" t="shared"/>
        <v>0</v>
      </c>
      <c r="P23" s="10">
        <f si="11" t="shared"/>
        <v>15141</v>
      </c>
      <c r="Q23" s="10">
        <f si="11" t="shared"/>
        <v>0</v>
      </c>
      <c r="R23" s="10">
        <f si="11" t="shared"/>
        <v>61</v>
      </c>
      <c r="S23" s="10">
        <f ref="S23" si="15" t="shared">S10</f>
        <v>51</v>
      </c>
      <c r="T23" s="10"/>
      <c r="U23" s="10">
        <f si="13" t="shared"/>
        <v>15783</v>
      </c>
    </row>
    <row r="24" spans="1:32" x14ac:dyDescent="0.45">
      <c r="A24" t="str">
        <f>$A$11</f>
        <v>Seattle</v>
      </c>
      <c r="B24" s="10">
        <f si="8" t="shared"/>
        <v>2818.4994158697709</v>
      </c>
      <c r="C24" s="10">
        <f si="8" t="shared"/>
        <v>0</v>
      </c>
      <c r="D24" s="10">
        <f si="8" t="shared"/>
        <v>611.30806177905993</v>
      </c>
      <c r="E24" s="10">
        <f si="8" t="shared"/>
        <v>0</v>
      </c>
      <c r="F24" s="10">
        <f si="8" t="shared"/>
        <v>6195.1925223511698</v>
      </c>
      <c r="G24" s="10">
        <f si="8" t="shared"/>
        <v>0</v>
      </c>
      <c r="H24" s="10">
        <f si="9" t="shared"/>
        <v>0</v>
      </c>
      <c r="I24" s="10"/>
      <c r="J24" s="10">
        <f si="10" t="shared"/>
        <v>9625</v>
      </c>
      <c r="K24" s="10"/>
      <c r="L24" t="str">
        <f>$A$11</f>
        <v>Seattle</v>
      </c>
      <c r="M24" s="10">
        <f si="5" t="shared"/>
        <v>1479</v>
      </c>
      <c r="N24" s="10">
        <f si="11" t="shared"/>
        <v>0</v>
      </c>
      <c r="O24" s="10">
        <f si="11" t="shared"/>
        <v>440</v>
      </c>
      <c r="P24" s="10">
        <f si="11" t="shared"/>
        <v>0</v>
      </c>
      <c r="Q24" s="10">
        <f si="11" t="shared"/>
        <v>7609</v>
      </c>
      <c r="R24" s="10">
        <f si="11" t="shared"/>
        <v>1</v>
      </c>
      <c r="S24" s="10">
        <f ref="S24" si="16" t="shared">S11</f>
        <v>96</v>
      </c>
      <c r="T24" s="10"/>
      <c r="U24" s="10">
        <f si="13" t="shared"/>
        <v>9625</v>
      </c>
    </row>
    <row r="25" spans="1:32" x14ac:dyDescent="0.45">
      <c r="A25" t="str">
        <f>$A$12</f>
        <v>Seattle Downtown</v>
      </c>
      <c r="B25" s="10">
        <f si="8" t="shared"/>
        <v>2888.7239729508469</v>
      </c>
      <c r="C25" s="10">
        <f si="8" t="shared"/>
        <v>528.58997896234712</v>
      </c>
      <c r="D25" s="10">
        <f si="8" t="shared"/>
        <v>0</v>
      </c>
      <c r="E25" s="10">
        <f si="8" t="shared"/>
        <v>0</v>
      </c>
      <c r="F25" s="10">
        <f si="8" t="shared"/>
        <v>0</v>
      </c>
      <c r="G25" s="10">
        <f si="8" t="shared"/>
        <v>8559.6860480868054</v>
      </c>
      <c r="H25" s="10">
        <f si="9" t="shared"/>
        <v>0</v>
      </c>
      <c r="I25" s="10"/>
      <c r="J25" s="10">
        <f si="10" t="shared"/>
        <v>11977</v>
      </c>
      <c r="K25" s="10"/>
      <c r="L25" t="str">
        <f>$A$12</f>
        <v>Seattle Downtown</v>
      </c>
      <c r="M25" s="10">
        <f si="5" t="shared"/>
        <v>1214</v>
      </c>
      <c r="N25" s="10">
        <f si="11" t="shared"/>
        <v>861</v>
      </c>
      <c r="O25" s="10">
        <f si="11" t="shared"/>
        <v>0</v>
      </c>
      <c r="P25" s="10">
        <f si="11" t="shared"/>
        <v>266</v>
      </c>
      <c r="Q25" s="10">
        <f si="11" t="shared"/>
        <v>0</v>
      </c>
      <c r="R25" s="10">
        <f si="11" t="shared"/>
        <v>9636</v>
      </c>
      <c r="S25" s="10">
        <f ref="S25" si="17" t="shared">S12</f>
        <v>0</v>
      </c>
      <c r="T25" s="10"/>
      <c r="U25" s="10">
        <f si="13" t="shared"/>
        <v>11977</v>
      </c>
    </row>
    <row r="26" spans="1:32" x14ac:dyDescent="0.45">
      <c r="A26" t="str">
        <f>$A$13</f>
        <v>Rest</v>
      </c>
      <c r="B26" s="10">
        <f si="8" t="shared"/>
        <v>1693.3862850601256</v>
      </c>
      <c r="C26" s="10">
        <f si="8" t="shared"/>
        <v>0</v>
      </c>
      <c r="D26" s="10">
        <f si="8" t="shared"/>
        <v>0</v>
      </c>
      <c r="E26" s="10">
        <f si="8" t="shared"/>
        <v>14.398324543620499</v>
      </c>
      <c r="F26" s="10">
        <f si="8" t="shared"/>
        <v>175.33331410789634</v>
      </c>
      <c r="G26" s="10">
        <f si="8" t="shared"/>
        <v>0</v>
      </c>
      <c r="H26" s="10">
        <f si="9" t="shared"/>
        <v>5530.882076288357</v>
      </c>
      <c r="I26" s="10"/>
      <c r="J26" s="10">
        <f si="10" t="shared"/>
        <v>7413.9999999999991</v>
      </c>
      <c r="K26" s="10"/>
      <c r="L26" t="str">
        <f>$A$13</f>
        <v>Rest</v>
      </c>
      <c r="M26" s="10">
        <f si="5" t="shared"/>
        <v>972</v>
      </c>
      <c r="N26" s="10">
        <f ref="N26:R26" si="18" t="shared">N13</f>
        <v>0</v>
      </c>
      <c r="O26" s="10">
        <f si="18" t="shared"/>
        <v>0</v>
      </c>
      <c r="P26" s="10">
        <f si="18" t="shared"/>
        <v>190</v>
      </c>
      <c r="Q26" s="10">
        <f si="18" t="shared"/>
        <v>45</v>
      </c>
      <c r="R26" s="10">
        <f si="18" t="shared"/>
        <v>7</v>
      </c>
      <c r="S26" s="10">
        <f ref="S26" si="19" t="shared">S13</f>
        <v>6200</v>
      </c>
      <c r="T26" s="10"/>
      <c r="U26" s="10">
        <f si="13" t="shared"/>
        <v>7414</v>
      </c>
    </row>
    <row r="27" spans="1:32" x14ac:dyDescent="0.45">
      <c r="A27" s="6" t="s">
        <v>13</v>
      </c>
      <c r="B27" s="11"/>
      <c r="C27" s="11"/>
      <c r="D27" s="11"/>
      <c r="E27" s="11"/>
      <c r="F27" s="11"/>
      <c r="G27" s="11"/>
      <c r="H27" s="11"/>
      <c r="I27" s="11"/>
      <c r="J27" s="11"/>
      <c r="K27" s="10"/>
      <c r="L27" s="11" t="s">
        <v>13</v>
      </c>
      <c r="M27" s="11"/>
      <c r="N27" s="11"/>
      <c r="O27" s="11"/>
      <c r="P27" s="11"/>
      <c r="Q27" s="11"/>
      <c r="R27" s="11"/>
      <c r="S27" s="11"/>
      <c r="T27" s="11"/>
      <c r="U27" s="11"/>
    </row>
    <row ht="14.65" r="28" spans="1:32" thickBot="1" x14ac:dyDescent="0.5">
      <c r="A28" s="1" t="s">
        <v>4</v>
      </c>
      <c r="B28" s="12">
        <f ref="B28:J28" si="20" t="shared">SUM(B20:B27)</f>
        <v>39638.856990218621</v>
      </c>
      <c r="C28" s="12">
        <f si="20" t="shared"/>
        <v>3684.9854004662138</v>
      </c>
      <c r="D28" s="12">
        <f si="20" t="shared"/>
        <v>3305.4632273741145</v>
      </c>
      <c r="E28" s="12">
        <f si="20" t="shared"/>
        <v>15824.950763379833</v>
      </c>
      <c r="F28" s="12">
        <f si="20" t="shared"/>
        <v>7019.6567328953679</v>
      </c>
      <c r="G28" s="12">
        <f si="20" t="shared"/>
        <v>11288.510395611034</v>
      </c>
      <c r="H28" s="12">
        <f si="20" t="shared"/>
        <v>7283.5764900548202</v>
      </c>
      <c r="I28" s="12">
        <f si="20" t="shared"/>
        <v>0</v>
      </c>
      <c r="J28" s="12">
        <f si="20" t="shared"/>
        <v>88046</v>
      </c>
      <c r="K28" s="10"/>
      <c r="L28" s="12" t="s">
        <v>4</v>
      </c>
      <c r="M28" s="12">
        <f ref="M28:U28" si="21" t="shared">M15</f>
        <v>36471</v>
      </c>
      <c r="N28" s="12">
        <f si="21" t="shared"/>
        <v>5390</v>
      </c>
      <c r="O28" s="12">
        <f si="21" t="shared"/>
        <v>3099</v>
      </c>
      <c r="P28" s="12">
        <f si="21" t="shared"/>
        <v>16202</v>
      </c>
      <c r="Q28" s="12">
        <f si="21" t="shared"/>
        <v>7947</v>
      </c>
      <c r="R28" s="12">
        <f si="21" t="shared"/>
        <v>12064</v>
      </c>
      <c r="S28" s="12">
        <f si="21" t="shared"/>
        <v>6873</v>
      </c>
      <c r="T28" s="12"/>
      <c r="U28" s="12">
        <f si="21" t="shared"/>
        <v>88046</v>
      </c>
    </row>
    <row ht="14.65" r="31" spans="1:32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3">
        <f ref="B33:H33" si="22" t="shared">B20/$J$28</f>
        <v>0.3580002488163932</v>
      </c>
      <c r="C33" s="13">
        <f si="22" t="shared"/>
        <v>0</v>
      </c>
      <c r="D33" s="13">
        <f si="22" t="shared"/>
        <v>0</v>
      </c>
      <c r="E33" s="13">
        <f si="22" t="shared"/>
        <v>1.7812828287194851E-3</v>
      </c>
      <c r="F33" s="13">
        <f si="22" t="shared"/>
        <v>6.0963710103792484E-3</v>
      </c>
      <c r="G33" s="13">
        <f si="22" t="shared"/>
        <v>8.7592822959373026E-3</v>
      </c>
      <c r="H33" s="13">
        <f si="22" t="shared"/>
        <v>1.9906576264298929E-2</v>
      </c>
      <c r="I33" s="10"/>
      <c r="J33" s="13">
        <f ref="J33:J39" si="23" t="shared">J20/$J$28</f>
        <v>0.39454376121572815</v>
      </c>
      <c r="K33" s="10"/>
      <c r="L33" t="str">
        <f>$A$7</f>
        <v>Bellevue</v>
      </c>
      <c r="M33" s="13">
        <f ref="M33:R33" si="24" t="shared">M20/$U$28</f>
        <v>0.36000499738772912</v>
      </c>
      <c r="N33" s="13">
        <f si="24" t="shared"/>
        <v>0</v>
      </c>
      <c r="O33" s="13">
        <f si="24" t="shared"/>
        <v>1.1357699384412693E-4</v>
      </c>
      <c r="P33" s="13">
        <f si="24" t="shared"/>
        <v>6.8600504281852671E-3</v>
      </c>
      <c r="Q33" s="13">
        <f si="24" t="shared"/>
        <v>1.408354723667174E-3</v>
      </c>
      <c r="R33" s="13">
        <f si="24" t="shared"/>
        <v>2.019398950548577E-2</v>
      </c>
      <c r="S33" s="13">
        <f ref="S33" si="25" t="shared">S20/$U$28</f>
        <v>5.9627921768166644E-3</v>
      </c>
      <c r="T33" s="13"/>
      <c r="U33" s="13">
        <f ref="U33:U39" si="26" t="shared">U20/$U$28</f>
        <v>0.39454376121572815</v>
      </c>
      <c r="W33" t="str">
        <f>$A$7</f>
        <v>Bellevue</v>
      </c>
      <c r="X33" s="13">
        <f ref="X33:AE33" si="27" t="shared">M33-B33</f>
        <v>2.0047485713359237E-3</v>
      </c>
      <c r="Y33" s="13">
        <f si="27" t="shared"/>
        <v>0</v>
      </c>
      <c r="Z33" s="13">
        <f si="27" t="shared"/>
        <v>1.1357699384412693E-4</v>
      </c>
      <c r="AA33" s="13">
        <f si="27" t="shared"/>
        <v>5.0787675994657822E-3</v>
      </c>
      <c r="AB33" s="13">
        <f si="27" t="shared"/>
        <v>-4.6880162867120739E-3</v>
      </c>
      <c r="AC33" s="13">
        <f si="27" t="shared"/>
        <v>1.1434707209548468E-2</v>
      </c>
      <c r="AD33" s="13">
        <f si="27" t="shared"/>
        <v>-1.3943784087482265E-2</v>
      </c>
      <c r="AE33" s="13">
        <f si="27" t="shared"/>
        <v>0</v>
      </c>
      <c r="AF33" s="13">
        <f ref="AF33:AF39" si="28" t="shared">U33-J33</f>
        <v>0</v>
      </c>
    </row>
    <row r="34" spans="1:32" x14ac:dyDescent="0.45">
      <c r="A34" t="str">
        <f>$A$8</f>
        <v>Bellevue Downtown</v>
      </c>
      <c r="B34" s="13">
        <f ref="B34:G39" si="29" t="shared">B21/$J$28</f>
        <v>0</v>
      </c>
      <c r="C34" s="13">
        <f si="29" t="shared"/>
        <v>3.5849390335777512E-2</v>
      </c>
      <c r="D34" s="13">
        <f si="29" t="shared"/>
        <v>0</v>
      </c>
      <c r="E34" s="13">
        <f si="29" t="shared"/>
        <v>0</v>
      </c>
      <c r="F34" s="13">
        <f si="29" t="shared"/>
        <v>0</v>
      </c>
      <c r="G34" s="13">
        <f si="29" t="shared"/>
        <v>2.2233884316108999E-2</v>
      </c>
      <c r="H34" s="13">
        <f ref="H34:H39" si="30" t="shared">H21/$J$28</f>
        <v>0</v>
      </c>
      <c r="I34" s="10"/>
      <c r="J34" s="13">
        <f si="23" t="shared"/>
        <v>5.8083274651886514E-2</v>
      </c>
      <c r="K34" s="10"/>
      <c r="L34" t="str">
        <f>$A$8</f>
        <v>Bellevue Downtown</v>
      </c>
      <c r="M34" s="13">
        <f ref="M34:R39" si="31" t="shared">M21/$U$28</f>
        <v>9.0861595075301545E-5</v>
      </c>
      <c r="N34" s="13">
        <f si="31" t="shared"/>
        <v>5.1404947413851848E-2</v>
      </c>
      <c r="O34" s="13">
        <f si="31" t="shared"/>
        <v>0</v>
      </c>
      <c r="P34" s="13">
        <f si="31" t="shared"/>
        <v>0</v>
      </c>
      <c r="Q34" s="13">
        <f si="31" t="shared"/>
        <v>0</v>
      </c>
      <c r="R34" s="13">
        <f si="31" t="shared"/>
        <v>6.5761079435749494E-3</v>
      </c>
      <c r="S34" s="13">
        <f ref="S34" si="32" t="shared">S21/$U$28</f>
        <v>1.1357699384412693E-5</v>
      </c>
      <c r="T34" s="13"/>
      <c r="U34" s="13">
        <f si="26" t="shared"/>
        <v>5.8083274651886514E-2</v>
      </c>
      <c r="W34" t="str">
        <f>$A$8</f>
        <v>Bellevue Downtown</v>
      </c>
      <c r="X34" s="13">
        <f ref="X34:X39" si="33" t="shared">M34-B34</f>
        <v>9.0861595075301545E-5</v>
      </c>
      <c r="Y34" s="13">
        <f ref="Y34:AC38" si="34" t="shared">N34-C34</f>
        <v>1.5555557078074336E-2</v>
      </c>
      <c r="Z34" s="13">
        <f si="34" t="shared"/>
        <v>0</v>
      </c>
      <c r="AA34" s="13">
        <f si="34" t="shared"/>
        <v>0</v>
      </c>
      <c r="AB34" s="13">
        <f si="34" t="shared"/>
        <v>0</v>
      </c>
      <c r="AC34" s="13">
        <f si="34" t="shared"/>
        <v>-1.565777637253405E-2</v>
      </c>
      <c r="AD34" s="13">
        <f ref="AD34:AE39" si="35" t="shared">S34-H34</f>
        <v>1.1357699384412693E-5</v>
      </c>
      <c r="AE34" s="13">
        <f si="35" t="shared"/>
        <v>0</v>
      </c>
      <c r="AF34" s="13">
        <f si="28" t="shared"/>
        <v>0</v>
      </c>
    </row>
    <row r="35" spans="1:32" x14ac:dyDescent="0.45">
      <c r="A35" t="str">
        <f>$A$9</f>
        <v>Kirkland</v>
      </c>
      <c r="B35" s="13">
        <f si="29" t="shared"/>
        <v>6.6837223718112663E-3</v>
      </c>
      <c r="C35" s="13">
        <f si="29" t="shared"/>
        <v>0</v>
      </c>
      <c r="D35" s="13">
        <f si="29" t="shared"/>
        <v>3.0599404465791225E-2</v>
      </c>
      <c r="E35" s="13">
        <f si="29" t="shared"/>
        <v>0</v>
      </c>
      <c r="F35" s="13">
        <f si="29" t="shared"/>
        <v>1.2762625724785997E-3</v>
      </c>
      <c r="G35" s="13">
        <f si="29" t="shared"/>
        <v>0</v>
      </c>
      <c r="H35" s="13">
        <f si="30" t="shared"/>
        <v>0</v>
      </c>
      <c r="I35" s="10"/>
      <c r="J35" s="13">
        <f si="23" t="shared"/>
        <v>3.8559389410081094E-2</v>
      </c>
      <c r="K35" s="10"/>
      <c r="L35" t="str">
        <f>$A$9</f>
        <v>Kirkland</v>
      </c>
      <c r="M35" s="13">
        <f si="31" t="shared"/>
        <v>6.5193194466528857E-3</v>
      </c>
      <c r="N35" s="13">
        <f si="31" t="shared"/>
        <v>0</v>
      </c>
      <c r="O35" s="13">
        <f si="31" t="shared"/>
        <v>3.0086545669309225E-2</v>
      </c>
      <c r="P35" s="13">
        <f si="31" t="shared"/>
        <v>1.1357699384412693E-5</v>
      </c>
      <c r="Q35" s="13">
        <f si="31" t="shared"/>
        <v>1.9194511959657451E-3</v>
      </c>
      <c r="R35" s="13">
        <f si="31" t="shared"/>
        <v>2.2715398768825386E-5</v>
      </c>
      <c r="S35" s="13">
        <f ref="S35" si="36" t="shared">S22/$U$28</f>
        <v>0</v>
      </c>
      <c r="T35" s="13"/>
      <c r="U35" s="13">
        <f si="26" t="shared"/>
        <v>3.8559389410081094E-2</v>
      </c>
      <c r="W35" t="str">
        <f>$A$9</f>
        <v>Kirkland</v>
      </c>
      <c r="X35" s="13">
        <f si="33" t="shared"/>
        <v>-1.6440292515838058E-4</v>
      </c>
      <c r="Y35" s="13">
        <f si="34" t="shared"/>
        <v>0</v>
      </c>
      <c r="Z35" s="13">
        <f si="34" t="shared"/>
        <v>-5.1285879648199986E-4</v>
      </c>
      <c r="AA35" s="13">
        <f si="34" t="shared"/>
        <v>1.1357699384412693E-5</v>
      </c>
      <c r="AB35" s="13">
        <f si="34" t="shared"/>
        <v>6.4318862348714543E-4</v>
      </c>
      <c r="AC35" s="13">
        <f si="34" t="shared"/>
        <v>2.2715398768825386E-5</v>
      </c>
      <c r="AD35" s="13">
        <f si="35" t="shared"/>
        <v>0</v>
      </c>
      <c r="AE35" s="13">
        <f si="35" t="shared"/>
        <v>0</v>
      </c>
      <c r="AF35" s="13">
        <f si="28" t="shared"/>
        <v>0</v>
      </c>
    </row>
    <row r="36" spans="1:32" x14ac:dyDescent="0.45">
      <c r="A36" t="str">
        <f>$A$10</f>
        <v>Redmond</v>
      </c>
      <c r="B36" s="13">
        <f si="29" t="shared"/>
        <v>1.468350511110366E-3</v>
      </c>
      <c r="C36" s="13">
        <f si="29" t="shared"/>
        <v>0</v>
      </c>
      <c r="D36" s="13">
        <f si="29" t="shared"/>
        <v>0</v>
      </c>
      <c r="E36" s="13">
        <f si="29" t="shared"/>
        <v>0.17779021887307517</v>
      </c>
      <c r="F36" s="13">
        <f si="29" t="shared"/>
        <v>0</v>
      </c>
      <c r="G36" s="13">
        <f si="29" t="shared"/>
        <v>0</v>
      </c>
      <c r="H36" s="13">
        <f si="30" t="shared"/>
        <v>0</v>
      </c>
      <c r="I36" s="10"/>
      <c r="J36" s="13">
        <f si="23" t="shared"/>
        <v>0.17925856938418555</v>
      </c>
      <c r="K36" s="10"/>
      <c r="L36" t="str">
        <f>$A$10</f>
        <v>Redmond</v>
      </c>
      <c r="M36" s="13">
        <f si="31" t="shared"/>
        <v>5.9855075755854891E-3</v>
      </c>
      <c r="N36" s="13">
        <f si="31" t="shared"/>
        <v>3.4073098153238078E-5</v>
      </c>
      <c r="O36" s="13">
        <f si="31" t="shared"/>
        <v>0</v>
      </c>
      <c r="P36" s="13">
        <f si="31" t="shared"/>
        <v>0.17196692637939259</v>
      </c>
      <c r="Q36" s="13">
        <f si="31" t="shared"/>
        <v>0</v>
      </c>
      <c r="R36" s="13">
        <f si="31" t="shared"/>
        <v>6.928196624491743E-4</v>
      </c>
      <c r="S36" s="13">
        <f ref="S36" si="37" t="shared">S23/$U$28</f>
        <v>5.7924266860504741E-4</v>
      </c>
      <c r="T36" s="13"/>
      <c r="U36" s="13">
        <f si="26" t="shared"/>
        <v>0.17925856938418555</v>
      </c>
      <c r="W36" t="str">
        <f>$A$10</f>
        <v>Redmond</v>
      </c>
      <c r="X36" s="13">
        <f si="33" t="shared"/>
        <v>4.5171570644751231E-3</v>
      </c>
      <c r="Y36" s="13">
        <f si="34" t="shared"/>
        <v>3.4073098153238078E-5</v>
      </c>
      <c r="Z36" s="13">
        <f si="34" t="shared"/>
        <v>0</v>
      </c>
      <c r="AA36" s="13">
        <f si="34" t="shared"/>
        <v>-5.8232924936825747E-3</v>
      </c>
      <c r="AB36" s="13">
        <f si="34" t="shared"/>
        <v>0</v>
      </c>
      <c r="AC36" s="13">
        <f si="34" t="shared"/>
        <v>6.928196624491743E-4</v>
      </c>
      <c r="AD36" s="13">
        <f si="35" t="shared"/>
        <v>5.7924266860504741E-4</v>
      </c>
      <c r="AE36" s="13">
        <f si="35" t="shared"/>
        <v>0</v>
      </c>
      <c r="AF36" s="13">
        <f si="28" t="shared"/>
        <v>0</v>
      </c>
    </row>
    <row r="37" spans="1:32" x14ac:dyDescent="0.45">
      <c r="A37" t="str">
        <f>$A$11</f>
        <v>Seattle</v>
      </c>
      <c r="B37" s="13">
        <f si="29" t="shared"/>
        <v>3.201166908059163E-2</v>
      </c>
      <c r="C37" s="13">
        <f si="29" t="shared"/>
        <v>0</v>
      </c>
      <c r="D37" s="13">
        <f si="29" t="shared"/>
        <v>6.9430531969545458E-3</v>
      </c>
      <c r="E37" s="13">
        <f si="29" t="shared"/>
        <v>0</v>
      </c>
      <c r="F37" s="13">
        <f si="29" t="shared"/>
        <v>7.0363134297426008E-2</v>
      </c>
      <c r="G37" s="13">
        <f si="29" t="shared"/>
        <v>0</v>
      </c>
      <c r="H37" s="13">
        <f si="30" t="shared"/>
        <v>0</v>
      </c>
      <c r="I37" s="10"/>
      <c r="J37" s="13">
        <f si="23" t="shared"/>
        <v>0.10931785657497217</v>
      </c>
      <c r="K37" s="10"/>
      <c r="L37" t="str">
        <f>$A$11</f>
        <v>Seattle</v>
      </c>
      <c r="M37" s="13">
        <f si="31" t="shared"/>
        <v>1.6798037389546373E-2</v>
      </c>
      <c r="N37" s="13">
        <f si="31" t="shared"/>
        <v>0</v>
      </c>
      <c r="O37" s="13">
        <f si="31" t="shared"/>
        <v>4.9973877291415855E-3</v>
      </c>
      <c r="P37" s="13">
        <f si="31" t="shared"/>
        <v>0</v>
      </c>
      <c r="Q37" s="13">
        <f si="31" t="shared"/>
        <v>8.6420734615996184E-2</v>
      </c>
      <c r="R37" s="13">
        <f si="31" t="shared"/>
        <v>1.1357699384412693E-5</v>
      </c>
      <c r="S37" s="13">
        <f ref="S37" si="38" t="shared">S24/$U$28</f>
        <v>1.0903391409036185E-3</v>
      </c>
      <c r="T37" s="13"/>
      <c r="U37" s="13">
        <f si="26" t="shared"/>
        <v>0.10931785657497217</v>
      </c>
      <c r="W37" t="str">
        <f>$A$11</f>
        <v>Seattle</v>
      </c>
      <c r="X37" s="13">
        <f si="33" t="shared"/>
        <v>-1.5213631691045258E-2</v>
      </c>
      <c r="Y37" s="13">
        <f si="34" t="shared"/>
        <v>0</v>
      </c>
      <c r="Z37" s="13">
        <f si="34" t="shared"/>
        <v>-1.9456654678129603E-3</v>
      </c>
      <c r="AA37" s="13">
        <f si="34" t="shared"/>
        <v>0</v>
      </c>
      <c r="AB37" s="13">
        <f si="34" t="shared"/>
        <v>1.6057600318570175E-2</v>
      </c>
      <c r="AC37" s="13">
        <f si="34" t="shared"/>
        <v>1.1357699384412693E-5</v>
      </c>
      <c r="AD37" s="13">
        <f si="35" t="shared"/>
        <v>1.0903391409036185E-3</v>
      </c>
      <c r="AE37" s="13">
        <f si="35" t="shared"/>
        <v>0</v>
      </c>
      <c r="AF37" s="13">
        <f si="28" t="shared"/>
        <v>0</v>
      </c>
    </row>
    <row r="38" spans="1:32" x14ac:dyDescent="0.45">
      <c r="A38" t="str">
        <f>$A$12</f>
        <v>Seattle Downtown</v>
      </c>
      <c r="B38" s="13">
        <f si="29" t="shared"/>
        <v>3.2809258489322021E-2</v>
      </c>
      <c r="C38" s="13">
        <f si="29" t="shared"/>
        <v>6.0035660786673687E-3</v>
      </c>
      <c r="D38" s="13">
        <f si="29" t="shared"/>
        <v>0</v>
      </c>
      <c r="E38" s="13">
        <f si="29" t="shared"/>
        <v>0</v>
      </c>
      <c r="F38" s="13">
        <f si="29" t="shared"/>
        <v>0</v>
      </c>
      <c r="G38" s="13">
        <f si="29" t="shared"/>
        <v>9.7218340959121435E-2</v>
      </c>
      <c r="H38" s="13">
        <f si="30" t="shared"/>
        <v>0</v>
      </c>
      <c r="I38" s="10"/>
      <c r="J38" s="13">
        <f si="23" t="shared"/>
        <v>0.13603116552711084</v>
      </c>
      <c r="K38" s="10"/>
      <c r="L38" t="str">
        <f>$A$12</f>
        <v>Seattle Downtown</v>
      </c>
      <c r="M38" s="13">
        <f si="31" t="shared"/>
        <v>1.378824705267701E-2</v>
      </c>
      <c r="N38" s="13">
        <f si="31" t="shared"/>
        <v>9.7789791699793294E-3</v>
      </c>
      <c r="O38" s="13">
        <f si="31" t="shared"/>
        <v>0</v>
      </c>
      <c r="P38" s="13">
        <f si="31" t="shared"/>
        <v>3.0211480362537764E-3</v>
      </c>
      <c r="Q38" s="13">
        <f si="31" t="shared"/>
        <v>0</v>
      </c>
      <c r="R38" s="13">
        <f si="31" t="shared"/>
        <v>0.10944279126820071</v>
      </c>
      <c r="S38" s="13">
        <f ref="S38" si="39" t="shared">S25/$U$28</f>
        <v>0</v>
      </c>
      <c r="T38" s="13"/>
      <c r="U38" s="13">
        <f si="26" t="shared"/>
        <v>0.13603116552711084</v>
      </c>
      <c r="W38" t="str">
        <f>$A$12</f>
        <v>Seattle Downtown</v>
      </c>
      <c r="X38" s="13">
        <f si="33" t="shared"/>
        <v>-1.9021011436645009E-2</v>
      </c>
      <c r="Y38" s="13">
        <f si="34" t="shared"/>
        <v>3.7754130913119606E-3</v>
      </c>
      <c r="Z38" s="13">
        <f si="34" t="shared"/>
        <v>0</v>
      </c>
      <c r="AA38" s="13">
        <f si="34" t="shared"/>
        <v>3.0211480362537764E-3</v>
      </c>
      <c r="AB38" s="13">
        <f si="34" t="shared"/>
        <v>0</v>
      </c>
      <c r="AC38" s="13">
        <f si="34" t="shared"/>
        <v>1.2224450309079274E-2</v>
      </c>
      <c r="AD38" s="13">
        <f si="35" t="shared"/>
        <v>0</v>
      </c>
      <c r="AE38" s="13">
        <f si="35" t="shared"/>
        <v>0</v>
      </c>
      <c r="AF38" s="13">
        <f si="28" t="shared"/>
        <v>0</v>
      </c>
    </row>
    <row r="39" spans="1:32" x14ac:dyDescent="0.45">
      <c r="A39" t="str">
        <f>$A$13</f>
        <v>Rest</v>
      </c>
      <c r="B39" s="13">
        <f si="29" t="shared"/>
        <v>1.9232972367400285E-2</v>
      </c>
      <c r="C39" s="13">
        <f si="29" t="shared"/>
        <v>0</v>
      </c>
      <c r="D39" s="13">
        <f si="29" t="shared"/>
        <v>0</v>
      </c>
      <c r="E39" s="13">
        <f si="29" t="shared"/>
        <v>1.6353184180565271E-4</v>
      </c>
      <c r="F39" s="13">
        <f si="29" t="shared"/>
        <v>1.9913830737102916E-3</v>
      </c>
      <c r="G39" s="13">
        <f si="29" t="shared"/>
        <v>0</v>
      </c>
      <c r="H39" s="13">
        <f si="30" t="shared"/>
        <v>6.2818095953119477E-2</v>
      </c>
      <c r="I39" s="10"/>
      <c r="J39" s="13">
        <f si="23" t="shared"/>
        <v>8.4205983236035703E-2</v>
      </c>
      <c r="K39" s="10"/>
      <c r="L39" t="str">
        <f>A39</f>
        <v>Rest</v>
      </c>
      <c r="M39" s="13">
        <f si="31" t="shared"/>
        <v>1.1039683801649137E-2</v>
      </c>
      <c r="N39" s="13">
        <f si="31" t="shared"/>
        <v>0</v>
      </c>
      <c r="O39" s="13">
        <f si="31" t="shared"/>
        <v>0</v>
      </c>
      <c r="P39" s="13">
        <f si="31" t="shared"/>
        <v>2.1579628830384117E-3</v>
      </c>
      <c r="Q39" s="13">
        <f si="31" t="shared"/>
        <v>5.1109647229857118E-4</v>
      </c>
      <c r="R39" s="13">
        <f si="31" t="shared"/>
        <v>7.950389569088885E-5</v>
      </c>
      <c r="S39" s="13">
        <f ref="S39" si="40" t="shared">S26/$U$28</f>
        <v>7.0417736183358698E-2</v>
      </c>
      <c r="T39" s="13"/>
      <c r="U39" s="13">
        <f si="26" t="shared"/>
        <v>8.4205983236035703E-2</v>
      </c>
      <c r="W39" t="str">
        <f>$A$13</f>
        <v>Rest</v>
      </c>
      <c r="X39" s="13">
        <f si="33" t="shared"/>
        <v>-8.1932885657511473E-3</v>
      </c>
      <c r="Y39" s="13">
        <f ref="Y39" si="41" t="shared">N39-C39</f>
        <v>0</v>
      </c>
      <c r="Z39" s="13">
        <f ref="Z39" si="42" t="shared">O39-D39</f>
        <v>0</v>
      </c>
      <c r="AA39" s="13">
        <f ref="AA39" si="43" t="shared">P39-E39</f>
        <v>1.994431041232759E-3</v>
      </c>
      <c r="AB39" s="13">
        <f ref="AB39" si="44" t="shared">Q39-F39</f>
        <v>-1.4802866014117203E-3</v>
      </c>
      <c r="AC39" s="13">
        <f ref="AC39" si="45" t="shared">R39-G39</f>
        <v>7.950389569088885E-5</v>
      </c>
      <c r="AD39" s="13">
        <f si="35" t="shared"/>
        <v>7.5996402302392213E-3</v>
      </c>
      <c r="AE39" s="13">
        <f si="35" t="shared"/>
        <v>0</v>
      </c>
      <c r="AF39" s="13">
        <f si="28" t="shared"/>
        <v>0</v>
      </c>
    </row>
    <row r="40" spans="1:32" x14ac:dyDescent="0.45">
      <c r="A40" s="6" t="s">
        <v>13</v>
      </c>
      <c r="B40" s="11"/>
      <c r="C40" s="11"/>
      <c r="D40" s="11"/>
      <c r="E40" s="11"/>
      <c r="F40" s="11"/>
      <c r="G40" s="11"/>
      <c r="H40" s="11"/>
      <c r="I40" s="11"/>
      <c r="J40" s="14"/>
      <c r="K40" s="10"/>
      <c r="L40" s="11" t="s">
        <v>13</v>
      </c>
      <c r="M40" s="14"/>
      <c r="N40" s="14"/>
      <c r="O40" s="14"/>
      <c r="P40" s="14"/>
      <c r="Q40" s="14"/>
      <c r="R40" s="14"/>
      <c r="S40" s="14"/>
      <c r="T40" s="14"/>
      <c r="U40" s="14"/>
      <c r="W40" s="11" t="s">
        <v>13</v>
      </c>
      <c r="X40" s="14"/>
      <c r="Y40" s="14"/>
      <c r="Z40" s="14"/>
      <c r="AA40" s="14"/>
      <c r="AB40" s="14"/>
      <c r="AC40" s="14"/>
      <c r="AD40" s="14"/>
      <c r="AE40" s="14"/>
      <c r="AF40" s="14"/>
    </row>
    <row ht="14.65" r="41" spans="1:32" thickBot="1" x14ac:dyDescent="0.5">
      <c r="A41" s="1" t="s">
        <v>4</v>
      </c>
      <c r="B41" s="15">
        <f ref="B41:J41" si="46" t="shared">B28/$J$28</f>
        <v>0.45020622163662882</v>
      </c>
      <c r="C41" s="15">
        <f si="46" t="shared"/>
        <v>4.1852956414444878E-2</v>
      </c>
      <c r="D41" s="15">
        <f si="46" t="shared"/>
        <v>3.7542457662745776E-2</v>
      </c>
      <c r="E41" s="15">
        <f si="46" t="shared"/>
        <v>0.17973503354360032</v>
      </c>
      <c r="F41" s="15">
        <f si="46" t="shared"/>
        <v>7.9727150953994144E-2</v>
      </c>
      <c r="G41" s="15">
        <f si="46" t="shared"/>
        <v>0.12821150757116773</v>
      </c>
      <c r="H41" s="15">
        <f si="46" t="shared"/>
        <v>8.2724672217418402E-2</v>
      </c>
      <c r="I41" s="15">
        <f si="46" t="shared"/>
        <v>0</v>
      </c>
      <c r="J41" s="15">
        <f si="46" t="shared"/>
        <v>1</v>
      </c>
      <c r="K41" s="10"/>
      <c r="L41" s="12" t="s">
        <v>4</v>
      </c>
      <c r="M41" s="15">
        <f>M28/$U$28</f>
        <v>0.41422665424891536</v>
      </c>
      <c r="N41" s="15">
        <f>N28/$U$28</f>
        <v>6.1217999681984415E-2</v>
      </c>
      <c r="O41" s="15">
        <f>O28/$U$28</f>
        <v>3.5197510392294934E-2</v>
      </c>
      <c r="P41" s="15">
        <f>P28/$U$28</f>
        <v>0.18401744542625445</v>
      </c>
      <c r="Q41" s="15">
        <f ref="Q41:S41" si="47" t="shared">Q28/$U$28</f>
        <v>9.0259637007927676E-2</v>
      </c>
      <c r="R41" s="15">
        <f si="47" t="shared"/>
        <v>0.13701928537355473</v>
      </c>
      <c r="S41" s="15">
        <f si="47" t="shared"/>
        <v>7.8061467869068438E-2</v>
      </c>
      <c r="T41" s="15">
        <f>T28/$U$28</f>
        <v>0</v>
      </c>
      <c r="U41" s="15">
        <f>U28/$U$28</f>
        <v>1</v>
      </c>
      <c r="W41" s="12" t="s">
        <v>4</v>
      </c>
      <c r="X41" s="15">
        <f ref="X41:AF41" si="48" t="shared">M41-B41</f>
        <v>-3.5979567387713463E-2</v>
      </c>
      <c r="Y41" s="15">
        <f si="48" t="shared"/>
        <v>1.9365043267539538E-2</v>
      </c>
      <c r="Z41" s="15">
        <f si="48" t="shared"/>
        <v>-2.3449472704508423E-3</v>
      </c>
      <c r="AA41" s="15">
        <f si="48" t="shared"/>
        <v>4.2824118826541302E-3</v>
      </c>
      <c r="AB41" s="15">
        <f si="48" t="shared"/>
        <v>1.0532486053933532E-2</v>
      </c>
      <c r="AC41" s="15">
        <f si="48" t="shared"/>
        <v>8.8077778023870068E-3</v>
      </c>
      <c r="AD41" s="15">
        <f si="48" t="shared"/>
        <v>-4.6632043483499641E-3</v>
      </c>
      <c r="AE41" s="15">
        <f si="48" t="shared"/>
        <v>0</v>
      </c>
      <c r="AF41" s="15">
        <f si="48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F5" sqref="F5"/>
    </sheetView>
  </sheetViews>
  <sheetFormatPr defaultRowHeight="14.25" x14ac:dyDescent="0.45"/>
  <sheetData>
    <row r="1" spans="1:3" x14ac:dyDescent="0.45">
      <c r="A1" s="8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workbookViewId="0">
      <selection activeCell="D49" sqref="D4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19" t="s">
        <v>221</v>
      </c>
    </row>
    <row r="2" spans="1:4" x14ac:dyDescent="0.45">
      <c r="A2" t="s">
        <v>264</v>
      </c>
      <c r="B2" t="s">
        <v>265</v>
      </c>
      <c r="C2" t="s">
        <v>224</v>
      </c>
      <c r="D2" t="s">
        <v>266</v>
      </c>
    </row>
    <row r="3" spans="1:4" x14ac:dyDescent="0.45">
      <c r="A3">
        <v>1</v>
      </c>
      <c r="B3" t="s">
        <v>40</v>
      </c>
      <c r="C3" t="s">
        <v>267</v>
      </c>
      <c r="D3" t="s">
        <v>146</v>
      </c>
    </row>
    <row r="4" spans="1:4" x14ac:dyDescent="0.45">
      <c r="A4">
        <v>2</v>
      </c>
      <c r="B4" t="s">
        <v>41</v>
      </c>
      <c r="C4" t="s">
        <v>267</v>
      </c>
      <c r="D4" t="s">
        <v>147</v>
      </c>
    </row>
    <row r="5" spans="1:4" x14ac:dyDescent="0.45">
      <c r="A5">
        <v>3</v>
      </c>
      <c r="B5" t="s">
        <v>42</v>
      </c>
      <c r="C5" t="s">
        <v>267</v>
      </c>
      <c r="D5" t="s">
        <v>148</v>
      </c>
    </row>
    <row r="6" spans="1:4" x14ac:dyDescent="0.45">
      <c r="A6">
        <v>4</v>
      </c>
      <c r="B6" t="s">
        <v>43</v>
      </c>
      <c r="C6" t="s">
        <v>267</v>
      </c>
      <c r="D6" t="s">
        <v>149</v>
      </c>
    </row>
    <row r="7" spans="1:4" x14ac:dyDescent="0.45">
      <c r="A7">
        <v>5</v>
      </c>
      <c r="B7" t="s">
        <v>44</v>
      </c>
      <c r="C7" t="s">
        <v>267</v>
      </c>
      <c r="D7" t="s">
        <v>150</v>
      </c>
    </row>
    <row r="8" spans="1:4" x14ac:dyDescent="0.45">
      <c r="A8">
        <v>6</v>
      </c>
      <c r="B8" t="s">
        <v>45</v>
      </c>
      <c r="C8" t="s">
        <v>267</v>
      </c>
      <c r="D8" t="s">
        <v>151</v>
      </c>
    </row>
    <row r="9" spans="1:4" x14ac:dyDescent="0.45">
      <c r="A9">
        <v>7</v>
      </c>
      <c r="B9" t="s">
        <v>46</v>
      </c>
      <c r="C9" t="s">
        <v>267</v>
      </c>
      <c r="D9" t="s">
        <v>152</v>
      </c>
    </row>
    <row r="10" spans="1:4" x14ac:dyDescent="0.45">
      <c r="A10">
        <v>8</v>
      </c>
      <c r="B10" t="s">
        <v>47</v>
      </c>
      <c r="C10" t="s">
        <v>267</v>
      </c>
      <c r="D10" t="s">
        <v>153</v>
      </c>
    </row>
    <row r="11" spans="1:4" x14ac:dyDescent="0.45">
      <c r="A11">
        <v>9</v>
      </c>
      <c r="B11" t="s">
        <v>48</v>
      </c>
      <c r="C11" t="s">
        <v>267</v>
      </c>
      <c r="D11" t="s">
        <v>154</v>
      </c>
    </row>
    <row r="12" spans="1:4" x14ac:dyDescent="0.45">
      <c r="A12">
        <v>10</v>
      </c>
      <c r="B12" t="s">
        <v>49</v>
      </c>
      <c r="C12" t="s">
        <v>267</v>
      </c>
      <c r="D12" t="s">
        <v>155</v>
      </c>
    </row>
    <row r="13" spans="1:4" x14ac:dyDescent="0.45">
      <c r="A13">
        <v>11</v>
      </c>
      <c r="B13" t="s">
        <v>50</v>
      </c>
      <c r="C13" t="s">
        <v>267</v>
      </c>
      <c r="D13" t="s">
        <v>156</v>
      </c>
    </row>
    <row r="14" spans="1:4" x14ac:dyDescent="0.45">
      <c r="A14">
        <v>12</v>
      </c>
      <c r="B14" t="s">
        <v>51</v>
      </c>
      <c r="C14" t="s">
        <v>267</v>
      </c>
      <c r="D14" t="s">
        <v>157</v>
      </c>
    </row>
    <row r="15" spans="1:4" x14ac:dyDescent="0.45">
      <c r="A15">
        <v>13</v>
      </c>
      <c r="B15" t="s">
        <v>52</v>
      </c>
      <c r="C15" t="s">
        <v>267</v>
      </c>
      <c r="D15" t="s">
        <v>158</v>
      </c>
    </row>
    <row r="16" spans="1:4" x14ac:dyDescent="0.45">
      <c r="A16">
        <v>14</v>
      </c>
      <c r="B16" t="s">
        <v>53</v>
      </c>
      <c r="C16" t="s">
        <v>267</v>
      </c>
      <c r="D16" t="s">
        <v>159</v>
      </c>
    </row>
    <row r="17" spans="1:4" x14ac:dyDescent="0.45">
      <c r="A17">
        <v>15</v>
      </c>
      <c r="B17" t="s">
        <v>54</v>
      </c>
      <c r="C17" t="s">
        <v>267</v>
      </c>
      <c r="D17" t="s">
        <v>160</v>
      </c>
    </row>
    <row r="18" spans="1:4" x14ac:dyDescent="0.45">
      <c r="A18">
        <v>16</v>
      </c>
      <c r="B18" t="s">
        <v>55</v>
      </c>
      <c r="C18" t="s">
        <v>267</v>
      </c>
      <c r="D18" t="s">
        <v>161</v>
      </c>
    </row>
    <row r="19" spans="1:4" x14ac:dyDescent="0.45">
      <c r="A19">
        <v>17</v>
      </c>
      <c r="B19" t="s">
        <v>56</v>
      </c>
      <c r="C19" t="s">
        <v>267</v>
      </c>
      <c r="D19" t="s">
        <v>162</v>
      </c>
    </row>
    <row r="20" spans="1:4" x14ac:dyDescent="0.45">
      <c r="A20">
        <v>18</v>
      </c>
      <c r="B20" t="s">
        <v>57</v>
      </c>
      <c r="C20" t="s">
        <v>267</v>
      </c>
      <c r="D20" t="s">
        <v>163</v>
      </c>
    </row>
    <row r="21" spans="1:4" x14ac:dyDescent="0.45">
      <c r="A21">
        <v>19</v>
      </c>
      <c r="B21" t="s">
        <v>58</v>
      </c>
      <c r="C21" t="s">
        <v>267</v>
      </c>
      <c r="D21" t="s">
        <v>164</v>
      </c>
    </row>
    <row r="22" spans="1:4" x14ac:dyDescent="0.45">
      <c r="A22">
        <v>20</v>
      </c>
      <c r="B22" t="s">
        <v>59</v>
      </c>
      <c r="C22" t="s">
        <v>141</v>
      </c>
      <c r="D22" t="s">
        <v>165</v>
      </c>
    </row>
    <row r="23" spans="1:4" x14ac:dyDescent="0.45">
      <c r="A23">
        <v>21</v>
      </c>
      <c r="B23" t="s">
        <v>60</v>
      </c>
      <c r="C23" t="s">
        <v>141</v>
      </c>
      <c r="D23" t="s">
        <v>166</v>
      </c>
    </row>
    <row r="24" spans="1:4" x14ac:dyDescent="0.45">
      <c r="A24">
        <v>22</v>
      </c>
      <c r="B24" t="s">
        <v>61</v>
      </c>
      <c r="C24" t="s">
        <v>141</v>
      </c>
      <c r="D24" t="s">
        <v>167</v>
      </c>
    </row>
    <row r="25" spans="1:4" x14ac:dyDescent="0.45">
      <c r="A25">
        <v>23</v>
      </c>
      <c r="B25" t="s">
        <v>62</v>
      </c>
      <c r="C25" t="s">
        <v>141</v>
      </c>
      <c r="D25" t="s">
        <v>168</v>
      </c>
    </row>
    <row r="26" spans="1:4" x14ac:dyDescent="0.45">
      <c r="A26">
        <v>24</v>
      </c>
      <c r="B26" t="s">
        <v>63</v>
      </c>
      <c r="C26" t="s">
        <v>141</v>
      </c>
      <c r="D26" t="s">
        <v>169</v>
      </c>
    </row>
    <row r="27" spans="1:4" x14ac:dyDescent="0.45">
      <c r="A27">
        <v>25</v>
      </c>
      <c r="B27" t="s">
        <v>64</v>
      </c>
      <c r="C27" t="s">
        <v>141</v>
      </c>
      <c r="D27" t="s">
        <v>170</v>
      </c>
    </row>
    <row r="28" spans="1:4" x14ac:dyDescent="0.45">
      <c r="A28">
        <v>26</v>
      </c>
      <c r="B28" t="s">
        <v>65</v>
      </c>
      <c r="C28" t="s">
        <v>142</v>
      </c>
      <c r="D28" t="s">
        <v>165</v>
      </c>
    </row>
    <row r="29" spans="1:4" x14ac:dyDescent="0.45">
      <c r="A29">
        <v>27</v>
      </c>
      <c r="B29" t="s">
        <v>66</v>
      </c>
      <c r="C29" t="s">
        <v>142</v>
      </c>
      <c r="D29" t="s">
        <v>166</v>
      </c>
    </row>
    <row r="30" spans="1:4" x14ac:dyDescent="0.45">
      <c r="A30">
        <v>28</v>
      </c>
      <c r="B30" t="s">
        <v>67</v>
      </c>
      <c r="C30" t="s">
        <v>142</v>
      </c>
      <c r="D30" t="s">
        <v>167</v>
      </c>
    </row>
    <row r="31" spans="1:4" x14ac:dyDescent="0.45">
      <c r="A31">
        <v>29</v>
      </c>
      <c r="B31" t="s">
        <v>68</v>
      </c>
      <c r="C31" t="s">
        <v>142</v>
      </c>
      <c r="D31" t="s">
        <v>168</v>
      </c>
    </row>
    <row r="32" spans="1:4" x14ac:dyDescent="0.45">
      <c r="A32">
        <v>30</v>
      </c>
      <c r="B32" t="s">
        <v>69</v>
      </c>
      <c r="C32" t="s">
        <v>142</v>
      </c>
      <c r="D32" t="s">
        <v>188</v>
      </c>
    </row>
    <row r="33" spans="1:4" x14ac:dyDescent="0.45">
      <c r="A33">
        <v>31</v>
      </c>
      <c r="B33" t="s">
        <v>70</v>
      </c>
      <c r="C33" t="s">
        <v>142</v>
      </c>
      <c r="D33" t="s">
        <v>189</v>
      </c>
    </row>
    <row r="34" spans="1:4" x14ac:dyDescent="0.45">
      <c r="A34">
        <v>32</v>
      </c>
      <c r="B34" t="s">
        <v>71</v>
      </c>
      <c r="C34" t="s">
        <v>142</v>
      </c>
      <c r="D34" t="s">
        <v>190</v>
      </c>
    </row>
    <row r="35" spans="1:4" x14ac:dyDescent="0.45">
      <c r="A35">
        <v>33</v>
      </c>
      <c r="B35" t="s">
        <v>72</v>
      </c>
      <c r="C35" t="s">
        <v>142</v>
      </c>
      <c r="D35" t="s">
        <v>191</v>
      </c>
    </row>
    <row r="36" spans="1:4" x14ac:dyDescent="0.45">
      <c r="A36">
        <v>34</v>
      </c>
      <c r="B36" t="s">
        <v>73</v>
      </c>
      <c r="C36" t="s">
        <v>142</v>
      </c>
      <c r="D36" t="s">
        <v>192</v>
      </c>
    </row>
    <row r="37" spans="1:4" x14ac:dyDescent="0.45">
      <c r="A37">
        <v>35</v>
      </c>
      <c r="B37" t="s">
        <v>74</v>
      </c>
      <c r="C37" t="s">
        <v>142</v>
      </c>
      <c r="D37" t="s">
        <v>193</v>
      </c>
    </row>
    <row r="38" spans="1:4" x14ac:dyDescent="0.45">
      <c r="A38">
        <v>36</v>
      </c>
      <c r="B38" t="s">
        <v>75</v>
      </c>
      <c r="C38" t="s">
        <v>143</v>
      </c>
      <c r="D38" t="s">
        <v>165</v>
      </c>
    </row>
    <row r="39" spans="1:4" x14ac:dyDescent="0.45">
      <c r="A39">
        <v>37</v>
      </c>
      <c r="B39" t="s">
        <v>76</v>
      </c>
      <c r="C39" t="s">
        <v>143</v>
      </c>
      <c r="D39" t="s">
        <v>166</v>
      </c>
    </row>
    <row r="40" spans="1:4" x14ac:dyDescent="0.45">
      <c r="A40">
        <v>38</v>
      </c>
      <c r="B40" t="s">
        <v>77</v>
      </c>
      <c r="C40" t="s">
        <v>143</v>
      </c>
      <c r="D40" t="s">
        <v>167</v>
      </c>
    </row>
    <row r="41" spans="1:4" x14ac:dyDescent="0.45">
      <c r="A41">
        <v>39</v>
      </c>
      <c r="B41" t="s">
        <v>78</v>
      </c>
      <c r="C41" t="s">
        <v>143</v>
      </c>
      <c r="D41" t="s">
        <v>168</v>
      </c>
    </row>
    <row r="42" spans="1:4" x14ac:dyDescent="0.45">
      <c r="A42">
        <v>40</v>
      </c>
      <c r="B42" t="s">
        <v>79</v>
      </c>
      <c r="C42" t="s">
        <v>143</v>
      </c>
      <c r="D42" t="s">
        <v>188</v>
      </c>
    </row>
    <row r="43" spans="1:4" x14ac:dyDescent="0.45">
      <c r="A43">
        <v>41</v>
      </c>
      <c r="B43" t="s">
        <v>80</v>
      </c>
      <c r="C43" t="s">
        <v>143</v>
      </c>
      <c r="D43" t="s">
        <v>189</v>
      </c>
    </row>
    <row r="44" spans="1:4" x14ac:dyDescent="0.45">
      <c r="A44">
        <v>42</v>
      </c>
      <c r="B44" t="s">
        <v>81</v>
      </c>
      <c r="C44" t="s">
        <v>143</v>
      </c>
      <c r="D44" t="s">
        <v>203</v>
      </c>
    </row>
    <row r="45" spans="1:4" x14ac:dyDescent="0.45">
      <c r="A45">
        <v>43</v>
      </c>
      <c r="B45" t="s">
        <v>82</v>
      </c>
      <c r="C45" t="s">
        <v>144</v>
      </c>
      <c r="D45" t="s">
        <v>165</v>
      </c>
    </row>
    <row r="46" spans="1:4" x14ac:dyDescent="0.45">
      <c r="A46">
        <v>44</v>
      </c>
      <c r="B46" t="s">
        <v>83</v>
      </c>
      <c r="C46" t="s">
        <v>144</v>
      </c>
      <c r="D46" t="s">
        <v>208</v>
      </c>
    </row>
    <row r="47" spans="1:4" x14ac:dyDescent="0.45">
      <c r="A47">
        <v>45</v>
      </c>
      <c r="B47" t="s">
        <v>84</v>
      </c>
      <c r="C47" t="s">
        <v>144</v>
      </c>
      <c r="D47" t="s">
        <v>210</v>
      </c>
    </row>
    <row r="48" spans="1:4" x14ac:dyDescent="0.45">
      <c r="A48">
        <v>46</v>
      </c>
      <c r="B48" t="s">
        <v>85</v>
      </c>
      <c r="C48" t="s">
        <v>144</v>
      </c>
      <c r="D48" t="s">
        <v>211</v>
      </c>
    </row>
    <row r="49" spans="1:4" x14ac:dyDescent="0.45">
      <c r="A49">
        <v>47</v>
      </c>
      <c r="B49" t="s">
        <v>86</v>
      </c>
      <c r="C49" t="s">
        <v>144</v>
      </c>
      <c r="D49" t="s">
        <v>209</v>
      </c>
    </row>
    <row r="50" spans="1:4" x14ac:dyDescent="0.45">
      <c r="A50">
        <v>48</v>
      </c>
      <c r="B50" t="s">
        <v>87</v>
      </c>
      <c r="C50" t="s">
        <v>144</v>
      </c>
      <c r="D50" t="s">
        <v>204</v>
      </c>
    </row>
    <row r="51" spans="1:4" x14ac:dyDescent="0.45">
      <c r="A51">
        <v>49</v>
      </c>
      <c r="B51" t="s">
        <v>88</v>
      </c>
      <c r="C51" t="s">
        <v>145</v>
      </c>
      <c r="D51" t="s">
        <v>165</v>
      </c>
    </row>
    <row r="52" spans="1:4" x14ac:dyDescent="0.45">
      <c r="A52">
        <v>50</v>
      </c>
      <c r="B52" t="s">
        <v>89</v>
      </c>
      <c r="C52" t="s">
        <v>145</v>
      </c>
      <c r="D52" t="s">
        <v>166</v>
      </c>
    </row>
    <row r="53" spans="1:4" x14ac:dyDescent="0.45">
      <c r="A53">
        <v>51</v>
      </c>
      <c r="B53" t="s">
        <v>90</v>
      </c>
      <c r="C53" t="s">
        <v>145</v>
      </c>
      <c r="D53" t="s">
        <v>167</v>
      </c>
    </row>
    <row r="54" spans="1:4" x14ac:dyDescent="0.45">
      <c r="A54">
        <v>52</v>
      </c>
      <c r="B54" t="s">
        <v>91</v>
      </c>
      <c r="C54" t="s">
        <v>145</v>
      </c>
      <c r="D54" t="s">
        <v>168</v>
      </c>
    </row>
    <row r="55" spans="1:4" x14ac:dyDescent="0.45">
      <c r="A55">
        <v>53</v>
      </c>
      <c r="B55" t="s">
        <v>92</v>
      </c>
      <c r="C55" t="s">
        <v>145</v>
      </c>
      <c r="D55" t="s">
        <v>188</v>
      </c>
    </row>
    <row r="56" spans="1:4" x14ac:dyDescent="0.45">
      <c r="A56">
        <v>54</v>
      </c>
      <c r="B56" t="s">
        <v>93</v>
      </c>
      <c r="C56" t="s">
        <v>145</v>
      </c>
      <c r="D56" t="s">
        <v>205</v>
      </c>
    </row>
    <row r="57" spans="1:4" x14ac:dyDescent="0.45">
      <c r="A57">
        <v>55</v>
      </c>
      <c r="B57" t="s">
        <v>94</v>
      </c>
      <c r="C57" t="s">
        <v>145</v>
      </c>
      <c r="D57" t="s">
        <v>190</v>
      </c>
    </row>
    <row r="58" spans="1:4" x14ac:dyDescent="0.45">
      <c r="A58">
        <v>56</v>
      </c>
      <c r="B58" t="s">
        <v>95</v>
      </c>
      <c r="C58" t="s">
        <v>145</v>
      </c>
      <c r="D58" t="s">
        <v>192</v>
      </c>
    </row>
    <row r="59" spans="1:4" x14ac:dyDescent="0.45">
      <c r="A59">
        <v>57</v>
      </c>
      <c r="B59" t="s">
        <v>96</v>
      </c>
      <c r="C59" t="s">
        <v>145</v>
      </c>
      <c r="D59" t="s">
        <v>193</v>
      </c>
    </row>
    <row r="60" spans="1:4" x14ac:dyDescent="0.45">
      <c r="A60">
        <v>118</v>
      </c>
      <c r="B60" t="s">
        <v>268</v>
      </c>
    </row>
    <row r="61" spans="1:4" x14ac:dyDescent="0.45">
      <c r="A61">
        <v>70</v>
      </c>
      <c r="B61" t="s">
        <v>97</v>
      </c>
      <c r="C61" t="s">
        <v>141</v>
      </c>
    </row>
    <row r="62" spans="1:4" x14ac:dyDescent="0.45">
      <c r="A62">
        <v>71</v>
      </c>
      <c r="B62" t="s">
        <v>98</v>
      </c>
      <c r="C62" t="s">
        <v>141</v>
      </c>
      <c r="D62" t="s">
        <v>171</v>
      </c>
    </row>
    <row r="63" spans="1:4" x14ac:dyDescent="0.45">
      <c r="A63">
        <v>72</v>
      </c>
      <c r="B63" t="s">
        <v>99</v>
      </c>
      <c r="C63" t="s">
        <v>141</v>
      </c>
      <c r="D63" t="s">
        <v>172</v>
      </c>
    </row>
    <row r="64" spans="1:4" x14ac:dyDescent="0.45">
      <c r="A64">
        <v>73</v>
      </c>
      <c r="B64" t="s">
        <v>100</v>
      </c>
      <c r="C64" t="s">
        <v>141</v>
      </c>
      <c r="D64" t="s">
        <v>173</v>
      </c>
    </row>
    <row r="65" spans="1:4" x14ac:dyDescent="0.45">
      <c r="A65">
        <v>74</v>
      </c>
      <c r="B65" t="s">
        <v>101</v>
      </c>
      <c r="C65" t="s">
        <v>141</v>
      </c>
      <c r="D65" t="s">
        <v>174</v>
      </c>
    </row>
    <row r="66" spans="1:4" x14ac:dyDescent="0.45">
      <c r="A66">
        <v>75</v>
      </c>
      <c r="B66" t="s">
        <v>102</v>
      </c>
      <c r="C66" t="s">
        <v>141</v>
      </c>
      <c r="D66" t="s">
        <v>175</v>
      </c>
    </row>
    <row r="67" spans="1:4" x14ac:dyDescent="0.45">
      <c r="A67">
        <v>76</v>
      </c>
      <c r="B67" t="s">
        <v>103</v>
      </c>
      <c r="C67" t="s">
        <v>141</v>
      </c>
      <c r="D67" t="s">
        <v>176</v>
      </c>
    </row>
    <row r="68" spans="1:4" x14ac:dyDescent="0.45">
      <c r="A68">
        <v>77</v>
      </c>
      <c r="B68" t="s">
        <v>104</v>
      </c>
      <c r="C68" t="s">
        <v>141</v>
      </c>
      <c r="D68" t="s">
        <v>177</v>
      </c>
    </row>
    <row r="69" spans="1:4" x14ac:dyDescent="0.45">
      <c r="A69">
        <v>78</v>
      </c>
      <c r="B69" t="s">
        <v>105</v>
      </c>
      <c r="C69" t="s">
        <v>141</v>
      </c>
      <c r="D69" t="s">
        <v>178</v>
      </c>
    </row>
    <row r="70" spans="1:4" x14ac:dyDescent="0.45">
      <c r="A70">
        <v>79</v>
      </c>
      <c r="B70" t="s">
        <v>106</v>
      </c>
      <c r="C70" t="s">
        <v>141</v>
      </c>
      <c r="D70" t="s">
        <v>179</v>
      </c>
    </row>
    <row r="71" spans="1:4" x14ac:dyDescent="0.45">
      <c r="A71">
        <v>80</v>
      </c>
      <c r="B71" t="s">
        <v>107</v>
      </c>
      <c r="C71" t="s">
        <v>141</v>
      </c>
      <c r="D71" t="s">
        <v>180</v>
      </c>
    </row>
    <row r="72" spans="1:4" x14ac:dyDescent="0.45">
      <c r="A72">
        <v>81</v>
      </c>
      <c r="B72" t="s">
        <v>108</v>
      </c>
      <c r="C72" t="s">
        <v>141</v>
      </c>
      <c r="D72" t="s">
        <v>181</v>
      </c>
    </row>
    <row r="73" spans="1:4" x14ac:dyDescent="0.45">
      <c r="A73">
        <v>82</v>
      </c>
      <c r="B73" t="s">
        <v>109</v>
      </c>
      <c r="C73" t="s">
        <v>141</v>
      </c>
      <c r="D73" t="s">
        <v>181</v>
      </c>
    </row>
    <row r="74" spans="1:4" x14ac:dyDescent="0.45">
      <c r="A74">
        <v>83</v>
      </c>
      <c r="B74" t="s">
        <v>110</v>
      </c>
      <c r="C74" t="s">
        <v>141</v>
      </c>
      <c r="D74" t="s">
        <v>182</v>
      </c>
    </row>
    <row r="75" spans="1:4" x14ac:dyDescent="0.45">
      <c r="A75">
        <v>84</v>
      </c>
      <c r="B75" t="s">
        <v>111</v>
      </c>
      <c r="C75" t="s">
        <v>141</v>
      </c>
      <c r="D75" t="s">
        <v>183</v>
      </c>
    </row>
    <row r="76" spans="1:4" x14ac:dyDescent="0.45">
      <c r="A76">
        <v>85</v>
      </c>
      <c r="B76" t="s">
        <v>112</v>
      </c>
      <c r="C76" t="s">
        <v>141</v>
      </c>
      <c r="D76" t="s">
        <v>184</v>
      </c>
    </row>
    <row r="77" spans="1:4" x14ac:dyDescent="0.45">
      <c r="A77">
        <v>86</v>
      </c>
      <c r="B77" t="s">
        <v>113</v>
      </c>
      <c r="C77" t="s">
        <v>141</v>
      </c>
      <c r="D77" t="s">
        <v>185</v>
      </c>
    </row>
    <row r="78" spans="1:4" x14ac:dyDescent="0.45">
      <c r="A78">
        <v>87</v>
      </c>
      <c r="B78" t="s">
        <v>114</v>
      </c>
      <c r="C78" t="s">
        <v>141</v>
      </c>
      <c r="D78" t="s">
        <v>186</v>
      </c>
    </row>
    <row r="79" spans="1:4" x14ac:dyDescent="0.45">
      <c r="A79">
        <v>88</v>
      </c>
      <c r="B79" t="s">
        <v>115</v>
      </c>
      <c r="C79" t="s">
        <v>141</v>
      </c>
      <c r="D79" t="s">
        <v>187</v>
      </c>
    </row>
    <row r="80" spans="1:4" x14ac:dyDescent="0.45">
      <c r="A80">
        <v>89</v>
      </c>
      <c r="B80" t="s">
        <v>116</v>
      </c>
      <c r="C80" t="s">
        <v>142</v>
      </c>
      <c r="D80" t="s">
        <v>194</v>
      </c>
    </row>
    <row r="81" spans="1:4" x14ac:dyDescent="0.45">
      <c r="A81">
        <v>90</v>
      </c>
      <c r="B81" t="s">
        <v>117</v>
      </c>
      <c r="C81" t="s">
        <v>142</v>
      </c>
      <c r="D81" t="s">
        <v>195</v>
      </c>
    </row>
    <row r="82" spans="1:4" x14ac:dyDescent="0.45">
      <c r="A82">
        <v>91</v>
      </c>
      <c r="B82" t="s">
        <v>118</v>
      </c>
      <c r="C82" t="s">
        <v>142</v>
      </c>
      <c r="D82" t="s">
        <v>196</v>
      </c>
    </row>
    <row r="83" spans="1:4" x14ac:dyDescent="0.45">
      <c r="A83">
        <v>92</v>
      </c>
      <c r="B83" t="s">
        <v>119</v>
      </c>
      <c r="C83" t="s">
        <v>142</v>
      </c>
      <c r="D83" t="s">
        <v>197</v>
      </c>
    </row>
    <row r="84" spans="1:4" x14ac:dyDescent="0.45">
      <c r="A84">
        <v>93</v>
      </c>
      <c r="B84" t="s">
        <v>120</v>
      </c>
      <c r="C84" t="s">
        <v>142</v>
      </c>
      <c r="D84" t="s">
        <v>198</v>
      </c>
    </row>
    <row r="85" spans="1:4" x14ac:dyDescent="0.45">
      <c r="A85">
        <v>94</v>
      </c>
      <c r="B85" t="s">
        <v>121</v>
      </c>
      <c r="C85" t="s">
        <v>142</v>
      </c>
      <c r="D85" t="s">
        <v>199</v>
      </c>
    </row>
    <row r="86" spans="1:4" x14ac:dyDescent="0.45">
      <c r="A86">
        <v>95</v>
      </c>
      <c r="B86" t="s">
        <v>122</v>
      </c>
      <c r="C86" t="s">
        <v>142</v>
      </c>
      <c r="D86" t="s">
        <v>200</v>
      </c>
    </row>
    <row r="87" spans="1:4" x14ac:dyDescent="0.45">
      <c r="A87">
        <v>96</v>
      </c>
      <c r="B87" t="s">
        <v>123</v>
      </c>
      <c r="C87" t="s">
        <v>142</v>
      </c>
      <c r="D87" t="s">
        <v>201</v>
      </c>
    </row>
    <row r="88" spans="1:4" x14ac:dyDescent="0.45">
      <c r="A88">
        <v>97</v>
      </c>
      <c r="B88" t="s">
        <v>124</v>
      </c>
      <c r="C88" t="s">
        <v>142</v>
      </c>
      <c r="D88" t="s">
        <v>202</v>
      </c>
    </row>
    <row r="89" spans="1:4" x14ac:dyDescent="0.45">
      <c r="A89">
        <v>98</v>
      </c>
      <c r="B89" t="s">
        <v>125</v>
      </c>
      <c r="C89" t="s">
        <v>143</v>
      </c>
      <c r="D89" t="s">
        <v>195</v>
      </c>
    </row>
    <row r="90" spans="1:4" x14ac:dyDescent="0.45">
      <c r="A90">
        <v>99</v>
      </c>
      <c r="B90" t="s">
        <v>126</v>
      </c>
      <c r="C90" t="s">
        <v>143</v>
      </c>
      <c r="D90" t="s">
        <v>196</v>
      </c>
    </row>
    <row r="91" spans="1:4" x14ac:dyDescent="0.45">
      <c r="A91">
        <v>100</v>
      </c>
      <c r="B91" t="s">
        <v>127</v>
      </c>
      <c r="C91" t="s">
        <v>143</v>
      </c>
      <c r="D91" t="s">
        <v>197</v>
      </c>
    </row>
    <row r="92" spans="1:4" x14ac:dyDescent="0.45">
      <c r="A92">
        <v>101</v>
      </c>
      <c r="B92" t="s">
        <v>128</v>
      </c>
      <c r="C92" t="s">
        <v>143</v>
      </c>
      <c r="D92" t="s">
        <v>198</v>
      </c>
    </row>
    <row r="93" spans="1:4" x14ac:dyDescent="0.45">
      <c r="A93">
        <v>102</v>
      </c>
      <c r="B93" t="s">
        <v>129</v>
      </c>
      <c r="C93" t="s">
        <v>144</v>
      </c>
      <c r="D93" t="s">
        <v>195</v>
      </c>
    </row>
    <row r="94" spans="1:4" x14ac:dyDescent="0.45">
      <c r="A94">
        <v>103</v>
      </c>
      <c r="B94" t="s">
        <v>130</v>
      </c>
      <c r="C94" t="s">
        <v>144</v>
      </c>
      <c r="D94" t="s">
        <v>196</v>
      </c>
    </row>
    <row r="95" spans="1:4" x14ac:dyDescent="0.45">
      <c r="A95">
        <v>104</v>
      </c>
      <c r="B95" t="s">
        <v>131</v>
      </c>
      <c r="C95" t="s">
        <v>144</v>
      </c>
      <c r="D95" t="s">
        <v>197</v>
      </c>
    </row>
    <row r="96" spans="1:4" x14ac:dyDescent="0.45">
      <c r="A96">
        <v>105</v>
      </c>
      <c r="B96" t="s">
        <v>132</v>
      </c>
      <c r="C96" t="s">
        <v>144</v>
      </c>
      <c r="D96" t="s">
        <v>198</v>
      </c>
    </row>
    <row r="97" spans="1:4" x14ac:dyDescent="0.45">
      <c r="A97">
        <v>106</v>
      </c>
      <c r="B97" t="s">
        <v>133</v>
      </c>
      <c r="C97" t="s">
        <v>145</v>
      </c>
      <c r="D97" t="s">
        <v>195</v>
      </c>
    </row>
    <row r="98" spans="1:4" x14ac:dyDescent="0.45">
      <c r="A98">
        <v>107</v>
      </c>
      <c r="B98" t="s">
        <v>134</v>
      </c>
      <c r="C98" t="s">
        <v>145</v>
      </c>
      <c r="D98" t="s">
        <v>206</v>
      </c>
    </row>
    <row r="99" spans="1:4" x14ac:dyDescent="0.45">
      <c r="A99">
        <v>108</v>
      </c>
      <c r="B99" t="s">
        <v>135</v>
      </c>
      <c r="C99" t="s">
        <v>145</v>
      </c>
      <c r="D99" t="s">
        <v>196</v>
      </c>
    </row>
    <row r="100" spans="1:4" x14ac:dyDescent="0.45">
      <c r="A100">
        <v>109</v>
      </c>
      <c r="B100" t="s">
        <v>136</v>
      </c>
      <c r="C100" t="s">
        <v>145</v>
      </c>
      <c r="D100" t="s">
        <v>197</v>
      </c>
    </row>
    <row r="101" spans="1:4" x14ac:dyDescent="0.45">
      <c r="A101">
        <v>110</v>
      </c>
      <c r="B101" t="s">
        <v>137</v>
      </c>
      <c r="C101" t="s">
        <v>145</v>
      </c>
      <c r="D101" t="s">
        <v>198</v>
      </c>
    </row>
    <row r="102" spans="1:4" x14ac:dyDescent="0.45">
      <c r="A102">
        <v>111</v>
      </c>
      <c r="B102" t="s">
        <v>138</v>
      </c>
      <c r="C102" t="s">
        <v>145</v>
      </c>
      <c r="D102" t="s">
        <v>201</v>
      </c>
    </row>
    <row r="103" spans="1:4" x14ac:dyDescent="0.45">
      <c r="A103">
        <v>112</v>
      </c>
      <c r="B103" t="s">
        <v>139</v>
      </c>
      <c r="C103" t="s">
        <v>145</v>
      </c>
      <c r="D103" t="s">
        <v>207</v>
      </c>
    </row>
    <row r="104" spans="1:4" x14ac:dyDescent="0.4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A8" sqref="A8:K619"/>
    </sheetView>
  </sheetViews>
  <sheetFormatPr defaultRowHeight="14.25" x14ac:dyDescent="0.45"/>
  <sheetData>
    <row r="1" spans="1:11" x14ac:dyDescent="0.45">
      <c r="A1" s="73" t="s">
        <v>227</v>
      </c>
      <c r="B1" s="74"/>
      <c r="C1" s="74"/>
      <c r="D1" s="74"/>
      <c r="E1" s="74"/>
      <c r="F1" s="74"/>
      <c r="G1" s="74"/>
      <c r="H1" s="74" t="s">
        <v>228</v>
      </c>
      <c r="I1" s="74"/>
      <c r="J1" s="74"/>
      <c r="K1" s="75"/>
    </row>
    <row r="2" spans="1:11" x14ac:dyDescent="0.45">
      <c r="A2" s="76">
        <v>1</v>
      </c>
      <c r="B2" s="77" t="s">
        <v>269</v>
      </c>
      <c r="C2" s="77"/>
      <c r="D2" s="77"/>
      <c r="E2" s="77"/>
      <c r="F2" s="77"/>
      <c r="G2" s="77"/>
      <c r="H2" s="77"/>
      <c r="I2" s="77"/>
      <c r="J2" s="77"/>
      <c r="K2" s="78"/>
    </row>
    <row r="3" spans="1:11" x14ac:dyDescent="0.45">
      <c r="A3" s="76">
        <v>2</v>
      </c>
      <c r="B3" s="77" t="s">
        <v>229</v>
      </c>
      <c r="C3" s="77"/>
      <c r="D3" s="77"/>
      <c r="E3" s="77"/>
      <c r="F3" s="77"/>
      <c r="G3" s="77"/>
      <c r="H3" s="77"/>
      <c r="I3" s="77"/>
      <c r="J3" s="77"/>
      <c r="K3" s="78"/>
    </row>
    <row r="4" spans="1:11" x14ac:dyDescent="0.45">
      <c r="A4" s="76">
        <v>3</v>
      </c>
      <c r="B4" s="77" t="s">
        <v>230</v>
      </c>
      <c r="C4" s="77"/>
      <c r="D4" s="77"/>
      <c r="E4" s="77"/>
      <c r="F4" s="77"/>
      <c r="G4" s="77"/>
      <c r="H4" s="77"/>
      <c r="I4" s="77"/>
      <c r="J4" s="77"/>
      <c r="K4" s="78"/>
    </row>
    <row r="5" spans="1:11" x14ac:dyDescent="0.45">
      <c r="A5" s="79">
        <v>4</v>
      </c>
      <c r="B5" s="80" t="s">
        <v>231</v>
      </c>
      <c r="C5" s="80"/>
      <c r="D5" s="80"/>
      <c r="E5" s="80"/>
      <c r="F5" s="80"/>
      <c r="G5" s="80"/>
      <c r="H5" s="80"/>
      <c r="I5" s="80"/>
      <c r="J5" s="80"/>
      <c r="K5" s="81"/>
    </row>
    <row r="8" spans="1:11" x14ac:dyDescent="0.45">
      <c r="A8" t="s">
        <v>232</v>
      </c>
      <c r="B8" t="s">
        <v>233</v>
      </c>
      <c r="C8" t="s">
        <v>234</v>
      </c>
      <c r="D8" t="s">
        <v>287</v>
      </c>
      <c r="E8" t="s">
        <v>288</v>
      </c>
      <c r="F8" t="s">
        <v>289</v>
      </c>
      <c r="G8" t="s">
        <v>290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8">
        <v>0.91831018518518526</v>
      </c>
      <c r="G9" t="s">
        <v>239</v>
      </c>
      <c r="H9">
        <v>30</v>
      </c>
      <c r="I9" t="s">
        <v>291</v>
      </c>
      <c r="J9">
        <v>20</v>
      </c>
    </row>
    <row r="10" spans="1:11" x14ac:dyDescent="0.45">
      <c r="A10" t="s">
        <v>240</v>
      </c>
    </row>
    <row r="11" spans="1:11" x14ac:dyDescent="0.45">
      <c r="B11">
        <v>1</v>
      </c>
      <c r="C11" t="s">
        <v>292</v>
      </c>
      <c r="D11" t="s">
        <v>241</v>
      </c>
      <c r="E11">
        <v>1</v>
      </c>
      <c r="F11">
        <v>1</v>
      </c>
    </row>
    <row r="12" spans="1:11" x14ac:dyDescent="0.45">
      <c r="B12">
        <v>2</v>
      </c>
      <c r="C12" t="s">
        <v>293</v>
      </c>
      <c r="D12" t="s">
        <v>242</v>
      </c>
      <c r="E12">
        <v>14.842474747500001</v>
      </c>
      <c r="F12">
        <v>1.83835803238</v>
      </c>
    </row>
    <row r="13" spans="1:11" x14ac:dyDescent="0.45">
      <c r="B13">
        <v>3</v>
      </c>
      <c r="C13" t="s">
        <v>294</v>
      </c>
      <c r="D13" t="s">
        <v>242</v>
      </c>
      <c r="E13" s="49">
        <v>5.2231850982500001E-2</v>
      </c>
      <c r="F13">
        <v>0.20210412377100001</v>
      </c>
    </row>
    <row r="14" spans="1:11" x14ac:dyDescent="0.45">
      <c r="B14">
        <v>4</v>
      </c>
      <c r="C14" t="s">
        <v>295</v>
      </c>
      <c r="D14" t="s">
        <v>242</v>
      </c>
      <c r="E14" s="49">
        <v>-0.28042629390099999</v>
      </c>
      <c r="F14">
        <v>0.214012249288</v>
      </c>
    </row>
    <row r="15" spans="1:11" x14ac:dyDescent="0.45">
      <c r="B15">
        <v>5</v>
      </c>
      <c r="C15" t="s">
        <v>296</v>
      </c>
      <c r="D15" t="s">
        <v>242</v>
      </c>
      <c r="E15" s="49">
        <v>3.8864252169499999E-2</v>
      </c>
      <c r="F15">
        <v>0.22261163226899999</v>
      </c>
    </row>
    <row r="16" spans="1:11" x14ac:dyDescent="0.45">
      <c r="B16">
        <v>6</v>
      </c>
      <c r="C16" t="s">
        <v>297</v>
      </c>
      <c r="D16" t="s">
        <v>242</v>
      </c>
      <c r="E16" s="49">
        <v>-5.4105027761100002E-2</v>
      </c>
      <c r="F16" s="49">
        <v>9.1881732487999995E-2</v>
      </c>
    </row>
    <row r="17" spans="2:6" x14ac:dyDescent="0.45">
      <c r="B17">
        <v>7</v>
      </c>
      <c r="C17" t="s">
        <v>298</v>
      </c>
      <c r="D17" t="s">
        <v>242</v>
      </c>
      <c r="E17">
        <v>-1.2443107654000001</v>
      </c>
      <c r="F17">
        <v>0.19943151784099999</v>
      </c>
    </row>
    <row r="18" spans="2:6" x14ac:dyDescent="0.45">
      <c r="B18">
        <v>8</v>
      </c>
      <c r="C18" t="s">
        <v>299</v>
      </c>
      <c r="D18" t="s">
        <v>242</v>
      </c>
      <c r="E18" s="49">
        <v>0.41298170440800003</v>
      </c>
      <c r="F18">
        <v>0.14496922102199999</v>
      </c>
    </row>
    <row r="19" spans="2:6" x14ac:dyDescent="0.45">
      <c r="B19">
        <v>9</v>
      </c>
      <c r="C19" t="s">
        <v>300</v>
      </c>
      <c r="D19" t="s">
        <v>242</v>
      </c>
      <c r="E19" s="49">
        <v>-0.26420630814700002</v>
      </c>
      <c r="F19">
        <v>0.19387529082999999</v>
      </c>
    </row>
    <row r="20" spans="2:6" x14ac:dyDescent="0.45">
      <c r="B20">
        <v>10</v>
      </c>
      <c r="C20" t="s">
        <v>301</v>
      </c>
      <c r="D20" t="s">
        <v>242</v>
      </c>
      <c r="E20">
        <v>-0.35872692861799998</v>
      </c>
      <c r="F20">
        <v>0.100051515259</v>
      </c>
    </row>
    <row r="21" spans="2:6" x14ac:dyDescent="0.45">
      <c r="B21">
        <v>11</v>
      </c>
      <c r="C21" t="s">
        <v>302</v>
      </c>
      <c r="D21" t="s">
        <v>242</v>
      </c>
      <c r="E21">
        <v>0.20317681554899999</v>
      </c>
      <c r="F21">
        <v>0.247232349657</v>
      </c>
    </row>
    <row r="22" spans="2:6" x14ac:dyDescent="0.45">
      <c r="B22">
        <v>12</v>
      </c>
      <c r="C22" t="s">
        <v>303</v>
      </c>
      <c r="D22" t="s">
        <v>242</v>
      </c>
      <c r="E22">
        <v>-0.25772334575</v>
      </c>
      <c r="F22">
        <v>0.170336028034</v>
      </c>
    </row>
    <row r="23" spans="2:6" x14ac:dyDescent="0.45">
      <c r="B23">
        <v>13</v>
      </c>
      <c r="C23" t="s">
        <v>304</v>
      </c>
      <c r="D23" t="s">
        <v>242</v>
      </c>
      <c r="E23">
        <v>-1.51291507531</v>
      </c>
      <c r="F23">
        <v>0.20916747597900001</v>
      </c>
    </row>
    <row r="24" spans="2:6" x14ac:dyDescent="0.45">
      <c r="B24">
        <v>14</v>
      </c>
      <c r="C24" t="s">
        <v>305</v>
      </c>
      <c r="D24" t="s">
        <v>242</v>
      </c>
      <c r="E24">
        <v>-0.21776561918199999</v>
      </c>
      <c r="F24" s="49">
        <v>7.7382027445400001E-2</v>
      </c>
    </row>
    <row r="25" spans="2:6" x14ac:dyDescent="0.45">
      <c r="B25">
        <v>15</v>
      </c>
      <c r="C25" t="s">
        <v>306</v>
      </c>
      <c r="D25" t="s">
        <v>242</v>
      </c>
      <c r="E25">
        <v>-1.27163179208</v>
      </c>
      <c r="F25">
        <v>0.50605159824699997</v>
      </c>
    </row>
    <row r="26" spans="2:6" x14ac:dyDescent="0.45">
      <c r="B26">
        <v>16</v>
      </c>
      <c r="C26" t="s">
        <v>307</v>
      </c>
      <c r="D26" t="s">
        <v>242</v>
      </c>
      <c r="E26">
        <v>-0.54089688480800002</v>
      </c>
      <c r="F26">
        <v>0.15561651788600001</v>
      </c>
    </row>
    <row r="27" spans="2:6" x14ac:dyDescent="0.45">
      <c r="B27">
        <v>17</v>
      </c>
      <c r="C27" t="s">
        <v>308</v>
      </c>
      <c r="D27" t="s">
        <v>241</v>
      </c>
      <c r="E27">
        <v>0</v>
      </c>
      <c r="F27">
        <v>1</v>
      </c>
    </row>
    <row r="28" spans="2:6" x14ac:dyDescent="0.45">
      <c r="B28">
        <v>18</v>
      </c>
      <c r="C28" t="s">
        <v>309</v>
      </c>
      <c r="D28" t="s">
        <v>241</v>
      </c>
      <c r="E28">
        <v>0</v>
      </c>
      <c r="F28">
        <v>1</v>
      </c>
    </row>
    <row r="29" spans="2:6" x14ac:dyDescent="0.45">
      <c r="B29">
        <v>19</v>
      </c>
      <c r="C29" t="s">
        <v>310</v>
      </c>
      <c r="D29" t="s">
        <v>241</v>
      </c>
      <c r="E29">
        <v>0</v>
      </c>
      <c r="F29">
        <v>1</v>
      </c>
    </row>
    <row r="30" spans="2:6" x14ac:dyDescent="0.45">
      <c r="B30">
        <v>20</v>
      </c>
      <c r="C30" t="s">
        <v>311</v>
      </c>
      <c r="D30" t="s">
        <v>242</v>
      </c>
      <c r="E30">
        <v>0.43763139961699998</v>
      </c>
      <c r="F30" s="49">
        <v>4.8429506021399997E-2</v>
      </c>
    </row>
    <row r="31" spans="2:6" x14ac:dyDescent="0.45">
      <c r="B31">
        <v>21</v>
      </c>
      <c r="C31" t="s">
        <v>312</v>
      </c>
      <c r="D31" t="s">
        <v>242</v>
      </c>
      <c r="E31">
        <v>-5.1729505125899999</v>
      </c>
      <c r="F31">
        <v>1.47237352721</v>
      </c>
    </row>
    <row r="32" spans="2:6" x14ac:dyDescent="0.45">
      <c r="B32">
        <v>22</v>
      </c>
      <c r="C32" t="s">
        <v>313</v>
      </c>
      <c r="D32" t="s">
        <v>242</v>
      </c>
      <c r="E32">
        <v>-5.9112646193599998</v>
      </c>
      <c r="F32">
        <v>0.31220814773599997</v>
      </c>
    </row>
    <row r="33" spans="2:6" x14ac:dyDescent="0.45">
      <c r="B33">
        <v>23</v>
      </c>
      <c r="C33" t="s">
        <v>314</v>
      </c>
      <c r="D33" t="s">
        <v>242</v>
      </c>
      <c r="E33">
        <v>-4.3510480079200002</v>
      </c>
      <c r="F33">
        <v>0.18576143123800001</v>
      </c>
    </row>
    <row r="34" spans="2:6" x14ac:dyDescent="0.45">
      <c r="B34">
        <v>24</v>
      </c>
      <c r="C34" t="s">
        <v>315</v>
      </c>
      <c r="D34" t="s">
        <v>242</v>
      </c>
      <c r="E34">
        <v>0.219929989326</v>
      </c>
      <c r="F34" s="49">
        <v>1.3645721239299999E-2</v>
      </c>
    </row>
    <row r="35" spans="2:6" x14ac:dyDescent="0.45">
      <c r="B35">
        <v>25</v>
      </c>
      <c r="C35" t="s">
        <v>316</v>
      </c>
      <c r="D35" t="s">
        <v>242</v>
      </c>
      <c r="E35">
        <v>-0.19965371290799999</v>
      </c>
      <c r="F35" s="49">
        <v>1.5268311706199999E-2</v>
      </c>
    </row>
    <row r="36" spans="2:6" x14ac:dyDescent="0.45">
      <c r="B36">
        <v>26</v>
      </c>
      <c r="C36" t="s">
        <v>317</v>
      </c>
      <c r="D36" t="s">
        <v>242</v>
      </c>
      <c r="E36">
        <v>0.456947594269</v>
      </c>
      <c r="F36" s="49">
        <v>8.45315868922E-2</v>
      </c>
    </row>
    <row r="37" spans="2:6" x14ac:dyDescent="0.45">
      <c r="B37">
        <v>27</v>
      </c>
      <c r="C37" t="s">
        <v>318</v>
      </c>
      <c r="D37" t="s">
        <v>242</v>
      </c>
      <c r="E37">
        <v>-16.041405463699999</v>
      </c>
      <c r="F37">
        <v>1.44425336446</v>
      </c>
    </row>
    <row r="38" spans="2:6" x14ac:dyDescent="0.45">
      <c r="B38">
        <v>28</v>
      </c>
      <c r="C38" t="s">
        <v>319</v>
      </c>
      <c r="D38" t="s">
        <v>242</v>
      </c>
      <c r="E38">
        <v>-4.0058838759500004</v>
      </c>
      <c r="F38">
        <v>0.35273062120999998</v>
      </c>
    </row>
    <row r="39" spans="2:6" x14ac:dyDescent="0.45">
      <c r="B39">
        <v>29</v>
      </c>
      <c r="C39" t="s">
        <v>320</v>
      </c>
      <c r="D39" t="s">
        <v>242</v>
      </c>
      <c r="E39">
        <v>-2.2602358254700001</v>
      </c>
      <c r="F39">
        <v>0.146992342355</v>
      </c>
    </row>
    <row r="40" spans="2:6" x14ac:dyDescent="0.45">
      <c r="B40">
        <v>30</v>
      </c>
      <c r="C40" t="s">
        <v>321</v>
      </c>
      <c r="D40" t="s">
        <v>242</v>
      </c>
      <c r="E40">
        <v>-0.57131171698200001</v>
      </c>
      <c r="F40" s="49">
        <v>8.1640985937999996E-2</v>
      </c>
    </row>
    <row r="41" spans="2:6" x14ac:dyDescent="0.45">
      <c r="B41">
        <v>31</v>
      </c>
      <c r="C41" t="s">
        <v>322</v>
      </c>
      <c r="D41" t="s">
        <v>242</v>
      </c>
      <c r="E41" s="49">
        <v>-9.1432405138999993E-3</v>
      </c>
      <c r="F41" s="49">
        <v>1.8681010178100001E-2</v>
      </c>
    </row>
    <row r="42" spans="2:6" x14ac:dyDescent="0.45">
      <c r="B42">
        <v>32</v>
      </c>
      <c r="C42" t="s">
        <v>323</v>
      </c>
      <c r="D42" t="s">
        <v>242</v>
      </c>
      <c r="E42">
        <v>-0.11638214876</v>
      </c>
      <c r="F42" s="49">
        <v>2.0027350623800001E-2</v>
      </c>
    </row>
    <row r="43" spans="2:6" x14ac:dyDescent="0.45">
      <c r="B43">
        <v>33</v>
      </c>
      <c r="C43" t="s">
        <v>324</v>
      </c>
      <c r="D43" t="s">
        <v>242</v>
      </c>
      <c r="E43" s="49">
        <v>5.6920874310099998E-2</v>
      </c>
      <c r="F43" s="49">
        <v>1.00062712342E-2</v>
      </c>
    </row>
    <row r="44" spans="2:6" x14ac:dyDescent="0.45">
      <c r="B44">
        <v>34</v>
      </c>
      <c r="C44" t="s">
        <v>325</v>
      </c>
      <c r="D44" t="s">
        <v>242</v>
      </c>
      <c r="E44" s="49">
        <v>-1.9362324458399999E-2</v>
      </c>
      <c r="F44" s="49">
        <v>1.63018501781E-2</v>
      </c>
    </row>
    <row r="45" spans="2:6" x14ac:dyDescent="0.45">
      <c r="B45">
        <v>35</v>
      </c>
      <c r="C45" t="s">
        <v>326</v>
      </c>
      <c r="D45" t="s">
        <v>242</v>
      </c>
      <c r="E45" s="49">
        <v>1.8323476485999999E-2</v>
      </c>
      <c r="F45" s="49">
        <v>1.2148526885499999E-2</v>
      </c>
    </row>
    <row r="46" spans="2:6" x14ac:dyDescent="0.45">
      <c r="B46">
        <v>36</v>
      </c>
      <c r="C46" t="s">
        <v>327</v>
      </c>
      <c r="D46" t="s">
        <v>242</v>
      </c>
      <c r="E46" s="49">
        <v>2.3040582229000002</v>
      </c>
      <c r="F46" s="49">
        <v>0.22055425229699999</v>
      </c>
    </row>
    <row r="47" spans="2:6" x14ac:dyDescent="0.45">
      <c r="B47">
        <v>37</v>
      </c>
      <c r="C47" t="s">
        <v>328</v>
      </c>
      <c r="D47" t="s">
        <v>242</v>
      </c>
      <c r="E47">
        <v>-7.2225250615199998</v>
      </c>
      <c r="F47">
        <v>1.6810961957599999</v>
      </c>
    </row>
    <row r="48" spans="2:6" x14ac:dyDescent="0.45">
      <c r="B48">
        <v>38</v>
      </c>
      <c r="C48" t="s">
        <v>329</v>
      </c>
      <c r="D48" t="s">
        <v>242</v>
      </c>
      <c r="E48">
        <v>-5.4693439766900003</v>
      </c>
      <c r="F48">
        <v>0.390672154306</v>
      </c>
    </row>
    <row r="49" spans="2:6" x14ac:dyDescent="0.45">
      <c r="B49">
        <v>39</v>
      </c>
      <c r="C49" t="s">
        <v>330</v>
      </c>
      <c r="D49" t="s">
        <v>242</v>
      </c>
      <c r="E49">
        <v>-2.4179033783600001</v>
      </c>
      <c r="F49">
        <v>0.223286996333</v>
      </c>
    </row>
    <row r="50" spans="2:6" x14ac:dyDescent="0.45">
      <c r="B50">
        <v>40</v>
      </c>
      <c r="C50" t="s">
        <v>331</v>
      </c>
      <c r="D50" t="s">
        <v>242</v>
      </c>
      <c r="E50">
        <v>-0.24529497763800001</v>
      </c>
      <c r="F50">
        <v>0.173792333986</v>
      </c>
    </row>
    <row r="51" spans="2:6" x14ac:dyDescent="0.45">
      <c r="B51">
        <v>41</v>
      </c>
      <c r="C51" t="s">
        <v>332</v>
      </c>
      <c r="D51" t="s">
        <v>242</v>
      </c>
      <c r="E51">
        <v>-0.100545011408</v>
      </c>
      <c r="F51" s="49">
        <v>1.7103318696699999E-2</v>
      </c>
    </row>
    <row r="52" spans="2:6" x14ac:dyDescent="0.45">
      <c r="B52">
        <v>42</v>
      </c>
      <c r="C52" t="s">
        <v>333</v>
      </c>
      <c r="D52" t="s">
        <v>242</v>
      </c>
      <c r="E52">
        <v>0.10049185695100001</v>
      </c>
      <c r="F52" s="49">
        <v>2.1833904078799999E-2</v>
      </c>
    </row>
    <row r="53" spans="2:6" x14ac:dyDescent="0.45">
      <c r="B53">
        <v>43</v>
      </c>
      <c r="C53" t="s">
        <v>334</v>
      </c>
      <c r="D53" t="s">
        <v>242</v>
      </c>
      <c r="E53">
        <v>1.7655971612000001</v>
      </c>
      <c r="F53" s="49">
        <v>0.154891246998</v>
      </c>
    </row>
    <row r="54" spans="2:6" x14ac:dyDescent="0.45">
      <c r="B54">
        <v>44</v>
      </c>
      <c r="C54" t="s">
        <v>335</v>
      </c>
      <c r="D54" t="s">
        <v>242</v>
      </c>
      <c r="E54">
        <v>-13.482142205440001</v>
      </c>
      <c r="F54">
        <v>1.7238420080500001</v>
      </c>
    </row>
    <row r="55" spans="2:6" x14ac:dyDescent="0.45">
      <c r="B55">
        <v>45</v>
      </c>
      <c r="C55" t="s">
        <v>336</v>
      </c>
      <c r="D55" t="s">
        <v>242</v>
      </c>
      <c r="E55">
        <v>-5.7740636752999999</v>
      </c>
      <c r="F55">
        <v>0.44296383007700002</v>
      </c>
    </row>
    <row r="56" spans="2:6" x14ac:dyDescent="0.45">
      <c r="B56">
        <v>46</v>
      </c>
      <c r="C56" t="s">
        <v>337</v>
      </c>
      <c r="D56" t="s">
        <v>242</v>
      </c>
      <c r="E56">
        <v>-3.2513620839500001</v>
      </c>
      <c r="F56">
        <v>0.22459177151199999</v>
      </c>
    </row>
    <row r="57" spans="2:6" x14ac:dyDescent="0.45">
      <c r="B57">
        <v>47</v>
      </c>
      <c r="C57" t="s">
        <v>338</v>
      </c>
      <c r="D57" t="s">
        <v>242</v>
      </c>
      <c r="E57">
        <v>-0.81757689945000001</v>
      </c>
      <c r="F57">
        <v>0.14989642806799999</v>
      </c>
    </row>
    <row r="58" spans="2:6" x14ac:dyDescent="0.45">
      <c r="B58">
        <v>48</v>
      </c>
      <c r="C58" t="s">
        <v>339</v>
      </c>
      <c r="D58" t="s">
        <v>242</v>
      </c>
      <c r="E58">
        <v>0.63335958983999996</v>
      </c>
      <c r="F58" s="49">
        <v>2.38840174789E-2</v>
      </c>
    </row>
    <row r="59" spans="2:6" x14ac:dyDescent="0.45">
      <c r="B59">
        <v>49</v>
      </c>
      <c r="C59" t="s">
        <v>340</v>
      </c>
      <c r="D59" t="s">
        <v>242</v>
      </c>
      <c r="E59">
        <v>0.54194850979700004</v>
      </c>
      <c r="F59" s="49">
        <v>0.13589969408700001</v>
      </c>
    </row>
    <row r="60" spans="2:6" x14ac:dyDescent="0.45">
      <c r="B60">
        <v>50</v>
      </c>
      <c r="C60" t="s">
        <v>341</v>
      </c>
      <c r="D60" t="s">
        <v>242</v>
      </c>
      <c r="E60">
        <v>-26.641935956609998</v>
      </c>
      <c r="F60">
        <v>1.5214646814199999</v>
      </c>
    </row>
    <row r="61" spans="2:6" x14ac:dyDescent="0.45">
      <c r="B61">
        <v>51</v>
      </c>
      <c r="C61" t="s">
        <v>342</v>
      </c>
      <c r="D61" t="s">
        <v>242</v>
      </c>
      <c r="E61">
        <v>-5.8569921168899999</v>
      </c>
      <c r="F61">
        <v>0.46611202703900001</v>
      </c>
    </row>
    <row r="62" spans="2:6" x14ac:dyDescent="0.45">
      <c r="B62">
        <v>52</v>
      </c>
      <c r="C62" t="s">
        <v>343</v>
      </c>
      <c r="D62" t="s">
        <v>242</v>
      </c>
      <c r="E62">
        <v>-3.0622160410500001</v>
      </c>
      <c r="F62">
        <v>0.205947789785</v>
      </c>
    </row>
    <row r="63" spans="2:6" x14ac:dyDescent="0.45">
      <c r="B63">
        <v>53</v>
      </c>
      <c r="C63" t="s">
        <v>344</v>
      </c>
      <c r="D63" t="s">
        <v>242</v>
      </c>
      <c r="E63">
        <v>-1.4592147580599999</v>
      </c>
      <c r="F63">
        <v>0.12706460553599999</v>
      </c>
    </row>
    <row r="64" spans="2:6" x14ac:dyDescent="0.45">
      <c r="B64">
        <v>54</v>
      </c>
      <c r="C64" t="s">
        <v>345</v>
      </c>
      <c r="D64" t="s">
        <v>242</v>
      </c>
      <c r="E64">
        <v>-0.160744421114</v>
      </c>
      <c r="F64" s="49">
        <v>3.1643512928099998E-2</v>
      </c>
    </row>
    <row r="65" spans="2:6" x14ac:dyDescent="0.45">
      <c r="B65">
        <v>55</v>
      </c>
      <c r="C65" t="s">
        <v>346</v>
      </c>
      <c r="D65" t="s">
        <v>242</v>
      </c>
      <c r="E65">
        <v>0.101769944302</v>
      </c>
      <c r="F65" s="49">
        <v>4.0472600922499997E-2</v>
      </c>
    </row>
    <row r="66" spans="2:6" x14ac:dyDescent="0.45">
      <c r="B66">
        <v>56</v>
      </c>
      <c r="C66" t="s">
        <v>347</v>
      </c>
      <c r="D66" t="s">
        <v>242</v>
      </c>
      <c r="E66" s="49">
        <v>-7.3004796389399995E-2</v>
      </c>
      <c r="F66" s="49">
        <v>2.7878888340600001E-2</v>
      </c>
    </row>
    <row r="67" spans="2:6" x14ac:dyDescent="0.45">
      <c r="B67">
        <v>57</v>
      </c>
      <c r="C67" t="s">
        <v>348</v>
      </c>
      <c r="D67" t="s">
        <v>242</v>
      </c>
      <c r="E67" s="49">
        <v>4.7664283443500002E-2</v>
      </c>
      <c r="F67" s="49">
        <v>1.5452195556500001E-2</v>
      </c>
    </row>
    <row r="68" spans="2:6" x14ac:dyDescent="0.45">
      <c r="B68">
        <v>70</v>
      </c>
      <c r="C68" t="s">
        <v>97</v>
      </c>
      <c r="D68" t="s">
        <v>242</v>
      </c>
      <c r="E68" s="49">
        <v>0.70165957865100004</v>
      </c>
      <c r="F68" s="49">
        <v>8.1041561582700008E-3</v>
      </c>
    </row>
    <row r="69" spans="2:6" x14ac:dyDescent="0.45">
      <c r="B69">
        <v>71</v>
      </c>
      <c r="C69" t="s">
        <v>98</v>
      </c>
      <c r="D69" t="s">
        <v>241</v>
      </c>
      <c r="E69">
        <v>0</v>
      </c>
      <c r="F69" s="49">
        <v>1</v>
      </c>
    </row>
    <row r="70" spans="2:6" x14ac:dyDescent="0.45">
      <c r="B70">
        <v>72</v>
      </c>
      <c r="C70" t="s">
        <v>99</v>
      </c>
      <c r="D70" t="s">
        <v>241</v>
      </c>
      <c r="E70">
        <v>0</v>
      </c>
      <c r="F70">
        <v>1</v>
      </c>
    </row>
    <row r="71" spans="2:6" x14ac:dyDescent="0.45">
      <c r="B71">
        <v>73</v>
      </c>
      <c r="C71" t="s">
        <v>100</v>
      </c>
      <c r="D71" t="s">
        <v>242</v>
      </c>
      <c r="E71">
        <v>-1.0451393946200001</v>
      </c>
      <c r="F71">
        <v>0.334189851298</v>
      </c>
    </row>
    <row r="72" spans="2:6" x14ac:dyDescent="0.45">
      <c r="B72">
        <v>74</v>
      </c>
      <c r="C72" t="s">
        <v>101</v>
      </c>
      <c r="D72" t="s">
        <v>241</v>
      </c>
      <c r="E72">
        <v>0</v>
      </c>
      <c r="F72">
        <v>1</v>
      </c>
    </row>
    <row r="73" spans="2:6" x14ac:dyDescent="0.45">
      <c r="B73">
        <v>75</v>
      </c>
      <c r="C73" t="s">
        <v>102</v>
      </c>
      <c r="D73" t="s">
        <v>242</v>
      </c>
      <c r="E73">
        <v>-0.200987204384</v>
      </c>
      <c r="F73">
        <v>0.32860050755699999</v>
      </c>
    </row>
    <row r="74" spans="2:6" x14ac:dyDescent="0.45">
      <c r="B74">
        <v>76</v>
      </c>
      <c r="C74" t="s">
        <v>103</v>
      </c>
      <c r="D74" t="s">
        <v>242</v>
      </c>
      <c r="E74">
        <v>-0.24680877359100001</v>
      </c>
      <c r="F74">
        <v>0.218776351024</v>
      </c>
    </row>
    <row r="75" spans="2:6" x14ac:dyDescent="0.45">
      <c r="B75">
        <v>77</v>
      </c>
      <c r="C75" t="s">
        <v>104</v>
      </c>
      <c r="D75" t="s">
        <v>242</v>
      </c>
      <c r="E75">
        <v>0.105207287565</v>
      </c>
      <c r="F75">
        <v>0.33160558063000001</v>
      </c>
    </row>
    <row r="76" spans="2:6" x14ac:dyDescent="0.45">
      <c r="B76">
        <v>78</v>
      </c>
      <c r="C76" t="s">
        <v>105</v>
      </c>
      <c r="D76" t="s">
        <v>242</v>
      </c>
      <c r="E76">
        <v>-3.0261765923500001</v>
      </c>
      <c r="F76">
        <v>0.63791961209799997</v>
      </c>
    </row>
    <row r="77" spans="2:6" x14ac:dyDescent="0.45">
      <c r="B77">
        <v>79</v>
      </c>
      <c r="C77" t="s">
        <v>106</v>
      </c>
      <c r="D77" t="s">
        <v>242</v>
      </c>
      <c r="E77">
        <v>-3.16760127533</v>
      </c>
      <c r="F77">
        <v>0.17589358259900001</v>
      </c>
    </row>
    <row r="78" spans="2:6" x14ac:dyDescent="0.45">
      <c r="B78">
        <v>80</v>
      </c>
      <c r="C78" t="s">
        <v>107</v>
      </c>
      <c r="D78" t="s">
        <v>242</v>
      </c>
      <c r="E78">
        <v>3.88384299801</v>
      </c>
      <c r="F78">
        <v>0.36343710851900002</v>
      </c>
    </row>
    <row r="79" spans="2:6" x14ac:dyDescent="0.45">
      <c r="B79">
        <v>81</v>
      </c>
      <c r="C79" t="s">
        <v>108</v>
      </c>
      <c r="D79" t="s">
        <v>242</v>
      </c>
      <c r="E79">
        <v>1.2853400619999999</v>
      </c>
      <c r="F79">
        <v>0.33194844094699999</v>
      </c>
    </row>
    <row r="80" spans="2:6" x14ac:dyDescent="0.45">
      <c r="B80">
        <v>82</v>
      </c>
      <c r="C80" t="s">
        <v>109</v>
      </c>
      <c r="D80" t="s">
        <v>241</v>
      </c>
      <c r="E80">
        <v>0</v>
      </c>
      <c r="F80">
        <v>1</v>
      </c>
    </row>
    <row r="81" spans="2:6" x14ac:dyDescent="0.45">
      <c r="B81">
        <v>83</v>
      </c>
      <c r="C81" t="s">
        <v>110</v>
      </c>
      <c r="D81" t="s">
        <v>242</v>
      </c>
      <c r="E81">
        <v>1.5962822273599999</v>
      </c>
      <c r="F81">
        <v>0.31630410811600002</v>
      </c>
    </row>
    <row r="82" spans="2:6" x14ac:dyDescent="0.45">
      <c r="B82">
        <v>84</v>
      </c>
      <c r="C82" t="s">
        <v>111</v>
      </c>
      <c r="D82" t="s">
        <v>242</v>
      </c>
      <c r="E82">
        <v>1.8203743806399999</v>
      </c>
      <c r="F82">
        <v>0.32723912579699999</v>
      </c>
    </row>
    <row r="83" spans="2:6" x14ac:dyDescent="0.45">
      <c r="B83">
        <v>85</v>
      </c>
      <c r="C83" t="s">
        <v>112</v>
      </c>
      <c r="D83" t="s">
        <v>242</v>
      </c>
      <c r="E83">
        <v>0.36845448573400003</v>
      </c>
      <c r="F83">
        <v>0.41451090741399998</v>
      </c>
    </row>
    <row r="84" spans="2:6" x14ac:dyDescent="0.45">
      <c r="B84">
        <v>86</v>
      </c>
      <c r="C84" t="s">
        <v>113</v>
      </c>
      <c r="D84" t="s">
        <v>242</v>
      </c>
      <c r="E84">
        <v>-0.89988004259099996</v>
      </c>
      <c r="F84">
        <v>0.58455068333600002</v>
      </c>
    </row>
    <row r="85" spans="2:6" x14ac:dyDescent="0.45">
      <c r="B85">
        <v>87</v>
      </c>
      <c r="C85" t="s">
        <v>114</v>
      </c>
      <c r="D85" t="s">
        <v>242</v>
      </c>
      <c r="E85">
        <v>-1.54651800243</v>
      </c>
      <c r="F85">
        <v>0.28922210484799998</v>
      </c>
    </row>
    <row r="86" spans="2:6" x14ac:dyDescent="0.45">
      <c r="B86">
        <v>88</v>
      </c>
      <c r="C86" t="s">
        <v>115</v>
      </c>
      <c r="D86" t="s">
        <v>241</v>
      </c>
      <c r="E86">
        <v>0</v>
      </c>
      <c r="F86">
        <v>1</v>
      </c>
    </row>
    <row r="87" spans="2:6" x14ac:dyDescent="0.45">
      <c r="B87">
        <v>89</v>
      </c>
      <c r="C87" t="s">
        <v>116</v>
      </c>
      <c r="D87" t="s">
        <v>242</v>
      </c>
      <c r="E87">
        <v>-1.3661763944</v>
      </c>
      <c r="F87">
        <v>0.21083771707000001</v>
      </c>
    </row>
    <row r="88" spans="2:6" x14ac:dyDescent="0.45">
      <c r="B88">
        <v>90</v>
      </c>
      <c r="C88" t="s">
        <v>117</v>
      </c>
      <c r="D88" t="s">
        <v>241</v>
      </c>
      <c r="E88">
        <v>0</v>
      </c>
      <c r="F88">
        <v>1</v>
      </c>
    </row>
    <row r="89" spans="2:6" x14ac:dyDescent="0.45">
      <c r="B89">
        <v>91</v>
      </c>
      <c r="C89" t="s">
        <v>118</v>
      </c>
      <c r="D89" t="s">
        <v>242</v>
      </c>
      <c r="E89">
        <v>-0.69659049737500001</v>
      </c>
      <c r="F89">
        <v>0.118317298537</v>
      </c>
    </row>
    <row r="90" spans="2:6" x14ac:dyDescent="0.45">
      <c r="B90">
        <v>92</v>
      </c>
      <c r="C90" t="s">
        <v>119</v>
      </c>
      <c r="D90" t="s">
        <v>242</v>
      </c>
      <c r="E90">
        <v>-1.8309142732699999</v>
      </c>
      <c r="F90">
        <v>0.55098538730699997</v>
      </c>
    </row>
    <row r="91" spans="2:6" x14ac:dyDescent="0.45">
      <c r="B91">
        <v>93</v>
      </c>
      <c r="C91" t="s">
        <v>120</v>
      </c>
      <c r="D91" t="s">
        <v>242</v>
      </c>
      <c r="E91">
        <v>-1.59616837557</v>
      </c>
      <c r="F91">
        <v>0.19643171679400001</v>
      </c>
    </row>
    <row r="92" spans="2:6" x14ac:dyDescent="0.45">
      <c r="B92">
        <v>94</v>
      </c>
      <c r="C92" t="s">
        <v>121</v>
      </c>
      <c r="D92" t="s">
        <v>241</v>
      </c>
      <c r="E92">
        <v>0</v>
      </c>
      <c r="F92">
        <v>1</v>
      </c>
    </row>
    <row r="93" spans="2:6" x14ac:dyDescent="0.45">
      <c r="B93">
        <v>95</v>
      </c>
      <c r="C93" t="s">
        <v>122</v>
      </c>
      <c r="D93" t="s">
        <v>242</v>
      </c>
      <c r="E93">
        <v>-3.7524312125899999</v>
      </c>
      <c r="F93">
        <v>0.30709606176900001</v>
      </c>
    </row>
    <row r="94" spans="2:6" x14ac:dyDescent="0.45">
      <c r="B94">
        <v>96</v>
      </c>
      <c r="C94" t="s">
        <v>123</v>
      </c>
      <c r="D94" t="s">
        <v>242</v>
      </c>
      <c r="E94">
        <v>-5.15903380474</v>
      </c>
      <c r="F94">
        <v>0.17390909328599999</v>
      </c>
    </row>
    <row r="95" spans="2:6" x14ac:dyDescent="0.45">
      <c r="B95">
        <v>97</v>
      </c>
      <c r="C95" t="s">
        <v>124</v>
      </c>
      <c r="D95" t="s">
        <v>242</v>
      </c>
      <c r="E95">
        <v>-4.5752497230499998</v>
      </c>
      <c r="F95">
        <v>0.48893954592400002</v>
      </c>
    </row>
    <row r="96" spans="2:6" x14ac:dyDescent="0.45">
      <c r="B96">
        <v>98</v>
      </c>
      <c r="C96" t="s">
        <v>125</v>
      </c>
      <c r="D96" t="s">
        <v>242</v>
      </c>
      <c r="E96">
        <v>-1.55830930615</v>
      </c>
      <c r="F96">
        <v>0.29568339221599999</v>
      </c>
    </row>
    <row r="97" spans="2:6" x14ac:dyDescent="0.45">
      <c r="B97">
        <v>99</v>
      </c>
      <c r="C97" t="s">
        <v>126</v>
      </c>
      <c r="D97" t="s">
        <v>242</v>
      </c>
      <c r="E97">
        <v>-6.7687936642300004</v>
      </c>
      <c r="F97">
        <v>0.63961427466800003</v>
      </c>
    </row>
    <row r="98" spans="2:6" x14ac:dyDescent="0.45">
      <c r="B98">
        <v>100</v>
      </c>
      <c r="C98" t="s">
        <v>127</v>
      </c>
      <c r="D98" t="s">
        <v>241</v>
      </c>
      <c r="E98">
        <v>0</v>
      </c>
      <c r="F98">
        <v>1</v>
      </c>
    </row>
    <row r="99" spans="2:6" x14ac:dyDescent="0.45">
      <c r="B99">
        <v>101</v>
      </c>
      <c r="C99" t="s">
        <v>128</v>
      </c>
      <c r="D99" t="s">
        <v>242</v>
      </c>
      <c r="E99">
        <v>-4.6092008435</v>
      </c>
      <c r="F99">
        <v>0.35687158855500001</v>
      </c>
    </row>
    <row r="100" spans="2:6" x14ac:dyDescent="0.45">
      <c r="B100">
        <v>102</v>
      </c>
      <c r="C100" t="s">
        <v>129</v>
      </c>
      <c r="D100" t="s">
        <v>241</v>
      </c>
      <c r="E100">
        <v>0</v>
      </c>
      <c r="F100">
        <v>1</v>
      </c>
    </row>
    <row r="101" spans="2:6" x14ac:dyDescent="0.45">
      <c r="B101">
        <v>103</v>
      </c>
      <c r="C101" t="s">
        <v>130</v>
      </c>
      <c r="D101" t="s">
        <v>241</v>
      </c>
      <c r="E101">
        <v>0</v>
      </c>
      <c r="F101">
        <v>1</v>
      </c>
    </row>
    <row r="102" spans="2:6" x14ac:dyDescent="0.45">
      <c r="B102">
        <v>104</v>
      </c>
      <c r="C102" t="s">
        <v>131</v>
      </c>
      <c r="D102" t="s">
        <v>241</v>
      </c>
      <c r="E102">
        <v>5</v>
      </c>
      <c r="F102">
        <v>1</v>
      </c>
    </row>
    <row r="103" spans="2:6" x14ac:dyDescent="0.45">
      <c r="B103">
        <v>105</v>
      </c>
      <c r="C103" t="s">
        <v>132</v>
      </c>
      <c r="D103" t="s">
        <v>241</v>
      </c>
      <c r="E103">
        <v>5</v>
      </c>
      <c r="F103">
        <v>1</v>
      </c>
    </row>
    <row r="104" spans="2:6" x14ac:dyDescent="0.45">
      <c r="B104">
        <v>106</v>
      </c>
      <c r="C104" t="s">
        <v>133</v>
      </c>
      <c r="D104" t="s">
        <v>241</v>
      </c>
      <c r="E104">
        <v>0</v>
      </c>
      <c r="F104">
        <v>1</v>
      </c>
    </row>
    <row r="105" spans="2:6" x14ac:dyDescent="0.45">
      <c r="B105">
        <v>107</v>
      </c>
      <c r="C105" t="s">
        <v>134</v>
      </c>
      <c r="D105" t="s">
        <v>242</v>
      </c>
      <c r="E105">
        <v>3.2721559987400002</v>
      </c>
      <c r="F105">
        <v>0.189098453</v>
      </c>
    </row>
    <row r="106" spans="2:6" x14ac:dyDescent="0.45">
      <c r="B106">
        <v>108</v>
      </c>
      <c r="C106" t="s">
        <v>135</v>
      </c>
      <c r="D106" t="s">
        <v>241</v>
      </c>
      <c r="E106">
        <v>0</v>
      </c>
      <c r="F106">
        <v>1</v>
      </c>
    </row>
    <row r="107" spans="2:6" x14ac:dyDescent="0.45">
      <c r="B107">
        <v>109</v>
      </c>
      <c r="C107" t="s">
        <v>136</v>
      </c>
      <c r="D107" t="s">
        <v>242</v>
      </c>
      <c r="E107">
        <v>3.7780647491999999</v>
      </c>
      <c r="F107">
        <v>0.16415128970699999</v>
      </c>
    </row>
    <row r="108" spans="2:6" x14ac:dyDescent="0.45">
      <c r="B108">
        <v>110</v>
      </c>
      <c r="C108" t="s">
        <v>137</v>
      </c>
      <c r="D108" t="s">
        <v>242</v>
      </c>
      <c r="E108">
        <v>3.6698694381700001</v>
      </c>
      <c r="F108">
        <v>0.17265670632899999</v>
      </c>
    </row>
    <row r="109" spans="2:6" x14ac:dyDescent="0.45">
      <c r="B109">
        <v>111</v>
      </c>
      <c r="C109" t="s">
        <v>138</v>
      </c>
      <c r="D109" t="s">
        <v>241</v>
      </c>
      <c r="E109">
        <v>0</v>
      </c>
      <c r="F109">
        <v>1</v>
      </c>
    </row>
    <row r="110" spans="2:6" x14ac:dyDescent="0.45">
      <c r="B110">
        <v>112</v>
      </c>
      <c r="C110" t="s">
        <v>139</v>
      </c>
      <c r="D110" t="s">
        <v>241</v>
      </c>
      <c r="E110">
        <v>0</v>
      </c>
      <c r="F110">
        <v>1</v>
      </c>
    </row>
    <row r="111" spans="2:6" x14ac:dyDescent="0.45">
      <c r="B111">
        <v>113</v>
      </c>
      <c r="C111" t="s">
        <v>140</v>
      </c>
      <c r="D111" t="s">
        <v>242</v>
      </c>
      <c r="E111">
        <v>1.3908719595400001</v>
      </c>
      <c r="F111">
        <v>0.25447036975100001</v>
      </c>
    </row>
    <row r="112" spans="2:6" x14ac:dyDescent="0.45">
      <c r="B112">
        <v>-1</v>
      </c>
    </row>
    <row r="113" spans="2:11" x14ac:dyDescent="0.45">
      <c r="B113">
        <v>13796</v>
      </c>
      <c r="C113" s="49">
        <v>-14054.777031400001</v>
      </c>
      <c r="D113" s="49">
        <v>-53772.333307300003</v>
      </c>
      <c r="E113" s="49">
        <v>-38222.555653299998</v>
      </c>
    </row>
    <row r="114" spans="2:11" x14ac:dyDescent="0.45">
      <c r="B114">
        <v>6</v>
      </c>
      <c r="C114" s="49" t="s">
        <v>349</v>
      </c>
      <c r="D114" s="49" t="s">
        <v>239</v>
      </c>
      <c r="E114" s="49">
        <v>30</v>
      </c>
      <c r="F114" t="s">
        <v>291</v>
      </c>
      <c r="G114">
        <v>20</v>
      </c>
    </row>
    <row r="115" spans="2:11" x14ac:dyDescent="0.4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4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4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4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4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4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4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4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4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4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4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4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4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4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4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4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4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4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4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4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4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4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4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4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4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4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4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4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4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4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4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4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4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4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4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4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4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4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4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4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4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4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4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4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4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4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4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4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4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4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4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4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4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4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4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4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4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4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4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4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4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4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4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4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4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4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4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4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4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4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4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4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4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4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4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4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4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4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4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4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4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4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4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4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4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4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4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4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4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4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4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4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4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4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4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4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4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4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4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4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4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4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4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4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4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4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4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4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4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4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4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4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4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4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4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4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4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4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4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4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4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4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4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4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4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4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4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4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4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4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4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4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4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4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4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4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4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4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4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4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4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4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4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4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4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4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4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4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4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4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4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4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4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4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4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4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4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4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4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4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4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4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4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4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4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4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4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4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4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4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4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4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4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4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4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4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4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4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4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4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4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4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4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4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4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4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4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4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4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4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4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4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4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4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4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4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4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4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4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4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4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4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4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4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4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4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4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4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4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4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4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4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4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4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4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4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4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4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4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4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4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4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4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4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4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4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4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4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4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4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4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4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4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4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4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4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4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4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4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4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4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4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4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4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4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4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4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4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4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4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4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4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4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4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4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4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4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4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4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4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4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4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4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4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4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4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4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4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4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4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4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4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4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4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4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4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4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4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4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4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4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4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4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4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4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4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4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4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4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4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4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4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4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4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4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4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4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4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4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4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4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4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4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4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4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4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4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4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4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4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4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4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4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4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4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4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4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4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4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4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4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4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4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4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4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4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4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4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4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4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4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4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4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4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4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4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4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4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4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4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4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4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4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4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4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4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4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4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4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4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4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4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4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4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4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4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4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4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4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4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4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4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4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4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4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4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4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4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4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4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4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4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4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4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4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4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4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4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4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4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4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4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4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4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4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4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4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4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4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4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4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4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4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4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4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4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4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4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4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4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4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4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4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4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4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4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4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4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4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4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4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4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4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4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opLeftCell="A26" workbookViewId="0">
      <selection activeCell="Q46" sqref="Q46:Q49"/>
    </sheetView>
  </sheetViews>
  <sheetFormatPr defaultColWidth="9.1328125" defaultRowHeight="14.25" x14ac:dyDescent="0.45"/>
  <cols>
    <col min="1" max="2" width="9.1328125" collapsed="true"/>
    <col min="3" max="3" bestFit="true" customWidth="true" width="12.73046875" collapsed="true"/>
    <col min="4" max="4" customWidth="true" style="24" width="18.86328125" collapsed="true"/>
    <col min="5" max="5" customWidth="true" width="6.73046875" collapsed="true"/>
    <col min="6" max="6" customWidth="true" width="12.73046875" collapsed="true"/>
    <col min="7" max="8" customWidth="true" style="24" width="18.86328125" collapsed="true"/>
    <col min="9" max="9" customWidth="true" style="24" width="8.59765625" collapsed="true"/>
    <col min="10" max="10" bestFit="true" customWidth="true" style="24" width="10.1328125" collapsed="true"/>
    <col min="11" max="11" bestFit="true" customWidth="true" style="24" width="9.265625" collapsed="true"/>
    <col min="12" max="14" width="9.1328125" collapsed="true"/>
    <col min="15" max="15" customWidth="true" width="13.0" collapsed="true"/>
    <col min="16" max="16" customWidth="true" style="25" width="19.59765625" collapsed="true"/>
    <col min="17" max="17" customWidth="true" style="82" width="19.59765625" collapsed="true"/>
    <col min="18" max="16384" width="9.1328125" collapsed="true"/>
  </cols>
  <sheetData>
    <row r="1" spans="3:23" x14ac:dyDescent="0.45">
      <c r="C1" s="8" t="s">
        <v>219</v>
      </c>
      <c r="F1" s="8" t="s">
        <v>220</v>
      </c>
      <c r="N1" s="19" t="s">
        <v>270</v>
      </c>
      <c r="S1" s="19"/>
      <c r="T1" s="19" t="s">
        <v>270</v>
      </c>
      <c r="U1" s="22"/>
      <c r="V1" s="22"/>
      <c r="W1" s="22"/>
    </row>
    <row ht="14.65" r="2" spans="3:23" thickBot="1" x14ac:dyDescent="0.5">
      <c r="C2" s="19" t="s">
        <v>212</v>
      </c>
      <c r="M2" s="8" t="s">
        <v>224</v>
      </c>
      <c r="N2" s="8" t="s">
        <v>264</v>
      </c>
      <c r="O2" s="8" t="s">
        <v>265</v>
      </c>
      <c r="P2" s="83" t="s">
        <v>271</v>
      </c>
      <c r="Q2" s="84" t="s">
        <v>272</v>
      </c>
      <c r="R2" s="89" t="s">
        <v>350</v>
      </c>
      <c r="T2" s="22"/>
      <c r="U2" s="19" t="s">
        <v>274</v>
      </c>
      <c r="W2" s="22"/>
    </row>
    <row r="3" spans="3:23" x14ac:dyDescent="0.45">
      <c r="C3" s="5" t="s">
        <v>3</v>
      </c>
      <c r="D3" s="26" t="s">
        <v>213</v>
      </c>
      <c r="F3" s="5" t="s">
        <v>3</v>
      </c>
      <c r="G3" s="26" t="s">
        <v>213</v>
      </c>
      <c r="H3" s="57"/>
      <c r="I3" s="57"/>
      <c r="J3" s="57"/>
      <c r="K3" s="57"/>
      <c r="L3" s="27"/>
      <c r="M3" t="str">
        <f>VLOOKUP(N3,Coeff_Descr!$A:$D,3,FALSE)</f>
        <v>ALL</v>
      </c>
      <c r="N3">
        <f>OtherTourDestination!B11</f>
        <v>1</v>
      </c>
      <c r="O3" t="str">
        <f>OtherTourDestination!C11</f>
        <v>Beta000001</v>
      </c>
      <c r="P3" s="25">
        <f>OtherTourDestination!E11</f>
        <v>1</v>
      </c>
      <c r="Q3" s="85">
        <f>_xlfn.IFNA(VLOOKUP(N3,$B$43:$D$46,3,FALSE),P3)</f>
        <v>1</v>
      </c>
      <c r="R3">
        <f>IF(P3=Q3,0,1)</f>
        <v>0</v>
      </c>
      <c r="T3">
        <v>1</v>
      </c>
      <c r="U3" s="18" t="s">
        <v>275</v>
      </c>
      <c r="W3" s="22"/>
    </row>
    <row r="4" spans="3:23" x14ac:dyDescent="0.45">
      <c r="C4" s="28" t="s">
        <v>217</v>
      </c>
      <c r="D4" s="29">
        <f>TLFD!B11</f>
        <v>4701.5352918143253</v>
      </c>
      <c r="F4" s="28" t="s">
        <v>217</v>
      </c>
      <c r="G4" s="29">
        <f>TLFD!F11</f>
        <v>5714</v>
      </c>
      <c r="H4" s="29"/>
      <c r="I4" s="29"/>
      <c r="J4" s="29"/>
      <c r="K4" s="29"/>
      <c r="L4" s="30"/>
      <c r="M4" t="str">
        <f>VLOOKUP(N4,Coeff_Descr!$A:$D,3,FALSE)</f>
        <v>ALL</v>
      </c>
      <c r="N4">
        <f>OtherTourDestination!B12</f>
        <v>2</v>
      </c>
      <c r="O4" t="str">
        <f>OtherTourDestination!C12</f>
        <v>Beta000002</v>
      </c>
      <c r="P4" s="25">
        <f>OtherTourDestination!E12</f>
        <v>14.842474747500001</v>
      </c>
      <c r="Q4" s="85">
        <f>_xlfn.IFNA(VLOOKUP(N4,$B$43:$D$46,3,FALSE),P4)</f>
        <v>14.842474747500001</v>
      </c>
      <c r="R4">
        <f ref="R4:R67" si="0" t="shared">IF(P4=Q4,0,1)</f>
        <v>0</v>
      </c>
      <c r="T4">
        <v>2</v>
      </c>
      <c r="U4" s="18" t="s">
        <v>276</v>
      </c>
      <c r="W4" s="22"/>
    </row>
    <row r="5" spans="3:23" x14ac:dyDescent="0.45">
      <c r="C5" s="10" t="s">
        <v>218</v>
      </c>
      <c r="D5" s="31">
        <f>TLFD!B12+TLFD!B13+(TLFD!B14/2)</f>
        <v>40230.245861274954</v>
      </c>
      <c r="F5" s="10" t="s">
        <v>218</v>
      </c>
      <c r="G5" s="31">
        <f>TLFD!F12+TLFD!F13+(TLFD!F14/2)</f>
        <v>24862.5</v>
      </c>
      <c r="H5" s="31"/>
      <c r="I5" s="31"/>
      <c r="J5" s="31"/>
      <c r="K5" s="31"/>
      <c r="L5" s="30"/>
      <c r="M5" t="str">
        <f>VLOOKUP(N5,Coeff_Descr!$A:$D,3,FALSE)</f>
        <v>ALL</v>
      </c>
      <c r="N5">
        <f>OtherTourDestination!B13</f>
        <v>3</v>
      </c>
      <c r="O5" t="str">
        <f>OtherTourDestination!C13</f>
        <v>Beta000003</v>
      </c>
      <c r="P5" s="25">
        <f>OtherTourDestination!E13</f>
        <v>5.2231850982500001E-2</v>
      </c>
      <c r="Q5" s="85">
        <f ref="Q5:Q68" si="1" t="shared">_xlfn.IFNA(VLOOKUP(N5,$B$43:$D$46,3,FALSE),P5)</f>
        <v>5.2231850982500001E-2</v>
      </c>
      <c r="R5">
        <f si="0" t="shared"/>
        <v>0</v>
      </c>
      <c r="T5">
        <v>3</v>
      </c>
      <c r="U5" s="22" t="s">
        <v>277</v>
      </c>
      <c r="V5" s="22"/>
      <c r="W5" s="22"/>
    </row>
    <row r="6" spans="3:23" x14ac:dyDescent="0.45">
      <c r="C6" s="10" t="s">
        <v>214</v>
      </c>
      <c r="D6" s="31">
        <f>(TLFD!B14/2)+SUM(TLFD!B15:B20)</f>
        <v>43514.046696454621</v>
      </c>
      <c r="F6" s="10" t="s">
        <v>214</v>
      </c>
      <c r="G6" s="31">
        <f>(TLFD!F14/2)+SUM(TLFD!F15:F20)</f>
        <v>44863.5</v>
      </c>
      <c r="H6" s="31"/>
      <c r="I6" s="31"/>
      <c r="J6" s="31"/>
      <c r="K6" s="31"/>
      <c r="L6" s="30"/>
      <c r="M6" t="str">
        <f>VLOOKUP(N6,Coeff_Descr!$A:$D,3,FALSE)</f>
        <v>ALL</v>
      </c>
      <c r="N6">
        <f>OtherTourDestination!B14</f>
        <v>4</v>
      </c>
      <c r="O6" t="str">
        <f>OtherTourDestination!C14</f>
        <v>Beta000004</v>
      </c>
      <c r="P6" s="25">
        <f>OtherTourDestination!E14</f>
        <v>-0.28042629390099999</v>
      </c>
      <c r="Q6" s="85">
        <f si="1" t="shared"/>
        <v>-0.28042629390099999</v>
      </c>
      <c r="R6">
        <f si="0" t="shared"/>
        <v>0</v>
      </c>
      <c r="T6">
        <v>4</v>
      </c>
      <c r="U6" s="22" t="s">
        <v>278</v>
      </c>
      <c r="V6" s="22"/>
      <c r="W6" s="22"/>
    </row>
    <row r="7" spans="3:23" x14ac:dyDescent="0.45">
      <c r="C7" s="11" t="s">
        <v>215</v>
      </c>
      <c r="D7" s="32">
        <f>SUM(TLFD!B21:B101)</f>
        <v>16129.158465472379</v>
      </c>
      <c r="F7" s="11" t="s">
        <v>215</v>
      </c>
      <c r="G7" s="32">
        <f>SUM(TLFD!F21:F101)</f>
        <v>12606</v>
      </c>
      <c r="H7" s="31"/>
      <c r="I7" s="31"/>
      <c r="J7" s="31"/>
      <c r="K7" s="31"/>
      <c r="L7" s="30"/>
      <c r="M7" t="str">
        <f>VLOOKUP(N7,Coeff_Descr!$A:$D,3,FALSE)</f>
        <v>ALL</v>
      </c>
      <c r="N7">
        <f>OtherTourDestination!B15</f>
        <v>5</v>
      </c>
      <c r="O7" t="str">
        <f>OtherTourDestination!C15</f>
        <v>Beta000005</v>
      </c>
      <c r="P7" s="25">
        <f>OtherTourDestination!E15</f>
        <v>3.8864252169499999E-2</v>
      </c>
      <c r="Q7" s="85">
        <f si="1" t="shared"/>
        <v>3.8864252169499999E-2</v>
      </c>
      <c r="R7">
        <f si="0" t="shared"/>
        <v>0</v>
      </c>
      <c r="T7" s="22">
        <v>5</v>
      </c>
      <c r="U7" s="22" t="s">
        <v>279</v>
      </c>
      <c r="V7" s="22"/>
      <c r="W7" s="22"/>
    </row>
    <row ht="14.65" r="8" spans="3:23" thickBot="1" x14ac:dyDescent="0.5">
      <c r="C8" s="20" t="s">
        <v>4</v>
      </c>
      <c r="D8" s="33">
        <f>SUM(D4:D7)</f>
        <v>104574.98631501629</v>
      </c>
      <c r="F8" s="20" t="s">
        <v>4</v>
      </c>
      <c r="G8" s="33">
        <f>SUM(G4:G7)</f>
        <v>88046</v>
      </c>
      <c r="H8" s="31"/>
      <c r="I8" s="31" t="s">
        <v>273</v>
      </c>
      <c r="J8" s="87">
        <v>1</v>
      </c>
      <c r="K8" s="31"/>
      <c r="M8" t="str">
        <f>VLOOKUP(N8,Coeff_Descr!$A:$D,3,FALSE)</f>
        <v>ALL</v>
      </c>
      <c r="N8">
        <f>OtherTourDestination!B16</f>
        <v>6</v>
      </c>
      <c r="O8" t="str">
        <f>OtherTourDestination!C16</f>
        <v>Beta000006</v>
      </c>
      <c r="P8" s="25">
        <f>OtherTourDestination!E16</f>
        <v>-5.4105027761100002E-2</v>
      </c>
      <c r="Q8" s="85">
        <f si="1" t="shared"/>
        <v>-5.4105027761100002E-2</v>
      </c>
      <c r="R8">
        <f si="0" t="shared"/>
        <v>0</v>
      </c>
      <c r="T8" s="22"/>
      <c r="U8" s="22"/>
      <c r="V8" s="22"/>
      <c r="W8" s="22"/>
    </row>
    <row r="9" spans="3:23" x14ac:dyDescent="0.45">
      <c r="M9" t="str">
        <f>VLOOKUP(N9,Coeff_Descr!$A:$D,3,FALSE)</f>
        <v>ALL</v>
      </c>
      <c r="N9">
        <f>OtherTourDestination!B17</f>
        <v>7</v>
      </c>
      <c r="O9" t="str">
        <f>OtherTourDestination!C17</f>
        <v>Beta000007</v>
      </c>
      <c r="P9" s="25">
        <f>OtherTourDestination!E17</f>
        <v>-1.2443107654000001</v>
      </c>
      <c r="Q9" s="85">
        <f si="1" t="shared"/>
        <v>-1.2443107654000001</v>
      </c>
      <c r="R9">
        <f si="0" t="shared"/>
        <v>0</v>
      </c>
      <c r="T9" s="22"/>
      <c r="U9" s="88" t="s">
        <v>280</v>
      </c>
      <c r="V9" s="22"/>
      <c r="W9" s="22"/>
    </row>
    <row ht="14.65" r="10" spans="3:23" thickBot="1" x14ac:dyDescent="0.5">
      <c r="C10" s="21" t="s">
        <v>216</v>
      </c>
      <c r="I10" s="58" t="s">
        <v>260</v>
      </c>
      <c r="J10" s="59"/>
      <c r="K10" s="59"/>
      <c r="L10" s="27"/>
      <c r="M10" t="str">
        <f>VLOOKUP(N10,Coeff_Descr!$A:$D,3,FALSE)</f>
        <v>ALL</v>
      </c>
      <c r="N10">
        <f>OtherTourDestination!B18</f>
        <v>8</v>
      </c>
      <c r="O10" t="str">
        <f>OtherTourDestination!C18</f>
        <v>Beta000008</v>
      </c>
      <c r="P10" s="25">
        <f>OtherTourDestination!E18</f>
        <v>0.41298170440800003</v>
      </c>
      <c r="Q10" s="85">
        <f si="1" t="shared"/>
        <v>0.41298170440800003</v>
      </c>
      <c r="R10">
        <f si="0" t="shared"/>
        <v>0</v>
      </c>
      <c r="T10" s="22">
        <v>1</v>
      </c>
      <c r="U10" s="18" t="s">
        <v>275</v>
      </c>
      <c r="V10" s="22"/>
      <c r="W10" s="22"/>
    </row>
    <row r="11" spans="3:23" x14ac:dyDescent="0.45">
      <c r="C11" s="5" t="s">
        <v>3</v>
      </c>
      <c r="D11" s="26" t="s">
        <v>213</v>
      </c>
      <c r="F11" s="5" t="s">
        <v>3</v>
      </c>
      <c r="G11" s="26" t="s">
        <v>213</v>
      </c>
      <c r="H11" s="57"/>
      <c r="I11" s="26" t="s">
        <v>261</v>
      </c>
      <c r="J11" s="26" t="s">
        <v>262</v>
      </c>
      <c r="K11" s="26" t="s">
        <v>263</v>
      </c>
      <c r="L11" s="34"/>
      <c r="M11" t="str">
        <f>VLOOKUP(N11,Coeff_Descr!$A:$D,3,FALSE)</f>
        <v>ALL</v>
      </c>
      <c r="N11">
        <f>OtherTourDestination!B19</f>
        <v>9</v>
      </c>
      <c r="O11" t="str">
        <f>OtherTourDestination!C19</f>
        <v>Beta000009</v>
      </c>
      <c r="P11" s="25">
        <f>OtherTourDestination!E19</f>
        <v>-0.26420630814700002</v>
      </c>
      <c r="Q11" s="85">
        <f si="1" t="shared"/>
        <v>-0.26420630814700002</v>
      </c>
      <c r="R11">
        <f si="0" t="shared"/>
        <v>0</v>
      </c>
      <c r="T11" s="22">
        <v>2</v>
      </c>
      <c r="U11" s="22" t="s">
        <v>281</v>
      </c>
      <c r="V11" s="22"/>
      <c r="W11" s="22"/>
    </row>
    <row r="12" spans="3:23" x14ac:dyDescent="0.45">
      <c r="C12" s="28" t="s">
        <v>217</v>
      </c>
      <c r="D12" s="35">
        <f>D4/D$8</f>
        <v>4.4958507359031952E-2</v>
      </c>
      <c r="F12" s="28" t="s">
        <v>217</v>
      </c>
      <c r="G12" s="35">
        <f>G4/G$8</f>
        <v>6.4897894282534133E-2</v>
      </c>
      <c r="H12" s="35"/>
      <c r="I12" s="60">
        <f>D12/G12</f>
        <v>0.69275756719169179</v>
      </c>
      <c r="J12" s="61">
        <f>LN(I12)</f>
        <v>-0.36707517188955474</v>
      </c>
      <c r="K12" s="61">
        <f>J8*J12</f>
        <v>-0.36707517188955474</v>
      </c>
      <c r="L12" s="34"/>
      <c r="M12" t="str">
        <f>VLOOKUP(N12,Coeff_Descr!$A:$D,3,FALSE)</f>
        <v>ALL</v>
      </c>
      <c r="N12">
        <f>OtherTourDestination!B20</f>
        <v>10</v>
      </c>
      <c r="O12" t="str">
        <f>OtherTourDestination!C20</f>
        <v>Beta000010</v>
      </c>
      <c r="P12" s="25">
        <f>OtherTourDestination!E20</f>
        <v>-0.35872692861799998</v>
      </c>
      <c r="Q12" s="85">
        <f si="1" t="shared"/>
        <v>-0.35872692861799998</v>
      </c>
      <c r="R12">
        <f si="0" t="shared"/>
        <v>0</v>
      </c>
      <c r="T12" s="22">
        <v>3</v>
      </c>
      <c r="U12" s="22" t="s">
        <v>282</v>
      </c>
      <c r="V12" s="22"/>
      <c r="W12" s="22"/>
    </row>
    <row r="13" spans="3:23" x14ac:dyDescent="0.45">
      <c r="C13" s="10" t="s">
        <v>218</v>
      </c>
      <c r="D13" s="36">
        <f ref="D13:D16" si="2" t="shared">D5/D$8</f>
        <v>0.38470237748908176</v>
      </c>
      <c r="F13" s="10" t="s">
        <v>218</v>
      </c>
      <c r="G13" s="36">
        <f ref="G13:G16" si="3" t="shared">G5/G$8</f>
        <v>0.2823808009449606</v>
      </c>
      <c r="H13" s="36"/>
      <c r="I13" s="60">
        <f ref="I13:I15" si="4" t="shared">D13/G13</f>
        <v>1.3623531635355934</v>
      </c>
      <c r="J13" s="61">
        <f ref="J13:J15" si="5" t="shared">LN(I13)</f>
        <v>0.30921347186553783</v>
      </c>
      <c r="K13" s="61">
        <f>J8*(J13-J12)</f>
        <v>0.67628864375509257</v>
      </c>
      <c r="L13" s="34"/>
      <c r="M13" t="str">
        <f>VLOOKUP(N13,Coeff_Descr!$A:$D,3,FALSE)</f>
        <v>ALL</v>
      </c>
      <c r="N13">
        <f>OtherTourDestination!B21</f>
        <v>11</v>
      </c>
      <c r="O13" t="str">
        <f>OtherTourDestination!C21</f>
        <v>Beta000011</v>
      </c>
      <c r="P13" s="25">
        <f>OtherTourDestination!E21</f>
        <v>0.20317681554899999</v>
      </c>
      <c r="Q13" s="85">
        <f si="1" t="shared"/>
        <v>0.20317681554899999</v>
      </c>
      <c r="R13">
        <f si="0" t="shared"/>
        <v>0</v>
      </c>
      <c r="T13" s="22">
        <v>4</v>
      </c>
      <c r="U13" s="22" t="s">
        <v>283</v>
      </c>
      <c r="V13" s="22"/>
      <c r="W13" s="22"/>
    </row>
    <row r="14" spans="3:23" x14ac:dyDescent="0.45">
      <c r="C14" s="10" t="s">
        <v>214</v>
      </c>
      <c r="D14" s="36">
        <f si="2" t="shared"/>
        <v>0.41610377614944316</v>
      </c>
      <c r="F14" s="10" t="s">
        <v>214</v>
      </c>
      <c r="G14" s="36">
        <f si="3" t="shared"/>
        <v>0.50954614633259887</v>
      </c>
      <c r="H14" s="36"/>
      <c r="I14" s="60">
        <f si="4" t="shared"/>
        <v>0.81661647162735573</v>
      </c>
      <c r="J14" s="61">
        <f si="5" t="shared"/>
        <v>-0.20258572931386287</v>
      </c>
      <c r="K14" s="61">
        <f>J8*(J14-J13-J12)</f>
        <v>-0.14472402928984596</v>
      </c>
      <c r="L14" s="34"/>
      <c r="M14" t="str">
        <f>VLOOKUP(N14,Coeff_Descr!$A:$D,3,FALSE)</f>
        <v>ALL</v>
      </c>
      <c r="N14">
        <f>OtherTourDestination!B22</f>
        <v>12</v>
      </c>
      <c r="O14" t="str">
        <f>OtherTourDestination!C22</f>
        <v>Beta000012</v>
      </c>
      <c r="P14" s="25">
        <f>OtherTourDestination!E22</f>
        <v>-0.25772334575</v>
      </c>
      <c r="Q14" s="85">
        <f si="1" t="shared"/>
        <v>-0.25772334575</v>
      </c>
      <c r="R14">
        <f si="0" t="shared"/>
        <v>0</v>
      </c>
      <c r="T14" s="22">
        <v>5</v>
      </c>
      <c r="U14" s="18" t="s">
        <v>284</v>
      </c>
      <c r="V14" s="22"/>
      <c r="W14" s="22"/>
    </row>
    <row ht="14.65" r="15" spans="3:23" thickBot="1" x14ac:dyDescent="0.5">
      <c r="C15" s="11" t="s">
        <v>215</v>
      </c>
      <c r="D15" s="36">
        <f si="2" t="shared"/>
        <v>0.15423533900244304</v>
      </c>
      <c r="F15" s="11" t="s">
        <v>215</v>
      </c>
      <c r="G15" s="36">
        <f si="3" t="shared"/>
        <v>0.14317515843990641</v>
      </c>
      <c r="H15" s="36"/>
      <c r="I15" s="62">
        <f si="4" t="shared"/>
        <v>1.0772492985728304</v>
      </c>
      <c r="J15" s="63">
        <f si="5" t="shared"/>
        <v>7.4410846386033125E-2</v>
      </c>
      <c r="K15" s="63">
        <f>J8*(J15-J14-J13-J12)</f>
        <v>0.33485827572391291</v>
      </c>
      <c r="M15" t="str">
        <f>VLOOKUP(N15,Coeff_Descr!$A:$D,3,FALSE)</f>
        <v>ALL</v>
      </c>
      <c r="N15">
        <f>OtherTourDestination!B23</f>
        <v>13</v>
      </c>
      <c r="O15" t="str">
        <f>OtherTourDestination!C23</f>
        <v>Beta000013</v>
      </c>
      <c r="P15" s="25">
        <f>OtherTourDestination!E23</f>
        <v>-1.51291507531</v>
      </c>
      <c r="Q15" s="85">
        <f si="1" t="shared"/>
        <v>-1.51291507531</v>
      </c>
      <c r="R15">
        <f si="0" t="shared"/>
        <v>0</v>
      </c>
      <c r="T15" s="22">
        <v>6</v>
      </c>
      <c r="U15" s="22" t="s">
        <v>285</v>
      </c>
      <c r="V15" s="22"/>
      <c r="W15" s="22"/>
    </row>
    <row ht="14.65" r="16" spans="3:23" thickBot="1" x14ac:dyDescent="0.5">
      <c r="C16" s="20" t="s">
        <v>4</v>
      </c>
      <c r="D16" s="37">
        <f si="2" t="shared"/>
        <v>1</v>
      </c>
      <c r="F16" s="20" t="s">
        <v>4</v>
      </c>
      <c r="G16" s="37">
        <f si="3" t="shared"/>
        <v>1</v>
      </c>
      <c r="H16" s="36"/>
      <c r="I16" s="36"/>
      <c r="J16" s="36"/>
      <c r="K16" s="36"/>
      <c r="M16" t="str">
        <f>VLOOKUP(N16,Coeff_Descr!$A:$D,3,FALSE)</f>
        <v>ALL</v>
      </c>
      <c r="N16">
        <f>OtherTourDestination!B24</f>
        <v>14</v>
      </c>
      <c r="O16" t="str">
        <f>OtherTourDestination!C24</f>
        <v>Beta000014</v>
      </c>
      <c r="P16" s="25">
        <f>OtherTourDestination!E24</f>
        <v>-0.21776561918199999</v>
      </c>
      <c r="Q16" s="85">
        <f si="1" t="shared"/>
        <v>-0.21776561918199999</v>
      </c>
      <c r="R16">
        <f si="0" t="shared"/>
        <v>0</v>
      </c>
      <c r="T16" s="22">
        <v>7</v>
      </c>
      <c r="U16" s="22" t="s">
        <v>278</v>
      </c>
      <c r="V16" s="22"/>
      <c r="W16" s="22"/>
    </row>
    <row r="17" spans="2:23" x14ac:dyDescent="0.45">
      <c r="M17" t="str">
        <f>VLOOKUP(N17,Coeff_Descr!$A:$D,3,FALSE)</f>
        <v>ALL</v>
      </c>
      <c r="N17">
        <f>OtherTourDestination!B25</f>
        <v>15</v>
      </c>
      <c r="O17" t="str">
        <f>OtherTourDestination!C25</f>
        <v>Beta000015</v>
      </c>
      <c r="P17" s="25">
        <f>OtherTourDestination!E25</f>
        <v>-1.27163179208</v>
      </c>
      <c r="Q17" s="85">
        <f si="1" t="shared"/>
        <v>-1.27163179208</v>
      </c>
      <c r="R17">
        <f si="0" t="shared"/>
        <v>0</v>
      </c>
      <c r="T17" s="22">
        <v>8</v>
      </c>
      <c r="U17" s="22" t="s">
        <v>286</v>
      </c>
      <c r="V17" s="22"/>
      <c r="W17" s="22"/>
    </row>
    <row r="18" spans="2:23" x14ac:dyDescent="0.45">
      <c r="M18" t="str">
        <f>VLOOKUP(N18,Coeff_Descr!$A:$D,3,FALSE)</f>
        <v>ALL</v>
      </c>
      <c r="N18">
        <f>OtherTourDestination!B26</f>
        <v>16</v>
      </c>
      <c r="O18" t="str">
        <f>OtherTourDestination!C26</f>
        <v>Beta000016</v>
      </c>
      <c r="P18" s="25">
        <f>OtherTourDestination!E26</f>
        <v>-0.54089688480800002</v>
      </c>
      <c r="Q18" s="85">
        <f si="1" t="shared"/>
        <v>-0.54089688480800002</v>
      </c>
      <c r="R18">
        <f si="0" t="shared"/>
        <v>0</v>
      </c>
    </row>
    <row r="19" spans="2:23" x14ac:dyDescent="0.45">
      <c r="C19" s="38" t="s">
        <v>222</v>
      </c>
      <c r="M19" t="str">
        <f>VLOOKUP(N19,Coeff_Descr!$A:$D,3,FALSE)</f>
        <v>ALL</v>
      </c>
      <c r="N19">
        <f>OtherTourDestination!B27</f>
        <v>17</v>
      </c>
      <c r="O19" t="str">
        <f>OtherTourDestination!C27</f>
        <v>Beta000017</v>
      </c>
      <c r="P19" s="25">
        <f>OtherTourDestination!E27</f>
        <v>0</v>
      </c>
      <c r="Q19" s="85">
        <f si="1" t="shared"/>
        <v>0</v>
      </c>
      <c r="R19">
        <f si="0" t="shared"/>
        <v>0</v>
      </c>
    </row>
    <row r="20" spans="2:23" x14ac:dyDescent="0.45">
      <c r="C20" s="38" t="s">
        <v>223</v>
      </c>
      <c r="M20" t="str">
        <f>VLOOKUP(N20,Coeff_Descr!$A:$D,3,FALSE)</f>
        <v>ALL</v>
      </c>
      <c r="N20">
        <f>OtherTourDestination!B28</f>
        <v>18</v>
      </c>
      <c r="O20" t="str">
        <f>OtherTourDestination!C28</f>
        <v>Beta000018</v>
      </c>
      <c r="P20" s="25">
        <f>OtherTourDestination!E28</f>
        <v>0</v>
      </c>
      <c r="Q20" s="85">
        <f si="1" t="shared"/>
        <v>0</v>
      </c>
      <c r="R20">
        <f si="0" t="shared"/>
        <v>0</v>
      </c>
    </row>
    <row ht="14.65" r="21" spans="2:23" thickBot="1" x14ac:dyDescent="0.5">
      <c r="C21" s="22"/>
      <c r="M21" t="str">
        <f>VLOOKUP(N21,Coeff_Descr!$A:$D,3,FALSE)</f>
        <v>ALL</v>
      </c>
      <c r="N21">
        <f>OtherTourDestination!B29</f>
        <v>19</v>
      </c>
      <c r="O21" t="str">
        <f>OtherTourDestination!C29</f>
        <v>Beta000019</v>
      </c>
      <c r="P21" s="25">
        <f>OtherTourDestination!E29</f>
        <v>0</v>
      </c>
      <c r="Q21" s="85">
        <f si="1" t="shared"/>
        <v>0</v>
      </c>
      <c r="R21">
        <f si="0" t="shared"/>
        <v>0</v>
      </c>
    </row>
    <row r="22" spans="2:23" x14ac:dyDescent="0.45">
      <c r="B22" s="64" t="s">
        <v>264</v>
      </c>
      <c r="C22" s="39" t="s">
        <v>224</v>
      </c>
      <c r="D22" s="40"/>
      <c r="M22" t="str">
        <f>VLOOKUP(N22,Coeff_Descr!$A:$D,3,FALSE)</f>
        <v>ESCORT</v>
      </c>
      <c r="N22">
        <f>OtherTourDestination!B30</f>
        <v>20</v>
      </c>
      <c r="O22" t="str">
        <f>OtherTourDestination!C30</f>
        <v>Beta000020</v>
      </c>
      <c r="P22" s="25">
        <f>OtherTourDestination!E30</f>
        <v>0.43763139961699998</v>
      </c>
      <c r="Q22" s="85">
        <f si="1" t="shared"/>
        <v>0.43763139961699998</v>
      </c>
      <c r="R22">
        <f si="0" t="shared"/>
        <v>0</v>
      </c>
    </row>
    <row r="23" spans="2:23" x14ac:dyDescent="0.45">
      <c r="B23" s="65">
        <v>44</v>
      </c>
      <c r="C23" s="28" t="s">
        <v>217</v>
      </c>
      <c r="D23" s="68">
        <f>VLOOKUP($B23,$N:$P,3,FALSE)</f>
        <v>-13.482142205440001</v>
      </c>
      <c r="M23" t="str">
        <f>VLOOKUP(N23,Coeff_Descr!$A:$D,3,FALSE)</f>
        <v>ESCORT</v>
      </c>
      <c r="N23">
        <f>OtherTourDestination!B31</f>
        <v>21</v>
      </c>
      <c r="O23" t="str">
        <f>OtherTourDestination!C31</f>
        <v>Beta000021</v>
      </c>
      <c r="P23" s="25">
        <f>OtherTourDestination!E31</f>
        <v>-5.1729505125899999</v>
      </c>
      <c r="Q23" s="85">
        <f si="1" t="shared"/>
        <v>-5.1729505125899999</v>
      </c>
      <c r="R23">
        <f si="0" t="shared"/>
        <v>0</v>
      </c>
    </row>
    <row r="24" spans="2:23" x14ac:dyDescent="0.45">
      <c r="B24" s="65">
        <v>45</v>
      </c>
      <c r="C24" s="10" t="s">
        <v>218</v>
      </c>
      <c r="D24" s="68">
        <f ref="D24:D26" si="6" t="shared">VLOOKUP($B24,$N:$P,3,FALSE)</f>
        <v>-5.7740636752999999</v>
      </c>
      <c r="M24" t="str">
        <f>VLOOKUP(N24,Coeff_Descr!$A:$D,3,FALSE)</f>
        <v>ESCORT</v>
      </c>
      <c r="N24">
        <f>OtherTourDestination!B32</f>
        <v>22</v>
      </c>
      <c r="O24" t="str">
        <f>OtherTourDestination!C32</f>
        <v>Beta000022</v>
      </c>
      <c r="P24" s="25">
        <f>OtherTourDestination!E32</f>
        <v>-5.9112646193599998</v>
      </c>
      <c r="Q24" s="85">
        <f si="1" t="shared"/>
        <v>-5.9112646193599998</v>
      </c>
      <c r="R24">
        <f si="0" t="shared"/>
        <v>0</v>
      </c>
    </row>
    <row r="25" spans="2:23" x14ac:dyDescent="0.45">
      <c r="B25" s="65">
        <v>46</v>
      </c>
      <c r="C25" s="10" t="s">
        <v>214</v>
      </c>
      <c r="D25" s="68">
        <f si="6" t="shared"/>
        <v>-3.2513620839500001</v>
      </c>
      <c r="M25" t="str">
        <f>VLOOKUP(N25,Coeff_Descr!$A:$D,3,FALSE)</f>
        <v>ESCORT</v>
      </c>
      <c r="N25">
        <f>OtherTourDestination!B33</f>
        <v>23</v>
      </c>
      <c r="O25" t="str">
        <f>OtherTourDestination!C33</f>
        <v>Beta000023</v>
      </c>
      <c r="P25" s="25">
        <f>OtherTourDestination!E33</f>
        <v>-4.3510480079200002</v>
      </c>
      <c r="Q25" s="85">
        <f si="1" t="shared"/>
        <v>-4.3510480079200002</v>
      </c>
      <c r="R25">
        <f si="0" t="shared"/>
        <v>0</v>
      </c>
    </row>
    <row ht="14.65" r="26" spans="2:23" thickBot="1" x14ac:dyDescent="0.5">
      <c r="B26" s="66">
        <v>47</v>
      </c>
      <c r="C26" s="12" t="s">
        <v>215</v>
      </c>
      <c r="D26" s="69">
        <f si="6" t="shared"/>
        <v>-0.81757689945000001</v>
      </c>
      <c r="M26" t="str">
        <f>VLOOKUP(N26,Coeff_Descr!$A:$D,3,FALSE)</f>
        <v>ESCORT</v>
      </c>
      <c r="N26">
        <f>OtherTourDestination!B34</f>
        <v>24</v>
      </c>
      <c r="O26" t="str">
        <f>OtherTourDestination!C34</f>
        <v>Beta000024</v>
      </c>
      <c r="P26" s="25">
        <f>OtherTourDestination!E34</f>
        <v>0.219929989326</v>
      </c>
      <c r="Q26" s="85">
        <f si="1" t="shared"/>
        <v>0.219929989326</v>
      </c>
      <c r="R26">
        <f si="0" t="shared"/>
        <v>0</v>
      </c>
    </row>
    <row r="27" spans="2:23" x14ac:dyDescent="0.45">
      <c r="C27" s="22"/>
      <c r="D27" s="23"/>
      <c r="M27" t="str">
        <f>VLOOKUP(N27,Coeff_Descr!$A:$D,3,FALSE)</f>
        <v>ESCORT</v>
      </c>
      <c r="N27">
        <f>OtherTourDestination!B35</f>
        <v>25</v>
      </c>
      <c r="O27" t="str">
        <f>OtherTourDestination!C35</f>
        <v>Beta000025</v>
      </c>
      <c r="P27" s="25">
        <f>OtherTourDestination!E35</f>
        <v>-0.19965371290799999</v>
      </c>
      <c r="Q27" s="85">
        <f si="1" t="shared"/>
        <v>-0.19965371290799999</v>
      </c>
      <c r="R27">
        <f si="0" t="shared"/>
        <v>0</v>
      </c>
    </row>
    <row r="28" spans="2:23" x14ac:dyDescent="0.45">
      <c r="C28" s="22"/>
      <c r="D28" s="23"/>
      <c r="M28" t="str">
        <f>VLOOKUP(N28,Coeff_Descr!$A:$D,3,FALSE)</f>
        <v>PERSBUS/MED</v>
      </c>
      <c r="N28">
        <f>OtherTourDestination!B36</f>
        <v>26</v>
      </c>
      <c r="O28" t="str">
        <f>OtherTourDestination!C36</f>
        <v>Beta000026</v>
      </c>
      <c r="P28" s="25">
        <f>OtherTourDestination!E36</f>
        <v>0.456947594269</v>
      </c>
      <c r="Q28" s="85">
        <f si="1" t="shared"/>
        <v>0.456947594269</v>
      </c>
      <c r="R28">
        <f si="0" t="shared"/>
        <v>0</v>
      </c>
    </row>
    <row r="29" spans="2:23" x14ac:dyDescent="0.45">
      <c r="C29" s="38" t="s">
        <v>222</v>
      </c>
      <c r="D29" s="43"/>
      <c r="M29" t="str">
        <f>VLOOKUP(N29,Coeff_Descr!$A:$D,3,FALSE)</f>
        <v>PERSBUS/MED</v>
      </c>
      <c r="N29">
        <f>OtherTourDestination!B37</f>
        <v>27</v>
      </c>
      <c r="O29" t="str">
        <f>OtherTourDestination!C37</f>
        <v>Beta000027</v>
      </c>
      <c r="P29" s="25">
        <f>OtherTourDestination!E37</f>
        <v>-16.041405463699999</v>
      </c>
      <c r="Q29" s="85">
        <f si="1" t="shared"/>
        <v>-16.041405463699999</v>
      </c>
      <c r="R29">
        <f si="0" t="shared"/>
        <v>0</v>
      </c>
    </row>
    <row r="30" spans="2:23" x14ac:dyDescent="0.45">
      <c r="C30" s="38" t="s">
        <v>225</v>
      </c>
      <c r="D30" s="43"/>
      <c r="M30" t="str">
        <f>VLOOKUP(N30,Coeff_Descr!$A:$D,3,FALSE)</f>
        <v>PERSBUS/MED</v>
      </c>
      <c r="N30">
        <f>OtherTourDestination!B38</f>
        <v>28</v>
      </c>
      <c r="O30" t="str">
        <f>OtherTourDestination!C38</f>
        <v>Beta000028</v>
      </c>
      <c r="P30" s="25">
        <f>OtherTourDestination!E38</f>
        <v>-4.0058838759500004</v>
      </c>
      <c r="Q30" s="85">
        <f si="1" t="shared"/>
        <v>-4.0058838759500004</v>
      </c>
      <c r="R30">
        <f si="0" t="shared"/>
        <v>0</v>
      </c>
    </row>
    <row ht="14.65" r="31" spans="2:23" thickBot="1" x14ac:dyDescent="0.5">
      <c r="C31" s="22"/>
      <c r="D31" s="23"/>
      <c r="M31" t="str">
        <f>VLOOKUP(N31,Coeff_Descr!$A:$D,3,FALSE)</f>
        <v>PERSBUS/MED</v>
      </c>
      <c r="N31">
        <f>OtherTourDestination!B39</f>
        <v>29</v>
      </c>
      <c r="O31" t="str">
        <f>OtherTourDestination!C39</f>
        <v>Beta000029</v>
      </c>
      <c r="P31" s="25">
        <f>OtherTourDestination!E39</f>
        <v>-2.2602358254700001</v>
      </c>
      <c r="Q31" s="85">
        <f si="1" t="shared"/>
        <v>-2.2602358254700001</v>
      </c>
      <c r="R31">
        <f si="0" t="shared"/>
        <v>0</v>
      </c>
    </row>
    <row r="32" spans="2:23" x14ac:dyDescent="0.45">
      <c r="B32" s="64" t="s">
        <v>264</v>
      </c>
      <c r="C32" s="39" t="s">
        <v>224</v>
      </c>
      <c r="D32" s="40"/>
      <c r="M32" t="str">
        <f>VLOOKUP(N32,Coeff_Descr!$A:$D,3,FALSE)</f>
        <v>PERSBUS/MED</v>
      </c>
      <c r="N32">
        <f>OtherTourDestination!B40</f>
        <v>30</v>
      </c>
      <c r="O32" t="str">
        <f>OtherTourDestination!C40</f>
        <v>Beta000030</v>
      </c>
      <c r="P32" s="25">
        <f>OtherTourDestination!E40</f>
        <v>-0.57131171698200001</v>
      </c>
      <c r="Q32" s="85">
        <f si="1" t="shared"/>
        <v>-0.57131171698200001</v>
      </c>
      <c r="R32">
        <f si="0" t="shared"/>
        <v>0</v>
      </c>
    </row>
    <row r="33" spans="2:19" x14ac:dyDescent="0.45">
      <c r="B33" s="65">
        <f>B23</f>
        <v>44</v>
      </c>
      <c r="C33" s="28" t="s">
        <v>217</v>
      </c>
      <c r="D33" s="70">
        <f>K12</f>
        <v>-0.36707517188955474</v>
      </c>
      <c r="M33" t="str">
        <f>VLOOKUP(N33,Coeff_Descr!$A:$D,3,FALSE)</f>
        <v>PERSBUS/MED</v>
      </c>
      <c r="N33">
        <f>OtherTourDestination!B41</f>
        <v>31</v>
      </c>
      <c r="O33" t="str">
        <f>OtherTourDestination!C41</f>
        <v>Beta000031</v>
      </c>
      <c r="P33" s="25">
        <f>OtherTourDestination!E41</f>
        <v>-9.1432405138999993E-3</v>
      </c>
      <c r="Q33" s="85">
        <f si="1" t="shared"/>
        <v>-9.1432405138999993E-3</v>
      </c>
      <c r="R33">
        <f si="0" t="shared"/>
        <v>0</v>
      </c>
    </row>
    <row r="34" spans="2:19" x14ac:dyDescent="0.45">
      <c r="B34" s="65">
        <f ref="B34:B36" si="7" t="shared">B24</f>
        <v>45</v>
      </c>
      <c r="C34" s="10" t="s">
        <v>218</v>
      </c>
      <c r="D34" s="41">
        <f ref="D34:D36" si="8" t="shared">K13</f>
        <v>0.67628864375509257</v>
      </c>
      <c r="M34" t="str">
        <f>VLOOKUP(N34,Coeff_Descr!$A:$D,3,FALSE)</f>
        <v>PERSBUS/MED</v>
      </c>
      <c r="N34">
        <f>OtherTourDestination!B42</f>
        <v>32</v>
      </c>
      <c r="O34" t="str">
        <f>OtherTourDestination!C42</f>
        <v>Beta000032</v>
      </c>
      <c r="P34" s="25">
        <f>OtherTourDestination!E42</f>
        <v>-0.11638214876</v>
      </c>
      <c r="Q34" s="85">
        <f si="1" t="shared"/>
        <v>-0.11638214876</v>
      </c>
      <c r="R34">
        <f si="0" t="shared"/>
        <v>0</v>
      </c>
    </row>
    <row r="35" spans="2:19" x14ac:dyDescent="0.45">
      <c r="B35" s="65">
        <f si="7" t="shared"/>
        <v>46</v>
      </c>
      <c r="C35" s="10" t="s">
        <v>214</v>
      </c>
      <c r="D35" s="41">
        <f si="8" t="shared"/>
        <v>-0.14472402928984596</v>
      </c>
      <c r="G35" s="46"/>
      <c r="H35" s="46"/>
      <c r="I35" s="46"/>
      <c r="J35" s="46"/>
      <c r="K35" s="46"/>
      <c r="M35" t="str">
        <f>VLOOKUP(N35,Coeff_Descr!$A:$D,3,FALSE)</f>
        <v>PERSBUS/MED</v>
      </c>
      <c r="N35">
        <f>OtherTourDestination!B43</f>
        <v>33</v>
      </c>
      <c r="O35" t="str">
        <f>OtherTourDestination!C43</f>
        <v>Beta000033</v>
      </c>
      <c r="P35" s="25">
        <f>OtherTourDestination!E43</f>
        <v>5.6920874310099998E-2</v>
      </c>
      <c r="Q35" s="85">
        <f si="1" t="shared"/>
        <v>5.6920874310099998E-2</v>
      </c>
      <c r="R35">
        <f si="0" t="shared"/>
        <v>0</v>
      </c>
    </row>
    <row ht="14.65" r="36" spans="2:19" thickBot="1" x14ac:dyDescent="0.5">
      <c r="B36" s="67">
        <f si="7" t="shared"/>
        <v>47</v>
      </c>
      <c r="C36" s="12" t="s">
        <v>215</v>
      </c>
      <c r="D36" s="42">
        <f si="8" t="shared"/>
        <v>0.33485827572391291</v>
      </c>
      <c r="G36" s="47"/>
      <c r="H36" s="47"/>
      <c r="I36" s="47"/>
      <c r="J36" s="47"/>
      <c r="K36" s="47"/>
      <c r="M36" t="str">
        <f>VLOOKUP(N36,Coeff_Descr!$A:$D,3,FALSE)</f>
        <v>PERSBUS/MED</v>
      </c>
      <c r="N36">
        <f>OtherTourDestination!B44</f>
        <v>34</v>
      </c>
      <c r="O36" t="str">
        <f>OtherTourDestination!C44</f>
        <v>Beta000034</v>
      </c>
      <c r="P36" s="25">
        <f>OtherTourDestination!E44</f>
        <v>-1.9362324458399999E-2</v>
      </c>
      <c r="Q36" s="85">
        <f si="1" t="shared"/>
        <v>-1.9362324458399999E-2</v>
      </c>
      <c r="R36">
        <f si="0" t="shared"/>
        <v>0</v>
      </c>
    </row>
    <row ht="14.65" r="37" spans="2:19" thickTop="1" x14ac:dyDescent="0.45">
      <c r="C37" s="22"/>
      <c r="D37" s="41"/>
      <c r="M37" t="str">
        <f>VLOOKUP(N37,Coeff_Descr!$A:$D,3,FALSE)</f>
        <v>PERSBUS/MED</v>
      </c>
      <c r="N37">
        <f>OtherTourDestination!B45</f>
        <v>35</v>
      </c>
      <c r="O37" t="str">
        <f>OtherTourDestination!C45</f>
        <v>Beta000035</v>
      </c>
      <c r="P37" s="25">
        <f>OtherTourDestination!E45</f>
        <v>1.8323476485999999E-2</v>
      </c>
      <c r="Q37" s="85">
        <f si="1" t="shared"/>
        <v>1.8323476485999999E-2</v>
      </c>
      <c r="R37">
        <f si="0" t="shared"/>
        <v>0</v>
      </c>
    </row>
    <row r="38" spans="2:19" x14ac:dyDescent="0.45">
      <c r="C38" s="22"/>
      <c r="D38" s="41"/>
      <c r="M38" t="str">
        <f>VLOOKUP(N38,Coeff_Descr!$A:$D,3,FALSE)</f>
        <v>SHOP</v>
      </c>
      <c r="N38">
        <f>OtherTourDestination!B46</f>
        <v>36</v>
      </c>
      <c r="O38" t="str">
        <f>OtherTourDestination!C46</f>
        <v>Beta000036</v>
      </c>
      <c r="P38" s="25">
        <f>OtherTourDestination!E46</f>
        <v>2.3040582229000002</v>
      </c>
      <c r="Q38" s="85">
        <f si="1" t="shared"/>
        <v>2.3040582229000002</v>
      </c>
      <c r="R38">
        <f si="0" t="shared"/>
        <v>0</v>
      </c>
    </row>
    <row r="39" spans="2:19" x14ac:dyDescent="0.45">
      <c r="C39" s="38" t="s">
        <v>222</v>
      </c>
      <c r="D39" s="44"/>
      <c r="M39" t="str">
        <f>VLOOKUP(N39,Coeff_Descr!$A:$D,3,FALSE)</f>
        <v>SHOP</v>
      </c>
      <c r="N39">
        <f>OtherTourDestination!B47</f>
        <v>37</v>
      </c>
      <c r="O39" t="str">
        <f>OtherTourDestination!C47</f>
        <v>Beta000037</v>
      </c>
      <c r="P39" s="25">
        <f>OtherTourDestination!E47</f>
        <v>-7.2225250615199998</v>
      </c>
      <c r="Q39" s="85">
        <f si="1" t="shared"/>
        <v>-7.2225250615199998</v>
      </c>
      <c r="R39">
        <f si="0" t="shared"/>
        <v>0</v>
      </c>
    </row>
    <row r="40" spans="2:19" x14ac:dyDescent="0.45">
      <c r="C40" s="38" t="s">
        <v>226</v>
      </c>
      <c r="D40" s="44"/>
      <c r="M40" t="str">
        <f>VLOOKUP(N40,Coeff_Descr!$A:$D,3,FALSE)</f>
        <v>SHOP</v>
      </c>
      <c r="N40">
        <f>OtherTourDestination!B48</f>
        <v>38</v>
      </c>
      <c r="O40" t="str">
        <f>OtherTourDestination!C48</f>
        <v>Beta000038</v>
      </c>
      <c r="P40" s="25">
        <f>OtherTourDestination!E48</f>
        <v>-5.4693439766900003</v>
      </c>
      <c r="Q40" s="85">
        <f si="1" t="shared"/>
        <v>-5.4693439766900003</v>
      </c>
      <c r="R40">
        <f si="0" t="shared"/>
        <v>0</v>
      </c>
    </row>
    <row ht="14.65" r="41" spans="2:19" thickBot="1" x14ac:dyDescent="0.5">
      <c r="B41" s="1"/>
      <c r="C41" s="22"/>
      <c r="D41" s="41"/>
      <c r="M41" t="str">
        <f>VLOOKUP(N41,Coeff_Descr!$A:$D,3,FALSE)</f>
        <v>SHOP</v>
      </c>
      <c r="N41">
        <f>OtherTourDestination!B49</f>
        <v>39</v>
      </c>
      <c r="O41" t="str">
        <f>OtherTourDestination!C49</f>
        <v>Beta000039</v>
      </c>
      <c r="P41" s="25">
        <f>OtherTourDestination!E49</f>
        <v>-2.4179033783600001</v>
      </c>
      <c r="Q41" s="85">
        <f si="1" t="shared"/>
        <v>-2.4179033783600001</v>
      </c>
      <c r="R41">
        <f si="0" t="shared"/>
        <v>0</v>
      </c>
    </row>
    <row r="42" spans="2:19" x14ac:dyDescent="0.45">
      <c r="B42" s="64" t="s">
        <v>264</v>
      </c>
      <c r="C42" s="39" t="s">
        <v>224</v>
      </c>
      <c r="D42" s="45"/>
      <c r="M42" t="str">
        <f>VLOOKUP(N42,Coeff_Descr!$A:$D,3,FALSE)</f>
        <v>SHOP</v>
      </c>
      <c r="N42">
        <f>OtherTourDestination!B50</f>
        <v>40</v>
      </c>
      <c r="O42" t="str">
        <f>OtherTourDestination!C50</f>
        <v>Beta000040</v>
      </c>
      <c r="P42" s="25">
        <f>OtherTourDestination!E50</f>
        <v>-0.24529497763800001</v>
      </c>
      <c r="Q42" s="85">
        <f si="1" t="shared"/>
        <v>-0.24529497763800001</v>
      </c>
      <c r="R42">
        <f si="0" t="shared"/>
        <v>0</v>
      </c>
    </row>
    <row r="43" spans="2:19" x14ac:dyDescent="0.45">
      <c r="B43" s="65">
        <f>B33</f>
        <v>44</v>
      </c>
      <c r="C43" s="28" t="s">
        <v>217</v>
      </c>
      <c r="D43" s="71">
        <f>D23+D33</f>
        <v>-13.849217377329555</v>
      </c>
      <c r="M43" t="str">
        <f>VLOOKUP(N43,Coeff_Descr!$A:$D,3,FALSE)</f>
        <v>SHOP</v>
      </c>
      <c r="N43">
        <f>OtherTourDestination!B51</f>
        <v>41</v>
      </c>
      <c r="O43" t="str">
        <f>OtherTourDestination!C51</f>
        <v>Beta000041</v>
      </c>
      <c r="P43" s="25">
        <f>OtherTourDestination!E51</f>
        <v>-0.100545011408</v>
      </c>
      <c r="Q43" s="85">
        <f si="1" t="shared"/>
        <v>-0.100545011408</v>
      </c>
      <c r="R43">
        <f si="0" t="shared"/>
        <v>0</v>
      </c>
    </row>
    <row r="44" spans="2:19" x14ac:dyDescent="0.45">
      <c r="B44" s="65">
        <f ref="B44:B46" si="9" t="shared">B34</f>
        <v>45</v>
      </c>
      <c r="C44" s="10" t="s">
        <v>218</v>
      </c>
      <c r="D44" s="71">
        <f ref="D44:D46" si="10" t="shared">D24+D34</f>
        <v>-5.0977750315449075</v>
      </c>
      <c r="M44" t="str">
        <f>VLOOKUP(N44,Coeff_Descr!$A:$D,3,FALSE)</f>
        <v>SHOP</v>
      </c>
      <c r="N44">
        <f>OtherTourDestination!B52</f>
        <v>42</v>
      </c>
      <c r="O44" t="str">
        <f>OtherTourDestination!C52</f>
        <v>Beta000042</v>
      </c>
      <c r="P44" s="25">
        <f>OtherTourDestination!E52</f>
        <v>0.10049185695100001</v>
      </c>
      <c r="Q44" s="85">
        <f si="1" t="shared"/>
        <v>0.10049185695100001</v>
      </c>
      <c r="R44">
        <f si="0" t="shared"/>
        <v>0</v>
      </c>
    </row>
    <row r="45" spans="2:19" x14ac:dyDescent="0.45">
      <c r="B45" s="65">
        <f si="9" t="shared"/>
        <v>46</v>
      </c>
      <c r="C45" s="10" t="s">
        <v>214</v>
      </c>
      <c r="D45" s="71">
        <f si="10" t="shared"/>
        <v>-3.3960861132398463</v>
      </c>
      <c r="M45" t="str">
        <f>VLOOKUP(N45,Coeff_Descr!$A:$D,3,FALSE)</f>
        <v>MEAL</v>
      </c>
      <c r="N45">
        <f>OtherTourDestination!B53</f>
        <v>43</v>
      </c>
      <c r="O45" t="str">
        <f>OtherTourDestination!C53</f>
        <v>Beta000043</v>
      </c>
      <c r="P45" s="25">
        <f>OtherTourDestination!E53</f>
        <v>1.7655971612000001</v>
      </c>
      <c r="Q45" s="85">
        <f si="1" t="shared"/>
        <v>1.7655971612000001</v>
      </c>
      <c r="R45">
        <f si="0" t="shared"/>
        <v>0</v>
      </c>
    </row>
    <row ht="14.65" r="46" spans="2:19" thickBot="1" x14ac:dyDescent="0.5">
      <c r="B46" s="67">
        <f si="9" t="shared"/>
        <v>47</v>
      </c>
      <c r="C46" s="12" t="s">
        <v>215</v>
      </c>
      <c r="D46" s="72">
        <f si="10" t="shared"/>
        <v>-0.48271862372608709</v>
      </c>
      <c r="M46" s="50" t="str">
        <f>VLOOKUP(N46,Coeff_Descr!$A:$D,3,FALSE)</f>
        <v>MEAL</v>
      </c>
      <c r="N46" s="50">
        <f>OtherTourDestination!B54</f>
        <v>44</v>
      </c>
      <c r="O46" s="50" t="str">
        <f>OtherTourDestination!C54</f>
        <v>Beta000044</v>
      </c>
      <c r="P46" s="51">
        <f>OtherTourDestination!E54</f>
        <v>-13.482142205440001</v>
      </c>
      <c r="Q46" s="86">
        <f si="1" t="shared"/>
        <v>-13.849217377329555</v>
      </c>
      <c r="R46">
        <f si="0" t="shared"/>
        <v>1</v>
      </c>
      <c r="S46" t="str">
        <f>VLOOKUP(N46,Coeff_Descr!$A$2:$E$104,4,FALSE)</f>
        <v>distanceFromOrigin4  (0 -1 mile)</v>
      </c>
    </row>
    <row ht="14.65" r="47" spans="2:19" thickTop="1" x14ac:dyDescent="0.45">
      <c r="M47" s="50" t="str">
        <f>VLOOKUP(N47,Coeff_Descr!$A:$D,3,FALSE)</f>
        <v>MEAL</v>
      </c>
      <c r="N47" s="50">
        <f>OtherTourDestination!B55</f>
        <v>45</v>
      </c>
      <c r="O47" s="50" t="str">
        <f>OtherTourDestination!C55</f>
        <v>Beta000045</v>
      </c>
      <c r="P47" s="51">
        <f>OtherTourDestination!E55</f>
        <v>-5.7740636752999999</v>
      </c>
      <c r="Q47" s="86">
        <f si="1" t="shared"/>
        <v>-5.0977750315449075</v>
      </c>
      <c r="R47">
        <f si="0" t="shared"/>
        <v>1</v>
      </c>
      <c r="S47" t="str">
        <f>VLOOKUP(N47,Coeff_Descr!$A$2:$E$104,4,FALSE)</f>
        <v>distanceFromOrigin8 (distance from 1 - 3.5 miles)</v>
      </c>
    </row>
    <row r="48" spans="2:19" x14ac:dyDescent="0.45">
      <c r="M48" s="50" t="str">
        <f>VLOOKUP(N48,Coeff_Descr!$A:$D,3,FALSE)</f>
        <v>MEAL</v>
      </c>
      <c r="N48" s="50">
        <f>OtherTourDestination!B56</f>
        <v>46</v>
      </c>
      <c r="O48" s="50" t="str">
        <f>OtherTourDestination!C56</f>
        <v>Beta000046</v>
      </c>
      <c r="P48" s="51">
        <f>OtherTourDestination!E56</f>
        <v>-3.2513620839500001</v>
      </c>
      <c r="Q48" s="86">
        <f si="1" t="shared"/>
        <v>-3.3960861132398463</v>
      </c>
      <c r="R48">
        <f si="0" t="shared"/>
        <v>1</v>
      </c>
      <c r="S48" t="str">
        <f>VLOOKUP(N48,Coeff_Descr!$A$2:$E$104,4,FALSE)</f>
        <v>distanceFromOrigin9 (distance from 3.5 miles - 10 miles)</v>
      </c>
    </row>
    <row r="49" spans="13:19" x14ac:dyDescent="0.45">
      <c r="M49" s="50" t="str">
        <f>VLOOKUP(N49,Coeff_Descr!$A:$D,3,FALSE)</f>
        <v>MEAL</v>
      </c>
      <c r="N49" s="50">
        <f>OtherTourDestination!B57</f>
        <v>47</v>
      </c>
      <c r="O49" s="50" t="str">
        <f>OtherTourDestination!C57</f>
        <v>Beta000047</v>
      </c>
      <c r="P49" s="51">
        <f>OtherTourDestination!E57</f>
        <v>-0.81757689945000001</v>
      </c>
      <c r="Q49" s="86">
        <f si="1" t="shared"/>
        <v>-0.48271862372608709</v>
      </c>
      <c r="R49">
        <f si="0" t="shared"/>
        <v>1</v>
      </c>
      <c r="S49" t="str">
        <f>VLOOKUP(N49,Coeff_Descr!$A$2:$E$104,4,FALSE)</f>
        <v>distanceFromOrigin3 (Distance over 10 miles)</v>
      </c>
    </row>
    <row r="50" spans="13:19" x14ac:dyDescent="0.45">
      <c r="M50" t="str">
        <f>VLOOKUP(N50,Coeff_Descr!$A:$D,3,FALSE)</f>
        <v>MEAL</v>
      </c>
      <c r="N50">
        <f>OtherTourDestination!B58</f>
        <v>48</v>
      </c>
      <c r="O50" t="str">
        <f>OtherTourDestination!C58</f>
        <v>Beta000048</v>
      </c>
      <c r="P50" s="25">
        <f>OtherTourDestination!E58</f>
        <v>0.63335958983999996</v>
      </c>
      <c r="Q50" s="85">
        <f si="1" t="shared"/>
        <v>0.63335958983999996</v>
      </c>
      <c r="R50">
        <f si="0" t="shared"/>
        <v>0</v>
      </c>
    </row>
    <row r="51" spans="13:19" x14ac:dyDescent="0.45">
      <c r="M51" t="str">
        <f>VLOOKUP(N51,Coeff_Descr!$A:$D,3,FALSE)</f>
        <v>SOCREC</v>
      </c>
      <c r="N51">
        <f>OtherTourDestination!B59</f>
        <v>49</v>
      </c>
      <c r="O51" t="str">
        <f>OtherTourDestination!C59</f>
        <v>Beta000049</v>
      </c>
      <c r="P51" s="25">
        <f>OtherTourDestination!E59</f>
        <v>0.54194850979700004</v>
      </c>
      <c r="Q51" s="85">
        <f si="1" t="shared"/>
        <v>0.54194850979700004</v>
      </c>
      <c r="R51">
        <f si="0" t="shared"/>
        <v>0</v>
      </c>
    </row>
    <row r="52" spans="13:19" x14ac:dyDescent="0.45">
      <c r="M52" t="str">
        <f>VLOOKUP(N52,Coeff_Descr!$A:$D,3,FALSE)</f>
        <v>SOCREC</v>
      </c>
      <c r="N52">
        <f>OtherTourDestination!B60</f>
        <v>50</v>
      </c>
      <c r="O52" t="str">
        <f>OtherTourDestination!C60</f>
        <v>Beta000050</v>
      </c>
      <c r="P52" s="25">
        <f>OtherTourDestination!E60</f>
        <v>-26.641935956609998</v>
      </c>
      <c r="Q52" s="85">
        <f si="1" t="shared"/>
        <v>-26.641935956609998</v>
      </c>
      <c r="R52">
        <f si="0" t="shared"/>
        <v>0</v>
      </c>
    </row>
    <row r="53" spans="13:19" x14ac:dyDescent="0.45">
      <c r="M53" t="str">
        <f>VLOOKUP(N53,Coeff_Descr!$A:$D,3,FALSE)</f>
        <v>SOCREC</v>
      </c>
      <c r="N53">
        <f>OtherTourDestination!B61</f>
        <v>51</v>
      </c>
      <c r="O53" t="str">
        <f>OtherTourDestination!C61</f>
        <v>Beta000051</v>
      </c>
      <c r="P53" s="25">
        <f>OtherTourDestination!E61</f>
        <v>-5.8569921168899999</v>
      </c>
      <c r="Q53" s="85">
        <f si="1" t="shared"/>
        <v>-5.8569921168899999</v>
      </c>
      <c r="R53">
        <f si="0" t="shared"/>
        <v>0</v>
      </c>
    </row>
    <row r="54" spans="13:19" x14ac:dyDescent="0.45">
      <c r="M54" t="str">
        <f>VLOOKUP(N54,Coeff_Descr!$A:$D,3,FALSE)</f>
        <v>SOCREC</v>
      </c>
      <c r="N54">
        <f>OtherTourDestination!B62</f>
        <v>52</v>
      </c>
      <c r="O54" t="str">
        <f>OtherTourDestination!C62</f>
        <v>Beta000052</v>
      </c>
      <c r="P54" s="25">
        <f>OtherTourDestination!E62</f>
        <v>-3.0622160410500001</v>
      </c>
      <c r="Q54" s="85">
        <f si="1" t="shared"/>
        <v>-3.0622160410500001</v>
      </c>
      <c r="R54">
        <f si="0" t="shared"/>
        <v>0</v>
      </c>
    </row>
    <row r="55" spans="13:19" x14ac:dyDescent="0.45">
      <c r="M55" t="str">
        <f>VLOOKUP(N55,Coeff_Descr!$A:$D,3,FALSE)</f>
        <v>SOCREC</v>
      </c>
      <c r="N55">
        <f>OtherTourDestination!B63</f>
        <v>53</v>
      </c>
      <c r="O55" t="str">
        <f>OtherTourDestination!C63</f>
        <v>Beta000053</v>
      </c>
      <c r="P55" s="25">
        <f>OtherTourDestination!E63</f>
        <v>-1.4592147580599999</v>
      </c>
      <c r="Q55" s="85">
        <f si="1" t="shared"/>
        <v>-1.4592147580599999</v>
      </c>
      <c r="R55">
        <f si="0" t="shared"/>
        <v>0</v>
      </c>
    </row>
    <row r="56" spans="13:19" x14ac:dyDescent="0.45">
      <c r="M56" t="str">
        <f>VLOOKUP(N56,Coeff_Descr!$A:$D,3,FALSE)</f>
        <v>SOCREC</v>
      </c>
      <c r="N56">
        <f>OtherTourDestination!B64</f>
        <v>54</v>
      </c>
      <c r="O56" t="str">
        <f>OtherTourDestination!C64</f>
        <v>Beta000054</v>
      </c>
      <c r="P56" s="25">
        <f>OtherTourDestination!E64</f>
        <v>-0.160744421114</v>
      </c>
      <c r="Q56" s="85">
        <f si="1" t="shared"/>
        <v>-0.160744421114</v>
      </c>
      <c r="R56">
        <f si="0" t="shared"/>
        <v>0</v>
      </c>
    </row>
    <row r="57" spans="13:19" x14ac:dyDescent="0.45">
      <c r="M57" t="str">
        <f>VLOOKUP(N57,Coeff_Descr!$A:$D,3,FALSE)</f>
        <v>SOCREC</v>
      </c>
      <c r="N57">
        <f>OtherTourDestination!B65</f>
        <v>55</v>
      </c>
      <c r="O57" t="str">
        <f>OtherTourDestination!C65</f>
        <v>Beta000055</v>
      </c>
      <c r="P57" s="25">
        <f>OtherTourDestination!E65</f>
        <v>0.101769944302</v>
      </c>
      <c r="Q57" s="85">
        <f si="1" t="shared"/>
        <v>0.101769944302</v>
      </c>
      <c r="R57">
        <f si="0" t="shared"/>
        <v>0</v>
      </c>
    </row>
    <row r="58" spans="13:19" x14ac:dyDescent="0.45">
      <c r="M58" t="str">
        <f>VLOOKUP(N58,Coeff_Descr!$A:$D,3,FALSE)</f>
        <v>SOCREC</v>
      </c>
      <c r="N58">
        <f>OtherTourDestination!B66</f>
        <v>56</v>
      </c>
      <c r="O58" t="str">
        <f>OtherTourDestination!C66</f>
        <v>Beta000056</v>
      </c>
      <c r="P58" s="25">
        <f>OtherTourDestination!E66</f>
        <v>-7.3004796389399995E-2</v>
      </c>
      <c r="Q58" s="85">
        <f si="1" t="shared"/>
        <v>-7.3004796389399995E-2</v>
      </c>
      <c r="R58">
        <f si="0" t="shared"/>
        <v>0</v>
      </c>
    </row>
    <row r="59" spans="13:19" x14ac:dyDescent="0.45">
      <c r="M59" t="str">
        <f>VLOOKUP(N59,Coeff_Descr!$A:$D,3,FALSE)</f>
        <v>SOCREC</v>
      </c>
      <c r="N59">
        <f>OtherTourDestination!B67</f>
        <v>57</v>
      </c>
      <c r="O59" t="str">
        <f>OtherTourDestination!C67</f>
        <v>Beta000057</v>
      </c>
      <c r="P59" s="25">
        <f>OtherTourDestination!E67</f>
        <v>4.7664283443500002E-2</v>
      </c>
      <c r="Q59" s="85">
        <f si="1" t="shared"/>
        <v>4.7664283443500002E-2</v>
      </c>
      <c r="R59">
        <f si="0" t="shared"/>
        <v>0</v>
      </c>
    </row>
    <row r="60" spans="13:19" x14ac:dyDescent="0.45">
      <c r="M60" t="str">
        <f>VLOOKUP(N60,Coeff_Descr!$A:$D,3,FALSE)</f>
        <v>ESCORT</v>
      </c>
      <c r="N60">
        <f>OtherTourDestination!B68</f>
        <v>70</v>
      </c>
      <c r="O60" t="str">
        <f>OtherTourDestination!C68</f>
        <v>LSM_0070</v>
      </c>
      <c r="P60" s="25">
        <f>OtherTourDestination!E68</f>
        <v>0.70165957865100004</v>
      </c>
      <c r="Q60" s="85">
        <f si="1" t="shared"/>
        <v>0.70165957865100004</v>
      </c>
      <c r="R60">
        <f si="0" t="shared"/>
        <v>0</v>
      </c>
    </row>
    <row r="61" spans="13:19" x14ac:dyDescent="0.45">
      <c r="M61" t="str">
        <f>VLOOKUP(N61,Coeff_Descr!$A:$D,3,FALSE)</f>
        <v>ESCORT</v>
      </c>
      <c r="N61">
        <f>OtherTourDestination!B69</f>
        <v>71</v>
      </c>
      <c r="O61" t="str">
        <f>OtherTourDestination!C69</f>
        <v>Gamma071</v>
      </c>
      <c r="P61" s="25">
        <f>OtherTourDestination!E69</f>
        <v>0</v>
      </c>
      <c r="Q61" s="85">
        <f si="1" t="shared"/>
        <v>0</v>
      </c>
      <c r="R61">
        <f si="0" t="shared"/>
        <v>0</v>
      </c>
    </row>
    <row r="62" spans="13:19" x14ac:dyDescent="0.45">
      <c r="M62" t="str">
        <f>VLOOKUP(N62,Coeff_Descr!$A:$D,3,FALSE)</f>
        <v>ESCORT</v>
      </c>
      <c r="N62">
        <f>OtherTourDestination!B70</f>
        <v>72</v>
      </c>
      <c r="O62" t="str">
        <f>OtherTourDestination!C70</f>
        <v>Gamma072</v>
      </c>
      <c r="P62" s="25">
        <f>OtherTourDestination!E70</f>
        <v>0</v>
      </c>
      <c r="Q62" s="85">
        <f si="1" t="shared"/>
        <v>0</v>
      </c>
      <c r="R62">
        <f si="0" t="shared"/>
        <v>0</v>
      </c>
    </row>
    <row r="63" spans="13:19" x14ac:dyDescent="0.45">
      <c r="M63" t="str">
        <f>VLOOKUP(N63,Coeff_Descr!$A:$D,3,FALSE)</f>
        <v>ESCORT</v>
      </c>
      <c r="N63">
        <f>OtherTourDestination!B71</f>
        <v>73</v>
      </c>
      <c r="O63" t="str">
        <f>OtherTourDestination!C71</f>
        <v>Gamma073</v>
      </c>
      <c r="P63" s="25">
        <f>OtherTourDestination!E71</f>
        <v>-1.0451393946200001</v>
      </c>
      <c r="Q63" s="85">
        <f si="1" t="shared"/>
        <v>-1.0451393946200001</v>
      </c>
      <c r="R63">
        <f si="0" t="shared"/>
        <v>0</v>
      </c>
    </row>
    <row r="64" spans="13:19" x14ac:dyDescent="0.45">
      <c r="M64" t="str">
        <f>VLOOKUP(N64,Coeff_Descr!$A:$D,3,FALSE)</f>
        <v>ESCORT</v>
      </c>
      <c r="N64">
        <f>OtherTourDestination!B72</f>
        <v>74</v>
      </c>
      <c r="O64" t="str">
        <f>OtherTourDestination!C72</f>
        <v>Gamma074</v>
      </c>
      <c r="P64" s="25">
        <f>OtherTourDestination!E72</f>
        <v>0</v>
      </c>
      <c r="Q64" s="85">
        <f si="1" t="shared"/>
        <v>0</v>
      </c>
      <c r="R64">
        <f si="0" t="shared"/>
        <v>0</v>
      </c>
    </row>
    <row r="65" spans="13:18" x14ac:dyDescent="0.45">
      <c r="M65" t="str">
        <f>VLOOKUP(N65,Coeff_Descr!$A:$D,3,FALSE)</f>
        <v>ESCORT</v>
      </c>
      <c r="N65">
        <f>OtherTourDestination!B73</f>
        <v>75</v>
      </c>
      <c r="O65" t="str">
        <f>OtherTourDestination!C73</f>
        <v>Gamma075</v>
      </c>
      <c r="P65" s="25">
        <f>OtherTourDestination!E73</f>
        <v>-0.200987204384</v>
      </c>
      <c r="Q65" s="85">
        <f si="1" t="shared"/>
        <v>-0.200987204384</v>
      </c>
      <c r="R65">
        <f si="0" t="shared"/>
        <v>0</v>
      </c>
    </row>
    <row r="66" spans="13:18" x14ac:dyDescent="0.45">
      <c r="M66" t="str">
        <f>VLOOKUP(N66,Coeff_Descr!$A:$D,3,FALSE)</f>
        <v>ESCORT</v>
      </c>
      <c r="N66">
        <f>OtherTourDestination!B74</f>
        <v>76</v>
      </c>
      <c r="O66" t="str">
        <f>OtherTourDestination!C74</f>
        <v>Gamma076</v>
      </c>
      <c r="P66" s="25">
        <f>OtherTourDestination!E74</f>
        <v>-0.24680877359100001</v>
      </c>
      <c r="Q66" s="85">
        <f si="1" t="shared"/>
        <v>-0.24680877359100001</v>
      </c>
      <c r="R66">
        <f si="0" t="shared"/>
        <v>0</v>
      </c>
    </row>
    <row r="67" spans="13:18" x14ac:dyDescent="0.45">
      <c r="M67" t="str">
        <f>VLOOKUP(N67,Coeff_Descr!$A:$D,3,FALSE)</f>
        <v>ESCORT</v>
      </c>
      <c r="N67">
        <f>OtherTourDestination!B75</f>
        <v>77</v>
      </c>
      <c r="O67" t="str">
        <f>OtherTourDestination!C75</f>
        <v>Gamma077</v>
      </c>
      <c r="P67" s="25">
        <f>OtherTourDestination!E75</f>
        <v>0.105207287565</v>
      </c>
      <c r="Q67" s="85">
        <f si="1" t="shared"/>
        <v>0.105207287565</v>
      </c>
      <c r="R67">
        <f si="0" t="shared"/>
        <v>0</v>
      </c>
    </row>
    <row r="68" spans="13:18" x14ac:dyDescent="0.45">
      <c r="M68" t="str">
        <f>VLOOKUP(N68,Coeff_Descr!$A:$D,3,FALSE)</f>
        <v>ESCORT</v>
      </c>
      <c r="N68">
        <f>OtherTourDestination!B76</f>
        <v>78</v>
      </c>
      <c r="O68" t="str">
        <f>OtherTourDestination!C76</f>
        <v>Gamma078</v>
      </c>
      <c r="P68" s="25">
        <f>OtherTourDestination!E76</f>
        <v>-3.0261765923500001</v>
      </c>
      <c r="Q68" s="85">
        <f si="1" t="shared"/>
        <v>-3.0261765923500001</v>
      </c>
      <c r="R68">
        <f ref="R68:R104" si="11" t="shared">IF(P68=Q68,0,1)</f>
        <v>0</v>
      </c>
    </row>
    <row r="69" spans="13:18" x14ac:dyDescent="0.45">
      <c r="M69" t="str">
        <f>VLOOKUP(N69,Coeff_Descr!$A:$D,3,FALSE)</f>
        <v>ESCORT</v>
      </c>
      <c r="N69">
        <f>OtherTourDestination!B77</f>
        <v>79</v>
      </c>
      <c r="O69" t="str">
        <f>OtherTourDestination!C77</f>
        <v>Gamma079</v>
      </c>
      <c r="P69" s="25">
        <f>OtherTourDestination!E77</f>
        <v>-3.16760127533</v>
      </c>
      <c r="Q69" s="85">
        <f ref="Q69:Q104" si="12" t="shared">_xlfn.IFNA(VLOOKUP(N69,$B$43:$D$46,3,FALSE),P69)</f>
        <v>-3.16760127533</v>
      </c>
      <c r="R69">
        <f si="11" t="shared"/>
        <v>0</v>
      </c>
    </row>
    <row r="70" spans="13:18" x14ac:dyDescent="0.45">
      <c r="M70" t="str">
        <f>VLOOKUP(N70,Coeff_Descr!$A:$D,3,FALSE)</f>
        <v>ESCORT</v>
      </c>
      <c r="N70">
        <f>OtherTourDestination!B78</f>
        <v>80</v>
      </c>
      <c r="O70" t="str">
        <f>OtherTourDestination!C78</f>
        <v>Gamma080</v>
      </c>
      <c r="P70" s="25">
        <f>OtherTourDestination!E78</f>
        <v>3.88384299801</v>
      </c>
      <c r="Q70" s="85">
        <f si="12" t="shared"/>
        <v>3.88384299801</v>
      </c>
      <c r="R70">
        <f si="11" t="shared"/>
        <v>0</v>
      </c>
    </row>
    <row r="71" spans="13:18" x14ac:dyDescent="0.45">
      <c r="M71" t="str">
        <f>VLOOKUP(N71,Coeff_Descr!$A:$D,3,FALSE)</f>
        <v>ESCORT</v>
      </c>
      <c r="N71">
        <f>OtherTourDestination!B79</f>
        <v>81</v>
      </c>
      <c r="O71" t="str">
        <f>OtherTourDestination!C79</f>
        <v>Gamma081</v>
      </c>
      <c r="P71" s="25">
        <f>OtherTourDestination!E79</f>
        <v>1.2853400619999999</v>
      </c>
      <c r="Q71" s="85">
        <f si="12" t="shared"/>
        <v>1.2853400619999999</v>
      </c>
      <c r="R71">
        <f si="11" t="shared"/>
        <v>0</v>
      </c>
    </row>
    <row r="72" spans="13:18" x14ac:dyDescent="0.45">
      <c r="M72" t="str">
        <f>VLOOKUP(N72,Coeff_Descr!$A:$D,3,FALSE)</f>
        <v>ESCORT</v>
      </c>
      <c r="N72">
        <f>OtherTourDestination!B80</f>
        <v>82</v>
      </c>
      <c r="O72" t="str">
        <f>OtherTourDestination!C80</f>
        <v>Gamma082</v>
      </c>
      <c r="P72" s="25">
        <f>OtherTourDestination!E80</f>
        <v>0</v>
      </c>
      <c r="Q72" s="85">
        <f si="12" t="shared"/>
        <v>0</v>
      </c>
      <c r="R72">
        <f si="11" t="shared"/>
        <v>0</v>
      </c>
    </row>
    <row r="73" spans="13:18" x14ac:dyDescent="0.45">
      <c r="M73" t="str">
        <f>VLOOKUP(N73,Coeff_Descr!$A:$D,3,FALSE)</f>
        <v>ESCORT</v>
      </c>
      <c r="N73">
        <f>OtherTourDestination!B81</f>
        <v>83</v>
      </c>
      <c r="O73" t="str">
        <f>OtherTourDestination!C81</f>
        <v>Gamma083</v>
      </c>
      <c r="P73" s="25">
        <f>OtherTourDestination!E81</f>
        <v>1.5962822273599999</v>
      </c>
      <c r="Q73" s="85">
        <f si="12" t="shared"/>
        <v>1.5962822273599999</v>
      </c>
      <c r="R73">
        <f si="11" t="shared"/>
        <v>0</v>
      </c>
    </row>
    <row r="74" spans="13:18" x14ac:dyDescent="0.45">
      <c r="M74" t="str">
        <f>VLOOKUP(N74,Coeff_Descr!$A:$D,3,FALSE)</f>
        <v>ESCORT</v>
      </c>
      <c r="N74">
        <f>OtherTourDestination!B82</f>
        <v>84</v>
      </c>
      <c r="O74" t="str">
        <f>OtherTourDestination!C82</f>
        <v>Gamma084</v>
      </c>
      <c r="P74" s="25">
        <f>OtherTourDestination!E82</f>
        <v>1.8203743806399999</v>
      </c>
      <c r="Q74" s="85">
        <f si="12" t="shared"/>
        <v>1.8203743806399999</v>
      </c>
      <c r="R74">
        <f si="11" t="shared"/>
        <v>0</v>
      </c>
    </row>
    <row r="75" spans="13:18" x14ac:dyDescent="0.45">
      <c r="M75" t="str">
        <f>VLOOKUP(N75,Coeff_Descr!$A:$D,3,FALSE)</f>
        <v>ESCORT</v>
      </c>
      <c r="N75">
        <f>OtherTourDestination!B83</f>
        <v>85</v>
      </c>
      <c r="O75" t="str">
        <f>OtherTourDestination!C83</f>
        <v>Gamma085</v>
      </c>
      <c r="P75" s="25">
        <f>OtherTourDestination!E83</f>
        <v>0.36845448573400003</v>
      </c>
      <c r="Q75" s="85">
        <f si="12" t="shared"/>
        <v>0.36845448573400003</v>
      </c>
      <c r="R75">
        <f si="11" t="shared"/>
        <v>0</v>
      </c>
    </row>
    <row r="76" spans="13:18" x14ac:dyDescent="0.45">
      <c r="M76" t="str">
        <f>VLOOKUP(N76,Coeff_Descr!$A:$D,3,FALSE)</f>
        <v>ESCORT</v>
      </c>
      <c r="N76">
        <f>OtherTourDestination!B84</f>
        <v>86</v>
      </c>
      <c r="O76" t="str">
        <f>OtherTourDestination!C84</f>
        <v>Gamma086</v>
      </c>
      <c r="P76" s="25">
        <f>OtherTourDestination!E84</f>
        <v>-0.89988004259099996</v>
      </c>
      <c r="Q76" s="85">
        <f si="12" t="shared"/>
        <v>-0.89988004259099996</v>
      </c>
      <c r="R76">
        <f si="11" t="shared"/>
        <v>0</v>
      </c>
    </row>
    <row r="77" spans="13:18" x14ac:dyDescent="0.45">
      <c r="M77" t="str">
        <f>VLOOKUP(N77,Coeff_Descr!$A:$D,3,FALSE)</f>
        <v>ESCORT</v>
      </c>
      <c r="N77">
        <f>OtherTourDestination!B85</f>
        <v>87</v>
      </c>
      <c r="O77" t="str">
        <f>OtherTourDestination!C85</f>
        <v>Gamma087</v>
      </c>
      <c r="P77" s="25">
        <f>OtherTourDestination!E85</f>
        <v>-1.54651800243</v>
      </c>
      <c r="Q77" s="85">
        <f si="12" t="shared"/>
        <v>-1.54651800243</v>
      </c>
      <c r="R77">
        <f si="11" t="shared"/>
        <v>0</v>
      </c>
    </row>
    <row r="78" spans="13:18" x14ac:dyDescent="0.45">
      <c r="M78" t="str">
        <f>VLOOKUP(N78,Coeff_Descr!$A:$D,3,FALSE)</f>
        <v>ESCORT</v>
      </c>
      <c r="N78">
        <f>OtherTourDestination!B86</f>
        <v>88</v>
      </c>
      <c r="O78" t="str">
        <f>OtherTourDestination!C86</f>
        <v>Gamma088</v>
      </c>
      <c r="P78" s="25">
        <f>OtherTourDestination!E86</f>
        <v>0</v>
      </c>
      <c r="Q78" s="85">
        <f si="12" t="shared"/>
        <v>0</v>
      </c>
      <c r="R78">
        <f si="11" t="shared"/>
        <v>0</v>
      </c>
    </row>
    <row r="79" spans="13:18" x14ac:dyDescent="0.45">
      <c r="M79" t="str">
        <f>VLOOKUP(N79,Coeff_Descr!$A:$D,3,FALSE)</f>
        <v>PERSBUS/MED</v>
      </c>
      <c r="N79">
        <f>OtherTourDestination!B87</f>
        <v>89</v>
      </c>
      <c r="O79" t="str">
        <f>OtherTourDestination!C87</f>
        <v>Gamma089</v>
      </c>
      <c r="P79" s="25">
        <f>OtherTourDestination!E87</f>
        <v>-1.3661763944</v>
      </c>
      <c r="Q79" s="85">
        <f si="12" t="shared"/>
        <v>-1.3661763944</v>
      </c>
      <c r="R79">
        <f si="11" t="shared"/>
        <v>0</v>
      </c>
    </row>
    <row r="80" spans="13:18" x14ac:dyDescent="0.45">
      <c r="M80" t="str">
        <f>VLOOKUP(N80,Coeff_Descr!$A:$D,3,FALSE)</f>
        <v>PERSBUS/MED</v>
      </c>
      <c r="N80">
        <f>OtherTourDestination!B88</f>
        <v>90</v>
      </c>
      <c r="O80" t="str">
        <f>OtherTourDestination!C88</f>
        <v>Gamma090</v>
      </c>
      <c r="P80" s="25">
        <f>OtherTourDestination!E88</f>
        <v>0</v>
      </c>
      <c r="Q80" s="85">
        <f si="12" t="shared"/>
        <v>0</v>
      </c>
      <c r="R80">
        <f si="11" t="shared"/>
        <v>0</v>
      </c>
    </row>
    <row r="81" spans="13:18" x14ac:dyDescent="0.45">
      <c r="M81" t="str">
        <f>VLOOKUP(N81,Coeff_Descr!$A:$D,3,FALSE)</f>
        <v>PERSBUS/MED</v>
      </c>
      <c r="N81">
        <f>OtherTourDestination!B89</f>
        <v>91</v>
      </c>
      <c r="O81" t="str">
        <f>OtherTourDestination!C89</f>
        <v>Gamma091</v>
      </c>
      <c r="P81" s="25">
        <f>OtherTourDestination!E89</f>
        <v>-0.69659049737500001</v>
      </c>
      <c r="Q81" s="85">
        <f si="12" t="shared"/>
        <v>-0.69659049737500001</v>
      </c>
      <c r="R81">
        <f si="11" t="shared"/>
        <v>0</v>
      </c>
    </row>
    <row r="82" spans="13:18" x14ac:dyDescent="0.45">
      <c r="M82" t="str">
        <f>VLOOKUP(N82,Coeff_Descr!$A:$D,3,FALSE)</f>
        <v>PERSBUS/MED</v>
      </c>
      <c r="N82">
        <f>OtherTourDestination!B90</f>
        <v>92</v>
      </c>
      <c r="O82" t="str">
        <f>OtherTourDestination!C90</f>
        <v>Gamma092</v>
      </c>
      <c r="P82" s="25">
        <f>OtherTourDestination!E90</f>
        <v>-1.8309142732699999</v>
      </c>
      <c r="Q82" s="85">
        <f si="12" t="shared"/>
        <v>-1.8309142732699999</v>
      </c>
      <c r="R82">
        <f si="11" t="shared"/>
        <v>0</v>
      </c>
    </row>
    <row r="83" spans="13:18" x14ac:dyDescent="0.45">
      <c r="M83" t="str">
        <f>VLOOKUP(N83,Coeff_Descr!$A:$D,3,FALSE)</f>
        <v>PERSBUS/MED</v>
      </c>
      <c r="N83">
        <f>OtherTourDestination!B91</f>
        <v>93</v>
      </c>
      <c r="O83" t="str">
        <f>OtherTourDestination!C91</f>
        <v>Gamma093</v>
      </c>
      <c r="P83" s="25">
        <f>OtherTourDestination!E91</f>
        <v>-1.59616837557</v>
      </c>
      <c r="Q83" s="85">
        <f si="12" t="shared"/>
        <v>-1.59616837557</v>
      </c>
      <c r="R83">
        <f si="11" t="shared"/>
        <v>0</v>
      </c>
    </row>
    <row r="84" spans="13:18" x14ac:dyDescent="0.45">
      <c r="M84" t="str">
        <f>VLOOKUP(N84,Coeff_Descr!$A:$D,3,FALSE)</f>
        <v>PERSBUS/MED</v>
      </c>
      <c r="N84">
        <f>OtherTourDestination!B92</f>
        <v>94</v>
      </c>
      <c r="O84" t="str">
        <f>OtherTourDestination!C92</f>
        <v>Gamma094</v>
      </c>
      <c r="P84" s="25">
        <f>OtherTourDestination!E92</f>
        <v>0</v>
      </c>
      <c r="Q84" s="85">
        <f si="12" t="shared"/>
        <v>0</v>
      </c>
      <c r="R84">
        <f si="11" t="shared"/>
        <v>0</v>
      </c>
    </row>
    <row r="85" spans="13:18" x14ac:dyDescent="0.45">
      <c r="M85" t="str">
        <f>VLOOKUP(N85,Coeff_Descr!$A:$D,3,FALSE)</f>
        <v>PERSBUS/MED</v>
      </c>
      <c r="N85">
        <f>OtherTourDestination!B93</f>
        <v>95</v>
      </c>
      <c r="O85" t="str">
        <f>OtherTourDestination!C93</f>
        <v>Gamma095</v>
      </c>
      <c r="P85" s="25">
        <f>OtherTourDestination!E93</f>
        <v>-3.7524312125899999</v>
      </c>
      <c r="Q85" s="85">
        <f si="12" t="shared"/>
        <v>-3.7524312125899999</v>
      </c>
      <c r="R85">
        <f si="11" t="shared"/>
        <v>0</v>
      </c>
    </row>
    <row r="86" spans="13:18" x14ac:dyDescent="0.45">
      <c r="M86" t="str">
        <f>VLOOKUP(N86,Coeff_Descr!$A:$D,3,FALSE)</f>
        <v>PERSBUS/MED</v>
      </c>
      <c r="N86">
        <f>OtherTourDestination!B94</f>
        <v>96</v>
      </c>
      <c r="O86" t="str">
        <f>OtherTourDestination!C94</f>
        <v>Gamma096</v>
      </c>
      <c r="P86" s="25">
        <f>OtherTourDestination!E94</f>
        <v>-5.15903380474</v>
      </c>
      <c r="Q86" s="85">
        <f si="12" t="shared"/>
        <v>-5.15903380474</v>
      </c>
      <c r="R86">
        <f si="11" t="shared"/>
        <v>0</v>
      </c>
    </row>
    <row r="87" spans="13:18" x14ac:dyDescent="0.45">
      <c r="M87" t="str">
        <f>VLOOKUP(N87,Coeff_Descr!$A:$D,3,FALSE)</f>
        <v>PERSBUS/MED</v>
      </c>
      <c r="N87">
        <f>OtherTourDestination!B95</f>
        <v>97</v>
      </c>
      <c r="O87" t="str">
        <f>OtherTourDestination!C95</f>
        <v>Gamma097</v>
      </c>
      <c r="P87" s="25">
        <f>OtherTourDestination!E95</f>
        <v>-4.5752497230499998</v>
      </c>
      <c r="Q87" s="85">
        <f si="12" t="shared"/>
        <v>-4.5752497230499998</v>
      </c>
      <c r="R87">
        <f si="11" t="shared"/>
        <v>0</v>
      </c>
    </row>
    <row r="88" spans="13:18" x14ac:dyDescent="0.45">
      <c r="M88" t="str">
        <f>VLOOKUP(N88,Coeff_Descr!$A:$D,3,FALSE)</f>
        <v>SHOP</v>
      </c>
      <c r="N88">
        <f>OtherTourDestination!B96</f>
        <v>98</v>
      </c>
      <c r="O88" t="str">
        <f>OtherTourDestination!C96</f>
        <v>Gamma098</v>
      </c>
      <c r="P88" s="25">
        <f>OtherTourDestination!E96</f>
        <v>-1.55830930615</v>
      </c>
      <c r="Q88" s="85">
        <f si="12" t="shared"/>
        <v>-1.55830930615</v>
      </c>
      <c r="R88">
        <f si="11" t="shared"/>
        <v>0</v>
      </c>
    </row>
    <row r="89" spans="13:18" x14ac:dyDescent="0.45">
      <c r="M89" t="str">
        <f>VLOOKUP(N89,Coeff_Descr!$A:$D,3,FALSE)</f>
        <v>SHOP</v>
      </c>
      <c r="N89">
        <f>OtherTourDestination!B97</f>
        <v>99</v>
      </c>
      <c r="O89" t="str">
        <f>OtherTourDestination!C97</f>
        <v>Gamma099</v>
      </c>
      <c r="P89" s="25">
        <f>OtherTourDestination!E97</f>
        <v>-6.7687936642300004</v>
      </c>
      <c r="Q89" s="85">
        <f si="12" t="shared"/>
        <v>-6.7687936642300004</v>
      </c>
      <c r="R89">
        <f si="11" t="shared"/>
        <v>0</v>
      </c>
    </row>
    <row r="90" spans="13:18" x14ac:dyDescent="0.45">
      <c r="M90" t="str">
        <f>VLOOKUP(N90,Coeff_Descr!$A:$D,3,FALSE)</f>
        <v>SHOP</v>
      </c>
      <c r="N90">
        <f>OtherTourDestination!B98</f>
        <v>100</v>
      </c>
      <c r="O90" t="str">
        <f>OtherTourDestination!C98</f>
        <v>Gamma100</v>
      </c>
      <c r="P90" s="25">
        <f>OtherTourDestination!E98</f>
        <v>0</v>
      </c>
      <c r="Q90" s="85">
        <f si="12" t="shared"/>
        <v>0</v>
      </c>
      <c r="R90">
        <f si="11" t="shared"/>
        <v>0</v>
      </c>
    </row>
    <row r="91" spans="13:18" x14ac:dyDescent="0.45">
      <c r="M91" t="str">
        <f>VLOOKUP(N91,Coeff_Descr!$A:$D,3,FALSE)</f>
        <v>SHOP</v>
      </c>
      <c r="N91">
        <f>OtherTourDestination!B99</f>
        <v>101</v>
      </c>
      <c r="O91" t="str">
        <f>OtherTourDestination!C99</f>
        <v>Gamma101</v>
      </c>
      <c r="P91" s="25">
        <f>OtherTourDestination!E99</f>
        <v>-4.6092008435</v>
      </c>
      <c r="Q91" s="85">
        <f si="12" t="shared"/>
        <v>-4.6092008435</v>
      </c>
      <c r="R91">
        <f si="11" t="shared"/>
        <v>0</v>
      </c>
    </row>
    <row r="92" spans="13:18" x14ac:dyDescent="0.45">
      <c r="M92" t="str">
        <f>VLOOKUP(N92,Coeff_Descr!$A:$D,3,FALSE)</f>
        <v>MEAL</v>
      </c>
      <c r="N92">
        <f>OtherTourDestination!B100</f>
        <v>102</v>
      </c>
      <c r="O92" t="str">
        <f>OtherTourDestination!C100</f>
        <v>Gamma102</v>
      </c>
      <c r="P92" s="25">
        <f>OtherTourDestination!E100</f>
        <v>0</v>
      </c>
      <c r="Q92" s="85">
        <f si="12" t="shared"/>
        <v>0</v>
      </c>
      <c r="R92">
        <f si="11" t="shared"/>
        <v>0</v>
      </c>
    </row>
    <row r="93" spans="13:18" x14ac:dyDescent="0.45">
      <c r="M93" t="str">
        <f>VLOOKUP(N93,Coeff_Descr!$A:$D,3,FALSE)</f>
        <v>MEAL</v>
      </c>
      <c r="N93">
        <f>OtherTourDestination!B101</f>
        <v>103</v>
      </c>
      <c r="O93" t="str">
        <f>OtherTourDestination!C101</f>
        <v>Gamma103</v>
      </c>
      <c r="P93" s="25">
        <f>OtherTourDestination!E101</f>
        <v>0</v>
      </c>
      <c r="Q93" s="85">
        <f si="12" t="shared"/>
        <v>0</v>
      </c>
      <c r="R93">
        <f si="11" t="shared"/>
        <v>0</v>
      </c>
    </row>
    <row r="94" spans="13:18" x14ac:dyDescent="0.45">
      <c r="M94" t="str">
        <f>VLOOKUP(N94,Coeff_Descr!$A:$D,3,FALSE)</f>
        <v>MEAL</v>
      </c>
      <c r="N94">
        <f>OtherTourDestination!B102</f>
        <v>104</v>
      </c>
      <c r="O94" t="str">
        <f>OtherTourDestination!C102</f>
        <v>Gamma104</v>
      </c>
      <c r="P94" s="25">
        <f>OtherTourDestination!E102</f>
        <v>5</v>
      </c>
      <c r="Q94" s="85">
        <f si="12" t="shared"/>
        <v>5</v>
      </c>
      <c r="R94">
        <f si="11" t="shared"/>
        <v>0</v>
      </c>
    </row>
    <row r="95" spans="13:18" x14ac:dyDescent="0.45">
      <c r="M95" t="str">
        <f>VLOOKUP(N95,Coeff_Descr!$A:$D,3,FALSE)</f>
        <v>MEAL</v>
      </c>
      <c r="N95">
        <f>OtherTourDestination!B103</f>
        <v>105</v>
      </c>
      <c r="O95" t="str">
        <f>OtherTourDestination!C103</f>
        <v>Gamma105</v>
      </c>
      <c r="P95" s="25">
        <f>OtherTourDestination!E103</f>
        <v>5</v>
      </c>
      <c r="Q95" s="85">
        <f si="12" t="shared"/>
        <v>5</v>
      </c>
      <c r="R95">
        <f si="11" t="shared"/>
        <v>0</v>
      </c>
    </row>
    <row r="96" spans="13:18" x14ac:dyDescent="0.45">
      <c r="M96" t="str">
        <f>VLOOKUP(N96,Coeff_Descr!$A:$D,3,FALSE)</f>
        <v>SOCREC</v>
      </c>
      <c r="N96">
        <f>OtherTourDestination!B104</f>
        <v>106</v>
      </c>
      <c r="O96" t="str">
        <f>OtherTourDestination!C104</f>
        <v>Gamma106</v>
      </c>
      <c r="P96" s="25">
        <f>OtherTourDestination!E104</f>
        <v>0</v>
      </c>
      <c r="Q96" s="85">
        <f si="12" t="shared"/>
        <v>0</v>
      </c>
      <c r="R96">
        <f si="11" t="shared"/>
        <v>0</v>
      </c>
    </row>
    <row r="97" spans="13:18" x14ac:dyDescent="0.45">
      <c r="M97" t="str">
        <f>VLOOKUP(N97,Coeff_Descr!$A:$D,3,FALSE)</f>
        <v>SOCREC</v>
      </c>
      <c r="N97">
        <f>OtherTourDestination!B105</f>
        <v>107</v>
      </c>
      <c r="O97" t="str">
        <f>OtherTourDestination!C105</f>
        <v>Gamma107</v>
      </c>
      <c r="P97" s="25">
        <f>OtherTourDestination!E105</f>
        <v>3.2721559987400002</v>
      </c>
      <c r="Q97" s="85">
        <f si="12" t="shared"/>
        <v>3.2721559987400002</v>
      </c>
      <c r="R97">
        <f si="11" t="shared"/>
        <v>0</v>
      </c>
    </row>
    <row r="98" spans="13:18" x14ac:dyDescent="0.45">
      <c r="M98" t="str">
        <f>VLOOKUP(N98,Coeff_Descr!$A:$D,3,FALSE)</f>
        <v>SOCREC</v>
      </c>
      <c r="N98">
        <f>OtherTourDestination!B106</f>
        <v>108</v>
      </c>
      <c r="O98" t="str">
        <f>OtherTourDestination!C106</f>
        <v>Gamma108</v>
      </c>
      <c r="P98" s="25">
        <f>OtherTourDestination!E106</f>
        <v>0</v>
      </c>
      <c r="Q98" s="85">
        <f si="12" t="shared"/>
        <v>0</v>
      </c>
      <c r="R98">
        <f si="11" t="shared"/>
        <v>0</v>
      </c>
    </row>
    <row r="99" spans="13:18" x14ac:dyDescent="0.45">
      <c r="M99" t="str">
        <f>VLOOKUP(N99,Coeff_Descr!$A:$D,3,FALSE)</f>
        <v>SOCREC</v>
      </c>
      <c r="N99">
        <f>OtherTourDestination!B107</f>
        <v>109</v>
      </c>
      <c r="O99" t="str">
        <f>OtherTourDestination!C107</f>
        <v>Gamma109</v>
      </c>
      <c r="P99" s="25">
        <f>OtherTourDestination!E107</f>
        <v>3.7780647491999999</v>
      </c>
      <c r="Q99" s="85">
        <f si="12" t="shared"/>
        <v>3.7780647491999999</v>
      </c>
      <c r="R99">
        <f si="11" t="shared"/>
        <v>0</v>
      </c>
    </row>
    <row r="100" spans="13:18" x14ac:dyDescent="0.45">
      <c r="M100" t="str">
        <f>VLOOKUP(N100,Coeff_Descr!$A:$D,3,FALSE)</f>
        <v>SOCREC</v>
      </c>
      <c r="N100">
        <f>OtherTourDestination!B108</f>
        <v>110</v>
      </c>
      <c r="O100" t="str">
        <f>OtherTourDestination!C108</f>
        <v>Gamma110</v>
      </c>
      <c r="P100" s="25">
        <f>OtherTourDestination!E108</f>
        <v>3.6698694381700001</v>
      </c>
      <c r="Q100" s="85">
        <f si="12" t="shared"/>
        <v>3.6698694381700001</v>
      </c>
      <c r="R100">
        <f si="11" t="shared"/>
        <v>0</v>
      </c>
    </row>
    <row r="101" spans="13:18" x14ac:dyDescent="0.45">
      <c r="M101" t="str">
        <f>VLOOKUP(N101,Coeff_Descr!$A:$D,3,FALSE)</f>
        <v>SOCREC</v>
      </c>
      <c r="N101">
        <f>OtherTourDestination!B109</f>
        <v>111</v>
      </c>
      <c r="O101" t="str">
        <f>OtherTourDestination!C109</f>
        <v>Gamma111</v>
      </c>
      <c r="P101" s="25">
        <f>OtherTourDestination!E109</f>
        <v>0</v>
      </c>
      <c r="Q101" s="85">
        <f si="12" t="shared"/>
        <v>0</v>
      </c>
      <c r="R101">
        <f si="11" t="shared"/>
        <v>0</v>
      </c>
    </row>
    <row r="102" spans="13:18" x14ac:dyDescent="0.45">
      <c r="M102" t="str">
        <f>VLOOKUP(N102,Coeff_Descr!$A:$D,3,FALSE)</f>
        <v>SOCREC</v>
      </c>
      <c r="N102">
        <f>OtherTourDestination!B110</f>
        <v>112</v>
      </c>
      <c r="O102" t="str">
        <f>OtherTourDestination!C110</f>
        <v>Gamma112</v>
      </c>
      <c r="P102" s="25">
        <f>OtherTourDestination!E110</f>
        <v>0</v>
      </c>
      <c r="Q102" s="85">
        <f si="12" t="shared"/>
        <v>0</v>
      </c>
      <c r="R102">
        <f si="11" t="shared"/>
        <v>0</v>
      </c>
    </row>
    <row r="103" spans="13:18" x14ac:dyDescent="0.45">
      <c r="M103" t="str">
        <f>VLOOKUP(N103,Coeff_Descr!$A:$D,3,FALSE)</f>
        <v>SOCREC</v>
      </c>
      <c r="N103">
        <f>OtherTourDestination!B111</f>
        <v>113</v>
      </c>
      <c r="O103" t="str">
        <f>OtherTourDestination!C111</f>
        <v>Gamma113</v>
      </c>
      <c r="P103" s="25">
        <f>OtherTourDestination!E111</f>
        <v>1.3908719595400001</v>
      </c>
      <c r="Q103" s="85">
        <f si="12" t="shared"/>
        <v>1.3908719595400001</v>
      </c>
      <c r="R103">
        <f si="11" t="shared"/>
        <v>0</v>
      </c>
    </row>
    <row r="104" spans="13:18" x14ac:dyDescent="0.45">
      <c r="M104" t="e">
        <f>VLOOKUP(N104,Coeff_Descr!$A:$D,3,FALSE)</f>
        <v>#N/A</v>
      </c>
      <c r="N104">
        <f>OtherTourDestination!B112</f>
        <v>-1</v>
      </c>
      <c r="O104">
        <f>OtherTourDestination!C112</f>
        <v>0</v>
      </c>
      <c r="P104" s="25">
        <f>OtherTourDestination!E112</f>
        <v>0</v>
      </c>
      <c r="Q104" s="85">
        <f si="12" t="shared"/>
        <v>0</v>
      </c>
      <c r="R104">
        <f si="11" t="shared"/>
        <v>0</v>
      </c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DA55D1-5B67-47EC-B21F-2D58850119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CFE782-5442-4D1C-B84B-ACDA4310468F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3.xml><?xml version="1.0" encoding="utf-8"?>
<ds:datastoreItem xmlns:ds="http://schemas.openxmlformats.org/officeDocument/2006/customXml" ds:itemID="{EF012293-CE1A-4EA7-973D-1528B65710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2025-03-20T13:14:20Z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