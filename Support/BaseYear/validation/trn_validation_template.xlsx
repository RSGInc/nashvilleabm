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U:\Projects\Clients\Nashville_storage\Model\Development\nashville_abm_tcad9_12192024\2018\reports\validation\"/>
    </mc:Choice>
  </mc:AlternateContent>
  <xr:revisionPtr revIDLastSave="0" documentId="13_ncr:1_{532B5EEF-A7F4-4389-BB99-6E71859EC594}" xr6:coauthVersionLast="47" xr6:coauthVersionMax="47" xr10:uidLastSave="{00000000-0000-0000-0000-000000000000}"/>
  <bookViews>
    <workbookView xWindow="-98" yWindow="-98" windowWidth="19396" windowHeight="11596" tabRatio="763" xr2:uid="{00000000-000D-0000-FFFF-FFFF00000000}"/>
  </bookViews>
  <sheets>
    <sheet name="BoardingByRoute_All" sheetId="1" r:id="rId1"/>
    <sheet name="PrilimTable" sheetId="2" r:id="rId2"/>
    <sheet name="Aggregated_Transit_Final_V2" sheetId="3" r:id="rId3"/>
    <sheet name="TrnStat.asc" sheetId="5" r:id="rId4"/>
    <sheet name="Obs_Ridership" sheetId="6" r:id="rId5"/>
    <sheet name="BoardingByRoute_ABM" sheetId="7" r:id="rId6"/>
    <sheet name="OBS_RteName" sheetId="8" r:id="rId7"/>
    <sheet name="ABM_RteNam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D35" i="9"/>
  <c r="C35" i="9"/>
  <c r="B35" i="9"/>
  <c r="F35" i="9" s="1"/>
  <c r="F34" i="9"/>
  <c r="E34" i="9"/>
  <c r="C34" i="9"/>
  <c r="B34" i="9"/>
  <c r="D34" i="9" s="1"/>
  <c r="C33" i="9"/>
  <c r="B33" i="9"/>
  <c r="F33" i="9" s="1"/>
  <c r="F32" i="9"/>
  <c r="E32" i="9"/>
  <c r="T34" i="2" s="1"/>
  <c r="A45" i="1" s="1"/>
  <c r="D32" i="9"/>
  <c r="C32" i="9"/>
  <c r="B32" i="9"/>
  <c r="F31" i="9"/>
  <c r="E31" i="9"/>
  <c r="D31" i="9"/>
  <c r="C31" i="9"/>
  <c r="B31" i="9"/>
  <c r="E30" i="9"/>
  <c r="D30" i="9"/>
  <c r="C30" i="9"/>
  <c r="B30" i="9"/>
  <c r="F30" i="9" s="1"/>
  <c r="F29" i="9"/>
  <c r="D29" i="9"/>
  <c r="C29" i="9"/>
  <c r="B29" i="9"/>
  <c r="E29" i="9" s="1"/>
  <c r="T31" i="2" s="1"/>
  <c r="A42" i="1" s="1"/>
  <c r="C28" i="9"/>
  <c r="B28" i="9"/>
  <c r="F28" i="9" s="1"/>
  <c r="F27" i="9"/>
  <c r="E27" i="9"/>
  <c r="C27" i="9"/>
  <c r="B27" i="9"/>
  <c r="D27" i="9" s="1"/>
  <c r="F26" i="9"/>
  <c r="E26" i="9"/>
  <c r="D26" i="9"/>
  <c r="C26" i="9"/>
  <c r="B26" i="9"/>
  <c r="F25" i="9"/>
  <c r="E25" i="9"/>
  <c r="C25" i="9"/>
  <c r="B25" i="9"/>
  <c r="D25" i="9" s="1"/>
  <c r="F24" i="9"/>
  <c r="E24" i="9"/>
  <c r="D24" i="9"/>
  <c r="C24" i="9"/>
  <c r="B24" i="9"/>
  <c r="C23" i="9"/>
  <c r="B23" i="9"/>
  <c r="F23" i="9" s="1"/>
  <c r="F22" i="9"/>
  <c r="C22" i="9"/>
  <c r="B22" i="9"/>
  <c r="E22" i="9" s="1"/>
  <c r="T24" i="2" s="1"/>
  <c r="C21" i="9"/>
  <c r="B21" i="9"/>
  <c r="D21" i="9" s="1"/>
  <c r="F20" i="9"/>
  <c r="E20" i="9"/>
  <c r="D20" i="9"/>
  <c r="C20" i="9"/>
  <c r="B20" i="9"/>
  <c r="F19" i="9"/>
  <c r="E19" i="9"/>
  <c r="D19" i="9"/>
  <c r="C19" i="9"/>
  <c r="B19" i="9"/>
  <c r="C18" i="9"/>
  <c r="O20" i="2" s="1"/>
  <c r="B18" i="9"/>
  <c r="F18" i="9" s="1"/>
  <c r="C17" i="9"/>
  <c r="B17" i="9"/>
  <c r="F17" i="9" s="1"/>
  <c r="C16" i="9"/>
  <c r="B16" i="9"/>
  <c r="E16" i="9" s="1"/>
  <c r="T18" i="2" s="1"/>
  <c r="F15" i="9"/>
  <c r="E15" i="9"/>
  <c r="D15" i="9"/>
  <c r="C15" i="9"/>
  <c r="B15" i="9"/>
  <c r="F14" i="9"/>
  <c r="E14" i="9"/>
  <c r="C14" i="9"/>
  <c r="B14" i="9"/>
  <c r="D14" i="9" s="1"/>
  <c r="E13" i="9"/>
  <c r="D13" i="9"/>
  <c r="C13" i="9"/>
  <c r="B13" i="9"/>
  <c r="F13" i="9" s="1"/>
  <c r="F12" i="9"/>
  <c r="E12" i="9"/>
  <c r="D12" i="9"/>
  <c r="C12" i="9"/>
  <c r="O14" i="2" s="1"/>
  <c r="B12" i="9"/>
  <c r="D11" i="9"/>
  <c r="C11" i="9"/>
  <c r="B11" i="9"/>
  <c r="F11" i="9" s="1"/>
  <c r="F10" i="9"/>
  <c r="E10" i="9"/>
  <c r="C10" i="9"/>
  <c r="B10" i="9"/>
  <c r="D10" i="9" s="1"/>
  <c r="F9" i="9"/>
  <c r="C9" i="9"/>
  <c r="B9" i="9"/>
  <c r="E9" i="9" s="1"/>
  <c r="T11" i="2" s="1"/>
  <c r="F8" i="9"/>
  <c r="E8" i="9"/>
  <c r="T10" i="2" s="1"/>
  <c r="A21" i="1" s="1"/>
  <c r="D8" i="9"/>
  <c r="C8" i="9"/>
  <c r="B8" i="9"/>
  <c r="F7" i="9"/>
  <c r="E7" i="9"/>
  <c r="D7" i="9"/>
  <c r="C7" i="9"/>
  <c r="B7" i="9"/>
  <c r="C6" i="9"/>
  <c r="B6" i="9"/>
  <c r="F6" i="9" s="1"/>
  <c r="F5" i="9"/>
  <c r="D5" i="9"/>
  <c r="C5" i="9"/>
  <c r="B5" i="9"/>
  <c r="E5" i="9" s="1"/>
  <c r="T7" i="2" s="1"/>
  <c r="A18" i="1" s="1"/>
  <c r="C4" i="9"/>
  <c r="B4" i="9"/>
  <c r="F4" i="9" s="1"/>
  <c r="F3" i="9"/>
  <c r="E3" i="9"/>
  <c r="D3" i="9"/>
  <c r="C3" i="9"/>
  <c r="B3" i="9"/>
  <c r="F2" i="9"/>
  <c r="E2" i="9"/>
  <c r="T4" i="2" s="1"/>
  <c r="A15" i="1" s="1"/>
  <c r="D2" i="9"/>
  <c r="C2" i="9"/>
  <c r="B2" i="9"/>
  <c r="K34" i="7"/>
  <c r="M34" i="7" s="1"/>
  <c r="N34" i="7" s="1"/>
  <c r="R37" i="2" s="1"/>
  <c r="J34" i="7"/>
  <c r="I34" i="7"/>
  <c r="H34" i="7"/>
  <c r="G34" i="7"/>
  <c r="F34" i="7"/>
  <c r="E34" i="7"/>
  <c r="D34" i="7"/>
  <c r="C34" i="7"/>
  <c r="B34" i="7"/>
  <c r="K33" i="7"/>
  <c r="M33" i="7" s="1"/>
  <c r="N33" i="7" s="1"/>
  <c r="R36" i="2" s="1"/>
  <c r="J33" i="7"/>
  <c r="I33" i="7"/>
  <c r="H33" i="7"/>
  <c r="G33" i="7"/>
  <c r="F33" i="7"/>
  <c r="E33" i="7"/>
  <c r="D33" i="7"/>
  <c r="C33" i="7"/>
  <c r="B33" i="7"/>
  <c r="K32" i="7"/>
  <c r="M32" i="7" s="1"/>
  <c r="N32" i="7" s="1"/>
  <c r="R35" i="2" s="1"/>
  <c r="J32" i="7"/>
  <c r="I32" i="7"/>
  <c r="H32" i="7"/>
  <c r="G32" i="7"/>
  <c r="F32" i="7"/>
  <c r="E32" i="7"/>
  <c r="D32" i="7"/>
  <c r="C32" i="7"/>
  <c r="B32" i="7"/>
  <c r="K31" i="7"/>
  <c r="M31" i="7" s="1"/>
  <c r="N31" i="7" s="1"/>
  <c r="J31" i="7"/>
  <c r="I31" i="7"/>
  <c r="H31" i="7"/>
  <c r="G31" i="7"/>
  <c r="F31" i="7"/>
  <c r="E31" i="7"/>
  <c r="D31" i="7"/>
  <c r="C31" i="7"/>
  <c r="B31" i="7"/>
  <c r="K30" i="7"/>
  <c r="M30" i="7" s="1"/>
  <c r="N30" i="7" s="1"/>
  <c r="R33" i="2" s="1"/>
  <c r="J30" i="7"/>
  <c r="I30" i="7"/>
  <c r="H30" i="7"/>
  <c r="G30" i="7"/>
  <c r="F30" i="7"/>
  <c r="E30" i="7"/>
  <c r="D30" i="7"/>
  <c r="C30" i="7"/>
  <c r="B30" i="7"/>
  <c r="K29" i="7"/>
  <c r="M29" i="7" s="1"/>
  <c r="N29" i="7" s="1"/>
  <c r="R31" i="2" s="1"/>
  <c r="J29" i="7"/>
  <c r="I29" i="7"/>
  <c r="H29" i="7"/>
  <c r="G29" i="7"/>
  <c r="F29" i="7"/>
  <c r="E29" i="7"/>
  <c r="D29" i="7"/>
  <c r="C29" i="7"/>
  <c r="B29" i="7"/>
  <c r="K28" i="7"/>
  <c r="M28" i="7" s="1"/>
  <c r="N28" i="7" s="1"/>
  <c r="R30" i="2" s="1"/>
  <c r="J28" i="7"/>
  <c r="I28" i="7"/>
  <c r="H28" i="7"/>
  <c r="G28" i="7"/>
  <c r="F28" i="7"/>
  <c r="E28" i="7"/>
  <c r="D28" i="7"/>
  <c r="C28" i="7"/>
  <c r="B28" i="7"/>
  <c r="K27" i="7"/>
  <c r="M27" i="7" s="1"/>
  <c r="N27" i="7" s="1"/>
  <c r="R29" i="2" s="1"/>
  <c r="J27" i="7"/>
  <c r="I27" i="7"/>
  <c r="H27" i="7"/>
  <c r="G27" i="7"/>
  <c r="F27" i="7"/>
  <c r="E27" i="7"/>
  <c r="D27" i="7"/>
  <c r="C27" i="7"/>
  <c r="B27" i="7"/>
  <c r="K26" i="7"/>
  <c r="M26" i="7" s="1"/>
  <c r="N26" i="7" s="1"/>
  <c r="R28" i="2" s="1"/>
  <c r="J26" i="7"/>
  <c r="I26" i="7"/>
  <c r="H26" i="7"/>
  <c r="G26" i="7"/>
  <c r="F26" i="7"/>
  <c r="E26" i="7"/>
  <c r="D26" i="7"/>
  <c r="C26" i="7"/>
  <c r="B26" i="7"/>
  <c r="K25" i="7"/>
  <c r="M25" i="7" s="1"/>
  <c r="N25" i="7" s="1"/>
  <c r="R27" i="2" s="1"/>
  <c r="J25" i="7"/>
  <c r="I25" i="7"/>
  <c r="H25" i="7"/>
  <c r="G25" i="7"/>
  <c r="F25" i="7"/>
  <c r="E25" i="7"/>
  <c r="D25" i="7"/>
  <c r="C25" i="7"/>
  <c r="B25" i="7"/>
  <c r="K24" i="7"/>
  <c r="M24" i="7" s="1"/>
  <c r="N24" i="7" s="1"/>
  <c r="R26" i="2" s="1"/>
  <c r="J24" i="7"/>
  <c r="I24" i="7"/>
  <c r="H24" i="7"/>
  <c r="G24" i="7"/>
  <c r="F24" i="7"/>
  <c r="E24" i="7"/>
  <c r="D24" i="7"/>
  <c r="C24" i="7"/>
  <c r="B24" i="7"/>
  <c r="K23" i="7"/>
  <c r="M23" i="7" s="1"/>
  <c r="N23" i="7" s="1"/>
  <c r="R25" i="2" s="1"/>
  <c r="J23" i="7"/>
  <c r="I23" i="7"/>
  <c r="H23" i="7"/>
  <c r="G23" i="7"/>
  <c r="F23" i="7"/>
  <c r="E23" i="7"/>
  <c r="D23" i="7"/>
  <c r="C23" i="7"/>
  <c r="B23" i="7"/>
  <c r="K22" i="7"/>
  <c r="M22" i="7" s="1"/>
  <c r="N22" i="7" s="1"/>
  <c r="R24" i="2" s="1"/>
  <c r="J22" i="7"/>
  <c r="I22" i="7"/>
  <c r="H22" i="7"/>
  <c r="G22" i="7"/>
  <c r="F22" i="7"/>
  <c r="E22" i="7"/>
  <c r="D22" i="7"/>
  <c r="C22" i="7"/>
  <c r="B22" i="7"/>
  <c r="K21" i="7"/>
  <c r="M21" i="7" s="1"/>
  <c r="N21" i="7" s="1"/>
  <c r="R23" i="2" s="1"/>
  <c r="J21" i="7"/>
  <c r="I21" i="7"/>
  <c r="H21" i="7"/>
  <c r="G21" i="7"/>
  <c r="F21" i="7"/>
  <c r="E21" i="7"/>
  <c r="D21" i="7"/>
  <c r="C21" i="7"/>
  <c r="B21" i="7"/>
  <c r="K20" i="7"/>
  <c r="M20" i="7" s="1"/>
  <c r="N20" i="7" s="1"/>
  <c r="R22" i="2" s="1"/>
  <c r="J20" i="7"/>
  <c r="I20" i="7"/>
  <c r="H20" i="7"/>
  <c r="G20" i="7"/>
  <c r="F20" i="7"/>
  <c r="E20" i="7"/>
  <c r="D20" i="7"/>
  <c r="C20" i="7"/>
  <c r="B20" i="7"/>
  <c r="K19" i="7"/>
  <c r="M19" i="7" s="1"/>
  <c r="N19" i="7" s="1"/>
  <c r="R21" i="2" s="1"/>
  <c r="J19" i="7"/>
  <c r="I19" i="7"/>
  <c r="H19" i="7"/>
  <c r="G19" i="7"/>
  <c r="F19" i="7"/>
  <c r="E19" i="7"/>
  <c r="D19" i="7"/>
  <c r="C19" i="7"/>
  <c r="B19" i="7"/>
  <c r="K18" i="7"/>
  <c r="M18" i="7" s="1"/>
  <c r="N18" i="7" s="1"/>
  <c r="J18" i="7"/>
  <c r="I18" i="7"/>
  <c r="H18" i="7"/>
  <c r="G18" i="7"/>
  <c r="F18" i="7"/>
  <c r="E18" i="7"/>
  <c r="D18" i="7"/>
  <c r="C18" i="7"/>
  <c r="B18" i="7"/>
  <c r="K17" i="7"/>
  <c r="M17" i="7" s="1"/>
  <c r="N17" i="7" s="1"/>
  <c r="R19" i="2" s="1"/>
  <c r="J17" i="7"/>
  <c r="I17" i="7"/>
  <c r="H17" i="7"/>
  <c r="G17" i="7"/>
  <c r="F17" i="7"/>
  <c r="E17" i="7"/>
  <c r="D17" i="7"/>
  <c r="C17" i="7"/>
  <c r="B17" i="7"/>
  <c r="K16" i="7"/>
  <c r="M16" i="7" s="1"/>
  <c r="N16" i="7" s="1"/>
  <c r="R18" i="2" s="1"/>
  <c r="J16" i="7"/>
  <c r="I16" i="7"/>
  <c r="H16" i="7"/>
  <c r="G16" i="7"/>
  <c r="F16" i="7"/>
  <c r="E16" i="7"/>
  <c r="D16" i="7"/>
  <c r="C16" i="7"/>
  <c r="B16" i="7"/>
  <c r="K15" i="7"/>
  <c r="M15" i="7" s="1"/>
  <c r="N15" i="7" s="1"/>
  <c r="R17" i="2" s="1"/>
  <c r="J15" i="7"/>
  <c r="I15" i="7"/>
  <c r="H15" i="7"/>
  <c r="G15" i="7"/>
  <c r="F15" i="7"/>
  <c r="E15" i="7"/>
  <c r="D15" i="7"/>
  <c r="C15" i="7"/>
  <c r="B15" i="7"/>
  <c r="K14" i="7"/>
  <c r="M14" i="7" s="1"/>
  <c r="N14" i="7" s="1"/>
  <c r="R16" i="2" s="1"/>
  <c r="J14" i="7"/>
  <c r="I14" i="7"/>
  <c r="H14" i="7"/>
  <c r="G14" i="7"/>
  <c r="F14" i="7"/>
  <c r="E14" i="7"/>
  <c r="D14" i="7"/>
  <c r="C14" i="7"/>
  <c r="B14" i="7"/>
  <c r="K13" i="7"/>
  <c r="M13" i="7" s="1"/>
  <c r="N13" i="7" s="1"/>
  <c r="J13" i="7"/>
  <c r="I13" i="7"/>
  <c r="H13" i="7"/>
  <c r="G13" i="7"/>
  <c r="F13" i="7"/>
  <c r="E13" i="7"/>
  <c r="D13" i="7"/>
  <c r="C13" i="7"/>
  <c r="B13" i="7"/>
  <c r="K12" i="7"/>
  <c r="M12" i="7" s="1"/>
  <c r="N12" i="7" s="1"/>
  <c r="R14" i="2" s="1"/>
  <c r="J12" i="7"/>
  <c r="I12" i="7"/>
  <c r="H12" i="7"/>
  <c r="G12" i="7"/>
  <c r="F12" i="7"/>
  <c r="E12" i="7"/>
  <c r="D12" i="7"/>
  <c r="C12" i="7"/>
  <c r="B12" i="7"/>
  <c r="K11" i="7"/>
  <c r="M11" i="7" s="1"/>
  <c r="N11" i="7" s="1"/>
  <c r="R13" i="2" s="1"/>
  <c r="J11" i="7"/>
  <c r="I11" i="7"/>
  <c r="H11" i="7"/>
  <c r="G11" i="7"/>
  <c r="F11" i="7"/>
  <c r="E11" i="7"/>
  <c r="D11" i="7"/>
  <c r="C11" i="7"/>
  <c r="B11" i="7"/>
  <c r="K10" i="7"/>
  <c r="M10" i="7" s="1"/>
  <c r="N10" i="7" s="1"/>
  <c r="R12" i="2" s="1"/>
  <c r="J10" i="7"/>
  <c r="I10" i="7"/>
  <c r="H10" i="7"/>
  <c r="G10" i="7"/>
  <c r="F10" i="7"/>
  <c r="E10" i="7"/>
  <c r="D10" i="7"/>
  <c r="C10" i="7"/>
  <c r="B10" i="7"/>
  <c r="K9" i="7"/>
  <c r="M9" i="7" s="1"/>
  <c r="N9" i="7" s="1"/>
  <c r="R11" i="2" s="1"/>
  <c r="J9" i="7"/>
  <c r="I9" i="7"/>
  <c r="H9" i="7"/>
  <c r="G9" i="7"/>
  <c r="F9" i="7"/>
  <c r="E9" i="7"/>
  <c r="D9" i="7"/>
  <c r="C9" i="7"/>
  <c r="B9" i="7"/>
  <c r="K8" i="7"/>
  <c r="M8" i="7" s="1"/>
  <c r="N8" i="7" s="1"/>
  <c r="R10" i="2" s="1"/>
  <c r="J8" i="7"/>
  <c r="I8" i="7"/>
  <c r="H8" i="7"/>
  <c r="G8" i="7"/>
  <c r="F8" i="7"/>
  <c r="E8" i="7"/>
  <c r="D8" i="7"/>
  <c r="C8" i="7"/>
  <c r="B8" i="7"/>
  <c r="K7" i="7"/>
  <c r="M7" i="7" s="1"/>
  <c r="N7" i="7" s="1"/>
  <c r="R9" i="2" s="1"/>
  <c r="J7" i="7"/>
  <c r="I7" i="7"/>
  <c r="H7" i="7"/>
  <c r="G7" i="7"/>
  <c r="F7" i="7"/>
  <c r="E7" i="7"/>
  <c r="D7" i="7"/>
  <c r="C7" i="7"/>
  <c r="B7" i="7"/>
  <c r="K6" i="7"/>
  <c r="M6" i="7" s="1"/>
  <c r="N6" i="7" s="1"/>
  <c r="R8" i="2" s="1"/>
  <c r="J6" i="7"/>
  <c r="I6" i="7"/>
  <c r="H6" i="7"/>
  <c r="G6" i="7"/>
  <c r="F6" i="7"/>
  <c r="E6" i="7"/>
  <c r="D6" i="7"/>
  <c r="C6" i="7"/>
  <c r="B6" i="7"/>
  <c r="K5" i="7"/>
  <c r="M5" i="7" s="1"/>
  <c r="N5" i="7" s="1"/>
  <c r="R7" i="2" s="1"/>
  <c r="J5" i="7"/>
  <c r="I5" i="7"/>
  <c r="H5" i="7"/>
  <c r="G5" i="7"/>
  <c r="F5" i="7"/>
  <c r="E5" i="7"/>
  <c r="D5" i="7"/>
  <c r="C5" i="7"/>
  <c r="B5" i="7"/>
  <c r="K4" i="7"/>
  <c r="M4" i="7" s="1"/>
  <c r="N4" i="7" s="1"/>
  <c r="R6" i="2" s="1"/>
  <c r="J4" i="7"/>
  <c r="I4" i="7"/>
  <c r="H4" i="7"/>
  <c r="G4" i="7"/>
  <c r="F4" i="7"/>
  <c r="E4" i="7"/>
  <c r="D4" i="7"/>
  <c r="C4" i="7"/>
  <c r="B4" i="7"/>
  <c r="K3" i="7"/>
  <c r="M3" i="7" s="1"/>
  <c r="N3" i="7" s="1"/>
  <c r="R5" i="2" s="1"/>
  <c r="J3" i="7"/>
  <c r="I3" i="7"/>
  <c r="H3" i="7"/>
  <c r="G3" i="7"/>
  <c r="F3" i="7"/>
  <c r="E3" i="7"/>
  <c r="D3" i="7"/>
  <c r="C3" i="7"/>
  <c r="B3" i="7"/>
  <c r="K2" i="7"/>
  <c r="M2" i="7" s="1"/>
  <c r="N2" i="7" s="1"/>
  <c r="R4" i="2" s="1"/>
  <c r="J2" i="7"/>
  <c r="I2" i="7"/>
  <c r="H2" i="7"/>
  <c r="G2" i="7"/>
  <c r="F2" i="7"/>
  <c r="E2" i="7"/>
  <c r="D2" i="7"/>
  <c r="C2" i="7"/>
  <c r="B2" i="7"/>
  <c r="R34" i="2" s="1"/>
  <c r="F42" i="6"/>
  <c r="H35" i="3"/>
  <c r="H34" i="3"/>
  <c r="C36" i="2" s="1"/>
  <c r="P36" i="2" s="1"/>
  <c r="H33" i="3"/>
  <c r="H32" i="3"/>
  <c r="H31" i="3"/>
  <c r="C33" i="2" s="1"/>
  <c r="P33" i="2" s="1"/>
  <c r="H30" i="3"/>
  <c r="H29" i="3"/>
  <c r="H28" i="3"/>
  <c r="C30" i="2" s="1"/>
  <c r="P30" i="2" s="1"/>
  <c r="H27" i="3"/>
  <c r="H26" i="3"/>
  <c r="H25" i="3"/>
  <c r="H24" i="3"/>
  <c r="C26" i="2" s="1"/>
  <c r="P26" i="2" s="1"/>
  <c r="H23" i="3"/>
  <c r="H22" i="3"/>
  <c r="C24" i="2" s="1"/>
  <c r="P24" i="2" s="1"/>
  <c r="H21" i="3"/>
  <c r="C23" i="2" s="1"/>
  <c r="P23" i="2" s="1"/>
  <c r="H20" i="3"/>
  <c r="H19" i="3"/>
  <c r="C21" i="2" s="1"/>
  <c r="P21" i="2" s="1"/>
  <c r="H18" i="3"/>
  <c r="C20" i="2" s="1"/>
  <c r="P20" i="2" s="1"/>
  <c r="H17" i="3"/>
  <c r="C19" i="2" s="1"/>
  <c r="P19" i="2" s="1"/>
  <c r="H16" i="3"/>
  <c r="H15" i="3"/>
  <c r="C17" i="2" s="1"/>
  <c r="P17" i="2" s="1"/>
  <c r="H14" i="3"/>
  <c r="H13" i="3"/>
  <c r="H12" i="3"/>
  <c r="H11" i="3"/>
  <c r="H10" i="3"/>
  <c r="C12" i="2" s="1"/>
  <c r="P12" i="2" s="1"/>
  <c r="H9" i="3"/>
  <c r="H8" i="3"/>
  <c r="H7" i="3"/>
  <c r="C9" i="2" s="1"/>
  <c r="P9" i="2" s="1"/>
  <c r="H6" i="3"/>
  <c r="H5" i="3"/>
  <c r="H4" i="3"/>
  <c r="C6" i="2" s="1"/>
  <c r="P6" i="2" s="1"/>
  <c r="H3" i="3"/>
  <c r="H2" i="3"/>
  <c r="E63" i="2"/>
  <c r="D61" i="2"/>
  <c r="H60" i="2"/>
  <c r="E60" i="2"/>
  <c r="H59" i="2"/>
  <c r="E59" i="2"/>
  <c r="E61" i="2" s="1"/>
  <c r="D59" i="2"/>
  <c r="H58" i="2"/>
  <c r="E58" i="2"/>
  <c r="D58" i="2"/>
  <c r="H57" i="2"/>
  <c r="E57" i="2"/>
  <c r="O37" i="2"/>
  <c r="C37" i="2"/>
  <c r="P37" i="2" s="1"/>
  <c r="T36" i="2"/>
  <c r="O36" i="2"/>
  <c r="O35" i="2"/>
  <c r="C35" i="2"/>
  <c r="P35" i="2" s="1"/>
  <c r="O34" i="2"/>
  <c r="C34" i="2"/>
  <c r="P34" i="2" s="1"/>
  <c r="T33" i="2"/>
  <c r="O33" i="2"/>
  <c r="T32" i="2"/>
  <c r="R32" i="2"/>
  <c r="AC45" i="1" s="1"/>
  <c r="P32" i="2"/>
  <c r="O32" i="2"/>
  <c r="C32" i="2"/>
  <c r="O31" i="2"/>
  <c r="C31" i="2"/>
  <c r="P31" i="2" s="1"/>
  <c r="O30" i="2"/>
  <c r="T29" i="2"/>
  <c r="O29" i="2"/>
  <c r="C29" i="2"/>
  <c r="P29" i="2" s="1"/>
  <c r="T28" i="2"/>
  <c r="A39" i="1" s="1"/>
  <c r="P28" i="2"/>
  <c r="O28" i="2"/>
  <c r="D39" i="1" s="1"/>
  <c r="Z34" i="1" s="1"/>
  <c r="C28" i="2"/>
  <c r="T27" i="2"/>
  <c r="P27" i="2"/>
  <c r="O27" i="2"/>
  <c r="C27" i="2"/>
  <c r="T26" i="2"/>
  <c r="O26" i="2"/>
  <c r="P25" i="2"/>
  <c r="O25" i="2"/>
  <c r="C25" i="2"/>
  <c r="O24" i="2"/>
  <c r="O23" i="2"/>
  <c r="T22" i="2"/>
  <c r="A33" i="1" s="1"/>
  <c r="O22" i="2"/>
  <c r="D33" i="1" s="1"/>
  <c r="C22" i="2"/>
  <c r="P22" i="2" s="1"/>
  <c r="T21" i="2"/>
  <c r="O21" i="2"/>
  <c r="O19" i="2"/>
  <c r="O18" i="2"/>
  <c r="C18" i="2"/>
  <c r="P18" i="2" s="1"/>
  <c r="T17" i="2"/>
  <c r="O17" i="2"/>
  <c r="T16" i="2"/>
  <c r="A27" i="1" s="1"/>
  <c r="O16" i="2"/>
  <c r="C16" i="2"/>
  <c r="P16" i="2" s="1"/>
  <c r="T15" i="2"/>
  <c r="P15" i="2"/>
  <c r="AA18" i="1" s="1"/>
  <c r="O15" i="2"/>
  <c r="C15" i="2"/>
  <c r="T14" i="2"/>
  <c r="P14" i="2"/>
  <c r="C14" i="2"/>
  <c r="O13" i="2"/>
  <c r="C13" i="2"/>
  <c r="P13" i="2" s="1"/>
  <c r="T12" i="2"/>
  <c r="O12" i="2"/>
  <c r="O11" i="2"/>
  <c r="C11" i="2"/>
  <c r="P11" i="2" s="1"/>
  <c r="O10" i="2"/>
  <c r="C10" i="2"/>
  <c r="P10" i="2" s="1"/>
  <c r="T9" i="2"/>
  <c r="O9" i="2"/>
  <c r="P8" i="2"/>
  <c r="O8" i="2"/>
  <c r="C8" i="2"/>
  <c r="O7" i="2"/>
  <c r="C7" i="2"/>
  <c r="P7" i="2" s="1"/>
  <c r="O6" i="2"/>
  <c r="T5" i="2"/>
  <c r="O5" i="2"/>
  <c r="C5" i="2"/>
  <c r="P5" i="2" s="1"/>
  <c r="P4" i="2"/>
  <c r="O4" i="2"/>
  <c r="D15" i="1" s="1"/>
  <c r="Z20" i="1" s="1"/>
  <c r="C4" i="2"/>
  <c r="D48" i="1"/>
  <c r="C48" i="1"/>
  <c r="C47" i="1"/>
  <c r="C46" i="1"/>
  <c r="D45" i="1"/>
  <c r="Z47" i="1" s="1"/>
  <c r="C45" i="1"/>
  <c r="C44" i="1"/>
  <c r="AA45" i="1"/>
  <c r="E43" i="1"/>
  <c r="C43" i="1"/>
  <c r="D42" i="1"/>
  <c r="C42" i="1"/>
  <c r="C41" i="1"/>
  <c r="C40" i="1"/>
  <c r="AA34" i="1"/>
  <c r="E39" i="1"/>
  <c r="C39" i="1"/>
  <c r="C38" i="1"/>
  <c r="C37" i="1"/>
  <c r="AA48" i="1"/>
  <c r="E36" i="1"/>
  <c r="D36" i="1"/>
  <c r="C36" i="1"/>
  <c r="C35" i="1"/>
  <c r="G35" i="1" s="1"/>
  <c r="C34" i="1"/>
  <c r="C33" i="1"/>
  <c r="C32" i="1"/>
  <c r="C31" i="1"/>
  <c r="D30" i="1"/>
  <c r="Z43" i="1" s="1"/>
  <c r="C30" i="1"/>
  <c r="C29" i="1"/>
  <c r="C28" i="1"/>
  <c r="D27" i="1"/>
  <c r="C27" i="1"/>
  <c r="C26" i="1"/>
  <c r="AA22" i="1"/>
  <c r="E25" i="1"/>
  <c r="C25" i="1"/>
  <c r="D24" i="1"/>
  <c r="Z23" i="1" s="1"/>
  <c r="C24" i="1"/>
  <c r="C23" i="1"/>
  <c r="C22" i="1"/>
  <c r="D21" i="1"/>
  <c r="C21" i="1"/>
  <c r="C20" i="1"/>
  <c r="AA24" i="1"/>
  <c r="E19" i="1"/>
  <c r="C19" i="1"/>
  <c r="D18" i="1"/>
  <c r="C18" i="1"/>
  <c r="C17" i="1"/>
  <c r="C16" i="1"/>
  <c r="AA20" i="1"/>
  <c r="E15" i="1"/>
  <c r="C15" i="1"/>
  <c r="AC13" i="1"/>
  <c r="L10" i="1"/>
  <c r="G9" i="1"/>
  <c r="L7" i="1"/>
  <c r="K7" i="1"/>
  <c r="L6" i="1"/>
  <c r="K6" i="1"/>
  <c r="L5" i="1"/>
  <c r="K5" i="1"/>
  <c r="L4" i="1"/>
  <c r="K4" i="1"/>
  <c r="AE45" i="1" l="1"/>
  <c r="AF45" i="1" s="1"/>
  <c r="G43" i="1"/>
  <c r="G29" i="1"/>
  <c r="G44" i="1"/>
  <c r="Z44" i="1"/>
  <c r="G22" i="1"/>
  <c r="R20" i="2"/>
  <c r="G31" i="1" s="1"/>
  <c r="G46" i="1"/>
  <c r="G19" i="1"/>
  <c r="AC22" i="1"/>
  <c r="AC46" i="1"/>
  <c r="G32" i="1"/>
  <c r="AA38" i="1"/>
  <c r="E41" i="1"/>
  <c r="AC43" i="1"/>
  <c r="G30" i="1"/>
  <c r="AC40" i="1"/>
  <c r="G42" i="1"/>
  <c r="AA23" i="1"/>
  <c r="E24" i="1"/>
  <c r="AC21" i="1"/>
  <c r="G18" i="1"/>
  <c r="G34" i="1"/>
  <c r="G47" i="1"/>
  <c r="AA47" i="1"/>
  <c r="E45" i="1"/>
  <c r="AC16" i="1"/>
  <c r="AC44" i="1"/>
  <c r="G48" i="1"/>
  <c r="AA26" i="1"/>
  <c r="E17" i="1"/>
  <c r="AC28" i="1"/>
  <c r="G20" i="1"/>
  <c r="AA33" i="1"/>
  <c r="E20" i="1"/>
  <c r="AA42" i="1"/>
  <c r="E44" i="1"/>
  <c r="E46" i="1"/>
  <c r="AA31" i="1"/>
  <c r="AC27" i="1"/>
  <c r="AC25" i="1"/>
  <c r="AC36" i="1"/>
  <c r="P38" i="2"/>
  <c r="Q28" i="2" s="1"/>
  <c r="AC35" i="1"/>
  <c r="G21" i="1"/>
  <c r="AC31" i="1"/>
  <c r="I19" i="1"/>
  <c r="J19" i="1" s="1"/>
  <c r="AA41" i="1"/>
  <c r="Q36" i="2"/>
  <c r="E47" i="1"/>
  <c r="AC17" i="1"/>
  <c r="G33" i="1"/>
  <c r="G23" i="1"/>
  <c r="G37" i="1"/>
  <c r="E16" i="1"/>
  <c r="E49" i="1" s="1"/>
  <c r="AA25" i="1"/>
  <c r="AC39" i="1"/>
  <c r="I22" i="1"/>
  <c r="J22" i="1" s="1"/>
  <c r="AA28" i="1"/>
  <c r="E23" i="1"/>
  <c r="G38" i="1"/>
  <c r="E48" i="1"/>
  <c r="AA44" i="1"/>
  <c r="AA37" i="1"/>
  <c r="E27" i="1"/>
  <c r="AC47" i="1"/>
  <c r="G45" i="1"/>
  <c r="AC30" i="1"/>
  <c r="AC42" i="1"/>
  <c r="G25" i="1"/>
  <c r="E18" i="1"/>
  <c r="AA21" i="1"/>
  <c r="Q7" i="2"/>
  <c r="E28" i="1"/>
  <c r="AA27" i="1"/>
  <c r="AC24" i="1"/>
  <c r="G40" i="1"/>
  <c r="AC48" i="1"/>
  <c r="G36" i="1"/>
  <c r="AC23" i="1"/>
  <c r="G24" i="1"/>
  <c r="G41" i="1"/>
  <c r="E40" i="1"/>
  <c r="AA36" i="1"/>
  <c r="F58" i="2"/>
  <c r="H5" i="1" s="1"/>
  <c r="E30" i="1"/>
  <c r="AA43" i="1"/>
  <c r="AC26" i="1"/>
  <c r="AC38" i="1"/>
  <c r="AA32" i="1"/>
  <c r="E29" i="1"/>
  <c r="Q20" i="2"/>
  <c r="E31" i="1"/>
  <c r="AA30" i="1"/>
  <c r="AC32" i="1"/>
  <c r="AA19" i="1"/>
  <c r="E32" i="1"/>
  <c r="F60" i="2"/>
  <c r="H7" i="1" s="1"/>
  <c r="F57" i="2"/>
  <c r="H4" i="1" s="1"/>
  <c r="AC29" i="1"/>
  <c r="AC41" i="1"/>
  <c r="I43" i="1"/>
  <c r="J43" i="1" s="1"/>
  <c r="AC15" i="1"/>
  <c r="G28" i="1"/>
  <c r="AA40" i="1"/>
  <c r="E42" i="1"/>
  <c r="E34" i="1"/>
  <c r="Q23" i="2"/>
  <c r="AA15" i="1"/>
  <c r="AC20" i="1"/>
  <c r="AC37" i="1"/>
  <c r="G27" i="1"/>
  <c r="I29" i="1"/>
  <c r="J29" i="1" s="1"/>
  <c r="Q10" i="2"/>
  <c r="E21" i="1"/>
  <c r="AA35" i="1"/>
  <c r="AA16" i="1"/>
  <c r="E35" i="1"/>
  <c r="AC34" i="1"/>
  <c r="G39" i="1"/>
  <c r="AA17" i="1"/>
  <c r="E33" i="1"/>
  <c r="G16" i="1"/>
  <c r="I44" i="1"/>
  <c r="J44" i="1" s="1"/>
  <c r="E22" i="1"/>
  <c r="AA29" i="1"/>
  <c r="E37" i="1"/>
  <c r="AA46" i="1"/>
  <c r="AC33" i="1"/>
  <c r="AC19" i="1"/>
  <c r="F16" i="9"/>
  <c r="E21" i="9"/>
  <c r="T23" i="2" s="1"/>
  <c r="F21" i="9"/>
  <c r="D17" i="9"/>
  <c r="E17" i="9"/>
  <c r="T19" i="2" s="1"/>
  <c r="A30" i="1" s="1"/>
  <c r="D22" i="9"/>
  <c r="A20" i="1"/>
  <c r="A23" i="1"/>
  <c r="A26" i="1"/>
  <c r="A29" i="1"/>
  <c r="A32" i="1"/>
  <c r="A35" i="1"/>
  <c r="A38" i="1"/>
  <c r="A44" i="1"/>
  <c r="A47" i="1"/>
  <c r="D32" i="1"/>
  <c r="Z19" i="1" s="1"/>
  <c r="D38" i="1"/>
  <c r="Z39" i="1" s="1"/>
  <c r="D18" i="9"/>
  <c r="D26" i="1"/>
  <c r="Z18" i="1" s="1"/>
  <c r="D29" i="1"/>
  <c r="D35" i="1"/>
  <c r="D44" i="1"/>
  <c r="Z42" i="1" s="1"/>
  <c r="D47" i="1"/>
  <c r="Z41" i="1" s="1"/>
  <c r="E26" i="1"/>
  <c r="E38" i="1"/>
  <c r="R15" i="2"/>
  <c r="G26" i="1" s="1"/>
  <c r="E18" i="9"/>
  <c r="T20" i="2" s="1"/>
  <c r="A31" i="1" s="1"/>
  <c r="D23" i="9"/>
  <c r="Z35" i="1"/>
  <c r="Z37" i="1"/>
  <c r="Z48" i="1"/>
  <c r="D4" i="9"/>
  <c r="E23" i="9"/>
  <c r="T25" i="2" s="1"/>
  <c r="A36" i="1" s="1"/>
  <c r="D28" i="9"/>
  <c r="Z40" i="1"/>
  <c r="D17" i="1"/>
  <c r="Z26" i="1" s="1"/>
  <c r="D20" i="1"/>
  <c r="Z33" i="1" s="1"/>
  <c r="D23" i="1"/>
  <c r="Z28" i="1" s="1"/>
  <c r="D41" i="1"/>
  <c r="Z38" i="1" s="1"/>
  <c r="G17" i="1"/>
  <c r="E4" i="9"/>
  <c r="T6" i="2" s="1"/>
  <c r="A17" i="1" s="1"/>
  <c r="D9" i="9"/>
  <c r="E28" i="9"/>
  <c r="T30" i="2" s="1"/>
  <c r="A41" i="1" s="1"/>
  <c r="D33" i="9"/>
  <c r="E33" i="9"/>
  <c r="T35" i="2" s="1"/>
  <c r="A46" i="1" s="1"/>
  <c r="F59" i="2"/>
  <c r="H6" i="1" s="1"/>
  <c r="Z21" i="1"/>
  <c r="Z17" i="1"/>
  <c r="A16" i="1"/>
  <c r="A19" i="1"/>
  <c r="A22" i="1"/>
  <c r="A25" i="1"/>
  <c r="A28" i="1"/>
  <c r="A34" i="1"/>
  <c r="A37" i="1"/>
  <c r="A40" i="1"/>
  <c r="A43" i="1"/>
  <c r="Z32" i="1"/>
  <c r="Z16" i="1"/>
  <c r="D16" i="1"/>
  <c r="Z25" i="1" s="1"/>
  <c r="D19" i="1"/>
  <c r="Z24" i="1" s="1"/>
  <c r="D22" i="1"/>
  <c r="Z29" i="1" s="1"/>
  <c r="D25" i="1"/>
  <c r="Z22" i="1" s="1"/>
  <c r="D28" i="1"/>
  <c r="Z27" i="1" s="1"/>
  <c r="D31" i="1"/>
  <c r="Z30" i="1" s="1"/>
  <c r="D34" i="1"/>
  <c r="Z15" i="1" s="1"/>
  <c r="D37" i="1"/>
  <c r="Z46" i="1" s="1"/>
  <c r="AA39" i="1"/>
  <c r="D40" i="1"/>
  <c r="Z36" i="1" s="1"/>
  <c r="D43" i="1"/>
  <c r="Z45" i="1" s="1"/>
  <c r="D46" i="1"/>
  <c r="Z31" i="1" s="1"/>
  <c r="D6" i="9"/>
  <c r="E6" i="9"/>
  <c r="T8" i="2" s="1"/>
  <c r="E11" i="9"/>
  <c r="T13" i="2" s="1"/>
  <c r="A24" i="1" s="1"/>
  <c r="D16" i="9"/>
  <c r="E35" i="9"/>
  <c r="T37" i="2" s="1"/>
  <c r="A48" i="1" s="1"/>
  <c r="I46" i="1" l="1"/>
  <c r="J46" i="1" s="1"/>
  <c r="F25" i="1"/>
  <c r="F43" i="1"/>
  <c r="AB24" i="1"/>
  <c r="AB45" i="1"/>
  <c r="AB22" i="1"/>
  <c r="F19" i="1"/>
  <c r="F39" i="1"/>
  <c r="AB18" i="1"/>
  <c r="AB34" i="1"/>
  <c r="F36" i="1"/>
  <c r="F15" i="1"/>
  <c r="AB48" i="1"/>
  <c r="AB20" i="1"/>
  <c r="G6" i="1"/>
  <c r="I26" i="1"/>
  <c r="J26" i="1" s="1"/>
  <c r="E11" i="1"/>
  <c r="G49" i="1"/>
  <c r="AD38" i="1" s="1"/>
  <c r="I15" i="1"/>
  <c r="J15" i="1" s="1"/>
  <c r="F20" i="1"/>
  <c r="I18" i="1"/>
  <c r="J18" i="1" s="1"/>
  <c r="Q4" i="2"/>
  <c r="AE32" i="1"/>
  <c r="AF32" i="1" s="1"/>
  <c r="Q16" i="2"/>
  <c r="AB41" i="1"/>
  <c r="Q9" i="2"/>
  <c r="AE21" i="1"/>
  <c r="AF21" i="1" s="1"/>
  <c r="Q15" i="2"/>
  <c r="AE34" i="1"/>
  <c r="AF34" i="1" s="1"/>
  <c r="AE20" i="1"/>
  <c r="AF20" i="1" s="1"/>
  <c r="AB30" i="1"/>
  <c r="AE48" i="1"/>
  <c r="AF48" i="1" s="1"/>
  <c r="AB44" i="1"/>
  <c r="AB33" i="1"/>
  <c r="F24" i="1"/>
  <c r="F35" i="1"/>
  <c r="AB15" i="1"/>
  <c r="F31" i="1"/>
  <c r="I40" i="1"/>
  <c r="J40" i="1" s="1"/>
  <c r="C60" i="2"/>
  <c r="D60" i="2" s="1"/>
  <c r="C57" i="2"/>
  <c r="D57" i="2" s="1"/>
  <c r="F48" i="1"/>
  <c r="I20" i="1"/>
  <c r="J20" i="1" s="1"/>
  <c r="AB23" i="1"/>
  <c r="AE24" i="1"/>
  <c r="AF24" i="1" s="1"/>
  <c r="Q37" i="2"/>
  <c r="Q13" i="2"/>
  <c r="AB37" i="1"/>
  <c r="Q24" i="2"/>
  <c r="F34" i="1"/>
  <c r="Q18" i="2"/>
  <c r="I38" i="1"/>
  <c r="J38" i="1" s="1"/>
  <c r="AE31" i="1"/>
  <c r="AF31" i="1" s="1"/>
  <c r="AE28" i="1"/>
  <c r="AF28" i="1" s="1"/>
  <c r="AB35" i="1"/>
  <c r="Q31" i="2"/>
  <c r="F29" i="1"/>
  <c r="AB27" i="1"/>
  <c r="F23" i="1"/>
  <c r="F17" i="1"/>
  <c r="I42" i="1"/>
  <c r="J42" i="1" s="1"/>
  <c r="AB16" i="1"/>
  <c r="F21" i="1"/>
  <c r="F42" i="1"/>
  <c r="AB32" i="1"/>
  <c r="F28" i="1"/>
  <c r="Q12" i="2"/>
  <c r="I21" i="1"/>
  <c r="J21" i="1" s="1"/>
  <c r="AB26" i="1"/>
  <c r="AE40" i="1"/>
  <c r="AF40" i="1" s="1"/>
  <c r="AE19" i="1"/>
  <c r="AF19" i="1" s="1"/>
  <c r="AB40" i="1"/>
  <c r="Q17" i="2"/>
  <c r="AB28" i="1"/>
  <c r="AE35" i="1"/>
  <c r="AF35" i="1" s="1"/>
  <c r="Q6" i="2"/>
  <c r="I30" i="1"/>
  <c r="J30" i="1" s="1"/>
  <c r="I28" i="1"/>
  <c r="J28" i="1" s="1"/>
  <c r="I48" i="1"/>
  <c r="J48" i="1" s="1"/>
  <c r="AE43" i="1"/>
  <c r="AF43" i="1" s="1"/>
  <c r="AE44" i="1"/>
  <c r="AF44" i="1" s="1"/>
  <c r="AB46" i="1"/>
  <c r="AE15" i="1"/>
  <c r="AF15" i="1" s="1"/>
  <c r="AB21" i="1"/>
  <c r="AE39" i="1"/>
  <c r="AF39" i="1" s="1"/>
  <c r="F41" i="1"/>
  <c r="AE38" i="1"/>
  <c r="AF38" i="1" s="1"/>
  <c r="Q14" i="2"/>
  <c r="Q32" i="2"/>
  <c r="Q8" i="2"/>
  <c r="Q26" i="2"/>
  <c r="E4" i="1"/>
  <c r="AE26" i="1"/>
  <c r="AF26" i="1" s="1"/>
  <c r="F18" i="1"/>
  <c r="AE36" i="1"/>
  <c r="AF36" i="1" s="1"/>
  <c r="AB38" i="1"/>
  <c r="Q27" i="2"/>
  <c r="AE16" i="1"/>
  <c r="AF16" i="1" s="1"/>
  <c r="Q30" i="2"/>
  <c r="I39" i="1"/>
  <c r="J39" i="1" s="1"/>
  <c r="E7" i="1"/>
  <c r="AB43" i="1"/>
  <c r="AB29" i="1"/>
  <c r="G4" i="1"/>
  <c r="Q19" i="2"/>
  <c r="I25" i="1"/>
  <c r="J25" i="1" s="1"/>
  <c r="AE25" i="1"/>
  <c r="AF25" i="1" s="1"/>
  <c r="F45" i="1"/>
  <c r="Q11" i="2"/>
  <c r="G7" i="1"/>
  <c r="F30" i="1"/>
  <c r="AB25" i="1"/>
  <c r="AB47" i="1"/>
  <c r="F37" i="1"/>
  <c r="F22" i="1"/>
  <c r="E5" i="1"/>
  <c r="AE41" i="1"/>
  <c r="AF41" i="1" s="1"/>
  <c r="AE42" i="1"/>
  <c r="AF42" i="1" s="1"/>
  <c r="Q5" i="2"/>
  <c r="Q34" i="2"/>
  <c r="I32" i="1"/>
  <c r="J32" i="1" s="1"/>
  <c r="F26" i="1"/>
  <c r="AB39" i="1"/>
  <c r="G5" i="1"/>
  <c r="AE29" i="1"/>
  <c r="AF29" i="1" s="1"/>
  <c r="AE27" i="1"/>
  <c r="AF27" i="1" s="1"/>
  <c r="Q25" i="2"/>
  <c r="AE46" i="1"/>
  <c r="AF46" i="1" s="1"/>
  <c r="I36" i="1"/>
  <c r="J36" i="1" s="1"/>
  <c r="AE33" i="1"/>
  <c r="AF33" i="1" s="1"/>
  <c r="AB36" i="1"/>
  <c r="F16" i="1"/>
  <c r="E6" i="1"/>
  <c r="Q29" i="2"/>
  <c r="AE30" i="1"/>
  <c r="AF30" i="1" s="1"/>
  <c r="I37" i="1"/>
  <c r="J37" i="1" s="1"/>
  <c r="AB31" i="1"/>
  <c r="F40" i="1"/>
  <c r="I23" i="1"/>
  <c r="J23" i="1" s="1"/>
  <c r="Q35" i="2"/>
  <c r="I35" i="1"/>
  <c r="J35" i="1" s="1"/>
  <c r="F33" i="1"/>
  <c r="I27" i="1"/>
  <c r="J27" i="1" s="1"/>
  <c r="I41" i="1"/>
  <c r="J41" i="1" s="1"/>
  <c r="I45" i="1"/>
  <c r="J45" i="1" s="1"/>
  <c r="I33" i="1"/>
  <c r="J33" i="1" s="1"/>
  <c r="F46" i="1"/>
  <c r="I47" i="1"/>
  <c r="J47" i="1" s="1"/>
  <c r="AE22" i="1"/>
  <c r="AF22" i="1" s="1"/>
  <c r="I17" i="1"/>
  <c r="J17" i="1" s="1"/>
  <c r="I16" i="1"/>
  <c r="J16" i="1" s="1"/>
  <c r="AB17" i="1"/>
  <c r="AE37" i="1"/>
  <c r="AF37" i="1" s="1"/>
  <c r="Q21" i="2"/>
  <c r="I24" i="1"/>
  <c r="J24" i="1" s="1"/>
  <c r="AE47" i="1"/>
  <c r="AF47" i="1" s="1"/>
  <c r="AE17" i="1"/>
  <c r="AF17" i="1" s="1"/>
  <c r="F44" i="1"/>
  <c r="I34" i="1"/>
  <c r="J34" i="1" s="1"/>
  <c r="AC18" i="1"/>
  <c r="AC49" i="1" s="1"/>
  <c r="AE49" i="1" s="1"/>
  <c r="AF49" i="1" s="1"/>
  <c r="Q22" i="2"/>
  <c r="F32" i="1"/>
  <c r="AE23" i="1"/>
  <c r="AF23" i="1" s="1"/>
  <c r="Q33" i="2"/>
  <c r="F38" i="1"/>
  <c r="AA49" i="1"/>
  <c r="R38" i="2"/>
  <c r="AB19" i="1"/>
  <c r="F27" i="1"/>
  <c r="F47" i="1"/>
  <c r="AB42" i="1"/>
  <c r="I31" i="1"/>
  <c r="J31" i="1" s="1"/>
  <c r="I5" i="1" l="1"/>
  <c r="J5" i="1" s="1"/>
  <c r="H15" i="1"/>
  <c r="H25" i="1"/>
  <c r="AD39" i="1"/>
  <c r="H40" i="1"/>
  <c r="H27" i="1"/>
  <c r="AD29" i="1"/>
  <c r="AD27" i="1"/>
  <c r="H34" i="1"/>
  <c r="H24" i="1"/>
  <c r="H41" i="1"/>
  <c r="H23" i="1"/>
  <c r="AD17" i="1"/>
  <c r="AD15" i="1"/>
  <c r="H18" i="1"/>
  <c r="AD47" i="1"/>
  <c r="H39" i="1"/>
  <c r="AD42" i="1"/>
  <c r="AD16" i="1"/>
  <c r="AD37" i="1"/>
  <c r="H37" i="1"/>
  <c r="AD28" i="1"/>
  <c r="AD35" i="1"/>
  <c r="AD31" i="1"/>
  <c r="H16" i="1"/>
  <c r="AD30" i="1"/>
  <c r="H17" i="1"/>
  <c r="AD19" i="1"/>
  <c r="I7" i="1"/>
  <c r="J7" i="1" s="1"/>
  <c r="AD23" i="1"/>
  <c r="AD46" i="1"/>
  <c r="H45" i="1"/>
  <c r="AD25" i="1"/>
  <c r="E8" i="1"/>
  <c r="F6" i="1" s="1"/>
  <c r="I49" i="1"/>
  <c r="J49" i="1" s="1"/>
  <c r="H31" i="1"/>
  <c r="H35" i="1"/>
  <c r="H44" i="1"/>
  <c r="H46" i="1"/>
  <c r="H43" i="1"/>
  <c r="H29" i="1"/>
  <c r="H22" i="1"/>
  <c r="H19" i="1"/>
  <c r="AD45" i="1"/>
  <c r="H38" i="1"/>
  <c r="AD48" i="1"/>
  <c r="I4" i="1"/>
  <c r="J4" i="1" s="1"/>
  <c r="G8" i="1"/>
  <c r="AD40" i="1"/>
  <c r="H26" i="1"/>
  <c r="I6" i="1"/>
  <c r="J6" i="1" s="1"/>
  <c r="Q38" i="2"/>
  <c r="H32" i="1"/>
  <c r="AD20" i="1"/>
  <c r="H21" i="1"/>
  <c r="F49" i="1"/>
  <c r="S7" i="2"/>
  <c r="S13" i="2"/>
  <c r="S22" i="2"/>
  <c r="S34" i="2"/>
  <c r="S16" i="2"/>
  <c r="S32" i="2"/>
  <c r="S18" i="2"/>
  <c r="S14" i="2"/>
  <c r="S20" i="2"/>
  <c r="S26" i="2"/>
  <c r="S11" i="2"/>
  <c r="S17" i="2"/>
  <c r="S5" i="2"/>
  <c r="S33" i="2"/>
  <c r="S36" i="2"/>
  <c r="S29" i="2"/>
  <c r="S24" i="2"/>
  <c r="S27" i="2"/>
  <c r="S23" i="2"/>
  <c r="S37" i="2"/>
  <c r="S6" i="2"/>
  <c r="S19" i="2"/>
  <c r="S10" i="2"/>
  <c r="S30" i="2"/>
  <c r="S9" i="2"/>
  <c r="S21" i="2"/>
  <c r="S35" i="2"/>
  <c r="S31" i="2"/>
  <c r="S8" i="2"/>
  <c r="S12" i="2"/>
  <c r="S25" i="2"/>
  <c r="S4" i="2"/>
  <c r="S28" i="2"/>
  <c r="AD34" i="1"/>
  <c r="AD44" i="1"/>
  <c r="AD24" i="1"/>
  <c r="AD22" i="1"/>
  <c r="AD41" i="1"/>
  <c r="AD43" i="1"/>
  <c r="AD21" i="1"/>
  <c r="H48" i="1"/>
  <c r="H20" i="1"/>
  <c r="H47" i="1"/>
  <c r="AD36" i="1"/>
  <c r="H42" i="1"/>
  <c r="AD33" i="1"/>
  <c r="H28" i="1"/>
  <c r="S15" i="2"/>
  <c r="H33" i="1"/>
  <c r="AD32" i="1"/>
  <c r="AE18" i="1"/>
  <c r="AF18" i="1" s="1"/>
  <c r="AD18" i="1"/>
  <c r="H36" i="1"/>
  <c r="AD26" i="1"/>
  <c r="H30" i="1"/>
  <c r="F4" i="1" l="1"/>
  <c r="H49" i="1"/>
  <c r="F5" i="1"/>
  <c r="F7" i="1"/>
  <c r="G10" i="1"/>
  <c r="I8" i="1"/>
  <c r="J8" i="1" s="1"/>
  <c r="S38" i="2"/>
  <c r="E10" i="1"/>
  <c r="F8" i="1"/>
</calcChain>
</file>

<file path=xl/sharedStrings.xml><?xml version="1.0" encoding="utf-8"?>
<sst xmlns="http://schemas.openxmlformats.org/spreadsheetml/2006/main" count="1512" uniqueCount="877">
  <si>
    <t>BOARDINGS BY SUB-MODE</t>
  </si>
  <si>
    <t>OBS</t>
  </si>
  <si>
    <t>ABM</t>
  </si>
  <si>
    <t>DIFF</t>
  </si>
  <si>
    <t>Sub-mode Constant (DaySim)</t>
  </si>
  <si>
    <t>NOTE:</t>
  </si>
  <si>
    <t>Mode</t>
  </si>
  <si>
    <t>Transit sub-mode</t>
  </si>
  <si>
    <t>Count</t>
  </si>
  <si>
    <t>Percentage</t>
  </si>
  <si>
    <t>Utils</t>
  </si>
  <si>
    <t>Mins</t>
  </si>
  <si>
    <t>diff in by sub-mode in TrnStat.asc and this table is because of Rte 18 Airport Exp. There are two servies, one is Exp and one local. TrnStat.asc considers both as local.</t>
  </si>
  <si>
    <t>Path Impedance</t>
  </si>
  <si>
    <t>1</t>
  </si>
  <si>
    <t>Local Bus</t>
  </si>
  <si>
    <t xml:space="preserve">PathImpedance_TransitLocalBusPathConstant = 0.05 </t>
  </si>
  <si>
    <t>6,7</t>
  </si>
  <si>
    <t>Express Bus</t>
  </si>
  <si>
    <t>PathImpedance_TransitPremiumBusPathConstant = 0.12</t>
  </si>
  <si>
    <t>BRT</t>
  </si>
  <si>
    <t xml:space="preserve">PathImpedance_TransitLightRailPathConstant = 0.0 </t>
  </si>
  <si>
    <t>11,12</t>
  </si>
  <si>
    <t>Commuter Rail</t>
  </si>
  <si>
    <t xml:space="preserve">PathImpedance_TransitCommuterRailPathConstant = 1.15 </t>
  </si>
  <si>
    <t>Total</t>
  </si>
  <si>
    <t>PathImpedance_TransitFerryPathConstant = 0.07</t>
  </si>
  <si>
    <t>Transit trips</t>
  </si>
  <si>
    <t xml:space="preserve">PathImpedance_TransitUsePathTypeSpecificTime = true </t>
  </si>
  <si>
    <t>Boarding rate</t>
  </si>
  <si>
    <t>Transfer Rate</t>
  </si>
  <si>
    <t>R-Squared</t>
  </si>
  <si>
    <t xml:space="preserve">PathImpedance_TransitPremiumBusTimeAdditiveWeight = -0.204 </t>
  </si>
  <si>
    <t>BOARDINGS BY ROUTE</t>
  </si>
  <si>
    <t>BOARDINGS BY ROUTE (SORTED BY OBS BOARDINGS)</t>
  </si>
  <si>
    <t>PathImpedance_TransitLightRailTimeAdditiveWeight = 0.0</t>
  </si>
  <si>
    <t>PathImpedance_TransitCommuterRailTimeAdditiveWeight = -0.273</t>
  </si>
  <si>
    <t>Rte Id (OBS)</t>
  </si>
  <si>
    <t>Rte Id (ABM)</t>
  </si>
  <si>
    <t>Rte Name</t>
  </si>
  <si>
    <t>Boardings</t>
  </si>
  <si>
    <t>Diff</t>
  </si>
  <si>
    <t>% Diff</t>
  </si>
  <si>
    <t>Reference</t>
  </si>
  <si>
    <t>PathImpedance_TransitFerryTimeAdditiveWeight = -0.318</t>
  </si>
  <si>
    <t>PathImpedance_TransitPremiumBusInVehicleTimeWeight = 0.95</t>
  </si>
  <si>
    <t>PathImpedance_TransitLightRailInVehicleTimeWeight = 1.0</t>
  </si>
  <si>
    <t>PathImpedance_TransitCommuterRailInVehicleTimeWeight = 0.65</t>
  </si>
  <si>
    <t>PathImpedance_TransitFerryInVehicleTimeWeight = 0.80</t>
  </si>
  <si>
    <t>TOTAL</t>
  </si>
  <si>
    <t>ABM_12132015</t>
  </si>
  <si>
    <t>ROUTE_STATION_NUM</t>
  </si>
  <si>
    <t>Following stations are replaced with '301'</t>
  </si>
  <si>
    <t>DON</t>
  </si>
  <si>
    <t>HER</t>
  </si>
  <si>
    <t>JUL</t>
  </si>
  <si>
    <t>LEB</t>
  </si>
  <si>
    <t>MAR</t>
  </si>
  <si>
    <t>RIV</t>
  </si>
  <si>
    <t>18X</t>
  </si>
  <si>
    <t>Boardings by transit sub-mode</t>
  </si>
  <si>
    <t>RouteNumChar</t>
  </si>
  <si>
    <t>RouteNumNum</t>
  </si>
  <si>
    <t>RouteObs</t>
  </si>
  <si>
    <t>ON</t>
  </si>
  <si>
    <t>ObsName</t>
  </si>
  <si>
    <t>ObsOn</t>
  </si>
  <si>
    <t>ObsOff</t>
  </si>
  <si>
    <t>boarding</t>
  </si>
  <si>
    <t>"RouteNumNum" isn't correct, used "RouteNumChar"</t>
  </si>
  <si>
    <t>Created</t>
  </si>
  <si>
    <t>On:</t>
  </si>
  <si>
    <t>Fri,</t>
  </si>
  <si>
    <t>Jun</t>
  </si>
  <si>
    <t>Nashville</t>
  </si>
  <si>
    <t>Transit</t>
  </si>
  <si>
    <t>Assignment</t>
  </si>
  <si>
    <t>Alternative:</t>
  </si>
  <si>
    <t>TRIPS</t>
  </si>
  <si>
    <t>BY</t>
  </si>
  <si>
    <t>TOD</t>
  </si>
  <si>
    <t>AND</t>
  </si>
  <si>
    <t>MODE</t>
  </si>
  <si>
    <t>(MODE</t>
  </si>
  <si>
    <t>CHOICE</t>
  </si>
  <si>
    <t>MODEL</t>
  </si>
  <si>
    <t>Per</t>
  </si>
  <si>
    <t>DriveAlo</t>
  </si>
  <si>
    <t>ShrRide</t>
  </si>
  <si>
    <t>3+</t>
  </si>
  <si>
    <t>WalkLocal</t>
  </si>
  <si>
    <t>WalkBrt</t>
  </si>
  <si>
    <t>WalkExpBus</t>
  </si>
  <si>
    <t>WalkUrbRail</t>
  </si>
  <si>
    <t>WalkComRail</t>
  </si>
  <si>
    <t>PnRLocal</t>
  </si>
  <si>
    <t>PnRBrt</t>
  </si>
  <si>
    <t>PnRExpBus</t>
  </si>
  <si>
    <t>PnRUrbRail</t>
  </si>
  <si>
    <t>PnRComRail</t>
  </si>
  <si>
    <t>KnRLocal</t>
  </si>
  <si>
    <t>KnRBrt</t>
  </si>
  <si>
    <t>KnRExpBus</t>
  </si>
  <si>
    <t>KnRUrbRail</t>
  </si>
  <si>
    <t>KnrComRail</t>
  </si>
  <si>
    <t>|</t>
  </si>
  <si>
    <t>AM</t>
  </si>
  <si>
    <t>--</t>
  </si>
  <si>
    <t>MD</t>
  </si>
  <si>
    <t>PM</t>
  </si>
  <si>
    <t>OP</t>
  </si>
  <si>
    <t>TRANSIT</t>
  </si>
  <si>
    <t>BOARDINGS</t>
  </si>
  <si>
    <t>(TRANSIT</t>
  </si>
  <si>
    <t>ASSIGNMENT</t>
  </si>
  <si>
    <t>Name</t>
  </si>
  <si>
    <t>Dwell</t>
  </si>
  <si>
    <t>Factor</t>
  </si>
  <si>
    <t>Local</t>
  </si>
  <si>
    <t>Express</t>
  </si>
  <si>
    <t>Bus</t>
  </si>
  <si>
    <t>Commuter</t>
  </si>
  <si>
    <t>Existing</t>
  </si>
  <si>
    <t>00,813</t>
  </si>
  <si>
    <t>Shuttle</t>
  </si>
  <si>
    <t>ComRail</t>
  </si>
  <si>
    <t>TRANSFER</t>
  </si>
  <si>
    <t>RATES</t>
  </si>
  <si>
    <t>Period</t>
  </si>
  <si>
    <t>Transfers</t>
  </si>
  <si>
    <t>ROUTE</t>
  </si>
  <si>
    <t>Route</t>
  </si>
  <si>
    <t>Rte</t>
  </si>
  <si>
    <t>0,000</t>
  </si>
  <si>
    <t>00,136</t>
  </si>
  <si>
    <t>0,121</t>
  </si>
  <si>
    <t>0,004</t>
  </si>
  <si>
    <t>0,074</t>
  </si>
  <si>
    <t>0,016</t>
  </si>
  <si>
    <t>0,077</t>
  </si>
  <si>
    <t>00,074</t>
  </si>
  <si>
    <t>0,250</t>
  </si>
  <si>
    <t>00,476</t>
  </si>
  <si>
    <t>0,009</t>
  </si>
  <si>
    <t>00,076</t>
  </si>
  <si>
    <t>00,614</t>
  </si>
  <si>
    <t>0,603</t>
  </si>
  <si>
    <t>0,833</t>
  </si>
  <si>
    <t>0,334</t>
  </si>
  <si>
    <t>0,675</t>
  </si>
  <si>
    <t>0,855</t>
  </si>
  <si>
    <t>0,248</t>
  </si>
  <si>
    <t>0,795</t>
  </si>
  <si>
    <t>0,526</t>
  </si>
  <si>
    <t>00,006</t>
  </si>
  <si>
    <t>0,097</t>
  </si>
  <si>
    <t>00,445</t>
  </si>
  <si>
    <t>00,018</t>
  </si>
  <si>
    <t>00,003</t>
  </si>
  <si>
    <t>0,008</t>
  </si>
  <si>
    <t>00,036</t>
  </si>
  <si>
    <t>INDIVIDUAL</t>
  </si>
  <si>
    <t>ROUTES</t>
  </si>
  <si>
    <t>(DISAGGREGATE</t>
  </si>
  <si>
    <t>RTE_ID</t>
  </si>
  <si>
    <t>RTE_NAME</t>
  </si>
  <si>
    <t>HDAM</t>
  </si>
  <si>
    <t>HDMD</t>
  </si>
  <si>
    <t>HDPM</t>
  </si>
  <si>
    <t>HDOP</t>
  </si>
  <si>
    <t>RTE</t>
  </si>
  <si>
    <t>AM_MILES</t>
  </si>
  <si>
    <t>AM_TIME</t>
  </si>
  <si>
    <t>MD_MILES</t>
  </si>
  <si>
    <t>MD_TIME</t>
  </si>
  <si>
    <t>PM_MILES</t>
  </si>
  <si>
    <t>PM_TIME</t>
  </si>
  <si>
    <t>OP_MILES</t>
  </si>
  <si>
    <t>OP_TIME</t>
  </si>
  <si>
    <t>TOT_ON</t>
  </si>
  <si>
    <t>1_WL</t>
  </si>
  <si>
    <t>1_WB</t>
  </si>
  <si>
    <t>1_WE</t>
  </si>
  <si>
    <t>1_WU</t>
  </si>
  <si>
    <t>1_WC</t>
  </si>
  <si>
    <t>1_PL</t>
  </si>
  <si>
    <t>1_PB</t>
  </si>
  <si>
    <t>1_PE</t>
  </si>
  <si>
    <t>1_PU</t>
  </si>
  <si>
    <t>1_PC</t>
  </si>
  <si>
    <t>1_KL</t>
  </si>
  <si>
    <t>1_KB</t>
  </si>
  <si>
    <t>1_KE</t>
  </si>
  <si>
    <t>1_KU</t>
  </si>
  <si>
    <t>1_KC</t>
  </si>
  <si>
    <t>2_WL</t>
  </si>
  <si>
    <t>2_WB</t>
  </si>
  <si>
    <t>2_WE</t>
  </si>
  <si>
    <t>2_WU</t>
  </si>
  <si>
    <t>2_WC</t>
  </si>
  <si>
    <t>2_PL</t>
  </si>
  <si>
    <t>2_PB</t>
  </si>
  <si>
    <t>2_PE</t>
  </si>
  <si>
    <t>2_PU</t>
  </si>
  <si>
    <t>2_PC</t>
  </si>
  <si>
    <t>2_KL</t>
  </si>
  <si>
    <t>2_KB</t>
  </si>
  <si>
    <t>2_KE</t>
  </si>
  <si>
    <t>2_KU</t>
  </si>
  <si>
    <t>2_KC</t>
  </si>
  <si>
    <t>3_WL</t>
  </si>
  <si>
    <t>3_WB</t>
  </si>
  <si>
    <t>3_WE</t>
  </si>
  <si>
    <t>3_WU</t>
  </si>
  <si>
    <t>3_WC</t>
  </si>
  <si>
    <t>3_PL</t>
  </si>
  <si>
    <t>3_PB</t>
  </si>
  <si>
    <t>3_PE</t>
  </si>
  <si>
    <t>3_PU</t>
  </si>
  <si>
    <t>3_PC</t>
  </si>
  <si>
    <t>3_KL</t>
  </si>
  <si>
    <t>3_KB</t>
  </si>
  <si>
    <t>3_KE</t>
  </si>
  <si>
    <t>3_KU</t>
  </si>
  <si>
    <t>3_KC</t>
  </si>
  <si>
    <t>4_WL</t>
  </si>
  <si>
    <t>4_WB</t>
  </si>
  <si>
    <t>4_WE</t>
  </si>
  <si>
    <t>4_WU</t>
  </si>
  <si>
    <t>4_WC</t>
  </si>
  <si>
    <t>4_PL</t>
  </si>
  <si>
    <t>4_PB</t>
  </si>
  <si>
    <t>4_PE</t>
  </si>
  <si>
    <t>4_PU</t>
  </si>
  <si>
    <t>4_PC</t>
  </si>
  <si>
    <t>4_KL</t>
  </si>
  <si>
    <t>4_KB</t>
  </si>
  <si>
    <t>4_KE</t>
  </si>
  <si>
    <t>4_KU</t>
  </si>
  <si>
    <t>4_KC</t>
  </si>
  <si>
    <t>5_WL</t>
  </si>
  <si>
    <t>5_WB</t>
  </si>
  <si>
    <t>5_WE</t>
  </si>
  <si>
    <t>5_WU</t>
  </si>
  <si>
    <t>5_WC</t>
  </si>
  <si>
    <t>5_PL</t>
  </si>
  <si>
    <t>5_PB</t>
  </si>
  <si>
    <t>5_PE</t>
  </si>
  <si>
    <t>5_PU</t>
  </si>
  <si>
    <t>5_PC</t>
  </si>
  <si>
    <t>5_KL</t>
  </si>
  <si>
    <t>5_KB</t>
  </si>
  <si>
    <t>5_KE</t>
  </si>
  <si>
    <t>5_KU</t>
  </si>
  <si>
    <t>5_KC</t>
  </si>
  <si>
    <t>6_WL</t>
  </si>
  <si>
    <t>6_WB</t>
  </si>
  <si>
    <t>6_WE</t>
  </si>
  <si>
    <t>6_WU</t>
  </si>
  <si>
    <t>6_WC</t>
  </si>
  <si>
    <t>6_PL</t>
  </si>
  <si>
    <t>6_PB</t>
  </si>
  <si>
    <t>6_PE</t>
  </si>
  <si>
    <t>6_PU</t>
  </si>
  <si>
    <t>6_PC</t>
  </si>
  <si>
    <t>6_KL</t>
  </si>
  <si>
    <t>6_KB</t>
  </si>
  <si>
    <t>6_KE</t>
  </si>
  <si>
    <t>6_KU</t>
  </si>
  <si>
    <t>6_KC</t>
  </si>
  <si>
    <t>7_WL</t>
  </si>
  <si>
    <t>7_WB</t>
  </si>
  <si>
    <t>7_WE</t>
  </si>
  <si>
    <t>7_WU</t>
  </si>
  <si>
    <t>7_WC</t>
  </si>
  <si>
    <t>7_PL</t>
  </si>
  <si>
    <t>7_PB</t>
  </si>
  <si>
    <t>7_PE</t>
  </si>
  <si>
    <t>7_PU</t>
  </si>
  <si>
    <t>7_PC</t>
  </si>
  <si>
    <t>7_KL</t>
  </si>
  <si>
    <t>7_KB</t>
  </si>
  <si>
    <t>7_KE</t>
  </si>
  <si>
    <t>7_KU</t>
  </si>
  <si>
    <t>7_KC</t>
  </si>
  <si>
    <t>TOT_PH</t>
  </si>
  <si>
    <t>TOT_PM</t>
  </si>
  <si>
    <t>3Rte</t>
  </si>
  <si>
    <t>Rd</t>
  </si>
  <si>
    <t>4Rte</t>
  </si>
  <si>
    <t>5Rte</t>
  </si>
  <si>
    <t>South</t>
  </si>
  <si>
    <t>Airport</t>
  </si>
  <si>
    <t>Exp</t>
  </si>
  <si>
    <t>OB</t>
  </si>
  <si>
    <t>7Rte</t>
  </si>
  <si>
    <t>Dickerson</t>
  </si>
  <si>
    <t>8Rte</t>
  </si>
  <si>
    <t>9Rte</t>
  </si>
  <si>
    <t>IB</t>
  </si>
  <si>
    <t>10Rte</t>
  </si>
  <si>
    <t>14Rte</t>
  </si>
  <si>
    <t>17Rte</t>
  </si>
  <si>
    <t>Bordeaux</t>
  </si>
  <si>
    <t>(Panaroma</t>
  </si>
  <si>
    <t>18Rte</t>
  </si>
  <si>
    <t>Gallatin</t>
  </si>
  <si>
    <t>19Rte</t>
  </si>
  <si>
    <t>Meridian</t>
  </si>
  <si>
    <t>21Rte</t>
  </si>
  <si>
    <t>23Rte</t>
  </si>
  <si>
    <t>FTA</t>
  </si>
  <si>
    <t>24Rte</t>
  </si>
  <si>
    <t>Red</t>
  </si>
  <si>
    <t>Rover</t>
  </si>
  <si>
    <t>Gateway</t>
  </si>
  <si>
    <t>28Rte</t>
  </si>
  <si>
    <t>HighLand</t>
  </si>
  <si>
    <t>29Rte</t>
  </si>
  <si>
    <t>Medical</t>
  </si>
  <si>
    <t>Cen</t>
  </si>
  <si>
    <t>31Rte</t>
  </si>
  <si>
    <t>Mercury</t>
  </si>
  <si>
    <t>32Rte</t>
  </si>
  <si>
    <t>33Rte</t>
  </si>
  <si>
    <t>Old</t>
  </si>
  <si>
    <t>Fort</t>
  </si>
  <si>
    <t>34Rte</t>
  </si>
  <si>
    <t>Churc</t>
  </si>
  <si>
    <t>36Rte</t>
  </si>
  <si>
    <t>37Rte</t>
  </si>
  <si>
    <t>39Rte</t>
  </si>
  <si>
    <t>40Rte</t>
  </si>
  <si>
    <t>43Rte</t>
  </si>
  <si>
    <t>Shelby</t>
  </si>
  <si>
    <t>44Rte</t>
  </si>
  <si>
    <t>46Rte</t>
  </si>
  <si>
    <t>52Rte</t>
  </si>
  <si>
    <t>54Rte</t>
  </si>
  <si>
    <t>Midtown</t>
  </si>
  <si>
    <t>CW</t>
  </si>
  <si>
    <t>Loop</t>
  </si>
  <si>
    <t>CCW</t>
  </si>
  <si>
    <t>59Rte</t>
  </si>
  <si>
    <t>60Rte</t>
  </si>
  <si>
    <t>64Rte</t>
  </si>
  <si>
    <t>70Rte</t>
  </si>
  <si>
    <t>73Rte</t>
  </si>
  <si>
    <t>75Rte</t>
  </si>
  <si>
    <t>76Rte</t>
  </si>
  <si>
    <t>77Rte</t>
  </si>
  <si>
    <t>78Rte</t>
  </si>
  <si>
    <t>84Rte</t>
  </si>
  <si>
    <t>MetroCenter</t>
  </si>
  <si>
    <t>87Rte</t>
  </si>
  <si>
    <t>Hickory</t>
  </si>
  <si>
    <t>88Rte</t>
  </si>
  <si>
    <t>89Rte</t>
  </si>
  <si>
    <t>90Rte</t>
  </si>
  <si>
    <t>91Rte</t>
  </si>
  <si>
    <t>Music</t>
  </si>
  <si>
    <t>City</t>
  </si>
  <si>
    <t>Blue</t>
  </si>
  <si>
    <t>94Rte</t>
  </si>
  <si>
    <t>95Rte</t>
  </si>
  <si>
    <t>96Rte</t>
  </si>
  <si>
    <t>Opry</t>
  </si>
  <si>
    <t>Mills</t>
  </si>
  <si>
    <t>West</t>
  </si>
  <si>
    <t>End</t>
  </si>
  <si>
    <t>(White</t>
  </si>
  <si>
    <t>Bri</t>
  </si>
  <si>
    <t>(Bellevue)</t>
  </si>
  <si>
    <t>MCS</t>
  </si>
  <si>
    <t>Hillsboro</t>
  </si>
  <si>
    <t>Sprgfield/Joelton</t>
  </si>
  <si>
    <t>Bellevue</t>
  </si>
  <si>
    <t>Pike</t>
  </si>
  <si>
    <t>131Rte</t>
  </si>
  <si>
    <t>Star</t>
  </si>
  <si>
    <t>132Rte</t>
  </si>
  <si>
    <t>Golden</t>
  </si>
  <si>
    <t>Valley</t>
  </si>
  <si>
    <t>P</t>
  </si>
  <si>
    <t>A</t>
  </si>
  <si>
    <t>Jefferson</t>
  </si>
  <si>
    <t>147Rte</t>
  </si>
  <si>
    <t>Herman</t>
  </si>
  <si>
    <t>148Rte</t>
  </si>
  <si>
    <t>149Rte</t>
  </si>
  <si>
    <t>150Rte</t>
  </si>
  <si>
    <t>Madison</t>
  </si>
  <si>
    <t>Conn</t>
  </si>
  <si>
    <t>154Rte</t>
  </si>
  <si>
    <t>155Rte</t>
  </si>
  <si>
    <t>Murfreesboro</t>
  </si>
  <si>
    <t>Spgfield/Joelton</t>
  </si>
  <si>
    <t>E</t>
  </si>
  <si>
    <t>Rivergate</t>
  </si>
  <si>
    <t>Comm</t>
  </si>
  <si>
    <t>Memorial</t>
  </si>
  <si>
    <t>(Kings</t>
  </si>
  <si>
    <t>Ln</t>
  </si>
  <si>
    <t>Smyrna</t>
  </si>
  <si>
    <t>Lavergne</t>
  </si>
  <si>
    <t>Ex</t>
  </si>
  <si>
    <t>231Rte</t>
  </si>
  <si>
    <t>Franklin/Brentwood</t>
  </si>
  <si>
    <t>232Rte</t>
  </si>
  <si>
    <t>18052.247.7434.280</t>
  </si>
  <si>
    <t>02.3486.7663.6236.206</t>
  </si>
  <si>
    <t>084.996.7152.058</t>
  </si>
  <si>
    <t>00.4790.9651.544</t>
  </si>
  <si>
    <t>233Rte</t>
  </si>
  <si>
    <t>091.105.9960.556</t>
  </si>
  <si>
    <t>180.5000.250</t>
  </si>
  <si>
    <t>095.868.3142.375</t>
  </si>
  <si>
    <t>01.2857.9393.1802.716</t>
  </si>
  <si>
    <t>Spring</t>
  </si>
  <si>
    <t>Hill</t>
  </si>
  <si>
    <t>40.306675129.846763</t>
  </si>
  <si>
    <t>237Rte</t>
  </si>
  <si>
    <t>238Rte</t>
  </si>
  <si>
    <t>239Rte</t>
  </si>
  <si>
    <t>240Rte</t>
  </si>
  <si>
    <t>241Rte</t>
  </si>
  <si>
    <t>41.620670139.275732</t>
  </si>
  <si>
    <t>242Rte</t>
  </si>
  <si>
    <t>Lebanon</t>
  </si>
  <si>
    <t>50086.2918.154.224</t>
  </si>
  <si>
    <t>03.14212.3510.1112.80</t>
  </si>
  <si>
    <t>050.764.8510.367</t>
  </si>
  <si>
    <t>02.2570.4011.058</t>
  </si>
  <si>
    <t>0178.913.162.103</t>
  </si>
  <si>
    <t>08.83620.15</t>
  </si>
  <si>
    <t>243Rte</t>
  </si>
  <si>
    <t>432111.61.983</t>
  </si>
  <si>
    <t>028.592.9070.500</t>
  </si>
  <si>
    <t>0153.619.12</t>
  </si>
  <si>
    <t>018.1418.139.7186.964</t>
  </si>
  <si>
    <t>244Rte</t>
  </si>
  <si>
    <t>24.898283101.604061</t>
  </si>
  <si>
    <t>245Rte</t>
  </si>
  <si>
    <t>25.979723106.741974</t>
  </si>
  <si>
    <t>25.979723101.305664</t>
  </si>
  <si>
    <t>011.200.2690.500</t>
  </si>
  <si>
    <t>09.5001.3330.333</t>
  </si>
  <si>
    <t>00.3330.533</t>
  </si>
  <si>
    <t>246CrossTownAirportNB</t>
  </si>
  <si>
    <t>END</t>
  </si>
  <si>
    <t>REPORTING</t>
  </si>
  <si>
    <t>-</t>
  </si>
  <si>
    <t>(14:59:12)</t>
  </si>
  <si>
    <t>Sat,</t>
  </si>
  <si>
    <t>May</t>
  </si>
  <si>
    <t>(01:49:48)</t>
  </si>
  <si>
    <t xml:space="preserve">
</t>
  </si>
  <si>
    <t>Dec</t>
  </si>
  <si>
    <t xml:space="preserve">(08:59:31)
</t>
  </si>
  <si>
    <t xml:space="preserve">Summary
</t>
  </si>
  <si>
    <t xml:space="preserve">RESULTS)
</t>
  </si>
  <si>
    <t xml:space="preserve">|
</t>
  </si>
  <si>
    <t xml:space="preserve">Trips
</t>
  </si>
  <si>
    <t xml:space="preserve">--
</t>
  </si>
  <si>
    <t xml:space="preserve">Total
</t>
  </si>
  <si>
    <t xml:space="preserve">TOD
</t>
  </si>
  <si>
    <t xml:space="preserve">(Rate)
</t>
  </si>
  <si>
    <t>(30.08%)</t>
  </si>
  <si>
    <t>(37.35%)</t>
  </si>
  <si>
    <t>(34.19%)</t>
  </si>
  <si>
    <t>(36.06%)</t>
  </si>
  <si>
    <t>(34.37%)</t>
  </si>
  <si>
    <t xml:space="preserve">TOT_PM
</t>
  </si>
  <si>
    <t>1Rte</t>
  </si>
  <si>
    <t>NOLENSVILLE</t>
  </si>
  <si>
    <t>PIKE</t>
  </si>
  <si>
    <t>(</t>
  </si>
  <si>
    <t>943178.30.2090.725</t>
  </si>
  <si>
    <t>05.12911.89</t>
  </si>
  <si>
    <t>0270.00.4330.320</t>
  </si>
  <si>
    <t>0302.30.1270.750</t>
  </si>
  <si>
    <t>2Rte</t>
  </si>
  <si>
    <t>12TH</t>
  </si>
  <si>
    <t>AVENUE</t>
  </si>
  <si>
    <t>SOUTH</t>
  </si>
  <si>
    <t>00.6920.545</t>
  </si>
  <si>
    <t>01.6660.357</t>
  </si>
  <si>
    <t>0211.20.209</t>
  </si>
  <si>
    <t>SN</t>
  </si>
  <si>
    <t>11Rte</t>
  </si>
  <si>
    <t>12Rte</t>
  </si>
  <si>
    <t>13Rte</t>
  </si>
  <si>
    <t>06.5831.107</t>
  </si>
  <si>
    <t>15Rte</t>
  </si>
  <si>
    <t>16Rte</t>
  </si>
  <si>
    <t>0204.40.209</t>
  </si>
  <si>
    <t>916176.30.2090.725</t>
  </si>
  <si>
    <t>0271.00.4330.320</t>
  </si>
  <si>
    <t>0291.30.1270.750</t>
  </si>
  <si>
    <t>20Rte</t>
  </si>
  <si>
    <t>0149.40.2580.327</t>
  </si>
  <si>
    <t>0148.90.307</t>
  </si>
  <si>
    <t>019.4511.44</t>
  </si>
  <si>
    <t>22Rte</t>
  </si>
  <si>
    <t>00.3330.111</t>
  </si>
  <si>
    <t>St.</t>
  </si>
  <si>
    <t>Cecilia/Cumber</t>
  </si>
  <si>
    <t>25Rte</t>
  </si>
  <si>
    <t>39721.540.088</t>
  </si>
  <si>
    <t>03.0440.333</t>
  </si>
  <si>
    <t>093.710.2250.286</t>
  </si>
  <si>
    <t>0186.60.430</t>
  </si>
  <si>
    <t>020.331.250</t>
  </si>
  <si>
    <t>WHITES</t>
  </si>
  <si>
    <t>CREEK</t>
  </si>
  <si>
    <t>oB</t>
  </si>
  <si>
    <t>01.8750.035</t>
  </si>
  <si>
    <t>iB</t>
  </si>
  <si>
    <t>30Rte</t>
  </si>
  <si>
    <t>04.3493.000</t>
  </si>
  <si>
    <t>024.441.833</t>
  </si>
  <si>
    <t>STAR</t>
  </si>
  <si>
    <t>DOWNTOWN</t>
  </si>
  <si>
    <t>SHUT</t>
  </si>
  <si>
    <t>8TH</t>
  </si>
  <si>
    <t>03.95020.36</t>
  </si>
  <si>
    <t>08.5778.221</t>
  </si>
  <si>
    <t>04.0006.702</t>
  </si>
  <si>
    <t>021.9112.28</t>
  </si>
  <si>
    <t>02.3600.145</t>
  </si>
  <si>
    <t>0570.30.4801.920</t>
  </si>
  <si>
    <t>0952.21.5782.105</t>
  </si>
  <si>
    <t>021.2810.88</t>
  </si>
  <si>
    <t>35Rte</t>
  </si>
  <si>
    <t>03.0653.127</t>
  </si>
  <si>
    <t>0614.00.5202.080</t>
  </si>
  <si>
    <t>0830.51.4211.894</t>
  </si>
  <si>
    <t>016.8310.10</t>
  </si>
  <si>
    <t>Shutt</t>
  </si>
  <si>
    <t>023.6312.50</t>
  </si>
  <si>
    <t>38Rte</t>
  </si>
  <si>
    <t>2000597.116.500.892</t>
  </si>
  <si>
    <t>030.994.856</t>
  </si>
  <si>
    <t>0538.63.6090.500</t>
  </si>
  <si>
    <t>0600.75.688</t>
  </si>
  <si>
    <t>044.939.894</t>
  </si>
  <si>
    <t>1408218.40.6950.214</t>
  </si>
  <si>
    <t>09.8808.511</t>
  </si>
  <si>
    <t>0546.11.422</t>
  </si>
  <si>
    <t>0398.91.328</t>
  </si>
  <si>
    <t>033.151.406</t>
  </si>
  <si>
    <t>CHARLOTTE</t>
  </si>
  <si>
    <t>1427171.64.565</t>
  </si>
  <si>
    <t>010.112.439</t>
  </si>
  <si>
    <t>0505.12.884</t>
  </si>
  <si>
    <t>0493.70.607</t>
  </si>
  <si>
    <t>049.3411.81</t>
  </si>
  <si>
    <t>41Rte</t>
  </si>
  <si>
    <t>42Rte</t>
  </si>
  <si>
    <t>09.0140.486</t>
  </si>
  <si>
    <t>0146.50.351</t>
  </si>
  <si>
    <t>0145.50.270</t>
  </si>
  <si>
    <t>1892604.116.080.892</t>
  </si>
  <si>
    <t>030.713.318</t>
  </si>
  <si>
    <t>0543.93.8330.500</t>
  </si>
  <si>
    <t>0455.34.354</t>
  </si>
  <si>
    <t>028.582.090</t>
  </si>
  <si>
    <t>45Rte</t>
  </si>
  <si>
    <t>47Rte</t>
  </si>
  <si>
    <t>48Rte</t>
  </si>
  <si>
    <t>06.5310.166</t>
  </si>
  <si>
    <t>022.012.627</t>
  </si>
  <si>
    <t>49Rte</t>
  </si>
  <si>
    <t>50Rte</t>
  </si>
  <si>
    <t>67494.950.598</t>
  </si>
  <si>
    <t>06.9851.333</t>
  </si>
  <si>
    <t>0172.40.3870.363</t>
  </si>
  <si>
    <t>0290.80.676</t>
  </si>
  <si>
    <t>032.246.319</t>
  </si>
  <si>
    <t>51Rte</t>
  </si>
  <si>
    <t>57Rte</t>
  </si>
  <si>
    <t>58Rte</t>
  </si>
  <si>
    <t>38218.900.066</t>
  </si>
  <si>
    <t>0102.00.1930.245</t>
  </si>
  <si>
    <t>0141.60.307</t>
  </si>
  <si>
    <t>019.450.892</t>
  </si>
  <si>
    <t>00.2911.905</t>
  </si>
  <si>
    <t>61MuleGreenWest</t>
  </si>
  <si>
    <t>62MulePurpleEast</t>
  </si>
  <si>
    <t>63MuleRedSouth</t>
  </si>
  <si>
    <t>65MuleBlueSB</t>
  </si>
  <si>
    <t>66Rte</t>
  </si>
  <si>
    <t>Expre</t>
  </si>
  <si>
    <t>34.234398108.172279</t>
  </si>
  <si>
    <t>34.234398138.893411</t>
  </si>
  <si>
    <t>67Rte</t>
  </si>
  <si>
    <t>34.042652166.400946</t>
  </si>
  <si>
    <t>34.042652118.287375</t>
  </si>
  <si>
    <t>68Rte</t>
  </si>
  <si>
    <t>22.668547101.762693</t>
  </si>
  <si>
    <t>69Rte</t>
  </si>
  <si>
    <t>00.9814.181</t>
  </si>
  <si>
    <t>0122.40.2880.181</t>
  </si>
  <si>
    <t>013.020.046</t>
  </si>
  <si>
    <t>71Rte</t>
  </si>
  <si>
    <t>41.064507149.499465</t>
  </si>
  <si>
    <t>72Rte</t>
  </si>
  <si>
    <t>42.158466149.396434</t>
  </si>
  <si>
    <t>39698.320.162</t>
  </si>
  <si>
    <t>02.2008.139</t>
  </si>
  <si>
    <t>067.040.216</t>
  </si>
  <si>
    <t>0170.22.116</t>
  </si>
  <si>
    <t>04.8721.111</t>
  </si>
  <si>
    <t>74Rte</t>
  </si>
  <si>
    <t>17.163448113.030651</t>
  </si>
  <si>
    <t>02.7150.073</t>
  </si>
  <si>
    <t>011.486.146</t>
  </si>
  <si>
    <t>0460.70.476</t>
  </si>
  <si>
    <t>2032209.13.4001.000</t>
  </si>
  <si>
    <t>0592.91.161</t>
  </si>
  <si>
    <t>0842.51.877</t>
  </si>
  <si>
    <t>059.2073.88</t>
  </si>
  <si>
    <t>79Rte</t>
  </si>
  <si>
    <t>80Rte</t>
  </si>
  <si>
    <t>BRTmix</t>
  </si>
  <si>
    <t>81Rte</t>
  </si>
  <si>
    <t>82Rte</t>
  </si>
  <si>
    <t>31.743933110.211015</t>
  </si>
  <si>
    <t>83Rte</t>
  </si>
  <si>
    <t>85Rte</t>
  </si>
  <si>
    <t>30.916191104.822647</t>
  </si>
  <si>
    <t>86Rte</t>
  </si>
  <si>
    <t>31.107801110.665500</t>
  </si>
  <si>
    <t>THOMPSON</t>
  </si>
  <si>
    <t>WEDGEWO</t>
  </si>
  <si>
    <t>23B</t>
  </si>
  <si>
    <t>Belevue</t>
  </si>
  <si>
    <t>23.920956106.948997</t>
  </si>
  <si>
    <t>23.920956109.721421</t>
  </si>
  <si>
    <t>97Circ_Lebanon_W</t>
  </si>
  <si>
    <t>98Circ_Lebanon_E</t>
  </si>
  <si>
    <t>99Circ_Lebanon_N</t>
  </si>
  <si>
    <t>100Circ_Lebanon_S</t>
  </si>
  <si>
    <t>101Circ_MJ_E</t>
  </si>
  <si>
    <t>102Circ_MJ_W</t>
  </si>
  <si>
    <t>103Circ_MJ_S</t>
  </si>
  <si>
    <t>104Circ_MJ_N</t>
  </si>
  <si>
    <t>105Cric_Herm_W</t>
  </si>
  <si>
    <t>106Circ_Herm_N</t>
  </si>
  <si>
    <t>107Circ_Herm_S</t>
  </si>
  <si>
    <t>108Circ_Herm_E</t>
  </si>
  <si>
    <t>109BRT_CU7_Corridor</t>
  </si>
  <si>
    <t>110BRT_CU7_Corridor</t>
  </si>
  <si>
    <t>111BRT_CU1air_Corridor</t>
  </si>
  <si>
    <t>112BRT_CU1air_Corridor</t>
  </si>
  <si>
    <t>113BRT_CU2_Corridor</t>
  </si>
  <si>
    <t>114BRT_CU2_Corridor</t>
  </si>
  <si>
    <t>115BRT_CU4_Corridor</t>
  </si>
  <si>
    <t>116BRT_CU4_Corridor</t>
  </si>
  <si>
    <t>117BRT_CU3_Corridor</t>
  </si>
  <si>
    <t>118BRT_CU3_Corridor</t>
  </si>
  <si>
    <t>121BRT_CU6_Corridor</t>
  </si>
  <si>
    <t>122BRT_CU6_Corridor</t>
  </si>
  <si>
    <t>123BRT_CU9_Corridor</t>
  </si>
  <si>
    <t>124BRT_CU9_Corridor</t>
  </si>
  <si>
    <t>125BRT_CU10_Corridor</t>
  </si>
  <si>
    <t>126BRT_CU10_Corridor</t>
  </si>
  <si>
    <t>127BRT_CU11_Corridor</t>
  </si>
  <si>
    <t>128BRT_CU11_Corridor</t>
  </si>
  <si>
    <t>31.099398105.345509</t>
  </si>
  <si>
    <t>31.101870103.922217</t>
  </si>
  <si>
    <t>133Rte</t>
  </si>
  <si>
    <t>StarMJ</t>
  </si>
  <si>
    <t>134Rte</t>
  </si>
  <si>
    <t>135RailExt</t>
  </si>
  <si>
    <t>Geodis</t>
  </si>
  <si>
    <t>136RailExt</t>
  </si>
  <si>
    <t>137RailExt4</t>
  </si>
  <si>
    <t>Riverfront</t>
  </si>
  <si>
    <t>Leb</t>
  </si>
  <si>
    <t>138RailExt4</t>
  </si>
  <si>
    <t>139RailExt5</t>
  </si>
  <si>
    <t>Donelson</t>
  </si>
  <si>
    <t>Hermi</t>
  </si>
  <si>
    <t>140RailExt5</t>
  </si>
  <si>
    <t>141RailExt</t>
  </si>
  <si>
    <t>VB</t>
  </si>
  <si>
    <t>142RailExt</t>
  </si>
  <si>
    <t>143RailExt</t>
  </si>
  <si>
    <t>Germantown</t>
  </si>
  <si>
    <t>144RailExt</t>
  </si>
  <si>
    <t>145BRT_CU5_Corridor</t>
  </si>
  <si>
    <t>146BRT_CU5_Corridor</t>
  </si>
  <si>
    <t>NS</t>
  </si>
  <si>
    <t>Skyline</t>
  </si>
  <si>
    <t>43.785130158.930506</t>
  </si>
  <si>
    <t>43.785130101.685703</t>
  </si>
  <si>
    <t>151Rte</t>
  </si>
  <si>
    <t>42.704876162.014726</t>
  </si>
  <si>
    <t>152BRT_CU1_Corridor</t>
  </si>
  <si>
    <t>153BRT_CU1_Corridor</t>
  </si>
  <si>
    <t>MURFREESBORO</t>
  </si>
  <si>
    <t>2310349.80.4181.268</t>
  </si>
  <si>
    <t>07.07715.46</t>
  </si>
  <si>
    <t>0824.01.3001.418</t>
  </si>
  <si>
    <t>0659.00.2552.500</t>
  </si>
  <si>
    <t>018.18114.3</t>
  </si>
  <si>
    <t>013.5897.98</t>
  </si>
  <si>
    <t>0613.00.5801.178</t>
  </si>
  <si>
    <t>030.9312.02</t>
  </si>
  <si>
    <t>(08:59:35)</t>
  </si>
  <si>
    <t>Model Rte txt+A36</t>
  </si>
  <si>
    <t>Model Rte num</t>
  </si>
  <si>
    <t>Modelid</t>
  </si>
  <si>
    <t>Model Rte Name</t>
  </si>
  <si>
    <t>Ridership Oct 2023</t>
  </si>
  <si>
    <t>Daily_20</t>
  </si>
  <si>
    <t>Daily_22</t>
  </si>
  <si>
    <t>Rte 3 West End (Bellevue) IB</t>
  </si>
  <si>
    <t>Rte 4 Shelby IB</t>
  </si>
  <si>
    <t>Rte 6 Lebanon Rd IB</t>
  </si>
  <si>
    <t>Rte 7 Hillsboro IB</t>
  </si>
  <si>
    <t>Rte 8 8TH AVENUE SOUTH iB</t>
  </si>
  <si>
    <t>Rte 9 MetroCenter IB</t>
  </si>
  <si>
    <t>Rte 14 WHITES CREEK iB</t>
  </si>
  <si>
    <t>Rte 17 12TH AVENUE SOUTH iB</t>
  </si>
  <si>
    <t>Rte 18 Airport Exp IB</t>
  </si>
  <si>
    <t>Rte 19 Herman IB</t>
  </si>
  <si>
    <t>Rte 22 Bordeaux (Kings Ln) IB</t>
  </si>
  <si>
    <t>Rte 23 Dickerson Pike IB</t>
  </si>
  <si>
    <t>Rte 28 Meridian IB</t>
  </si>
  <si>
    <t>Rte 29 Jefferson IB</t>
  </si>
  <si>
    <t>Rte 34 Opry Mills IB</t>
  </si>
  <si>
    <t>Rte 41 Golden Valley IB AM</t>
  </si>
  <si>
    <t>Rte 42 St. Cecilia/Cumberland IB</t>
  </si>
  <si>
    <t>Rte 50 CHARLOTTE PIKE iB</t>
  </si>
  <si>
    <t>Rte 52 NOLENSVILLE PIKE (Hick) iB</t>
  </si>
  <si>
    <t>Rte 55 MURFREESBORO PIKE iB</t>
  </si>
  <si>
    <t>Rte 56 Gallatin Rd BRTmix IB</t>
  </si>
  <si>
    <t>Rte 64 STAR DOWNTOWN SHUTTLE</t>
  </si>
  <si>
    <t>Rte 70 Belevue Conn IB</t>
  </si>
  <si>
    <t>Rte 75 Midtown CCW Loop</t>
  </si>
  <si>
    <t>Rte 76 Madison Conn</t>
  </si>
  <si>
    <t>Rte 77 THOMPSON - WEDGEWOOD ccw</t>
  </si>
  <si>
    <t>Rte 79 Skyline iB</t>
  </si>
  <si>
    <t>Rte 84 Murfreesboro Express IB</t>
  </si>
  <si>
    <t>Rte 86 Smyrna Lavergne Exp IB</t>
  </si>
  <si>
    <t>Rte 87 Gallatin Comm Bus IB</t>
  </si>
  <si>
    <t>Rte 89 Spgfield/Joelton Exp OB</t>
  </si>
  <si>
    <t>Rte 90 Music City Star iB</t>
  </si>
  <si>
    <t>Rte 93 MCS West End Shuttle</t>
  </si>
  <si>
    <t>Rte 95 Spring Hill Exp IB</t>
  </si>
  <si>
    <t>Mule</t>
  </si>
  <si>
    <t>check monthly weekday/20</t>
  </si>
  <si>
    <t>Route Name</t>
  </si>
  <si>
    <t>OP   |</t>
  </si>
  <si>
    <t>T</t>
  </si>
  <si>
    <t>otal</t>
  </si>
  <si>
    <t>text</t>
  </si>
  <si>
    <t>Boarding</t>
  </si>
  <si>
    <t>Rte ID</t>
  </si>
  <si>
    <t>Route Id</t>
  </si>
  <si>
    <t>Route Name (RAW)</t>
  </si>
  <si>
    <t>Route Name (Temp)</t>
  </si>
  <si>
    <t>Track</t>
  </si>
  <si>
    <t>RouteNum</t>
  </si>
  <si>
    <t>Route_Name</t>
  </si>
  <si>
    <t>modes</t>
  </si>
  <si>
    <t>Rte 3 West End (White Bridge) IB</t>
  </si>
  <si>
    <t>Rte 3 West End (Bellevue) oB</t>
  </si>
  <si>
    <t>Rte 3 West End (White Bridge) OB</t>
  </si>
  <si>
    <t>Rte 4 Shelby OB</t>
  </si>
  <si>
    <t>Rte 6 Lebanon Rd OB</t>
  </si>
  <si>
    <t>Rte 7 Hillsboro OB</t>
  </si>
  <si>
    <t>Rte 8 8TH AVENUE SOUTH oB</t>
  </si>
  <si>
    <t>Rte 9 MetroCenter OB</t>
  </si>
  <si>
    <t>Rte 14 WHITES CREEK oB</t>
  </si>
  <si>
    <t>Rte 17 12TH AVENUE SOUTH oB</t>
  </si>
  <si>
    <t>Rte 18 Airport Exp OB</t>
  </si>
  <si>
    <t>Rte 18 Airport Local OB</t>
  </si>
  <si>
    <t>Rte 18 Airport Local IB</t>
  </si>
  <si>
    <t>Rte 19 Herman OB</t>
  </si>
  <si>
    <t>Rte 22 Bordeaux (Panaroma) IB</t>
  </si>
  <si>
    <t>Rte 22 Bordeaux (Panaroma) OB</t>
  </si>
  <si>
    <t>Rte 22 Bordeaux (Kings Ln) OB</t>
  </si>
  <si>
    <t>Rte 23 Dickerson Pike OB</t>
  </si>
  <si>
    <t>Rte 23B Dickerson Loop OB</t>
  </si>
  <si>
    <t>Rte 23B Dickerson Loop IB</t>
  </si>
  <si>
    <t>Rte 24 Bellevue Exp AM</t>
  </si>
  <si>
    <t>Rte 24 Bellevue Exp PM</t>
  </si>
  <si>
    <t>Rte 28 Meridian OB</t>
  </si>
  <si>
    <t>Rte 29 Jefferson OB</t>
  </si>
  <si>
    <t>Rte 34 Opry Mills OB</t>
  </si>
  <si>
    <t>Rte 41 Golden Valley OB PM</t>
  </si>
  <si>
    <t>Rte 41 Golden Valley IB PM</t>
  </si>
  <si>
    <t>Rte 41 Golden Valley OB AM</t>
  </si>
  <si>
    <t>Rte 42 St. Cecilia/Cumberland oB</t>
  </si>
  <si>
    <t>Rte 50 CHARLOTTE PIKE oB</t>
  </si>
  <si>
    <t>Rte 52 NOLENSVILLE PIKE (Hick) oB</t>
  </si>
  <si>
    <t>Rte 52 NOLENSVILLE PIKE (Wall) iB</t>
  </si>
  <si>
    <t>Rte 52 NOLENSVILLE PIKE (Wall) oB</t>
  </si>
  <si>
    <t>Rte 55 MURFREESBORO PIKE oB</t>
  </si>
  <si>
    <t>Rte 56 Gallatin Rd IB</t>
  </si>
  <si>
    <t>Rte 56 Gallatin Rd oB</t>
  </si>
  <si>
    <t>Rte 56 Gallatin Rd BRTmix OB</t>
  </si>
  <si>
    <t>Rte 70 Belevue Conn OB</t>
  </si>
  <si>
    <t>Rte 75 Midtown CW Loop</t>
  </si>
  <si>
    <t>Rte 77 THOMPSON - WEDGEWOOD cw</t>
  </si>
  <si>
    <t>Rte 79 Skyline oB</t>
  </si>
  <si>
    <t>Rte 84 Murfreesboro Express OB</t>
  </si>
  <si>
    <t>Rte 86 Smyrna Lavergne Exp OB</t>
  </si>
  <si>
    <t>Rte 87 Gallatin Comm Bus OB</t>
  </si>
  <si>
    <t>Rte 89 Sprgfield/Joelton Exp IB</t>
  </si>
  <si>
    <t>Rte 90 Music City Star oB</t>
  </si>
  <si>
    <t>Rte 90 Music City StarMJ oB</t>
  </si>
  <si>
    <t>Rte 90 Music City StarMJ iB</t>
  </si>
  <si>
    <t>Rte 95 Spring Hill Exp OB</t>
  </si>
  <si>
    <t>Rte 95 Spring Hill VB Exp IB</t>
  </si>
  <si>
    <t>Rte 95 Spring Hill VB Exp OB</t>
  </si>
  <si>
    <t>Rte 102 Rover South Church</t>
  </si>
  <si>
    <t>Rte 103 Rover Memorial</t>
  </si>
  <si>
    <t>Rte 104 Rover Mercury</t>
  </si>
  <si>
    <t>Rte 105 Rover HighLand</t>
  </si>
  <si>
    <t>Rte 106 Rover Medical Center</t>
  </si>
  <si>
    <t>Rte 107 Rover Gateway</t>
  </si>
  <si>
    <t>Rte 108 Rover Old Fort</t>
  </si>
  <si>
    <t>Rte 111 FTA Blue</t>
  </si>
  <si>
    <t>Rte 112 FTA Red Route SN</t>
  </si>
  <si>
    <t>Rte 112 FTA Red Route NS</t>
  </si>
  <si>
    <t>MuleGreenWest</t>
  </si>
  <si>
    <t>MulePurpleEast</t>
  </si>
  <si>
    <t>MuleRedSouth</t>
  </si>
  <si>
    <t>MuleBlueSB</t>
  </si>
  <si>
    <t>Circ_Lebanon_W</t>
  </si>
  <si>
    <t>Circ_Lebanon_E</t>
  </si>
  <si>
    <t>Circ_Lebanon_N</t>
  </si>
  <si>
    <t>Circ_Lebanon_S</t>
  </si>
  <si>
    <t>Circ_MJ_E</t>
  </si>
  <si>
    <t>Circ_MJ_W</t>
  </si>
  <si>
    <t>Circ_MJ_S</t>
  </si>
  <si>
    <t>Circ_MJ_N</t>
  </si>
  <si>
    <t>Cric_Herm_W</t>
  </si>
  <si>
    <t>Circ_Herm_N</t>
  </si>
  <si>
    <t>Circ_Herm_S</t>
  </si>
  <si>
    <t>Circ_Herm_E</t>
  </si>
  <si>
    <t>BRT_CU7_Corridor iB</t>
  </si>
  <si>
    <t>BRT_CU7_Corridor oB</t>
  </si>
  <si>
    <t>BRT_CU1air_Corridor iB</t>
  </si>
  <si>
    <t>BRT_CU1air_Corridor oB</t>
  </si>
  <si>
    <t>BRT_CU2_Corridor oB</t>
  </si>
  <si>
    <t>BRT_CU2_Corridor iB</t>
  </si>
  <si>
    <t>BRT_CU4_Corridor iB</t>
  </si>
  <si>
    <t>BRT_CU4_Corridor oB</t>
  </si>
  <si>
    <t>BRT_CU3_Corridor oB</t>
  </si>
  <si>
    <t>BRT_CU3_Corridor iB</t>
  </si>
  <si>
    <t>BRT_CU6_Corridor OB</t>
  </si>
  <si>
    <t>BRT_CU6_Corridor iB</t>
  </si>
  <si>
    <t>BRT_CU9_Corridor oB</t>
  </si>
  <si>
    <t>BRT_CU9_Corridor iB</t>
  </si>
  <si>
    <t>BRT_CU10_Corridor iB</t>
  </si>
  <si>
    <t>BRT_CU10_Corridor oB</t>
  </si>
  <si>
    <t>BRT_CU11_Corridor oB</t>
  </si>
  <si>
    <t>BRT_CU11_Corridor iB</t>
  </si>
  <si>
    <t>RailExt 3 Geodis OB</t>
  </si>
  <si>
    <t>RailExt 3 Geodis IB</t>
  </si>
  <si>
    <t>RailExt4 Riverfront - Lebanon OB</t>
  </si>
  <si>
    <t>RailExt4 Riverfront - Lebanon iB</t>
  </si>
  <si>
    <t>RailExt5 Donelson - Hermitage oB</t>
  </si>
  <si>
    <t>RailExt5 Donelson - Hermitage iB</t>
  </si>
  <si>
    <t>RailExt 1 VB - Airport</t>
  </si>
  <si>
    <t>RailExt 1 Airport - VB</t>
  </si>
  <si>
    <t>RailExt 2 Germantown OB</t>
  </si>
  <si>
    <t>RailExt 2 Germantown IB</t>
  </si>
  <si>
    <t>BRT_CU5_Corridor iB</t>
  </si>
  <si>
    <t>BRT_CU5_Corridor oB</t>
  </si>
  <si>
    <t>BRT_CU1_Corridor oB</t>
  </si>
  <si>
    <t>BRT_CU1_Corridor 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</si>
</sst>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127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3" borderId="0" xfId="0" applyNumberFormat="1" applyFill="1"/>
    <xf numFmtId="0" fontId="3" fillId="0" borderId="0" xfId="0" applyFont="1"/>
    <xf numFmtId="0" fontId="3" fillId="0" borderId="1" xfId="0" applyFont="1" applyBorder="1"/>
    <xf numFmtId="0" fontId="0" fillId="0" borderId="3" xfId="0" applyBorder="1"/>
    <xf numFmtId="3" fontId="0" fillId="2" borderId="0" xfId="0" applyNumberFormat="1" applyFill="1"/>
    <xf numFmtId="10" fontId="0" fillId="2" borderId="0" xfId="0" applyNumberFormat="1" applyFill="1"/>
    <xf numFmtId="10" fontId="0" fillId="3" borderId="0" xfId="0" applyNumberFormat="1" applyFill="1"/>
    <xf numFmtId="0" fontId="0" fillId="0" borderId="1" xfId="0" applyBorder="1"/>
    <xf numFmtId="3" fontId="0" fillId="2" borderId="1" xfId="0" applyNumberFormat="1" applyFill="1" applyBorder="1"/>
    <xf numFmtId="10" fontId="0" fillId="3" borderId="1" xfId="0" applyNumberFormat="1" applyFill="1" applyBorder="1"/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10" fontId="3" fillId="3" borderId="1" xfId="0" applyNumberFormat="1" applyFont="1" applyFill="1" applyBorder="1"/>
    <xf numFmtId="0" fontId="3" fillId="0" borderId="3" xfId="0" applyFont="1" applyBorder="1"/>
    <xf numFmtId="10" fontId="0" fillId="0" borderId="0" xfId="1" applyNumberFormat="1" applyFont="1"/>
    <xf numFmtId="3" fontId="3" fillId="3" borderId="2" xfId="0" applyNumberFormat="1" applyFont="1" applyFill="1" applyBorder="1"/>
    <xf numFmtId="10" fontId="3" fillId="3" borderId="2" xfId="0" applyNumberFormat="1" applyFont="1" applyFill="1" applyBorder="1"/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0" fillId="0" borderId="0" xfId="0" applyAlignment="1">
      <alignment horizontal="left"/>
    </xf>
    <xf numFmtId="10" fontId="0" fillId="3" borderId="0" xfId="1" applyNumberFormat="1" applyFont="1" applyFill="1"/>
    <xf numFmtId="10" fontId="0" fillId="2" borderId="0" xfId="1" applyNumberFormat="1" applyFont="1" applyFill="1"/>
    <xf numFmtId="10" fontId="3" fillId="3" borderId="2" xfId="1" applyNumberFormat="1" applyFont="1" applyFill="1" applyBorder="1"/>
    <xf numFmtId="164" fontId="0" fillId="3" borderId="0" xfId="2" applyNumberFormat="1" applyFont="1" applyFill="1"/>
    <xf numFmtId="0" fontId="3" fillId="3" borderId="2" xfId="0" applyFont="1" applyFill="1" applyBorder="1"/>
    <xf numFmtId="3" fontId="3" fillId="0" borderId="0" xfId="0" applyNumberFormat="1" applyFont="1"/>
    <xf numFmtId="0" fontId="0" fillId="3" borderId="0" xfId="2" applyNumberFormat="1" applyFont="1" applyFill="1"/>
    <xf numFmtId="164" fontId="3" fillId="3" borderId="2" xfId="2" applyNumberFormat="1" applyFont="1" applyFill="1" applyBorder="1"/>
    <xf numFmtId="165" fontId="0" fillId="3" borderId="0" xfId="0" applyNumberFormat="1" applyFill="1"/>
    <xf numFmtId="164" fontId="0" fillId="2" borderId="0" xfId="2" applyNumberFormat="1" applyFont="1" applyFill="1"/>
    <xf numFmtId="0" fontId="3" fillId="2" borderId="2" xfId="0" applyFont="1" applyFill="1" applyBorder="1"/>
    <xf numFmtId="0" fontId="0" fillId="0" borderId="2" xfId="0" applyBorder="1"/>
    <xf numFmtId="10" fontId="3" fillId="2" borderId="2" xfId="1" applyNumberFormat="1" applyFont="1" applyFill="1" applyBorder="1"/>
    <xf numFmtId="164" fontId="3" fillId="2" borderId="2" xfId="2" applyNumberFormat="1" applyFont="1" applyFill="1" applyBorder="1"/>
    <xf numFmtId="164" fontId="0" fillId="0" borderId="0" xfId="0" applyNumberFormat="1"/>
    <xf numFmtId="164" fontId="0" fillId="0" borderId="0" xfId="1" applyNumberFormat="1" applyFont="1"/>
    <xf numFmtId="164" fontId="0" fillId="4" borderId="0" xfId="1" applyNumberFormat="1" applyFont="1" applyFill="1"/>
    <xf numFmtId="164" fontId="3" fillId="4" borderId="2" xfId="1" applyNumberFormat="1" applyFont="1" applyFill="1" applyBorder="1"/>
    <xf numFmtId="166" fontId="0" fillId="2" borderId="0" xfId="1" applyNumberFormat="1" applyFont="1" applyFill="1"/>
    <xf numFmtId="0" fontId="3" fillId="5" borderId="1" xfId="0" applyFont="1" applyFill="1" applyBorder="1" applyAlignment="1">
      <alignment horizontal="right"/>
    </xf>
    <xf numFmtId="3" fontId="0" fillId="5" borderId="0" xfId="0" applyNumberFormat="1" applyFill="1"/>
    <xf numFmtId="166" fontId="0" fillId="5" borderId="0" xfId="1" applyNumberFormat="1" applyFont="1" applyFill="1"/>
    <xf numFmtId="3" fontId="3" fillId="5" borderId="1" xfId="0" applyNumberFormat="1" applyFont="1" applyFill="1" applyBorder="1"/>
    <xf numFmtId="10" fontId="3" fillId="5" borderId="1" xfId="0" applyNumberFormat="1" applyFont="1" applyFill="1" applyBorder="1"/>
    <xf numFmtId="166" fontId="0" fillId="2" borderId="1" xfId="1" applyNumberFormat="1" applyFont="1" applyFill="1" applyBorder="1"/>
    <xf numFmtId="3" fontId="0" fillId="5" borderId="1" xfId="0" applyNumberFormat="1" applyFill="1" applyBorder="1"/>
    <xf numFmtId="166" fontId="0" fillId="5" borderId="1" xfId="1" applyNumberFormat="1" applyFont="1" applyFill="1" applyBorder="1"/>
    <xf numFmtId="0" fontId="4" fillId="0" borderId="0" xfId="0" applyFont="1"/>
    <xf numFmtId="164" fontId="3" fillId="0" borderId="0" xfId="1" applyNumberFormat="1" applyFont="1" applyAlignment="1">
      <alignment horizontal="right"/>
    </xf>
    <xf numFmtId="0" fontId="3" fillId="0" borderId="2" xfId="0" applyFont="1" applyBorder="1"/>
    <xf numFmtId="1" fontId="0" fillId="0" borderId="0" xfId="0" applyNumberFormat="1"/>
    <xf numFmtId="0" fontId="3" fillId="0" borderId="0" xfId="0" applyFont="1" applyAlignment="1">
      <alignment horizontal="left"/>
    </xf>
    <xf numFmtId="166" fontId="3" fillId="2" borderId="2" xfId="1" applyNumberFormat="1" applyFont="1" applyFill="1" applyBorder="1"/>
    <xf numFmtId="166" fontId="0" fillId="3" borderId="0" xfId="1" applyNumberFormat="1" applyFont="1" applyFill="1"/>
    <xf numFmtId="166" fontId="3" fillId="3" borderId="2" xfId="1" applyNumberFormat="1" applyFont="1" applyFill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10" fontId="3" fillId="2" borderId="2" xfId="0" applyNumberFormat="1" applyFont="1" applyFill="1" applyBorder="1"/>
    <xf numFmtId="164" fontId="0" fillId="0" borderId="0" xfId="2" applyNumberFormat="1" applyFont="1"/>
    <xf numFmtId="0" fontId="2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/>
    <xf numFmtId="10" fontId="2" fillId="0" borderId="0" xfId="1" applyNumberFormat="1" applyFont="1"/>
    <xf numFmtId="3" fontId="3" fillId="2" borderId="2" xfId="0" applyNumberFormat="1" applyFont="1" applyFill="1" applyBorder="1"/>
    <xf numFmtId="9" fontId="3" fillId="2" borderId="2" xfId="1" applyFont="1" applyFill="1" applyBorder="1"/>
    <xf numFmtId="9" fontId="3" fillId="3" borderId="2" xfId="1" applyFont="1" applyFill="1" applyBorder="1"/>
    <xf numFmtId="164" fontId="3" fillId="0" borderId="0" xfId="0" applyNumberFormat="1" applyFont="1"/>
    <xf numFmtId="9" fontId="0" fillId="4" borderId="0" xfId="1" applyFont="1" applyFill="1"/>
    <xf numFmtId="9" fontId="3" fillId="4" borderId="2" xfId="1" applyFont="1" applyFill="1" applyBorder="1"/>
    <xf numFmtId="0" fontId="3" fillId="4" borderId="1" xfId="0" applyFont="1" applyFill="1" applyBorder="1" applyAlignment="1">
      <alignment horizontal="right"/>
    </xf>
    <xf numFmtId="3" fontId="0" fillId="4" borderId="0" xfId="0" applyNumberFormat="1" applyFill="1"/>
    <xf numFmtId="3" fontId="0" fillId="4" borderId="1" xfId="0" applyNumberFormat="1" applyFill="1" applyBorder="1"/>
    <xf numFmtId="3" fontId="3" fillId="4" borderId="1" xfId="0" applyNumberFormat="1" applyFont="1" applyFill="1" applyBorder="1"/>
    <xf numFmtId="9" fontId="3" fillId="4" borderId="1" xfId="0" applyNumberFormat="1" applyFont="1" applyFill="1" applyBorder="1"/>
    <xf numFmtId="0" fontId="3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right"/>
    </xf>
    <xf numFmtId="4" fontId="0" fillId="6" borderId="0" xfId="0" applyNumberFormat="1" applyFill="1"/>
    <xf numFmtId="3" fontId="0" fillId="6" borderId="0" xfId="0" applyNumberFormat="1" applyFill="1"/>
    <xf numFmtId="164" fontId="3" fillId="6" borderId="3" xfId="2" applyNumberFormat="1" applyFont="1" applyFill="1" applyBorder="1"/>
    <xf numFmtId="10" fontId="3" fillId="6" borderId="3" xfId="0" applyNumberFormat="1" applyFont="1" applyFill="1" applyBorder="1"/>
    <xf numFmtId="0" fontId="3" fillId="4" borderId="2" xfId="0" applyFont="1" applyFill="1" applyBorder="1" applyAlignment="1">
      <alignment horizontal="right"/>
    </xf>
    <xf numFmtId="0" fontId="3" fillId="7" borderId="0" xfId="0" applyFont="1" applyFill="1"/>
    <xf numFmtId="0" fontId="3" fillId="7" borderId="3" xfId="0" applyFont="1" applyFill="1" applyBorder="1"/>
    <xf numFmtId="0" fontId="3" fillId="7" borderId="1" xfId="0" applyFont="1" applyFill="1" applyBorder="1"/>
    <xf numFmtId="0" fontId="0" fillId="7" borderId="0" xfId="0" applyFill="1"/>
    <xf numFmtId="0" fontId="0" fillId="7" borderId="1" xfId="0" applyFill="1" applyBorder="1"/>
    <xf numFmtId="0" fontId="0" fillId="0" borderId="0" xfId="0" quotePrefix="1"/>
    <xf numFmtId="164" fontId="0" fillId="7" borderId="0" xfId="2" applyNumberFormat="1" applyFont="1" applyFill="1"/>
    <xf numFmtId="9" fontId="0" fillId="7" borderId="0" xfId="0" applyNumberFormat="1" applyFill="1"/>
    <xf numFmtId="166" fontId="0" fillId="7" borderId="0" xfId="1" applyNumberFormat="1" applyFont="1" applyFill="1"/>
    <xf numFmtId="43" fontId="0" fillId="7" borderId="0" xfId="2" applyFont="1" applyFill="1"/>
    <xf numFmtId="0" fontId="0" fillId="7" borderId="0" xfId="0" applyFill="1" applyAlignment="1">
      <alignment horizontal="left"/>
    </xf>
    <xf numFmtId="166" fontId="0" fillId="0" borderId="0" xfId="1" applyNumberFormat="1" applyFont="1"/>
    <xf numFmtId="43" fontId="0" fillId="0" borderId="0" xfId="0" applyNumberFormat="1"/>
    <xf numFmtId="0" fontId="2" fillId="8" borderId="0" xfId="0" applyFont="1" applyFill="1"/>
    <xf numFmtId="164" fontId="2" fillId="8" borderId="0" xfId="2" applyNumberFormat="1" applyFont="1" applyFill="1"/>
    <xf numFmtId="0" fontId="0" fillId="8" borderId="0" xfId="0" applyFill="1"/>
    <xf numFmtId="164" fontId="0" fillId="8" borderId="0" xfId="2" applyNumberFormat="1" applyFont="1" applyFill="1"/>
    <xf numFmtId="43" fontId="0" fillId="8" borderId="0" xfId="0" applyNumberFormat="1" applyFill="1"/>
    <xf numFmtId="0" fontId="0" fillId="9" borderId="0" xfId="0" applyFill="1"/>
    <xf numFmtId="1" fontId="0" fillId="0" borderId="0" xfId="1" applyNumberFormat="1" applyFont="1"/>
    <xf numFmtId="1" fontId="2" fillId="8" borderId="0" xfId="0" applyNumberFormat="1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2" fontId="0" fillId="0" borderId="0" xfId="0" applyNumberFormat="1"/>
    <xf numFmtId="0" fontId="3" fillId="5" borderId="2" xfId="0" applyFont="1" applyFill="1" applyBorder="1" applyAlignment="1">
      <alignment horizontal="center"/>
    </xf>
    <xf numFmtId="0" fontId="0" fillId="0" borderId="2" xfId="0" applyBorder="1"/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3" fillId="2" borderId="3" xfId="0" applyFont="1" applyFill="1" applyBorder="1" applyAlignment="1">
      <alignment horizontal="center"/>
    </xf>
    <xf numFmtId="0" fontId="0" fillId="0" borderId="3" xfId="0" applyBorder="1"/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9" fontId="0" fillId="4" borderId="1" xfId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R-Squared</a:t>
            </a:r>
            <a:r>
              <a:rPr lang="en-US" baseline="0"/>
              <a:t> Plot (OBS vs ABM)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BoardingByRoute_All!$G$13</c:f>
              <c:strCache>
                <c:ptCount val="1"/>
                <c:pt idx="0">
                  <c:v>ABM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0"/>
            <c:trendlineLbl>
              <c:layout>
                <c:manualLayout>
                  <c:x val="-4.0981760187998872E-2"/>
                  <c:y val="1.35233176683472E-2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BoardingByRoute_All!$E$15:$E$48</c:f>
              <c:numCache>
                <c:formatCode>_(* #,##0_);_(* \(#,##0\);_(* "-"??_);_(@_)</c:formatCode>
                <c:ptCount val="34"/>
                <c:pt idx="0">
                  <c:v>2516.909090909091</c:v>
                </c:pt>
                <c:pt idx="1">
                  <c:v>941.0454545454545</c:v>
                </c:pt>
                <c:pt idx="2">
                  <c:v>818.18181818181813</c:v>
                </c:pt>
                <c:pt idx="3">
                  <c:v>1841.590909090909</c:v>
                </c:pt>
                <c:pt idx="4">
                  <c:v>944.40909090909088</c:v>
                </c:pt>
                <c:pt idx="5">
                  <c:v>350.59090909090912</c:v>
                </c:pt>
                <c:pt idx="6">
                  <c:v>334.18181818181819</c:v>
                </c:pt>
                <c:pt idx="7">
                  <c:v>637.9545454545455</c:v>
                </c:pt>
                <c:pt idx="8">
                  <c:v>677.90909090909088</c:v>
                </c:pt>
                <c:pt idx="9">
                  <c:v>955.72727272727275</c:v>
                </c:pt>
                <c:pt idx="10">
                  <c:v>1505.409090909091</c:v>
                </c:pt>
                <c:pt idx="11">
                  <c:v>2690.5</c:v>
                </c:pt>
                <c:pt idx="12">
                  <c:v>275.40909090909088</c:v>
                </c:pt>
                <c:pt idx="13">
                  <c:v>691.09090909090912</c:v>
                </c:pt>
                <c:pt idx="14">
                  <c:v>365.81818181818181</c:v>
                </c:pt>
                <c:pt idx="15">
                  <c:v>61.909090909090907</c:v>
                </c:pt>
                <c:pt idx="16">
                  <c:v>402.68181818181819</c:v>
                </c:pt>
                <c:pt idx="17">
                  <c:v>2542.863636363636</c:v>
                </c:pt>
                <c:pt idx="18">
                  <c:v>3623.863636363636</c:v>
                </c:pt>
                <c:pt idx="19">
                  <c:v>5829.363636363636</c:v>
                </c:pt>
                <c:pt idx="20">
                  <c:v>4470.863636363636</c:v>
                </c:pt>
                <c:pt idx="21">
                  <c:v>9.1818181818181817</c:v>
                </c:pt>
                <c:pt idx="22">
                  <c:v>42.409090909090907</c:v>
                </c:pt>
                <c:pt idx="23">
                  <c:v>127.6363636363636</c:v>
                </c:pt>
                <c:pt idx="24">
                  <c:v>347.31818181818181</c:v>
                </c:pt>
                <c:pt idx="25">
                  <c:v>333.95454545454538</c:v>
                </c:pt>
                <c:pt idx="26">
                  <c:v>225.77272727272731</c:v>
                </c:pt>
                <c:pt idx="27">
                  <c:v>127.5</c:v>
                </c:pt>
                <c:pt idx="28">
                  <c:v>47.090909090909093</c:v>
                </c:pt>
                <c:pt idx="29">
                  <c:v>77.318181818181813</c:v>
                </c:pt>
                <c:pt idx="30">
                  <c:v>23</c:v>
                </c:pt>
                <c:pt idx="31">
                  <c:v>399.31818181818181</c:v>
                </c:pt>
                <c:pt idx="32">
                  <c:v>121.3636363636364</c:v>
                </c:pt>
                <c:pt idx="33">
                  <c:v>51.636363636363633</c:v>
                </c:pt>
              </c:numCache>
            </c:numRef>
          </c:xVal>
          <c:yVal>
            <c:numRef>
              <c:f>BoardingByRoute_All!$G$15:$G$48</c:f>
              <c:numCache>
                <c:formatCode>_(* #,##0_);_(* \(#,##0\);_(* "-"??_);_(@_)</c:formatCode>
                <c:ptCount val="34"/>
                <c:pt idx="0">
                  <c:v>8057</c:v>
                </c:pt>
                <c:pt idx="1">
                  <c:v>299</c:v>
                </c:pt>
                <c:pt idx="2">
                  <c:v>622</c:v>
                </c:pt>
                <c:pt idx="3">
                  <c:v>2656</c:v>
                </c:pt>
                <c:pt idx="4">
                  <c:v>839</c:v>
                </c:pt>
                <c:pt idx="5">
                  <c:v>834</c:v>
                </c:pt>
                <c:pt idx="6">
                  <c:v>328</c:v>
                </c:pt>
                <c:pt idx="7">
                  <c:v>886</c:v>
                </c:pt>
                <c:pt idx="8">
                  <c:v>358</c:v>
                </c:pt>
                <c:pt idx="9">
                  <c:v>1053</c:v>
                </c:pt>
                <c:pt idx="10">
                  <c:v>1697</c:v>
                </c:pt>
                <c:pt idx="11">
                  <c:v>1650</c:v>
                </c:pt>
                <c:pt idx="12">
                  <c:v>45</c:v>
                </c:pt>
                <c:pt idx="13">
                  <c:v>582</c:v>
                </c:pt>
                <c:pt idx="14">
                  <c:v>44</c:v>
                </c:pt>
                <c:pt idx="15">
                  <c:v>27</c:v>
                </c:pt>
                <c:pt idx="16">
                  <c:v>716</c:v>
                </c:pt>
                <c:pt idx="17">
                  <c:v>2777</c:v>
                </c:pt>
                <c:pt idx="18">
                  <c:v>3228</c:v>
                </c:pt>
                <c:pt idx="19">
                  <c:v>4122</c:v>
                </c:pt>
                <c:pt idx="20">
                  <c:v>4313</c:v>
                </c:pt>
                <c:pt idx="21">
                  <c:v>547</c:v>
                </c:pt>
                <c:pt idx="22">
                  <c:v>31</c:v>
                </c:pt>
                <c:pt idx="23">
                  <c:v>147</c:v>
                </c:pt>
                <c:pt idx="24">
                  <c:v>78</c:v>
                </c:pt>
                <c:pt idx="25">
                  <c:v>90</c:v>
                </c:pt>
                <c:pt idx="26">
                  <c:v>71</c:v>
                </c:pt>
                <c:pt idx="27">
                  <c:v>156</c:v>
                </c:pt>
                <c:pt idx="28">
                  <c:v>0</c:v>
                </c:pt>
                <c:pt idx="29">
                  <c:v>7</c:v>
                </c:pt>
                <c:pt idx="30">
                  <c:v>6</c:v>
                </c:pt>
                <c:pt idx="31">
                  <c:v>40</c:v>
                </c:pt>
                <c:pt idx="32">
                  <c:v>644</c:v>
                </c:pt>
                <c:pt idx="3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9-4643-9AC2-1E7D0E8C764F}"/>
            </c:ext>
          </c:extLst>
        </c:ser>
        <c:ser>
          <c:idx val="1"/>
          <c:order val="1"/>
          <c:tx>
            <c:strRef>
              <c:f>BoardingByRoute_All!$AG$14</c:f>
              <c:strCache>
                <c:ptCount val="1"/>
                <c:pt idx="0">
                  <c:v>Reference</c:v>
                </c:pt>
              </c:strCache>
            </c:strRef>
          </c:tx>
          <c:spPr>
            <a:ln w="25400" cap="rnd">
              <a:solidFill>
                <a:schemeClr val="bg2">
                  <a:lumMod val="50000"/>
                </a:schemeClr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prstDash val="sysDash"/>
              </a:ln>
            </c:spPr>
          </c:marker>
          <c:xVal>
            <c:numRef>
              <c:f>BoardingByRoute_All!$AG$15:$AG$48</c:f>
              <c:numCache>
                <c:formatCode>General</c:formatCode>
                <c:ptCount val="3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</c:numCache>
            </c:numRef>
          </c:xVal>
          <c:yVal>
            <c:numRef>
              <c:f>BoardingByRoute_All!$AG$15:$AG$48</c:f>
              <c:numCache>
                <c:formatCode>General</c:formatCode>
                <c:ptCount val="3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69-4643-9AC2-1E7D0E8C7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130112"/>
        <c:axId val="360132352"/>
      </c:scatterChart>
      <c:valAx>
        <c:axId val="360130112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32352"/>
        <c:crosses val="autoZero"/>
        <c:crossBetween val="midCat"/>
        <c:majorUnit val="500"/>
      </c:valAx>
      <c:valAx>
        <c:axId val="360132352"/>
        <c:scaling>
          <c:orientation val="minMax"/>
          <c:max val="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ABM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30112"/>
        <c:crosses val="autoZero"/>
        <c:crossBetween val="midCat"/>
        <c:majorUnit val="5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> BY ROUTE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BoardingByRoute_All!$E$13</c:f>
              <c:strCache>
                <c:ptCount val="1"/>
                <c:pt idx="0">
                  <c:v>OBS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BoardingByRoute_All!$D$15:$D$48</c:f>
              <c:strCache>
                <c:ptCount val="34"/>
                <c:pt idx="0">
                  <c:v>Rte 3 West End (White Bridge) IB</c:v>
                </c:pt>
                <c:pt idx="1">
                  <c:v>Rte 4 Shelby IB</c:v>
                </c:pt>
                <c:pt idx="2">
                  <c:v>Rte 6 Lebanon Rd OB</c:v>
                </c:pt>
                <c:pt idx="3">
                  <c:v>Rte 7 Hillsboro IB</c:v>
                </c:pt>
                <c:pt idx="4">
                  <c:v>Rte 8 8TH AVENUE SOUTH iB</c:v>
                </c:pt>
                <c:pt idx="5">
                  <c:v>Rte 9 MetroCenter OB</c:v>
                </c:pt>
                <c:pt idx="6">
                  <c:v>Rte 14 WHITES CREEK oB</c:v>
                </c:pt>
                <c:pt idx="7">
                  <c:v>Rte 17 12TH AVENUE SOUTH iB</c:v>
                </c:pt>
                <c:pt idx="8">
                  <c:v>Rte 18 Airport Exp OB</c:v>
                </c:pt>
                <c:pt idx="9">
                  <c:v>Rte 19 Herman IB</c:v>
                </c:pt>
                <c:pt idx="10">
                  <c:v>Rte 22 Bordeaux (Panaroma) IB</c:v>
                </c:pt>
                <c:pt idx="11">
                  <c:v>Rte 23 Dickerson Pike OB</c:v>
                </c:pt>
                <c:pt idx="12">
                  <c:v>Rte 28 Meridian IB</c:v>
                </c:pt>
                <c:pt idx="13">
                  <c:v>Rte 29 Jefferson IB</c:v>
                </c:pt>
                <c:pt idx="14">
                  <c:v>Rte 34 Opry Mills IB</c:v>
                </c:pt>
                <c:pt idx="15">
                  <c:v>Rte 41 Golden Valley OB PM</c:v>
                </c:pt>
                <c:pt idx="16">
                  <c:v>Rte 42 St. Cecilia/Cumberland IB</c:v>
                </c:pt>
                <c:pt idx="17">
                  <c:v>Rte 50 CHARLOTTE PIKE oB</c:v>
                </c:pt>
                <c:pt idx="18">
                  <c:v>Rte 52 NOLENSVILLE PIKE (Hick) oB</c:v>
                </c:pt>
                <c:pt idx="19">
                  <c:v>Rte 55 MURFREESBORO PIKE oB</c:v>
                </c:pt>
                <c:pt idx="20">
                  <c:v>Rte 56 Gallatin Rd IB</c:v>
                </c:pt>
                <c:pt idx="21">
                  <c:v>Rte 64 STAR DOWNTOWN SHUTTLE</c:v>
                </c:pt>
                <c:pt idx="22">
                  <c:v>Rte 70 Belevue Conn OB</c:v>
                </c:pt>
                <c:pt idx="23">
                  <c:v>Rte 75 Midtown CW Loop</c:v>
                </c:pt>
                <c:pt idx="24">
                  <c:v>Rte 76 Madison Conn</c:v>
                </c:pt>
                <c:pt idx="25">
                  <c:v>Rte 77 THOMPSON - WEDGEWOOD ccw</c:v>
                </c:pt>
                <c:pt idx="26">
                  <c:v>Rte 79 Skyline iB</c:v>
                </c:pt>
                <c:pt idx="27">
                  <c:v>Rte 84 Murfreesboro Express OB</c:v>
                </c:pt>
                <c:pt idx="28">
                  <c:v>Rte 86 Smyrna Lavergne Exp OB</c:v>
                </c:pt>
                <c:pt idx="29">
                  <c:v>Rte 87 Gallatin Comm Bus OB</c:v>
                </c:pt>
                <c:pt idx="30">
                  <c:v>Rte 89 Spgfield/Joelton Exp OB</c:v>
                </c:pt>
                <c:pt idx="31">
                  <c:v>Rte 90 Music City Star oB</c:v>
                </c:pt>
                <c:pt idx="32">
                  <c:v>Rte 93 MCS West End Shuttle</c:v>
                </c:pt>
                <c:pt idx="33">
                  <c:v>Rte 95 Spring Hill Exp OB</c:v>
                </c:pt>
              </c:strCache>
            </c:strRef>
          </c:cat>
          <c:val>
            <c:numRef>
              <c:f>BoardingByRoute_All!$E$15:$E$48</c:f>
              <c:numCache>
                <c:formatCode>_(* #,##0_);_(* \(#,##0\);_(* "-"??_);_(@_)</c:formatCode>
                <c:ptCount val="34"/>
                <c:pt idx="0">
                  <c:v>2516.909090909091</c:v>
                </c:pt>
                <c:pt idx="1">
                  <c:v>941.0454545454545</c:v>
                </c:pt>
                <c:pt idx="2">
                  <c:v>818.18181818181813</c:v>
                </c:pt>
                <c:pt idx="3">
                  <c:v>1841.590909090909</c:v>
                </c:pt>
                <c:pt idx="4">
                  <c:v>944.40909090909088</c:v>
                </c:pt>
                <c:pt idx="5">
                  <c:v>350.59090909090912</c:v>
                </c:pt>
                <c:pt idx="6">
                  <c:v>334.18181818181819</c:v>
                </c:pt>
                <c:pt idx="7">
                  <c:v>637.9545454545455</c:v>
                </c:pt>
                <c:pt idx="8">
                  <c:v>677.90909090909088</c:v>
                </c:pt>
                <c:pt idx="9">
                  <c:v>955.72727272727275</c:v>
                </c:pt>
                <c:pt idx="10">
                  <c:v>1505.409090909091</c:v>
                </c:pt>
                <c:pt idx="11">
                  <c:v>2690.5</c:v>
                </c:pt>
                <c:pt idx="12">
                  <c:v>275.40909090909088</c:v>
                </c:pt>
                <c:pt idx="13">
                  <c:v>691.09090909090912</c:v>
                </c:pt>
                <c:pt idx="14">
                  <c:v>365.81818181818181</c:v>
                </c:pt>
                <c:pt idx="15">
                  <c:v>61.909090909090907</c:v>
                </c:pt>
                <c:pt idx="16">
                  <c:v>402.68181818181819</c:v>
                </c:pt>
                <c:pt idx="17">
                  <c:v>2542.863636363636</c:v>
                </c:pt>
                <c:pt idx="18">
                  <c:v>3623.863636363636</c:v>
                </c:pt>
                <c:pt idx="19">
                  <c:v>5829.363636363636</c:v>
                </c:pt>
                <c:pt idx="20">
                  <c:v>4470.863636363636</c:v>
                </c:pt>
                <c:pt idx="21">
                  <c:v>9.1818181818181817</c:v>
                </c:pt>
                <c:pt idx="22">
                  <c:v>42.409090909090907</c:v>
                </c:pt>
                <c:pt idx="23">
                  <c:v>127.6363636363636</c:v>
                </c:pt>
                <c:pt idx="24">
                  <c:v>347.31818181818181</c:v>
                </c:pt>
                <c:pt idx="25">
                  <c:v>333.95454545454538</c:v>
                </c:pt>
                <c:pt idx="26">
                  <c:v>225.77272727272731</c:v>
                </c:pt>
                <c:pt idx="27">
                  <c:v>127.5</c:v>
                </c:pt>
                <c:pt idx="28">
                  <c:v>47.090909090909093</c:v>
                </c:pt>
                <c:pt idx="29">
                  <c:v>77.318181818181813</c:v>
                </c:pt>
                <c:pt idx="30">
                  <c:v>23</c:v>
                </c:pt>
                <c:pt idx="31">
                  <c:v>399.31818181818181</c:v>
                </c:pt>
                <c:pt idx="32">
                  <c:v>121.3636363636364</c:v>
                </c:pt>
                <c:pt idx="33">
                  <c:v>51.636363636363633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9-47A5-AAC7-9A89ED92120C}"/>
            </c:ext>
          </c:extLst>
        </c:ser>
        <c:ser>
          <c:idx val="1"/>
          <c:order val="1"/>
          <c:tx>
            <c:strRef>
              <c:f>BoardingByRoute_All!$G$13</c:f>
              <c:strCache>
                <c:ptCount val="1"/>
                <c:pt idx="0">
                  <c:v>ABM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BoardingByRoute_All!$D$15:$D$48</c:f>
              <c:strCache>
                <c:ptCount val="34"/>
                <c:pt idx="0">
                  <c:v>Rte 3 West End (White Bridge) IB</c:v>
                </c:pt>
                <c:pt idx="1">
                  <c:v>Rte 4 Shelby IB</c:v>
                </c:pt>
                <c:pt idx="2">
                  <c:v>Rte 6 Lebanon Rd OB</c:v>
                </c:pt>
                <c:pt idx="3">
                  <c:v>Rte 7 Hillsboro IB</c:v>
                </c:pt>
                <c:pt idx="4">
                  <c:v>Rte 8 8TH AVENUE SOUTH iB</c:v>
                </c:pt>
                <c:pt idx="5">
                  <c:v>Rte 9 MetroCenter OB</c:v>
                </c:pt>
                <c:pt idx="6">
                  <c:v>Rte 14 WHITES CREEK oB</c:v>
                </c:pt>
                <c:pt idx="7">
                  <c:v>Rte 17 12TH AVENUE SOUTH iB</c:v>
                </c:pt>
                <c:pt idx="8">
                  <c:v>Rte 18 Airport Exp OB</c:v>
                </c:pt>
                <c:pt idx="9">
                  <c:v>Rte 19 Herman IB</c:v>
                </c:pt>
                <c:pt idx="10">
                  <c:v>Rte 22 Bordeaux (Panaroma) IB</c:v>
                </c:pt>
                <c:pt idx="11">
                  <c:v>Rte 23 Dickerson Pike OB</c:v>
                </c:pt>
                <c:pt idx="12">
                  <c:v>Rte 28 Meridian IB</c:v>
                </c:pt>
                <c:pt idx="13">
                  <c:v>Rte 29 Jefferson IB</c:v>
                </c:pt>
                <c:pt idx="14">
                  <c:v>Rte 34 Opry Mills IB</c:v>
                </c:pt>
                <c:pt idx="15">
                  <c:v>Rte 41 Golden Valley OB PM</c:v>
                </c:pt>
                <c:pt idx="16">
                  <c:v>Rte 42 St. Cecilia/Cumberland IB</c:v>
                </c:pt>
                <c:pt idx="17">
                  <c:v>Rte 50 CHARLOTTE PIKE oB</c:v>
                </c:pt>
                <c:pt idx="18">
                  <c:v>Rte 52 NOLENSVILLE PIKE (Hick) oB</c:v>
                </c:pt>
                <c:pt idx="19">
                  <c:v>Rte 55 MURFREESBORO PIKE oB</c:v>
                </c:pt>
                <c:pt idx="20">
                  <c:v>Rte 56 Gallatin Rd IB</c:v>
                </c:pt>
                <c:pt idx="21">
                  <c:v>Rte 64 STAR DOWNTOWN SHUTTLE</c:v>
                </c:pt>
                <c:pt idx="22">
                  <c:v>Rte 70 Belevue Conn OB</c:v>
                </c:pt>
                <c:pt idx="23">
                  <c:v>Rte 75 Midtown CW Loop</c:v>
                </c:pt>
                <c:pt idx="24">
                  <c:v>Rte 76 Madison Conn</c:v>
                </c:pt>
                <c:pt idx="25">
                  <c:v>Rte 77 THOMPSON - WEDGEWOOD ccw</c:v>
                </c:pt>
                <c:pt idx="26">
                  <c:v>Rte 79 Skyline iB</c:v>
                </c:pt>
                <c:pt idx="27">
                  <c:v>Rte 84 Murfreesboro Express OB</c:v>
                </c:pt>
                <c:pt idx="28">
                  <c:v>Rte 86 Smyrna Lavergne Exp OB</c:v>
                </c:pt>
                <c:pt idx="29">
                  <c:v>Rte 87 Gallatin Comm Bus OB</c:v>
                </c:pt>
                <c:pt idx="30">
                  <c:v>Rte 89 Spgfield/Joelton Exp OB</c:v>
                </c:pt>
                <c:pt idx="31">
                  <c:v>Rte 90 Music City Star oB</c:v>
                </c:pt>
                <c:pt idx="32">
                  <c:v>Rte 93 MCS West End Shuttle</c:v>
                </c:pt>
                <c:pt idx="33">
                  <c:v>Rte 95 Spring Hill Exp OB</c:v>
                </c:pt>
              </c:strCache>
            </c:strRef>
          </c:cat>
          <c:val>
            <c:numRef>
              <c:f>BoardingByRoute_All!$G$15:$G$48</c:f>
              <c:numCache>
                <c:formatCode>_(* #,##0_);_(* \(#,##0\);_(* "-"??_);_(@_)</c:formatCode>
                <c:ptCount val="34"/>
                <c:pt idx="0">
                  <c:v>8057</c:v>
                </c:pt>
                <c:pt idx="1">
                  <c:v>299</c:v>
                </c:pt>
                <c:pt idx="2">
                  <c:v>622</c:v>
                </c:pt>
                <c:pt idx="3">
                  <c:v>2656</c:v>
                </c:pt>
                <c:pt idx="4">
                  <c:v>839</c:v>
                </c:pt>
                <c:pt idx="5">
                  <c:v>834</c:v>
                </c:pt>
                <c:pt idx="6">
                  <c:v>328</c:v>
                </c:pt>
                <c:pt idx="7">
                  <c:v>886</c:v>
                </c:pt>
                <c:pt idx="8">
                  <c:v>358</c:v>
                </c:pt>
                <c:pt idx="9">
                  <c:v>1053</c:v>
                </c:pt>
                <c:pt idx="10">
                  <c:v>1697</c:v>
                </c:pt>
                <c:pt idx="11">
                  <c:v>1650</c:v>
                </c:pt>
                <c:pt idx="12">
                  <c:v>45</c:v>
                </c:pt>
                <c:pt idx="13">
                  <c:v>582</c:v>
                </c:pt>
                <c:pt idx="14">
                  <c:v>44</c:v>
                </c:pt>
                <c:pt idx="15">
                  <c:v>27</c:v>
                </c:pt>
                <c:pt idx="16">
                  <c:v>716</c:v>
                </c:pt>
                <c:pt idx="17">
                  <c:v>2777</c:v>
                </c:pt>
                <c:pt idx="18">
                  <c:v>3228</c:v>
                </c:pt>
                <c:pt idx="19">
                  <c:v>4122</c:v>
                </c:pt>
                <c:pt idx="20">
                  <c:v>4313</c:v>
                </c:pt>
                <c:pt idx="21">
                  <c:v>547</c:v>
                </c:pt>
                <c:pt idx="22">
                  <c:v>31</c:v>
                </c:pt>
                <c:pt idx="23">
                  <c:v>147</c:v>
                </c:pt>
                <c:pt idx="24">
                  <c:v>78</c:v>
                </c:pt>
                <c:pt idx="25">
                  <c:v>90</c:v>
                </c:pt>
                <c:pt idx="26">
                  <c:v>71</c:v>
                </c:pt>
                <c:pt idx="27">
                  <c:v>156</c:v>
                </c:pt>
                <c:pt idx="28">
                  <c:v>0</c:v>
                </c:pt>
                <c:pt idx="29">
                  <c:v>7</c:v>
                </c:pt>
                <c:pt idx="30">
                  <c:v>6</c:v>
                </c:pt>
                <c:pt idx="31">
                  <c:v>40</c:v>
                </c:pt>
                <c:pt idx="32">
                  <c:v>644</c:v>
                </c:pt>
                <c:pt idx="3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9-47A5-AAC7-9A89ED921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4670800"/>
        <c:axId val="353676336"/>
      </c:barChart>
      <c:catAx>
        <c:axId val="53467080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676336"/>
        <c:crosses val="autoZero"/>
        <c:auto val="1"/>
        <c:lblAlgn val="ctr"/>
        <c:lblOffset val="100"/>
        <c:noMultiLvlLbl val="0"/>
      </c:catAx>
      <c:valAx>
        <c:axId val="3536763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70800"/>
        <c:crosses val="autoZero"/>
        <c:crossBetween val="between"/>
        <c:majorUnit val="1000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> BY ROUTE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BoardingByRoute_All!$AA$13</c:f>
              <c:strCache>
                <c:ptCount val="1"/>
                <c:pt idx="0">
                  <c:v>OBS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BoardingByRoute_All!$Z$15:$Z$48</c:f>
              <c:strCache>
                <c:ptCount val="34"/>
                <c:pt idx="0">
                  <c:v>Rte 55 MURFREESBORO PIKE oB</c:v>
                </c:pt>
                <c:pt idx="1">
                  <c:v>Rte 56 Gallatin Rd IB</c:v>
                </c:pt>
                <c:pt idx="2">
                  <c:v>Rte 52 NOLENSVILLE PIKE (Hick) oB</c:v>
                </c:pt>
                <c:pt idx="3">
                  <c:v>Rte 23 Dickerson Pike OB</c:v>
                </c:pt>
                <c:pt idx="4">
                  <c:v>Rte 50 CHARLOTTE PIKE oB</c:v>
                </c:pt>
                <c:pt idx="5">
                  <c:v>Rte 3 West End (White Bridge) IB</c:v>
                </c:pt>
                <c:pt idx="6">
                  <c:v>Rte 7 Hillsboro IB</c:v>
                </c:pt>
                <c:pt idx="7">
                  <c:v>Rte 22 Bordeaux (Panaroma) IB</c:v>
                </c:pt>
                <c:pt idx="8">
                  <c:v>Rte 19 Herman IB</c:v>
                </c:pt>
                <c:pt idx="9">
                  <c:v>Rte 8 8TH AVENUE SOUTH iB</c:v>
                </c:pt>
                <c:pt idx="10">
                  <c:v>Rte 4 Shelby IB</c:v>
                </c:pt>
                <c:pt idx="11">
                  <c:v>Rte 6 Lebanon Rd OB</c:v>
                </c:pt>
                <c:pt idx="12">
                  <c:v>Rte 29 Jefferson IB</c:v>
                </c:pt>
                <c:pt idx="13">
                  <c:v>Rte 18 Airport Exp OB</c:v>
                </c:pt>
                <c:pt idx="14">
                  <c:v>Rte 17 12TH AVENUE SOUTH iB</c:v>
                </c:pt>
                <c:pt idx="15">
                  <c:v>Rte 42 St. Cecilia/Cumberland IB</c:v>
                </c:pt>
                <c:pt idx="16">
                  <c:v>Rte 90 Music City Star oB</c:v>
                </c:pt>
                <c:pt idx="17">
                  <c:v>Rte 34 Opry Mills IB</c:v>
                </c:pt>
                <c:pt idx="18">
                  <c:v>Rte 9 MetroCenter OB</c:v>
                </c:pt>
                <c:pt idx="19">
                  <c:v>Rte 76 Madison Conn</c:v>
                </c:pt>
                <c:pt idx="20">
                  <c:v>Rte 14 WHITES CREEK oB</c:v>
                </c:pt>
                <c:pt idx="21">
                  <c:v>Rte 77 THOMPSON - WEDGEWOOD ccw</c:v>
                </c:pt>
                <c:pt idx="22">
                  <c:v>Rte 28 Meridian IB</c:v>
                </c:pt>
                <c:pt idx="23">
                  <c:v>Rte 79 Skyline iB</c:v>
                </c:pt>
                <c:pt idx="24">
                  <c:v>Rte 75 Midtown CW Loop</c:v>
                </c:pt>
                <c:pt idx="25">
                  <c:v>Rte 84 Murfreesboro Express OB</c:v>
                </c:pt>
                <c:pt idx="26">
                  <c:v>Rte 93 MCS West End Shuttle</c:v>
                </c:pt>
                <c:pt idx="27">
                  <c:v>Rte 87 Gallatin Comm Bus OB</c:v>
                </c:pt>
                <c:pt idx="28">
                  <c:v>Rte 41 Golden Valley OB PM</c:v>
                </c:pt>
                <c:pt idx="29">
                  <c:v>Rte 95 Spring Hill Exp OB</c:v>
                </c:pt>
                <c:pt idx="30">
                  <c:v>Rte 86 Smyrna Lavergne Exp OB</c:v>
                </c:pt>
                <c:pt idx="31">
                  <c:v>Rte 70 Belevue Conn OB</c:v>
                </c:pt>
                <c:pt idx="32">
                  <c:v>Rte 89 Spgfield/Joelton Exp OB</c:v>
                </c:pt>
                <c:pt idx="33">
                  <c:v>Rte 64 STAR DOWNTOWN SHUTTLE</c:v>
                </c:pt>
              </c:strCache>
            </c:strRef>
          </c:cat>
          <c:val>
            <c:numRef>
              <c:f>BoardingByRoute_All!$AA$15:$AA$48</c:f>
              <c:numCache>
                <c:formatCode>_(* #,##0_);_(* \(#,##0\);_(* "-"??_);_(@_)</c:formatCode>
                <c:ptCount val="34"/>
                <c:pt idx="0">
                  <c:v>5829.363636363636</c:v>
                </c:pt>
                <c:pt idx="1">
                  <c:v>4470.863636363636</c:v>
                </c:pt>
                <c:pt idx="2">
                  <c:v>3623.863636363636</c:v>
                </c:pt>
                <c:pt idx="3">
                  <c:v>2690.5</c:v>
                </c:pt>
                <c:pt idx="4">
                  <c:v>2542.863636363636</c:v>
                </c:pt>
                <c:pt idx="5">
                  <c:v>2516.909090909091</c:v>
                </c:pt>
                <c:pt idx="6">
                  <c:v>1841.590909090909</c:v>
                </c:pt>
                <c:pt idx="7">
                  <c:v>1505.409090909091</c:v>
                </c:pt>
                <c:pt idx="8">
                  <c:v>955.72727272727275</c:v>
                </c:pt>
                <c:pt idx="9">
                  <c:v>944.40909090909088</c:v>
                </c:pt>
                <c:pt idx="10">
                  <c:v>941.0454545454545</c:v>
                </c:pt>
                <c:pt idx="11">
                  <c:v>818.18181818181813</c:v>
                </c:pt>
                <c:pt idx="12">
                  <c:v>691.09090909090912</c:v>
                </c:pt>
                <c:pt idx="13">
                  <c:v>677.90909090909088</c:v>
                </c:pt>
                <c:pt idx="14">
                  <c:v>637.9545454545455</c:v>
                </c:pt>
                <c:pt idx="15">
                  <c:v>402.68181818181819</c:v>
                </c:pt>
                <c:pt idx="16">
                  <c:v>399.31818181818181</c:v>
                </c:pt>
                <c:pt idx="17">
                  <c:v>365.81818181818181</c:v>
                </c:pt>
                <c:pt idx="18">
                  <c:v>350.59090909090912</c:v>
                </c:pt>
                <c:pt idx="19">
                  <c:v>347.31818181818181</c:v>
                </c:pt>
                <c:pt idx="20">
                  <c:v>334.18181818181819</c:v>
                </c:pt>
                <c:pt idx="21">
                  <c:v>333.95454545454538</c:v>
                </c:pt>
                <c:pt idx="22">
                  <c:v>275.40909090909088</c:v>
                </c:pt>
                <c:pt idx="23">
                  <c:v>225.77272727272731</c:v>
                </c:pt>
                <c:pt idx="24">
                  <c:v>127.6363636363636</c:v>
                </c:pt>
                <c:pt idx="25">
                  <c:v>127.5</c:v>
                </c:pt>
                <c:pt idx="26">
                  <c:v>121.3636363636364</c:v>
                </c:pt>
                <c:pt idx="27">
                  <c:v>77.318181818181813</c:v>
                </c:pt>
                <c:pt idx="28">
                  <c:v>61.909090909090907</c:v>
                </c:pt>
                <c:pt idx="29">
                  <c:v>51.636363636363633</c:v>
                </c:pt>
                <c:pt idx="30">
                  <c:v>47.090909090909093</c:v>
                </c:pt>
                <c:pt idx="31">
                  <c:v>42.409090909090907</c:v>
                </c:pt>
                <c:pt idx="32">
                  <c:v>23</c:v>
                </c:pt>
                <c:pt idx="33">
                  <c:v>9.1818181818181817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C-4139-A764-F381B8BB4483}"/>
            </c:ext>
          </c:extLst>
        </c:ser>
        <c:ser>
          <c:idx val="1"/>
          <c:order val="1"/>
          <c:tx>
            <c:strRef>
              <c:f>BoardingByRoute_All!$AC$13</c:f>
              <c:strCache>
                <c:ptCount val="1"/>
                <c:pt idx="0">
                  <c:v>ABM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BoardingByRoute_All!$Z$15:$Z$48</c:f>
              <c:strCache>
                <c:ptCount val="34"/>
                <c:pt idx="0">
                  <c:v>Rte 55 MURFREESBORO PIKE oB</c:v>
                </c:pt>
                <c:pt idx="1">
                  <c:v>Rte 56 Gallatin Rd IB</c:v>
                </c:pt>
                <c:pt idx="2">
                  <c:v>Rte 52 NOLENSVILLE PIKE (Hick) oB</c:v>
                </c:pt>
                <c:pt idx="3">
                  <c:v>Rte 23 Dickerson Pike OB</c:v>
                </c:pt>
                <c:pt idx="4">
                  <c:v>Rte 50 CHARLOTTE PIKE oB</c:v>
                </c:pt>
                <c:pt idx="5">
                  <c:v>Rte 3 West End (White Bridge) IB</c:v>
                </c:pt>
                <c:pt idx="6">
                  <c:v>Rte 7 Hillsboro IB</c:v>
                </c:pt>
                <c:pt idx="7">
                  <c:v>Rte 22 Bordeaux (Panaroma) IB</c:v>
                </c:pt>
                <c:pt idx="8">
                  <c:v>Rte 19 Herman IB</c:v>
                </c:pt>
                <c:pt idx="9">
                  <c:v>Rte 8 8TH AVENUE SOUTH iB</c:v>
                </c:pt>
                <c:pt idx="10">
                  <c:v>Rte 4 Shelby IB</c:v>
                </c:pt>
                <c:pt idx="11">
                  <c:v>Rte 6 Lebanon Rd OB</c:v>
                </c:pt>
                <c:pt idx="12">
                  <c:v>Rte 29 Jefferson IB</c:v>
                </c:pt>
                <c:pt idx="13">
                  <c:v>Rte 18 Airport Exp OB</c:v>
                </c:pt>
                <c:pt idx="14">
                  <c:v>Rte 17 12TH AVENUE SOUTH iB</c:v>
                </c:pt>
                <c:pt idx="15">
                  <c:v>Rte 42 St. Cecilia/Cumberland IB</c:v>
                </c:pt>
                <c:pt idx="16">
                  <c:v>Rte 90 Music City Star oB</c:v>
                </c:pt>
                <c:pt idx="17">
                  <c:v>Rte 34 Opry Mills IB</c:v>
                </c:pt>
                <c:pt idx="18">
                  <c:v>Rte 9 MetroCenter OB</c:v>
                </c:pt>
                <c:pt idx="19">
                  <c:v>Rte 76 Madison Conn</c:v>
                </c:pt>
                <c:pt idx="20">
                  <c:v>Rte 14 WHITES CREEK oB</c:v>
                </c:pt>
                <c:pt idx="21">
                  <c:v>Rte 77 THOMPSON - WEDGEWOOD ccw</c:v>
                </c:pt>
                <c:pt idx="22">
                  <c:v>Rte 28 Meridian IB</c:v>
                </c:pt>
                <c:pt idx="23">
                  <c:v>Rte 79 Skyline iB</c:v>
                </c:pt>
                <c:pt idx="24">
                  <c:v>Rte 75 Midtown CW Loop</c:v>
                </c:pt>
                <c:pt idx="25">
                  <c:v>Rte 84 Murfreesboro Express OB</c:v>
                </c:pt>
                <c:pt idx="26">
                  <c:v>Rte 93 MCS West End Shuttle</c:v>
                </c:pt>
                <c:pt idx="27">
                  <c:v>Rte 87 Gallatin Comm Bus OB</c:v>
                </c:pt>
                <c:pt idx="28">
                  <c:v>Rte 41 Golden Valley OB PM</c:v>
                </c:pt>
                <c:pt idx="29">
                  <c:v>Rte 95 Spring Hill Exp OB</c:v>
                </c:pt>
                <c:pt idx="30">
                  <c:v>Rte 86 Smyrna Lavergne Exp OB</c:v>
                </c:pt>
                <c:pt idx="31">
                  <c:v>Rte 70 Belevue Conn OB</c:v>
                </c:pt>
                <c:pt idx="32">
                  <c:v>Rte 89 Spgfield/Joelton Exp OB</c:v>
                </c:pt>
                <c:pt idx="33">
                  <c:v>Rte 64 STAR DOWNTOWN SHUTTLE</c:v>
                </c:pt>
              </c:strCache>
            </c:strRef>
          </c:cat>
          <c:val>
            <c:numRef>
              <c:f>BoardingByRoute_All!$AC$15:$AC$48</c:f>
              <c:numCache>
                <c:formatCode>_(* #,##0_);_(* \(#,##0\);_(* "-"??_);_(@_)</c:formatCode>
                <c:ptCount val="34"/>
                <c:pt idx="0">
                  <c:v>4122</c:v>
                </c:pt>
                <c:pt idx="1">
                  <c:v>4313</c:v>
                </c:pt>
                <c:pt idx="2">
                  <c:v>3228</c:v>
                </c:pt>
                <c:pt idx="3">
                  <c:v>1650</c:v>
                </c:pt>
                <c:pt idx="4">
                  <c:v>2777</c:v>
                </c:pt>
                <c:pt idx="5">
                  <c:v>8057</c:v>
                </c:pt>
                <c:pt idx="6">
                  <c:v>2656</c:v>
                </c:pt>
                <c:pt idx="7">
                  <c:v>1697</c:v>
                </c:pt>
                <c:pt idx="8">
                  <c:v>1053</c:v>
                </c:pt>
                <c:pt idx="9">
                  <c:v>839</c:v>
                </c:pt>
                <c:pt idx="10">
                  <c:v>299</c:v>
                </c:pt>
                <c:pt idx="11">
                  <c:v>622</c:v>
                </c:pt>
                <c:pt idx="12">
                  <c:v>582</c:v>
                </c:pt>
                <c:pt idx="13">
                  <c:v>358</c:v>
                </c:pt>
                <c:pt idx="14">
                  <c:v>886</c:v>
                </c:pt>
                <c:pt idx="15">
                  <c:v>716</c:v>
                </c:pt>
                <c:pt idx="16">
                  <c:v>40</c:v>
                </c:pt>
                <c:pt idx="17">
                  <c:v>44</c:v>
                </c:pt>
                <c:pt idx="18">
                  <c:v>834</c:v>
                </c:pt>
                <c:pt idx="19">
                  <c:v>78</c:v>
                </c:pt>
                <c:pt idx="20">
                  <c:v>328</c:v>
                </c:pt>
                <c:pt idx="21">
                  <c:v>90</c:v>
                </c:pt>
                <c:pt idx="22">
                  <c:v>45</c:v>
                </c:pt>
                <c:pt idx="23">
                  <c:v>71</c:v>
                </c:pt>
                <c:pt idx="24">
                  <c:v>147</c:v>
                </c:pt>
                <c:pt idx="25">
                  <c:v>156</c:v>
                </c:pt>
                <c:pt idx="26">
                  <c:v>644</c:v>
                </c:pt>
                <c:pt idx="27">
                  <c:v>7</c:v>
                </c:pt>
                <c:pt idx="28">
                  <c:v>27</c:v>
                </c:pt>
                <c:pt idx="29">
                  <c:v>11</c:v>
                </c:pt>
                <c:pt idx="30">
                  <c:v>0</c:v>
                </c:pt>
                <c:pt idx="31">
                  <c:v>31</c:v>
                </c:pt>
                <c:pt idx="32">
                  <c:v>6</c:v>
                </c:pt>
                <c:pt idx="33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C-4139-A764-F381B8BB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0147904"/>
        <c:axId val="540145104"/>
      </c:barChart>
      <c:catAx>
        <c:axId val="5401479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45104"/>
        <c:crosses val="autoZero"/>
        <c:auto val="1"/>
        <c:lblAlgn val="ctr"/>
        <c:lblOffset val="100"/>
        <c:noMultiLvlLbl val="0"/>
      </c:catAx>
      <c:valAx>
        <c:axId val="5401451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47904"/>
        <c:crosses val="autoZero"/>
        <c:crossBetween val="between"/>
        <c:majorUnit val="1000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226779</xdr:colOff>
      <xdr:row>1</xdr:row>
      <xdr:rowOff>124945</xdr:rowOff>
    </xdr:from>
    <xdr:to>
      <xdr:col>45</xdr:col>
      <xdr:colOff>381000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40901</xdr:colOff>
      <xdr:row>12</xdr:row>
      <xdr:rowOff>2940</xdr:rowOff>
    </xdr:from>
    <xdr:to>
      <xdr:col>22</xdr:col>
      <xdr:colOff>96199</xdr:colOff>
      <xdr:row>55</xdr:row>
      <xdr:rowOff>35751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300037</xdr:colOff>
      <xdr:row>37</xdr:row>
      <xdr:rowOff>102394</xdr:rowOff>
    </xdr:from>
    <xdr:to>
      <xdr:col>44</xdr:col>
      <xdr:colOff>533928</xdr:colOff>
      <xdr:row>80</xdr:row>
      <xdr:rowOff>135205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X64"/>
  <sheetViews>
    <sheetView tabSelected="1" zoomScale="80" zoomScaleNormal="80" workbookViewId="0">
      <selection activeCell="X15" sqref="X15:AF48"/>
    </sheetView>
  </sheetViews>
  <sheetFormatPr defaultRowHeight="14.25" x14ac:dyDescent="0.45"/>
  <cols>
    <col min="2" max="2" width="12" customWidth="1"/>
    <col min="3" max="3" width="12.73046875" customWidth="1"/>
    <col min="4" max="4" width="31" customWidth="1"/>
    <col min="5" max="5" width="10.59765625" bestFit="1" customWidth="1"/>
    <col min="6" max="6" width="11" hidden="1" customWidth="1"/>
    <col min="7" max="7" width="14.265625" bestFit="1" customWidth="1"/>
    <col min="8" max="8" width="12" hidden="1" customWidth="1"/>
    <col min="9" max="9" width="12" customWidth="1"/>
    <col min="11" max="11" width="12.59765625" hidden="1" customWidth="1"/>
    <col min="12" max="12" width="11.73046875" hidden="1" customWidth="1"/>
    <col min="24" max="24" width="11.59765625" bestFit="1" customWidth="1"/>
    <col min="25" max="25" width="12.265625" bestFit="1" customWidth="1"/>
    <col min="26" max="26" width="29.3984375" bestFit="1" customWidth="1"/>
    <col min="29" max="29" width="12.1328125" customWidth="1"/>
    <col min="30" max="30" width="11" bestFit="1" customWidth="1"/>
    <col min="31" max="32" width="11" customWidth="1"/>
  </cols>
  <sheetData>
    <row r="1" spans="1:50" x14ac:dyDescent="0.45">
      <c r="D1" s="89" t="s">
        <v>0</v>
      </c>
      <c r="E1" s="92"/>
      <c r="F1" s="92"/>
      <c r="G1" s="92"/>
      <c r="H1" s="92"/>
      <c r="I1" s="92"/>
      <c r="J1" s="92"/>
      <c r="M1" s="54"/>
    </row>
    <row r="2" spans="1:50" x14ac:dyDescent="0.45">
      <c r="D2" s="90"/>
      <c r="E2" s="116" t="s">
        <v>1</v>
      </c>
      <c r="F2" s="115"/>
      <c r="G2" s="114" t="s">
        <v>2</v>
      </c>
      <c r="H2" s="115"/>
      <c r="I2" s="117" t="s">
        <v>3</v>
      </c>
      <c r="J2" s="115"/>
      <c r="K2" s="81" t="s">
        <v>4</v>
      </c>
      <c r="L2" s="82"/>
      <c r="N2" t="s">
        <v>5</v>
      </c>
      <c r="O2" s="4"/>
      <c r="P2" s="4"/>
    </row>
    <row r="3" spans="1:50" x14ac:dyDescent="0.45">
      <c r="C3" t="s">
        <v>6</v>
      </c>
      <c r="D3" s="91" t="s">
        <v>7</v>
      </c>
      <c r="E3" s="21" t="s">
        <v>8</v>
      </c>
      <c r="F3" s="21" t="s">
        <v>9</v>
      </c>
      <c r="G3" s="46" t="s">
        <v>8</v>
      </c>
      <c r="H3" s="46" t="s">
        <v>9</v>
      </c>
      <c r="I3" s="76" t="s">
        <v>8</v>
      </c>
      <c r="J3" s="76" t="s">
        <v>9</v>
      </c>
      <c r="K3" s="83" t="s">
        <v>10</v>
      </c>
      <c r="L3" s="83" t="s">
        <v>11</v>
      </c>
      <c r="M3" s="58"/>
      <c r="N3" s="26" t="s">
        <v>12</v>
      </c>
      <c r="AX3" s="54" t="s">
        <v>13</v>
      </c>
    </row>
    <row r="4" spans="1:50" x14ac:dyDescent="0.45">
      <c r="C4" s="94" t="s">
        <v>14</v>
      </c>
      <c r="D4" s="92" t="s">
        <v>15</v>
      </c>
      <c r="E4" s="7">
        <f>SUMIF($A$15:$A$48,1,E$15:E$49)+SUMIF($A$15:$A$48,2,E$15:E$49)</f>
        <v>28406.590909090908</v>
      </c>
      <c r="F4" s="45">
        <f>E4/E$8</f>
        <v>0.82549048356865184</v>
      </c>
      <c r="G4" s="47">
        <f>SUMIF($A$15:$A$48,1,G$15:G$48)+SUMIF($A$15:$A$48,2,G$15:G$48)</f>
        <v>30879</v>
      </c>
      <c r="H4" s="48">
        <f>PrilimTable!F57</f>
        <v>0.95765807202186093</v>
      </c>
      <c r="I4" s="77">
        <f>G4-E4</f>
        <v>2472.4090909090919</v>
      </c>
      <c r="J4" s="74">
        <f>IFERROR(I4/E4,0)</f>
        <v>8.7036459208410383E-2</v>
      </c>
      <c r="K4" s="84">
        <f>PrilimTable!G57</f>
        <v>-0.1</v>
      </c>
      <c r="L4" s="85">
        <f>PrilimTable!H57</f>
        <v>-3.3333333333333335</v>
      </c>
      <c r="N4" s="100"/>
      <c r="O4" s="100"/>
      <c r="AX4" t="s">
        <v>16</v>
      </c>
    </row>
    <row r="5" spans="1:50" x14ac:dyDescent="0.45">
      <c r="C5" t="s">
        <v>17</v>
      </c>
      <c r="D5" s="92" t="s">
        <v>18</v>
      </c>
      <c r="E5" s="7">
        <f>SUMIF($A$15:$A$48,6,E$15:E$49)+SUMIF($A$15:$A$48,7,E$15:E$49)</f>
        <v>1004.4545454545455</v>
      </c>
      <c r="F5" s="45">
        <f>E5/E$8</f>
        <v>2.9189270585251611E-2</v>
      </c>
      <c r="G5" s="47">
        <f>SUMIF($A$15:$A$48,6,G$15:G$48)+SUMIF($A$15:$A$48,7,G$15:G$48)</f>
        <v>538</v>
      </c>
      <c r="H5" s="48">
        <f>PrilimTable!F58</f>
        <v>5.0593869213495304E-3</v>
      </c>
      <c r="I5" s="77">
        <f>G5-E5</f>
        <v>-466.4545454545455</v>
      </c>
      <c r="J5" s="74">
        <f>IFERROR(I5/E5,0)</f>
        <v>-0.46438591727758172</v>
      </c>
      <c r="K5" s="84">
        <f>PrilimTable!G58</f>
        <v>0.45</v>
      </c>
      <c r="L5" s="85">
        <f>PrilimTable!H58</f>
        <v>15.000000000000002</v>
      </c>
      <c r="N5" s="100"/>
      <c r="O5" s="100"/>
      <c r="AX5" t="s">
        <v>19</v>
      </c>
    </row>
    <row r="6" spans="1:50" x14ac:dyDescent="0.45">
      <c r="C6" s="26">
        <v>8</v>
      </c>
      <c r="D6" s="92" t="s">
        <v>20</v>
      </c>
      <c r="E6" s="7">
        <f>SUMIF($A$15:$A$48,8,E$15:E$49)</f>
        <v>4470.863636363636</v>
      </c>
      <c r="F6" s="45">
        <f>E6/E$8</f>
        <v>0.12992250273756734</v>
      </c>
      <c r="G6" s="47">
        <f>SUMIF($A$15:$A$48,8,G$15:G$48)</f>
        <v>4313</v>
      </c>
      <c r="H6" s="48">
        <f>PrilimTable!F59</f>
        <v>3.9771651199913419E-3</v>
      </c>
      <c r="I6" s="77">
        <f>G6-E6</f>
        <v>-157.86363636363603</v>
      </c>
      <c r="J6" s="74">
        <f>IFERROR(I6/E6,0)</f>
        <v>-3.5309427708699694E-2</v>
      </c>
      <c r="K6" s="84">
        <f>PrilimTable!G59</f>
        <v>-0.1</v>
      </c>
      <c r="L6" s="85">
        <f>PrilimTable!H59</f>
        <v>-3.3333333333333335</v>
      </c>
      <c r="N6" s="100"/>
      <c r="O6" s="100"/>
      <c r="S6" s="57"/>
      <c r="AX6" t="s">
        <v>21</v>
      </c>
    </row>
    <row r="7" spans="1:50" x14ac:dyDescent="0.45">
      <c r="C7" t="s">
        <v>22</v>
      </c>
      <c r="D7" s="93" t="s">
        <v>23</v>
      </c>
      <c r="E7" s="11">
        <f>SUMIF($A$15:$A$48,11,E$15:E$49)+SUMIF($A$15:$A$48,12,E$15:E$49)</f>
        <v>529.86363636363637</v>
      </c>
      <c r="F7" s="51">
        <f>E7/E$8</f>
        <v>1.5397743108529189E-2</v>
      </c>
      <c r="G7" s="52">
        <f>SUMIF($A$15:$A$48,11,G$15:G$48)+SUMIF($A$15:$A$48,12,G$15:G$48)</f>
        <v>1231</v>
      </c>
      <c r="H7" s="53">
        <f>PrilimTable!F60</f>
        <v>3.3305375936798248E-2</v>
      </c>
      <c r="I7" s="78">
        <f>G7-E7</f>
        <v>701.13636363636363</v>
      </c>
      <c r="J7" s="126">
        <f>IFERROR(I7/E7,0)</f>
        <v>1.3232392553830317</v>
      </c>
      <c r="K7" s="84">
        <f>PrilimTable!G60</f>
        <v>1.3</v>
      </c>
      <c r="L7" s="85">
        <f>PrilimTable!H60</f>
        <v>43.333333333333336</v>
      </c>
      <c r="N7" s="100"/>
      <c r="O7" s="100"/>
      <c r="S7" s="57"/>
      <c r="AX7" t="s">
        <v>24</v>
      </c>
    </row>
    <row r="8" spans="1:50" x14ac:dyDescent="0.45">
      <c r="D8" s="91" t="s">
        <v>25</v>
      </c>
      <c r="E8" s="13">
        <f>SUM(E4:E7)</f>
        <v>34411.772727272728</v>
      </c>
      <c r="F8" s="59">
        <f>E8/E$8</f>
        <v>1</v>
      </c>
      <c r="G8" s="49">
        <f>SUM(G4:G7)</f>
        <v>36961</v>
      </c>
      <c r="H8" s="50">
        <v>1</v>
      </c>
      <c r="I8" s="79">
        <f>G8-E8</f>
        <v>2549.2272727272721</v>
      </c>
      <c r="J8" s="80">
        <f>I8/E8</f>
        <v>7.4080091512022161E-2</v>
      </c>
      <c r="K8" s="86"/>
      <c r="L8" s="87"/>
      <c r="S8" s="57"/>
      <c r="AX8" t="s">
        <v>26</v>
      </c>
    </row>
    <row r="9" spans="1:50" x14ac:dyDescent="0.45">
      <c r="D9" s="92" t="s">
        <v>27</v>
      </c>
      <c r="E9" s="95">
        <v>25693</v>
      </c>
      <c r="F9" s="92"/>
      <c r="G9" s="95">
        <f>TrnStat.asc!E18</f>
        <v>22717</v>
      </c>
      <c r="H9" s="92"/>
      <c r="I9" s="92"/>
      <c r="J9" s="92"/>
      <c r="L9" s="17"/>
      <c r="S9" s="57"/>
      <c r="AX9" t="s">
        <v>28</v>
      </c>
    </row>
    <row r="10" spans="1:50" x14ac:dyDescent="0.45">
      <c r="D10" s="92" t="s">
        <v>29</v>
      </c>
      <c r="E10" s="98">
        <f>E8/E9</f>
        <v>1.3393442854969342</v>
      </c>
      <c r="F10" s="92"/>
      <c r="G10" s="98">
        <f>G8/G9</f>
        <v>1.6270194127745741</v>
      </c>
      <c r="H10" s="92"/>
      <c r="I10" s="92"/>
      <c r="J10" s="92"/>
      <c r="K10" s="92" t="s">
        <v>30</v>
      </c>
      <c r="L10" s="96">
        <f>PrilimTable!E63</f>
        <v>0.34370000000000001</v>
      </c>
    </row>
    <row r="11" spans="1:50" x14ac:dyDescent="0.45">
      <c r="C11" s="2"/>
      <c r="D11" s="99" t="s">
        <v>31</v>
      </c>
      <c r="E11" s="97">
        <f>RSQ(G15:G48,E15:E48)</f>
        <v>0.61396786667489622</v>
      </c>
      <c r="F11" s="92"/>
      <c r="G11" s="92"/>
      <c r="H11" s="92"/>
      <c r="I11" s="92"/>
      <c r="J11" s="92"/>
      <c r="AX11" t="s">
        <v>32</v>
      </c>
    </row>
    <row r="12" spans="1:50" x14ac:dyDescent="0.45">
      <c r="B12" s="4" t="s">
        <v>33</v>
      </c>
      <c r="I12" s="10"/>
      <c r="J12" s="10"/>
      <c r="X12" s="110" t="s">
        <v>34</v>
      </c>
      <c r="AX12" t="s">
        <v>35</v>
      </c>
    </row>
    <row r="13" spans="1:50" x14ac:dyDescent="0.45">
      <c r="B13" s="6"/>
      <c r="C13" s="6"/>
      <c r="D13" s="6"/>
      <c r="E13" s="120" t="s">
        <v>1</v>
      </c>
      <c r="F13" s="121"/>
      <c r="G13" s="122" t="s">
        <v>2</v>
      </c>
      <c r="H13" s="121"/>
      <c r="I13" s="118" t="s">
        <v>3</v>
      </c>
      <c r="J13" s="119"/>
      <c r="L13" s="4"/>
      <c r="X13" s="6"/>
      <c r="Y13" s="6"/>
      <c r="Z13" s="6"/>
      <c r="AA13" s="120" t="s">
        <v>1</v>
      </c>
      <c r="AB13" s="121"/>
      <c r="AC13" s="122" t="str">
        <f>G13</f>
        <v>ABM</v>
      </c>
      <c r="AD13" s="121"/>
      <c r="AE13" s="118" t="s">
        <v>3</v>
      </c>
      <c r="AF13" s="119"/>
      <c r="AX13" t="s">
        <v>36</v>
      </c>
    </row>
    <row r="14" spans="1:50" x14ac:dyDescent="0.45">
      <c r="A14" t="s">
        <v>6</v>
      </c>
      <c r="B14" s="62" t="s">
        <v>37</v>
      </c>
      <c r="C14" s="5" t="s">
        <v>38</v>
      </c>
      <c r="D14" s="5" t="s">
        <v>39</v>
      </c>
      <c r="E14" s="37" t="s">
        <v>40</v>
      </c>
      <c r="F14" s="37" t="s">
        <v>9</v>
      </c>
      <c r="G14" s="31" t="s">
        <v>40</v>
      </c>
      <c r="H14" s="31" t="s">
        <v>9</v>
      </c>
      <c r="I14" s="88" t="s">
        <v>41</v>
      </c>
      <c r="J14" s="88" t="s">
        <v>42</v>
      </c>
      <c r="L14" s="4"/>
      <c r="M14" s="20"/>
      <c r="X14" s="5" t="s">
        <v>37</v>
      </c>
      <c r="Y14" s="5" t="s">
        <v>38</v>
      </c>
      <c r="Z14" s="5" t="s">
        <v>39</v>
      </c>
      <c r="AA14" s="37" t="s">
        <v>40</v>
      </c>
      <c r="AB14" s="37" t="s">
        <v>9</v>
      </c>
      <c r="AC14" s="31" t="s">
        <v>40</v>
      </c>
      <c r="AD14" s="31" t="s">
        <v>9</v>
      </c>
      <c r="AE14" s="88" t="s">
        <v>41</v>
      </c>
      <c r="AF14" s="88" t="s">
        <v>42</v>
      </c>
      <c r="AG14" t="s">
        <v>43</v>
      </c>
      <c r="AX14" t="s">
        <v>44</v>
      </c>
    </row>
    <row r="15" spans="1:50" x14ac:dyDescent="0.45">
      <c r="A15">
        <f>VLOOKUP($C15,PrilimTable!$N:$T,7,FALSE)</f>
        <v>1</v>
      </c>
      <c r="B15">
        <v>3</v>
      </c>
      <c r="C15">
        <f t="shared" ref="C15:C48" si="0">B15</f>
        <v>3</v>
      </c>
      <c r="D15" t="str">
        <f>VLOOKUP($C15,PrilimTable!$N:$S,2,FALSE)</f>
        <v>Rte 3 West End (White Bridge) IB</v>
      </c>
      <c r="E15" s="36">
        <f>SUMIF(PrilimTable!$M$4:$M$82,B15,PrilimTable!$P$4:$P$82)</f>
        <v>2516.909090909091</v>
      </c>
      <c r="F15" s="45">
        <f t="shared" ref="F15:F48" si="1">E15/$E$49</f>
        <v>7.3140930891779893E-2</v>
      </c>
      <c r="G15" s="30">
        <f>SUMIF(PrilimTable!$N$4:$N$82,C15,PrilimTable!$R$4:$R$82)</f>
        <v>8057</v>
      </c>
      <c r="H15" s="60">
        <f t="shared" ref="H15:H48" si="2">G15/$G$49</f>
        <v>0.2179865263385731</v>
      </c>
      <c r="I15" s="43">
        <f t="shared" ref="I15:I49" si="3">G15-E15</f>
        <v>5540.090909090909</v>
      </c>
      <c r="J15" s="74">
        <f t="shared" ref="J15:J49" si="4">I15/E15</f>
        <v>2.2011485949577403</v>
      </c>
      <c r="L15" s="65"/>
      <c r="M15" s="41"/>
      <c r="N15" s="41"/>
      <c r="X15">
        <v>55</v>
      </c>
      <c r="Y15">
        <v>55</v>
      </c>
      <c r="Z15" t="str">
        <f>VLOOKUP(Y15,$C$14:$D$49,2,FALSE)</f>
        <v>Rte 55 MURFREESBORO PIKE oB</v>
      </c>
      <c r="AA15" s="36">
        <f>SUMIF(PrilimTable!$M$4:$M$82,X15,PrilimTable!$P$4:$P$82)</f>
        <v>5829.363636363636</v>
      </c>
      <c r="AB15" s="28">
        <f>AA15/$E$49</f>
        <v>0.16940027131306803</v>
      </c>
      <c r="AC15" s="30">
        <f>SUMIF(PrilimTable!$N$4:$N$82,Y15,PrilimTable!$R$4:$R$82)</f>
        <v>4122</v>
      </c>
      <c r="AD15" s="27">
        <f>AC15/$G$49</f>
        <v>0.11152295662996131</v>
      </c>
      <c r="AE15" s="43">
        <f>AC15-AA15</f>
        <v>-1707.363636363636</v>
      </c>
      <c r="AF15" s="74">
        <f>AE15/AA15</f>
        <v>-0.29289022659576125</v>
      </c>
      <c r="AG15">
        <v>100</v>
      </c>
    </row>
    <row r="16" spans="1:50" x14ac:dyDescent="0.45">
      <c r="A16">
        <f>VLOOKUP($C16,PrilimTable!$N:$T,7,FALSE)</f>
        <v>1</v>
      </c>
      <c r="B16">
        <v>4</v>
      </c>
      <c r="C16">
        <f t="shared" si="0"/>
        <v>4</v>
      </c>
      <c r="D16" t="str">
        <f>VLOOKUP($C16,PrilimTable!$N:$S,2,FALSE)</f>
        <v>Rte 4 Shelby IB</v>
      </c>
      <c r="E16" s="36">
        <f>SUMIF(PrilimTable!$M$4:$M$82,B16,PrilimTable!$P$4:$P$82)</f>
        <v>941.0454545454545</v>
      </c>
      <c r="F16" s="45">
        <f t="shared" si="1"/>
        <v>2.7346613672118016E-2</v>
      </c>
      <c r="G16" s="30">
        <f>SUMIF(PrilimTable!$N$4:$N$82,C16,PrilimTable!$R$4:$R$82)</f>
        <v>299</v>
      </c>
      <c r="H16" s="60">
        <f t="shared" si="2"/>
        <v>8.0896079651524583E-3</v>
      </c>
      <c r="I16" s="43">
        <f t="shared" si="3"/>
        <v>-642.0454545454545</v>
      </c>
      <c r="J16" s="74">
        <f t="shared" si="4"/>
        <v>-0.68226827029899051</v>
      </c>
      <c r="L16" s="65"/>
      <c r="M16" s="41"/>
      <c r="X16">
        <v>56</v>
      </c>
      <c r="Y16">
        <v>56</v>
      </c>
      <c r="Z16" t="str">
        <f>VLOOKUP(Y16,$C$14:$D$49,2,FALSE)</f>
        <v>Rte 56 Gallatin Rd IB</v>
      </c>
      <c r="AA16" s="36">
        <f>SUMIF(PrilimTable!$M$4:$M$82,X16,PrilimTable!$P$4:$P$82)</f>
        <v>4470.863636363636</v>
      </c>
      <c r="AB16" s="28">
        <f>AA16/$E$49</f>
        <v>0.12992250273756731</v>
      </c>
      <c r="AC16" s="30">
        <f>SUMIF(PrilimTable!$N$4:$N$82,Y16,PrilimTable!$R$4:$R$82)</f>
        <v>4313</v>
      </c>
      <c r="AD16" s="27">
        <f>AC16/$G$49</f>
        <v>0.11669056573144666</v>
      </c>
      <c r="AE16" s="43">
        <f>AC16-AA16</f>
        <v>-157.86363636363603</v>
      </c>
      <c r="AF16" s="74">
        <f>AE16/AA16</f>
        <v>-3.5309427708699694E-2</v>
      </c>
      <c r="AG16">
        <v>200</v>
      </c>
      <c r="AX16" t="s">
        <v>45</v>
      </c>
    </row>
    <row r="17" spans="1:50" x14ac:dyDescent="0.45">
      <c r="A17">
        <f>VLOOKUP($C17,PrilimTable!$N:$T,7,FALSE)</f>
        <v>1</v>
      </c>
      <c r="B17">
        <v>6</v>
      </c>
      <c r="C17">
        <f t="shared" si="0"/>
        <v>6</v>
      </c>
      <c r="D17" t="str">
        <f>VLOOKUP($C17,PrilimTable!$N:$S,2,FALSE)</f>
        <v>Rte 6 Lebanon Rd OB</v>
      </c>
      <c r="E17" s="36">
        <f>SUMIF(PrilimTable!$M$4:$M$82,B17,PrilimTable!$P$4:$P$82)</f>
        <v>818.18181818181813</v>
      </c>
      <c r="F17" s="45">
        <f t="shared" si="1"/>
        <v>2.3776218233981756E-2</v>
      </c>
      <c r="G17" s="30">
        <f>SUMIF(PrilimTable!$N$4:$N$82,C17,PrilimTable!$R$4:$R$82)</f>
        <v>622</v>
      </c>
      <c r="H17" s="60">
        <f t="shared" si="2"/>
        <v>1.6828549011119829E-2</v>
      </c>
      <c r="I17" s="43">
        <f t="shared" si="3"/>
        <v>-196.18181818181813</v>
      </c>
      <c r="J17" s="74">
        <f t="shared" si="4"/>
        <v>-0.23977777777777773</v>
      </c>
      <c r="L17" s="65"/>
      <c r="M17" s="41"/>
      <c r="N17" s="41"/>
      <c r="X17">
        <v>52</v>
      </c>
      <c r="Y17">
        <v>52</v>
      </c>
      <c r="Z17" t="str">
        <f>VLOOKUP(Y17,$C$14:$D$49,2,FALSE)</f>
        <v>Rte 52 NOLENSVILLE PIKE (Hick) oB</v>
      </c>
      <c r="AA17" s="36">
        <f>SUMIF(PrilimTable!$M$4:$M$82,X17,PrilimTable!$P$4:$P$82)</f>
        <v>3623.863636363636</v>
      </c>
      <c r="AB17" s="28">
        <f>AA17/$E$49</f>
        <v>0.1053088332613442</v>
      </c>
      <c r="AC17" s="30">
        <f>SUMIF(PrilimTable!$N$4:$N$82,Y17,PrilimTable!$R$4:$R$82)</f>
        <v>3228</v>
      </c>
      <c r="AD17" s="27">
        <f>AC17/$G$49</f>
        <v>8.7335299369605796E-2</v>
      </c>
      <c r="AE17" s="43">
        <f>AC17-AA17</f>
        <v>-395.86363636363603</v>
      </c>
      <c r="AF17" s="74">
        <f>AE17/AA17</f>
        <v>-0.10923800564440256</v>
      </c>
      <c r="AG17">
        <v>300</v>
      </c>
      <c r="AX17" t="s">
        <v>46</v>
      </c>
    </row>
    <row r="18" spans="1:50" x14ac:dyDescent="0.45">
      <c r="A18">
        <f>VLOOKUP($C18,PrilimTable!$N:$T,7,FALSE)</f>
        <v>1</v>
      </c>
      <c r="B18">
        <v>7</v>
      </c>
      <c r="C18">
        <f t="shared" si="0"/>
        <v>7</v>
      </c>
      <c r="D18" t="str">
        <f>VLOOKUP($C18,PrilimTable!$N:$S,2,FALSE)</f>
        <v>Rte 7 Hillsboro IB</v>
      </c>
      <c r="E18" s="36">
        <f>SUMIF(PrilimTable!$M$4:$M$82,B18,PrilimTable!$P$4:$P$82)</f>
        <v>1841.590909090909</v>
      </c>
      <c r="F18" s="45">
        <f t="shared" si="1"/>
        <v>5.3516304541653938E-2</v>
      </c>
      <c r="G18" s="30">
        <f>SUMIF(PrilimTable!$N$4:$N$82,C18,PrilimTable!$R$4:$R$82)</f>
        <v>2656</v>
      </c>
      <c r="H18" s="60">
        <f t="shared" si="2"/>
        <v>7.1859527610183702E-2</v>
      </c>
      <c r="I18" s="43">
        <f t="shared" si="3"/>
        <v>814.40909090909099</v>
      </c>
      <c r="J18" s="74">
        <f t="shared" si="4"/>
        <v>0.44223127236825871</v>
      </c>
      <c r="L18" s="65"/>
      <c r="M18" s="41"/>
      <c r="X18">
        <v>23</v>
      </c>
      <c r="Y18">
        <v>23</v>
      </c>
      <c r="Z18" t="str">
        <f>VLOOKUP(Y18,$C$14:$D$49,2,FALSE)</f>
        <v>Rte 23 Dickerson Pike OB</v>
      </c>
      <c r="AA18" s="36">
        <f>SUMIF(PrilimTable!$M$4:$M$82,X18,PrilimTable!$P$4:$P$82)</f>
        <v>2690.5</v>
      </c>
      <c r="AB18" s="28">
        <f>AA18/$E$49</f>
        <v>7.8185451860423014E-2</v>
      </c>
      <c r="AC18" s="30">
        <f>SUMIF(PrilimTable!$N$4:$N$82,Y18,PrilimTable!$R$4:$R$82)</f>
        <v>1650</v>
      </c>
      <c r="AD18" s="27">
        <f>AC18/$G$49</f>
        <v>4.4641649306025273E-2</v>
      </c>
      <c r="AE18" s="43">
        <f>AC18-AA18</f>
        <v>-1040.5</v>
      </c>
      <c r="AF18" s="74">
        <f>AE18/AA18</f>
        <v>-0.386731090875302</v>
      </c>
      <c r="AG18">
        <v>400</v>
      </c>
      <c r="AX18" t="s">
        <v>47</v>
      </c>
    </row>
    <row r="19" spans="1:50" x14ac:dyDescent="0.45">
      <c r="A19">
        <f>VLOOKUP($C19,PrilimTable!$N:$T,7,FALSE)</f>
        <v>1</v>
      </c>
      <c r="B19">
        <v>8</v>
      </c>
      <c r="C19">
        <f t="shared" si="0"/>
        <v>8</v>
      </c>
      <c r="D19" t="str">
        <f>VLOOKUP($C19,PrilimTable!$N:$S,2,FALSE)</f>
        <v>Rte 8 8TH AVENUE SOUTH iB</v>
      </c>
      <c r="E19" s="36">
        <f>SUMIF(PrilimTable!$M$4:$M$82,B19,PrilimTable!$P$4:$P$82)</f>
        <v>944.40909090909088</v>
      </c>
      <c r="F19" s="45">
        <f t="shared" si="1"/>
        <v>2.7444360347079942E-2</v>
      </c>
      <c r="G19" s="30">
        <f>SUMIF(PrilimTable!$N$4:$N$82,C19,PrilimTable!$R$4:$R$82)</f>
        <v>839</v>
      </c>
      <c r="H19" s="60">
        <f t="shared" si="2"/>
        <v>2.2699602283488E-2</v>
      </c>
      <c r="I19" s="43">
        <f t="shared" si="3"/>
        <v>-105.40909090909088</v>
      </c>
      <c r="J19" s="74">
        <f t="shared" si="4"/>
        <v>-0.1116138037252731</v>
      </c>
      <c r="L19" s="65"/>
      <c r="M19" s="41"/>
      <c r="X19">
        <v>50</v>
      </c>
      <c r="Y19">
        <v>50</v>
      </c>
      <c r="Z19" t="str">
        <f>VLOOKUP(Y19,$C$14:$D$49,2,FALSE)</f>
        <v>Rte 50 CHARLOTTE PIKE oB</v>
      </c>
      <c r="AA19" s="36">
        <f>SUMIF(PrilimTable!$M$4:$M$82,X19,PrilimTable!$P$4:$P$82)</f>
        <v>2542.863636363636</v>
      </c>
      <c r="AB19" s="28">
        <f>AA19/$E$49</f>
        <v>7.3895165370202298E-2</v>
      </c>
      <c r="AC19" s="30">
        <f>SUMIF(PrilimTable!$N$4:$N$82,Y19,PrilimTable!$R$4:$R$82)</f>
        <v>2777</v>
      </c>
      <c r="AD19" s="27">
        <f>AC19/$G$49</f>
        <v>7.5133248559292223E-2</v>
      </c>
      <c r="AE19" s="43">
        <f>AC19-AA19</f>
        <v>234.13636363636397</v>
      </c>
      <c r="AF19" s="74">
        <f>AE19/AA19</f>
        <v>9.2075862931912986E-2</v>
      </c>
      <c r="AG19">
        <v>500</v>
      </c>
      <c r="AX19" t="s">
        <v>48</v>
      </c>
    </row>
    <row r="20" spans="1:50" x14ac:dyDescent="0.45">
      <c r="A20">
        <f>VLOOKUP($C20,PrilimTable!$N:$T,7,FALSE)</f>
        <v>1</v>
      </c>
      <c r="B20">
        <v>9</v>
      </c>
      <c r="C20">
        <f t="shared" si="0"/>
        <v>9</v>
      </c>
      <c r="D20" t="str">
        <f>VLOOKUP($C20,PrilimTable!$N:$S,2,FALSE)</f>
        <v>Rte 9 MetroCenter OB</v>
      </c>
      <c r="E20" s="36">
        <f>SUMIF(PrilimTable!$M$4:$M$82,B20,PrilimTable!$P$4:$P$82)</f>
        <v>350.59090909090912</v>
      </c>
      <c r="F20" s="45">
        <f t="shared" si="1"/>
        <v>1.0188109513261184E-2</v>
      </c>
      <c r="G20" s="30">
        <f>SUMIF(PrilimTable!$N$4:$N$82,C20,PrilimTable!$R$4:$R$82)</f>
        <v>834</v>
      </c>
      <c r="H20" s="60">
        <f t="shared" si="2"/>
        <v>2.2564324558318229E-2</v>
      </c>
      <c r="I20" s="43">
        <f t="shared" si="3"/>
        <v>483.40909090909088</v>
      </c>
      <c r="J20" s="74">
        <f t="shared" si="4"/>
        <v>1.3788409179307661</v>
      </c>
      <c r="L20" s="65"/>
      <c r="M20" s="41"/>
      <c r="N20" s="41"/>
      <c r="X20">
        <v>3</v>
      </c>
      <c r="Y20">
        <v>3</v>
      </c>
      <c r="Z20" t="str">
        <f>VLOOKUP(Y20,$C$14:$D$49,2,FALSE)</f>
        <v>Rte 3 West End (White Bridge) IB</v>
      </c>
      <c r="AA20" s="36">
        <f>SUMIF(PrilimTable!$M$4:$M$82,X20,PrilimTable!$P$4:$P$82)</f>
        <v>2516.909090909091</v>
      </c>
      <c r="AB20" s="28">
        <f>AA20/$E$49</f>
        <v>7.3140930891779893E-2</v>
      </c>
      <c r="AC20" s="30">
        <f>SUMIF(PrilimTable!$N$4:$N$82,Y20,PrilimTable!$R$4:$R$82)</f>
        <v>8057</v>
      </c>
      <c r="AD20" s="27">
        <f>AC20/$G$49</f>
        <v>0.2179865263385731</v>
      </c>
      <c r="AE20" s="43">
        <f>AC20-AA20</f>
        <v>5540.090909090909</v>
      </c>
      <c r="AF20" s="74">
        <f>AE20/AA20</f>
        <v>2.2011485949577403</v>
      </c>
      <c r="AG20">
        <v>600</v>
      </c>
    </row>
    <row r="21" spans="1:50" x14ac:dyDescent="0.45">
      <c r="A21">
        <f>VLOOKUP($C21,PrilimTable!$N:$T,7,FALSE)</f>
        <v>1</v>
      </c>
      <c r="B21">
        <v>14</v>
      </c>
      <c r="C21">
        <f t="shared" si="0"/>
        <v>14</v>
      </c>
      <c r="D21" t="str">
        <f>VLOOKUP($C21,PrilimTable!$N:$S,2,FALSE)</f>
        <v>Rte 14 WHITES CREEK oB</v>
      </c>
      <c r="E21" s="36">
        <f>SUMIF(PrilimTable!$M$4:$M$82,B21,PrilimTable!$P$4:$P$82)</f>
        <v>334.18181818181819</v>
      </c>
      <c r="F21" s="45">
        <f t="shared" si="1"/>
        <v>9.7112642475685497E-3</v>
      </c>
      <c r="G21" s="30">
        <f>SUMIF(PrilimTable!$N$4:$N$82,C21,PrilimTable!$R$4:$R$82)</f>
        <v>328</v>
      </c>
      <c r="H21" s="60">
        <f t="shared" si="2"/>
        <v>8.8742187711371451E-3</v>
      </c>
      <c r="I21" s="43">
        <f t="shared" si="3"/>
        <v>-6.181818181818187</v>
      </c>
      <c r="J21" s="74">
        <f t="shared" si="4"/>
        <v>-1.8498367791077271E-2</v>
      </c>
      <c r="L21" s="65"/>
      <c r="M21" s="41"/>
      <c r="X21">
        <v>7</v>
      </c>
      <c r="Y21">
        <v>7</v>
      </c>
      <c r="Z21" t="str">
        <f>VLOOKUP(Y21,$C$14:$D$49,2,FALSE)</f>
        <v>Rte 7 Hillsboro IB</v>
      </c>
      <c r="AA21" s="36">
        <f>SUMIF(PrilimTable!$M$4:$M$82,X21,PrilimTable!$P$4:$P$82)</f>
        <v>1841.590909090909</v>
      </c>
      <c r="AB21" s="28">
        <f>AA21/$E$49</f>
        <v>5.3516304541653938E-2</v>
      </c>
      <c r="AC21" s="30">
        <f>SUMIF(PrilimTable!$N$4:$N$82,Y21,PrilimTable!$R$4:$R$82)</f>
        <v>2656</v>
      </c>
      <c r="AD21" s="27">
        <f>AC21/$G$49</f>
        <v>7.1859527610183702E-2</v>
      </c>
      <c r="AE21" s="43">
        <f>AC21-AA21</f>
        <v>814.40909090909099</v>
      </c>
      <c r="AF21" s="74">
        <f>AE21/AA21</f>
        <v>0.44223127236825871</v>
      </c>
      <c r="AG21">
        <v>700</v>
      </c>
    </row>
    <row r="22" spans="1:50" x14ac:dyDescent="0.45">
      <c r="A22">
        <f>VLOOKUP($C22,PrilimTable!$N:$T,7,FALSE)</f>
        <v>1</v>
      </c>
      <c r="B22">
        <v>17</v>
      </c>
      <c r="C22">
        <f t="shared" si="0"/>
        <v>17</v>
      </c>
      <c r="D22" t="str">
        <f>VLOOKUP($C22,PrilimTable!$N:$S,2,FALSE)</f>
        <v>Rte 17 12TH AVENUE SOUTH iB</v>
      </c>
      <c r="E22" s="36">
        <f>SUMIF(PrilimTable!$M$4:$M$82,B22,PrilimTable!$P$4:$P$82)</f>
        <v>637.9545454545455</v>
      </c>
      <c r="F22" s="45">
        <f t="shared" si="1"/>
        <v>1.8538845717440779E-2</v>
      </c>
      <c r="G22" s="30">
        <f>SUMIF(PrilimTable!$N$4:$N$82,C22,PrilimTable!$R$4:$R$82)</f>
        <v>886</v>
      </c>
      <c r="H22" s="60">
        <f t="shared" si="2"/>
        <v>2.3971212900083871E-2</v>
      </c>
      <c r="I22" s="43">
        <f t="shared" si="3"/>
        <v>248.0454545454545</v>
      </c>
      <c r="J22" s="74">
        <f t="shared" si="4"/>
        <v>0.38881368008550043</v>
      </c>
      <c r="L22" s="65"/>
      <c r="M22" s="41"/>
      <c r="X22">
        <v>22</v>
      </c>
      <c r="Y22">
        <v>22</v>
      </c>
      <c r="Z22" t="str">
        <f>VLOOKUP(Y22,$C$14:$D$49,2,FALSE)</f>
        <v>Rte 22 Bordeaux (Panaroma) IB</v>
      </c>
      <c r="AA22" s="36">
        <f>SUMIF(PrilimTable!$M$4:$M$82,X22,PrilimTable!$P$4:$P$82)</f>
        <v>1505.409090909091</v>
      </c>
      <c r="AB22" s="28">
        <f>AA22/$E$49</f>
        <v>4.3746920649513438E-2</v>
      </c>
      <c r="AC22" s="30">
        <f>SUMIF(PrilimTable!$N$4:$N$82,Y22,PrilimTable!$R$4:$R$82)</f>
        <v>1697</v>
      </c>
      <c r="AD22" s="27">
        <f>AC22/$G$49</f>
        <v>4.5913259922621144E-2</v>
      </c>
      <c r="AE22" s="43">
        <f>AC22-AA22</f>
        <v>191.59090909090901</v>
      </c>
      <c r="AF22" s="74">
        <f>AE22/AA22</f>
        <v>0.12726833539660007</v>
      </c>
      <c r="AG22">
        <v>800</v>
      </c>
    </row>
    <row r="23" spans="1:50" x14ac:dyDescent="0.45">
      <c r="A23">
        <f>VLOOKUP($C23,PrilimTable!$N:$T,7,FALSE)</f>
        <v>6</v>
      </c>
      <c r="B23">
        <v>18</v>
      </c>
      <c r="C23">
        <f t="shared" si="0"/>
        <v>18</v>
      </c>
      <c r="D23" t="str">
        <f>VLOOKUP($C23,PrilimTable!$N:$S,2,FALSE)</f>
        <v>Rte 18 Airport Exp OB</v>
      </c>
      <c r="E23" s="36">
        <f>SUMIF(PrilimTable!$M$4:$M$82,B23,PrilimTable!$P$4:$P$82)</f>
        <v>677.90909090909088</v>
      </c>
      <c r="F23" s="45">
        <f t="shared" si="1"/>
        <v>1.9699917707866884E-2</v>
      </c>
      <c r="G23" s="30">
        <f>SUMIF(PrilimTable!$N$4:$N$82,C23,PrilimTable!$R$4:$R$82)</f>
        <v>358</v>
      </c>
      <c r="H23" s="60">
        <f t="shared" si="2"/>
        <v>9.6858851221557855E-3</v>
      </c>
      <c r="I23" s="43">
        <f t="shared" si="3"/>
        <v>-319.90909090909088</v>
      </c>
      <c r="J23" s="74">
        <f t="shared" si="4"/>
        <v>-0.47190559206115057</v>
      </c>
      <c r="L23" s="65"/>
      <c r="M23" s="41"/>
      <c r="X23">
        <v>19</v>
      </c>
      <c r="Y23">
        <v>19</v>
      </c>
      <c r="Z23" t="str">
        <f>VLOOKUP(Y23,$C$14:$D$49,2,FALSE)</f>
        <v>Rte 19 Herman IB</v>
      </c>
      <c r="AA23" s="36">
        <f>SUMIF(PrilimTable!$M$4:$M$82,X23,PrilimTable!$P$4:$P$82)</f>
        <v>955.72727272727275</v>
      </c>
      <c r="AB23" s="28">
        <f>AA23/$E$49</f>
        <v>2.7773264699316694E-2</v>
      </c>
      <c r="AC23" s="30">
        <f>SUMIF(PrilimTable!$N$4:$N$82,Y23,PrilimTable!$R$4:$R$82)</f>
        <v>1053</v>
      </c>
      <c r="AD23" s="27">
        <f>AC23/$G$49</f>
        <v>2.848948892075431E-2</v>
      </c>
      <c r="AE23" s="43">
        <f>AC23-AA23</f>
        <v>97.272727272727252</v>
      </c>
      <c r="AF23" s="74">
        <f>AE23/AA23</f>
        <v>0.10177875011890039</v>
      </c>
      <c r="AG23">
        <v>900</v>
      </c>
    </row>
    <row r="24" spans="1:50" x14ac:dyDescent="0.45">
      <c r="A24">
        <f>VLOOKUP($C24,PrilimTable!$N:$T,7,FALSE)</f>
        <v>1</v>
      </c>
      <c r="B24">
        <v>19</v>
      </c>
      <c r="C24">
        <f t="shared" si="0"/>
        <v>19</v>
      </c>
      <c r="D24" t="str">
        <f>VLOOKUP($C24,PrilimTable!$N:$S,2,FALSE)</f>
        <v>Rte 19 Herman IB</v>
      </c>
      <c r="E24" s="36">
        <f>SUMIF(PrilimTable!$M$4:$M$82,B24,PrilimTable!$P$4:$P$82)</f>
        <v>955.72727272727275</v>
      </c>
      <c r="F24" s="45">
        <f t="shared" si="1"/>
        <v>2.7773264699316694E-2</v>
      </c>
      <c r="G24" s="30">
        <f>SUMIF(PrilimTable!$N$4:$N$82,C24,PrilimTable!$R$4:$R$82)</f>
        <v>1053</v>
      </c>
      <c r="H24" s="60">
        <f t="shared" si="2"/>
        <v>2.848948892075431E-2</v>
      </c>
      <c r="I24" s="43">
        <f t="shared" si="3"/>
        <v>97.272727272727252</v>
      </c>
      <c r="J24" s="74">
        <f t="shared" si="4"/>
        <v>0.10177875011890039</v>
      </c>
      <c r="L24" s="65"/>
      <c r="M24" s="41"/>
      <c r="X24">
        <v>8</v>
      </c>
      <c r="Y24">
        <v>8</v>
      </c>
      <c r="Z24" t="str">
        <f>VLOOKUP(Y24,$C$14:$D$49,2,FALSE)</f>
        <v>Rte 8 8TH AVENUE SOUTH iB</v>
      </c>
      <c r="AA24" s="36">
        <f>SUMIF(PrilimTable!$M$4:$M$82,X24,PrilimTable!$P$4:$P$82)</f>
        <v>944.40909090909088</v>
      </c>
      <c r="AB24" s="28">
        <f>AA24/$E$49</f>
        <v>2.7444360347079942E-2</v>
      </c>
      <c r="AC24" s="30">
        <f>SUMIF(PrilimTable!$N$4:$N$82,Y24,PrilimTable!$R$4:$R$82)</f>
        <v>839</v>
      </c>
      <c r="AD24" s="27">
        <f>AC24/$G$49</f>
        <v>2.2699602283488E-2</v>
      </c>
      <c r="AE24" s="43">
        <f>AC24-AA24</f>
        <v>-105.40909090909088</v>
      </c>
      <c r="AF24" s="74">
        <f>AE24/AA24</f>
        <v>-0.1116138037252731</v>
      </c>
      <c r="AG24">
        <v>1000</v>
      </c>
    </row>
    <row r="25" spans="1:50" x14ac:dyDescent="0.45">
      <c r="A25">
        <f>VLOOKUP($C25,PrilimTable!$N:$T,7,FALSE)</f>
        <v>1</v>
      </c>
      <c r="B25">
        <v>22</v>
      </c>
      <c r="C25">
        <f t="shared" si="0"/>
        <v>22</v>
      </c>
      <c r="D25" t="str">
        <f>VLOOKUP($C25,PrilimTable!$N:$S,2,FALSE)</f>
        <v>Rte 22 Bordeaux (Panaroma) IB</v>
      </c>
      <c r="E25" s="36">
        <f>SUMIF(PrilimTable!$M$4:$M$82,B25,PrilimTable!$P$4:$P$82)</f>
        <v>1505.409090909091</v>
      </c>
      <c r="F25" s="45">
        <f t="shared" si="1"/>
        <v>4.3746920649513438E-2</v>
      </c>
      <c r="G25" s="30">
        <f>SUMIF(PrilimTable!$N$4:$N$82,C25,PrilimTable!$R$4:$R$82)</f>
        <v>1697</v>
      </c>
      <c r="H25" s="60">
        <f t="shared" si="2"/>
        <v>4.5913259922621144E-2</v>
      </c>
      <c r="I25" s="43">
        <f t="shared" si="3"/>
        <v>191.59090909090901</v>
      </c>
      <c r="J25" s="74">
        <f t="shared" si="4"/>
        <v>0.12726833539660007</v>
      </c>
      <c r="L25" s="65"/>
      <c r="M25" s="41"/>
      <c r="X25">
        <v>4</v>
      </c>
      <c r="Y25">
        <v>4</v>
      </c>
      <c r="Z25" t="str">
        <f>VLOOKUP(Y25,$C$14:$D$49,2,FALSE)</f>
        <v>Rte 4 Shelby IB</v>
      </c>
      <c r="AA25" s="36">
        <f>SUMIF(PrilimTable!$M$4:$M$82,X25,PrilimTable!$P$4:$P$82)</f>
        <v>941.0454545454545</v>
      </c>
      <c r="AB25" s="28">
        <f>AA25/$E$49</f>
        <v>2.7346613672118016E-2</v>
      </c>
      <c r="AC25" s="30">
        <f>SUMIF(PrilimTable!$N$4:$N$82,Y25,PrilimTable!$R$4:$R$82)</f>
        <v>299</v>
      </c>
      <c r="AD25" s="27">
        <f>AC25/$G$49</f>
        <v>8.0896079651524583E-3</v>
      </c>
      <c r="AE25" s="43">
        <f>AC25-AA25</f>
        <v>-642.0454545454545</v>
      </c>
      <c r="AF25" s="74">
        <f>AE25/AA25</f>
        <v>-0.68226827029899051</v>
      </c>
      <c r="AG25">
        <v>1100</v>
      </c>
    </row>
    <row r="26" spans="1:50" x14ac:dyDescent="0.45">
      <c r="A26">
        <f>VLOOKUP($C26,PrilimTable!$N:$T,7,FALSE)</f>
        <v>1</v>
      </c>
      <c r="B26">
        <v>23</v>
      </c>
      <c r="C26">
        <f t="shared" si="0"/>
        <v>23</v>
      </c>
      <c r="D26" t="str">
        <f>VLOOKUP($C26,PrilimTable!$N:$S,2,FALSE)</f>
        <v>Rte 23 Dickerson Pike OB</v>
      </c>
      <c r="E26" s="36">
        <f>SUMIF(PrilimTable!$M$4:$M$82,B26,PrilimTable!$P$4:$P$82)</f>
        <v>2690.5</v>
      </c>
      <c r="F26" s="45">
        <f t="shared" si="1"/>
        <v>7.8185451860423014E-2</v>
      </c>
      <c r="G26" s="30">
        <f>SUMIF(PrilimTable!$N$4:$N$82,C26,PrilimTable!$R$4:$R$82)</f>
        <v>1650</v>
      </c>
      <c r="H26" s="60">
        <f t="shared" si="2"/>
        <v>4.4641649306025273E-2</v>
      </c>
      <c r="I26" s="43">
        <f t="shared" si="3"/>
        <v>-1040.5</v>
      </c>
      <c r="J26" s="74">
        <f t="shared" si="4"/>
        <v>-0.386731090875302</v>
      </c>
      <c r="L26" s="65"/>
      <c r="M26" s="41"/>
      <c r="X26">
        <v>6</v>
      </c>
      <c r="Y26">
        <v>6</v>
      </c>
      <c r="Z26" t="str">
        <f>VLOOKUP(Y26,$C$14:$D$49,2,FALSE)</f>
        <v>Rte 6 Lebanon Rd OB</v>
      </c>
      <c r="AA26" s="36">
        <f>SUMIF(PrilimTable!$M$4:$M$82,X26,PrilimTable!$P$4:$P$82)</f>
        <v>818.18181818181813</v>
      </c>
      <c r="AB26" s="28">
        <f>AA26/$E$49</f>
        <v>2.3776218233981756E-2</v>
      </c>
      <c r="AC26" s="30">
        <f>SUMIF(PrilimTable!$N$4:$N$82,Y26,PrilimTable!$R$4:$R$82)</f>
        <v>622</v>
      </c>
      <c r="AD26" s="27">
        <f>AC26/$G$49</f>
        <v>1.6828549011119829E-2</v>
      </c>
      <c r="AE26" s="43">
        <f>AC26-AA26</f>
        <v>-196.18181818181813</v>
      </c>
      <c r="AF26" s="74">
        <f>AE26/AA26</f>
        <v>-0.23977777777777773</v>
      </c>
      <c r="AG26">
        <v>1200</v>
      </c>
    </row>
    <row r="27" spans="1:50" x14ac:dyDescent="0.45">
      <c r="A27">
        <f>VLOOKUP($C27,PrilimTable!$N:$T,7,FALSE)</f>
        <v>1</v>
      </c>
      <c r="B27">
        <v>28</v>
      </c>
      <c r="C27">
        <f t="shared" si="0"/>
        <v>28</v>
      </c>
      <c r="D27" t="str">
        <f>VLOOKUP($C27,PrilimTable!$N:$S,2,FALSE)</f>
        <v>Rte 28 Meridian IB</v>
      </c>
      <c r="E27" s="36">
        <f>SUMIF(PrilimTable!$M$4:$M$82,B27,PrilimTable!$P$4:$P$82)</f>
        <v>275.40909090909088</v>
      </c>
      <c r="F27" s="45">
        <f t="shared" si="1"/>
        <v>8.0033392377608596E-3</v>
      </c>
      <c r="G27" s="30">
        <f>SUMIF(PrilimTable!$N$4:$N$82,C27,PrilimTable!$R$4:$R$82)</f>
        <v>45</v>
      </c>
      <c r="H27" s="60">
        <f t="shared" si="2"/>
        <v>1.217499526527962E-3</v>
      </c>
      <c r="I27" s="43">
        <f t="shared" si="3"/>
        <v>-230.40909090909088</v>
      </c>
      <c r="J27" s="74">
        <f t="shared" si="4"/>
        <v>-0.83660670077570554</v>
      </c>
      <c r="L27" s="65"/>
      <c r="M27" s="41"/>
      <c r="X27">
        <v>29</v>
      </c>
      <c r="Y27">
        <v>29</v>
      </c>
      <c r="Z27" t="str">
        <f>VLOOKUP(Y27,$C$14:$D$49,2,FALSE)</f>
        <v>Rte 29 Jefferson IB</v>
      </c>
      <c r="AA27" s="36">
        <f>SUMIF(PrilimTable!$M$4:$M$82,X27,PrilimTable!$P$4:$P$82)</f>
        <v>691.09090909090912</v>
      </c>
      <c r="AB27" s="28">
        <f>AA27/$E$49</f>
        <v>2.0082979001636591E-2</v>
      </c>
      <c r="AC27" s="30">
        <f>SUMIF(PrilimTable!$N$4:$N$82,Y27,PrilimTable!$R$4:$R$82)</f>
        <v>582</v>
      </c>
      <c r="AD27" s="27">
        <f>AC27/$G$49</f>
        <v>1.574632720976164E-2</v>
      </c>
      <c r="AE27" s="43">
        <f>AC27-AA27</f>
        <v>-109.09090909090912</v>
      </c>
      <c r="AF27" s="74">
        <f>AE27/AA27</f>
        <v>-0.15785319652722971</v>
      </c>
      <c r="AG27">
        <v>1300</v>
      </c>
    </row>
    <row r="28" spans="1:50" x14ac:dyDescent="0.45">
      <c r="A28">
        <f>VLOOKUP($C28,PrilimTable!$N:$T,7,FALSE)</f>
        <v>1</v>
      </c>
      <c r="B28">
        <v>29</v>
      </c>
      <c r="C28">
        <f t="shared" si="0"/>
        <v>29</v>
      </c>
      <c r="D28" t="str">
        <f>VLOOKUP($C28,PrilimTable!$N:$S,2,FALSE)</f>
        <v>Rte 29 Jefferson IB</v>
      </c>
      <c r="E28" s="36">
        <f>SUMIF(PrilimTable!$M$4:$M$82,B28,PrilimTable!$P$4:$P$82)</f>
        <v>691.09090909090912</v>
      </c>
      <c r="F28" s="45">
        <f t="shared" si="1"/>
        <v>2.0082979001636591E-2</v>
      </c>
      <c r="G28" s="30">
        <f>SUMIF(PrilimTable!$N$4:$N$82,C28,PrilimTable!$R$4:$R$82)</f>
        <v>582</v>
      </c>
      <c r="H28" s="60">
        <f t="shared" si="2"/>
        <v>1.574632720976164E-2</v>
      </c>
      <c r="I28" s="43">
        <f t="shared" si="3"/>
        <v>-109.09090909090912</v>
      </c>
      <c r="J28" s="74">
        <f t="shared" si="4"/>
        <v>-0.15785319652722971</v>
      </c>
      <c r="L28" s="65"/>
      <c r="M28" s="41"/>
      <c r="X28">
        <v>18</v>
      </c>
      <c r="Y28">
        <v>18</v>
      </c>
      <c r="Z28" t="str">
        <f>VLOOKUP(Y28,$C$14:$D$49,2,FALSE)</f>
        <v>Rte 18 Airport Exp OB</v>
      </c>
      <c r="AA28" s="36">
        <f>SUMIF(PrilimTable!$M$4:$M$82,X28,PrilimTable!$P$4:$P$82)</f>
        <v>677.90909090909088</v>
      </c>
      <c r="AB28" s="28">
        <f>AA28/$E$49</f>
        <v>1.9699917707866884E-2</v>
      </c>
      <c r="AC28" s="30">
        <f>SUMIF(PrilimTable!$N$4:$N$82,Y28,PrilimTable!$R$4:$R$82)</f>
        <v>358</v>
      </c>
      <c r="AD28" s="27">
        <f>AC28/$G$49</f>
        <v>9.6858851221557855E-3</v>
      </c>
      <c r="AE28" s="43">
        <f>AC28-AA28</f>
        <v>-319.90909090909088</v>
      </c>
      <c r="AF28" s="74">
        <f>AE28/AA28</f>
        <v>-0.47190559206115057</v>
      </c>
      <c r="AG28">
        <v>1400</v>
      </c>
    </row>
    <row r="29" spans="1:50" x14ac:dyDescent="0.45">
      <c r="A29">
        <f>VLOOKUP($C29,PrilimTable!$N:$T,7,FALSE)</f>
        <v>1</v>
      </c>
      <c r="B29">
        <v>34</v>
      </c>
      <c r="C29">
        <f t="shared" si="0"/>
        <v>34</v>
      </c>
      <c r="D29" t="str">
        <f>VLOOKUP($C29,PrilimTable!$N:$S,2,FALSE)</f>
        <v>Rte 34 Opry Mills IB</v>
      </c>
      <c r="E29" s="36">
        <f>SUMIF(PrilimTable!$M$4:$M$82,B29,PrilimTable!$P$4:$P$82)</f>
        <v>365.81818181818181</v>
      </c>
      <c r="F29" s="45">
        <f t="shared" si="1"/>
        <v>1.0630611352615844E-2</v>
      </c>
      <c r="G29" s="30">
        <f>SUMIF(PrilimTable!$N$4:$N$82,C29,PrilimTable!$R$4:$R$82)</f>
        <v>44</v>
      </c>
      <c r="H29" s="60">
        <f t="shared" si="2"/>
        <v>1.1904439814940072E-3</v>
      </c>
      <c r="I29" s="43">
        <f t="shared" si="3"/>
        <v>-321.81818181818181</v>
      </c>
      <c r="J29" s="74">
        <f t="shared" si="4"/>
        <v>-0.87972166998011925</v>
      </c>
      <c r="L29" s="65"/>
      <c r="M29" s="41"/>
      <c r="X29">
        <v>17</v>
      </c>
      <c r="Y29">
        <v>17</v>
      </c>
      <c r="Z29" t="str">
        <f>VLOOKUP(Y29,$C$14:$D$49,2,FALSE)</f>
        <v>Rte 17 12TH AVENUE SOUTH iB</v>
      </c>
      <c r="AA29" s="36">
        <f>SUMIF(PrilimTable!$M$4:$M$82,X29,PrilimTable!$P$4:$P$82)</f>
        <v>637.9545454545455</v>
      </c>
      <c r="AB29" s="28">
        <f>AA29/$E$49</f>
        <v>1.8538845717440779E-2</v>
      </c>
      <c r="AC29" s="30">
        <f>SUMIF(PrilimTable!$N$4:$N$82,Y29,PrilimTable!$R$4:$R$82)</f>
        <v>886</v>
      </c>
      <c r="AD29" s="27">
        <f>AC29/$G$49</f>
        <v>2.3971212900083871E-2</v>
      </c>
      <c r="AE29" s="43">
        <f>AC29-AA29</f>
        <v>248.0454545454545</v>
      </c>
      <c r="AF29" s="74">
        <f>AE29/AA29</f>
        <v>0.38881368008550043</v>
      </c>
      <c r="AG29">
        <v>1500</v>
      </c>
    </row>
    <row r="30" spans="1:50" x14ac:dyDescent="0.45">
      <c r="A30">
        <f>VLOOKUP($C30,PrilimTable!$N:$T,7,FALSE)</f>
        <v>1</v>
      </c>
      <c r="B30">
        <v>41</v>
      </c>
      <c r="C30">
        <f t="shared" si="0"/>
        <v>41</v>
      </c>
      <c r="D30" t="str">
        <f>VLOOKUP($C30,PrilimTable!$N:$S,2,FALSE)</f>
        <v>Rte 41 Golden Valley OB PM</v>
      </c>
      <c r="E30" s="36">
        <f>SUMIF(PrilimTable!$M$4:$M$82,B30,PrilimTable!$P$4:$P$82)</f>
        <v>61.909090909090907</v>
      </c>
      <c r="F30" s="45">
        <f t="shared" si="1"/>
        <v>1.7990671797046196E-3</v>
      </c>
      <c r="G30" s="30">
        <f>SUMIF(PrilimTable!$N$4:$N$82,C30,PrilimTable!$R$4:$R$82)</f>
        <v>27</v>
      </c>
      <c r="H30" s="60">
        <f t="shared" si="2"/>
        <v>7.3049971591677716E-4</v>
      </c>
      <c r="I30" s="43">
        <f t="shared" si="3"/>
        <v>-34.909090909090907</v>
      </c>
      <c r="J30" s="74">
        <f t="shared" si="4"/>
        <v>-0.5638766519823788</v>
      </c>
      <c r="L30" s="65"/>
      <c r="M30" s="41"/>
      <c r="X30">
        <v>42</v>
      </c>
      <c r="Y30">
        <v>42</v>
      </c>
      <c r="Z30" t="str">
        <f>VLOOKUP(Y30,$C$14:$D$49,2,FALSE)</f>
        <v>Rte 42 St. Cecilia/Cumberland IB</v>
      </c>
      <c r="AA30" s="36">
        <f>SUMIF(PrilimTable!$M$4:$M$82,X30,PrilimTable!$P$4:$P$82)</f>
        <v>402.68181818181819</v>
      </c>
      <c r="AB30" s="28">
        <f>AA30/$E$49</f>
        <v>1.1701862074158022E-2</v>
      </c>
      <c r="AC30" s="30">
        <f>SUMIF(PrilimTable!$N$4:$N$82,Y30,PrilimTable!$R$4:$R$82)</f>
        <v>716</v>
      </c>
      <c r="AD30" s="27">
        <f>AC30/$G$49</f>
        <v>1.9371770244311571E-2</v>
      </c>
      <c r="AE30" s="43">
        <f>AC30-AA30</f>
        <v>313.31818181818181</v>
      </c>
      <c r="AF30" s="74">
        <f>AE30/AA30</f>
        <v>0.77807878993114343</v>
      </c>
      <c r="AG30">
        <v>1600</v>
      </c>
    </row>
    <row r="31" spans="1:50" x14ac:dyDescent="0.45">
      <c r="A31">
        <f>VLOOKUP($C31,PrilimTable!$N:$T,7,FALSE)</f>
        <v>1</v>
      </c>
      <c r="B31">
        <v>42</v>
      </c>
      <c r="C31">
        <f t="shared" si="0"/>
        <v>42</v>
      </c>
      <c r="D31" t="str">
        <f>VLOOKUP($C31,PrilimTable!$N:$S,2,FALSE)</f>
        <v>Rte 42 St. Cecilia/Cumberland IB</v>
      </c>
      <c r="E31" s="36">
        <f>SUMIF(PrilimTable!$M$4:$M$82,B31,PrilimTable!$P$4:$P$82)</f>
        <v>402.68181818181819</v>
      </c>
      <c r="F31" s="45">
        <f t="shared" si="1"/>
        <v>1.1701862074158022E-2</v>
      </c>
      <c r="G31" s="30">
        <f>SUMIF(PrilimTable!$N$4:$N$82,C31,PrilimTable!$R$4:$R$82)</f>
        <v>716</v>
      </c>
      <c r="H31" s="60">
        <f t="shared" si="2"/>
        <v>1.9371770244311571E-2</v>
      </c>
      <c r="I31" s="43">
        <f t="shared" si="3"/>
        <v>313.31818181818181</v>
      </c>
      <c r="J31" s="74">
        <f t="shared" si="4"/>
        <v>0.77807878993114343</v>
      </c>
      <c r="L31" s="65"/>
      <c r="M31" s="41"/>
      <c r="X31">
        <v>90</v>
      </c>
      <c r="Y31">
        <v>90</v>
      </c>
      <c r="Z31" t="str">
        <f>VLOOKUP(Y31,$C$14:$D$49,2,FALSE)</f>
        <v>Rte 90 Music City Star oB</v>
      </c>
      <c r="AA31" s="36">
        <f>SUMIF(PrilimTable!$M$4:$M$82,X31,PrilimTable!$P$4:$P$82)</f>
        <v>399.31818181818181</v>
      </c>
      <c r="AB31" s="28">
        <f>AA31/$E$49</f>
        <v>1.1604115399196096E-2</v>
      </c>
      <c r="AC31" s="30">
        <f>SUMIF(PrilimTable!$N$4:$N$82,Y31,PrilimTable!$R$4:$R$82)</f>
        <v>40</v>
      </c>
      <c r="AD31" s="27">
        <f>AC31/$G$49</f>
        <v>1.0822218013581883E-3</v>
      </c>
      <c r="AE31" s="43">
        <f>AC31-AA31</f>
        <v>-359.31818181818181</v>
      </c>
      <c r="AF31" s="74">
        <f>AE31/AA31</f>
        <v>-0.89982925441092776</v>
      </c>
      <c r="AG31">
        <v>1700</v>
      </c>
    </row>
    <row r="32" spans="1:50" x14ac:dyDescent="0.45">
      <c r="A32">
        <f>VLOOKUP($C32,PrilimTable!$N:$T,7,FALSE)</f>
        <v>1</v>
      </c>
      <c r="B32">
        <v>50</v>
      </c>
      <c r="C32">
        <f t="shared" si="0"/>
        <v>50</v>
      </c>
      <c r="D32" t="str">
        <f>VLOOKUP($C32,PrilimTable!$N:$S,2,FALSE)</f>
        <v>Rte 50 CHARLOTTE PIKE oB</v>
      </c>
      <c r="E32" s="36">
        <f>SUMIF(PrilimTable!$M$4:$M$82,B32,PrilimTable!$P$4:$P$82)</f>
        <v>2542.863636363636</v>
      </c>
      <c r="F32" s="45">
        <f t="shared" si="1"/>
        <v>7.3895165370202298E-2</v>
      </c>
      <c r="G32" s="30">
        <f>SUMIF(PrilimTable!$N$4:$N$82,C32,PrilimTable!$R$4:$R$82)</f>
        <v>2777</v>
      </c>
      <c r="H32" s="60">
        <f t="shared" si="2"/>
        <v>7.5133248559292223E-2</v>
      </c>
      <c r="I32" s="43">
        <f t="shared" si="3"/>
        <v>234.13636363636397</v>
      </c>
      <c r="J32" s="74">
        <f t="shared" si="4"/>
        <v>9.2075862931912986E-2</v>
      </c>
      <c r="L32" s="65"/>
      <c r="M32" s="41"/>
      <c r="X32">
        <v>34</v>
      </c>
      <c r="Y32">
        <v>34</v>
      </c>
      <c r="Z32" t="str">
        <f>VLOOKUP(Y32,$C$14:$D$49,2,FALSE)</f>
        <v>Rte 34 Opry Mills IB</v>
      </c>
      <c r="AA32" s="36">
        <f>SUMIF(PrilimTable!$M$4:$M$82,X32,PrilimTable!$P$4:$P$82)</f>
        <v>365.81818181818181</v>
      </c>
      <c r="AB32" s="28">
        <f>AA32/$E$49</f>
        <v>1.0630611352615844E-2</v>
      </c>
      <c r="AC32" s="30">
        <f>SUMIF(PrilimTable!$N$4:$N$82,Y32,PrilimTable!$R$4:$R$82)</f>
        <v>44</v>
      </c>
      <c r="AD32" s="27">
        <f>AC32/$G$49</f>
        <v>1.1904439814940072E-3</v>
      </c>
      <c r="AE32" s="43">
        <f>AC32-AA32</f>
        <v>-321.81818181818181</v>
      </c>
      <c r="AF32" s="74">
        <f>AE32/AA32</f>
        <v>-0.87972166998011925</v>
      </c>
      <c r="AG32">
        <v>1800</v>
      </c>
    </row>
    <row r="33" spans="1:33" x14ac:dyDescent="0.45">
      <c r="A33">
        <f>VLOOKUP($C33,PrilimTable!$N:$T,7,FALSE)</f>
        <v>1</v>
      </c>
      <c r="B33">
        <v>52</v>
      </c>
      <c r="C33">
        <f t="shared" si="0"/>
        <v>52</v>
      </c>
      <c r="D33" t="str">
        <f>VLOOKUP($C33,PrilimTable!$N:$S,2,FALSE)</f>
        <v>Rte 52 NOLENSVILLE PIKE (Hick) oB</v>
      </c>
      <c r="E33" s="36">
        <f>SUMIF(PrilimTable!$M$4:$M$82,B33,PrilimTable!$P$4:$P$82)</f>
        <v>3623.863636363636</v>
      </c>
      <c r="F33" s="45">
        <f t="shared" si="1"/>
        <v>0.1053088332613442</v>
      </c>
      <c r="G33" s="30">
        <f>SUMIF(PrilimTable!$N$4:$N$82,C33,PrilimTable!$R$4:$R$82)</f>
        <v>3228</v>
      </c>
      <c r="H33" s="60">
        <f t="shared" si="2"/>
        <v>8.7335299369605796E-2</v>
      </c>
      <c r="I33" s="43">
        <f t="shared" si="3"/>
        <v>-395.86363636363603</v>
      </c>
      <c r="J33" s="74">
        <f t="shared" si="4"/>
        <v>-0.10923800564440256</v>
      </c>
      <c r="L33" s="65"/>
      <c r="M33" s="41"/>
      <c r="X33">
        <v>9</v>
      </c>
      <c r="Y33">
        <v>9</v>
      </c>
      <c r="Z33" t="str">
        <f>VLOOKUP(Y33,$C$14:$D$49,2,FALSE)</f>
        <v>Rte 9 MetroCenter OB</v>
      </c>
      <c r="AA33" s="36">
        <f>SUMIF(PrilimTable!$M$4:$M$82,X33,PrilimTable!$P$4:$P$82)</f>
        <v>350.59090909090912</v>
      </c>
      <c r="AB33" s="28">
        <f>AA33/$E$49</f>
        <v>1.0188109513261184E-2</v>
      </c>
      <c r="AC33" s="30">
        <f>SUMIF(PrilimTable!$N$4:$N$82,Y33,PrilimTable!$R$4:$R$82)</f>
        <v>834</v>
      </c>
      <c r="AD33" s="27">
        <f>AC33/$G$49</f>
        <v>2.2564324558318229E-2</v>
      </c>
      <c r="AE33" s="43">
        <f>AC33-AA33</f>
        <v>483.40909090909088</v>
      </c>
      <c r="AF33" s="74">
        <f>AE33/AA33</f>
        <v>1.3788409179307661</v>
      </c>
      <c r="AG33">
        <v>1900</v>
      </c>
    </row>
    <row r="34" spans="1:33" x14ac:dyDescent="0.45">
      <c r="A34">
        <f>VLOOKUP($C34,PrilimTable!$N:$T,7,FALSE)</f>
        <v>1</v>
      </c>
      <c r="B34">
        <v>55</v>
      </c>
      <c r="C34">
        <f t="shared" si="0"/>
        <v>55</v>
      </c>
      <c r="D34" t="str">
        <f>VLOOKUP($C34,PrilimTable!$N:$S,2,FALSE)</f>
        <v>Rte 55 MURFREESBORO PIKE oB</v>
      </c>
      <c r="E34" s="36">
        <f>SUMIF(PrilimTable!$M$4:$M$82,B34,PrilimTable!$P$4:$P$82)</f>
        <v>5829.363636363636</v>
      </c>
      <c r="F34" s="45">
        <f t="shared" si="1"/>
        <v>0.16940027131306803</v>
      </c>
      <c r="G34" s="30">
        <f>SUMIF(PrilimTable!$N$4:$N$82,C34,PrilimTable!$R$4:$R$82)</f>
        <v>4122</v>
      </c>
      <c r="H34" s="60">
        <f t="shared" si="2"/>
        <v>0.11152295662996131</v>
      </c>
      <c r="I34" s="43">
        <f t="shared" si="3"/>
        <v>-1707.363636363636</v>
      </c>
      <c r="J34" s="74">
        <f t="shared" si="4"/>
        <v>-0.29289022659576125</v>
      </c>
      <c r="L34" s="65"/>
      <c r="M34" s="41"/>
      <c r="X34">
        <v>76</v>
      </c>
      <c r="Y34">
        <v>76</v>
      </c>
      <c r="Z34" t="str">
        <f>VLOOKUP(Y34,$C$14:$D$49,2,FALSE)</f>
        <v>Rte 76 Madison Conn</v>
      </c>
      <c r="AA34" s="36">
        <f>SUMIF(PrilimTable!$M$4:$M$82,X34,PrilimTable!$P$4:$P$82)</f>
        <v>347.31818181818181</v>
      </c>
      <c r="AB34" s="28">
        <f>AA34/$E$49</f>
        <v>1.0093004640325256E-2</v>
      </c>
      <c r="AC34" s="30">
        <f>SUMIF(PrilimTable!$N$4:$N$82,Y34,PrilimTable!$R$4:$R$82)</f>
        <v>78</v>
      </c>
      <c r="AD34" s="27">
        <f>AC34/$G$49</f>
        <v>2.1103325126484674E-3</v>
      </c>
      <c r="AE34" s="43">
        <f>AC34-AA34</f>
        <v>-269.31818181818181</v>
      </c>
      <c r="AF34" s="74">
        <f>AE34/AA34</f>
        <v>-0.77542206517471535</v>
      </c>
      <c r="AG34">
        <v>2000</v>
      </c>
    </row>
    <row r="35" spans="1:33" x14ac:dyDescent="0.45">
      <c r="A35">
        <f>VLOOKUP($C35,PrilimTable!$N:$T,7,FALSE)</f>
        <v>8</v>
      </c>
      <c r="B35">
        <v>56</v>
      </c>
      <c r="C35">
        <f t="shared" si="0"/>
        <v>56</v>
      </c>
      <c r="D35" t="str">
        <f>VLOOKUP($C35,PrilimTable!$N:$S,2,FALSE)</f>
        <v>Rte 56 Gallatin Rd IB</v>
      </c>
      <c r="E35" s="36">
        <f>SUMIF(PrilimTable!$M$4:$M$82,B35,PrilimTable!$P$4:$P$82)</f>
        <v>4470.863636363636</v>
      </c>
      <c r="F35" s="45">
        <f t="shared" si="1"/>
        <v>0.12992250273756731</v>
      </c>
      <c r="G35" s="30">
        <f>SUMIF(PrilimTable!$N$4:$N$82,C35,PrilimTable!$R$4:$R$82)</f>
        <v>4313</v>
      </c>
      <c r="H35" s="60">
        <f t="shared" si="2"/>
        <v>0.11669056573144666</v>
      </c>
      <c r="I35" s="43">
        <f t="shared" si="3"/>
        <v>-157.86363636363603</v>
      </c>
      <c r="J35" s="74">
        <f t="shared" si="4"/>
        <v>-3.5309427708699694E-2</v>
      </c>
      <c r="L35" s="65"/>
      <c r="M35" s="41"/>
      <c r="X35">
        <v>14</v>
      </c>
      <c r="Y35">
        <v>14</v>
      </c>
      <c r="Z35" t="str">
        <f>VLOOKUP(Y35,$C$14:$D$49,2,FALSE)</f>
        <v>Rte 14 WHITES CREEK oB</v>
      </c>
      <c r="AA35" s="36">
        <f>SUMIF(PrilimTable!$M$4:$M$82,X35,PrilimTable!$P$4:$P$82)</f>
        <v>334.18181818181819</v>
      </c>
      <c r="AB35" s="28">
        <f>AA35/$E$49</f>
        <v>9.7112642475685497E-3</v>
      </c>
      <c r="AC35" s="30">
        <f>SUMIF(PrilimTable!$N$4:$N$82,Y35,PrilimTable!$R$4:$R$82)</f>
        <v>328</v>
      </c>
      <c r="AD35" s="27">
        <f>AC35/$G$49</f>
        <v>8.8742187711371451E-3</v>
      </c>
      <c r="AE35" s="43">
        <f>AC35-AA35</f>
        <v>-6.181818181818187</v>
      </c>
      <c r="AF35" s="74">
        <f>AE35/AA35</f>
        <v>-1.8498367791077271E-2</v>
      </c>
      <c r="AG35">
        <v>2100</v>
      </c>
    </row>
    <row r="36" spans="1:33" x14ac:dyDescent="0.45">
      <c r="A36">
        <f>VLOOKUP($C36,PrilimTable!$N:$T,7,FALSE)</f>
        <v>11</v>
      </c>
      <c r="B36">
        <v>64</v>
      </c>
      <c r="C36">
        <f t="shared" si="0"/>
        <v>64</v>
      </c>
      <c r="D36" t="str">
        <f>VLOOKUP($C36,PrilimTable!$N:$S,2,FALSE)</f>
        <v>Rte 64 STAR DOWNTOWN SHUTTLE</v>
      </c>
      <c r="E36" s="36">
        <f>SUMIF(PrilimTable!$M$4:$M$82,B36,PrilimTable!$P$4:$P$82)</f>
        <v>9.1818181818181817</v>
      </c>
      <c r="F36" s="45">
        <f t="shared" si="1"/>
        <v>2.668220046257953E-4</v>
      </c>
      <c r="G36" s="30">
        <f>SUMIF(PrilimTable!$N$4:$N$82,C36,PrilimTable!$R$4:$R$82)</f>
        <v>547</v>
      </c>
      <c r="H36" s="60">
        <f t="shared" si="2"/>
        <v>1.4799383133573226E-2</v>
      </c>
      <c r="I36" s="43">
        <f t="shared" si="3"/>
        <v>537.81818181818187</v>
      </c>
      <c r="J36" s="74">
        <f t="shared" si="4"/>
        <v>58.57425742574258</v>
      </c>
      <c r="L36" s="65"/>
      <c r="M36" s="41"/>
      <c r="X36">
        <v>77</v>
      </c>
      <c r="Y36">
        <v>77</v>
      </c>
      <c r="Z36" t="str">
        <f>VLOOKUP(Y36,$C$14:$D$49,2,FALSE)</f>
        <v>Rte 77 THOMPSON - WEDGEWOOD ccw</v>
      </c>
      <c r="AA36" s="36">
        <f>SUMIF(PrilimTable!$M$4:$M$82,X36,PrilimTable!$P$4:$P$82)</f>
        <v>333.95454545454538</v>
      </c>
      <c r="AB36" s="28">
        <f>AA36/$E$49</f>
        <v>9.7046597425035526E-3</v>
      </c>
      <c r="AC36" s="30">
        <f>SUMIF(PrilimTable!$N$4:$N$82,Y36,PrilimTable!$R$4:$R$82)</f>
        <v>90</v>
      </c>
      <c r="AD36" s="27">
        <f>AC36/$G$49</f>
        <v>2.434999053055924E-3</v>
      </c>
      <c r="AE36" s="43">
        <f>AC36-AA36</f>
        <v>-243.95454545454538</v>
      </c>
      <c r="AF36" s="74">
        <f>AE36/AA36</f>
        <v>-0.7305022458146182</v>
      </c>
      <c r="AG36">
        <v>2200</v>
      </c>
    </row>
    <row r="37" spans="1:33" x14ac:dyDescent="0.45">
      <c r="A37">
        <f>VLOOKUP($C37,PrilimTable!$N:$T,7,FALSE)</f>
        <v>1</v>
      </c>
      <c r="B37">
        <v>70</v>
      </c>
      <c r="C37">
        <f t="shared" si="0"/>
        <v>70</v>
      </c>
      <c r="D37" t="str">
        <f>VLOOKUP($C37,PrilimTable!$N:$S,2,FALSE)</f>
        <v>Rte 70 Belevue Conn OB</v>
      </c>
      <c r="E37" s="36">
        <f>SUMIF(PrilimTable!$M$4:$M$82,B37,PrilimTable!$P$4:$P$82)</f>
        <v>42.409090909090907</v>
      </c>
      <c r="F37" s="45">
        <f t="shared" si="1"/>
        <v>1.2324006451280543E-3</v>
      </c>
      <c r="G37" s="30">
        <f>SUMIF(PrilimTable!$N$4:$N$82,C37,PrilimTable!$R$4:$R$82)</f>
        <v>31</v>
      </c>
      <c r="H37" s="60">
        <f t="shared" si="2"/>
        <v>8.3872189605259601E-4</v>
      </c>
      <c r="I37" s="43">
        <f t="shared" si="3"/>
        <v>-11.409090909090907</v>
      </c>
      <c r="J37" s="74">
        <f t="shared" si="4"/>
        <v>-0.26902465166130757</v>
      </c>
      <c r="L37" s="65"/>
      <c r="M37" s="41"/>
      <c r="X37">
        <v>28</v>
      </c>
      <c r="Y37">
        <v>28</v>
      </c>
      <c r="Z37" t="str">
        <f>VLOOKUP(Y37,$C$14:$D$49,2,FALSE)</f>
        <v>Rte 28 Meridian IB</v>
      </c>
      <c r="AA37" s="36">
        <f>SUMIF(PrilimTable!$M$4:$M$82,X37,PrilimTable!$P$4:$P$82)</f>
        <v>275.40909090909088</v>
      </c>
      <c r="AB37" s="28">
        <f>AA37/$E$49</f>
        <v>8.0033392377608596E-3</v>
      </c>
      <c r="AC37" s="30">
        <f>SUMIF(PrilimTable!$N$4:$N$82,Y37,PrilimTable!$R$4:$R$82)</f>
        <v>45</v>
      </c>
      <c r="AD37" s="27">
        <f>AC37/$G$49</f>
        <v>1.217499526527962E-3</v>
      </c>
      <c r="AE37" s="43">
        <f>AC37-AA37</f>
        <v>-230.40909090909088</v>
      </c>
      <c r="AF37" s="74">
        <f>AE37/AA37</f>
        <v>-0.83660670077570554</v>
      </c>
      <c r="AG37">
        <v>2300</v>
      </c>
    </row>
    <row r="38" spans="1:33" x14ac:dyDescent="0.45">
      <c r="A38">
        <f>VLOOKUP($C38,PrilimTable!$N:$T,7,FALSE)</f>
        <v>1</v>
      </c>
      <c r="B38">
        <v>75</v>
      </c>
      <c r="C38">
        <f t="shared" si="0"/>
        <v>75</v>
      </c>
      <c r="D38" t="str">
        <f>VLOOKUP($C38,PrilimTable!$N:$S,2,FALSE)</f>
        <v>Rte 75 Midtown CW Loop</v>
      </c>
      <c r="E38" s="36">
        <f>SUMIF(PrilimTable!$M$4:$M$82,B38,PrilimTable!$P$4:$P$82)</f>
        <v>127.6363636363636</v>
      </c>
      <c r="F38" s="45">
        <f t="shared" si="1"/>
        <v>3.7090900445011532E-3</v>
      </c>
      <c r="G38" s="30">
        <f>SUMIF(PrilimTable!$N$4:$N$82,C38,PrilimTable!$R$4:$R$82)</f>
        <v>147</v>
      </c>
      <c r="H38" s="60">
        <f t="shared" si="2"/>
        <v>3.9771651199913419E-3</v>
      </c>
      <c r="I38" s="43">
        <f t="shared" si="3"/>
        <v>19.363636363636402</v>
      </c>
      <c r="J38" s="74">
        <f t="shared" si="4"/>
        <v>0.15170940170940206</v>
      </c>
      <c r="L38" s="65"/>
      <c r="M38" s="41"/>
      <c r="X38">
        <v>79</v>
      </c>
      <c r="Y38">
        <v>79</v>
      </c>
      <c r="Z38" t="str">
        <f>VLOOKUP(Y38,$C$14:$D$49,2,FALSE)</f>
        <v>Rte 79 Skyline iB</v>
      </c>
      <c r="AA38" s="36">
        <f>SUMIF(PrilimTable!$M$4:$M$82,X38,PrilimTable!$P$4:$P$82)</f>
        <v>225.77272727272731</v>
      </c>
      <c r="AB38" s="28">
        <f>AA38/$E$49</f>
        <v>6.560915331565967E-3</v>
      </c>
      <c r="AC38" s="30">
        <f>SUMIF(PrilimTable!$N$4:$N$82,Y38,PrilimTable!$R$4:$R$82)</f>
        <v>71</v>
      </c>
      <c r="AD38" s="27">
        <f>AC38/$G$49</f>
        <v>1.9209436974107843E-3</v>
      </c>
      <c r="AE38" s="43">
        <f>AC38-AA38</f>
        <v>-154.77272727272731</v>
      </c>
      <c r="AF38" s="74">
        <f>AE38/AA38</f>
        <v>-0.68552446144554058</v>
      </c>
      <c r="AG38">
        <v>2400</v>
      </c>
    </row>
    <row r="39" spans="1:33" x14ac:dyDescent="0.45">
      <c r="A39">
        <f>VLOOKUP($C39,PrilimTable!$N:$T,7,FALSE)</f>
        <v>1</v>
      </c>
      <c r="B39">
        <v>76</v>
      </c>
      <c r="C39">
        <f t="shared" si="0"/>
        <v>76</v>
      </c>
      <c r="D39" t="str">
        <f>VLOOKUP($C39,PrilimTable!$N:$S,2,FALSE)</f>
        <v>Rte 76 Madison Conn</v>
      </c>
      <c r="E39" s="36">
        <f>SUMIF(PrilimTable!$M$4:$M$82,B39,PrilimTable!$P$4:$P$82)</f>
        <v>347.31818181818181</v>
      </c>
      <c r="F39" s="45">
        <f t="shared" si="1"/>
        <v>1.0093004640325256E-2</v>
      </c>
      <c r="G39" s="30">
        <f>SUMIF(PrilimTable!$N$4:$N$82,C39,PrilimTable!$R$4:$R$82)</f>
        <v>78</v>
      </c>
      <c r="H39" s="60">
        <f t="shared" si="2"/>
        <v>2.1103325126484674E-3</v>
      </c>
      <c r="I39" s="43">
        <f t="shared" si="3"/>
        <v>-269.31818181818181</v>
      </c>
      <c r="J39" s="74">
        <f t="shared" si="4"/>
        <v>-0.77542206517471535</v>
      </c>
      <c r="L39" s="65"/>
      <c r="M39" s="41"/>
      <c r="X39">
        <v>75</v>
      </c>
      <c r="Y39">
        <v>75</v>
      </c>
      <c r="Z39" t="str">
        <f>VLOOKUP(Y39,$C$14:$D$49,2,FALSE)</f>
        <v>Rte 75 Midtown CW Loop</v>
      </c>
      <c r="AA39" s="36">
        <f>SUMIF(PrilimTable!$M$4:$M$82,X39,PrilimTable!$P$4:$P$82)</f>
        <v>127.6363636363636</v>
      </c>
      <c r="AB39" s="28">
        <f>AA39/$E$49</f>
        <v>3.7090900445011532E-3</v>
      </c>
      <c r="AC39" s="30">
        <f>SUMIF(PrilimTable!$N$4:$N$82,Y39,PrilimTable!$R$4:$R$82)</f>
        <v>147</v>
      </c>
      <c r="AD39" s="27">
        <f>AC39/$G$49</f>
        <v>3.9771651199913419E-3</v>
      </c>
      <c r="AE39" s="43">
        <f>AC39-AA39</f>
        <v>19.363636363636402</v>
      </c>
      <c r="AF39" s="74">
        <f>AE39/AA39</f>
        <v>0.15170940170940206</v>
      </c>
      <c r="AG39">
        <v>2500</v>
      </c>
    </row>
    <row r="40" spans="1:33" x14ac:dyDescent="0.45">
      <c r="A40">
        <f>VLOOKUP($C40,PrilimTable!$N:$T,7,FALSE)</f>
        <v>1</v>
      </c>
      <c r="B40">
        <v>77</v>
      </c>
      <c r="C40">
        <f t="shared" si="0"/>
        <v>77</v>
      </c>
      <c r="D40" t="str">
        <f>VLOOKUP($C40,PrilimTable!$N:$S,2,FALSE)</f>
        <v>Rte 77 THOMPSON - WEDGEWOOD ccw</v>
      </c>
      <c r="E40" s="36">
        <f>SUMIF(PrilimTable!$M$4:$M$82,B40,PrilimTable!$P$4:$P$82)</f>
        <v>333.95454545454538</v>
      </c>
      <c r="F40" s="45">
        <f t="shared" si="1"/>
        <v>9.7046597425035526E-3</v>
      </c>
      <c r="G40" s="30">
        <f>SUMIF(PrilimTable!$N$4:$N$82,C40,PrilimTable!$R$4:$R$82)</f>
        <v>90</v>
      </c>
      <c r="H40" s="60">
        <f t="shared" si="2"/>
        <v>2.434999053055924E-3</v>
      </c>
      <c r="I40" s="43">
        <f t="shared" si="3"/>
        <v>-243.95454545454538</v>
      </c>
      <c r="J40" s="74">
        <f t="shared" si="4"/>
        <v>-0.7305022458146182</v>
      </c>
      <c r="L40" s="65"/>
      <c r="M40" s="41"/>
      <c r="X40">
        <v>84</v>
      </c>
      <c r="Y40">
        <v>84</v>
      </c>
      <c r="Z40" t="str">
        <f>VLOOKUP(Y40,$C$14:$D$49,2,FALSE)</f>
        <v>Rte 84 Murfreesboro Express OB</v>
      </c>
      <c r="AA40" s="36">
        <f>SUMIF(PrilimTable!$M$4:$M$82,X40,PrilimTable!$P$4:$P$82)</f>
        <v>127.5</v>
      </c>
      <c r="AB40" s="28">
        <f>AA40/$E$49</f>
        <v>3.7051273414621575E-3</v>
      </c>
      <c r="AC40" s="30">
        <f>SUMIF(PrilimTable!$N$4:$N$82,Y40,PrilimTable!$R$4:$R$82)</f>
        <v>156</v>
      </c>
      <c r="AD40" s="27">
        <f>AC40/$G$49</f>
        <v>4.2206650252969349E-3</v>
      </c>
      <c r="AE40" s="43">
        <f>AC40-AA40</f>
        <v>28.5</v>
      </c>
      <c r="AF40" s="74">
        <f>AE40/AA40</f>
        <v>0.22352941176470589</v>
      </c>
      <c r="AG40">
        <v>2600</v>
      </c>
    </row>
    <row r="41" spans="1:33" x14ac:dyDescent="0.45">
      <c r="A41">
        <f>VLOOKUP($C41,PrilimTable!$N:$T,7,FALSE)</f>
        <v>1</v>
      </c>
      <c r="B41">
        <v>79</v>
      </c>
      <c r="C41">
        <f t="shared" si="0"/>
        <v>79</v>
      </c>
      <c r="D41" t="str">
        <f>VLOOKUP($C41,PrilimTable!$N:$S,2,FALSE)</f>
        <v>Rte 79 Skyline iB</v>
      </c>
      <c r="E41" s="36">
        <f>SUMIF(PrilimTable!$M$4:$M$82,B41,PrilimTable!$P$4:$P$82)</f>
        <v>225.77272727272731</v>
      </c>
      <c r="F41" s="45">
        <f t="shared" si="1"/>
        <v>6.560915331565967E-3</v>
      </c>
      <c r="G41" s="30">
        <f>SUMIF(PrilimTable!$N$4:$N$82,C41,PrilimTable!$R$4:$R$82)</f>
        <v>71</v>
      </c>
      <c r="H41" s="60">
        <f t="shared" si="2"/>
        <v>1.9209436974107843E-3</v>
      </c>
      <c r="I41" s="43">
        <f t="shared" si="3"/>
        <v>-154.77272727272731</v>
      </c>
      <c r="J41" s="74">
        <f t="shared" si="4"/>
        <v>-0.68552446144554058</v>
      </c>
      <c r="L41" s="65"/>
      <c r="M41" s="41"/>
      <c r="X41">
        <v>93</v>
      </c>
      <c r="Y41">
        <v>93</v>
      </c>
      <c r="Z41" t="str">
        <f>VLOOKUP(Y41,$C$14:$D$49,2,FALSE)</f>
        <v>Rte 93 MCS West End Shuttle</v>
      </c>
      <c r="AA41" s="36">
        <f>SUMIF(PrilimTable!$M$4:$M$82,X41,PrilimTable!$P$4:$P$82)</f>
        <v>121.3636363636364</v>
      </c>
      <c r="AB41" s="28">
        <f>AA41/$E$49</f>
        <v>3.5268057047072952E-3</v>
      </c>
      <c r="AC41" s="30">
        <f>SUMIF(PrilimTable!$N$4:$N$82,Y41,PrilimTable!$R$4:$R$82)</f>
        <v>644</v>
      </c>
      <c r="AD41" s="27">
        <f>AC41/$G$49</f>
        <v>1.7423771001866834E-2</v>
      </c>
      <c r="AE41" s="43">
        <f>AC41-AA41</f>
        <v>522.63636363636363</v>
      </c>
      <c r="AF41" s="74">
        <f>AE41/AA41</f>
        <v>4.3063670411985004</v>
      </c>
      <c r="AG41">
        <v>2700</v>
      </c>
    </row>
    <row r="42" spans="1:33" x14ac:dyDescent="0.45">
      <c r="A42">
        <f>VLOOKUP($C42,PrilimTable!$N:$T,7,FALSE)</f>
        <v>6</v>
      </c>
      <c r="B42">
        <v>84</v>
      </c>
      <c r="C42">
        <f t="shared" si="0"/>
        <v>84</v>
      </c>
      <c r="D42" t="str">
        <f>VLOOKUP($C42,PrilimTable!$N:$S,2,FALSE)</f>
        <v>Rte 84 Murfreesboro Express OB</v>
      </c>
      <c r="E42" s="36">
        <f>SUMIF(PrilimTable!$M$4:$M$82,B42,PrilimTable!$P$4:$P$82)</f>
        <v>127.5</v>
      </c>
      <c r="F42" s="45">
        <f t="shared" si="1"/>
        <v>3.7051273414621575E-3</v>
      </c>
      <c r="G42" s="30">
        <f>SUMIF(PrilimTable!$N$4:$N$82,C42,PrilimTable!$R$4:$R$82)</f>
        <v>156</v>
      </c>
      <c r="H42" s="60">
        <f t="shared" si="2"/>
        <v>4.2206650252969349E-3</v>
      </c>
      <c r="I42" s="43">
        <f t="shared" si="3"/>
        <v>28.5</v>
      </c>
      <c r="J42" s="74">
        <f t="shared" si="4"/>
        <v>0.22352941176470589</v>
      </c>
      <c r="L42" s="65"/>
      <c r="M42" s="41"/>
      <c r="X42">
        <v>87</v>
      </c>
      <c r="Y42">
        <v>87</v>
      </c>
      <c r="Z42" t="str">
        <f>VLOOKUP(Y42,$C$14:$D$49,2,FALSE)</f>
        <v>Rte 87 Gallatin Comm Bus OB</v>
      </c>
      <c r="AA42" s="36">
        <f>SUMIF(PrilimTable!$M$4:$M$82,X42,PrilimTable!$P$4:$P$82)</f>
        <v>77.318181818181813</v>
      </c>
      <c r="AB42" s="28">
        <f>AA42/$E$49</f>
        <v>2.2468526231112758E-3</v>
      </c>
      <c r="AC42" s="30">
        <f>SUMIF(PrilimTable!$N$4:$N$82,Y42,PrilimTable!$R$4:$R$82)</f>
        <v>7</v>
      </c>
      <c r="AD42" s="27">
        <f>AC42/$G$49</f>
        <v>1.8938881523768297E-4</v>
      </c>
      <c r="AE42" s="43">
        <f>AC42-AA42</f>
        <v>-70.318181818181813</v>
      </c>
      <c r="AF42" s="74">
        <f>AE42/AA42</f>
        <v>-0.90946502057613166</v>
      </c>
      <c r="AG42">
        <v>2800</v>
      </c>
    </row>
    <row r="43" spans="1:33" x14ac:dyDescent="0.45">
      <c r="A43">
        <f>VLOOKUP($C43,PrilimTable!$N:$T,7,FALSE)</f>
        <v>6</v>
      </c>
      <c r="B43">
        <v>86</v>
      </c>
      <c r="C43">
        <f t="shared" si="0"/>
        <v>86</v>
      </c>
      <c r="D43" t="str">
        <f>VLOOKUP($C43,PrilimTable!$N:$S,2,FALSE)</f>
        <v>Rte 86 Smyrna Lavergne Exp OB</v>
      </c>
      <c r="E43" s="36">
        <f>SUMIF(PrilimTable!$M$4:$M$82,B43,PrilimTable!$P$4:$P$82)</f>
        <v>47.090909090909093</v>
      </c>
      <c r="F43" s="45">
        <f t="shared" si="1"/>
        <v>1.3684534494669501E-3</v>
      </c>
      <c r="G43" s="30">
        <f>SUMIF(PrilimTable!$N$4:$N$82,C43,PrilimTable!$R$4:$R$82)</f>
        <v>0</v>
      </c>
      <c r="H43" s="60">
        <f t="shared" si="2"/>
        <v>0</v>
      </c>
      <c r="I43" s="43">
        <f t="shared" si="3"/>
        <v>-47.090909090909093</v>
      </c>
      <c r="J43" s="74">
        <f t="shared" si="4"/>
        <v>-1</v>
      </c>
      <c r="L43" s="65"/>
      <c r="M43" s="41"/>
      <c r="X43">
        <v>41</v>
      </c>
      <c r="Y43">
        <v>41</v>
      </c>
      <c r="Z43" t="str">
        <f>VLOOKUP(Y43,$C$14:$D$49,2,FALSE)</f>
        <v>Rte 41 Golden Valley OB PM</v>
      </c>
      <c r="AA43" s="36">
        <f>SUMIF(PrilimTable!$M$4:$M$82,X43,PrilimTable!$P$4:$P$82)</f>
        <v>61.909090909090907</v>
      </c>
      <c r="AB43" s="28">
        <f>AA43/$E$49</f>
        <v>1.7990671797046196E-3</v>
      </c>
      <c r="AC43" s="30">
        <f>SUMIF(PrilimTable!$N$4:$N$82,Y43,PrilimTable!$R$4:$R$82)</f>
        <v>27</v>
      </c>
      <c r="AD43" s="27">
        <f>AC43/$G$49</f>
        <v>7.3049971591677716E-4</v>
      </c>
      <c r="AE43" s="43">
        <f>AC43-AA43</f>
        <v>-34.909090909090907</v>
      </c>
      <c r="AF43" s="74">
        <f>AE43/AA43</f>
        <v>-0.5638766519823788</v>
      </c>
      <c r="AG43">
        <v>2900</v>
      </c>
    </row>
    <row r="44" spans="1:33" x14ac:dyDescent="0.45">
      <c r="A44">
        <f>VLOOKUP($C44,PrilimTable!$N:$T,7,FALSE)</f>
        <v>7</v>
      </c>
      <c r="B44">
        <v>87</v>
      </c>
      <c r="C44">
        <f t="shared" si="0"/>
        <v>87</v>
      </c>
      <c r="D44" t="str">
        <f>VLOOKUP($C44,PrilimTable!$N:$S,2,FALSE)</f>
        <v>Rte 87 Gallatin Comm Bus OB</v>
      </c>
      <c r="E44" s="36">
        <f>SUMIF(PrilimTable!$M$4:$M$82,B44,PrilimTable!$P$4:$P$82)</f>
        <v>77.318181818181813</v>
      </c>
      <c r="F44" s="45">
        <f t="shared" si="1"/>
        <v>2.2468526231112758E-3</v>
      </c>
      <c r="G44" s="30">
        <f>SUMIF(PrilimTable!$N$4:$N$82,C44,PrilimTable!$R$4:$R$82)</f>
        <v>7</v>
      </c>
      <c r="H44" s="60">
        <f t="shared" si="2"/>
        <v>1.8938881523768297E-4</v>
      </c>
      <c r="I44" s="43">
        <f t="shared" si="3"/>
        <v>-70.318181818181813</v>
      </c>
      <c r="J44" s="74">
        <f t="shared" si="4"/>
        <v>-0.90946502057613166</v>
      </c>
      <c r="L44" s="65"/>
      <c r="M44" s="41"/>
      <c r="X44">
        <v>95</v>
      </c>
      <c r="Y44">
        <v>95</v>
      </c>
      <c r="Z44" t="str">
        <f>VLOOKUP(Y44,$C$14:$D$49,2,FALSE)</f>
        <v>Rte 95 Spring Hill Exp OB</v>
      </c>
      <c r="AA44" s="36">
        <f>SUMIF(PrilimTable!$M$4:$M$82,X44,PrilimTable!$P$4:$P$82)</f>
        <v>51.636363636363633</v>
      </c>
      <c r="AB44" s="28">
        <f>AA44/$E$49</f>
        <v>1.5005435507668486E-3</v>
      </c>
      <c r="AC44" s="30">
        <f>SUMIF(PrilimTable!$N$4:$N$82,Y44,PrilimTable!$R$4:$R$82)</f>
        <v>11</v>
      </c>
      <c r="AD44" s="27">
        <f>AC44/$G$49</f>
        <v>2.9761099537350179E-4</v>
      </c>
      <c r="AE44" s="43">
        <f>AC44-AA44</f>
        <v>-40.636363636363633</v>
      </c>
      <c r="AF44" s="74">
        <f>AE44/AA44</f>
        <v>-0.7869718309859155</v>
      </c>
      <c r="AG44">
        <v>3000</v>
      </c>
    </row>
    <row r="45" spans="1:33" x14ac:dyDescent="0.45">
      <c r="A45">
        <f>VLOOKUP($C45,PrilimTable!$N:$T,7,FALSE)</f>
        <v>6</v>
      </c>
      <c r="B45">
        <v>89</v>
      </c>
      <c r="C45">
        <f t="shared" si="0"/>
        <v>89</v>
      </c>
      <c r="D45" t="str">
        <f>VLOOKUP($C45,PrilimTable!$N:$S,2,FALSE)</f>
        <v>Rte 89 Spgfield/Joelton Exp OB</v>
      </c>
      <c r="E45" s="36">
        <f>SUMIF(PrilimTable!$M$4:$M$82,B45,PrilimTable!$P$4:$P$82)</f>
        <v>23</v>
      </c>
      <c r="F45" s="45">
        <f t="shared" si="1"/>
        <v>6.6837591257748723E-4</v>
      </c>
      <c r="G45" s="30">
        <f>SUMIF(PrilimTable!$N$4:$N$82,C45,PrilimTable!$R$4:$R$82)</f>
        <v>6</v>
      </c>
      <c r="H45" s="60">
        <f t="shared" si="2"/>
        <v>1.6233327020372825E-4</v>
      </c>
      <c r="I45" s="43">
        <f t="shared" si="3"/>
        <v>-17</v>
      </c>
      <c r="J45" s="74">
        <f t="shared" si="4"/>
        <v>-0.73913043478260865</v>
      </c>
      <c r="L45" s="65"/>
      <c r="M45" s="41"/>
      <c r="X45">
        <v>86</v>
      </c>
      <c r="Y45">
        <v>86</v>
      </c>
      <c r="Z45" t="str">
        <f>VLOOKUP(Y45,$C$14:$D$49,2,FALSE)</f>
        <v>Rte 86 Smyrna Lavergne Exp OB</v>
      </c>
      <c r="AA45" s="36">
        <f>SUMIF(PrilimTable!$M$4:$M$82,X45,PrilimTable!$P$4:$P$82)</f>
        <v>47.090909090909093</v>
      </c>
      <c r="AB45" s="28">
        <f>AA45/$E$49</f>
        <v>1.3684534494669501E-3</v>
      </c>
      <c r="AC45" s="30">
        <f>SUMIF(PrilimTable!$N$4:$N$82,Y45,PrilimTable!$R$4:$R$82)</f>
        <v>0</v>
      </c>
      <c r="AD45" s="27">
        <f>AC45/$G$49</f>
        <v>0</v>
      </c>
      <c r="AE45" s="43">
        <f>AC45-AA45</f>
        <v>-47.090909090909093</v>
      </c>
      <c r="AF45" s="74">
        <f>AE45/AA45</f>
        <v>-1</v>
      </c>
      <c r="AG45">
        <v>3100</v>
      </c>
    </row>
    <row r="46" spans="1:33" x14ac:dyDescent="0.45">
      <c r="A46">
        <f>VLOOKUP($C46,PrilimTable!$N:$T,7,FALSE)</f>
        <v>12</v>
      </c>
      <c r="B46">
        <v>90</v>
      </c>
      <c r="C46">
        <f t="shared" si="0"/>
        <v>90</v>
      </c>
      <c r="D46" t="str">
        <f>VLOOKUP($C46,PrilimTable!$N:$S,2,FALSE)</f>
        <v>Rte 90 Music City Star oB</v>
      </c>
      <c r="E46" s="36">
        <f>SUMIF(PrilimTable!$M$4:$M$82,B46,PrilimTable!$P$4:$P$82)</f>
        <v>399.31818181818181</v>
      </c>
      <c r="F46" s="45">
        <f t="shared" si="1"/>
        <v>1.1604115399196096E-2</v>
      </c>
      <c r="G46" s="30">
        <f>SUMIF(PrilimTable!$N$4:$N$82,C46,PrilimTable!$R$4:$R$82)</f>
        <v>40</v>
      </c>
      <c r="H46" s="60">
        <f t="shared" si="2"/>
        <v>1.0822218013581883E-3</v>
      </c>
      <c r="I46" s="43">
        <f t="shared" si="3"/>
        <v>-359.31818181818181</v>
      </c>
      <c r="J46" s="74">
        <f t="shared" si="4"/>
        <v>-0.89982925441092776</v>
      </c>
      <c r="L46" s="65"/>
      <c r="M46" s="41"/>
      <c r="X46">
        <v>70</v>
      </c>
      <c r="Y46">
        <v>70</v>
      </c>
      <c r="Z46" t="str">
        <f>VLOOKUP(Y46,$C$14:$D$49,2,FALSE)</f>
        <v>Rte 70 Belevue Conn OB</v>
      </c>
      <c r="AA46" s="36">
        <f>SUMIF(PrilimTable!$M$4:$M$82,X46,PrilimTable!$P$4:$P$82)</f>
        <v>42.409090909090907</v>
      </c>
      <c r="AB46" s="28">
        <f>AA46/$E$49</f>
        <v>1.2324006451280543E-3</v>
      </c>
      <c r="AC46" s="30">
        <f>SUMIF(PrilimTable!$N$4:$N$82,Y46,PrilimTable!$R$4:$R$82)</f>
        <v>31</v>
      </c>
      <c r="AD46" s="27">
        <f>AC46/$G$49</f>
        <v>8.3872189605259601E-4</v>
      </c>
      <c r="AE46" s="43">
        <f>AC46-AA46</f>
        <v>-11.409090909090907</v>
      </c>
      <c r="AF46" s="74">
        <f>AE46/AA46</f>
        <v>-0.26902465166130757</v>
      </c>
      <c r="AG46">
        <v>3200</v>
      </c>
    </row>
    <row r="47" spans="1:33" x14ac:dyDescent="0.45">
      <c r="A47">
        <f>VLOOKUP($C47,PrilimTable!$N:$T,7,FALSE)</f>
        <v>11</v>
      </c>
      <c r="B47">
        <v>93</v>
      </c>
      <c r="C47">
        <f t="shared" si="0"/>
        <v>93</v>
      </c>
      <c r="D47" t="str">
        <f>VLOOKUP($C47,PrilimTable!$N:$S,2,FALSE)</f>
        <v>Rte 93 MCS West End Shuttle</v>
      </c>
      <c r="E47" s="36">
        <f>SUMIF(PrilimTable!$M$4:$M$82,B47,PrilimTable!$P$4:$P$82)</f>
        <v>121.3636363636364</v>
      </c>
      <c r="F47" s="45">
        <f t="shared" si="1"/>
        <v>3.5268057047072952E-3</v>
      </c>
      <c r="G47" s="30">
        <f>SUMIF(PrilimTable!$N$4:$N$82,C47,PrilimTable!$R$4:$R$82)</f>
        <v>644</v>
      </c>
      <c r="H47" s="60">
        <f t="shared" si="2"/>
        <v>1.7423771001866834E-2</v>
      </c>
      <c r="I47" s="43">
        <f t="shared" si="3"/>
        <v>522.63636363636363</v>
      </c>
      <c r="J47" s="74">
        <f t="shared" si="4"/>
        <v>4.3063670411985004</v>
      </c>
      <c r="L47" s="65"/>
      <c r="M47" s="41"/>
      <c r="X47">
        <v>89</v>
      </c>
      <c r="Y47">
        <v>89</v>
      </c>
      <c r="Z47" t="str">
        <f>VLOOKUP(Y47,$C$14:$D$49,2,FALSE)</f>
        <v>Rte 89 Spgfield/Joelton Exp OB</v>
      </c>
      <c r="AA47" s="36">
        <f>SUMIF(PrilimTable!$M$4:$M$82,X47,PrilimTable!$P$4:$P$82)</f>
        <v>23</v>
      </c>
      <c r="AB47" s="28">
        <f>AA47/$E$49</f>
        <v>6.6837591257748723E-4</v>
      </c>
      <c r="AC47" s="30">
        <f>SUMIF(PrilimTable!$N$4:$N$82,Y47,PrilimTable!$R$4:$R$82)</f>
        <v>6</v>
      </c>
      <c r="AD47" s="27">
        <f>AC47/$G$49</f>
        <v>1.6233327020372825E-4</v>
      </c>
      <c r="AE47" s="43">
        <f>AC47-AA47</f>
        <v>-17</v>
      </c>
      <c r="AF47" s="74">
        <f>AE47/AA47</f>
        <v>-0.73913043478260865</v>
      </c>
      <c r="AG47">
        <v>3300</v>
      </c>
    </row>
    <row r="48" spans="1:33" x14ac:dyDescent="0.45">
      <c r="A48">
        <f>VLOOKUP($C48,PrilimTable!$N:$T,7,FALSE)</f>
        <v>6</v>
      </c>
      <c r="B48">
        <v>95</v>
      </c>
      <c r="C48">
        <f t="shared" si="0"/>
        <v>95</v>
      </c>
      <c r="D48" t="str">
        <f>VLOOKUP($C48,PrilimTable!$N:$S,2,FALSE)</f>
        <v>Rte 95 Spring Hill Exp OB</v>
      </c>
      <c r="E48" s="36">
        <f>SUMIF(PrilimTable!$M$4:$M$82,B48,PrilimTable!$P$4:$P$82)</f>
        <v>51.636363636363633</v>
      </c>
      <c r="F48" s="45">
        <f t="shared" si="1"/>
        <v>1.5005435507668486E-3</v>
      </c>
      <c r="G48" s="30">
        <f>SUMIF(PrilimTable!$N$4:$N$82,C48,PrilimTable!$R$4:$R$82)</f>
        <v>11</v>
      </c>
      <c r="H48" s="60">
        <f t="shared" si="2"/>
        <v>2.9761099537350179E-4</v>
      </c>
      <c r="I48" s="43">
        <f t="shared" si="3"/>
        <v>-40.636363636363633</v>
      </c>
      <c r="J48" s="74">
        <f t="shared" si="4"/>
        <v>-0.7869718309859155</v>
      </c>
      <c r="L48" s="65"/>
      <c r="M48" s="41"/>
      <c r="X48">
        <v>64</v>
      </c>
      <c r="Y48">
        <v>64</v>
      </c>
      <c r="Z48" t="str">
        <f>VLOOKUP(Y48,$C$14:$D$49,2,FALSE)</f>
        <v>Rte 64 STAR DOWNTOWN SHUTTLE</v>
      </c>
      <c r="AA48" s="36">
        <f>SUMIF(PrilimTable!$M$4:$M$82,X48,PrilimTable!$P$4:$P$82)</f>
        <v>9.1818181818181817</v>
      </c>
      <c r="AB48" s="28">
        <f>AA48/$E$49</f>
        <v>2.668220046257953E-4</v>
      </c>
      <c r="AC48" s="30">
        <f>SUMIF(PrilimTable!$N$4:$N$82,Y48,PrilimTable!$R$4:$R$82)</f>
        <v>547</v>
      </c>
      <c r="AD48" s="27">
        <f>AC48/$G$49</f>
        <v>1.4799383133573226E-2</v>
      </c>
      <c r="AE48" s="43">
        <f>AC48-AA48</f>
        <v>537.81818181818187</v>
      </c>
      <c r="AF48" s="74">
        <f>AE48/AA48</f>
        <v>58.57425742574258</v>
      </c>
      <c r="AG48">
        <v>3400</v>
      </c>
    </row>
    <row r="49" spans="4:32" x14ac:dyDescent="0.45">
      <c r="D49" s="63" t="s">
        <v>49</v>
      </c>
      <c r="E49" s="40">
        <f>SUM(E15:E48)</f>
        <v>34411.772727272735</v>
      </c>
      <c r="F49" s="59">
        <f>SUM(F15:F48)</f>
        <v>1</v>
      </c>
      <c r="G49" s="34">
        <f>SUM(G15:G48)</f>
        <v>36961</v>
      </c>
      <c r="H49" s="61">
        <f>SUM(H15:H48)</f>
        <v>1</v>
      </c>
      <c r="I49" s="44">
        <f t="shared" si="3"/>
        <v>2549.2272727272648</v>
      </c>
      <c r="J49" s="75">
        <f t="shared" si="4"/>
        <v>7.4080091512021939E-2</v>
      </c>
      <c r="Z49" s="38"/>
      <c r="AA49" s="40">
        <f>SUM(AA15:AA48)</f>
        <v>34411.772727272713</v>
      </c>
      <c r="AB49" s="39">
        <v>0.99800000000000044</v>
      </c>
      <c r="AC49" s="34">
        <f>SUM(AC15:AC48)</f>
        <v>36961</v>
      </c>
      <c r="AD49" s="29">
        <v>1</v>
      </c>
      <c r="AE49" s="44">
        <f t="shared" ref="AE15:AE49" si="5">AC49-AA49</f>
        <v>2549.2272727272866</v>
      </c>
      <c r="AF49" s="75">
        <f t="shared" ref="AF15:AF49" si="6">AE49/AA49</f>
        <v>7.4080091512022619E-2</v>
      </c>
    </row>
    <row r="52" spans="4:32" x14ac:dyDescent="0.45">
      <c r="I52" s="42"/>
    </row>
    <row r="53" spans="4:32" x14ac:dyDescent="0.45">
      <c r="I53" s="55"/>
    </row>
    <row r="54" spans="4:32" x14ac:dyDescent="0.45">
      <c r="E54" s="41"/>
      <c r="F54" s="41"/>
      <c r="H54" s="4"/>
      <c r="I54" s="42"/>
    </row>
    <row r="55" spans="4:32" x14ac:dyDescent="0.45">
      <c r="E55" s="41"/>
      <c r="F55" s="41"/>
      <c r="H55" s="4"/>
      <c r="I55" s="42"/>
    </row>
    <row r="56" spans="4:32" x14ac:dyDescent="0.45">
      <c r="E56" s="73"/>
      <c r="F56" s="73"/>
      <c r="H56" s="4"/>
      <c r="I56" s="42"/>
    </row>
    <row r="57" spans="4:32" x14ac:dyDescent="0.45">
      <c r="I57" s="42"/>
    </row>
    <row r="58" spans="4:32" x14ac:dyDescent="0.45">
      <c r="E58" s="22"/>
      <c r="F58" s="22"/>
      <c r="G58" s="22"/>
      <c r="I58" s="42"/>
    </row>
    <row r="59" spans="4:32" x14ac:dyDescent="0.45">
      <c r="E59" s="41"/>
      <c r="F59" s="41"/>
      <c r="G59" s="73"/>
      <c r="I59" s="42"/>
    </row>
    <row r="60" spans="4:32" x14ac:dyDescent="0.45">
      <c r="F60" s="41"/>
      <c r="G60" s="73"/>
      <c r="I60" s="42"/>
    </row>
    <row r="61" spans="4:32" x14ac:dyDescent="0.45">
      <c r="F61" s="41"/>
      <c r="G61" s="73"/>
      <c r="I61" s="42"/>
    </row>
    <row r="62" spans="4:32" x14ac:dyDescent="0.45">
      <c r="F62" s="41"/>
      <c r="G62" s="73"/>
      <c r="I62" s="42"/>
    </row>
    <row r="63" spans="4:32" x14ac:dyDescent="0.45">
      <c r="D63" s="4"/>
      <c r="E63" s="73"/>
      <c r="F63" s="73"/>
      <c r="G63" s="73"/>
      <c r="I63" s="42"/>
    </row>
    <row r="64" spans="4:32" x14ac:dyDescent="0.45">
      <c r="I64" s="42"/>
    </row>
  </sheetData>
  <sortState xmlns:xlrd2="http://schemas.microsoft.com/office/spreadsheetml/2017/richdata2" ref="X15:AF48">
    <sortCondition descending="1" ref="AA15:AA48"/>
  </sortState>
  <mergeCells count="9">
    <mergeCell ref="G2:H2"/>
    <mergeCell ref="E2:F2"/>
    <mergeCell ref="I2:J2"/>
    <mergeCell ref="I13:J13"/>
    <mergeCell ref="AE13:AF13"/>
    <mergeCell ref="AA13:AB13"/>
    <mergeCell ref="AC13:AD13"/>
    <mergeCell ref="E13:F13"/>
    <mergeCell ref="G13:H1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63"/>
  <sheetViews>
    <sheetView topLeftCell="A7" zoomScaleNormal="100" workbookViewId="0">
      <selection activeCell="C9" sqref="C9"/>
    </sheetView>
  </sheetViews>
  <sheetFormatPr defaultRowHeight="14.25" x14ac:dyDescent="0.45"/>
  <cols>
    <col min="1" max="1" width="28.3984375" bestFit="1" customWidth="1"/>
    <col min="2" max="2" width="22.3984375" customWidth="1"/>
    <col min="3" max="3" width="16.73046875" customWidth="1"/>
    <col min="4" max="4" width="17.1328125" customWidth="1"/>
    <col min="5" max="5" width="16" customWidth="1"/>
    <col min="6" max="6" width="18.59765625" customWidth="1"/>
    <col min="7" max="7" width="14" customWidth="1"/>
    <col min="8" max="8" width="17.265625" customWidth="1"/>
    <col min="9" max="9" width="27.3984375" customWidth="1"/>
    <col min="10" max="11" width="13.1328125" customWidth="1"/>
    <col min="12" max="12" width="13" customWidth="1"/>
    <col min="13" max="13" width="11.59765625" customWidth="1"/>
    <col min="14" max="14" width="12.59765625" customWidth="1"/>
    <col min="15" max="15" width="34.1328125" customWidth="1"/>
    <col min="16" max="16" width="11.1328125" customWidth="1"/>
    <col min="17" max="17" width="12.59765625" customWidth="1"/>
    <col min="18" max="18" width="14.59765625" customWidth="1"/>
    <col min="19" max="19" width="14.1328125" customWidth="1"/>
    <col min="20" max="20" width="18.59765625" customWidth="1"/>
    <col min="21" max="21" width="16.86328125" customWidth="1"/>
    <col min="22" max="22" width="15.73046875" customWidth="1"/>
    <col min="23" max="23" width="18.3984375" bestFit="1" customWidth="1"/>
    <col min="24" max="24" width="17" bestFit="1" customWidth="1"/>
    <col min="25" max="25" width="17.265625" customWidth="1"/>
    <col min="26" max="26" width="15.3984375" customWidth="1"/>
  </cols>
  <sheetData>
    <row r="2" spans="2:20" x14ac:dyDescent="0.45">
      <c r="I2" s="4"/>
      <c r="J2" s="124"/>
      <c r="K2" s="125"/>
      <c r="M2" s="6"/>
      <c r="N2" s="6"/>
      <c r="O2" s="6"/>
      <c r="P2" s="116" t="s">
        <v>1</v>
      </c>
      <c r="Q2" s="115"/>
      <c r="R2" s="123" t="s">
        <v>50</v>
      </c>
      <c r="S2" s="115"/>
    </row>
    <row r="3" spans="2:20" x14ac:dyDescent="0.45">
      <c r="B3" t="s">
        <v>51</v>
      </c>
      <c r="C3" t="s">
        <v>40</v>
      </c>
      <c r="G3" s="4"/>
      <c r="J3" s="22"/>
      <c r="K3" s="22"/>
      <c r="M3" s="4" t="s">
        <v>37</v>
      </c>
      <c r="N3" s="4" t="s">
        <v>38</v>
      </c>
      <c r="O3" s="4" t="s">
        <v>39</v>
      </c>
      <c r="P3" s="24" t="s">
        <v>40</v>
      </c>
      <c r="Q3" s="24" t="s">
        <v>9</v>
      </c>
      <c r="R3" s="25" t="s">
        <v>40</v>
      </c>
      <c r="S3" s="25" t="s">
        <v>9</v>
      </c>
      <c r="T3" t="s">
        <v>6</v>
      </c>
    </row>
    <row r="4" spans="2:20" x14ac:dyDescent="0.45">
      <c r="B4">
        <v>3</v>
      </c>
      <c r="C4" s="1">
        <f>VLOOKUP($B4,Aggregated_Transit_Final_V2!$B:$H,7,FALSE)</f>
        <v>2516.909090909091</v>
      </c>
      <c r="D4" s="2"/>
      <c r="J4" s="1"/>
      <c r="K4" s="2"/>
      <c r="M4">
        <v>3</v>
      </c>
      <c r="N4">
        <v>3</v>
      </c>
      <c r="O4" t="str">
        <f>VLOOKUP($N4,ABM_RteName!$A:$D,3,FALSE)</f>
        <v>Rte 3 West End (White Bridge) IB</v>
      </c>
      <c r="P4" s="7">
        <f t="shared" ref="P4:P37" si="0">VLOOKUP(M4,$B:$C,2,FALSE)</f>
        <v>2516.909090909091</v>
      </c>
      <c r="Q4" s="28">
        <f t="shared" ref="Q4:Q37" si="1">P4/$P$38</f>
        <v>7.3140930891779893E-2</v>
      </c>
      <c r="R4" s="3">
        <f>SUMIF(BoardingByRoute_ABM!$B:$B,N4,BoardingByRoute_ABM!$N:$N)</f>
        <v>8057</v>
      </c>
      <c r="S4" s="27">
        <f t="shared" ref="S4:S37" si="2">R4/R$38</f>
        <v>0.2179865263385731</v>
      </c>
      <c r="T4">
        <f>VLOOKUP($N4,ABM_RteName!$A:$E,5,FALSE)</f>
        <v>1</v>
      </c>
    </row>
    <row r="5" spans="2:20" x14ac:dyDescent="0.45">
      <c r="B5">
        <v>4</v>
      </c>
      <c r="C5" s="1">
        <f>VLOOKUP($B5,Aggregated_Transit_Final_V2!$B:$H,7,FALSE)</f>
        <v>941.0454545454545</v>
      </c>
      <c r="D5" s="2"/>
      <c r="J5" s="1"/>
      <c r="K5" s="2"/>
      <c r="M5">
        <v>4</v>
      </c>
      <c r="N5">
        <v>4</v>
      </c>
      <c r="O5" t="str">
        <f>VLOOKUP($N5,ABM_RteName!$A:$D,3,FALSE)</f>
        <v>Rte 4 Shelby IB</v>
      </c>
      <c r="P5" s="7">
        <f t="shared" si="0"/>
        <v>941.0454545454545</v>
      </c>
      <c r="Q5" s="28">
        <f t="shared" si="1"/>
        <v>2.7346613672118016E-2</v>
      </c>
      <c r="R5" s="3">
        <f>SUMIF(BoardingByRoute_ABM!$B:$B,N5,BoardingByRoute_ABM!$N:$N)</f>
        <v>299</v>
      </c>
      <c r="S5" s="27">
        <f t="shared" si="2"/>
        <v>8.0896079651524583E-3</v>
      </c>
      <c r="T5">
        <f>VLOOKUP($N5,ABM_RteName!$A:$E,5,FALSE)</f>
        <v>1</v>
      </c>
    </row>
    <row r="6" spans="2:20" x14ac:dyDescent="0.45">
      <c r="B6">
        <v>6</v>
      </c>
      <c r="C6" s="1">
        <f>VLOOKUP($B6,Aggregated_Transit_Final_V2!$B:$H,7,FALSE)</f>
        <v>818.18181818181813</v>
      </c>
      <c r="D6" s="2"/>
      <c r="J6" s="1"/>
      <c r="K6" s="2"/>
      <c r="M6">
        <v>6</v>
      </c>
      <c r="N6">
        <v>6</v>
      </c>
      <c r="O6" t="str">
        <f>VLOOKUP($N6,ABM_RteName!$A:$D,3,FALSE)</f>
        <v>Rte 6 Lebanon Rd OB</v>
      </c>
      <c r="P6" s="7">
        <f t="shared" si="0"/>
        <v>818.18181818181813</v>
      </c>
      <c r="Q6" s="28">
        <f t="shared" si="1"/>
        <v>2.3776218233981756E-2</v>
      </c>
      <c r="R6" s="3">
        <f>SUMIF(BoardingByRoute_ABM!$B:$B,N6,BoardingByRoute_ABM!$N:$N)</f>
        <v>622</v>
      </c>
      <c r="S6" s="27">
        <f t="shared" si="2"/>
        <v>1.6828549011119829E-2</v>
      </c>
      <c r="T6">
        <f>VLOOKUP($N6,ABM_RteName!$A:$E,5,FALSE)</f>
        <v>1</v>
      </c>
    </row>
    <row r="7" spans="2:20" x14ac:dyDescent="0.45">
      <c r="B7">
        <v>7</v>
      </c>
      <c r="C7" s="1">
        <f>VLOOKUP($B7,Aggregated_Transit_Final_V2!$B:$H,7,FALSE)</f>
        <v>1841.590909090909</v>
      </c>
      <c r="D7" s="2"/>
      <c r="J7" s="1"/>
      <c r="K7" s="2"/>
      <c r="M7">
        <v>7</v>
      </c>
      <c r="N7">
        <v>7</v>
      </c>
      <c r="O7" t="str">
        <f>VLOOKUP($N7,ABM_RteName!$A:$D,3,FALSE)</f>
        <v>Rte 7 Hillsboro IB</v>
      </c>
      <c r="P7" s="7">
        <f t="shared" si="0"/>
        <v>1841.590909090909</v>
      </c>
      <c r="Q7" s="28">
        <f t="shared" si="1"/>
        <v>5.3516304541653938E-2</v>
      </c>
      <c r="R7" s="3">
        <f>SUMIF(BoardingByRoute_ABM!$B:$B,N7,BoardingByRoute_ABM!$N:$N)</f>
        <v>2656</v>
      </c>
      <c r="S7" s="27">
        <f t="shared" si="2"/>
        <v>7.1859527610183702E-2</v>
      </c>
      <c r="T7">
        <f>VLOOKUP($N7,ABM_RteName!$A:$E,5,FALSE)</f>
        <v>1</v>
      </c>
    </row>
    <row r="8" spans="2:20" x14ac:dyDescent="0.45">
      <c r="B8">
        <v>8</v>
      </c>
      <c r="C8" s="1">
        <f>VLOOKUP($B8,Aggregated_Transit_Final_V2!$B:$H,7,FALSE)</f>
        <v>944.40909090909088</v>
      </c>
      <c r="D8" s="2"/>
      <c r="J8" s="1"/>
      <c r="K8" s="2"/>
      <c r="M8">
        <v>8</v>
      </c>
      <c r="N8">
        <v>8</v>
      </c>
      <c r="O8" t="str">
        <f>VLOOKUP($N8,ABM_RteName!$A:$D,3,FALSE)</f>
        <v>Rte 8 8TH AVENUE SOUTH iB</v>
      </c>
      <c r="P8" s="7">
        <f t="shared" si="0"/>
        <v>944.40909090909088</v>
      </c>
      <c r="Q8" s="28">
        <f t="shared" si="1"/>
        <v>2.7444360347079942E-2</v>
      </c>
      <c r="R8" s="3">
        <f>SUMIF(BoardingByRoute_ABM!$B:$B,N8,BoardingByRoute_ABM!$N:$N)</f>
        <v>839</v>
      </c>
      <c r="S8" s="27">
        <f t="shared" si="2"/>
        <v>2.2699602283488E-2</v>
      </c>
      <c r="T8">
        <f>VLOOKUP($N8,ABM_RteName!$A:$E,5,FALSE)</f>
        <v>1</v>
      </c>
    </row>
    <row r="9" spans="2:20" x14ac:dyDescent="0.45">
      <c r="B9">
        <v>9</v>
      </c>
      <c r="C9" s="1">
        <f>VLOOKUP($B9,Aggregated_Transit_Final_V2!$B:$H,7,FALSE)</f>
        <v>350.59090909090912</v>
      </c>
      <c r="D9" s="2"/>
      <c r="J9" s="1"/>
      <c r="K9" s="2"/>
      <c r="M9">
        <v>9</v>
      </c>
      <c r="N9">
        <v>9</v>
      </c>
      <c r="O9" t="str">
        <f>VLOOKUP($N9,ABM_RteName!$A:$D,3,FALSE)</f>
        <v>Rte 9 MetroCenter OB</v>
      </c>
      <c r="P9" s="7">
        <f t="shared" si="0"/>
        <v>350.59090909090912</v>
      </c>
      <c r="Q9" s="28">
        <f t="shared" si="1"/>
        <v>1.0188109513261184E-2</v>
      </c>
      <c r="R9" s="3">
        <f>SUMIF(BoardingByRoute_ABM!$B:$B,N9,BoardingByRoute_ABM!$N:$N)</f>
        <v>834</v>
      </c>
      <c r="S9" s="27">
        <f t="shared" si="2"/>
        <v>2.2564324558318229E-2</v>
      </c>
      <c r="T9">
        <f>VLOOKUP($N9,ABM_RteName!$A:$E,5,FALSE)</f>
        <v>1</v>
      </c>
    </row>
    <row r="10" spans="2:20" x14ac:dyDescent="0.45">
      <c r="B10">
        <v>14</v>
      </c>
      <c r="C10" s="1">
        <f>VLOOKUP($B10,Aggregated_Transit_Final_V2!$B:$H,7,FALSE)</f>
        <v>334.18181818181819</v>
      </c>
      <c r="D10" s="2"/>
      <c r="J10" s="1"/>
      <c r="K10" s="2"/>
      <c r="M10">
        <v>14</v>
      </c>
      <c r="N10">
        <v>14</v>
      </c>
      <c r="O10" t="str">
        <f>VLOOKUP($N10,ABM_RteName!$A:$D,3,FALSE)</f>
        <v>Rte 14 WHITES CREEK oB</v>
      </c>
      <c r="P10" s="7">
        <f t="shared" si="0"/>
        <v>334.18181818181819</v>
      </c>
      <c r="Q10" s="28">
        <f t="shared" si="1"/>
        <v>9.7112642475685497E-3</v>
      </c>
      <c r="R10" s="3">
        <f>SUMIF(BoardingByRoute_ABM!$B:$B,N10,BoardingByRoute_ABM!$N:$N)</f>
        <v>328</v>
      </c>
      <c r="S10" s="27">
        <f t="shared" si="2"/>
        <v>8.8742187711371451E-3</v>
      </c>
      <c r="T10">
        <f>VLOOKUP($N10,ABM_RteName!$A:$E,5,FALSE)</f>
        <v>1</v>
      </c>
    </row>
    <row r="11" spans="2:20" x14ac:dyDescent="0.45">
      <c r="B11">
        <v>17</v>
      </c>
      <c r="C11" s="1">
        <f>VLOOKUP($B11,Aggregated_Transit_Final_V2!$B:$H,7,FALSE)</f>
        <v>637.9545454545455</v>
      </c>
      <c r="D11" s="2"/>
      <c r="J11" s="1"/>
      <c r="K11" s="2"/>
      <c r="M11">
        <v>17</v>
      </c>
      <c r="N11">
        <v>17</v>
      </c>
      <c r="O11" t="str">
        <f>VLOOKUP($N11,ABM_RteName!$A:$D,3,FALSE)</f>
        <v>Rte 17 12TH AVENUE SOUTH iB</v>
      </c>
      <c r="P11" s="7">
        <f t="shared" si="0"/>
        <v>637.9545454545455</v>
      </c>
      <c r="Q11" s="28">
        <f t="shared" si="1"/>
        <v>1.8538845717440779E-2</v>
      </c>
      <c r="R11" s="3">
        <f>SUMIF(BoardingByRoute_ABM!$B:$B,N11,BoardingByRoute_ABM!$N:$N)</f>
        <v>886</v>
      </c>
      <c r="S11" s="27">
        <f t="shared" si="2"/>
        <v>2.3971212900083871E-2</v>
      </c>
      <c r="T11">
        <f>VLOOKUP($N11,ABM_RteName!$A:$E,5,FALSE)</f>
        <v>1</v>
      </c>
    </row>
    <row r="12" spans="2:20" x14ac:dyDescent="0.45">
      <c r="B12">
        <v>18</v>
      </c>
      <c r="C12" s="1">
        <f>VLOOKUP($B12,Aggregated_Transit_Final_V2!$B:$H,7,FALSE)</f>
        <v>677.90909090909088</v>
      </c>
      <c r="D12" s="2"/>
      <c r="J12" s="1"/>
      <c r="K12" s="2"/>
      <c r="M12">
        <v>18</v>
      </c>
      <c r="N12">
        <v>18</v>
      </c>
      <c r="O12" t="str">
        <f>VLOOKUP($N12,ABM_RteName!$A:$D,3,FALSE)</f>
        <v>Rte 18 Airport Exp OB</v>
      </c>
      <c r="P12" s="7">
        <f t="shared" si="0"/>
        <v>677.90909090909088</v>
      </c>
      <c r="Q12" s="28">
        <f t="shared" si="1"/>
        <v>1.9699917707866884E-2</v>
      </c>
      <c r="R12" s="3">
        <f>SUMIF(BoardingByRoute_ABM!$B:$B,N12,BoardingByRoute_ABM!$N:$N)</f>
        <v>358</v>
      </c>
      <c r="S12" s="27">
        <f t="shared" si="2"/>
        <v>9.6858851221557855E-3</v>
      </c>
      <c r="T12">
        <f>VLOOKUP($N12,ABM_RteName!$A:$E,5,FALSE)</f>
        <v>6</v>
      </c>
    </row>
    <row r="13" spans="2:20" x14ac:dyDescent="0.45">
      <c r="B13">
        <v>19</v>
      </c>
      <c r="C13" s="1">
        <f>VLOOKUP($B13,Aggregated_Transit_Final_V2!$B:$H,7,FALSE)</f>
        <v>955.72727272727275</v>
      </c>
      <c r="D13" s="2"/>
      <c r="J13" s="1"/>
      <c r="K13" s="2"/>
      <c r="M13">
        <v>19</v>
      </c>
      <c r="N13">
        <v>19</v>
      </c>
      <c r="O13" t="str">
        <f>VLOOKUP($N13,ABM_RteName!$A:$D,3,FALSE)</f>
        <v>Rte 19 Herman IB</v>
      </c>
      <c r="P13" s="7">
        <f t="shared" si="0"/>
        <v>955.72727272727275</v>
      </c>
      <c r="Q13" s="28">
        <f t="shared" si="1"/>
        <v>2.7773264699316694E-2</v>
      </c>
      <c r="R13" s="3">
        <f>SUMIF(BoardingByRoute_ABM!$B:$B,N13,BoardingByRoute_ABM!$N:$N)</f>
        <v>1053</v>
      </c>
      <c r="S13" s="27">
        <f t="shared" si="2"/>
        <v>2.848948892075431E-2</v>
      </c>
      <c r="T13">
        <f>VLOOKUP($N13,ABM_RteName!$A:$E,5,FALSE)</f>
        <v>1</v>
      </c>
    </row>
    <row r="14" spans="2:20" x14ac:dyDescent="0.45">
      <c r="B14">
        <v>22</v>
      </c>
      <c r="C14" s="1">
        <f>VLOOKUP($B14,Aggregated_Transit_Final_V2!$B:$H,7,FALSE)</f>
        <v>1505.409090909091</v>
      </c>
      <c r="D14" s="2"/>
      <c r="J14" s="1"/>
      <c r="K14" s="2"/>
      <c r="M14">
        <v>22</v>
      </c>
      <c r="N14">
        <v>22</v>
      </c>
      <c r="O14" t="str">
        <f>VLOOKUP($N14,ABM_RteName!$A:$D,3,FALSE)</f>
        <v>Rte 22 Bordeaux (Panaroma) IB</v>
      </c>
      <c r="P14" s="7">
        <f t="shared" si="0"/>
        <v>1505.409090909091</v>
      </c>
      <c r="Q14" s="28">
        <f t="shared" si="1"/>
        <v>4.3746920649513438E-2</v>
      </c>
      <c r="R14" s="3">
        <f>SUMIF(BoardingByRoute_ABM!$B:$B,N14,BoardingByRoute_ABM!$N:$N)</f>
        <v>1697</v>
      </c>
      <c r="S14" s="27">
        <f t="shared" si="2"/>
        <v>4.5913259922621144E-2</v>
      </c>
      <c r="T14">
        <f>VLOOKUP($N14,ABM_RteName!$A:$E,5,FALSE)</f>
        <v>1</v>
      </c>
    </row>
    <row r="15" spans="2:20" x14ac:dyDescent="0.45">
      <c r="B15">
        <v>23</v>
      </c>
      <c r="C15" s="1">
        <f>VLOOKUP($B15,Aggregated_Transit_Final_V2!$B:$H,7,FALSE)</f>
        <v>2690.5</v>
      </c>
      <c r="D15" s="2"/>
      <c r="J15" s="1"/>
      <c r="K15" s="2"/>
      <c r="M15">
        <v>23</v>
      </c>
      <c r="N15">
        <v>23</v>
      </c>
      <c r="O15" t="str">
        <f>VLOOKUP($N15,ABM_RteName!$A:$D,3,FALSE)</f>
        <v>Rte 23 Dickerson Pike OB</v>
      </c>
      <c r="P15" s="7">
        <f t="shared" si="0"/>
        <v>2690.5</v>
      </c>
      <c r="Q15" s="28">
        <f t="shared" si="1"/>
        <v>7.8185451860423014E-2</v>
      </c>
      <c r="R15" s="3">
        <f>SUMIF(BoardingByRoute_ABM!$B:$B,N15,BoardingByRoute_ABM!$N:$N)</f>
        <v>1650</v>
      </c>
      <c r="S15" s="27">
        <f t="shared" si="2"/>
        <v>4.4641649306025273E-2</v>
      </c>
      <c r="T15">
        <f>VLOOKUP($N15,ABM_RteName!$A:$E,5,FALSE)</f>
        <v>1</v>
      </c>
    </row>
    <row r="16" spans="2:20" x14ac:dyDescent="0.45">
      <c r="B16">
        <v>28</v>
      </c>
      <c r="C16" s="1">
        <f>VLOOKUP($B16,Aggregated_Transit_Final_V2!$B:$H,7,FALSE)</f>
        <v>275.40909090909088</v>
      </c>
      <c r="D16" s="2"/>
      <c r="J16" s="1"/>
      <c r="K16" s="2"/>
      <c r="M16">
        <v>28</v>
      </c>
      <c r="N16">
        <v>28</v>
      </c>
      <c r="O16" t="str">
        <f>VLOOKUP($N16,ABM_RteName!$A:$D,3,FALSE)</f>
        <v>Rte 28 Meridian IB</v>
      </c>
      <c r="P16" s="7">
        <f t="shared" si="0"/>
        <v>275.40909090909088</v>
      </c>
      <c r="Q16" s="28">
        <f t="shared" si="1"/>
        <v>8.0033392377608596E-3</v>
      </c>
      <c r="R16" s="3">
        <f>SUMIF(BoardingByRoute_ABM!$B:$B,N16,BoardingByRoute_ABM!$N:$N)</f>
        <v>45</v>
      </c>
      <c r="S16" s="27">
        <f t="shared" si="2"/>
        <v>1.217499526527962E-3</v>
      </c>
      <c r="T16">
        <f>VLOOKUP($N16,ABM_RteName!$A:$E,5,FALSE)</f>
        <v>1</v>
      </c>
    </row>
    <row r="17" spans="2:20" x14ac:dyDescent="0.45">
      <c r="B17">
        <v>29</v>
      </c>
      <c r="C17" s="1">
        <f>VLOOKUP($B17,Aggregated_Transit_Final_V2!$B:$H,7,FALSE)</f>
        <v>691.09090909090912</v>
      </c>
      <c r="D17" s="2"/>
      <c r="J17" s="1"/>
      <c r="K17" s="2"/>
      <c r="M17">
        <v>29</v>
      </c>
      <c r="N17">
        <v>29</v>
      </c>
      <c r="O17" t="str">
        <f>VLOOKUP($N17,ABM_RteName!$A:$D,3,FALSE)</f>
        <v>Rte 29 Jefferson IB</v>
      </c>
      <c r="P17" s="7">
        <f t="shared" si="0"/>
        <v>691.09090909090912</v>
      </c>
      <c r="Q17" s="28">
        <f t="shared" si="1"/>
        <v>2.0082979001636591E-2</v>
      </c>
      <c r="R17" s="3">
        <f>SUMIF(BoardingByRoute_ABM!$B:$B,N17,BoardingByRoute_ABM!$N:$N)</f>
        <v>582</v>
      </c>
      <c r="S17" s="27">
        <f t="shared" si="2"/>
        <v>1.574632720976164E-2</v>
      </c>
      <c r="T17">
        <f>VLOOKUP($N17,ABM_RteName!$A:$E,5,FALSE)</f>
        <v>1</v>
      </c>
    </row>
    <row r="18" spans="2:20" x14ac:dyDescent="0.45">
      <c r="B18">
        <v>34</v>
      </c>
      <c r="C18" s="1">
        <f>VLOOKUP($B18,Aggregated_Transit_Final_V2!$B:$H,7,FALSE)</f>
        <v>365.81818181818181</v>
      </c>
      <c r="D18" s="2"/>
      <c r="J18" s="1"/>
      <c r="K18" s="2"/>
      <c r="M18">
        <v>34</v>
      </c>
      <c r="N18">
        <v>34</v>
      </c>
      <c r="O18" t="str">
        <f>VLOOKUP($N18,ABM_RteName!$A:$D,3,FALSE)</f>
        <v>Rte 34 Opry Mills IB</v>
      </c>
      <c r="P18" s="7">
        <f t="shared" si="0"/>
        <v>365.81818181818181</v>
      </c>
      <c r="Q18" s="28">
        <f t="shared" si="1"/>
        <v>1.0630611352615844E-2</v>
      </c>
      <c r="R18" s="3">
        <f>SUMIF(BoardingByRoute_ABM!$B:$B,N18,BoardingByRoute_ABM!$N:$N)</f>
        <v>44</v>
      </c>
      <c r="S18" s="27">
        <f t="shared" si="2"/>
        <v>1.1904439814940072E-3</v>
      </c>
      <c r="T18">
        <f>VLOOKUP($N18,ABM_RteName!$A:$E,5,FALSE)</f>
        <v>1</v>
      </c>
    </row>
    <row r="19" spans="2:20" x14ac:dyDescent="0.45">
      <c r="B19">
        <v>41</v>
      </c>
      <c r="C19" s="1">
        <f>VLOOKUP($B19,Aggregated_Transit_Final_V2!$B:$H,7,FALSE)</f>
        <v>61.909090909090907</v>
      </c>
      <c r="D19" s="2"/>
      <c r="J19" s="1"/>
      <c r="K19" s="2"/>
      <c r="M19">
        <v>41</v>
      </c>
      <c r="N19">
        <v>41</v>
      </c>
      <c r="O19" t="str">
        <f>VLOOKUP($N19,ABM_RteName!$A:$D,3,FALSE)</f>
        <v>Rte 41 Golden Valley OB PM</v>
      </c>
      <c r="P19" s="7">
        <f t="shared" si="0"/>
        <v>61.909090909090907</v>
      </c>
      <c r="Q19" s="28">
        <f t="shared" si="1"/>
        <v>1.7990671797046196E-3</v>
      </c>
      <c r="R19" s="3">
        <f>SUMIF(BoardingByRoute_ABM!$B:$B,N19,BoardingByRoute_ABM!$N:$N)</f>
        <v>27</v>
      </c>
      <c r="S19" s="27">
        <f t="shared" si="2"/>
        <v>7.3049971591677716E-4</v>
      </c>
      <c r="T19">
        <f>VLOOKUP($N19,ABM_RteName!$A:$E,5,FALSE)</f>
        <v>1</v>
      </c>
    </row>
    <row r="20" spans="2:20" x14ac:dyDescent="0.45">
      <c r="B20">
        <v>42</v>
      </c>
      <c r="C20" s="1">
        <f>VLOOKUP($B20,Aggregated_Transit_Final_V2!$B:$H,7,FALSE)</f>
        <v>402.68181818181819</v>
      </c>
      <c r="D20" s="2"/>
      <c r="J20" s="1"/>
      <c r="K20" s="2"/>
      <c r="M20">
        <v>42</v>
      </c>
      <c r="N20">
        <v>42</v>
      </c>
      <c r="O20" t="str">
        <f>VLOOKUP($N20,ABM_RteName!$A:$D,3,FALSE)</f>
        <v>Rte 42 St. Cecilia/Cumberland IB</v>
      </c>
      <c r="P20" s="7">
        <f t="shared" si="0"/>
        <v>402.68181818181819</v>
      </c>
      <c r="Q20" s="28">
        <f t="shared" si="1"/>
        <v>1.1701862074158022E-2</v>
      </c>
      <c r="R20" s="3">
        <f>SUMIF(BoardingByRoute_ABM!$B:$B,N20,BoardingByRoute_ABM!$N:$N)</f>
        <v>716</v>
      </c>
      <c r="S20" s="27">
        <f t="shared" si="2"/>
        <v>1.9371770244311571E-2</v>
      </c>
      <c r="T20">
        <f>VLOOKUP($N20,ABM_RteName!$A:$E,5,FALSE)</f>
        <v>1</v>
      </c>
    </row>
    <row r="21" spans="2:20" x14ac:dyDescent="0.45">
      <c r="B21">
        <v>50</v>
      </c>
      <c r="C21" s="1">
        <f>VLOOKUP($B21,Aggregated_Transit_Final_V2!$B:$H,7,FALSE)</f>
        <v>2542.863636363636</v>
      </c>
      <c r="D21" s="2"/>
      <c r="J21" s="1"/>
      <c r="K21" s="2"/>
      <c r="M21">
        <v>50</v>
      </c>
      <c r="N21">
        <v>50</v>
      </c>
      <c r="O21" t="str">
        <f>VLOOKUP($N21,ABM_RteName!$A:$D,3,FALSE)</f>
        <v>Rte 50 CHARLOTTE PIKE oB</v>
      </c>
      <c r="P21" s="7">
        <f t="shared" si="0"/>
        <v>2542.863636363636</v>
      </c>
      <c r="Q21" s="28">
        <f t="shared" si="1"/>
        <v>7.3895165370202298E-2</v>
      </c>
      <c r="R21" s="3">
        <f>SUMIF(BoardingByRoute_ABM!$B:$B,N21,BoardingByRoute_ABM!$N:$N)</f>
        <v>2777</v>
      </c>
      <c r="S21" s="27">
        <f t="shared" si="2"/>
        <v>7.5133248559292223E-2</v>
      </c>
      <c r="T21">
        <f>VLOOKUP($N21,ABM_RteName!$A:$E,5,FALSE)</f>
        <v>1</v>
      </c>
    </row>
    <row r="22" spans="2:20" x14ac:dyDescent="0.45">
      <c r="B22">
        <v>52</v>
      </c>
      <c r="C22" s="1">
        <f>VLOOKUP($B22,Aggregated_Transit_Final_V2!$B:$H,7,FALSE)</f>
        <v>3623.863636363636</v>
      </c>
      <c r="D22" s="2"/>
      <c r="J22" s="1"/>
      <c r="K22" s="2"/>
      <c r="M22">
        <v>52</v>
      </c>
      <c r="N22">
        <v>52</v>
      </c>
      <c r="O22" t="str">
        <f>VLOOKUP($N22,ABM_RteName!$A:$D,3,FALSE)</f>
        <v>Rte 52 NOLENSVILLE PIKE (Hick) oB</v>
      </c>
      <c r="P22" s="7">
        <f t="shared" si="0"/>
        <v>3623.863636363636</v>
      </c>
      <c r="Q22" s="28">
        <f t="shared" si="1"/>
        <v>0.1053088332613442</v>
      </c>
      <c r="R22" s="3">
        <f>SUMIF(BoardingByRoute_ABM!$B:$B,N22,BoardingByRoute_ABM!$N:$N)</f>
        <v>3228</v>
      </c>
      <c r="S22" s="27">
        <f t="shared" si="2"/>
        <v>8.7335299369605796E-2</v>
      </c>
      <c r="T22">
        <f>VLOOKUP($N22,ABM_RteName!$A:$E,5,FALSE)</f>
        <v>1</v>
      </c>
    </row>
    <row r="23" spans="2:20" x14ac:dyDescent="0.45">
      <c r="B23">
        <v>55</v>
      </c>
      <c r="C23" s="1">
        <f>VLOOKUP($B23,Aggregated_Transit_Final_V2!$B:$H,7,FALSE)</f>
        <v>5829.363636363636</v>
      </c>
      <c r="D23" s="2"/>
      <c r="J23" s="1"/>
      <c r="K23" s="2"/>
      <c r="M23">
        <v>55</v>
      </c>
      <c r="N23">
        <v>55</v>
      </c>
      <c r="O23" t="str">
        <f>VLOOKUP($N23,ABM_RteName!$A:$D,3,FALSE)</f>
        <v>Rte 55 MURFREESBORO PIKE oB</v>
      </c>
      <c r="P23" s="7">
        <f t="shared" si="0"/>
        <v>5829.363636363636</v>
      </c>
      <c r="Q23" s="28">
        <f t="shared" si="1"/>
        <v>0.16940027131306803</v>
      </c>
      <c r="R23" s="3">
        <f>SUMIF(BoardingByRoute_ABM!$B:$B,N23,BoardingByRoute_ABM!$N:$N)</f>
        <v>4122</v>
      </c>
      <c r="S23" s="27">
        <f t="shared" si="2"/>
        <v>0.11152295662996131</v>
      </c>
      <c r="T23">
        <f>VLOOKUP($N23,ABM_RteName!$A:$E,5,FALSE)</f>
        <v>1</v>
      </c>
    </row>
    <row r="24" spans="2:20" x14ac:dyDescent="0.45">
      <c r="B24">
        <v>56</v>
      </c>
      <c r="C24" s="1">
        <f>VLOOKUP($B24,Aggregated_Transit_Final_V2!$B:$H,7,FALSE)</f>
        <v>4470.863636363636</v>
      </c>
      <c r="D24" s="2"/>
      <c r="J24" s="1"/>
      <c r="K24" s="2"/>
      <c r="M24">
        <v>56</v>
      </c>
      <c r="N24">
        <v>56</v>
      </c>
      <c r="O24" t="str">
        <f>VLOOKUP($N24,ABM_RteName!$A:$D,3,FALSE)</f>
        <v>Rte 56 Gallatin Rd IB</v>
      </c>
      <c r="P24" s="7">
        <f t="shared" si="0"/>
        <v>4470.863636363636</v>
      </c>
      <c r="Q24" s="28">
        <f t="shared" si="1"/>
        <v>0.12992250273756731</v>
      </c>
      <c r="R24" s="3">
        <f>SUMIF(BoardingByRoute_ABM!$B:$B,N24,BoardingByRoute_ABM!$N:$N)</f>
        <v>4313</v>
      </c>
      <c r="S24" s="27">
        <f t="shared" si="2"/>
        <v>0.11669056573144666</v>
      </c>
      <c r="T24">
        <f>VLOOKUP($N24,ABM_RteName!$A:$E,5,FALSE)</f>
        <v>8</v>
      </c>
    </row>
    <row r="25" spans="2:20" x14ac:dyDescent="0.45">
      <c r="B25">
        <v>64</v>
      </c>
      <c r="C25" s="1">
        <f>VLOOKUP($B25,Aggregated_Transit_Final_V2!$B:$H,7,FALSE)</f>
        <v>9.1818181818181817</v>
      </c>
      <c r="D25" s="2"/>
      <c r="J25" s="1"/>
      <c r="K25" s="2"/>
      <c r="M25">
        <v>64</v>
      </c>
      <c r="N25">
        <v>64</v>
      </c>
      <c r="O25" t="str">
        <f>VLOOKUP($N25,ABM_RteName!$A:$D,3,FALSE)</f>
        <v>Rte 64 STAR DOWNTOWN SHUTTLE</v>
      </c>
      <c r="P25" s="7">
        <f t="shared" si="0"/>
        <v>9.1818181818181817</v>
      </c>
      <c r="Q25" s="28">
        <f t="shared" si="1"/>
        <v>2.668220046257953E-4</v>
      </c>
      <c r="R25" s="3">
        <f>SUMIF(BoardingByRoute_ABM!$B:$B,N25,BoardingByRoute_ABM!$N:$N)</f>
        <v>547</v>
      </c>
      <c r="S25" s="27">
        <f t="shared" si="2"/>
        <v>1.4799383133573226E-2</v>
      </c>
      <c r="T25">
        <f>VLOOKUP($N25,ABM_RteName!$A:$E,5,FALSE)</f>
        <v>11</v>
      </c>
    </row>
    <row r="26" spans="2:20" x14ac:dyDescent="0.45">
      <c r="B26">
        <v>70</v>
      </c>
      <c r="C26" s="1">
        <f>VLOOKUP($B26,Aggregated_Transit_Final_V2!$B:$H,7,FALSE)</f>
        <v>42.409090909090907</v>
      </c>
      <c r="D26" s="2"/>
      <c r="J26" s="1"/>
      <c r="K26" s="2"/>
      <c r="M26">
        <v>70</v>
      </c>
      <c r="N26">
        <v>70</v>
      </c>
      <c r="O26" t="str">
        <f>VLOOKUP($N26,ABM_RteName!$A:$D,3,FALSE)</f>
        <v>Rte 70 Belevue Conn OB</v>
      </c>
      <c r="P26" s="7">
        <f t="shared" si="0"/>
        <v>42.409090909090907</v>
      </c>
      <c r="Q26" s="28">
        <f t="shared" si="1"/>
        <v>1.2324006451280543E-3</v>
      </c>
      <c r="R26" s="3">
        <f>SUMIF(BoardingByRoute_ABM!$B:$B,N26,BoardingByRoute_ABM!$N:$N)</f>
        <v>31</v>
      </c>
      <c r="S26" s="27">
        <f t="shared" si="2"/>
        <v>8.3872189605259601E-4</v>
      </c>
      <c r="T26">
        <f>VLOOKUP($N26,ABM_RteName!$A:$E,5,FALSE)</f>
        <v>1</v>
      </c>
    </row>
    <row r="27" spans="2:20" x14ac:dyDescent="0.45">
      <c r="B27">
        <v>75</v>
      </c>
      <c r="C27" s="1">
        <f>VLOOKUP($B27,Aggregated_Transit_Final_V2!$B:$H,7,FALSE)</f>
        <v>127.6363636363636</v>
      </c>
      <c r="D27" s="2"/>
      <c r="J27" s="1"/>
      <c r="K27" s="2"/>
      <c r="M27">
        <v>75</v>
      </c>
      <c r="N27">
        <v>75</v>
      </c>
      <c r="O27" t="str">
        <f>VLOOKUP($N27,ABM_RteName!$A:$D,3,FALSE)</f>
        <v>Rte 75 Midtown CW Loop</v>
      </c>
      <c r="P27" s="7">
        <f t="shared" si="0"/>
        <v>127.6363636363636</v>
      </c>
      <c r="Q27" s="28">
        <f t="shared" si="1"/>
        <v>3.7090900445011532E-3</v>
      </c>
      <c r="R27" s="3">
        <f>SUMIF(BoardingByRoute_ABM!$B:$B,N27,BoardingByRoute_ABM!$N:$N)</f>
        <v>147</v>
      </c>
      <c r="S27" s="27">
        <f t="shared" si="2"/>
        <v>3.9771651199913419E-3</v>
      </c>
      <c r="T27">
        <f>VLOOKUP($N27,ABM_RteName!$A:$E,5,FALSE)</f>
        <v>1</v>
      </c>
    </row>
    <row r="28" spans="2:20" x14ac:dyDescent="0.45">
      <c r="B28">
        <v>76</v>
      </c>
      <c r="C28" s="1">
        <f>VLOOKUP($B28,Aggregated_Transit_Final_V2!$B:$H,7,FALSE)</f>
        <v>347.31818181818181</v>
      </c>
      <c r="D28" s="2"/>
      <c r="J28" s="1"/>
      <c r="K28" s="2"/>
      <c r="M28">
        <v>76</v>
      </c>
      <c r="N28">
        <v>76</v>
      </c>
      <c r="O28" t="str">
        <f>VLOOKUP($N28,ABM_RteName!$A:$D,3,FALSE)</f>
        <v>Rte 76 Madison Conn</v>
      </c>
      <c r="P28" s="7">
        <f t="shared" si="0"/>
        <v>347.31818181818181</v>
      </c>
      <c r="Q28" s="28">
        <f t="shared" si="1"/>
        <v>1.0093004640325256E-2</v>
      </c>
      <c r="R28" s="3">
        <f>SUMIF(BoardingByRoute_ABM!$B:$B,N28,BoardingByRoute_ABM!$N:$N)</f>
        <v>78</v>
      </c>
      <c r="S28" s="27">
        <f t="shared" si="2"/>
        <v>2.1103325126484674E-3</v>
      </c>
      <c r="T28">
        <f>VLOOKUP($N28,ABM_RteName!$A:$E,5,FALSE)</f>
        <v>1</v>
      </c>
    </row>
    <row r="29" spans="2:20" x14ac:dyDescent="0.45">
      <c r="B29">
        <v>77</v>
      </c>
      <c r="C29" s="1">
        <f>VLOOKUP($B29,Aggregated_Transit_Final_V2!$B:$H,7,FALSE)</f>
        <v>333.95454545454538</v>
      </c>
      <c r="D29" s="2"/>
      <c r="J29" s="1"/>
      <c r="K29" s="2"/>
      <c r="M29">
        <v>77</v>
      </c>
      <c r="N29">
        <v>77</v>
      </c>
      <c r="O29" t="str">
        <f>VLOOKUP($N29,ABM_RteName!$A:$D,3,FALSE)</f>
        <v>Rte 77 THOMPSON - WEDGEWOOD ccw</v>
      </c>
      <c r="P29" s="7">
        <f t="shared" si="0"/>
        <v>333.95454545454538</v>
      </c>
      <c r="Q29" s="28">
        <f t="shared" si="1"/>
        <v>9.7046597425035526E-3</v>
      </c>
      <c r="R29" s="3">
        <f>SUMIF(BoardingByRoute_ABM!$B:$B,N29,BoardingByRoute_ABM!$N:$N)</f>
        <v>90</v>
      </c>
      <c r="S29" s="27">
        <f t="shared" si="2"/>
        <v>2.434999053055924E-3</v>
      </c>
      <c r="T29">
        <f>VLOOKUP($N29,ABM_RteName!$A:$E,5,FALSE)</f>
        <v>1</v>
      </c>
    </row>
    <row r="30" spans="2:20" x14ac:dyDescent="0.45">
      <c r="B30">
        <v>79</v>
      </c>
      <c r="C30" s="1">
        <f>VLOOKUP($B30,Aggregated_Transit_Final_V2!$B:$H,7,FALSE)</f>
        <v>225.77272727272731</v>
      </c>
      <c r="D30" s="2"/>
      <c r="J30" s="1"/>
      <c r="K30" s="2"/>
      <c r="M30">
        <v>79</v>
      </c>
      <c r="N30">
        <v>79</v>
      </c>
      <c r="O30" t="str">
        <f>VLOOKUP($N30,ABM_RteName!$A:$D,3,FALSE)</f>
        <v>Rte 79 Skyline iB</v>
      </c>
      <c r="P30" s="7">
        <f t="shared" si="0"/>
        <v>225.77272727272731</v>
      </c>
      <c r="Q30" s="28">
        <f t="shared" si="1"/>
        <v>6.560915331565967E-3</v>
      </c>
      <c r="R30" s="3">
        <f>SUMIF(BoardingByRoute_ABM!$B:$B,N30,BoardingByRoute_ABM!$N:$N)</f>
        <v>71</v>
      </c>
      <c r="S30" s="27">
        <f t="shared" si="2"/>
        <v>1.9209436974107843E-3</v>
      </c>
      <c r="T30">
        <f>VLOOKUP($N30,ABM_RteName!$A:$E,5,FALSE)</f>
        <v>1</v>
      </c>
    </row>
    <row r="31" spans="2:20" x14ac:dyDescent="0.45">
      <c r="B31">
        <v>84</v>
      </c>
      <c r="C31" s="1">
        <f>VLOOKUP($B31,Aggregated_Transit_Final_V2!$B:$H,7,FALSE)</f>
        <v>127.5</v>
      </c>
      <c r="D31" s="2"/>
      <c r="J31" s="1"/>
      <c r="K31" s="2"/>
      <c r="M31">
        <v>84</v>
      </c>
      <c r="N31">
        <v>84</v>
      </c>
      <c r="O31" t="str">
        <f>VLOOKUP($N31,ABM_RteName!$A:$D,3,FALSE)</f>
        <v>Rte 84 Murfreesboro Express OB</v>
      </c>
      <c r="P31" s="7">
        <f t="shared" si="0"/>
        <v>127.5</v>
      </c>
      <c r="Q31" s="28">
        <f t="shared" si="1"/>
        <v>3.7051273414621575E-3</v>
      </c>
      <c r="R31" s="3">
        <f>SUMIF(BoardingByRoute_ABM!$B:$B,N31,BoardingByRoute_ABM!$N:$N)</f>
        <v>156</v>
      </c>
      <c r="S31" s="27">
        <f t="shared" si="2"/>
        <v>4.2206650252969349E-3</v>
      </c>
      <c r="T31">
        <f>VLOOKUP($N31,ABM_RteName!$A:$E,5,FALSE)</f>
        <v>6</v>
      </c>
    </row>
    <row r="32" spans="2:20" x14ac:dyDescent="0.45">
      <c r="B32">
        <v>86</v>
      </c>
      <c r="C32" s="1">
        <f>VLOOKUP($B32,Aggregated_Transit_Final_V2!$B:$H,7,FALSE)</f>
        <v>47.090909090909093</v>
      </c>
      <c r="D32" s="2"/>
      <c r="J32" s="1"/>
      <c r="K32" s="2"/>
      <c r="M32">
        <v>86</v>
      </c>
      <c r="N32">
        <v>86</v>
      </c>
      <c r="O32" t="str">
        <f>VLOOKUP($N32,ABM_RteName!$A:$D,3,FALSE)</f>
        <v>Rte 86 Smyrna Lavergne Exp OB</v>
      </c>
      <c r="P32" s="7">
        <f t="shared" si="0"/>
        <v>47.090909090909093</v>
      </c>
      <c r="Q32" s="28">
        <f t="shared" si="1"/>
        <v>1.3684534494669501E-3</v>
      </c>
      <c r="R32" s="3">
        <f>SUMIF(BoardingByRoute_ABM!$B:$B,N32,BoardingByRoute_ABM!$N:$N)</f>
        <v>0</v>
      </c>
      <c r="S32" s="27">
        <f t="shared" si="2"/>
        <v>0</v>
      </c>
      <c r="T32">
        <f>VLOOKUP($N32,ABM_RteName!$A:$E,5,FALSE)</f>
        <v>6</v>
      </c>
    </row>
    <row r="33" spans="2:20" x14ac:dyDescent="0.45">
      <c r="B33">
        <v>87</v>
      </c>
      <c r="C33" s="1">
        <f>VLOOKUP($B33,Aggregated_Transit_Final_V2!$B:$H,7,FALSE)</f>
        <v>77.318181818181813</v>
      </c>
      <c r="D33" s="2"/>
      <c r="J33" s="1"/>
      <c r="K33" s="2"/>
      <c r="M33">
        <v>87</v>
      </c>
      <c r="N33">
        <v>87</v>
      </c>
      <c r="O33" t="str">
        <f>VLOOKUP($N33,ABM_RteName!$A:$D,3,FALSE)</f>
        <v>Rte 87 Gallatin Comm Bus OB</v>
      </c>
      <c r="P33" s="7">
        <f t="shared" si="0"/>
        <v>77.318181818181813</v>
      </c>
      <c r="Q33" s="28">
        <f t="shared" si="1"/>
        <v>2.2468526231112758E-3</v>
      </c>
      <c r="R33" s="3">
        <f>SUMIF(BoardingByRoute_ABM!$B:$B,N33,BoardingByRoute_ABM!$N:$N)</f>
        <v>7</v>
      </c>
      <c r="S33" s="27">
        <f t="shared" si="2"/>
        <v>1.8938881523768297E-4</v>
      </c>
      <c r="T33">
        <f>VLOOKUP($N33,ABM_RteName!$A:$E,5,FALSE)</f>
        <v>7</v>
      </c>
    </row>
    <row r="34" spans="2:20" x14ac:dyDescent="0.45">
      <c r="B34">
        <v>89</v>
      </c>
      <c r="C34" s="1">
        <f>VLOOKUP($B34,Aggregated_Transit_Final_V2!$B:$H,7,FALSE)</f>
        <v>23</v>
      </c>
      <c r="D34" s="2"/>
      <c r="J34" s="1"/>
      <c r="K34" s="2"/>
      <c r="M34">
        <v>89</v>
      </c>
      <c r="N34">
        <v>89</v>
      </c>
      <c r="O34" t="str">
        <f>VLOOKUP($N34,ABM_RteName!$A:$D,3,FALSE)</f>
        <v>Rte 89 Spgfield/Joelton Exp OB</v>
      </c>
      <c r="P34" s="7">
        <f t="shared" si="0"/>
        <v>23</v>
      </c>
      <c r="Q34" s="28">
        <f t="shared" si="1"/>
        <v>6.6837591257748723E-4</v>
      </c>
      <c r="R34" s="3">
        <f>SUMIF(BoardingByRoute_ABM!$B:$B,N34,BoardingByRoute_ABM!$N:$N)</f>
        <v>6</v>
      </c>
      <c r="S34" s="27">
        <f t="shared" si="2"/>
        <v>1.6233327020372825E-4</v>
      </c>
      <c r="T34">
        <f>VLOOKUP($N34,ABM_RteName!$A:$E,5,FALSE)</f>
        <v>6</v>
      </c>
    </row>
    <row r="35" spans="2:20" x14ac:dyDescent="0.45">
      <c r="B35">
        <v>90</v>
      </c>
      <c r="C35" s="1">
        <f>VLOOKUP($B35,Aggregated_Transit_Final_V2!$B:$H,7,FALSE)</f>
        <v>399.31818181818181</v>
      </c>
      <c r="D35" s="2"/>
      <c r="J35" s="1"/>
      <c r="K35" s="2"/>
      <c r="M35">
        <v>90</v>
      </c>
      <c r="N35">
        <v>90</v>
      </c>
      <c r="O35" t="str">
        <f>VLOOKUP($N35,ABM_RteName!$A:$D,3,FALSE)</f>
        <v>Rte 90 Music City Star oB</v>
      </c>
      <c r="P35" s="7">
        <f t="shared" si="0"/>
        <v>399.31818181818181</v>
      </c>
      <c r="Q35" s="28">
        <f t="shared" si="1"/>
        <v>1.1604115399196096E-2</v>
      </c>
      <c r="R35" s="3">
        <f>SUMIF(BoardingByRoute_ABM!$B:$B,N35,BoardingByRoute_ABM!$N:$N)</f>
        <v>40</v>
      </c>
      <c r="S35" s="27">
        <f t="shared" si="2"/>
        <v>1.0822218013581883E-3</v>
      </c>
      <c r="T35">
        <f>VLOOKUP($N35,ABM_RteName!$A:$E,5,FALSE)</f>
        <v>12</v>
      </c>
    </row>
    <row r="36" spans="2:20" x14ac:dyDescent="0.45">
      <c r="B36">
        <v>93</v>
      </c>
      <c r="C36" s="1">
        <f>VLOOKUP($B36,Aggregated_Transit_Final_V2!$B:$H,7,FALSE)</f>
        <v>121.3636363636364</v>
      </c>
      <c r="D36" s="2"/>
      <c r="J36" s="1"/>
      <c r="K36" s="2"/>
      <c r="M36">
        <v>93</v>
      </c>
      <c r="N36">
        <v>93</v>
      </c>
      <c r="O36" t="str">
        <f>VLOOKUP($N36,ABM_RteName!$A:$D,3,FALSE)</f>
        <v>Rte 93 MCS West End Shuttle</v>
      </c>
      <c r="P36" s="7">
        <f t="shared" si="0"/>
        <v>121.3636363636364</v>
      </c>
      <c r="Q36" s="28">
        <f t="shared" si="1"/>
        <v>3.5268057047072952E-3</v>
      </c>
      <c r="R36" s="3">
        <f>SUMIF(BoardingByRoute_ABM!$B:$B,N36,BoardingByRoute_ABM!$N:$N)</f>
        <v>644</v>
      </c>
      <c r="S36" s="27">
        <f t="shared" si="2"/>
        <v>1.7423771001866834E-2</v>
      </c>
      <c r="T36">
        <f>VLOOKUP($N36,ABM_RteName!$A:$E,5,FALSE)</f>
        <v>11</v>
      </c>
    </row>
    <row r="37" spans="2:20" x14ac:dyDescent="0.45">
      <c r="B37">
        <v>95</v>
      </c>
      <c r="C37" s="1">
        <f>VLOOKUP($B37,Aggregated_Transit_Final_V2!$B:$H,7,FALSE)</f>
        <v>51.636363636363633</v>
      </c>
      <c r="D37" s="2"/>
      <c r="J37" s="1"/>
      <c r="K37" s="2"/>
      <c r="M37">
        <v>95</v>
      </c>
      <c r="N37">
        <v>95</v>
      </c>
      <c r="O37" t="str">
        <f>VLOOKUP($N37,ABM_RteName!$A:$D,3,FALSE)</f>
        <v>Rte 95 Spring Hill Exp OB</v>
      </c>
      <c r="P37" s="7">
        <f t="shared" si="0"/>
        <v>51.636363636363633</v>
      </c>
      <c r="Q37" s="28">
        <f t="shared" si="1"/>
        <v>1.5005435507668486E-3</v>
      </c>
      <c r="R37" s="3">
        <f>SUMIF(BoardingByRoute_ABM!$B:$B,N37,BoardingByRoute_ABM!$N:$N)</f>
        <v>11</v>
      </c>
      <c r="S37" s="27">
        <f t="shared" si="2"/>
        <v>2.9761099537350179E-4</v>
      </c>
      <c r="T37">
        <f>VLOOKUP($N37,ABM_RteName!$A:$E,5,FALSE)</f>
        <v>6</v>
      </c>
    </row>
    <row r="38" spans="2:20" x14ac:dyDescent="0.45">
      <c r="C38" s="1"/>
      <c r="D38" s="2"/>
      <c r="K38" s="2"/>
      <c r="M38" s="63" t="s">
        <v>49</v>
      </c>
      <c r="N38" s="56"/>
      <c r="O38" s="56"/>
      <c r="P38" s="70">
        <f>SUM(P4:P37)</f>
        <v>34411.772727272735</v>
      </c>
      <c r="Q38" s="71">
        <f>SUM(Q4:Q37)</f>
        <v>1</v>
      </c>
      <c r="R38" s="18">
        <f>SUM(R4:R37)</f>
        <v>36961</v>
      </c>
      <c r="S38" s="72">
        <f>SUM(S4:S37)</f>
        <v>1</v>
      </c>
      <c r="T38" s="67"/>
    </row>
    <row r="39" spans="2:20" x14ac:dyDescent="0.45">
      <c r="K39" s="2"/>
      <c r="M39" s="66"/>
      <c r="N39" s="66"/>
      <c r="O39" s="67"/>
      <c r="P39" s="68"/>
      <c r="Q39" s="69"/>
      <c r="R39" s="68"/>
      <c r="S39" s="69"/>
      <c r="T39" s="67"/>
    </row>
    <row r="40" spans="2:20" x14ac:dyDescent="0.45">
      <c r="K40" s="2"/>
      <c r="M40" s="67"/>
      <c r="N40" s="67"/>
      <c r="O40" s="67"/>
      <c r="P40" s="67"/>
      <c r="Q40" s="67"/>
      <c r="R40" s="67"/>
      <c r="S40" s="67"/>
      <c r="T40" s="67"/>
    </row>
    <row r="41" spans="2:20" x14ac:dyDescent="0.45">
      <c r="C41" s="1"/>
      <c r="D41" s="2"/>
      <c r="K41" s="2"/>
      <c r="M41" s="67"/>
      <c r="N41" s="67"/>
      <c r="O41" s="67"/>
      <c r="P41" s="67"/>
      <c r="Q41" s="67"/>
      <c r="R41" s="67"/>
      <c r="S41" s="67"/>
      <c r="T41" s="67"/>
    </row>
    <row r="42" spans="2:20" x14ac:dyDescent="0.45">
      <c r="C42" s="1"/>
      <c r="D42" s="2"/>
      <c r="K42" s="2"/>
    </row>
    <row r="43" spans="2:20" x14ac:dyDescent="0.45">
      <c r="C43" s="1"/>
      <c r="D43" s="2"/>
      <c r="K43" s="2"/>
      <c r="M43" s="26"/>
    </row>
    <row r="44" spans="2:20" x14ac:dyDescent="0.45">
      <c r="D44" s="2"/>
      <c r="K44" s="2"/>
      <c r="O44" s="26" t="s">
        <v>52</v>
      </c>
    </row>
    <row r="45" spans="2:20" x14ac:dyDescent="0.45">
      <c r="K45" s="2"/>
      <c r="O45" s="26" t="s">
        <v>53</v>
      </c>
      <c r="P45">
        <v>301</v>
      </c>
    </row>
    <row r="46" spans="2:20" x14ac:dyDescent="0.45">
      <c r="K46" s="2"/>
      <c r="O46" s="26" t="s">
        <v>54</v>
      </c>
      <c r="P46">
        <v>301</v>
      </c>
    </row>
    <row r="47" spans="2:20" x14ac:dyDescent="0.45">
      <c r="K47" s="2"/>
      <c r="O47" s="26" t="s">
        <v>55</v>
      </c>
      <c r="P47">
        <v>301</v>
      </c>
    </row>
    <row r="48" spans="2:20" x14ac:dyDescent="0.45">
      <c r="D48" s="20"/>
      <c r="K48" s="2"/>
      <c r="O48" s="26" t="s">
        <v>56</v>
      </c>
      <c r="P48">
        <v>301</v>
      </c>
    </row>
    <row r="49" spans="1:16" x14ac:dyDescent="0.45">
      <c r="K49" s="2"/>
      <c r="O49" s="26" t="s">
        <v>57</v>
      </c>
      <c r="P49">
        <v>301</v>
      </c>
    </row>
    <row r="50" spans="1:16" x14ac:dyDescent="0.45">
      <c r="K50" s="2"/>
      <c r="O50" t="s">
        <v>58</v>
      </c>
      <c r="P50">
        <v>301</v>
      </c>
    </row>
    <row r="51" spans="1:16" x14ac:dyDescent="0.45">
      <c r="O51" s="26" t="s">
        <v>59</v>
      </c>
      <c r="P51">
        <v>18</v>
      </c>
    </row>
    <row r="53" spans="1:16" x14ac:dyDescent="0.45">
      <c r="J53" s="1"/>
      <c r="L53" s="17"/>
    </row>
    <row r="54" spans="1:16" x14ac:dyDescent="0.45">
      <c r="A54" t="s">
        <v>60</v>
      </c>
    </row>
    <row r="55" spans="1:16" x14ac:dyDescent="0.45">
      <c r="B55" s="16"/>
      <c r="C55" s="116" t="s">
        <v>1</v>
      </c>
      <c r="D55" s="115"/>
      <c r="E55" s="123" t="s">
        <v>2</v>
      </c>
      <c r="F55" s="115"/>
      <c r="G55" s="123" t="s">
        <v>4</v>
      </c>
      <c r="H55" s="115"/>
      <c r="I55" s="124"/>
      <c r="J55" s="125"/>
    </row>
    <row r="56" spans="1:16" x14ac:dyDescent="0.45">
      <c r="B56" s="5" t="s">
        <v>7</v>
      </c>
      <c r="C56" s="21" t="s">
        <v>8</v>
      </c>
      <c r="D56" s="21" t="s">
        <v>9</v>
      </c>
      <c r="E56" s="23" t="s">
        <v>8</v>
      </c>
      <c r="F56" s="23" t="s">
        <v>9</v>
      </c>
      <c r="G56" s="23" t="s">
        <v>10</v>
      </c>
      <c r="H56" s="23" t="s">
        <v>11</v>
      </c>
      <c r="I56" s="22"/>
      <c r="J56" s="22"/>
    </row>
    <row r="57" spans="1:16" x14ac:dyDescent="0.45">
      <c r="B57" t="s">
        <v>15</v>
      </c>
      <c r="C57" s="7">
        <f>25297-BoardingByRoute_All!E48</f>
        <v>25245.363636363636</v>
      </c>
      <c r="D57" s="8">
        <f>C57/$C$61</f>
        <v>0.80599462474821648</v>
      </c>
      <c r="E57" s="3">
        <f>IF(ISNUMBER(TrnStat.asc!J26),TrnStat.asc!J26,CONCATENATE(LEFT(TrnStat.asc!J26,2),RIGHT(TrnStat.asc!J26,3)))</f>
        <v>35396</v>
      </c>
      <c r="F57" s="9">
        <f>E57/E$61</f>
        <v>0.95765807202186093</v>
      </c>
      <c r="G57" s="33">
        <v>-0.1</v>
      </c>
      <c r="H57" s="35">
        <f>G57/0.03</f>
        <v>-3.3333333333333335</v>
      </c>
      <c r="I57" s="1"/>
    </row>
    <row r="58" spans="1:16" x14ac:dyDescent="0.45">
      <c r="B58" t="s">
        <v>18</v>
      </c>
      <c r="C58" s="7">
        <v>2122</v>
      </c>
      <c r="D58" s="8">
        <f>C58/$C$61</f>
        <v>6.7747908818083138E-2</v>
      </c>
      <c r="E58" s="3">
        <f>IF(ISNUMBER(TrnStat.asc!K27),TrnStat.asc!K27,CONCATENATE(LEFT(TrnStat.asc!K27,2),RIGHT(TrnStat.asc!K27,3)))+IF(ISNUMBER(TrnStat.asc!K28),TrnStat.asc!K28,CONCATENATE(LEFT(TrnStat.asc!K28,2),RIGHT(TrnStat.asc!K28,3)))</f>
        <v>187</v>
      </c>
      <c r="F58" s="9">
        <f>E58/E$61</f>
        <v>5.0593869213495304E-3</v>
      </c>
      <c r="G58" s="33">
        <v>0.45</v>
      </c>
      <c r="H58" s="35">
        <f>G58/0.03</f>
        <v>15.000000000000002</v>
      </c>
    </row>
    <row r="59" spans="1:16" x14ac:dyDescent="0.45">
      <c r="B59" t="s">
        <v>20</v>
      </c>
      <c r="C59" s="7">
        <v>2660</v>
      </c>
      <c r="D59" s="8">
        <f>C59/$C$61</f>
        <v>8.4924334333695173E-2</v>
      </c>
      <c r="E59" s="3">
        <f>IF(ISNUMBER(TrnStat.asc!K29),TrnStat.asc!K29,CONCATENATE(LEFT(TrnStat.asc!K29,2),RIGHT(TrnStat.asc!K29,3)))</f>
        <v>147</v>
      </c>
      <c r="F59" s="9">
        <f>E59/E$61</f>
        <v>3.9771651199913419E-3</v>
      </c>
      <c r="G59" s="33">
        <v>-0.1</v>
      </c>
      <c r="H59" s="35">
        <f>G59/0.03</f>
        <v>-3.3333333333333335</v>
      </c>
    </row>
    <row r="60" spans="1:16" x14ac:dyDescent="0.45">
      <c r="B60" s="10" t="s">
        <v>23</v>
      </c>
      <c r="C60" s="11">
        <f>1243+BoardingByRoute_All!E48</f>
        <v>1294.6363636363637</v>
      </c>
      <c r="D60" s="8">
        <f>C60/$C$61</f>
        <v>4.1333132100005228E-2</v>
      </c>
      <c r="E60" s="3">
        <f>IF(ISNUMBER(TrnStat.asc!J30),TrnStat.asc!J30,CONCATENATE(LEFT(TrnStat.asc!J30,2),RIGHT(TrnStat.asc!J30,3)))+IF(ISNUMBER(TrnStat.asc!J31),TrnStat.asc!J31,CONCATENATE(LEFT(TrnStat.asc!J31,2),RIGHT(TrnStat.asc!J31,3)))</f>
        <v>1231</v>
      </c>
      <c r="F60" s="12">
        <f>E60/E$61</f>
        <v>3.3305375936798248E-2</v>
      </c>
      <c r="G60" s="33">
        <v>1.3</v>
      </c>
      <c r="H60" s="35">
        <f>G60/0.03</f>
        <v>43.333333333333336</v>
      </c>
    </row>
    <row r="61" spans="1:16" x14ac:dyDescent="0.45">
      <c r="B61" s="5" t="s">
        <v>25</v>
      </c>
      <c r="C61" s="13">
        <v>31322</v>
      </c>
      <c r="D61" s="64">
        <f>C61/$C$61</f>
        <v>1</v>
      </c>
      <c r="E61" s="14">
        <f>SUM(E57:E60)</f>
        <v>36961</v>
      </c>
      <c r="F61" s="15">
        <v>1</v>
      </c>
      <c r="G61" s="34"/>
      <c r="H61" s="19"/>
      <c r="I61" s="32"/>
    </row>
    <row r="63" spans="1:16" x14ac:dyDescent="0.45">
      <c r="B63" t="s">
        <v>30</v>
      </c>
      <c r="C63" s="8">
        <v>0.59599999999999997</v>
      </c>
      <c r="E63" s="9">
        <f>-(TrnStat.asc!D46)</f>
        <v>0.34370000000000001</v>
      </c>
    </row>
  </sheetData>
  <mergeCells count="7">
    <mergeCell ref="R2:S2"/>
    <mergeCell ref="G55:H55"/>
    <mergeCell ref="C55:D55"/>
    <mergeCell ref="E55:F55"/>
    <mergeCell ref="J2:K2"/>
    <mergeCell ref="P2:Q2"/>
    <mergeCell ref="I55:J5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selection activeCell="H35" sqref="H35"/>
    </sheetView>
  </sheetViews>
  <sheetFormatPr defaultColWidth="9.1328125" defaultRowHeight="14.25" x14ac:dyDescent="0.45"/>
  <cols>
    <col min="1" max="1" width="14.73046875" bestFit="1" customWidth="1"/>
    <col min="2" max="2" width="15" bestFit="1" customWidth="1"/>
    <col min="3" max="3" width="9.73046875" bestFit="1" customWidth="1"/>
    <col min="4" max="4" width="3.86328125" bestFit="1" customWidth="1"/>
    <col min="5" max="5" width="9.73046875" bestFit="1" customWidth="1"/>
    <col min="6" max="6" width="12.1328125" bestFit="1" customWidth="1"/>
    <col min="7" max="8" width="9.59765625" bestFit="1" customWidth="1"/>
    <col min="9" max="9" width="9.1328125" customWidth="1"/>
  </cols>
  <sheetData>
    <row r="1" spans="1:8" x14ac:dyDescent="0.4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45">
      <c r="A2">
        <v>3</v>
      </c>
      <c r="B2">
        <v>3</v>
      </c>
      <c r="F2" s="65"/>
      <c r="G2" s="65"/>
      <c r="H2" s="65">
        <f>IFERROR(VLOOKUP(B2,Obs_Ridership!$A:$G,7,FALSE),"")</f>
        <v>2516.909090909091</v>
      </c>
    </row>
    <row r="3" spans="1:8" x14ac:dyDescent="0.45">
      <c r="A3">
        <v>4</v>
      </c>
      <c r="B3">
        <v>4</v>
      </c>
      <c r="F3" s="65"/>
      <c r="G3" s="65"/>
      <c r="H3" s="65">
        <f>IFERROR(VLOOKUP(B3,Obs_Ridership!$A:$G,7,FALSE),"")</f>
        <v>941.0454545454545</v>
      </c>
    </row>
    <row r="4" spans="1:8" x14ac:dyDescent="0.45">
      <c r="A4">
        <v>6</v>
      </c>
      <c r="B4">
        <v>6</v>
      </c>
      <c r="F4" s="65"/>
      <c r="G4" s="65"/>
      <c r="H4" s="65">
        <f>IFERROR(VLOOKUP(B4,Obs_Ridership!$A:$G,7,FALSE),"")</f>
        <v>818.18181818181813</v>
      </c>
    </row>
    <row r="5" spans="1:8" x14ac:dyDescent="0.45">
      <c r="A5">
        <v>7</v>
      </c>
      <c r="B5">
        <v>7</v>
      </c>
      <c r="F5" s="65"/>
      <c r="G5" s="65"/>
      <c r="H5" s="65">
        <f>IFERROR(VLOOKUP(B5,Obs_Ridership!$A:$G,7,FALSE),"")</f>
        <v>1841.590909090909</v>
      </c>
    </row>
    <row r="6" spans="1:8" x14ac:dyDescent="0.45">
      <c r="A6">
        <v>8</v>
      </c>
      <c r="B6">
        <v>8</v>
      </c>
      <c r="F6" s="65"/>
      <c r="G6" s="65"/>
      <c r="H6" s="65">
        <f>IFERROR(VLOOKUP(B6,Obs_Ridership!$A:$G,7,FALSE),"")</f>
        <v>944.40909090909088</v>
      </c>
    </row>
    <row r="7" spans="1:8" x14ac:dyDescent="0.45">
      <c r="A7">
        <v>9</v>
      </c>
      <c r="B7">
        <v>9</v>
      </c>
      <c r="F7" s="65"/>
      <c r="G7" s="65"/>
      <c r="H7" s="65">
        <f>IFERROR(VLOOKUP(B7,Obs_Ridership!$A:$G,7,FALSE),"")</f>
        <v>350.59090909090912</v>
      </c>
    </row>
    <row r="8" spans="1:8" x14ac:dyDescent="0.45">
      <c r="A8">
        <v>14</v>
      </c>
      <c r="B8">
        <v>14</v>
      </c>
      <c r="F8" s="65"/>
      <c r="G8" s="65"/>
      <c r="H8" s="65">
        <f>IFERROR(VLOOKUP(B8,Obs_Ridership!$A:$G,7,FALSE),"")</f>
        <v>334.18181818181819</v>
      </c>
    </row>
    <row r="9" spans="1:8" x14ac:dyDescent="0.45">
      <c r="A9">
        <v>17</v>
      </c>
      <c r="B9">
        <v>17</v>
      </c>
      <c r="F9" s="65"/>
      <c r="G9" s="65"/>
      <c r="H9" s="65">
        <f>IFERROR(VLOOKUP(B9,Obs_Ridership!$A:$G,7,FALSE),"")</f>
        <v>637.9545454545455</v>
      </c>
    </row>
    <row r="10" spans="1:8" x14ac:dyDescent="0.45">
      <c r="A10">
        <v>18</v>
      </c>
      <c r="B10">
        <v>18</v>
      </c>
      <c r="F10" s="65"/>
      <c r="G10" s="65"/>
      <c r="H10" s="65">
        <f>IFERROR(VLOOKUP(B10,Obs_Ridership!$A:$G,7,FALSE),"")</f>
        <v>677.90909090909088</v>
      </c>
    </row>
    <row r="11" spans="1:8" x14ac:dyDescent="0.45">
      <c r="A11">
        <v>19</v>
      </c>
      <c r="B11">
        <v>19</v>
      </c>
      <c r="F11" s="65"/>
      <c r="G11" s="65"/>
      <c r="H11" s="65">
        <f>IFERROR(VLOOKUP(B11,Obs_Ridership!$A:$G,7,FALSE),"")</f>
        <v>955.72727272727275</v>
      </c>
    </row>
    <row r="12" spans="1:8" x14ac:dyDescent="0.45">
      <c r="A12">
        <v>22</v>
      </c>
      <c r="B12">
        <v>22</v>
      </c>
      <c r="F12" s="65"/>
      <c r="G12" s="65"/>
      <c r="H12" s="65">
        <f>IFERROR(VLOOKUP(B12,Obs_Ridership!$A:$G,7,FALSE),"")</f>
        <v>1505.409090909091</v>
      </c>
    </row>
    <row r="13" spans="1:8" x14ac:dyDescent="0.45">
      <c r="A13">
        <v>23</v>
      </c>
      <c r="B13">
        <v>23</v>
      </c>
      <c r="F13" s="65"/>
      <c r="G13" s="65"/>
      <c r="H13" s="65">
        <f>IFERROR(VLOOKUP(B13,Obs_Ridership!$A:$G,7,FALSE),"")</f>
        <v>2690.5</v>
      </c>
    </row>
    <row r="14" spans="1:8" x14ac:dyDescent="0.45">
      <c r="A14">
        <v>28</v>
      </c>
      <c r="B14">
        <v>28</v>
      </c>
      <c r="F14" s="65"/>
      <c r="G14" s="65"/>
      <c r="H14" s="65">
        <f>IFERROR(VLOOKUP(B14,Obs_Ridership!$A:$G,7,FALSE),"")</f>
        <v>275.40909090909088</v>
      </c>
    </row>
    <row r="15" spans="1:8" x14ac:dyDescent="0.45">
      <c r="A15">
        <v>29</v>
      </c>
      <c r="B15">
        <v>29</v>
      </c>
      <c r="F15" s="65"/>
      <c r="G15" s="65"/>
      <c r="H15" s="65">
        <f>IFERROR(VLOOKUP(B15,Obs_Ridership!$A:$G,7,FALSE),"")</f>
        <v>691.09090909090912</v>
      </c>
    </row>
    <row r="16" spans="1:8" x14ac:dyDescent="0.45">
      <c r="A16">
        <v>34</v>
      </c>
      <c r="B16">
        <v>34</v>
      </c>
      <c r="F16" s="65"/>
      <c r="G16" s="65"/>
      <c r="H16" s="65">
        <f>IFERROR(VLOOKUP(B16,Obs_Ridership!$A:$G,7,FALSE),"")</f>
        <v>365.81818181818181</v>
      </c>
    </row>
    <row r="17" spans="1:9" x14ac:dyDescent="0.45">
      <c r="A17">
        <v>41</v>
      </c>
      <c r="B17">
        <v>41</v>
      </c>
      <c r="F17" s="65"/>
      <c r="G17" s="65"/>
      <c r="H17" s="65">
        <f>IFERROR(VLOOKUP(B17,Obs_Ridership!$A:$G,7,FALSE),"")</f>
        <v>61.909090909090907</v>
      </c>
    </row>
    <row r="18" spans="1:9" x14ac:dyDescent="0.45">
      <c r="A18">
        <v>42</v>
      </c>
      <c r="B18">
        <v>42</v>
      </c>
      <c r="F18" s="65"/>
      <c r="G18" s="65"/>
      <c r="H18" s="65">
        <f>IFERROR(VLOOKUP(B18,Obs_Ridership!$A:$G,7,FALSE),"")</f>
        <v>402.68181818181819</v>
      </c>
    </row>
    <row r="19" spans="1:9" x14ac:dyDescent="0.45">
      <c r="A19">
        <v>50</v>
      </c>
      <c r="B19">
        <v>50</v>
      </c>
      <c r="F19" s="65"/>
      <c r="G19" s="65"/>
      <c r="H19" s="65">
        <f>IFERROR(VLOOKUP(B19,Obs_Ridership!$A:$G,7,FALSE),"")</f>
        <v>2542.863636363636</v>
      </c>
    </row>
    <row r="20" spans="1:9" x14ac:dyDescent="0.45">
      <c r="A20">
        <v>52</v>
      </c>
      <c r="B20">
        <v>52</v>
      </c>
      <c r="F20" s="65"/>
      <c r="G20" s="65"/>
      <c r="H20" s="65">
        <f>IFERROR(VLOOKUP(B20,Obs_Ridership!$A:$G,7,FALSE),"")</f>
        <v>3623.863636363636</v>
      </c>
    </row>
    <row r="21" spans="1:9" x14ac:dyDescent="0.45">
      <c r="A21">
        <v>55</v>
      </c>
      <c r="B21">
        <v>55</v>
      </c>
      <c r="F21" s="65"/>
      <c r="G21" s="65"/>
      <c r="H21" s="65">
        <f>IFERROR(VLOOKUP(B21,Obs_Ridership!$A:$G,7,FALSE),"")</f>
        <v>5829.363636363636</v>
      </c>
    </row>
    <row r="22" spans="1:9" x14ac:dyDescent="0.45">
      <c r="A22">
        <v>56</v>
      </c>
      <c r="B22">
        <v>56</v>
      </c>
      <c r="F22" s="65"/>
      <c r="G22" s="65"/>
      <c r="H22" s="65">
        <f>IFERROR(VLOOKUP(B22,Obs_Ridership!$A:$G,7,FALSE),"")</f>
        <v>4470.863636363636</v>
      </c>
    </row>
    <row r="23" spans="1:9" x14ac:dyDescent="0.45">
      <c r="A23">
        <v>64</v>
      </c>
      <c r="B23">
        <v>64</v>
      </c>
      <c r="F23" s="65"/>
      <c r="G23" s="65"/>
      <c r="H23" s="65">
        <f>IFERROR(VLOOKUP(B23,Obs_Ridership!$A:$G,7,FALSE),"")</f>
        <v>9.1818181818181817</v>
      </c>
    </row>
    <row r="24" spans="1:9" x14ac:dyDescent="0.45">
      <c r="A24">
        <v>70</v>
      </c>
      <c r="B24">
        <v>70</v>
      </c>
      <c r="F24" s="65"/>
      <c r="G24" s="65"/>
      <c r="H24" s="65">
        <f>IFERROR(VLOOKUP(B24,Obs_Ridership!$A:$G,7,FALSE),"")</f>
        <v>42.409090909090907</v>
      </c>
    </row>
    <row r="25" spans="1:9" x14ac:dyDescent="0.45">
      <c r="A25">
        <v>75</v>
      </c>
      <c r="B25">
        <v>75</v>
      </c>
      <c r="F25" s="65"/>
      <c r="G25" s="65"/>
      <c r="H25" s="65">
        <f>IFERROR(VLOOKUP(B25,Obs_Ridership!$A:$G,7,FALSE),"")</f>
        <v>127.6363636363636</v>
      </c>
    </row>
    <row r="26" spans="1:9" x14ac:dyDescent="0.45">
      <c r="A26">
        <v>76</v>
      </c>
      <c r="B26">
        <v>76</v>
      </c>
      <c r="F26" s="65"/>
      <c r="G26" s="65"/>
      <c r="H26" s="65">
        <f>IFERROR(VLOOKUP(B26,Obs_Ridership!$A:$G,7,FALSE),"")</f>
        <v>347.31818181818181</v>
      </c>
    </row>
    <row r="27" spans="1:9" x14ac:dyDescent="0.45">
      <c r="A27">
        <v>77</v>
      </c>
      <c r="B27">
        <v>77</v>
      </c>
      <c r="F27" s="65"/>
      <c r="G27" s="65"/>
      <c r="H27" s="65">
        <f>IFERROR(VLOOKUP(B27,Obs_Ridership!$A:$G,7,FALSE),"")</f>
        <v>333.95454545454538</v>
      </c>
    </row>
    <row r="28" spans="1:9" x14ac:dyDescent="0.45">
      <c r="A28">
        <v>79</v>
      </c>
      <c r="B28">
        <v>79</v>
      </c>
      <c r="F28" s="65"/>
      <c r="G28" s="65"/>
      <c r="H28" s="65">
        <f>IFERROR(VLOOKUP(B28,Obs_Ridership!$A:$G,7,FALSE),"")</f>
        <v>225.77272727272731</v>
      </c>
    </row>
    <row r="29" spans="1:9" x14ac:dyDescent="0.45">
      <c r="A29">
        <v>84</v>
      </c>
      <c r="B29">
        <v>84</v>
      </c>
      <c r="F29" s="65"/>
      <c r="G29" s="65"/>
      <c r="H29" s="65">
        <f>IFERROR(VLOOKUP(B29,Obs_Ridership!$A:$G,7,FALSE),"")</f>
        <v>127.5</v>
      </c>
    </row>
    <row r="30" spans="1:9" x14ac:dyDescent="0.45">
      <c r="A30">
        <v>86</v>
      </c>
      <c r="B30">
        <v>86</v>
      </c>
      <c r="F30" s="65"/>
      <c r="G30" s="65"/>
      <c r="H30" s="65">
        <f>IFERROR(VLOOKUP(B30,Obs_Ridership!$A:$G,7,FALSE),"")</f>
        <v>47.090909090909093</v>
      </c>
      <c r="I30" t="s">
        <v>69</v>
      </c>
    </row>
    <row r="31" spans="1:9" x14ac:dyDescent="0.45">
      <c r="A31">
        <v>87</v>
      </c>
      <c r="B31">
        <v>87</v>
      </c>
      <c r="H31" s="65">
        <f>IFERROR(VLOOKUP(B31,Obs_Ridership!$A:$G,7,FALSE),"")</f>
        <v>77.318181818181813</v>
      </c>
    </row>
    <row r="32" spans="1:9" x14ac:dyDescent="0.45">
      <c r="A32">
        <v>89</v>
      </c>
      <c r="B32">
        <v>89</v>
      </c>
      <c r="H32" s="65">
        <f>IFERROR(VLOOKUP(B32,Obs_Ridership!$A:$G,7,FALSE),"")</f>
        <v>23</v>
      </c>
    </row>
    <row r="33" spans="1:8" x14ac:dyDescent="0.45">
      <c r="A33">
        <v>90</v>
      </c>
      <c r="B33">
        <v>90</v>
      </c>
      <c r="H33" s="65">
        <f>IFERROR(VLOOKUP(B33,Obs_Ridership!$A:$G,7,FALSE),"")</f>
        <v>399.31818181818181</v>
      </c>
    </row>
    <row r="34" spans="1:8" x14ac:dyDescent="0.45">
      <c r="A34">
        <v>93</v>
      </c>
      <c r="B34">
        <v>93</v>
      </c>
      <c r="H34" s="65">
        <f>IFERROR(VLOOKUP(B34,Obs_Ridership!$A:$G,7,FALSE),"")</f>
        <v>121.3636363636364</v>
      </c>
    </row>
    <row r="35" spans="1:8" x14ac:dyDescent="0.45">
      <c r="A35">
        <v>95</v>
      </c>
      <c r="B35">
        <v>95</v>
      </c>
      <c r="H35" s="65">
        <f>IFERROR(VLOOKUP(B35,Obs_Ridership!$A:$G,7,FALSE),"")</f>
        <v>51.636363636363633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U257"/>
  <sheetViews>
    <sheetView workbookViewId="0">
      <selection activeCell="V21" sqref="V21"/>
    </sheetView>
  </sheetViews>
  <sheetFormatPr defaultRowHeight="14.25" x14ac:dyDescent="0.45"/>
  <cols>
    <col min="1" max="1" width="12.73046875" customWidth="1"/>
    <col min="2" max="2" width="22.86328125" bestFit="1" customWidth="1"/>
    <col min="3" max="3" width="10.59765625" bestFit="1" customWidth="1"/>
    <col min="4" max="4" width="19.3984375" bestFit="1" customWidth="1"/>
    <col min="5" max="5" width="10.59765625" bestFit="1" customWidth="1"/>
    <col min="6" max="6" width="15.265625" bestFit="1" customWidth="1"/>
    <col min="7" max="7" width="9" bestFit="1" customWidth="1"/>
    <col min="8" max="8" width="19.3984375" bestFit="1" customWidth="1"/>
    <col min="9" max="9" width="10" bestFit="1" customWidth="1"/>
    <col min="10" max="17" width="19.3984375" bestFit="1" customWidth="1"/>
    <col min="18" max="18" width="13.265625" bestFit="1" customWidth="1"/>
    <col min="19" max="19" width="18" bestFit="1" customWidth="1"/>
    <col min="20" max="23" width="20.59765625" bestFit="1" customWidth="1"/>
  </cols>
  <sheetData>
    <row r="1" spans="1:25" x14ac:dyDescent="0.45">
      <c r="A1" t="s">
        <v>456</v>
      </c>
    </row>
    <row r="2" spans="1:25" x14ac:dyDescent="0.45">
      <c r="B2" t="s">
        <v>70</v>
      </c>
      <c r="C2" t="s">
        <v>71</v>
      </c>
      <c r="D2" t="s">
        <v>72</v>
      </c>
      <c r="E2" t="s">
        <v>457</v>
      </c>
      <c r="F2">
        <v>27</v>
      </c>
      <c r="G2">
        <v>2024</v>
      </c>
      <c r="H2" t="s">
        <v>458</v>
      </c>
    </row>
    <row r="3" spans="1:25" x14ac:dyDescent="0.45">
      <c r="B3" t="s">
        <v>74</v>
      </c>
      <c r="C3" t="s">
        <v>75</v>
      </c>
      <c r="D3" t="s">
        <v>76</v>
      </c>
      <c r="E3" t="s">
        <v>459</v>
      </c>
    </row>
    <row r="4" spans="1:25" x14ac:dyDescent="0.45">
      <c r="A4" t="s">
        <v>456</v>
      </c>
    </row>
    <row r="5" spans="1:25" x14ac:dyDescent="0.45">
      <c r="B5" t="s">
        <v>77</v>
      </c>
      <c r="C5" t="s">
        <v>456</v>
      </c>
    </row>
    <row r="6" spans="1:25" x14ac:dyDescent="0.45">
      <c r="A6" t="s">
        <v>456</v>
      </c>
    </row>
    <row r="7" spans="1:25" x14ac:dyDescent="0.45">
      <c r="A7" t="s">
        <v>456</v>
      </c>
    </row>
    <row r="8" spans="1:25" x14ac:dyDescent="0.45">
      <c r="A8" t="s">
        <v>456</v>
      </c>
    </row>
    <row r="9" spans="1:25" x14ac:dyDescent="0.4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460</v>
      </c>
    </row>
    <row r="10" spans="1:25" x14ac:dyDescent="0.45">
      <c r="A10" t="s">
        <v>461</v>
      </c>
    </row>
    <row r="11" spans="1:25" x14ac:dyDescent="0.45">
      <c r="B11" t="s">
        <v>86</v>
      </c>
      <c r="C11" t="s">
        <v>87</v>
      </c>
      <c r="D11" t="s">
        <v>88</v>
      </c>
      <c r="E11">
        <v>2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  <c r="P11" t="s">
        <v>98</v>
      </c>
      <c r="Q11" t="s">
        <v>99</v>
      </c>
      <c r="R11" t="s">
        <v>100</v>
      </c>
      <c r="S11" t="s">
        <v>101</v>
      </c>
      <c r="T11" t="s">
        <v>102</v>
      </c>
      <c r="U11" t="s">
        <v>103</v>
      </c>
      <c r="V11" t="s">
        <v>104</v>
      </c>
      <c r="W11" t="s">
        <v>105</v>
      </c>
      <c r="X11" t="s">
        <v>25</v>
      </c>
      <c r="Y11" t="s">
        <v>462</v>
      </c>
    </row>
    <row r="12" spans="1:25" x14ac:dyDescent="0.45">
      <c r="A12" t="s">
        <v>461</v>
      </c>
    </row>
    <row r="13" spans="1:25" x14ac:dyDescent="0.45">
      <c r="B13" t="s">
        <v>106</v>
      </c>
      <c r="C13" t="s">
        <v>107</v>
      </c>
      <c r="D13" t="s">
        <v>107</v>
      </c>
      <c r="E13" t="s">
        <v>107</v>
      </c>
      <c r="F13" s="1">
        <v>5175</v>
      </c>
      <c r="G13" s="113">
        <v>42</v>
      </c>
      <c r="H13" s="1">
        <v>41</v>
      </c>
      <c r="I13">
        <v>0</v>
      </c>
      <c r="J13">
        <v>277</v>
      </c>
      <c r="K13" s="1">
        <v>1169</v>
      </c>
      <c r="L13">
        <v>0</v>
      </c>
      <c r="M13" s="1">
        <v>5</v>
      </c>
      <c r="N13">
        <v>0</v>
      </c>
      <c r="O13">
        <v>22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105</v>
      </c>
      <c r="V13" t="s">
        <v>463</v>
      </c>
    </row>
    <row r="14" spans="1:25" x14ac:dyDescent="0.45">
      <c r="B14" t="s">
        <v>108</v>
      </c>
      <c r="C14" t="s">
        <v>107</v>
      </c>
      <c r="D14" t="s">
        <v>107</v>
      </c>
      <c r="E14" t="s">
        <v>107</v>
      </c>
      <c r="F14" s="1">
        <v>7578</v>
      </c>
      <c r="G14" s="113">
        <v>19</v>
      </c>
      <c r="H14">
        <v>56</v>
      </c>
      <c r="I14">
        <v>0</v>
      </c>
      <c r="J14">
        <v>0</v>
      </c>
      <c r="K14" s="1">
        <v>624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105</v>
      </c>
      <c r="V14" t="s">
        <v>463</v>
      </c>
    </row>
    <row r="15" spans="1:25" x14ac:dyDescent="0.45">
      <c r="B15" t="s">
        <v>109</v>
      </c>
      <c r="C15" t="s">
        <v>107</v>
      </c>
      <c r="D15" t="s">
        <v>107</v>
      </c>
      <c r="E15" t="s">
        <v>107</v>
      </c>
      <c r="F15" s="1">
        <v>7274</v>
      </c>
      <c r="G15" s="113">
        <v>24</v>
      </c>
      <c r="H15" s="1">
        <v>49</v>
      </c>
      <c r="I15">
        <v>0</v>
      </c>
      <c r="J15" s="1">
        <v>928</v>
      </c>
      <c r="K15" s="1">
        <v>1282</v>
      </c>
      <c r="L15">
        <v>0</v>
      </c>
      <c r="M15" s="1">
        <v>7</v>
      </c>
      <c r="N15">
        <v>0</v>
      </c>
      <c r="O15">
        <v>16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105</v>
      </c>
      <c r="V15" t="s">
        <v>463</v>
      </c>
    </row>
    <row r="16" spans="1:25" x14ac:dyDescent="0.45">
      <c r="B16" t="s">
        <v>110</v>
      </c>
      <c r="C16" t="s">
        <v>107</v>
      </c>
      <c r="D16" t="s">
        <v>107</v>
      </c>
      <c r="E16" t="s">
        <v>107</v>
      </c>
      <c r="F16" s="1">
        <v>2690</v>
      </c>
      <c r="G16" s="113">
        <v>0</v>
      </c>
      <c r="H16">
        <v>17</v>
      </c>
      <c r="I16">
        <v>0</v>
      </c>
      <c r="J16">
        <v>0</v>
      </c>
      <c r="K16">
        <v>209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105</v>
      </c>
      <c r="V16" t="s">
        <v>463</v>
      </c>
    </row>
    <row r="17" spans="1:21" x14ac:dyDescent="0.45">
      <c r="A17" t="s">
        <v>461</v>
      </c>
    </row>
    <row r="18" spans="1:21" x14ac:dyDescent="0.45">
      <c r="A18" t="s">
        <v>49</v>
      </c>
      <c r="B18" t="s">
        <v>107</v>
      </c>
      <c r="C18" t="s">
        <v>107</v>
      </c>
      <c r="D18" t="s">
        <v>107</v>
      </c>
      <c r="E18" s="1">
        <v>22717</v>
      </c>
      <c r="F18" s="1">
        <v>85</v>
      </c>
      <c r="G18" s="1">
        <v>163</v>
      </c>
      <c r="H18">
        <v>0</v>
      </c>
      <c r="I18" s="1">
        <v>1205</v>
      </c>
      <c r="J18" s="1">
        <v>3284</v>
      </c>
      <c r="K18" s="1">
        <v>0</v>
      </c>
      <c r="L18" s="1">
        <v>14</v>
      </c>
      <c r="M18">
        <v>0</v>
      </c>
      <c r="N18">
        <v>38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105</v>
      </c>
      <c r="U18" t="s">
        <v>463</v>
      </c>
    </row>
    <row r="19" spans="1:21" x14ac:dyDescent="0.45">
      <c r="A19" t="s">
        <v>456</v>
      </c>
    </row>
    <row r="20" spans="1:21" x14ac:dyDescent="0.45">
      <c r="A20" t="s">
        <v>456</v>
      </c>
    </row>
    <row r="21" spans="1:21" x14ac:dyDescent="0.45">
      <c r="A21" t="s">
        <v>456</v>
      </c>
    </row>
    <row r="22" spans="1:21" x14ac:dyDescent="0.45">
      <c r="A22" t="s">
        <v>111</v>
      </c>
      <c r="B22" t="s">
        <v>112</v>
      </c>
      <c r="C22" t="s">
        <v>79</v>
      </c>
      <c r="D22" t="s">
        <v>82</v>
      </c>
      <c r="E22" t="s">
        <v>113</v>
      </c>
      <c r="F22" t="s">
        <v>114</v>
      </c>
      <c r="G22" t="s">
        <v>460</v>
      </c>
    </row>
    <row r="23" spans="1:21" x14ac:dyDescent="0.45">
      <c r="A23" t="s">
        <v>461</v>
      </c>
    </row>
    <row r="24" spans="1:21" x14ac:dyDescent="0.45">
      <c r="B24" t="s">
        <v>6</v>
      </c>
      <c r="C24" t="s">
        <v>6</v>
      </c>
      <c r="D24" t="s">
        <v>115</v>
      </c>
      <c r="E24" t="s">
        <v>116</v>
      </c>
      <c r="F24" t="s">
        <v>117</v>
      </c>
      <c r="G24" t="s">
        <v>106</v>
      </c>
      <c r="H24" t="s">
        <v>108</v>
      </c>
      <c r="I24" t="s">
        <v>109</v>
      </c>
      <c r="J24" t="s">
        <v>110</v>
      </c>
      <c r="K24" t="s">
        <v>105</v>
      </c>
      <c r="L24" t="s">
        <v>464</v>
      </c>
    </row>
    <row r="25" spans="1:21" x14ac:dyDescent="0.45">
      <c r="A25" t="s">
        <v>461</v>
      </c>
    </row>
    <row r="26" spans="1:21" x14ac:dyDescent="0.45">
      <c r="B26">
        <v>1</v>
      </c>
      <c r="C26" t="s">
        <v>118</v>
      </c>
      <c r="D26">
        <v>2</v>
      </c>
      <c r="E26" s="1">
        <v>8366</v>
      </c>
      <c r="F26" s="1">
        <v>11296</v>
      </c>
      <c r="G26" s="1">
        <v>11776</v>
      </c>
      <c r="H26" s="1">
        <v>3950</v>
      </c>
      <c r="I26" t="s">
        <v>105</v>
      </c>
      <c r="J26" s="1">
        <v>35396</v>
      </c>
    </row>
    <row r="27" spans="1:21" x14ac:dyDescent="0.45">
      <c r="B27">
        <v>6</v>
      </c>
      <c r="C27" t="s">
        <v>119</v>
      </c>
      <c r="D27" t="s">
        <v>120</v>
      </c>
      <c r="E27">
        <v>1</v>
      </c>
      <c r="F27" s="1">
        <v>46</v>
      </c>
      <c r="G27">
        <v>58</v>
      </c>
      <c r="H27" s="1">
        <v>56</v>
      </c>
      <c r="I27">
        <v>18</v>
      </c>
      <c r="J27" t="s">
        <v>105</v>
      </c>
      <c r="K27" s="1">
        <v>180</v>
      </c>
    </row>
    <row r="28" spans="1:21" x14ac:dyDescent="0.45">
      <c r="B28">
        <v>7</v>
      </c>
      <c r="C28" t="s">
        <v>121</v>
      </c>
      <c r="D28" t="s">
        <v>120</v>
      </c>
      <c r="E28">
        <v>1</v>
      </c>
      <c r="F28">
        <v>3</v>
      </c>
      <c r="G28">
        <v>0</v>
      </c>
      <c r="H28">
        <v>4</v>
      </c>
      <c r="I28">
        <v>0</v>
      </c>
      <c r="J28" t="s">
        <v>105</v>
      </c>
      <c r="K28">
        <v>7</v>
      </c>
    </row>
    <row r="29" spans="1:21" x14ac:dyDescent="0.45">
      <c r="B29">
        <v>8</v>
      </c>
      <c r="C29" t="s">
        <v>122</v>
      </c>
      <c r="D29" t="s">
        <v>20</v>
      </c>
      <c r="E29">
        <v>1.5</v>
      </c>
      <c r="F29" s="1">
        <v>44</v>
      </c>
      <c r="G29" s="1">
        <v>18</v>
      </c>
      <c r="H29" s="1">
        <v>85</v>
      </c>
      <c r="I29">
        <v>0</v>
      </c>
      <c r="J29" t="s">
        <v>105</v>
      </c>
      <c r="K29" s="1">
        <v>147</v>
      </c>
    </row>
    <row r="30" spans="1:21" x14ac:dyDescent="0.45">
      <c r="B30">
        <v>11</v>
      </c>
      <c r="C30" t="s">
        <v>124</v>
      </c>
      <c r="D30">
        <v>2</v>
      </c>
      <c r="E30">
        <v>267</v>
      </c>
      <c r="F30">
        <v>0</v>
      </c>
      <c r="G30">
        <v>923</v>
      </c>
      <c r="H30">
        <v>0</v>
      </c>
      <c r="I30" t="s">
        <v>105</v>
      </c>
      <c r="J30">
        <v>1191</v>
      </c>
    </row>
    <row r="31" spans="1:21" x14ac:dyDescent="0.45">
      <c r="B31">
        <v>12</v>
      </c>
      <c r="C31" t="s">
        <v>125</v>
      </c>
      <c r="D31">
        <v>0.5</v>
      </c>
      <c r="E31">
        <v>30</v>
      </c>
      <c r="F31">
        <v>0</v>
      </c>
      <c r="G31">
        <v>12</v>
      </c>
      <c r="H31">
        <v>0</v>
      </c>
      <c r="I31" t="s">
        <v>105</v>
      </c>
      <c r="J31" s="1">
        <v>40</v>
      </c>
    </row>
    <row r="32" spans="1:21" x14ac:dyDescent="0.45">
      <c r="A32" t="s">
        <v>461</v>
      </c>
    </row>
    <row r="33" spans="1:8" x14ac:dyDescent="0.45">
      <c r="B33" t="s">
        <v>49</v>
      </c>
      <c r="C33" s="1">
        <v>8756</v>
      </c>
      <c r="D33" s="1">
        <v>11372</v>
      </c>
      <c r="E33" s="1">
        <v>12856</v>
      </c>
      <c r="F33" s="1">
        <v>3968</v>
      </c>
      <c r="G33" t="s">
        <v>105</v>
      </c>
      <c r="H33" s="1">
        <v>36961</v>
      </c>
    </row>
    <row r="34" spans="1:8" x14ac:dyDescent="0.45">
      <c r="A34" t="s">
        <v>456</v>
      </c>
    </row>
    <row r="35" spans="1:8" x14ac:dyDescent="0.45">
      <c r="A35" t="s">
        <v>456</v>
      </c>
    </row>
    <row r="36" spans="1:8" x14ac:dyDescent="0.45">
      <c r="A36" t="s">
        <v>456</v>
      </c>
    </row>
    <row r="37" spans="1:8" x14ac:dyDescent="0.45">
      <c r="A37" t="s">
        <v>126</v>
      </c>
      <c r="B37" t="s">
        <v>127</v>
      </c>
      <c r="C37" t="s">
        <v>79</v>
      </c>
      <c r="D37" t="s">
        <v>465</v>
      </c>
    </row>
    <row r="38" spans="1:8" x14ac:dyDescent="0.45">
      <c r="A38" t="s">
        <v>456</v>
      </c>
    </row>
    <row r="39" spans="1:8" x14ac:dyDescent="0.45">
      <c r="B39" t="s">
        <v>128</v>
      </c>
      <c r="C39" t="s">
        <v>129</v>
      </c>
      <c r="D39" t="s">
        <v>466</v>
      </c>
    </row>
    <row r="40" spans="1:8" x14ac:dyDescent="0.45">
      <c r="A40" t="s">
        <v>456</v>
      </c>
    </row>
    <row r="41" spans="1:8" x14ac:dyDescent="0.45">
      <c r="B41" t="s">
        <v>106</v>
      </c>
      <c r="C41" s="1">
        <v>2025</v>
      </c>
      <c r="D41" s="2" t="s">
        <v>467</v>
      </c>
      <c r="E41" t="s">
        <v>456</v>
      </c>
    </row>
    <row r="42" spans="1:8" x14ac:dyDescent="0.45">
      <c r="B42" t="s">
        <v>108</v>
      </c>
      <c r="C42" s="1">
        <v>3093</v>
      </c>
      <c r="D42" s="2" t="s">
        <v>468</v>
      </c>
      <c r="E42" t="s">
        <v>456</v>
      </c>
    </row>
    <row r="43" spans="1:8" x14ac:dyDescent="0.45">
      <c r="B43" t="s">
        <v>109</v>
      </c>
      <c r="C43" s="1">
        <v>3276</v>
      </c>
      <c r="D43" s="2" t="s">
        <v>469</v>
      </c>
      <c r="E43" t="s">
        <v>456</v>
      </c>
    </row>
    <row r="44" spans="1:8" x14ac:dyDescent="0.45">
      <c r="B44" t="s">
        <v>110</v>
      </c>
      <c r="C44">
        <v>1052</v>
      </c>
      <c r="D44" s="2" t="s">
        <v>470</v>
      </c>
      <c r="E44" t="s">
        <v>456</v>
      </c>
    </row>
    <row r="45" spans="1:8" x14ac:dyDescent="0.45">
      <c r="A45" t="s">
        <v>456</v>
      </c>
    </row>
    <row r="46" spans="1:8" x14ac:dyDescent="0.45">
      <c r="B46" t="s">
        <v>49</v>
      </c>
      <c r="C46" s="1">
        <v>9455</v>
      </c>
      <c r="D46" s="2" t="s">
        <v>471</v>
      </c>
      <c r="E46" t="s">
        <v>456</v>
      </c>
    </row>
    <row r="47" spans="1:8" x14ac:dyDescent="0.45">
      <c r="A47" t="s">
        <v>456</v>
      </c>
    </row>
    <row r="48" spans="1:8" x14ac:dyDescent="0.45">
      <c r="A48" t="s">
        <v>456</v>
      </c>
    </row>
    <row r="49" spans="1:11" x14ac:dyDescent="0.45">
      <c r="A49" t="s">
        <v>456</v>
      </c>
    </row>
    <row r="50" spans="1:11" x14ac:dyDescent="0.45">
      <c r="A50" t="s">
        <v>111</v>
      </c>
      <c r="B50" t="s">
        <v>112</v>
      </c>
      <c r="C50" t="s">
        <v>79</v>
      </c>
      <c r="D50" t="s">
        <v>130</v>
      </c>
      <c r="E50" t="s">
        <v>113</v>
      </c>
      <c r="F50" t="s">
        <v>114</v>
      </c>
      <c r="G50" t="s">
        <v>460</v>
      </c>
    </row>
    <row r="51" spans="1:11" x14ac:dyDescent="0.45">
      <c r="A51" t="s">
        <v>461</v>
      </c>
    </row>
    <row r="52" spans="1:11" x14ac:dyDescent="0.45">
      <c r="B52" t="s">
        <v>131</v>
      </c>
      <c r="C52" t="s">
        <v>6</v>
      </c>
      <c r="D52" t="s">
        <v>131</v>
      </c>
      <c r="E52" t="s">
        <v>115</v>
      </c>
      <c r="F52" t="s">
        <v>106</v>
      </c>
      <c r="G52" t="s">
        <v>108</v>
      </c>
      <c r="H52" t="s">
        <v>109</v>
      </c>
      <c r="I52" t="s">
        <v>110</v>
      </c>
      <c r="J52" t="s">
        <v>105</v>
      </c>
      <c r="K52" t="s">
        <v>464</v>
      </c>
    </row>
    <row r="53" spans="1:11" x14ac:dyDescent="0.45">
      <c r="A53" t="s">
        <v>461</v>
      </c>
    </row>
    <row r="54" spans="1:11" x14ac:dyDescent="0.45">
      <c r="B54">
        <v>3</v>
      </c>
      <c r="C54">
        <v>1</v>
      </c>
      <c r="D54" t="s">
        <v>132</v>
      </c>
      <c r="E54">
        <v>3</v>
      </c>
      <c r="F54">
        <v>1986</v>
      </c>
      <c r="G54">
        <v>2285</v>
      </c>
      <c r="H54">
        <v>3002</v>
      </c>
      <c r="I54">
        <v>782</v>
      </c>
      <c r="J54" t="s">
        <v>105</v>
      </c>
      <c r="K54">
        <v>8057</v>
      </c>
    </row>
    <row r="55" spans="1:11" x14ac:dyDescent="0.45">
      <c r="B55">
        <v>4</v>
      </c>
      <c r="C55">
        <v>1</v>
      </c>
      <c r="D55" t="s">
        <v>132</v>
      </c>
      <c r="E55">
        <v>4</v>
      </c>
      <c r="F55">
        <v>50</v>
      </c>
      <c r="G55">
        <v>78</v>
      </c>
      <c r="H55">
        <v>88</v>
      </c>
      <c r="I55">
        <v>84</v>
      </c>
      <c r="J55" t="s">
        <v>105</v>
      </c>
      <c r="K55">
        <v>299</v>
      </c>
    </row>
    <row r="56" spans="1:11" x14ac:dyDescent="0.45">
      <c r="B56">
        <v>6</v>
      </c>
      <c r="C56">
        <v>1</v>
      </c>
      <c r="D56" t="s">
        <v>132</v>
      </c>
      <c r="E56">
        <v>6</v>
      </c>
      <c r="F56" s="1">
        <v>155</v>
      </c>
      <c r="G56" s="1">
        <v>109</v>
      </c>
      <c r="H56" s="1">
        <v>286</v>
      </c>
      <c r="I56">
        <v>72</v>
      </c>
      <c r="J56" t="s">
        <v>105</v>
      </c>
      <c r="K56" s="1">
        <v>622</v>
      </c>
    </row>
    <row r="57" spans="1:11" x14ac:dyDescent="0.45">
      <c r="B57">
        <v>7</v>
      </c>
      <c r="C57">
        <v>1</v>
      </c>
      <c r="D57" t="s">
        <v>132</v>
      </c>
      <c r="E57">
        <v>7</v>
      </c>
      <c r="F57">
        <v>555</v>
      </c>
      <c r="G57">
        <v>1056</v>
      </c>
      <c r="H57">
        <v>749</v>
      </c>
      <c r="I57">
        <v>295</v>
      </c>
      <c r="J57" t="s">
        <v>105</v>
      </c>
      <c r="K57" s="1">
        <v>2656</v>
      </c>
    </row>
    <row r="58" spans="1:11" x14ac:dyDescent="0.45">
      <c r="B58">
        <v>8</v>
      </c>
      <c r="C58">
        <v>1</v>
      </c>
      <c r="D58" t="s">
        <v>132</v>
      </c>
      <c r="E58">
        <v>8</v>
      </c>
      <c r="F58" s="1">
        <v>226</v>
      </c>
      <c r="G58">
        <v>309</v>
      </c>
      <c r="H58" s="1">
        <v>240</v>
      </c>
      <c r="I58">
        <v>65</v>
      </c>
      <c r="J58" t="s">
        <v>105</v>
      </c>
      <c r="K58" s="1">
        <v>839</v>
      </c>
    </row>
    <row r="59" spans="1:11" x14ac:dyDescent="0.45">
      <c r="B59">
        <v>9</v>
      </c>
      <c r="C59">
        <v>1</v>
      </c>
      <c r="D59" t="s">
        <v>132</v>
      </c>
      <c r="E59">
        <v>9</v>
      </c>
      <c r="F59">
        <v>259</v>
      </c>
      <c r="G59" s="1">
        <v>336</v>
      </c>
      <c r="H59">
        <v>239</v>
      </c>
      <c r="I59">
        <v>0</v>
      </c>
      <c r="J59" t="s">
        <v>105</v>
      </c>
      <c r="K59" s="1">
        <v>834</v>
      </c>
    </row>
    <row r="60" spans="1:11" x14ac:dyDescent="0.45">
      <c r="B60">
        <v>14</v>
      </c>
      <c r="C60">
        <v>1</v>
      </c>
      <c r="D60" t="s">
        <v>132</v>
      </c>
      <c r="E60">
        <v>14</v>
      </c>
      <c r="F60">
        <v>96</v>
      </c>
      <c r="G60">
        <v>63</v>
      </c>
      <c r="H60">
        <v>138</v>
      </c>
      <c r="I60">
        <v>30</v>
      </c>
      <c r="J60" t="s">
        <v>105</v>
      </c>
      <c r="K60" s="1">
        <v>328</v>
      </c>
    </row>
    <row r="61" spans="1:11" x14ac:dyDescent="0.45">
      <c r="B61">
        <v>17</v>
      </c>
      <c r="C61">
        <v>1</v>
      </c>
      <c r="D61" t="s">
        <v>132</v>
      </c>
      <c r="E61">
        <v>17</v>
      </c>
      <c r="F61">
        <v>230</v>
      </c>
      <c r="G61">
        <v>277</v>
      </c>
      <c r="H61">
        <v>322</v>
      </c>
      <c r="I61">
        <v>56</v>
      </c>
      <c r="J61" t="s">
        <v>105</v>
      </c>
      <c r="K61">
        <v>886</v>
      </c>
    </row>
    <row r="62" spans="1:11" x14ac:dyDescent="0.45">
      <c r="B62">
        <v>18</v>
      </c>
      <c r="C62">
        <v>6</v>
      </c>
      <c r="D62" t="s">
        <v>132</v>
      </c>
      <c r="E62">
        <v>18</v>
      </c>
      <c r="F62">
        <v>66</v>
      </c>
      <c r="G62">
        <v>172</v>
      </c>
      <c r="H62">
        <v>72</v>
      </c>
      <c r="I62">
        <v>46</v>
      </c>
      <c r="J62" t="s">
        <v>105</v>
      </c>
      <c r="K62" s="1">
        <v>358</v>
      </c>
    </row>
    <row r="63" spans="1:11" x14ac:dyDescent="0.45">
      <c r="B63">
        <v>19</v>
      </c>
      <c r="C63">
        <v>1</v>
      </c>
      <c r="D63" t="s">
        <v>132</v>
      </c>
      <c r="E63">
        <v>19</v>
      </c>
      <c r="F63">
        <v>232</v>
      </c>
      <c r="G63">
        <v>294</v>
      </c>
      <c r="H63">
        <v>425</v>
      </c>
      <c r="I63">
        <v>101</v>
      </c>
      <c r="J63" t="s">
        <v>105</v>
      </c>
      <c r="K63" s="1">
        <v>1053</v>
      </c>
    </row>
    <row r="64" spans="1:11" x14ac:dyDescent="0.45">
      <c r="B64">
        <v>22</v>
      </c>
      <c r="C64">
        <v>1</v>
      </c>
      <c r="D64" t="s">
        <v>132</v>
      </c>
      <c r="E64">
        <v>22</v>
      </c>
      <c r="F64">
        <v>274</v>
      </c>
      <c r="G64">
        <v>526</v>
      </c>
      <c r="H64">
        <v>539</v>
      </c>
      <c r="I64">
        <v>358</v>
      </c>
      <c r="J64" t="s">
        <v>105</v>
      </c>
      <c r="K64">
        <v>1697</v>
      </c>
    </row>
    <row r="65" spans="2:11" x14ac:dyDescent="0.45">
      <c r="B65">
        <v>23</v>
      </c>
      <c r="C65">
        <v>1</v>
      </c>
      <c r="D65" t="s">
        <v>132</v>
      </c>
      <c r="E65">
        <v>23</v>
      </c>
      <c r="F65" s="1">
        <v>382</v>
      </c>
      <c r="G65" s="1">
        <v>566</v>
      </c>
      <c r="H65" s="1">
        <v>520</v>
      </c>
      <c r="I65">
        <v>182</v>
      </c>
      <c r="J65" t="s">
        <v>105</v>
      </c>
      <c r="K65" s="1">
        <v>1650</v>
      </c>
    </row>
    <row r="66" spans="2:11" x14ac:dyDescent="0.45">
      <c r="B66">
        <v>28</v>
      </c>
      <c r="C66">
        <v>1</v>
      </c>
      <c r="D66" t="s">
        <v>132</v>
      </c>
      <c r="E66">
        <v>28</v>
      </c>
      <c r="F66">
        <v>22</v>
      </c>
      <c r="G66">
        <v>0</v>
      </c>
      <c r="H66">
        <v>22</v>
      </c>
      <c r="I66">
        <v>0</v>
      </c>
      <c r="J66" t="s">
        <v>105</v>
      </c>
      <c r="K66" s="1">
        <v>45</v>
      </c>
    </row>
    <row r="67" spans="2:11" x14ac:dyDescent="0.45">
      <c r="B67">
        <v>29</v>
      </c>
      <c r="C67">
        <v>1</v>
      </c>
      <c r="D67" t="s">
        <v>132</v>
      </c>
      <c r="E67">
        <v>29</v>
      </c>
      <c r="F67">
        <v>170</v>
      </c>
      <c r="G67">
        <v>167</v>
      </c>
      <c r="H67">
        <v>185</v>
      </c>
      <c r="I67">
        <v>61</v>
      </c>
      <c r="J67" t="s">
        <v>105</v>
      </c>
      <c r="K67">
        <v>582</v>
      </c>
    </row>
    <row r="68" spans="2:11" x14ac:dyDescent="0.45">
      <c r="B68">
        <v>34</v>
      </c>
      <c r="C68">
        <v>1</v>
      </c>
      <c r="D68" t="s">
        <v>132</v>
      </c>
      <c r="E68">
        <v>34</v>
      </c>
      <c r="F68">
        <v>5</v>
      </c>
      <c r="G68">
        <v>15</v>
      </c>
      <c r="H68">
        <v>16</v>
      </c>
      <c r="I68">
        <v>7</v>
      </c>
      <c r="J68" t="s">
        <v>105</v>
      </c>
      <c r="K68" s="1">
        <v>44</v>
      </c>
    </row>
    <row r="69" spans="2:11" x14ac:dyDescent="0.45">
      <c r="B69">
        <v>41</v>
      </c>
      <c r="C69">
        <v>1</v>
      </c>
      <c r="D69" t="s">
        <v>132</v>
      </c>
      <c r="E69">
        <v>41</v>
      </c>
      <c r="F69">
        <v>21</v>
      </c>
      <c r="G69">
        <v>0</v>
      </c>
      <c r="H69">
        <v>2</v>
      </c>
      <c r="I69">
        <v>4</v>
      </c>
      <c r="J69" t="s">
        <v>105</v>
      </c>
      <c r="K69">
        <v>27</v>
      </c>
    </row>
    <row r="70" spans="2:11" x14ac:dyDescent="0.45">
      <c r="B70">
        <v>42</v>
      </c>
      <c r="C70">
        <v>1</v>
      </c>
      <c r="D70" t="s">
        <v>132</v>
      </c>
      <c r="E70">
        <v>42</v>
      </c>
      <c r="F70">
        <v>140</v>
      </c>
      <c r="G70">
        <v>154</v>
      </c>
      <c r="H70">
        <v>304</v>
      </c>
      <c r="I70">
        <v>117</v>
      </c>
      <c r="J70" t="s">
        <v>105</v>
      </c>
      <c r="K70" s="1">
        <v>716</v>
      </c>
    </row>
    <row r="71" spans="2:11" x14ac:dyDescent="0.45">
      <c r="B71">
        <v>50</v>
      </c>
      <c r="C71">
        <v>1</v>
      </c>
      <c r="D71" t="s">
        <v>132</v>
      </c>
      <c r="E71">
        <v>50</v>
      </c>
      <c r="F71">
        <v>622</v>
      </c>
      <c r="G71">
        <v>997</v>
      </c>
      <c r="H71">
        <v>868</v>
      </c>
      <c r="I71">
        <v>288</v>
      </c>
      <c r="J71" t="s">
        <v>105</v>
      </c>
      <c r="K71" s="1">
        <v>2777</v>
      </c>
    </row>
    <row r="72" spans="2:11" x14ac:dyDescent="0.45">
      <c r="B72">
        <v>52</v>
      </c>
      <c r="C72">
        <v>1</v>
      </c>
      <c r="D72" t="s">
        <v>132</v>
      </c>
      <c r="E72">
        <v>52</v>
      </c>
      <c r="F72">
        <v>752</v>
      </c>
      <c r="G72">
        <v>978</v>
      </c>
      <c r="H72">
        <v>978</v>
      </c>
      <c r="I72">
        <v>519</v>
      </c>
      <c r="J72" t="s">
        <v>105</v>
      </c>
      <c r="K72" s="1">
        <v>3228</v>
      </c>
    </row>
    <row r="73" spans="2:11" x14ac:dyDescent="0.45">
      <c r="B73">
        <v>55</v>
      </c>
      <c r="C73">
        <v>1</v>
      </c>
      <c r="D73" t="s">
        <v>132</v>
      </c>
      <c r="E73">
        <v>55</v>
      </c>
      <c r="F73">
        <v>939</v>
      </c>
      <c r="G73">
        <v>1487</v>
      </c>
      <c r="H73">
        <v>1208</v>
      </c>
      <c r="I73">
        <v>487</v>
      </c>
      <c r="J73" t="s">
        <v>105</v>
      </c>
      <c r="K73">
        <v>4122</v>
      </c>
    </row>
    <row r="74" spans="2:11" x14ac:dyDescent="0.45">
      <c r="B74">
        <v>56</v>
      </c>
      <c r="C74">
        <v>8</v>
      </c>
      <c r="D74" t="s">
        <v>132</v>
      </c>
      <c r="E74">
        <v>56</v>
      </c>
      <c r="F74">
        <v>1102</v>
      </c>
      <c r="G74">
        <v>1308</v>
      </c>
      <c r="H74">
        <v>1528</v>
      </c>
      <c r="I74">
        <v>374</v>
      </c>
      <c r="J74" t="s">
        <v>105</v>
      </c>
      <c r="K74" s="1">
        <v>4313</v>
      </c>
    </row>
    <row r="75" spans="2:11" x14ac:dyDescent="0.45">
      <c r="B75">
        <v>64</v>
      </c>
      <c r="C75">
        <v>11</v>
      </c>
      <c r="D75" t="s">
        <v>132</v>
      </c>
      <c r="E75">
        <v>64</v>
      </c>
      <c r="F75">
        <v>128</v>
      </c>
      <c r="G75">
        <v>0</v>
      </c>
      <c r="H75">
        <v>418</v>
      </c>
      <c r="I75">
        <v>0</v>
      </c>
      <c r="J75" t="s">
        <v>105</v>
      </c>
      <c r="K75" s="1">
        <v>547</v>
      </c>
    </row>
    <row r="76" spans="2:11" x14ac:dyDescent="0.45">
      <c r="B76">
        <v>70</v>
      </c>
      <c r="C76">
        <v>1</v>
      </c>
      <c r="D76" t="s">
        <v>132</v>
      </c>
      <c r="E76">
        <v>70</v>
      </c>
      <c r="F76">
        <v>12</v>
      </c>
      <c r="G76">
        <v>8</v>
      </c>
      <c r="H76">
        <v>12</v>
      </c>
      <c r="I76">
        <v>0</v>
      </c>
      <c r="J76" t="s">
        <v>105</v>
      </c>
      <c r="K76">
        <v>31</v>
      </c>
    </row>
    <row r="77" spans="2:11" x14ac:dyDescent="0.45">
      <c r="B77">
        <v>75</v>
      </c>
      <c r="C77">
        <v>1</v>
      </c>
      <c r="D77" t="s">
        <v>132</v>
      </c>
      <c r="E77">
        <v>75</v>
      </c>
      <c r="F77">
        <v>57</v>
      </c>
      <c r="G77">
        <v>52</v>
      </c>
      <c r="H77">
        <v>37</v>
      </c>
      <c r="I77">
        <v>0</v>
      </c>
      <c r="J77" t="s">
        <v>105</v>
      </c>
      <c r="K77">
        <v>147</v>
      </c>
    </row>
    <row r="78" spans="2:11" x14ac:dyDescent="0.45">
      <c r="B78">
        <v>76</v>
      </c>
      <c r="C78">
        <v>1</v>
      </c>
      <c r="D78" t="s">
        <v>132</v>
      </c>
      <c r="E78">
        <v>76</v>
      </c>
      <c r="F78">
        <v>17</v>
      </c>
      <c r="G78">
        <v>25</v>
      </c>
      <c r="H78">
        <v>33</v>
      </c>
      <c r="I78">
        <v>3</v>
      </c>
      <c r="J78" t="s">
        <v>105</v>
      </c>
      <c r="K78">
        <v>78</v>
      </c>
    </row>
    <row r="79" spans="2:11" x14ac:dyDescent="0.45">
      <c r="B79">
        <v>77</v>
      </c>
      <c r="C79">
        <v>1</v>
      </c>
      <c r="D79" t="s">
        <v>132</v>
      </c>
      <c r="E79">
        <v>77</v>
      </c>
      <c r="F79">
        <v>21</v>
      </c>
      <c r="G79">
        <v>30</v>
      </c>
      <c r="H79">
        <v>23</v>
      </c>
      <c r="I79">
        <v>14</v>
      </c>
      <c r="J79" t="s">
        <v>105</v>
      </c>
      <c r="K79">
        <v>90</v>
      </c>
    </row>
    <row r="80" spans="2:11" x14ac:dyDescent="0.45">
      <c r="B80">
        <v>79</v>
      </c>
      <c r="C80">
        <v>1</v>
      </c>
      <c r="D80" t="s">
        <v>132</v>
      </c>
      <c r="E80">
        <v>79</v>
      </c>
      <c r="F80">
        <v>20</v>
      </c>
      <c r="G80">
        <v>20</v>
      </c>
      <c r="H80">
        <v>28</v>
      </c>
      <c r="I80">
        <v>4</v>
      </c>
      <c r="J80" t="s">
        <v>105</v>
      </c>
      <c r="K80">
        <v>71</v>
      </c>
    </row>
    <row r="81" spans="1:125" x14ac:dyDescent="0.45">
      <c r="B81">
        <v>84</v>
      </c>
      <c r="C81">
        <v>6</v>
      </c>
      <c r="D81" t="s">
        <v>132</v>
      </c>
      <c r="E81">
        <v>84</v>
      </c>
      <c r="F81">
        <v>35</v>
      </c>
      <c r="G81">
        <v>58</v>
      </c>
      <c r="H81">
        <v>45</v>
      </c>
      <c r="I81">
        <v>18</v>
      </c>
      <c r="J81" t="s">
        <v>105</v>
      </c>
      <c r="K81">
        <v>156</v>
      </c>
    </row>
    <row r="82" spans="1:125" x14ac:dyDescent="0.45">
      <c r="B82">
        <v>87</v>
      </c>
      <c r="C82">
        <v>7</v>
      </c>
      <c r="D82" t="s">
        <v>132</v>
      </c>
      <c r="E82">
        <v>87</v>
      </c>
      <c r="F82">
        <v>3</v>
      </c>
      <c r="G82">
        <v>0</v>
      </c>
      <c r="H82">
        <v>4</v>
      </c>
      <c r="I82">
        <v>0</v>
      </c>
      <c r="J82" t="s">
        <v>105</v>
      </c>
      <c r="K82">
        <v>7</v>
      </c>
    </row>
    <row r="83" spans="1:125" x14ac:dyDescent="0.45">
      <c r="B83">
        <v>89</v>
      </c>
      <c r="C83">
        <v>6</v>
      </c>
      <c r="D83" t="s">
        <v>132</v>
      </c>
      <c r="E83">
        <v>89</v>
      </c>
      <c r="F83">
        <v>2</v>
      </c>
      <c r="G83">
        <v>0</v>
      </c>
      <c r="H83">
        <v>4</v>
      </c>
      <c r="I83">
        <v>0</v>
      </c>
      <c r="J83" t="s">
        <v>105</v>
      </c>
      <c r="K83">
        <v>6</v>
      </c>
    </row>
    <row r="84" spans="1:125" x14ac:dyDescent="0.45">
      <c r="B84">
        <v>90</v>
      </c>
      <c r="C84">
        <v>12</v>
      </c>
      <c r="D84" t="s">
        <v>132</v>
      </c>
      <c r="E84">
        <v>90</v>
      </c>
      <c r="F84">
        <v>30</v>
      </c>
      <c r="G84">
        <v>0</v>
      </c>
      <c r="H84">
        <v>12</v>
      </c>
      <c r="I84">
        <v>0</v>
      </c>
      <c r="J84" t="s">
        <v>105</v>
      </c>
      <c r="K84">
        <v>40</v>
      </c>
    </row>
    <row r="85" spans="1:125" x14ac:dyDescent="0.45">
      <c r="B85">
        <v>93</v>
      </c>
      <c r="C85">
        <v>11</v>
      </c>
      <c r="D85" t="s">
        <v>132</v>
      </c>
      <c r="E85">
        <v>93</v>
      </c>
      <c r="F85">
        <v>139</v>
      </c>
      <c r="G85">
        <v>0</v>
      </c>
      <c r="H85">
        <v>505</v>
      </c>
      <c r="I85">
        <v>0</v>
      </c>
      <c r="J85" t="s">
        <v>105</v>
      </c>
      <c r="K85">
        <v>644</v>
      </c>
    </row>
    <row r="86" spans="1:125" x14ac:dyDescent="0.45">
      <c r="B86">
        <v>95</v>
      </c>
      <c r="C86">
        <v>6</v>
      </c>
      <c r="D86" t="s">
        <v>132</v>
      </c>
      <c r="E86">
        <v>95</v>
      </c>
      <c r="F86">
        <v>5</v>
      </c>
      <c r="G86">
        <v>0</v>
      </c>
      <c r="H86">
        <v>4</v>
      </c>
      <c r="I86">
        <v>0</v>
      </c>
      <c r="J86" t="s">
        <v>105</v>
      </c>
      <c r="K86">
        <v>11</v>
      </c>
    </row>
    <row r="87" spans="1:125" x14ac:dyDescent="0.45">
      <c r="A87" t="s">
        <v>461</v>
      </c>
      <c r="B87">
        <v>42</v>
      </c>
      <c r="C87">
        <v>1</v>
      </c>
      <c r="D87" t="s">
        <v>132</v>
      </c>
      <c r="E87">
        <v>42</v>
      </c>
      <c r="F87" s="1" t="s">
        <v>140</v>
      </c>
      <c r="G87" s="1" t="s">
        <v>139</v>
      </c>
      <c r="H87" s="1" t="s">
        <v>141</v>
      </c>
      <c r="I87" t="s">
        <v>137</v>
      </c>
      <c r="J87" t="s">
        <v>105</v>
      </c>
      <c r="K87" s="1" t="s">
        <v>142</v>
      </c>
    </row>
    <row r="88" spans="1:125" x14ac:dyDescent="0.45">
      <c r="B88" t="s">
        <v>49</v>
      </c>
      <c r="C88">
        <v>8756</v>
      </c>
      <c r="D88">
        <v>11372</v>
      </c>
      <c r="E88">
        <v>12856</v>
      </c>
      <c r="F88">
        <v>3968</v>
      </c>
      <c r="G88" t="s">
        <v>105</v>
      </c>
      <c r="H88">
        <v>36961</v>
      </c>
      <c r="I88" t="s">
        <v>143</v>
      </c>
      <c r="J88" t="s">
        <v>105</v>
      </c>
      <c r="K88" s="1" t="s">
        <v>144</v>
      </c>
    </row>
    <row r="89" spans="1:125" x14ac:dyDescent="0.45">
      <c r="A89" t="s">
        <v>456</v>
      </c>
      <c r="B89">
        <v>52</v>
      </c>
      <c r="C89">
        <v>1</v>
      </c>
      <c r="D89" t="s">
        <v>132</v>
      </c>
      <c r="E89">
        <v>52</v>
      </c>
      <c r="F89" t="s">
        <v>145</v>
      </c>
      <c r="G89" t="s">
        <v>146</v>
      </c>
      <c r="H89" s="1" t="s">
        <v>147</v>
      </c>
      <c r="I89" t="s">
        <v>148</v>
      </c>
      <c r="J89" t="s">
        <v>105</v>
      </c>
      <c r="K89" s="1">
        <v>2385</v>
      </c>
    </row>
    <row r="90" spans="1:125" x14ac:dyDescent="0.45">
      <c r="A90" t="s">
        <v>456</v>
      </c>
      <c r="B90">
        <v>56</v>
      </c>
      <c r="C90">
        <v>8</v>
      </c>
      <c r="D90" t="s">
        <v>132</v>
      </c>
      <c r="E90">
        <v>56</v>
      </c>
      <c r="F90" s="1" t="s">
        <v>123</v>
      </c>
      <c r="G90" t="s">
        <v>149</v>
      </c>
      <c r="H90" s="1" t="s">
        <v>150</v>
      </c>
      <c r="I90" t="s">
        <v>151</v>
      </c>
      <c r="J90" t="s">
        <v>105</v>
      </c>
      <c r="K90" s="1">
        <v>2591</v>
      </c>
    </row>
    <row r="91" spans="1:125" x14ac:dyDescent="0.45">
      <c r="A91" t="s">
        <v>456</v>
      </c>
      <c r="B91">
        <v>60</v>
      </c>
      <c r="C91">
        <v>1</v>
      </c>
      <c r="D91" t="s">
        <v>132</v>
      </c>
      <c r="E91">
        <v>60</v>
      </c>
      <c r="F91" t="s">
        <v>134</v>
      </c>
      <c r="G91" s="1" t="s">
        <v>152</v>
      </c>
      <c r="H91" t="s">
        <v>153</v>
      </c>
      <c r="I91" t="s">
        <v>133</v>
      </c>
      <c r="J91" t="s">
        <v>105</v>
      </c>
      <c r="K91" s="1">
        <v>1457</v>
      </c>
    </row>
    <row r="92" spans="1:125" x14ac:dyDescent="0.45">
      <c r="A92" t="s">
        <v>111</v>
      </c>
      <c r="B92" t="s">
        <v>112</v>
      </c>
      <c r="C92" t="s">
        <v>79</v>
      </c>
      <c r="D92" t="s">
        <v>161</v>
      </c>
      <c r="E92" t="s">
        <v>162</v>
      </c>
      <c r="F92" t="s">
        <v>163</v>
      </c>
      <c r="G92" t="s">
        <v>460</v>
      </c>
      <c r="H92" t="s">
        <v>135</v>
      </c>
      <c r="I92" t="s">
        <v>155</v>
      </c>
      <c r="J92" t="s">
        <v>105</v>
      </c>
      <c r="K92" t="s">
        <v>156</v>
      </c>
    </row>
    <row r="93" spans="1:125" x14ac:dyDescent="0.45">
      <c r="A93" t="s">
        <v>456</v>
      </c>
      <c r="B93">
        <v>72</v>
      </c>
      <c r="C93">
        <v>1</v>
      </c>
      <c r="D93" t="s">
        <v>132</v>
      </c>
      <c r="E93">
        <v>72</v>
      </c>
      <c r="F93" t="s">
        <v>154</v>
      </c>
      <c r="G93" t="s">
        <v>143</v>
      </c>
      <c r="H93" t="s">
        <v>136</v>
      </c>
      <c r="I93" t="s">
        <v>133</v>
      </c>
      <c r="J93" t="s">
        <v>105</v>
      </c>
      <c r="K93" t="s">
        <v>157</v>
      </c>
    </row>
    <row r="94" spans="1:125" x14ac:dyDescent="0.45">
      <c r="B94" t="s">
        <v>164</v>
      </c>
      <c r="C94" t="s">
        <v>165</v>
      </c>
      <c r="D94" t="s">
        <v>82</v>
      </c>
      <c r="E94" t="s">
        <v>166</v>
      </c>
      <c r="F94" t="s">
        <v>167</v>
      </c>
      <c r="G94" t="s">
        <v>168</v>
      </c>
      <c r="H94" t="s">
        <v>169</v>
      </c>
      <c r="I94" t="s">
        <v>170</v>
      </c>
      <c r="J94" t="s">
        <v>171</v>
      </c>
      <c r="K94" t="s">
        <v>172</v>
      </c>
      <c r="L94" t="s">
        <v>173</v>
      </c>
      <c r="M94" t="s">
        <v>174</v>
      </c>
      <c r="N94" t="s">
        <v>175</v>
      </c>
      <c r="O94" t="s">
        <v>176</v>
      </c>
      <c r="P94" t="s">
        <v>177</v>
      </c>
      <c r="Q94" t="s">
        <v>178</v>
      </c>
      <c r="R94" t="s">
        <v>179</v>
      </c>
      <c r="S94" t="s">
        <v>180</v>
      </c>
      <c r="T94" t="s">
        <v>181</v>
      </c>
      <c r="U94" t="s">
        <v>182</v>
      </c>
      <c r="V94" t="s">
        <v>183</v>
      </c>
      <c r="W94" t="s">
        <v>184</v>
      </c>
      <c r="X94" t="s">
        <v>185</v>
      </c>
      <c r="Y94" t="s">
        <v>186</v>
      </c>
      <c r="Z94" t="s">
        <v>187</v>
      </c>
      <c r="AA94" t="s">
        <v>188</v>
      </c>
      <c r="AB94" t="s">
        <v>189</v>
      </c>
      <c r="AC94" t="s">
        <v>190</v>
      </c>
      <c r="AD94" t="s">
        <v>191</v>
      </c>
      <c r="AE94" t="s">
        <v>192</v>
      </c>
      <c r="AF94" t="s">
        <v>193</v>
      </c>
      <c r="AG94" t="s">
        <v>194</v>
      </c>
      <c r="AH94" t="s">
        <v>195</v>
      </c>
      <c r="AI94" t="s">
        <v>196</v>
      </c>
      <c r="AJ94" t="s">
        <v>197</v>
      </c>
      <c r="AK94" t="s">
        <v>198</v>
      </c>
      <c r="AL94" t="s">
        <v>199</v>
      </c>
      <c r="AM94" t="s">
        <v>200</v>
      </c>
      <c r="AN94" t="s">
        <v>201</v>
      </c>
      <c r="AO94" t="s">
        <v>202</v>
      </c>
      <c r="AP94" t="s">
        <v>203</v>
      </c>
      <c r="AQ94" t="s">
        <v>204</v>
      </c>
      <c r="AR94" t="s">
        <v>205</v>
      </c>
      <c r="AS94" t="s">
        <v>206</v>
      </c>
      <c r="AT94" t="s">
        <v>207</v>
      </c>
      <c r="AU94" t="s">
        <v>208</v>
      </c>
      <c r="AV94" t="s">
        <v>209</v>
      </c>
      <c r="AW94" t="s">
        <v>210</v>
      </c>
      <c r="AX94" t="s">
        <v>211</v>
      </c>
      <c r="AY94" t="s">
        <v>212</v>
      </c>
      <c r="AZ94" t="s">
        <v>213</v>
      </c>
      <c r="BA94" t="s">
        <v>214</v>
      </c>
      <c r="BB94" t="s">
        <v>215</v>
      </c>
      <c r="BC94" t="s">
        <v>216</v>
      </c>
      <c r="BD94" t="s">
        <v>217</v>
      </c>
      <c r="BE94" t="s">
        <v>218</v>
      </c>
      <c r="BF94" t="s">
        <v>219</v>
      </c>
      <c r="BG94" t="s">
        <v>220</v>
      </c>
      <c r="BH94" t="s">
        <v>221</v>
      </c>
      <c r="BI94" t="s">
        <v>222</v>
      </c>
      <c r="BJ94" t="s">
        <v>223</v>
      </c>
      <c r="BK94" t="s">
        <v>224</v>
      </c>
      <c r="BL94" t="s">
        <v>225</v>
      </c>
      <c r="BM94" t="s">
        <v>226</v>
      </c>
      <c r="BN94" t="s">
        <v>227</v>
      </c>
      <c r="BO94" t="s">
        <v>228</v>
      </c>
      <c r="BP94" t="s">
        <v>229</v>
      </c>
      <c r="BQ94" t="s">
        <v>230</v>
      </c>
      <c r="BR94" t="s">
        <v>231</v>
      </c>
      <c r="BS94" t="s">
        <v>232</v>
      </c>
      <c r="BT94" t="s">
        <v>233</v>
      </c>
      <c r="BU94" t="s">
        <v>234</v>
      </c>
      <c r="BV94" t="s">
        <v>235</v>
      </c>
      <c r="BW94" t="s">
        <v>236</v>
      </c>
      <c r="BX94" t="s">
        <v>237</v>
      </c>
      <c r="BY94" t="s">
        <v>238</v>
      </c>
      <c r="BZ94" t="s">
        <v>239</v>
      </c>
      <c r="CA94" t="s">
        <v>240</v>
      </c>
      <c r="CB94" t="s">
        <v>241</v>
      </c>
      <c r="CC94" t="s">
        <v>242</v>
      </c>
      <c r="CD94" t="s">
        <v>243</v>
      </c>
      <c r="CE94" t="s">
        <v>244</v>
      </c>
      <c r="CF94" t="s">
        <v>245</v>
      </c>
      <c r="CG94" t="s">
        <v>246</v>
      </c>
      <c r="CH94" t="s">
        <v>247</v>
      </c>
      <c r="CI94" t="s">
        <v>248</v>
      </c>
      <c r="CJ94" t="s">
        <v>249</v>
      </c>
      <c r="CK94" t="s">
        <v>250</v>
      </c>
      <c r="CL94" t="s">
        <v>251</v>
      </c>
      <c r="CM94" t="s">
        <v>252</v>
      </c>
      <c r="CN94" t="s">
        <v>253</v>
      </c>
      <c r="CO94" t="s">
        <v>254</v>
      </c>
      <c r="CP94" t="s">
        <v>255</v>
      </c>
      <c r="CQ94" t="s">
        <v>256</v>
      </c>
      <c r="CR94" t="s">
        <v>257</v>
      </c>
      <c r="CS94" t="s">
        <v>258</v>
      </c>
      <c r="CT94" t="s">
        <v>259</v>
      </c>
      <c r="CU94" t="s">
        <v>260</v>
      </c>
      <c r="CV94" t="s">
        <v>261</v>
      </c>
      <c r="CW94" t="s">
        <v>262</v>
      </c>
      <c r="CX94" t="s">
        <v>263</v>
      </c>
      <c r="CY94" t="s">
        <v>264</v>
      </c>
      <c r="CZ94" t="s">
        <v>265</v>
      </c>
      <c r="DA94" t="s">
        <v>266</v>
      </c>
      <c r="DB94" t="s">
        <v>267</v>
      </c>
      <c r="DC94" t="s">
        <v>268</v>
      </c>
      <c r="DD94" t="s">
        <v>269</v>
      </c>
      <c r="DE94" t="s">
        <v>270</v>
      </c>
      <c r="DF94" t="s">
        <v>271</v>
      </c>
      <c r="DG94" t="s">
        <v>272</v>
      </c>
      <c r="DH94" t="s">
        <v>273</v>
      </c>
      <c r="DI94" t="s">
        <v>274</v>
      </c>
      <c r="DJ94" t="s">
        <v>275</v>
      </c>
      <c r="DK94" t="s">
        <v>276</v>
      </c>
      <c r="DL94" t="s">
        <v>277</v>
      </c>
      <c r="DM94" t="s">
        <v>278</v>
      </c>
      <c r="DN94" t="s">
        <v>279</v>
      </c>
      <c r="DO94" t="s">
        <v>280</v>
      </c>
      <c r="DP94" t="s">
        <v>281</v>
      </c>
      <c r="DQ94" t="s">
        <v>282</v>
      </c>
      <c r="DR94" t="s">
        <v>283</v>
      </c>
      <c r="DS94" t="s">
        <v>284</v>
      </c>
      <c r="DT94" t="s">
        <v>285</v>
      </c>
      <c r="DU94" t="s">
        <v>472</v>
      </c>
    </row>
    <row r="95" spans="1:125" x14ac:dyDescent="0.45">
      <c r="A95" t="s">
        <v>456</v>
      </c>
      <c r="B95">
        <v>77</v>
      </c>
      <c r="C95">
        <v>1</v>
      </c>
      <c r="D95" t="s">
        <v>132</v>
      </c>
      <c r="E95">
        <v>77</v>
      </c>
      <c r="F95" t="s">
        <v>158</v>
      </c>
      <c r="G95" t="s">
        <v>159</v>
      </c>
      <c r="H95" t="s">
        <v>143</v>
      </c>
      <c r="I95" t="s">
        <v>138</v>
      </c>
      <c r="J95" t="s">
        <v>105</v>
      </c>
      <c r="K95" t="s">
        <v>160</v>
      </c>
    </row>
    <row r="96" spans="1:125" x14ac:dyDescent="0.45">
      <c r="B96" t="s">
        <v>473</v>
      </c>
      <c r="C96">
        <v>52</v>
      </c>
      <c r="D96" t="s">
        <v>474</v>
      </c>
      <c r="E96" t="s">
        <v>475</v>
      </c>
      <c r="F96" t="s">
        <v>476</v>
      </c>
      <c r="G96">
        <v>1</v>
      </c>
      <c r="H96">
        <v>20</v>
      </c>
      <c r="I96">
        <v>30</v>
      </c>
      <c r="J96">
        <v>22</v>
      </c>
      <c r="K96">
        <v>23</v>
      </c>
      <c r="L96">
        <v>52</v>
      </c>
      <c r="M96">
        <v>9.2928470000000001</v>
      </c>
      <c r="N96">
        <v>42.540658000000001</v>
      </c>
      <c r="O96">
        <v>9.2928470000000001</v>
      </c>
      <c r="P96">
        <v>39.487693</v>
      </c>
      <c r="Q96">
        <v>9.2928470000000001</v>
      </c>
      <c r="R96">
        <v>60.249935999999998</v>
      </c>
      <c r="S96">
        <v>9.2928470000000001</v>
      </c>
      <c r="T96">
        <v>35.755592999999998</v>
      </c>
      <c r="U96" t="s">
        <v>477</v>
      </c>
      <c r="V96" t="s">
        <v>478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479</v>
      </c>
      <c r="AF96">
        <v>0</v>
      </c>
      <c r="AG96">
        <v>3.9630000000000001</v>
      </c>
      <c r="AH96">
        <v>0.16200000000000001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t="s">
        <v>480</v>
      </c>
      <c r="AP96">
        <v>6.0940000000000003</v>
      </c>
      <c r="AQ96">
        <v>8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150.19999999999999</v>
      </c>
      <c r="BA96">
        <v>0.52</v>
      </c>
      <c r="BB96">
        <v>0</v>
      </c>
      <c r="BC96">
        <v>3.3679999999999999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170</v>
      </c>
      <c r="BN96">
        <v>2014</v>
      </c>
    </row>
    <row r="97" spans="2:125" x14ac:dyDescent="0.45">
      <c r="B97" t="s">
        <v>481</v>
      </c>
      <c r="C97">
        <v>17</v>
      </c>
      <c r="D97" t="s">
        <v>482</v>
      </c>
      <c r="E97" t="s">
        <v>483</v>
      </c>
      <c r="F97" t="s">
        <v>484</v>
      </c>
      <c r="G97">
        <v>1</v>
      </c>
      <c r="H97">
        <v>20</v>
      </c>
      <c r="I97">
        <v>28</v>
      </c>
      <c r="J97">
        <v>24</v>
      </c>
      <c r="K97">
        <v>50</v>
      </c>
      <c r="L97">
        <v>17</v>
      </c>
      <c r="M97">
        <v>6.2240149999999996</v>
      </c>
      <c r="N97">
        <v>30.502050000000001</v>
      </c>
      <c r="O97">
        <v>6.2240149999999996</v>
      </c>
      <c r="P97">
        <v>26.265844999999999</v>
      </c>
      <c r="Q97">
        <v>6.2240149999999996</v>
      </c>
      <c r="R97">
        <v>29.234696</v>
      </c>
      <c r="S97">
        <v>6.2240149999999996</v>
      </c>
      <c r="T97">
        <v>23.893719000000001</v>
      </c>
      <c r="U97">
        <v>384131.4</v>
      </c>
      <c r="V97">
        <v>0</v>
      </c>
      <c r="W97">
        <v>0</v>
      </c>
      <c r="X97" t="s">
        <v>485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129.69999999999999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111.4</v>
      </c>
      <c r="AV97">
        <v>0</v>
      </c>
      <c r="AW97">
        <v>0</v>
      </c>
      <c r="AX97" t="s">
        <v>486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7.2229999999999999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75</v>
      </c>
      <c r="BW97">
        <v>969</v>
      </c>
    </row>
    <row r="98" spans="2:125" x14ac:dyDescent="0.45">
      <c r="B98" t="s">
        <v>287</v>
      </c>
      <c r="C98">
        <v>18</v>
      </c>
      <c r="D98" t="s">
        <v>292</v>
      </c>
      <c r="E98" t="s">
        <v>293</v>
      </c>
      <c r="F98" t="s">
        <v>294</v>
      </c>
      <c r="G98">
        <v>6</v>
      </c>
      <c r="H98">
        <v>45</v>
      </c>
      <c r="I98">
        <v>45</v>
      </c>
      <c r="J98">
        <v>60</v>
      </c>
      <c r="K98">
        <v>50</v>
      </c>
      <c r="L98">
        <v>18</v>
      </c>
      <c r="M98">
        <v>7.6371989999999998</v>
      </c>
      <c r="N98">
        <v>17.237007999999999</v>
      </c>
      <c r="O98">
        <v>7.6371989999999998</v>
      </c>
      <c r="P98">
        <v>15.661403999999999</v>
      </c>
      <c r="Q98">
        <v>7.6371989999999998</v>
      </c>
      <c r="R98">
        <v>25.502351999999998</v>
      </c>
      <c r="S98">
        <v>7.6371989999999998</v>
      </c>
      <c r="T98">
        <v>13.514670000000001</v>
      </c>
      <c r="U98">
        <v>5</v>
      </c>
      <c r="V98">
        <v>0</v>
      </c>
      <c r="W98">
        <v>0</v>
      </c>
      <c r="X98">
        <v>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2</v>
      </c>
      <c r="CE98">
        <v>37</v>
      </c>
    </row>
    <row r="99" spans="2:125" x14ac:dyDescent="0.45">
      <c r="B99" t="s">
        <v>289</v>
      </c>
      <c r="C99">
        <v>22</v>
      </c>
      <c r="D99" t="s">
        <v>303</v>
      </c>
      <c r="E99" t="s">
        <v>304</v>
      </c>
      <c r="F99">
        <v>1</v>
      </c>
      <c r="G99">
        <v>60</v>
      </c>
      <c r="H99">
        <v>51</v>
      </c>
      <c r="I99">
        <v>48</v>
      </c>
      <c r="J99">
        <v>38</v>
      </c>
      <c r="K99" s="1">
        <v>22</v>
      </c>
      <c r="L99">
        <v>5.29575</v>
      </c>
      <c r="M99">
        <v>26.369803000000001</v>
      </c>
      <c r="N99">
        <v>5.29575</v>
      </c>
      <c r="O99">
        <v>21.603743000000001</v>
      </c>
      <c r="P99">
        <v>5.29575</v>
      </c>
      <c r="Q99">
        <v>22.347016</v>
      </c>
      <c r="R99">
        <v>5.29575</v>
      </c>
      <c r="S99">
        <v>19.836801000000001</v>
      </c>
      <c r="T99">
        <v>38292.15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134.69999999999999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92.75</v>
      </c>
      <c r="AW99">
        <v>0</v>
      </c>
      <c r="AX99">
        <v>0</v>
      </c>
      <c r="AY99">
        <v>0</v>
      </c>
      <c r="AZ99">
        <v>1.905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60.38</v>
      </c>
      <c r="BJ99">
        <v>0</v>
      </c>
      <c r="BK99">
        <v>0</v>
      </c>
      <c r="BL99">
        <v>0</v>
      </c>
      <c r="BM99">
        <v>0.35799999999999998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56</v>
      </c>
      <c r="BX99">
        <v>715</v>
      </c>
    </row>
    <row r="100" spans="2:125" x14ac:dyDescent="0.45">
      <c r="B100" t="s">
        <v>290</v>
      </c>
      <c r="C100">
        <v>52</v>
      </c>
      <c r="D100" t="s">
        <v>474</v>
      </c>
      <c r="E100" t="s">
        <v>475</v>
      </c>
      <c r="F100" t="s">
        <v>476</v>
      </c>
      <c r="G100">
        <v>1</v>
      </c>
      <c r="H100">
        <v>20</v>
      </c>
      <c r="I100">
        <v>28</v>
      </c>
      <c r="J100">
        <v>27</v>
      </c>
      <c r="K100">
        <v>27</v>
      </c>
      <c r="L100">
        <v>52</v>
      </c>
      <c r="M100">
        <v>9.5151819999999994</v>
      </c>
      <c r="N100">
        <v>62.317008000000001</v>
      </c>
      <c r="O100">
        <v>9.5151819999999994</v>
      </c>
      <c r="P100">
        <v>39.202587000000001</v>
      </c>
      <c r="Q100">
        <v>9.5151819999999994</v>
      </c>
      <c r="R100">
        <v>43.585898</v>
      </c>
      <c r="S100">
        <v>9.5151819999999994</v>
      </c>
      <c r="T100">
        <v>33.264707999999999</v>
      </c>
      <c r="U100">
        <v>685190.8</v>
      </c>
      <c r="V100">
        <v>1.0580000000000001</v>
      </c>
      <c r="W100">
        <v>0</v>
      </c>
      <c r="X100">
        <v>2.8730000000000002</v>
      </c>
      <c r="Y100">
        <v>0</v>
      </c>
      <c r="Z100">
        <v>0</v>
      </c>
      <c r="AA100">
        <v>0.90700000000000003</v>
      </c>
      <c r="AB100">
        <v>0</v>
      </c>
      <c r="AC100">
        <v>0</v>
      </c>
      <c r="AD100">
        <v>0</v>
      </c>
      <c r="AE100">
        <v>0</v>
      </c>
      <c r="AF100" t="s">
        <v>487</v>
      </c>
      <c r="AG100">
        <v>3</v>
      </c>
      <c r="AH100">
        <v>0</v>
      </c>
      <c r="AI100">
        <v>1.7270000000000001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157.19999999999999</v>
      </c>
      <c r="AS100">
        <v>0</v>
      </c>
      <c r="AT100">
        <v>0</v>
      </c>
      <c r="AU100">
        <v>0</v>
      </c>
      <c r="AV100">
        <v>6.1449999999999996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109</v>
      </c>
      <c r="BF100">
        <v>0.5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172</v>
      </c>
      <c r="BT100">
        <v>1938</v>
      </c>
    </row>
    <row r="101" spans="2:125" x14ac:dyDescent="0.45">
      <c r="B101" t="s">
        <v>295</v>
      </c>
      <c r="C101" s="1">
        <v>112</v>
      </c>
      <c r="D101" s="1" t="s">
        <v>311</v>
      </c>
      <c r="E101" s="1" t="s">
        <v>313</v>
      </c>
      <c r="F101" s="1" t="s">
        <v>131</v>
      </c>
      <c r="G101" t="s">
        <v>488</v>
      </c>
      <c r="H101" s="1">
        <v>3</v>
      </c>
      <c r="I101">
        <v>30</v>
      </c>
      <c r="J101">
        <v>30</v>
      </c>
      <c r="K101">
        <v>48</v>
      </c>
      <c r="L101">
        <v>112</v>
      </c>
      <c r="M101">
        <v>7.9806790000000003</v>
      </c>
      <c r="N101">
        <v>27.987019</v>
      </c>
      <c r="O101">
        <v>7.9806790000000003</v>
      </c>
      <c r="P101">
        <v>25.445584</v>
      </c>
      <c r="Q101">
        <v>7.9806790000000003</v>
      </c>
      <c r="R101">
        <v>27.850819000000001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</row>
    <row r="102" spans="2:125" x14ac:dyDescent="0.45">
      <c r="B102" t="s">
        <v>297</v>
      </c>
      <c r="C102">
        <v>107</v>
      </c>
      <c r="D102" t="s">
        <v>314</v>
      </c>
      <c r="E102" t="s">
        <v>315</v>
      </c>
      <c r="F102">
        <v>2</v>
      </c>
      <c r="G102">
        <v>36</v>
      </c>
      <c r="H102">
        <v>45</v>
      </c>
      <c r="I102">
        <v>80</v>
      </c>
      <c r="J102">
        <v>107</v>
      </c>
      <c r="K102">
        <v>7.4234619999999998</v>
      </c>
      <c r="L102">
        <v>32.252335000000002</v>
      </c>
      <c r="M102">
        <v>7.4234619999999998</v>
      </c>
      <c r="N102">
        <v>29.811330000000002</v>
      </c>
      <c r="O102">
        <v>7.4234619999999998</v>
      </c>
      <c r="P102">
        <v>34.269379999999998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 spans="2:125" x14ac:dyDescent="0.45">
      <c r="B103" t="s">
        <v>298</v>
      </c>
      <c r="C103">
        <v>105</v>
      </c>
      <c r="D103" t="s">
        <v>314</v>
      </c>
      <c r="E103" t="s">
        <v>317</v>
      </c>
      <c r="F103">
        <v>2</v>
      </c>
      <c r="G103">
        <v>36</v>
      </c>
      <c r="H103">
        <v>45</v>
      </c>
      <c r="I103">
        <v>80</v>
      </c>
      <c r="J103">
        <v>105</v>
      </c>
      <c r="K103">
        <v>7.7243000000000004</v>
      </c>
      <c r="L103">
        <v>33.215007</v>
      </c>
      <c r="M103">
        <v>7.7243000000000004</v>
      </c>
      <c r="N103">
        <v>31.416869999999999</v>
      </c>
      <c r="O103">
        <v>7.7243000000000004</v>
      </c>
      <c r="P103">
        <v>33.7333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</row>
    <row r="104" spans="2:125" x14ac:dyDescent="0.45">
      <c r="B104" t="s">
        <v>300</v>
      </c>
      <c r="C104" s="1">
        <v>106</v>
      </c>
      <c r="D104" s="1" t="s">
        <v>314</v>
      </c>
      <c r="E104" s="1" t="s">
        <v>319</v>
      </c>
      <c r="F104" s="1" t="s">
        <v>320</v>
      </c>
      <c r="G104">
        <v>2</v>
      </c>
      <c r="H104" s="1">
        <v>36</v>
      </c>
      <c r="I104">
        <v>45</v>
      </c>
      <c r="J104">
        <v>80</v>
      </c>
      <c r="K104">
        <v>106</v>
      </c>
      <c r="L104">
        <v>9.8480860000000003</v>
      </c>
      <c r="M104">
        <v>47.802957999999997</v>
      </c>
      <c r="N104">
        <v>9.8480860000000003</v>
      </c>
      <c r="O104">
        <v>42.423563999999999</v>
      </c>
      <c r="P104">
        <v>9.8480860000000003</v>
      </c>
      <c r="Q104">
        <v>51.152185000000003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2:125" x14ac:dyDescent="0.45">
      <c r="B105" t="s">
        <v>489</v>
      </c>
      <c r="C105" s="1">
        <v>104</v>
      </c>
      <c r="D105" s="1" t="s">
        <v>314</v>
      </c>
      <c r="E105" s="1" t="s">
        <v>322</v>
      </c>
      <c r="F105" s="1">
        <v>2</v>
      </c>
      <c r="G105">
        <v>36</v>
      </c>
      <c r="H105" s="1">
        <v>45</v>
      </c>
      <c r="I105">
        <v>80</v>
      </c>
      <c r="J105">
        <v>104</v>
      </c>
      <c r="K105">
        <v>8.6536790000000003</v>
      </c>
      <c r="L105">
        <v>34.722638000000003</v>
      </c>
      <c r="M105">
        <v>8.6536790000000003</v>
      </c>
      <c r="N105">
        <v>33.106012</v>
      </c>
      <c r="O105">
        <v>8.6536790000000003</v>
      </c>
      <c r="P105">
        <v>35.140633000000001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</row>
    <row r="106" spans="2:125" x14ac:dyDescent="0.45">
      <c r="B106" t="s">
        <v>490</v>
      </c>
      <c r="C106" s="1">
        <v>108</v>
      </c>
      <c r="D106" s="1" t="s">
        <v>314</v>
      </c>
      <c r="E106" s="1" t="s">
        <v>325</v>
      </c>
      <c r="F106" s="1" t="s">
        <v>326</v>
      </c>
      <c r="G106">
        <v>2</v>
      </c>
      <c r="H106" s="1">
        <v>36</v>
      </c>
      <c r="I106">
        <v>45</v>
      </c>
      <c r="J106">
        <v>80</v>
      </c>
      <c r="K106">
        <v>108</v>
      </c>
      <c r="L106">
        <v>5.3752579999999996</v>
      </c>
      <c r="M106">
        <v>22.759747999999998</v>
      </c>
      <c r="N106">
        <v>5.3752579999999996</v>
      </c>
      <c r="O106">
        <v>20.828939999999999</v>
      </c>
      <c r="P106">
        <v>5.3752579999999996</v>
      </c>
      <c r="Q106">
        <v>24.522642999999999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2:125" x14ac:dyDescent="0.45">
      <c r="B107" t="s">
        <v>491</v>
      </c>
      <c r="C107">
        <v>102</v>
      </c>
      <c r="D107" t="s">
        <v>314</v>
      </c>
      <c r="E107" t="s">
        <v>291</v>
      </c>
      <c r="F107" t="s">
        <v>328</v>
      </c>
      <c r="G107">
        <v>2</v>
      </c>
      <c r="H107">
        <v>36</v>
      </c>
      <c r="I107">
        <v>45</v>
      </c>
      <c r="J107">
        <v>80</v>
      </c>
      <c r="K107">
        <v>102</v>
      </c>
      <c r="L107">
        <v>7.2354849999999997</v>
      </c>
      <c r="M107">
        <v>32.926358999999998</v>
      </c>
      <c r="N107">
        <v>7.2354849999999997</v>
      </c>
      <c r="O107">
        <v>30.25647</v>
      </c>
      <c r="P107">
        <v>7.2354849999999997</v>
      </c>
      <c r="Q107">
        <v>33.975250000000003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2:125" x14ac:dyDescent="0.45">
      <c r="B108" t="s">
        <v>301</v>
      </c>
      <c r="C108">
        <v>23</v>
      </c>
      <c r="D108" t="s">
        <v>296</v>
      </c>
      <c r="E108" t="s">
        <v>377</v>
      </c>
      <c r="F108" t="s">
        <v>294</v>
      </c>
      <c r="G108">
        <v>1</v>
      </c>
      <c r="H108">
        <v>12</v>
      </c>
      <c r="I108">
        <v>12</v>
      </c>
      <c r="J108">
        <v>13</v>
      </c>
      <c r="K108">
        <v>17</v>
      </c>
      <c r="L108">
        <v>23</v>
      </c>
      <c r="M108">
        <v>6.4585660000000003</v>
      </c>
      <c r="N108">
        <v>23.313476999999999</v>
      </c>
      <c r="O108">
        <v>6.4585660000000003</v>
      </c>
      <c r="P108">
        <v>24.135131000000001</v>
      </c>
      <c r="Q108">
        <v>6.4585660000000003</v>
      </c>
      <c r="R108">
        <v>30.542833999999999</v>
      </c>
      <c r="S108">
        <v>6.4585660000000003</v>
      </c>
      <c r="T108">
        <v>22.924403999999999</v>
      </c>
      <c r="U108">
        <v>80988.19</v>
      </c>
      <c r="V108">
        <v>0</v>
      </c>
      <c r="W108">
        <v>0</v>
      </c>
      <c r="X108" t="s">
        <v>492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245.8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299.10000000000002</v>
      </c>
      <c r="AV108">
        <v>1</v>
      </c>
      <c r="AW108">
        <v>0</v>
      </c>
      <c r="AX108">
        <v>46.19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118.7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173</v>
      </c>
      <c r="BX108">
        <v>2387</v>
      </c>
    </row>
    <row r="109" spans="2:125" x14ac:dyDescent="0.45">
      <c r="B109" t="s">
        <v>493</v>
      </c>
      <c r="C109">
        <v>23</v>
      </c>
      <c r="D109" t="s">
        <v>296</v>
      </c>
      <c r="E109" t="s">
        <v>377</v>
      </c>
      <c r="F109" t="s">
        <v>299</v>
      </c>
      <c r="G109">
        <v>1</v>
      </c>
      <c r="H109">
        <v>13</v>
      </c>
      <c r="I109">
        <v>11</v>
      </c>
      <c r="J109">
        <v>14</v>
      </c>
      <c r="K109">
        <v>16</v>
      </c>
      <c r="L109">
        <v>23</v>
      </c>
      <c r="M109">
        <v>6.4656079999999996</v>
      </c>
      <c r="N109">
        <v>33.846685999999998</v>
      </c>
      <c r="O109">
        <v>6.4656079999999996</v>
      </c>
      <c r="P109">
        <v>24.485581</v>
      </c>
      <c r="Q109">
        <v>6.4656079999999996</v>
      </c>
      <c r="R109">
        <v>24.627960000000002</v>
      </c>
      <c r="S109">
        <v>6.4656079999999996</v>
      </c>
      <c r="T109">
        <v>22.516548</v>
      </c>
      <c r="U109">
        <v>774265.2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303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150.6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54.46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175</v>
      </c>
      <c r="CA109">
        <v>2247</v>
      </c>
    </row>
    <row r="110" spans="2:125" x14ac:dyDescent="0.45">
      <c r="B110" t="s">
        <v>494</v>
      </c>
      <c r="C110">
        <v>52</v>
      </c>
      <c r="D110" t="s">
        <v>474</v>
      </c>
      <c r="E110" t="s">
        <v>475</v>
      </c>
      <c r="F110" t="s">
        <v>476</v>
      </c>
      <c r="G110">
        <v>1</v>
      </c>
      <c r="H110">
        <v>23</v>
      </c>
      <c r="I110">
        <v>28</v>
      </c>
      <c r="J110">
        <v>24</v>
      </c>
      <c r="K110">
        <v>27</v>
      </c>
      <c r="L110">
        <v>52</v>
      </c>
      <c r="M110">
        <v>9.9609079999999999</v>
      </c>
      <c r="N110">
        <v>60.391914999999997</v>
      </c>
      <c r="O110">
        <v>9.9609079999999999</v>
      </c>
      <c r="P110">
        <v>43.664715000000001</v>
      </c>
      <c r="Q110">
        <v>9.9609079999999999</v>
      </c>
      <c r="R110">
        <v>50.714934999999997</v>
      </c>
      <c r="S110">
        <v>9.9609079999999999</v>
      </c>
      <c r="T110">
        <v>38.008597000000002</v>
      </c>
      <c r="U110">
        <v>684161.4</v>
      </c>
      <c r="V110">
        <v>0.94099999999999995</v>
      </c>
      <c r="W110">
        <v>0</v>
      </c>
      <c r="X110">
        <v>2.5539999999999998</v>
      </c>
      <c r="Y110">
        <v>0</v>
      </c>
      <c r="Z110">
        <v>0</v>
      </c>
      <c r="AA110">
        <v>0.80600000000000005</v>
      </c>
      <c r="AB110">
        <v>0</v>
      </c>
      <c r="AC110">
        <v>0</v>
      </c>
      <c r="AD110">
        <v>0</v>
      </c>
      <c r="AE110">
        <v>0</v>
      </c>
      <c r="AF110" t="s">
        <v>495</v>
      </c>
      <c r="AG110">
        <v>3</v>
      </c>
      <c r="AH110">
        <v>0</v>
      </c>
      <c r="AI110">
        <v>1.7270000000000001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187.2</v>
      </c>
      <c r="AS110">
        <v>0</v>
      </c>
      <c r="AT110">
        <v>0</v>
      </c>
      <c r="AU110">
        <v>0</v>
      </c>
      <c r="AV110">
        <v>9.8279999999999994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110.6</v>
      </c>
      <c r="BF110">
        <v>1.5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170</v>
      </c>
      <c r="BT110">
        <v>1976</v>
      </c>
    </row>
    <row r="111" spans="2:125" x14ac:dyDescent="0.45">
      <c r="B111" t="s">
        <v>302</v>
      </c>
      <c r="C111">
        <v>4</v>
      </c>
      <c r="D111" t="s">
        <v>334</v>
      </c>
      <c r="E111" t="s">
        <v>299</v>
      </c>
      <c r="F111">
        <v>1</v>
      </c>
      <c r="G111">
        <v>36</v>
      </c>
      <c r="H111">
        <v>40</v>
      </c>
      <c r="I111">
        <v>40</v>
      </c>
      <c r="J111">
        <v>25</v>
      </c>
      <c r="K111">
        <v>4</v>
      </c>
      <c r="L111">
        <v>8.4875609999999995</v>
      </c>
      <c r="M111">
        <v>41.279760000000003</v>
      </c>
      <c r="N111">
        <v>8.4875609999999995</v>
      </c>
      <c r="O111">
        <v>35.266908999999998</v>
      </c>
      <c r="P111">
        <v>8.4875609999999995</v>
      </c>
      <c r="Q111">
        <v>35.576746</v>
      </c>
      <c r="R111">
        <v>8.4875609999999995</v>
      </c>
      <c r="S111">
        <v>33.124026999999998</v>
      </c>
      <c r="T111">
        <v>8021.03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13.47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9.1549999999999994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36.619999999999997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14</v>
      </c>
      <c r="BZ111">
        <v>174</v>
      </c>
      <c r="CA111" t="s">
        <v>240</v>
      </c>
      <c r="CB111" t="s">
        <v>241</v>
      </c>
      <c r="CC111" t="s">
        <v>242</v>
      </c>
      <c r="CD111" t="s">
        <v>243</v>
      </c>
      <c r="CE111" t="s">
        <v>244</v>
      </c>
      <c r="CF111" t="s">
        <v>245</v>
      </c>
      <c r="CG111" t="s">
        <v>246</v>
      </c>
      <c r="CH111" t="s">
        <v>247</v>
      </c>
      <c r="CI111" t="s">
        <v>248</v>
      </c>
      <c r="CJ111" t="s">
        <v>249</v>
      </c>
      <c r="CK111" t="s">
        <v>250</v>
      </c>
      <c r="CL111" t="s">
        <v>251</v>
      </c>
      <c r="CM111" t="s">
        <v>252</v>
      </c>
      <c r="CN111" t="s">
        <v>253</v>
      </c>
      <c r="CO111" t="s">
        <v>254</v>
      </c>
      <c r="CP111" t="s">
        <v>255</v>
      </c>
      <c r="CQ111" t="s">
        <v>256</v>
      </c>
      <c r="CR111" t="s">
        <v>257</v>
      </c>
      <c r="CS111" t="s">
        <v>258</v>
      </c>
      <c r="CT111" t="s">
        <v>259</v>
      </c>
      <c r="CU111" t="s">
        <v>260</v>
      </c>
      <c r="CV111" t="s">
        <v>261</v>
      </c>
      <c r="CW111" t="s">
        <v>262</v>
      </c>
      <c r="CX111" t="s">
        <v>263</v>
      </c>
      <c r="CY111" t="s">
        <v>264</v>
      </c>
      <c r="CZ111" t="s">
        <v>265</v>
      </c>
      <c r="DA111" t="s">
        <v>266</v>
      </c>
      <c r="DB111" t="s">
        <v>267</v>
      </c>
      <c r="DC111" t="s">
        <v>268</v>
      </c>
      <c r="DD111" t="s">
        <v>269</v>
      </c>
      <c r="DE111" t="s">
        <v>270</v>
      </c>
      <c r="DF111" t="s">
        <v>271</v>
      </c>
      <c r="DG111" t="s">
        <v>272</v>
      </c>
      <c r="DH111" t="s">
        <v>273</v>
      </c>
      <c r="DI111" t="s">
        <v>274</v>
      </c>
      <c r="DJ111" t="s">
        <v>275</v>
      </c>
      <c r="DK111" t="s">
        <v>276</v>
      </c>
      <c r="DL111" t="s">
        <v>277</v>
      </c>
      <c r="DM111" t="s">
        <v>278</v>
      </c>
      <c r="DN111" t="s">
        <v>279</v>
      </c>
      <c r="DO111" t="s">
        <v>280</v>
      </c>
      <c r="DP111" t="s">
        <v>281</v>
      </c>
      <c r="DQ111" t="s">
        <v>282</v>
      </c>
      <c r="DR111" t="s">
        <v>283</v>
      </c>
      <c r="DS111" t="s">
        <v>284</v>
      </c>
      <c r="DT111" t="s">
        <v>285</v>
      </c>
      <c r="DU111" t="s">
        <v>286</v>
      </c>
    </row>
    <row r="112" spans="2:125" x14ac:dyDescent="0.45">
      <c r="B112" t="s">
        <v>305</v>
      </c>
      <c r="C112">
        <v>4</v>
      </c>
      <c r="D112" t="s">
        <v>334</v>
      </c>
      <c r="E112" t="s">
        <v>294</v>
      </c>
      <c r="F112">
        <v>1</v>
      </c>
      <c r="G112">
        <v>36</v>
      </c>
      <c r="H112">
        <v>40</v>
      </c>
      <c r="I112">
        <v>40</v>
      </c>
      <c r="J112">
        <v>33</v>
      </c>
      <c r="K112">
        <v>4</v>
      </c>
      <c r="L112">
        <v>7.5316830000000001</v>
      </c>
      <c r="M112">
        <v>30.224302000000002</v>
      </c>
      <c r="N112">
        <v>7.5316830000000001</v>
      </c>
      <c r="O112">
        <v>30.844025999999999</v>
      </c>
      <c r="P112">
        <v>7.5316830000000001</v>
      </c>
      <c r="Q112">
        <v>35.007523999999997</v>
      </c>
      <c r="R112">
        <v>7.5316830000000001</v>
      </c>
      <c r="S112">
        <v>29.500700999999999</v>
      </c>
      <c r="T112">
        <v>21926.77</v>
      </c>
      <c r="U112">
        <v>0</v>
      </c>
      <c r="V112">
        <v>0</v>
      </c>
      <c r="W112">
        <v>2.1920000000000002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64.290000000000006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70.040000000000006</v>
      </c>
      <c r="AV112">
        <v>1</v>
      </c>
      <c r="AW112">
        <v>0</v>
      </c>
      <c r="AX112">
        <v>8.1159999999999997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46.99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52</v>
      </c>
      <c r="BX112">
        <v>683</v>
      </c>
    </row>
    <row r="113" spans="2:82" x14ac:dyDescent="0.45">
      <c r="B113" t="s">
        <v>307</v>
      </c>
      <c r="C113">
        <v>52</v>
      </c>
      <c r="D113" t="s">
        <v>474</v>
      </c>
      <c r="E113" t="s">
        <v>475</v>
      </c>
      <c r="F113" t="s">
        <v>476</v>
      </c>
      <c r="G113">
        <v>1</v>
      </c>
      <c r="H113">
        <v>20</v>
      </c>
      <c r="I113">
        <v>30</v>
      </c>
      <c r="J113">
        <v>22</v>
      </c>
      <c r="K113">
        <v>25</v>
      </c>
      <c r="L113">
        <v>52</v>
      </c>
      <c r="M113">
        <v>10.036210000000001</v>
      </c>
      <c r="N113">
        <v>51.768583</v>
      </c>
      <c r="O113">
        <v>10.036210000000001</v>
      </c>
      <c r="P113">
        <v>43.725586999999997</v>
      </c>
      <c r="Q113">
        <v>10.036210000000001</v>
      </c>
      <c r="R113">
        <v>60.832726000000001</v>
      </c>
      <c r="S113">
        <v>10.036210000000001</v>
      </c>
      <c r="T113">
        <v>39.229595000000003</v>
      </c>
      <c r="U113" t="s">
        <v>496</v>
      </c>
      <c r="V113" t="s">
        <v>478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497</v>
      </c>
      <c r="AF113">
        <v>0</v>
      </c>
      <c r="AG113">
        <v>5.9630000000000001</v>
      </c>
      <c r="AH113">
        <v>0.16200000000000001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498</v>
      </c>
      <c r="AP113">
        <v>8.0939999999999994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141.5</v>
      </c>
      <c r="BA113">
        <v>1.4790000000000001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168</v>
      </c>
      <c r="BO113">
        <v>2026</v>
      </c>
    </row>
    <row r="114" spans="2:82" x14ac:dyDescent="0.45">
      <c r="B114" t="s">
        <v>499</v>
      </c>
      <c r="C114">
        <v>22</v>
      </c>
      <c r="D114" t="s">
        <v>303</v>
      </c>
      <c r="E114" t="s">
        <v>304</v>
      </c>
      <c r="F114">
        <v>1</v>
      </c>
      <c r="G114">
        <v>60</v>
      </c>
      <c r="H114">
        <v>45</v>
      </c>
      <c r="I114">
        <v>48</v>
      </c>
      <c r="J114">
        <v>33</v>
      </c>
      <c r="K114">
        <v>22</v>
      </c>
      <c r="L114">
        <v>5.3620089999999996</v>
      </c>
      <c r="M114">
        <v>20.478024999999999</v>
      </c>
      <c r="N114">
        <v>5.3620089999999996</v>
      </c>
      <c r="O114">
        <v>20.863505</v>
      </c>
      <c r="P114">
        <v>5.3620089999999996</v>
      </c>
      <c r="Q114">
        <v>23.624319</v>
      </c>
      <c r="R114">
        <v>5.3620089999999996</v>
      </c>
      <c r="S114">
        <v>19.834298</v>
      </c>
      <c r="T114">
        <v>50017.120000000003</v>
      </c>
      <c r="U114">
        <v>0</v>
      </c>
      <c r="V114">
        <v>0</v>
      </c>
      <c r="W114">
        <v>3.3420000000000001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500</v>
      </c>
      <c r="AH114">
        <v>0</v>
      </c>
      <c r="AI114">
        <v>0.16600000000000001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501</v>
      </c>
      <c r="AS114">
        <v>0</v>
      </c>
      <c r="AT114" t="s">
        <v>502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147.4</v>
      </c>
      <c r="BD114">
        <v>0</v>
      </c>
      <c r="BE114">
        <v>0</v>
      </c>
      <c r="BF114">
        <v>0</v>
      </c>
      <c r="BG114">
        <v>1.5760000000000001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63</v>
      </c>
      <c r="BR114">
        <v>909</v>
      </c>
    </row>
    <row r="115" spans="2:82" x14ac:dyDescent="0.45">
      <c r="B115" t="s">
        <v>309</v>
      </c>
      <c r="C115">
        <v>28</v>
      </c>
      <c r="D115" t="s">
        <v>308</v>
      </c>
      <c r="E115" t="s">
        <v>299</v>
      </c>
      <c r="F115">
        <v>1</v>
      </c>
      <c r="G115">
        <v>36</v>
      </c>
      <c r="H115">
        <v>60</v>
      </c>
      <c r="I115">
        <v>34</v>
      </c>
      <c r="J115">
        <v>60</v>
      </c>
      <c r="K115">
        <v>28</v>
      </c>
      <c r="L115">
        <v>5.0723919999999998</v>
      </c>
      <c r="M115">
        <v>24.907197</v>
      </c>
      <c r="N115">
        <v>5.0723919999999998</v>
      </c>
      <c r="O115">
        <v>20.918068000000002</v>
      </c>
      <c r="P115">
        <v>5.0723919999999998</v>
      </c>
      <c r="Q115">
        <v>21.034036</v>
      </c>
      <c r="R115">
        <v>5.0723919999999998</v>
      </c>
      <c r="S115">
        <v>20.06634</v>
      </c>
      <c r="T115">
        <v>40</v>
      </c>
      <c r="U115">
        <v>21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16.5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12</v>
      </c>
      <c r="CC115">
        <v>145</v>
      </c>
    </row>
    <row r="116" spans="2:82" x14ac:dyDescent="0.45">
      <c r="B116" t="s">
        <v>503</v>
      </c>
      <c r="C116">
        <v>75</v>
      </c>
      <c r="D116" t="s">
        <v>339</v>
      </c>
      <c r="E116" t="s">
        <v>340</v>
      </c>
      <c r="F116" t="s">
        <v>341</v>
      </c>
      <c r="G116">
        <v>1</v>
      </c>
      <c r="H116">
        <v>45</v>
      </c>
      <c r="I116">
        <v>45</v>
      </c>
      <c r="J116">
        <v>48</v>
      </c>
      <c r="K116">
        <v>75</v>
      </c>
      <c r="L116">
        <v>6.8007489999999997</v>
      </c>
      <c r="M116">
        <v>32.137557999999999</v>
      </c>
      <c r="N116">
        <v>6.8007489999999997</v>
      </c>
      <c r="O116">
        <v>28.905622999999999</v>
      </c>
      <c r="P116">
        <v>6.8007489999999997</v>
      </c>
      <c r="Q116">
        <v>33.289718999999998</v>
      </c>
      <c r="R116">
        <v>0</v>
      </c>
      <c r="S116">
        <v>0</v>
      </c>
      <c r="T116">
        <v>5819.97</v>
      </c>
      <c r="U116">
        <v>0</v>
      </c>
      <c r="V116">
        <v>0</v>
      </c>
      <c r="W116">
        <v>0.441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18.47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18.32</v>
      </c>
      <c r="AV116">
        <v>0</v>
      </c>
      <c r="AW116">
        <v>0</v>
      </c>
      <c r="AX116" t="s">
        <v>504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7</v>
      </c>
      <c r="BX116">
        <v>87</v>
      </c>
      <c r="BY116">
        <v>3</v>
      </c>
      <c r="BZ116">
        <v>66</v>
      </c>
    </row>
    <row r="117" spans="2:82" x14ac:dyDescent="0.45">
      <c r="B117" t="s">
        <v>310</v>
      </c>
      <c r="C117">
        <v>75</v>
      </c>
      <c r="D117" t="s">
        <v>339</v>
      </c>
      <c r="E117" t="s">
        <v>342</v>
      </c>
      <c r="F117" t="s">
        <v>341</v>
      </c>
      <c r="G117">
        <v>1</v>
      </c>
      <c r="H117">
        <v>45</v>
      </c>
      <c r="I117">
        <v>45</v>
      </c>
      <c r="J117">
        <v>48</v>
      </c>
      <c r="K117">
        <v>75</v>
      </c>
      <c r="L117">
        <v>6.7842609999999999</v>
      </c>
      <c r="M117">
        <v>36.188144000000001</v>
      </c>
      <c r="N117">
        <v>6.7842609999999999</v>
      </c>
      <c r="O117">
        <v>30.795822999999999</v>
      </c>
      <c r="P117">
        <v>6.7842609999999999</v>
      </c>
      <c r="Q117">
        <v>35.272775000000003</v>
      </c>
      <c r="R117">
        <v>0</v>
      </c>
      <c r="S117">
        <v>0</v>
      </c>
      <c r="T117">
        <v>8936.98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33.9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17.79</v>
      </c>
      <c r="AW117">
        <v>0</v>
      </c>
      <c r="AX117">
        <v>0</v>
      </c>
      <c r="AY117">
        <v>0</v>
      </c>
      <c r="AZ117">
        <v>0.41599999999999998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19</v>
      </c>
      <c r="BZ117">
        <v>216</v>
      </c>
    </row>
    <row r="118" spans="2:82" x14ac:dyDescent="0.45">
      <c r="B118" t="s">
        <v>312</v>
      </c>
      <c r="C118">
        <v>42</v>
      </c>
      <c r="D118" t="s">
        <v>505</v>
      </c>
      <c r="E118" t="s">
        <v>506</v>
      </c>
      <c r="F118">
        <v>1</v>
      </c>
      <c r="G118">
        <v>36</v>
      </c>
      <c r="H118">
        <v>60</v>
      </c>
      <c r="I118">
        <v>30</v>
      </c>
      <c r="J118">
        <v>50</v>
      </c>
      <c r="K118">
        <v>42</v>
      </c>
      <c r="L118">
        <v>4.8981599999999998</v>
      </c>
      <c r="M118">
        <v>21.296078999999999</v>
      </c>
      <c r="N118">
        <v>4.8981599999999998</v>
      </c>
      <c r="O118">
        <v>19.731705999999999</v>
      </c>
      <c r="P118">
        <v>4.8981599999999998</v>
      </c>
      <c r="Q118">
        <v>20.308229000000001</v>
      </c>
      <c r="R118">
        <v>4.8981599999999998</v>
      </c>
      <c r="S118">
        <v>18.389776000000001</v>
      </c>
      <c r="T118">
        <v>319115.2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59.96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95.24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48.34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45</v>
      </c>
      <c r="BZ118">
        <v>597</v>
      </c>
    </row>
    <row r="119" spans="2:82" x14ac:dyDescent="0.45">
      <c r="B119" t="s">
        <v>507</v>
      </c>
      <c r="C119">
        <v>42</v>
      </c>
      <c r="D119" t="s">
        <v>505</v>
      </c>
      <c r="E119" t="s">
        <v>506</v>
      </c>
      <c r="F119">
        <v>1</v>
      </c>
      <c r="G119">
        <v>45</v>
      </c>
      <c r="H119">
        <v>51</v>
      </c>
      <c r="I119">
        <v>34</v>
      </c>
      <c r="J119">
        <v>50</v>
      </c>
      <c r="K119">
        <v>42</v>
      </c>
      <c r="L119">
        <v>4.5040589999999998</v>
      </c>
      <c r="M119">
        <v>18.193928</v>
      </c>
      <c r="N119">
        <v>4.5040589999999998</v>
      </c>
      <c r="O119">
        <v>18.400756999999999</v>
      </c>
      <c r="P119">
        <v>4.5040589999999998</v>
      </c>
      <c r="Q119">
        <v>19.397489</v>
      </c>
      <c r="R119">
        <v>4.5040589999999998</v>
      </c>
      <c r="S119">
        <v>17.326112999999999</v>
      </c>
      <c r="T119" t="s">
        <v>508</v>
      </c>
      <c r="U119">
        <v>0</v>
      </c>
      <c r="V119" t="s">
        <v>509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510</v>
      </c>
      <c r="AF119">
        <v>0</v>
      </c>
      <c r="AG119">
        <v>0.14499999999999999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511</v>
      </c>
      <c r="AQ119">
        <v>0</v>
      </c>
      <c r="AR119" t="s">
        <v>512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68.48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45</v>
      </c>
      <c r="BQ119">
        <v>648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</row>
    <row r="120" spans="2:82" x14ac:dyDescent="0.45">
      <c r="B120" t="s">
        <v>316</v>
      </c>
      <c r="C120">
        <v>14</v>
      </c>
      <c r="D120" t="s">
        <v>513</v>
      </c>
      <c r="E120" t="s">
        <v>514</v>
      </c>
      <c r="F120" t="s">
        <v>515</v>
      </c>
      <c r="G120">
        <v>1</v>
      </c>
      <c r="H120">
        <v>36</v>
      </c>
      <c r="I120">
        <v>51</v>
      </c>
      <c r="J120">
        <v>34</v>
      </c>
      <c r="K120">
        <v>60</v>
      </c>
      <c r="L120">
        <v>14</v>
      </c>
      <c r="M120">
        <v>7.4015110000000002</v>
      </c>
      <c r="N120">
        <v>28.613367</v>
      </c>
      <c r="O120">
        <v>7.4015110000000002</v>
      </c>
      <c r="P120">
        <v>28.82178</v>
      </c>
      <c r="Q120">
        <v>7.4015110000000002</v>
      </c>
      <c r="R120">
        <v>32.816108999999997</v>
      </c>
      <c r="S120">
        <v>7.4015110000000002</v>
      </c>
      <c r="T120">
        <v>27.815792999999999</v>
      </c>
      <c r="U120">
        <v>17716.93</v>
      </c>
      <c r="V120">
        <v>0</v>
      </c>
      <c r="W120">
        <v>0</v>
      </c>
      <c r="X120" t="s">
        <v>516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37.69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80.150000000000006</v>
      </c>
      <c r="AV120">
        <v>0</v>
      </c>
      <c r="AW120">
        <v>0</v>
      </c>
      <c r="AX120">
        <v>17.690000000000001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21.11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45</v>
      </c>
      <c r="BX120">
        <v>621</v>
      </c>
      <c r="BY120">
        <v>0</v>
      </c>
      <c r="BZ120">
        <v>0</v>
      </c>
      <c r="CA120">
        <v>0</v>
      </c>
    </row>
    <row r="121" spans="2:82" x14ac:dyDescent="0.45">
      <c r="B121" t="s">
        <v>318</v>
      </c>
      <c r="C121">
        <v>14</v>
      </c>
      <c r="D121" t="s">
        <v>513</v>
      </c>
      <c r="E121" t="s">
        <v>514</v>
      </c>
      <c r="F121" t="s">
        <v>517</v>
      </c>
      <c r="G121">
        <v>1</v>
      </c>
      <c r="H121">
        <v>36</v>
      </c>
      <c r="I121">
        <v>60</v>
      </c>
      <c r="J121">
        <v>34</v>
      </c>
      <c r="K121">
        <v>75</v>
      </c>
      <c r="L121">
        <v>14</v>
      </c>
      <c r="M121">
        <v>6.8811540000000004</v>
      </c>
      <c r="N121">
        <v>32.460856999999997</v>
      </c>
      <c r="O121">
        <v>6.8811540000000004</v>
      </c>
      <c r="P121">
        <v>26.572151000000002</v>
      </c>
      <c r="Q121">
        <v>6.8811540000000004</v>
      </c>
      <c r="R121">
        <v>26.908587000000001</v>
      </c>
      <c r="S121">
        <v>6.8811540000000004</v>
      </c>
      <c r="T121">
        <v>24.713108999999999</v>
      </c>
      <c r="U121">
        <v>15177.34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24.78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40.11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8.6829999999999998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40</v>
      </c>
      <c r="CA121">
        <v>467</v>
      </c>
    </row>
    <row r="122" spans="2:82" x14ac:dyDescent="0.45">
      <c r="B122" t="s">
        <v>518</v>
      </c>
      <c r="C122">
        <v>9</v>
      </c>
      <c r="D122" t="s">
        <v>353</v>
      </c>
      <c r="E122" t="s">
        <v>294</v>
      </c>
      <c r="F122">
        <v>1</v>
      </c>
      <c r="G122">
        <v>23</v>
      </c>
      <c r="H122">
        <v>24</v>
      </c>
      <c r="I122">
        <v>40</v>
      </c>
      <c r="J122">
        <v>9</v>
      </c>
      <c r="K122">
        <v>8.529693</v>
      </c>
      <c r="L122">
        <v>38.023516000000001</v>
      </c>
      <c r="M122">
        <v>8.529693</v>
      </c>
      <c r="N122">
        <v>35.373013999999998</v>
      </c>
      <c r="O122">
        <v>8.529693</v>
      </c>
      <c r="P122">
        <v>37.601601000000002</v>
      </c>
      <c r="Q122">
        <v>0</v>
      </c>
      <c r="R122">
        <v>0</v>
      </c>
      <c r="S122">
        <v>585147</v>
      </c>
      <c r="T122">
        <v>0.5</v>
      </c>
      <c r="U122" t="s">
        <v>519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242.1</v>
      </c>
      <c r="AE122">
        <v>0</v>
      </c>
      <c r="AF122">
        <v>0</v>
      </c>
      <c r="AG122">
        <v>0</v>
      </c>
      <c r="AH122">
        <v>1.3120000000000001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160.6</v>
      </c>
      <c r="AR122">
        <v>0</v>
      </c>
      <c r="AS122">
        <v>0</v>
      </c>
      <c r="AT122" t="s">
        <v>520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109</v>
      </c>
      <c r="BT122">
        <v>1480</v>
      </c>
    </row>
    <row r="123" spans="2:82" x14ac:dyDescent="0.45">
      <c r="B123" t="s">
        <v>321</v>
      </c>
      <c r="C123">
        <v>64</v>
      </c>
      <c r="D123" t="s">
        <v>521</v>
      </c>
      <c r="E123" t="s">
        <v>522</v>
      </c>
      <c r="F123" t="s">
        <v>523</v>
      </c>
      <c r="G123">
        <v>11</v>
      </c>
      <c r="H123">
        <v>60</v>
      </c>
      <c r="I123">
        <v>48</v>
      </c>
      <c r="J123">
        <v>64</v>
      </c>
      <c r="K123">
        <v>2.4777520000000002</v>
      </c>
      <c r="L123">
        <v>10.45613</v>
      </c>
      <c r="M123">
        <v>0</v>
      </c>
      <c r="N123">
        <v>0</v>
      </c>
      <c r="O123">
        <v>2.4777520000000002</v>
      </c>
      <c r="P123">
        <v>10.741383000000001</v>
      </c>
      <c r="Q123">
        <v>0</v>
      </c>
      <c r="R123">
        <v>0</v>
      </c>
      <c r="S123">
        <v>547</v>
      </c>
      <c r="T123">
        <v>0</v>
      </c>
      <c r="U123">
        <v>0</v>
      </c>
      <c r="V123">
        <v>0</v>
      </c>
      <c r="W123">
        <v>128.19999999999999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417.6</v>
      </c>
      <c r="BA123">
        <v>0</v>
      </c>
      <c r="BB123">
        <v>0</v>
      </c>
      <c r="BC123">
        <v>0</v>
      </c>
      <c r="BD123">
        <v>0.66600000000000004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32</v>
      </c>
      <c r="BZ123">
        <v>388</v>
      </c>
    </row>
    <row r="124" spans="2:82" x14ac:dyDescent="0.45">
      <c r="B124" t="s">
        <v>323</v>
      </c>
      <c r="C124">
        <v>8</v>
      </c>
      <c r="D124" t="s">
        <v>524</v>
      </c>
      <c r="E124" t="s">
        <v>483</v>
      </c>
      <c r="F124" t="s">
        <v>484</v>
      </c>
      <c r="G124" t="s">
        <v>517</v>
      </c>
      <c r="H124">
        <v>1</v>
      </c>
      <c r="I124">
        <v>23</v>
      </c>
      <c r="J124">
        <v>28</v>
      </c>
      <c r="K124">
        <v>34</v>
      </c>
      <c r="L124">
        <v>43</v>
      </c>
      <c r="M124">
        <v>8</v>
      </c>
      <c r="N124">
        <v>5.7722449999999998</v>
      </c>
      <c r="O124">
        <v>29.307997</v>
      </c>
      <c r="P124">
        <v>5.7722449999999998</v>
      </c>
      <c r="Q124">
        <v>24.396349000000001</v>
      </c>
      <c r="R124">
        <v>5.7722449999999998</v>
      </c>
      <c r="S124">
        <v>27.432994000000001</v>
      </c>
      <c r="T124">
        <v>5.7722449999999998</v>
      </c>
      <c r="U124">
        <v>21.589582</v>
      </c>
      <c r="V124">
        <v>439135.1</v>
      </c>
      <c r="W124">
        <v>0</v>
      </c>
      <c r="X124">
        <v>0</v>
      </c>
      <c r="Y124" t="s">
        <v>525</v>
      </c>
      <c r="Z124">
        <v>0</v>
      </c>
      <c r="AA124">
        <v>0</v>
      </c>
      <c r="AB124">
        <v>1.7270000000000001</v>
      </c>
      <c r="AC124">
        <v>0</v>
      </c>
      <c r="AD124">
        <v>0</v>
      </c>
      <c r="AE124">
        <v>0</v>
      </c>
      <c r="AF124">
        <v>0</v>
      </c>
      <c r="AG124">
        <v>144.1</v>
      </c>
      <c r="AH124">
        <v>0</v>
      </c>
      <c r="AI124">
        <v>0</v>
      </c>
      <c r="AJ124">
        <v>0</v>
      </c>
      <c r="AK124">
        <v>9.5500000000000007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83.04</v>
      </c>
      <c r="AU124">
        <v>0</v>
      </c>
      <c r="AV124">
        <v>0</v>
      </c>
      <c r="AW124" t="s">
        <v>526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24.78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76</v>
      </c>
      <c r="BV124">
        <v>912</v>
      </c>
    </row>
    <row r="125" spans="2:82" x14ac:dyDescent="0.45">
      <c r="B125" t="s">
        <v>324</v>
      </c>
      <c r="C125">
        <v>8</v>
      </c>
      <c r="D125" t="s">
        <v>524</v>
      </c>
      <c r="E125" t="s">
        <v>483</v>
      </c>
      <c r="F125" t="s">
        <v>484</v>
      </c>
      <c r="G125" t="s">
        <v>515</v>
      </c>
      <c r="H125">
        <v>1</v>
      </c>
      <c r="I125">
        <v>26</v>
      </c>
      <c r="J125">
        <v>26</v>
      </c>
      <c r="K125">
        <v>30</v>
      </c>
      <c r="L125">
        <v>50</v>
      </c>
      <c r="M125">
        <v>8</v>
      </c>
      <c r="N125">
        <v>5.4899069999999996</v>
      </c>
      <c r="O125">
        <v>25.744119999999999</v>
      </c>
      <c r="P125">
        <v>5.4899069999999996</v>
      </c>
      <c r="Q125">
        <v>22.655275</v>
      </c>
      <c r="R125">
        <v>5.4899069999999996</v>
      </c>
      <c r="S125">
        <v>27.780401999999999</v>
      </c>
      <c r="T125">
        <v>5.4899069999999996</v>
      </c>
      <c r="U125">
        <v>20.29965</v>
      </c>
      <c r="V125">
        <v>40054.18</v>
      </c>
      <c r="W125">
        <v>0</v>
      </c>
      <c r="X125">
        <v>0</v>
      </c>
      <c r="Y125" t="s">
        <v>527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154</v>
      </c>
      <c r="AI125">
        <v>0.36</v>
      </c>
      <c r="AJ125">
        <v>0</v>
      </c>
      <c r="AK125">
        <v>0.66100000000000003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105</v>
      </c>
      <c r="AU125">
        <v>0</v>
      </c>
      <c r="AV125">
        <v>0</v>
      </c>
      <c r="AW125" t="s">
        <v>528</v>
      </c>
      <c r="AX125">
        <v>0</v>
      </c>
      <c r="AY125">
        <v>0</v>
      </c>
      <c r="AZ125">
        <v>0.53300000000000003</v>
      </c>
      <c r="BA125">
        <v>0</v>
      </c>
      <c r="BB125">
        <v>0</v>
      </c>
      <c r="BC125">
        <v>0</v>
      </c>
      <c r="BD125">
        <v>0</v>
      </c>
      <c r="BE125">
        <v>39.85</v>
      </c>
      <c r="BF125">
        <v>0</v>
      </c>
      <c r="BG125">
        <v>0</v>
      </c>
      <c r="BH125">
        <v>0</v>
      </c>
      <c r="BI125">
        <v>0.66200000000000003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70</v>
      </c>
      <c r="BT125">
        <v>888</v>
      </c>
    </row>
    <row r="126" spans="2:82" x14ac:dyDescent="0.45">
      <c r="B126" t="s">
        <v>327</v>
      </c>
      <c r="C126">
        <v>3</v>
      </c>
      <c r="D126" t="s">
        <v>368</v>
      </c>
      <c r="E126" t="s">
        <v>369</v>
      </c>
      <c r="F126" t="s">
        <v>370</v>
      </c>
      <c r="G126" t="s">
        <v>371</v>
      </c>
      <c r="H126">
        <v>1</v>
      </c>
      <c r="I126">
        <v>23</v>
      </c>
      <c r="J126">
        <v>30</v>
      </c>
      <c r="K126">
        <v>24</v>
      </c>
      <c r="L126">
        <v>25</v>
      </c>
      <c r="M126">
        <v>3</v>
      </c>
      <c r="N126">
        <v>7.0870230000000003</v>
      </c>
      <c r="O126">
        <v>38.695317000000003</v>
      </c>
      <c r="P126">
        <v>7.0870230000000003</v>
      </c>
      <c r="Q126">
        <v>31.708957999999999</v>
      </c>
      <c r="R126">
        <v>7.0870230000000003</v>
      </c>
      <c r="S126">
        <v>35.351616</v>
      </c>
      <c r="T126">
        <v>7.0870230000000003</v>
      </c>
      <c r="U126">
        <v>27.658256000000002</v>
      </c>
      <c r="V126">
        <v>2155336</v>
      </c>
      <c r="W126">
        <v>0.82899999999999996</v>
      </c>
      <c r="X126" t="s">
        <v>529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530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">
        <v>531</v>
      </c>
      <c r="AT126" t="s">
        <v>532</v>
      </c>
      <c r="AU126">
        <v>0</v>
      </c>
      <c r="AV126">
        <v>0</v>
      </c>
      <c r="AW126">
        <v>1.052</v>
      </c>
      <c r="AX126">
        <v>0</v>
      </c>
      <c r="AY126">
        <v>0</v>
      </c>
      <c r="AZ126">
        <v>0</v>
      </c>
      <c r="BA126">
        <v>0</v>
      </c>
      <c r="BB126">
        <v>250.6</v>
      </c>
      <c r="BC126">
        <v>0.56799999999999995</v>
      </c>
      <c r="BD126">
        <v>0</v>
      </c>
      <c r="BE126">
        <v>2.1259999999999999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414</v>
      </c>
      <c r="BP126">
        <v>4472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2:82" x14ac:dyDescent="0.45">
      <c r="B127" t="s">
        <v>533</v>
      </c>
      <c r="C127">
        <v>3</v>
      </c>
      <c r="D127" t="s">
        <v>368</v>
      </c>
      <c r="E127" t="s">
        <v>369</v>
      </c>
      <c r="F127" t="s">
        <v>372</v>
      </c>
      <c r="G127">
        <v>1</v>
      </c>
      <c r="H127">
        <v>26</v>
      </c>
      <c r="I127">
        <v>28</v>
      </c>
      <c r="J127">
        <v>27</v>
      </c>
      <c r="K127">
        <v>33</v>
      </c>
      <c r="L127">
        <v>3</v>
      </c>
      <c r="M127">
        <v>13.55785</v>
      </c>
      <c r="N127">
        <v>71.549490000000006</v>
      </c>
      <c r="O127">
        <v>13.55785</v>
      </c>
      <c r="P127">
        <v>55.644584000000002</v>
      </c>
      <c r="Q127">
        <v>13.55785</v>
      </c>
      <c r="R127">
        <v>59.713096</v>
      </c>
      <c r="S127">
        <v>13.55785</v>
      </c>
      <c r="T127">
        <v>50.312457000000002</v>
      </c>
      <c r="U127">
        <v>2010334.2</v>
      </c>
      <c r="V127">
        <v>0.72499999999999998</v>
      </c>
      <c r="W127" t="s">
        <v>534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535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t="s">
        <v>536</v>
      </c>
      <c r="AS127" t="s">
        <v>537</v>
      </c>
      <c r="AT127">
        <v>0</v>
      </c>
      <c r="AU127">
        <v>0</v>
      </c>
      <c r="AV127">
        <v>0.94699999999999995</v>
      </c>
      <c r="AW127">
        <v>0</v>
      </c>
      <c r="AX127">
        <v>0</v>
      </c>
      <c r="AY127">
        <v>0</v>
      </c>
      <c r="AZ127">
        <v>0</v>
      </c>
      <c r="BA127">
        <v>188.7</v>
      </c>
      <c r="BB127">
        <v>0.43099999999999999</v>
      </c>
      <c r="BC127">
        <v>0</v>
      </c>
      <c r="BD127">
        <v>1.61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460</v>
      </c>
      <c r="BO127">
        <v>5053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2:82" x14ac:dyDescent="0.45">
      <c r="B128" t="s">
        <v>329</v>
      </c>
      <c r="C128">
        <v>93</v>
      </c>
      <c r="D128" t="s">
        <v>373</v>
      </c>
      <c r="E128" t="s">
        <v>368</v>
      </c>
      <c r="F128" t="s">
        <v>369</v>
      </c>
      <c r="G128" t="s">
        <v>538</v>
      </c>
      <c r="H128">
        <v>11</v>
      </c>
      <c r="I128">
        <v>60</v>
      </c>
      <c r="J128">
        <v>120</v>
      </c>
      <c r="K128">
        <v>93</v>
      </c>
      <c r="L128">
        <v>5.9509679999999996</v>
      </c>
      <c r="M128">
        <v>30.799204</v>
      </c>
      <c r="N128">
        <v>0</v>
      </c>
      <c r="O128">
        <v>0</v>
      </c>
      <c r="P128">
        <v>5.9509679999999996</v>
      </c>
      <c r="Q128">
        <v>31.487113000000001</v>
      </c>
      <c r="R128">
        <v>0</v>
      </c>
      <c r="S128">
        <v>0</v>
      </c>
      <c r="T128">
        <v>644</v>
      </c>
      <c r="U128">
        <v>0</v>
      </c>
      <c r="V128">
        <v>0</v>
      </c>
      <c r="W128">
        <v>0</v>
      </c>
      <c r="X128">
        <v>138.80000000000001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504.3</v>
      </c>
      <c r="BB128">
        <v>0</v>
      </c>
      <c r="BC128">
        <v>0</v>
      </c>
      <c r="BD128">
        <v>0</v>
      </c>
      <c r="BE128">
        <v>0.33300000000000002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95</v>
      </c>
      <c r="CA128">
        <v>1029</v>
      </c>
      <c r="CB128">
        <v>0</v>
      </c>
      <c r="CC128">
        <v>0</v>
      </c>
    </row>
    <row r="129" spans="2:82" x14ac:dyDescent="0.45">
      <c r="B129" t="s">
        <v>330</v>
      </c>
      <c r="C129">
        <v>7</v>
      </c>
      <c r="D129" t="s">
        <v>374</v>
      </c>
      <c r="E129" t="s">
        <v>299</v>
      </c>
      <c r="F129">
        <v>1</v>
      </c>
      <c r="G129">
        <v>15</v>
      </c>
      <c r="H129">
        <v>14</v>
      </c>
      <c r="I129">
        <v>18</v>
      </c>
      <c r="J129">
        <v>21</v>
      </c>
      <c r="K129">
        <v>7</v>
      </c>
      <c r="L129">
        <v>5.5356059999999996</v>
      </c>
      <c r="M129">
        <v>29.539926999999999</v>
      </c>
      <c r="N129">
        <v>5.5356059999999996</v>
      </c>
      <c r="O129">
        <v>27.210647999999999</v>
      </c>
      <c r="P129">
        <v>5.5356059999999996</v>
      </c>
      <c r="Q129">
        <v>30.142355999999999</v>
      </c>
      <c r="R129">
        <v>5.5356059999999996</v>
      </c>
      <c r="S129">
        <v>23.660246999999998</v>
      </c>
      <c r="T129">
        <v>1248310.2</v>
      </c>
      <c r="U129">
        <v>2.444</v>
      </c>
      <c r="V129">
        <v>3.74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501.9</v>
      </c>
      <c r="AG129">
        <v>0</v>
      </c>
      <c r="AH129">
        <v>0</v>
      </c>
      <c r="AI129">
        <v>0</v>
      </c>
      <c r="AJ129">
        <v>1.75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278.2</v>
      </c>
      <c r="AT129">
        <v>0</v>
      </c>
      <c r="AU129">
        <v>0</v>
      </c>
      <c r="AV129" t="s">
        <v>539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111</v>
      </c>
      <c r="BF129">
        <v>0</v>
      </c>
      <c r="BG129">
        <v>0</v>
      </c>
      <c r="BH129">
        <v>0</v>
      </c>
      <c r="BI129">
        <v>2.052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212</v>
      </c>
      <c r="BT129">
        <v>2532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 spans="2:82" x14ac:dyDescent="0.45">
      <c r="B130" t="s">
        <v>540</v>
      </c>
      <c r="C130">
        <v>3</v>
      </c>
      <c r="D130" t="s">
        <v>368</v>
      </c>
      <c r="E130" t="s">
        <v>369</v>
      </c>
      <c r="F130" t="s">
        <v>372</v>
      </c>
      <c r="G130">
        <v>1</v>
      </c>
      <c r="H130">
        <v>23</v>
      </c>
      <c r="I130">
        <v>30</v>
      </c>
      <c r="J130">
        <v>20</v>
      </c>
      <c r="K130">
        <v>38</v>
      </c>
      <c r="L130">
        <v>3</v>
      </c>
      <c r="M130">
        <v>13.507072000000001</v>
      </c>
      <c r="N130">
        <v>58.194696999999998</v>
      </c>
      <c r="O130">
        <v>13.507072000000001</v>
      </c>
      <c r="P130">
        <v>54.819189000000001</v>
      </c>
      <c r="Q130">
        <v>13.507072000000001</v>
      </c>
      <c r="R130">
        <v>67.321177000000006</v>
      </c>
      <c r="S130">
        <v>13.507072000000001</v>
      </c>
      <c r="T130">
        <v>50.973095000000001</v>
      </c>
      <c r="U130" t="s">
        <v>541</v>
      </c>
      <c r="V130" t="s">
        <v>542</v>
      </c>
      <c r="W130">
        <v>0</v>
      </c>
      <c r="X130">
        <v>0</v>
      </c>
      <c r="Y130">
        <v>0.28499999999999998</v>
      </c>
      <c r="Z130">
        <v>0</v>
      </c>
      <c r="AA130">
        <v>0</v>
      </c>
      <c r="AB130">
        <v>0</v>
      </c>
      <c r="AC130">
        <v>0</v>
      </c>
      <c r="AD130" t="s">
        <v>543</v>
      </c>
      <c r="AE130">
        <v>0</v>
      </c>
      <c r="AF130">
        <v>1.673</v>
      </c>
      <c r="AG130">
        <v>0.25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t="s">
        <v>544</v>
      </c>
      <c r="AO130">
        <v>0</v>
      </c>
      <c r="AP130" t="s">
        <v>545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142.30000000000001</v>
      </c>
      <c r="AZ130">
        <v>0.41499999999999998</v>
      </c>
      <c r="BA130">
        <v>0</v>
      </c>
      <c r="BB130">
        <v>0.81699999999999995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448</v>
      </c>
      <c r="BM130">
        <v>5100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2:82" x14ac:dyDescent="0.45">
      <c r="B131" t="s">
        <v>331</v>
      </c>
      <c r="C131">
        <v>7</v>
      </c>
      <c r="D131" t="s">
        <v>374</v>
      </c>
      <c r="E131" t="s">
        <v>294</v>
      </c>
      <c r="F131">
        <v>1</v>
      </c>
      <c r="G131">
        <v>15</v>
      </c>
      <c r="H131">
        <v>15</v>
      </c>
      <c r="I131">
        <v>16</v>
      </c>
      <c r="J131">
        <v>20</v>
      </c>
      <c r="K131">
        <v>7</v>
      </c>
      <c r="L131">
        <v>5.1681080000000001</v>
      </c>
      <c r="M131">
        <v>26.315608000000001</v>
      </c>
      <c r="N131">
        <v>5.1681080000000001</v>
      </c>
      <c r="O131">
        <v>24.012149999999998</v>
      </c>
      <c r="P131">
        <v>5.1681080000000001</v>
      </c>
      <c r="Q131">
        <v>27.682950000000002</v>
      </c>
      <c r="R131">
        <v>5.1681080000000001</v>
      </c>
      <c r="S131">
        <v>21.268875999999999</v>
      </c>
      <c r="T131" t="s">
        <v>546</v>
      </c>
      <c r="U131" t="s">
        <v>547</v>
      </c>
      <c r="V131">
        <v>0</v>
      </c>
      <c r="W131">
        <v>0</v>
      </c>
      <c r="X131">
        <v>1.155</v>
      </c>
      <c r="Y131">
        <v>0</v>
      </c>
      <c r="Z131">
        <v>0</v>
      </c>
      <c r="AA131">
        <v>0</v>
      </c>
      <c r="AB131">
        <v>0</v>
      </c>
      <c r="AC131" t="s">
        <v>548</v>
      </c>
      <c r="AD131">
        <v>0</v>
      </c>
      <c r="AE131">
        <v>0</v>
      </c>
      <c r="AF131">
        <v>4.1790000000000003</v>
      </c>
      <c r="AG131">
        <v>0.5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t="s">
        <v>549</v>
      </c>
      <c r="AO131">
        <v>0</v>
      </c>
      <c r="AP131" t="s">
        <v>550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182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202</v>
      </c>
      <c r="BO131">
        <v>2461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</row>
    <row r="132" spans="2:82" x14ac:dyDescent="0.45">
      <c r="B132" t="s">
        <v>332</v>
      </c>
      <c r="C132">
        <v>50</v>
      </c>
      <c r="D132" t="s">
        <v>551</v>
      </c>
      <c r="E132" t="s">
        <v>475</v>
      </c>
      <c r="F132" t="s">
        <v>515</v>
      </c>
      <c r="G132">
        <v>1</v>
      </c>
      <c r="H132">
        <v>16</v>
      </c>
      <c r="I132">
        <v>15</v>
      </c>
      <c r="J132">
        <v>15</v>
      </c>
      <c r="K132">
        <v>20</v>
      </c>
      <c r="L132">
        <v>50</v>
      </c>
      <c r="M132">
        <v>8.5895899999999994</v>
      </c>
      <c r="N132">
        <v>37.398361999999999</v>
      </c>
      <c r="O132">
        <v>8.5895899999999994</v>
      </c>
      <c r="P132">
        <v>36.287497999999999</v>
      </c>
      <c r="Q132">
        <v>8.5895899999999994</v>
      </c>
      <c r="R132">
        <v>43.069650000000003</v>
      </c>
      <c r="S132">
        <v>8.5895899999999994</v>
      </c>
      <c r="T132">
        <v>32.836041000000002</v>
      </c>
      <c r="U132" t="s">
        <v>552</v>
      </c>
      <c r="V132">
        <v>0</v>
      </c>
      <c r="W132" t="s">
        <v>553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554</v>
      </c>
      <c r="AG132">
        <v>0</v>
      </c>
      <c r="AH132">
        <v>0</v>
      </c>
      <c r="AI132">
        <v>2.3279999999999998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t="s">
        <v>555</v>
      </c>
      <c r="AS132">
        <v>0</v>
      </c>
      <c r="AT132" t="s">
        <v>556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169</v>
      </c>
      <c r="BD132">
        <v>0</v>
      </c>
      <c r="BE132">
        <v>0</v>
      </c>
      <c r="BF132">
        <v>0</v>
      </c>
      <c r="BG132">
        <v>3.121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284</v>
      </c>
      <c r="BR132">
        <v>3540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</row>
    <row r="133" spans="2:82" x14ac:dyDescent="0.45">
      <c r="B133" t="s">
        <v>557</v>
      </c>
      <c r="C133">
        <v>50</v>
      </c>
      <c r="D133" t="s">
        <v>551</v>
      </c>
      <c r="E133" t="s">
        <v>475</v>
      </c>
      <c r="F133" t="s">
        <v>517</v>
      </c>
      <c r="G133">
        <v>1</v>
      </c>
      <c r="H133">
        <v>15</v>
      </c>
      <c r="I133">
        <v>14</v>
      </c>
      <c r="J133">
        <v>18</v>
      </c>
      <c r="K133">
        <v>19</v>
      </c>
      <c r="L133">
        <v>50</v>
      </c>
      <c r="M133">
        <v>8.5405549999999995</v>
      </c>
      <c r="N133">
        <v>44.992345999999998</v>
      </c>
      <c r="O133">
        <v>8.5405549999999995</v>
      </c>
      <c r="P133">
        <v>36.004845000000003</v>
      </c>
      <c r="Q133">
        <v>8.5405549999999995</v>
      </c>
      <c r="R133">
        <v>38.148428000000003</v>
      </c>
      <c r="S133">
        <v>8.5405549999999995</v>
      </c>
      <c r="T133">
        <v>32.149174000000002</v>
      </c>
      <c r="U133">
        <v>1350415.6</v>
      </c>
      <c r="V133">
        <v>0</v>
      </c>
      <c r="W133">
        <v>0</v>
      </c>
      <c r="X133">
        <v>0</v>
      </c>
      <c r="Y133">
        <v>0</v>
      </c>
      <c r="Z133">
        <v>18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477</v>
      </c>
      <c r="AJ133">
        <v>1</v>
      </c>
      <c r="AK133">
        <v>0</v>
      </c>
      <c r="AL133">
        <v>0</v>
      </c>
      <c r="AM133">
        <v>0</v>
      </c>
      <c r="AN133">
        <v>9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305</v>
      </c>
      <c r="AX133">
        <v>0</v>
      </c>
      <c r="AY133">
        <v>0</v>
      </c>
      <c r="AZ133">
        <v>0</v>
      </c>
      <c r="BA133">
        <v>16.489999999999998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115.5</v>
      </c>
      <c r="BK133">
        <v>0</v>
      </c>
      <c r="BL133">
        <v>0</v>
      </c>
      <c r="BM133">
        <v>0</v>
      </c>
      <c r="BN133">
        <v>0.71699999999999997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288</v>
      </c>
      <c r="BY133">
        <v>3491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2:82" x14ac:dyDescent="0.45">
      <c r="B134" t="s">
        <v>558</v>
      </c>
      <c r="C134">
        <v>24</v>
      </c>
      <c r="D134" t="s">
        <v>376</v>
      </c>
      <c r="E134" t="s">
        <v>293</v>
      </c>
      <c r="F134" t="s">
        <v>106</v>
      </c>
      <c r="G134">
        <v>6</v>
      </c>
      <c r="H134">
        <v>24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2:82" x14ac:dyDescent="0.45">
      <c r="B135" t="s">
        <v>333</v>
      </c>
      <c r="C135">
        <v>17</v>
      </c>
      <c r="D135" t="s">
        <v>482</v>
      </c>
      <c r="E135" t="s">
        <v>483</v>
      </c>
      <c r="F135" t="s">
        <v>484</v>
      </c>
      <c r="G135">
        <v>1</v>
      </c>
      <c r="H135">
        <v>20</v>
      </c>
      <c r="I135">
        <v>28</v>
      </c>
      <c r="J135">
        <v>24</v>
      </c>
      <c r="K135">
        <v>50</v>
      </c>
      <c r="L135">
        <v>17</v>
      </c>
      <c r="M135">
        <v>6.4391480000000003</v>
      </c>
      <c r="N135">
        <v>30.112559999999998</v>
      </c>
      <c r="O135">
        <v>6.4391480000000003</v>
      </c>
      <c r="P135">
        <v>27.097935</v>
      </c>
      <c r="Q135">
        <v>6.4391480000000003</v>
      </c>
      <c r="R135">
        <v>31.447035</v>
      </c>
      <c r="S135">
        <v>6.4391480000000003</v>
      </c>
      <c r="T135">
        <v>24.826550999999998</v>
      </c>
      <c r="U135">
        <v>50287.82</v>
      </c>
      <c r="V135">
        <v>0</v>
      </c>
      <c r="W135">
        <v>0</v>
      </c>
      <c r="X135" t="s">
        <v>559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560</v>
      </c>
      <c r="AH135">
        <v>0</v>
      </c>
      <c r="AI135">
        <v>0</v>
      </c>
      <c r="AJ135">
        <v>0.65900000000000003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561</v>
      </c>
      <c r="AT135">
        <v>0</v>
      </c>
      <c r="AU135">
        <v>62.9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48.18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93</v>
      </c>
      <c r="BU135">
        <v>1235</v>
      </c>
    </row>
    <row r="136" spans="2:82" x14ac:dyDescent="0.45">
      <c r="B136" t="s">
        <v>335</v>
      </c>
      <c r="C136">
        <v>3</v>
      </c>
      <c r="D136" t="s">
        <v>368</v>
      </c>
      <c r="E136" t="s">
        <v>369</v>
      </c>
      <c r="F136" t="s">
        <v>370</v>
      </c>
      <c r="G136" t="s">
        <v>371</v>
      </c>
      <c r="H136">
        <v>1</v>
      </c>
      <c r="I136">
        <v>23</v>
      </c>
      <c r="J136">
        <v>30</v>
      </c>
      <c r="K136">
        <v>24</v>
      </c>
      <c r="L136">
        <v>27</v>
      </c>
      <c r="M136">
        <v>3</v>
      </c>
      <c r="N136">
        <v>7.0021800000000001</v>
      </c>
      <c r="O136">
        <v>34.367745999999997</v>
      </c>
      <c r="P136">
        <v>7.0021800000000001</v>
      </c>
      <c r="Q136">
        <v>30.910689999999999</v>
      </c>
      <c r="R136">
        <v>7.0021800000000001</v>
      </c>
      <c r="S136">
        <v>37.374780999999999</v>
      </c>
      <c r="T136">
        <v>7.0021800000000001</v>
      </c>
      <c r="U136">
        <v>27.597784000000001</v>
      </c>
      <c r="V136" t="s">
        <v>562</v>
      </c>
      <c r="W136" t="s">
        <v>563</v>
      </c>
      <c r="X136">
        <v>0</v>
      </c>
      <c r="Y136">
        <v>0</v>
      </c>
      <c r="Z136">
        <v>0.28499999999999998</v>
      </c>
      <c r="AA136">
        <v>0</v>
      </c>
      <c r="AB136">
        <v>0</v>
      </c>
      <c r="AC136">
        <v>0</v>
      </c>
      <c r="AD136">
        <v>0</v>
      </c>
      <c r="AE136" t="s">
        <v>564</v>
      </c>
      <c r="AF136">
        <v>0</v>
      </c>
      <c r="AG136">
        <v>2.9249999999999998</v>
      </c>
      <c r="AH136">
        <v>0.25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565</v>
      </c>
      <c r="AP136">
        <v>0</v>
      </c>
      <c r="AQ136" t="s">
        <v>566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194</v>
      </c>
      <c r="BA136">
        <v>0.58399999999999996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341</v>
      </c>
      <c r="BO136">
        <v>3765</v>
      </c>
      <c r="BP136">
        <v>0</v>
      </c>
      <c r="BQ136">
        <v>38</v>
      </c>
      <c r="BR136">
        <v>524</v>
      </c>
    </row>
    <row r="137" spans="2:82" x14ac:dyDescent="0.45">
      <c r="B137" t="s">
        <v>567</v>
      </c>
      <c r="C137">
        <v>41</v>
      </c>
      <c r="D137" t="s">
        <v>381</v>
      </c>
      <c r="E137" t="s">
        <v>382</v>
      </c>
      <c r="F137" t="s">
        <v>294</v>
      </c>
      <c r="G137" t="s">
        <v>383</v>
      </c>
      <c r="H137">
        <v>1</v>
      </c>
      <c r="I137">
        <v>80</v>
      </c>
      <c r="J137">
        <v>41</v>
      </c>
      <c r="K137">
        <v>0</v>
      </c>
      <c r="L137">
        <v>0</v>
      </c>
      <c r="M137">
        <v>0</v>
      </c>
      <c r="N137">
        <v>0</v>
      </c>
      <c r="O137">
        <v>8.3957719999999991</v>
      </c>
      <c r="P137">
        <v>35.931547000000002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2.472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17</v>
      </c>
    </row>
    <row r="138" spans="2:82" x14ac:dyDescent="0.45">
      <c r="B138" t="s">
        <v>336</v>
      </c>
      <c r="C138">
        <v>41</v>
      </c>
      <c r="D138" t="s">
        <v>381</v>
      </c>
      <c r="E138" t="s">
        <v>382</v>
      </c>
      <c r="F138" t="s">
        <v>299</v>
      </c>
      <c r="G138" t="s">
        <v>384</v>
      </c>
      <c r="H138">
        <v>1</v>
      </c>
      <c r="I138">
        <v>90</v>
      </c>
      <c r="J138">
        <v>300</v>
      </c>
      <c r="K138">
        <v>41</v>
      </c>
      <c r="L138">
        <v>8.072343</v>
      </c>
      <c r="M138">
        <v>35.152374000000002</v>
      </c>
      <c r="N138">
        <v>0</v>
      </c>
      <c r="O138">
        <v>0</v>
      </c>
      <c r="P138">
        <v>0</v>
      </c>
      <c r="Q138">
        <v>0</v>
      </c>
      <c r="R138">
        <v>8.072343</v>
      </c>
      <c r="S138">
        <v>28.482382999999999</v>
      </c>
      <c r="T138">
        <v>2319.04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3.5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9</v>
      </c>
      <c r="CB138">
        <v>111</v>
      </c>
    </row>
    <row r="139" spans="2:82" x14ac:dyDescent="0.45">
      <c r="B139" t="s">
        <v>568</v>
      </c>
      <c r="C139">
        <v>29</v>
      </c>
      <c r="D139" t="s">
        <v>385</v>
      </c>
      <c r="E139" t="s">
        <v>299</v>
      </c>
      <c r="F139">
        <v>1</v>
      </c>
      <c r="G139">
        <v>20</v>
      </c>
      <c r="H139">
        <v>28</v>
      </c>
      <c r="I139">
        <v>22</v>
      </c>
      <c r="J139">
        <v>33</v>
      </c>
      <c r="K139">
        <v>29</v>
      </c>
      <c r="L139">
        <v>3.3798279999999998</v>
      </c>
      <c r="M139">
        <v>16.773866999999999</v>
      </c>
      <c r="N139">
        <v>3.3798279999999998</v>
      </c>
      <c r="O139">
        <v>14.932259</v>
      </c>
      <c r="P139">
        <v>3.3798279999999998</v>
      </c>
      <c r="Q139">
        <v>16.223389000000001</v>
      </c>
      <c r="R139">
        <v>3.3798279999999998</v>
      </c>
      <c r="S139">
        <v>13.139723999999999</v>
      </c>
      <c r="T139">
        <v>360138.6</v>
      </c>
      <c r="U139">
        <v>0</v>
      </c>
      <c r="V139">
        <v>1</v>
      </c>
      <c r="W139">
        <v>0</v>
      </c>
      <c r="X139">
        <v>0</v>
      </c>
      <c r="Y139">
        <v>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105.6</v>
      </c>
      <c r="AI139">
        <v>0</v>
      </c>
      <c r="AJ139">
        <v>0</v>
      </c>
      <c r="AK139">
        <v>0</v>
      </c>
      <c r="AL139">
        <v>0.5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81.709999999999994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24.1</v>
      </c>
      <c r="BJ139">
        <v>0</v>
      </c>
      <c r="BK139">
        <v>0</v>
      </c>
      <c r="BL139">
        <v>0</v>
      </c>
      <c r="BM139">
        <v>0.5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50</v>
      </c>
      <c r="BX139">
        <v>595</v>
      </c>
    </row>
    <row r="140" spans="2:82" x14ac:dyDescent="0.45">
      <c r="B140" t="s">
        <v>569</v>
      </c>
      <c r="C140">
        <v>29</v>
      </c>
      <c r="D140" t="s">
        <v>385</v>
      </c>
      <c r="E140" t="s">
        <v>294</v>
      </c>
      <c r="F140">
        <v>1</v>
      </c>
      <c r="G140">
        <v>23</v>
      </c>
      <c r="H140">
        <v>28</v>
      </c>
      <c r="I140">
        <v>20</v>
      </c>
      <c r="J140">
        <v>33</v>
      </c>
      <c r="K140">
        <v>29</v>
      </c>
      <c r="L140">
        <v>3.294905</v>
      </c>
      <c r="M140">
        <v>13.049891000000001</v>
      </c>
      <c r="N140">
        <v>3.294905</v>
      </c>
      <c r="O140">
        <v>12.330423</v>
      </c>
      <c r="P140">
        <v>3.294905</v>
      </c>
      <c r="Q140">
        <v>13.995785</v>
      </c>
      <c r="R140">
        <v>3.294905</v>
      </c>
      <c r="S140">
        <v>11.095018</v>
      </c>
      <c r="T140">
        <v>22217.09</v>
      </c>
      <c r="U140">
        <v>0</v>
      </c>
      <c r="V140">
        <v>0</v>
      </c>
      <c r="W140" t="s">
        <v>570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59.85</v>
      </c>
      <c r="AG140">
        <v>0.13900000000000001</v>
      </c>
      <c r="AH140">
        <v>0</v>
      </c>
      <c r="AI140">
        <v>0.5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77.209999999999994</v>
      </c>
      <c r="AS140">
        <v>0</v>
      </c>
      <c r="AT140">
        <v>0</v>
      </c>
      <c r="AU140" t="s">
        <v>571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35.18</v>
      </c>
      <c r="BE140">
        <v>0</v>
      </c>
      <c r="BF140">
        <v>0</v>
      </c>
      <c r="BG140">
        <v>0</v>
      </c>
      <c r="BH140">
        <v>0.84799999999999998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26</v>
      </c>
      <c r="BS140">
        <v>335</v>
      </c>
    </row>
    <row r="141" spans="2:82" x14ac:dyDescent="0.45">
      <c r="B141" t="s">
        <v>572</v>
      </c>
      <c r="C141">
        <v>19</v>
      </c>
      <c r="D141" t="s">
        <v>387</v>
      </c>
      <c r="E141" t="s">
        <v>299</v>
      </c>
      <c r="F141">
        <v>1</v>
      </c>
      <c r="G141">
        <v>23</v>
      </c>
      <c r="H141">
        <v>28</v>
      </c>
      <c r="I141">
        <v>27</v>
      </c>
      <c r="J141">
        <v>30</v>
      </c>
      <c r="K141">
        <v>19</v>
      </c>
      <c r="L141">
        <v>8.4936900000000009</v>
      </c>
      <c r="M141">
        <v>37.383495000000003</v>
      </c>
      <c r="N141">
        <v>8.4936900000000009</v>
      </c>
      <c r="O141">
        <v>35.336899000000003</v>
      </c>
      <c r="P141">
        <v>8.4936900000000009</v>
      </c>
      <c r="Q141">
        <v>36.700845999999999</v>
      </c>
      <c r="R141">
        <v>8.4936900000000009</v>
      </c>
      <c r="S141">
        <v>33.500895</v>
      </c>
      <c r="T141">
        <v>379126.8</v>
      </c>
      <c r="U141">
        <v>0</v>
      </c>
      <c r="V141">
        <v>0</v>
      </c>
      <c r="W141">
        <v>0</v>
      </c>
      <c r="X141">
        <v>1.5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119</v>
      </c>
      <c r="AH141">
        <v>0</v>
      </c>
      <c r="AI141">
        <v>0</v>
      </c>
      <c r="AJ141">
        <v>0</v>
      </c>
      <c r="AK141">
        <v>1.52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93.62</v>
      </c>
      <c r="AU141">
        <v>0</v>
      </c>
      <c r="AV141">
        <v>0</v>
      </c>
      <c r="AW141">
        <v>0</v>
      </c>
      <c r="AX141">
        <v>0.9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35.409999999999997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77</v>
      </c>
      <c r="BW141">
        <v>1051</v>
      </c>
    </row>
    <row r="142" spans="2:82" x14ac:dyDescent="0.45">
      <c r="B142" t="s">
        <v>573</v>
      </c>
      <c r="C142">
        <v>19</v>
      </c>
      <c r="D142" t="s">
        <v>387</v>
      </c>
      <c r="E142" t="s">
        <v>294</v>
      </c>
      <c r="F142">
        <v>1</v>
      </c>
      <c r="G142">
        <v>23</v>
      </c>
      <c r="H142">
        <v>30</v>
      </c>
      <c r="I142">
        <v>22</v>
      </c>
      <c r="J142">
        <v>38</v>
      </c>
      <c r="K142">
        <v>19</v>
      </c>
      <c r="L142">
        <v>7.7440819999999997</v>
      </c>
      <c r="M142">
        <v>32.311694000000003</v>
      </c>
      <c r="N142">
        <v>7.7440819999999997</v>
      </c>
      <c r="O142">
        <v>31.711606</v>
      </c>
      <c r="P142">
        <v>7.7440819999999997</v>
      </c>
      <c r="Q142">
        <v>34.059584999999998</v>
      </c>
      <c r="R142">
        <v>7.7440819999999997</v>
      </c>
      <c r="S142">
        <v>30.468658000000001</v>
      </c>
      <c r="T142" t="s">
        <v>574</v>
      </c>
      <c r="U142">
        <v>0</v>
      </c>
      <c r="V142" t="s">
        <v>575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576</v>
      </c>
      <c r="AF142">
        <v>0</v>
      </c>
      <c r="AG142">
        <v>0.73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s">
        <v>577</v>
      </c>
      <c r="AQ142">
        <v>0</v>
      </c>
      <c r="AR142" t="s">
        <v>578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65.22</v>
      </c>
      <c r="BB142">
        <v>0</v>
      </c>
      <c r="BC142">
        <v>0</v>
      </c>
      <c r="BD142">
        <v>0</v>
      </c>
      <c r="BE142">
        <v>0.53500000000000003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100</v>
      </c>
      <c r="BP142">
        <v>1374</v>
      </c>
    </row>
    <row r="143" spans="2:82" x14ac:dyDescent="0.45">
      <c r="B143" t="s">
        <v>579</v>
      </c>
      <c r="C143">
        <v>9</v>
      </c>
      <c r="D143" t="s">
        <v>353</v>
      </c>
      <c r="E143" t="s">
        <v>299</v>
      </c>
      <c r="F143">
        <v>1</v>
      </c>
      <c r="G143">
        <v>23</v>
      </c>
      <c r="H143">
        <v>24</v>
      </c>
      <c r="I143">
        <v>40</v>
      </c>
      <c r="J143">
        <v>9</v>
      </c>
      <c r="K143">
        <v>6.3401959999999997</v>
      </c>
      <c r="L143">
        <v>27.887011000000001</v>
      </c>
      <c r="M143">
        <v>6.3401959999999997</v>
      </c>
      <c r="N143">
        <v>26.051732000000001</v>
      </c>
      <c r="O143">
        <v>6.3401959999999997</v>
      </c>
      <c r="P143">
        <v>27.165911999999999</v>
      </c>
      <c r="Q143">
        <v>0</v>
      </c>
      <c r="R143">
        <v>0</v>
      </c>
      <c r="S143">
        <v>249103.9</v>
      </c>
      <c r="T143">
        <v>0.5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92.75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50.07</v>
      </c>
      <c r="AU143">
        <v>0</v>
      </c>
      <c r="AV143">
        <v>0</v>
      </c>
      <c r="AW143">
        <v>0</v>
      </c>
      <c r="AX143">
        <v>2.1659999999999999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52</v>
      </c>
      <c r="BX143">
        <v>704</v>
      </c>
      <c r="BY143">
        <v>210</v>
      </c>
    </row>
    <row r="144" spans="2:82" x14ac:dyDescent="0.45">
      <c r="B144" t="s">
        <v>337</v>
      </c>
      <c r="C144">
        <v>24</v>
      </c>
      <c r="D144" t="s">
        <v>376</v>
      </c>
      <c r="E144" t="s">
        <v>293</v>
      </c>
      <c r="F144" t="s">
        <v>109</v>
      </c>
      <c r="G144">
        <v>6</v>
      </c>
      <c r="H144">
        <v>24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</row>
    <row r="145" spans="2:82" x14ac:dyDescent="0.45">
      <c r="B145" t="s">
        <v>338</v>
      </c>
      <c r="C145">
        <v>76</v>
      </c>
      <c r="D145" t="s">
        <v>391</v>
      </c>
      <c r="E145" t="s">
        <v>392</v>
      </c>
      <c r="F145">
        <v>1</v>
      </c>
      <c r="G145">
        <v>36</v>
      </c>
      <c r="H145">
        <v>30</v>
      </c>
      <c r="I145">
        <v>30</v>
      </c>
      <c r="J145">
        <v>43</v>
      </c>
      <c r="K145">
        <v>76</v>
      </c>
      <c r="L145">
        <v>9.3223319999999994</v>
      </c>
      <c r="M145">
        <v>39.796419</v>
      </c>
      <c r="N145">
        <v>9.3223319999999994</v>
      </c>
      <c r="O145">
        <v>36.529857</v>
      </c>
      <c r="P145">
        <v>9.3223319999999994</v>
      </c>
      <c r="Q145">
        <v>39.353098000000003</v>
      </c>
      <c r="R145">
        <v>9.3223319999999994</v>
      </c>
      <c r="S145">
        <v>35.683515999999997</v>
      </c>
      <c r="T145">
        <v>78</v>
      </c>
      <c r="U145">
        <v>14</v>
      </c>
      <c r="V145">
        <v>2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23.75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25.26</v>
      </c>
      <c r="AX145">
        <v>2</v>
      </c>
      <c r="AY145">
        <v>0</v>
      </c>
      <c r="AZ145">
        <v>0</v>
      </c>
      <c r="BA145">
        <v>6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3.258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21</v>
      </c>
      <c r="CA145">
        <v>302</v>
      </c>
    </row>
    <row r="146" spans="2:82" x14ac:dyDescent="0.45">
      <c r="B146" t="s">
        <v>580</v>
      </c>
      <c r="C146">
        <v>89</v>
      </c>
      <c r="D146" t="s">
        <v>396</v>
      </c>
      <c r="E146" t="s">
        <v>397</v>
      </c>
      <c r="F146">
        <v>6</v>
      </c>
      <c r="G146">
        <v>120</v>
      </c>
      <c r="H146">
        <v>89</v>
      </c>
      <c r="I146">
        <v>0</v>
      </c>
      <c r="J146">
        <v>0</v>
      </c>
      <c r="K146">
        <v>0</v>
      </c>
      <c r="L146">
        <v>0</v>
      </c>
      <c r="M146">
        <v>31.173441</v>
      </c>
      <c r="N146">
        <v>92.063209000000001</v>
      </c>
      <c r="O146">
        <v>0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4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3</v>
      </c>
      <c r="CA146">
        <v>63</v>
      </c>
    </row>
    <row r="147" spans="2:82" x14ac:dyDescent="0.45">
      <c r="B147" t="s">
        <v>581</v>
      </c>
      <c r="C147">
        <v>103</v>
      </c>
      <c r="D147" t="s">
        <v>314</v>
      </c>
      <c r="E147" t="s">
        <v>400</v>
      </c>
      <c r="F147">
        <v>2</v>
      </c>
      <c r="G147">
        <v>36</v>
      </c>
      <c r="H147">
        <v>45</v>
      </c>
      <c r="I147">
        <v>60</v>
      </c>
      <c r="J147">
        <v>103</v>
      </c>
      <c r="K147">
        <v>9.3785939999999997</v>
      </c>
      <c r="L147">
        <v>40.785511</v>
      </c>
      <c r="M147">
        <v>9.3785939999999997</v>
      </c>
      <c r="N147">
        <v>37.713628999999997</v>
      </c>
      <c r="O147">
        <v>9.3785939999999997</v>
      </c>
      <c r="P147">
        <v>41.995944999999999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</row>
    <row r="148" spans="2:82" x14ac:dyDescent="0.45">
      <c r="B148" t="s">
        <v>343</v>
      </c>
      <c r="C148">
        <v>22</v>
      </c>
      <c r="D148" t="s">
        <v>303</v>
      </c>
      <c r="E148" t="s">
        <v>401</v>
      </c>
      <c r="F148" t="s">
        <v>402</v>
      </c>
      <c r="G148">
        <v>1</v>
      </c>
      <c r="H148">
        <v>60</v>
      </c>
      <c r="I148">
        <v>60</v>
      </c>
      <c r="J148">
        <v>48</v>
      </c>
      <c r="K148">
        <v>50</v>
      </c>
      <c r="L148">
        <v>22</v>
      </c>
      <c r="M148">
        <v>9.6419409999999992</v>
      </c>
      <c r="N148">
        <v>36.868676000000001</v>
      </c>
      <c r="O148">
        <v>9.6419409999999992</v>
      </c>
      <c r="P148">
        <v>37.108539</v>
      </c>
      <c r="Q148">
        <v>9.6419409999999992</v>
      </c>
      <c r="R148">
        <v>41.382607999999998</v>
      </c>
      <c r="S148">
        <v>9.6419409999999992</v>
      </c>
      <c r="T148">
        <v>35.587848999999999</v>
      </c>
      <c r="U148" t="s">
        <v>582</v>
      </c>
      <c r="V148">
        <v>0</v>
      </c>
      <c r="W148">
        <v>3.3420000000000001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583</v>
      </c>
      <c r="AH148">
        <v>0</v>
      </c>
      <c r="AI148">
        <v>0.58599999999999997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584</v>
      </c>
      <c r="AS148">
        <v>0</v>
      </c>
      <c r="AT148" t="s">
        <v>585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94.55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52</v>
      </c>
      <c r="BS148">
        <v>735</v>
      </c>
    </row>
    <row r="149" spans="2:82" x14ac:dyDescent="0.45">
      <c r="B149" t="s">
        <v>344</v>
      </c>
      <c r="C149">
        <v>22</v>
      </c>
      <c r="D149" t="s">
        <v>303</v>
      </c>
      <c r="E149" t="s">
        <v>401</v>
      </c>
      <c r="F149" t="s">
        <v>402</v>
      </c>
      <c r="G149">
        <v>1</v>
      </c>
      <c r="H149">
        <v>45</v>
      </c>
      <c r="I149">
        <v>51</v>
      </c>
      <c r="J149">
        <v>48</v>
      </c>
      <c r="K149">
        <v>43</v>
      </c>
      <c r="L149">
        <v>22</v>
      </c>
      <c r="M149">
        <v>10.415277</v>
      </c>
      <c r="N149">
        <v>46.609102999999998</v>
      </c>
      <c r="O149">
        <v>10.415277</v>
      </c>
      <c r="P149">
        <v>40.666516000000001</v>
      </c>
      <c r="Q149">
        <v>10.415277</v>
      </c>
      <c r="R149">
        <v>42.467531999999999</v>
      </c>
      <c r="S149">
        <v>10.415277</v>
      </c>
      <c r="T149">
        <v>38.721265000000002</v>
      </c>
      <c r="U149">
        <v>433137.7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135.5</v>
      </c>
      <c r="AJ149">
        <v>0</v>
      </c>
      <c r="AK149">
        <v>0</v>
      </c>
      <c r="AL149">
        <v>0</v>
      </c>
      <c r="AM149">
        <v>0.53800000000000003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99.68</v>
      </c>
      <c r="AW149">
        <v>0</v>
      </c>
      <c r="AX149">
        <v>0</v>
      </c>
      <c r="AY149" t="s">
        <v>586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53.75</v>
      </c>
      <c r="BI149">
        <v>0</v>
      </c>
      <c r="BJ149">
        <v>0</v>
      </c>
      <c r="BK149">
        <v>0</v>
      </c>
      <c r="BL149">
        <v>0.316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70</v>
      </c>
      <c r="BW149">
        <v>891</v>
      </c>
      <c r="BX149">
        <v>0</v>
      </c>
      <c r="BY149">
        <v>0</v>
      </c>
      <c r="BZ149">
        <v>37</v>
      </c>
      <c r="CA149">
        <v>598</v>
      </c>
    </row>
    <row r="150" spans="2:82" x14ac:dyDescent="0.45">
      <c r="B150" t="s">
        <v>587</v>
      </c>
      <c r="C150">
        <v>2</v>
      </c>
      <c r="D150">
        <v>60</v>
      </c>
      <c r="E150">
        <v>60</v>
      </c>
      <c r="F150">
        <v>80</v>
      </c>
      <c r="G150">
        <v>12.719165</v>
      </c>
      <c r="H150">
        <v>46.876319000000002</v>
      </c>
      <c r="I150">
        <v>12.719165</v>
      </c>
      <c r="J150">
        <v>44.153323999999998</v>
      </c>
      <c r="K150">
        <v>12.719165</v>
      </c>
      <c r="L150">
        <v>47.795310999999998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3</v>
      </c>
      <c r="CD150">
        <v>50</v>
      </c>
    </row>
    <row r="151" spans="2:82" x14ac:dyDescent="0.45">
      <c r="B151" t="s">
        <v>588</v>
      </c>
      <c r="C151">
        <v>2</v>
      </c>
      <c r="D151">
        <v>60</v>
      </c>
      <c r="E151">
        <v>60</v>
      </c>
      <c r="F151">
        <v>80</v>
      </c>
      <c r="G151">
        <v>6.4890809999999997</v>
      </c>
      <c r="H151">
        <v>20.072144999999999</v>
      </c>
      <c r="I151">
        <v>6.4890809999999997</v>
      </c>
      <c r="J151">
        <v>19.933561000000001</v>
      </c>
      <c r="K151">
        <v>6.4890809999999997</v>
      </c>
      <c r="L151">
        <v>20.499110000000002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2:82" x14ac:dyDescent="0.45">
      <c r="B152" t="s">
        <v>589</v>
      </c>
      <c r="C152">
        <v>2</v>
      </c>
      <c r="D152">
        <v>60</v>
      </c>
      <c r="E152">
        <v>60</v>
      </c>
      <c r="F152">
        <v>80</v>
      </c>
      <c r="G152">
        <v>23.618417999999998</v>
      </c>
      <c r="H152">
        <v>85.491258000000002</v>
      </c>
      <c r="I152">
        <v>23.618417999999998</v>
      </c>
      <c r="J152">
        <v>82.121022999999994</v>
      </c>
      <c r="K152">
        <v>23.618417999999998</v>
      </c>
      <c r="L152">
        <v>86.686663999999993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</row>
    <row r="153" spans="2:82" x14ac:dyDescent="0.45">
      <c r="B153" t="s">
        <v>345</v>
      </c>
      <c r="C153">
        <v>86</v>
      </c>
      <c r="D153" t="s">
        <v>403</v>
      </c>
      <c r="E153" t="s">
        <v>404</v>
      </c>
      <c r="F153" t="s">
        <v>405</v>
      </c>
      <c r="G153">
        <v>6</v>
      </c>
      <c r="H153">
        <v>60</v>
      </c>
      <c r="I153">
        <v>86</v>
      </c>
      <c r="J153">
        <v>0</v>
      </c>
      <c r="K153">
        <v>0</v>
      </c>
      <c r="L153">
        <v>0</v>
      </c>
      <c r="M153">
        <v>0</v>
      </c>
      <c r="N153">
        <v>21.568453000000002</v>
      </c>
      <c r="O153">
        <v>90.025195999999994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</row>
    <row r="154" spans="2:82" x14ac:dyDescent="0.45">
      <c r="B154" t="s">
        <v>590</v>
      </c>
      <c r="C154">
        <v>2</v>
      </c>
      <c r="D154">
        <v>60</v>
      </c>
      <c r="E154">
        <v>60</v>
      </c>
      <c r="F154">
        <v>80</v>
      </c>
      <c r="G154">
        <v>28.016487000000001</v>
      </c>
      <c r="H154">
        <v>81.023887000000002</v>
      </c>
      <c r="I154">
        <v>28.016487000000001</v>
      </c>
      <c r="J154">
        <v>73.319264000000004</v>
      </c>
      <c r="K154">
        <v>28.016487000000001</v>
      </c>
      <c r="L154">
        <v>82.022553000000002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</row>
    <row r="155" spans="2:82" x14ac:dyDescent="0.45">
      <c r="B155" t="s">
        <v>591</v>
      </c>
      <c r="C155">
        <v>84</v>
      </c>
      <c r="D155" t="s">
        <v>395</v>
      </c>
      <c r="E155" t="s">
        <v>592</v>
      </c>
      <c r="F155">
        <v>6</v>
      </c>
      <c r="G155">
        <v>90</v>
      </c>
      <c r="H155">
        <v>90</v>
      </c>
      <c r="I155">
        <v>60</v>
      </c>
      <c r="J155">
        <v>300</v>
      </c>
      <c r="K155">
        <v>84</v>
      </c>
      <c r="L155" t="s">
        <v>593</v>
      </c>
      <c r="M155">
        <v>34.234397999999999</v>
      </c>
      <c r="N155">
        <v>82.976572000000004</v>
      </c>
      <c r="O155" t="s">
        <v>594</v>
      </c>
      <c r="P155">
        <v>34.234397999999999</v>
      </c>
      <c r="Q155">
        <v>75.119079999999997</v>
      </c>
      <c r="R155">
        <v>78</v>
      </c>
      <c r="S155">
        <v>0</v>
      </c>
      <c r="T155">
        <v>13</v>
      </c>
      <c r="U155">
        <v>0</v>
      </c>
      <c r="V155">
        <v>0</v>
      </c>
      <c r="W155">
        <v>0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19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9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56</v>
      </c>
      <c r="BX155">
        <v>1056</v>
      </c>
    </row>
    <row r="156" spans="2:82" x14ac:dyDescent="0.45">
      <c r="B156" t="s">
        <v>595</v>
      </c>
      <c r="C156">
        <v>84</v>
      </c>
      <c r="D156" t="s">
        <v>395</v>
      </c>
      <c r="E156" t="s">
        <v>592</v>
      </c>
      <c r="F156">
        <v>6</v>
      </c>
      <c r="G156">
        <v>90</v>
      </c>
      <c r="H156">
        <v>90</v>
      </c>
      <c r="I156">
        <v>80</v>
      </c>
      <c r="J156">
        <v>100</v>
      </c>
      <c r="K156">
        <v>84</v>
      </c>
      <c r="L156" t="s">
        <v>596</v>
      </c>
      <c r="M156">
        <v>34.042651999999997</v>
      </c>
      <c r="N156">
        <v>88.374027999999996</v>
      </c>
      <c r="O156" t="s">
        <v>597</v>
      </c>
      <c r="P156">
        <v>34.042651999999997</v>
      </c>
      <c r="Q156">
        <v>77.654325</v>
      </c>
      <c r="R156">
        <v>78</v>
      </c>
      <c r="S156">
        <v>0</v>
      </c>
      <c r="T156">
        <v>0</v>
      </c>
      <c r="U156">
        <v>16</v>
      </c>
      <c r="V156">
        <v>0</v>
      </c>
      <c r="W156">
        <v>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20</v>
      </c>
      <c r="AZ156">
        <v>0</v>
      </c>
      <c r="BA156">
        <v>2</v>
      </c>
      <c r="BB156">
        <v>0</v>
      </c>
      <c r="BC156">
        <v>0</v>
      </c>
      <c r="BD156">
        <v>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9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47</v>
      </c>
      <c r="CB156">
        <v>1131</v>
      </c>
    </row>
    <row r="157" spans="2:82" x14ac:dyDescent="0.45">
      <c r="B157" t="s">
        <v>598</v>
      </c>
      <c r="C157">
        <v>86</v>
      </c>
      <c r="D157" t="s">
        <v>403</v>
      </c>
      <c r="E157" t="s">
        <v>404</v>
      </c>
      <c r="F157" t="s">
        <v>405</v>
      </c>
      <c r="G157">
        <v>6</v>
      </c>
      <c r="H157">
        <v>90</v>
      </c>
      <c r="I157">
        <v>300</v>
      </c>
      <c r="J157">
        <v>86</v>
      </c>
      <c r="K157" t="s">
        <v>599</v>
      </c>
      <c r="L157">
        <v>0</v>
      </c>
      <c r="M157">
        <v>0</v>
      </c>
      <c r="N157">
        <v>0</v>
      </c>
      <c r="O157">
        <v>0</v>
      </c>
      <c r="P157">
        <v>22.668547</v>
      </c>
      <c r="Q157">
        <v>33.907930999999998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</row>
    <row r="158" spans="2:82" x14ac:dyDescent="0.45">
      <c r="B158" t="s">
        <v>600</v>
      </c>
      <c r="C158">
        <v>18</v>
      </c>
      <c r="D158" t="s">
        <v>292</v>
      </c>
      <c r="E158" t="s">
        <v>118</v>
      </c>
      <c r="F158" t="s">
        <v>294</v>
      </c>
      <c r="G158">
        <v>1</v>
      </c>
      <c r="H158">
        <v>45</v>
      </c>
      <c r="I158">
        <v>45</v>
      </c>
      <c r="J158">
        <v>60</v>
      </c>
      <c r="K158">
        <v>110</v>
      </c>
      <c r="L158">
        <v>18</v>
      </c>
      <c r="M158">
        <v>8.0196900000000007</v>
      </c>
      <c r="N158">
        <v>34.627879999999998</v>
      </c>
      <c r="O158">
        <v>8.0196900000000007</v>
      </c>
      <c r="P158">
        <v>32.351286999999999</v>
      </c>
      <c r="Q158">
        <v>8.0196900000000007</v>
      </c>
      <c r="R158">
        <v>42.289667999999999</v>
      </c>
      <c r="S158">
        <v>8.0196900000000007</v>
      </c>
      <c r="T158">
        <v>29.221247000000002</v>
      </c>
      <c r="U158">
        <v>20731.23</v>
      </c>
      <c r="V158">
        <v>0.28100000000000003</v>
      </c>
      <c r="W158" t="s">
        <v>601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602</v>
      </c>
      <c r="AG158">
        <v>0</v>
      </c>
      <c r="AH158">
        <v>1.5569999999999999</v>
      </c>
      <c r="AI158">
        <v>0.108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603</v>
      </c>
      <c r="AQ158">
        <v>0</v>
      </c>
      <c r="AR158">
        <v>1.083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29.3</v>
      </c>
      <c r="BC158">
        <v>0</v>
      </c>
      <c r="BD158">
        <v>0</v>
      </c>
      <c r="BE158">
        <v>0</v>
      </c>
      <c r="BF158">
        <v>1.8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32</v>
      </c>
      <c r="BQ158">
        <v>445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67</v>
      </c>
      <c r="BY158">
        <v>1244</v>
      </c>
    </row>
    <row r="159" spans="2:82" x14ac:dyDescent="0.45">
      <c r="B159" t="s">
        <v>346</v>
      </c>
      <c r="C159">
        <v>18</v>
      </c>
      <c r="D159" t="s">
        <v>292</v>
      </c>
      <c r="E159" t="s">
        <v>118</v>
      </c>
      <c r="F159" t="s">
        <v>299</v>
      </c>
      <c r="G159">
        <v>1</v>
      </c>
      <c r="H159">
        <v>60</v>
      </c>
      <c r="I159">
        <v>45</v>
      </c>
      <c r="J159">
        <v>48</v>
      </c>
      <c r="K159">
        <v>50</v>
      </c>
      <c r="L159">
        <v>18</v>
      </c>
      <c r="M159">
        <v>8.1787220000000005</v>
      </c>
      <c r="N159">
        <v>46.121454</v>
      </c>
      <c r="O159">
        <v>8.1787220000000005</v>
      </c>
      <c r="P159">
        <v>34.149875999999999</v>
      </c>
      <c r="Q159">
        <v>8.1787220000000005</v>
      </c>
      <c r="R159">
        <v>37.608784</v>
      </c>
      <c r="S159">
        <v>8.1787220000000005</v>
      </c>
      <c r="T159">
        <v>29.921939999999999</v>
      </c>
      <c r="U159">
        <v>14417.57</v>
      </c>
      <c r="V159">
        <v>0.14199999999999999</v>
      </c>
      <c r="W159">
        <v>0</v>
      </c>
      <c r="X159">
        <v>6.2850000000000001</v>
      </c>
      <c r="Y159">
        <v>0.42799999999999999</v>
      </c>
      <c r="Z159">
        <v>0.85699999999999998</v>
      </c>
      <c r="AA159">
        <v>0</v>
      </c>
      <c r="AB159">
        <v>0</v>
      </c>
      <c r="AC159">
        <v>0</v>
      </c>
      <c r="AD159">
        <v>0</v>
      </c>
      <c r="AE159">
        <v>43.34</v>
      </c>
      <c r="AF159">
        <v>0.18099999999999999</v>
      </c>
      <c r="AG159">
        <v>0</v>
      </c>
      <c r="AH159">
        <v>4.181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51.17</v>
      </c>
      <c r="AR159">
        <v>0</v>
      </c>
      <c r="AS159">
        <v>0</v>
      </c>
      <c r="AT159">
        <v>0</v>
      </c>
      <c r="AU159">
        <v>4.1059999999999999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15.31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34</v>
      </c>
      <c r="BT159">
        <v>432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</row>
    <row r="160" spans="2:82" x14ac:dyDescent="0.45">
      <c r="B160" t="s">
        <v>604</v>
      </c>
      <c r="C160">
        <v>95</v>
      </c>
      <c r="D160" t="s">
        <v>418</v>
      </c>
      <c r="E160" t="s">
        <v>419</v>
      </c>
      <c r="F160" t="s">
        <v>293</v>
      </c>
      <c r="G160" t="s">
        <v>294</v>
      </c>
      <c r="H160">
        <v>6</v>
      </c>
      <c r="I160">
        <v>120</v>
      </c>
      <c r="J160">
        <v>95</v>
      </c>
      <c r="K160">
        <v>0</v>
      </c>
      <c r="L160">
        <v>0</v>
      </c>
      <c r="M160">
        <v>0</v>
      </c>
      <c r="N160">
        <v>0</v>
      </c>
      <c r="O160" t="s">
        <v>605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20</v>
      </c>
      <c r="CB160">
        <v>0</v>
      </c>
    </row>
    <row r="161" spans="2:82" x14ac:dyDescent="0.45">
      <c r="B161" t="s">
        <v>606</v>
      </c>
      <c r="C161">
        <v>95</v>
      </c>
      <c r="D161" t="s">
        <v>418</v>
      </c>
      <c r="E161" t="s">
        <v>419</v>
      </c>
      <c r="F161" t="s">
        <v>293</v>
      </c>
      <c r="G161" t="s">
        <v>299</v>
      </c>
      <c r="H161">
        <v>6</v>
      </c>
      <c r="I161">
        <v>180</v>
      </c>
      <c r="J161">
        <v>300</v>
      </c>
      <c r="K161">
        <v>95</v>
      </c>
      <c r="L161" t="s">
        <v>607</v>
      </c>
      <c r="M161">
        <v>0</v>
      </c>
      <c r="N161">
        <v>0</v>
      </c>
      <c r="O161">
        <v>0</v>
      </c>
      <c r="P161">
        <v>0</v>
      </c>
      <c r="Q161">
        <v>42.158465999999997</v>
      </c>
      <c r="R161">
        <v>94.732213999999999</v>
      </c>
      <c r="S161">
        <v>3</v>
      </c>
      <c r="T161">
        <v>0</v>
      </c>
      <c r="U161">
        <v>2.5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4</v>
      </c>
      <c r="CB161">
        <v>82</v>
      </c>
    </row>
    <row r="162" spans="2:82" x14ac:dyDescent="0.45">
      <c r="B162" t="s">
        <v>347</v>
      </c>
      <c r="C162">
        <v>6</v>
      </c>
      <c r="D162" t="s">
        <v>428</v>
      </c>
      <c r="E162" t="s">
        <v>288</v>
      </c>
      <c r="F162" t="s">
        <v>294</v>
      </c>
      <c r="G162">
        <v>1</v>
      </c>
      <c r="H162">
        <v>26</v>
      </c>
      <c r="I162">
        <v>60</v>
      </c>
      <c r="J162">
        <v>24</v>
      </c>
      <c r="K162">
        <v>50</v>
      </c>
      <c r="L162">
        <v>6</v>
      </c>
      <c r="M162">
        <v>16.011810000000001</v>
      </c>
      <c r="N162">
        <v>66.568950999999998</v>
      </c>
      <c r="O162">
        <v>16.011810000000001</v>
      </c>
      <c r="P162">
        <v>62.306919999999998</v>
      </c>
      <c r="Q162">
        <v>16.011810000000001</v>
      </c>
      <c r="R162">
        <v>93.194057999999998</v>
      </c>
      <c r="S162">
        <v>16.011810000000001</v>
      </c>
      <c r="T162">
        <v>57.041666999999997</v>
      </c>
      <c r="U162" t="s">
        <v>608</v>
      </c>
      <c r="V162">
        <v>0</v>
      </c>
      <c r="W162" t="s">
        <v>609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 t="s">
        <v>610</v>
      </c>
      <c r="AG162">
        <v>0</v>
      </c>
      <c r="AH162">
        <v>0</v>
      </c>
      <c r="AI162">
        <v>1.46</v>
      </c>
      <c r="AJ162">
        <v>8.1000000000000003E-2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611</v>
      </c>
      <c r="AR162">
        <v>0</v>
      </c>
      <c r="AS162" t="s">
        <v>612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38.4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98</v>
      </c>
      <c r="BR162">
        <v>1129</v>
      </c>
    </row>
    <row r="163" spans="2:82" x14ac:dyDescent="0.45">
      <c r="B163" t="s">
        <v>613</v>
      </c>
      <c r="C163">
        <v>6</v>
      </c>
      <c r="D163" t="s">
        <v>428</v>
      </c>
      <c r="E163" t="s">
        <v>288</v>
      </c>
      <c r="F163" t="s">
        <v>299</v>
      </c>
      <c r="G163">
        <v>1</v>
      </c>
      <c r="H163">
        <v>36</v>
      </c>
      <c r="I163">
        <v>45</v>
      </c>
      <c r="J163">
        <v>30</v>
      </c>
      <c r="K163">
        <v>38</v>
      </c>
      <c r="L163">
        <v>6</v>
      </c>
      <c r="M163" t="s">
        <v>614</v>
      </c>
      <c r="N163">
        <v>17.163447999999999</v>
      </c>
      <c r="O163">
        <v>70.842524999999995</v>
      </c>
      <c r="P163">
        <v>17.163447999999999</v>
      </c>
      <c r="Q163">
        <v>78.133319</v>
      </c>
      <c r="R163">
        <v>17.163447999999999</v>
      </c>
      <c r="S163">
        <v>61.711731</v>
      </c>
      <c r="T163">
        <v>22642.53</v>
      </c>
      <c r="U163">
        <v>0</v>
      </c>
      <c r="V163">
        <v>0</v>
      </c>
      <c r="W163" t="s">
        <v>615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38.28</v>
      </c>
      <c r="AG163">
        <v>0</v>
      </c>
      <c r="AH163">
        <v>0</v>
      </c>
      <c r="AI163">
        <v>0</v>
      </c>
      <c r="AJ163">
        <v>1.6379999999999999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90.12</v>
      </c>
      <c r="AT163">
        <v>0</v>
      </c>
      <c r="AU163">
        <v>0</v>
      </c>
      <c r="AV163" t="s">
        <v>616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32.61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70</v>
      </c>
      <c r="BU163">
        <v>832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</row>
    <row r="164" spans="2:82" x14ac:dyDescent="0.45">
      <c r="B164" t="s">
        <v>348</v>
      </c>
      <c r="C164">
        <v>56</v>
      </c>
      <c r="D164" t="s">
        <v>306</v>
      </c>
      <c r="E164" t="s">
        <v>288</v>
      </c>
      <c r="F164" t="s">
        <v>299</v>
      </c>
      <c r="G164">
        <v>1</v>
      </c>
      <c r="H164">
        <v>10</v>
      </c>
      <c r="I164">
        <v>10</v>
      </c>
      <c r="J164">
        <v>12</v>
      </c>
      <c r="K164">
        <v>14</v>
      </c>
      <c r="L164">
        <v>56</v>
      </c>
      <c r="M164">
        <v>11.946567999999999</v>
      </c>
      <c r="N164">
        <v>68.064442999999997</v>
      </c>
      <c r="O164">
        <v>11.946567999999999</v>
      </c>
      <c r="P164">
        <v>48.563505999999997</v>
      </c>
      <c r="Q164">
        <v>11.946567999999999</v>
      </c>
      <c r="R164">
        <v>53.054513999999998</v>
      </c>
      <c r="S164">
        <v>11.946567999999999</v>
      </c>
      <c r="T164">
        <v>42.502057999999998</v>
      </c>
      <c r="U164">
        <v>2134762</v>
      </c>
      <c r="V164">
        <v>1</v>
      </c>
      <c r="W164">
        <v>1</v>
      </c>
      <c r="X164">
        <v>0</v>
      </c>
      <c r="Y164">
        <v>0</v>
      </c>
      <c r="Z164">
        <v>74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670.5</v>
      </c>
      <c r="AJ164">
        <v>0</v>
      </c>
      <c r="AK164">
        <v>1</v>
      </c>
      <c r="AL164">
        <v>0</v>
      </c>
      <c r="AM164">
        <v>0</v>
      </c>
      <c r="AN164">
        <v>24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617</v>
      </c>
      <c r="AX164">
        <v>0</v>
      </c>
      <c r="AY164">
        <v>0</v>
      </c>
      <c r="AZ164">
        <v>2.4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136</v>
      </c>
      <c r="BJ164">
        <v>0</v>
      </c>
      <c r="BK164">
        <v>0</v>
      </c>
      <c r="BL164">
        <v>0</v>
      </c>
      <c r="BM164">
        <v>0.51700000000000002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545</v>
      </c>
      <c r="BX164">
        <v>6586</v>
      </c>
    </row>
    <row r="165" spans="2:82" x14ac:dyDescent="0.45">
      <c r="B165" t="s">
        <v>349</v>
      </c>
      <c r="C165">
        <v>28</v>
      </c>
      <c r="D165" t="s">
        <v>308</v>
      </c>
      <c r="E165" t="s">
        <v>294</v>
      </c>
      <c r="F165">
        <v>1</v>
      </c>
      <c r="G165">
        <v>36</v>
      </c>
      <c r="H165">
        <v>51</v>
      </c>
      <c r="I165">
        <v>34</v>
      </c>
      <c r="J165">
        <v>60</v>
      </c>
      <c r="K165">
        <v>28</v>
      </c>
      <c r="L165">
        <v>5.1989369999999999</v>
      </c>
      <c r="M165">
        <v>18.662013000000002</v>
      </c>
      <c r="N165">
        <v>5.1989369999999999</v>
      </c>
      <c r="O165">
        <v>18.811744000000001</v>
      </c>
      <c r="P165">
        <v>5.1989369999999999</v>
      </c>
      <c r="Q165">
        <v>21.220922000000002</v>
      </c>
      <c r="R165">
        <v>5.1989369999999999</v>
      </c>
      <c r="S165">
        <v>18.274522000000001</v>
      </c>
      <c r="T165">
        <v>5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2.5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8</v>
      </c>
    </row>
    <row r="166" spans="2:82" x14ac:dyDescent="0.45">
      <c r="B166" t="s">
        <v>350</v>
      </c>
      <c r="C166">
        <v>56</v>
      </c>
      <c r="D166" t="s">
        <v>306</v>
      </c>
      <c r="E166" t="s">
        <v>288</v>
      </c>
      <c r="F166" t="s">
        <v>515</v>
      </c>
      <c r="G166">
        <v>1</v>
      </c>
      <c r="H166">
        <v>10</v>
      </c>
      <c r="I166">
        <v>10</v>
      </c>
      <c r="J166">
        <v>11</v>
      </c>
      <c r="K166">
        <v>15</v>
      </c>
      <c r="L166">
        <v>56</v>
      </c>
      <c r="M166">
        <v>11.925564</v>
      </c>
      <c r="N166">
        <v>49.099865000000001</v>
      </c>
      <c r="O166">
        <v>11.925564</v>
      </c>
      <c r="P166">
        <v>47.125644999999999</v>
      </c>
      <c r="Q166">
        <v>11.925564</v>
      </c>
      <c r="R166">
        <v>62.097766999999997</v>
      </c>
      <c r="S166">
        <v>11.925564</v>
      </c>
      <c r="T166">
        <v>42.988140000000001</v>
      </c>
      <c r="U166" t="s">
        <v>618</v>
      </c>
      <c r="V166">
        <v>4.1920000000000002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619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t="s">
        <v>620</v>
      </c>
      <c r="AT166">
        <v>2</v>
      </c>
      <c r="AU166" t="s">
        <v>621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234.3</v>
      </c>
      <c r="BE166">
        <v>0</v>
      </c>
      <c r="BF166">
        <v>0</v>
      </c>
      <c r="BG166">
        <v>0</v>
      </c>
      <c r="BH166">
        <v>3.415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493</v>
      </c>
      <c r="BS166">
        <v>6356</v>
      </c>
    </row>
    <row r="167" spans="2:82" x14ac:dyDescent="0.45">
      <c r="B167" t="s">
        <v>351</v>
      </c>
      <c r="C167">
        <v>18</v>
      </c>
      <c r="D167" t="s">
        <v>292</v>
      </c>
      <c r="E167" t="s">
        <v>293</v>
      </c>
      <c r="F167" t="s">
        <v>299</v>
      </c>
      <c r="G167">
        <v>6</v>
      </c>
      <c r="H167">
        <v>60</v>
      </c>
      <c r="I167">
        <v>120</v>
      </c>
      <c r="J167">
        <v>18</v>
      </c>
      <c r="K167">
        <v>0</v>
      </c>
      <c r="L167">
        <v>0</v>
      </c>
      <c r="M167">
        <v>0</v>
      </c>
      <c r="N167">
        <v>0</v>
      </c>
      <c r="O167">
        <v>8.0892379999999999</v>
      </c>
      <c r="P167">
        <v>26.513086000000001</v>
      </c>
      <c r="Q167">
        <v>8.0892379999999999</v>
      </c>
      <c r="R167">
        <v>20.078478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15</v>
      </c>
    </row>
    <row r="168" spans="2:82" x14ac:dyDescent="0.45">
      <c r="B168" t="s">
        <v>622</v>
      </c>
      <c r="C168">
        <v>34</v>
      </c>
      <c r="D168" t="s">
        <v>366</v>
      </c>
      <c r="E168" t="s">
        <v>367</v>
      </c>
      <c r="F168" t="s">
        <v>299</v>
      </c>
      <c r="G168">
        <v>1</v>
      </c>
      <c r="H168">
        <v>90</v>
      </c>
      <c r="I168">
        <v>51</v>
      </c>
      <c r="J168">
        <v>60</v>
      </c>
      <c r="K168">
        <v>75</v>
      </c>
      <c r="L168">
        <v>34</v>
      </c>
      <c r="M168">
        <v>11.822082999999999</v>
      </c>
      <c r="N168">
        <v>52.269095999999998</v>
      </c>
      <c r="O168">
        <v>11.822082999999999</v>
      </c>
      <c r="P168">
        <v>43.504441999999997</v>
      </c>
      <c r="Q168">
        <v>11.822082999999999</v>
      </c>
      <c r="R168">
        <v>46.068733999999999</v>
      </c>
      <c r="S168">
        <v>11.822082999999999</v>
      </c>
      <c r="T168">
        <v>40.435015999999997</v>
      </c>
      <c r="U168">
        <v>140.428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4.1619999999999999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6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2.1890000000000001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4</v>
      </c>
      <c r="CA168">
        <v>78</v>
      </c>
    </row>
    <row r="169" spans="2:82" x14ac:dyDescent="0.45">
      <c r="B169" t="s">
        <v>623</v>
      </c>
      <c r="C169">
        <v>56</v>
      </c>
      <c r="D169" t="s">
        <v>306</v>
      </c>
      <c r="E169" t="s">
        <v>288</v>
      </c>
      <c r="F169" t="s">
        <v>624</v>
      </c>
      <c r="G169">
        <v>8</v>
      </c>
      <c r="H169">
        <v>10</v>
      </c>
      <c r="I169">
        <v>10</v>
      </c>
      <c r="J169">
        <v>10</v>
      </c>
      <c r="K169">
        <v>30</v>
      </c>
      <c r="L169">
        <v>56</v>
      </c>
      <c r="M169">
        <v>11.634682</v>
      </c>
      <c r="N169">
        <v>41.851638000000001</v>
      </c>
      <c r="O169">
        <v>11.634682</v>
      </c>
      <c r="P169">
        <v>40.395381999999998</v>
      </c>
      <c r="Q169">
        <v>11.634682</v>
      </c>
      <c r="R169">
        <v>54.596193999999997</v>
      </c>
      <c r="S169">
        <v>11.634682</v>
      </c>
      <c r="T169">
        <v>36.430861</v>
      </c>
      <c r="U169">
        <v>75</v>
      </c>
      <c r="V169">
        <v>1.6</v>
      </c>
      <c r="W169">
        <v>0</v>
      </c>
      <c r="X169">
        <v>4.5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1.8380000000000001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8.6460000000000008</v>
      </c>
      <c r="AX169">
        <v>0</v>
      </c>
      <c r="AY169">
        <v>58.69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29</v>
      </c>
      <c r="BZ169">
        <v>390</v>
      </c>
    </row>
    <row r="170" spans="2:82" x14ac:dyDescent="0.45">
      <c r="B170" t="s">
        <v>625</v>
      </c>
      <c r="C170">
        <v>56</v>
      </c>
      <c r="D170" t="s">
        <v>306</v>
      </c>
      <c r="E170" t="s">
        <v>288</v>
      </c>
      <c r="F170" t="s">
        <v>624</v>
      </c>
      <c r="G170">
        <v>8</v>
      </c>
      <c r="H170">
        <v>10</v>
      </c>
      <c r="I170">
        <v>10</v>
      </c>
      <c r="J170">
        <v>10</v>
      </c>
      <c r="K170">
        <v>30</v>
      </c>
      <c r="L170">
        <v>56</v>
      </c>
      <c r="M170">
        <v>11.738973</v>
      </c>
      <c r="N170">
        <v>56.381290999999997</v>
      </c>
      <c r="O170">
        <v>11.738973</v>
      </c>
      <c r="P170">
        <v>38.470568999999998</v>
      </c>
      <c r="Q170">
        <v>11.738973</v>
      </c>
      <c r="R170">
        <v>42.137076</v>
      </c>
      <c r="S170">
        <v>11.738973</v>
      </c>
      <c r="T170">
        <v>32.929608999999999</v>
      </c>
      <c r="U170">
        <v>72</v>
      </c>
      <c r="V170">
        <v>0</v>
      </c>
      <c r="W170">
        <v>38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15.52</v>
      </c>
      <c r="BA170">
        <v>2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41</v>
      </c>
      <c r="CD170">
        <v>561</v>
      </c>
    </row>
    <row r="171" spans="2:82" x14ac:dyDescent="0.45">
      <c r="B171" t="s">
        <v>626</v>
      </c>
      <c r="C171">
        <v>89</v>
      </c>
      <c r="D171" t="s">
        <v>375</v>
      </c>
      <c r="E171">
        <v>6</v>
      </c>
      <c r="F171">
        <v>180</v>
      </c>
      <c r="G171">
        <v>300</v>
      </c>
      <c r="H171">
        <v>89</v>
      </c>
      <c r="I171" t="s">
        <v>627</v>
      </c>
      <c r="J171">
        <v>0</v>
      </c>
      <c r="K171">
        <v>0</v>
      </c>
      <c r="L171">
        <v>0</v>
      </c>
      <c r="M171">
        <v>0</v>
      </c>
      <c r="N171">
        <v>31.743932999999998</v>
      </c>
      <c r="O171">
        <v>69.492455000000007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2</v>
      </c>
      <c r="BZ171">
        <v>30</v>
      </c>
    </row>
    <row r="172" spans="2:82" x14ac:dyDescent="0.45">
      <c r="B172" t="s">
        <v>628</v>
      </c>
      <c r="C172">
        <v>41</v>
      </c>
      <c r="D172" t="s">
        <v>381</v>
      </c>
      <c r="E172" t="s">
        <v>382</v>
      </c>
      <c r="F172" t="s">
        <v>299</v>
      </c>
      <c r="G172" t="s">
        <v>383</v>
      </c>
      <c r="H172">
        <v>1</v>
      </c>
      <c r="I172">
        <v>120</v>
      </c>
      <c r="J172">
        <v>41</v>
      </c>
      <c r="K172">
        <v>0</v>
      </c>
      <c r="L172">
        <v>0</v>
      </c>
      <c r="M172">
        <v>0</v>
      </c>
      <c r="N172">
        <v>0</v>
      </c>
      <c r="O172">
        <v>12.388598999999999</v>
      </c>
      <c r="P172">
        <v>40.738950000000003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</row>
    <row r="173" spans="2:82" x14ac:dyDescent="0.45">
      <c r="B173" t="s">
        <v>352</v>
      </c>
      <c r="C173">
        <v>41</v>
      </c>
      <c r="D173" t="s">
        <v>381</v>
      </c>
      <c r="E173" t="s">
        <v>382</v>
      </c>
      <c r="F173" t="s">
        <v>294</v>
      </c>
      <c r="G173" t="s">
        <v>384</v>
      </c>
      <c r="H173">
        <v>1</v>
      </c>
      <c r="I173">
        <v>90</v>
      </c>
      <c r="J173">
        <v>41</v>
      </c>
      <c r="K173">
        <v>12.898892</v>
      </c>
      <c r="L173">
        <v>44.043833999999997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21.875</v>
      </c>
      <c r="T173">
        <v>0</v>
      </c>
      <c r="U173">
        <v>0</v>
      </c>
      <c r="V173">
        <v>0.54100000000000004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2</v>
      </c>
      <c r="CA173">
        <v>30</v>
      </c>
      <c r="CB173">
        <v>1583</v>
      </c>
    </row>
    <row r="174" spans="2:82" x14ac:dyDescent="0.45">
      <c r="B174" t="s">
        <v>629</v>
      </c>
      <c r="C174">
        <v>87</v>
      </c>
      <c r="D174" t="s">
        <v>306</v>
      </c>
      <c r="E174" t="s">
        <v>399</v>
      </c>
      <c r="F174" t="s">
        <v>120</v>
      </c>
      <c r="G174">
        <v>7</v>
      </c>
      <c r="H174">
        <v>60</v>
      </c>
      <c r="I174">
        <v>87</v>
      </c>
      <c r="J174">
        <v>0</v>
      </c>
      <c r="K174">
        <v>0</v>
      </c>
      <c r="L174">
        <v>0</v>
      </c>
      <c r="M174">
        <v>0</v>
      </c>
      <c r="N174" t="s">
        <v>630</v>
      </c>
      <c r="O174">
        <v>0</v>
      </c>
      <c r="P174">
        <v>0</v>
      </c>
      <c r="Q174">
        <v>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3</v>
      </c>
      <c r="BZ174">
        <v>69</v>
      </c>
    </row>
    <row r="175" spans="2:82" x14ac:dyDescent="0.45">
      <c r="B175" t="s">
        <v>631</v>
      </c>
      <c r="C175">
        <v>87</v>
      </c>
      <c r="D175" t="s">
        <v>306</v>
      </c>
      <c r="E175" t="s">
        <v>399</v>
      </c>
      <c r="F175" t="s">
        <v>120</v>
      </c>
      <c r="G175">
        <v>7</v>
      </c>
      <c r="H175">
        <v>60</v>
      </c>
      <c r="I175">
        <v>300</v>
      </c>
      <c r="J175">
        <v>87</v>
      </c>
      <c r="K175" t="s">
        <v>632</v>
      </c>
      <c r="L175">
        <v>0</v>
      </c>
      <c r="M175">
        <v>0</v>
      </c>
      <c r="N175">
        <v>0</v>
      </c>
      <c r="O175">
        <v>0</v>
      </c>
      <c r="P175">
        <v>31.107800999999998</v>
      </c>
      <c r="Q175">
        <v>69.134810000000002</v>
      </c>
      <c r="R175">
        <v>3</v>
      </c>
      <c r="S175">
        <v>0</v>
      </c>
      <c r="T175">
        <v>0</v>
      </c>
      <c r="U175">
        <v>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4</v>
      </c>
      <c r="CB175">
        <v>56</v>
      </c>
    </row>
    <row r="176" spans="2:82" x14ac:dyDescent="0.45">
      <c r="B176" t="s">
        <v>354</v>
      </c>
      <c r="C176">
        <v>34</v>
      </c>
      <c r="D176" t="s">
        <v>366</v>
      </c>
      <c r="E176" t="s">
        <v>367</v>
      </c>
      <c r="F176" t="s">
        <v>294</v>
      </c>
      <c r="G176">
        <v>1</v>
      </c>
      <c r="H176">
        <v>60</v>
      </c>
      <c r="I176">
        <v>60</v>
      </c>
      <c r="J176">
        <v>60</v>
      </c>
      <c r="K176">
        <v>75</v>
      </c>
      <c r="L176">
        <v>34</v>
      </c>
      <c r="M176">
        <v>11.614407999999999</v>
      </c>
      <c r="N176">
        <v>42.448804000000003</v>
      </c>
      <c r="O176">
        <v>11.614407999999999</v>
      </c>
      <c r="P176">
        <v>40.613070999999998</v>
      </c>
      <c r="Q176">
        <v>11.614407999999999</v>
      </c>
      <c r="R176">
        <v>47.446790999999997</v>
      </c>
      <c r="S176">
        <v>11.614407999999999</v>
      </c>
      <c r="T176">
        <v>38.055323000000001</v>
      </c>
      <c r="U176">
        <v>302.60399999999998</v>
      </c>
      <c r="V176">
        <v>0</v>
      </c>
      <c r="W176">
        <v>0</v>
      </c>
      <c r="X176">
        <v>1.115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11.24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8.6609999999999996</v>
      </c>
      <c r="AW176">
        <v>0</v>
      </c>
      <c r="AX176">
        <v>0</v>
      </c>
      <c r="AY176">
        <v>0.67600000000000005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5.0659999999999998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6</v>
      </c>
      <c r="BY176">
        <v>104</v>
      </c>
    </row>
    <row r="177" spans="2:82" x14ac:dyDescent="0.45">
      <c r="B177" t="s">
        <v>356</v>
      </c>
      <c r="C177">
        <v>77</v>
      </c>
      <c r="D177" t="s">
        <v>633</v>
      </c>
      <c r="E177" t="s">
        <v>451</v>
      </c>
      <c r="F177" t="s">
        <v>634</v>
      </c>
      <c r="G177">
        <v>1</v>
      </c>
      <c r="H177">
        <v>60</v>
      </c>
      <c r="I177">
        <v>60</v>
      </c>
      <c r="J177">
        <v>60</v>
      </c>
      <c r="K177">
        <v>75</v>
      </c>
      <c r="L177">
        <v>77</v>
      </c>
      <c r="M177">
        <v>9.6794560000000001</v>
      </c>
      <c r="N177">
        <v>47.327133000000003</v>
      </c>
      <c r="O177">
        <v>9.6794560000000001</v>
      </c>
      <c r="P177">
        <v>40.987957000000002</v>
      </c>
      <c r="Q177">
        <v>9.6794560000000001</v>
      </c>
      <c r="R177">
        <v>46.673363000000002</v>
      </c>
      <c r="S177">
        <v>9.6794560000000001</v>
      </c>
      <c r="T177">
        <v>36.802194</v>
      </c>
      <c r="U177">
        <v>319.84899999999999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7.734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8.2449999999999992</v>
      </c>
      <c r="AX177">
        <v>0</v>
      </c>
      <c r="AY177">
        <v>0</v>
      </c>
      <c r="AZ177">
        <v>0</v>
      </c>
      <c r="BA177">
        <v>1.6419999999999999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3.569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6</v>
      </c>
      <c r="BZ177">
        <v>79</v>
      </c>
    </row>
    <row r="178" spans="2:82" x14ac:dyDescent="0.45">
      <c r="B178" t="s">
        <v>357</v>
      </c>
      <c r="C178">
        <v>77</v>
      </c>
      <c r="D178" t="s">
        <v>633</v>
      </c>
      <c r="E178" t="s">
        <v>451</v>
      </c>
      <c r="F178" t="s">
        <v>634</v>
      </c>
      <c r="G178">
        <v>1</v>
      </c>
      <c r="H178">
        <v>60</v>
      </c>
      <c r="I178">
        <v>51</v>
      </c>
      <c r="J178">
        <v>80</v>
      </c>
      <c r="K178">
        <v>60</v>
      </c>
      <c r="L178">
        <v>77</v>
      </c>
      <c r="M178">
        <v>15.916506</v>
      </c>
      <c r="N178">
        <v>43.438352000000002</v>
      </c>
      <c r="O178">
        <v>15.916506</v>
      </c>
      <c r="P178">
        <v>39.159961000000003</v>
      </c>
      <c r="Q178">
        <v>15.916506</v>
      </c>
      <c r="R178">
        <v>44.702275</v>
      </c>
      <c r="S178">
        <v>15.916506</v>
      </c>
      <c r="T178">
        <v>35.533239000000002</v>
      </c>
      <c r="U178">
        <v>599.54499999999996</v>
      </c>
      <c r="V178">
        <v>0</v>
      </c>
      <c r="W178">
        <v>0</v>
      </c>
      <c r="X178">
        <v>0</v>
      </c>
      <c r="Y178">
        <v>1.6359999999999999</v>
      </c>
      <c r="Z178">
        <v>0</v>
      </c>
      <c r="AA178">
        <v>0</v>
      </c>
      <c r="AB178">
        <v>0.27200000000000002</v>
      </c>
      <c r="AC178">
        <v>0</v>
      </c>
      <c r="AD178">
        <v>0</v>
      </c>
      <c r="AE178">
        <v>0</v>
      </c>
      <c r="AF178">
        <v>0</v>
      </c>
      <c r="AG178">
        <v>20.21</v>
      </c>
      <c r="AH178">
        <v>0</v>
      </c>
      <c r="AI178">
        <v>0</v>
      </c>
      <c r="AJ178">
        <v>0</v>
      </c>
      <c r="AK178">
        <v>2.4500000000000002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11.96</v>
      </c>
      <c r="AU178">
        <v>0</v>
      </c>
      <c r="AV178">
        <v>0</v>
      </c>
      <c r="AW178">
        <v>0</v>
      </c>
      <c r="AX178">
        <v>1.6419999999999999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10.78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10</v>
      </c>
      <c r="BW178">
        <v>139</v>
      </c>
    </row>
    <row r="179" spans="2:82" x14ac:dyDescent="0.45">
      <c r="B179" t="s">
        <v>358</v>
      </c>
      <c r="C179" t="s">
        <v>635</v>
      </c>
      <c r="D179" t="s">
        <v>296</v>
      </c>
      <c r="E179" t="s">
        <v>341</v>
      </c>
      <c r="F179" t="s">
        <v>294</v>
      </c>
      <c r="G179">
        <v>1</v>
      </c>
      <c r="H179">
        <v>26</v>
      </c>
      <c r="I179">
        <v>24</v>
      </c>
      <c r="J179">
        <v>24</v>
      </c>
      <c r="K179">
        <v>18</v>
      </c>
      <c r="L179">
        <v>23</v>
      </c>
      <c r="M179">
        <v>5.4991770000000004</v>
      </c>
      <c r="N179">
        <v>18.040932999999999</v>
      </c>
      <c r="O179">
        <v>5.4991770000000004</v>
      </c>
      <c r="P179">
        <v>17.89564</v>
      </c>
      <c r="Q179">
        <v>5.4991770000000004</v>
      </c>
      <c r="R179">
        <v>18.972846000000001</v>
      </c>
      <c r="S179">
        <v>5.4991770000000004</v>
      </c>
      <c r="T179">
        <v>17.783607</v>
      </c>
      <c r="U179">
        <v>379.75</v>
      </c>
      <c r="V179">
        <v>0</v>
      </c>
      <c r="W179">
        <v>0</v>
      </c>
      <c r="X179">
        <v>0.83299999999999996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8.9030000000000005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9.2629999999999999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7.0759999999999996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2</v>
      </c>
      <c r="BY179">
        <v>37</v>
      </c>
    </row>
    <row r="180" spans="2:82" x14ac:dyDescent="0.45">
      <c r="B180" t="s">
        <v>359</v>
      </c>
      <c r="C180" t="s">
        <v>635</v>
      </c>
      <c r="D180" t="s">
        <v>296</v>
      </c>
      <c r="E180" t="s">
        <v>341</v>
      </c>
      <c r="F180" t="s">
        <v>299</v>
      </c>
      <c r="G180">
        <v>1</v>
      </c>
      <c r="H180">
        <v>30</v>
      </c>
      <c r="I180">
        <v>23</v>
      </c>
      <c r="J180">
        <v>24</v>
      </c>
      <c r="K180">
        <v>21</v>
      </c>
      <c r="L180">
        <v>23</v>
      </c>
      <c r="M180">
        <v>5.6436000000000002</v>
      </c>
      <c r="N180">
        <v>20.823744999999999</v>
      </c>
      <c r="O180">
        <v>5.6436000000000002</v>
      </c>
      <c r="P180">
        <v>18.87041</v>
      </c>
      <c r="Q180">
        <v>5.6436000000000002</v>
      </c>
      <c r="R180">
        <v>19.044930999999998</v>
      </c>
      <c r="S180">
        <v>5.6436000000000002</v>
      </c>
      <c r="T180">
        <v>18.664325999999999</v>
      </c>
      <c r="U180">
        <v>309.5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6.0960000000000001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12.26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1.407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3</v>
      </c>
      <c r="CA180">
        <v>43</v>
      </c>
      <c r="CB180">
        <v>586</v>
      </c>
    </row>
    <row r="181" spans="2:82" x14ac:dyDescent="0.45">
      <c r="B181" t="s">
        <v>363</v>
      </c>
      <c r="C181">
        <v>70</v>
      </c>
      <c r="D181" t="s">
        <v>636</v>
      </c>
      <c r="E181" t="s">
        <v>392</v>
      </c>
      <c r="F181" t="s">
        <v>294</v>
      </c>
      <c r="G181">
        <v>1</v>
      </c>
      <c r="H181">
        <v>90</v>
      </c>
      <c r="I181">
        <v>60</v>
      </c>
      <c r="J181">
        <v>60</v>
      </c>
      <c r="K181">
        <v>70</v>
      </c>
      <c r="L181">
        <v>7.2378159999999996</v>
      </c>
      <c r="M181">
        <v>25.465774</v>
      </c>
      <c r="N181">
        <v>7.2378159999999996</v>
      </c>
      <c r="O181">
        <v>24.354991999999999</v>
      </c>
      <c r="P181">
        <v>7.2378159999999996</v>
      </c>
      <c r="Q181">
        <v>28.772362000000001</v>
      </c>
      <c r="R181">
        <v>0</v>
      </c>
      <c r="S181">
        <v>0</v>
      </c>
      <c r="T181">
        <v>186.227</v>
      </c>
      <c r="U181">
        <v>0</v>
      </c>
      <c r="V181">
        <v>0</v>
      </c>
      <c r="W181">
        <v>0</v>
      </c>
      <c r="X181">
        <v>0.27200000000000002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3.8330000000000002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7.694</v>
      </c>
      <c r="AV181">
        <v>0</v>
      </c>
      <c r="AW181">
        <v>0</v>
      </c>
      <c r="AX181">
        <v>0</v>
      </c>
      <c r="AY181">
        <v>0.13700000000000001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</v>
      </c>
      <c r="BY181">
        <v>35</v>
      </c>
    </row>
    <row r="182" spans="2:82" x14ac:dyDescent="0.45">
      <c r="B182" t="s">
        <v>364</v>
      </c>
      <c r="C182">
        <v>70</v>
      </c>
      <c r="D182" t="s">
        <v>636</v>
      </c>
      <c r="E182" t="s">
        <v>392</v>
      </c>
      <c r="F182" t="s">
        <v>299</v>
      </c>
      <c r="G182">
        <v>1</v>
      </c>
      <c r="H182">
        <v>60</v>
      </c>
      <c r="I182">
        <v>60</v>
      </c>
      <c r="J182">
        <v>80</v>
      </c>
      <c r="K182">
        <v>70</v>
      </c>
      <c r="L182">
        <v>7.2456990000000001</v>
      </c>
      <c r="M182">
        <v>29.468558999999999</v>
      </c>
      <c r="N182">
        <v>7.2456990000000001</v>
      </c>
      <c r="O182">
        <v>24.239916000000001</v>
      </c>
      <c r="P182">
        <v>7.2456990000000001</v>
      </c>
      <c r="Q182">
        <v>25.917787000000001</v>
      </c>
      <c r="R182">
        <v>0</v>
      </c>
      <c r="S182">
        <v>0</v>
      </c>
      <c r="T182">
        <v>135.27199999999999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3.8679999999999999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3.6480000000000001</v>
      </c>
      <c r="AW182">
        <v>0</v>
      </c>
      <c r="AX182">
        <v>0</v>
      </c>
      <c r="AY182">
        <v>0</v>
      </c>
      <c r="AZ182">
        <v>0.13700000000000001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2</v>
      </c>
      <c r="BZ182">
        <v>38</v>
      </c>
    </row>
    <row r="183" spans="2:82" x14ac:dyDescent="0.45">
      <c r="B183" t="s">
        <v>365</v>
      </c>
      <c r="C183">
        <v>111</v>
      </c>
      <c r="D183" t="s">
        <v>311</v>
      </c>
      <c r="E183" t="s">
        <v>362</v>
      </c>
      <c r="F183">
        <v>3</v>
      </c>
      <c r="G183">
        <v>30</v>
      </c>
      <c r="H183">
        <v>30</v>
      </c>
      <c r="I183">
        <v>48</v>
      </c>
      <c r="J183">
        <v>111</v>
      </c>
      <c r="K183" t="s">
        <v>637</v>
      </c>
      <c r="L183">
        <v>23.920956</v>
      </c>
      <c r="M183">
        <v>98.548201000000006</v>
      </c>
      <c r="N183" t="s">
        <v>638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</row>
    <row r="184" spans="2:82" x14ac:dyDescent="0.45">
      <c r="B184" t="s">
        <v>639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132</v>
      </c>
      <c r="CB184">
        <v>3720</v>
      </c>
    </row>
    <row r="185" spans="2:82" x14ac:dyDescent="0.45">
      <c r="B185" t="s">
        <v>640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190</v>
      </c>
      <c r="CD185">
        <v>4998</v>
      </c>
    </row>
    <row r="186" spans="2:82" x14ac:dyDescent="0.45">
      <c r="B186" t="s">
        <v>641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</row>
    <row r="187" spans="2:82" x14ac:dyDescent="0.45">
      <c r="B187" t="s">
        <v>642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43</v>
      </c>
      <c r="BY187">
        <v>756</v>
      </c>
    </row>
    <row r="188" spans="2:82" x14ac:dyDescent="0.45">
      <c r="B188" t="s">
        <v>643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4</v>
      </c>
    </row>
    <row r="189" spans="2:82" x14ac:dyDescent="0.45">
      <c r="B189" t="s">
        <v>644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</row>
    <row r="190" spans="2:82" x14ac:dyDescent="0.45">
      <c r="B190" t="s">
        <v>645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16</v>
      </c>
    </row>
    <row r="191" spans="2:82" x14ac:dyDescent="0.45">
      <c r="B191" t="s">
        <v>646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9</v>
      </c>
    </row>
    <row r="192" spans="2:82" x14ac:dyDescent="0.45">
      <c r="B192" t="s">
        <v>647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</row>
    <row r="193" spans="2:81" x14ac:dyDescent="0.45">
      <c r="B193" t="s">
        <v>648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</row>
    <row r="194" spans="2:81" x14ac:dyDescent="0.45">
      <c r="B194" t="s">
        <v>649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</row>
    <row r="195" spans="2:81" x14ac:dyDescent="0.45">
      <c r="B195" t="s">
        <v>650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</row>
    <row r="196" spans="2:81" x14ac:dyDescent="0.45">
      <c r="B196" t="s">
        <v>651</v>
      </c>
      <c r="C196" t="s">
        <v>517</v>
      </c>
      <c r="D196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2:81" x14ac:dyDescent="0.45">
      <c r="B197" t="s">
        <v>652</v>
      </c>
      <c r="C197" t="s">
        <v>515</v>
      </c>
      <c r="D197">
        <v>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37</v>
      </c>
      <c r="BZ197">
        <v>1060</v>
      </c>
    </row>
    <row r="198" spans="2:81" x14ac:dyDescent="0.45">
      <c r="B198" t="s">
        <v>653</v>
      </c>
      <c r="C198" t="s">
        <v>517</v>
      </c>
      <c r="D198">
        <v>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6</v>
      </c>
    </row>
    <row r="199" spans="2:81" x14ac:dyDescent="0.45">
      <c r="B199" t="s">
        <v>654</v>
      </c>
      <c r="C199" t="s">
        <v>515</v>
      </c>
      <c r="D199">
        <v>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3</v>
      </c>
      <c r="CB199">
        <v>46</v>
      </c>
    </row>
    <row r="200" spans="2:81" x14ac:dyDescent="0.45">
      <c r="B200" t="s">
        <v>655</v>
      </c>
      <c r="C200" t="s">
        <v>515</v>
      </c>
      <c r="D200">
        <v>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8</v>
      </c>
      <c r="CC200">
        <v>128</v>
      </c>
    </row>
    <row r="201" spans="2:81" x14ac:dyDescent="0.45">
      <c r="B201" t="s">
        <v>656</v>
      </c>
      <c r="C201" t="s">
        <v>517</v>
      </c>
      <c r="D201">
        <v>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2:81" x14ac:dyDescent="0.45">
      <c r="B202" t="s">
        <v>657</v>
      </c>
      <c r="C202" t="s">
        <v>517</v>
      </c>
      <c r="D202">
        <v>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2:81" x14ac:dyDescent="0.45">
      <c r="B203" t="s">
        <v>658</v>
      </c>
      <c r="C203" t="s">
        <v>515</v>
      </c>
      <c r="D203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2:81" x14ac:dyDescent="0.45">
      <c r="B204" t="s">
        <v>659</v>
      </c>
      <c r="C204" t="s">
        <v>515</v>
      </c>
      <c r="D204">
        <v>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2:81" x14ac:dyDescent="0.45">
      <c r="B205" t="s">
        <v>660</v>
      </c>
      <c r="C205" t="s">
        <v>517</v>
      </c>
      <c r="D205">
        <v>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2:81" x14ac:dyDescent="0.45">
      <c r="B206" t="s">
        <v>661</v>
      </c>
      <c r="C206" t="s">
        <v>294</v>
      </c>
      <c r="D206">
        <v>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27</v>
      </c>
      <c r="BZ206">
        <v>509</v>
      </c>
    </row>
    <row r="207" spans="2:81" x14ac:dyDescent="0.45">
      <c r="B207" t="s">
        <v>662</v>
      </c>
      <c r="C207" t="s">
        <v>517</v>
      </c>
      <c r="D207">
        <v>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3</v>
      </c>
      <c r="BZ207">
        <v>49</v>
      </c>
    </row>
    <row r="208" spans="2:81" x14ac:dyDescent="0.45">
      <c r="B208" t="s">
        <v>663</v>
      </c>
      <c r="C208" t="s">
        <v>515</v>
      </c>
      <c r="D208">
        <v>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</row>
    <row r="209" spans="2:80" x14ac:dyDescent="0.45">
      <c r="B209" t="s">
        <v>664</v>
      </c>
      <c r="C209" t="s">
        <v>517</v>
      </c>
      <c r="D209">
        <v>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2:80" x14ac:dyDescent="0.45">
      <c r="B210" t="s">
        <v>665</v>
      </c>
      <c r="C210" t="s">
        <v>517</v>
      </c>
      <c r="D210">
        <v>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2:80" x14ac:dyDescent="0.45">
      <c r="B211" t="s">
        <v>666</v>
      </c>
      <c r="C211" t="s">
        <v>515</v>
      </c>
      <c r="D211">
        <v>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2:80" x14ac:dyDescent="0.45">
      <c r="B212" t="s">
        <v>667</v>
      </c>
      <c r="C212" t="s">
        <v>515</v>
      </c>
      <c r="D212">
        <v>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116</v>
      </c>
    </row>
    <row r="213" spans="2:80" x14ac:dyDescent="0.45">
      <c r="B213" t="s">
        <v>668</v>
      </c>
      <c r="C213" t="s">
        <v>517</v>
      </c>
      <c r="D213">
        <v>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3</v>
      </c>
      <c r="BY213">
        <v>52</v>
      </c>
    </row>
    <row r="214" spans="2:80" x14ac:dyDescent="0.45">
      <c r="B214" t="s">
        <v>378</v>
      </c>
      <c r="C214">
        <v>90</v>
      </c>
      <c r="D214" t="s">
        <v>360</v>
      </c>
      <c r="E214" t="s">
        <v>361</v>
      </c>
      <c r="F214" t="s">
        <v>379</v>
      </c>
      <c r="G214" t="s">
        <v>515</v>
      </c>
      <c r="H214">
        <v>12</v>
      </c>
      <c r="I214">
        <v>90</v>
      </c>
      <c r="J214">
        <v>120</v>
      </c>
      <c r="K214">
        <v>90</v>
      </c>
      <c r="L214" t="s">
        <v>669</v>
      </c>
      <c r="M214">
        <v>0</v>
      </c>
      <c r="N214">
        <v>0</v>
      </c>
      <c r="O214" t="s">
        <v>669</v>
      </c>
      <c r="P214">
        <v>0</v>
      </c>
      <c r="Q214">
        <v>0</v>
      </c>
      <c r="R214">
        <v>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2.843</v>
      </c>
      <c r="BA214">
        <v>0</v>
      </c>
      <c r="BB214">
        <v>0</v>
      </c>
      <c r="BC214">
        <v>0</v>
      </c>
      <c r="BD214">
        <v>0.5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3</v>
      </c>
      <c r="BZ214">
        <v>55</v>
      </c>
    </row>
    <row r="215" spans="2:80" x14ac:dyDescent="0.45">
      <c r="B215" t="s">
        <v>380</v>
      </c>
      <c r="C215">
        <v>90</v>
      </c>
      <c r="D215" t="s">
        <v>360</v>
      </c>
      <c r="E215" t="s">
        <v>361</v>
      </c>
      <c r="F215" t="s">
        <v>379</v>
      </c>
      <c r="G215" t="s">
        <v>517</v>
      </c>
      <c r="H215">
        <v>12</v>
      </c>
      <c r="I215">
        <v>90</v>
      </c>
      <c r="J215">
        <v>120</v>
      </c>
      <c r="K215">
        <v>90</v>
      </c>
      <c r="L215" t="s">
        <v>670</v>
      </c>
      <c r="M215">
        <v>0</v>
      </c>
      <c r="N215">
        <v>0</v>
      </c>
      <c r="O215" t="s">
        <v>670</v>
      </c>
      <c r="P215">
        <v>0</v>
      </c>
      <c r="Q215">
        <v>0</v>
      </c>
      <c r="R215">
        <v>17</v>
      </c>
      <c r="S215">
        <v>0</v>
      </c>
      <c r="T215">
        <v>0</v>
      </c>
      <c r="U215">
        <v>0</v>
      </c>
      <c r="V215">
        <v>12.87</v>
      </c>
      <c r="W215">
        <v>0</v>
      </c>
      <c r="X215">
        <v>0</v>
      </c>
      <c r="Y215">
        <v>0</v>
      </c>
      <c r="Z215">
        <v>1.5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1.5</v>
      </c>
      <c r="AY215">
        <v>0</v>
      </c>
      <c r="AZ215">
        <v>0</v>
      </c>
      <c r="BA215">
        <v>0</v>
      </c>
      <c r="BB215">
        <v>1.5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14</v>
      </c>
      <c r="BX215">
        <v>179</v>
      </c>
      <c r="BY215">
        <v>1206</v>
      </c>
    </row>
    <row r="216" spans="2:80" x14ac:dyDescent="0.45">
      <c r="B216" t="s">
        <v>671</v>
      </c>
      <c r="C216">
        <v>90</v>
      </c>
      <c r="D216" t="s">
        <v>360</v>
      </c>
      <c r="E216" t="s">
        <v>361</v>
      </c>
      <c r="F216" t="s">
        <v>672</v>
      </c>
      <c r="G216">
        <v>12</v>
      </c>
      <c r="H216">
        <v>180</v>
      </c>
      <c r="I216">
        <v>240</v>
      </c>
      <c r="J216">
        <v>90</v>
      </c>
      <c r="K216">
        <v>11.352581000000001</v>
      </c>
      <c r="L216">
        <v>57.590530000000001</v>
      </c>
      <c r="M216">
        <v>0</v>
      </c>
      <c r="N216">
        <v>0</v>
      </c>
      <c r="O216">
        <v>11.352581000000001</v>
      </c>
      <c r="P216">
        <v>57.590530000000001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2.843</v>
      </c>
      <c r="BB216">
        <v>0</v>
      </c>
      <c r="BC216">
        <v>0</v>
      </c>
      <c r="BD216">
        <v>0</v>
      </c>
      <c r="BE216">
        <v>0.5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2</v>
      </c>
      <c r="CA216">
        <v>30</v>
      </c>
    </row>
    <row r="217" spans="2:80" x14ac:dyDescent="0.45">
      <c r="B217" t="s">
        <v>673</v>
      </c>
      <c r="C217">
        <v>90</v>
      </c>
      <c r="D217" t="s">
        <v>360</v>
      </c>
      <c r="E217" t="s">
        <v>361</v>
      </c>
      <c r="F217" t="s">
        <v>672</v>
      </c>
      <c r="G217">
        <v>12</v>
      </c>
      <c r="H217">
        <v>180</v>
      </c>
      <c r="I217">
        <v>240</v>
      </c>
      <c r="J217">
        <v>90</v>
      </c>
      <c r="K217">
        <v>11.351228000000001</v>
      </c>
      <c r="L217">
        <v>56.058315</v>
      </c>
      <c r="M217">
        <v>0</v>
      </c>
      <c r="N217">
        <v>0</v>
      </c>
      <c r="O217">
        <v>11.351228000000001</v>
      </c>
      <c r="P217">
        <v>56.058315</v>
      </c>
      <c r="Q217">
        <v>0</v>
      </c>
      <c r="R217">
        <v>0</v>
      </c>
      <c r="S217">
        <v>15</v>
      </c>
      <c r="T217">
        <v>0</v>
      </c>
      <c r="U217">
        <v>0</v>
      </c>
      <c r="V217">
        <v>0</v>
      </c>
      <c r="W217">
        <v>12.87</v>
      </c>
      <c r="X217">
        <v>0</v>
      </c>
      <c r="Y217">
        <v>0</v>
      </c>
      <c r="Z217">
        <v>0</v>
      </c>
      <c r="AA217">
        <v>0.5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1.5</v>
      </c>
      <c r="AZ217">
        <v>0</v>
      </c>
      <c r="BA217">
        <v>0</v>
      </c>
      <c r="BB217">
        <v>0</v>
      </c>
      <c r="BC217">
        <v>0.5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12</v>
      </c>
      <c r="BY217">
        <v>146</v>
      </c>
      <c r="BZ217">
        <v>0</v>
      </c>
    </row>
    <row r="218" spans="2:80" x14ac:dyDescent="0.45">
      <c r="B218" t="s">
        <v>674</v>
      </c>
      <c r="C218">
        <v>3</v>
      </c>
      <c r="D218" t="s">
        <v>675</v>
      </c>
      <c r="E218" t="s">
        <v>294</v>
      </c>
      <c r="F218">
        <v>12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</row>
    <row r="219" spans="2:80" x14ac:dyDescent="0.45">
      <c r="B219" t="s">
        <v>676</v>
      </c>
      <c r="C219">
        <v>3</v>
      </c>
      <c r="D219" t="s">
        <v>675</v>
      </c>
      <c r="E219" t="s">
        <v>299</v>
      </c>
      <c r="F219">
        <v>12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</row>
    <row r="220" spans="2:80" x14ac:dyDescent="0.45">
      <c r="B220" t="s">
        <v>677</v>
      </c>
      <c r="C220" t="s">
        <v>678</v>
      </c>
      <c r="D220" t="s">
        <v>451</v>
      </c>
      <c r="E220" t="s">
        <v>679</v>
      </c>
      <c r="F220">
        <v>12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</row>
    <row r="221" spans="2:80" x14ac:dyDescent="0.45">
      <c r="B221" t="s">
        <v>680</v>
      </c>
      <c r="C221" t="s">
        <v>678</v>
      </c>
      <c r="D221" t="s">
        <v>451</v>
      </c>
      <c r="E221" t="s">
        <v>679</v>
      </c>
      <c r="F221">
        <v>12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57</v>
      </c>
      <c r="CB221">
        <v>942</v>
      </c>
    </row>
    <row r="222" spans="2:80" x14ac:dyDescent="0.45">
      <c r="B222" t="s">
        <v>681</v>
      </c>
      <c r="C222" t="s">
        <v>682</v>
      </c>
      <c r="D222" t="s">
        <v>451</v>
      </c>
      <c r="E222" t="s">
        <v>683</v>
      </c>
      <c r="F222">
        <v>12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80</v>
      </c>
    </row>
    <row r="223" spans="2:80" x14ac:dyDescent="0.45">
      <c r="B223" t="s">
        <v>684</v>
      </c>
      <c r="C223" t="s">
        <v>682</v>
      </c>
      <c r="D223" t="s">
        <v>451</v>
      </c>
      <c r="E223" t="s">
        <v>683</v>
      </c>
      <c r="F223">
        <v>12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2</v>
      </c>
    </row>
    <row r="224" spans="2:80" x14ac:dyDescent="0.45">
      <c r="B224" t="s">
        <v>685</v>
      </c>
      <c r="C224">
        <v>1</v>
      </c>
      <c r="D224" t="s">
        <v>686</v>
      </c>
      <c r="E224" t="s">
        <v>451</v>
      </c>
      <c r="F224" t="s">
        <v>292</v>
      </c>
      <c r="G224">
        <v>12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44</v>
      </c>
      <c r="CB224">
        <v>923</v>
      </c>
    </row>
    <row r="225" spans="1:83" x14ac:dyDescent="0.45">
      <c r="B225" t="s">
        <v>687</v>
      </c>
      <c r="C225">
        <v>1</v>
      </c>
      <c r="D225" t="s">
        <v>292</v>
      </c>
      <c r="E225" t="s">
        <v>451</v>
      </c>
      <c r="F225" t="s">
        <v>686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</row>
    <row r="226" spans="1:83" x14ac:dyDescent="0.45">
      <c r="B226" t="s">
        <v>688</v>
      </c>
      <c r="C226">
        <v>2</v>
      </c>
      <c r="D226" t="s">
        <v>689</v>
      </c>
      <c r="E226" t="s">
        <v>294</v>
      </c>
      <c r="F226">
        <v>12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</row>
    <row r="227" spans="1:83" x14ac:dyDescent="0.45">
      <c r="B227" t="s">
        <v>690</v>
      </c>
      <c r="C227">
        <v>2</v>
      </c>
      <c r="D227" t="s">
        <v>689</v>
      </c>
      <c r="E227" t="s">
        <v>299</v>
      </c>
      <c r="F227">
        <v>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</row>
    <row r="228" spans="1:83" x14ac:dyDescent="0.45">
      <c r="B228" t="s">
        <v>691</v>
      </c>
      <c r="C228" t="s">
        <v>517</v>
      </c>
      <c r="D228">
        <v>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10</v>
      </c>
      <c r="BY228">
        <v>170</v>
      </c>
    </row>
    <row r="229" spans="1:83" x14ac:dyDescent="0.45">
      <c r="B229" t="s">
        <v>692</v>
      </c>
      <c r="C229" t="s">
        <v>515</v>
      </c>
      <c r="D229">
        <v>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</row>
    <row r="230" spans="1:83" x14ac:dyDescent="0.45">
      <c r="B230" t="s">
        <v>386</v>
      </c>
      <c r="C230">
        <v>112</v>
      </c>
      <c r="D230" t="s">
        <v>311</v>
      </c>
      <c r="E230" t="s">
        <v>313</v>
      </c>
      <c r="F230" t="s">
        <v>131</v>
      </c>
      <c r="G230" t="s">
        <v>693</v>
      </c>
      <c r="H230">
        <v>3</v>
      </c>
      <c r="I230">
        <v>30</v>
      </c>
      <c r="J230">
        <v>30</v>
      </c>
      <c r="K230">
        <v>48</v>
      </c>
      <c r="L230">
        <v>112</v>
      </c>
      <c r="M230">
        <v>7.6896810000000002</v>
      </c>
      <c r="N230">
        <v>16.549572999999999</v>
      </c>
      <c r="O230">
        <v>7.6896810000000002</v>
      </c>
      <c r="P230">
        <v>16.305748999999999</v>
      </c>
      <c r="Q230">
        <v>7.6896810000000002</v>
      </c>
      <c r="R230">
        <v>17.568576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 spans="1:83" x14ac:dyDescent="0.45">
      <c r="B231" t="s">
        <v>388</v>
      </c>
      <c r="C231">
        <v>79</v>
      </c>
      <c r="D231" t="s">
        <v>694</v>
      </c>
      <c r="E231" t="s">
        <v>517</v>
      </c>
      <c r="F231">
        <v>1</v>
      </c>
      <c r="G231">
        <v>36</v>
      </c>
      <c r="H231">
        <v>30</v>
      </c>
      <c r="I231">
        <v>30</v>
      </c>
      <c r="J231">
        <v>75</v>
      </c>
      <c r="K231">
        <v>79</v>
      </c>
      <c r="L231">
        <v>6.7976020000000004</v>
      </c>
      <c r="M231">
        <v>29.876387000000001</v>
      </c>
      <c r="N231">
        <v>6.7976020000000004</v>
      </c>
      <c r="O231">
        <v>24.486941999999999</v>
      </c>
      <c r="P231">
        <v>6.7976020000000004</v>
      </c>
      <c r="Q231">
        <v>28.048345000000001</v>
      </c>
      <c r="R231">
        <v>6.7976020000000004</v>
      </c>
      <c r="S231">
        <v>22.774514</v>
      </c>
      <c r="T231">
        <v>327.21699999999998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7.8929999999999998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12.92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2.1890000000000001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4</v>
      </c>
      <c r="BY231">
        <v>66</v>
      </c>
    </row>
    <row r="232" spans="1:83" x14ac:dyDescent="0.45">
      <c r="B232" t="s">
        <v>389</v>
      </c>
      <c r="C232">
        <v>79</v>
      </c>
      <c r="D232" t="s">
        <v>694</v>
      </c>
      <c r="E232" t="s">
        <v>515</v>
      </c>
      <c r="F232">
        <v>1</v>
      </c>
      <c r="G232">
        <v>36</v>
      </c>
      <c r="H232">
        <v>33</v>
      </c>
      <c r="I232">
        <v>30</v>
      </c>
      <c r="J232">
        <v>75</v>
      </c>
      <c r="K232">
        <v>79</v>
      </c>
      <c r="L232">
        <v>7.5282099999999996</v>
      </c>
      <c r="M232">
        <v>28.930911999999999</v>
      </c>
      <c r="N232">
        <v>7.5282099999999996</v>
      </c>
      <c r="O232">
        <v>25.267517000000002</v>
      </c>
      <c r="P232">
        <v>7.5282099999999996</v>
      </c>
      <c r="Q232">
        <v>29.651713999999998</v>
      </c>
      <c r="R232">
        <v>7.5282099999999996</v>
      </c>
      <c r="S232">
        <v>23.973832000000002</v>
      </c>
      <c r="T232">
        <v>3910.63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12.01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13.5</v>
      </c>
      <c r="AW232">
        <v>0</v>
      </c>
      <c r="AX232">
        <v>0</v>
      </c>
      <c r="AY232">
        <v>0</v>
      </c>
      <c r="AZ232">
        <v>0.16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1.484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7</v>
      </c>
      <c r="BY232">
        <v>106</v>
      </c>
    </row>
    <row r="233" spans="1:83" x14ac:dyDescent="0.45">
      <c r="B233" t="s">
        <v>390</v>
      </c>
      <c r="C233">
        <v>95</v>
      </c>
      <c r="D233" t="s">
        <v>418</v>
      </c>
      <c r="E233" t="s">
        <v>419</v>
      </c>
      <c r="F233" t="s">
        <v>686</v>
      </c>
      <c r="G233" t="s">
        <v>293</v>
      </c>
      <c r="H233">
        <v>6</v>
      </c>
      <c r="I233">
        <v>180</v>
      </c>
      <c r="J233">
        <v>300</v>
      </c>
      <c r="K233">
        <v>95</v>
      </c>
      <c r="L233" t="s">
        <v>695</v>
      </c>
      <c r="M233">
        <v>0</v>
      </c>
      <c r="N233">
        <v>0</v>
      </c>
      <c r="O233">
        <v>0</v>
      </c>
      <c r="P233">
        <v>0</v>
      </c>
      <c r="Q233" t="s">
        <v>696</v>
      </c>
      <c r="R233">
        <v>3</v>
      </c>
      <c r="S233">
        <v>0</v>
      </c>
      <c r="T233">
        <v>2.5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4</v>
      </c>
      <c r="CA233">
        <v>80</v>
      </c>
      <c r="CB233">
        <v>0</v>
      </c>
      <c r="CC233">
        <v>49</v>
      </c>
      <c r="CD233">
        <v>1062</v>
      </c>
    </row>
    <row r="234" spans="1:83" x14ac:dyDescent="0.45">
      <c r="B234" t="s">
        <v>697</v>
      </c>
      <c r="C234">
        <v>95</v>
      </c>
      <c r="D234" t="s">
        <v>418</v>
      </c>
      <c r="E234" t="s">
        <v>419</v>
      </c>
      <c r="F234" t="s">
        <v>686</v>
      </c>
      <c r="G234" t="s">
        <v>293</v>
      </c>
      <c r="H234">
        <v>6</v>
      </c>
      <c r="I234">
        <v>120</v>
      </c>
      <c r="J234">
        <v>95</v>
      </c>
      <c r="K234">
        <v>0</v>
      </c>
      <c r="L234">
        <v>0</v>
      </c>
      <c r="M234">
        <v>0</v>
      </c>
      <c r="N234">
        <v>0</v>
      </c>
      <c r="O234" t="s">
        <v>698</v>
      </c>
      <c r="P234">
        <v>0</v>
      </c>
      <c r="Q234">
        <v>0</v>
      </c>
      <c r="R234">
        <v>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3.5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7</v>
      </c>
      <c r="CA234">
        <v>110</v>
      </c>
    </row>
    <row r="235" spans="1:83" x14ac:dyDescent="0.45">
      <c r="B235" t="s">
        <v>699</v>
      </c>
      <c r="C235" t="s">
        <v>515</v>
      </c>
      <c r="D235">
        <v>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37</v>
      </c>
      <c r="BZ235">
        <v>685</v>
      </c>
    </row>
    <row r="236" spans="1:83" x14ac:dyDescent="0.45">
      <c r="B236" t="s">
        <v>700</v>
      </c>
      <c r="C236" t="s">
        <v>517</v>
      </c>
      <c r="D236">
        <v>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27</v>
      </c>
      <c r="BZ236">
        <v>459</v>
      </c>
    </row>
    <row r="237" spans="1:83" x14ac:dyDescent="0.45">
      <c r="B237" t="s">
        <v>393</v>
      </c>
      <c r="C237">
        <v>55</v>
      </c>
      <c r="D237" t="s">
        <v>701</v>
      </c>
      <c r="E237" t="s">
        <v>475</v>
      </c>
      <c r="F237">
        <v>1</v>
      </c>
      <c r="G237">
        <v>10</v>
      </c>
      <c r="H237">
        <v>10</v>
      </c>
      <c r="I237">
        <v>11</v>
      </c>
      <c r="J237">
        <v>15</v>
      </c>
      <c r="K237">
        <v>55</v>
      </c>
      <c r="L237">
        <v>12.690196</v>
      </c>
      <c r="M237">
        <v>58.030048999999998</v>
      </c>
      <c r="N237">
        <v>12.690196</v>
      </c>
      <c r="O237">
        <v>51.480271000000002</v>
      </c>
      <c r="P237">
        <v>12.690196</v>
      </c>
      <c r="Q237">
        <v>77.649643999999995</v>
      </c>
      <c r="R237">
        <v>12.690196</v>
      </c>
      <c r="S237">
        <v>47.648837</v>
      </c>
      <c r="T237" t="s">
        <v>702</v>
      </c>
      <c r="U237" t="s">
        <v>703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704</v>
      </c>
      <c r="AE237">
        <v>0</v>
      </c>
      <c r="AF237">
        <v>9.577</v>
      </c>
      <c r="AG237">
        <v>0.48599999999999999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705</v>
      </c>
      <c r="AO237" t="s">
        <v>706</v>
      </c>
      <c r="AP237">
        <v>0</v>
      </c>
      <c r="AQ237">
        <v>3</v>
      </c>
      <c r="AR237">
        <v>9.4659999999999993</v>
      </c>
      <c r="AS237">
        <v>0</v>
      </c>
      <c r="AT237">
        <v>0</v>
      </c>
      <c r="AU237">
        <v>0</v>
      </c>
      <c r="AV237">
        <v>0</v>
      </c>
      <c r="AW237">
        <v>277.39999999999998</v>
      </c>
      <c r="AX237">
        <v>0</v>
      </c>
      <c r="AY237">
        <v>1</v>
      </c>
      <c r="AZ237">
        <v>0</v>
      </c>
      <c r="BA237">
        <v>13.35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409</v>
      </c>
      <c r="BL237">
        <v>4828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71</v>
      </c>
      <c r="BY237">
        <v>1121</v>
      </c>
    </row>
    <row r="238" spans="1:83" x14ac:dyDescent="0.45">
      <c r="B238" t="s">
        <v>394</v>
      </c>
      <c r="C238">
        <v>55</v>
      </c>
      <c r="D238" t="s">
        <v>701</v>
      </c>
      <c r="E238" t="s">
        <v>475</v>
      </c>
      <c r="F238">
        <v>1</v>
      </c>
      <c r="G238">
        <v>10</v>
      </c>
      <c r="H238">
        <v>10</v>
      </c>
      <c r="I238">
        <v>12</v>
      </c>
      <c r="J238">
        <v>14</v>
      </c>
      <c r="K238">
        <v>55</v>
      </c>
      <c r="L238">
        <v>13.997394999999999</v>
      </c>
      <c r="M238">
        <v>89.665983999999995</v>
      </c>
      <c r="N238">
        <v>13.997394999999999</v>
      </c>
      <c r="O238">
        <v>58.102553</v>
      </c>
      <c r="P238">
        <v>13.997394999999999</v>
      </c>
      <c r="Q238">
        <v>66.019561999999993</v>
      </c>
      <c r="R238">
        <v>13.997394999999999</v>
      </c>
      <c r="S238">
        <v>51.350160000000002</v>
      </c>
      <c r="T238">
        <v>1812440.1</v>
      </c>
      <c r="U238">
        <v>0.85699999999999998</v>
      </c>
      <c r="V238" t="s">
        <v>707</v>
      </c>
      <c r="W238">
        <v>2.5710000000000002</v>
      </c>
      <c r="X238">
        <v>10.14</v>
      </c>
      <c r="Y238">
        <v>0</v>
      </c>
      <c r="Z238">
        <v>0</v>
      </c>
      <c r="AA238">
        <v>0</v>
      </c>
      <c r="AB238">
        <v>0</v>
      </c>
      <c r="AC238" t="s">
        <v>708</v>
      </c>
      <c r="AD238">
        <v>0</v>
      </c>
      <c r="AE238">
        <v>35.11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356.9</v>
      </c>
      <c r="AO238">
        <v>0</v>
      </c>
      <c r="AP238">
        <v>1</v>
      </c>
      <c r="AQ238" t="s">
        <v>709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195.3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459</v>
      </c>
      <c r="BP238">
        <v>5402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66</v>
      </c>
      <c r="BY238">
        <v>981</v>
      </c>
    </row>
    <row r="239" spans="1:83" x14ac:dyDescent="0.45">
      <c r="A239" t="s">
        <v>456</v>
      </c>
      <c r="B239" t="s">
        <v>406</v>
      </c>
      <c r="C239">
        <v>91</v>
      </c>
      <c r="D239" t="s">
        <v>407</v>
      </c>
      <c r="E239">
        <v>6</v>
      </c>
      <c r="F239">
        <v>80</v>
      </c>
      <c r="G239">
        <v>91</v>
      </c>
      <c r="H239">
        <v>0</v>
      </c>
      <c r="I239">
        <v>0</v>
      </c>
      <c r="J239">
        <v>0</v>
      </c>
      <c r="K239">
        <v>0</v>
      </c>
      <c r="L239">
        <v>28.722698000000001</v>
      </c>
      <c r="M239">
        <v>76.657842000000002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</row>
    <row r="240" spans="1:83" x14ac:dyDescent="0.45">
      <c r="A240" t="s">
        <v>456</v>
      </c>
      <c r="B240" t="s">
        <v>408</v>
      </c>
      <c r="C240">
        <v>18</v>
      </c>
      <c r="D240" t="s">
        <v>292</v>
      </c>
      <c r="E240" t="s">
        <v>118</v>
      </c>
      <c r="F240" t="s">
        <v>294</v>
      </c>
      <c r="G240">
        <v>1</v>
      </c>
      <c r="H240">
        <v>60</v>
      </c>
      <c r="I240">
        <v>120</v>
      </c>
      <c r="J240">
        <v>18</v>
      </c>
      <c r="K240">
        <v>8.1040229999999998</v>
      </c>
      <c r="L240">
        <v>31.987919999999999</v>
      </c>
      <c r="M240">
        <v>8.1040229999999998</v>
      </c>
      <c r="N240">
        <v>31.574145999999999</v>
      </c>
      <c r="O240">
        <v>0</v>
      </c>
      <c r="P240">
        <v>0</v>
      </c>
      <c r="Q240">
        <v>0</v>
      </c>
      <c r="R240">
        <v>0</v>
      </c>
      <c r="S240" t="s">
        <v>409</v>
      </c>
      <c r="T240" t="s">
        <v>410</v>
      </c>
      <c r="U240">
        <v>0.25</v>
      </c>
      <c r="V240">
        <v>0</v>
      </c>
      <c r="W240">
        <v>0</v>
      </c>
      <c r="X240">
        <v>0</v>
      </c>
      <c r="Y240">
        <v>0</v>
      </c>
      <c r="Z240" t="s">
        <v>411</v>
      </c>
      <c r="AA240">
        <v>0</v>
      </c>
      <c r="AB240" t="s">
        <v>412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16</v>
      </c>
      <c r="BO240">
        <v>233</v>
      </c>
    </row>
    <row r="241" spans="1:80" x14ac:dyDescent="0.45">
      <c r="A241" t="s">
        <v>456</v>
      </c>
      <c r="B241" t="s">
        <v>413</v>
      </c>
      <c r="C241">
        <v>18</v>
      </c>
      <c r="D241" t="s">
        <v>292</v>
      </c>
      <c r="E241" t="s">
        <v>118</v>
      </c>
      <c r="F241" t="s">
        <v>299</v>
      </c>
      <c r="G241">
        <v>1</v>
      </c>
      <c r="H241">
        <v>120</v>
      </c>
      <c r="I241">
        <v>80</v>
      </c>
      <c r="J241">
        <v>18</v>
      </c>
      <c r="K241">
        <v>0</v>
      </c>
      <c r="L241">
        <v>0</v>
      </c>
      <c r="M241">
        <v>8.1787159999999997</v>
      </c>
      <c r="N241">
        <v>32.645152000000003</v>
      </c>
      <c r="O241">
        <v>8.1787159999999997</v>
      </c>
      <c r="P241">
        <v>34.112259999999999</v>
      </c>
      <c r="Q241">
        <v>0</v>
      </c>
      <c r="R241">
        <v>0</v>
      </c>
      <c r="S241">
        <v>238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">
        <v>414</v>
      </c>
      <c r="AI241">
        <v>0</v>
      </c>
      <c r="AJ241">
        <v>0</v>
      </c>
      <c r="AK241" t="s">
        <v>415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416</v>
      </c>
      <c r="AS241" t="s">
        <v>417</v>
      </c>
      <c r="AT241">
        <v>0.223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31</v>
      </c>
      <c r="BP241">
        <v>397</v>
      </c>
    </row>
    <row r="242" spans="1:80" x14ac:dyDescent="0.45">
      <c r="B242" t="s">
        <v>449</v>
      </c>
      <c r="C242" t="s">
        <v>111</v>
      </c>
      <c r="D242" t="s">
        <v>450</v>
      </c>
      <c r="E242" t="s">
        <v>451</v>
      </c>
      <c r="F242" t="s">
        <v>72</v>
      </c>
      <c r="G242" t="s">
        <v>457</v>
      </c>
      <c r="H242">
        <v>27</v>
      </c>
      <c r="I242">
        <v>2024</v>
      </c>
      <c r="J242" t="s">
        <v>710</v>
      </c>
      <c r="K242" t="s">
        <v>456</v>
      </c>
      <c r="L242">
        <v>0</v>
      </c>
      <c r="M242">
        <v>0</v>
      </c>
      <c r="N242">
        <v>0</v>
      </c>
      <c r="O242" t="s">
        <v>420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</row>
    <row r="243" spans="1:80" x14ac:dyDescent="0.45">
      <c r="B243" t="s">
        <v>421</v>
      </c>
      <c r="C243">
        <v>35</v>
      </c>
      <c r="D243" t="s">
        <v>398</v>
      </c>
      <c r="E243" t="s">
        <v>293</v>
      </c>
      <c r="F243" t="s">
        <v>299</v>
      </c>
      <c r="G243">
        <v>6</v>
      </c>
      <c r="H243">
        <v>60</v>
      </c>
      <c r="I243">
        <v>240</v>
      </c>
      <c r="J243">
        <v>35</v>
      </c>
      <c r="K243">
        <v>16.726143</v>
      </c>
      <c r="L243">
        <v>55.282319999999999</v>
      </c>
      <c r="M243">
        <v>0</v>
      </c>
      <c r="N243">
        <v>0</v>
      </c>
      <c r="O243">
        <v>16.726143</v>
      </c>
      <c r="P243">
        <v>50.209901000000002</v>
      </c>
      <c r="Q243">
        <v>0</v>
      </c>
      <c r="R243">
        <v>0</v>
      </c>
      <c r="S243">
        <v>26</v>
      </c>
      <c r="T243">
        <v>0</v>
      </c>
      <c r="U243">
        <v>16.5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5</v>
      </c>
      <c r="AZ243">
        <v>0</v>
      </c>
      <c r="BA243">
        <v>0</v>
      </c>
      <c r="BB243">
        <v>0</v>
      </c>
      <c r="BC243">
        <v>2.5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13</v>
      </c>
      <c r="CA243">
        <v>243</v>
      </c>
    </row>
    <row r="244" spans="1:80" x14ac:dyDescent="0.45">
      <c r="B244" t="s">
        <v>422</v>
      </c>
      <c r="C244">
        <v>87</v>
      </c>
      <c r="D244" t="s">
        <v>306</v>
      </c>
      <c r="E244" t="s">
        <v>399</v>
      </c>
      <c r="F244" t="s">
        <v>120</v>
      </c>
      <c r="G244">
        <v>7</v>
      </c>
      <c r="H244">
        <v>90</v>
      </c>
      <c r="I244">
        <v>87</v>
      </c>
      <c r="J244">
        <v>30.292349000000002</v>
      </c>
      <c r="K244">
        <v>87.810265000000001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</row>
    <row r="245" spans="1:80" x14ac:dyDescent="0.45">
      <c r="B245" t="s">
        <v>423</v>
      </c>
      <c r="C245">
        <v>92</v>
      </c>
      <c r="D245" t="s">
        <v>120</v>
      </c>
      <c r="E245" t="s">
        <v>299</v>
      </c>
      <c r="F245">
        <v>7</v>
      </c>
      <c r="G245">
        <v>90</v>
      </c>
      <c r="H245">
        <v>92</v>
      </c>
      <c r="I245">
        <v>25.562177999999999</v>
      </c>
      <c r="J245">
        <v>81.084813999999994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</row>
    <row r="246" spans="1:80" x14ac:dyDescent="0.45">
      <c r="B246" t="s">
        <v>424</v>
      </c>
      <c r="C246">
        <v>91</v>
      </c>
      <c r="D246" t="s">
        <v>407</v>
      </c>
      <c r="E246">
        <v>6</v>
      </c>
      <c r="F246">
        <v>60</v>
      </c>
      <c r="G246">
        <v>91</v>
      </c>
      <c r="H246">
        <v>25.172152000000001</v>
      </c>
      <c r="I246">
        <v>89.062927000000002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</row>
    <row r="247" spans="1:80" x14ac:dyDescent="0.45">
      <c r="B247" t="s">
        <v>425</v>
      </c>
      <c r="C247">
        <v>95</v>
      </c>
      <c r="D247" t="s">
        <v>418</v>
      </c>
      <c r="E247" t="s">
        <v>419</v>
      </c>
      <c r="F247" t="s">
        <v>293</v>
      </c>
      <c r="G247" t="s">
        <v>299</v>
      </c>
      <c r="H247">
        <v>6</v>
      </c>
      <c r="I247">
        <v>90</v>
      </c>
      <c r="J247">
        <v>95</v>
      </c>
      <c r="K247" t="s">
        <v>426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</row>
    <row r="248" spans="1:80" x14ac:dyDescent="0.45">
      <c r="B248" t="s">
        <v>427</v>
      </c>
      <c r="C248">
        <v>6</v>
      </c>
      <c r="D248" t="s">
        <v>428</v>
      </c>
      <c r="E248" t="s">
        <v>288</v>
      </c>
      <c r="F248" t="s">
        <v>294</v>
      </c>
      <c r="G248">
        <v>1</v>
      </c>
      <c r="H248">
        <v>25</v>
      </c>
      <c r="I248">
        <v>60</v>
      </c>
      <c r="J248">
        <v>25</v>
      </c>
      <c r="K248">
        <v>6</v>
      </c>
      <c r="L248">
        <v>14.764640999999999</v>
      </c>
      <c r="M248">
        <v>55.625391999999998</v>
      </c>
      <c r="N248">
        <v>14.764640999999999</v>
      </c>
      <c r="O248">
        <v>55.910753</v>
      </c>
      <c r="P248">
        <v>14.764640999999999</v>
      </c>
      <c r="Q248">
        <v>66.314301</v>
      </c>
      <c r="R248">
        <v>0</v>
      </c>
      <c r="S248">
        <v>0</v>
      </c>
      <c r="T248" t="s">
        <v>429</v>
      </c>
      <c r="U248" t="s">
        <v>430</v>
      </c>
      <c r="V248">
        <v>0.78900000000000003</v>
      </c>
      <c r="W248">
        <v>0</v>
      </c>
      <c r="X248">
        <v>0</v>
      </c>
      <c r="Y248">
        <v>0</v>
      </c>
      <c r="Z248">
        <v>0</v>
      </c>
      <c r="AA248" t="s">
        <v>431</v>
      </c>
      <c r="AB248">
        <v>0</v>
      </c>
      <c r="AC248" t="s">
        <v>432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433</v>
      </c>
      <c r="AK248" t="s">
        <v>434</v>
      </c>
      <c r="AL248">
        <v>0.46100000000000002</v>
      </c>
      <c r="AM248">
        <v>68.38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170</v>
      </c>
      <c r="BI248">
        <v>2283</v>
      </c>
    </row>
    <row r="249" spans="1:80" x14ac:dyDescent="0.45">
      <c r="B249" t="s">
        <v>435</v>
      </c>
      <c r="C249">
        <v>6</v>
      </c>
      <c r="D249" t="s">
        <v>428</v>
      </c>
      <c r="E249" t="s">
        <v>288</v>
      </c>
      <c r="F249" t="s">
        <v>299</v>
      </c>
      <c r="G249">
        <v>1</v>
      </c>
      <c r="H249">
        <v>25</v>
      </c>
      <c r="I249">
        <v>90</v>
      </c>
      <c r="J249">
        <v>25</v>
      </c>
      <c r="K249">
        <v>6</v>
      </c>
      <c r="L249">
        <v>14.944394000000001</v>
      </c>
      <c r="M249">
        <v>68.955316999999994</v>
      </c>
      <c r="N249">
        <v>14.944394000000001</v>
      </c>
      <c r="O249">
        <v>59.573790000000002</v>
      </c>
      <c r="P249">
        <v>14.944394000000001</v>
      </c>
      <c r="Q249">
        <v>61.219906000000002</v>
      </c>
      <c r="R249">
        <v>0</v>
      </c>
      <c r="S249">
        <v>0</v>
      </c>
      <c r="T249" t="s">
        <v>436</v>
      </c>
      <c r="U249">
        <v>0</v>
      </c>
      <c r="V249">
        <v>1.835</v>
      </c>
      <c r="W249">
        <v>18</v>
      </c>
      <c r="X249">
        <v>2.71</v>
      </c>
      <c r="Y249">
        <v>33.61</v>
      </c>
      <c r="Z249">
        <v>0</v>
      </c>
      <c r="AA249">
        <v>0</v>
      </c>
      <c r="AB249">
        <v>0</v>
      </c>
      <c r="AC249">
        <v>0</v>
      </c>
      <c r="AD249" t="s">
        <v>437</v>
      </c>
      <c r="AE249">
        <v>0</v>
      </c>
      <c r="AF249">
        <v>0</v>
      </c>
      <c r="AG249">
        <v>3</v>
      </c>
      <c r="AH249">
        <v>0.315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s">
        <v>438</v>
      </c>
      <c r="AP249">
        <v>0</v>
      </c>
      <c r="AQ249" t="s">
        <v>439</v>
      </c>
      <c r="AR249">
        <v>1.4750000000000001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98</v>
      </c>
      <c r="BN249">
        <v>1265</v>
      </c>
    </row>
    <row r="250" spans="1:80" x14ac:dyDescent="0.45">
      <c r="B250" t="s">
        <v>440</v>
      </c>
      <c r="C250">
        <v>27</v>
      </c>
      <c r="D250" t="s">
        <v>325</v>
      </c>
      <c r="E250" t="s">
        <v>355</v>
      </c>
      <c r="F250" t="s">
        <v>294</v>
      </c>
      <c r="G250">
        <v>1</v>
      </c>
      <c r="H250">
        <v>90</v>
      </c>
      <c r="I250">
        <v>90</v>
      </c>
      <c r="J250">
        <v>90</v>
      </c>
      <c r="K250">
        <v>90</v>
      </c>
      <c r="L250">
        <v>27</v>
      </c>
      <c r="M250">
        <v>24.898282999999999</v>
      </c>
      <c r="N250">
        <v>93.352402999999995</v>
      </c>
      <c r="O250">
        <v>24.898282999999999</v>
      </c>
      <c r="P250">
        <v>89.014058000000006</v>
      </c>
      <c r="Q250" t="s">
        <v>441</v>
      </c>
      <c r="R250">
        <v>24.898282999999999</v>
      </c>
      <c r="S250">
        <v>82.059888999999998</v>
      </c>
      <c r="T250">
        <v>23</v>
      </c>
      <c r="U250">
        <v>2</v>
      </c>
      <c r="V250">
        <v>2.5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8</v>
      </c>
      <c r="AI250">
        <v>0.5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5</v>
      </c>
      <c r="AW250">
        <v>0.5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2.5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7</v>
      </c>
      <c r="BY250">
        <v>151</v>
      </c>
    </row>
    <row r="251" spans="1:80" x14ac:dyDescent="0.45">
      <c r="B251" t="s">
        <v>442</v>
      </c>
      <c r="C251">
        <v>27</v>
      </c>
      <c r="D251" t="s">
        <v>325</v>
      </c>
      <c r="E251" t="s">
        <v>355</v>
      </c>
      <c r="F251" t="s">
        <v>299</v>
      </c>
      <c r="G251">
        <v>1</v>
      </c>
      <c r="H251">
        <v>90</v>
      </c>
      <c r="I251">
        <v>90</v>
      </c>
      <c r="J251">
        <v>90</v>
      </c>
      <c r="K251">
        <v>90</v>
      </c>
      <c r="L251">
        <v>27</v>
      </c>
      <c r="M251" t="s">
        <v>443</v>
      </c>
      <c r="N251">
        <v>25.979723</v>
      </c>
      <c r="O251">
        <v>94.621050999999994</v>
      </c>
      <c r="P251" t="s">
        <v>444</v>
      </c>
      <c r="Q251">
        <v>25.979723</v>
      </c>
      <c r="R251">
        <v>84.155531999999994</v>
      </c>
      <c r="S251">
        <v>558.78200000000004</v>
      </c>
      <c r="T251">
        <v>2.5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15.93</v>
      </c>
      <c r="AG251">
        <v>1</v>
      </c>
      <c r="AH251">
        <v>1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t="s">
        <v>445</v>
      </c>
      <c r="AU251">
        <v>0</v>
      </c>
      <c r="AV251">
        <v>0.56299999999999994</v>
      </c>
      <c r="AW251">
        <v>0.26900000000000002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446</v>
      </c>
      <c r="BE251">
        <v>0</v>
      </c>
      <c r="BF251" t="s">
        <v>447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16</v>
      </c>
      <c r="BP251">
        <v>338</v>
      </c>
    </row>
    <row r="252" spans="1:80" x14ac:dyDescent="0.45">
      <c r="B252" t="s">
        <v>448</v>
      </c>
      <c r="C252">
        <v>2</v>
      </c>
      <c r="D252">
        <v>30</v>
      </c>
      <c r="E252">
        <v>30</v>
      </c>
      <c r="F252">
        <v>30</v>
      </c>
      <c r="G252">
        <v>60</v>
      </c>
      <c r="H252">
        <v>16.143602000000001</v>
      </c>
      <c r="I252">
        <v>74.888974000000005</v>
      </c>
      <c r="J252">
        <v>16.143602000000001</v>
      </c>
      <c r="K252">
        <v>72.451460999999995</v>
      </c>
      <c r="L252">
        <v>16.143602000000001</v>
      </c>
      <c r="M252">
        <v>75.723399000000001</v>
      </c>
      <c r="N252">
        <v>16.143602000000001</v>
      </c>
      <c r="O252">
        <v>68.506603999999996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</row>
    <row r="256" spans="1:80" x14ac:dyDescent="0.45">
      <c r="B256" t="s">
        <v>449</v>
      </c>
      <c r="C256" t="s">
        <v>111</v>
      </c>
      <c r="D256" t="s">
        <v>450</v>
      </c>
      <c r="E256" t="s">
        <v>451</v>
      </c>
      <c r="F256" t="s">
        <v>72</v>
      </c>
      <c r="G256" t="s">
        <v>73</v>
      </c>
      <c r="H256">
        <v>5</v>
      </c>
      <c r="I256">
        <v>2020</v>
      </c>
      <c r="J256" t="s">
        <v>452</v>
      </c>
    </row>
    <row r="257" spans="2:10" x14ac:dyDescent="0.45">
      <c r="B257" t="s">
        <v>449</v>
      </c>
      <c r="C257" t="s">
        <v>111</v>
      </c>
      <c r="D257" t="s">
        <v>450</v>
      </c>
      <c r="E257" t="s">
        <v>451</v>
      </c>
      <c r="F257" t="s">
        <v>453</v>
      </c>
      <c r="G257" t="s">
        <v>454</v>
      </c>
      <c r="H257">
        <v>16</v>
      </c>
      <c r="I257">
        <v>2020</v>
      </c>
      <c r="J257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topLeftCell="A7" zoomScaleNormal="100" workbookViewId="0">
      <selection activeCell="C12" sqref="C12"/>
    </sheetView>
  </sheetViews>
  <sheetFormatPr defaultRowHeight="14.25" x14ac:dyDescent="0.45"/>
  <cols>
    <col min="1" max="1" width="17.59765625" style="57" bestFit="1" customWidth="1"/>
    <col min="2" max="2" width="14.73046875" bestFit="1" customWidth="1"/>
    <col min="4" max="4" width="35.86328125" bestFit="1" customWidth="1"/>
    <col min="5" max="5" width="17.59765625" bestFit="1" customWidth="1"/>
    <col min="6" max="6" width="11.1328125" bestFit="1" customWidth="1"/>
    <col min="7" max="7" width="25.73046875" bestFit="1" customWidth="1"/>
  </cols>
  <sheetData>
    <row r="1" spans="1:7" x14ac:dyDescent="0.45">
      <c r="A1" s="57" t="s">
        <v>711</v>
      </c>
      <c r="B1" s="104" t="s">
        <v>712</v>
      </c>
      <c r="C1" t="s">
        <v>713</v>
      </c>
      <c r="D1" t="s">
        <v>714</v>
      </c>
      <c r="E1" t="s">
        <v>715</v>
      </c>
      <c r="F1" s="105" t="s">
        <v>716</v>
      </c>
      <c r="G1" s="107" t="s">
        <v>717</v>
      </c>
    </row>
    <row r="2" spans="1:7" x14ac:dyDescent="0.45">
      <c r="A2" s="108">
        <v>3</v>
      </c>
      <c r="B2" s="104">
        <v>3</v>
      </c>
      <c r="C2">
        <v>35</v>
      </c>
      <c r="D2" t="s">
        <v>718</v>
      </c>
      <c r="E2">
        <v>55372</v>
      </c>
      <c r="F2" s="105">
        <v>2768.6</v>
      </c>
      <c r="G2" s="107">
        <v>2516.909090909091</v>
      </c>
    </row>
    <row r="3" spans="1:7" x14ac:dyDescent="0.45">
      <c r="A3" s="108">
        <v>4</v>
      </c>
      <c r="B3" s="104">
        <v>4</v>
      </c>
      <c r="C3">
        <v>17</v>
      </c>
      <c r="D3" t="s">
        <v>719</v>
      </c>
      <c r="E3">
        <v>20703</v>
      </c>
      <c r="F3" s="105">
        <v>1035.1500000000001</v>
      </c>
      <c r="G3" s="107">
        <v>941.0454545454545</v>
      </c>
    </row>
    <row r="4" spans="1:7" x14ac:dyDescent="0.45">
      <c r="A4" s="108">
        <v>6</v>
      </c>
      <c r="B4" s="104">
        <v>6</v>
      </c>
      <c r="C4">
        <v>74</v>
      </c>
      <c r="D4" t="s">
        <v>720</v>
      </c>
      <c r="E4">
        <v>18000</v>
      </c>
      <c r="F4" s="105">
        <v>900</v>
      </c>
      <c r="G4" s="107">
        <v>818.18181818181813</v>
      </c>
    </row>
    <row r="5" spans="1:7" x14ac:dyDescent="0.45">
      <c r="A5" s="108">
        <v>7</v>
      </c>
      <c r="B5" s="104">
        <v>7</v>
      </c>
      <c r="C5">
        <v>37</v>
      </c>
      <c r="D5" t="s">
        <v>721</v>
      </c>
      <c r="E5">
        <v>40515</v>
      </c>
      <c r="F5" s="105">
        <v>2025.75</v>
      </c>
      <c r="G5" s="107">
        <v>1841.590909090909</v>
      </c>
    </row>
    <row r="6" spans="1:7" x14ac:dyDescent="0.45">
      <c r="A6" s="108">
        <v>8</v>
      </c>
      <c r="B6" s="104">
        <v>8</v>
      </c>
      <c r="C6">
        <v>32</v>
      </c>
      <c r="D6" t="s">
        <v>722</v>
      </c>
      <c r="E6">
        <v>20777</v>
      </c>
      <c r="F6" s="105">
        <v>1038.8499999999999</v>
      </c>
      <c r="G6" s="107">
        <v>944.40909090909088</v>
      </c>
    </row>
    <row r="7" spans="1:7" x14ac:dyDescent="0.45">
      <c r="A7" s="108">
        <v>9</v>
      </c>
      <c r="B7" s="104">
        <v>9</v>
      </c>
      <c r="C7">
        <v>51</v>
      </c>
      <c r="D7" t="s">
        <v>723</v>
      </c>
      <c r="E7">
        <v>7713</v>
      </c>
      <c r="F7" s="105">
        <v>385.65</v>
      </c>
      <c r="G7" s="107">
        <v>350.59090909090912</v>
      </c>
    </row>
    <row r="8" spans="1:7" x14ac:dyDescent="0.45">
      <c r="A8" s="108">
        <v>14</v>
      </c>
      <c r="B8" s="104">
        <v>14</v>
      </c>
      <c r="C8">
        <v>29</v>
      </c>
      <c r="D8" t="s">
        <v>724</v>
      </c>
      <c r="E8">
        <v>7352</v>
      </c>
      <c r="F8" s="105">
        <v>367.6</v>
      </c>
      <c r="G8" s="107">
        <v>334.18181818181819</v>
      </c>
    </row>
    <row r="9" spans="1:7" x14ac:dyDescent="0.45">
      <c r="A9" s="108">
        <v>17</v>
      </c>
      <c r="B9" s="104">
        <v>17</v>
      </c>
      <c r="C9">
        <v>2</v>
      </c>
      <c r="D9" t="s">
        <v>725</v>
      </c>
      <c r="E9">
        <v>14035</v>
      </c>
      <c r="F9" s="105">
        <v>701.75</v>
      </c>
      <c r="G9" s="107">
        <v>637.9545454545455</v>
      </c>
    </row>
    <row r="10" spans="1:7" x14ac:dyDescent="0.45">
      <c r="A10" s="108">
        <v>18</v>
      </c>
      <c r="B10" s="104">
        <v>18</v>
      </c>
      <c r="C10">
        <v>78</v>
      </c>
      <c r="D10" t="s">
        <v>726</v>
      </c>
      <c r="E10">
        <v>14914</v>
      </c>
      <c r="F10" s="105">
        <v>745.7</v>
      </c>
      <c r="G10" s="107">
        <v>677.90909090909088</v>
      </c>
    </row>
    <row r="11" spans="1:7" x14ac:dyDescent="0.45">
      <c r="A11" s="108">
        <v>19</v>
      </c>
      <c r="B11" s="104">
        <v>19</v>
      </c>
      <c r="C11">
        <v>49</v>
      </c>
      <c r="D11" t="s">
        <v>727</v>
      </c>
      <c r="E11">
        <v>21026</v>
      </c>
      <c r="F11" s="105">
        <v>1051.3</v>
      </c>
      <c r="G11" s="107">
        <v>955.72727272727275</v>
      </c>
    </row>
    <row r="12" spans="1:7" x14ac:dyDescent="0.45">
      <c r="A12" s="108">
        <v>22</v>
      </c>
      <c r="B12" s="104">
        <v>22</v>
      </c>
      <c r="C12">
        <v>60</v>
      </c>
      <c r="D12" t="s">
        <v>728</v>
      </c>
      <c r="E12">
        <v>33119</v>
      </c>
      <c r="F12" s="105">
        <v>1655.95</v>
      </c>
      <c r="G12" s="107">
        <v>1505.409090909091</v>
      </c>
    </row>
    <row r="13" spans="1:7" x14ac:dyDescent="0.45">
      <c r="A13" s="108">
        <v>23</v>
      </c>
      <c r="B13" s="104">
        <v>23</v>
      </c>
      <c r="C13">
        <v>15</v>
      </c>
      <c r="D13" t="s">
        <v>729</v>
      </c>
      <c r="E13">
        <v>59191</v>
      </c>
      <c r="F13" s="105">
        <v>2959.55</v>
      </c>
      <c r="G13" s="107">
        <v>2690.5</v>
      </c>
    </row>
    <row r="14" spans="1:7" x14ac:dyDescent="0.45">
      <c r="A14" s="108">
        <v>28</v>
      </c>
      <c r="B14" s="104">
        <v>28</v>
      </c>
      <c r="C14">
        <v>21</v>
      </c>
      <c r="D14" t="s">
        <v>730</v>
      </c>
      <c r="E14">
        <v>6059</v>
      </c>
      <c r="F14" s="105">
        <v>302.95</v>
      </c>
      <c r="G14" s="107">
        <v>275.40909090909088</v>
      </c>
    </row>
    <row r="15" spans="1:7" x14ac:dyDescent="0.45">
      <c r="A15" s="108">
        <v>29</v>
      </c>
      <c r="B15" s="104">
        <v>29</v>
      </c>
      <c r="C15">
        <v>47</v>
      </c>
      <c r="D15" t="s">
        <v>731</v>
      </c>
      <c r="E15">
        <v>15204</v>
      </c>
      <c r="F15" s="105">
        <v>760.2</v>
      </c>
      <c r="G15" s="107">
        <v>691.09090909090912</v>
      </c>
    </row>
    <row r="16" spans="1:7" x14ac:dyDescent="0.45">
      <c r="A16" s="108">
        <v>34</v>
      </c>
      <c r="B16" s="104">
        <v>34</v>
      </c>
      <c r="C16">
        <v>79</v>
      </c>
      <c r="D16" t="s">
        <v>732</v>
      </c>
      <c r="E16">
        <v>8048</v>
      </c>
      <c r="F16" s="105">
        <v>402.4</v>
      </c>
      <c r="G16" s="107">
        <v>365.81818181818181</v>
      </c>
    </row>
    <row r="17" spans="1:7" x14ac:dyDescent="0.45">
      <c r="A17" s="108">
        <v>41</v>
      </c>
      <c r="B17" s="104">
        <v>41</v>
      </c>
      <c r="C17">
        <v>46</v>
      </c>
      <c r="D17" t="s">
        <v>733</v>
      </c>
      <c r="E17">
        <v>1362</v>
      </c>
      <c r="F17" s="105">
        <v>68.099999999999994</v>
      </c>
      <c r="G17" s="107">
        <v>61.909090909090907</v>
      </c>
    </row>
    <row r="18" spans="1:7" x14ac:dyDescent="0.45">
      <c r="A18" s="108">
        <v>42</v>
      </c>
      <c r="B18" s="104">
        <v>42</v>
      </c>
      <c r="C18">
        <v>24</v>
      </c>
      <c r="D18" t="s">
        <v>734</v>
      </c>
      <c r="E18">
        <v>8859</v>
      </c>
      <c r="F18" s="105">
        <v>442.95</v>
      </c>
      <c r="G18" s="107">
        <v>402.68181818181819</v>
      </c>
    </row>
    <row r="19" spans="1:7" x14ac:dyDescent="0.45">
      <c r="A19" s="108">
        <v>50</v>
      </c>
      <c r="B19" s="104">
        <v>50</v>
      </c>
      <c r="C19">
        <v>41</v>
      </c>
      <c r="D19" t="s">
        <v>735</v>
      </c>
      <c r="E19">
        <v>55943</v>
      </c>
      <c r="F19" s="105">
        <v>2797.15</v>
      </c>
      <c r="G19" s="107">
        <v>2542.863636363636</v>
      </c>
    </row>
    <row r="20" spans="1:7" x14ac:dyDescent="0.45">
      <c r="A20" s="108">
        <v>52</v>
      </c>
      <c r="B20" s="104">
        <v>52</v>
      </c>
      <c r="C20">
        <v>5</v>
      </c>
      <c r="D20" t="s">
        <v>736</v>
      </c>
      <c r="E20">
        <v>79725</v>
      </c>
      <c r="F20" s="105">
        <v>3986.25</v>
      </c>
      <c r="G20" s="107">
        <v>3623.863636363636</v>
      </c>
    </row>
    <row r="21" spans="1:7" x14ac:dyDescent="0.45">
      <c r="A21" s="108">
        <v>55</v>
      </c>
      <c r="B21" s="104">
        <v>55</v>
      </c>
      <c r="C21">
        <v>155</v>
      </c>
      <c r="D21" t="s">
        <v>737</v>
      </c>
      <c r="E21">
        <v>128246</v>
      </c>
      <c r="F21" s="105">
        <v>6412.3</v>
      </c>
      <c r="G21" s="107">
        <v>5829.363636363636</v>
      </c>
    </row>
    <row r="22" spans="1:7" x14ac:dyDescent="0.45">
      <c r="A22" s="108">
        <v>56</v>
      </c>
      <c r="B22" s="104">
        <v>56</v>
      </c>
      <c r="C22">
        <v>81</v>
      </c>
      <c r="D22" t="s">
        <v>738</v>
      </c>
      <c r="E22">
        <v>98359</v>
      </c>
      <c r="F22" s="105">
        <v>4917.95</v>
      </c>
      <c r="G22" s="107">
        <v>4470.863636363636</v>
      </c>
    </row>
    <row r="23" spans="1:7" x14ac:dyDescent="0.45">
      <c r="A23" s="108">
        <v>64</v>
      </c>
      <c r="B23" s="104">
        <v>64</v>
      </c>
      <c r="C23">
        <v>31</v>
      </c>
      <c r="D23" t="s">
        <v>739</v>
      </c>
      <c r="E23">
        <v>202</v>
      </c>
      <c r="F23" s="105">
        <v>10.1</v>
      </c>
      <c r="G23" s="107">
        <v>9.1818181818181817</v>
      </c>
    </row>
    <row r="24" spans="1:7" x14ac:dyDescent="0.45">
      <c r="A24" s="108">
        <v>70</v>
      </c>
      <c r="B24" s="104">
        <v>70</v>
      </c>
      <c r="C24">
        <v>95</v>
      </c>
      <c r="D24" t="s">
        <v>740</v>
      </c>
      <c r="E24">
        <v>933</v>
      </c>
      <c r="F24" s="105">
        <v>46.65</v>
      </c>
      <c r="G24" s="107">
        <v>42.409090909090907</v>
      </c>
    </row>
    <row r="25" spans="1:7" x14ac:dyDescent="0.45">
      <c r="A25" s="108">
        <v>75</v>
      </c>
      <c r="B25" s="104">
        <v>75</v>
      </c>
      <c r="C25">
        <v>23</v>
      </c>
      <c r="D25" t="s">
        <v>741</v>
      </c>
      <c r="E25">
        <v>2808</v>
      </c>
      <c r="F25" s="105">
        <v>140.4</v>
      </c>
      <c r="G25" s="107">
        <v>127.6363636363636</v>
      </c>
    </row>
    <row r="26" spans="1:7" x14ac:dyDescent="0.45">
      <c r="A26" s="108">
        <v>76</v>
      </c>
      <c r="B26" s="104">
        <v>76</v>
      </c>
      <c r="C26">
        <v>54</v>
      </c>
      <c r="D26" t="s">
        <v>742</v>
      </c>
      <c r="E26">
        <v>7641</v>
      </c>
      <c r="F26" s="105">
        <v>382.05</v>
      </c>
      <c r="G26" s="107">
        <v>347.31818181818181</v>
      </c>
    </row>
    <row r="27" spans="1:7" x14ac:dyDescent="0.45">
      <c r="A27" s="108">
        <v>77</v>
      </c>
      <c r="B27" s="104">
        <v>77</v>
      </c>
      <c r="C27">
        <v>88</v>
      </c>
      <c r="D27" t="s">
        <v>743</v>
      </c>
      <c r="E27">
        <v>7347</v>
      </c>
      <c r="F27" s="105">
        <v>367.35</v>
      </c>
      <c r="G27" s="107">
        <v>333.95454545454538</v>
      </c>
    </row>
    <row r="28" spans="1:7" x14ac:dyDescent="0.45">
      <c r="A28" s="108">
        <v>79</v>
      </c>
      <c r="B28" s="104">
        <v>79</v>
      </c>
      <c r="C28">
        <v>148</v>
      </c>
      <c r="D28" t="s">
        <v>744</v>
      </c>
      <c r="E28">
        <v>4967</v>
      </c>
      <c r="F28" s="105">
        <v>248.35</v>
      </c>
      <c r="G28" s="107">
        <v>225.77272727272731</v>
      </c>
    </row>
    <row r="29" spans="1:7" x14ac:dyDescent="0.45">
      <c r="A29" s="108">
        <v>84</v>
      </c>
      <c r="B29" s="104">
        <v>84</v>
      </c>
      <c r="C29">
        <v>67</v>
      </c>
      <c r="D29" t="s">
        <v>745</v>
      </c>
      <c r="E29">
        <v>2805</v>
      </c>
      <c r="F29" s="105">
        <v>140.25</v>
      </c>
      <c r="G29" s="107">
        <v>127.5</v>
      </c>
    </row>
    <row r="30" spans="1:7" x14ac:dyDescent="0.45">
      <c r="A30" s="108">
        <v>86</v>
      </c>
      <c r="B30" s="104">
        <v>86</v>
      </c>
      <c r="C30">
        <v>68</v>
      </c>
      <c r="D30" t="s">
        <v>746</v>
      </c>
      <c r="E30">
        <v>1036</v>
      </c>
      <c r="F30" s="105">
        <v>51.8</v>
      </c>
      <c r="G30" s="107">
        <v>47.090909090909093</v>
      </c>
    </row>
    <row r="31" spans="1:7" x14ac:dyDescent="0.45">
      <c r="A31" s="108">
        <v>87</v>
      </c>
      <c r="B31" s="104">
        <v>87</v>
      </c>
      <c r="C31">
        <v>86</v>
      </c>
      <c r="D31" t="s">
        <v>747</v>
      </c>
      <c r="E31">
        <v>1701</v>
      </c>
      <c r="F31" s="105">
        <v>85.05</v>
      </c>
      <c r="G31" s="107">
        <v>77.318181818181813</v>
      </c>
    </row>
    <row r="32" spans="1:7" x14ac:dyDescent="0.45">
      <c r="A32" s="108">
        <v>89</v>
      </c>
      <c r="B32" s="104">
        <v>89</v>
      </c>
      <c r="C32">
        <v>57</v>
      </c>
      <c r="D32" t="s">
        <v>748</v>
      </c>
      <c r="E32">
        <v>506</v>
      </c>
      <c r="F32" s="105">
        <v>25.3</v>
      </c>
      <c r="G32" s="107">
        <v>23</v>
      </c>
    </row>
    <row r="33" spans="1:7" x14ac:dyDescent="0.45">
      <c r="A33" s="108">
        <v>90</v>
      </c>
      <c r="B33" s="104">
        <v>90</v>
      </c>
      <c r="C33">
        <v>132</v>
      </c>
      <c r="D33" t="s">
        <v>749</v>
      </c>
      <c r="E33">
        <v>8785</v>
      </c>
      <c r="F33" s="105">
        <v>439.25</v>
      </c>
      <c r="G33" s="107">
        <v>399.31818181818181</v>
      </c>
    </row>
    <row r="34" spans="1:7" x14ac:dyDescent="0.45">
      <c r="A34" s="108">
        <v>93</v>
      </c>
      <c r="B34" s="104">
        <v>93</v>
      </c>
      <c r="C34">
        <v>36</v>
      </c>
      <c r="D34" t="s">
        <v>750</v>
      </c>
      <c r="E34">
        <v>2670</v>
      </c>
      <c r="F34" s="105">
        <v>133.5</v>
      </c>
      <c r="G34" s="107">
        <v>121.3636363636364</v>
      </c>
    </row>
    <row r="35" spans="1:7" x14ac:dyDescent="0.45">
      <c r="A35" s="108">
        <v>95</v>
      </c>
      <c r="B35" s="104">
        <v>95</v>
      </c>
      <c r="C35">
        <v>72</v>
      </c>
      <c r="D35" t="s">
        <v>751</v>
      </c>
      <c r="E35">
        <v>1136</v>
      </c>
      <c r="F35" s="105">
        <v>56.8</v>
      </c>
      <c r="G35" s="107">
        <v>51.636363636363633</v>
      </c>
    </row>
    <row r="36" spans="1:7" x14ac:dyDescent="0.45">
      <c r="D36" t="s">
        <v>314</v>
      </c>
      <c r="E36">
        <v>9187</v>
      </c>
      <c r="F36" s="105">
        <v>459.35</v>
      </c>
      <c r="G36" s="107">
        <v>417.59090909090912</v>
      </c>
    </row>
    <row r="37" spans="1:7" x14ac:dyDescent="0.45">
      <c r="D37" t="s">
        <v>311</v>
      </c>
      <c r="E37">
        <v>12084</v>
      </c>
      <c r="F37" s="105">
        <v>604.20000000000005</v>
      </c>
      <c r="G37" s="107">
        <v>549.27272727272725</v>
      </c>
    </row>
    <row r="38" spans="1:7" x14ac:dyDescent="0.45">
      <c r="D38" t="s">
        <v>752</v>
      </c>
      <c r="F38" s="105"/>
    </row>
    <row r="39" spans="1:7" x14ac:dyDescent="0.45">
      <c r="F39" s="105"/>
    </row>
    <row r="40" spans="1:7" x14ac:dyDescent="0.45">
      <c r="A40" s="109"/>
      <c r="B40" s="102"/>
      <c r="C40" s="102"/>
      <c r="D40" s="102" t="s">
        <v>49</v>
      </c>
      <c r="E40" s="103">
        <v>778330</v>
      </c>
      <c r="F40" s="103">
        <v>38916.500000000007</v>
      </c>
      <c r="G40" s="107">
        <v>35378.636363636368</v>
      </c>
    </row>
    <row r="41" spans="1:7" x14ac:dyDescent="0.45">
      <c r="F41" s="106">
        <v>38916.5</v>
      </c>
      <c r="G41" s="107" t="s">
        <v>753</v>
      </c>
    </row>
    <row r="42" spans="1:7" x14ac:dyDescent="0.45">
      <c r="F42" s="101">
        <f>E40/20</f>
        <v>38916.5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4"/>
  <sheetViews>
    <sheetView topLeftCell="A11" workbookViewId="0">
      <selection activeCell="H38" sqref="H38"/>
    </sheetView>
  </sheetViews>
  <sheetFormatPr defaultRowHeight="14.25" x14ac:dyDescent="0.45"/>
  <cols>
    <col min="5" max="5" width="9.1328125" customWidth="1"/>
  </cols>
  <sheetData>
    <row r="1" spans="2:14" x14ac:dyDescent="0.45">
      <c r="B1" t="s">
        <v>131</v>
      </c>
      <c r="C1" t="s">
        <v>6</v>
      </c>
      <c r="D1" t="s">
        <v>754</v>
      </c>
      <c r="F1" t="s">
        <v>106</v>
      </c>
      <c r="G1" t="s">
        <v>108</v>
      </c>
      <c r="H1" t="s">
        <v>109</v>
      </c>
      <c r="I1" t="s">
        <v>755</v>
      </c>
      <c r="J1" t="s">
        <v>756</v>
      </c>
      <c r="K1" t="s">
        <v>757</v>
      </c>
      <c r="M1" t="s">
        <v>758</v>
      </c>
      <c r="N1" t="s">
        <v>759</v>
      </c>
    </row>
    <row r="2" spans="2:14" x14ac:dyDescent="0.45">
      <c r="B2">
        <f>TrnStat.asc!B54</f>
        <v>3</v>
      </c>
      <c r="C2">
        <f>TrnStat.asc!C54</f>
        <v>1</v>
      </c>
      <c r="D2" t="str">
        <f>TrnStat.asc!D54</f>
        <v>Rte</v>
      </c>
      <c r="E2">
        <f>TrnStat.asc!E54</f>
        <v>3</v>
      </c>
      <c r="F2">
        <f>TrnStat.asc!F54</f>
        <v>1986</v>
      </c>
      <c r="G2">
        <f>TrnStat.asc!G54</f>
        <v>2285</v>
      </c>
      <c r="H2">
        <f>TrnStat.asc!H54</f>
        <v>3002</v>
      </c>
      <c r="I2">
        <f>TrnStat.asc!I54</f>
        <v>782</v>
      </c>
      <c r="J2" t="str">
        <f>TrnStat.asc!J54</f>
        <v>|</v>
      </c>
      <c r="K2">
        <f>TrnStat.asc!K54</f>
        <v>8057</v>
      </c>
      <c r="M2">
        <f t="shared" ref="M2:M33" si="0">IF(ISNUMBER(K2),K2,CONCATENATE(LEFT(K2,2),RIGHT(K2,3)))</f>
        <v>8057</v>
      </c>
      <c r="N2">
        <f t="shared" ref="N2:N33" si="1">VALUE(M2)</f>
        <v>8057</v>
      </c>
    </row>
    <row r="3" spans="2:14" x14ac:dyDescent="0.45">
      <c r="B3">
        <f>TrnStat.asc!B55</f>
        <v>4</v>
      </c>
      <c r="C3">
        <f>TrnStat.asc!C55</f>
        <v>1</v>
      </c>
      <c r="D3" t="str">
        <f>TrnStat.asc!D55</f>
        <v>Rte</v>
      </c>
      <c r="E3">
        <f>TrnStat.asc!E55</f>
        <v>4</v>
      </c>
      <c r="F3">
        <f>TrnStat.asc!F55</f>
        <v>50</v>
      </c>
      <c r="G3">
        <f>TrnStat.asc!G55</f>
        <v>78</v>
      </c>
      <c r="H3">
        <f>TrnStat.asc!H55</f>
        <v>88</v>
      </c>
      <c r="I3">
        <f>TrnStat.asc!I55</f>
        <v>84</v>
      </c>
      <c r="J3" t="str">
        <f>TrnStat.asc!J55</f>
        <v>|</v>
      </c>
      <c r="K3">
        <f>TrnStat.asc!K55</f>
        <v>299</v>
      </c>
      <c r="M3">
        <f t="shared" si="0"/>
        <v>299</v>
      </c>
      <c r="N3">
        <f t="shared" si="1"/>
        <v>299</v>
      </c>
    </row>
    <row r="4" spans="2:14" x14ac:dyDescent="0.45">
      <c r="B4">
        <f>TrnStat.asc!B56</f>
        <v>6</v>
      </c>
      <c r="C4">
        <f>TrnStat.asc!C56</f>
        <v>1</v>
      </c>
      <c r="D4" t="str">
        <f>TrnStat.asc!D56</f>
        <v>Rte</v>
      </c>
      <c r="E4">
        <f>TrnStat.asc!E56</f>
        <v>6</v>
      </c>
      <c r="F4">
        <f>TrnStat.asc!F56</f>
        <v>155</v>
      </c>
      <c r="G4">
        <f>TrnStat.asc!G56</f>
        <v>109</v>
      </c>
      <c r="H4">
        <f>TrnStat.asc!H56</f>
        <v>286</v>
      </c>
      <c r="I4">
        <f>TrnStat.asc!I56</f>
        <v>72</v>
      </c>
      <c r="J4" t="str">
        <f>TrnStat.asc!J56</f>
        <v>|</v>
      </c>
      <c r="K4">
        <f>TrnStat.asc!K56</f>
        <v>622</v>
      </c>
      <c r="M4">
        <f t="shared" si="0"/>
        <v>622</v>
      </c>
      <c r="N4">
        <f t="shared" si="1"/>
        <v>622</v>
      </c>
    </row>
    <row r="5" spans="2:14" x14ac:dyDescent="0.45">
      <c r="B5">
        <f>TrnStat.asc!B57</f>
        <v>7</v>
      </c>
      <c r="C5">
        <f>TrnStat.asc!C57</f>
        <v>1</v>
      </c>
      <c r="D5" t="str">
        <f>TrnStat.asc!D57</f>
        <v>Rte</v>
      </c>
      <c r="E5">
        <f>TrnStat.asc!E57</f>
        <v>7</v>
      </c>
      <c r="F5">
        <f>TrnStat.asc!F57</f>
        <v>555</v>
      </c>
      <c r="G5">
        <f>TrnStat.asc!G57</f>
        <v>1056</v>
      </c>
      <c r="H5">
        <f>TrnStat.asc!H57</f>
        <v>749</v>
      </c>
      <c r="I5">
        <f>TrnStat.asc!I57</f>
        <v>295</v>
      </c>
      <c r="J5" t="str">
        <f>TrnStat.asc!J57</f>
        <v>|</v>
      </c>
      <c r="K5">
        <f>TrnStat.asc!K57</f>
        <v>2656</v>
      </c>
      <c r="M5">
        <f t="shared" si="0"/>
        <v>2656</v>
      </c>
      <c r="N5">
        <f t="shared" si="1"/>
        <v>2656</v>
      </c>
    </row>
    <row r="6" spans="2:14" x14ac:dyDescent="0.45">
      <c r="B6">
        <f>TrnStat.asc!B58</f>
        <v>8</v>
      </c>
      <c r="C6">
        <f>TrnStat.asc!C58</f>
        <v>1</v>
      </c>
      <c r="D6" t="str">
        <f>TrnStat.asc!D58</f>
        <v>Rte</v>
      </c>
      <c r="E6">
        <f>TrnStat.asc!E58</f>
        <v>8</v>
      </c>
      <c r="F6">
        <f>TrnStat.asc!F58</f>
        <v>226</v>
      </c>
      <c r="G6">
        <f>TrnStat.asc!G58</f>
        <v>309</v>
      </c>
      <c r="H6">
        <f>TrnStat.asc!H58</f>
        <v>240</v>
      </c>
      <c r="I6">
        <f>TrnStat.asc!I58</f>
        <v>65</v>
      </c>
      <c r="J6" t="str">
        <f>TrnStat.asc!J58</f>
        <v>|</v>
      </c>
      <c r="K6">
        <f>TrnStat.asc!K58</f>
        <v>839</v>
      </c>
      <c r="M6">
        <f t="shared" si="0"/>
        <v>839</v>
      </c>
      <c r="N6">
        <f t="shared" si="1"/>
        <v>839</v>
      </c>
    </row>
    <row r="7" spans="2:14" x14ac:dyDescent="0.45">
      <c r="B7">
        <f>TrnStat.asc!B59</f>
        <v>9</v>
      </c>
      <c r="C7">
        <f>TrnStat.asc!C59</f>
        <v>1</v>
      </c>
      <c r="D7" t="str">
        <f>TrnStat.asc!D59</f>
        <v>Rte</v>
      </c>
      <c r="E7">
        <f>TrnStat.asc!E59</f>
        <v>9</v>
      </c>
      <c r="F7">
        <f>TrnStat.asc!F59</f>
        <v>259</v>
      </c>
      <c r="G7">
        <f>TrnStat.asc!G59</f>
        <v>336</v>
      </c>
      <c r="H7">
        <f>TrnStat.asc!H59</f>
        <v>239</v>
      </c>
      <c r="I7">
        <f>TrnStat.asc!I59</f>
        <v>0</v>
      </c>
      <c r="J7" t="str">
        <f>TrnStat.asc!J59</f>
        <v>|</v>
      </c>
      <c r="K7">
        <f>TrnStat.asc!K59</f>
        <v>834</v>
      </c>
      <c r="M7">
        <f t="shared" si="0"/>
        <v>834</v>
      </c>
      <c r="N7">
        <f t="shared" si="1"/>
        <v>834</v>
      </c>
    </row>
    <row r="8" spans="2:14" x14ac:dyDescent="0.45">
      <c r="B8">
        <f>TrnStat.asc!B60</f>
        <v>14</v>
      </c>
      <c r="C8">
        <f>TrnStat.asc!C60</f>
        <v>1</v>
      </c>
      <c r="D8" t="str">
        <f>TrnStat.asc!D60</f>
        <v>Rte</v>
      </c>
      <c r="E8">
        <f>TrnStat.asc!E60</f>
        <v>14</v>
      </c>
      <c r="F8">
        <f>TrnStat.asc!F60</f>
        <v>96</v>
      </c>
      <c r="G8">
        <f>TrnStat.asc!G60</f>
        <v>63</v>
      </c>
      <c r="H8">
        <f>TrnStat.asc!H60</f>
        <v>138</v>
      </c>
      <c r="I8">
        <f>TrnStat.asc!I60</f>
        <v>30</v>
      </c>
      <c r="J8" t="str">
        <f>TrnStat.asc!J60</f>
        <v>|</v>
      </c>
      <c r="K8">
        <f>TrnStat.asc!K60</f>
        <v>328</v>
      </c>
      <c r="M8">
        <f t="shared" si="0"/>
        <v>328</v>
      </c>
      <c r="N8">
        <f t="shared" si="1"/>
        <v>328</v>
      </c>
    </row>
    <row r="9" spans="2:14" x14ac:dyDescent="0.45">
      <c r="B9">
        <f>TrnStat.asc!B61</f>
        <v>17</v>
      </c>
      <c r="C9">
        <f>TrnStat.asc!C61</f>
        <v>1</v>
      </c>
      <c r="D9" t="str">
        <f>TrnStat.asc!D61</f>
        <v>Rte</v>
      </c>
      <c r="E9">
        <f>TrnStat.asc!E61</f>
        <v>17</v>
      </c>
      <c r="F9">
        <f>TrnStat.asc!F61</f>
        <v>230</v>
      </c>
      <c r="G9">
        <f>TrnStat.asc!G61</f>
        <v>277</v>
      </c>
      <c r="H9">
        <f>TrnStat.asc!H61</f>
        <v>322</v>
      </c>
      <c r="I9">
        <f>TrnStat.asc!I61</f>
        <v>56</v>
      </c>
      <c r="J9" t="str">
        <f>TrnStat.asc!J61</f>
        <v>|</v>
      </c>
      <c r="K9">
        <f>TrnStat.asc!K61</f>
        <v>886</v>
      </c>
      <c r="M9">
        <f t="shared" si="0"/>
        <v>886</v>
      </c>
      <c r="N9">
        <f t="shared" si="1"/>
        <v>886</v>
      </c>
    </row>
    <row r="10" spans="2:14" x14ac:dyDescent="0.45">
      <c r="B10">
        <f>TrnStat.asc!B62</f>
        <v>18</v>
      </c>
      <c r="C10">
        <f>TrnStat.asc!C62</f>
        <v>6</v>
      </c>
      <c r="D10" t="str">
        <f>TrnStat.asc!D62</f>
        <v>Rte</v>
      </c>
      <c r="E10">
        <f>TrnStat.asc!E62</f>
        <v>18</v>
      </c>
      <c r="F10">
        <f>TrnStat.asc!F62</f>
        <v>66</v>
      </c>
      <c r="G10">
        <f>TrnStat.asc!G62</f>
        <v>172</v>
      </c>
      <c r="H10">
        <f>TrnStat.asc!H62</f>
        <v>72</v>
      </c>
      <c r="I10">
        <f>TrnStat.asc!I62</f>
        <v>46</v>
      </c>
      <c r="J10" t="str">
        <f>TrnStat.asc!J62</f>
        <v>|</v>
      </c>
      <c r="K10">
        <f>TrnStat.asc!K62</f>
        <v>358</v>
      </c>
      <c r="M10">
        <f t="shared" si="0"/>
        <v>358</v>
      </c>
      <c r="N10">
        <f t="shared" si="1"/>
        <v>358</v>
      </c>
    </row>
    <row r="11" spans="2:14" x14ac:dyDescent="0.45">
      <c r="B11">
        <f>TrnStat.asc!B63</f>
        <v>19</v>
      </c>
      <c r="C11">
        <f>TrnStat.asc!C63</f>
        <v>1</v>
      </c>
      <c r="D11" t="str">
        <f>TrnStat.asc!D63</f>
        <v>Rte</v>
      </c>
      <c r="E11">
        <f>TrnStat.asc!E63</f>
        <v>19</v>
      </c>
      <c r="F11">
        <f>TrnStat.asc!F63</f>
        <v>232</v>
      </c>
      <c r="G11">
        <f>TrnStat.asc!G63</f>
        <v>294</v>
      </c>
      <c r="H11">
        <f>TrnStat.asc!H63</f>
        <v>425</v>
      </c>
      <c r="I11">
        <f>TrnStat.asc!I63</f>
        <v>101</v>
      </c>
      <c r="J11" t="str">
        <f>TrnStat.asc!J63</f>
        <v>|</v>
      </c>
      <c r="K11">
        <f>TrnStat.asc!K63</f>
        <v>1053</v>
      </c>
      <c r="M11">
        <f t="shared" si="0"/>
        <v>1053</v>
      </c>
      <c r="N11">
        <f t="shared" si="1"/>
        <v>1053</v>
      </c>
    </row>
    <row r="12" spans="2:14" x14ac:dyDescent="0.45">
      <c r="B12">
        <f>TrnStat.asc!B64</f>
        <v>22</v>
      </c>
      <c r="C12">
        <f>TrnStat.asc!C64</f>
        <v>1</v>
      </c>
      <c r="D12" t="str">
        <f>TrnStat.asc!D64</f>
        <v>Rte</v>
      </c>
      <c r="E12">
        <f>TrnStat.asc!E64</f>
        <v>22</v>
      </c>
      <c r="F12">
        <f>TrnStat.asc!F64</f>
        <v>274</v>
      </c>
      <c r="G12">
        <f>TrnStat.asc!G64</f>
        <v>526</v>
      </c>
      <c r="H12">
        <f>TrnStat.asc!H64</f>
        <v>539</v>
      </c>
      <c r="I12">
        <f>TrnStat.asc!I64</f>
        <v>358</v>
      </c>
      <c r="J12" t="str">
        <f>TrnStat.asc!J64</f>
        <v>|</v>
      </c>
      <c r="K12">
        <f>TrnStat.asc!K64</f>
        <v>1697</v>
      </c>
      <c r="M12">
        <f t="shared" si="0"/>
        <v>1697</v>
      </c>
      <c r="N12">
        <f t="shared" si="1"/>
        <v>1697</v>
      </c>
    </row>
    <row r="13" spans="2:14" x14ac:dyDescent="0.45">
      <c r="B13">
        <f>TrnStat.asc!B65</f>
        <v>23</v>
      </c>
      <c r="C13">
        <f>TrnStat.asc!C65</f>
        <v>1</v>
      </c>
      <c r="D13" t="str">
        <f>TrnStat.asc!D65</f>
        <v>Rte</v>
      </c>
      <c r="E13">
        <f>TrnStat.asc!E65</f>
        <v>23</v>
      </c>
      <c r="F13">
        <f>TrnStat.asc!F65</f>
        <v>382</v>
      </c>
      <c r="G13">
        <f>TrnStat.asc!G65</f>
        <v>566</v>
      </c>
      <c r="H13">
        <f>TrnStat.asc!H65</f>
        <v>520</v>
      </c>
      <c r="I13">
        <f>TrnStat.asc!I65</f>
        <v>182</v>
      </c>
      <c r="J13" t="str">
        <f>TrnStat.asc!J65</f>
        <v>|</v>
      </c>
      <c r="K13">
        <f>TrnStat.asc!K65</f>
        <v>1650</v>
      </c>
      <c r="M13">
        <f t="shared" si="0"/>
        <v>1650</v>
      </c>
      <c r="N13">
        <f t="shared" si="1"/>
        <v>1650</v>
      </c>
    </row>
    <row r="14" spans="2:14" x14ac:dyDescent="0.45">
      <c r="B14">
        <f>TrnStat.asc!B66</f>
        <v>28</v>
      </c>
      <c r="C14">
        <f>TrnStat.asc!C66</f>
        <v>1</v>
      </c>
      <c r="D14" t="str">
        <f>TrnStat.asc!D66</f>
        <v>Rte</v>
      </c>
      <c r="E14">
        <f>TrnStat.asc!E66</f>
        <v>28</v>
      </c>
      <c r="F14">
        <f>TrnStat.asc!F66</f>
        <v>22</v>
      </c>
      <c r="G14">
        <f>TrnStat.asc!G66</f>
        <v>0</v>
      </c>
      <c r="H14">
        <f>TrnStat.asc!H66</f>
        <v>22</v>
      </c>
      <c r="I14">
        <f>TrnStat.asc!I66</f>
        <v>0</v>
      </c>
      <c r="J14" t="str">
        <f>TrnStat.asc!J66</f>
        <v>|</v>
      </c>
      <c r="K14">
        <f>TrnStat.asc!K66</f>
        <v>45</v>
      </c>
      <c r="M14">
        <f t="shared" si="0"/>
        <v>45</v>
      </c>
      <c r="N14">
        <f t="shared" si="1"/>
        <v>45</v>
      </c>
    </row>
    <row r="15" spans="2:14" x14ac:dyDescent="0.45">
      <c r="B15">
        <f>TrnStat.asc!B67</f>
        <v>29</v>
      </c>
      <c r="C15">
        <f>TrnStat.asc!C67</f>
        <v>1</v>
      </c>
      <c r="D15" t="str">
        <f>TrnStat.asc!D67</f>
        <v>Rte</v>
      </c>
      <c r="E15">
        <f>TrnStat.asc!E67</f>
        <v>29</v>
      </c>
      <c r="F15">
        <f>TrnStat.asc!F67</f>
        <v>170</v>
      </c>
      <c r="G15">
        <f>TrnStat.asc!G67</f>
        <v>167</v>
      </c>
      <c r="H15">
        <f>TrnStat.asc!H67</f>
        <v>185</v>
      </c>
      <c r="I15">
        <f>TrnStat.asc!I67</f>
        <v>61</v>
      </c>
      <c r="J15" t="str">
        <f>TrnStat.asc!J67</f>
        <v>|</v>
      </c>
      <c r="K15">
        <f>TrnStat.asc!K67</f>
        <v>582</v>
      </c>
      <c r="M15">
        <f t="shared" si="0"/>
        <v>582</v>
      </c>
      <c r="N15">
        <f t="shared" si="1"/>
        <v>582</v>
      </c>
    </row>
    <row r="16" spans="2:14" x14ac:dyDescent="0.45">
      <c r="B16">
        <f>TrnStat.asc!B68</f>
        <v>34</v>
      </c>
      <c r="C16">
        <f>TrnStat.asc!C68</f>
        <v>1</v>
      </c>
      <c r="D16" t="str">
        <f>TrnStat.asc!D68</f>
        <v>Rte</v>
      </c>
      <c r="E16">
        <f>TrnStat.asc!E68</f>
        <v>34</v>
      </c>
      <c r="F16">
        <f>TrnStat.asc!F68</f>
        <v>5</v>
      </c>
      <c r="G16">
        <f>TrnStat.asc!G68</f>
        <v>15</v>
      </c>
      <c r="H16">
        <f>TrnStat.asc!H68</f>
        <v>16</v>
      </c>
      <c r="I16">
        <f>TrnStat.asc!I68</f>
        <v>7</v>
      </c>
      <c r="J16" t="str">
        <f>TrnStat.asc!J68</f>
        <v>|</v>
      </c>
      <c r="K16">
        <f>TrnStat.asc!K68</f>
        <v>44</v>
      </c>
      <c r="M16">
        <f t="shared" si="0"/>
        <v>44</v>
      </c>
      <c r="N16">
        <f t="shared" si="1"/>
        <v>44</v>
      </c>
    </row>
    <row r="17" spans="2:14" x14ac:dyDescent="0.45">
      <c r="B17">
        <f>TrnStat.asc!B69</f>
        <v>41</v>
      </c>
      <c r="C17">
        <f>TrnStat.asc!C69</f>
        <v>1</v>
      </c>
      <c r="D17" t="str">
        <f>TrnStat.asc!D69</f>
        <v>Rte</v>
      </c>
      <c r="E17">
        <f>TrnStat.asc!E69</f>
        <v>41</v>
      </c>
      <c r="F17">
        <f>TrnStat.asc!F69</f>
        <v>21</v>
      </c>
      <c r="G17">
        <f>TrnStat.asc!G69</f>
        <v>0</v>
      </c>
      <c r="H17">
        <f>TrnStat.asc!H69</f>
        <v>2</v>
      </c>
      <c r="I17">
        <f>TrnStat.asc!I69</f>
        <v>4</v>
      </c>
      <c r="J17" t="str">
        <f>TrnStat.asc!J69</f>
        <v>|</v>
      </c>
      <c r="K17">
        <f>TrnStat.asc!K69</f>
        <v>27</v>
      </c>
      <c r="M17">
        <f t="shared" si="0"/>
        <v>27</v>
      </c>
      <c r="N17">
        <f t="shared" si="1"/>
        <v>27</v>
      </c>
    </row>
    <row r="18" spans="2:14" x14ac:dyDescent="0.45">
      <c r="B18">
        <f>TrnStat.asc!B70</f>
        <v>42</v>
      </c>
      <c r="C18">
        <f>TrnStat.asc!C70</f>
        <v>1</v>
      </c>
      <c r="D18" t="str">
        <f>TrnStat.asc!D70</f>
        <v>Rte</v>
      </c>
      <c r="E18">
        <f>TrnStat.asc!E70</f>
        <v>42</v>
      </c>
      <c r="F18">
        <f>TrnStat.asc!F70</f>
        <v>140</v>
      </c>
      <c r="G18">
        <f>TrnStat.asc!G70</f>
        <v>154</v>
      </c>
      <c r="H18">
        <f>TrnStat.asc!H70</f>
        <v>304</v>
      </c>
      <c r="I18">
        <f>TrnStat.asc!I70</f>
        <v>117</v>
      </c>
      <c r="J18" t="str">
        <f>TrnStat.asc!J70</f>
        <v>|</v>
      </c>
      <c r="K18">
        <f>TrnStat.asc!K70</f>
        <v>716</v>
      </c>
      <c r="M18">
        <f t="shared" si="0"/>
        <v>716</v>
      </c>
      <c r="N18">
        <f t="shared" si="1"/>
        <v>716</v>
      </c>
    </row>
    <row r="19" spans="2:14" x14ac:dyDescent="0.45">
      <c r="B19">
        <f>TrnStat.asc!B71</f>
        <v>50</v>
      </c>
      <c r="C19">
        <f>TrnStat.asc!C71</f>
        <v>1</v>
      </c>
      <c r="D19" t="str">
        <f>TrnStat.asc!D71</f>
        <v>Rte</v>
      </c>
      <c r="E19">
        <f>TrnStat.asc!E71</f>
        <v>50</v>
      </c>
      <c r="F19">
        <f>TrnStat.asc!F71</f>
        <v>622</v>
      </c>
      <c r="G19">
        <f>TrnStat.asc!G71</f>
        <v>997</v>
      </c>
      <c r="H19">
        <f>TrnStat.asc!H71</f>
        <v>868</v>
      </c>
      <c r="I19">
        <f>TrnStat.asc!I71</f>
        <v>288</v>
      </c>
      <c r="J19" t="str">
        <f>TrnStat.asc!J71</f>
        <v>|</v>
      </c>
      <c r="K19">
        <f>TrnStat.asc!K71</f>
        <v>2777</v>
      </c>
      <c r="M19">
        <f t="shared" si="0"/>
        <v>2777</v>
      </c>
      <c r="N19">
        <f t="shared" si="1"/>
        <v>2777</v>
      </c>
    </row>
    <row r="20" spans="2:14" x14ac:dyDescent="0.45">
      <c r="B20">
        <f>TrnStat.asc!B72</f>
        <v>52</v>
      </c>
      <c r="C20">
        <f>TrnStat.asc!C72</f>
        <v>1</v>
      </c>
      <c r="D20" t="str">
        <f>TrnStat.asc!D72</f>
        <v>Rte</v>
      </c>
      <c r="E20">
        <f>TrnStat.asc!E72</f>
        <v>52</v>
      </c>
      <c r="F20">
        <f>TrnStat.asc!F72</f>
        <v>752</v>
      </c>
      <c r="G20">
        <f>TrnStat.asc!G72</f>
        <v>978</v>
      </c>
      <c r="H20">
        <f>TrnStat.asc!H72</f>
        <v>978</v>
      </c>
      <c r="I20">
        <f>TrnStat.asc!I72</f>
        <v>519</v>
      </c>
      <c r="J20" t="str">
        <f>TrnStat.asc!J72</f>
        <v>|</v>
      </c>
      <c r="K20">
        <f>TrnStat.asc!K72</f>
        <v>3228</v>
      </c>
      <c r="M20">
        <f t="shared" si="0"/>
        <v>3228</v>
      </c>
      <c r="N20">
        <f t="shared" si="1"/>
        <v>3228</v>
      </c>
    </row>
    <row r="21" spans="2:14" x14ac:dyDescent="0.45">
      <c r="B21">
        <f>TrnStat.asc!B73</f>
        <v>55</v>
      </c>
      <c r="C21">
        <f>TrnStat.asc!C73</f>
        <v>1</v>
      </c>
      <c r="D21" t="str">
        <f>TrnStat.asc!D73</f>
        <v>Rte</v>
      </c>
      <c r="E21">
        <f>TrnStat.asc!E73</f>
        <v>55</v>
      </c>
      <c r="F21">
        <f>TrnStat.asc!F73</f>
        <v>939</v>
      </c>
      <c r="G21">
        <f>TrnStat.asc!G73</f>
        <v>1487</v>
      </c>
      <c r="H21">
        <f>TrnStat.asc!H73</f>
        <v>1208</v>
      </c>
      <c r="I21">
        <f>TrnStat.asc!I73</f>
        <v>487</v>
      </c>
      <c r="J21" t="str">
        <f>TrnStat.asc!J73</f>
        <v>|</v>
      </c>
      <c r="K21">
        <f>TrnStat.asc!K73</f>
        <v>4122</v>
      </c>
      <c r="M21">
        <f t="shared" si="0"/>
        <v>4122</v>
      </c>
      <c r="N21">
        <f t="shared" si="1"/>
        <v>4122</v>
      </c>
    </row>
    <row r="22" spans="2:14" x14ac:dyDescent="0.45">
      <c r="B22">
        <f>TrnStat.asc!B74</f>
        <v>56</v>
      </c>
      <c r="C22">
        <f>TrnStat.asc!C74</f>
        <v>8</v>
      </c>
      <c r="D22" t="str">
        <f>TrnStat.asc!D74</f>
        <v>Rte</v>
      </c>
      <c r="E22">
        <f>TrnStat.asc!E74</f>
        <v>56</v>
      </c>
      <c r="F22">
        <f>TrnStat.asc!F74</f>
        <v>1102</v>
      </c>
      <c r="G22">
        <f>TrnStat.asc!G74</f>
        <v>1308</v>
      </c>
      <c r="H22">
        <f>TrnStat.asc!H74</f>
        <v>1528</v>
      </c>
      <c r="I22">
        <f>TrnStat.asc!I74</f>
        <v>374</v>
      </c>
      <c r="J22" t="str">
        <f>TrnStat.asc!J74</f>
        <v>|</v>
      </c>
      <c r="K22">
        <f>TrnStat.asc!K74</f>
        <v>4313</v>
      </c>
      <c r="M22">
        <f t="shared" si="0"/>
        <v>4313</v>
      </c>
      <c r="N22">
        <f t="shared" si="1"/>
        <v>4313</v>
      </c>
    </row>
    <row r="23" spans="2:14" x14ac:dyDescent="0.45">
      <c r="B23">
        <f>TrnStat.asc!B75</f>
        <v>64</v>
      </c>
      <c r="C23">
        <f>TrnStat.asc!C75</f>
        <v>11</v>
      </c>
      <c r="D23" t="str">
        <f>TrnStat.asc!D75</f>
        <v>Rte</v>
      </c>
      <c r="E23">
        <f>TrnStat.asc!E75</f>
        <v>64</v>
      </c>
      <c r="F23">
        <f>TrnStat.asc!F75</f>
        <v>128</v>
      </c>
      <c r="G23">
        <f>TrnStat.asc!G75</f>
        <v>0</v>
      </c>
      <c r="H23">
        <f>TrnStat.asc!H75</f>
        <v>418</v>
      </c>
      <c r="I23">
        <f>TrnStat.asc!I75</f>
        <v>0</v>
      </c>
      <c r="J23" t="str">
        <f>TrnStat.asc!J75</f>
        <v>|</v>
      </c>
      <c r="K23">
        <f>TrnStat.asc!K75</f>
        <v>547</v>
      </c>
      <c r="M23">
        <f t="shared" si="0"/>
        <v>547</v>
      </c>
      <c r="N23">
        <f t="shared" si="1"/>
        <v>547</v>
      </c>
    </row>
    <row r="24" spans="2:14" x14ac:dyDescent="0.45">
      <c r="B24">
        <f>TrnStat.asc!B76</f>
        <v>70</v>
      </c>
      <c r="C24">
        <f>TrnStat.asc!C76</f>
        <v>1</v>
      </c>
      <c r="D24" t="str">
        <f>TrnStat.asc!D76</f>
        <v>Rte</v>
      </c>
      <c r="E24">
        <f>TrnStat.asc!E76</f>
        <v>70</v>
      </c>
      <c r="F24">
        <f>TrnStat.asc!F76</f>
        <v>12</v>
      </c>
      <c r="G24">
        <f>TrnStat.asc!G76</f>
        <v>8</v>
      </c>
      <c r="H24">
        <f>TrnStat.asc!H76</f>
        <v>12</v>
      </c>
      <c r="I24">
        <f>TrnStat.asc!I76</f>
        <v>0</v>
      </c>
      <c r="J24" t="str">
        <f>TrnStat.asc!J76</f>
        <v>|</v>
      </c>
      <c r="K24">
        <f>TrnStat.asc!K76</f>
        <v>31</v>
      </c>
      <c r="M24">
        <f t="shared" si="0"/>
        <v>31</v>
      </c>
      <c r="N24">
        <f t="shared" si="1"/>
        <v>31</v>
      </c>
    </row>
    <row r="25" spans="2:14" x14ac:dyDescent="0.45">
      <c r="B25">
        <f>TrnStat.asc!B77</f>
        <v>75</v>
      </c>
      <c r="C25">
        <f>TrnStat.asc!C77</f>
        <v>1</v>
      </c>
      <c r="D25" t="str">
        <f>TrnStat.asc!D77</f>
        <v>Rte</v>
      </c>
      <c r="E25">
        <f>TrnStat.asc!E77</f>
        <v>75</v>
      </c>
      <c r="F25">
        <f>TrnStat.asc!F77</f>
        <v>57</v>
      </c>
      <c r="G25">
        <f>TrnStat.asc!G77</f>
        <v>52</v>
      </c>
      <c r="H25">
        <f>TrnStat.asc!H77</f>
        <v>37</v>
      </c>
      <c r="I25">
        <f>TrnStat.asc!I77</f>
        <v>0</v>
      </c>
      <c r="J25" t="str">
        <f>TrnStat.asc!J77</f>
        <v>|</v>
      </c>
      <c r="K25">
        <f>TrnStat.asc!K77</f>
        <v>147</v>
      </c>
      <c r="M25">
        <f t="shared" si="0"/>
        <v>147</v>
      </c>
      <c r="N25">
        <f t="shared" si="1"/>
        <v>147</v>
      </c>
    </row>
    <row r="26" spans="2:14" x14ac:dyDescent="0.45">
      <c r="B26">
        <f>TrnStat.asc!B78</f>
        <v>76</v>
      </c>
      <c r="C26">
        <f>TrnStat.asc!C78</f>
        <v>1</v>
      </c>
      <c r="D26" t="str">
        <f>TrnStat.asc!D78</f>
        <v>Rte</v>
      </c>
      <c r="E26">
        <f>TrnStat.asc!E78</f>
        <v>76</v>
      </c>
      <c r="F26">
        <f>TrnStat.asc!F78</f>
        <v>17</v>
      </c>
      <c r="G26">
        <f>TrnStat.asc!G78</f>
        <v>25</v>
      </c>
      <c r="H26">
        <f>TrnStat.asc!H78</f>
        <v>33</v>
      </c>
      <c r="I26">
        <f>TrnStat.asc!I78</f>
        <v>3</v>
      </c>
      <c r="J26" t="str">
        <f>TrnStat.asc!J78</f>
        <v>|</v>
      </c>
      <c r="K26">
        <f>TrnStat.asc!K78</f>
        <v>78</v>
      </c>
      <c r="M26">
        <f t="shared" si="0"/>
        <v>78</v>
      </c>
      <c r="N26">
        <f t="shared" si="1"/>
        <v>78</v>
      </c>
    </row>
    <row r="27" spans="2:14" x14ac:dyDescent="0.45">
      <c r="B27">
        <f>TrnStat.asc!B79</f>
        <v>77</v>
      </c>
      <c r="C27">
        <f>TrnStat.asc!C79</f>
        <v>1</v>
      </c>
      <c r="D27" t="str">
        <f>TrnStat.asc!D79</f>
        <v>Rte</v>
      </c>
      <c r="E27">
        <f>TrnStat.asc!E79</f>
        <v>77</v>
      </c>
      <c r="F27">
        <f>TrnStat.asc!F79</f>
        <v>21</v>
      </c>
      <c r="G27">
        <f>TrnStat.asc!G79</f>
        <v>30</v>
      </c>
      <c r="H27">
        <f>TrnStat.asc!H79</f>
        <v>23</v>
      </c>
      <c r="I27">
        <f>TrnStat.asc!I79</f>
        <v>14</v>
      </c>
      <c r="J27" t="str">
        <f>TrnStat.asc!J79</f>
        <v>|</v>
      </c>
      <c r="K27">
        <f>TrnStat.asc!K79</f>
        <v>90</v>
      </c>
      <c r="M27">
        <f t="shared" si="0"/>
        <v>90</v>
      </c>
      <c r="N27">
        <f t="shared" si="1"/>
        <v>90</v>
      </c>
    </row>
    <row r="28" spans="2:14" x14ac:dyDescent="0.45">
      <c r="B28">
        <f>TrnStat.asc!B80</f>
        <v>79</v>
      </c>
      <c r="C28">
        <f>TrnStat.asc!C80</f>
        <v>1</v>
      </c>
      <c r="D28" t="str">
        <f>TrnStat.asc!D80</f>
        <v>Rte</v>
      </c>
      <c r="E28">
        <f>TrnStat.asc!E80</f>
        <v>79</v>
      </c>
      <c r="F28">
        <f>TrnStat.asc!F80</f>
        <v>20</v>
      </c>
      <c r="G28">
        <f>TrnStat.asc!G80</f>
        <v>20</v>
      </c>
      <c r="H28">
        <f>TrnStat.asc!H80</f>
        <v>28</v>
      </c>
      <c r="I28">
        <f>TrnStat.asc!I80</f>
        <v>4</v>
      </c>
      <c r="J28" t="str">
        <f>TrnStat.asc!J80</f>
        <v>|</v>
      </c>
      <c r="K28">
        <f>TrnStat.asc!K80</f>
        <v>71</v>
      </c>
      <c r="M28">
        <f t="shared" si="0"/>
        <v>71</v>
      </c>
      <c r="N28">
        <f t="shared" si="1"/>
        <v>71</v>
      </c>
    </row>
    <row r="29" spans="2:14" x14ac:dyDescent="0.45">
      <c r="B29">
        <f>TrnStat.asc!B81</f>
        <v>84</v>
      </c>
      <c r="C29">
        <f>TrnStat.asc!C81</f>
        <v>6</v>
      </c>
      <c r="D29" t="str">
        <f>TrnStat.asc!D81</f>
        <v>Rte</v>
      </c>
      <c r="E29">
        <f>TrnStat.asc!E81</f>
        <v>84</v>
      </c>
      <c r="F29">
        <f>TrnStat.asc!F81</f>
        <v>35</v>
      </c>
      <c r="G29">
        <f>TrnStat.asc!G81</f>
        <v>58</v>
      </c>
      <c r="H29">
        <f>TrnStat.asc!H81</f>
        <v>45</v>
      </c>
      <c r="I29">
        <f>TrnStat.asc!I81</f>
        <v>18</v>
      </c>
      <c r="J29" t="str">
        <f>TrnStat.asc!J81</f>
        <v>|</v>
      </c>
      <c r="K29">
        <f>TrnStat.asc!K81</f>
        <v>156</v>
      </c>
      <c r="M29">
        <f t="shared" si="0"/>
        <v>156</v>
      </c>
      <c r="N29">
        <f t="shared" si="1"/>
        <v>156</v>
      </c>
    </row>
    <row r="30" spans="2:14" x14ac:dyDescent="0.45">
      <c r="B30">
        <f>TrnStat.asc!B82</f>
        <v>87</v>
      </c>
      <c r="C30">
        <f>TrnStat.asc!C82</f>
        <v>7</v>
      </c>
      <c r="D30" t="str">
        <f>TrnStat.asc!D82</f>
        <v>Rte</v>
      </c>
      <c r="E30">
        <f>TrnStat.asc!E82</f>
        <v>87</v>
      </c>
      <c r="F30">
        <f>TrnStat.asc!F82</f>
        <v>3</v>
      </c>
      <c r="G30">
        <f>TrnStat.asc!G82</f>
        <v>0</v>
      </c>
      <c r="H30">
        <f>TrnStat.asc!H82</f>
        <v>4</v>
      </c>
      <c r="I30">
        <f>TrnStat.asc!I82</f>
        <v>0</v>
      </c>
      <c r="J30" t="str">
        <f>TrnStat.asc!J82</f>
        <v>|</v>
      </c>
      <c r="K30">
        <f>TrnStat.asc!K82</f>
        <v>7</v>
      </c>
      <c r="M30">
        <f t="shared" si="0"/>
        <v>7</v>
      </c>
      <c r="N30">
        <f t="shared" si="1"/>
        <v>7</v>
      </c>
    </row>
    <row r="31" spans="2:14" x14ac:dyDescent="0.45">
      <c r="B31">
        <f>TrnStat.asc!B83</f>
        <v>89</v>
      </c>
      <c r="C31">
        <f>TrnStat.asc!C83</f>
        <v>6</v>
      </c>
      <c r="D31" t="str">
        <f>TrnStat.asc!D83</f>
        <v>Rte</v>
      </c>
      <c r="E31">
        <f>TrnStat.asc!E83</f>
        <v>89</v>
      </c>
      <c r="F31">
        <f>TrnStat.asc!F83</f>
        <v>2</v>
      </c>
      <c r="G31">
        <f>TrnStat.asc!G83</f>
        <v>0</v>
      </c>
      <c r="H31">
        <f>TrnStat.asc!H83</f>
        <v>4</v>
      </c>
      <c r="I31">
        <f>TrnStat.asc!I83</f>
        <v>0</v>
      </c>
      <c r="J31" t="str">
        <f>TrnStat.asc!J83</f>
        <v>|</v>
      </c>
      <c r="K31">
        <f>TrnStat.asc!K83</f>
        <v>6</v>
      </c>
      <c r="M31">
        <f t="shared" si="0"/>
        <v>6</v>
      </c>
      <c r="N31">
        <f t="shared" si="1"/>
        <v>6</v>
      </c>
    </row>
    <row r="32" spans="2:14" x14ac:dyDescent="0.45">
      <c r="B32">
        <f>TrnStat.asc!B84</f>
        <v>90</v>
      </c>
      <c r="C32">
        <f>TrnStat.asc!C84</f>
        <v>12</v>
      </c>
      <c r="D32" t="str">
        <f>TrnStat.asc!D84</f>
        <v>Rte</v>
      </c>
      <c r="E32">
        <f>TrnStat.asc!E84</f>
        <v>90</v>
      </c>
      <c r="F32">
        <f>TrnStat.asc!F84</f>
        <v>30</v>
      </c>
      <c r="G32">
        <f>TrnStat.asc!G84</f>
        <v>0</v>
      </c>
      <c r="H32">
        <f>TrnStat.asc!H84</f>
        <v>12</v>
      </c>
      <c r="I32">
        <f>TrnStat.asc!I84</f>
        <v>0</v>
      </c>
      <c r="J32" t="str">
        <f>TrnStat.asc!J84</f>
        <v>|</v>
      </c>
      <c r="K32">
        <f>TrnStat.asc!K84</f>
        <v>40</v>
      </c>
      <c r="M32">
        <f t="shared" si="0"/>
        <v>40</v>
      </c>
      <c r="N32">
        <f t="shared" si="1"/>
        <v>40</v>
      </c>
    </row>
    <row r="33" spans="2:14" x14ac:dyDescent="0.45">
      <c r="B33">
        <f>TrnStat.asc!B85</f>
        <v>93</v>
      </c>
      <c r="C33">
        <f>TrnStat.asc!C85</f>
        <v>11</v>
      </c>
      <c r="D33" t="str">
        <f>TrnStat.asc!D85</f>
        <v>Rte</v>
      </c>
      <c r="E33">
        <f>TrnStat.asc!E85</f>
        <v>93</v>
      </c>
      <c r="F33">
        <f>TrnStat.asc!F85</f>
        <v>139</v>
      </c>
      <c r="G33">
        <f>TrnStat.asc!G85</f>
        <v>0</v>
      </c>
      <c r="H33">
        <f>TrnStat.asc!H85</f>
        <v>505</v>
      </c>
      <c r="I33">
        <f>TrnStat.asc!I85</f>
        <v>0</v>
      </c>
      <c r="J33" t="str">
        <f>TrnStat.asc!J85</f>
        <v>|</v>
      </c>
      <c r="K33">
        <f>TrnStat.asc!K85</f>
        <v>644</v>
      </c>
      <c r="M33">
        <f t="shared" si="0"/>
        <v>644</v>
      </c>
      <c r="N33">
        <f t="shared" si="1"/>
        <v>644</v>
      </c>
    </row>
    <row r="34" spans="2:14" x14ac:dyDescent="0.45">
      <c r="B34">
        <f>TrnStat.asc!B86</f>
        <v>95</v>
      </c>
      <c r="C34">
        <f>TrnStat.asc!C86</f>
        <v>6</v>
      </c>
      <c r="D34" t="str">
        <f>TrnStat.asc!D86</f>
        <v>Rte</v>
      </c>
      <c r="E34">
        <f>TrnStat.asc!E86</f>
        <v>95</v>
      </c>
      <c r="F34">
        <f>TrnStat.asc!F86</f>
        <v>5</v>
      </c>
      <c r="G34">
        <f>TrnStat.asc!G86</f>
        <v>0</v>
      </c>
      <c r="H34">
        <f>TrnStat.asc!H86</f>
        <v>4</v>
      </c>
      <c r="I34">
        <f>TrnStat.asc!I86</f>
        <v>0</v>
      </c>
      <c r="J34" t="str">
        <f>TrnStat.asc!J86</f>
        <v>|</v>
      </c>
      <c r="K34">
        <f>TrnStat.asc!K86</f>
        <v>11</v>
      </c>
      <c r="M34">
        <f t="shared" ref="M34:M52" si="2">IF(ISNUMBER(K34),K34,CONCATENATE(LEFT(K34,2),RIGHT(K34,3)))</f>
        <v>11</v>
      </c>
      <c r="N34">
        <f t="shared" ref="N34:N65" si="3">VALUE(M34)</f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5"/>
  <sheetViews>
    <sheetView workbookViewId="0">
      <selection activeCell="A13" sqref="A13"/>
    </sheetView>
  </sheetViews>
  <sheetFormatPr defaultRowHeight="14.25" x14ac:dyDescent="0.45"/>
  <cols>
    <col min="1" max="1" width="6.265625" bestFit="1" customWidth="1"/>
  </cols>
  <sheetData>
    <row r="1" spans="1:2" x14ac:dyDescent="0.45">
      <c r="A1" t="s">
        <v>760</v>
      </c>
      <c r="B1" t="s">
        <v>754</v>
      </c>
    </row>
    <row r="2" spans="1:2" x14ac:dyDescent="0.45">
      <c r="A2" s="26">
        <v>3</v>
      </c>
      <c r="B2" t="s">
        <v>718</v>
      </c>
    </row>
    <row r="3" spans="1:2" x14ac:dyDescent="0.45">
      <c r="A3" s="26">
        <v>4</v>
      </c>
      <c r="B3" t="s">
        <v>719</v>
      </c>
    </row>
    <row r="4" spans="1:2" x14ac:dyDescent="0.45">
      <c r="A4" s="26">
        <v>6</v>
      </c>
      <c r="B4" t="s">
        <v>720</v>
      </c>
    </row>
    <row r="5" spans="1:2" x14ac:dyDescent="0.45">
      <c r="A5" s="26">
        <v>7</v>
      </c>
      <c r="B5" t="s">
        <v>721</v>
      </c>
    </row>
    <row r="6" spans="1:2" x14ac:dyDescent="0.45">
      <c r="A6" s="26">
        <v>8</v>
      </c>
      <c r="B6" t="s">
        <v>722</v>
      </c>
    </row>
    <row r="7" spans="1:2" x14ac:dyDescent="0.45">
      <c r="A7" s="26">
        <v>9</v>
      </c>
      <c r="B7" t="s">
        <v>723</v>
      </c>
    </row>
    <row r="8" spans="1:2" x14ac:dyDescent="0.45">
      <c r="A8" s="26">
        <v>14</v>
      </c>
      <c r="B8" t="s">
        <v>724</v>
      </c>
    </row>
    <row r="9" spans="1:2" x14ac:dyDescent="0.45">
      <c r="A9" s="26">
        <v>17</v>
      </c>
      <c r="B9" t="s">
        <v>725</v>
      </c>
    </row>
    <row r="10" spans="1:2" x14ac:dyDescent="0.45">
      <c r="A10" s="26">
        <v>18</v>
      </c>
      <c r="B10" t="s">
        <v>726</v>
      </c>
    </row>
    <row r="11" spans="1:2" x14ac:dyDescent="0.45">
      <c r="A11" s="26">
        <v>19</v>
      </c>
      <c r="B11" t="s">
        <v>727</v>
      </c>
    </row>
    <row r="12" spans="1:2" x14ac:dyDescent="0.45">
      <c r="A12" s="26">
        <v>22</v>
      </c>
      <c r="B12" t="s">
        <v>728</v>
      </c>
    </row>
    <row r="13" spans="1:2" x14ac:dyDescent="0.45">
      <c r="A13" s="26">
        <v>23</v>
      </c>
      <c r="B13" t="s">
        <v>729</v>
      </c>
    </row>
    <row r="14" spans="1:2" x14ac:dyDescent="0.45">
      <c r="A14" s="26">
        <v>28</v>
      </c>
      <c r="B14" t="s">
        <v>730</v>
      </c>
    </row>
    <row r="15" spans="1:2" x14ac:dyDescent="0.45">
      <c r="A15" s="26">
        <v>29</v>
      </c>
      <c r="B15" t="s">
        <v>731</v>
      </c>
    </row>
    <row r="16" spans="1:2" x14ac:dyDescent="0.45">
      <c r="A16" s="26">
        <v>34</v>
      </c>
      <c r="B16" t="s">
        <v>732</v>
      </c>
    </row>
    <row r="17" spans="1:2" x14ac:dyDescent="0.45">
      <c r="A17" s="26">
        <v>41</v>
      </c>
      <c r="B17" t="s">
        <v>733</v>
      </c>
    </row>
    <row r="18" spans="1:2" x14ac:dyDescent="0.45">
      <c r="A18" s="26">
        <v>42</v>
      </c>
      <c r="B18" t="s">
        <v>734</v>
      </c>
    </row>
    <row r="19" spans="1:2" x14ac:dyDescent="0.45">
      <c r="A19" s="26">
        <v>50</v>
      </c>
      <c r="B19" t="s">
        <v>735</v>
      </c>
    </row>
    <row r="20" spans="1:2" x14ac:dyDescent="0.45">
      <c r="A20" s="26">
        <v>52</v>
      </c>
      <c r="B20" t="s">
        <v>736</v>
      </c>
    </row>
    <row r="21" spans="1:2" x14ac:dyDescent="0.45">
      <c r="A21" s="26">
        <v>55</v>
      </c>
      <c r="B21" t="s">
        <v>737</v>
      </c>
    </row>
    <row r="22" spans="1:2" x14ac:dyDescent="0.45">
      <c r="A22" s="26">
        <v>56</v>
      </c>
      <c r="B22" t="s">
        <v>738</v>
      </c>
    </row>
    <row r="23" spans="1:2" x14ac:dyDescent="0.45">
      <c r="A23" s="26">
        <v>64</v>
      </c>
      <c r="B23" t="s">
        <v>739</v>
      </c>
    </row>
    <row r="24" spans="1:2" x14ac:dyDescent="0.45">
      <c r="A24" s="26">
        <v>70</v>
      </c>
      <c r="B24" t="s">
        <v>740</v>
      </c>
    </row>
    <row r="25" spans="1:2" x14ac:dyDescent="0.45">
      <c r="A25" s="26">
        <v>75</v>
      </c>
      <c r="B25" t="s">
        <v>741</v>
      </c>
    </row>
    <row r="26" spans="1:2" x14ac:dyDescent="0.45">
      <c r="A26" s="26">
        <v>76</v>
      </c>
      <c r="B26" t="s">
        <v>742</v>
      </c>
    </row>
    <row r="27" spans="1:2" x14ac:dyDescent="0.45">
      <c r="A27" s="26">
        <v>77</v>
      </c>
      <c r="B27" t="s">
        <v>743</v>
      </c>
    </row>
    <row r="28" spans="1:2" x14ac:dyDescent="0.45">
      <c r="A28" s="26">
        <v>79</v>
      </c>
      <c r="B28" t="s">
        <v>744</v>
      </c>
    </row>
    <row r="29" spans="1:2" x14ac:dyDescent="0.45">
      <c r="A29" s="26">
        <v>84</v>
      </c>
      <c r="B29" t="s">
        <v>745</v>
      </c>
    </row>
    <row r="30" spans="1:2" x14ac:dyDescent="0.45">
      <c r="A30" s="26">
        <v>86</v>
      </c>
      <c r="B30" t="s">
        <v>746</v>
      </c>
    </row>
    <row r="31" spans="1:2" x14ac:dyDescent="0.45">
      <c r="A31" s="26">
        <v>87</v>
      </c>
      <c r="B31" t="s">
        <v>747</v>
      </c>
    </row>
    <row r="32" spans="1:2" x14ac:dyDescent="0.45">
      <c r="A32" s="26">
        <v>89</v>
      </c>
      <c r="B32" t="s">
        <v>748</v>
      </c>
    </row>
    <row r="33" spans="1:2" x14ac:dyDescent="0.45">
      <c r="A33" s="26">
        <v>90</v>
      </c>
      <c r="B33" t="s">
        <v>749</v>
      </c>
    </row>
    <row r="34" spans="1:2" x14ac:dyDescent="0.45">
      <c r="A34" s="26">
        <v>93</v>
      </c>
      <c r="B34" t="s">
        <v>750</v>
      </c>
    </row>
    <row r="35" spans="1:2" x14ac:dyDescent="0.45">
      <c r="A35" s="26">
        <v>95</v>
      </c>
      <c r="B35" t="s">
        <v>751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4"/>
  <sheetViews>
    <sheetView workbookViewId="0">
      <selection activeCell="E22" sqref="E22"/>
    </sheetView>
  </sheetViews>
  <sheetFormatPr defaultRowHeight="14.25" x14ac:dyDescent="0.45"/>
  <cols>
    <col min="2" max="4" width="35.86328125" bestFit="1" customWidth="1"/>
    <col min="9" max="9" width="10.59765625" style="112" bestFit="1" customWidth="1"/>
    <col min="10" max="10" width="33" style="112" bestFit="1" customWidth="1"/>
    <col min="11" max="13" width="9.1328125" style="112" customWidth="1"/>
  </cols>
  <sheetData>
    <row r="1" spans="1:13" x14ac:dyDescent="0.45">
      <c r="A1" s="4" t="s">
        <v>761</v>
      </c>
      <c r="B1" s="4" t="s">
        <v>762</v>
      </c>
      <c r="C1" s="4" t="s">
        <v>763</v>
      </c>
      <c r="D1" s="4" t="s">
        <v>754</v>
      </c>
      <c r="E1" s="22" t="s">
        <v>6</v>
      </c>
      <c r="F1" s="22" t="s">
        <v>764</v>
      </c>
      <c r="I1" s="112" t="s">
        <v>765</v>
      </c>
      <c r="J1" s="112" t="s">
        <v>766</v>
      </c>
      <c r="K1" s="112" t="s">
        <v>767</v>
      </c>
      <c r="L1" s="112" t="s">
        <v>6</v>
      </c>
      <c r="M1" s="112" t="s">
        <v>764</v>
      </c>
    </row>
    <row r="2" spans="1:13" x14ac:dyDescent="0.45">
      <c r="A2" s="112">
        <v>3</v>
      </c>
      <c r="B2" s="112" t="str">
        <f>VLOOKUP(A2,Obs_Ridership!$B:$D,3,FALSE)</f>
        <v>Rte 3 West End (Bellevue) IB</v>
      </c>
      <c r="C2" t="str">
        <f t="shared" ref="C2:C35" si="0">VLOOKUP(A2,$I:$L,2,FALSE)</f>
        <v>Rte 3 West End (White Bridge) IB</v>
      </c>
      <c r="D2" t="str">
        <f t="shared" ref="D2:D35" si="1">IF(ISNUMBER(SEARCH("IB",B2)),LEFT(B2,LEN(B2)-3),IF(ISNUMBER(SEARCH("OB",B2)),LEFT(B2,LEN(B2)-3),B2))</f>
        <v>Rte 3 West End (Bellevue)</v>
      </c>
      <c r="E2">
        <f t="shared" ref="E2:E35" si="2">VLOOKUP($B2,$J:$L,3,FALSE)</f>
        <v>1</v>
      </c>
      <c r="F2">
        <f t="shared" ref="F2:F35" si="3">VLOOKUP($B2,$J:$M,4,FALSE)</f>
        <v>54</v>
      </c>
      <c r="I2" s="112">
        <v>3</v>
      </c>
      <c r="J2" s="112" t="s">
        <v>768</v>
      </c>
      <c r="K2" s="112">
        <v>4</v>
      </c>
      <c r="L2" s="112">
        <v>1</v>
      </c>
      <c r="M2" s="112">
        <v>55</v>
      </c>
    </row>
    <row r="3" spans="1:13" x14ac:dyDescent="0.45">
      <c r="A3" s="112">
        <v>4</v>
      </c>
      <c r="B3" s="112" t="str">
        <f>VLOOKUP(A3,Obs_Ridership!$B:$D,3,FALSE)</f>
        <v>Rte 4 Shelby IB</v>
      </c>
      <c r="C3" t="str">
        <f t="shared" si="0"/>
        <v>Rte 4 Shelby IB</v>
      </c>
      <c r="D3" t="str">
        <f t="shared" si="1"/>
        <v>Rte 4 Shelby</v>
      </c>
      <c r="E3">
        <f t="shared" si="2"/>
        <v>1</v>
      </c>
      <c r="F3">
        <f t="shared" si="3"/>
        <v>57</v>
      </c>
      <c r="I3" s="112">
        <v>3</v>
      </c>
      <c r="J3" s="112" t="s">
        <v>718</v>
      </c>
      <c r="K3" s="112">
        <v>4</v>
      </c>
      <c r="L3" s="112">
        <v>1</v>
      </c>
      <c r="M3" s="112">
        <v>54</v>
      </c>
    </row>
    <row r="4" spans="1:13" x14ac:dyDescent="0.45">
      <c r="A4" s="112">
        <v>6</v>
      </c>
      <c r="B4" s="112" t="str">
        <f>VLOOKUP(A4,Obs_Ridership!$B:$D,3,FALSE)</f>
        <v>Rte 6 Lebanon Rd IB</v>
      </c>
      <c r="C4" t="str">
        <f t="shared" si="0"/>
        <v>Rte 6 Lebanon Rd OB</v>
      </c>
      <c r="D4" t="str">
        <f t="shared" si="1"/>
        <v>Rte 6 Lebanon Rd</v>
      </c>
      <c r="E4">
        <f t="shared" si="2"/>
        <v>1</v>
      </c>
      <c r="F4">
        <f t="shared" si="3"/>
        <v>67</v>
      </c>
      <c r="I4" s="112">
        <v>3</v>
      </c>
      <c r="J4" s="112" t="s">
        <v>769</v>
      </c>
      <c r="K4" s="112">
        <v>4</v>
      </c>
      <c r="L4" s="112">
        <v>1</v>
      </c>
      <c r="M4" s="112">
        <v>54</v>
      </c>
    </row>
    <row r="5" spans="1:13" x14ac:dyDescent="0.45">
      <c r="A5" s="112">
        <v>7</v>
      </c>
      <c r="B5" s="112" t="str">
        <f>VLOOKUP(A5,Obs_Ridership!$B:$D,3,FALSE)</f>
        <v>Rte 7 Hillsboro IB</v>
      </c>
      <c r="C5" t="str">
        <f t="shared" si="0"/>
        <v>Rte 7 Hillsboro IB</v>
      </c>
      <c r="D5" t="str">
        <f t="shared" si="1"/>
        <v>Rte 7 Hillsboro</v>
      </c>
      <c r="E5">
        <f t="shared" si="2"/>
        <v>1</v>
      </c>
      <c r="F5">
        <f t="shared" si="3"/>
        <v>68</v>
      </c>
      <c r="I5" s="112">
        <v>3</v>
      </c>
      <c r="J5" s="112" t="s">
        <v>770</v>
      </c>
      <c r="K5" s="112">
        <v>4</v>
      </c>
      <c r="L5" s="112">
        <v>1</v>
      </c>
      <c r="M5" s="112">
        <v>55</v>
      </c>
    </row>
    <row r="6" spans="1:13" x14ac:dyDescent="0.45">
      <c r="A6" s="112">
        <v>8</v>
      </c>
      <c r="B6" s="112" t="str">
        <f>VLOOKUP(A6,Obs_Ridership!$B:$D,3,FALSE)</f>
        <v>Rte 8 8TH AVENUE SOUTH iB</v>
      </c>
      <c r="C6" t="str">
        <f t="shared" si="0"/>
        <v>Rte 8 8TH AVENUE SOUTH iB</v>
      </c>
      <c r="D6" t="str">
        <f t="shared" si="1"/>
        <v>Rte 8 8TH AVENUE SOUTH</v>
      </c>
      <c r="E6">
        <f t="shared" si="2"/>
        <v>1</v>
      </c>
      <c r="F6">
        <f t="shared" si="3"/>
        <v>73</v>
      </c>
      <c r="I6" s="112">
        <v>4</v>
      </c>
      <c r="J6" s="112" t="s">
        <v>719</v>
      </c>
      <c r="K6" s="112">
        <v>4</v>
      </c>
      <c r="L6" s="112">
        <v>1</v>
      </c>
      <c r="M6" s="112">
        <v>57</v>
      </c>
    </row>
    <row r="7" spans="1:13" x14ac:dyDescent="0.45">
      <c r="A7" s="112">
        <v>9</v>
      </c>
      <c r="B7" s="112" t="str">
        <f>VLOOKUP(A7,Obs_Ridership!$B:$D,3,FALSE)</f>
        <v>Rte 9 MetroCenter IB</v>
      </c>
      <c r="C7" t="str">
        <f t="shared" si="0"/>
        <v>Rte 9 MetroCenter OB</v>
      </c>
      <c r="D7" t="str">
        <f t="shared" si="1"/>
        <v>Rte 9 MetroCenter</v>
      </c>
      <c r="E7">
        <f t="shared" si="2"/>
        <v>1</v>
      </c>
      <c r="F7">
        <f t="shared" si="3"/>
        <v>78</v>
      </c>
      <c r="I7" s="112">
        <v>4</v>
      </c>
      <c r="J7" s="112" t="s">
        <v>771</v>
      </c>
      <c r="K7" s="112">
        <v>4</v>
      </c>
      <c r="L7" s="112">
        <v>1</v>
      </c>
      <c r="M7" s="112">
        <v>57</v>
      </c>
    </row>
    <row r="8" spans="1:13" x14ac:dyDescent="0.45">
      <c r="A8" s="112">
        <v>14</v>
      </c>
      <c r="B8" s="112" t="str">
        <f>VLOOKUP(A8,Obs_Ridership!$B:$D,3,FALSE)</f>
        <v>Rte 14 WHITES CREEK iB</v>
      </c>
      <c r="C8" t="str">
        <f t="shared" si="0"/>
        <v>Rte 14 WHITES CREEK oB</v>
      </c>
      <c r="D8" t="str">
        <f t="shared" si="1"/>
        <v>Rte 14 WHITES CREEK</v>
      </c>
      <c r="E8">
        <f t="shared" si="2"/>
        <v>1</v>
      </c>
      <c r="F8">
        <f t="shared" si="3"/>
        <v>42</v>
      </c>
      <c r="I8" s="112">
        <v>6</v>
      </c>
      <c r="J8" s="112" t="s">
        <v>772</v>
      </c>
      <c r="K8" s="112">
        <v>4</v>
      </c>
      <c r="L8" s="112">
        <v>1</v>
      </c>
      <c r="M8" s="112">
        <v>67</v>
      </c>
    </row>
    <row r="9" spans="1:13" x14ac:dyDescent="0.45">
      <c r="A9" s="112">
        <v>17</v>
      </c>
      <c r="B9" s="112" t="str">
        <f>VLOOKUP(A9,Obs_Ridership!$B:$D,3,FALSE)</f>
        <v>Rte 17 12TH AVENUE SOUTH iB</v>
      </c>
      <c r="C9" t="str">
        <f t="shared" si="0"/>
        <v>Rte 17 12TH AVENUE SOUTH iB</v>
      </c>
      <c r="D9" t="str">
        <f t="shared" si="1"/>
        <v>Rte 17 12TH AVENUE SOUTH</v>
      </c>
      <c r="E9">
        <f t="shared" si="2"/>
        <v>1</v>
      </c>
      <c r="F9">
        <f t="shared" si="3"/>
        <v>43</v>
      </c>
      <c r="I9" s="112">
        <v>6</v>
      </c>
      <c r="J9" s="112" t="s">
        <v>720</v>
      </c>
      <c r="K9" s="112">
        <v>4</v>
      </c>
      <c r="L9" s="112">
        <v>1</v>
      </c>
      <c r="M9" s="112">
        <v>67</v>
      </c>
    </row>
    <row r="10" spans="1:13" x14ac:dyDescent="0.45">
      <c r="A10" s="112">
        <v>18</v>
      </c>
      <c r="B10" s="112" t="str">
        <f>VLOOKUP(A10,Obs_Ridership!$B:$D,3,FALSE)</f>
        <v>Rte 18 Airport Exp IB</v>
      </c>
      <c r="C10" t="str">
        <f t="shared" si="0"/>
        <v>Rte 18 Airport Exp OB</v>
      </c>
      <c r="D10" t="str">
        <f t="shared" si="1"/>
        <v>Rte 18 Airport Exp</v>
      </c>
      <c r="E10">
        <f t="shared" si="2"/>
        <v>6</v>
      </c>
      <c r="F10">
        <f t="shared" si="3"/>
        <v>44</v>
      </c>
      <c r="I10" s="112">
        <v>7</v>
      </c>
      <c r="J10" s="112" t="s">
        <v>721</v>
      </c>
      <c r="K10" s="112">
        <v>4</v>
      </c>
      <c r="L10" s="112">
        <v>1</v>
      </c>
      <c r="M10" s="112">
        <v>68</v>
      </c>
    </row>
    <row r="11" spans="1:13" x14ac:dyDescent="0.45">
      <c r="A11" s="112">
        <v>19</v>
      </c>
      <c r="B11" s="112" t="str">
        <f>VLOOKUP(A11,Obs_Ridership!$B:$D,3,FALSE)</f>
        <v>Rte 19 Herman IB</v>
      </c>
      <c r="C11" t="str">
        <f t="shared" si="0"/>
        <v>Rte 19 Herman IB</v>
      </c>
      <c r="D11" t="str">
        <f t="shared" si="1"/>
        <v>Rte 19 Herman</v>
      </c>
      <c r="E11">
        <f t="shared" si="2"/>
        <v>1</v>
      </c>
      <c r="F11">
        <f t="shared" si="3"/>
        <v>46</v>
      </c>
      <c r="I11" s="112">
        <v>7</v>
      </c>
      <c r="J11" s="112" t="s">
        <v>773</v>
      </c>
      <c r="K11" s="112">
        <v>4</v>
      </c>
      <c r="L11" s="112">
        <v>1</v>
      </c>
      <c r="M11" s="112">
        <v>68</v>
      </c>
    </row>
    <row r="12" spans="1:13" x14ac:dyDescent="0.45">
      <c r="A12" s="112">
        <v>22</v>
      </c>
      <c r="B12" s="112" t="str">
        <f>VLOOKUP(A12,Obs_Ridership!$B:$D,3,FALSE)</f>
        <v>Rte 22 Bordeaux (Kings Ln) IB</v>
      </c>
      <c r="C12" t="str">
        <f t="shared" si="0"/>
        <v>Rte 22 Bordeaux (Panaroma) IB</v>
      </c>
      <c r="D12" t="str">
        <f t="shared" si="1"/>
        <v>Rte 22 Bordeaux (Kings Ln)</v>
      </c>
      <c r="E12">
        <f t="shared" si="2"/>
        <v>1</v>
      </c>
      <c r="F12">
        <f t="shared" si="3"/>
        <v>47</v>
      </c>
      <c r="I12" s="112">
        <v>8</v>
      </c>
      <c r="J12" s="112" t="s">
        <v>722</v>
      </c>
      <c r="K12" s="112">
        <v>4</v>
      </c>
      <c r="L12" s="112">
        <v>1</v>
      </c>
      <c r="M12" s="112">
        <v>73</v>
      </c>
    </row>
    <row r="13" spans="1:13" x14ac:dyDescent="0.45">
      <c r="A13" s="112">
        <v>23</v>
      </c>
      <c r="B13" s="112" t="str">
        <f>VLOOKUP(A13,Obs_Ridership!$B:$D,3,FALSE)</f>
        <v>Rte 23 Dickerson Pike IB</v>
      </c>
      <c r="C13" t="str">
        <f t="shared" si="0"/>
        <v>Rte 23 Dickerson Pike OB</v>
      </c>
      <c r="D13" t="str">
        <f t="shared" si="1"/>
        <v>Rte 23 Dickerson Pike</v>
      </c>
      <c r="E13">
        <f t="shared" si="2"/>
        <v>1</v>
      </c>
      <c r="F13">
        <f t="shared" si="3"/>
        <v>49</v>
      </c>
      <c r="I13" s="112">
        <v>8</v>
      </c>
      <c r="J13" s="112" t="s">
        <v>774</v>
      </c>
      <c r="K13" s="112">
        <v>4</v>
      </c>
      <c r="L13" s="112">
        <v>1</v>
      </c>
      <c r="M13" s="112">
        <v>73</v>
      </c>
    </row>
    <row r="14" spans="1:13" x14ac:dyDescent="0.45">
      <c r="A14" s="112">
        <v>28</v>
      </c>
      <c r="B14" s="112" t="str">
        <f>VLOOKUP(A14,Obs_Ridership!$B:$D,3,FALSE)</f>
        <v>Rte 28 Meridian IB</v>
      </c>
      <c r="C14" t="str">
        <f t="shared" si="0"/>
        <v>Rte 28 Meridian IB</v>
      </c>
      <c r="D14" t="str">
        <f t="shared" si="1"/>
        <v>Rte 28 Meridian</v>
      </c>
      <c r="E14">
        <f t="shared" si="2"/>
        <v>1</v>
      </c>
      <c r="F14">
        <f t="shared" si="3"/>
        <v>52</v>
      </c>
      <c r="I14" s="112">
        <v>9</v>
      </c>
      <c r="J14" s="112" t="s">
        <v>775</v>
      </c>
      <c r="K14" s="112">
        <v>4</v>
      </c>
      <c r="L14" s="112">
        <v>1</v>
      </c>
      <c r="M14" s="112">
        <v>78</v>
      </c>
    </row>
    <row r="15" spans="1:13" x14ac:dyDescent="0.45">
      <c r="A15" s="112">
        <v>29</v>
      </c>
      <c r="B15" s="112" t="str">
        <f>VLOOKUP(A15,Obs_Ridership!$B:$D,3,FALSE)</f>
        <v>Rte 29 Jefferson IB</v>
      </c>
      <c r="C15" t="str">
        <f t="shared" si="0"/>
        <v>Rte 29 Jefferson IB</v>
      </c>
      <c r="D15" t="str">
        <f t="shared" si="1"/>
        <v>Rte 29 Jefferson</v>
      </c>
      <c r="E15">
        <f t="shared" si="2"/>
        <v>1</v>
      </c>
      <c r="F15">
        <f t="shared" si="3"/>
        <v>53</v>
      </c>
      <c r="I15" s="112">
        <v>9</v>
      </c>
      <c r="J15" s="112" t="s">
        <v>723</v>
      </c>
      <c r="K15" s="112">
        <v>4</v>
      </c>
      <c r="L15" s="112">
        <v>1</v>
      </c>
      <c r="M15" s="112">
        <v>78</v>
      </c>
    </row>
    <row r="16" spans="1:13" x14ac:dyDescent="0.45">
      <c r="A16" s="112">
        <v>34</v>
      </c>
      <c r="B16" s="112" t="str">
        <f>VLOOKUP(A16,Obs_Ridership!$B:$D,3,FALSE)</f>
        <v>Rte 34 Opry Mills IB</v>
      </c>
      <c r="C16" t="str">
        <f t="shared" si="0"/>
        <v>Rte 34 Opry Mills IB</v>
      </c>
      <c r="D16" t="str">
        <f t="shared" si="1"/>
        <v>Rte 34 Opry Mills</v>
      </c>
      <c r="E16">
        <f t="shared" si="2"/>
        <v>1</v>
      </c>
      <c r="F16">
        <f t="shared" si="3"/>
        <v>56</v>
      </c>
      <c r="I16" s="112">
        <v>14</v>
      </c>
      <c r="J16" s="112" t="s">
        <v>776</v>
      </c>
      <c r="K16" s="112">
        <v>4</v>
      </c>
      <c r="L16" s="112">
        <v>1</v>
      </c>
      <c r="M16" s="112">
        <v>42</v>
      </c>
    </row>
    <row r="17" spans="1:13" x14ac:dyDescent="0.45">
      <c r="A17" s="112">
        <v>41</v>
      </c>
      <c r="B17" s="112" t="str">
        <f>VLOOKUP(A17,Obs_Ridership!$B:$D,3,FALSE)</f>
        <v>Rte 41 Golden Valley IB AM</v>
      </c>
      <c r="C17" t="str">
        <f t="shared" si="0"/>
        <v>Rte 41 Golden Valley OB PM</v>
      </c>
      <c r="D17" t="str">
        <f t="shared" si="1"/>
        <v>Rte 41 Golden Valley IB</v>
      </c>
      <c r="E17">
        <f t="shared" si="2"/>
        <v>1</v>
      </c>
      <c r="F17">
        <f t="shared" si="3"/>
        <v>58</v>
      </c>
      <c r="I17" s="112">
        <v>14</v>
      </c>
      <c r="J17" s="112" t="s">
        <v>724</v>
      </c>
      <c r="K17" s="112">
        <v>4</v>
      </c>
      <c r="L17" s="112">
        <v>1</v>
      </c>
      <c r="M17" s="112">
        <v>42</v>
      </c>
    </row>
    <row r="18" spans="1:13" x14ac:dyDescent="0.45">
      <c r="A18" s="112">
        <v>42</v>
      </c>
      <c r="B18" s="112" t="str">
        <f>VLOOKUP(A18,Obs_Ridership!$B:$D,3,FALSE)</f>
        <v>Rte 42 St. Cecilia/Cumberland IB</v>
      </c>
      <c r="C18" t="str">
        <f t="shared" si="0"/>
        <v>Rte 42 St. Cecilia/Cumberland IB</v>
      </c>
      <c r="D18" t="str">
        <f t="shared" si="1"/>
        <v>Rte 42 St. Cecilia/Cumberland</v>
      </c>
      <c r="E18">
        <f t="shared" si="2"/>
        <v>1</v>
      </c>
      <c r="F18">
        <f t="shared" si="3"/>
        <v>60</v>
      </c>
      <c r="I18" s="112">
        <v>17</v>
      </c>
      <c r="J18" s="112" t="s">
        <v>725</v>
      </c>
      <c r="K18" s="112">
        <v>4</v>
      </c>
      <c r="L18" s="112">
        <v>1</v>
      </c>
      <c r="M18" s="112">
        <v>43</v>
      </c>
    </row>
    <row r="19" spans="1:13" x14ac:dyDescent="0.45">
      <c r="A19" s="112">
        <v>50</v>
      </c>
      <c r="B19" s="112" t="str">
        <f>VLOOKUP(A19,Obs_Ridership!$B:$D,3,FALSE)</f>
        <v>Rte 50 CHARLOTTE PIKE iB</v>
      </c>
      <c r="C19" t="str">
        <f t="shared" si="0"/>
        <v>Rte 50 CHARLOTTE PIKE oB</v>
      </c>
      <c r="D19" t="str">
        <f t="shared" si="1"/>
        <v>Rte 50 CHARLOTTE PIKE</v>
      </c>
      <c r="E19">
        <f t="shared" si="2"/>
        <v>1</v>
      </c>
      <c r="F19">
        <f t="shared" si="3"/>
        <v>61</v>
      </c>
      <c r="I19" s="112">
        <v>17</v>
      </c>
      <c r="J19" s="112" t="s">
        <v>777</v>
      </c>
      <c r="K19" s="112">
        <v>4</v>
      </c>
      <c r="L19" s="112">
        <v>1</v>
      </c>
      <c r="M19" s="112">
        <v>43</v>
      </c>
    </row>
    <row r="20" spans="1:13" x14ac:dyDescent="0.45">
      <c r="A20" s="112">
        <v>52</v>
      </c>
      <c r="B20" s="112" t="str">
        <f>VLOOKUP(A20,Obs_Ridership!$B:$D,3,FALSE)</f>
        <v>Rte 52 NOLENSVILLE PIKE (Hick) iB</v>
      </c>
      <c r="C20" t="str">
        <f t="shared" si="0"/>
        <v>Rte 52 NOLENSVILLE PIKE (Hick) oB</v>
      </c>
      <c r="D20" t="str">
        <f t="shared" si="1"/>
        <v>Rte 52 NOLENSVILLE PIKE (Hick)</v>
      </c>
      <c r="E20">
        <f t="shared" si="2"/>
        <v>1</v>
      </c>
      <c r="F20">
        <f t="shared" si="3"/>
        <v>62</v>
      </c>
      <c r="I20" s="112">
        <v>18</v>
      </c>
      <c r="J20" s="112" t="s">
        <v>778</v>
      </c>
      <c r="K20" s="112">
        <v>5</v>
      </c>
      <c r="L20" s="112">
        <v>6</v>
      </c>
      <c r="M20" s="112">
        <v>44</v>
      </c>
    </row>
    <row r="21" spans="1:13" x14ac:dyDescent="0.45">
      <c r="A21" s="112">
        <v>55</v>
      </c>
      <c r="B21" s="112" t="str">
        <f>VLOOKUP(A21,Obs_Ridership!$B:$D,3,FALSE)</f>
        <v>Rte 55 MURFREESBORO PIKE iB</v>
      </c>
      <c r="C21" t="str">
        <f t="shared" si="0"/>
        <v>Rte 55 MURFREESBORO PIKE oB</v>
      </c>
      <c r="D21" t="str">
        <f t="shared" si="1"/>
        <v>Rte 55 MURFREESBORO PIKE</v>
      </c>
      <c r="E21">
        <f t="shared" si="2"/>
        <v>1</v>
      </c>
      <c r="F21">
        <f t="shared" si="3"/>
        <v>64</v>
      </c>
      <c r="I21" s="112">
        <v>18</v>
      </c>
      <c r="J21" s="112" t="s">
        <v>779</v>
      </c>
      <c r="K21" s="112">
        <v>4</v>
      </c>
      <c r="L21" s="112">
        <v>1</v>
      </c>
      <c r="M21" s="112">
        <v>45</v>
      </c>
    </row>
    <row r="22" spans="1:13" x14ac:dyDescent="0.45">
      <c r="A22" s="112">
        <v>56</v>
      </c>
      <c r="B22" s="112" t="str">
        <f>VLOOKUP(A22,Obs_Ridership!$B:$D,3,FALSE)</f>
        <v>Rte 56 Gallatin Rd BRTmix IB</v>
      </c>
      <c r="C22" t="str">
        <f t="shared" si="0"/>
        <v>Rte 56 Gallatin Rd IB</v>
      </c>
      <c r="D22" t="str">
        <f t="shared" si="1"/>
        <v>Rte 56 Gallatin Rd BRTmix</v>
      </c>
      <c r="E22">
        <f t="shared" si="2"/>
        <v>8</v>
      </c>
      <c r="F22">
        <f t="shared" si="3"/>
        <v>65</v>
      </c>
      <c r="I22" s="112">
        <v>18</v>
      </c>
      <c r="J22" s="112" t="s">
        <v>780</v>
      </c>
      <c r="K22" s="112">
        <v>4</v>
      </c>
      <c r="L22" s="112">
        <v>1</v>
      </c>
      <c r="M22" s="112">
        <v>45</v>
      </c>
    </row>
    <row r="23" spans="1:13" x14ac:dyDescent="0.45">
      <c r="A23" s="112">
        <v>64</v>
      </c>
      <c r="B23" s="112" t="str">
        <f>VLOOKUP(A23,Obs_Ridership!$B:$D,3,FALSE)</f>
        <v>Rte 64 STAR DOWNTOWN SHUTTLE</v>
      </c>
      <c r="C23" t="str">
        <f t="shared" si="0"/>
        <v>Rte 64 STAR DOWNTOWN SHUTTLE</v>
      </c>
      <c r="D23" t="str">
        <f t="shared" si="1"/>
        <v>Rte 64 STAR DOWNTOWN SHUTTLE</v>
      </c>
      <c r="E23">
        <f t="shared" si="2"/>
        <v>11</v>
      </c>
      <c r="F23">
        <f t="shared" si="3"/>
        <v>83</v>
      </c>
      <c r="I23" s="112">
        <v>18</v>
      </c>
      <c r="J23" s="112" t="s">
        <v>726</v>
      </c>
      <c r="K23" s="112">
        <v>5</v>
      </c>
      <c r="L23" s="112">
        <v>6</v>
      </c>
      <c r="M23" s="112">
        <v>44</v>
      </c>
    </row>
    <row r="24" spans="1:13" x14ac:dyDescent="0.45">
      <c r="A24" s="112">
        <v>70</v>
      </c>
      <c r="B24" s="112" t="str">
        <f>VLOOKUP(A24,Obs_Ridership!$B:$D,3,FALSE)</f>
        <v>Rte 70 Belevue Conn IB</v>
      </c>
      <c r="C24" t="str">
        <f t="shared" si="0"/>
        <v>Rte 70 Belevue Conn OB</v>
      </c>
      <c r="D24" t="str">
        <f t="shared" si="1"/>
        <v>Rte 70 Belevue Conn</v>
      </c>
      <c r="E24">
        <f t="shared" si="2"/>
        <v>1</v>
      </c>
      <c r="F24">
        <f t="shared" si="3"/>
        <v>69</v>
      </c>
      <c r="I24" s="112">
        <v>19</v>
      </c>
      <c r="J24" s="112" t="s">
        <v>727</v>
      </c>
      <c r="K24" s="112">
        <v>4</v>
      </c>
      <c r="L24" s="112">
        <v>1</v>
      </c>
      <c r="M24" s="112">
        <v>46</v>
      </c>
    </row>
    <row r="25" spans="1:13" x14ac:dyDescent="0.45">
      <c r="A25" s="112">
        <v>75</v>
      </c>
      <c r="B25" s="112" t="str">
        <f>VLOOKUP(A25,Obs_Ridership!$B:$D,3,FALSE)</f>
        <v>Rte 75 Midtown CCW Loop</v>
      </c>
      <c r="C25" t="str">
        <f t="shared" si="0"/>
        <v>Rte 75 Midtown CW Loop</v>
      </c>
      <c r="D25" t="str">
        <f t="shared" si="1"/>
        <v>Rte 75 Midtown CCW Loop</v>
      </c>
      <c r="E25">
        <f t="shared" si="2"/>
        <v>1</v>
      </c>
      <c r="F25">
        <f t="shared" si="3"/>
        <v>70</v>
      </c>
      <c r="I25" s="112">
        <v>19</v>
      </c>
      <c r="J25" s="112" t="s">
        <v>781</v>
      </c>
      <c r="K25" s="112">
        <v>4</v>
      </c>
      <c r="L25" s="112">
        <v>1</v>
      </c>
      <c r="M25" s="112">
        <v>46</v>
      </c>
    </row>
    <row r="26" spans="1:13" x14ac:dyDescent="0.45">
      <c r="A26" s="112">
        <v>76</v>
      </c>
      <c r="B26" s="112" t="str">
        <f>VLOOKUP(A26,Obs_Ridership!$B:$D,3,FALSE)</f>
        <v>Rte 76 Madison Conn</v>
      </c>
      <c r="C26" t="str">
        <f t="shared" si="0"/>
        <v>Rte 76 Madison Conn</v>
      </c>
      <c r="D26" t="str">
        <f t="shared" si="1"/>
        <v>Rte 76 Madison Conn</v>
      </c>
      <c r="E26">
        <f t="shared" si="2"/>
        <v>1</v>
      </c>
      <c r="F26">
        <f t="shared" si="3"/>
        <v>85</v>
      </c>
      <c r="I26" s="112">
        <v>22</v>
      </c>
      <c r="J26" s="112" t="s">
        <v>782</v>
      </c>
      <c r="K26" s="112">
        <v>4</v>
      </c>
      <c r="L26" s="112">
        <v>1</v>
      </c>
      <c r="M26" s="112">
        <v>48</v>
      </c>
    </row>
    <row r="27" spans="1:13" x14ac:dyDescent="0.45">
      <c r="A27" s="112">
        <v>77</v>
      </c>
      <c r="B27" s="112" t="str">
        <f>VLOOKUP(A27,Obs_Ridership!$B:$D,3,FALSE)</f>
        <v>Rte 77 THOMPSON - WEDGEWOOD ccw</v>
      </c>
      <c r="C27" t="str">
        <f t="shared" si="0"/>
        <v>Rte 77 THOMPSON - WEDGEWOOD ccw</v>
      </c>
      <c r="D27" t="str">
        <f t="shared" si="1"/>
        <v>Rte 77 THOMPSON - WEDGEWOOD ccw</v>
      </c>
      <c r="E27">
        <f t="shared" si="2"/>
        <v>1</v>
      </c>
      <c r="F27">
        <f t="shared" si="3"/>
        <v>71</v>
      </c>
      <c r="I27" s="112">
        <v>22</v>
      </c>
      <c r="J27" s="112" t="s">
        <v>783</v>
      </c>
      <c r="K27" s="112">
        <v>4</v>
      </c>
      <c r="L27" s="112">
        <v>1</v>
      </c>
      <c r="M27" s="112">
        <v>48</v>
      </c>
    </row>
    <row r="28" spans="1:13" x14ac:dyDescent="0.45">
      <c r="A28" s="112">
        <v>79</v>
      </c>
      <c r="B28" s="112" t="str">
        <f>VLOOKUP(A28,Obs_Ridership!$B:$D,3,FALSE)</f>
        <v>Rte 79 Skyline iB</v>
      </c>
      <c r="C28" t="str">
        <f t="shared" si="0"/>
        <v>Rte 79 Skyline iB</v>
      </c>
      <c r="D28" t="str">
        <f t="shared" si="1"/>
        <v>Rte 79 Skyline</v>
      </c>
      <c r="E28">
        <f t="shared" si="2"/>
        <v>1</v>
      </c>
      <c r="F28">
        <f t="shared" si="3"/>
        <v>72</v>
      </c>
      <c r="I28" s="112">
        <v>22</v>
      </c>
      <c r="J28" s="112" t="s">
        <v>784</v>
      </c>
      <c r="K28" s="112">
        <v>4</v>
      </c>
      <c r="L28" s="112">
        <v>1</v>
      </c>
      <c r="M28" s="112">
        <v>47</v>
      </c>
    </row>
    <row r="29" spans="1:13" x14ac:dyDescent="0.45">
      <c r="A29" s="112">
        <v>84</v>
      </c>
      <c r="B29" s="112" t="str">
        <f>VLOOKUP(A29,Obs_Ridership!$B:$D,3,FALSE)</f>
        <v>Rte 84 Murfreesboro Express IB</v>
      </c>
      <c r="C29" t="str">
        <f t="shared" si="0"/>
        <v>Rte 84 Murfreesboro Express OB</v>
      </c>
      <c r="D29" t="str">
        <f t="shared" si="1"/>
        <v>Rte 84 Murfreesboro Express</v>
      </c>
      <c r="E29">
        <f t="shared" si="2"/>
        <v>6</v>
      </c>
      <c r="F29">
        <f t="shared" si="3"/>
        <v>74</v>
      </c>
      <c r="I29" s="112">
        <v>22</v>
      </c>
      <c r="J29" s="112" t="s">
        <v>728</v>
      </c>
      <c r="K29" s="112">
        <v>4</v>
      </c>
      <c r="L29" s="112">
        <v>1</v>
      </c>
      <c r="M29" s="112">
        <v>47</v>
      </c>
    </row>
    <row r="30" spans="1:13" x14ac:dyDescent="0.45">
      <c r="A30" s="112">
        <v>86</v>
      </c>
      <c r="B30" s="112" t="str">
        <f>VLOOKUP(A30,Obs_Ridership!$B:$D,3,FALSE)</f>
        <v>Rte 86 Smyrna Lavergne Exp IB</v>
      </c>
      <c r="C30" t="str">
        <f t="shared" si="0"/>
        <v>Rte 86 Smyrna Lavergne Exp OB</v>
      </c>
      <c r="D30" t="str">
        <f t="shared" si="1"/>
        <v>Rte 86 Smyrna Lavergne Exp</v>
      </c>
      <c r="E30">
        <f t="shared" si="2"/>
        <v>6</v>
      </c>
      <c r="F30">
        <f t="shared" si="3"/>
        <v>75</v>
      </c>
      <c r="I30" s="112">
        <v>23</v>
      </c>
      <c r="J30" s="112" t="s">
        <v>785</v>
      </c>
      <c r="K30" s="112">
        <v>4</v>
      </c>
      <c r="L30" s="112">
        <v>1</v>
      </c>
      <c r="M30" s="112">
        <v>49</v>
      </c>
    </row>
    <row r="31" spans="1:13" x14ac:dyDescent="0.45">
      <c r="A31" s="112">
        <v>87</v>
      </c>
      <c r="B31" s="112" t="str">
        <f>VLOOKUP(A31,Obs_Ridership!$B:$D,3,FALSE)</f>
        <v>Rte 87 Gallatin Comm Bus IB</v>
      </c>
      <c r="C31" t="str">
        <f t="shared" si="0"/>
        <v>Rte 87 Gallatin Comm Bus OB</v>
      </c>
      <c r="D31" t="str">
        <f t="shared" si="1"/>
        <v>Rte 87 Gallatin Comm Bus</v>
      </c>
      <c r="E31">
        <f t="shared" si="2"/>
        <v>7</v>
      </c>
      <c r="F31">
        <f t="shared" si="3"/>
        <v>76</v>
      </c>
      <c r="I31" s="112">
        <v>23</v>
      </c>
      <c r="J31" s="112" t="s">
        <v>729</v>
      </c>
      <c r="K31" s="112">
        <v>4</v>
      </c>
      <c r="L31" s="112">
        <v>1</v>
      </c>
      <c r="M31" s="112">
        <v>49</v>
      </c>
    </row>
    <row r="32" spans="1:13" x14ac:dyDescent="0.45">
      <c r="A32" s="112">
        <v>89</v>
      </c>
      <c r="B32" s="112" t="str">
        <f>VLOOKUP(A32,Obs_Ridership!$B:$D,3,FALSE)</f>
        <v>Rte 89 Spgfield/Joelton Exp OB</v>
      </c>
      <c r="C32" t="str">
        <f t="shared" si="0"/>
        <v>Rte 89 Spgfield/Joelton Exp OB</v>
      </c>
      <c r="D32" t="str">
        <f t="shared" si="1"/>
        <v>Rte 89 Spgfield/Joelton Exp</v>
      </c>
      <c r="E32">
        <f t="shared" si="2"/>
        <v>6</v>
      </c>
      <c r="F32">
        <f t="shared" si="3"/>
        <v>77</v>
      </c>
      <c r="I32" s="112">
        <v>23</v>
      </c>
      <c r="J32" s="112" t="s">
        <v>786</v>
      </c>
      <c r="K32" s="112">
        <v>4</v>
      </c>
      <c r="L32" s="112">
        <v>1</v>
      </c>
      <c r="M32" s="112">
        <v>50</v>
      </c>
    </row>
    <row r="33" spans="1:13" x14ac:dyDescent="0.45">
      <c r="A33" s="112">
        <v>90</v>
      </c>
      <c r="B33" s="112" t="str">
        <f>VLOOKUP(A33,Obs_Ridership!$B:$D,3,FALSE)</f>
        <v>Rte 90 Music City Star iB</v>
      </c>
      <c r="C33" t="str">
        <f t="shared" si="0"/>
        <v>Rte 90 Music City Star oB</v>
      </c>
      <c r="D33" t="str">
        <f t="shared" si="1"/>
        <v>Rte 90 Music City Star</v>
      </c>
      <c r="E33">
        <f t="shared" si="2"/>
        <v>12</v>
      </c>
      <c r="F33">
        <f t="shared" si="3"/>
        <v>79</v>
      </c>
      <c r="I33" s="112">
        <v>23</v>
      </c>
      <c r="J33" s="112" t="s">
        <v>787</v>
      </c>
      <c r="K33" s="112">
        <v>4</v>
      </c>
      <c r="L33" s="112">
        <v>1</v>
      </c>
      <c r="M33" s="112">
        <v>50</v>
      </c>
    </row>
    <row r="34" spans="1:13" x14ac:dyDescent="0.45">
      <c r="A34" s="112">
        <v>93</v>
      </c>
      <c r="B34" s="112" t="str">
        <f>VLOOKUP(A34,Obs_Ridership!$B:$D,3,FALSE)</f>
        <v>Rte 93 MCS West End Shuttle</v>
      </c>
      <c r="C34" t="str">
        <f t="shared" si="0"/>
        <v>Rte 93 MCS West End Shuttle</v>
      </c>
      <c r="D34" t="str">
        <f t="shared" si="1"/>
        <v>Rte 93 MCS West End Shuttle</v>
      </c>
      <c r="E34">
        <f t="shared" si="2"/>
        <v>11</v>
      </c>
      <c r="F34">
        <f t="shared" si="3"/>
        <v>84</v>
      </c>
      <c r="I34" s="112">
        <v>24</v>
      </c>
      <c r="J34" s="112" t="s">
        <v>788</v>
      </c>
      <c r="K34" s="112">
        <v>5</v>
      </c>
      <c r="L34" s="112">
        <v>6</v>
      </c>
      <c r="M34" s="112">
        <v>51</v>
      </c>
    </row>
    <row r="35" spans="1:13" x14ac:dyDescent="0.45">
      <c r="A35" s="112">
        <v>95</v>
      </c>
      <c r="B35" s="112" t="str">
        <f>VLOOKUP(A35,Obs_Ridership!$B:$D,3,FALSE)</f>
        <v>Rte 95 Spring Hill Exp IB</v>
      </c>
      <c r="C35" t="str">
        <f t="shared" si="0"/>
        <v>Rte 95 Spring Hill Exp OB</v>
      </c>
      <c r="D35" t="str">
        <f t="shared" si="1"/>
        <v>Rte 95 Spring Hill Exp</v>
      </c>
      <c r="E35">
        <f t="shared" si="2"/>
        <v>6</v>
      </c>
      <c r="F35">
        <f t="shared" si="3"/>
        <v>81</v>
      </c>
      <c r="I35" s="112">
        <v>24</v>
      </c>
      <c r="J35" s="112" t="s">
        <v>789</v>
      </c>
      <c r="K35" s="112">
        <v>5</v>
      </c>
      <c r="L35" s="112">
        <v>6</v>
      </c>
      <c r="M35" s="112">
        <v>51</v>
      </c>
    </row>
    <row r="36" spans="1:13" x14ac:dyDescent="0.45">
      <c r="I36" s="112">
        <v>28</v>
      </c>
      <c r="J36" s="112" t="s">
        <v>730</v>
      </c>
      <c r="K36" s="112">
        <v>4</v>
      </c>
      <c r="L36" s="112">
        <v>1</v>
      </c>
      <c r="M36" s="112">
        <v>52</v>
      </c>
    </row>
    <row r="37" spans="1:13" x14ac:dyDescent="0.45">
      <c r="A37" s="112"/>
      <c r="B37" s="112"/>
      <c r="I37" s="112">
        <v>28</v>
      </c>
      <c r="J37" s="112" t="s">
        <v>790</v>
      </c>
      <c r="K37" s="112">
        <v>4</v>
      </c>
      <c r="L37" s="112">
        <v>1</v>
      </c>
      <c r="M37" s="112">
        <v>52</v>
      </c>
    </row>
    <row r="38" spans="1:13" x14ac:dyDescent="0.45">
      <c r="A38" s="112"/>
      <c r="B38" s="112"/>
      <c r="I38" s="112">
        <v>29</v>
      </c>
      <c r="J38" s="112" t="s">
        <v>731</v>
      </c>
      <c r="K38" s="112">
        <v>4</v>
      </c>
      <c r="L38" s="112">
        <v>1</v>
      </c>
      <c r="M38" s="112">
        <v>53</v>
      </c>
    </row>
    <row r="39" spans="1:13" x14ac:dyDescent="0.45">
      <c r="A39" s="112"/>
      <c r="B39" s="112"/>
      <c r="I39" s="112">
        <v>29</v>
      </c>
      <c r="J39" s="112" t="s">
        <v>791</v>
      </c>
      <c r="K39" s="112">
        <v>4</v>
      </c>
      <c r="L39" s="112">
        <v>1</v>
      </c>
      <c r="M39" s="112">
        <v>53</v>
      </c>
    </row>
    <row r="40" spans="1:13" x14ac:dyDescent="0.45">
      <c r="A40" s="112"/>
      <c r="B40" s="112"/>
      <c r="I40" s="112">
        <v>34</v>
      </c>
      <c r="J40" s="112" t="s">
        <v>732</v>
      </c>
      <c r="K40" s="112">
        <v>4</v>
      </c>
      <c r="L40" s="112">
        <v>1</v>
      </c>
      <c r="M40" s="112">
        <v>56</v>
      </c>
    </row>
    <row r="41" spans="1:13" x14ac:dyDescent="0.45">
      <c r="A41" s="112"/>
      <c r="B41" s="112"/>
      <c r="I41" s="112">
        <v>34</v>
      </c>
      <c r="J41" s="112" t="s">
        <v>792</v>
      </c>
      <c r="K41" s="112">
        <v>4</v>
      </c>
      <c r="L41" s="112">
        <v>1</v>
      </c>
      <c r="M41" s="112">
        <v>56</v>
      </c>
    </row>
    <row r="42" spans="1:13" x14ac:dyDescent="0.45">
      <c r="A42" s="112"/>
      <c r="B42" s="112"/>
      <c r="I42" s="112">
        <v>41</v>
      </c>
      <c r="J42" s="112" t="s">
        <v>793</v>
      </c>
      <c r="K42" s="112">
        <v>4</v>
      </c>
      <c r="L42" s="112">
        <v>1</v>
      </c>
      <c r="M42" s="112">
        <v>59</v>
      </c>
    </row>
    <row r="43" spans="1:13" x14ac:dyDescent="0.45">
      <c r="A43" s="112"/>
      <c r="B43" s="112"/>
      <c r="I43" s="112">
        <v>41</v>
      </c>
      <c r="J43" s="112" t="s">
        <v>733</v>
      </c>
      <c r="K43" s="112">
        <v>4</v>
      </c>
      <c r="L43" s="112">
        <v>1</v>
      </c>
      <c r="M43" s="112">
        <v>58</v>
      </c>
    </row>
    <row r="44" spans="1:13" x14ac:dyDescent="0.45">
      <c r="A44" s="112"/>
      <c r="B44" s="112"/>
      <c r="I44" s="112">
        <v>41</v>
      </c>
      <c r="J44" s="112" t="s">
        <v>794</v>
      </c>
      <c r="K44" s="112">
        <v>4</v>
      </c>
      <c r="L44" s="112">
        <v>1</v>
      </c>
      <c r="M44" s="112">
        <v>59</v>
      </c>
    </row>
    <row r="45" spans="1:13" x14ac:dyDescent="0.45">
      <c r="A45" s="112"/>
      <c r="B45" s="112"/>
      <c r="I45" s="112">
        <v>41</v>
      </c>
      <c r="J45" s="112" t="s">
        <v>795</v>
      </c>
      <c r="K45" s="112">
        <v>4</v>
      </c>
      <c r="L45" s="112">
        <v>1</v>
      </c>
      <c r="M45" s="112">
        <v>58</v>
      </c>
    </row>
    <row r="46" spans="1:13" x14ac:dyDescent="0.45">
      <c r="A46" s="111"/>
      <c r="B46" s="111"/>
      <c r="I46" s="112">
        <v>42</v>
      </c>
      <c r="J46" s="112" t="s">
        <v>734</v>
      </c>
      <c r="K46" s="112">
        <v>4</v>
      </c>
      <c r="L46" s="112">
        <v>1</v>
      </c>
      <c r="M46" s="112">
        <v>60</v>
      </c>
    </row>
    <row r="47" spans="1:13" x14ac:dyDescent="0.45">
      <c r="A47" s="111"/>
      <c r="B47" s="111"/>
      <c r="I47" s="112">
        <v>42</v>
      </c>
      <c r="J47" s="112" t="s">
        <v>796</v>
      </c>
      <c r="K47" s="112">
        <v>4</v>
      </c>
      <c r="L47" s="112">
        <v>1</v>
      </c>
      <c r="M47" s="112">
        <v>60</v>
      </c>
    </row>
    <row r="48" spans="1:13" x14ac:dyDescent="0.45">
      <c r="A48" s="111"/>
      <c r="B48" s="111"/>
      <c r="I48" s="112">
        <v>50</v>
      </c>
      <c r="J48" s="112" t="s">
        <v>797</v>
      </c>
      <c r="K48" s="112">
        <v>4</v>
      </c>
      <c r="L48" s="112">
        <v>1</v>
      </c>
      <c r="M48" s="112">
        <v>61</v>
      </c>
    </row>
    <row r="49" spans="1:13" x14ac:dyDescent="0.45">
      <c r="A49" s="111"/>
      <c r="B49" s="111"/>
      <c r="I49" s="112">
        <v>50</v>
      </c>
      <c r="J49" s="112" t="s">
        <v>735</v>
      </c>
      <c r="K49" s="112">
        <v>4</v>
      </c>
      <c r="L49" s="112">
        <v>1</v>
      </c>
      <c r="M49" s="112">
        <v>61</v>
      </c>
    </row>
    <row r="50" spans="1:13" x14ac:dyDescent="0.45">
      <c r="A50" s="111"/>
      <c r="B50" s="111"/>
      <c r="I50" s="112">
        <v>52</v>
      </c>
      <c r="J50" s="112" t="s">
        <v>798</v>
      </c>
      <c r="K50" s="112">
        <v>4</v>
      </c>
      <c r="L50" s="112">
        <v>1</v>
      </c>
      <c r="M50" s="112">
        <v>62</v>
      </c>
    </row>
    <row r="51" spans="1:13" x14ac:dyDescent="0.45">
      <c r="A51" s="111"/>
      <c r="B51" s="111"/>
      <c r="I51" s="112">
        <v>52</v>
      </c>
      <c r="J51" s="112" t="s">
        <v>736</v>
      </c>
      <c r="K51" s="112">
        <v>4</v>
      </c>
      <c r="L51" s="112">
        <v>1</v>
      </c>
      <c r="M51" s="112">
        <v>62</v>
      </c>
    </row>
    <row r="52" spans="1:13" x14ac:dyDescent="0.45">
      <c r="A52" s="111"/>
      <c r="B52" s="111"/>
      <c r="I52" s="112">
        <v>52</v>
      </c>
      <c r="J52" s="112" t="s">
        <v>799</v>
      </c>
      <c r="K52" s="112">
        <v>4</v>
      </c>
      <c r="L52" s="112">
        <v>1</v>
      </c>
      <c r="M52" s="112">
        <v>63</v>
      </c>
    </row>
    <row r="53" spans="1:13" x14ac:dyDescent="0.45">
      <c r="A53" s="111"/>
      <c r="B53" s="111"/>
      <c r="I53" s="112">
        <v>52</v>
      </c>
      <c r="J53" s="112" t="s">
        <v>800</v>
      </c>
      <c r="K53" s="112">
        <v>4</v>
      </c>
      <c r="L53" s="112">
        <v>1</v>
      </c>
      <c r="M53" s="112">
        <v>63</v>
      </c>
    </row>
    <row r="54" spans="1:13" x14ac:dyDescent="0.45">
      <c r="A54" s="111"/>
      <c r="B54" s="111"/>
      <c r="I54" s="112">
        <v>55</v>
      </c>
      <c r="J54" s="112" t="s">
        <v>801</v>
      </c>
      <c r="K54" s="112">
        <v>4</v>
      </c>
      <c r="L54" s="112">
        <v>1</v>
      </c>
      <c r="M54" s="112">
        <v>64</v>
      </c>
    </row>
    <row r="55" spans="1:13" x14ac:dyDescent="0.45">
      <c r="A55" s="111"/>
      <c r="B55" s="111"/>
      <c r="I55" s="112">
        <v>55</v>
      </c>
      <c r="J55" s="112" t="s">
        <v>737</v>
      </c>
      <c r="K55" s="112">
        <v>4</v>
      </c>
      <c r="L55" s="112">
        <v>1</v>
      </c>
      <c r="M55" s="112">
        <v>64</v>
      </c>
    </row>
    <row r="56" spans="1:13" x14ac:dyDescent="0.45">
      <c r="A56" s="111"/>
      <c r="B56" s="111"/>
      <c r="I56" s="112">
        <v>56</v>
      </c>
      <c r="J56" s="112" t="s">
        <v>802</v>
      </c>
      <c r="K56" s="112">
        <v>4</v>
      </c>
      <c r="L56" s="112">
        <v>1</v>
      </c>
      <c r="M56" s="112">
        <v>66</v>
      </c>
    </row>
    <row r="57" spans="1:13" x14ac:dyDescent="0.45">
      <c r="A57" s="111"/>
      <c r="B57" s="111"/>
      <c r="I57" s="112">
        <v>56</v>
      </c>
      <c r="J57" s="112" t="s">
        <v>803</v>
      </c>
      <c r="K57" s="112">
        <v>4</v>
      </c>
      <c r="L57" s="112">
        <v>1</v>
      </c>
      <c r="M57" s="112">
        <v>66</v>
      </c>
    </row>
    <row r="58" spans="1:13" x14ac:dyDescent="0.45">
      <c r="A58" s="111"/>
      <c r="B58" s="111"/>
      <c r="I58" s="112">
        <v>56</v>
      </c>
      <c r="J58" s="112" t="s">
        <v>804</v>
      </c>
      <c r="K58" s="112">
        <v>4</v>
      </c>
      <c r="L58" s="112">
        <v>8</v>
      </c>
      <c r="M58" s="112">
        <v>65</v>
      </c>
    </row>
    <row r="59" spans="1:13" x14ac:dyDescent="0.45">
      <c r="A59" s="111"/>
      <c r="B59" s="111"/>
      <c r="I59" s="112">
        <v>56</v>
      </c>
      <c r="J59" s="112" t="s">
        <v>738</v>
      </c>
      <c r="K59" s="112">
        <v>4</v>
      </c>
      <c r="L59" s="112">
        <v>8</v>
      </c>
      <c r="M59" s="112">
        <v>65</v>
      </c>
    </row>
    <row r="60" spans="1:13" x14ac:dyDescent="0.45">
      <c r="A60" s="111"/>
      <c r="B60" s="111"/>
      <c r="I60" s="112">
        <v>64</v>
      </c>
      <c r="J60" s="112" t="s">
        <v>739</v>
      </c>
      <c r="K60" s="112">
        <v>4</v>
      </c>
      <c r="L60" s="112">
        <v>11</v>
      </c>
      <c r="M60" s="112">
        <v>83</v>
      </c>
    </row>
    <row r="61" spans="1:13" x14ac:dyDescent="0.45">
      <c r="A61" s="111"/>
      <c r="B61" s="111"/>
      <c r="I61" s="112">
        <v>70</v>
      </c>
      <c r="J61" s="112" t="s">
        <v>805</v>
      </c>
      <c r="K61" s="112">
        <v>4</v>
      </c>
      <c r="L61" s="112">
        <v>1</v>
      </c>
      <c r="M61" s="112">
        <v>69</v>
      </c>
    </row>
    <row r="62" spans="1:13" x14ac:dyDescent="0.45">
      <c r="A62" s="111"/>
      <c r="B62" s="111"/>
      <c r="I62" s="112">
        <v>70</v>
      </c>
      <c r="J62" s="112" t="s">
        <v>740</v>
      </c>
      <c r="K62" s="112">
        <v>4</v>
      </c>
      <c r="L62" s="112">
        <v>1</v>
      </c>
      <c r="M62" s="112">
        <v>69</v>
      </c>
    </row>
    <row r="63" spans="1:13" x14ac:dyDescent="0.45">
      <c r="A63" s="111"/>
      <c r="B63" s="111"/>
      <c r="I63" s="112">
        <v>75</v>
      </c>
      <c r="J63" s="112" t="s">
        <v>806</v>
      </c>
      <c r="K63" s="112">
        <v>4</v>
      </c>
      <c r="L63" s="112">
        <v>1</v>
      </c>
      <c r="M63" s="112">
        <v>70</v>
      </c>
    </row>
    <row r="64" spans="1:13" x14ac:dyDescent="0.45">
      <c r="A64" s="111"/>
      <c r="B64" s="111"/>
      <c r="I64" s="112">
        <v>75</v>
      </c>
      <c r="J64" s="112" t="s">
        <v>741</v>
      </c>
      <c r="K64" s="112">
        <v>4</v>
      </c>
      <c r="L64" s="112">
        <v>1</v>
      </c>
      <c r="M64" s="112">
        <v>70</v>
      </c>
    </row>
    <row r="65" spans="1:13" x14ac:dyDescent="0.45">
      <c r="A65" s="111"/>
      <c r="B65" s="111"/>
      <c r="I65" s="112">
        <v>76</v>
      </c>
      <c r="J65" s="112" t="s">
        <v>742</v>
      </c>
      <c r="K65" s="112">
        <v>4</v>
      </c>
      <c r="L65" s="112">
        <v>1</v>
      </c>
      <c r="M65" s="112">
        <v>85</v>
      </c>
    </row>
    <row r="66" spans="1:13" x14ac:dyDescent="0.45">
      <c r="A66" s="111"/>
      <c r="B66" s="111"/>
      <c r="I66" s="112">
        <v>77</v>
      </c>
      <c r="J66" s="112" t="s">
        <v>743</v>
      </c>
      <c r="K66" s="112">
        <v>4</v>
      </c>
      <c r="L66" s="112">
        <v>1</v>
      </c>
      <c r="M66" s="112">
        <v>71</v>
      </c>
    </row>
    <row r="67" spans="1:13" x14ac:dyDescent="0.45">
      <c r="A67" s="111"/>
      <c r="B67" s="111"/>
      <c r="I67" s="112">
        <v>77</v>
      </c>
      <c r="J67" s="112" t="s">
        <v>807</v>
      </c>
      <c r="K67" s="112">
        <v>4</v>
      </c>
      <c r="L67" s="112">
        <v>1</v>
      </c>
      <c r="M67" s="112">
        <v>71</v>
      </c>
    </row>
    <row r="68" spans="1:13" x14ac:dyDescent="0.45">
      <c r="A68" s="111"/>
      <c r="B68" s="111"/>
      <c r="I68" s="112">
        <v>79</v>
      </c>
      <c r="J68" s="112" t="s">
        <v>744</v>
      </c>
      <c r="K68" s="112">
        <v>4</v>
      </c>
      <c r="L68" s="112">
        <v>1</v>
      </c>
      <c r="M68" s="112">
        <v>72</v>
      </c>
    </row>
    <row r="69" spans="1:13" x14ac:dyDescent="0.45">
      <c r="A69" s="111"/>
      <c r="B69" s="111"/>
      <c r="I69" s="112">
        <v>79</v>
      </c>
      <c r="J69" s="112" t="s">
        <v>808</v>
      </c>
      <c r="K69" s="112">
        <v>4</v>
      </c>
      <c r="L69" s="112">
        <v>1</v>
      </c>
      <c r="M69" s="112">
        <v>72</v>
      </c>
    </row>
    <row r="70" spans="1:13" x14ac:dyDescent="0.45">
      <c r="A70" s="111"/>
      <c r="B70" s="111"/>
      <c r="I70" s="112">
        <v>84</v>
      </c>
      <c r="J70" s="112" t="s">
        <v>809</v>
      </c>
      <c r="K70" s="112">
        <v>5</v>
      </c>
      <c r="L70" s="112">
        <v>6</v>
      </c>
      <c r="M70" s="112">
        <v>74</v>
      </c>
    </row>
    <row r="71" spans="1:13" x14ac:dyDescent="0.45">
      <c r="A71" s="111"/>
      <c r="B71" s="111"/>
      <c r="I71" s="112">
        <v>84</v>
      </c>
      <c r="J71" s="112" t="s">
        <v>745</v>
      </c>
      <c r="K71" s="112">
        <v>5</v>
      </c>
      <c r="L71" s="112">
        <v>6</v>
      </c>
      <c r="M71" s="112">
        <v>74</v>
      </c>
    </row>
    <row r="72" spans="1:13" x14ac:dyDescent="0.45">
      <c r="A72" s="111"/>
      <c r="B72" s="111"/>
      <c r="I72" s="112">
        <v>86</v>
      </c>
      <c r="J72" s="112" t="s">
        <v>810</v>
      </c>
      <c r="K72" s="112">
        <v>5</v>
      </c>
      <c r="L72" s="112">
        <v>6</v>
      </c>
      <c r="M72" s="112">
        <v>75</v>
      </c>
    </row>
    <row r="73" spans="1:13" x14ac:dyDescent="0.45">
      <c r="A73" s="111"/>
      <c r="B73" s="111"/>
      <c r="I73" s="112">
        <v>86</v>
      </c>
      <c r="J73" s="112" t="s">
        <v>746</v>
      </c>
      <c r="K73" s="112">
        <v>5</v>
      </c>
      <c r="L73" s="112">
        <v>6</v>
      </c>
      <c r="M73" s="112">
        <v>75</v>
      </c>
    </row>
    <row r="74" spans="1:13" x14ac:dyDescent="0.45">
      <c r="A74" s="111"/>
      <c r="B74" s="111"/>
      <c r="I74" s="112">
        <v>87</v>
      </c>
      <c r="J74" s="112" t="s">
        <v>811</v>
      </c>
      <c r="K74" s="112">
        <v>5</v>
      </c>
      <c r="L74" s="112">
        <v>7</v>
      </c>
      <c r="M74" s="112">
        <v>76</v>
      </c>
    </row>
    <row r="75" spans="1:13" x14ac:dyDescent="0.45">
      <c r="A75" s="111"/>
      <c r="B75" s="111"/>
      <c r="I75" s="112">
        <v>87</v>
      </c>
      <c r="J75" s="112" t="s">
        <v>747</v>
      </c>
      <c r="K75" s="112">
        <v>5</v>
      </c>
      <c r="L75" s="112">
        <v>7</v>
      </c>
      <c r="M75" s="112">
        <v>76</v>
      </c>
    </row>
    <row r="76" spans="1:13" x14ac:dyDescent="0.45">
      <c r="A76" s="111"/>
      <c r="B76" s="111"/>
      <c r="I76" s="112">
        <v>89</v>
      </c>
      <c r="J76" s="112" t="s">
        <v>748</v>
      </c>
      <c r="K76" s="112">
        <v>5</v>
      </c>
      <c r="L76" s="112">
        <v>6</v>
      </c>
      <c r="M76" s="112">
        <v>77</v>
      </c>
    </row>
    <row r="77" spans="1:13" x14ac:dyDescent="0.45">
      <c r="A77" s="111"/>
      <c r="B77" s="111"/>
      <c r="I77" s="112">
        <v>89</v>
      </c>
      <c r="J77" s="112" t="s">
        <v>812</v>
      </c>
      <c r="K77" s="112">
        <v>5</v>
      </c>
      <c r="L77" s="112">
        <v>6</v>
      </c>
      <c r="M77" s="112">
        <v>77</v>
      </c>
    </row>
    <row r="78" spans="1:13" x14ac:dyDescent="0.45">
      <c r="A78" s="111"/>
      <c r="B78" s="111"/>
      <c r="I78" s="112">
        <v>90</v>
      </c>
      <c r="J78" s="112" t="s">
        <v>813</v>
      </c>
      <c r="K78" s="112">
        <v>6</v>
      </c>
      <c r="L78" s="112">
        <v>12</v>
      </c>
      <c r="M78" s="112">
        <v>79</v>
      </c>
    </row>
    <row r="79" spans="1:13" x14ac:dyDescent="0.45">
      <c r="A79" s="111"/>
      <c r="B79" s="111"/>
      <c r="I79" s="112">
        <v>90</v>
      </c>
      <c r="J79" s="112" t="s">
        <v>749</v>
      </c>
      <c r="K79" s="112">
        <v>6</v>
      </c>
      <c r="L79" s="112">
        <v>12</v>
      </c>
      <c r="M79" s="112">
        <v>79</v>
      </c>
    </row>
    <row r="80" spans="1:13" x14ac:dyDescent="0.45">
      <c r="A80" s="111"/>
      <c r="B80" s="111"/>
      <c r="I80" s="112">
        <v>90</v>
      </c>
      <c r="J80" s="112" t="s">
        <v>814</v>
      </c>
      <c r="K80" s="112">
        <v>6</v>
      </c>
      <c r="L80" s="112">
        <v>12</v>
      </c>
      <c r="M80" s="112">
        <v>80</v>
      </c>
    </row>
    <row r="81" spans="1:13" x14ac:dyDescent="0.45">
      <c r="A81" s="111"/>
      <c r="B81" s="111"/>
      <c r="I81" s="112">
        <v>90</v>
      </c>
      <c r="J81" s="112" t="s">
        <v>815</v>
      </c>
      <c r="K81" s="112">
        <v>6</v>
      </c>
      <c r="L81" s="112">
        <v>12</v>
      </c>
      <c r="M81" s="112">
        <v>80</v>
      </c>
    </row>
    <row r="82" spans="1:13" x14ac:dyDescent="0.45">
      <c r="A82" s="111"/>
      <c r="B82" s="111"/>
      <c r="I82" s="112">
        <v>93</v>
      </c>
      <c r="J82" s="112" t="s">
        <v>750</v>
      </c>
      <c r="K82" s="112">
        <v>4</v>
      </c>
      <c r="L82" s="112">
        <v>11</v>
      </c>
      <c r="M82" s="112">
        <v>84</v>
      </c>
    </row>
    <row r="83" spans="1:13" x14ac:dyDescent="0.45">
      <c r="A83" s="111"/>
      <c r="B83" s="111"/>
      <c r="I83" s="112">
        <v>95</v>
      </c>
      <c r="J83" s="112" t="s">
        <v>816</v>
      </c>
      <c r="K83" s="112">
        <v>5</v>
      </c>
      <c r="L83" s="112">
        <v>6</v>
      </c>
      <c r="M83" s="112">
        <v>81</v>
      </c>
    </row>
    <row r="84" spans="1:13" x14ac:dyDescent="0.45">
      <c r="A84" s="111"/>
      <c r="B84" s="111"/>
      <c r="I84" s="112">
        <v>95</v>
      </c>
      <c r="J84" s="112" t="s">
        <v>751</v>
      </c>
      <c r="K84" s="112">
        <v>5</v>
      </c>
      <c r="L84" s="112">
        <v>6</v>
      </c>
      <c r="M84" s="112">
        <v>81</v>
      </c>
    </row>
    <row r="85" spans="1:13" x14ac:dyDescent="0.45">
      <c r="A85" s="111"/>
      <c r="B85" s="111"/>
      <c r="I85" s="112">
        <v>95</v>
      </c>
      <c r="J85" s="112" t="s">
        <v>817</v>
      </c>
      <c r="K85" s="112">
        <v>5</v>
      </c>
      <c r="L85" s="112">
        <v>6</v>
      </c>
      <c r="M85" s="112">
        <v>82</v>
      </c>
    </row>
    <row r="86" spans="1:13" x14ac:dyDescent="0.45">
      <c r="A86" s="111"/>
      <c r="B86" s="111"/>
      <c r="I86" s="112">
        <v>95</v>
      </c>
      <c r="J86" s="112" t="s">
        <v>818</v>
      </c>
      <c r="K86" s="112">
        <v>5</v>
      </c>
      <c r="L86" s="112">
        <v>6</v>
      </c>
      <c r="M86" s="112">
        <v>82</v>
      </c>
    </row>
    <row r="87" spans="1:13" x14ac:dyDescent="0.45">
      <c r="A87" s="111"/>
      <c r="B87" s="111"/>
      <c r="I87" s="112">
        <v>102</v>
      </c>
      <c r="J87" s="112" t="s">
        <v>819</v>
      </c>
      <c r="K87" s="112">
        <v>4</v>
      </c>
      <c r="L87" s="112">
        <v>2</v>
      </c>
      <c r="M87" s="112">
        <v>33</v>
      </c>
    </row>
    <row r="88" spans="1:13" x14ac:dyDescent="0.45">
      <c r="A88" s="111"/>
      <c r="B88" s="111"/>
      <c r="I88" s="112">
        <v>103</v>
      </c>
      <c r="J88" s="112" t="s">
        <v>820</v>
      </c>
      <c r="K88" s="112">
        <v>4</v>
      </c>
      <c r="L88" s="112">
        <v>2</v>
      </c>
      <c r="M88" s="112">
        <v>34</v>
      </c>
    </row>
    <row r="89" spans="1:13" x14ac:dyDescent="0.45">
      <c r="A89" s="111"/>
      <c r="B89" s="111"/>
      <c r="I89" s="112">
        <v>104</v>
      </c>
      <c r="J89" s="112" t="s">
        <v>821</v>
      </c>
      <c r="K89" s="112">
        <v>4</v>
      </c>
      <c r="L89" s="112">
        <v>2</v>
      </c>
      <c r="M89" s="112">
        <v>35</v>
      </c>
    </row>
    <row r="90" spans="1:13" x14ac:dyDescent="0.45">
      <c r="A90" s="111"/>
      <c r="B90" s="111"/>
      <c r="I90" s="112">
        <v>105</v>
      </c>
      <c r="J90" s="112" t="s">
        <v>822</v>
      </c>
      <c r="K90" s="112">
        <v>4</v>
      </c>
      <c r="L90" s="112">
        <v>2</v>
      </c>
      <c r="M90" s="112">
        <v>36</v>
      </c>
    </row>
    <row r="91" spans="1:13" x14ac:dyDescent="0.45">
      <c r="A91" s="111"/>
      <c r="B91" s="111"/>
      <c r="I91" s="112">
        <v>106</v>
      </c>
      <c r="J91" s="112" t="s">
        <v>823</v>
      </c>
      <c r="K91" s="112">
        <v>4</v>
      </c>
      <c r="L91" s="112">
        <v>2</v>
      </c>
      <c r="M91" s="112">
        <v>37</v>
      </c>
    </row>
    <row r="92" spans="1:13" x14ac:dyDescent="0.45">
      <c r="A92" s="111"/>
      <c r="B92" s="111"/>
      <c r="I92" s="112">
        <v>107</v>
      </c>
      <c r="J92" s="112" t="s">
        <v>824</v>
      </c>
      <c r="K92" s="112">
        <v>4</v>
      </c>
      <c r="L92" s="112">
        <v>2</v>
      </c>
      <c r="M92" s="112">
        <v>38</v>
      </c>
    </row>
    <row r="93" spans="1:13" x14ac:dyDescent="0.45">
      <c r="A93" s="111"/>
      <c r="B93" s="111"/>
      <c r="I93" s="112">
        <v>108</v>
      </c>
      <c r="J93" s="112" t="s">
        <v>825</v>
      </c>
      <c r="K93" s="112">
        <v>4</v>
      </c>
      <c r="L93" s="112">
        <v>2</v>
      </c>
      <c r="M93" s="112">
        <v>39</v>
      </c>
    </row>
    <row r="94" spans="1:13" x14ac:dyDescent="0.45">
      <c r="A94" s="111"/>
      <c r="B94" s="111"/>
      <c r="I94" s="112">
        <v>111</v>
      </c>
      <c r="J94" s="112" t="s">
        <v>826</v>
      </c>
      <c r="K94" s="112">
        <v>4</v>
      </c>
      <c r="L94" s="112">
        <v>3</v>
      </c>
      <c r="M94" s="112">
        <v>40</v>
      </c>
    </row>
    <row r="95" spans="1:13" x14ac:dyDescent="0.45">
      <c r="A95" s="111"/>
      <c r="B95" s="111"/>
      <c r="I95" s="112">
        <v>112</v>
      </c>
      <c r="J95" s="112" t="s">
        <v>827</v>
      </c>
      <c r="K95" s="112">
        <v>4</v>
      </c>
      <c r="L95" s="112">
        <v>3</v>
      </c>
      <c r="M95" s="112">
        <v>41</v>
      </c>
    </row>
    <row r="96" spans="1:13" x14ac:dyDescent="0.45">
      <c r="A96" s="111"/>
      <c r="B96" s="111"/>
      <c r="I96" s="112">
        <v>112</v>
      </c>
      <c r="J96" s="112" t="s">
        <v>828</v>
      </c>
      <c r="K96" s="112">
        <v>4</v>
      </c>
      <c r="L96" s="112">
        <v>3</v>
      </c>
      <c r="M96" s="112">
        <v>41</v>
      </c>
    </row>
    <row r="97" spans="10:13" x14ac:dyDescent="0.45">
      <c r="J97" s="112" t="s">
        <v>829</v>
      </c>
      <c r="K97" s="112">
        <v>4</v>
      </c>
      <c r="L97" s="112">
        <v>2</v>
      </c>
      <c r="M97" s="112">
        <v>25</v>
      </c>
    </row>
    <row r="98" spans="10:13" x14ac:dyDescent="0.45">
      <c r="J98" s="112" t="s">
        <v>830</v>
      </c>
      <c r="K98" s="112">
        <v>4</v>
      </c>
      <c r="L98" s="112">
        <v>2</v>
      </c>
      <c r="M98" s="112">
        <v>26</v>
      </c>
    </row>
    <row r="99" spans="10:13" x14ac:dyDescent="0.45">
      <c r="J99" s="112" t="s">
        <v>831</v>
      </c>
      <c r="K99" s="112">
        <v>4</v>
      </c>
      <c r="L99" s="112">
        <v>2</v>
      </c>
      <c r="M99" s="112">
        <v>27</v>
      </c>
    </row>
    <row r="100" spans="10:13" x14ac:dyDescent="0.45">
      <c r="J100" s="112" t="s">
        <v>832</v>
      </c>
      <c r="K100" s="112">
        <v>4</v>
      </c>
      <c r="L100" s="112">
        <v>2</v>
      </c>
      <c r="M100" s="112">
        <v>24</v>
      </c>
    </row>
    <row r="101" spans="10:13" x14ac:dyDescent="0.45">
      <c r="J101" s="112" t="s">
        <v>833</v>
      </c>
      <c r="K101" s="112">
        <v>4</v>
      </c>
      <c r="L101" s="112">
        <v>2</v>
      </c>
      <c r="M101" s="112">
        <v>18</v>
      </c>
    </row>
    <row r="102" spans="10:13" x14ac:dyDescent="0.45">
      <c r="J102" s="112" t="s">
        <v>834</v>
      </c>
      <c r="K102" s="112">
        <v>4</v>
      </c>
      <c r="L102" s="112">
        <v>2</v>
      </c>
      <c r="M102" s="112">
        <v>15</v>
      </c>
    </row>
    <row r="103" spans="10:13" x14ac:dyDescent="0.45">
      <c r="J103" s="112" t="s">
        <v>835</v>
      </c>
      <c r="K103" s="112">
        <v>4</v>
      </c>
      <c r="L103" s="112">
        <v>2</v>
      </c>
      <c r="M103" s="112">
        <v>16</v>
      </c>
    </row>
    <row r="104" spans="10:13" x14ac:dyDescent="0.45">
      <c r="J104" s="112" t="s">
        <v>836</v>
      </c>
      <c r="K104" s="112">
        <v>4</v>
      </c>
      <c r="L104" s="112">
        <v>2</v>
      </c>
      <c r="M104" s="112">
        <v>17</v>
      </c>
    </row>
    <row r="105" spans="10:13" x14ac:dyDescent="0.45">
      <c r="J105" s="112" t="s">
        <v>837</v>
      </c>
      <c r="K105" s="112">
        <v>4</v>
      </c>
      <c r="L105" s="112">
        <v>2</v>
      </c>
      <c r="M105" s="112">
        <v>19</v>
      </c>
    </row>
    <row r="106" spans="10:13" x14ac:dyDescent="0.45">
      <c r="J106" s="112" t="s">
        <v>838</v>
      </c>
      <c r="K106" s="112">
        <v>4</v>
      </c>
      <c r="L106" s="112">
        <v>2</v>
      </c>
      <c r="M106" s="112">
        <v>22</v>
      </c>
    </row>
    <row r="107" spans="10:13" x14ac:dyDescent="0.45">
      <c r="J107" s="112" t="s">
        <v>839</v>
      </c>
      <c r="K107" s="112">
        <v>4</v>
      </c>
      <c r="L107" s="112">
        <v>2</v>
      </c>
      <c r="M107" s="112">
        <v>21</v>
      </c>
    </row>
    <row r="108" spans="10:13" x14ac:dyDescent="0.45">
      <c r="J108" s="112" t="s">
        <v>840</v>
      </c>
      <c r="K108" s="112">
        <v>4</v>
      </c>
      <c r="L108" s="112">
        <v>2</v>
      </c>
      <c r="M108" s="112">
        <v>20</v>
      </c>
    </row>
    <row r="109" spans="10:13" x14ac:dyDescent="0.45">
      <c r="J109" s="112" t="s">
        <v>841</v>
      </c>
      <c r="K109" s="112">
        <v>4</v>
      </c>
      <c r="L109" s="112">
        <v>2</v>
      </c>
      <c r="M109" s="112">
        <v>23</v>
      </c>
    </row>
    <row r="110" spans="10:13" x14ac:dyDescent="0.45">
      <c r="J110" s="112" t="s">
        <v>842</v>
      </c>
      <c r="K110" s="112">
        <v>4</v>
      </c>
      <c r="L110" s="112">
        <v>2</v>
      </c>
      <c r="M110" s="112">
        <v>13</v>
      </c>
    </row>
    <row r="111" spans="10:13" x14ac:dyDescent="0.45">
      <c r="J111" s="112" t="s">
        <v>843</v>
      </c>
      <c r="K111" s="112">
        <v>4</v>
      </c>
      <c r="L111" s="112">
        <v>2</v>
      </c>
      <c r="M111" s="112">
        <v>14</v>
      </c>
    </row>
    <row r="112" spans="10:13" x14ac:dyDescent="0.45">
      <c r="J112" s="112" t="s">
        <v>844</v>
      </c>
      <c r="K112" s="112">
        <v>4</v>
      </c>
      <c r="L112" s="112">
        <v>2</v>
      </c>
      <c r="M112" s="112">
        <v>12</v>
      </c>
    </row>
    <row r="113" spans="10:13" x14ac:dyDescent="0.45">
      <c r="J113" s="112" t="s">
        <v>845</v>
      </c>
      <c r="K113" s="112">
        <v>7</v>
      </c>
      <c r="L113" s="112">
        <v>9</v>
      </c>
      <c r="M113" s="112">
        <v>10</v>
      </c>
    </row>
    <row r="114" spans="10:13" x14ac:dyDescent="0.45">
      <c r="J114" s="112" t="s">
        <v>846</v>
      </c>
      <c r="K114" s="112">
        <v>7</v>
      </c>
      <c r="L114" s="112">
        <v>9</v>
      </c>
      <c r="M114" s="112">
        <v>10</v>
      </c>
    </row>
    <row r="115" spans="10:13" x14ac:dyDescent="0.45">
      <c r="J115" s="112" t="s">
        <v>847</v>
      </c>
      <c r="K115" s="112">
        <v>7</v>
      </c>
      <c r="L115" s="112">
        <v>9</v>
      </c>
      <c r="M115" s="112">
        <v>4</v>
      </c>
    </row>
    <row r="116" spans="10:13" x14ac:dyDescent="0.45">
      <c r="J116" s="112" t="s">
        <v>848</v>
      </c>
      <c r="K116" s="112">
        <v>7</v>
      </c>
      <c r="L116" s="112">
        <v>9</v>
      </c>
      <c r="M116" s="112">
        <v>4</v>
      </c>
    </row>
    <row r="117" spans="10:13" x14ac:dyDescent="0.45">
      <c r="J117" s="112" t="s">
        <v>849</v>
      </c>
      <c r="K117" s="112">
        <v>7</v>
      </c>
      <c r="L117" s="112">
        <v>9</v>
      </c>
      <c r="M117" s="112">
        <v>5</v>
      </c>
    </row>
    <row r="118" spans="10:13" x14ac:dyDescent="0.45">
      <c r="J118" s="112" t="s">
        <v>850</v>
      </c>
      <c r="K118" s="112">
        <v>7</v>
      </c>
      <c r="L118" s="112">
        <v>9</v>
      </c>
      <c r="M118" s="112">
        <v>5</v>
      </c>
    </row>
    <row r="119" spans="10:13" x14ac:dyDescent="0.45">
      <c r="J119" s="112" t="s">
        <v>851</v>
      </c>
      <c r="K119" s="112">
        <v>7</v>
      </c>
      <c r="L119" s="112">
        <v>9</v>
      </c>
      <c r="M119" s="112">
        <v>7</v>
      </c>
    </row>
    <row r="120" spans="10:13" x14ac:dyDescent="0.45">
      <c r="J120" s="112" t="s">
        <v>852</v>
      </c>
      <c r="K120" s="112">
        <v>7</v>
      </c>
      <c r="L120" s="112">
        <v>9</v>
      </c>
      <c r="M120" s="112">
        <v>7</v>
      </c>
    </row>
    <row r="121" spans="10:13" x14ac:dyDescent="0.45">
      <c r="J121" s="112" t="s">
        <v>853</v>
      </c>
      <c r="K121" s="112">
        <v>7</v>
      </c>
      <c r="L121" s="112">
        <v>9</v>
      </c>
      <c r="M121" s="112">
        <v>6</v>
      </c>
    </row>
    <row r="122" spans="10:13" x14ac:dyDescent="0.45">
      <c r="J122" s="112" t="s">
        <v>854</v>
      </c>
      <c r="K122" s="112">
        <v>7</v>
      </c>
      <c r="L122" s="112">
        <v>9</v>
      </c>
      <c r="M122" s="112">
        <v>6</v>
      </c>
    </row>
    <row r="123" spans="10:13" x14ac:dyDescent="0.45">
      <c r="J123" s="112" t="s">
        <v>855</v>
      </c>
      <c r="K123" s="112">
        <v>7</v>
      </c>
      <c r="L123" s="112">
        <v>9</v>
      </c>
      <c r="M123" s="112">
        <v>9</v>
      </c>
    </row>
    <row r="124" spans="10:13" x14ac:dyDescent="0.45">
      <c r="J124" s="112" t="s">
        <v>856</v>
      </c>
      <c r="K124" s="112">
        <v>7</v>
      </c>
      <c r="L124" s="112">
        <v>9</v>
      </c>
      <c r="M124" s="112">
        <v>9</v>
      </c>
    </row>
    <row r="125" spans="10:13" x14ac:dyDescent="0.45">
      <c r="J125" s="112" t="s">
        <v>857</v>
      </c>
      <c r="K125" s="112">
        <v>7</v>
      </c>
      <c r="L125" s="112">
        <v>9</v>
      </c>
      <c r="M125" s="112">
        <v>11</v>
      </c>
    </row>
    <row r="126" spans="10:13" x14ac:dyDescent="0.45">
      <c r="J126" s="112" t="s">
        <v>858</v>
      </c>
      <c r="K126" s="112">
        <v>7</v>
      </c>
      <c r="L126" s="112">
        <v>9</v>
      </c>
      <c r="M126" s="112">
        <v>11</v>
      </c>
    </row>
    <row r="127" spans="10:13" x14ac:dyDescent="0.45">
      <c r="J127" s="112" t="s">
        <v>859</v>
      </c>
      <c r="K127" s="112">
        <v>7</v>
      </c>
      <c r="L127" s="112">
        <v>9</v>
      </c>
      <c r="M127" s="112">
        <v>1</v>
      </c>
    </row>
    <row r="128" spans="10:13" x14ac:dyDescent="0.45">
      <c r="J128" s="112" t="s">
        <v>860</v>
      </c>
      <c r="K128" s="112">
        <v>7</v>
      </c>
      <c r="L128" s="112">
        <v>9</v>
      </c>
      <c r="M128" s="112">
        <v>1</v>
      </c>
    </row>
    <row r="129" spans="10:13" x14ac:dyDescent="0.45">
      <c r="J129" s="112" t="s">
        <v>861</v>
      </c>
      <c r="K129" s="112">
        <v>7</v>
      </c>
      <c r="L129" s="112">
        <v>9</v>
      </c>
      <c r="M129" s="112">
        <v>2</v>
      </c>
    </row>
    <row r="130" spans="10:13" x14ac:dyDescent="0.45">
      <c r="J130" s="112" t="s">
        <v>862</v>
      </c>
      <c r="K130" s="112">
        <v>7</v>
      </c>
      <c r="L130" s="112">
        <v>9</v>
      </c>
      <c r="M130" s="112">
        <v>2</v>
      </c>
    </row>
    <row r="131" spans="10:13" x14ac:dyDescent="0.45">
      <c r="J131" s="112" t="s">
        <v>863</v>
      </c>
      <c r="K131" s="112">
        <v>6</v>
      </c>
      <c r="L131" s="112">
        <v>12</v>
      </c>
      <c r="M131" s="112">
        <v>30</v>
      </c>
    </row>
    <row r="132" spans="10:13" x14ac:dyDescent="0.45">
      <c r="J132" s="112" t="s">
        <v>864</v>
      </c>
      <c r="K132" s="112">
        <v>6</v>
      </c>
      <c r="L132" s="112">
        <v>12</v>
      </c>
      <c r="M132" s="112">
        <v>30</v>
      </c>
    </row>
    <row r="133" spans="10:13" x14ac:dyDescent="0.45">
      <c r="J133" s="112" t="s">
        <v>865</v>
      </c>
      <c r="K133" s="112">
        <v>6</v>
      </c>
      <c r="L133" s="112">
        <v>12</v>
      </c>
      <c r="M133" s="112">
        <v>31</v>
      </c>
    </row>
    <row r="134" spans="10:13" x14ac:dyDescent="0.45">
      <c r="J134" s="112" t="s">
        <v>866</v>
      </c>
      <c r="K134" s="112">
        <v>6</v>
      </c>
      <c r="L134" s="112">
        <v>12</v>
      </c>
      <c r="M134" s="112">
        <v>31</v>
      </c>
    </row>
    <row r="135" spans="10:13" x14ac:dyDescent="0.45">
      <c r="J135" s="112" t="s">
        <v>867</v>
      </c>
      <c r="K135" s="112">
        <v>6</v>
      </c>
      <c r="L135" s="112">
        <v>12</v>
      </c>
      <c r="M135" s="112">
        <v>32</v>
      </c>
    </row>
    <row r="136" spans="10:13" x14ac:dyDescent="0.45">
      <c r="J136" s="112" t="s">
        <v>868</v>
      </c>
      <c r="K136" s="112">
        <v>6</v>
      </c>
      <c r="L136" s="112">
        <v>12</v>
      </c>
      <c r="M136" s="112">
        <v>32</v>
      </c>
    </row>
    <row r="137" spans="10:13" x14ac:dyDescent="0.45">
      <c r="J137" s="112" t="s">
        <v>869</v>
      </c>
      <c r="K137" s="112">
        <v>6</v>
      </c>
      <c r="L137" s="112">
        <v>12</v>
      </c>
      <c r="M137" s="112">
        <v>28</v>
      </c>
    </row>
    <row r="138" spans="10:13" x14ac:dyDescent="0.45">
      <c r="J138" s="112" t="s">
        <v>870</v>
      </c>
      <c r="K138" s="112">
        <v>6</v>
      </c>
      <c r="L138" s="112">
        <v>12</v>
      </c>
      <c r="M138" s="112">
        <v>28</v>
      </c>
    </row>
    <row r="139" spans="10:13" x14ac:dyDescent="0.45">
      <c r="J139" s="112" t="s">
        <v>871</v>
      </c>
      <c r="K139" s="112">
        <v>6</v>
      </c>
      <c r="L139" s="112">
        <v>12</v>
      </c>
      <c r="M139" s="112">
        <v>29</v>
      </c>
    </row>
    <row r="140" spans="10:13" x14ac:dyDescent="0.45">
      <c r="J140" s="112" t="s">
        <v>872</v>
      </c>
      <c r="K140" s="112">
        <v>6</v>
      </c>
      <c r="L140" s="112">
        <v>12</v>
      </c>
      <c r="M140" s="112">
        <v>29</v>
      </c>
    </row>
    <row r="141" spans="10:13" x14ac:dyDescent="0.45">
      <c r="J141" s="112" t="s">
        <v>873</v>
      </c>
      <c r="K141" s="112">
        <v>7</v>
      </c>
      <c r="L141" s="112">
        <v>9</v>
      </c>
      <c r="M141" s="112">
        <v>8</v>
      </c>
    </row>
    <row r="142" spans="10:13" x14ac:dyDescent="0.45">
      <c r="J142" s="112" t="s">
        <v>874</v>
      </c>
      <c r="K142" s="112">
        <v>7</v>
      </c>
      <c r="L142" s="112">
        <v>9</v>
      </c>
      <c r="M142" s="112">
        <v>8</v>
      </c>
    </row>
    <row r="143" spans="10:13" x14ac:dyDescent="0.45">
      <c r="J143" s="112" t="s">
        <v>875</v>
      </c>
      <c r="K143" s="112">
        <v>7</v>
      </c>
      <c r="L143" s="112">
        <v>9</v>
      </c>
      <c r="M143" s="112">
        <v>3</v>
      </c>
    </row>
    <row r="144" spans="10:13" x14ac:dyDescent="0.45">
      <c r="J144" s="112" t="s">
        <v>876</v>
      </c>
      <c r="K144" s="112">
        <v>7</v>
      </c>
      <c r="L144" s="112">
        <v>9</v>
      </c>
      <c r="M144" s="112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BoardingByRoute_All</vt:lpstr>
      <vt:lpstr>PrilimTable</vt:lpstr>
      <vt:lpstr>Aggregated_Transit_Final_V2</vt:lpstr>
      <vt:lpstr>TrnStat.asc</vt:lpstr>
      <vt:lpstr>Obs_Ridership</vt:lpstr>
      <vt:lpstr>BoardingByRoute_ABM</vt:lpstr>
      <vt:lpstr>OBS_RteName</vt:lpstr>
      <vt:lpstr>ABM_RteName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Dhakar</dc:creator>
  <cp:lastModifiedBy>Nagendra Dhakar</cp:lastModifiedBy>
  <dcterms:created xsi:type="dcterms:W3CDTF">2015-08-26T21:05:32Z</dcterms:created>
  <dcterms:modified xsi:type="dcterms:W3CDTF">2024-12-31T13:16:00Z</dcterms:modified>
</cp:coreProperties>
</file>