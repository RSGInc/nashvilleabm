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63" firstSheet="0" activeTab="0" autoFilterDateGrouping="1"/>
  </bookViews>
  <sheets>
    <sheet name="BoardingByRoute_All" sheetId="1" state="visible" r:id="rId1"/>
    <sheet name="PrilimTable" sheetId="2" state="visible" r:id="rId2"/>
    <sheet name="Aggregated_Transit_Final_V2" sheetId="3" state="visible" r:id="rId3"/>
    <sheet name="TrnStat.asc" sheetId="4" state="visible" r:id="rId4"/>
    <sheet name="Obs_Ridership" sheetId="5" state="visible" r:id="rId5"/>
    <sheet name="BoardingByRoute_ABM" sheetId="6" state="visible" r:id="rId6"/>
    <sheet name="OBS_RteName" sheetId="7" state="visible" r:id="rId7"/>
    <sheet name="ABM_RteName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0.0"/>
    <numFmt numFmtId="166" formatCode="0.0%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color rgb="FF00B050"/>
      <sz val="11"/>
      <scheme val="minor"/>
    </font>
    <font>
      <name val="Aptos Narrow"/>
      <family val="2"/>
      <color indexed="8"/>
      <sz val="11"/>
    </font>
    <font>
      <name val="Calibri"/>
      <family val="2"/>
      <color indexed="8"/>
      <sz val="11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9" fontId="1" fillId="0" borderId="0"/>
    <xf numFmtId="43" fontId="1" fillId="0" borderId="0"/>
  </cellStyleXfs>
  <cellXfs count="127"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3" borderId="0" pivotButton="0" quotePrefix="0" xfId="0"/>
    <xf numFmtId="0" fontId="3" fillId="0" borderId="0" pivotButton="0" quotePrefix="0" xfId="0"/>
    <xf numFmtId="0" fontId="3" fillId="0" borderId="1" pivotButton="0" quotePrefix="0" xfId="0"/>
    <xf numFmtId="0" fontId="0" fillId="0" borderId="3" pivotButton="0" quotePrefix="0" xfId="0"/>
    <xf numFmtId="3" fontId="0" fillId="2" borderId="0" pivotButton="0" quotePrefix="0" xfId="0"/>
    <xf numFmtId="10" fontId="0" fillId="2" borderId="0" pivotButton="0" quotePrefix="0" xfId="0"/>
    <xf numFmtId="10" fontId="0" fillId="3" borderId="0" pivotButton="0" quotePrefix="0" xfId="0"/>
    <xf numFmtId="0" fontId="0" fillId="0" borderId="1" pivotButton="0" quotePrefix="0" xfId="0"/>
    <xf numFmtId="3" fontId="0" fillId="2" borderId="1" pivotButton="0" quotePrefix="0" xfId="0"/>
    <xf numFmtId="10" fontId="0" fillId="3" borderId="1" pivotButton="0" quotePrefix="0" xfId="0"/>
    <xf numFmtId="3" fontId="3" fillId="2" borderId="1" pivotButton="0" quotePrefix="0" xfId="0"/>
    <xf numFmtId="3" fontId="3" fillId="3" borderId="1" pivotButton="0" quotePrefix="0" xfId="0"/>
    <xf numFmtId="10" fontId="3" fillId="3" borderId="1" pivotButton="0" quotePrefix="0" xfId="0"/>
    <xf numFmtId="0" fontId="3" fillId="0" borderId="3" pivotButton="0" quotePrefix="0" xfId="0"/>
    <xf numFmtId="10" fontId="0" fillId="0" borderId="0" pivotButton="0" quotePrefix="0" xfId="1"/>
    <xf numFmtId="3" fontId="3" fillId="3" borderId="2" pivotButton="0" quotePrefix="0" xfId="0"/>
    <xf numFmtId="10" fontId="3" fillId="3" borderId="2" pivotButton="0" quotePrefix="0" xfId="0"/>
    <xf numFmtId="0" fontId="0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3" borderId="1" applyAlignment="1" pivotButton="0" quotePrefix="0" xfId="0">
      <alignment horizontal="right"/>
    </xf>
    <xf numFmtId="0" fontId="3" fillId="2" borderId="2" applyAlignment="1" pivotButton="0" quotePrefix="0" xfId="0">
      <alignment horizontal="right"/>
    </xf>
    <xf numFmtId="0" fontId="3" fillId="3" borderId="2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10" fontId="0" fillId="3" borderId="0" pivotButton="0" quotePrefix="0" xfId="1"/>
    <xf numFmtId="10" fontId="0" fillId="2" borderId="0" pivotButton="0" quotePrefix="0" xfId="1"/>
    <xf numFmtId="10" fontId="3" fillId="3" borderId="2" pivotButton="0" quotePrefix="0" xfId="1"/>
    <xf numFmtId="164" fontId="0" fillId="3" borderId="0" pivotButton="0" quotePrefix="0" xfId="2"/>
    <xf numFmtId="0" fontId="3" fillId="3" borderId="2" pivotButton="0" quotePrefix="0" xfId="0"/>
    <xf numFmtId="3" fontId="3" fillId="0" borderId="0" pivotButton="0" quotePrefix="0" xfId="0"/>
    <xf numFmtId="0" fontId="0" fillId="3" borderId="0" pivotButton="0" quotePrefix="0" xfId="2"/>
    <xf numFmtId="164" fontId="3" fillId="3" borderId="2" pivotButton="0" quotePrefix="0" xfId="2"/>
    <xf numFmtId="165" fontId="0" fillId="3" borderId="0" pivotButton="0" quotePrefix="0" xfId="0"/>
    <xf numFmtId="164" fontId="0" fillId="2" borderId="0" pivotButton="0" quotePrefix="0" xfId="2"/>
    <xf numFmtId="0" fontId="3" fillId="2" borderId="2" pivotButton="0" quotePrefix="0" xfId="0"/>
    <xf numFmtId="0" fontId="0" fillId="0" borderId="2" pivotButton="0" quotePrefix="0" xfId="0"/>
    <xf numFmtId="10" fontId="3" fillId="2" borderId="2" pivotButton="0" quotePrefix="0" xfId="1"/>
    <xf numFmtId="164" fontId="3" fillId="2" borderId="2" pivotButton="0" quotePrefix="0" xfId="2"/>
    <xf numFmtId="164" fontId="0" fillId="0" borderId="0" pivotButton="0" quotePrefix="0" xfId="0"/>
    <xf numFmtId="164" fontId="0" fillId="0" borderId="0" pivotButton="0" quotePrefix="0" xfId="1"/>
    <xf numFmtId="164" fontId="0" fillId="4" borderId="0" pivotButton="0" quotePrefix="0" xfId="1"/>
    <xf numFmtId="164" fontId="3" fillId="4" borderId="2" pivotButton="0" quotePrefix="0" xfId="1"/>
    <xf numFmtId="166" fontId="0" fillId="2" borderId="0" pivotButton="0" quotePrefix="0" xfId="1"/>
    <xf numFmtId="0" fontId="3" fillId="5" borderId="1" applyAlignment="1" pivotButton="0" quotePrefix="0" xfId="0">
      <alignment horizontal="right"/>
    </xf>
    <xf numFmtId="3" fontId="0" fillId="5" borderId="0" pivotButton="0" quotePrefix="0" xfId="0"/>
    <xf numFmtId="166" fontId="0" fillId="5" borderId="0" pivotButton="0" quotePrefix="0" xfId="1"/>
    <xf numFmtId="3" fontId="3" fillId="5" borderId="1" pivotButton="0" quotePrefix="0" xfId="0"/>
    <xf numFmtId="10" fontId="3" fillId="5" borderId="1" pivotButton="0" quotePrefix="0" xfId="0"/>
    <xf numFmtId="166" fontId="0" fillId="2" borderId="1" pivotButton="0" quotePrefix="0" xfId="1"/>
    <xf numFmtId="3" fontId="0" fillId="5" borderId="1" pivotButton="0" quotePrefix="0" xfId="0"/>
    <xf numFmtId="166" fontId="0" fillId="5" borderId="1" pivotButton="0" quotePrefix="0" xfId="1"/>
    <xf numFmtId="0" fontId="4" fillId="0" borderId="0" pivotButton="0" quotePrefix="0" xfId="0"/>
    <xf numFmtId="164" fontId="3" fillId="0" borderId="0" applyAlignment="1" pivotButton="0" quotePrefix="0" xfId="1">
      <alignment horizontal="right"/>
    </xf>
    <xf numFmtId="0" fontId="3" fillId="0" borderId="2" pivotButton="0" quotePrefix="0" xfId="0"/>
    <xf numFmtId="1" fontId="0" fillId="0" borderId="0" pivotButton="0" quotePrefix="0" xfId="0"/>
    <xf numFmtId="0" fontId="3" fillId="0" borderId="0" applyAlignment="1" pivotButton="0" quotePrefix="0" xfId="0">
      <alignment horizontal="left"/>
    </xf>
    <xf numFmtId="166" fontId="3" fillId="2" borderId="2" pivotButton="0" quotePrefix="0" xfId="1"/>
    <xf numFmtId="166" fontId="0" fillId="3" borderId="0" pivotButton="0" quotePrefix="0" xfId="1"/>
    <xf numFmtId="166" fontId="3" fillId="3" borderId="2" pivotButton="0" quotePrefix="0" xfId="1"/>
    <xf numFmtId="0" fontId="3" fillId="0" borderId="1" applyAlignment="1" pivotButton="0" quotePrefix="0" xfId="0">
      <alignment horizontal="right"/>
    </xf>
    <xf numFmtId="0" fontId="3" fillId="0" borderId="2" applyAlignment="1" pivotButton="0" quotePrefix="0" xfId="0">
      <alignment horizontal="left"/>
    </xf>
    <xf numFmtId="10" fontId="3" fillId="2" borderId="2" pivotButton="0" quotePrefix="0" xfId="0"/>
    <xf numFmtId="164" fontId="0" fillId="0" borderId="0" pivotButton="0" quotePrefix="0" xfId="2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1"/>
    <xf numFmtId="3" fontId="3" fillId="2" borderId="2" pivotButton="0" quotePrefix="0" xfId="0"/>
    <xf numFmtId="9" fontId="3" fillId="2" borderId="2" pivotButton="0" quotePrefix="0" xfId="1"/>
    <xf numFmtId="9" fontId="3" fillId="3" borderId="2" pivotButton="0" quotePrefix="0" xfId="1"/>
    <xf numFmtId="164" fontId="3" fillId="0" borderId="0" pivotButton="0" quotePrefix="0" xfId="0"/>
    <xf numFmtId="9" fontId="0" fillId="4" borderId="0" pivotButton="0" quotePrefix="0" xfId="1"/>
    <xf numFmtId="9" fontId="3" fillId="4" borderId="2" pivotButton="0" quotePrefix="0" xfId="1"/>
    <xf numFmtId="0" fontId="3" fillId="4" borderId="1" applyAlignment="1" pivotButton="0" quotePrefix="0" xfId="0">
      <alignment horizontal="right"/>
    </xf>
    <xf numFmtId="3" fontId="0" fillId="4" borderId="0" pivotButton="0" quotePrefix="0" xfId="0"/>
    <xf numFmtId="3" fontId="0" fillId="4" borderId="1" pivotButton="0" quotePrefix="0" xfId="0"/>
    <xf numFmtId="3" fontId="3" fillId="4" borderId="1" pivotButton="0" quotePrefix="0" xfId="0"/>
    <xf numFmtId="9" fontId="3" fillId="4" borderId="1" pivotButton="0" quotePrefix="0" xfId="0"/>
    <xf numFmtId="0" fontId="3" fillId="6" borderId="2" applyAlignment="1" pivotButton="0" quotePrefix="0" xfId="0">
      <alignment horizontal="left"/>
    </xf>
    <xf numFmtId="0" fontId="3" fillId="6" borderId="2" applyAlignment="1" pivotButton="0" quotePrefix="0" xfId="0">
      <alignment horizontal="center"/>
    </xf>
    <xf numFmtId="0" fontId="3" fillId="6" borderId="1" applyAlignment="1" pivotButton="0" quotePrefix="0" xfId="0">
      <alignment horizontal="right"/>
    </xf>
    <xf numFmtId="4" fontId="0" fillId="6" borderId="0" pivotButton="0" quotePrefix="0" xfId="0"/>
    <xf numFmtId="3" fontId="0" fillId="6" borderId="0" pivotButton="0" quotePrefix="0" xfId="0"/>
    <xf numFmtId="164" fontId="3" fillId="6" borderId="3" pivotButton="0" quotePrefix="0" xfId="2"/>
    <xf numFmtId="10" fontId="3" fillId="6" borderId="3" pivotButton="0" quotePrefix="0" xfId="0"/>
    <xf numFmtId="0" fontId="3" fillId="4" borderId="2" applyAlignment="1" pivotButton="0" quotePrefix="0" xfId="0">
      <alignment horizontal="right"/>
    </xf>
    <xf numFmtId="0" fontId="3" fillId="7" borderId="0" pivotButton="0" quotePrefix="0" xfId="0"/>
    <xf numFmtId="0" fontId="3" fillId="7" borderId="3" pivotButton="0" quotePrefix="0" xfId="0"/>
    <xf numFmtId="0" fontId="3" fillId="7" borderId="1" pivotButton="0" quotePrefix="0" xfId="0"/>
    <xf numFmtId="0" fontId="0" fillId="7" borderId="0" pivotButton="0" quotePrefix="0" xfId="0"/>
    <xf numFmtId="0" fontId="0" fillId="7" borderId="1" pivotButton="0" quotePrefix="0" xfId="0"/>
    <xf numFmtId="0" fontId="0" fillId="0" borderId="0" pivotButton="0" quotePrefix="1" xfId="0"/>
    <xf numFmtId="164" fontId="0" fillId="7" borderId="0" pivotButton="0" quotePrefix="0" xfId="2"/>
    <xf numFmtId="9" fontId="0" fillId="7" borderId="0" pivotButton="0" quotePrefix="0" xfId="0"/>
    <xf numFmtId="166" fontId="0" fillId="7" borderId="0" pivotButton="0" quotePrefix="0" xfId="1"/>
    <xf numFmtId="43" fontId="0" fillId="7" borderId="0" pivotButton="0" quotePrefix="0" xfId="2"/>
    <xf numFmtId="0" fontId="0" fillId="7" borderId="0" applyAlignment="1" pivotButton="0" quotePrefix="0" xfId="0">
      <alignment horizontal="left"/>
    </xf>
    <xf numFmtId="166" fontId="0" fillId="0" borderId="0" pivotButton="0" quotePrefix="0" xfId="1"/>
    <xf numFmtId="43" fontId="0" fillId="0" borderId="0" pivotButton="0" quotePrefix="0" xfId="0"/>
    <xf numFmtId="0" fontId="2" fillId="8" borderId="0" pivotButton="0" quotePrefix="0" xfId="0"/>
    <xf numFmtId="164" fontId="2" fillId="8" borderId="0" pivotButton="0" quotePrefix="0" xfId="2"/>
    <xf numFmtId="0" fontId="0" fillId="8" borderId="0" pivotButton="0" quotePrefix="0" xfId="0"/>
    <xf numFmtId="164" fontId="0" fillId="8" borderId="0" pivotButton="0" quotePrefix="0" xfId="2"/>
    <xf numFmtId="43" fontId="0" fillId="8" borderId="0" pivotButton="0" quotePrefix="0" xfId="0"/>
    <xf numFmtId="0" fontId="0" fillId="9" borderId="0" pivotButton="0" quotePrefix="0" xfId="0"/>
    <xf numFmtId="1" fontId="0" fillId="0" borderId="0" pivotButton="0" quotePrefix="0" xfId="1"/>
    <xf numFmtId="1" fontId="2" fillId="8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9" fontId="0" fillId="4" borderId="1" pivotButton="0" quotePrefix="0" xfId="1"/>
    <xf numFmtId="0" fontId="3" fillId="5" borderId="2" applyAlignment="1" pivotButton="0" quotePrefix="0" xfId="0">
      <alignment horizontal="center"/>
    </xf>
    <xf numFmtId="0" fontId="0" fillId="0" borderId="2" pivotButton="0" quotePrefix="0" xfId="0"/>
    <xf numFmtId="0" fontId="3" fillId="2" borderId="2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3" fillId="2" borderId="3" applyAlignment="1" pivotButton="0" quotePrefix="0" xfId="0">
      <alignment horizontal="center"/>
    </xf>
    <xf numFmtId="0" fontId="0" fillId="0" borderId="3" pivotButton="0" quotePrefix="0" xfId="0"/>
    <xf numFmtId="0" fontId="3" fillId="3" borderId="3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R-Squared</a:t>
            </a:r>
            <a:r>
              <a:rPr lang="en-US" baseline="0"/>
              <a:t xml:space="preserve"> Plot (OBS vs ABM)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tx>
            <strRef>
              <f>BoardingByRoute_All!$G$13</f>
              <strCache>
                <ptCount val="1"/>
                <pt idx="0">
                  <v>ABM</v>
                </pt>
              </strCache>
            </strRef>
          </tx>
          <spPr>
            <a:ln w="25400" cap="rnd">
              <a:noFill/>
              <a:prstDash val="solid"/>
              <a:round/>
            </a:ln>
          </spPr>
          <marker>
            <symbol val="circle"/>
            <size val="8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0"/>
            <trendlineLbl>
              <layout>
                <manualLayout>
                  <wMode val="factor"/>
                  <hMode val="factor"/>
                  <x val="-0.04098176018799887"/>
                  <y val="0.013523317668347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14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BoardingByRoute_All!$E$15:$E$48</f>
              <numCache>
                <formatCode>_(* #,##0_);_(* \(#,##0\);_(* "-"??_);_(@_)</formatCode>
                <ptCount val="34"/>
                <pt idx="0">
                  <v>2516.909090909091</v>
                </pt>
                <pt idx="1">
                  <v>941.0454545454545</v>
                </pt>
                <pt idx="2">
                  <v>818.1818181818181</v>
                </pt>
                <pt idx="3">
                  <v>1841.590909090909</v>
                </pt>
                <pt idx="4">
                  <v>944.4090909090909</v>
                </pt>
                <pt idx="5">
                  <v>350.5909090909091</v>
                </pt>
                <pt idx="6">
                  <v>334.1818181818182</v>
                </pt>
                <pt idx="7">
                  <v>637.9545454545455</v>
                </pt>
                <pt idx="8">
                  <v>677.9090909090909</v>
                </pt>
                <pt idx="9">
                  <v>955.7272727272727</v>
                </pt>
                <pt idx="10">
                  <v>1505.409090909091</v>
                </pt>
                <pt idx="11">
                  <v>2690.5</v>
                </pt>
                <pt idx="12">
                  <v>275.4090909090909</v>
                </pt>
                <pt idx="13">
                  <v>691.0909090909091</v>
                </pt>
                <pt idx="14">
                  <v>365.8181818181818</v>
                </pt>
                <pt idx="15">
                  <v>61.90909090909091</v>
                </pt>
                <pt idx="16">
                  <v>402.6818181818182</v>
                </pt>
                <pt idx="17">
                  <v>2542.863636363636</v>
                </pt>
                <pt idx="18">
                  <v>3623.863636363636</v>
                </pt>
                <pt idx="19">
                  <v>5829.363636363636</v>
                </pt>
                <pt idx="20">
                  <v>4470.863636363636</v>
                </pt>
                <pt idx="21">
                  <v>9.181818181818182</v>
                </pt>
                <pt idx="22">
                  <v>42.40909090909091</v>
                </pt>
                <pt idx="23">
                  <v>127.6363636363636</v>
                </pt>
                <pt idx="24">
                  <v>347.3181818181818</v>
                </pt>
                <pt idx="25">
                  <v>333.9545454545454</v>
                </pt>
                <pt idx="26">
                  <v>225.7727272727273</v>
                </pt>
                <pt idx="27">
                  <v>127.5</v>
                </pt>
                <pt idx="28">
                  <v>47.09090909090909</v>
                </pt>
                <pt idx="29">
                  <v>77.31818181818181</v>
                </pt>
                <pt idx="30">
                  <v>23</v>
                </pt>
                <pt idx="31">
                  <v>399.3181818181818</v>
                </pt>
                <pt idx="32">
                  <v>121.3636363636364</v>
                </pt>
                <pt idx="33">
                  <v>51.63636363636363</v>
                </pt>
              </numCache>
            </numRef>
          </xVal>
          <yVal>
            <numRef>
              <f>BoardingByRoute_All!$G$15:$G$48</f>
              <numCache>
                <formatCode>_(* #,##0_);_(* \(#,##0\);_(* "-"??_);_(@_)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yVal>
          <smooth val="0"/>
        </ser>
        <ser>
          <idx val="1"/>
          <order val="1"/>
          <tx>
            <strRef>
              <f>BoardingByRoute_All!$AG$14</f>
              <strCache>
                <ptCount val="1"/>
                <pt idx="0">
                  <v>Reference</v>
                </pt>
              </strCache>
            </strRef>
          </tx>
          <spPr>
            <a:ln w="25400" cap="rnd">
              <a:solidFill>
                <a:schemeClr val="bg2">
                  <a:lumMod val="50000"/>
                </a:schemeClr>
              </a:solidFill>
              <a:prstDash val="dash"/>
              <a:round/>
            </a:ln>
          </spPr>
          <marker>
            <symbol val="circle"/>
            <size val="5"/>
            <spPr>
              <a:solidFill>
                <a:schemeClr val="bg2">
                  <a:lumMod val="75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  <a:prstDash val="sysDash"/>
              </a:ln>
            </spPr>
          </marker>
          <xVal>
            <numRef>
              <f>BoardingByRoute_All!$AG$15:$AG$74</f>
              <numCache>
                <formatCode>General</formatCode>
                <ptCount val="60"/>
                <pt idx="0">
                  <v>100</v>
                </pt>
                <pt idx="1">
                  <v>200</v>
                </pt>
                <pt idx="2">
                  <v>300</v>
                </pt>
                <pt idx="3">
                  <v>400</v>
                </pt>
                <pt idx="4">
                  <v>500</v>
                </pt>
                <pt idx="5">
                  <v>600</v>
                </pt>
                <pt idx="6">
                  <v>700</v>
                </pt>
                <pt idx="7">
                  <v>800</v>
                </pt>
                <pt idx="8">
                  <v>900</v>
                </pt>
                <pt idx="9">
                  <v>1000</v>
                </pt>
                <pt idx="10">
                  <v>1100</v>
                </pt>
                <pt idx="11">
                  <v>1200</v>
                </pt>
                <pt idx="12">
                  <v>1300</v>
                </pt>
                <pt idx="13">
                  <v>1400</v>
                </pt>
                <pt idx="14">
                  <v>1500</v>
                </pt>
                <pt idx="15">
                  <v>1600</v>
                </pt>
                <pt idx="16">
                  <v>1700</v>
                </pt>
                <pt idx="17">
                  <v>1800</v>
                </pt>
                <pt idx="18">
                  <v>1900</v>
                </pt>
                <pt idx="19">
                  <v>2000</v>
                </pt>
                <pt idx="20">
                  <v>2100</v>
                </pt>
                <pt idx="21">
                  <v>2200</v>
                </pt>
                <pt idx="22">
                  <v>2300</v>
                </pt>
                <pt idx="23">
                  <v>2400</v>
                </pt>
                <pt idx="24">
                  <v>2500</v>
                </pt>
                <pt idx="25">
                  <v>2600</v>
                </pt>
                <pt idx="26">
                  <v>2700</v>
                </pt>
                <pt idx="27">
                  <v>2800</v>
                </pt>
                <pt idx="28">
                  <v>2900</v>
                </pt>
                <pt idx="29">
                  <v>3000</v>
                </pt>
                <pt idx="30">
                  <v>3100</v>
                </pt>
                <pt idx="31">
                  <v>3200</v>
                </pt>
                <pt idx="32">
                  <v>3300</v>
                </pt>
                <pt idx="33">
                  <v>3400</v>
                </pt>
                <pt idx="34">
                  <v>3500</v>
                </pt>
                <pt idx="35">
                  <v>3600</v>
                </pt>
                <pt idx="36">
                  <v>3700</v>
                </pt>
                <pt idx="37">
                  <v>3800</v>
                </pt>
                <pt idx="38">
                  <v>3900</v>
                </pt>
                <pt idx="39">
                  <v>4000</v>
                </pt>
                <pt idx="40">
                  <v>4100</v>
                </pt>
                <pt idx="41">
                  <v>4200</v>
                </pt>
                <pt idx="42">
                  <v>4300</v>
                </pt>
                <pt idx="43">
                  <v>4400</v>
                </pt>
                <pt idx="44">
                  <v>4500</v>
                </pt>
                <pt idx="45">
                  <v>4600</v>
                </pt>
                <pt idx="46">
                  <v>4700</v>
                </pt>
                <pt idx="47">
                  <v>4800</v>
                </pt>
                <pt idx="48">
                  <v>4900</v>
                </pt>
                <pt idx="49">
                  <v>5000</v>
                </pt>
                <pt idx="50">
                  <v>5100</v>
                </pt>
                <pt idx="51">
                  <v>5200</v>
                </pt>
                <pt idx="52">
                  <v>5300</v>
                </pt>
                <pt idx="53">
                  <v>5400</v>
                </pt>
                <pt idx="54">
                  <v>5500</v>
                </pt>
                <pt idx="55">
                  <v>5600</v>
                </pt>
                <pt idx="56">
                  <v>5700</v>
                </pt>
                <pt idx="57">
                  <v>5800</v>
                </pt>
                <pt idx="58">
                  <v>5900</v>
                </pt>
                <pt idx="59">
                  <v>6000</v>
                </pt>
              </numCache>
            </numRef>
          </xVal>
          <yVal>
            <numRef>
              <f>BoardingByRoute_All!$AG$15:$AG$74</f>
              <numCache>
                <formatCode>General</formatCode>
                <ptCount val="60"/>
                <pt idx="0">
                  <v>100</v>
                </pt>
                <pt idx="1">
                  <v>200</v>
                </pt>
                <pt idx="2">
                  <v>300</v>
                </pt>
                <pt idx="3">
                  <v>400</v>
                </pt>
                <pt idx="4">
                  <v>500</v>
                </pt>
                <pt idx="5">
                  <v>600</v>
                </pt>
                <pt idx="6">
                  <v>700</v>
                </pt>
                <pt idx="7">
                  <v>800</v>
                </pt>
                <pt idx="8">
                  <v>900</v>
                </pt>
                <pt idx="9">
                  <v>1000</v>
                </pt>
                <pt idx="10">
                  <v>1100</v>
                </pt>
                <pt idx="11">
                  <v>1200</v>
                </pt>
                <pt idx="12">
                  <v>1300</v>
                </pt>
                <pt idx="13">
                  <v>1400</v>
                </pt>
                <pt idx="14">
                  <v>1500</v>
                </pt>
                <pt idx="15">
                  <v>1600</v>
                </pt>
                <pt idx="16">
                  <v>1700</v>
                </pt>
                <pt idx="17">
                  <v>1800</v>
                </pt>
                <pt idx="18">
                  <v>1900</v>
                </pt>
                <pt idx="19">
                  <v>2000</v>
                </pt>
                <pt idx="20">
                  <v>2100</v>
                </pt>
                <pt idx="21">
                  <v>2200</v>
                </pt>
                <pt idx="22">
                  <v>2300</v>
                </pt>
                <pt idx="23">
                  <v>2400</v>
                </pt>
                <pt idx="24">
                  <v>2500</v>
                </pt>
                <pt idx="25">
                  <v>2600</v>
                </pt>
                <pt idx="26">
                  <v>2700</v>
                </pt>
                <pt idx="27">
                  <v>2800</v>
                </pt>
                <pt idx="28">
                  <v>2900</v>
                </pt>
                <pt idx="29">
                  <v>3000</v>
                </pt>
                <pt idx="30">
                  <v>3100</v>
                </pt>
                <pt idx="31">
                  <v>3200</v>
                </pt>
                <pt idx="32">
                  <v>3300</v>
                </pt>
                <pt idx="33">
                  <v>3400</v>
                </pt>
                <pt idx="34">
                  <v>3500</v>
                </pt>
                <pt idx="35">
                  <v>3600</v>
                </pt>
                <pt idx="36">
                  <v>3700</v>
                </pt>
                <pt idx="37">
                  <v>3800</v>
                </pt>
                <pt idx="38">
                  <v>3900</v>
                </pt>
                <pt idx="39">
                  <v>4000</v>
                </pt>
                <pt idx="40">
                  <v>4100</v>
                </pt>
                <pt idx="41">
                  <v>4200</v>
                </pt>
                <pt idx="42">
                  <v>4300</v>
                </pt>
                <pt idx="43">
                  <v>4400</v>
                </pt>
                <pt idx="44">
                  <v>4500</v>
                </pt>
                <pt idx="45">
                  <v>4600</v>
                </pt>
                <pt idx="46">
                  <v>4700</v>
                </pt>
                <pt idx="47">
                  <v>4800</v>
                </pt>
                <pt idx="48">
                  <v>4900</v>
                </pt>
                <pt idx="49">
                  <v>5000</v>
                </pt>
                <pt idx="50">
                  <v>5100</v>
                </pt>
                <pt idx="51">
                  <v>5200</v>
                </pt>
                <pt idx="52">
                  <v>5300</v>
                </pt>
                <pt idx="53">
                  <v>5400</v>
                </pt>
                <pt idx="54">
                  <v>5500</v>
                </pt>
                <pt idx="55">
                  <v>5600</v>
                </pt>
                <pt idx="56">
                  <v>5700</v>
                </pt>
                <pt idx="57">
                  <v>5800</v>
                </pt>
                <pt idx="58">
                  <v>5900</v>
                </pt>
                <pt idx="59">
                  <v>6000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60130112"/>
        <axId val="360132352"/>
      </scatterChart>
      <valAx>
        <axId val="360130112"/>
        <scaling>
          <orientation val="minMax"/>
          <max val="600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_(* #,##0_);_(* \(#,##0\);_(* &quot;-&quot;??_);_(@_)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60132352"/>
        <crosses val="autoZero"/>
        <crossBetween val="midCat"/>
        <majorUnit val="500"/>
      </valAx>
      <valAx>
        <axId val="360132352"/>
        <scaling>
          <orientation val="minMax"/>
          <max val="600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ABM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_(* #,##0_);_(* \(#,##0\);_(* &quot;-&quot;??_);_(@_)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60130112"/>
        <crosses val="autoZero"/>
        <crossBetween val="midCat"/>
        <majorUnit val="500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BOARDINGS</a:t>
            </a:r>
            <a:r>
              <a:rPr lang="en-US" b="1" baseline="0"/>
              <a:t xml:space="preserve"> BY ROUTE</a:t>
            </a:r>
            <a:endParaRPr lang="en-US" b="1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BoardingByRoute_All!$E$13</f>
              <strCache>
                <ptCount val="1"/>
                <pt idx="0">
                  <v>OBS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BoardingByRoute_All!$D$15:$D$48</f>
              <strCache>
                <ptCount val="34"/>
                <pt idx="0">
                  <v>Rte 3 West End (White Bridge) IB</v>
                </pt>
                <pt idx="1">
                  <v>Rte 4 Shelby IB</v>
                </pt>
                <pt idx="2">
                  <v>Rte 6 Lebanon Rd OB</v>
                </pt>
                <pt idx="3">
                  <v>Rte 7 Hillsboro IB</v>
                </pt>
                <pt idx="4">
                  <v>Rte 8 8TH AVENUE SOUTH iB</v>
                </pt>
                <pt idx="5">
                  <v>Rte 9 MetroCenter OB</v>
                </pt>
                <pt idx="6">
                  <v>Rte 14 WHITES CREEK oB</v>
                </pt>
                <pt idx="7">
                  <v>Rte 17 12TH AVENUE SOUTH iB</v>
                </pt>
                <pt idx="8">
                  <v>Rte 18 Airport Exp OB</v>
                </pt>
                <pt idx="9">
                  <v>Rte 19 Herman IB</v>
                </pt>
                <pt idx="10">
                  <v>Rte 22 Bordeaux (Panaroma) IB</v>
                </pt>
                <pt idx="11">
                  <v>Rte 23 Dickerson Pike OB</v>
                </pt>
                <pt idx="12">
                  <v>Rte 28 Meridian IB</v>
                </pt>
                <pt idx="13">
                  <v>Rte 29 Jefferson IB</v>
                </pt>
                <pt idx="14">
                  <v>Rte 34 Opry Mills IB</v>
                </pt>
                <pt idx="15">
                  <v>Rte 41 Golden Valley OB PM</v>
                </pt>
                <pt idx="16">
                  <v>Rte 42 St. Cecilia/Cumberland IB</v>
                </pt>
                <pt idx="17">
                  <v>Rte 50 CHARLOTTE PIKE oB</v>
                </pt>
                <pt idx="18">
                  <v>Rte 52 NOLENSVILLE PIKE (Hick) oB</v>
                </pt>
                <pt idx="19">
                  <v>Rte 55 MURFREESBORO PIKE oB</v>
                </pt>
                <pt idx="20">
                  <v>Rte 56 Gallatin Rd IB</v>
                </pt>
                <pt idx="21">
                  <v>Rte 64 STAR DOWNTOWN SHUTTLE</v>
                </pt>
                <pt idx="22">
                  <v>Rte 70 Belevue Conn OB</v>
                </pt>
                <pt idx="23">
                  <v>Rte 75 Midtown CW Loop</v>
                </pt>
                <pt idx="24">
                  <v>Rte 76 Madison Conn</v>
                </pt>
                <pt idx="25">
                  <v>Rte 77 THOMPSON - WEDGEWOOD ccw</v>
                </pt>
                <pt idx="26">
                  <v>Rte 79 Skyline iB</v>
                </pt>
                <pt idx="27">
                  <v>Rte 84 Murfreesboro Express OB</v>
                </pt>
                <pt idx="28">
                  <v>Rte 86 Smyrna Lavergne Exp OB</v>
                </pt>
                <pt idx="29">
                  <v>Rte 87 Gallatin Comm Bus OB</v>
                </pt>
                <pt idx="30">
                  <v>Rte 89 Spgfield/Joelton Exp OB</v>
                </pt>
                <pt idx="31">
                  <v>Rte 90 Music City Star oB</v>
                </pt>
                <pt idx="32">
                  <v>Rte 93 MCS West End Shuttle</v>
                </pt>
                <pt idx="33">
                  <v>Rte 95 Spring Hill Exp OB</v>
                </pt>
              </strCache>
            </strRef>
          </cat>
          <val>
            <numRef>
              <f>BoardingByRoute_All!$E$15:$E$48</f>
              <numCache>
                <formatCode>_(* #,##0_);_(* \(#,##0\);_(* "-"??_);_(@_)</formatCode>
                <ptCount val="34"/>
                <pt idx="0">
                  <v>2516.909090909091</v>
                </pt>
                <pt idx="1">
                  <v>941.0454545454545</v>
                </pt>
                <pt idx="2">
                  <v>818.1818181818181</v>
                </pt>
                <pt idx="3">
                  <v>1841.590909090909</v>
                </pt>
                <pt idx="4">
                  <v>944.4090909090909</v>
                </pt>
                <pt idx="5">
                  <v>350.5909090909091</v>
                </pt>
                <pt idx="6">
                  <v>334.1818181818182</v>
                </pt>
                <pt idx="7">
                  <v>637.9545454545455</v>
                </pt>
                <pt idx="8">
                  <v>677.9090909090909</v>
                </pt>
                <pt idx="9">
                  <v>955.7272727272727</v>
                </pt>
                <pt idx="10">
                  <v>1505.409090909091</v>
                </pt>
                <pt idx="11">
                  <v>2690.5</v>
                </pt>
                <pt idx="12">
                  <v>275.4090909090909</v>
                </pt>
                <pt idx="13">
                  <v>691.0909090909091</v>
                </pt>
                <pt idx="14">
                  <v>365.8181818181818</v>
                </pt>
                <pt idx="15">
                  <v>61.90909090909091</v>
                </pt>
                <pt idx="16">
                  <v>402.6818181818182</v>
                </pt>
                <pt idx="17">
                  <v>2542.863636363636</v>
                </pt>
                <pt idx="18">
                  <v>3623.863636363636</v>
                </pt>
                <pt idx="19">
                  <v>5829.363636363636</v>
                </pt>
                <pt idx="20">
                  <v>4470.863636363636</v>
                </pt>
                <pt idx="21">
                  <v>9.181818181818182</v>
                </pt>
                <pt idx="22">
                  <v>42.40909090909091</v>
                </pt>
                <pt idx="23">
                  <v>127.6363636363636</v>
                </pt>
                <pt idx="24">
                  <v>347.3181818181818</v>
                </pt>
                <pt idx="25">
                  <v>333.9545454545454</v>
                </pt>
                <pt idx="26">
                  <v>225.7727272727273</v>
                </pt>
                <pt idx="27">
                  <v>127.5</v>
                </pt>
                <pt idx="28">
                  <v>47.09090909090909</v>
                </pt>
                <pt idx="29">
                  <v>77.31818181818181</v>
                </pt>
                <pt idx="30">
                  <v>23</v>
                </pt>
                <pt idx="31">
                  <v>399.3181818181818</v>
                </pt>
                <pt idx="32">
                  <v>121.3636363636364</v>
                </pt>
                <pt idx="33">
                  <v>51.63636363636363</v>
                </pt>
              </numCache>
            </numRef>
          </val>
        </ser>
        <ser>
          <idx val="1"/>
          <order val="1"/>
          <tx>
            <strRef>
              <f>BoardingByRoute_All!$G$13</f>
              <strCache>
                <ptCount val="1"/>
                <pt idx="0">
                  <v>ABM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BoardingByRoute_All!$D$15:$D$48</f>
              <strCache>
                <ptCount val="34"/>
                <pt idx="0">
                  <v>Rte 3 West End (White Bridge) IB</v>
                </pt>
                <pt idx="1">
                  <v>Rte 4 Shelby IB</v>
                </pt>
                <pt idx="2">
                  <v>Rte 6 Lebanon Rd OB</v>
                </pt>
                <pt idx="3">
                  <v>Rte 7 Hillsboro IB</v>
                </pt>
                <pt idx="4">
                  <v>Rte 8 8TH AVENUE SOUTH iB</v>
                </pt>
                <pt idx="5">
                  <v>Rte 9 MetroCenter OB</v>
                </pt>
                <pt idx="6">
                  <v>Rte 14 WHITES CREEK oB</v>
                </pt>
                <pt idx="7">
                  <v>Rte 17 12TH AVENUE SOUTH iB</v>
                </pt>
                <pt idx="8">
                  <v>Rte 18 Airport Exp OB</v>
                </pt>
                <pt idx="9">
                  <v>Rte 19 Herman IB</v>
                </pt>
                <pt idx="10">
                  <v>Rte 22 Bordeaux (Panaroma) IB</v>
                </pt>
                <pt idx="11">
                  <v>Rte 23 Dickerson Pike OB</v>
                </pt>
                <pt idx="12">
                  <v>Rte 28 Meridian IB</v>
                </pt>
                <pt idx="13">
                  <v>Rte 29 Jefferson IB</v>
                </pt>
                <pt idx="14">
                  <v>Rte 34 Opry Mills IB</v>
                </pt>
                <pt idx="15">
                  <v>Rte 41 Golden Valley OB PM</v>
                </pt>
                <pt idx="16">
                  <v>Rte 42 St. Cecilia/Cumberland IB</v>
                </pt>
                <pt idx="17">
                  <v>Rte 50 CHARLOTTE PIKE oB</v>
                </pt>
                <pt idx="18">
                  <v>Rte 52 NOLENSVILLE PIKE (Hick) oB</v>
                </pt>
                <pt idx="19">
                  <v>Rte 55 MURFREESBORO PIKE oB</v>
                </pt>
                <pt idx="20">
                  <v>Rte 56 Gallatin Rd IB</v>
                </pt>
                <pt idx="21">
                  <v>Rte 64 STAR DOWNTOWN SHUTTLE</v>
                </pt>
                <pt idx="22">
                  <v>Rte 70 Belevue Conn OB</v>
                </pt>
                <pt idx="23">
                  <v>Rte 75 Midtown CW Loop</v>
                </pt>
                <pt idx="24">
                  <v>Rte 76 Madison Conn</v>
                </pt>
                <pt idx="25">
                  <v>Rte 77 THOMPSON - WEDGEWOOD ccw</v>
                </pt>
                <pt idx="26">
                  <v>Rte 79 Skyline iB</v>
                </pt>
                <pt idx="27">
                  <v>Rte 84 Murfreesboro Express OB</v>
                </pt>
                <pt idx="28">
                  <v>Rte 86 Smyrna Lavergne Exp OB</v>
                </pt>
                <pt idx="29">
                  <v>Rte 87 Gallatin Comm Bus OB</v>
                </pt>
                <pt idx="30">
                  <v>Rte 89 Spgfield/Joelton Exp OB</v>
                </pt>
                <pt idx="31">
                  <v>Rte 90 Music City Star oB</v>
                </pt>
                <pt idx="32">
                  <v>Rte 93 MCS West End Shuttle</v>
                </pt>
                <pt idx="33">
                  <v>Rte 95 Spring Hill Exp OB</v>
                </pt>
              </strCache>
            </strRef>
          </cat>
          <val>
            <numRef>
              <f>BoardingByRoute_All!$G$15:$G$48</f>
              <numCache>
                <formatCode>_(* #,##0_);_(* \(#,##0\);_(* "-"??_);_(@_)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534670800"/>
        <axId val="353676336"/>
      </barChart>
      <catAx>
        <axId val="534670800"/>
        <scaling>
          <orientation val="maxMin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Route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53676336"/>
        <crosses val="autoZero"/>
        <auto val="1"/>
        <lblAlgn val="ctr"/>
        <lblOffset val="100"/>
        <noMultiLvlLbl val="0"/>
      </catAx>
      <valAx>
        <axId val="353676336"/>
        <scaling>
          <orientation val="minMax"/>
        </scaling>
        <delete val="0"/>
        <axPos val="t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Boardings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_(* #,##0_);_(* \(#,##0\);_(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34670800"/>
        <crosses val="autoZero"/>
        <crossBetween val="between"/>
        <majorUnit val="1000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BOARDINGS</a:t>
            </a:r>
            <a:r>
              <a:rPr lang="en-US" b="1" baseline="0"/>
              <a:t xml:space="preserve"> BY ROUTE</a:t>
            </a:r>
            <a:endParaRPr lang="en-US" b="1"/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BoardingByRoute_All!$AA$13</f>
              <strCache>
                <ptCount val="1"/>
                <pt idx="0">
                  <v>OBS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BoardingByRoute_All!$Z$15:$Z$48</f>
              <strCache>
                <ptCount val="34"/>
                <pt idx="0">
                  <v>Rte 55 MURFREESBORO PIKE oB</v>
                </pt>
                <pt idx="1">
                  <v>Rte 56 Gallatin Rd IB</v>
                </pt>
                <pt idx="2">
                  <v>Rte 52 NOLENSVILLE PIKE (Hick) oB</v>
                </pt>
                <pt idx="3">
                  <v>Rte 23 Dickerson Pike OB</v>
                </pt>
                <pt idx="4">
                  <v>Rte 50 CHARLOTTE PIKE oB</v>
                </pt>
                <pt idx="5">
                  <v>Rte 3 West End (White Bridge) IB</v>
                </pt>
                <pt idx="6">
                  <v>Rte 7 Hillsboro IB</v>
                </pt>
                <pt idx="7">
                  <v>Rte 22 Bordeaux (Panaroma) IB</v>
                </pt>
                <pt idx="8">
                  <v>Rte 19 Herman IB</v>
                </pt>
                <pt idx="9">
                  <v>Rte 8 8TH AVENUE SOUTH iB</v>
                </pt>
                <pt idx="10">
                  <v>Rte 4 Shelby IB</v>
                </pt>
                <pt idx="11">
                  <v>Rte 6 Lebanon Rd OB</v>
                </pt>
                <pt idx="12">
                  <v>Rte 29 Jefferson IB</v>
                </pt>
                <pt idx="13">
                  <v>Rte 18 Airport Exp OB</v>
                </pt>
                <pt idx="14">
                  <v>Rte 17 12TH AVENUE SOUTH iB</v>
                </pt>
                <pt idx="15">
                  <v>Rte 42 St. Cecilia/Cumberland IB</v>
                </pt>
                <pt idx="16">
                  <v>Rte 90 Music City Star oB</v>
                </pt>
                <pt idx="17">
                  <v>Rte 34 Opry Mills IB</v>
                </pt>
                <pt idx="18">
                  <v>Rte 9 MetroCenter OB</v>
                </pt>
                <pt idx="19">
                  <v>Rte 76 Madison Conn</v>
                </pt>
                <pt idx="20">
                  <v>Rte 14 WHITES CREEK oB</v>
                </pt>
                <pt idx="21">
                  <v>Rte 77 THOMPSON - WEDGEWOOD ccw</v>
                </pt>
                <pt idx="22">
                  <v>Rte 28 Meridian IB</v>
                </pt>
                <pt idx="23">
                  <v>Rte 79 Skyline iB</v>
                </pt>
                <pt idx="24">
                  <v>Rte 75 Midtown CW Loop</v>
                </pt>
                <pt idx="25">
                  <v>Rte 84 Murfreesboro Express OB</v>
                </pt>
                <pt idx="26">
                  <v>Rte 93 MCS West End Shuttle</v>
                </pt>
                <pt idx="27">
                  <v>Rte 87 Gallatin Comm Bus OB</v>
                </pt>
                <pt idx="28">
                  <v>Rte 41 Golden Valley OB PM</v>
                </pt>
                <pt idx="29">
                  <v>Rte 95 Spring Hill Exp OB</v>
                </pt>
                <pt idx="30">
                  <v>Rte 86 Smyrna Lavergne Exp OB</v>
                </pt>
                <pt idx="31">
                  <v>Rte 70 Belevue Conn OB</v>
                </pt>
                <pt idx="32">
                  <v>Rte 89 Spgfield/Joelton Exp OB</v>
                </pt>
                <pt idx="33">
                  <v>Rte 64 STAR DOWNTOWN SHUTTLE</v>
                </pt>
              </strCache>
            </strRef>
          </cat>
          <val>
            <numRef>
              <f>BoardingByRoute_All!$AA$15:$AA$48</f>
              <numCache>
                <formatCode>_(* #,##0_);_(* \(#,##0\);_(* "-"??_);_(@_)</formatCode>
                <ptCount val="34"/>
                <pt idx="0">
                  <v>5829.363636363636</v>
                </pt>
                <pt idx="1">
                  <v>4470.863636363636</v>
                </pt>
                <pt idx="2">
                  <v>3623.863636363636</v>
                </pt>
                <pt idx="3">
                  <v>2690.5</v>
                </pt>
                <pt idx="4">
                  <v>2542.863636363636</v>
                </pt>
                <pt idx="5">
                  <v>2516.909090909091</v>
                </pt>
                <pt idx="6">
                  <v>1841.590909090909</v>
                </pt>
                <pt idx="7">
                  <v>1505.409090909091</v>
                </pt>
                <pt idx="8">
                  <v>955.7272727272727</v>
                </pt>
                <pt idx="9">
                  <v>944.4090909090909</v>
                </pt>
                <pt idx="10">
                  <v>941.0454545454545</v>
                </pt>
                <pt idx="11">
                  <v>818.1818181818181</v>
                </pt>
                <pt idx="12">
                  <v>691.0909090909091</v>
                </pt>
                <pt idx="13">
                  <v>677.9090909090909</v>
                </pt>
                <pt idx="14">
                  <v>637.9545454545455</v>
                </pt>
                <pt idx="15">
                  <v>402.6818181818182</v>
                </pt>
                <pt idx="16">
                  <v>399.3181818181818</v>
                </pt>
                <pt idx="17">
                  <v>365.8181818181818</v>
                </pt>
                <pt idx="18">
                  <v>350.5909090909091</v>
                </pt>
                <pt idx="19">
                  <v>347.3181818181818</v>
                </pt>
                <pt idx="20">
                  <v>334.1818181818182</v>
                </pt>
                <pt idx="21">
                  <v>333.9545454545454</v>
                </pt>
                <pt idx="22">
                  <v>275.4090909090909</v>
                </pt>
                <pt idx="23">
                  <v>225.7727272727273</v>
                </pt>
                <pt idx="24">
                  <v>127.6363636363636</v>
                </pt>
                <pt idx="25">
                  <v>127.5</v>
                </pt>
                <pt idx="26">
                  <v>121.3636363636364</v>
                </pt>
                <pt idx="27">
                  <v>77.31818181818181</v>
                </pt>
                <pt idx="28">
                  <v>61.90909090909091</v>
                </pt>
                <pt idx="29">
                  <v>51.63636363636363</v>
                </pt>
                <pt idx="30">
                  <v>47.09090909090909</v>
                </pt>
                <pt idx="31">
                  <v>42.40909090909091</v>
                </pt>
                <pt idx="32">
                  <v>23</v>
                </pt>
                <pt idx="33">
                  <v>9.181818181818182</v>
                </pt>
              </numCache>
            </numRef>
          </val>
        </ser>
        <ser>
          <idx val="1"/>
          <order val="1"/>
          <tx>
            <strRef>
              <f>BoardingByRoute_All!$AC$13</f>
              <strCache>
                <ptCount val="1"/>
                <pt idx="0">
                  <v>ABM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BoardingByRoute_All!$Z$15:$Z$48</f>
              <strCache>
                <ptCount val="34"/>
                <pt idx="0">
                  <v>Rte 55 MURFREESBORO PIKE oB</v>
                </pt>
                <pt idx="1">
                  <v>Rte 56 Gallatin Rd IB</v>
                </pt>
                <pt idx="2">
                  <v>Rte 52 NOLENSVILLE PIKE (Hick) oB</v>
                </pt>
                <pt idx="3">
                  <v>Rte 23 Dickerson Pike OB</v>
                </pt>
                <pt idx="4">
                  <v>Rte 50 CHARLOTTE PIKE oB</v>
                </pt>
                <pt idx="5">
                  <v>Rte 3 West End (White Bridge) IB</v>
                </pt>
                <pt idx="6">
                  <v>Rte 7 Hillsboro IB</v>
                </pt>
                <pt idx="7">
                  <v>Rte 22 Bordeaux (Panaroma) IB</v>
                </pt>
                <pt idx="8">
                  <v>Rte 19 Herman IB</v>
                </pt>
                <pt idx="9">
                  <v>Rte 8 8TH AVENUE SOUTH iB</v>
                </pt>
                <pt idx="10">
                  <v>Rte 4 Shelby IB</v>
                </pt>
                <pt idx="11">
                  <v>Rte 6 Lebanon Rd OB</v>
                </pt>
                <pt idx="12">
                  <v>Rte 29 Jefferson IB</v>
                </pt>
                <pt idx="13">
                  <v>Rte 18 Airport Exp OB</v>
                </pt>
                <pt idx="14">
                  <v>Rte 17 12TH AVENUE SOUTH iB</v>
                </pt>
                <pt idx="15">
                  <v>Rte 42 St. Cecilia/Cumberland IB</v>
                </pt>
                <pt idx="16">
                  <v>Rte 90 Music City Star oB</v>
                </pt>
                <pt idx="17">
                  <v>Rte 34 Opry Mills IB</v>
                </pt>
                <pt idx="18">
                  <v>Rte 9 MetroCenter OB</v>
                </pt>
                <pt idx="19">
                  <v>Rte 76 Madison Conn</v>
                </pt>
                <pt idx="20">
                  <v>Rte 14 WHITES CREEK oB</v>
                </pt>
                <pt idx="21">
                  <v>Rte 77 THOMPSON - WEDGEWOOD ccw</v>
                </pt>
                <pt idx="22">
                  <v>Rte 28 Meridian IB</v>
                </pt>
                <pt idx="23">
                  <v>Rte 79 Skyline iB</v>
                </pt>
                <pt idx="24">
                  <v>Rte 75 Midtown CW Loop</v>
                </pt>
                <pt idx="25">
                  <v>Rte 84 Murfreesboro Express OB</v>
                </pt>
                <pt idx="26">
                  <v>Rte 93 MCS West End Shuttle</v>
                </pt>
                <pt idx="27">
                  <v>Rte 87 Gallatin Comm Bus OB</v>
                </pt>
                <pt idx="28">
                  <v>Rte 41 Golden Valley OB PM</v>
                </pt>
                <pt idx="29">
                  <v>Rte 95 Spring Hill Exp OB</v>
                </pt>
                <pt idx="30">
                  <v>Rte 86 Smyrna Lavergne Exp OB</v>
                </pt>
                <pt idx="31">
                  <v>Rte 70 Belevue Conn OB</v>
                </pt>
                <pt idx="32">
                  <v>Rte 89 Spgfield/Joelton Exp OB</v>
                </pt>
                <pt idx="33">
                  <v>Rte 64 STAR DOWNTOWN SHUTTLE</v>
                </pt>
              </strCache>
            </strRef>
          </cat>
          <val>
            <numRef>
              <f>BoardingByRoute_All!$AC$15:$AC$48</f>
              <numCache>
                <formatCode>_(* #,##0_);_(* \(#,##0\);_(* "-"??_);_(@_)</formatCode>
                <ptCount val="3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540147904"/>
        <axId val="540145104"/>
      </barChart>
      <catAx>
        <axId val="540147904"/>
        <scaling>
          <orientation val="maxMin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Route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40145104"/>
        <crosses val="autoZero"/>
        <auto val="1"/>
        <lblAlgn val="ctr"/>
        <lblOffset val="100"/>
        <noMultiLvlLbl val="0"/>
      </catAx>
      <valAx>
        <axId val="540145104"/>
        <scaling>
          <orientation val="minMax"/>
        </scaling>
        <delete val="0"/>
        <axPos val="t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Boardings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_(* #,##0_);_(* \(#,##0\);_(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40147904"/>
        <crosses val="autoZero"/>
        <crossBetween val="between"/>
        <majorUnit val="1000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33</col>
      <colOff>226779</colOff>
      <row>1</row>
      <rowOff>124945</rowOff>
    </from>
    <to>
      <col>45</col>
      <colOff>381000</colOff>
      <row>36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40901</colOff>
      <row>12</row>
      <rowOff>2940</rowOff>
    </from>
    <to>
      <col>22</col>
      <colOff>96199</colOff>
      <row>55</row>
      <rowOff>35751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33</col>
      <colOff>300037</colOff>
      <row>37</row>
      <rowOff>102394</rowOff>
    </from>
    <to>
      <col>44</col>
      <colOff>533928</colOff>
      <row>80</row>
      <rowOff>135205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00B050"/>
    <outlinePr summaryBelow="1" summaryRight="1"/>
    <pageSetUpPr/>
  </sheetPr>
  <dimension ref="A1:AX74"/>
  <sheetViews>
    <sheetView tabSelected="1" zoomScale="80" zoomScaleNormal="80" workbookViewId="0">
      <selection activeCell="N8" sqref="N8"/>
    </sheetView>
  </sheetViews>
  <sheetFormatPr baseColWidth="8" defaultRowHeight="14.25"/>
  <cols>
    <col width="12" customWidth="1" style="126" min="2" max="2"/>
    <col width="12.73046875" customWidth="1" style="126" min="3" max="3"/>
    <col width="31" customWidth="1" style="126" min="4" max="4"/>
    <col width="10.59765625" bestFit="1" customWidth="1" style="126" min="5" max="5"/>
    <col hidden="1" width="11" customWidth="1" style="126" min="6" max="6"/>
    <col width="14.265625" bestFit="1" customWidth="1" style="126" min="7" max="7"/>
    <col hidden="1" width="12" customWidth="1" style="126" min="8" max="8"/>
    <col width="12" customWidth="1" style="126" min="9" max="9"/>
    <col hidden="1" width="12.59765625" customWidth="1" style="126" min="11" max="11"/>
    <col hidden="1" width="11.73046875" customWidth="1" style="126" min="12" max="12"/>
    <col width="11.59765625" bestFit="1" customWidth="1" style="126" min="24" max="24"/>
    <col width="12.265625" bestFit="1" customWidth="1" style="126" min="25" max="25"/>
    <col width="29.3984375" bestFit="1" customWidth="1" style="126" min="26" max="26"/>
    <col width="12.1328125" customWidth="1" style="126" min="29" max="29"/>
    <col width="11" bestFit="1" customWidth="1" style="126" min="30" max="30"/>
    <col width="11" customWidth="1" style="126" min="31" max="32"/>
  </cols>
  <sheetData>
    <row r="1">
      <c r="D1" s="89" t="inlineStr">
        <is>
          <t>BOARDINGS BY SUB-MODE</t>
        </is>
      </c>
      <c r="E1" s="92" t="n"/>
      <c r="F1" s="92" t="n"/>
      <c r="G1" s="92" t="n"/>
      <c r="H1" s="92" t="n"/>
      <c r="I1" s="92" t="n"/>
      <c r="J1" s="92" t="n"/>
      <c r="M1" s="54" t="n"/>
    </row>
    <row r="2">
      <c r="D2" s="90" t="n"/>
      <c r="E2" s="117" t="inlineStr">
        <is>
          <t>OBS</t>
        </is>
      </c>
      <c r="F2" s="116" t="n"/>
      <c r="G2" s="115" t="inlineStr">
        <is>
          <t>ABM</t>
        </is>
      </c>
      <c r="H2" s="116" t="n"/>
      <c r="I2" s="118" t="inlineStr">
        <is>
          <t>DIFF</t>
        </is>
      </c>
      <c r="J2" s="116" t="n"/>
      <c r="K2" s="81" t="inlineStr">
        <is>
          <t>Sub-mode Constant (DaySim)</t>
        </is>
      </c>
      <c r="L2" s="82" t="n"/>
      <c r="N2" t="inlineStr">
        <is>
          <t>NOTE:</t>
        </is>
      </c>
      <c r="O2" s="4" t="n"/>
      <c r="P2" s="4" t="n"/>
    </row>
    <row r="3">
      <c r="C3" t="inlineStr">
        <is>
          <t>Mode</t>
        </is>
      </c>
      <c r="D3" s="91" t="inlineStr">
        <is>
          <t>Transit sub-mode</t>
        </is>
      </c>
      <c r="E3" s="21" t="inlineStr">
        <is>
          <t>Count</t>
        </is>
      </c>
      <c r="F3" s="21" t="inlineStr">
        <is>
          <t>Percentage</t>
        </is>
      </c>
      <c r="G3" s="46" t="inlineStr">
        <is>
          <t>Count</t>
        </is>
      </c>
      <c r="H3" s="46" t="inlineStr">
        <is>
          <t>Percentage</t>
        </is>
      </c>
      <c r="I3" s="76" t="inlineStr">
        <is>
          <t>Count</t>
        </is>
      </c>
      <c r="J3" s="76" t="inlineStr">
        <is>
          <t>Percentage</t>
        </is>
      </c>
      <c r="K3" s="83" t="inlineStr">
        <is>
          <t>Utils</t>
        </is>
      </c>
      <c r="L3" s="83" t="inlineStr">
        <is>
          <t>Mins</t>
        </is>
      </c>
      <c r="M3" s="58" t="n"/>
      <c r="N3" s="26" t="inlineStr">
        <is>
          <t>diff in by sub-mode in TrnStat.asc and this table is because of Rte 18 Airport Exp. There are two servies, one is Exp and one local. TrnStat.asc considers both as local.</t>
        </is>
      </c>
      <c r="AX3" s="54" t="inlineStr">
        <is>
          <t>Path Impedance</t>
        </is>
      </c>
    </row>
    <row r="4">
      <c r="C4" s="94" t="inlineStr">
        <is>
          <t>1,11</t>
        </is>
      </c>
      <c r="D4" s="92" t="inlineStr">
        <is>
          <t>Local Bus</t>
        </is>
      </c>
      <c r="E4" s="7">
        <f>SUMIF($A$15:$A$48,1,E$15:E$49)+SUMIF($A$15:$A$48,11,E$15:E$49)</f>
        <v/>
      </c>
      <c r="F4" s="45">
        <f>E4/E$8</f>
        <v/>
      </c>
      <c r="G4" s="47">
        <f>SUMIF($A$15:$A$48,1,G$15:G$48)+SUMIF($A$15:$A$48,11,G$15:G$48)</f>
        <v/>
      </c>
      <c r="H4" s="48">
        <f>PrilimTable!F57</f>
        <v/>
      </c>
      <c r="I4" s="77">
        <f>G4-E4</f>
        <v/>
      </c>
      <c r="J4" s="74">
        <f>IFERROR(I4/E4,0)</f>
        <v/>
      </c>
      <c r="K4" s="84">
        <f>PrilimTable!G57</f>
        <v/>
      </c>
      <c r="L4" s="85">
        <f>PrilimTable!H57</f>
        <v/>
      </c>
      <c r="N4" s="100" t="n"/>
      <c r="O4" s="100" t="n"/>
      <c r="AX4" t="inlineStr">
        <is>
          <t xml:space="preserve">PathImpedance_TransitLocalBusPathConstant = 0.05 </t>
        </is>
      </c>
    </row>
    <row r="5">
      <c r="C5" t="inlineStr">
        <is>
          <t>6,7</t>
        </is>
      </c>
      <c r="D5" s="92" t="inlineStr">
        <is>
          <t>Express Bus</t>
        </is>
      </c>
      <c r="E5" s="7">
        <f>SUMIF($A$15:$A$48,6,E$15:E$49)+SUMIF($A$15:$A$48,7,E$15:E$49)</f>
        <v/>
      </c>
      <c r="F5" s="45">
        <f>E5/E$8</f>
        <v/>
      </c>
      <c r="G5" s="47">
        <f>SUMIF($A$15:$A$48,6,G$15:G$48)+SUMIF($A$15:$A$48,7,G$15:G$48)</f>
        <v/>
      </c>
      <c r="H5" s="48">
        <f>PrilimTable!F58</f>
        <v/>
      </c>
      <c r="I5" s="77">
        <f>G5-E5</f>
        <v/>
      </c>
      <c r="J5" s="74">
        <f>IFERROR(I5/E5,0)</f>
        <v/>
      </c>
      <c r="K5" s="84">
        <f>PrilimTable!G58</f>
        <v/>
      </c>
      <c r="L5" s="85">
        <f>PrilimTable!H58</f>
        <v/>
      </c>
      <c r="N5" s="100" t="n"/>
      <c r="O5" s="100" t="n"/>
      <c r="AX5" t="inlineStr">
        <is>
          <t>PathImpedance_TransitPremiumBusPathConstant = 0.12</t>
        </is>
      </c>
    </row>
    <row r="6">
      <c r="C6" s="26" t="n">
        <v>8</v>
      </c>
      <c r="D6" s="92" t="inlineStr">
        <is>
          <t>BRT</t>
        </is>
      </c>
      <c r="E6" s="7">
        <f>SUMIF($A$15:$A$48,8,E$15:E$49)</f>
        <v/>
      </c>
      <c r="F6" s="45">
        <f>E6/E$8</f>
        <v/>
      </c>
      <c r="G6" s="47">
        <f>SUMIF($A$15:$A$48,8,G$15:G$48)</f>
        <v/>
      </c>
      <c r="H6" s="48">
        <f>PrilimTable!F59</f>
        <v/>
      </c>
      <c r="I6" s="77">
        <f>G6-E6</f>
        <v/>
      </c>
      <c r="J6" s="74">
        <f>IFERROR(I6/E6,0)</f>
        <v/>
      </c>
      <c r="K6" s="84">
        <f>PrilimTable!G59</f>
        <v/>
      </c>
      <c r="L6" s="85">
        <f>PrilimTable!H59</f>
        <v/>
      </c>
      <c r="N6" s="100" t="n"/>
      <c r="O6" s="100" t="n"/>
      <c r="S6" s="57" t="n"/>
      <c r="AX6" t="inlineStr">
        <is>
          <t xml:space="preserve">PathImpedance_TransitLightRailPathConstant = 0.0 </t>
        </is>
      </c>
    </row>
    <row r="7">
      <c r="C7" t="n">
        <v>12</v>
      </c>
      <c r="D7" s="93" t="inlineStr">
        <is>
          <t>Commuter Rail</t>
        </is>
      </c>
      <c r="E7" s="11">
        <f>SUMIF($A$15:$A$48,12,E$15:E$49)</f>
        <v/>
      </c>
      <c r="F7" s="51">
        <f>E7/E$8</f>
        <v/>
      </c>
      <c r="G7" s="52">
        <f>SUMIF($A$15:$A$48,12,G$15:G$48)</f>
        <v/>
      </c>
      <c r="H7" s="53">
        <f>PrilimTable!F60</f>
        <v/>
      </c>
      <c r="I7" s="78">
        <f>G7-E7</f>
        <v/>
      </c>
      <c r="J7" s="114">
        <f>IFERROR(I7/E7,0)</f>
        <v/>
      </c>
      <c r="K7" s="84">
        <f>PrilimTable!G60</f>
        <v/>
      </c>
      <c r="L7" s="85">
        <f>PrilimTable!H60</f>
        <v/>
      </c>
      <c r="N7" s="100" t="n"/>
      <c r="O7" s="100" t="n"/>
      <c r="S7" s="57" t="n"/>
      <c r="AX7" t="inlineStr">
        <is>
          <t xml:space="preserve">PathImpedance_TransitCommuterRailPathConstant = 1.15 </t>
        </is>
      </c>
    </row>
    <row r="8">
      <c r="D8" s="91" t="inlineStr">
        <is>
          <t>Total</t>
        </is>
      </c>
      <c r="E8" s="13">
        <f>SUM(E4:E7)</f>
        <v/>
      </c>
      <c r="F8" s="59">
        <f>E8/E$8</f>
        <v/>
      </c>
      <c r="G8" s="49">
        <f>SUM(G4:G7)</f>
        <v/>
      </c>
      <c r="H8" s="50" t="n">
        <v>1</v>
      </c>
      <c r="I8" s="79">
        <f>G8-E8</f>
        <v/>
      </c>
      <c r="J8" s="80">
        <f>I8/E8</f>
        <v/>
      </c>
      <c r="K8" s="86" t="n"/>
      <c r="L8" s="87" t="n"/>
      <c r="S8" s="57" t="n"/>
      <c r="AX8" t="inlineStr">
        <is>
          <t>PathImpedance_TransitFerryPathConstant = 0.07</t>
        </is>
      </c>
    </row>
    <row r="9">
      <c r="D9" s="92" t="inlineStr">
        <is>
          <t>Transit trips</t>
        </is>
      </c>
      <c r="E9" s="95" t="n">
        <v>25693</v>
      </c>
      <c r="F9" s="92" t="n"/>
      <c r="G9" s="95">
        <f>TrnStat.asc!R18</f>
        <v/>
      </c>
      <c r="H9" s="92" t="n"/>
      <c r="I9" s="92" t="n"/>
      <c r="J9" s="92" t="n"/>
      <c r="L9" s="17" t="n"/>
      <c r="S9" s="57" t="n"/>
      <c r="AX9" t="inlineStr">
        <is>
          <t xml:space="preserve">PathImpedance_TransitUsePathTypeSpecificTime = true </t>
        </is>
      </c>
    </row>
    <row r="10">
      <c r="D10" s="92" t="inlineStr">
        <is>
          <t>Boarding rate</t>
        </is>
      </c>
      <c r="E10" s="98">
        <f>E8/E9</f>
        <v/>
      </c>
      <c r="F10" s="92" t="n"/>
      <c r="G10" s="98">
        <f>G8/G9</f>
        <v/>
      </c>
      <c r="H10" s="92" t="n"/>
      <c r="I10" s="92" t="n"/>
      <c r="J10" s="92" t="n"/>
      <c r="K10" s="92" t="inlineStr">
        <is>
          <t>Transfer Rate</t>
        </is>
      </c>
      <c r="L10" s="96">
        <f>PrilimTable!E63</f>
        <v/>
      </c>
    </row>
    <row r="11">
      <c r="C11" s="2" t="n"/>
      <c r="D11" s="99" t="inlineStr">
        <is>
          <t>R-Squared</t>
        </is>
      </c>
      <c r="E11" s="97">
        <f>RSQ(G15:G48,E15:E48)</f>
        <v/>
      </c>
      <c r="F11" s="92" t="n"/>
      <c r="G11" s="92" t="n"/>
      <c r="H11" s="92" t="n"/>
      <c r="I11" s="92" t="n"/>
      <c r="J11" s="92" t="n"/>
      <c r="AX11" t="inlineStr">
        <is>
          <t xml:space="preserve">PathImpedance_TransitPremiumBusTimeAdditiveWeight = -0.204 </t>
        </is>
      </c>
    </row>
    <row r="12">
      <c r="B12" s="4" t="inlineStr">
        <is>
          <t>BOARDINGS BY ROUTE</t>
        </is>
      </c>
      <c r="I12" s="120" t="n"/>
      <c r="J12" s="120" t="n"/>
      <c r="X12" s="110" t="inlineStr">
        <is>
          <t>BOARDINGS BY ROUTE (SORTED BY OBS BOARDINGS)</t>
        </is>
      </c>
      <c r="AX12" t="inlineStr">
        <is>
          <t>PathImpedance_TransitLightRailTimeAdditiveWeight = 0.0</t>
        </is>
      </c>
    </row>
    <row r="13">
      <c r="B13" s="122" t="n"/>
      <c r="C13" s="122" t="n"/>
      <c r="D13" s="122" t="n"/>
      <c r="E13" s="121" t="inlineStr">
        <is>
          <t>OBS</t>
        </is>
      </c>
      <c r="F13" s="122" t="n"/>
      <c r="G13" s="123" t="inlineStr">
        <is>
          <t>ABM</t>
        </is>
      </c>
      <c r="H13" s="122" t="n"/>
      <c r="I13" s="119" t="inlineStr">
        <is>
          <t>DIFF</t>
        </is>
      </c>
      <c r="J13" s="120" t="n"/>
      <c r="L13" s="4" t="n"/>
      <c r="X13" s="122" t="n"/>
      <c r="Y13" s="122" t="n"/>
      <c r="Z13" s="122" t="n"/>
      <c r="AA13" s="121" t="inlineStr">
        <is>
          <t>OBS</t>
        </is>
      </c>
      <c r="AB13" s="122" t="n"/>
      <c r="AC13" s="123">
        <f>G13</f>
        <v/>
      </c>
      <c r="AD13" s="122" t="n"/>
      <c r="AE13" s="119" t="inlineStr">
        <is>
          <t>DIFF</t>
        </is>
      </c>
      <c r="AF13" s="120" t="n"/>
      <c r="AX13" t="inlineStr">
        <is>
          <t>PathImpedance_TransitCommuterRailTimeAdditiveWeight = -0.273</t>
        </is>
      </c>
    </row>
    <row r="14">
      <c r="A14" t="inlineStr">
        <is>
          <t>Mode</t>
        </is>
      </c>
      <c r="B14" s="62" t="inlineStr">
        <is>
          <t>Rte Id (OBS)</t>
        </is>
      </c>
      <c r="C14" s="5" t="inlineStr">
        <is>
          <t>Rte Id (ABM)</t>
        </is>
      </c>
      <c r="D14" s="5" t="inlineStr">
        <is>
          <t>Rte Name</t>
        </is>
      </c>
      <c r="E14" s="37" t="inlineStr">
        <is>
          <t>Boardings</t>
        </is>
      </c>
      <c r="F14" s="37" t="inlineStr">
        <is>
          <t>Percentage</t>
        </is>
      </c>
      <c r="G14" s="31" t="inlineStr">
        <is>
          <t>Boardings</t>
        </is>
      </c>
      <c r="H14" s="31" t="inlineStr">
        <is>
          <t>Percentage</t>
        </is>
      </c>
      <c r="I14" s="88" t="inlineStr">
        <is>
          <t>Diff</t>
        </is>
      </c>
      <c r="J14" s="88" t="inlineStr">
        <is>
          <t>% Diff</t>
        </is>
      </c>
      <c r="L14" s="4" t="n"/>
      <c r="M14" s="20" t="n"/>
      <c r="X14" s="5" t="inlineStr">
        <is>
          <t>Rte Id (OBS)</t>
        </is>
      </c>
      <c r="Y14" s="5" t="inlineStr">
        <is>
          <t>Rte Id (ABM)</t>
        </is>
      </c>
      <c r="Z14" s="5" t="inlineStr">
        <is>
          <t>Rte Name</t>
        </is>
      </c>
      <c r="AA14" s="37" t="inlineStr">
        <is>
          <t>Boardings</t>
        </is>
      </c>
      <c r="AB14" s="37" t="inlineStr">
        <is>
          <t>Percentage</t>
        </is>
      </c>
      <c r="AC14" s="31" t="inlineStr">
        <is>
          <t>Boardings</t>
        </is>
      </c>
      <c r="AD14" s="31" t="inlineStr">
        <is>
          <t>Percentage</t>
        </is>
      </c>
      <c r="AE14" s="88" t="inlineStr">
        <is>
          <t>Diff</t>
        </is>
      </c>
      <c r="AF14" s="88" t="inlineStr">
        <is>
          <t>% Diff</t>
        </is>
      </c>
      <c r="AG14" t="inlineStr">
        <is>
          <t>Reference</t>
        </is>
      </c>
      <c r="AX14" t="inlineStr">
        <is>
          <t>PathImpedance_TransitFerryTimeAdditiveWeight = -0.318</t>
        </is>
      </c>
    </row>
    <row r="15">
      <c r="A15">
        <f>VLOOKUP($C15,PrilimTable!$N:$T,7,FALSE)</f>
        <v/>
      </c>
      <c r="B15" t="n">
        <v>3</v>
      </c>
      <c r="C15">
        <f>B15</f>
        <v/>
      </c>
      <c r="D15">
        <f>VLOOKUP($C15,PrilimTable!$N:$S,2,FALSE)</f>
        <v/>
      </c>
      <c r="E15" s="36">
        <f>SUMIF(PrilimTable!$M$4:$M$82,B15,PrilimTable!$P$4:$P$82)</f>
        <v/>
      </c>
      <c r="F15" s="45">
        <f>E15/$E$49</f>
        <v/>
      </c>
      <c r="G15" s="30">
        <f>SUMIF(PrilimTable!$N$4:$N$82,C15,PrilimTable!$R$4:$R$82)</f>
        <v/>
      </c>
      <c r="H15" s="60">
        <f>G15/$G$49</f>
        <v/>
      </c>
      <c r="I15" s="43">
        <f>G15-E15</f>
        <v/>
      </c>
      <c r="J15" s="74">
        <f>I15/E15</f>
        <v/>
      </c>
      <c r="L15" s="65" t="n"/>
      <c r="M15" s="41" t="n"/>
      <c r="N15" s="41" t="n"/>
      <c r="X15" t="n">
        <v>55</v>
      </c>
      <c r="Y15" t="n">
        <v>55</v>
      </c>
      <c r="Z15">
        <f>VLOOKUP(Y15,$C$14:$D$49,2,FALSE)</f>
        <v/>
      </c>
      <c r="AA15" s="36">
        <f>SUMIF(PrilimTable!$M$4:$M$82,X15,PrilimTable!$P$4:$P$82)</f>
        <v/>
      </c>
      <c r="AB15" s="28">
        <f>AA15/$E$49</f>
        <v/>
      </c>
      <c r="AC15" s="30">
        <f>SUMIF(PrilimTable!$N$4:$N$82,Y15,PrilimTable!$R$4:$R$82)</f>
        <v/>
      </c>
      <c r="AD15" s="27">
        <f>AC15/$G$49</f>
        <v/>
      </c>
      <c r="AE15" s="43">
        <f>AC15-AA15</f>
        <v/>
      </c>
      <c r="AF15" s="74">
        <f>AE15/AA15</f>
        <v/>
      </c>
      <c r="AG15" t="n">
        <v>100</v>
      </c>
    </row>
    <row r="16">
      <c r="A16">
        <f>VLOOKUP($C16,PrilimTable!$N:$T,7,FALSE)</f>
        <v/>
      </c>
      <c r="B16" t="n">
        <v>4</v>
      </c>
      <c r="C16">
        <f>B16</f>
        <v/>
      </c>
      <c r="D16">
        <f>VLOOKUP($C16,PrilimTable!$N:$S,2,FALSE)</f>
        <v/>
      </c>
      <c r="E16" s="36">
        <f>SUMIF(PrilimTable!$M$4:$M$82,B16,PrilimTable!$P$4:$P$82)</f>
        <v/>
      </c>
      <c r="F16" s="45">
        <f>E16/$E$49</f>
        <v/>
      </c>
      <c r="G16" s="30">
        <f>SUMIF(PrilimTable!$N$4:$N$82,C16,PrilimTable!$R$4:$R$82)</f>
        <v/>
      </c>
      <c r="H16" s="60">
        <f>G16/$G$49</f>
        <v/>
      </c>
      <c r="I16" s="43">
        <f>G16-E16</f>
        <v/>
      </c>
      <c r="J16" s="74">
        <f>I16/E16</f>
        <v/>
      </c>
      <c r="L16" s="65" t="n"/>
      <c r="M16" s="41" t="n"/>
      <c r="X16" t="n">
        <v>56</v>
      </c>
      <c r="Y16" t="n">
        <v>56</v>
      </c>
      <c r="Z16">
        <f>VLOOKUP(Y16,$C$14:$D$49,2,FALSE)</f>
        <v/>
      </c>
      <c r="AA16" s="36">
        <f>SUMIF(PrilimTable!$M$4:$M$82,X16,PrilimTable!$P$4:$P$82)</f>
        <v/>
      </c>
      <c r="AB16" s="28">
        <f>AA16/$E$49</f>
        <v/>
      </c>
      <c r="AC16" s="30">
        <f>SUMIF(PrilimTable!$N$4:$N$82,Y16,PrilimTable!$R$4:$R$82)</f>
        <v/>
      </c>
      <c r="AD16" s="27">
        <f>AC16/$G$49</f>
        <v/>
      </c>
      <c r="AE16" s="43">
        <f>AC16-AA16</f>
        <v/>
      </c>
      <c r="AF16" s="74">
        <f>AE16/AA16</f>
        <v/>
      </c>
      <c r="AG16" t="n">
        <v>200</v>
      </c>
      <c r="AX16" t="inlineStr">
        <is>
          <t>PathImpedance_TransitPremiumBusInVehicleTimeWeight = 0.95</t>
        </is>
      </c>
    </row>
    <row r="17">
      <c r="A17">
        <f>VLOOKUP($C17,PrilimTable!$N:$T,7,FALSE)</f>
        <v/>
      </c>
      <c r="B17" t="n">
        <v>6</v>
      </c>
      <c r="C17">
        <f>B17</f>
        <v/>
      </c>
      <c r="D17">
        <f>VLOOKUP($C17,PrilimTable!$N:$S,2,FALSE)</f>
        <v/>
      </c>
      <c r="E17" s="36">
        <f>SUMIF(PrilimTable!$M$4:$M$82,B17,PrilimTable!$P$4:$P$82)</f>
        <v/>
      </c>
      <c r="F17" s="45">
        <f>E17/$E$49</f>
        <v/>
      </c>
      <c r="G17" s="30">
        <f>SUMIF(PrilimTable!$N$4:$N$82,C17,PrilimTable!$R$4:$R$82)</f>
        <v/>
      </c>
      <c r="H17" s="60">
        <f>G17/$G$49</f>
        <v/>
      </c>
      <c r="I17" s="43">
        <f>G17-E17</f>
        <v/>
      </c>
      <c r="J17" s="74">
        <f>I17/E17</f>
        <v/>
      </c>
      <c r="L17" s="65" t="n"/>
      <c r="M17" s="41" t="n"/>
      <c r="N17" s="41" t="n"/>
      <c r="X17" t="n">
        <v>52</v>
      </c>
      <c r="Y17" t="n">
        <v>52</v>
      </c>
      <c r="Z17">
        <f>VLOOKUP(Y17,$C$14:$D$49,2,FALSE)</f>
        <v/>
      </c>
      <c r="AA17" s="36">
        <f>SUMIF(PrilimTable!$M$4:$M$82,X17,PrilimTable!$P$4:$P$82)</f>
        <v/>
      </c>
      <c r="AB17" s="28">
        <f>AA17/$E$49</f>
        <v/>
      </c>
      <c r="AC17" s="30">
        <f>SUMIF(PrilimTable!$N$4:$N$82,Y17,PrilimTable!$R$4:$R$82)</f>
        <v/>
      </c>
      <c r="AD17" s="27">
        <f>AC17/$G$49</f>
        <v/>
      </c>
      <c r="AE17" s="43">
        <f>AC17-AA17</f>
        <v/>
      </c>
      <c r="AF17" s="74">
        <f>AE17/AA17</f>
        <v/>
      </c>
      <c r="AG17" t="n">
        <v>300</v>
      </c>
      <c r="AX17" t="inlineStr">
        <is>
          <t>PathImpedance_TransitLightRailInVehicleTimeWeight = 1.0</t>
        </is>
      </c>
    </row>
    <row r="18">
      <c r="A18">
        <f>VLOOKUP($C18,PrilimTable!$N:$T,7,FALSE)</f>
        <v/>
      </c>
      <c r="B18" t="n">
        <v>7</v>
      </c>
      <c r="C18">
        <f>B18</f>
        <v/>
      </c>
      <c r="D18">
        <f>VLOOKUP($C18,PrilimTable!$N:$S,2,FALSE)</f>
        <v/>
      </c>
      <c r="E18" s="36">
        <f>SUMIF(PrilimTable!$M$4:$M$82,B18,PrilimTable!$P$4:$P$82)</f>
        <v/>
      </c>
      <c r="F18" s="45">
        <f>E18/$E$49</f>
        <v/>
      </c>
      <c r="G18" s="30">
        <f>SUMIF(PrilimTable!$N$4:$N$82,C18,PrilimTable!$R$4:$R$82)</f>
        <v/>
      </c>
      <c r="H18" s="60">
        <f>G18/$G$49</f>
        <v/>
      </c>
      <c r="I18" s="43">
        <f>G18-E18</f>
        <v/>
      </c>
      <c r="J18" s="74">
        <f>I18/E18</f>
        <v/>
      </c>
      <c r="L18" s="65" t="n"/>
      <c r="M18" s="41" t="n"/>
      <c r="X18" t="n">
        <v>23</v>
      </c>
      <c r="Y18" t="n">
        <v>23</v>
      </c>
      <c r="Z18">
        <f>VLOOKUP(Y18,$C$14:$D$49,2,FALSE)</f>
        <v/>
      </c>
      <c r="AA18" s="36">
        <f>SUMIF(PrilimTable!$M$4:$M$82,X18,PrilimTable!$P$4:$P$82)</f>
        <v/>
      </c>
      <c r="AB18" s="28">
        <f>AA18/$E$49</f>
        <v/>
      </c>
      <c r="AC18" s="30">
        <f>SUMIF(PrilimTable!$N$4:$N$82,Y18,PrilimTable!$R$4:$R$82)</f>
        <v/>
      </c>
      <c r="AD18" s="27">
        <f>AC18/$G$49</f>
        <v/>
      </c>
      <c r="AE18" s="43">
        <f>AC18-AA18</f>
        <v/>
      </c>
      <c r="AF18" s="74">
        <f>AE18/AA18</f>
        <v/>
      </c>
      <c r="AG18" t="n">
        <v>400</v>
      </c>
      <c r="AX18" t="inlineStr">
        <is>
          <t>PathImpedance_TransitCommuterRailInVehicleTimeWeight = 0.65</t>
        </is>
      </c>
    </row>
    <row r="19">
      <c r="A19">
        <f>VLOOKUP($C19,PrilimTable!$N:$T,7,FALSE)</f>
        <v/>
      </c>
      <c r="B19" t="n">
        <v>8</v>
      </c>
      <c r="C19">
        <f>B19</f>
        <v/>
      </c>
      <c r="D19">
        <f>VLOOKUP($C19,PrilimTable!$N:$S,2,FALSE)</f>
        <v/>
      </c>
      <c r="E19" s="36">
        <f>SUMIF(PrilimTable!$M$4:$M$82,B19,PrilimTable!$P$4:$P$82)</f>
        <v/>
      </c>
      <c r="F19" s="45">
        <f>E19/$E$49</f>
        <v/>
      </c>
      <c r="G19" s="30">
        <f>SUMIF(PrilimTable!$N$4:$N$82,C19,PrilimTable!$R$4:$R$82)</f>
        <v/>
      </c>
      <c r="H19" s="60">
        <f>G19/$G$49</f>
        <v/>
      </c>
      <c r="I19" s="43">
        <f>G19-E19</f>
        <v/>
      </c>
      <c r="J19" s="74">
        <f>I19/E19</f>
        <v/>
      </c>
      <c r="L19" s="65" t="n"/>
      <c r="M19" s="41" t="n"/>
      <c r="X19" t="n">
        <v>50</v>
      </c>
      <c r="Y19" t="n">
        <v>50</v>
      </c>
      <c r="Z19">
        <f>VLOOKUP(Y19,$C$14:$D$49,2,FALSE)</f>
        <v/>
      </c>
      <c r="AA19" s="36">
        <f>SUMIF(PrilimTable!$M$4:$M$82,X19,PrilimTable!$P$4:$P$82)</f>
        <v/>
      </c>
      <c r="AB19" s="28">
        <f>AA19/$E$49</f>
        <v/>
      </c>
      <c r="AC19" s="30">
        <f>SUMIF(PrilimTable!$N$4:$N$82,Y19,PrilimTable!$R$4:$R$82)</f>
        <v/>
      </c>
      <c r="AD19" s="27">
        <f>AC19/$G$49</f>
        <v/>
      </c>
      <c r="AE19" s="43">
        <f>AC19-AA19</f>
        <v/>
      </c>
      <c r="AF19" s="74">
        <f>AE19/AA19</f>
        <v/>
      </c>
      <c r="AG19" t="n">
        <v>500</v>
      </c>
      <c r="AX19" t="inlineStr">
        <is>
          <t>PathImpedance_TransitFerryInVehicleTimeWeight = 0.80</t>
        </is>
      </c>
    </row>
    <row r="20">
      <c r="A20">
        <f>VLOOKUP($C20,PrilimTable!$N:$T,7,FALSE)</f>
        <v/>
      </c>
      <c r="B20" t="n">
        <v>9</v>
      </c>
      <c r="C20">
        <f>B20</f>
        <v/>
      </c>
      <c r="D20">
        <f>VLOOKUP($C20,PrilimTable!$N:$S,2,FALSE)</f>
        <v/>
      </c>
      <c r="E20" s="36">
        <f>SUMIF(PrilimTable!$M$4:$M$82,B20,PrilimTable!$P$4:$P$82)</f>
        <v/>
      </c>
      <c r="F20" s="45">
        <f>E20/$E$49</f>
        <v/>
      </c>
      <c r="G20" s="30">
        <f>SUMIF(PrilimTable!$N$4:$N$82,C20,PrilimTable!$R$4:$R$82)</f>
        <v/>
      </c>
      <c r="H20" s="60">
        <f>G20/$G$49</f>
        <v/>
      </c>
      <c r="I20" s="43">
        <f>G20-E20</f>
        <v/>
      </c>
      <c r="J20" s="74">
        <f>I20/E20</f>
        <v/>
      </c>
      <c r="L20" s="65" t="n"/>
      <c r="M20" s="41" t="n"/>
      <c r="N20" s="41" t="n"/>
      <c r="X20" t="n">
        <v>3</v>
      </c>
      <c r="Y20" t="n">
        <v>3</v>
      </c>
      <c r="Z20">
        <f>VLOOKUP(Y20,$C$14:$D$49,2,FALSE)</f>
        <v/>
      </c>
      <c r="AA20" s="36">
        <f>SUMIF(PrilimTable!$M$4:$M$82,X20,PrilimTable!$P$4:$P$82)</f>
        <v/>
      </c>
      <c r="AB20" s="28">
        <f>AA20/$E$49</f>
        <v/>
      </c>
      <c r="AC20" s="30">
        <f>SUMIF(PrilimTable!$N$4:$N$82,Y20,PrilimTable!$R$4:$R$82)</f>
        <v/>
      </c>
      <c r="AD20" s="27">
        <f>AC20/$G$49</f>
        <v/>
      </c>
      <c r="AE20" s="43">
        <f>AC20-AA20</f>
        <v/>
      </c>
      <c r="AF20" s="74">
        <f>AE20/AA20</f>
        <v/>
      </c>
      <c r="AG20" t="n">
        <v>600</v>
      </c>
    </row>
    <row r="21">
      <c r="A21">
        <f>VLOOKUP($C21,PrilimTable!$N:$T,7,FALSE)</f>
        <v/>
      </c>
      <c r="B21" t="n">
        <v>14</v>
      </c>
      <c r="C21">
        <f>B21</f>
        <v/>
      </c>
      <c r="D21">
        <f>VLOOKUP($C21,PrilimTable!$N:$S,2,FALSE)</f>
        <v/>
      </c>
      <c r="E21" s="36">
        <f>SUMIF(PrilimTable!$M$4:$M$82,B21,PrilimTable!$P$4:$P$82)</f>
        <v/>
      </c>
      <c r="F21" s="45">
        <f>E21/$E$49</f>
        <v/>
      </c>
      <c r="G21" s="30">
        <f>SUMIF(PrilimTable!$N$4:$N$82,C21,PrilimTable!$R$4:$R$82)</f>
        <v/>
      </c>
      <c r="H21" s="60">
        <f>G21/$G$49</f>
        <v/>
      </c>
      <c r="I21" s="43">
        <f>G21-E21</f>
        <v/>
      </c>
      <c r="J21" s="74">
        <f>I21/E21</f>
        <v/>
      </c>
      <c r="L21" s="65" t="n"/>
      <c r="M21" s="41" t="n"/>
      <c r="X21" t="n">
        <v>7</v>
      </c>
      <c r="Y21" t="n">
        <v>7</v>
      </c>
      <c r="Z21">
        <f>VLOOKUP(Y21,$C$14:$D$49,2,FALSE)</f>
        <v/>
      </c>
      <c r="AA21" s="36">
        <f>SUMIF(PrilimTable!$M$4:$M$82,X21,PrilimTable!$P$4:$P$82)</f>
        <v/>
      </c>
      <c r="AB21" s="28">
        <f>AA21/$E$49</f>
        <v/>
      </c>
      <c r="AC21" s="30">
        <f>SUMIF(PrilimTable!$N$4:$N$82,Y21,PrilimTable!$R$4:$R$82)</f>
        <v/>
      </c>
      <c r="AD21" s="27">
        <f>AC21/$G$49</f>
        <v/>
      </c>
      <c r="AE21" s="43">
        <f>AC21-AA21</f>
        <v/>
      </c>
      <c r="AF21" s="74">
        <f>AE21/AA21</f>
        <v/>
      </c>
      <c r="AG21" t="n">
        <v>700</v>
      </c>
    </row>
    <row r="22">
      <c r="A22">
        <f>VLOOKUP($C22,PrilimTable!$N:$T,7,FALSE)</f>
        <v/>
      </c>
      <c r="B22" t="n">
        <v>17</v>
      </c>
      <c r="C22">
        <f>B22</f>
        <v/>
      </c>
      <c r="D22">
        <f>VLOOKUP($C22,PrilimTable!$N:$S,2,FALSE)</f>
        <v/>
      </c>
      <c r="E22" s="36">
        <f>SUMIF(PrilimTable!$M$4:$M$82,B22,PrilimTable!$P$4:$P$82)</f>
        <v/>
      </c>
      <c r="F22" s="45">
        <f>E22/$E$49</f>
        <v/>
      </c>
      <c r="G22" s="30">
        <f>SUMIF(PrilimTable!$N$4:$N$82,C22,PrilimTable!$R$4:$R$82)</f>
        <v/>
      </c>
      <c r="H22" s="60">
        <f>G22/$G$49</f>
        <v/>
      </c>
      <c r="I22" s="43">
        <f>G22-E22</f>
        <v/>
      </c>
      <c r="J22" s="74">
        <f>I22/E22</f>
        <v/>
      </c>
      <c r="L22" s="65" t="n"/>
      <c r="M22" s="41" t="n"/>
      <c r="X22" t="n">
        <v>22</v>
      </c>
      <c r="Y22" t="n">
        <v>22</v>
      </c>
      <c r="Z22">
        <f>VLOOKUP(Y22,$C$14:$D$49,2,FALSE)</f>
        <v/>
      </c>
      <c r="AA22" s="36">
        <f>SUMIF(PrilimTable!$M$4:$M$82,X22,PrilimTable!$P$4:$P$82)</f>
        <v/>
      </c>
      <c r="AB22" s="28">
        <f>AA22/$E$49</f>
        <v/>
      </c>
      <c r="AC22" s="30">
        <f>SUMIF(PrilimTable!$N$4:$N$82,Y22,PrilimTable!$R$4:$R$82)</f>
        <v/>
      </c>
      <c r="AD22" s="27">
        <f>AC22/$G$49</f>
        <v/>
      </c>
      <c r="AE22" s="43">
        <f>AC22-AA22</f>
        <v/>
      </c>
      <c r="AF22" s="74">
        <f>AE22/AA22</f>
        <v/>
      </c>
      <c r="AG22" t="n">
        <v>800</v>
      </c>
    </row>
    <row r="23">
      <c r="A23">
        <f>VLOOKUP($C23,PrilimTable!$N:$T,7,FALSE)</f>
        <v/>
      </c>
      <c r="B23" t="n">
        <v>18</v>
      </c>
      <c r="C23">
        <f>B23</f>
        <v/>
      </c>
      <c r="D23">
        <f>VLOOKUP($C23,PrilimTable!$N:$S,2,FALSE)</f>
        <v/>
      </c>
      <c r="E23" s="36">
        <f>SUMIF(PrilimTable!$M$4:$M$82,B23,PrilimTable!$P$4:$P$82)</f>
        <v/>
      </c>
      <c r="F23" s="45">
        <f>E23/$E$49</f>
        <v/>
      </c>
      <c r="G23" s="30">
        <f>SUMIF(PrilimTable!$N$4:$N$82,C23,PrilimTable!$R$4:$R$82)</f>
        <v/>
      </c>
      <c r="H23" s="60">
        <f>G23/$G$49</f>
        <v/>
      </c>
      <c r="I23" s="43">
        <f>G23-E23</f>
        <v/>
      </c>
      <c r="J23" s="74">
        <f>I23/E23</f>
        <v/>
      </c>
      <c r="L23" s="65" t="n"/>
      <c r="M23" s="41" t="n"/>
      <c r="X23" t="n">
        <v>19</v>
      </c>
      <c r="Y23" t="n">
        <v>19</v>
      </c>
      <c r="Z23">
        <f>VLOOKUP(Y23,$C$14:$D$49,2,FALSE)</f>
        <v/>
      </c>
      <c r="AA23" s="36">
        <f>SUMIF(PrilimTable!$M$4:$M$82,X23,PrilimTable!$P$4:$P$82)</f>
        <v/>
      </c>
      <c r="AB23" s="28">
        <f>AA23/$E$49</f>
        <v/>
      </c>
      <c r="AC23" s="30">
        <f>SUMIF(PrilimTable!$N$4:$N$82,Y23,PrilimTable!$R$4:$R$82)</f>
        <v/>
      </c>
      <c r="AD23" s="27">
        <f>AC23/$G$49</f>
        <v/>
      </c>
      <c r="AE23" s="43">
        <f>AC23-AA23</f>
        <v/>
      </c>
      <c r="AF23" s="74">
        <f>AE23/AA23</f>
        <v/>
      </c>
      <c r="AG23" t="n">
        <v>900</v>
      </c>
    </row>
    <row r="24">
      <c r="A24">
        <f>VLOOKUP($C24,PrilimTable!$N:$T,7,FALSE)</f>
        <v/>
      </c>
      <c r="B24" t="n">
        <v>19</v>
      </c>
      <c r="C24">
        <f>B24</f>
        <v/>
      </c>
      <c r="D24">
        <f>VLOOKUP($C24,PrilimTable!$N:$S,2,FALSE)</f>
        <v/>
      </c>
      <c r="E24" s="36">
        <f>SUMIF(PrilimTable!$M$4:$M$82,B24,PrilimTable!$P$4:$P$82)</f>
        <v/>
      </c>
      <c r="F24" s="45">
        <f>E24/$E$49</f>
        <v/>
      </c>
      <c r="G24" s="30">
        <f>SUMIF(PrilimTable!$N$4:$N$82,C24,PrilimTable!$R$4:$R$82)</f>
        <v/>
      </c>
      <c r="H24" s="60">
        <f>G24/$G$49</f>
        <v/>
      </c>
      <c r="I24" s="43">
        <f>G24-E24</f>
        <v/>
      </c>
      <c r="J24" s="74">
        <f>I24/E24</f>
        <v/>
      </c>
      <c r="L24" s="65" t="n"/>
      <c r="M24" s="41" t="n"/>
      <c r="X24" t="n">
        <v>8</v>
      </c>
      <c r="Y24" t="n">
        <v>8</v>
      </c>
      <c r="Z24">
        <f>VLOOKUP(Y24,$C$14:$D$49,2,FALSE)</f>
        <v/>
      </c>
      <c r="AA24" s="36">
        <f>SUMIF(PrilimTable!$M$4:$M$82,X24,PrilimTable!$P$4:$P$82)</f>
        <v/>
      </c>
      <c r="AB24" s="28">
        <f>AA24/$E$49</f>
        <v/>
      </c>
      <c r="AC24" s="30">
        <f>SUMIF(PrilimTable!$N$4:$N$82,Y24,PrilimTable!$R$4:$R$82)</f>
        <v/>
      </c>
      <c r="AD24" s="27">
        <f>AC24/$G$49</f>
        <v/>
      </c>
      <c r="AE24" s="43">
        <f>AC24-AA24</f>
        <v/>
      </c>
      <c r="AF24" s="74">
        <f>AE24/AA24</f>
        <v/>
      </c>
      <c r="AG24" t="n">
        <v>1000</v>
      </c>
    </row>
    <row r="25">
      <c r="A25">
        <f>VLOOKUP($C25,PrilimTable!$N:$T,7,FALSE)</f>
        <v/>
      </c>
      <c r="B25" t="n">
        <v>22</v>
      </c>
      <c r="C25">
        <f>B25</f>
        <v/>
      </c>
      <c r="D25">
        <f>VLOOKUP($C25,PrilimTable!$N:$S,2,FALSE)</f>
        <v/>
      </c>
      <c r="E25" s="36">
        <f>SUMIF(PrilimTable!$M$4:$M$82,B25,PrilimTable!$P$4:$P$82)</f>
        <v/>
      </c>
      <c r="F25" s="45">
        <f>E25/$E$49</f>
        <v/>
      </c>
      <c r="G25" s="30">
        <f>SUMIF(PrilimTable!$N$4:$N$82,C25,PrilimTable!$R$4:$R$82)</f>
        <v/>
      </c>
      <c r="H25" s="60">
        <f>G25/$G$49</f>
        <v/>
      </c>
      <c r="I25" s="43">
        <f>G25-E25</f>
        <v/>
      </c>
      <c r="J25" s="74">
        <f>I25/E25</f>
        <v/>
      </c>
      <c r="L25" s="65" t="n"/>
      <c r="M25" s="41" t="n"/>
      <c r="X25" t="n">
        <v>4</v>
      </c>
      <c r="Y25" t="n">
        <v>4</v>
      </c>
      <c r="Z25">
        <f>VLOOKUP(Y25,$C$14:$D$49,2,FALSE)</f>
        <v/>
      </c>
      <c r="AA25" s="36">
        <f>SUMIF(PrilimTable!$M$4:$M$82,X25,PrilimTable!$P$4:$P$82)</f>
        <v/>
      </c>
      <c r="AB25" s="28">
        <f>AA25/$E$49</f>
        <v/>
      </c>
      <c r="AC25" s="30">
        <f>SUMIF(PrilimTable!$N$4:$N$82,Y25,PrilimTable!$R$4:$R$82)</f>
        <v/>
      </c>
      <c r="AD25" s="27">
        <f>AC25/$G$49</f>
        <v/>
      </c>
      <c r="AE25" s="43">
        <f>AC25-AA25</f>
        <v/>
      </c>
      <c r="AF25" s="74">
        <f>AE25/AA25</f>
        <v/>
      </c>
      <c r="AG25" t="n">
        <v>1100</v>
      </c>
    </row>
    <row r="26">
      <c r="A26">
        <f>VLOOKUP($C26,PrilimTable!$N:$T,7,FALSE)</f>
        <v/>
      </c>
      <c r="B26" t="n">
        <v>23</v>
      </c>
      <c r="C26">
        <f>B26</f>
        <v/>
      </c>
      <c r="D26">
        <f>VLOOKUP($C26,PrilimTable!$N:$S,2,FALSE)</f>
        <v/>
      </c>
      <c r="E26" s="36">
        <f>SUMIF(PrilimTable!$M$4:$M$82,B26,PrilimTable!$P$4:$P$82)</f>
        <v/>
      </c>
      <c r="F26" s="45">
        <f>E26/$E$49</f>
        <v/>
      </c>
      <c r="G26" s="30">
        <f>SUMIF(PrilimTable!$N$4:$N$82,C26,PrilimTable!$R$4:$R$82)</f>
        <v/>
      </c>
      <c r="H26" s="60">
        <f>G26/$G$49</f>
        <v/>
      </c>
      <c r="I26" s="43">
        <f>G26-E26</f>
        <v/>
      </c>
      <c r="J26" s="74">
        <f>I26/E26</f>
        <v/>
      </c>
      <c r="L26" s="65" t="n"/>
      <c r="M26" s="41" t="n"/>
      <c r="X26" t="n">
        <v>6</v>
      </c>
      <c r="Y26" t="n">
        <v>6</v>
      </c>
      <c r="Z26">
        <f>VLOOKUP(Y26,$C$14:$D$49,2,FALSE)</f>
        <v/>
      </c>
      <c r="AA26" s="36">
        <f>SUMIF(PrilimTable!$M$4:$M$82,X26,PrilimTable!$P$4:$P$82)</f>
        <v/>
      </c>
      <c r="AB26" s="28">
        <f>AA26/$E$49</f>
        <v/>
      </c>
      <c r="AC26" s="30">
        <f>SUMIF(PrilimTable!$N$4:$N$82,Y26,PrilimTable!$R$4:$R$82)</f>
        <v/>
      </c>
      <c r="AD26" s="27">
        <f>AC26/$G$49</f>
        <v/>
      </c>
      <c r="AE26" s="43">
        <f>AC26-AA26</f>
        <v/>
      </c>
      <c r="AF26" s="74">
        <f>AE26/AA26</f>
        <v/>
      </c>
      <c r="AG26" t="n">
        <v>1200</v>
      </c>
    </row>
    <row r="27">
      <c r="A27">
        <f>VLOOKUP($C27,PrilimTable!$N:$T,7,FALSE)</f>
        <v/>
      </c>
      <c r="B27" t="n">
        <v>28</v>
      </c>
      <c r="C27">
        <f>B27</f>
        <v/>
      </c>
      <c r="D27">
        <f>VLOOKUP($C27,PrilimTable!$N:$S,2,FALSE)</f>
        <v/>
      </c>
      <c r="E27" s="36">
        <f>SUMIF(PrilimTable!$M$4:$M$82,B27,PrilimTable!$P$4:$P$82)</f>
        <v/>
      </c>
      <c r="F27" s="45">
        <f>E27/$E$49</f>
        <v/>
      </c>
      <c r="G27" s="30">
        <f>SUMIF(PrilimTable!$N$4:$N$82,C27,PrilimTable!$R$4:$R$82)</f>
        <v/>
      </c>
      <c r="H27" s="60">
        <f>G27/$G$49</f>
        <v/>
      </c>
      <c r="I27" s="43">
        <f>G27-E27</f>
        <v/>
      </c>
      <c r="J27" s="74">
        <f>I27/E27</f>
        <v/>
      </c>
      <c r="L27" s="65" t="n"/>
      <c r="M27" s="41" t="n"/>
      <c r="X27" t="n">
        <v>29</v>
      </c>
      <c r="Y27" t="n">
        <v>29</v>
      </c>
      <c r="Z27">
        <f>VLOOKUP(Y27,$C$14:$D$49,2,FALSE)</f>
        <v/>
      </c>
      <c r="AA27" s="36">
        <f>SUMIF(PrilimTable!$M$4:$M$82,X27,PrilimTable!$P$4:$P$82)</f>
        <v/>
      </c>
      <c r="AB27" s="28">
        <f>AA27/$E$49</f>
        <v/>
      </c>
      <c r="AC27" s="30">
        <f>SUMIF(PrilimTable!$N$4:$N$82,Y27,PrilimTable!$R$4:$R$82)</f>
        <v/>
      </c>
      <c r="AD27" s="27">
        <f>AC27/$G$49</f>
        <v/>
      </c>
      <c r="AE27" s="43">
        <f>AC27-AA27</f>
        <v/>
      </c>
      <c r="AF27" s="74">
        <f>AE27/AA27</f>
        <v/>
      </c>
      <c r="AG27" t="n">
        <v>1300</v>
      </c>
    </row>
    <row r="28">
      <c r="A28">
        <f>VLOOKUP($C28,PrilimTable!$N:$T,7,FALSE)</f>
        <v/>
      </c>
      <c r="B28" t="n">
        <v>29</v>
      </c>
      <c r="C28">
        <f>B28</f>
        <v/>
      </c>
      <c r="D28">
        <f>VLOOKUP($C28,PrilimTable!$N:$S,2,FALSE)</f>
        <v/>
      </c>
      <c r="E28" s="36">
        <f>SUMIF(PrilimTable!$M$4:$M$82,B28,PrilimTable!$P$4:$P$82)</f>
        <v/>
      </c>
      <c r="F28" s="45">
        <f>E28/$E$49</f>
        <v/>
      </c>
      <c r="G28" s="30">
        <f>SUMIF(PrilimTable!$N$4:$N$82,C28,PrilimTable!$R$4:$R$82)</f>
        <v/>
      </c>
      <c r="H28" s="60">
        <f>G28/$G$49</f>
        <v/>
      </c>
      <c r="I28" s="43">
        <f>G28-E28</f>
        <v/>
      </c>
      <c r="J28" s="74">
        <f>I28/E28</f>
        <v/>
      </c>
      <c r="L28" s="65" t="n"/>
      <c r="M28" s="41" t="n"/>
      <c r="X28" t="n">
        <v>18</v>
      </c>
      <c r="Y28" t="n">
        <v>18</v>
      </c>
      <c r="Z28">
        <f>VLOOKUP(Y28,$C$14:$D$49,2,FALSE)</f>
        <v/>
      </c>
      <c r="AA28" s="36">
        <f>SUMIF(PrilimTable!$M$4:$M$82,X28,PrilimTable!$P$4:$P$82)</f>
        <v/>
      </c>
      <c r="AB28" s="28">
        <f>AA28/$E$49</f>
        <v/>
      </c>
      <c r="AC28" s="30">
        <f>SUMIF(PrilimTable!$N$4:$N$82,Y28,PrilimTable!$R$4:$R$82)</f>
        <v/>
      </c>
      <c r="AD28" s="27">
        <f>AC28/$G$49</f>
        <v/>
      </c>
      <c r="AE28" s="43">
        <f>AC28-AA28</f>
        <v/>
      </c>
      <c r="AF28" s="74">
        <f>AE28/AA28</f>
        <v/>
      </c>
      <c r="AG28" t="n">
        <v>1400</v>
      </c>
    </row>
    <row r="29">
      <c r="A29">
        <f>VLOOKUP($C29,PrilimTable!$N:$T,7,FALSE)</f>
        <v/>
      </c>
      <c r="B29" t="n">
        <v>34</v>
      </c>
      <c r="C29">
        <f>B29</f>
        <v/>
      </c>
      <c r="D29">
        <f>VLOOKUP($C29,PrilimTable!$N:$S,2,FALSE)</f>
        <v/>
      </c>
      <c r="E29" s="36">
        <f>SUMIF(PrilimTable!$M$4:$M$82,B29,PrilimTable!$P$4:$P$82)</f>
        <v/>
      </c>
      <c r="F29" s="45">
        <f>E29/$E$49</f>
        <v/>
      </c>
      <c r="G29" s="30">
        <f>SUMIF(PrilimTable!$N$4:$N$82,C29,PrilimTable!$R$4:$R$82)</f>
        <v/>
      </c>
      <c r="H29" s="60">
        <f>G29/$G$49</f>
        <v/>
      </c>
      <c r="I29" s="43">
        <f>G29-E29</f>
        <v/>
      </c>
      <c r="J29" s="74">
        <f>I29/E29</f>
        <v/>
      </c>
      <c r="L29" s="65" t="n"/>
      <c r="M29" s="41" t="n"/>
      <c r="X29" t="n">
        <v>17</v>
      </c>
      <c r="Y29" t="n">
        <v>17</v>
      </c>
      <c r="Z29">
        <f>VLOOKUP(Y29,$C$14:$D$49,2,FALSE)</f>
        <v/>
      </c>
      <c r="AA29" s="36">
        <f>SUMIF(PrilimTable!$M$4:$M$82,X29,PrilimTable!$P$4:$P$82)</f>
        <v/>
      </c>
      <c r="AB29" s="28">
        <f>AA29/$E$49</f>
        <v/>
      </c>
      <c r="AC29" s="30">
        <f>SUMIF(PrilimTable!$N$4:$N$82,Y29,PrilimTable!$R$4:$R$82)</f>
        <v/>
      </c>
      <c r="AD29" s="27">
        <f>AC29/$G$49</f>
        <v/>
      </c>
      <c r="AE29" s="43">
        <f>AC29-AA29</f>
        <v/>
      </c>
      <c r="AF29" s="74">
        <f>AE29/AA29</f>
        <v/>
      </c>
      <c r="AG29" t="n">
        <v>1500</v>
      </c>
    </row>
    <row r="30">
      <c r="A30">
        <f>VLOOKUP($C30,PrilimTable!$N:$T,7,FALSE)</f>
        <v/>
      </c>
      <c r="B30" t="n">
        <v>41</v>
      </c>
      <c r="C30">
        <f>B30</f>
        <v/>
      </c>
      <c r="D30">
        <f>VLOOKUP($C30,PrilimTable!$N:$S,2,FALSE)</f>
        <v/>
      </c>
      <c r="E30" s="36">
        <f>SUMIF(PrilimTable!$M$4:$M$82,B30,PrilimTable!$P$4:$P$82)</f>
        <v/>
      </c>
      <c r="F30" s="45">
        <f>E30/$E$49</f>
        <v/>
      </c>
      <c r="G30" s="30">
        <f>SUMIF(PrilimTable!$N$4:$N$82,C30,PrilimTable!$R$4:$R$82)</f>
        <v/>
      </c>
      <c r="H30" s="60">
        <f>G30/$G$49</f>
        <v/>
      </c>
      <c r="I30" s="43">
        <f>G30-E30</f>
        <v/>
      </c>
      <c r="J30" s="74">
        <f>I30/E30</f>
        <v/>
      </c>
      <c r="L30" s="65" t="n"/>
      <c r="M30" s="41" t="n"/>
      <c r="X30" t="n">
        <v>42</v>
      </c>
      <c r="Y30" t="n">
        <v>42</v>
      </c>
      <c r="Z30">
        <f>VLOOKUP(Y30,$C$14:$D$49,2,FALSE)</f>
        <v/>
      </c>
      <c r="AA30" s="36">
        <f>SUMIF(PrilimTable!$M$4:$M$82,X30,PrilimTable!$P$4:$P$82)</f>
        <v/>
      </c>
      <c r="AB30" s="28">
        <f>AA30/$E$49</f>
        <v/>
      </c>
      <c r="AC30" s="30">
        <f>SUMIF(PrilimTable!$N$4:$N$82,Y30,PrilimTable!$R$4:$R$82)</f>
        <v/>
      </c>
      <c r="AD30" s="27">
        <f>AC30/$G$49</f>
        <v/>
      </c>
      <c r="AE30" s="43">
        <f>AC30-AA30</f>
        <v/>
      </c>
      <c r="AF30" s="74">
        <f>AE30/AA30</f>
        <v/>
      </c>
      <c r="AG30" t="n">
        <v>1600</v>
      </c>
    </row>
    <row r="31">
      <c r="A31">
        <f>VLOOKUP($C31,PrilimTable!$N:$T,7,FALSE)</f>
        <v/>
      </c>
      <c r="B31" t="n">
        <v>42</v>
      </c>
      <c r="C31">
        <f>B31</f>
        <v/>
      </c>
      <c r="D31">
        <f>VLOOKUP($C31,PrilimTable!$N:$S,2,FALSE)</f>
        <v/>
      </c>
      <c r="E31" s="36">
        <f>SUMIF(PrilimTable!$M$4:$M$82,B31,PrilimTable!$P$4:$P$82)</f>
        <v/>
      </c>
      <c r="F31" s="45">
        <f>E31/$E$49</f>
        <v/>
      </c>
      <c r="G31" s="30">
        <f>SUMIF(PrilimTable!$N$4:$N$82,C31,PrilimTable!$R$4:$R$82)</f>
        <v/>
      </c>
      <c r="H31" s="60">
        <f>G31/$G$49</f>
        <v/>
      </c>
      <c r="I31" s="43">
        <f>G31-E31</f>
        <v/>
      </c>
      <c r="J31" s="74">
        <f>I31/E31</f>
        <v/>
      </c>
      <c r="L31" s="65" t="n"/>
      <c r="M31" s="41" t="n"/>
      <c r="X31" t="n">
        <v>90</v>
      </c>
      <c r="Y31" t="n">
        <v>90</v>
      </c>
      <c r="Z31">
        <f>VLOOKUP(Y31,$C$14:$D$49,2,FALSE)</f>
        <v/>
      </c>
      <c r="AA31" s="36">
        <f>SUMIF(PrilimTable!$M$4:$M$82,X31,PrilimTable!$P$4:$P$82)</f>
        <v/>
      </c>
      <c r="AB31" s="28">
        <f>AA31/$E$49</f>
        <v/>
      </c>
      <c r="AC31" s="30">
        <f>SUMIF(PrilimTable!$N$4:$N$82,Y31,PrilimTable!$R$4:$R$82)</f>
        <v/>
      </c>
      <c r="AD31" s="27">
        <f>AC31/$G$49</f>
        <v/>
      </c>
      <c r="AE31" s="43">
        <f>AC31-AA31</f>
        <v/>
      </c>
      <c r="AF31" s="74">
        <f>AE31/AA31</f>
        <v/>
      </c>
      <c r="AG31" t="n">
        <v>1700</v>
      </c>
    </row>
    <row r="32">
      <c r="A32">
        <f>VLOOKUP($C32,PrilimTable!$N:$T,7,FALSE)</f>
        <v/>
      </c>
      <c r="B32" t="n">
        <v>50</v>
      </c>
      <c r="C32">
        <f>B32</f>
        <v/>
      </c>
      <c r="D32">
        <f>VLOOKUP($C32,PrilimTable!$N:$S,2,FALSE)</f>
        <v/>
      </c>
      <c r="E32" s="36">
        <f>SUMIF(PrilimTable!$M$4:$M$82,B32,PrilimTable!$P$4:$P$82)</f>
        <v/>
      </c>
      <c r="F32" s="45">
        <f>E32/$E$49</f>
        <v/>
      </c>
      <c r="G32" s="30">
        <f>SUMIF(PrilimTable!$N$4:$N$82,C32,PrilimTable!$R$4:$R$82)</f>
        <v/>
      </c>
      <c r="H32" s="60">
        <f>G32/$G$49</f>
        <v/>
      </c>
      <c r="I32" s="43">
        <f>G32-E32</f>
        <v/>
      </c>
      <c r="J32" s="74">
        <f>I32/E32</f>
        <v/>
      </c>
      <c r="L32" s="65" t="n"/>
      <c r="M32" s="41" t="n"/>
      <c r="X32" t="n">
        <v>34</v>
      </c>
      <c r="Y32" t="n">
        <v>34</v>
      </c>
      <c r="Z32">
        <f>VLOOKUP(Y32,$C$14:$D$49,2,FALSE)</f>
        <v/>
      </c>
      <c r="AA32" s="36">
        <f>SUMIF(PrilimTable!$M$4:$M$82,X32,PrilimTable!$P$4:$P$82)</f>
        <v/>
      </c>
      <c r="AB32" s="28">
        <f>AA32/$E$49</f>
        <v/>
      </c>
      <c r="AC32" s="30">
        <f>SUMIF(PrilimTable!$N$4:$N$82,Y32,PrilimTable!$R$4:$R$82)</f>
        <v/>
      </c>
      <c r="AD32" s="27">
        <f>AC32/$G$49</f>
        <v/>
      </c>
      <c r="AE32" s="43">
        <f>AC32-AA32</f>
        <v/>
      </c>
      <c r="AF32" s="74">
        <f>AE32/AA32</f>
        <v/>
      </c>
      <c r="AG32" t="n">
        <v>1800</v>
      </c>
    </row>
    <row r="33">
      <c r="A33">
        <f>VLOOKUP($C33,PrilimTable!$N:$T,7,FALSE)</f>
        <v/>
      </c>
      <c r="B33" t="n">
        <v>52</v>
      </c>
      <c r="C33">
        <f>B33</f>
        <v/>
      </c>
      <c r="D33">
        <f>VLOOKUP($C33,PrilimTable!$N:$S,2,FALSE)</f>
        <v/>
      </c>
      <c r="E33" s="36">
        <f>SUMIF(PrilimTable!$M$4:$M$82,B33,PrilimTable!$P$4:$P$82)</f>
        <v/>
      </c>
      <c r="F33" s="45">
        <f>E33/$E$49</f>
        <v/>
      </c>
      <c r="G33" s="30">
        <f>SUMIF(PrilimTable!$N$4:$N$82,C33,PrilimTable!$R$4:$R$82)</f>
        <v/>
      </c>
      <c r="H33" s="60">
        <f>G33/$G$49</f>
        <v/>
      </c>
      <c r="I33" s="43">
        <f>G33-E33</f>
        <v/>
      </c>
      <c r="J33" s="74">
        <f>I33/E33</f>
        <v/>
      </c>
      <c r="L33" s="65" t="n"/>
      <c r="M33" s="41" t="n"/>
      <c r="X33" t="n">
        <v>9</v>
      </c>
      <c r="Y33" t="n">
        <v>9</v>
      </c>
      <c r="Z33">
        <f>VLOOKUP(Y33,$C$14:$D$49,2,FALSE)</f>
        <v/>
      </c>
      <c r="AA33" s="36">
        <f>SUMIF(PrilimTable!$M$4:$M$82,X33,PrilimTable!$P$4:$P$82)</f>
        <v/>
      </c>
      <c r="AB33" s="28">
        <f>AA33/$E$49</f>
        <v/>
      </c>
      <c r="AC33" s="30">
        <f>SUMIF(PrilimTable!$N$4:$N$82,Y33,PrilimTable!$R$4:$R$82)</f>
        <v/>
      </c>
      <c r="AD33" s="27">
        <f>AC33/$G$49</f>
        <v/>
      </c>
      <c r="AE33" s="43">
        <f>AC33-AA33</f>
        <v/>
      </c>
      <c r="AF33" s="74">
        <f>AE33/AA33</f>
        <v/>
      </c>
      <c r="AG33" t="n">
        <v>1900</v>
      </c>
    </row>
    <row r="34">
      <c r="A34">
        <f>VLOOKUP($C34,PrilimTable!$N:$T,7,FALSE)</f>
        <v/>
      </c>
      <c r="B34" t="n">
        <v>55</v>
      </c>
      <c r="C34">
        <f>B34</f>
        <v/>
      </c>
      <c r="D34">
        <f>VLOOKUP($C34,PrilimTable!$N:$S,2,FALSE)</f>
        <v/>
      </c>
      <c r="E34" s="36">
        <f>SUMIF(PrilimTable!$M$4:$M$82,B34,PrilimTable!$P$4:$P$82)</f>
        <v/>
      </c>
      <c r="F34" s="45">
        <f>E34/$E$49</f>
        <v/>
      </c>
      <c r="G34" s="30">
        <f>SUMIF(PrilimTable!$N$4:$N$82,C34,PrilimTable!$R$4:$R$82)</f>
        <v/>
      </c>
      <c r="H34" s="60">
        <f>G34/$G$49</f>
        <v/>
      </c>
      <c r="I34" s="43">
        <f>G34-E34</f>
        <v/>
      </c>
      <c r="J34" s="74">
        <f>I34/E34</f>
        <v/>
      </c>
      <c r="L34" s="65" t="n"/>
      <c r="M34" s="41" t="n"/>
      <c r="X34" t="n">
        <v>76</v>
      </c>
      <c r="Y34" t="n">
        <v>76</v>
      </c>
      <c r="Z34">
        <f>VLOOKUP(Y34,$C$14:$D$49,2,FALSE)</f>
        <v/>
      </c>
      <c r="AA34" s="36">
        <f>SUMIF(PrilimTable!$M$4:$M$82,X34,PrilimTable!$P$4:$P$82)</f>
        <v/>
      </c>
      <c r="AB34" s="28">
        <f>AA34/$E$49</f>
        <v/>
      </c>
      <c r="AC34" s="30">
        <f>SUMIF(PrilimTable!$N$4:$N$82,Y34,PrilimTable!$R$4:$R$82)</f>
        <v/>
      </c>
      <c r="AD34" s="27">
        <f>AC34/$G$49</f>
        <v/>
      </c>
      <c r="AE34" s="43">
        <f>AC34-AA34</f>
        <v/>
      </c>
      <c r="AF34" s="74">
        <f>AE34/AA34</f>
        <v/>
      </c>
      <c r="AG34" t="n">
        <v>2000</v>
      </c>
    </row>
    <row r="35">
      <c r="A35">
        <f>VLOOKUP($C35,PrilimTable!$N:$T,7,FALSE)</f>
        <v/>
      </c>
      <c r="B35" t="n">
        <v>56</v>
      </c>
      <c r="C35">
        <f>B35</f>
        <v/>
      </c>
      <c r="D35">
        <f>VLOOKUP($C35,PrilimTable!$N:$S,2,FALSE)</f>
        <v/>
      </c>
      <c r="E35" s="36">
        <f>SUMIF(PrilimTable!$M$4:$M$82,B35,PrilimTable!$P$4:$P$82)</f>
        <v/>
      </c>
      <c r="F35" s="45">
        <f>E35/$E$49</f>
        <v/>
      </c>
      <c r="G35" s="30">
        <f>SUMIF(PrilimTable!$N$4:$N$82,C35,PrilimTable!$R$4:$R$82)</f>
        <v/>
      </c>
      <c r="H35" s="60">
        <f>G35/$G$49</f>
        <v/>
      </c>
      <c r="I35" s="43">
        <f>G35-E35</f>
        <v/>
      </c>
      <c r="J35" s="74">
        <f>I35/E35</f>
        <v/>
      </c>
      <c r="L35" s="65" t="n"/>
      <c r="M35" s="41" t="n"/>
      <c r="X35" t="n">
        <v>14</v>
      </c>
      <c r="Y35" t="n">
        <v>14</v>
      </c>
      <c r="Z35">
        <f>VLOOKUP(Y35,$C$14:$D$49,2,FALSE)</f>
        <v/>
      </c>
      <c r="AA35" s="36">
        <f>SUMIF(PrilimTable!$M$4:$M$82,X35,PrilimTable!$P$4:$P$82)</f>
        <v/>
      </c>
      <c r="AB35" s="28">
        <f>AA35/$E$49</f>
        <v/>
      </c>
      <c r="AC35" s="30">
        <f>SUMIF(PrilimTable!$N$4:$N$82,Y35,PrilimTable!$R$4:$R$82)</f>
        <v/>
      </c>
      <c r="AD35" s="27">
        <f>AC35/$G$49</f>
        <v/>
      </c>
      <c r="AE35" s="43">
        <f>AC35-AA35</f>
        <v/>
      </c>
      <c r="AF35" s="74">
        <f>AE35/AA35</f>
        <v/>
      </c>
      <c r="AG35" t="n">
        <v>2100</v>
      </c>
    </row>
    <row r="36">
      <c r="A36">
        <f>VLOOKUP($C36,PrilimTable!$N:$T,7,FALSE)</f>
        <v/>
      </c>
      <c r="B36" t="n">
        <v>64</v>
      </c>
      <c r="C36">
        <f>B36</f>
        <v/>
      </c>
      <c r="D36">
        <f>VLOOKUP($C36,PrilimTable!$N:$S,2,FALSE)</f>
        <v/>
      </c>
      <c r="E36" s="36">
        <f>SUMIF(PrilimTable!$M$4:$M$82,B36,PrilimTable!$P$4:$P$82)</f>
        <v/>
      </c>
      <c r="F36" s="45">
        <f>E36/$E$49</f>
        <v/>
      </c>
      <c r="G36" s="30">
        <f>SUMIF(PrilimTable!$N$4:$N$82,C36,PrilimTable!$R$4:$R$82)</f>
        <v/>
      </c>
      <c r="H36" s="60">
        <f>G36/$G$49</f>
        <v/>
      </c>
      <c r="I36" s="43">
        <f>G36-E36</f>
        <v/>
      </c>
      <c r="J36" s="74">
        <f>I36/E36</f>
        <v/>
      </c>
      <c r="L36" s="65" t="n"/>
      <c r="M36" s="41" t="n"/>
      <c r="X36" t="n">
        <v>77</v>
      </c>
      <c r="Y36" t="n">
        <v>77</v>
      </c>
      <c r="Z36">
        <f>VLOOKUP(Y36,$C$14:$D$49,2,FALSE)</f>
        <v/>
      </c>
      <c r="AA36" s="36">
        <f>SUMIF(PrilimTable!$M$4:$M$82,X36,PrilimTable!$P$4:$P$82)</f>
        <v/>
      </c>
      <c r="AB36" s="28">
        <f>AA36/$E$49</f>
        <v/>
      </c>
      <c r="AC36" s="30">
        <f>SUMIF(PrilimTable!$N$4:$N$82,Y36,PrilimTable!$R$4:$R$82)</f>
        <v/>
      </c>
      <c r="AD36" s="27">
        <f>AC36/$G$49</f>
        <v/>
      </c>
      <c r="AE36" s="43">
        <f>AC36-AA36</f>
        <v/>
      </c>
      <c r="AF36" s="74">
        <f>AE36/AA36</f>
        <v/>
      </c>
      <c r="AG36" t="n">
        <v>2200</v>
      </c>
    </row>
    <row r="37">
      <c r="A37">
        <f>VLOOKUP($C37,PrilimTable!$N:$T,7,FALSE)</f>
        <v/>
      </c>
      <c r="B37" t="n">
        <v>70</v>
      </c>
      <c r="C37">
        <f>B37</f>
        <v/>
      </c>
      <c r="D37">
        <f>VLOOKUP($C37,PrilimTable!$N:$S,2,FALSE)</f>
        <v/>
      </c>
      <c r="E37" s="36">
        <f>SUMIF(PrilimTable!$M$4:$M$82,B37,PrilimTable!$P$4:$P$82)</f>
        <v/>
      </c>
      <c r="F37" s="45">
        <f>E37/$E$49</f>
        <v/>
      </c>
      <c r="G37" s="30">
        <f>SUMIF(PrilimTable!$N$4:$N$82,C37,PrilimTable!$R$4:$R$82)</f>
        <v/>
      </c>
      <c r="H37" s="60">
        <f>G37/$G$49</f>
        <v/>
      </c>
      <c r="I37" s="43">
        <f>G37-E37</f>
        <v/>
      </c>
      <c r="J37" s="74">
        <f>I37/E37</f>
        <v/>
      </c>
      <c r="L37" s="65" t="n"/>
      <c r="M37" s="41" t="n"/>
      <c r="X37" t="n">
        <v>28</v>
      </c>
      <c r="Y37" t="n">
        <v>28</v>
      </c>
      <c r="Z37">
        <f>VLOOKUP(Y37,$C$14:$D$49,2,FALSE)</f>
        <v/>
      </c>
      <c r="AA37" s="36">
        <f>SUMIF(PrilimTable!$M$4:$M$82,X37,PrilimTable!$P$4:$P$82)</f>
        <v/>
      </c>
      <c r="AB37" s="28">
        <f>AA37/$E$49</f>
        <v/>
      </c>
      <c r="AC37" s="30">
        <f>SUMIF(PrilimTable!$N$4:$N$82,Y37,PrilimTable!$R$4:$R$82)</f>
        <v/>
      </c>
      <c r="AD37" s="27">
        <f>AC37/$G$49</f>
        <v/>
      </c>
      <c r="AE37" s="43">
        <f>AC37-AA37</f>
        <v/>
      </c>
      <c r="AF37" s="74">
        <f>AE37/AA37</f>
        <v/>
      </c>
      <c r="AG37" t="n">
        <v>2300</v>
      </c>
    </row>
    <row r="38">
      <c r="A38">
        <f>VLOOKUP($C38,PrilimTable!$N:$T,7,FALSE)</f>
        <v/>
      </c>
      <c r="B38" t="n">
        <v>75</v>
      </c>
      <c r="C38">
        <f>B38</f>
        <v/>
      </c>
      <c r="D38">
        <f>VLOOKUP($C38,PrilimTable!$N:$S,2,FALSE)</f>
        <v/>
      </c>
      <c r="E38" s="36">
        <f>SUMIF(PrilimTable!$M$4:$M$82,B38,PrilimTable!$P$4:$P$82)</f>
        <v/>
      </c>
      <c r="F38" s="45">
        <f>E38/$E$49</f>
        <v/>
      </c>
      <c r="G38" s="30">
        <f>SUMIF(PrilimTable!$N$4:$N$82,C38,PrilimTable!$R$4:$R$82)</f>
        <v/>
      </c>
      <c r="H38" s="60">
        <f>G38/$G$49</f>
        <v/>
      </c>
      <c r="I38" s="43">
        <f>G38-E38</f>
        <v/>
      </c>
      <c r="J38" s="74">
        <f>I38/E38</f>
        <v/>
      </c>
      <c r="L38" s="65" t="n"/>
      <c r="M38" s="41" t="n"/>
      <c r="X38" t="n">
        <v>79</v>
      </c>
      <c r="Y38" t="n">
        <v>79</v>
      </c>
      <c r="Z38">
        <f>VLOOKUP(Y38,$C$14:$D$49,2,FALSE)</f>
        <v/>
      </c>
      <c r="AA38" s="36">
        <f>SUMIF(PrilimTable!$M$4:$M$82,X38,PrilimTable!$P$4:$P$82)</f>
        <v/>
      </c>
      <c r="AB38" s="28">
        <f>AA38/$E$49</f>
        <v/>
      </c>
      <c r="AC38" s="30">
        <f>SUMIF(PrilimTable!$N$4:$N$82,Y38,PrilimTable!$R$4:$R$82)</f>
        <v/>
      </c>
      <c r="AD38" s="27">
        <f>AC38/$G$49</f>
        <v/>
      </c>
      <c r="AE38" s="43">
        <f>AC38-AA38</f>
        <v/>
      </c>
      <c r="AF38" s="74">
        <f>AE38/AA38</f>
        <v/>
      </c>
      <c r="AG38" t="n">
        <v>2400</v>
      </c>
    </row>
    <row r="39">
      <c r="A39">
        <f>VLOOKUP($C39,PrilimTable!$N:$T,7,FALSE)</f>
        <v/>
      </c>
      <c r="B39" t="n">
        <v>76</v>
      </c>
      <c r="C39">
        <f>B39</f>
        <v/>
      </c>
      <c r="D39">
        <f>VLOOKUP($C39,PrilimTable!$N:$S,2,FALSE)</f>
        <v/>
      </c>
      <c r="E39" s="36">
        <f>SUMIF(PrilimTable!$M$4:$M$82,B39,PrilimTable!$P$4:$P$82)</f>
        <v/>
      </c>
      <c r="F39" s="45">
        <f>E39/$E$49</f>
        <v/>
      </c>
      <c r="G39" s="30">
        <f>SUMIF(PrilimTable!$N$4:$N$82,C39,PrilimTable!$R$4:$R$82)</f>
        <v/>
      </c>
      <c r="H39" s="60">
        <f>G39/$G$49</f>
        <v/>
      </c>
      <c r="I39" s="43">
        <f>G39-E39</f>
        <v/>
      </c>
      <c r="J39" s="74">
        <f>I39/E39</f>
        <v/>
      </c>
      <c r="L39" s="65" t="n"/>
      <c r="M39" s="41" t="n"/>
      <c r="X39" t="n">
        <v>75</v>
      </c>
      <c r="Y39" t="n">
        <v>75</v>
      </c>
      <c r="Z39">
        <f>VLOOKUP(Y39,$C$14:$D$49,2,FALSE)</f>
        <v/>
      </c>
      <c r="AA39" s="36">
        <f>SUMIF(PrilimTable!$M$4:$M$82,X39,PrilimTable!$P$4:$P$82)</f>
        <v/>
      </c>
      <c r="AB39" s="28">
        <f>AA39/$E$49</f>
        <v/>
      </c>
      <c r="AC39" s="30">
        <f>SUMIF(PrilimTable!$N$4:$N$82,Y39,PrilimTable!$R$4:$R$82)</f>
        <v/>
      </c>
      <c r="AD39" s="27">
        <f>AC39/$G$49</f>
        <v/>
      </c>
      <c r="AE39" s="43">
        <f>AC39-AA39</f>
        <v/>
      </c>
      <c r="AF39" s="74">
        <f>AE39/AA39</f>
        <v/>
      </c>
      <c r="AG39" t="n">
        <v>2500</v>
      </c>
    </row>
    <row r="40">
      <c r="A40">
        <f>VLOOKUP($C40,PrilimTable!$N:$T,7,FALSE)</f>
        <v/>
      </c>
      <c r="B40" t="n">
        <v>77</v>
      </c>
      <c r="C40">
        <f>B40</f>
        <v/>
      </c>
      <c r="D40">
        <f>VLOOKUP($C40,PrilimTable!$N:$S,2,FALSE)</f>
        <v/>
      </c>
      <c r="E40" s="36">
        <f>SUMIF(PrilimTable!$M$4:$M$82,B40,PrilimTable!$P$4:$P$82)</f>
        <v/>
      </c>
      <c r="F40" s="45">
        <f>E40/$E$49</f>
        <v/>
      </c>
      <c r="G40" s="30">
        <f>SUMIF(PrilimTable!$N$4:$N$82,C40,PrilimTable!$R$4:$R$82)</f>
        <v/>
      </c>
      <c r="H40" s="60">
        <f>G40/$G$49</f>
        <v/>
      </c>
      <c r="I40" s="43">
        <f>G40-E40</f>
        <v/>
      </c>
      <c r="J40" s="74">
        <f>I40/E40</f>
        <v/>
      </c>
      <c r="L40" s="65" t="n"/>
      <c r="M40" s="41" t="n"/>
      <c r="X40" t="n">
        <v>84</v>
      </c>
      <c r="Y40" t="n">
        <v>84</v>
      </c>
      <c r="Z40">
        <f>VLOOKUP(Y40,$C$14:$D$49,2,FALSE)</f>
        <v/>
      </c>
      <c r="AA40" s="36">
        <f>SUMIF(PrilimTable!$M$4:$M$82,X40,PrilimTable!$P$4:$P$82)</f>
        <v/>
      </c>
      <c r="AB40" s="28">
        <f>AA40/$E$49</f>
        <v/>
      </c>
      <c r="AC40" s="30">
        <f>SUMIF(PrilimTable!$N$4:$N$82,Y40,PrilimTable!$R$4:$R$82)</f>
        <v/>
      </c>
      <c r="AD40" s="27">
        <f>AC40/$G$49</f>
        <v/>
      </c>
      <c r="AE40" s="43">
        <f>AC40-AA40</f>
        <v/>
      </c>
      <c r="AF40" s="74">
        <f>AE40/AA40</f>
        <v/>
      </c>
      <c r="AG40" t="n">
        <v>2600</v>
      </c>
    </row>
    <row r="41">
      <c r="A41">
        <f>VLOOKUP($C41,PrilimTable!$N:$T,7,FALSE)</f>
        <v/>
      </c>
      <c r="B41" t="n">
        <v>79</v>
      </c>
      <c r="C41">
        <f>B41</f>
        <v/>
      </c>
      <c r="D41">
        <f>VLOOKUP($C41,PrilimTable!$N:$S,2,FALSE)</f>
        <v/>
      </c>
      <c r="E41" s="36">
        <f>SUMIF(PrilimTable!$M$4:$M$82,B41,PrilimTable!$P$4:$P$82)</f>
        <v/>
      </c>
      <c r="F41" s="45">
        <f>E41/$E$49</f>
        <v/>
      </c>
      <c r="G41" s="30">
        <f>SUMIF(PrilimTable!$N$4:$N$82,C41,PrilimTable!$R$4:$R$82)</f>
        <v/>
      </c>
      <c r="H41" s="60">
        <f>G41/$G$49</f>
        <v/>
      </c>
      <c r="I41" s="43">
        <f>G41-E41</f>
        <v/>
      </c>
      <c r="J41" s="74">
        <f>I41/E41</f>
        <v/>
      </c>
      <c r="L41" s="65" t="n"/>
      <c r="M41" s="41" t="n"/>
      <c r="X41" t="n">
        <v>93</v>
      </c>
      <c r="Y41" t="n">
        <v>93</v>
      </c>
      <c r="Z41">
        <f>VLOOKUP(Y41,$C$14:$D$49,2,FALSE)</f>
        <v/>
      </c>
      <c r="AA41" s="36">
        <f>SUMIF(PrilimTable!$M$4:$M$82,X41,PrilimTable!$P$4:$P$82)</f>
        <v/>
      </c>
      <c r="AB41" s="28">
        <f>AA41/$E$49</f>
        <v/>
      </c>
      <c r="AC41" s="30">
        <f>SUMIF(PrilimTable!$N$4:$N$82,Y41,PrilimTable!$R$4:$R$82)</f>
        <v/>
      </c>
      <c r="AD41" s="27">
        <f>AC41/$G$49</f>
        <v/>
      </c>
      <c r="AE41" s="43">
        <f>AC41-AA41</f>
        <v/>
      </c>
      <c r="AF41" s="74">
        <f>AE41/AA41</f>
        <v/>
      </c>
      <c r="AG41" t="n">
        <v>2700</v>
      </c>
    </row>
    <row r="42">
      <c r="A42">
        <f>VLOOKUP($C42,PrilimTable!$N:$T,7,FALSE)</f>
        <v/>
      </c>
      <c r="B42" t="n">
        <v>84</v>
      </c>
      <c r="C42">
        <f>B42</f>
        <v/>
      </c>
      <c r="D42">
        <f>VLOOKUP($C42,PrilimTable!$N:$S,2,FALSE)</f>
        <v/>
      </c>
      <c r="E42" s="36">
        <f>SUMIF(PrilimTable!$M$4:$M$82,B42,PrilimTable!$P$4:$P$82)</f>
        <v/>
      </c>
      <c r="F42" s="45">
        <f>E42/$E$49</f>
        <v/>
      </c>
      <c r="G42" s="30">
        <f>SUMIF(PrilimTable!$N$4:$N$82,C42,PrilimTable!$R$4:$R$82)</f>
        <v/>
      </c>
      <c r="H42" s="60">
        <f>G42/$G$49</f>
        <v/>
      </c>
      <c r="I42" s="43">
        <f>G42-E42</f>
        <v/>
      </c>
      <c r="J42" s="74">
        <f>I42/E42</f>
        <v/>
      </c>
      <c r="L42" s="65" t="n"/>
      <c r="M42" s="41" t="n"/>
      <c r="X42" t="n">
        <v>87</v>
      </c>
      <c r="Y42" t="n">
        <v>87</v>
      </c>
      <c r="Z42">
        <f>VLOOKUP(Y42,$C$14:$D$49,2,FALSE)</f>
        <v/>
      </c>
      <c r="AA42" s="36">
        <f>SUMIF(PrilimTable!$M$4:$M$82,X42,PrilimTable!$P$4:$P$82)</f>
        <v/>
      </c>
      <c r="AB42" s="28">
        <f>AA42/$E$49</f>
        <v/>
      </c>
      <c r="AC42" s="30">
        <f>SUMIF(PrilimTable!$N$4:$N$82,Y42,PrilimTable!$R$4:$R$82)</f>
        <v/>
      </c>
      <c r="AD42" s="27">
        <f>AC42/$G$49</f>
        <v/>
      </c>
      <c r="AE42" s="43">
        <f>AC42-AA42</f>
        <v/>
      </c>
      <c r="AF42" s="74">
        <f>AE42/AA42</f>
        <v/>
      </c>
      <c r="AG42" t="n">
        <v>2800</v>
      </c>
    </row>
    <row r="43">
      <c r="A43">
        <f>VLOOKUP($C43,PrilimTable!$N:$T,7,FALSE)</f>
        <v/>
      </c>
      <c r="B43" t="n">
        <v>86</v>
      </c>
      <c r="C43">
        <f>B43</f>
        <v/>
      </c>
      <c r="D43">
        <f>VLOOKUP($C43,PrilimTable!$N:$S,2,FALSE)</f>
        <v/>
      </c>
      <c r="E43" s="36">
        <f>SUMIF(PrilimTable!$M$4:$M$82,B43,PrilimTable!$P$4:$P$82)</f>
        <v/>
      </c>
      <c r="F43" s="45">
        <f>E43/$E$49</f>
        <v/>
      </c>
      <c r="G43" s="30">
        <f>SUMIF(PrilimTable!$N$4:$N$82,C43,PrilimTable!$R$4:$R$82)</f>
        <v/>
      </c>
      <c r="H43" s="60">
        <f>G43/$G$49</f>
        <v/>
      </c>
      <c r="I43" s="43">
        <f>G43-E43</f>
        <v/>
      </c>
      <c r="J43" s="74">
        <f>I43/E43</f>
        <v/>
      </c>
      <c r="L43" s="65" t="n"/>
      <c r="M43" s="41" t="n"/>
      <c r="X43" t="n">
        <v>41</v>
      </c>
      <c r="Y43" t="n">
        <v>41</v>
      </c>
      <c r="Z43">
        <f>VLOOKUP(Y43,$C$14:$D$49,2,FALSE)</f>
        <v/>
      </c>
      <c r="AA43" s="36">
        <f>SUMIF(PrilimTable!$M$4:$M$82,X43,PrilimTable!$P$4:$P$82)</f>
        <v/>
      </c>
      <c r="AB43" s="28">
        <f>AA43/$E$49</f>
        <v/>
      </c>
      <c r="AC43" s="30">
        <f>SUMIF(PrilimTable!$N$4:$N$82,Y43,PrilimTable!$R$4:$R$82)</f>
        <v/>
      </c>
      <c r="AD43" s="27">
        <f>AC43/$G$49</f>
        <v/>
      </c>
      <c r="AE43" s="43">
        <f>AC43-AA43</f>
        <v/>
      </c>
      <c r="AF43" s="74">
        <f>AE43/AA43</f>
        <v/>
      </c>
      <c r="AG43" t="n">
        <v>2900</v>
      </c>
    </row>
    <row r="44">
      <c r="A44">
        <f>VLOOKUP($C44,PrilimTable!$N:$T,7,FALSE)</f>
        <v/>
      </c>
      <c r="B44" t="n">
        <v>87</v>
      </c>
      <c r="C44">
        <f>B44</f>
        <v/>
      </c>
      <c r="D44">
        <f>VLOOKUP($C44,PrilimTable!$N:$S,2,FALSE)</f>
        <v/>
      </c>
      <c r="E44" s="36">
        <f>SUMIF(PrilimTable!$M$4:$M$82,B44,PrilimTable!$P$4:$P$82)</f>
        <v/>
      </c>
      <c r="F44" s="45">
        <f>E44/$E$49</f>
        <v/>
      </c>
      <c r="G44" s="30">
        <f>SUMIF(PrilimTable!$N$4:$N$82,C44,PrilimTable!$R$4:$R$82)</f>
        <v/>
      </c>
      <c r="H44" s="60">
        <f>G44/$G$49</f>
        <v/>
      </c>
      <c r="I44" s="43">
        <f>G44-E44</f>
        <v/>
      </c>
      <c r="J44" s="74">
        <f>I44/E44</f>
        <v/>
      </c>
      <c r="L44" s="65" t="n"/>
      <c r="M44" s="41" t="n"/>
      <c r="X44" t="n">
        <v>95</v>
      </c>
      <c r="Y44" t="n">
        <v>95</v>
      </c>
      <c r="Z44">
        <f>VLOOKUP(Y44,$C$14:$D$49,2,FALSE)</f>
        <v/>
      </c>
      <c r="AA44" s="36">
        <f>SUMIF(PrilimTable!$M$4:$M$82,X44,PrilimTable!$P$4:$P$82)</f>
        <v/>
      </c>
      <c r="AB44" s="28">
        <f>AA44/$E$49</f>
        <v/>
      </c>
      <c r="AC44" s="30">
        <f>SUMIF(PrilimTable!$N$4:$N$82,Y44,PrilimTable!$R$4:$R$82)</f>
        <v/>
      </c>
      <c r="AD44" s="27">
        <f>AC44/$G$49</f>
        <v/>
      </c>
      <c r="AE44" s="43">
        <f>AC44-AA44</f>
        <v/>
      </c>
      <c r="AF44" s="74">
        <f>AE44/AA44</f>
        <v/>
      </c>
      <c r="AG44" t="n">
        <v>3000</v>
      </c>
    </row>
    <row r="45">
      <c r="A45">
        <f>VLOOKUP($C45,PrilimTable!$N:$T,7,FALSE)</f>
        <v/>
      </c>
      <c r="B45" t="n">
        <v>89</v>
      </c>
      <c r="C45">
        <f>B45</f>
        <v/>
      </c>
      <c r="D45">
        <f>VLOOKUP($C45,PrilimTable!$N:$S,2,FALSE)</f>
        <v/>
      </c>
      <c r="E45" s="36">
        <f>SUMIF(PrilimTable!$M$4:$M$82,B45,PrilimTable!$P$4:$P$82)</f>
        <v/>
      </c>
      <c r="F45" s="45">
        <f>E45/$E$49</f>
        <v/>
      </c>
      <c r="G45" s="30">
        <f>SUMIF(PrilimTable!$N$4:$N$82,C45,PrilimTable!$R$4:$R$82)</f>
        <v/>
      </c>
      <c r="H45" s="60">
        <f>G45/$G$49</f>
        <v/>
      </c>
      <c r="I45" s="43">
        <f>G45-E45</f>
        <v/>
      </c>
      <c r="J45" s="74">
        <f>I45/E45</f>
        <v/>
      </c>
      <c r="L45" s="65" t="n"/>
      <c r="M45" s="41" t="n"/>
      <c r="X45" t="n">
        <v>86</v>
      </c>
      <c r="Y45" t="n">
        <v>86</v>
      </c>
      <c r="Z45">
        <f>VLOOKUP(Y45,$C$14:$D$49,2,FALSE)</f>
        <v/>
      </c>
      <c r="AA45" s="36">
        <f>SUMIF(PrilimTable!$M$4:$M$82,X45,PrilimTable!$P$4:$P$82)</f>
        <v/>
      </c>
      <c r="AB45" s="28">
        <f>AA45/$E$49</f>
        <v/>
      </c>
      <c r="AC45" s="30">
        <f>SUMIF(PrilimTable!$N$4:$N$82,Y45,PrilimTable!$R$4:$R$82)</f>
        <v/>
      </c>
      <c r="AD45" s="27">
        <f>AC45/$G$49</f>
        <v/>
      </c>
      <c r="AE45" s="43">
        <f>AC45-AA45</f>
        <v/>
      </c>
      <c r="AF45" s="74">
        <f>AE45/AA45</f>
        <v/>
      </c>
      <c r="AG45" t="n">
        <v>3100</v>
      </c>
    </row>
    <row r="46">
      <c r="A46">
        <f>VLOOKUP($C46,PrilimTable!$N:$T,7,FALSE)</f>
        <v/>
      </c>
      <c r="B46" t="n">
        <v>90</v>
      </c>
      <c r="C46">
        <f>B46</f>
        <v/>
      </c>
      <c r="D46">
        <f>VLOOKUP($C46,PrilimTable!$N:$S,2,FALSE)</f>
        <v/>
      </c>
      <c r="E46" s="36">
        <f>SUMIF(PrilimTable!$M$4:$M$82,B46,PrilimTable!$P$4:$P$82)</f>
        <v/>
      </c>
      <c r="F46" s="45">
        <f>E46/$E$49</f>
        <v/>
      </c>
      <c r="G46" s="30">
        <f>SUMIF(PrilimTable!$N$4:$N$82,C46,PrilimTable!$R$4:$R$82)</f>
        <v/>
      </c>
      <c r="H46" s="60">
        <f>G46/$G$49</f>
        <v/>
      </c>
      <c r="I46" s="43">
        <f>G46-E46</f>
        <v/>
      </c>
      <c r="J46" s="74">
        <f>I46/E46</f>
        <v/>
      </c>
      <c r="L46" s="65" t="n"/>
      <c r="M46" s="41" t="n"/>
      <c r="X46" t="n">
        <v>70</v>
      </c>
      <c r="Y46" t="n">
        <v>70</v>
      </c>
      <c r="Z46">
        <f>VLOOKUP(Y46,$C$14:$D$49,2,FALSE)</f>
        <v/>
      </c>
      <c r="AA46" s="36">
        <f>SUMIF(PrilimTable!$M$4:$M$82,X46,PrilimTable!$P$4:$P$82)</f>
        <v/>
      </c>
      <c r="AB46" s="28">
        <f>AA46/$E$49</f>
        <v/>
      </c>
      <c r="AC46" s="30">
        <f>SUMIF(PrilimTable!$N$4:$N$82,Y46,PrilimTable!$R$4:$R$82)</f>
        <v/>
      </c>
      <c r="AD46" s="27">
        <f>AC46/$G$49</f>
        <v/>
      </c>
      <c r="AE46" s="43">
        <f>AC46-AA46</f>
        <v/>
      </c>
      <c r="AF46" s="74">
        <f>AE46/AA46</f>
        <v/>
      </c>
      <c r="AG46" t="n">
        <v>3200</v>
      </c>
    </row>
    <row r="47">
      <c r="A47">
        <f>VLOOKUP($C47,PrilimTable!$N:$T,7,FALSE)</f>
        <v/>
      </c>
      <c r="B47" t="n">
        <v>93</v>
      </c>
      <c r="C47">
        <f>B47</f>
        <v/>
      </c>
      <c r="D47">
        <f>VLOOKUP($C47,PrilimTable!$N:$S,2,FALSE)</f>
        <v/>
      </c>
      <c r="E47" s="36">
        <f>SUMIF(PrilimTable!$M$4:$M$82,B47,PrilimTable!$P$4:$P$82)</f>
        <v/>
      </c>
      <c r="F47" s="45">
        <f>E47/$E$49</f>
        <v/>
      </c>
      <c r="G47" s="30">
        <f>SUMIF(PrilimTable!$N$4:$N$82,C47,PrilimTable!$R$4:$R$82)</f>
        <v/>
      </c>
      <c r="H47" s="60">
        <f>G47/$G$49</f>
        <v/>
      </c>
      <c r="I47" s="43">
        <f>G47-E47</f>
        <v/>
      </c>
      <c r="J47" s="74">
        <f>I47/E47</f>
        <v/>
      </c>
      <c r="L47" s="65" t="n"/>
      <c r="M47" s="41" t="n"/>
      <c r="X47" t="n">
        <v>89</v>
      </c>
      <c r="Y47" t="n">
        <v>89</v>
      </c>
      <c r="Z47">
        <f>VLOOKUP(Y47,$C$14:$D$49,2,FALSE)</f>
        <v/>
      </c>
      <c r="AA47" s="36">
        <f>SUMIF(PrilimTable!$M$4:$M$82,X47,PrilimTable!$P$4:$P$82)</f>
        <v/>
      </c>
      <c r="AB47" s="28">
        <f>AA47/$E$49</f>
        <v/>
      </c>
      <c r="AC47" s="30">
        <f>SUMIF(PrilimTable!$N$4:$N$82,Y47,PrilimTable!$R$4:$R$82)</f>
        <v/>
      </c>
      <c r="AD47" s="27">
        <f>AC47/$G$49</f>
        <v/>
      </c>
      <c r="AE47" s="43">
        <f>AC47-AA47</f>
        <v/>
      </c>
      <c r="AF47" s="74">
        <f>AE47/AA47</f>
        <v/>
      </c>
      <c r="AG47" t="n">
        <v>3300</v>
      </c>
    </row>
    <row r="48">
      <c r="A48">
        <f>VLOOKUP($C48,PrilimTable!$N:$T,7,FALSE)</f>
        <v/>
      </c>
      <c r="B48" t="n">
        <v>95</v>
      </c>
      <c r="C48">
        <f>B48</f>
        <v/>
      </c>
      <c r="D48">
        <f>VLOOKUP($C48,PrilimTable!$N:$S,2,FALSE)</f>
        <v/>
      </c>
      <c r="E48" s="36">
        <f>SUMIF(PrilimTable!$M$4:$M$82,B48,PrilimTable!$P$4:$P$82)</f>
        <v/>
      </c>
      <c r="F48" s="45">
        <f>E48/$E$49</f>
        <v/>
      </c>
      <c r="G48" s="30">
        <f>SUMIF(PrilimTable!$N$4:$N$82,C48,PrilimTable!$R$4:$R$82)</f>
        <v/>
      </c>
      <c r="H48" s="60">
        <f>G48/$G$49</f>
        <v/>
      </c>
      <c r="I48" s="43">
        <f>G48-E48</f>
        <v/>
      </c>
      <c r="J48" s="74">
        <f>I48/E48</f>
        <v/>
      </c>
      <c r="L48" s="65" t="n"/>
      <c r="M48" s="41" t="n"/>
      <c r="X48" t="n">
        <v>64</v>
      </c>
      <c r="Y48" t="n">
        <v>64</v>
      </c>
      <c r="Z48">
        <f>VLOOKUP(Y48,$C$14:$D$49,2,FALSE)</f>
        <v/>
      </c>
      <c r="AA48" s="36">
        <f>SUMIF(PrilimTable!$M$4:$M$82,X48,PrilimTable!$P$4:$P$82)</f>
        <v/>
      </c>
      <c r="AB48" s="28">
        <f>AA48/$E$49</f>
        <v/>
      </c>
      <c r="AC48" s="30">
        <f>SUMIF(PrilimTable!$N$4:$N$82,Y48,PrilimTable!$R$4:$R$82)</f>
        <v/>
      </c>
      <c r="AD48" s="27">
        <f>AC48/$G$49</f>
        <v/>
      </c>
      <c r="AE48" s="43">
        <f>AC48-AA48</f>
        <v/>
      </c>
      <c r="AF48" s="74">
        <f>AE48/AA48</f>
        <v/>
      </c>
      <c r="AG48" t="n">
        <v>3400</v>
      </c>
    </row>
    <row r="49">
      <c r="D49" s="63" t="inlineStr">
        <is>
          <t>TOTAL</t>
        </is>
      </c>
      <c r="E49" s="40">
        <f>SUM(E15:E48)</f>
        <v/>
      </c>
      <c r="F49" s="59">
        <f>SUM(F15:F48)</f>
        <v/>
      </c>
      <c r="G49" s="34">
        <f>SUM(G15:G48)</f>
        <v/>
      </c>
      <c r="H49" s="61">
        <f>SUM(H15:H48)</f>
        <v/>
      </c>
      <c r="I49" s="44">
        <f>G49-E49</f>
        <v/>
      </c>
      <c r="J49" s="75">
        <f>I49/E49</f>
        <v/>
      </c>
      <c r="Z49" s="116" t="n"/>
      <c r="AA49" s="40">
        <f>SUM(AA15:AA48)</f>
        <v/>
      </c>
      <c r="AB49" s="39" t="n">
        <v>0.9980000000000004</v>
      </c>
      <c r="AC49" s="34">
        <f>SUM(AC15:AC48)</f>
        <v/>
      </c>
      <c r="AD49" s="29" t="n">
        <v>1</v>
      </c>
      <c r="AE49" s="44">
        <f>AC49-AA49</f>
        <v/>
      </c>
      <c r="AF49" s="75">
        <f>AE49/AA49</f>
        <v/>
      </c>
      <c r="AG49" t="n">
        <v>3500</v>
      </c>
    </row>
    <row r="50">
      <c r="AG50" t="n">
        <v>3600</v>
      </c>
    </row>
    <row r="51">
      <c r="AG51" t="n">
        <v>3700</v>
      </c>
    </row>
    <row r="52">
      <c r="I52" s="42" t="n"/>
      <c r="AG52" t="n">
        <v>3800</v>
      </c>
    </row>
    <row r="53">
      <c r="I53" s="55" t="n"/>
      <c r="AG53" t="n">
        <v>3900</v>
      </c>
    </row>
    <row r="54">
      <c r="E54" s="41" t="n"/>
      <c r="F54" s="41" t="n"/>
      <c r="H54" s="4" t="n"/>
      <c r="I54" s="42" t="n"/>
      <c r="AG54" t="n">
        <v>4000</v>
      </c>
    </row>
    <row r="55">
      <c r="E55" s="41" t="n"/>
      <c r="F55" s="41" t="n"/>
      <c r="H55" s="4" t="n"/>
      <c r="I55" s="42" t="n"/>
      <c r="AG55" t="n">
        <v>4100</v>
      </c>
    </row>
    <row r="56">
      <c r="E56" s="73" t="n"/>
      <c r="F56" s="73" t="n"/>
      <c r="H56" s="4" t="n"/>
      <c r="I56" s="42" t="n"/>
      <c r="AG56" t="n">
        <v>4200</v>
      </c>
    </row>
    <row r="57">
      <c r="I57" s="42" t="n"/>
      <c r="AG57" t="n">
        <v>4300</v>
      </c>
    </row>
    <row r="58">
      <c r="E58" s="22" t="n"/>
      <c r="F58" s="22" t="n"/>
      <c r="G58" s="22" t="n"/>
      <c r="I58" s="42" t="n"/>
      <c r="AG58" t="n">
        <v>4400</v>
      </c>
    </row>
    <row r="59">
      <c r="E59" s="41" t="n"/>
      <c r="F59" s="41" t="n"/>
      <c r="G59" s="73" t="n"/>
      <c r="I59" s="42" t="n"/>
      <c r="AG59" t="n">
        <v>4500</v>
      </c>
    </row>
    <row r="60">
      <c r="F60" s="41" t="n"/>
      <c r="G60" s="73" t="n"/>
      <c r="I60" s="42" t="n"/>
      <c r="AG60" t="n">
        <v>4600</v>
      </c>
    </row>
    <row r="61">
      <c r="F61" s="41" t="n"/>
      <c r="G61" s="73" t="n"/>
      <c r="I61" s="42" t="n"/>
      <c r="AG61" t="n">
        <v>4700</v>
      </c>
    </row>
    <row r="62">
      <c r="F62" s="41" t="n"/>
      <c r="G62" s="73" t="n"/>
      <c r="I62" s="42" t="n"/>
      <c r="AG62" t="n">
        <v>4800</v>
      </c>
    </row>
    <row r="63">
      <c r="D63" s="4" t="n"/>
      <c r="E63" s="73" t="n"/>
      <c r="F63" s="73" t="n"/>
      <c r="G63" s="73" t="n"/>
      <c r="I63" s="42" t="n"/>
      <c r="AG63" t="n">
        <v>4900</v>
      </c>
    </row>
    <row r="64">
      <c r="I64" s="42" t="n"/>
      <c r="AG64" t="n">
        <v>5000</v>
      </c>
    </row>
    <row r="65">
      <c r="AG65" t="n">
        <v>5100</v>
      </c>
    </row>
    <row r="66">
      <c r="AG66" t="n">
        <v>5200</v>
      </c>
    </row>
    <row r="67">
      <c r="AG67" t="n">
        <v>5300</v>
      </c>
    </row>
    <row r="68">
      <c r="AG68" t="n">
        <v>5400</v>
      </c>
    </row>
    <row r="69">
      <c r="AG69" t="n">
        <v>5500</v>
      </c>
    </row>
    <row r="70">
      <c r="AG70" t="n">
        <v>5600</v>
      </c>
    </row>
    <row r="71">
      <c r="AG71" t="n">
        <v>5700</v>
      </c>
    </row>
    <row r="72">
      <c r="AG72" t="n">
        <v>5800</v>
      </c>
    </row>
    <row r="73">
      <c r="AG73" t="n">
        <v>5900</v>
      </c>
    </row>
    <row r="74">
      <c r="AG74" t="n">
        <v>6000</v>
      </c>
    </row>
  </sheetData>
  <mergeCells count="9">
    <mergeCell ref="G2:H2"/>
    <mergeCell ref="E2:F2"/>
    <mergeCell ref="I2:J2"/>
    <mergeCell ref="I13:J13"/>
    <mergeCell ref="AE13:AF13"/>
    <mergeCell ref="AA13:AB13"/>
    <mergeCell ref="AC13:AD13"/>
    <mergeCell ref="E13:F13"/>
    <mergeCell ref="G13:H13"/>
  </mergeCells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T63"/>
  <sheetViews>
    <sheetView topLeftCell="A7" zoomScaleNormal="100" workbookViewId="0">
      <selection activeCell="C9" sqref="C9"/>
    </sheetView>
  </sheetViews>
  <sheetFormatPr baseColWidth="8" defaultRowHeight="14.25"/>
  <cols>
    <col width="28.3984375" bestFit="1" customWidth="1" style="126" min="1" max="1"/>
    <col width="22.3984375" customWidth="1" style="126" min="2" max="2"/>
    <col width="16.73046875" customWidth="1" style="126" min="3" max="3"/>
    <col width="17.1328125" customWidth="1" style="126" min="4" max="4"/>
    <col width="16" customWidth="1" style="126" min="5" max="5"/>
    <col width="18.59765625" customWidth="1" style="126" min="6" max="6"/>
    <col width="14" customWidth="1" style="126" min="7" max="7"/>
    <col width="17.265625" customWidth="1" style="126" min="8" max="8"/>
    <col width="27.3984375" customWidth="1" style="126" min="9" max="9"/>
    <col width="13.1328125" customWidth="1" style="126" min="10" max="11"/>
    <col width="13" customWidth="1" style="126" min="12" max="12"/>
    <col width="11.59765625" customWidth="1" style="126" min="13" max="13"/>
    <col width="12.59765625" customWidth="1" style="126" min="14" max="14"/>
    <col width="34.1328125" customWidth="1" style="126" min="15" max="15"/>
    <col width="11.1328125" customWidth="1" style="126" min="16" max="16"/>
    <col width="12.59765625" customWidth="1" style="126" min="17" max="17"/>
    <col width="14.59765625" customWidth="1" style="126" min="18" max="18"/>
    <col width="14.1328125" customWidth="1" style="126" min="19" max="19"/>
    <col width="18.59765625" customWidth="1" style="126" min="20" max="20"/>
    <col width="16.86328125" customWidth="1" style="126" min="21" max="21"/>
    <col width="15.73046875" customWidth="1" style="126" min="22" max="22"/>
    <col width="18.3984375" bestFit="1" customWidth="1" style="126" min="23" max="23"/>
    <col width="17" bestFit="1" customWidth="1" style="126" min="24" max="24"/>
    <col width="17.265625" customWidth="1" style="126" min="25" max="25"/>
    <col width="15.3984375" customWidth="1" style="126" min="26" max="26"/>
  </cols>
  <sheetData>
    <row r="2">
      <c r="I2" s="4" t="n"/>
      <c r="J2" s="125" t="n"/>
      <c r="M2" s="122" t="n"/>
      <c r="N2" s="122" t="n"/>
      <c r="O2" s="122" t="n"/>
      <c r="P2" s="117" t="inlineStr">
        <is>
          <t>OBS</t>
        </is>
      </c>
      <c r="Q2" s="116" t="n"/>
      <c r="R2" s="124" t="inlineStr">
        <is>
          <t>ABM_12132015</t>
        </is>
      </c>
      <c r="S2" s="116" t="n"/>
    </row>
    <row r="3">
      <c r="B3" t="inlineStr">
        <is>
          <t>ROUTE_STATION_NUM</t>
        </is>
      </c>
      <c r="C3" t="inlineStr">
        <is>
          <t>Boardings</t>
        </is>
      </c>
      <c r="G3" s="4" t="n"/>
      <c r="J3" s="22" t="n"/>
      <c r="K3" s="22" t="n"/>
      <c r="M3" s="4" t="inlineStr">
        <is>
          <t>Rte Id (OBS)</t>
        </is>
      </c>
      <c r="N3" s="4" t="inlineStr">
        <is>
          <t>Rte Id (ABM)</t>
        </is>
      </c>
      <c r="O3" s="4" t="inlineStr">
        <is>
          <t>Rte Name</t>
        </is>
      </c>
      <c r="P3" s="24" t="inlineStr">
        <is>
          <t>Boardings</t>
        </is>
      </c>
      <c r="Q3" s="24" t="inlineStr">
        <is>
          <t>Percentage</t>
        </is>
      </c>
      <c r="R3" s="25" t="inlineStr">
        <is>
          <t>Boardings</t>
        </is>
      </c>
      <c r="S3" s="25" t="inlineStr">
        <is>
          <t>Percentage</t>
        </is>
      </c>
      <c r="T3" t="inlineStr">
        <is>
          <t>Mode</t>
        </is>
      </c>
    </row>
    <row r="4">
      <c r="B4" t="n">
        <v>3</v>
      </c>
      <c r="C4" s="1">
        <f>VLOOKUP($B4,Aggregated_Transit_Final_V2!$B:$H,7,FALSE)</f>
        <v/>
      </c>
      <c r="D4" s="2" t="n"/>
      <c r="J4" s="1" t="n"/>
      <c r="K4" s="2" t="n"/>
      <c r="M4" t="n">
        <v>3</v>
      </c>
      <c r="N4" t="n">
        <v>3</v>
      </c>
      <c r="O4">
        <f>VLOOKUP($N4,ABM_RteName!$A:$D,3,FALSE)</f>
        <v/>
      </c>
      <c r="P4" s="7">
        <f>VLOOKUP(M4,$B:$C,2,FALSE)</f>
        <v/>
      </c>
      <c r="Q4" s="28">
        <f>P4/$P$38</f>
        <v/>
      </c>
      <c r="R4" s="3">
        <f>SUMIF(BoardingByRoute_ABM!$B:$B,N4,BoardingByRoute_ABM!$N:$N)</f>
        <v/>
      </c>
      <c r="S4" s="27">
        <f>R4/R$38</f>
        <v/>
      </c>
      <c r="T4">
        <f>VLOOKUP($N4,ABM_RteName!$A:$E,5,FALSE)</f>
        <v/>
      </c>
    </row>
    <row r="5">
      <c r="B5" t="n">
        <v>4</v>
      </c>
      <c r="C5" s="1">
        <f>VLOOKUP($B5,Aggregated_Transit_Final_V2!$B:$H,7,FALSE)</f>
        <v/>
      </c>
      <c r="D5" s="2" t="n"/>
      <c r="J5" s="1" t="n"/>
      <c r="K5" s="2" t="n"/>
      <c r="M5" t="n">
        <v>4</v>
      </c>
      <c r="N5" t="n">
        <v>4</v>
      </c>
      <c r="O5">
        <f>VLOOKUP($N5,ABM_RteName!$A:$D,3,FALSE)</f>
        <v/>
      </c>
      <c r="P5" s="7">
        <f>VLOOKUP(M5,$B:$C,2,FALSE)</f>
        <v/>
      </c>
      <c r="Q5" s="28">
        <f>P5/$P$38</f>
        <v/>
      </c>
      <c r="R5" s="3">
        <f>SUMIF(BoardingByRoute_ABM!$B:$B,N5,BoardingByRoute_ABM!$N:$N)</f>
        <v/>
      </c>
      <c r="S5" s="27">
        <f>R5/R$38</f>
        <v/>
      </c>
      <c r="T5">
        <f>VLOOKUP($N5,ABM_RteName!$A:$E,5,FALSE)</f>
        <v/>
      </c>
    </row>
    <row r="6">
      <c r="B6" t="n">
        <v>6</v>
      </c>
      <c r="C6" s="1">
        <f>VLOOKUP($B6,Aggregated_Transit_Final_V2!$B:$H,7,FALSE)</f>
        <v/>
      </c>
      <c r="D6" s="2" t="n"/>
      <c r="J6" s="1" t="n"/>
      <c r="K6" s="2" t="n"/>
      <c r="M6" t="n">
        <v>6</v>
      </c>
      <c r="N6" t="n">
        <v>6</v>
      </c>
      <c r="O6">
        <f>VLOOKUP($N6,ABM_RteName!$A:$D,3,FALSE)</f>
        <v/>
      </c>
      <c r="P6" s="7">
        <f>VLOOKUP(M6,$B:$C,2,FALSE)</f>
        <v/>
      </c>
      <c r="Q6" s="28">
        <f>P6/$P$38</f>
        <v/>
      </c>
      <c r="R6" s="3">
        <f>SUMIF(BoardingByRoute_ABM!$B:$B,N6,BoardingByRoute_ABM!$N:$N)</f>
        <v/>
      </c>
      <c r="S6" s="27">
        <f>R6/R$38</f>
        <v/>
      </c>
      <c r="T6">
        <f>VLOOKUP($N6,ABM_RteName!$A:$E,5,FALSE)</f>
        <v/>
      </c>
    </row>
    <row r="7">
      <c r="B7" t="n">
        <v>7</v>
      </c>
      <c r="C7" s="1">
        <f>VLOOKUP($B7,Aggregated_Transit_Final_V2!$B:$H,7,FALSE)</f>
        <v/>
      </c>
      <c r="D7" s="2" t="n"/>
      <c r="J7" s="1" t="n"/>
      <c r="K7" s="2" t="n"/>
      <c r="M7" t="n">
        <v>7</v>
      </c>
      <c r="N7" t="n">
        <v>7</v>
      </c>
      <c r="O7">
        <f>VLOOKUP($N7,ABM_RteName!$A:$D,3,FALSE)</f>
        <v/>
      </c>
      <c r="P7" s="7">
        <f>VLOOKUP(M7,$B:$C,2,FALSE)</f>
        <v/>
      </c>
      <c r="Q7" s="28">
        <f>P7/$P$38</f>
        <v/>
      </c>
      <c r="R7" s="3">
        <f>SUMIF(BoardingByRoute_ABM!$B:$B,N7,BoardingByRoute_ABM!$N:$N)</f>
        <v/>
      </c>
      <c r="S7" s="27">
        <f>R7/R$38</f>
        <v/>
      </c>
      <c r="T7">
        <f>VLOOKUP($N7,ABM_RteName!$A:$E,5,FALSE)</f>
        <v/>
      </c>
    </row>
    <row r="8">
      <c r="B8" t="n">
        <v>8</v>
      </c>
      <c r="C8" s="1">
        <f>VLOOKUP($B8,Aggregated_Transit_Final_V2!$B:$H,7,FALSE)</f>
        <v/>
      </c>
      <c r="D8" s="2" t="n"/>
      <c r="J8" s="1" t="n"/>
      <c r="K8" s="2" t="n"/>
      <c r="M8" t="n">
        <v>8</v>
      </c>
      <c r="N8" t="n">
        <v>8</v>
      </c>
      <c r="O8">
        <f>VLOOKUP($N8,ABM_RteName!$A:$D,3,FALSE)</f>
        <v/>
      </c>
      <c r="P8" s="7">
        <f>VLOOKUP(M8,$B:$C,2,FALSE)</f>
        <v/>
      </c>
      <c r="Q8" s="28">
        <f>P8/$P$38</f>
        <v/>
      </c>
      <c r="R8" s="3">
        <f>SUMIF(BoardingByRoute_ABM!$B:$B,N8,BoardingByRoute_ABM!$N:$N)</f>
        <v/>
      </c>
      <c r="S8" s="27">
        <f>R8/R$38</f>
        <v/>
      </c>
      <c r="T8">
        <f>VLOOKUP($N8,ABM_RteName!$A:$E,5,FALSE)</f>
        <v/>
      </c>
    </row>
    <row r="9">
      <c r="B9" t="n">
        <v>9</v>
      </c>
      <c r="C9" s="1">
        <f>VLOOKUP($B9,Aggregated_Transit_Final_V2!$B:$H,7,FALSE)</f>
        <v/>
      </c>
      <c r="D9" s="2" t="n"/>
      <c r="J9" s="1" t="n"/>
      <c r="K9" s="2" t="n"/>
      <c r="M9" t="n">
        <v>9</v>
      </c>
      <c r="N9" t="n">
        <v>9</v>
      </c>
      <c r="O9">
        <f>VLOOKUP($N9,ABM_RteName!$A:$D,3,FALSE)</f>
        <v/>
      </c>
      <c r="P9" s="7">
        <f>VLOOKUP(M9,$B:$C,2,FALSE)</f>
        <v/>
      </c>
      <c r="Q9" s="28">
        <f>P9/$P$38</f>
        <v/>
      </c>
      <c r="R9" s="3">
        <f>SUMIF(BoardingByRoute_ABM!$B:$B,N9,BoardingByRoute_ABM!$N:$N)</f>
        <v/>
      </c>
      <c r="S9" s="27">
        <f>R9/R$38</f>
        <v/>
      </c>
      <c r="T9">
        <f>VLOOKUP($N9,ABM_RteName!$A:$E,5,FALSE)</f>
        <v/>
      </c>
    </row>
    <row r="10">
      <c r="B10" t="n">
        <v>14</v>
      </c>
      <c r="C10" s="1">
        <f>VLOOKUP($B10,Aggregated_Transit_Final_V2!$B:$H,7,FALSE)</f>
        <v/>
      </c>
      <c r="D10" s="2" t="n"/>
      <c r="J10" s="1" t="n"/>
      <c r="K10" s="2" t="n"/>
      <c r="M10" t="n">
        <v>14</v>
      </c>
      <c r="N10" t="n">
        <v>14</v>
      </c>
      <c r="O10">
        <f>VLOOKUP($N10,ABM_RteName!$A:$D,3,FALSE)</f>
        <v/>
      </c>
      <c r="P10" s="7">
        <f>VLOOKUP(M10,$B:$C,2,FALSE)</f>
        <v/>
      </c>
      <c r="Q10" s="28">
        <f>P10/$P$38</f>
        <v/>
      </c>
      <c r="R10" s="3">
        <f>SUMIF(BoardingByRoute_ABM!$B:$B,N10,BoardingByRoute_ABM!$N:$N)</f>
        <v/>
      </c>
      <c r="S10" s="27">
        <f>R10/R$38</f>
        <v/>
      </c>
      <c r="T10">
        <f>VLOOKUP($N10,ABM_RteName!$A:$E,5,FALSE)</f>
        <v/>
      </c>
    </row>
    <row r="11">
      <c r="B11" t="n">
        <v>17</v>
      </c>
      <c r="C11" s="1">
        <f>VLOOKUP($B11,Aggregated_Transit_Final_V2!$B:$H,7,FALSE)</f>
        <v/>
      </c>
      <c r="D11" s="2" t="n"/>
      <c r="J11" s="1" t="n"/>
      <c r="K11" s="2" t="n"/>
      <c r="M11" t="n">
        <v>17</v>
      </c>
      <c r="N11" t="n">
        <v>17</v>
      </c>
      <c r="O11">
        <f>VLOOKUP($N11,ABM_RteName!$A:$D,3,FALSE)</f>
        <v/>
      </c>
      <c r="P11" s="7">
        <f>VLOOKUP(M11,$B:$C,2,FALSE)</f>
        <v/>
      </c>
      <c r="Q11" s="28">
        <f>P11/$P$38</f>
        <v/>
      </c>
      <c r="R11" s="3">
        <f>SUMIF(BoardingByRoute_ABM!$B:$B,N11,BoardingByRoute_ABM!$N:$N)</f>
        <v/>
      </c>
      <c r="S11" s="27">
        <f>R11/R$38</f>
        <v/>
      </c>
      <c r="T11">
        <f>VLOOKUP($N11,ABM_RteName!$A:$E,5,FALSE)</f>
        <v/>
      </c>
    </row>
    <row r="12">
      <c r="B12" t="n">
        <v>18</v>
      </c>
      <c r="C12" s="1">
        <f>VLOOKUP($B12,Aggregated_Transit_Final_V2!$B:$H,7,FALSE)</f>
        <v/>
      </c>
      <c r="D12" s="2" t="n"/>
      <c r="J12" s="1" t="n"/>
      <c r="K12" s="2" t="n"/>
      <c r="M12" t="n">
        <v>18</v>
      </c>
      <c r="N12" t="n">
        <v>18</v>
      </c>
      <c r="O12">
        <f>VLOOKUP($N12,ABM_RteName!$A:$D,3,FALSE)</f>
        <v/>
      </c>
      <c r="P12" s="7">
        <f>VLOOKUP(M12,$B:$C,2,FALSE)</f>
        <v/>
      </c>
      <c r="Q12" s="28">
        <f>P12/$P$38</f>
        <v/>
      </c>
      <c r="R12" s="3">
        <f>SUMIF(BoardingByRoute_ABM!$B:$B,N12,BoardingByRoute_ABM!$N:$N)</f>
        <v/>
      </c>
      <c r="S12" s="27">
        <f>R12/R$38</f>
        <v/>
      </c>
      <c r="T12">
        <f>VLOOKUP($N12,ABM_RteName!$A:$E,5,FALSE)</f>
        <v/>
      </c>
    </row>
    <row r="13">
      <c r="B13" t="n">
        <v>19</v>
      </c>
      <c r="C13" s="1">
        <f>VLOOKUP($B13,Aggregated_Transit_Final_V2!$B:$H,7,FALSE)</f>
        <v/>
      </c>
      <c r="D13" s="2" t="n"/>
      <c r="J13" s="1" t="n"/>
      <c r="K13" s="2" t="n"/>
      <c r="M13" t="n">
        <v>19</v>
      </c>
      <c r="N13" t="n">
        <v>19</v>
      </c>
      <c r="O13">
        <f>VLOOKUP($N13,ABM_RteName!$A:$D,3,FALSE)</f>
        <v/>
      </c>
      <c r="P13" s="7">
        <f>VLOOKUP(M13,$B:$C,2,FALSE)</f>
        <v/>
      </c>
      <c r="Q13" s="28">
        <f>P13/$P$38</f>
        <v/>
      </c>
      <c r="R13" s="3">
        <f>SUMIF(BoardingByRoute_ABM!$B:$B,N13,BoardingByRoute_ABM!$N:$N)</f>
        <v/>
      </c>
      <c r="S13" s="27">
        <f>R13/R$38</f>
        <v/>
      </c>
      <c r="T13">
        <f>VLOOKUP($N13,ABM_RteName!$A:$E,5,FALSE)</f>
        <v/>
      </c>
    </row>
    <row r="14">
      <c r="B14" t="n">
        <v>22</v>
      </c>
      <c r="C14" s="1">
        <f>VLOOKUP($B14,Aggregated_Transit_Final_V2!$B:$H,7,FALSE)</f>
        <v/>
      </c>
      <c r="D14" s="2" t="n"/>
      <c r="J14" s="1" t="n"/>
      <c r="K14" s="2" t="n"/>
      <c r="M14" t="n">
        <v>22</v>
      </c>
      <c r="N14" t="n">
        <v>22</v>
      </c>
      <c r="O14">
        <f>VLOOKUP($N14,ABM_RteName!$A:$D,3,FALSE)</f>
        <v/>
      </c>
      <c r="P14" s="7">
        <f>VLOOKUP(M14,$B:$C,2,FALSE)</f>
        <v/>
      </c>
      <c r="Q14" s="28">
        <f>P14/$P$38</f>
        <v/>
      </c>
      <c r="R14" s="3">
        <f>SUMIF(BoardingByRoute_ABM!$B:$B,N14,BoardingByRoute_ABM!$N:$N)</f>
        <v/>
      </c>
      <c r="S14" s="27">
        <f>R14/R$38</f>
        <v/>
      </c>
      <c r="T14">
        <f>VLOOKUP($N14,ABM_RteName!$A:$E,5,FALSE)</f>
        <v/>
      </c>
    </row>
    <row r="15">
      <c r="B15" t="n">
        <v>23</v>
      </c>
      <c r="C15" s="1">
        <f>VLOOKUP($B15,Aggregated_Transit_Final_V2!$B:$H,7,FALSE)</f>
        <v/>
      </c>
      <c r="D15" s="2" t="n"/>
      <c r="J15" s="1" t="n"/>
      <c r="K15" s="2" t="n"/>
      <c r="M15" t="n">
        <v>23</v>
      </c>
      <c r="N15" t="n">
        <v>23</v>
      </c>
      <c r="O15">
        <f>VLOOKUP($N15,ABM_RteName!$A:$D,3,FALSE)</f>
        <v/>
      </c>
      <c r="P15" s="7">
        <f>VLOOKUP(M15,$B:$C,2,FALSE)</f>
        <v/>
      </c>
      <c r="Q15" s="28">
        <f>P15/$P$38</f>
        <v/>
      </c>
      <c r="R15" s="3">
        <f>SUMIF(BoardingByRoute_ABM!$B:$B,N15,BoardingByRoute_ABM!$N:$N)</f>
        <v/>
      </c>
      <c r="S15" s="27">
        <f>R15/R$38</f>
        <v/>
      </c>
      <c r="T15">
        <f>VLOOKUP($N15,ABM_RteName!$A:$E,5,FALSE)</f>
        <v/>
      </c>
    </row>
    <row r="16">
      <c r="B16" t="n">
        <v>28</v>
      </c>
      <c r="C16" s="1">
        <f>VLOOKUP($B16,Aggregated_Transit_Final_V2!$B:$H,7,FALSE)</f>
        <v/>
      </c>
      <c r="D16" s="2" t="n"/>
      <c r="J16" s="1" t="n"/>
      <c r="K16" s="2" t="n"/>
      <c r="M16" t="n">
        <v>28</v>
      </c>
      <c r="N16" t="n">
        <v>28</v>
      </c>
      <c r="O16">
        <f>VLOOKUP($N16,ABM_RteName!$A:$D,3,FALSE)</f>
        <v/>
      </c>
      <c r="P16" s="7">
        <f>VLOOKUP(M16,$B:$C,2,FALSE)</f>
        <v/>
      </c>
      <c r="Q16" s="28">
        <f>P16/$P$38</f>
        <v/>
      </c>
      <c r="R16" s="3">
        <f>SUMIF(BoardingByRoute_ABM!$B:$B,N16,BoardingByRoute_ABM!$N:$N)</f>
        <v/>
      </c>
      <c r="S16" s="27">
        <f>R16/R$38</f>
        <v/>
      </c>
      <c r="T16">
        <f>VLOOKUP($N16,ABM_RteName!$A:$E,5,FALSE)</f>
        <v/>
      </c>
    </row>
    <row r="17">
      <c r="B17" t="n">
        <v>29</v>
      </c>
      <c r="C17" s="1">
        <f>VLOOKUP($B17,Aggregated_Transit_Final_V2!$B:$H,7,FALSE)</f>
        <v/>
      </c>
      <c r="D17" s="2" t="n"/>
      <c r="J17" s="1" t="n"/>
      <c r="K17" s="2" t="n"/>
      <c r="M17" t="n">
        <v>29</v>
      </c>
      <c r="N17" t="n">
        <v>29</v>
      </c>
      <c r="O17">
        <f>VLOOKUP($N17,ABM_RteName!$A:$D,3,FALSE)</f>
        <v/>
      </c>
      <c r="P17" s="7">
        <f>VLOOKUP(M17,$B:$C,2,FALSE)</f>
        <v/>
      </c>
      <c r="Q17" s="28">
        <f>P17/$P$38</f>
        <v/>
      </c>
      <c r="R17" s="3">
        <f>SUMIF(BoardingByRoute_ABM!$B:$B,N17,BoardingByRoute_ABM!$N:$N)</f>
        <v/>
      </c>
      <c r="S17" s="27">
        <f>R17/R$38</f>
        <v/>
      </c>
      <c r="T17">
        <f>VLOOKUP($N17,ABM_RteName!$A:$E,5,FALSE)</f>
        <v/>
      </c>
    </row>
    <row r="18">
      <c r="B18" t="n">
        <v>34</v>
      </c>
      <c r="C18" s="1">
        <f>VLOOKUP($B18,Aggregated_Transit_Final_V2!$B:$H,7,FALSE)</f>
        <v/>
      </c>
      <c r="D18" s="2" t="n"/>
      <c r="J18" s="1" t="n"/>
      <c r="K18" s="2" t="n"/>
      <c r="M18" t="n">
        <v>34</v>
      </c>
      <c r="N18" t="n">
        <v>34</v>
      </c>
      <c r="O18">
        <f>VLOOKUP($N18,ABM_RteName!$A:$D,3,FALSE)</f>
        <v/>
      </c>
      <c r="P18" s="7">
        <f>VLOOKUP(M18,$B:$C,2,FALSE)</f>
        <v/>
      </c>
      <c r="Q18" s="28">
        <f>P18/$P$38</f>
        <v/>
      </c>
      <c r="R18" s="3">
        <f>SUMIF(BoardingByRoute_ABM!$B:$B,N18,BoardingByRoute_ABM!$N:$N)</f>
        <v/>
      </c>
      <c r="S18" s="27">
        <f>R18/R$38</f>
        <v/>
      </c>
      <c r="T18">
        <f>VLOOKUP($N18,ABM_RteName!$A:$E,5,FALSE)</f>
        <v/>
      </c>
    </row>
    <row r="19">
      <c r="B19" t="n">
        <v>41</v>
      </c>
      <c r="C19" s="1">
        <f>VLOOKUP($B19,Aggregated_Transit_Final_V2!$B:$H,7,FALSE)</f>
        <v/>
      </c>
      <c r="D19" s="2" t="n"/>
      <c r="J19" s="1" t="n"/>
      <c r="K19" s="2" t="n"/>
      <c r="M19" t="n">
        <v>41</v>
      </c>
      <c r="N19" t="n">
        <v>41</v>
      </c>
      <c r="O19">
        <f>VLOOKUP($N19,ABM_RteName!$A:$D,3,FALSE)</f>
        <v/>
      </c>
      <c r="P19" s="7">
        <f>VLOOKUP(M19,$B:$C,2,FALSE)</f>
        <v/>
      </c>
      <c r="Q19" s="28">
        <f>P19/$P$38</f>
        <v/>
      </c>
      <c r="R19" s="3">
        <f>SUMIF(BoardingByRoute_ABM!$B:$B,N19,BoardingByRoute_ABM!$N:$N)</f>
        <v/>
      </c>
      <c r="S19" s="27">
        <f>R19/R$38</f>
        <v/>
      </c>
      <c r="T19">
        <f>VLOOKUP($N19,ABM_RteName!$A:$E,5,FALSE)</f>
        <v/>
      </c>
    </row>
    <row r="20">
      <c r="B20" t="n">
        <v>42</v>
      </c>
      <c r="C20" s="1">
        <f>VLOOKUP($B20,Aggregated_Transit_Final_V2!$B:$H,7,FALSE)</f>
        <v/>
      </c>
      <c r="D20" s="2" t="n"/>
      <c r="J20" s="1" t="n"/>
      <c r="K20" s="2" t="n"/>
      <c r="M20" t="n">
        <v>42</v>
      </c>
      <c r="N20" t="n">
        <v>42</v>
      </c>
      <c r="O20">
        <f>VLOOKUP($N20,ABM_RteName!$A:$D,3,FALSE)</f>
        <v/>
      </c>
      <c r="P20" s="7">
        <f>VLOOKUP(M20,$B:$C,2,FALSE)</f>
        <v/>
      </c>
      <c r="Q20" s="28">
        <f>P20/$P$38</f>
        <v/>
      </c>
      <c r="R20" s="3">
        <f>SUMIF(BoardingByRoute_ABM!$B:$B,N20,BoardingByRoute_ABM!$N:$N)</f>
        <v/>
      </c>
      <c r="S20" s="27">
        <f>R20/R$38</f>
        <v/>
      </c>
      <c r="T20">
        <f>VLOOKUP($N20,ABM_RteName!$A:$E,5,FALSE)</f>
        <v/>
      </c>
    </row>
    <row r="21">
      <c r="B21" t="n">
        <v>50</v>
      </c>
      <c r="C21" s="1">
        <f>VLOOKUP($B21,Aggregated_Transit_Final_V2!$B:$H,7,FALSE)</f>
        <v/>
      </c>
      <c r="D21" s="2" t="n"/>
      <c r="J21" s="1" t="n"/>
      <c r="K21" s="2" t="n"/>
      <c r="M21" t="n">
        <v>50</v>
      </c>
      <c r="N21" t="n">
        <v>50</v>
      </c>
      <c r="O21">
        <f>VLOOKUP($N21,ABM_RteName!$A:$D,3,FALSE)</f>
        <v/>
      </c>
      <c r="P21" s="7">
        <f>VLOOKUP(M21,$B:$C,2,FALSE)</f>
        <v/>
      </c>
      <c r="Q21" s="28">
        <f>P21/$P$38</f>
        <v/>
      </c>
      <c r="R21" s="3">
        <f>SUMIF(BoardingByRoute_ABM!$B:$B,N21,BoardingByRoute_ABM!$N:$N)</f>
        <v/>
      </c>
      <c r="S21" s="27">
        <f>R21/R$38</f>
        <v/>
      </c>
      <c r="T21">
        <f>VLOOKUP($N21,ABM_RteName!$A:$E,5,FALSE)</f>
        <v/>
      </c>
    </row>
    <row r="22">
      <c r="B22" t="n">
        <v>52</v>
      </c>
      <c r="C22" s="1">
        <f>VLOOKUP($B22,Aggregated_Transit_Final_V2!$B:$H,7,FALSE)</f>
        <v/>
      </c>
      <c r="D22" s="2" t="n"/>
      <c r="J22" s="1" t="n"/>
      <c r="K22" s="2" t="n"/>
      <c r="M22" t="n">
        <v>52</v>
      </c>
      <c r="N22" t="n">
        <v>52</v>
      </c>
      <c r="O22">
        <f>VLOOKUP($N22,ABM_RteName!$A:$D,3,FALSE)</f>
        <v/>
      </c>
      <c r="P22" s="7">
        <f>VLOOKUP(M22,$B:$C,2,FALSE)</f>
        <v/>
      </c>
      <c r="Q22" s="28">
        <f>P22/$P$38</f>
        <v/>
      </c>
      <c r="R22" s="3">
        <f>SUMIF(BoardingByRoute_ABM!$B:$B,N22,BoardingByRoute_ABM!$N:$N)</f>
        <v/>
      </c>
      <c r="S22" s="27">
        <f>R22/R$38</f>
        <v/>
      </c>
      <c r="T22">
        <f>VLOOKUP($N22,ABM_RteName!$A:$E,5,FALSE)</f>
        <v/>
      </c>
    </row>
    <row r="23">
      <c r="B23" t="n">
        <v>55</v>
      </c>
      <c r="C23" s="1">
        <f>VLOOKUP($B23,Aggregated_Transit_Final_V2!$B:$H,7,FALSE)</f>
        <v/>
      </c>
      <c r="D23" s="2" t="n"/>
      <c r="J23" s="1" t="n"/>
      <c r="K23" s="2" t="n"/>
      <c r="M23" t="n">
        <v>55</v>
      </c>
      <c r="N23" t="n">
        <v>55</v>
      </c>
      <c r="O23">
        <f>VLOOKUP($N23,ABM_RteName!$A:$D,3,FALSE)</f>
        <v/>
      </c>
      <c r="P23" s="7">
        <f>VLOOKUP(M23,$B:$C,2,FALSE)</f>
        <v/>
      </c>
      <c r="Q23" s="28">
        <f>P23/$P$38</f>
        <v/>
      </c>
      <c r="R23" s="3">
        <f>SUMIF(BoardingByRoute_ABM!$B:$B,N23,BoardingByRoute_ABM!$N:$N)</f>
        <v/>
      </c>
      <c r="S23" s="27">
        <f>R23/R$38</f>
        <v/>
      </c>
      <c r="T23">
        <f>VLOOKUP($N23,ABM_RteName!$A:$E,5,FALSE)</f>
        <v/>
      </c>
    </row>
    <row r="24">
      <c r="B24" t="n">
        <v>56</v>
      </c>
      <c r="C24" s="1">
        <f>VLOOKUP($B24,Aggregated_Transit_Final_V2!$B:$H,7,FALSE)</f>
        <v/>
      </c>
      <c r="D24" s="2" t="n"/>
      <c r="J24" s="1" t="n"/>
      <c r="K24" s="2" t="n"/>
      <c r="M24" t="n">
        <v>56</v>
      </c>
      <c r="N24" t="n">
        <v>56</v>
      </c>
      <c r="O24">
        <f>VLOOKUP($N24,ABM_RteName!$A:$D,3,FALSE)</f>
        <v/>
      </c>
      <c r="P24" s="7">
        <f>VLOOKUP(M24,$B:$C,2,FALSE)</f>
        <v/>
      </c>
      <c r="Q24" s="28">
        <f>P24/$P$38</f>
        <v/>
      </c>
      <c r="R24" s="3">
        <f>SUMIF(BoardingByRoute_ABM!$B:$B,N24,BoardingByRoute_ABM!$N:$N)</f>
        <v/>
      </c>
      <c r="S24" s="27">
        <f>R24/R$38</f>
        <v/>
      </c>
      <c r="T24">
        <f>VLOOKUP($N24,ABM_RteName!$A:$E,5,FALSE)</f>
        <v/>
      </c>
    </row>
    <row r="25">
      <c r="B25" t="n">
        <v>64</v>
      </c>
      <c r="C25" s="1">
        <f>VLOOKUP($B25,Aggregated_Transit_Final_V2!$B:$H,7,FALSE)</f>
        <v/>
      </c>
      <c r="D25" s="2" t="n"/>
      <c r="J25" s="1" t="n"/>
      <c r="K25" s="2" t="n"/>
      <c r="M25" t="n">
        <v>64</v>
      </c>
      <c r="N25" t="n">
        <v>64</v>
      </c>
      <c r="O25">
        <f>VLOOKUP($N25,ABM_RteName!$A:$D,3,FALSE)</f>
        <v/>
      </c>
      <c r="P25" s="7">
        <f>VLOOKUP(M25,$B:$C,2,FALSE)</f>
        <v/>
      </c>
      <c r="Q25" s="28">
        <f>P25/$P$38</f>
        <v/>
      </c>
      <c r="R25" s="3">
        <f>SUMIF(BoardingByRoute_ABM!$B:$B,N25,BoardingByRoute_ABM!$N:$N)</f>
        <v/>
      </c>
      <c r="S25" s="27">
        <f>R25/R$38</f>
        <v/>
      </c>
      <c r="T25">
        <f>VLOOKUP($N25,ABM_RteName!$A:$E,5,FALSE)</f>
        <v/>
      </c>
    </row>
    <row r="26">
      <c r="B26" t="n">
        <v>70</v>
      </c>
      <c r="C26" s="1">
        <f>VLOOKUP($B26,Aggregated_Transit_Final_V2!$B:$H,7,FALSE)</f>
        <v/>
      </c>
      <c r="D26" s="2" t="n"/>
      <c r="J26" s="1" t="n"/>
      <c r="K26" s="2" t="n"/>
      <c r="M26" t="n">
        <v>70</v>
      </c>
      <c r="N26" t="n">
        <v>70</v>
      </c>
      <c r="O26">
        <f>VLOOKUP($N26,ABM_RteName!$A:$D,3,FALSE)</f>
        <v/>
      </c>
      <c r="P26" s="7">
        <f>VLOOKUP(M26,$B:$C,2,FALSE)</f>
        <v/>
      </c>
      <c r="Q26" s="28">
        <f>P26/$P$38</f>
        <v/>
      </c>
      <c r="R26" s="3">
        <f>SUMIF(BoardingByRoute_ABM!$B:$B,N26,BoardingByRoute_ABM!$N:$N)</f>
        <v/>
      </c>
      <c r="S26" s="27">
        <f>R26/R$38</f>
        <v/>
      </c>
      <c r="T26">
        <f>VLOOKUP($N26,ABM_RteName!$A:$E,5,FALSE)</f>
        <v/>
      </c>
    </row>
    <row r="27">
      <c r="B27" t="n">
        <v>75</v>
      </c>
      <c r="C27" s="1">
        <f>VLOOKUP($B27,Aggregated_Transit_Final_V2!$B:$H,7,FALSE)</f>
        <v/>
      </c>
      <c r="D27" s="2" t="n"/>
      <c r="J27" s="1" t="n"/>
      <c r="K27" s="2" t="n"/>
      <c r="M27" t="n">
        <v>75</v>
      </c>
      <c r="N27" t="n">
        <v>75</v>
      </c>
      <c r="O27">
        <f>VLOOKUP($N27,ABM_RteName!$A:$D,3,FALSE)</f>
        <v/>
      </c>
      <c r="P27" s="7">
        <f>VLOOKUP(M27,$B:$C,2,FALSE)</f>
        <v/>
      </c>
      <c r="Q27" s="28">
        <f>P27/$P$38</f>
        <v/>
      </c>
      <c r="R27" s="3">
        <f>SUMIF(BoardingByRoute_ABM!$B:$B,N27,BoardingByRoute_ABM!$N:$N)</f>
        <v/>
      </c>
      <c r="S27" s="27">
        <f>R27/R$38</f>
        <v/>
      </c>
      <c r="T27">
        <f>VLOOKUP($N27,ABM_RteName!$A:$E,5,FALSE)</f>
        <v/>
      </c>
    </row>
    <row r="28">
      <c r="B28" t="n">
        <v>76</v>
      </c>
      <c r="C28" s="1">
        <f>VLOOKUP($B28,Aggregated_Transit_Final_V2!$B:$H,7,FALSE)</f>
        <v/>
      </c>
      <c r="D28" s="2" t="n"/>
      <c r="J28" s="1" t="n"/>
      <c r="K28" s="2" t="n"/>
      <c r="M28" t="n">
        <v>76</v>
      </c>
      <c r="N28" t="n">
        <v>76</v>
      </c>
      <c r="O28">
        <f>VLOOKUP($N28,ABM_RteName!$A:$D,3,FALSE)</f>
        <v/>
      </c>
      <c r="P28" s="7">
        <f>VLOOKUP(M28,$B:$C,2,FALSE)</f>
        <v/>
      </c>
      <c r="Q28" s="28">
        <f>P28/$P$38</f>
        <v/>
      </c>
      <c r="R28" s="3">
        <f>SUMIF(BoardingByRoute_ABM!$B:$B,N28,BoardingByRoute_ABM!$N:$N)</f>
        <v/>
      </c>
      <c r="S28" s="27">
        <f>R28/R$38</f>
        <v/>
      </c>
      <c r="T28">
        <f>VLOOKUP($N28,ABM_RteName!$A:$E,5,FALSE)</f>
        <v/>
      </c>
    </row>
    <row r="29">
      <c r="B29" t="n">
        <v>77</v>
      </c>
      <c r="C29" s="1">
        <f>VLOOKUP($B29,Aggregated_Transit_Final_V2!$B:$H,7,FALSE)</f>
        <v/>
      </c>
      <c r="D29" s="2" t="n"/>
      <c r="J29" s="1" t="n"/>
      <c r="K29" s="2" t="n"/>
      <c r="M29" t="n">
        <v>77</v>
      </c>
      <c r="N29" t="n">
        <v>77</v>
      </c>
      <c r="O29">
        <f>VLOOKUP($N29,ABM_RteName!$A:$D,3,FALSE)</f>
        <v/>
      </c>
      <c r="P29" s="7">
        <f>VLOOKUP(M29,$B:$C,2,FALSE)</f>
        <v/>
      </c>
      <c r="Q29" s="28">
        <f>P29/$P$38</f>
        <v/>
      </c>
      <c r="R29" s="3">
        <f>SUMIF(BoardingByRoute_ABM!$B:$B,N29,BoardingByRoute_ABM!$N:$N)</f>
        <v/>
      </c>
      <c r="S29" s="27">
        <f>R29/R$38</f>
        <v/>
      </c>
      <c r="T29">
        <f>VLOOKUP($N29,ABM_RteName!$A:$E,5,FALSE)</f>
        <v/>
      </c>
    </row>
    <row r="30">
      <c r="B30" t="n">
        <v>79</v>
      </c>
      <c r="C30" s="1">
        <f>VLOOKUP($B30,Aggregated_Transit_Final_V2!$B:$H,7,FALSE)</f>
        <v/>
      </c>
      <c r="D30" s="2" t="n"/>
      <c r="J30" s="1" t="n"/>
      <c r="K30" s="2" t="n"/>
      <c r="M30" t="n">
        <v>79</v>
      </c>
      <c r="N30" t="n">
        <v>79</v>
      </c>
      <c r="O30">
        <f>VLOOKUP($N30,ABM_RteName!$A:$D,3,FALSE)</f>
        <v/>
      </c>
      <c r="P30" s="7">
        <f>VLOOKUP(M30,$B:$C,2,FALSE)</f>
        <v/>
      </c>
      <c r="Q30" s="28">
        <f>P30/$P$38</f>
        <v/>
      </c>
      <c r="R30" s="3">
        <f>SUMIF(BoardingByRoute_ABM!$B:$B,N30,BoardingByRoute_ABM!$N:$N)</f>
        <v/>
      </c>
      <c r="S30" s="27">
        <f>R30/R$38</f>
        <v/>
      </c>
      <c r="T30">
        <f>VLOOKUP($N30,ABM_RteName!$A:$E,5,FALSE)</f>
        <v/>
      </c>
    </row>
    <row r="31">
      <c r="B31" t="n">
        <v>84</v>
      </c>
      <c r="C31" s="1">
        <f>VLOOKUP($B31,Aggregated_Transit_Final_V2!$B:$H,7,FALSE)</f>
        <v/>
      </c>
      <c r="D31" s="2" t="n"/>
      <c r="J31" s="1" t="n"/>
      <c r="K31" s="2" t="n"/>
      <c r="M31" t="n">
        <v>84</v>
      </c>
      <c r="N31" t="n">
        <v>84</v>
      </c>
      <c r="O31">
        <f>VLOOKUP($N31,ABM_RteName!$A:$D,3,FALSE)</f>
        <v/>
      </c>
      <c r="P31" s="7">
        <f>VLOOKUP(M31,$B:$C,2,FALSE)</f>
        <v/>
      </c>
      <c r="Q31" s="28">
        <f>P31/$P$38</f>
        <v/>
      </c>
      <c r="R31" s="3">
        <f>SUMIF(BoardingByRoute_ABM!$B:$B,N31,BoardingByRoute_ABM!$N:$N)</f>
        <v/>
      </c>
      <c r="S31" s="27">
        <f>R31/R$38</f>
        <v/>
      </c>
      <c r="T31">
        <f>VLOOKUP($N31,ABM_RteName!$A:$E,5,FALSE)</f>
        <v/>
      </c>
    </row>
    <row r="32">
      <c r="B32" t="n">
        <v>86</v>
      </c>
      <c r="C32" s="1">
        <f>VLOOKUP($B32,Aggregated_Transit_Final_V2!$B:$H,7,FALSE)</f>
        <v/>
      </c>
      <c r="D32" s="2" t="n"/>
      <c r="J32" s="1" t="n"/>
      <c r="K32" s="2" t="n"/>
      <c r="M32" t="n">
        <v>86</v>
      </c>
      <c r="N32" t="n">
        <v>86</v>
      </c>
      <c r="O32">
        <f>VLOOKUP($N32,ABM_RteName!$A:$D,3,FALSE)</f>
        <v/>
      </c>
      <c r="P32" s="7">
        <f>VLOOKUP(M32,$B:$C,2,FALSE)</f>
        <v/>
      </c>
      <c r="Q32" s="28">
        <f>P32/$P$38</f>
        <v/>
      </c>
      <c r="R32" s="3">
        <f>SUMIF(BoardingByRoute_ABM!$B:$B,N32,BoardingByRoute_ABM!$N:$N)</f>
        <v/>
      </c>
      <c r="S32" s="27">
        <f>R32/R$38</f>
        <v/>
      </c>
      <c r="T32">
        <f>VLOOKUP($N32,ABM_RteName!$A:$E,5,FALSE)</f>
        <v/>
      </c>
    </row>
    <row r="33">
      <c r="B33" t="n">
        <v>87</v>
      </c>
      <c r="C33" s="1">
        <f>VLOOKUP($B33,Aggregated_Transit_Final_V2!$B:$H,7,FALSE)</f>
        <v/>
      </c>
      <c r="D33" s="2" t="n"/>
      <c r="J33" s="1" t="n"/>
      <c r="K33" s="2" t="n"/>
      <c r="M33" t="n">
        <v>87</v>
      </c>
      <c r="N33" t="n">
        <v>87</v>
      </c>
      <c r="O33">
        <f>VLOOKUP($N33,ABM_RteName!$A:$D,3,FALSE)</f>
        <v/>
      </c>
      <c r="P33" s="7">
        <f>VLOOKUP(M33,$B:$C,2,FALSE)</f>
        <v/>
      </c>
      <c r="Q33" s="28">
        <f>P33/$P$38</f>
        <v/>
      </c>
      <c r="R33" s="3">
        <f>SUMIF(BoardingByRoute_ABM!$B:$B,N33,BoardingByRoute_ABM!$N:$N)</f>
        <v/>
      </c>
      <c r="S33" s="27">
        <f>R33/R$38</f>
        <v/>
      </c>
      <c r="T33">
        <f>VLOOKUP($N33,ABM_RteName!$A:$E,5,FALSE)</f>
        <v/>
      </c>
    </row>
    <row r="34">
      <c r="B34" t="n">
        <v>89</v>
      </c>
      <c r="C34" s="1">
        <f>VLOOKUP($B34,Aggregated_Transit_Final_V2!$B:$H,7,FALSE)</f>
        <v/>
      </c>
      <c r="D34" s="2" t="n"/>
      <c r="J34" s="1" t="n"/>
      <c r="K34" s="2" t="n"/>
      <c r="M34" t="n">
        <v>89</v>
      </c>
      <c r="N34" t="n">
        <v>89</v>
      </c>
      <c r="O34">
        <f>VLOOKUP($N34,ABM_RteName!$A:$D,3,FALSE)</f>
        <v/>
      </c>
      <c r="P34" s="7">
        <f>VLOOKUP(M34,$B:$C,2,FALSE)</f>
        <v/>
      </c>
      <c r="Q34" s="28">
        <f>P34/$P$38</f>
        <v/>
      </c>
      <c r="R34" s="3">
        <f>SUMIF(BoardingByRoute_ABM!$B:$B,N34,BoardingByRoute_ABM!$N:$N)</f>
        <v/>
      </c>
      <c r="S34" s="27">
        <f>R34/R$38</f>
        <v/>
      </c>
      <c r="T34">
        <f>VLOOKUP($N34,ABM_RteName!$A:$E,5,FALSE)</f>
        <v/>
      </c>
    </row>
    <row r="35">
      <c r="B35" t="n">
        <v>90</v>
      </c>
      <c r="C35" s="1">
        <f>VLOOKUP($B35,Aggregated_Transit_Final_V2!$B:$H,7,FALSE)</f>
        <v/>
      </c>
      <c r="D35" s="2" t="n"/>
      <c r="J35" s="1" t="n"/>
      <c r="K35" s="2" t="n"/>
      <c r="M35" t="n">
        <v>90</v>
      </c>
      <c r="N35" t="n">
        <v>90</v>
      </c>
      <c r="O35">
        <f>VLOOKUP($N35,ABM_RteName!$A:$D,3,FALSE)</f>
        <v/>
      </c>
      <c r="P35" s="7">
        <f>VLOOKUP(M35,$B:$C,2,FALSE)</f>
        <v/>
      </c>
      <c r="Q35" s="28">
        <f>P35/$P$38</f>
        <v/>
      </c>
      <c r="R35" s="3">
        <f>SUMIF(BoardingByRoute_ABM!$B:$B,N35,BoardingByRoute_ABM!$N:$N)</f>
        <v/>
      </c>
      <c r="S35" s="27">
        <f>R35/R$38</f>
        <v/>
      </c>
      <c r="T35">
        <f>VLOOKUP($N35,ABM_RteName!$A:$E,5,FALSE)</f>
        <v/>
      </c>
    </row>
    <row r="36">
      <c r="B36" t="n">
        <v>93</v>
      </c>
      <c r="C36" s="1">
        <f>VLOOKUP($B36,Aggregated_Transit_Final_V2!$B:$H,7,FALSE)</f>
        <v/>
      </c>
      <c r="D36" s="2" t="n"/>
      <c r="J36" s="1" t="n"/>
      <c r="K36" s="2" t="n"/>
      <c r="M36" t="n">
        <v>93</v>
      </c>
      <c r="N36" t="n">
        <v>93</v>
      </c>
      <c r="O36">
        <f>VLOOKUP($N36,ABM_RteName!$A:$D,3,FALSE)</f>
        <v/>
      </c>
      <c r="P36" s="7">
        <f>VLOOKUP(M36,$B:$C,2,FALSE)</f>
        <v/>
      </c>
      <c r="Q36" s="28">
        <f>P36/$P$38</f>
        <v/>
      </c>
      <c r="R36" s="3">
        <f>SUMIF(BoardingByRoute_ABM!$B:$B,N36,BoardingByRoute_ABM!$N:$N)</f>
        <v/>
      </c>
      <c r="S36" s="27">
        <f>R36/R$38</f>
        <v/>
      </c>
      <c r="T36">
        <f>VLOOKUP($N36,ABM_RteName!$A:$E,5,FALSE)</f>
        <v/>
      </c>
    </row>
    <row r="37">
      <c r="B37" t="n">
        <v>95</v>
      </c>
      <c r="C37" s="1">
        <f>VLOOKUP($B37,Aggregated_Transit_Final_V2!$B:$H,7,FALSE)</f>
        <v/>
      </c>
      <c r="D37" s="2" t="n"/>
      <c r="J37" s="1" t="n"/>
      <c r="K37" s="2" t="n"/>
      <c r="M37" t="n">
        <v>95</v>
      </c>
      <c r="N37" t="n">
        <v>95</v>
      </c>
      <c r="O37">
        <f>VLOOKUP($N37,ABM_RteName!$A:$D,3,FALSE)</f>
        <v/>
      </c>
      <c r="P37" s="7">
        <f>VLOOKUP(M37,$B:$C,2,FALSE)</f>
        <v/>
      </c>
      <c r="Q37" s="28">
        <f>P37/$P$38</f>
        <v/>
      </c>
      <c r="R37" s="3">
        <f>SUMIF(BoardingByRoute_ABM!$B:$B,N37,BoardingByRoute_ABM!$N:$N)</f>
        <v/>
      </c>
      <c r="S37" s="27">
        <f>R37/R$38</f>
        <v/>
      </c>
      <c r="T37">
        <f>VLOOKUP($N37,ABM_RteName!$A:$E,5,FALSE)</f>
        <v/>
      </c>
    </row>
    <row r="38">
      <c r="C38" s="1" t="n"/>
      <c r="D38" s="2" t="n"/>
      <c r="K38" s="2" t="n"/>
      <c r="M38" s="63" t="inlineStr">
        <is>
          <t>TOTAL</t>
        </is>
      </c>
      <c r="N38" s="56" t="n"/>
      <c r="O38" s="56" t="n"/>
      <c r="P38" s="70">
        <f>SUM(P4:P37)</f>
        <v/>
      </c>
      <c r="Q38" s="71">
        <f>SUM(Q4:Q37)</f>
        <v/>
      </c>
      <c r="R38" s="18">
        <f>SUM(R4:R37)</f>
        <v/>
      </c>
      <c r="S38" s="72">
        <f>SUM(S4:S37)</f>
        <v/>
      </c>
      <c r="T38" s="67" t="n"/>
    </row>
    <row r="39">
      <c r="K39" s="2" t="n"/>
      <c r="M39" s="66" t="n"/>
      <c r="N39" s="66" t="n"/>
      <c r="O39" s="67" t="n"/>
      <c r="P39" s="68" t="n"/>
      <c r="Q39" s="69" t="n"/>
      <c r="R39" s="68" t="n"/>
      <c r="S39" s="69" t="n"/>
      <c r="T39" s="67" t="n"/>
    </row>
    <row r="40">
      <c r="K40" s="2" t="n"/>
      <c r="M40" s="67" t="n"/>
      <c r="N40" s="67" t="n"/>
      <c r="O40" s="67" t="n"/>
      <c r="P40" s="67" t="n"/>
      <c r="Q40" s="67" t="n"/>
      <c r="R40" s="67" t="n"/>
      <c r="S40" s="67" t="n"/>
      <c r="T40" s="67" t="n"/>
    </row>
    <row r="41">
      <c r="C41" s="1" t="n"/>
      <c r="D41" s="2" t="n"/>
      <c r="K41" s="2" t="n"/>
      <c r="M41" s="67" t="n"/>
      <c r="N41" s="67" t="n"/>
      <c r="O41" s="67" t="n"/>
      <c r="P41" s="67" t="n"/>
      <c r="Q41" s="67" t="n"/>
      <c r="R41" s="67" t="n"/>
      <c r="S41" s="67" t="n"/>
      <c r="T41" s="67" t="n"/>
    </row>
    <row r="42">
      <c r="C42" s="1" t="n"/>
      <c r="D42" s="2" t="n"/>
      <c r="K42" s="2" t="n"/>
    </row>
    <row r="43">
      <c r="C43" s="1" t="n"/>
      <c r="D43" s="2" t="n"/>
      <c r="K43" s="2" t="n"/>
      <c r="M43" s="26" t="n"/>
    </row>
    <row r="44">
      <c r="D44" s="2" t="n"/>
      <c r="K44" s="2" t="n"/>
      <c r="O44" s="26" t="inlineStr">
        <is>
          <t>Following stations are replaced with '301'</t>
        </is>
      </c>
    </row>
    <row r="45">
      <c r="K45" s="2" t="n"/>
      <c r="O45" s="26" t="inlineStr">
        <is>
          <t>DON</t>
        </is>
      </c>
      <c r="P45" t="n">
        <v>301</v>
      </c>
    </row>
    <row r="46">
      <c r="K46" s="2" t="n"/>
      <c r="O46" s="26" t="inlineStr">
        <is>
          <t>HER</t>
        </is>
      </c>
      <c r="P46" t="n">
        <v>301</v>
      </c>
    </row>
    <row r="47">
      <c r="K47" s="2" t="n"/>
      <c r="O47" s="26" t="inlineStr">
        <is>
          <t>JUL</t>
        </is>
      </c>
      <c r="P47" t="n">
        <v>301</v>
      </c>
    </row>
    <row r="48">
      <c r="D48" s="20" t="n"/>
      <c r="K48" s="2" t="n"/>
      <c r="O48" s="26" t="inlineStr">
        <is>
          <t>LEB</t>
        </is>
      </c>
      <c r="P48" t="n">
        <v>301</v>
      </c>
    </row>
    <row r="49">
      <c r="K49" s="2" t="n"/>
      <c r="O49" s="26" t="inlineStr">
        <is>
          <t>MAR</t>
        </is>
      </c>
      <c r="P49" t="n">
        <v>301</v>
      </c>
    </row>
    <row r="50">
      <c r="K50" s="2" t="n"/>
      <c r="O50" t="inlineStr">
        <is>
          <t>RIV</t>
        </is>
      </c>
      <c r="P50" t="n">
        <v>301</v>
      </c>
    </row>
    <row r="51">
      <c r="O51" s="26" t="inlineStr">
        <is>
          <t>18X</t>
        </is>
      </c>
      <c r="P51" t="n">
        <v>18</v>
      </c>
    </row>
    <row r="53">
      <c r="J53" s="1" t="n"/>
      <c r="L53" s="17" t="n"/>
    </row>
    <row r="54">
      <c r="A54" t="inlineStr">
        <is>
          <t>Boardings by transit sub-mode</t>
        </is>
      </c>
    </row>
    <row r="55">
      <c r="B55" s="16" t="n"/>
      <c r="C55" s="117" t="inlineStr">
        <is>
          <t>OBS</t>
        </is>
      </c>
      <c r="D55" s="116" t="n"/>
      <c r="E55" s="124" t="inlineStr">
        <is>
          <t>ABM</t>
        </is>
      </c>
      <c r="F55" s="116" t="n"/>
      <c r="G55" s="124" t="inlineStr">
        <is>
          <t>Sub-mode Constant (DaySim)</t>
        </is>
      </c>
      <c r="H55" s="116" t="n"/>
      <c r="I55" s="125" t="n"/>
    </row>
    <row r="56">
      <c r="B56" s="5" t="inlineStr">
        <is>
          <t>Transit sub-mode</t>
        </is>
      </c>
      <c r="C56" s="21" t="inlineStr">
        <is>
          <t>Count</t>
        </is>
      </c>
      <c r="D56" s="21" t="inlineStr">
        <is>
          <t>Percentage</t>
        </is>
      </c>
      <c r="E56" s="23" t="inlineStr">
        <is>
          <t>Count</t>
        </is>
      </c>
      <c r="F56" s="23" t="inlineStr">
        <is>
          <t>Percentage</t>
        </is>
      </c>
      <c r="G56" s="23" t="inlineStr">
        <is>
          <t>Utils</t>
        </is>
      </c>
      <c r="H56" s="23" t="inlineStr">
        <is>
          <t>Mins</t>
        </is>
      </c>
      <c r="I56" s="22" t="n"/>
      <c r="J56" s="22" t="n"/>
    </row>
    <row r="57">
      <c r="B57" t="inlineStr">
        <is>
          <t>Local Bus</t>
        </is>
      </c>
      <c r="C57" s="7">
        <f>25297-BoardingByRoute_All!E48</f>
        <v/>
      </c>
      <c r="D57" s="8">
        <f>C57/$C$61</f>
        <v/>
      </c>
      <c r="E57" s="3">
        <f>IF(ISNUMBER(TrnStat.asc!J26),TrnStat.asc!J26,CONCATENATE(LEFT(TrnStat.asc!J26,2),RIGHT(TrnStat.asc!J26,3)))</f>
        <v/>
      </c>
      <c r="F57" s="9">
        <f>E57/E$61</f>
        <v/>
      </c>
      <c r="G57" s="33" t="n">
        <v>-0.1</v>
      </c>
      <c r="H57" s="35">
        <f>G57/0.03</f>
        <v/>
      </c>
      <c r="I57" s="1" t="n"/>
    </row>
    <row r="58">
      <c r="B58" t="inlineStr">
        <is>
          <t>Express Bus</t>
        </is>
      </c>
      <c r="C58" s="7" t="n">
        <v>2122</v>
      </c>
      <c r="D58" s="8">
        <f>C58/$C$61</f>
        <v/>
      </c>
      <c r="E58" s="3">
        <f>IF(ISNUMBER(TrnStat.asc!K27),TrnStat.asc!K27,CONCATENATE(LEFT(TrnStat.asc!K27,2),RIGHT(TrnStat.asc!K27,3)))+IF(ISNUMBER(TrnStat.asc!K28),TrnStat.asc!K28,CONCATENATE(LEFT(TrnStat.asc!K28,2),RIGHT(TrnStat.asc!K28,3)))</f>
        <v/>
      </c>
      <c r="F58" s="9">
        <f>E58/E$61</f>
        <v/>
      </c>
      <c r="G58" s="33" t="n">
        <v>0.45</v>
      </c>
      <c r="H58" s="35">
        <f>G58/0.03</f>
        <v/>
      </c>
    </row>
    <row r="59">
      <c r="B59" t="inlineStr">
        <is>
          <t>BRT</t>
        </is>
      </c>
      <c r="C59" s="7" t="n">
        <v>2660</v>
      </c>
      <c r="D59" s="8">
        <f>C59/$C$61</f>
        <v/>
      </c>
      <c r="E59" s="3">
        <f>IF(ISNUMBER(TrnStat.asc!K29),TrnStat.asc!K29,CONCATENATE(LEFT(TrnStat.asc!K29,2),RIGHT(TrnStat.asc!K29,3)))</f>
        <v/>
      </c>
      <c r="F59" s="9">
        <f>E59/E$61</f>
        <v/>
      </c>
      <c r="G59" s="33" t="n">
        <v>-0.1</v>
      </c>
      <c r="H59" s="35">
        <f>G59/0.03</f>
        <v/>
      </c>
    </row>
    <row r="60">
      <c r="B60" s="120" t="inlineStr">
        <is>
          <t>Commuter Rail</t>
        </is>
      </c>
      <c r="C60" s="11">
        <f>1243+BoardingByRoute_All!E48</f>
        <v/>
      </c>
      <c r="D60" s="8">
        <f>C60/$C$61</f>
        <v/>
      </c>
      <c r="E60" s="3">
        <f>IF(ISNUMBER(TrnStat.asc!J30),TrnStat.asc!J30,CONCATENATE(LEFT(TrnStat.asc!J30,2),RIGHT(TrnStat.asc!J30,3)))+IF(ISNUMBER(TrnStat.asc!J31),TrnStat.asc!J31,CONCATENATE(LEFT(TrnStat.asc!J31,2),RIGHT(TrnStat.asc!J31,3)))</f>
        <v/>
      </c>
      <c r="F60" s="12">
        <f>E60/E$61</f>
        <v/>
      </c>
      <c r="G60" s="33" t="n">
        <v>1.3</v>
      </c>
      <c r="H60" s="35">
        <f>G60/0.03</f>
        <v/>
      </c>
    </row>
    <row r="61">
      <c r="B61" s="5" t="inlineStr">
        <is>
          <t>Total</t>
        </is>
      </c>
      <c r="C61" s="13" t="n">
        <v>31322</v>
      </c>
      <c r="D61" s="64">
        <f>C61/$C$61</f>
        <v/>
      </c>
      <c r="E61" s="14">
        <f>SUM(E57:E60)</f>
        <v/>
      </c>
      <c r="F61" s="15" t="n">
        <v>1</v>
      </c>
      <c r="G61" s="34" t="n"/>
      <c r="H61" s="19" t="n"/>
      <c r="I61" s="32" t="n"/>
    </row>
    <row r="63">
      <c r="B63" t="inlineStr">
        <is>
          <t>Transfer Rate</t>
        </is>
      </c>
      <c r="C63" s="8" t="n">
        <v>0.596</v>
      </c>
      <c r="E63" s="9">
        <f>-(TrnStat.asc!D46)</f>
        <v/>
      </c>
    </row>
  </sheetData>
  <mergeCells count="7">
    <mergeCell ref="R2:S2"/>
    <mergeCell ref="G55:H55"/>
    <mergeCell ref="C55:D55"/>
    <mergeCell ref="E55:F55"/>
    <mergeCell ref="J2:K2"/>
    <mergeCell ref="P2:Q2"/>
    <mergeCell ref="I55:J55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H35" sqref="H35"/>
    </sheetView>
  </sheetViews>
  <sheetFormatPr baseColWidth="8" defaultColWidth="9.1328125" defaultRowHeight="14.25"/>
  <cols>
    <col width="14.73046875" bestFit="1" customWidth="1" style="126" min="1" max="1"/>
    <col width="15" bestFit="1" customWidth="1" style="126" min="2" max="2"/>
    <col width="9.73046875" bestFit="1" customWidth="1" style="126" min="3" max="3"/>
    <col width="3.86328125" bestFit="1" customWidth="1" style="126" min="4" max="4"/>
    <col width="9.73046875" bestFit="1" customWidth="1" style="126" min="5" max="5"/>
    <col width="12.1328125" bestFit="1" customWidth="1" style="126" min="6" max="6"/>
    <col width="9.59765625" bestFit="1" customWidth="1" style="126" min="7" max="8"/>
    <col width="9.1328125" customWidth="1" style="126" min="9" max="9"/>
  </cols>
  <sheetData>
    <row r="1">
      <c r="A1" t="inlineStr">
        <is>
          <t>RouteNumChar</t>
        </is>
      </c>
      <c r="B1" t="inlineStr">
        <is>
          <t>RouteNumNum</t>
        </is>
      </c>
      <c r="C1" t="inlineStr">
        <is>
          <t>RouteObs</t>
        </is>
      </c>
      <c r="D1" t="inlineStr">
        <is>
          <t>ON</t>
        </is>
      </c>
      <c r="E1" t="inlineStr">
        <is>
          <t>ObsName</t>
        </is>
      </c>
      <c r="F1" t="inlineStr">
        <is>
          <t>ObsOn</t>
        </is>
      </c>
      <c r="G1" t="inlineStr">
        <is>
          <t>ObsOff</t>
        </is>
      </c>
      <c r="H1" t="inlineStr">
        <is>
          <t>boarding</t>
        </is>
      </c>
    </row>
    <row r="2">
      <c r="A2" t="n">
        <v>3</v>
      </c>
      <c r="B2" t="n">
        <v>3</v>
      </c>
      <c r="F2" s="65" t="n"/>
      <c r="G2" s="65" t="n"/>
      <c r="H2" s="65">
        <f>IFERROR(VLOOKUP(B2,Obs_Ridership!$A:$G,7,FALSE),"")</f>
        <v/>
      </c>
    </row>
    <row r="3">
      <c r="A3" t="n">
        <v>4</v>
      </c>
      <c r="B3" t="n">
        <v>4</v>
      </c>
      <c r="F3" s="65" t="n"/>
      <c r="G3" s="65" t="n"/>
      <c r="H3" s="65">
        <f>IFERROR(VLOOKUP(B3,Obs_Ridership!$A:$G,7,FALSE),"")</f>
        <v/>
      </c>
    </row>
    <row r="4">
      <c r="A4" t="n">
        <v>6</v>
      </c>
      <c r="B4" t="n">
        <v>6</v>
      </c>
      <c r="F4" s="65" t="n"/>
      <c r="G4" s="65" t="n"/>
      <c r="H4" s="65">
        <f>IFERROR(VLOOKUP(B4,Obs_Ridership!$A:$G,7,FALSE),"")</f>
        <v/>
      </c>
    </row>
    <row r="5">
      <c r="A5" t="n">
        <v>7</v>
      </c>
      <c r="B5" t="n">
        <v>7</v>
      </c>
      <c r="F5" s="65" t="n"/>
      <c r="G5" s="65" t="n"/>
      <c r="H5" s="65">
        <f>IFERROR(VLOOKUP(B5,Obs_Ridership!$A:$G,7,FALSE),"")</f>
        <v/>
      </c>
    </row>
    <row r="6">
      <c r="A6" t="n">
        <v>8</v>
      </c>
      <c r="B6" t="n">
        <v>8</v>
      </c>
      <c r="F6" s="65" t="n"/>
      <c r="G6" s="65" t="n"/>
      <c r="H6" s="65">
        <f>IFERROR(VLOOKUP(B6,Obs_Ridership!$A:$G,7,FALSE),"")</f>
        <v/>
      </c>
    </row>
    <row r="7">
      <c r="A7" t="n">
        <v>9</v>
      </c>
      <c r="B7" t="n">
        <v>9</v>
      </c>
      <c r="F7" s="65" t="n"/>
      <c r="G7" s="65" t="n"/>
      <c r="H7" s="65">
        <f>IFERROR(VLOOKUP(B7,Obs_Ridership!$A:$G,7,FALSE),"")</f>
        <v/>
      </c>
    </row>
    <row r="8">
      <c r="A8" t="n">
        <v>14</v>
      </c>
      <c r="B8" t="n">
        <v>14</v>
      </c>
      <c r="F8" s="65" t="n"/>
      <c r="G8" s="65" t="n"/>
      <c r="H8" s="65">
        <f>IFERROR(VLOOKUP(B8,Obs_Ridership!$A:$G,7,FALSE),"")</f>
        <v/>
      </c>
    </row>
    <row r="9">
      <c r="A9" t="n">
        <v>17</v>
      </c>
      <c r="B9" t="n">
        <v>17</v>
      </c>
      <c r="F9" s="65" t="n"/>
      <c r="G9" s="65" t="n"/>
      <c r="H9" s="65">
        <f>IFERROR(VLOOKUP(B9,Obs_Ridership!$A:$G,7,FALSE),"")</f>
        <v/>
      </c>
    </row>
    <row r="10">
      <c r="A10" t="n">
        <v>18</v>
      </c>
      <c r="B10" t="n">
        <v>18</v>
      </c>
      <c r="F10" s="65" t="n"/>
      <c r="G10" s="65" t="n"/>
      <c r="H10" s="65">
        <f>IFERROR(VLOOKUP(B10,Obs_Ridership!$A:$G,7,FALSE),"")</f>
        <v/>
      </c>
    </row>
    <row r="11">
      <c r="A11" t="n">
        <v>19</v>
      </c>
      <c r="B11" t="n">
        <v>19</v>
      </c>
      <c r="F11" s="65" t="n"/>
      <c r="G11" s="65" t="n"/>
      <c r="H11" s="65">
        <f>IFERROR(VLOOKUP(B11,Obs_Ridership!$A:$G,7,FALSE),"")</f>
        <v/>
      </c>
    </row>
    <row r="12">
      <c r="A12" t="n">
        <v>22</v>
      </c>
      <c r="B12" t="n">
        <v>22</v>
      </c>
      <c r="F12" s="65" t="n"/>
      <c r="G12" s="65" t="n"/>
      <c r="H12" s="65">
        <f>IFERROR(VLOOKUP(B12,Obs_Ridership!$A:$G,7,FALSE),"")</f>
        <v/>
      </c>
    </row>
    <row r="13">
      <c r="A13" t="n">
        <v>23</v>
      </c>
      <c r="B13" t="n">
        <v>23</v>
      </c>
      <c r="F13" s="65" t="n"/>
      <c r="G13" s="65" t="n"/>
      <c r="H13" s="65">
        <f>IFERROR(VLOOKUP(B13,Obs_Ridership!$A:$G,7,FALSE),"")</f>
        <v/>
      </c>
    </row>
    <row r="14">
      <c r="A14" t="n">
        <v>28</v>
      </c>
      <c r="B14" t="n">
        <v>28</v>
      </c>
      <c r="F14" s="65" t="n"/>
      <c r="G14" s="65" t="n"/>
      <c r="H14" s="65">
        <f>IFERROR(VLOOKUP(B14,Obs_Ridership!$A:$G,7,FALSE),"")</f>
        <v/>
      </c>
    </row>
    <row r="15">
      <c r="A15" t="n">
        <v>29</v>
      </c>
      <c r="B15" t="n">
        <v>29</v>
      </c>
      <c r="F15" s="65" t="n"/>
      <c r="G15" s="65" t="n"/>
      <c r="H15" s="65">
        <f>IFERROR(VLOOKUP(B15,Obs_Ridership!$A:$G,7,FALSE),"")</f>
        <v/>
      </c>
    </row>
    <row r="16">
      <c r="A16" t="n">
        <v>34</v>
      </c>
      <c r="B16" t="n">
        <v>34</v>
      </c>
      <c r="F16" s="65" t="n"/>
      <c r="G16" s="65" t="n"/>
      <c r="H16" s="65">
        <f>IFERROR(VLOOKUP(B16,Obs_Ridership!$A:$G,7,FALSE),"")</f>
        <v/>
      </c>
    </row>
    <row r="17">
      <c r="A17" t="n">
        <v>41</v>
      </c>
      <c r="B17" t="n">
        <v>41</v>
      </c>
      <c r="F17" s="65" t="n"/>
      <c r="G17" s="65" t="n"/>
      <c r="H17" s="65">
        <f>IFERROR(VLOOKUP(B17,Obs_Ridership!$A:$G,7,FALSE),"")</f>
        <v/>
      </c>
    </row>
    <row r="18">
      <c r="A18" t="n">
        <v>42</v>
      </c>
      <c r="B18" t="n">
        <v>42</v>
      </c>
      <c r="F18" s="65" t="n"/>
      <c r="G18" s="65" t="n"/>
      <c r="H18" s="65">
        <f>IFERROR(VLOOKUP(B18,Obs_Ridership!$A:$G,7,FALSE),"")</f>
        <v/>
      </c>
    </row>
    <row r="19">
      <c r="A19" t="n">
        <v>50</v>
      </c>
      <c r="B19" t="n">
        <v>50</v>
      </c>
      <c r="F19" s="65" t="n"/>
      <c r="G19" s="65" t="n"/>
      <c r="H19" s="65">
        <f>IFERROR(VLOOKUP(B19,Obs_Ridership!$A:$G,7,FALSE),"")</f>
        <v/>
      </c>
    </row>
    <row r="20">
      <c r="A20" t="n">
        <v>52</v>
      </c>
      <c r="B20" t="n">
        <v>52</v>
      </c>
      <c r="F20" s="65" t="n"/>
      <c r="G20" s="65" t="n"/>
      <c r="H20" s="65">
        <f>IFERROR(VLOOKUP(B20,Obs_Ridership!$A:$G,7,FALSE),"")</f>
        <v/>
      </c>
    </row>
    <row r="21">
      <c r="A21" t="n">
        <v>55</v>
      </c>
      <c r="B21" t="n">
        <v>55</v>
      </c>
      <c r="F21" s="65" t="n"/>
      <c r="G21" s="65" t="n"/>
      <c r="H21" s="65">
        <f>IFERROR(VLOOKUP(B21,Obs_Ridership!$A:$G,7,FALSE),"")</f>
        <v/>
      </c>
    </row>
    <row r="22">
      <c r="A22" t="n">
        <v>56</v>
      </c>
      <c r="B22" t="n">
        <v>56</v>
      </c>
      <c r="F22" s="65" t="n"/>
      <c r="G22" s="65" t="n"/>
      <c r="H22" s="65">
        <f>IFERROR(VLOOKUP(B22,Obs_Ridership!$A:$G,7,FALSE),"")</f>
        <v/>
      </c>
    </row>
    <row r="23">
      <c r="A23" t="n">
        <v>64</v>
      </c>
      <c r="B23" t="n">
        <v>64</v>
      </c>
      <c r="F23" s="65" t="n"/>
      <c r="G23" s="65" t="n"/>
      <c r="H23" s="65">
        <f>IFERROR(VLOOKUP(B23,Obs_Ridership!$A:$G,7,FALSE),"")</f>
        <v/>
      </c>
    </row>
    <row r="24">
      <c r="A24" t="n">
        <v>70</v>
      </c>
      <c r="B24" t="n">
        <v>70</v>
      </c>
      <c r="F24" s="65" t="n"/>
      <c r="G24" s="65" t="n"/>
      <c r="H24" s="65">
        <f>IFERROR(VLOOKUP(B24,Obs_Ridership!$A:$G,7,FALSE),"")</f>
        <v/>
      </c>
    </row>
    <row r="25">
      <c r="A25" t="n">
        <v>75</v>
      </c>
      <c r="B25" t="n">
        <v>75</v>
      </c>
      <c r="F25" s="65" t="n"/>
      <c r="G25" s="65" t="n"/>
      <c r="H25" s="65">
        <f>IFERROR(VLOOKUP(B25,Obs_Ridership!$A:$G,7,FALSE),"")</f>
        <v/>
      </c>
    </row>
    <row r="26">
      <c r="A26" t="n">
        <v>76</v>
      </c>
      <c r="B26" t="n">
        <v>76</v>
      </c>
      <c r="F26" s="65" t="n"/>
      <c r="G26" s="65" t="n"/>
      <c r="H26" s="65">
        <f>IFERROR(VLOOKUP(B26,Obs_Ridership!$A:$G,7,FALSE),"")</f>
        <v/>
      </c>
    </row>
    <row r="27">
      <c r="A27" t="n">
        <v>77</v>
      </c>
      <c r="B27" t="n">
        <v>77</v>
      </c>
      <c r="F27" s="65" t="n"/>
      <c r="G27" s="65" t="n"/>
      <c r="H27" s="65">
        <f>IFERROR(VLOOKUP(B27,Obs_Ridership!$A:$G,7,FALSE),"")</f>
        <v/>
      </c>
    </row>
    <row r="28">
      <c r="A28" t="n">
        <v>79</v>
      </c>
      <c r="B28" t="n">
        <v>79</v>
      </c>
      <c r="F28" s="65" t="n"/>
      <c r="G28" s="65" t="n"/>
      <c r="H28" s="65">
        <f>IFERROR(VLOOKUP(B28,Obs_Ridership!$A:$G,7,FALSE),"")</f>
        <v/>
      </c>
    </row>
    <row r="29">
      <c r="A29" t="n">
        <v>84</v>
      </c>
      <c r="B29" t="n">
        <v>84</v>
      </c>
      <c r="F29" s="65" t="n"/>
      <c r="G29" s="65" t="n"/>
      <c r="H29" s="65">
        <f>IFERROR(VLOOKUP(B29,Obs_Ridership!$A:$G,7,FALSE),"")</f>
        <v/>
      </c>
    </row>
    <row r="30">
      <c r="A30" t="n">
        <v>86</v>
      </c>
      <c r="B30" t="n">
        <v>86</v>
      </c>
      <c r="F30" s="65" t="n"/>
      <c r="G30" s="65" t="n"/>
      <c r="H30" s="65">
        <f>IFERROR(VLOOKUP(B30,Obs_Ridership!$A:$G,7,FALSE),"")</f>
        <v/>
      </c>
      <c r="I30" t="inlineStr">
        <is>
          <t>"RouteNumNum" isn't correct, used "RouteNumChar"</t>
        </is>
      </c>
    </row>
    <row r="31">
      <c r="A31" t="n">
        <v>87</v>
      </c>
      <c r="B31" t="n">
        <v>87</v>
      </c>
      <c r="H31" s="65">
        <f>IFERROR(VLOOKUP(B31,Obs_Ridership!$A:$G,7,FALSE),"")</f>
        <v/>
      </c>
    </row>
    <row r="32">
      <c r="A32" t="n">
        <v>89</v>
      </c>
      <c r="B32" t="n">
        <v>89</v>
      </c>
      <c r="H32" s="65">
        <f>IFERROR(VLOOKUP(B32,Obs_Ridership!$A:$G,7,FALSE),"")</f>
        <v/>
      </c>
    </row>
    <row r="33">
      <c r="A33" t="n">
        <v>90</v>
      </c>
      <c r="B33" t="n">
        <v>90</v>
      </c>
      <c r="H33" s="65">
        <f>IFERROR(VLOOKUP(B33,Obs_Ridership!$A:$G,7,FALSE),"")</f>
        <v/>
      </c>
    </row>
    <row r="34">
      <c r="A34" t="n">
        <v>93</v>
      </c>
      <c r="B34" t="n">
        <v>93</v>
      </c>
      <c r="H34" s="65">
        <f>IFERROR(VLOOKUP(B34,Obs_Ridership!$A:$G,7,FALSE),"")</f>
        <v/>
      </c>
    </row>
    <row r="35">
      <c r="A35" t="n">
        <v>95</v>
      </c>
      <c r="B35" t="n">
        <v>95</v>
      </c>
      <c r="H35" s="65">
        <f>IFERROR(VLOOKUP(B35,Obs_Ridership!$A:$G,7,FALSE),"")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DU257"/>
  <sheetViews>
    <sheetView topLeftCell="A3" workbookViewId="0">
      <selection activeCell="A3" sqref="A1:DU252"/>
    </sheetView>
  </sheetViews>
  <sheetFormatPr baseColWidth="8" defaultRowHeight="14.25"/>
  <cols>
    <col width="12.73046875" customWidth="1" style="126" min="1" max="1"/>
    <col width="22.86328125" bestFit="1" customWidth="1" style="126" min="2" max="2"/>
    <col width="10.59765625" bestFit="1" customWidth="1" style="126" min="3" max="3"/>
    <col width="19.3984375" bestFit="1" customWidth="1" style="126" min="4" max="4"/>
    <col width="10.59765625" bestFit="1" customWidth="1" style="126" min="5" max="5"/>
    <col width="15.265625" bestFit="1" customWidth="1" style="126" min="6" max="6"/>
    <col width="9" bestFit="1" customWidth="1" style="126" min="7" max="7"/>
    <col width="19.3984375" bestFit="1" customWidth="1" style="126" min="8" max="8"/>
    <col width="10" bestFit="1" customWidth="1" style="126" min="9" max="9"/>
    <col width="19.3984375" bestFit="1" customWidth="1" style="126" min="10" max="17"/>
    <col width="13.265625" bestFit="1" customWidth="1" style="126" min="18" max="18"/>
    <col width="18" bestFit="1" customWidth="1" style="126" min="19" max="19"/>
    <col width="20.59765625" bestFit="1" customWidth="1" style="126" min="20" max="23"/>
  </cols>
  <sheetData>
    <row r="1">
      <c r="A1" t="inlineStr">
        <is>
          <t xml:space="preserve">
</t>
        </is>
      </c>
    </row>
    <row r="2">
      <c r="A2" t="inlineStr"/>
      <c r="B2" t="inlineStr">
        <is>
          <t>Created</t>
        </is>
      </c>
      <c r="C2" t="inlineStr">
        <is>
          <t>On:</t>
        </is>
      </c>
      <c r="D2" t="inlineStr">
        <is>
          <t>Wed,</t>
        </is>
      </c>
      <c r="E2" t="inlineStr">
        <is>
          <t>Apr</t>
        </is>
      </c>
      <c r="F2" t="n">
        <v>16</v>
      </c>
      <c r="G2" t="n">
        <v>2025</v>
      </c>
      <c r="H2" t="inlineStr">
        <is>
          <t xml:space="preserve">(01:34:38)
</t>
        </is>
      </c>
    </row>
    <row r="3">
      <c r="A3" t="inlineStr"/>
      <c r="B3" t="inlineStr">
        <is>
          <t>Nashville</t>
        </is>
      </c>
      <c r="C3" t="inlineStr">
        <is>
          <t>Transit</t>
        </is>
      </c>
      <c r="D3" t="inlineStr">
        <is>
          <t>Assignment</t>
        </is>
      </c>
      <c r="E3" t="inlineStr">
        <is>
          <t xml:space="preserve">Summary
</t>
        </is>
      </c>
    </row>
    <row r="4">
      <c r="A4" t="inlineStr">
        <is>
          <t xml:space="preserve">
</t>
        </is>
      </c>
    </row>
    <row r="5">
      <c r="A5" t="inlineStr"/>
      <c r="B5" t="inlineStr">
        <is>
          <t>Alternative:</t>
        </is>
      </c>
      <c r="C5" t="inlineStr">
        <is>
          <t xml:space="preserve">
</t>
        </is>
      </c>
    </row>
    <row r="6">
      <c r="A6" t="inlineStr">
        <is>
          <t xml:space="preserve">
</t>
        </is>
      </c>
    </row>
    <row r="7">
      <c r="A7" t="inlineStr">
        <is>
          <t xml:space="preserve">
</t>
        </is>
      </c>
    </row>
    <row r="8">
      <c r="A8" t="inlineStr">
        <is>
          <t xml:space="preserve">
</t>
        </is>
      </c>
    </row>
    <row r="9">
      <c r="A9" t="inlineStr">
        <is>
          <t>TRANSIT</t>
        </is>
      </c>
      <c r="B9" t="inlineStr">
        <is>
          <t>TRIPS</t>
        </is>
      </c>
      <c r="C9" t="inlineStr">
        <is>
          <t>BY</t>
        </is>
      </c>
      <c r="D9" t="inlineStr">
        <is>
          <t>TOD</t>
        </is>
      </c>
      <c r="E9" t="inlineStr">
        <is>
          <t>AND</t>
        </is>
      </c>
      <c r="F9" t="inlineStr">
        <is>
          <t xml:space="preserve">MODE
</t>
        </is>
      </c>
    </row>
    <row r="10">
      <c r="A10" t="inlineStr">
        <is>
          <t xml:space="preserve">|
</t>
        </is>
      </c>
    </row>
    <row r="11">
      <c r="A11" t="inlineStr"/>
      <c r="B11" t="inlineStr">
        <is>
          <t>Per</t>
        </is>
      </c>
      <c r="C11" t="inlineStr">
        <is>
          <t>WalkLocal</t>
        </is>
      </c>
      <c r="D11" t="inlineStr">
        <is>
          <t>WalkBrt</t>
        </is>
      </c>
      <c r="E11" t="inlineStr">
        <is>
          <t>WalkExpBus</t>
        </is>
      </c>
      <c r="F11" t="inlineStr">
        <is>
          <t>WalkUrbRail</t>
        </is>
      </c>
      <c r="G11" t="inlineStr">
        <is>
          <t>WalkComRail</t>
        </is>
      </c>
      <c r="H11" t="inlineStr">
        <is>
          <t>PnRLocal</t>
        </is>
      </c>
      <c r="I11" t="inlineStr">
        <is>
          <t>PnRBrt</t>
        </is>
      </c>
      <c r="J11" t="inlineStr">
        <is>
          <t>PnRExpBus</t>
        </is>
      </c>
      <c r="K11" t="inlineStr">
        <is>
          <t>PnRUrbRail</t>
        </is>
      </c>
      <c r="L11" t="inlineStr">
        <is>
          <t>PnRComRail</t>
        </is>
      </c>
      <c r="M11" t="inlineStr">
        <is>
          <t>KnRLocal</t>
        </is>
      </c>
      <c r="N11" t="inlineStr">
        <is>
          <t>KnRBrt</t>
        </is>
      </c>
      <c r="O11" t="inlineStr">
        <is>
          <t>KnRExpBus</t>
        </is>
      </c>
      <c r="P11" t="inlineStr">
        <is>
          <t>KnRUrbRail</t>
        </is>
      </c>
      <c r="Q11" t="inlineStr">
        <is>
          <t>KnrComRail</t>
        </is>
      </c>
      <c r="R11" t="inlineStr">
        <is>
          <t>|</t>
        </is>
      </c>
      <c r="S11" t="inlineStr">
        <is>
          <t>Total</t>
        </is>
      </c>
      <c r="DU11" t="inlineStr">
        <is>
          <t xml:space="preserve">Trips
</t>
        </is>
      </c>
    </row>
    <row r="12">
      <c r="A12" t="inlineStr">
        <is>
          <t xml:space="preserve">|
</t>
        </is>
      </c>
    </row>
    <row r="13">
      <c r="A13" t="inlineStr"/>
      <c r="B13" t="inlineStr">
        <is>
          <t>AM</t>
        </is>
      </c>
      <c r="C13" t="n">
        <v>4847</v>
      </c>
      <c r="D13" t="n">
        <v>67</v>
      </c>
      <c r="E13" t="n">
        <v>29</v>
      </c>
      <c r="F13" s="1" t="n">
        <v>0</v>
      </c>
      <c r="G13" s="113" t="n">
        <v>100</v>
      </c>
      <c r="H13" s="1" t="n">
        <v>290</v>
      </c>
      <c r="I13" t="n">
        <v>5</v>
      </c>
      <c r="J13" t="n">
        <v>40</v>
      </c>
      <c r="K13" s="1" t="n">
        <v>0</v>
      </c>
      <c r="L13" t="n">
        <v>156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inlineStr">
        <is>
          <t>|</t>
        </is>
      </c>
      <c r="S13" t="n">
        <v>5534</v>
      </c>
      <c r="DU13" s="1" t="n"/>
    </row>
    <row r="14">
      <c r="A14" t="inlineStr"/>
      <c r="B14" t="inlineStr">
        <is>
          <t>MD</t>
        </is>
      </c>
      <c r="C14" t="n">
        <v>6580</v>
      </c>
      <c r="D14" t="n">
        <v>37</v>
      </c>
      <c r="E14" t="n">
        <v>30</v>
      </c>
      <c r="F14" s="1" t="n">
        <v>0</v>
      </c>
      <c r="G14" s="113" t="n">
        <v>0</v>
      </c>
      <c r="H14" t="n">
        <v>164</v>
      </c>
      <c r="I14" t="n">
        <v>1</v>
      </c>
      <c r="J14" t="n">
        <v>19</v>
      </c>
      <c r="K14" s="1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inlineStr">
        <is>
          <t>|</t>
        </is>
      </c>
      <c r="S14" t="n">
        <v>6831</v>
      </c>
    </row>
    <row r="15">
      <c r="A15" t="inlineStr"/>
      <c r="B15" t="inlineStr">
        <is>
          <t>PM</t>
        </is>
      </c>
      <c r="C15" t="n">
        <v>7541</v>
      </c>
      <c r="D15" t="n">
        <v>88</v>
      </c>
      <c r="E15" t="n">
        <v>35</v>
      </c>
      <c r="F15" s="1" t="n">
        <v>0</v>
      </c>
      <c r="G15" s="113" t="n">
        <v>141</v>
      </c>
      <c r="H15" s="1" t="n">
        <v>312</v>
      </c>
      <c r="I15" t="n">
        <v>8</v>
      </c>
      <c r="J15" s="1" t="n">
        <v>45</v>
      </c>
      <c r="K15" s="1" t="n">
        <v>0</v>
      </c>
      <c r="L15" t="n">
        <v>126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inlineStr">
        <is>
          <t>|</t>
        </is>
      </c>
      <c r="S15" t="n">
        <v>8296</v>
      </c>
      <c r="DU15" s="1" t="n"/>
    </row>
    <row r="16">
      <c r="A16" t="inlineStr"/>
      <c r="B16" t="inlineStr">
        <is>
          <t>OP</t>
        </is>
      </c>
      <c r="C16" t="n">
        <v>2369</v>
      </c>
      <c r="D16" t="n">
        <v>0</v>
      </c>
      <c r="E16" t="n">
        <v>7</v>
      </c>
      <c r="F16" s="1" t="n">
        <v>0</v>
      </c>
      <c r="G16" s="113" t="n">
        <v>0</v>
      </c>
      <c r="H16" t="n">
        <v>56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inlineStr">
        <is>
          <t>|</t>
        </is>
      </c>
      <c r="S16" t="n">
        <v>2438</v>
      </c>
    </row>
    <row r="17">
      <c r="A17" t="inlineStr">
        <is>
          <t xml:space="preserve">|
</t>
        </is>
      </c>
    </row>
    <row r="18">
      <c r="A18" t="inlineStr">
        <is>
          <t>TOTAL</t>
        </is>
      </c>
      <c r="B18" t="n">
        <v>21337</v>
      </c>
      <c r="C18" t="n">
        <v>192</v>
      </c>
      <c r="D18" t="n">
        <v>101</v>
      </c>
      <c r="E18" s="1" t="n">
        <v>0</v>
      </c>
      <c r="F18" s="1" t="n">
        <v>241</v>
      </c>
      <c r="G18" s="1" t="n">
        <v>822</v>
      </c>
      <c r="H18" t="n">
        <v>16</v>
      </c>
      <c r="I18" s="1" t="n">
        <v>108</v>
      </c>
      <c r="J18" s="1" t="n">
        <v>0</v>
      </c>
      <c r="K18" s="1" t="n">
        <v>282</v>
      </c>
      <c r="L18" s="1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|</t>
        </is>
      </c>
      <c r="R18" t="n">
        <v>23099</v>
      </c>
    </row>
    <row r="19">
      <c r="A19" t="inlineStr">
        <is>
          <t xml:space="preserve">
</t>
        </is>
      </c>
    </row>
    <row r="20">
      <c r="A20" t="inlineStr">
        <is>
          <t xml:space="preserve">
</t>
        </is>
      </c>
    </row>
    <row r="21">
      <c r="A21" t="inlineStr">
        <is>
          <t xml:space="preserve">
</t>
        </is>
      </c>
    </row>
    <row r="22">
      <c r="A22" t="inlineStr">
        <is>
          <t>TRANSIT</t>
        </is>
      </c>
      <c r="B22" t="inlineStr">
        <is>
          <t>BOARDINGS</t>
        </is>
      </c>
      <c r="C22" t="inlineStr">
        <is>
          <t>BY</t>
        </is>
      </c>
      <c r="D22" t="inlineStr">
        <is>
          <t>MODE</t>
        </is>
      </c>
      <c r="E22" t="inlineStr">
        <is>
          <t>(TRANSIT</t>
        </is>
      </c>
      <c r="F22" t="inlineStr">
        <is>
          <t>ASSIGNMENT</t>
        </is>
      </c>
      <c r="G22" t="inlineStr">
        <is>
          <t xml:space="preserve">RESULTS)
</t>
        </is>
      </c>
    </row>
    <row r="23">
      <c r="A23" t="inlineStr">
        <is>
          <t xml:space="preserve">|
</t>
        </is>
      </c>
    </row>
    <row r="24">
      <c r="A24" t="inlineStr"/>
      <c r="B24" t="inlineStr">
        <is>
          <t>Mode</t>
        </is>
      </c>
      <c r="C24" t="inlineStr">
        <is>
          <t>Mode</t>
        </is>
      </c>
      <c r="D24" t="inlineStr">
        <is>
          <t>Name</t>
        </is>
      </c>
      <c r="E24" t="inlineStr">
        <is>
          <t>Dwell</t>
        </is>
      </c>
      <c r="F24" t="inlineStr">
        <is>
          <t>Factor</t>
        </is>
      </c>
      <c r="G24" t="inlineStr">
        <is>
          <t>AM</t>
        </is>
      </c>
      <c r="H24" t="inlineStr">
        <is>
          <t>MD</t>
        </is>
      </c>
      <c r="I24" t="inlineStr">
        <is>
          <t>PM</t>
        </is>
      </c>
      <c r="J24" t="inlineStr">
        <is>
          <t>OP</t>
        </is>
      </c>
      <c r="K24" t="inlineStr">
        <is>
          <t>|</t>
        </is>
      </c>
      <c r="L24" t="inlineStr">
        <is>
          <t xml:space="preserve">Total
</t>
        </is>
      </c>
    </row>
    <row r="25">
      <c r="A25" t="inlineStr">
        <is>
          <t xml:space="preserve">|
</t>
        </is>
      </c>
    </row>
    <row r="26">
      <c r="A26" t="inlineStr"/>
      <c r="B26" t="n">
        <v>1</v>
      </c>
      <c r="C26" t="inlineStr">
        <is>
          <t>Local</t>
        </is>
      </c>
      <c r="D26" t="n">
        <v>2</v>
      </c>
      <c r="E26" s="1" t="n">
        <v>7869</v>
      </c>
      <c r="F26" s="1" t="n">
        <v>9845</v>
      </c>
      <c r="G26" s="1" t="n">
        <v>11823</v>
      </c>
      <c r="H26" s="1" t="n">
        <v>3427</v>
      </c>
      <c r="I26" t="inlineStr">
        <is>
          <t>|</t>
        </is>
      </c>
      <c r="J26" s="1" t="n">
        <v>32969</v>
      </c>
    </row>
    <row r="27">
      <c r="A27" t="inlineStr"/>
      <c r="B27" t="n">
        <v>6</v>
      </c>
      <c r="C27" t="inlineStr">
        <is>
          <t>Express</t>
        </is>
      </c>
      <c r="D27" t="inlineStr">
        <is>
          <t>Bus</t>
        </is>
      </c>
      <c r="E27" t="n">
        <v>0.25</v>
      </c>
      <c r="F27" s="1" t="n">
        <v>47</v>
      </c>
      <c r="G27" t="n">
        <v>35</v>
      </c>
      <c r="H27" s="1" t="n">
        <v>57</v>
      </c>
      <c r="I27" t="n">
        <v>7</v>
      </c>
      <c r="J27" t="inlineStr">
        <is>
          <t>|</t>
        </is>
      </c>
      <c r="K27" s="1" t="n">
        <v>146</v>
      </c>
    </row>
    <row r="28">
      <c r="A28" t="inlineStr"/>
      <c r="B28" t="n">
        <v>7</v>
      </c>
      <c r="C28" t="inlineStr">
        <is>
          <t>Commuter</t>
        </is>
      </c>
      <c r="D28" t="inlineStr">
        <is>
          <t>Bus</t>
        </is>
      </c>
      <c r="E28" t="n">
        <v>1</v>
      </c>
      <c r="F28" t="n">
        <v>5</v>
      </c>
      <c r="G28" t="n">
        <v>0</v>
      </c>
      <c r="H28" t="n">
        <v>4</v>
      </c>
      <c r="I28" t="n">
        <v>0</v>
      </c>
      <c r="J28" t="inlineStr">
        <is>
          <t>|</t>
        </is>
      </c>
      <c r="K28" t="n">
        <v>9</v>
      </c>
    </row>
    <row r="29">
      <c r="A29" t="inlineStr"/>
      <c r="B29" t="n">
        <v>8</v>
      </c>
      <c r="C29" t="inlineStr">
        <is>
          <t>Existing</t>
        </is>
      </c>
      <c r="D29" t="inlineStr">
        <is>
          <t>BRT</t>
        </is>
      </c>
      <c r="E29" t="n">
        <v>1.5</v>
      </c>
      <c r="F29" s="1" t="n">
        <v>70</v>
      </c>
      <c r="G29" s="1" t="n">
        <v>37</v>
      </c>
      <c r="H29" s="1" t="n">
        <v>100</v>
      </c>
      <c r="I29" t="n">
        <v>0</v>
      </c>
      <c r="J29" t="inlineStr">
        <is>
          <t>|</t>
        </is>
      </c>
      <c r="K29" s="1" t="n">
        <v>207</v>
      </c>
    </row>
    <row r="30">
      <c r="A30" t="inlineStr"/>
      <c r="B30" t="n">
        <v>11</v>
      </c>
      <c r="C30" t="inlineStr">
        <is>
          <t>Shuttle</t>
        </is>
      </c>
      <c r="D30" t="n">
        <v>2</v>
      </c>
      <c r="E30" t="n">
        <v>159</v>
      </c>
      <c r="F30" t="n">
        <v>0</v>
      </c>
      <c r="G30" t="n">
        <v>27</v>
      </c>
      <c r="H30" t="n">
        <v>0</v>
      </c>
      <c r="I30" t="inlineStr">
        <is>
          <t>|</t>
        </is>
      </c>
      <c r="J30" t="n">
        <v>186</v>
      </c>
    </row>
    <row r="31">
      <c r="A31" t="inlineStr"/>
      <c r="B31" t="n">
        <v>12</v>
      </c>
      <c r="C31" t="inlineStr">
        <is>
          <t>ComRail</t>
        </is>
      </c>
      <c r="D31" t="n">
        <v>0.25</v>
      </c>
      <c r="E31" t="n">
        <v>226</v>
      </c>
      <c r="F31" t="n">
        <v>0</v>
      </c>
      <c r="G31" t="n">
        <v>240</v>
      </c>
      <c r="H31" t="n">
        <v>0</v>
      </c>
      <c r="I31" t="inlineStr">
        <is>
          <t>|</t>
        </is>
      </c>
      <c r="J31" s="1" t="n">
        <v>465</v>
      </c>
    </row>
    <row r="32">
      <c r="A32" t="inlineStr">
        <is>
          <t xml:space="preserve">|
</t>
        </is>
      </c>
    </row>
    <row r="33">
      <c r="A33" t="inlineStr"/>
      <c r="B33" t="inlineStr">
        <is>
          <t>TOTAL</t>
        </is>
      </c>
      <c r="C33" s="1" t="n">
        <v>8376</v>
      </c>
      <c r="D33" s="1" t="n">
        <v>9917</v>
      </c>
      <c r="E33" s="1" t="n">
        <v>12250</v>
      </c>
      <c r="F33" s="1" t="n">
        <v>3434</v>
      </c>
      <c r="G33" t="inlineStr">
        <is>
          <t>|</t>
        </is>
      </c>
      <c r="H33" s="1" t="n">
        <v>33982</v>
      </c>
    </row>
    <row r="34">
      <c r="A34" t="inlineStr">
        <is>
          <t xml:space="preserve">
</t>
        </is>
      </c>
    </row>
    <row r="35">
      <c r="A35" t="inlineStr">
        <is>
          <t xml:space="preserve">
</t>
        </is>
      </c>
    </row>
    <row r="36">
      <c r="A36" t="inlineStr">
        <is>
          <t xml:space="preserve">
</t>
        </is>
      </c>
    </row>
    <row r="37">
      <c r="A37" t="inlineStr">
        <is>
          <t>TRANSFER</t>
        </is>
      </c>
      <c r="B37" t="inlineStr">
        <is>
          <t>RATES</t>
        </is>
      </c>
      <c r="C37" t="inlineStr">
        <is>
          <t>BY</t>
        </is>
      </c>
      <c r="D37" t="inlineStr">
        <is>
          <t xml:space="preserve">TOD
</t>
        </is>
      </c>
    </row>
    <row r="38">
      <c r="A38" t="inlineStr">
        <is>
          <t xml:space="preserve">
</t>
        </is>
      </c>
    </row>
    <row r="39">
      <c r="A39" t="inlineStr"/>
      <c r="B39" t="inlineStr">
        <is>
          <t>Period</t>
        </is>
      </c>
      <c r="C39" t="inlineStr">
        <is>
          <t>Transfers</t>
        </is>
      </c>
      <c r="D39" t="inlineStr">
        <is>
          <t xml:space="preserve">(Rate)
</t>
        </is>
      </c>
    </row>
    <row r="40">
      <c r="A40" t="inlineStr">
        <is>
          <t xml:space="preserve">
</t>
        </is>
      </c>
    </row>
    <row r="41">
      <c r="A41" t="inlineStr"/>
      <c r="B41" t="inlineStr">
        <is>
          <t>AM</t>
        </is>
      </c>
      <c r="C41" s="1" t="n">
        <v>2842</v>
      </c>
      <c r="D41" s="2" t="inlineStr">
        <is>
          <t>(51.36%)</t>
        </is>
      </c>
      <c r="E41" t="inlineStr">
        <is>
          <t xml:space="preserve">
</t>
        </is>
      </c>
    </row>
    <row r="42">
      <c r="A42" t="inlineStr"/>
      <c r="B42" t="inlineStr">
        <is>
          <t>MD</t>
        </is>
      </c>
      <c r="C42" s="1" t="n">
        <v>3086</v>
      </c>
      <c r="D42" s="2" t="inlineStr">
        <is>
          <t>(45.18%)</t>
        </is>
      </c>
      <c r="E42" t="inlineStr">
        <is>
          <t xml:space="preserve">
</t>
        </is>
      </c>
    </row>
    <row r="43">
      <c r="A43" t="inlineStr"/>
      <c r="B43" t="inlineStr">
        <is>
          <t>PM</t>
        </is>
      </c>
      <c r="C43" s="1" t="n">
        <v>3954</v>
      </c>
      <c r="D43" s="2" t="inlineStr">
        <is>
          <t>(47.66%)</t>
        </is>
      </c>
      <c r="E43" t="inlineStr">
        <is>
          <t xml:space="preserve">
</t>
        </is>
      </c>
    </row>
    <row r="44">
      <c r="A44" t="inlineStr"/>
      <c r="B44" t="inlineStr">
        <is>
          <t>OP</t>
        </is>
      </c>
      <c r="C44" t="n">
        <v>996</v>
      </c>
      <c r="D44" s="2" t="inlineStr">
        <is>
          <t>(40.84%)</t>
        </is>
      </c>
      <c r="E44" t="inlineStr">
        <is>
          <t xml:space="preserve">
</t>
        </is>
      </c>
    </row>
    <row r="45">
      <c r="A45" t="inlineStr">
        <is>
          <t xml:space="preserve">
</t>
        </is>
      </c>
    </row>
    <row r="46">
      <c r="A46" t="inlineStr"/>
      <c r="B46" t="inlineStr">
        <is>
          <t>TOTAL</t>
        </is>
      </c>
      <c r="C46" s="1" t="n">
        <v>10883</v>
      </c>
      <c r="D46" s="2" t="inlineStr">
        <is>
          <t>(47.11%)</t>
        </is>
      </c>
      <c r="E46" t="inlineStr">
        <is>
          <t xml:space="preserve">
</t>
        </is>
      </c>
    </row>
    <row r="47">
      <c r="A47" t="inlineStr">
        <is>
          <t xml:space="preserve">
</t>
        </is>
      </c>
    </row>
    <row r="48">
      <c r="A48" t="inlineStr">
        <is>
          <t xml:space="preserve">
</t>
        </is>
      </c>
    </row>
    <row r="49">
      <c r="A49" t="inlineStr">
        <is>
          <t xml:space="preserve">
</t>
        </is>
      </c>
    </row>
    <row r="50">
      <c r="A50" t="inlineStr">
        <is>
          <t>TRANSIT</t>
        </is>
      </c>
      <c r="B50" t="inlineStr">
        <is>
          <t>BOARDINGS</t>
        </is>
      </c>
      <c r="C50" t="inlineStr">
        <is>
          <t>BY</t>
        </is>
      </c>
      <c r="D50" t="inlineStr">
        <is>
          <t>ROUTE</t>
        </is>
      </c>
      <c r="E50" t="inlineStr">
        <is>
          <t>(TRANSIT</t>
        </is>
      </c>
      <c r="F50" t="inlineStr">
        <is>
          <t>ASSIGNMENT</t>
        </is>
      </c>
      <c r="G50" t="inlineStr">
        <is>
          <t xml:space="preserve">RESULTS)
</t>
        </is>
      </c>
    </row>
    <row r="51">
      <c r="A51" t="inlineStr">
        <is>
          <t xml:space="preserve">|
</t>
        </is>
      </c>
    </row>
    <row r="52">
      <c r="A52" t="inlineStr"/>
      <c r="B52" t="inlineStr">
        <is>
          <t>Route</t>
        </is>
      </c>
      <c r="C52" t="inlineStr">
        <is>
          <t>Mode</t>
        </is>
      </c>
      <c r="D52" t="inlineStr">
        <is>
          <t>Route</t>
        </is>
      </c>
      <c r="E52" t="inlineStr">
        <is>
          <t>Name</t>
        </is>
      </c>
      <c r="F52" t="inlineStr">
        <is>
          <t>AM</t>
        </is>
      </c>
      <c r="G52" t="inlineStr">
        <is>
          <t>MD</t>
        </is>
      </c>
      <c r="H52" t="inlineStr">
        <is>
          <t>PM</t>
        </is>
      </c>
      <c r="I52" t="inlineStr">
        <is>
          <t>OP</t>
        </is>
      </c>
      <c r="J52" t="inlineStr">
        <is>
          <t>|</t>
        </is>
      </c>
      <c r="K52" t="inlineStr">
        <is>
          <t xml:space="preserve">Total
</t>
        </is>
      </c>
    </row>
    <row r="53">
      <c r="A53" t="inlineStr">
        <is>
          <t xml:space="preserve">|
</t>
        </is>
      </c>
    </row>
    <row r="54">
      <c r="A54" t="inlineStr"/>
      <c r="B54" t="n">
        <v>3</v>
      </c>
      <c r="C54" t="n">
        <v>1</v>
      </c>
      <c r="D54" t="inlineStr">
        <is>
          <t>Rte</t>
        </is>
      </c>
      <c r="E54" t="n">
        <v>3</v>
      </c>
      <c r="F54" t="n">
        <v>1090</v>
      </c>
      <c r="G54" t="n">
        <v>995</v>
      </c>
      <c r="H54" t="n">
        <v>1722</v>
      </c>
      <c r="I54" t="n">
        <v>423</v>
      </c>
      <c r="J54" t="inlineStr">
        <is>
          <t>|</t>
        </is>
      </c>
      <c r="K54" t="n">
        <v>4231</v>
      </c>
    </row>
    <row r="55">
      <c r="A55" t="inlineStr"/>
      <c r="B55" t="n">
        <v>4</v>
      </c>
      <c r="C55" t="n">
        <v>1</v>
      </c>
      <c r="D55" t="inlineStr">
        <is>
          <t>Rte</t>
        </is>
      </c>
      <c r="E55" t="n">
        <v>4</v>
      </c>
      <c r="F55" t="n">
        <v>55</v>
      </c>
      <c r="G55" t="n">
        <v>69</v>
      </c>
      <c r="H55" t="n">
        <v>99</v>
      </c>
      <c r="I55" t="n">
        <v>89</v>
      </c>
      <c r="J55" t="inlineStr">
        <is>
          <t>|</t>
        </is>
      </c>
      <c r="K55" t="n">
        <v>313</v>
      </c>
    </row>
    <row r="56">
      <c r="A56" t="inlineStr"/>
      <c r="B56" t="n">
        <v>6</v>
      </c>
      <c r="C56" t="n">
        <v>1</v>
      </c>
      <c r="D56" t="inlineStr">
        <is>
          <t>Rte</t>
        </is>
      </c>
      <c r="E56" t="n">
        <v>6</v>
      </c>
      <c r="F56" s="1" t="n">
        <v>204</v>
      </c>
      <c r="G56" s="1" t="n">
        <v>119</v>
      </c>
      <c r="H56" s="1" t="n">
        <v>352</v>
      </c>
      <c r="I56" t="n">
        <v>73</v>
      </c>
      <c r="J56" t="inlineStr">
        <is>
          <t>|</t>
        </is>
      </c>
      <c r="K56" s="1" t="n">
        <v>749</v>
      </c>
    </row>
    <row r="57">
      <c r="A57" t="inlineStr"/>
      <c r="B57" t="n">
        <v>7</v>
      </c>
      <c r="C57" t="n">
        <v>1</v>
      </c>
      <c r="D57" t="inlineStr">
        <is>
          <t>Rte</t>
        </is>
      </c>
      <c r="E57" t="n">
        <v>7</v>
      </c>
      <c r="F57" t="n">
        <v>592</v>
      </c>
      <c r="G57" t="n">
        <v>899</v>
      </c>
      <c r="H57" t="n">
        <v>857</v>
      </c>
      <c r="I57" t="n">
        <v>321</v>
      </c>
      <c r="J57" t="inlineStr">
        <is>
          <t>|</t>
        </is>
      </c>
      <c r="K57" s="1" t="n">
        <v>2669</v>
      </c>
    </row>
    <row r="58">
      <c r="A58" t="inlineStr"/>
      <c r="B58" t="n">
        <v>8</v>
      </c>
      <c r="C58" t="n">
        <v>1</v>
      </c>
      <c r="D58" t="inlineStr">
        <is>
          <t>Rte</t>
        </is>
      </c>
      <c r="E58" t="n">
        <v>8</v>
      </c>
      <c r="F58" s="1" t="n">
        <v>233</v>
      </c>
      <c r="G58" t="n">
        <v>338</v>
      </c>
      <c r="H58" s="1" t="n">
        <v>263</v>
      </c>
      <c r="I58" t="n">
        <v>68</v>
      </c>
      <c r="J58" t="inlineStr">
        <is>
          <t>|</t>
        </is>
      </c>
      <c r="K58" s="1" t="n">
        <v>903</v>
      </c>
    </row>
    <row r="59">
      <c r="A59" t="inlineStr"/>
      <c r="B59" t="n">
        <v>9</v>
      </c>
      <c r="C59" t="n">
        <v>1</v>
      </c>
      <c r="D59" t="inlineStr">
        <is>
          <t>Rte</t>
        </is>
      </c>
      <c r="E59" t="n">
        <v>9</v>
      </c>
      <c r="F59" t="n">
        <v>291</v>
      </c>
      <c r="G59" s="1" t="n">
        <v>331</v>
      </c>
      <c r="H59" t="n">
        <v>274</v>
      </c>
      <c r="I59" t="n">
        <v>0</v>
      </c>
      <c r="J59" t="inlineStr">
        <is>
          <t>|</t>
        </is>
      </c>
      <c r="K59" s="1" t="n">
        <v>896</v>
      </c>
    </row>
    <row r="60">
      <c r="A60" t="inlineStr"/>
      <c r="B60" t="n">
        <v>14</v>
      </c>
      <c r="C60" t="n">
        <v>1</v>
      </c>
      <c r="D60" t="inlineStr">
        <is>
          <t>Rte</t>
        </is>
      </c>
      <c r="E60" t="n">
        <v>14</v>
      </c>
      <c r="F60" t="n">
        <v>99</v>
      </c>
      <c r="G60" t="n">
        <v>60</v>
      </c>
      <c r="H60" t="n">
        <v>137</v>
      </c>
      <c r="I60" t="n">
        <v>26</v>
      </c>
      <c r="J60" t="inlineStr">
        <is>
          <t>|</t>
        </is>
      </c>
      <c r="K60" s="1" t="n">
        <v>321</v>
      </c>
    </row>
    <row r="61">
      <c r="A61" t="inlineStr"/>
      <c r="B61" t="n">
        <v>17</v>
      </c>
      <c r="C61" t="n">
        <v>1</v>
      </c>
      <c r="D61" t="inlineStr">
        <is>
          <t>Rte</t>
        </is>
      </c>
      <c r="E61" t="n">
        <v>17</v>
      </c>
      <c r="F61" t="n">
        <v>293</v>
      </c>
      <c r="G61" t="n">
        <v>287</v>
      </c>
      <c r="H61" t="n">
        <v>437</v>
      </c>
      <c r="I61" t="n">
        <v>60</v>
      </c>
      <c r="J61" t="inlineStr">
        <is>
          <t>|</t>
        </is>
      </c>
      <c r="K61" t="n">
        <v>1077</v>
      </c>
    </row>
    <row r="62">
      <c r="A62" t="inlineStr"/>
      <c r="B62" t="n">
        <v>18</v>
      </c>
      <c r="C62" t="n">
        <v>6</v>
      </c>
      <c r="D62" t="inlineStr">
        <is>
          <t>Rte</t>
        </is>
      </c>
      <c r="E62" t="n">
        <v>18</v>
      </c>
      <c r="F62" t="n">
        <v>91</v>
      </c>
      <c r="G62" t="n">
        <v>190</v>
      </c>
      <c r="H62" t="n">
        <v>103</v>
      </c>
      <c r="I62" t="n">
        <v>53</v>
      </c>
      <c r="J62" t="inlineStr">
        <is>
          <t>|</t>
        </is>
      </c>
      <c r="K62" s="1" t="n">
        <v>436</v>
      </c>
    </row>
    <row r="63">
      <c r="A63" t="inlineStr"/>
      <c r="B63" t="n">
        <v>19</v>
      </c>
      <c r="C63" t="n">
        <v>1</v>
      </c>
      <c r="D63" t="inlineStr">
        <is>
          <t>Rte</t>
        </is>
      </c>
      <c r="E63" t="n">
        <v>19</v>
      </c>
      <c r="F63" t="n">
        <v>271</v>
      </c>
      <c r="G63" t="n">
        <v>267</v>
      </c>
      <c r="H63" t="n">
        <v>459</v>
      </c>
      <c r="I63" t="n">
        <v>83</v>
      </c>
      <c r="J63" t="inlineStr">
        <is>
          <t>|</t>
        </is>
      </c>
      <c r="K63" s="1" t="n">
        <v>1080</v>
      </c>
    </row>
    <row r="64">
      <c r="A64" t="inlineStr"/>
      <c r="B64" t="n">
        <v>22</v>
      </c>
      <c r="C64" t="n">
        <v>1</v>
      </c>
      <c r="D64" t="inlineStr">
        <is>
          <t>Rte</t>
        </is>
      </c>
      <c r="E64" t="n">
        <v>22</v>
      </c>
      <c r="F64" t="n">
        <v>268</v>
      </c>
      <c r="G64" t="n">
        <v>477</v>
      </c>
      <c r="H64" t="n">
        <v>581</v>
      </c>
      <c r="I64" t="n">
        <v>293</v>
      </c>
      <c r="J64" t="inlineStr">
        <is>
          <t>|</t>
        </is>
      </c>
      <c r="K64" t="n">
        <v>1620</v>
      </c>
    </row>
    <row r="65">
      <c r="A65" t="inlineStr"/>
      <c r="B65" t="n">
        <v>23</v>
      </c>
      <c r="C65" t="n">
        <v>1</v>
      </c>
      <c r="D65" t="inlineStr">
        <is>
          <t>Rte</t>
        </is>
      </c>
      <c r="E65" t="n">
        <v>23</v>
      </c>
      <c r="F65" s="1" t="n">
        <v>364</v>
      </c>
      <c r="G65" s="1" t="n">
        <v>500</v>
      </c>
      <c r="H65" s="1" t="n">
        <v>519</v>
      </c>
      <c r="I65" t="n">
        <v>176</v>
      </c>
      <c r="J65" t="inlineStr">
        <is>
          <t>|</t>
        </is>
      </c>
      <c r="K65" s="1" t="n">
        <v>1559</v>
      </c>
    </row>
    <row r="66">
      <c r="A66" t="inlineStr"/>
      <c r="B66" t="n">
        <v>28</v>
      </c>
      <c r="C66" t="n">
        <v>1</v>
      </c>
      <c r="D66" t="inlineStr">
        <is>
          <t>Rte</t>
        </is>
      </c>
      <c r="E66" t="n">
        <v>28</v>
      </c>
      <c r="F66" t="n">
        <v>18</v>
      </c>
      <c r="G66" t="n">
        <v>0</v>
      </c>
      <c r="H66" t="n">
        <v>21</v>
      </c>
      <c r="I66" t="n">
        <v>0</v>
      </c>
      <c r="J66" t="inlineStr">
        <is>
          <t>|</t>
        </is>
      </c>
      <c r="K66" s="1" t="n">
        <v>39</v>
      </c>
    </row>
    <row r="67">
      <c r="A67" t="inlineStr"/>
      <c r="B67" t="n">
        <v>29</v>
      </c>
      <c r="C67" t="n">
        <v>1</v>
      </c>
      <c r="D67" t="inlineStr">
        <is>
          <t>Rte</t>
        </is>
      </c>
      <c r="E67" t="n">
        <v>29</v>
      </c>
      <c r="F67" t="n">
        <v>171</v>
      </c>
      <c r="G67" t="n">
        <v>145</v>
      </c>
      <c r="H67" t="n">
        <v>211</v>
      </c>
      <c r="I67" t="n">
        <v>51</v>
      </c>
      <c r="J67" t="inlineStr">
        <is>
          <t>|</t>
        </is>
      </c>
      <c r="K67" t="n">
        <v>578</v>
      </c>
    </row>
    <row r="68">
      <c r="A68" t="inlineStr"/>
      <c r="B68" t="n">
        <v>34</v>
      </c>
      <c r="C68" t="n">
        <v>1</v>
      </c>
      <c r="D68" t="inlineStr">
        <is>
          <t>Rte</t>
        </is>
      </c>
      <c r="E68" t="n">
        <v>34</v>
      </c>
      <c r="F68" t="n">
        <v>11</v>
      </c>
      <c r="G68" t="n">
        <v>15</v>
      </c>
      <c r="H68" t="n">
        <v>17</v>
      </c>
      <c r="I68" t="n">
        <v>5</v>
      </c>
      <c r="J68" t="inlineStr">
        <is>
          <t>|</t>
        </is>
      </c>
      <c r="K68" s="1" t="n">
        <v>48</v>
      </c>
    </row>
    <row r="69">
      <c r="A69" t="inlineStr"/>
      <c r="B69" t="n">
        <v>41</v>
      </c>
      <c r="C69" t="n">
        <v>1</v>
      </c>
      <c r="D69" t="inlineStr">
        <is>
          <t>Rte</t>
        </is>
      </c>
      <c r="E69" t="n">
        <v>41</v>
      </c>
      <c r="F69" t="n">
        <v>19</v>
      </c>
      <c r="G69" t="n">
        <v>0</v>
      </c>
      <c r="H69" t="n">
        <v>4</v>
      </c>
      <c r="I69" t="n">
        <v>2</v>
      </c>
      <c r="J69" t="inlineStr">
        <is>
          <t>|</t>
        </is>
      </c>
      <c r="K69" t="n">
        <v>24</v>
      </c>
    </row>
    <row r="70">
      <c r="A70" t="inlineStr"/>
      <c r="B70" t="n">
        <v>42</v>
      </c>
      <c r="C70" t="n">
        <v>1</v>
      </c>
      <c r="D70" t="inlineStr">
        <is>
          <t>Rte</t>
        </is>
      </c>
      <c r="E70" t="n">
        <v>42</v>
      </c>
      <c r="F70" t="n">
        <v>129</v>
      </c>
      <c r="G70" t="n">
        <v>132</v>
      </c>
      <c r="H70" t="n">
        <v>322</v>
      </c>
      <c r="I70" t="n">
        <v>86</v>
      </c>
      <c r="J70" t="inlineStr">
        <is>
          <t>|</t>
        </is>
      </c>
      <c r="K70" s="1" t="n">
        <v>670</v>
      </c>
    </row>
    <row r="71">
      <c r="A71" t="inlineStr"/>
      <c r="B71" t="n">
        <v>50</v>
      </c>
      <c r="C71" t="n">
        <v>1</v>
      </c>
      <c r="D71" t="inlineStr">
        <is>
          <t>Rte</t>
        </is>
      </c>
      <c r="E71" t="n">
        <v>50</v>
      </c>
      <c r="F71" t="n">
        <v>644</v>
      </c>
      <c r="G71" t="n">
        <v>963</v>
      </c>
      <c r="H71" t="n">
        <v>950</v>
      </c>
      <c r="I71" t="n">
        <v>244</v>
      </c>
      <c r="J71" t="inlineStr">
        <is>
          <t>|</t>
        </is>
      </c>
      <c r="K71" s="1" t="n">
        <v>2801</v>
      </c>
    </row>
    <row r="72">
      <c r="A72" t="inlineStr"/>
      <c r="B72" t="n">
        <v>52</v>
      </c>
      <c r="C72" t="n">
        <v>1</v>
      </c>
      <c r="D72" t="inlineStr">
        <is>
          <t>Rte</t>
        </is>
      </c>
      <c r="E72" t="n">
        <v>52</v>
      </c>
      <c r="F72" t="n">
        <v>930</v>
      </c>
      <c r="G72" t="n">
        <v>1086</v>
      </c>
      <c r="H72" t="n">
        <v>1447</v>
      </c>
      <c r="I72" t="n">
        <v>487</v>
      </c>
      <c r="J72" t="inlineStr">
        <is>
          <t>|</t>
        </is>
      </c>
      <c r="K72" s="1" t="n">
        <v>3951</v>
      </c>
    </row>
    <row r="73">
      <c r="A73" t="inlineStr"/>
      <c r="B73" t="n">
        <v>55</v>
      </c>
      <c r="C73" t="n">
        <v>1</v>
      </c>
      <c r="D73" t="inlineStr">
        <is>
          <t>Rte</t>
        </is>
      </c>
      <c r="E73" t="n">
        <v>55</v>
      </c>
      <c r="F73" t="n">
        <v>1025</v>
      </c>
      <c r="G73" t="n">
        <v>1603</v>
      </c>
      <c r="H73" t="n">
        <v>1489</v>
      </c>
      <c r="I73" t="n">
        <v>498</v>
      </c>
      <c r="J73" t="inlineStr">
        <is>
          <t>|</t>
        </is>
      </c>
      <c r="K73" t="n">
        <v>4615</v>
      </c>
    </row>
    <row r="74">
      <c r="A74" t="inlineStr"/>
      <c r="B74" t="n">
        <v>56</v>
      </c>
      <c r="C74" t="n">
        <v>8</v>
      </c>
      <c r="D74" t="inlineStr">
        <is>
          <t>Rte</t>
        </is>
      </c>
      <c r="E74" t="n">
        <v>56</v>
      </c>
      <c r="F74" t="n">
        <v>1044</v>
      </c>
      <c r="G74" t="n">
        <v>1268</v>
      </c>
      <c r="H74" t="n">
        <v>1499</v>
      </c>
      <c r="I74" t="n">
        <v>358</v>
      </c>
      <c r="J74" t="inlineStr">
        <is>
          <t>|</t>
        </is>
      </c>
      <c r="K74" s="1" t="n">
        <v>4170</v>
      </c>
    </row>
    <row r="75">
      <c r="A75" t="inlineStr"/>
      <c r="B75" t="n">
        <v>64</v>
      </c>
      <c r="C75" t="n">
        <v>11</v>
      </c>
      <c r="D75" t="inlineStr">
        <is>
          <t>Rte</t>
        </is>
      </c>
      <c r="E75" t="n">
        <v>64</v>
      </c>
      <c r="F75" t="n">
        <v>105</v>
      </c>
      <c r="G75" t="n">
        <v>0</v>
      </c>
      <c r="H75" t="n">
        <v>17</v>
      </c>
      <c r="I75" t="n">
        <v>0</v>
      </c>
      <c r="J75" t="inlineStr">
        <is>
          <t>|</t>
        </is>
      </c>
      <c r="K75" s="1" t="n">
        <v>122</v>
      </c>
    </row>
    <row r="76">
      <c r="A76" t="inlineStr"/>
      <c r="B76" t="n">
        <v>70</v>
      </c>
      <c r="C76" t="n">
        <v>1</v>
      </c>
      <c r="D76" t="inlineStr">
        <is>
          <t>Rte</t>
        </is>
      </c>
      <c r="E76" t="n">
        <v>70</v>
      </c>
      <c r="F76" t="n">
        <v>10</v>
      </c>
      <c r="G76" t="n">
        <v>7</v>
      </c>
      <c r="H76" t="n">
        <v>7</v>
      </c>
      <c r="I76" t="n">
        <v>0</v>
      </c>
      <c r="J76" t="inlineStr">
        <is>
          <t>|</t>
        </is>
      </c>
      <c r="K76" t="n">
        <v>23</v>
      </c>
    </row>
    <row r="77">
      <c r="A77" t="inlineStr"/>
      <c r="B77" t="n">
        <v>75</v>
      </c>
      <c r="C77" t="n">
        <v>1</v>
      </c>
      <c r="D77" t="inlineStr">
        <is>
          <t>Rte</t>
        </is>
      </c>
      <c r="E77" t="n">
        <v>75</v>
      </c>
      <c r="F77" t="n">
        <v>32</v>
      </c>
      <c r="G77" t="n">
        <v>46</v>
      </c>
      <c r="H77" t="n">
        <v>48</v>
      </c>
      <c r="I77" t="n">
        <v>0</v>
      </c>
      <c r="J77" t="inlineStr">
        <is>
          <t>|</t>
        </is>
      </c>
      <c r="K77" t="n">
        <v>125</v>
      </c>
    </row>
    <row r="78">
      <c r="A78" t="inlineStr"/>
      <c r="B78" t="n">
        <v>76</v>
      </c>
      <c r="C78" t="n">
        <v>1</v>
      </c>
      <c r="D78" t="inlineStr">
        <is>
          <t>Rte</t>
        </is>
      </c>
      <c r="E78" t="n">
        <v>76</v>
      </c>
      <c r="F78" t="n">
        <v>23</v>
      </c>
      <c r="G78" t="n">
        <v>20</v>
      </c>
      <c r="H78" t="n">
        <v>33</v>
      </c>
      <c r="I78" t="n">
        <v>8</v>
      </c>
      <c r="J78" t="inlineStr">
        <is>
          <t>|</t>
        </is>
      </c>
      <c r="K78" t="n">
        <v>85</v>
      </c>
    </row>
    <row r="79">
      <c r="A79" t="inlineStr"/>
      <c r="B79" t="n">
        <v>77</v>
      </c>
      <c r="C79" t="n">
        <v>1</v>
      </c>
      <c r="D79" t="inlineStr">
        <is>
          <t>Rte</t>
        </is>
      </c>
      <c r="E79" t="n">
        <v>77</v>
      </c>
      <c r="F79" t="n">
        <v>14</v>
      </c>
      <c r="G79" t="n">
        <v>35</v>
      </c>
      <c r="H79" t="n">
        <v>37</v>
      </c>
      <c r="I79" t="n">
        <v>14</v>
      </c>
      <c r="J79" t="inlineStr">
        <is>
          <t>|</t>
        </is>
      </c>
      <c r="K79" t="n">
        <v>101</v>
      </c>
    </row>
    <row r="80">
      <c r="A80" t="inlineStr"/>
      <c r="B80" t="n">
        <v>79</v>
      </c>
      <c r="C80" t="n">
        <v>1</v>
      </c>
      <c r="D80" t="inlineStr">
        <is>
          <t>Rte</t>
        </is>
      </c>
      <c r="E80" t="n">
        <v>79</v>
      </c>
      <c r="F80" t="n">
        <v>25</v>
      </c>
      <c r="G80" t="n">
        <v>32</v>
      </c>
      <c r="H80" t="n">
        <v>44</v>
      </c>
      <c r="I80" t="n">
        <v>13</v>
      </c>
      <c r="J80" t="inlineStr">
        <is>
          <t>|</t>
        </is>
      </c>
      <c r="K80" t="n">
        <v>113</v>
      </c>
    </row>
    <row r="81">
      <c r="A81" t="inlineStr"/>
      <c r="B81" t="n">
        <v>84</v>
      </c>
      <c r="C81" t="n">
        <v>6</v>
      </c>
      <c r="D81" t="inlineStr">
        <is>
          <t>Rte</t>
        </is>
      </c>
      <c r="E81" t="n">
        <v>84</v>
      </c>
      <c r="F81" t="n">
        <v>30</v>
      </c>
      <c r="G81" t="n">
        <v>33</v>
      </c>
      <c r="H81" t="n">
        <v>35</v>
      </c>
      <c r="I81" t="n">
        <v>3</v>
      </c>
      <c r="J81" t="inlineStr">
        <is>
          <t>|</t>
        </is>
      </c>
      <c r="K81" t="n">
        <v>101</v>
      </c>
    </row>
    <row r="82">
      <c r="A82" t="inlineStr"/>
      <c r="B82" t="n">
        <v>87</v>
      </c>
      <c r="C82" t="n">
        <v>7</v>
      </c>
      <c r="D82" t="inlineStr">
        <is>
          <t>Rte</t>
        </is>
      </c>
      <c r="E82" t="n">
        <v>87</v>
      </c>
      <c r="F82" t="n">
        <v>5</v>
      </c>
      <c r="G82" t="n">
        <v>0</v>
      </c>
      <c r="H82" t="n">
        <v>4</v>
      </c>
      <c r="I82" t="n">
        <v>0</v>
      </c>
      <c r="J82" t="inlineStr">
        <is>
          <t>|</t>
        </is>
      </c>
      <c r="K82" t="n">
        <v>9</v>
      </c>
    </row>
    <row r="83">
      <c r="A83" t="inlineStr"/>
      <c r="B83" t="n">
        <v>89</v>
      </c>
      <c r="C83" t="n">
        <v>6</v>
      </c>
      <c r="D83" t="inlineStr">
        <is>
          <t>Rte</t>
        </is>
      </c>
      <c r="E83" t="n">
        <v>89</v>
      </c>
      <c r="F83" t="n">
        <v>2</v>
      </c>
      <c r="G83" t="n">
        <v>0</v>
      </c>
      <c r="H83" t="n">
        <v>4</v>
      </c>
      <c r="I83" t="n">
        <v>0</v>
      </c>
      <c r="J83" t="inlineStr">
        <is>
          <t>|</t>
        </is>
      </c>
      <c r="K83" t="n">
        <v>6</v>
      </c>
    </row>
    <row r="84">
      <c r="A84" t="inlineStr"/>
      <c r="B84" t="n">
        <v>90</v>
      </c>
      <c r="C84" t="n">
        <v>12</v>
      </c>
      <c r="D84" t="inlineStr">
        <is>
          <t>Rte</t>
        </is>
      </c>
      <c r="E84" t="n">
        <v>90</v>
      </c>
      <c r="F84" t="n">
        <v>226</v>
      </c>
      <c r="G84" t="n">
        <v>0</v>
      </c>
      <c r="H84" t="n">
        <v>240</v>
      </c>
      <c r="I84" t="n">
        <v>0</v>
      </c>
      <c r="J84" t="inlineStr">
        <is>
          <t>|</t>
        </is>
      </c>
      <c r="K84" t="n">
        <v>465</v>
      </c>
    </row>
    <row r="85">
      <c r="A85" t="inlineStr"/>
      <c r="B85" t="n">
        <v>93</v>
      </c>
      <c r="C85" t="n">
        <v>11</v>
      </c>
      <c r="D85" t="inlineStr">
        <is>
          <t>Rte</t>
        </is>
      </c>
      <c r="E85" t="n">
        <v>93</v>
      </c>
      <c r="F85" t="n">
        <v>54</v>
      </c>
      <c r="G85" t="n">
        <v>0</v>
      </c>
      <c r="H85" t="n">
        <v>10</v>
      </c>
      <c r="I85" t="n">
        <v>0</v>
      </c>
      <c r="J85" t="inlineStr">
        <is>
          <t>|</t>
        </is>
      </c>
      <c r="K85" t="n">
        <v>64</v>
      </c>
    </row>
    <row r="86">
      <c r="A86" t="inlineStr"/>
      <c r="B86" t="n">
        <v>95</v>
      </c>
      <c r="C86" t="n">
        <v>6</v>
      </c>
      <c r="D86" t="inlineStr">
        <is>
          <t>Rte</t>
        </is>
      </c>
      <c r="E86" t="n">
        <v>95</v>
      </c>
      <c r="F86" t="n">
        <v>9</v>
      </c>
      <c r="G86" t="n">
        <v>0</v>
      </c>
      <c r="H86" t="n">
        <v>9</v>
      </c>
      <c r="I86" t="n">
        <v>0</v>
      </c>
      <c r="J86" t="inlineStr">
        <is>
          <t>|</t>
        </is>
      </c>
      <c r="K86" t="n">
        <v>18</v>
      </c>
    </row>
    <row r="87">
      <c r="A87" t="inlineStr">
        <is>
          <t xml:space="preserve">|
</t>
        </is>
      </c>
      <c r="F87" s="1" t="n"/>
      <c r="G87" s="1" t="n"/>
      <c r="H87" s="1" t="n"/>
      <c r="K87" s="1" t="n"/>
    </row>
    <row r="88">
      <c r="A88" t="inlineStr"/>
      <c r="B88" t="inlineStr">
        <is>
          <t>TOTAL</t>
        </is>
      </c>
      <c r="C88" t="n">
        <v>8376</v>
      </c>
      <c r="D88" t="n">
        <v>9917</v>
      </c>
      <c r="E88" t="n">
        <v>12250</v>
      </c>
      <c r="F88" t="n">
        <v>3434</v>
      </c>
      <c r="G88" t="inlineStr">
        <is>
          <t>|</t>
        </is>
      </c>
      <c r="H88" t="n">
        <v>33982</v>
      </c>
      <c r="K88" s="1" t="n"/>
    </row>
    <row r="89">
      <c r="A89" t="inlineStr">
        <is>
          <t xml:space="preserve">
</t>
        </is>
      </c>
      <c r="H89" s="1" t="n"/>
      <c r="K89" s="1" t="n"/>
    </row>
    <row r="90">
      <c r="A90" t="inlineStr">
        <is>
          <t xml:space="preserve">
</t>
        </is>
      </c>
      <c r="F90" s="1" t="n"/>
      <c r="H90" s="1" t="n"/>
      <c r="K90" s="1" t="n"/>
    </row>
    <row r="91">
      <c r="A91" t="inlineStr">
        <is>
          <t xml:space="preserve">
</t>
        </is>
      </c>
      <c r="G91" s="1" t="n"/>
      <c r="K91" s="1" t="n"/>
    </row>
    <row r="92">
      <c r="A92" t="inlineStr">
        <is>
          <t>TRANSIT</t>
        </is>
      </c>
      <c r="B92" t="inlineStr">
        <is>
          <t>BOARDINGS</t>
        </is>
      </c>
      <c r="C92" t="inlineStr">
        <is>
          <t>BY</t>
        </is>
      </c>
      <c r="D92" t="inlineStr">
        <is>
          <t>INDIVIDUAL</t>
        </is>
      </c>
      <c r="E92" t="inlineStr">
        <is>
          <t>ROUTES</t>
        </is>
      </c>
      <c r="F92" t="inlineStr">
        <is>
          <t>(DISAGGREGATE</t>
        </is>
      </c>
      <c r="G92" t="inlineStr">
        <is>
          <t xml:space="preserve">RESULTS)
</t>
        </is>
      </c>
    </row>
    <row r="93">
      <c r="A93" t="inlineStr">
        <is>
          <t xml:space="preserve">
</t>
        </is>
      </c>
    </row>
    <row r="94">
      <c r="A94" t="inlineStr"/>
      <c r="B94" t="inlineStr">
        <is>
          <t>RTE_ID</t>
        </is>
      </c>
      <c r="C94" t="inlineStr">
        <is>
          <t>RTE_NAME</t>
        </is>
      </c>
      <c r="D94" t="inlineStr">
        <is>
          <t>MODE</t>
        </is>
      </c>
      <c r="E94" t="inlineStr">
        <is>
          <t>HDAM</t>
        </is>
      </c>
      <c r="F94" t="inlineStr">
        <is>
          <t>HDMD</t>
        </is>
      </c>
      <c r="G94" t="inlineStr">
        <is>
          <t>HDPM</t>
        </is>
      </c>
      <c r="H94" t="inlineStr">
        <is>
          <t>HDOP</t>
        </is>
      </c>
      <c r="I94" t="inlineStr">
        <is>
          <t>RTE</t>
        </is>
      </c>
      <c r="J94" t="inlineStr">
        <is>
          <t>AM_MILES</t>
        </is>
      </c>
      <c r="K94" t="inlineStr">
        <is>
          <t>AM_TIME</t>
        </is>
      </c>
      <c r="L94" t="inlineStr">
        <is>
          <t>MD_MILES</t>
        </is>
      </c>
      <c r="M94" t="inlineStr">
        <is>
          <t>MD_TIME</t>
        </is>
      </c>
      <c r="N94" t="inlineStr">
        <is>
          <t>PM_MILES</t>
        </is>
      </c>
      <c r="O94" t="inlineStr">
        <is>
          <t>PM_TIME</t>
        </is>
      </c>
      <c r="P94" t="inlineStr">
        <is>
          <t>OP_MILES</t>
        </is>
      </c>
      <c r="Q94" t="inlineStr">
        <is>
          <t>OP_TIME</t>
        </is>
      </c>
      <c r="R94" t="inlineStr">
        <is>
          <t>TOT_ON</t>
        </is>
      </c>
      <c r="S94" t="inlineStr">
        <is>
          <t>1_WL</t>
        </is>
      </c>
      <c r="T94" t="inlineStr">
        <is>
          <t>1_WB</t>
        </is>
      </c>
      <c r="U94" t="inlineStr">
        <is>
          <t>1_WE</t>
        </is>
      </c>
      <c r="V94" t="inlineStr">
        <is>
          <t>1_WU</t>
        </is>
      </c>
      <c r="W94" t="inlineStr">
        <is>
          <t>1_WC</t>
        </is>
      </c>
      <c r="X94" t="inlineStr">
        <is>
          <t>1_PL</t>
        </is>
      </c>
      <c r="Y94" t="inlineStr">
        <is>
          <t>1_PB</t>
        </is>
      </c>
      <c r="Z94" t="inlineStr">
        <is>
          <t>1_PE</t>
        </is>
      </c>
      <c r="AA94" t="inlineStr">
        <is>
          <t>1_PU</t>
        </is>
      </c>
      <c r="AB94" t="inlineStr">
        <is>
          <t>1_PC</t>
        </is>
      </c>
      <c r="AC94" t="inlineStr">
        <is>
          <t>1_KL</t>
        </is>
      </c>
      <c r="AD94" t="inlineStr">
        <is>
          <t>1_KB</t>
        </is>
      </c>
      <c r="AE94" t="inlineStr">
        <is>
          <t>1_KE</t>
        </is>
      </c>
      <c r="AF94" t="inlineStr">
        <is>
          <t>1_KU</t>
        </is>
      </c>
      <c r="AG94" t="inlineStr">
        <is>
          <t>1_KC</t>
        </is>
      </c>
      <c r="AH94" t="inlineStr">
        <is>
          <t>2_WL</t>
        </is>
      </c>
      <c r="AI94" t="inlineStr">
        <is>
          <t>2_WB</t>
        </is>
      </c>
      <c r="AJ94" t="inlineStr">
        <is>
          <t>2_WE</t>
        </is>
      </c>
      <c r="AK94" t="inlineStr">
        <is>
          <t>2_WU</t>
        </is>
      </c>
      <c r="AL94" t="inlineStr">
        <is>
          <t>2_WC</t>
        </is>
      </c>
      <c r="AM94" t="inlineStr">
        <is>
          <t>2_PL</t>
        </is>
      </c>
      <c r="AN94" t="inlineStr">
        <is>
          <t>2_PB</t>
        </is>
      </c>
      <c r="AO94" t="inlineStr">
        <is>
          <t>2_PE</t>
        </is>
      </c>
      <c r="AP94" t="inlineStr">
        <is>
          <t>2_PU</t>
        </is>
      </c>
      <c r="AQ94" t="inlineStr">
        <is>
          <t>2_PC</t>
        </is>
      </c>
      <c r="AR94" t="inlineStr">
        <is>
          <t>2_KL</t>
        </is>
      </c>
      <c r="AS94" t="inlineStr">
        <is>
          <t>2_KB</t>
        </is>
      </c>
      <c r="AT94" t="inlineStr">
        <is>
          <t>2_KE</t>
        </is>
      </c>
      <c r="AU94" t="inlineStr">
        <is>
          <t>2_KU</t>
        </is>
      </c>
      <c r="AV94" t="inlineStr">
        <is>
          <t>2_KC</t>
        </is>
      </c>
      <c r="AW94" t="inlineStr">
        <is>
          <t>3_WL</t>
        </is>
      </c>
      <c r="AX94" t="inlineStr">
        <is>
          <t>3_WB</t>
        </is>
      </c>
      <c r="AY94" t="inlineStr">
        <is>
          <t>3_WE</t>
        </is>
      </c>
      <c r="AZ94" t="inlineStr">
        <is>
          <t>3_WU</t>
        </is>
      </c>
      <c r="BA94" t="inlineStr">
        <is>
          <t>3_WC</t>
        </is>
      </c>
      <c r="BB94" t="inlineStr">
        <is>
          <t>3_PL</t>
        </is>
      </c>
      <c r="BC94" t="inlineStr">
        <is>
          <t>3_PB</t>
        </is>
      </c>
      <c r="BD94" t="inlineStr">
        <is>
          <t>3_PE</t>
        </is>
      </c>
      <c r="BE94" t="inlineStr">
        <is>
          <t>3_PU</t>
        </is>
      </c>
      <c r="BF94" t="inlineStr">
        <is>
          <t>3_PC</t>
        </is>
      </c>
      <c r="BG94" t="inlineStr">
        <is>
          <t>3_KL</t>
        </is>
      </c>
      <c r="BH94" t="inlineStr">
        <is>
          <t>3_KB</t>
        </is>
      </c>
      <c r="BI94" t="inlineStr">
        <is>
          <t>3_KE</t>
        </is>
      </c>
      <c r="BJ94" t="inlineStr">
        <is>
          <t>3_KU</t>
        </is>
      </c>
      <c r="BK94" t="inlineStr">
        <is>
          <t>3_KC</t>
        </is>
      </c>
      <c r="BL94" t="inlineStr">
        <is>
          <t>4_WL</t>
        </is>
      </c>
      <c r="BM94" t="inlineStr">
        <is>
          <t>4_WB</t>
        </is>
      </c>
      <c r="BN94" t="inlineStr">
        <is>
          <t>4_WE</t>
        </is>
      </c>
      <c r="BO94" t="inlineStr">
        <is>
          <t>4_WU</t>
        </is>
      </c>
      <c r="BP94" t="inlineStr">
        <is>
          <t>4_WC</t>
        </is>
      </c>
      <c r="BQ94" t="inlineStr">
        <is>
          <t>4_PL</t>
        </is>
      </c>
      <c r="BR94" t="inlineStr">
        <is>
          <t>4_PB</t>
        </is>
      </c>
      <c r="BS94" t="inlineStr">
        <is>
          <t>4_PE</t>
        </is>
      </c>
      <c r="BT94" t="inlineStr">
        <is>
          <t>4_PU</t>
        </is>
      </c>
      <c r="BU94" t="inlineStr">
        <is>
          <t>4_PC</t>
        </is>
      </c>
      <c r="BV94" t="inlineStr">
        <is>
          <t>4_KL</t>
        </is>
      </c>
      <c r="BW94" t="inlineStr">
        <is>
          <t>4_KB</t>
        </is>
      </c>
      <c r="BX94" t="inlineStr">
        <is>
          <t>4_KE</t>
        </is>
      </c>
      <c r="BY94" t="inlineStr">
        <is>
          <t>4_KU</t>
        </is>
      </c>
      <c r="BZ94" t="inlineStr">
        <is>
          <t>4_KC</t>
        </is>
      </c>
      <c r="CA94" t="inlineStr">
        <is>
          <t>5_WL</t>
        </is>
      </c>
      <c r="CB94" t="inlineStr">
        <is>
          <t>5_WB</t>
        </is>
      </c>
      <c r="CC94" t="inlineStr">
        <is>
          <t>5_WE</t>
        </is>
      </c>
      <c r="CD94" t="inlineStr">
        <is>
          <t>5_WU</t>
        </is>
      </c>
      <c r="CE94" t="inlineStr">
        <is>
          <t>5_WC</t>
        </is>
      </c>
      <c r="CF94" t="inlineStr">
        <is>
          <t>5_PL</t>
        </is>
      </c>
      <c r="CG94" t="inlineStr">
        <is>
          <t>5_PB</t>
        </is>
      </c>
      <c r="CH94" t="inlineStr">
        <is>
          <t>5_PE</t>
        </is>
      </c>
      <c r="CI94" t="inlineStr">
        <is>
          <t>5_PU</t>
        </is>
      </c>
      <c r="CJ94" t="inlineStr">
        <is>
          <t>5_PC</t>
        </is>
      </c>
      <c r="CK94" t="inlineStr">
        <is>
          <t>5_KL</t>
        </is>
      </c>
      <c r="CL94" t="inlineStr">
        <is>
          <t>5_KB</t>
        </is>
      </c>
      <c r="CM94" t="inlineStr">
        <is>
          <t>5_KE</t>
        </is>
      </c>
      <c r="CN94" t="inlineStr">
        <is>
          <t>5_KU</t>
        </is>
      </c>
      <c r="CO94" t="inlineStr">
        <is>
          <t>5_KC</t>
        </is>
      </c>
      <c r="CP94" t="inlineStr">
        <is>
          <t>6_WL</t>
        </is>
      </c>
      <c r="CQ94" t="inlineStr">
        <is>
          <t>6_WB</t>
        </is>
      </c>
      <c r="CR94" t="inlineStr">
        <is>
          <t>6_WE</t>
        </is>
      </c>
      <c r="CS94" t="inlineStr">
        <is>
          <t>6_WU</t>
        </is>
      </c>
      <c r="CT94" t="inlineStr">
        <is>
          <t>6_WC</t>
        </is>
      </c>
      <c r="CU94" t="inlineStr">
        <is>
          <t>6_PL</t>
        </is>
      </c>
      <c r="CV94" t="inlineStr">
        <is>
          <t>6_PB</t>
        </is>
      </c>
      <c r="CW94" t="inlineStr">
        <is>
          <t>6_PE</t>
        </is>
      </c>
      <c r="CX94" t="inlineStr">
        <is>
          <t>6_PU</t>
        </is>
      </c>
      <c r="CY94" t="inlineStr">
        <is>
          <t>6_PC</t>
        </is>
      </c>
      <c r="CZ94" t="inlineStr">
        <is>
          <t>6_KL</t>
        </is>
      </c>
      <c r="DA94" t="inlineStr">
        <is>
          <t>6_KB</t>
        </is>
      </c>
      <c r="DB94" t="inlineStr">
        <is>
          <t>6_KE</t>
        </is>
      </c>
      <c r="DC94" t="inlineStr">
        <is>
          <t>6_KU</t>
        </is>
      </c>
      <c r="DD94" t="inlineStr">
        <is>
          <t>6_KC</t>
        </is>
      </c>
      <c r="DE94" t="inlineStr">
        <is>
          <t>7_WL</t>
        </is>
      </c>
      <c r="DF94" t="inlineStr">
        <is>
          <t>7_WB</t>
        </is>
      </c>
      <c r="DG94" t="inlineStr">
        <is>
          <t>7_WE</t>
        </is>
      </c>
      <c r="DH94" t="inlineStr">
        <is>
          <t>7_WU</t>
        </is>
      </c>
      <c r="DI94" t="inlineStr">
        <is>
          <t>7_WC</t>
        </is>
      </c>
      <c r="DJ94" t="inlineStr">
        <is>
          <t>7_PL</t>
        </is>
      </c>
      <c r="DK94" t="inlineStr">
        <is>
          <t>7_PB</t>
        </is>
      </c>
      <c r="DL94" t="inlineStr">
        <is>
          <t>7_PE</t>
        </is>
      </c>
      <c r="DM94" t="inlineStr">
        <is>
          <t>7_PU</t>
        </is>
      </c>
      <c r="DN94" t="inlineStr">
        <is>
          <t>7_PC</t>
        </is>
      </c>
      <c r="DO94" t="inlineStr">
        <is>
          <t>7_KL</t>
        </is>
      </c>
      <c r="DP94" t="inlineStr">
        <is>
          <t>7_KB</t>
        </is>
      </c>
      <c r="DQ94" t="inlineStr">
        <is>
          <t>7_KE</t>
        </is>
      </c>
      <c r="DR94" t="inlineStr">
        <is>
          <t>7_KU</t>
        </is>
      </c>
      <c r="DS94" t="inlineStr">
        <is>
          <t>7_KC</t>
        </is>
      </c>
      <c r="DT94" t="inlineStr">
        <is>
          <t>TOT_PH</t>
        </is>
      </c>
      <c r="DU94" t="inlineStr">
        <is>
          <t xml:space="preserve">TOT_PM
</t>
        </is>
      </c>
    </row>
    <row r="95">
      <c r="A95" t="inlineStr">
        <is>
          <t xml:space="preserve">
</t>
        </is>
      </c>
    </row>
    <row r="96">
      <c r="A96" t="inlineStr"/>
      <c r="B96" t="inlineStr">
        <is>
          <t>1Rte</t>
        </is>
      </c>
      <c r="C96" t="n">
        <v>52</v>
      </c>
      <c r="D96" t="inlineStr">
        <is>
          <t>NOLENSVILLE</t>
        </is>
      </c>
      <c r="E96" t="inlineStr">
        <is>
          <t>PIKE</t>
        </is>
      </c>
      <c r="F96" t="inlineStr">
        <is>
          <t>(</t>
        </is>
      </c>
      <c r="G96" t="n">
        <v>1</v>
      </c>
      <c r="H96" t="n">
        <v>20</v>
      </c>
      <c r="I96" t="n">
        <v>30</v>
      </c>
      <c r="J96" t="n">
        <v>22</v>
      </c>
      <c r="K96" t="n">
        <v>23</v>
      </c>
      <c r="L96" t="n">
        <v>52</v>
      </c>
      <c r="M96" t="n">
        <v>9.292847</v>
      </c>
      <c r="N96" t="n">
        <v>41.5467</v>
      </c>
      <c r="O96" t="n">
        <v>9.292847</v>
      </c>
      <c r="P96" t="n">
        <v>38.592688</v>
      </c>
      <c r="Q96" t="n">
        <v>9.292847</v>
      </c>
      <c r="R96" t="n">
        <v>57.91692</v>
      </c>
      <c r="S96" t="n">
        <v>9.292847</v>
      </c>
      <c r="T96" t="n">
        <v>34.977284</v>
      </c>
      <c r="U96" t="inlineStr">
        <is>
          <t>1048238.02.942</t>
        </is>
      </c>
      <c r="V96" t="n">
        <v>0</v>
      </c>
      <c r="W96" t="inlineStr">
        <is>
          <t>03.5622.4050.4180.209</t>
        </is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inlineStr">
        <is>
          <t>0288.32.024</t>
        </is>
      </c>
      <c r="AE96" t="n">
        <v>0</v>
      </c>
      <c r="AF96" t="n">
        <v>0</v>
      </c>
      <c r="AG96" t="inlineStr">
        <is>
          <t>01.5300.162</t>
        </is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inlineStr">
        <is>
          <t>0339.41.1160.203</t>
        </is>
      </c>
      <c r="AP96" t="n">
        <v>6.03</v>
      </c>
      <c r="AQ96" t="n">
        <v>1</v>
      </c>
      <c r="AR96" t="n">
        <v>0</v>
      </c>
      <c r="AS96" t="n">
        <v>0</v>
      </c>
      <c r="AT96" t="n">
        <v>17.11</v>
      </c>
      <c r="AU96" t="n">
        <v>0</v>
      </c>
      <c r="AV96" t="n">
        <v>0</v>
      </c>
      <c r="AW96" t="n">
        <v>0</v>
      </c>
      <c r="AX96" t="n">
        <v>0</v>
      </c>
      <c r="AY96" t="n">
        <v>143.2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174</v>
      </c>
      <c r="BO96" t="n">
        <v>2099</v>
      </c>
    </row>
    <row r="97">
      <c r="A97" t="inlineStr"/>
      <c r="B97" t="inlineStr">
        <is>
          <t>2Rte</t>
        </is>
      </c>
      <c r="C97" t="n">
        <v>17</v>
      </c>
      <c r="D97" t="inlineStr">
        <is>
          <t>12TH</t>
        </is>
      </c>
      <c r="E97" t="inlineStr">
        <is>
          <t>AVENUE</t>
        </is>
      </c>
      <c r="F97" t="inlineStr">
        <is>
          <t>SOUTH</t>
        </is>
      </c>
      <c r="G97" t="n">
        <v>1</v>
      </c>
      <c r="H97" t="n">
        <v>20</v>
      </c>
      <c r="I97" t="n">
        <v>28</v>
      </c>
      <c r="J97" t="n">
        <v>24</v>
      </c>
      <c r="K97" t="n">
        <v>50</v>
      </c>
      <c r="L97" t="n">
        <v>17</v>
      </c>
      <c r="M97" t="n">
        <v>6.224015</v>
      </c>
      <c r="N97" t="n">
        <v>29.96334</v>
      </c>
      <c r="O97" t="n">
        <v>6.224015</v>
      </c>
      <c r="P97" t="n">
        <v>26.100435</v>
      </c>
      <c r="Q97" t="n">
        <v>6.224015</v>
      </c>
      <c r="R97" t="n">
        <v>28.9162</v>
      </c>
      <c r="S97" t="n">
        <v>6.224015</v>
      </c>
      <c r="T97" t="n">
        <v>23.804186</v>
      </c>
      <c r="U97" t="n">
        <v>502174.6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139.6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171.5</v>
      </c>
      <c r="AX97" t="n">
        <v>1</v>
      </c>
      <c r="AY97" t="n">
        <v>1</v>
      </c>
      <c r="AZ97" t="inlineStr">
        <is>
          <t>00.3571.555</t>
        </is>
      </c>
      <c r="BA97" t="n">
        <v>1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11.31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0.208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100</v>
      </c>
      <c r="BX97" t="n">
        <v>1295</v>
      </c>
    </row>
    <row r="98">
      <c r="A98" t="inlineStr"/>
      <c r="B98" t="inlineStr">
        <is>
          <t>3Rte</t>
        </is>
      </c>
      <c r="C98" t="n">
        <v>18</v>
      </c>
      <c r="D98" t="inlineStr">
        <is>
          <t>Airport</t>
        </is>
      </c>
      <c r="E98" t="inlineStr">
        <is>
          <t>Exp</t>
        </is>
      </c>
      <c r="F98" t="inlineStr">
        <is>
          <t>OB</t>
        </is>
      </c>
      <c r="G98" t="n">
        <v>6</v>
      </c>
      <c r="H98" t="n">
        <v>45</v>
      </c>
      <c r="I98" t="n">
        <v>45</v>
      </c>
      <c r="J98" t="n">
        <v>60</v>
      </c>
      <c r="K98" t="n">
        <v>50</v>
      </c>
      <c r="L98" t="n">
        <v>18</v>
      </c>
      <c r="M98" t="n">
        <v>7.637199</v>
      </c>
      <c r="N98" t="n">
        <v>15.041985</v>
      </c>
      <c r="O98" t="n">
        <v>7.637199</v>
      </c>
      <c r="P98" t="n">
        <v>13.721014</v>
      </c>
      <c r="Q98" t="n">
        <v>7.637199</v>
      </c>
      <c r="R98" t="n">
        <v>22.430828</v>
      </c>
      <c r="S98" t="n">
        <v>7.637199</v>
      </c>
      <c r="T98" t="n">
        <v>11.975933</v>
      </c>
      <c r="U98" t="n">
        <v>10</v>
      </c>
      <c r="V98" t="n">
        <v>0</v>
      </c>
      <c r="W98" t="n">
        <v>6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2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2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3</v>
      </c>
      <c r="CD98" t="n">
        <v>75</v>
      </c>
    </row>
    <row r="99">
      <c r="A99" t="inlineStr"/>
      <c r="B99" t="inlineStr">
        <is>
          <t>4Rte</t>
        </is>
      </c>
      <c r="C99" t="n">
        <v>22</v>
      </c>
      <c r="D99" t="inlineStr">
        <is>
          <t>Bordeaux</t>
        </is>
      </c>
      <c r="E99" t="inlineStr">
        <is>
          <t>(Panaroma</t>
        </is>
      </c>
      <c r="F99" t="n">
        <v>1</v>
      </c>
      <c r="G99" t="n">
        <v>60</v>
      </c>
      <c r="H99" t="n">
        <v>51</v>
      </c>
      <c r="I99" t="n">
        <v>48</v>
      </c>
      <c r="J99" t="n">
        <v>38</v>
      </c>
      <c r="K99" s="1" t="n">
        <v>22</v>
      </c>
      <c r="L99" t="n">
        <v>5.29575</v>
      </c>
      <c r="M99" t="n">
        <v>25.657422</v>
      </c>
      <c r="N99" t="n">
        <v>5.29575</v>
      </c>
      <c r="O99" t="n">
        <v>21.361641</v>
      </c>
      <c r="P99" t="n">
        <v>5.29575</v>
      </c>
      <c r="Q99" t="n">
        <v>22.018248</v>
      </c>
      <c r="R99" t="n">
        <v>5.29575</v>
      </c>
      <c r="S99" t="n">
        <v>19.776534</v>
      </c>
      <c r="T99" t="n">
        <v>38087.07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132.1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112.6</v>
      </c>
      <c r="AW99" t="n">
        <v>0</v>
      </c>
      <c r="AX99" t="n">
        <v>0</v>
      </c>
      <c r="AY99" t="inlineStr">
        <is>
          <t>00.5790.272</t>
        </is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46.69</v>
      </c>
      <c r="BI99" t="n">
        <v>0</v>
      </c>
      <c r="BJ99" t="n">
        <v>0</v>
      </c>
      <c r="BK99" t="n">
        <v>0</v>
      </c>
      <c r="BL99" t="inlineStr">
        <is>
          <t>00.2390.1190.274</t>
        </is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56</v>
      </c>
      <c r="BU99" t="n">
        <v>734</v>
      </c>
    </row>
    <row r="100">
      <c r="A100" t="inlineStr"/>
      <c r="B100" t="inlineStr">
        <is>
          <t>5Rte</t>
        </is>
      </c>
      <c r="C100" t="n">
        <v>52</v>
      </c>
      <c r="D100" t="inlineStr">
        <is>
          <t>NOLENSVILLE</t>
        </is>
      </c>
      <c r="E100" t="inlineStr">
        <is>
          <t>PIKE</t>
        </is>
      </c>
      <c r="F100" t="inlineStr">
        <is>
          <t>(</t>
        </is>
      </c>
      <c r="G100" t="n">
        <v>1</v>
      </c>
      <c r="H100" t="n">
        <v>20</v>
      </c>
      <c r="I100" t="n">
        <v>28</v>
      </c>
      <c r="J100" t="n">
        <v>27</v>
      </c>
      <c r="K100" t="n">
        <v>27</v>
      </c>
      <c r="L100" t="n">
        <v>52</v>
      </c>
      <c r="M100" t="n">
        <v>9.515181999999999</v>
      </c>
      <c r="N100" t="n">
        <v>60.603691</v>
      </c>
      <c r="O100" t="n">
        <v>9.515181999999999</v>
      </c>
      <c r="P100" t="n">
        <v>38.505123</v>
      </c>
      <c r="Q100" t="n">
        <v>9.515181999999999</v>
      </c>
      <c r="R100" t="n">
        <v>42.917478</v>
      </c>
      <c r="S100" t="n">
        <v>9.515181999999999</v>
      </c>
      <c r="T100" t="n">
        <v>32.779586</v>
      </c>
      <c r="U100" t="n">
        <v>890212</v>
      </c>
      <c r="V100" t="n">
        <v>0</v>
      </c>
      <c r="W100" t="n">
        <v>0</v>
      </c>
      <c r="X100" t="inlineStr">
        <is>
          <t>00.9481.361</t>
        </is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240.2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inlineStr">
        <is>
          <t>0322.91.421</t>
        </is>
      </c>
      <c r="AV100" t="n">
        <v>0</v>
      </c>
      <c r="AW100" t="n">
        <v>5.02</v>
      </c>
      <c r="AX100" t="n">
        <v>0</v>
      </c>
      <c r="AY100" t="n">
        <v>0.473</v>
      </c>
      <c r="AZ100" t="n">
        <v>0.473</v>
      </c>
      <c r="BA100" t="n">
        <v>0</v>
      </c>
      <c r="BB100" t="n">
        <v>0</v>
      </c>
      <c r="BC100" t="n">
        <v>0</v>
      </c>
      <c r="BD100" t="n">
        <v>0</v>
      </c>
      <c r="BE100" t="n">
        <v>104.3</v>
      </c>
      <c r="BF100" t="n">
        <v>0</v>
      </c>
      <c r="BG100" t="n">
        <v>0</v>
      </c>
      <c r="BH100" t="n">
        <v>0</v>
      </c>
      <c r="BI100" t="n">
        <v>0.5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179</v>
      </c>
      <c r="BT100" t="n">
        <v>2090</v>
      </c>
    </row>
    <row r="101">
      <c r="A101" t="inlineStr"/>
      <c r="B101" t="inlineStr">
        <is>
          <t>7Rte</t>
        </is>
      </c>
      <c r="C101" s="1" t="n">
        <v>112</v>
      </c>
      <c r="D101" s="1" t="inlineStr">
        <is>
          <t>FTA</t>
        </is>
      </c>
      <c r="E101" s="1" t="inlineStr">
        <is>
          <t>Red</t>
        </is>
      </c>
      <c r="F101" s="1" t="inlineStr">
        <is>
          <t>Route</t>
        </is>
      </c>
      <c r="G101" t="inlineStr">
        <is>
          <t>SN</t>
        </is>
      </c>
      <c r="H101" s="1" t="n">
        <v>3</v>
      </c>
      <c r="I101" t="n">
        <v>112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</row>
    <row r="102">
      <c r="A102" t="inlineStr"/>
      <c r="B102" t="inlineStr">
        <is>
          <t>8Rte</t>
        </is>
      </c>
      <c r="C102" t="n">
        <v>107</v>
      </c>
      <c r="D102" t="inlineStr">
        <is>
          <t>Rover</t>
        </is>
      </c>
      <c r="E102" t="inlineStr">
        <is>
          <t>Gateway</t>
        </is>
      </c>
      <c r="F102" t="n">
        <v>2</v>
      </c>
      <c r="G102" t="n">
        <v>107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</row>
    <row r="103">
      <c r="A103" t="inlineStr"/>
      <c r="B103" t="inlineStr">
        <is>
          <t>9Rte</t>
        </is>
      </c>
      <c r="C103" t="n">
        <v>105</v>
      </c>
      <c r="D103" t="inlineStr">
        <is>
          <t>Rover</t>
        </is>
      </c>
      <c r="E103" t="inlineStr">
        <is>
          <t>HighLand</t>
        </is>
      </c>
      <c r="F103" t="n">
        <v>2</v>
      </c>
      <c r="G103" t="n">
        <v>105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</row>
    <row r="104">
      <c r="A104" t="inlineStr"/>
      <c r="B104" t="inlineStr">
        <is>
          <t>10Rte</t>
        </is>
      </c>
      <c r="C104" s="1" t="n">
        <v>106</v>
      </c>
      <c r="D104" s="1" t="inlineStr">
        <is>
          <t>Rover</t>
        </is>
      </c>
      <c r="E104" s="1" t="inlineStr">
        <is>
          <t>Medical</t>
        </is>
      </c>
      <c r="F104" s="1" t="inlineStr">
        <is>
          <t>Cen</t>
        </is>
      </c>
      <c r="G104" t="n">
        <v>2</v>
      </c>
      <c r="H104" s="1" t="n">
        <v>106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</row>
    <row r="105">
      <c r="A105" t="inlineStr"/>
      <c r="B105" t="inlineStr">
        <is>
          <t>11Rte</t>
        </is>
      </c>
      <c r="C105" s="1" t="n">
        <v>104</v>
      </c>
      <c r="D105" s="1" t="inlineStr">
        <is>
          <t>Rover</t>
        </is>
      </c>
      <c r="E105" s="1" t="inlineStr">
        <is>
          <t>Mercury</t>
        </is>
      </c>
      <c r="F105" s="1" t="n">
        <v>2</v>
      </c>
      <c r="G105" t="n">
        <v>104</v>
      </c>
      <c r="H105" s="1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</row>
    <row r="106">
      <c r="A106" t="inlineStr"/>
      <c r="B106" t="inlineStr">
        <is>
          <t>12Rte</t>
        </is>
      </c>
      <c r="C106" s="1" t="n">
        <v>108</v>
      </c>
      <c r="D106" s="1" t="inlineStr">
        <is>
          <t>Rover</t>
        </is>
      </c>
      <c r="E106" s="1" t="inlineStr">
        <is>
          <t>Old</t>
        </is>
      </c>
      <c r="F106" s="1" t="inlineStr">
        <is>
          <t>Fort</t>
        </is>
      </c>
      <c r="G106" t="n">
        <v>2</v>
      </c>
      <c r="H106" s="1" t="n">
        <v>108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</row>
    <row r="107">
      <c r="A107" t="inlineStr"/>
      <c r="B107" t="inlineStr">
        <is>
          <t>13Rte</t>
        </is>
      </c>
      <c r="C107" t="n">
        <v>102</v>
      </c>
      <c r="D107" t="inlineStr">
        <is>
          <t>Rover</t>
        </is>
      </c>
      <c r="E107" t="inlineStr">
        <is>
          <t>South</t>
        </is>
      </c>
      <c r="F107" t="inlineStr">
        <is>
          <t>Churc</t>
        </is>
      </c>
      <c r="G107" t="n">
        <v>2</v>
      </c>
      <c r="H107" t="n">
        <v>102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</row>
    <row r="108">
      <c r="A108" t="inlineStr"/>
      <c r="B108" t="inlineStr">
        <is>
          <t>14Rte</t>
        </is>
      </c>
      <c r="C108" t="n">
        <v>23</v>
      </c>
      <c r="D108" t="inlineStr">
        <is>
          <t>Dickerson</t>
        </is>
      </c>
      <c r="E108" t="inlineStr">
        <is>
          <t>Pike</t>
        </is>
      </c>
      <c r="F108" t="inlineStr">
        <is>
          <t>OB</t>
        </is>
      </c>
      <c r="G108" t="n">
        <v>1</v>
      </c>
      <c r="H108" t="n">
        <v>12</v>
      </c>
      <c r="I108" t="n">
        <v>12</v>
      </c>
      <c r="J108" t="n">
        <v>13</v>
      </c>
      <c r="K108" t="n">
        <v>17</v>
      </c>
      <c r="L108" t="n">
        <v>23</v>
      </c>
      <c r="M108" t="n">
        <v>6.458566</v>
      </c>
      <c r="N108" t="n">
        <v>22.981663</v>
      </c>
      <c r="O108" t="n">
        <v>6.458566</v>
      </c>
      <c r="P108" t="n">
        <v>23.734565</v>
      </c>
      <c r="Q108" t="n">
        <v>6.458566</v>
      </c>
      <c r="R108" t="n">
        <v>30.377315</v>
      </c>
      <c r="S108" t="n">
        <v>6.458566</v>
      </c>
      <c r="T108" t="n">
        <v>22.722386</v>
      </c>
      <c r="U108" t="n">
        <v>769108.3</v>
      </c>
      <c r="V108" t="n">
        <v>1</v>
      </c>
      <c r="W108" t="n">
        <v>0</v>
      </c>
      <c r="X108" t="inlineStr">
        <is>
          <t>01.7501.750</t>
        </is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213.9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inlineStr">
        <is>
          <t>0319.23.730</t>
        </is>
      </c>
      <c r="AV108" t="n">
        <v>0</v>
      </c>
      <c r="AW108" t="inlineStr">
        <is>
          <t>02.1260.527</t>
        </is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116.2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163</v>
      </c>
      <c r="BV108" t="n">
        <v>2289</v>
      </c>
    </row>
    <row r="109">
      <c r="A109" t="inlineStr"/>
      <c r="B109" t="inlineStr">
        <is>
          <t>15Rte</t>
        </is>
      </c>
      <c r="C109" t="n">
        <v>23</v>
      </c>
      <c r="D109" t="inlineStr">
        <is>
          <t>Dickerson</t>
        </is>
      </c>
      <c r="E109" t="inlineStr">
        <is>
          <t>Pike</t>
        </is>
      </c>
      <c r="F109" t="inlineStr">
        <is>
          <t>IB</t>
        </is>
      </c>
      <c r="G109" t="n">
        <v>1</v>
      </c>
      <c r="H109" t="n">
        <v>13</v>
      </c>
      <c r="I109" t="n">
        <v>11</v>
      </c>
      <c r="J109" t="n">
        <v>14</v>
      </c>
      <c r="K109" t="n">
        <v>16</v>
      </c>
      <c r="L109" t="n">
        <v>23</v>
      </c>
      <c r="M109" t="n">
        <v>6.465608</v>
      </c>
      <c r="N109" t="n">
        <v>33.277667</v>
      </c>
      <c r="O109" t="n">
        <v>6.465608</v>
      </c>
      <c r="P109" t="n">
        <v>24.100337</v>
      </c>
      <c r="Q109" t="n">
        <v>6.465608</v>
      </c>
      <c r="R109" t="n">
        <v>24.133569</v>
      </c>
      <c r="S109" t="n">
        <v>6.465608</v>
      </c>
      <c r="T109" t="n">
        <v>22.370519</v>
      </c>
      <c r="U109" t="inlineStr">
        <is>
          <t>733234.01.236</t>
        </is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264.2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inlineStr">
        <is>
          <t>0176.20.500</t>
        </is>
      </c>
      <c r="AW109" t="n">
        <v>0</v>
      </c>
      <c r="AX109" t="n">
        <v>0</v>
      </c>
      <c r="AY109" t="n">
        <v>0.472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56.15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155</v>
      </c>
      <c r="BX109" t="n">
        <v>2065</v>
      </c>
    </row>
    <row r="110">
      <c r="A110" t="inlineStr"/>
      <c r="B110" t="inlineStr">
        <is>
          <t>16Rte</t>
        </is>
      </c>
      <c r="C110" t="n">
        <v>52</v>
      </c>
      <c r="D110" t="inlineStr">
        <is>
          <t>NOLENSVILLE</t>
        </is>
      </c>
      <c r="E110" t="inlineStr">
        <is>
          <t>PIKE</t>
        </is>
      </c>
      <c r="F110" t="inlineStr">
        <is>
          <t>(</t>
        </is>
      </c>
      <c r="G110" t="n">
        <v>1</v>
      </c>
      <c r="H110" t="n">
        <v>23</v>
      </c>
      <c r="I110" t="n">
        <v>28</v>
      </c>
      <c r="J110" t="n">
        <v>24</v>
      </c>
      <c r="K110" t="n">
        <v>27</v>
      </c>
      <c r="L110" t="n">
        <v>52</v>
      </c>
      <c r="M110" t="n">
        <v>9.960908</v>
      </c>
      <c r="N110" t="n">
        <v>58.597594</v>
      </c>
      <c r="O110" t="n">
        <v>9.960908</v>
      </c>
      <c r="P110" t="n">
        <v>43.127115</v>
      </c>
      <c r="Q110" t="n">
        <v>9.960908</v>
      </c>
      <c r="R110" t="n">
        <v>50.183936</v>
      </c>
      <c r="S110" t="n">
        <v>9.960908</v>
      </c>
      <c r="T110" t="n">
        <v>37.506142</v>
      </c>
      <c r="U110" t="n">
        <v>946206.9</v>
      </c>
      <c r="V110" t="n">
        <v>0</v>
      </c>
      <c r="W110" t="n">
        <v>0</v>
      </c>
      <c r="X110" t="inlineStr">
        <is>
          <t>02.8431.210</t>
        </is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249.9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inlineStr">
        <is>
          <t>0375.91.578</t>
        </is>
      </c>
      <c r="AV110" t="n">
        <v>0</v>
      </c>
      <c r="AW110" t="n">
        <v>4.466</v>
      </c>
      <c r="AX110" t="n">
        <v>0</v>
      </c>
      <c r="AY110" t="n">
        <v>0.526</v>
      </c>
      <c r="AZ110" t="n">
        <v>0.526</v>
      </c>
      <c r="BA110" t="n">
        <v>0</v>
      </c>
      <c r="BB110" t="n">
        <v>0</v>
      </c>
      <c r="BC110" t="n">
        <v>0</v>
      </c>
      <c r="BD110" t="n">
        <v>0</v>
      </c>
      <c r="BE110" t="n">
        <v>101.3</v>
      </c>
      <c r="BF110" t="n">
        <v>0</v>
      </c>
      <c r="BG110" t="n">
        <v>0</v>
      </c>
      <c r="BH110" t="n">
        <v>0</v>
      </c>
      <c r="BI110" t="n">
        <v>0.5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208</v>
      </c>
      <c r="BT110" t="n">
        <v>2436</v>
      </c>
    </row>
    <row r="111">
      <c r="A111" t="inlineStr"/>
      <c r="B111" t="inlineStr">
        <is>
          <t>17Rte</t>
        </is>
      </c>
      <c r="C111" t="n">
        <v>4</v>
      </c>
      <c r="D111" t="inlineStr">
        <is>
          <t>Shelby</t>
        </is>
      </c>
      <c r="E111" t="inlineStr">
        <is>
          <t>IB</t>
        </is>
      </c>
      <c r="F111" t="n">
        <v>1</v>
      </c>
      <c r="G111" t="n">
        <v>36</v>
      </c>
      <c r="H111" t="n">
        <v>40</v>
      </c>
      <c r="I111" t="n">
        <v>40</v>
      </c>
      <c r="J111" t="n">
        <v>25</v>
      </c>
      <c r="K111" t="n">
        <v>4</v>
      </c>
      <c r="L111" t="n">
        <v>8.487560999999999</v>
      </c>
      <c r="M111" t="n">
        <v>41.241547</v>
      </c>
      <c r="N111" t="n">
        <v>8.487560999999999</v>
      </c>
      <c r="O111" t="n">
        <v>35.129299</v>
      </c>
      <c r="P111" t="n">
        <v>8.487560999999999</v>
      </c>
      <c r="Q111" t="n">
        <v>35.403894</v>
      </c>
      <c r="R111" t="n">
        <v>8.487560999999999</v>
      </c>
      <c r="S111" t="n">
        <v>33.019422</v>
      </c>
      <c r="T111" t="n">
        <v>97</v>
      </c>
      <c r="U111" t="n">
        <v>26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14.33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16.82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39.55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18</v>
      </c>
      <c r="CA111" t="n">
        <v>228</v>
      </c>
    </row>
    <row r="112">
      <c r="A112" t="inlineStr"/>
      <c r="B112" t="inlineStr">
        <is>
          <t>18Rte</t>
        </is>
      </c>
      <c r="C112" t="n">
        <v>4</v>
      </c>
      <c r="D112" t="inlineStr">
        <is>
          <t>Shelby</t>
        </is>
      </c>
      <c r="E112" t="inlineStr">
        <is>
          <t>OB</t>
        </is>
      </c>
      <c r="F112" t="n">
        <v>1</v>
      </c>
      <c r="G112" t="n">
        <v>36</v>
      </c>
      <c r="H112" t="n">
        <v>40</v>
      </c>
      <c r="I112" t="n">
        <v>40</v>
      </c>
      <c r="J112" t="n">
        <v>33</v>
      </c>
      <c r="K112" t="n">
        <v>4</v>
      </c>
      <c r="L112" t="n">
        <v>7.531683</v>
      </c>
      <c r="M112" t="n">
        <v>29.979675</v>
      </c>
      <c r="N112" t="n">
        <v>7.531683</v>
      </c>
      <c r="O112" t="n">
        <v>30.655462</v>
      </c>
      <c r="P112" t="n">
        <v>7.531683</v>
      </c>
      <c r="Q112" t="n">
        <v>35.257454</v>
      </c>
      <c r="R112" t="n">
        <v>7.531683</v>
      </c>
      <c r="S112" t="n">
        <v>29.360991</v>
      </c>
      <c r="T112" t="n">
        <v>21625.9</v>
      </c>
      <c r="U112" t="n">
        <v>3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54.81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81.78</v>
      </c>
      <c r="AW112" t="n">
        <v>0.214</v>
      </c>
      <c r="AX112" t="n">
        <v>0.214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49.86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52</v>
      </c>
      <c r="BX112" t="n">
        <v>683</v>
      </c>
    </row>
    <row r="113">
      <c r="A113" t="inlineStr"/>
      <c r="B113" t="inlineStr">
        <is>
          <t>19Rte</t>
        </is>
      </c>
      <c r="C113" t="n">
        <v>52</v>
      </c>
      <c r="D113" t="inlineStr">
        <is>
          <t>NOLENSVILLE</t>
        </is>
      </c>
      <c r="E113" t="inlineStr">
        <is>
          <t>PIKE</t>
        </is>
      </c>
      <c r="F113" t="inlineStr">
        <is>
          <t>(</t>
        </is>
      </c>
      <c r="G113" t="n">
        <v>1</v>
      </c>
      <c r="H113" t="n">
        <v>20</v>
      </c>
      <c r="I113" t="n">
        <v>30</v>
      </c>
      <c r="J113" t="n">
        <v>22</v>
      </c>
      <c r="K113" t="n">
        <v>25</v>
      </c>
      <c r="L113" t="n">
        <v>52</v>
      </c>
      <c r="M113" t="n">
        <v>10.03621</v>
      </c>
      <c r="N113" t="n">
        <v>50.985514</v>
      </c>
      <c r="O113" t="n">
        <v>10.03621</v>
      </c>
      <c r="P113" t="n">
        <v>43.073399</v>
      </c>
      <c r="Q113" t="n">
        <v>10.03621</v>
      </c>
      <c r="R113" t="n">
        <v>59.449471</v>
      </c>
      <c r="S113" t="n">
        <v>10.03621</v>
      </c>
      <c r="T113" t="n">
        <v>38.545148</v>
      </c>
      <c r="U113" t="inlineStr">
        <is>
          <t>1067248.02.942</t>
        </is>
      </c>
      <c r="V113" t="n">
        <v>0</v>
      </c>
      <c r="W113" t="inlineStr">
        <is>
          <t>03.5622.4050.4180.209</t>
        </is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inlineStr">
        <is>
          <t>0301.32.024</t>
        </is>
      </c>
      <c r="AE113" t="n">
        <v>0</v>
      </c>
      <c r="AF113" t="n">
        <v>0</v>
      </c>
      <c r="AG113" t="inlineStr">
        <is>
          <t>00.5300.162</t>
        </is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inlineStr">
        <is>
          <t>0342.42.1160.203</t>
        </is>
      </c>
      <c r="AP113" t="n">
        <v>7.03</v>
      </c>
      <c r="AQ113" t="n">
        <v>0</v>
      </c>
      <c r="AR113" t="n">
        <v>0</v>
      </c>
      <c r="AS113" t="n">
        <v>0</v>
      </c>
      <c r="AT113" t="n">
        <v>17.11</v>
      </c>
      <c r="AU113" t="n">
        <v>0</v>
      </c>
      <c r="AV113" t="n">
        <v>0</v>
      </c>
      <c r="AW113" t="n">
        <v>0</v>
      </c>
      <c r="AX113" t="n">
        <v>0</v>
      </c>
      <c r="AY113" t="n">
        <v>136.8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195</v>
      </c>
      <c r="BO113" t="n">
        <v>2380</v>
      </c>
    </row>
    <row r="114">
      <c r="A114" t="inlineStr"/>
      <c r="B114" t="inlineStr">
        <is>
          <t>20Rte</t>
        </is>
      </c>
      <c r="C114" t="n">
        <v>22</v>
      </c>
      <c r="D114" t="inlineStr">
        <is>
          <t>Bordeaux</t>
        </is>
      </c>
      <c r="E114" t="inlineStr">
        <is>
          <t>(Panaroma</t>
        </is>
      </c>
      <c r="F114" t="n">
        <v>1</v>
      </c>
      <c r="G114" t="n">
        <v>60</v>
      </c>
      <c r="H114" t="n">
        <v>45</v>
      </c>
      <c r="I114" t="n">
        <v>48</v>
      </c>
      <c r="J114" t="n">
        <v>33</v>
      </c>
      <c r="K114" t="n">
        <v>22</v>
      </c>
      <c r="L114" t="n">
        <v>5.362009</v>
      </c>
      <c r="M114" t="n">
        <v>20.25337</v>
      </c>
      <c r="N114" t="n">
        <v>5.362009</v>
      </c>
      <c r="O114" t="n">
        <v>20.655449</v>
      </c>
      <c r="P114" t="n">
        <v>5.362009</v>
      </c>
      <c r="Q114" t="n">
        <v>23.296701</v>
      </c>
      <c r="R114" t="n">
        <v>5.362009</v>
      </c>
      <c r="S114" t="n">
        <v>19.728334</v>
      </c>
      <c r="T114" t="inlineStr">
        <is>
          <t>46823.060.240</t>
        </is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inlineStr">
        <is>
          <t>0125.10.172</t>
        </is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inlineStr">
        <is>
          <t>0178.91.8600.294</t>
        </is>
      </c>
      <c r="AU114" t="inlineStr">
        <is>
          <t>00.4668.4850.2000.692</t>
        </is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126.2</v>
      </c>
      <c r="BC114" t="n">
        <v>0</v>
      </c>
      <c r="BD114" t="n">
        <v>0</v>
      </c>
      <c r="BE114" t="n">
        <v>0</v>
      </c>
      <c r="BF114" t="n">
        <v>1.816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62</v>
      </c>
      <c r="BQ114" t="n">
        <v>898</v>
      </c>
    </row>
    <row r="115">
      <c r="A115" t="inlineStr"/>
      <c r="B115" t="inlineStr">
        <is>
          <t>21Rte</t>
        </is>
      </c>
      <c r="C115" t="n">
        <v>28</v>
      </c>
      <c r="D115" t="inlineStr">
        <is>
          <t>Meridian</t>
        </is>
      </c>
      <c r="E115" t="inlineStr">
        <is>
          <t>IB</t>
        </is>
      </c>
      <c r="F115" t="n">
        <v>1</v>
      </c>
      <c r="G115" t="n">
        <v>36</v>
      </c>
      <c r="H115" t="n">
        <v>60</v>
      </c>
      <c r="I115" t="n">
        <v>34</v>
      </c>
      <c r="J115" t="n">
        <v>60</v>
      </c>
      <c r="K115" t="n">
        <v>28</v>
      </c>
      <c r="L115" t="n">
        <v>5.072392</v>
      </c>
      <c r="M115" t="n">
        <v>24.878446</v>
      </c>
      <c r="N115" t="n">
        <v>5.072392</v>
      </c>
      <c r="O115" t="n">
        <v>20.840102</v>
      </c>
      <c r="P115" t="n">
        <v>5.072392</v>
      </c>
      <c r="Q115" t="n">
        <v>21.00469</v>
      </c>
      <c r="R115" t="n">
        <v>5.072392</v>
      </c>
      <c r="S115" t="n">
        <v>20.044755</v>
      </c>
      <c r="T115" t="n">
        <v>34</v>
      </c>
      <c r="U115" t="n">
        <v>18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15</v>
      </c>
      <c r="AZ115" t="n">
        <v>0</v>
      </c>
      <c r="BA115" t="n">
        <v>0</v>
      </c>
      <c r="BB115" t="n">
        <v>0</v>
      </c>
      <c r="BC115" t="n">
        <v>0.5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10</v>
      </c>
      <c r="CC115" t="n">
        <v>122</v>
      </c>
    </row>
    <row r="116">
      <c r="A116" t="inlineStr"/>
      <c r="B116" t="inlineStr">
        <is>
          <t>22Rte</t>
        </is>
      </c>
      <c r="C116" t="n">
        <v>75</v>
      </c>
      <c r="D116" t="inlineStr">
        <is>
          <t>Midtown</t>
        </is>
      </c>
      <c r="E116" t="inlineStr">
        <is>
          <t>CW</t>
        </is>
      </c>
      <c r="F116" t="inlineStr">
        <is>
          <t>Loop</t>
        </is>
      </c>
      <c r="G116" t="n">
        <v>1</v>
      </c>
      <c r="H116" t="n">
        <v>45</v>
      </c>
      <c r="I116" t="n">
        <v>45</v>
      </c>
      <c r="J116" t="n">
        <v>48</v>
      </c>
      <c r="K116" t="n">
        <v>75</v>
      </c>
      <c r="L116" t="n">
        <v>6.800749</v>
      </c>
      <c r="M116" t="n">
        <v>31.576208</v>
      </c>
      <c r="N116" t="n">
        <v>6.800749</v>
      </c>
      <c r="O116" t="n">
        <v>28.8661</v>
      </c>
      <c r="P116" t="n">
        <v>6.800749</v>
      </c>
      <c r="Q116" t="n">
        <v>33.526229</v>
      </c>
      <c r="R116" t="n">
        <v>0</v>
      </c>
      <c r="S116" t="n">
        <v>0</v>
      </c>
      <c r="T116" t="n">
        <v>5110.51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20.27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20.15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7</v>
      </c>
      <c r="CA116" t="n">
        <v>89</v>
      </c>
    </row>
    <row r="117">
      <c r="A117" t="inlineStr"/>
      <c r="B117" t="inlineStr">
        <is>
          <t>23Rte</t>
        </is>
      </c>
      <c r="C117" t="n">
        <v>75</v>
      </c>
      <c r="D117" t="inlineStr">
        <is>
          <t>Midtown</t>
        </is>
      </c>
      <c r="E117" t="inlineStr">
        <is>
          <t>CCW</t>
        </is>
      </c>
      <c r="F117" t="inlineStr">
        <is>
          <t>Loop</t>
        </is>
      </c>
      <c r="G117" t="n">
        <v>1</v>
      </c>
      <c r="H117" t="n">
        <v>45</v>
      </c>
      <c r="I117" t="n">
        <v>45</v>
      </c>
      <c r="J117" t="n">
        <v>48</v>
      </c>
      <c r="K117" t="n">
        <v>75</v>
      </c>
      <c r="L117" t="n">
        <v>6.784261</v>
      </c>
      <c r="M117" t="n">
        <v>36.176899</v>
      </c>
      <c r="N117" t="n">
        <v>6.784261</v>
      </c>
      <c r="O117" t="n">
        <v>30.574167</v>
      </c>
      <c r="P117" t="n">
        <v>6.784261</v>
      </c>
      <c r="Q117" t="n">
        <v>35.159474</v>
      </c>
      <c r="R117" t="n">
        <v>0</v>
      </c>
      <c r="S117" t="n">
        <v>0</v>
      </c>
      <c r="T117" t="n">
        <v>7421.17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25.63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27.2</v>
      </c>
      <c r="AW117" t="n">
        <v>0</v>
      </c>
      <c r="AX117" t="n">
        <v>0</v>
      </c>
      <c r="AY117" t="n">
        <v>0.277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15</v>
      </c>
      <c r="BZ117" t="n">
        <v>167</v>
      </c>
    </row>
    <row r="118">
      <c r="A118" t="inlineStr"/>
      <c r="B118" t="inlineStr">
        <is>
          <t>24Rte</t>
        </is>
      </c>
      <c r="C118" t="n">
        <v>42</v>
      </c>
      <c r="D118" t="inlineStr">
        <is>
          <t>St.</t>
        </is>
      </c>
      <c r="E118" t="inlineStr">
        <is>
          <t>Cecilia/Cumber</t>
        </is>
      </c>
      <c r="F118" t="n">
        <v>1</v>
      </c>
      <c r="G118" t="n">
        <v>36</v>
      </c>
      <c r="H118" t="n">
        <v>60</v>
      </c>
      <c r="I118" t="n">
        <v>30</v>
      </c>
      <c r="J118" t="n">
        <v>50</v>
      </c>
      <c r="K118" t="n">
        <v>42</v>
      </c>
      <c r="L118" t="n">
        <v>4.89816</v>
      </c>
      <c r="M118" t="n">
        <v>20.84858</v>
      </c>
      <c r="N118" t="n">
        <v>4.89816</v>
      </c>
      <c r="O118" t="n">
        <v>19.576857</v>
      </c>
      <c r="P118" t="n">
        <v>4.89816</v>
      </c>
      <c r="Q118" t="n">
        <v>20.133478</v>
      </c>
      <c r="R118" t="n">
        <v>4.89816</v>
      </c>
      <c r="S118" t="n">
        <v>18.311034</v>
      </c>
      <c r="T118" t="n">
        <v>30297.33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63.07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inlineStr">
        <is>
          <t>0107.51.285</t>
        </is>
      </c>
      <c r="AW118" t="n">
        <v>0</v>
      </c>
      <c r="AX118" t="n">
        <v>0.444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31.96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40</v>
      </c>
      <c r="BX118" t="n">
        <v>535</v>
      </c>
    </row>
    <row r="119">
      <c r="A119" t="inlineStr"/>
      <c r="B119" t="inlineStr">
        <is>
          <t>25Rte</t>
        </is>
      </c>
      <c r="C119" t="n">
        <v>42</v>
      </c>
      <c r="D119" t="inlineStr">
        <is>
          <t>St.</t>
        </is>
      </c>
      <c r="E119" t="inlineStr">
        <is>
          <t>Cecilia/Cumber</t>
        </is>
      </c>
      <c r="F119" t="n">
        <v>1</v>
      </c>
      <c r="G119" t="n">
        <v>45</v>
      </c>
      <c r="H119" t="n">
        <v>51</v>
      </c>
      <c r="I119" t="n">
        <v>34</v>
      </c>
      <c r="J119" t="n">
        <v>50</v>
      </c>
      <c r="K119" t="n">
        <v>42</v>
      </c>
      <c r="L119" t="n">
        <v>4.504059</v>
      </c>
      <c r="M119" t="n">
        <v>18.055459</v>
      </c>
      <c r="N119" t="n">
        <v>4.504059</v>
      </c>
      <c r="O119" t="n">
        <v>18.313838</v>
      </c>
      <c r="P119" t="n">
        <v>4.504059</v>
      </c>
      <c r="Q119" t="n">
        <v>19.238062</v>
      </c>
      <c r="R119" t="n">
        <v>4.504059</v>
      </c>
      <c r="S119" t="n">
        <v>17.277144</v>
      </c>
      <c r="T119" t="inlineStr">
        <is>
          <t>36831.250.716</t>
        </is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inlineStr">
        <is>
          <t>068.300.518</t>
        </is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inlineStr">
        <is>
          <t>0206.42.6040.411</t>
        </is>
      </c>
      <c r="AU119" t="inlineStr">
        <is>
          <t>00.6531.3860.2800.969</t>
        </is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53.9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39</v>
      </c>
      <c r="BR119" t="n">
        <v>567</v>
      </c>
    </row>
    <row r="120">
      <c r="A120" t="inlineStr"/>
      <c r="B120" t="inlineStr">
        <is>
          <t>28Rte</t>
        </is>
      </c>
      <c r="C120" t="n">
        <v>14</v>
      </c>
      <c r="D120" t="inlineStr">
        <is>
          <t>WHITES</t>
        </is>
      </c>
      <c r="E120" t="inlineStr">
        <is>
          <t>CREEK</t>
        </is>
      </c>
      <c r="F120" t="inlineStr">
        <is>
          <t>oB</t>
        </is>
      </c>
      <c r="G120" t="n">
        <v>1</v>
      </c>
      <c r="H120" t="n">
        <v>36</v>
      </c>
      <c r="I120" t="n">
        <v>51</v>
      </c>
      <c r="J120" t="n">
        <v>34</v>
      </c>
      <c r="K120" t="n">
        <v>60</v>
      </c>
      <c r="L120" t="n">
        <v>14</v>
      </c>
      <c r="M120" t="n">
        <v>7.401511</v>
      </c>
      <c r="N120" t="n">
        <v>28.274705</v>
      </c>
      <c r="O120" t="n">
        <v>7.401511</v>
      </c>
      <c r="P120" t="n">
        <v>28.563053</v>
      </c>
      <c r="Q120" t="n">
        <v>7.401511</v>
      </c>
      <c r="R120" t="n">
        <v>32.74827</v>
      </c>
      <c r="S120" t="n">
        <v>7.401511</v>
      </c>
      <c r="T120" t="n">
        <v>27.639426</v>
      </c>
      <c r="U120" t="n">
        <v>16419</v>
      </c>
      <c r="V120" t="n">
        <v>0</v>
      </c>
      <c r="W120" t="n">
        <v>0</v>
      </c>
      <c r="X120" t="inlineStr">
        <is>
          <t>00.2500.250</t>
        </is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37.63</v>
      </c>
      <c r="AH120" t="n">
        <v>1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inlineStr">
        <is>
          <t>088.070.269</t>
        </is>
      </c>
      <c r="AV120" t="n">
        <v>0</v>
      </c>
      <c r="AW120" t="n">
        <v>0.415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17.29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41</v>
      </c>
      <c r="BW120" t="n">
        <v>560</v>
      </c>
    </row>
    <row r="121">
      <c r="A121" t="inlineStr"/>
      <c r="B121" t="inlineStr">
        <is>
          <t>29Rte</t>
        </is>
      </c>
      <c r="C121" t="n">
        <v>14</v>
      </c>
      <c r="D121" t="inlineStr">
        <is>
          <t>WHITES</t>
        </is>
      </c>
      <c r="E121" t="inlineStr">
        <is>
          <t>CREEK</t>
        </is>
      </c>
      <c r="F121" t="inlineStr">
        <is>
          <t>iB</t>
        </is>
      </c>
      <c r="G121" t="n">
        <v>1</v>
      </c>
      <c r="H121" t="n">
        <v>36</v>
      </c>
      <c r="I121" t="n">
        <v>60</v>
      </c>
      <c r="J121" t="n">
        <v>34</v>
      </c>
      <c r="K121" t="n">
        <v>75</v>
      </c>
      <c r="L121" t="n">
        <v>14</v>
      </c>
      <c r="M121" t="n">
        <v>6.881154</v>
      </c>
      <c r="N121" t="n">
        <v>32.177562</v>
      </c>
      <c r="O121" t="n">
        <v>6.881154</v>
      </c>
      <c r="P121" t="n">
        <v>26.15729</v>
      </c>
      <c r="Q121" t="n">
        <v>6.881154</v>
      </c>
      <c r="R121" t="n">
        <v>26.393382</v>
      </c>
      <c r="S121" t="n">
        <v>6.881154</v>
      </c>
      <c r="T121" t="n">
        <v>24.59945</v>
      </c>
      <c r="U121" t="inlineStr">
        <is>
          <t>15778.800.263</t>
        </is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21.2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48.22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8.641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39</v>
      </c>
      <c r="BZ121" t="n">
        <v>466</v>
      </c>
    </row>
    <row r="122">
      <c r="A122" t="inlineStr"/>
      <c r="B122" t="inlineStr">
        <is>
          <t>30Rte</t>
        </is>
      </c>
      <c r="C122" t="n">
        <v>9</v>
      </c>
      <c r="D122" t="inlineStr">
        <is>
          <t>MetroCenter</t>
        </is>
      </c>
      <c r="E122" t="inlineStr">
        <is>
          <t>OB</t>
        </is>
      </c>
      <c r="F122" t="n">
        <v>1</v>
      </c>
      <c r="G122" t="n">
        <v>23</v>
      </c>
      <c r="H122" t="n">
        <v>24</v>
      </c>
      <c r="I122" t="n">
        <v>40</v>
      </c>
      <c r="J122" t="n">
        <v>9</v>
      </c>
      <c r="K122" t="n">
        <v>8.529693</v>
      </c>
      <c r="L122" t="n">
        <v>37.721919</v>
      </c>
      <c r="M122" t="n">
        <v>8.529693</v>
      </c>
      <c r="N122" t="n">
        <v>35.063107</v>
      </c>
      <c r="O122" t="n">
        <v>8.529693</v>
      </c>
      <c r="P122" t="n">
        <v>37.323141</v>
      </c>
      <c r="Q122" t="n">
        <v>0</v>
      </c>
      <c r="R122" t="n">
        <v>0</v>
      </c>
      <c r="S122" t="inlineStr">
        <is>
          <t>635180.84.591</t>
        </is>
      </c>
      <c r="T122" t="n">
        <v>0</v>
      </c>
      <c r="U122" t="n">
        <v>0</v>
      </c>
      <c r="V122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245.6</v>
      </c>
      <c r="AG122" t="n">
        <v>1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inlineStr">
        <is>
          <t>0198.52.604</t>
        </is>
      </c>
      <c r="AU122" t="n">
        <v>0</v>
      </c>
      <c r="AV122" t="n">
        <v>0</v>
      </c>
      <c r="AW122" t="n">
        <v>1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117</v>
      </c>
      <c r="BX122" t="n">
        <v>1600</v>
      </c>
    </row>
    <row r="123">
      <c r="A123" t="inlineStr"/>
      <c r="B123" t="inlineStr">
        <is>
          <t>31Rte</t>
        </is>
      </c>
      <c r="C123" t="n">
        <v>64</v>
      </c>
      <c r="D123" t="inlineStr">
        <is>
          <t>STAR</t>
        </is>
      </c>
      <c r="E123" t="inlineStr">
        <is>
          <t>DOWNTOWN</t>
        </is>
      </c>
      <c r="F123" t="inlineStr">
        <is>
          <t>SHUT</t>
        </is>
      </c>
      <c r="G123" t="n">
        <v>11</v>
      </c>
      <c r="H123" t="n">
        <v>60</v>
      </c>
      <c r="I123" t="n">
        <v>48</v>
      </c>
      <c r="J123" t="n">
        <v>64</v>
      </c>
      <c r="K123" t="n">
        <v>2.477752</v>
      </c>
      <c r="L123" t="n">
        <v>10.189942</v>
      </c>
      <c r="M123" t="n">
        <v>0</v>
      </c>
      <c r="N123" t="n">
        <v>0</v>
      </c>
      <c r="O123" t="n">
        <v>2.477752</v>
      </c>
      <c r="P123" t="n">
        <v>10.511723</v>
      </c>
      <c r="Q123" t="n">
        <v>0</v>
      </c>
      <c r="R123" t="n">
        <v>0</v>
      </c>
      <c r="S123" t="n">
        <v>122</v>
      </c>
      <c r="T123" t="n">
        <v>0</v>
      </c>
      <c r="U123" t="n">
        <v>0</v>
      </c>
      <c r="V123" t="n">
        <v>0</v>
      </c>
      <c r="W123" t="n">
        <v>30.51</v>
      </c>
      <c r="X123" t="n">
        <v>0</v>
      </c>
      <c r="Y123" t="n">
        <v>0</v>
      </c>
      <c r="Z123" t="n">
        <v>0</v>
      </c>
      <c r="AA123" t="n">
        <v>74.5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17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6</v>
      </c>
      <c r="BZ123" t="n">
        <v>82</v>
      </c>
    </row>
    <row r="124">
      <c r="A124" t="inlineStr"/>
      <c r="B124" t="inlineStr">
        <is>
          <t>32Rte</t>
        </is>
      </c>
      <c r="C124" t="n">
        <v>8</v>
      </c>
      <c r="D124" t="inlineStr">
        <is>
          <t>8TH</t>
        </is>
      </c>
      <c r="E124" t="inlineStr">
        <is>
          <t>AVENUE</t>
        </is>
      </c>
      <c r="F124" t="inlineStr">
        <is>
          <t>SOUTH</t>
        </is>
      </c>
      <c r="G124" t="inlineStr">
        <is>
          <t>iB</t>
        </is>
      </c>
      <c r="H124" t="n">
        <v>1</v>
      </c>
      <c r="I124" t="n">
        <v>23</v>
      </c>
      <c r="J124" t="n">
        <v>28</v>
      </c>
      <c r="K124" t="n">
        <v>34</v>
      </c>
      <c r="L124" t="n">
        <v>43</v>
      </c>
      <c r="M124" t="n">
        <v>8</v>
      </c>
      <c r="N124" t="n">
        <v>5.772245</v>
      </c>
      <c r="O124" t="n">
        <v>28.184886</v>
      </c>
      <c r="P124" t="n">
        <v>5.772245</v>
      </c>
      <c r="Q124" t="n">
        <v>24.010222</v>
      </c>
      <c r="R124" t="n">
        <v>5.772245</v>
      </c>
      <c r="S124" t="n">
        <v>26.888221</v>
      </c>
      <c r="T124" t="n">
        <v>5.772245</v>
      </c>
      <c r="U124" t="n">
        <v>21.389337</v>
      </c>
      <c r="V124" t="inlineStr">
        <is>
          <t>471131.01.258</t>
        </is>
      </c>
      <c r="W124" t="n">
        <v>0</v>
      </c>
      <c r="X124" t="n">
        <v>0</v>
      </c>
      <c r="Y124" t="n">
        <v>19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166.8</v>
      </c>
      <c r="AI124" t="n">
        <v>1</v>
      </c>
      <c r="AJ124" t="n">
        <v>0</v>
      </c>
      <c r="AK124" t="n">
        <v>0</v>
      </c>
      <c r="AL124" t="n">
        <v>7.8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111.8</v>
      </c>
      <c r="AV124" t="n">
        <v>1</v>
      </c>
      <c r="AW124" t="n">
        <v>1</v>
      </c>
      <c r="AX124" t="n">
        <v>0</v>
      </c>
      <c r="AY124" t="n">
        <v>2.582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27.84</v>
      </c>
      <c r="BI124" t="n">
        <v>0</v>
      </c>
      <c r="BJ124" t="n">
        <v>0</v>
      </c>
      <c r="BK124" t="n">
        <v>0</v>
      </c>
      <c r="BL124" t="n">
        <v>0.192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84</v>
      </c>
      <c r="BW124" t="n">
        <v>1054</v>
      </c>
    </row>
    <row r="125">
      <c r="A125" t="inlineStr"/>
      <c r="B125" t="inlineStr">
        <is>
          <t>33Rte</t>
        </is>
      </c>
      <c r="C125" t="n">
        <v>8</v>
      </c>
      <c r="D125" t="inlineStr">
        <is>
          <t>8TH</t>
        </is>
      </c>
      <c r="E125" t="inlineStr">
        <is>
          <t>AVENUE</t>
        </is>
      </c>
      <c r="F125" t="inlineStr">
        <is>
          <t>SOUTH</t>
        </is>
      </c>
      <c r="G125" t="inlineStr">
        <is>
          <t>oB</t>
        </is>
      </c>
      <c r="H125" t="n">
        <v>1</v>
      </c>
      <c r="I125" t="n">
        <v>26</v>
      </c>
      <c r="J125" t="n">
        <v>26</v>
      </c>
      <c r="K125" t="n">
        <v>30</v>
      </c>
      <c r="L125" t="n">
        <v>50</v>
      </c>
      <c r="M125" t="n">
        <v>8</v>
      </c>
      <c r="N125" t="n">
        <v>5.489907</v>
      </c>
      <c r="O125" t="n">
        <v>25.05654</v>
      </c>
      <c r="P125" t="n">
        <v>5.489907</v>
      </c>
      <c r="Q125" t="n">
        <v>22.173616</v>
      </c>
      <c r="R125" t="n">
        <v>5.489907</v>
      </c>
      <c r="S125" t="n">
        <v>26.759871</v>
      </c>
      <c r="T125" t="n">
        <v>5.489907</v>
      </c>
      <c r="U125" t="n">
        <v>20.043538</v>
      </c>
      <c r="V125" t="inlineStr">
        <is>
          <t>43277.861.426</t>
        </is>
      </c>
      <c r="W125" t="n">
        <v>0</v>
      </c>
      <c r="X125" t="n">
        <v>0.291</v>
      </c>
      <c r="Y125" t="n">
        <v>2</v>
      </c>
      <c r="Z125" t="n">
        <v>0</v>
      </c>
      <c r="AA125" t="n">
        <v>0</v>
      </c>
      <c r="AB125" t="n">
        <v>0.51</v>
      </c>
      <c r="AC125" t="n">
        <v>0</v>
      </c>
      <c r="AD125" t="n">
        <v>0</v>
      </c>
      <c r="AE125" t="n">
        <v>0</v>
      </c>
      <c r="AF125" t="n">
        <v>0</v>
      </c>
      <c r="AG125" t="inlineStr">
        <is>
          <t>0159.61.037</t>
        </is>
      </c>
      <c r="AH125" t="n">
        <v>0</v>
      </c>
      <c r="AI125" t="n">
        <v>0</v>
      </c>
      <c r="AJ125" t="n">
        <v>0</v>
      </c>
      <c r="AK125" t="n">
        <v>2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inlineStr">
        <is>
          <t>0136.51.600</t>
        </is>
      </c>
      <c r="AU125" t="n">
        <v>0</v>
      </c>
      <c r="AV125" t="inlineStr">
        <is>
          <t>01.9446.710</t>
        </is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38.33</v>
      </c>
      <c r="BF125" t="n">
        <v>0</v>
      </c>
      <c r="BG125" t="n">
        <v>1</v>
      </c>
      <c r="BH125" t="n">
        <v>0</v>
      </c>
      <c r="BI125" t="n">
        <v>1.043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75</v>
      </c>
      <c r="BT125" t="n">
        <v>976</v>
      </c>
    </row>
    <row r="126">
      <c r="A126" t="inlineStr"/>
      <c r="B126" t="inlineStr">
        <is>
          <t>34Rte</t>
        </is>
      </c>
      <c r="C126" t="n">
        <v>3</v>
      </c>
      <c r="D126" t="inlineStr">
        <is>
          <t>West</t>
        </is>
      </c>
      <c r="E126" t="inlineStr">
        <is>
          <t>End</t>
        </is>
      </c>
      <c r="F126" t="inlineStr">
        <is>
          <t>(White</t>
        </is>
      </c>
      <c r="G126" t="inlineStr">
        <is>
          <t>Bri</t>
        </is>
      </c>
      <c r="H126" t="n">
        <v>1</v>
      </c>
      <c r="I126" t="n">
        <v>23</v>
      </c>
      <c r="J126" t="n">
        <v>30</v>
      </c>
      <c r="K126" t="n">
        <v>24</v>
      </c>
      <c r="L126" t="n">
        <v>25</v>
      </c>
      <c r="M126" t="n">
        <v>3</v>
      </c>
      <c r="N126" t="n">
        <v>7.087023</v>
      </c>
      <c r="O126" t="n">
        <v>38.912289</v>
      </c>
      <c r="P126" t="n">
        <v>7.087023</v>
      </c>
      <c r="Q126" t="n">
        <v>31.598481</v>
      </c>
      <c r="R126" t="n">
        <v>7.087023</v>
      </c>
      <c r="S126" t="n">
        <v>35.794261</v>
      </c>
      <c r="T126" t="n">
        <v>7.087023</v>
      </c>
      <c r="U126" t="n">
        <v>27.614034</v>
      </c>
      <c r="V126" t="inlineStr">
        <is>
          <t>1140232.00.2960.533</t>
        </is>
      </c>
      <c r="W126" t="inlineStr">
        <is>
          <t>00.8881.454</t>
        </is>
      </c>
      <c r="X126" t="n">
        <v>0</v>
      </c>
      <c r="Y126" t="n">
        <v>0</v>
      </c>
      <c r="Z126" t="n">
        <v>0.444</v>
      </c>
      <c r="AA126" t="n">
        <v>0</v>
      </c>
      <c r="AB126" t="n">
        <v>0</v>
      </c>
      <c r="AC126" t="n">
        <v>0</v>
      </c>
      <c r="AD126" t="n">
        <v>0</v>
      </c>
      <c r="AE126" t="n">
        <v>231.2</v>
      </c>
      <c r="AF126" t="n">
        <v>0</v>
      </c>
      <c r="AG126" t="n">
        <v>0</v>
      </c>
      <c r="AH126" t="n">
        <v>0</v>
      </c>
      <c r="AI126" t="n">
        <v>0.672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inlineStr">
        <is>
          <t>0401.00.312</t>
        </is>
      </c>
      <c r="AS126" t="n">
        <v>0</v>
      </c>
      <c r="AT126" t="inlineStr">
        <is>
          <t>05.02485.211.0524.736</t>
        </is>
      </c>
      <c r="AU126" t="n">
        <v>43.68</v>
      </c>
      <c r="AV126" t="n">
        <v>0</v>
      </c>
      <c r="AW126" t="n">
        <v>0</v>
      </c>
      <c r="AX126" t="n">
        <v>0</v>
      </c>
      <c r="AY126" t="n">
        <v>0</v>
      </c>
      <c r="AZ126" t="n">
        <v>118.3</v>
      </c>
      <c r="BA126" t="n">
        <v>0</v>
      </c>
      <c r="BB126" t="n">
        <v>0</v>
      </c>
      <c r="BC126" t="n">
        <v>0</v>
      </c>
      <c r="BD126" t="inlineStr">
        <is>
          <t>012.400.1810.568</t>
        </is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247</v>
      </c>
      <c r="BM126" t="n">
        <v>2697</v>
      </c>
    </row>
    <row r="127">
      <c r="A127" t="inlineStr"/>
      <c r="B127" t="inlineStr">
        <is>
          <t>35Rte</t>
        </is>
      </c>
      <c r="C127" t="n">
        <v>3</v>
      </c>
      <c r="D127" t="inlineStr">
        <is>
          <t>West</t>
        </is>
      </c>
      <c r="E127" t="inlineStr">
        <is>
          <t>End</t>
        </is>
      </c>
      <c r="F127" t="inlineStr">
        <is>
          <t>(Bellevue)</t>
        </is>
      </c>
      <c r="G127" t="n">
        <v>1</v>
      </c>
      <c r="H127" t="n">
        <v>26</v>
      </c>
      <c r="I127" t="n">
        <v>28</v>
      </c>
      <c r="J127" t="n">
        <v>27</v>
      </c>
      <c r="K127" t="n">
        <v>33</v>
      </c>
      <c r="L127" t="n">
        <v>3</v>
      </c>
      <c r="M127" t="n">
        <v>13.55785</v>
      </c>
      <c r="N127" t="n">
        <v>70.277106</v>
      </c>
      <c r="O127" t="n">
        <v>13.55785</v>
      </c>
      <c r="P127" t="n">
        <v>55.317909</v>
      </c>
      <c r="Q127" t="n">
        <v>13.55785</v>
      </c>
      <c r="R127" t="n">
        <v>59.792252</v>
      </c>
      <c r="S127" t="n">
        <v>13.55785</v>
      </c>
      <c r="T127" t="n">
        <v>50.132249</v>
      </c>
      <c r="U127" t="inlineStr">
        <is>
          <t>1041239.40.2590.466</t>
        </is>
      </c>
      <c r="V127" t="inlineStr">
        <is>
          <t>00.77715.97</t>
        </is>
      </c>
      <c r="W127" t="n">
        <v>0</v>
      </c>
      <c r="X127" t="n">
        <v>0</v>
      </c>
      <c r="Y127" t="n">
        <v>0.388</v>
      </c>
      <c r="Z127" t="n">
        <v>0</v>
      </c>
      <c r="AA127" t="n">
        <v>0</v>
      </c>
      <c r="AB127" t="n">
        <v>0</v>
      </c>
      <c r="AC127" t="n">
        <v>0</v>
      </c>
      <c r="AD127" t="n">
        <v>230.5</v>
      </c>
      <c r="AE127" t="n">
        <v>0</v>
      </c>
      <c r="AF127" t="n">
        <v>0</v>
      </c>
      <c r="AG127" t="n">
        <v>0</v>
      </c>
      <c r="AH127" t="n">
        <v>1.728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inlineStr">
        <is>
          <t>0337.60.281</t>
        </is>
      </c>
      <c r="AR127" t="n">
        <v>0</v>
      </c>
      <c r="AS127" t="inlineStr">
        <is>
          <t>04.52276.690.9474.263</t>
        </is>
      </c>
      <c r="AT127" t="n">
        <v>39.31</v>
      </c>
      <c r="AU127" t="n">
        <v>0</v>
      </c>
      <c r="AV127" t="n">
        <v>0</v>
      </c>
      <c r="AW127" t="n">
        <v>0</v>
      </c>
      <c r="AX127" t="n">
        <v>0</v>
      </c>
      <c r="AY127" t="n">
        <v>77.34999999999999</v>
      </c>
      <c r="AZ127" t="n">
        <v>0</v>
      </c>
      <c r="BA127" t="n">
        <v>0</v>
      </c>
      <c r="BB127" t="n">
        <v>0</v>
      </c>
      <c r="BC127" t="inlineStr">
        <is>
          <t>09.3940.1370.431</t>
        </is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291</v>
      </c>
      <c r="BL127" t="n">
        <v>3235</v>
      </c>
    </row>
    <row r="128">
      <c r="A128" t="inlineStr"/>
      <c r="B128" t="inlineStr">
        <is>
          <t>36Rte</t>
        </is>
      </c>
      <c r="C128" t="n">
        <v>93</v>
      </c>
      <c r="D128" t="inlineStr">
        <is>
          <t>MCS</t>
        </is>
      </c>
      <c r="E128" t="inlineStr">
        <is>
          <t>West</t>
        </is>
      </c>
      <c r="F128" t="inlineStr">
        <is>
          <t>End</t>
        </is>
      </c>
      <c r="G128" t="inlineStr">
        <is>
          <t>Shutt</t>
        </is>
      </c>
      <c r="H128" t="n">
        <v>11</v>
      </c>
      <c r="I128" t="n">
        <v>60</v>
      </c>
      <c r="J128" t="n">
        <v>120</v>
      </c>
      <c r="K128" t="n">
        <v>93</v>
      </c>
      <c r="L128" t="n">
        <v>5.950968</v>
      </c>
      <c r="M128" t="n">
        <v>30.764607</v>
      </c>
      <c r="N128" t="n">
        <v>0</v>
      </c>
      <c r="O128" t="n">
        <v>0</v>
      </c>
      <c r="P128" t="n">
        <v>5.950968</v>
      </c>
      <c r="Q128" t="n">
        <v>31.247036</v>
      </c>
      <c r="R128" t="n">
        <v>0</v>
      </c>
      <c r="S128" t="n">
        <v>0</v>
      </c>
      <c r="T128" t="n">
        <v>64</v>
      </c>
      <c r="U128" t="n">
        <v>0</v>
      </c>
      <c r="V128" t="n">
        <v>0</v>
      </c>
      <c r="W128" t="n">
        <v>0</v>
      </c>
      <c r="X128" t="n">
        <v>19.9</v>
      </c>
      <c r="Y128" t="n">
        <v>0</v>
      </c>
      <c r="Z128" t="n">
        <v>0</v>
      </c>
      <c r="AA128" t="n">
        <v>0</v>
      </c>
      <c r="AB128" t="n">
        <v>34.5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9</v>
      </c>
      <c r="BA128" t="n">
        <v>0</v>
      </c>
      <c r="BB128" t="n">
        <v>0</v>
      </c>
      <c r="BC128" t="n">
        <v>0</v>
      </c>
      <c r="BD128" t="n">
        <v>0</v>
      </c>
      <c r="BE128" t="n">
        <v>1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9</v>
      </c>
      <c r="CA128" t="n">
        <v>83</v>
      </c>
    </row>
    <row r="129">
      <c r="A129" t="inlineStr"/>
      <c r="B129" t="inlineStr">
        <is>
          <t>37Rte</t>
        </is>
      </c>
      <c r="C129" t="n">
        <v>7</v>
      </c>
      <c r="D129" t="inlineStr">
        <is>
          <t>Hillsboro</t>
        </is>
      </c>
      <c r="E129" t="inlineStr">
        <is>
          <t>IB</t>
        </is>
      </c>
      <c r="F129" t="n">
        <v>1</v>
      </c>
      <c r="G129" t="n">
        <v>15</v>
      </c>
      <c r="H129" t="n">
        <v>14</v>
      </c>
      <c r="I129" t="n">
        <v>18</v>
      </c>
      <c r="J129" t="n">
        <v>21</v>
      </c>
      <c r="K129" t="n">
        <v>7</v>
      </c>
      <c r="L129" t="n">
        <v>5.535606</v>
      </c>
      <c r="M129" t="n">
        <v>29.261784</v>
      </c>
      <c r="N129" t="n">
        <v>5.535606</v>
      </c>
      <c r="O129" t="n">
        <v>27.281037</v>
      </c>
      <c r="P129" t="n">
        <v>5.535606</v>
      </c>
      <c r="Q129" t="n">
        <v>30.404394</v>
      </c>
      <c r="R129" t="n">
        <v>5.535606</v>
      </c>
      <c r="S129" t="n">
        <v>23.643957</v>
      </c>
      <c r="T129" t="inlineStr">
        <is>
          <t>1256266.90.444</t>
        </is>
      </c>
      <c r="U129" t="n">
        <v>0</v>
      </c>
      <c r="V129" t="n">
        <v>1.333</v>
      </c>
      <c r="W129" t="n">
        <v>0</v>
      </c>
      <c r="X129" t="n">
        <v>0</v>
      </c>
      <c r="Y129" t="n">
        <v>0</v>
      </c>
      <c r="Z129" t="n">
        <v>0.666</v>
      </c>
      <c r="AA129" t="n">
        <v>0</v>
      </c>
      <c r="AB129" t="n">
        <v>0</v>
      </c>
      <c r="AC129" t="n">
        <v>0</v>
      </c>
      <c r="AD129" t="n">
        <v>0</v>
      </c>
      <c r="AE129" t="n">
        <v>471.4</v>
      </c>
      <c r="AF129" t="n">
        <v>1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inlineStr">
        <is>
          <t>0371.22.406</t>
        </is>
      </c>
      <c r="AT129" t="n">
        <v>0</v>
      </c>
      <c r="AU129" t="inlineStr">
        <is>
          <t>01.7424.115</t>
        </is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133.3</v>
      </c>
      <c r="BE129" t="n">
        <v>0</v>
      </c>
      <c r="BF129" t="n">
        <v>0</v>
      </c>
      <c r="BG129" t="n">
        <v>0</v>
      </c>
      <c r="BH129" t="inlineStr">
        <is>
          <t>01.4320.216</t>
        </is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238</v>
      </c>
      <c r="BR129" t="n">
        <v>2765</v>
      </c>
    </row>
    <row r="130">
      <c r="A130" t="inlineStr"/>
      <c r="B130" t="inlineStr">
        <is>
          <t>38Rte</t>
        </is>
      </c>
      <c r="C130" t="n">
        <v>3</v>
      </c>
      <c r="D130" t="inlineStr">
        <is>
          <t>West</t>
        </is>
      </c>
      <c r="E130" t="inlineStr">
        <is>
          <t>End</t>
        </is>
      </c>
      <c r="F130" t="inlineStr">
        <is>
          <t>(Bellevue)</t>
        </is>
      </c>
      <c r="G130" t="n">
        <v>1</v>
      </c>
      <c r="H130" t="n">
        <v>23</v>
      </c>
      <c r="I130" t="n">
        <v>30</v>
      </c>
      <c r="J130" t="n">
        <v>20</v>
      </c>
      <c r="K130" t="n">
        <v>38</v>
      </c>
      <c r="L130" t="n">
        <v>3</v>
      </c>
      <c r="M130" t="n">
        <v>13.507072</v>
      </c>
      <c r="N130" t="n">
        <v>58.438155</v>
      </c>
      <c r="O130" t="n">
        <v>13.507072</v>
      </c>
      <c r="P130" t="n">
        <v>54.675147</v>
      </c>
      <c r="Q130" t="n">
        <v>13.507072</v>
      </c>
      <c r="R130" t="n">
        <v>66.428916</v>
      </c>
      <c r="S130" t="n">
        <v>13.507072</v>
      </c>
      <c r="T130" t="n">
        <v>50.58197</v>
      </c>
      <c r="U130" t="inlineStr">
        <is>
          <t>1074219.86.664</t>
        </is>
      </c>
      <c r="V130" t="n">
        <v>0</v>
      </c>
      <c r="W130" t="inlineStr">
        <is>
          <t>02.07350.340.796</t>
        </is>
      </c>
      <c r="X130" t="n">
        <v>1</v>
      </c>
      <c r="Y130" t="n">
        <v>30.28</v>
      </c>
      <c r="Z130" t="n">
        <v>0</v>
      </c>
      <c r="AA130" t="n">
        <v>0</v>
      </c>
      <c r="AB130" t="n">
        <v>0</v>
      </c>
      <c r="AC130" t="n">
        <v>0</v>
      </c>
      <c r="AD130" t="inlineStr">
        <is>
          <t>0247.81.500</t>
        </is>
      </c>
      <c r="AE130" t="n">
        <v>0</v>
      </c>
      <c r="AF130" t="n">
        <v>0</v>
      </c>
      <c r="AG130" t="n">
        <v>20.53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inlineStr">
        <is>
          <t>0395.33.9080.324</t>
        </is>
      </c>
      <c r="AQ130" t="inlineStr">
        <is>
          <t>00.44711.54</t>
        </is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80.61</v>
      </c>
      <c r="BA130" t="n">
        <v>0</v>
      </c>
      <c r="BB130" t="n">
        <v>0</v>
      </c>
      <c r="BC130" t="n">
        <v>0</v>
      </c>
      <c r="BD130" t="n">
        <v>1.181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273</v>
      </c>
      <c r="BO130" t="n">
        <v>3199</v>
      </c>
    </row>
    <row r="131">
      <c r="A131" t="inlineStr"/>
      <c r="B131" t="inlineStr">
        <is>
          <t>39Rte</t>
        </is>
      </c>
      <c r="C131" t="n">
        <v>7</v>
      </c>
      <c r="D131" t="inlineStr">
        <is>
          <t>Hillsboro</t>
        </is>
      </c>
      <c r="E131" t="inlineStr">
        <is>
          <t>OB</t>
        </is>
      </c>
      <c r="F131" t="n">
        <v>1</v>
      </c>
      <c r="G131" t="n">
        <v>15</v>
      </c>
      <c r="H131" t="n">
        <v>15</v>
      </c>
      <c r="I131" t="n">
        <v>16</v>
      </c>
      <c r="J131" t="n">
        <v>20</v>
      </c>
      <c r="K131" t="n">
        <v>7</v>
      </c>
      <c r="L131" t="n">
        <v>5.168108</v>
      </c>
      <c r="M131" t="n">
        <v>26.095661</v>
      </c>
      <c r="N131" t="n">
        <v>5.168108</v>
      </c>
      <c r="O131" t="n">
        <v>23.944572</v>
      </c>
      <c r="P131" t="n">
        <v>5.168108</v>
      </c>
      <c r="Q131" t="n">
        <v>27.681436</v>
      </c>
      <c r="R131" t="n">
        <v>5.168108</v>
      </c>
      <c r="S131" t="n">
        <v>21.173116</v>
      </c>
      <c r="T131" t="inlineStr">
        <is>
          <t>1413298.48.904</t>
        </is>
      </c>
      <c r="U131" t="n">
        <v>0</v>
      </c>
      <c r="V131" t="inlineStr">
        <is>
          <t>02.65212.010.5710.500</t>
        </is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inlineStr">
        <is>
          <t>0417.52.664</t>
        </is>
      </c>
      <c r="AD131" t="n">
        <v>0</v>
      </c>
      <c r="AE131" t="n">
        <v>0</v>
      </c>
      <c r="AF131" t="n">
        <v>6.316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inlineStr">
        <is>
          <t>0465.96.9981.405</t>
        </is>
      </c>
      <c r="AP131" t="n">
        <v>1.602</v>
      </c>
      <c r="AQ131" t="n">
        <v>0</v>
      </c>
      <c r="AR131" t="n">
        <v>2.076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185.6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220</v>
      </c>
      <c r="BO131" t="n">
        <v>2663</v>
      </c>
    </row>
    <row r="132">
      <c r="A132" t="inlineStr"/>
      <c r="B132" t="inlineStr">
        <is>
          <t>40Rte</t>
        </is>
      </c>
      <c r="C132" t="n">
        <v>50</v>
      </c>
      <c r="D132" t="inlineStr">
        <is>
          <t>CHARLOTTE</t>
        </is>
      </c>
      <c r="E132" t="inlineStr">
        <is>
          <t>PIKE</t>
        </is>
      </c>
      <c r="F132" t="inlineStr">
        <is>
          <t>oB</t>
        </is>
      </c>
      <c r="G132" t="n">
        <v>1</v>
      </c>
      <c r="H132" t="n">
        <v>16</v>
      </c>
      <c r="I132" t="n">
        <v>15</v>
      </c>
      <c r="J132" t="n">
        <v>15</v>
      </c>
      <c r="K132" t="n">
        <v>20</v>
      </c>
      <c r="L132" t="n">
        <v>50</v>
      </c>
      <c r="M132" t="n">
        <v>8.589589999999999</v>
      </c>
      <c r="N132" t="n">
        <v>37.591623</v>
      </c>
      <c r="O132" t="n">
        <v>8.589589999999999</v>
      </c>
      <c r="P132" t="n">
        <v>36.239758</v>
      </c>
      <c r="Q132" t="n">
        <v>8.589589999999999</v>
      </c>
      <c r="R132" t="n">
        <v>42.997682</v>
      </c>
      <c r="S132" t="n">
        <v>8.589589999999999</v>
      </c>
      <c r="T132" t="n">
        <v>32.614513</v>
      </c>
      <c r="U132" t="inlineStr">
        <is>
          <t>1456224.27.815</t>
        </is>
      </c>
      <c r="V132" t="n">
        <v>0</v>
      </c>
      <c r="W132" t="inlineStr">
        <is>
          <t>08.1161.9710.407</t>
        </is>
      </c>
      <c r="X132" t="n">
        <v>0</v>
      </c>
      <c r="Y132" t="n">
        <v>1.052</v>
      </c>
      <c r="Z132" t="n">
        <v>0</v>
      </c>
      <c r="AA132" t="n">
        <v>0</v>
      </c>
      <c r="AB132" t="n">
        <v>0</v>
      </c>
      <c r="AC132" t="n">
        <v>0</v>
      </c>
      <c r="AD132" t="inlineStr">
        <is>
          <t>0484.22.500</t>
        </is>
      </c>
      <c r="AE132" t="n">
        <v>0</v>
      </c>
      <c r="AF132" t="n">
        <v>0</v>
      </c>
      <c r="AG132" t="n">
        <v>1.742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inlineStr">
        <is>
          <t>0517.75.310</t>
        </is>
      </c>
      <c r="AQ132" t="n">
        <v>1</v>
      </c>
      <c r="AR132" t="inlineStr">
        <is>
          <t>00.97368.00</t>
        </is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125.6</v>
      </c>
      <c r="BB132" t="n">
        <v>0</v>
      </c>
      <c r="BC132" t="n">
        <v>0</v>
      </c>
      <c r="BD132" t="n">
        <v>0</v>
      </c>
      <c r="BE132" t="n">
        <v>5.305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308</v>
      </c>
      <c r="BP132" t="n">
        <v>3770</v>
      </c>
    </row>
    <row r="133">
      <c r="A133" t="inlineStr"/>
      <c r="B133" t="inlineStr">
        <is>
          <t>41Rte</t>
        </is>
      </c>
      <c r="C133" t="n">
        <v>50</v>
      </c>
      <c r="D133" t="inlineStr">
        <is>
          <t>CHARLOTTE</t>
        </is>
      </c>
      <c r="E133" t="inlineStr">
        <is>
          <t>PIKE</t>
        </is>
      </c>
      <c r="F133" t="inlineStr">
        <is>
          <t>iB</t>
        </is>
      </c>
      <c r="G133" t="n">
        <v>1</v>
      </c>
      <c r="H133" t="n">
        <v>15</v>
      </c>
      <c r="I133" t="n">
        <v>14</v>
      </c>
      <c r="J133" t="n">
        <v>18</v>
      </c>
      <c r="K133" t="n">
        <v>19</v>
      </c>
      <c r="L133" t="n">
        <v>50</v>
      </c>
      <c r="M133" t="n">
        <v>8.540554999999999</v>
      </c>
      <c r="N133" t="n">
        <v>44.493234</v>
      </c>
      <c r="O133" t="n">
        <v>8.540554999999999</v>
      </c>
      <c r="P133" t="n">
        <v>35.79198</v>
      </c>
      <c r="Q133" t="n">
        <v>8.540554999999999</v>
      </c>
      <c r="R133" t="n">
        <v>38.085103</v>
      </c>
      <c r="S133" t="n">
        <v>8.540554999999999</v>
      </c>
      <c r="T133" t="n">
        <v>31.984188</v>
      </c>
      <c r="U133" t="n">
        <v>1345331.1</v>
      </c>
      <c r="V133" t="n">
        <v>0</v>
      </c>
      <c r="W133" t="n">
        <v>0</v>
      </c>
      <c r="X133" t="n">
        <v>0</v>
      </c>
      <c r="Y133" t="n">
        <v>0</v>
      </c>
      <c r="Z133" t="n">
        <v>69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449.2</v>
      </c>
      <c r="AJ133" t="n">
        <v>0</v>
      </c>
      <c r="AK133" t="n">
        <v>0</v>
      </c>
      <c r="AL133" t="n">
        <v>0</v>
      </c>
      <c r="AM133" t="n">
        <v>0</v>
      </c>
      <c r="AN133" t="n">
        <v>25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348.6</v>
      </c>
      <c r="AX133" t="n">
        <v>1</v>
      </c>
      <c r="AY133" t="n">
        <v>0</v>
      </c>
      <c r="AZ133" t="inlineStr">
        <is>
          <t>05.0432.157</t>
        </is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112.2</v>
      </c>
      <c r="BJ133" t="n">
        <v>0</v>
      </c>
      <c r="BK133" t="n">
        <v>0</v>
      </c>
      <c r="BL133" t="n">
        <v>0</v>
      </c>
      <c r="BM133" t="inlineStr">
        <is>
          <t>00.9910.239</t>
        </is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308</v>
      </c>
      <c r="BW133" t="n">
        <v>3689</v>
      </c>
    </row>
    <row r="134">
      <c r="A134" t="inlineStr"/>
      <c r="B134" t="inlineStr">
        <is>
          <t>42Rte</t>
        </is>
      </c>
      <c r="C134" t="n">
        <v>24</v>
      </c>
      <c r="D134" t="inlineStr">
        <is>
          <t>Bellevue</t>
        </is>
      </c>
      <c r="E134" t="inlineStr">
        <is>
          <t>Exp</t>
        </is>
      </c>
      <c r="F134" t="inlineStr">
        <is>
          <t>AM</t>
        </is>
      </c>
      <c r="G134" t="n">
        <v>6</v>
      </c>
      <c r="H134" t="n">
        <v>24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</row>
    <row r="135">
      <c r="A135" t="inlineStr"/>
      <c r="B135" t="inlineStr">
        <is>
          <t>43Rte</t>
        </is>
      </c>
      <c r="C135" t="n">
        <v>17</v>
      </c>
      <c r="D135" t="inlineStr">
        <is>
          <t>12TH</t>
        </is>
      </c>
      <c r="E135" t="inlineStr">
        <is>
          <t>AVENUE</t>
        </is>
      </c>
      <c r="F135" t="inlineStr">
        <is>
          <t>SOUTH</t>
        </is>
      </c>
      <c r="G135" t="n">
        <v>1</v>
      </c>
      <c r="H135" t="n">
        <v>20</v>
      </c>
      <c r="I135" t="n">
        <v>28</v>
      </c>
      <c r="J135" t="n">
        <v>24</v>
      </c>
      <c r="K135" t="n">
        <v>50</v>
      </c>
      <c r="L135" t="n">
        <v>17</v>
      </c>
      <c r="M135" t="n">
        <v>6.439148</v>
      </c>
      <c r="N135" t="n">
        <v>29.533232</v>
      </c>
      <c r="O135" t="n">
        <v>6.439148</v>
      </c>
      <c r="P135" t="n">
        <v>26.826327</v>
      </c>
      <c r="Q135" t="n">
        <v>6.439148</v>
      </c>
      <c r="R135" t="n">
        <v>31.145789</v>
      </c>
      <c r="S135" t="n">
        <v>6.439148</v>
      </c>
      <c r="T135" t="n">
        <v>24.730689</v>
      </c>
      <c r="U135" t="inlineStr">
        <is>
          <t>575115.90.321</t>
        </is>
      </c>
      <c r="V135" t="n">
        <v>0</v>
      </c>
      <c r="W135" t="inlineStr">
        <is>
          <t>00.3750.5840.428</t>
        </is>
      </c>
      <c r="X135" t="n">
        <v>0</v>
      </c>
      <c r="Y135" t="n">
        <v>0.656</v>
      </c>
      <c r="Z135" t="n">
        <v>0</v>
      </c>
      <c r="AA135" t="n">
        <v>0</v>
      </c>
      <c r="AB135" t="n">
        <v>0</v>
      </c>
      <c r="AC135" t="n">
        <v>0</v>
      </c>
      <c r="AD135" t="inlineStr">
        <is>
          <t>0145.71.314</t>
        </is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inlineStr">
        <is>
          <t>0254.34.736</t>
        </is>
      </c>
      <c r="AR135" t="n">
        <v>0</v>
      </c>
      <c r="AS135" t="n">
        <v>1.488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47.55</v>
      </c>
      <c r="BD135" t="n">
        <v>0</v>
      </c>
      <c r="BE135" t="n">
        <v>1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108</v>
      </c>
      <c r="BS135" t="n">
        <v>1450</v>
      </c>
    </row>
    <row r="136">
      <c r="A136" t="inlineStr"/>
      <c r="B136" t="inlineStr">
        <is>
          <t>44Rte</t>
        </is>
      </c>
      <c r="C136" t="n">
        <v>3</v>
      </c>
      <c r="D136" t="inlineStr">
        <is>
          <t>West</t>
        </is>
      </c>
      <c r="E136" t="inlineStr">
        <is>
          <t>End</t>
        </is>
      </c>
      <c r="F136" t="inlineStr">
        <is>
          <t>(White</t>
        </is>
      </c>
      <c r="G136" t="inlineStr">
        <is>
          <t>Bri</t>
        </is>
      </c>
      <c r="H136" t="n">
        <v>1</v>
      </c>
      <c r="I136" t="n">
        <v>23</v>
      </c>
      <c r="J136" t="n">
        <v>30</v>
      </c>
      <c r="K136" t="n">
        <v>24</v>
      </c>
      <c r="L136" t="n">
        <v>27</v>
      </c>
      <c r="M136" t="n">
        <v>3</v>
      </c>
      <c r="N136" t="n">
        <v>7.00218</v>
      </c>
      <c r="O136" t="n">
        <v>34.681917</v>
      </c>
      <c r="P136" t="n">
        <v>7.00218</v>
      </c>
      <c r="Q136" t="n">
        <v>30.866389</v>
      </c>
      <c r="R136" t="n">
        <v>7.00218</v>
      </c>
      <c r="S136" t="n">
        <v>37.510027</v>
      </c>
      <c r="T136" t="n">
        <v>7.00218</v>
      </c>
      <c r="U136" t="n">
        <v>27.358326</v>
      </c>
      <c r="V136" t="inlineStr">
        <is>
          <t>976193.46.243</t>
        </is>
      </c>
      <c r="W136" t="n">
        <v>0</v>
      </c>
      <c r="X136" t="inlineStr">
        <is>
          <t>02.07352.390.796</t>
        </is>
      </c>
      <c r="Y136" t="n">
        <v>1</v>
      </c>
      <c r="Z136" t="n">
        <v>30</v>
      </c>
      <c r="AA136" t="n">
        <v>0</v>
      </c>
      <c r="AB136" t="n">
        <v>0</v>
      </c>
      <c r="AC136" t="n">
        <v>0</v>
      </c>
      <c r="AD136" t="n">
        <v>0</v>
      </c>
      <c r="AE136" t="inlineStr">
        <is>
          <t>0236.61.500</t>
        </is>
      </c>
      <c r="AF136" t="n">
        <v>0</v>
      </c>
      <c r="AG136" t="n">
        <v>0</v>
      </c>
      <c r="AH136" t="n">
        <v>22.7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inlineStr">
        <is>
          <t>0280.92.8070.270</t>
        </is>
      </c>
      <c r="AR136" t="inlineStr">
        <is>
          <t>00.13522.17</t>
        </is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120.7</v>
      </c>
      <c r="BB136" t="n">
        <v>0</v>
      </c>
      <c r="BC136" t="n">
        <v>0</v>
      </c>
      <c r="BD136" t="n">
        <v>0</v>
      </c>
      <c r="BE136" t="n">
        <v>1.662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188</v>
      </c>
      <c r="BP136" t="n">
        <v>2136</v>
      </c>
    </row>
    <row r="137">
      <c r="A137" t="inlineStr"/>
      <c r="B137" t="inlineStr">
        <is>
          <t>45Rte</t>
        </is>
      </c>
      <c r="C137" t="n">
        <v>41</v>
      </c>
      <c r="D137" t="inlineStr">
        <is>
          <t>Golden</t>
        </is>
      </c>
      <c r="E137" t="inlineStr">
        <is>
          <t>Valley</t>
        </is>
      </c>
      <c r="F137" t="inlineStr">
        <is>
          <t>OB</t>
        </is>
      </c>
      <c r="G137" t="inlineStr">
        <is>
          <t>P</t>
        </is>
      </c>
      <c r="H137" t="n">
        <v>1</v>
      </c>
      <c r="I137" t="n">
        <v>80</v>
      </c>
      <c r="J137" t="n">
        <v>41</v>
      </c>
      <c r="K137" t="n">
        <v>0</v>
      </c>
      <c r="L137" t="n">
        <v>0</v>
      </c>
      <c r="M137" t="n">
        <v>0</v>
      </c>
      <c r="N137" t="n">
        <v>0</v>
      </c>
      <c r="O137" t="n">
        <v>8.395771999999999</v>
      </c>
      <c r="P137" t="n">
        <v>35.848258</v>
      </c>
      <c r="Q137" t="n">
        <v>0</v>
      </c>
      <c r="R137" t="n">
        <v>0</v>
      </c>
      <c r="S137" t="n">
        <v>4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4.363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2</v>
      </c>
      <c r="CB137" t="n">
        <v>27</v>
      </c>
    </row>
    <row r="138">
      <c r="A138" t="inlineStr"/>
      <c r="B138" t="inlineStr">
        <is>
          <t>46Rte</t>
        </is>
      </c>
      <c r="C138" t="n">
        <v>41</v>
      </c>
      <c r="D138" t="inlineStr">
        <is>
          <t>Golden</t>
        </is>
      </c>
      <c r="E138" t="inlineStr">
        <is>
          <t>Valley</t>
        </is>
      </c>
      <c r="F138" t="inlineStr">
        <is>
          <t>IB</t>
        </is>
      </c>
      <c r="G138" t="inlineStr">
        <is>
          <t>A</t>
        </is>
      </c>
      <c r="H138" t="n">
        <v>1</v>
      </c>
      <c r="I138" t="n">
        <v>90</v>
      </c>
      <c r="J138" t="n">
        <v>300</v>
      </c>
      <c r="K138" t="n">
        <v>41</v>
      </c>
      <c r="L138" t="n">
        <v>8.072343</v>
      </c>
      <c r="M138" t="n">
        <v>34.425846</v>
      </c>
      <c r="N138" t="n">
        <v>0</v>
      </c>
      <c r="O138" t="n">
        <v>0</v>
      </c>
      <c r="P138" t="n">
        <v>0</v>
      </c>
      <c r="Q138" t="n">
        <v>0</v>
      </c>
      <c r="R138" t="n">
        <v>8.072343</v>
      </c>
      <c r="S138" t="n">
        <v>28.419832</v>
      </c>
      <c r="T138" t="n">
        <v>1917.81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1.554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7</v>
      </c>
      <c r="CB138" t="n">
        <v>85</v>
      </c>
    </row>
    <row r="139">
      <c r="A139" t="inlineStr"/>
      <c r="B139" t="inlineStr">
        <is>
          <t>47Rte</t>
        </is>
      </c>
      <c r="C139" t="n">
        <v>29</v>
      </c>
      <c r="D139" t="inlineStr">
        <is>
          <t>Jefferson</t>
        </is>
      </c>
      <c r="E139" t="inlineStr">
        <is>
          <t>IB</t>
        </is>
      </c>
      <c r="F139" t="n">
        <v>1</v>
      </c>
      <c r="G139" t="n">
        <v>20</v>
      </c>
      <c r="H139" t="n">
        <v>28</v>
      </c>
      <c r="I139" t="n">
        <v>22</v>
      </c>
      <c r="J139" t="n">
        <v>33</v>
      </c>
      <c r="K139" t="n">
        <v>29</v>
      </c>
      <c r="L139" t="n">
        <v>3.379828</v>
      </c>
      <c r="M139" t="n">
        <v>16.441535</v>
      </c>
      <c r="N139" t="n">
        <v>3.379828</v>
      </c>
      <c r="O139" t="n">
        <v>14.717397</v>
      </c>
      <c r="P139" t="n">
        <v>3.379828</v>
      </c>
      <c r="Q139" t="n">
        <v>15.872307</v>
      </c>
      <c r="R139" t="n">
        <v>3.379828</v>
      </c>
      <c r="S139" t="n">
        <v>13.005526</v>
      </c>
      <c r="T139" t="n">
        <v>362132.7</v>
      </c>
      <c r="U139" t="n">
        <v>0</v>
      </c>
      <c r="V139" t="n">
        <v>1</v>
      </c>
      <c r="W139" t="n">
        <v>0</v>
      </c>
      <c r="X139" t="n">
        <v>0</v>
      </c>
      <c r="Y139" t="n">
        <v>10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83.12</v>
      </c>
      <c r="AI139" t="n">
        <v>0</v>
      </c>
      <c r="AJ139" t="n">
        <v>0</v>
      </c>
      <c r="AK139" t="n">
        <v>0</v>
      </c>
      <c r="AL139" t="n">
        <v>0</v>
      </c>
      <c r="AM139" t="n">
        <v>3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inlineStr">
        <is>
          <t>0112.70.392</t>
        </is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1</v>
      </c>
      <c r="BE139" t="n">
        <v>0</v>
      </c>
      <c r="BF139" t="n">
        <v>0</v>
      </c>
      <c r="BG139" t="n">
        <v>0</v>
      </c>
      <c r="BH139" t="n">
        <v>0</v>
      </c>
      <c r="BI139" t="n">
        <v>17.8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51</v>
      </c>
      <c r="BY139" t="n">
        <v>611</v>
      </c>
    </row>
    <row r="140">
      <c r="A140" t="inlineStr"/>
      <c r="B140" t="inlineStr">
        <is>
          <t>48Rte</t>
        </is>
      </c>
      <c r="C140" t="n">
        <v>29</v>
      </c>
      <c r="D140" t="inlineStr">
        <is>
          <t>Jefferson</t>
        </is>
      </c>
      <c r="E140" t="inlineStr">
        <is>
          <t>OB</t>
        </is>
      </c>
      <c r="F140" t="n">
        <v>1</v>
      </c>
      <c r="G140" t="n">
        <v>23</v>
      </c>
      <c r="H140" t="n">
        <v>28</v>
      </c>
      <c r="I140" t="n">
        <v>20</v>
      </c>
      <c r="J140" t="n">
        <v>33</v>
      </c>
      <c r="K140" t="n">
        <v>29</v>
      </c>
      <c r="L140" t="n">
        <v>3.294905</v>
      </c>
      <c r="M140" t="n">
        <v>12.778015</v>
      </c>
      <c r="N140" t="n">
        <v>3.294905</v>
      </c>
      <c r="O140" t="n">
        <v>12.210511</v>
      </c>
      <c r="P140" t="n">
        <v>3.294905</v>
      </c>
      <c r="Q140" t="n">
        <v>13.859291</v>
      </c>
      <c r="R140" t="n">
        <v>3.294905</v>
      </c>
      <c r="S140" t="n">
        <v>11.027294</v>
      </c>
      <c r="T140" t="inlineStr">
        <is>
          <t>21626.190.939</t>
        </is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0.5</v>
      </c>
      <c r="AB140" t="n">
        <v>0</v>
      </c>
      <c r="AC140" t="n">
        <v>0</v>
      </c>
      <c r="AD140" t="n">
        <v>0</v>
      </c>
      <c r="AE140" t="n">
        <v>0</v>
      </c>
      <c r="AF140" t="inlineStr">
        <is>
          <t>058.300.191</t>
        </is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inlineStr">
        <is>
          <t>091.220.544</t>
        </is>
      </c>
      <c r="AT140" t="n">
        <v>0</v>
      </c>
      <c r="AU140" t="inlineStr">
        <is>
          <t>00.4134.809</t>
        </is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32.51</v>
      </c>
      <c r="BE140" t="n">
        <v>0</v>
      </c>
      <c r="BF140" t="n">
        <v>0</v>
      </c>
      <c r="BG140" t="n">
        <v>0</v>
      </c>
      <c r="BH140" t="n">
        <v>0.432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24</v>
      </c>
      <c r="BS140" t="n">
        <v>323</v>
      </c>
    </row>
    <row r="141">
      <c r="A141" t="inlineStr"/>
      <c r="B141" t="inlineStr">
        <is>
          <t>49Rte</t>
        </is>
      </c>
      <c r="C141" t="n">
        <v>19</v>
      </c>
      <c r="D141" t="inlineStr">
        <is>
          <t>Herman</t>
        </is>
      </c>
      <c r="E141" t="inlineStr">
        <is>
          <t>IB</t>
        </is>
      </c>
      <c r="F141" t="n">
        <v>1</v>
      </c>
      <c r="G141" t="n">
        <v>23</v>
      </c>
      <c r="H141" t="n">
        <v>28</v>
      </c>
      <c r="I141" t="n">
        <v>27</v>
      </c>
      <c r="J141" t="n">
        <v>30</v>
      </c>
      <c r="K141" t="n">
        <v>19</v>
      </c>
      <c r="L141" t="n">
        <v>8.493690000000001</v>
      </c>
      <c r="M141" t="n">
        <v>37.312195</v>
      </c>
      <c r="N141" t="n">
        <v>8.493690000000001</v>
      </c>
      <c r="O141" t="n">
        <v>35.354298</v>
      </c>
      <c r="P141" t="n">
        <v>8.493690000000001</v>
      </c>
      <c r="Q141" t="n">
        <v>36.653418</v>
      </c>
      <c r="R141" t="n">
        <v>8.493690000000001</v>
      </c>
      <c r="S141" t="n">
        <v>33.474979</v>
      </c>
      <c r="T141" t="n">
        <v>400139.5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124.3</v>
      </c>
      <c r="AI141" t="n">
        <v>2</v>
      </c>
      <c r="AJ141" t="n">
        <v>0</v>
      </c>
      <c r="AK141" t="n">
        <v>0</v>
      </c>
      <c r="AL141" t="n">
        <v>0.52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inlineStr">
        <is>
          <t>0102.70.321</t>
        </is>
      </c>
      <c r="AV141" t="n">
        <v>0</v>
      </c>
      <c r="AW141" t="n">
        <v>0</v>
      </c>
      <c r="AX141" t="n">
        <v>0</v>
      </c>
      <c r="AY141" t="n">
        <v>1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29.32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80</v>
      </c>
      <c r="BX141" t="n">
        <v>1105</v>
      </c>
    </row>
    <row r="142">
      <c r="A142" t="inlineStr"/>
      <c r="B142" t="inlineStr">
        <is>
          <t>50Rte</t>
        </is>
      </c>
      <c r="C142" t="n">
        <v>19</v>
      </c>
      <c r="D142" t="inlineStr">
        <is>
          <t>Herman</t>
        </is>
      </c>
      <c r="E142" t="inlineStr">
        <is>
          <t>OB</t>
        </is>
      </c>
      <c r="F142" t="n">
        <v>1</v>
      </c>
      <c r="G142" t="n">
        <v>23</v>
      </c>
      <c r="H142" t="n">
        <v>30</v>
      </c>
      <c r="I142" t="n">
        <v>22</v>
      </c>
      <c r="J142" t="n">
        <v>38</v>
      </c>
      <c r="K142" t="n">
        <v>19</v>
      </c>
      <c r="L142" t="n">
        <v>7.744082</v>
      </c>
      <c r="M142" t="n">
        <v>32.23168</v>
      </c>
      <c r="N142" t="n">
        <v>7.744082</v>
      </c>
      <c r="O142" t="n">
        <v>31.620017</v>
      </c>
      <c r="P142" t="n">
        <v>7.744082</v>
      </c>
      <c r="Q142" t="n">
        <v>33.98996</v>
      </c>
      <c r="R142" t="n">
        <v>7.744082</v>
      </c>
      <c r="S142" t="n">
        <v>30.454274</v>
      </c>
      <c r="T142" t="inlineStr">
        <is>
          <t>680127.61.942</t>
        </is>
      </c>
      <c r="U142" t="n">
        <v>0</v>
      </c>
      <c r="V142" t="n">
        <v>0</v>
      </c>
      <c r="W142" t="n">
        <v>0</v>
      </c>
      <c r="X142" t="n">
        <v>1</v>
      </c>
      <c r="Y142" t="n">
        <v>0</v>
      </c>
      <c r="Z142" t="n">
        <v>0</v>
      </c>
      <c r="AA142" t="n">
        <v>0.5</v>
      </c>
      <c r="AB142" t="n">
        <v>0</v>
      </c>
      <c r="AC142" t="n">
        <v>0</v>
      </c>
      <c r="AD142" t="n">
        <v>0</v>
      </c>
      <c r="AE142" t="n">
        <v>0</v>
      </c>
      <c r="AF142" t="inlineStr">
        <is>
          <t>0138.81.066</t>
        </is>
      </c>
      <c r="AG142" t="n">
        <v>0</v>
      </c>
      <c r="AH142" t="n">
        <v>0</v>
      </c>
      <c r="AI142" t="n">
        <v>0.48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inlineStr">
        <is>
          <t>0338.95.241</t>
        </is>
      </c>
      <c r="AS142" t="n">
        <v>0</v>
      </c>
      <c r="AT142" t="inlineStr">
        <is>
          <t>00.4078.2190.4401.523</t>
        </is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52</v>
      </c>
      <c r="BB142" t="n">
        <v>0</v>
      </c>
      <c r="BC142" t="n">
        <v>0</v>
      </c>
      <c r="BD142" t="n">
        <v>0</v>
      </c>
      <c r="BE142" t="n">
        <v>1.457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99</v>
      </c>
      <c r="BP142" t="n">
        <v>1362</v>
      </c>
    </row>
    <row r="143">
      <c r="A143" t="inlineStr"/>
      <c r="B143" t="inlineStr">
        <is>
          <t>51Rte</t>
        </is>
      </c>
      <c r="C143" t="n">
        <v>9</v>
      </c>
      <c r="D143" t="inlineStr">
        <is>
          <t>MetroCenter</t>
        </is>
      </c>
      <c r="E143" t="inlineStr">
        <is>
          <t>IB</t>
        </is>
      </c>
      <c r="F143" t="n">
        <v>1</v>
      </c>
      <c r="G143" t="n">
        <v>23</v>
      </c>
      <c r="H143" t="n">
        <v>24</v>
      </c>
      <c r="I143" t="n">
        <v>40</v>
      </c>
      <c r="J143" t="n">
        <v>9</v>
      </c>
      <c r="K143" t="n">
        <v>6.340196</v>
      </c>
      <c r="L143" t="n">
        <v>27.711214</v>
      </c>
      <c r="M143" t="n">
        <v>6.340196</v>
      </c>
      <c r="N143" t="n">
        <v>25.883488</v>
      </c>
      <c r="O143" t="n">
        <v>6.340196</v>
      </c>
      <c r="P143" t="n">
        <v>27.074013</v>
      </c>
      <c r="Q143" t="n">
        <v>0</v>
      </c>
      <c r="R143" t="n">
        <v>0</v>
      </c>
      <c r="S143" t="inlineStr">
        <is>
          <t>261103.50.666</t>
        </is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84.83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71.12</v>
      </c>
      <c r="AU143" t="n">
        <v>0</v>
      </c>
      <c r="AV143" t="n">
        <v>0</v>
      </c>
      <c r="AW143" t="n">
        <v>0</v>
      </c>
      <c r="AX143" t="n">
        <v>1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53</v>
      </c>
      <c r="BY143" t="n">
        <v>715</v>
      </c>
    </row>
    <row r="144">
      <c r="A144" t="inlineStr"/>
      <c r="B144" t="inlineStr">
        <is>
          <t>52Rte</t>
        </is>
      </c>
      <c r="C144" t="n">
        <v>24</v>
      </c>
      <c r="D144" t="inlineStr">
        <is>
          <t>Bellevue</t>
        </is>
      </c>
      <c r="E144" t="inlineStr">
        <is>
          <t>Exp</t>
        </is>
      </c>
      <c r="F144" t="inlineStr">
        <is>
          <t>PM</t>
        </is>
      </c>
      <c r="G144" t="n">
        <v>6</v>
      </c>
      <c r="H144" t="n">
        <v>24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</row>
    <row r="145">
      <c r="A145" t="inlineStr"/>
      <c r="B145" t="inlineStr">
        <is>
          <t>54Rte</t>
        </is>
      </c>
      <c r="C145" t="n">
        <v>76</v>
      </c>
      <c r="D145" t="inlineStr">
        <is>
          <t>Madison</t>
        </is>
      </c>
      <c r="E145" t="inlineStr">
        <is>
          <t>Conn</t>
        </is>
      </c>
      <c r="F145" t="n">
        <v>1</v>
      </c>
      <c r="G145" t="n">
        <v>36</v>
      </c>
      <c r="H145" t="n">
        <v>30</v>
      </c>
      <c r="I145" t="n">
        <v>30</v>
      </c>
      <c r="J145" t="n">
        <v>43</v>
      </c>
      <c r="K145" t="n">
        <v>76</v>
      </c>
      <c r="L145" t="n">
        <v>9.322331999999999</v>
      </c>
      <c r="M145" t="n">
        <v>39.785008</v>
      </c>
      <c r="N145" t="n">
        <v>9.322331999999999</v>
      </c>
      <c r="O145" t="n">
        <v>36.490495</v>
      </c>
      <c r="P145" t="n">
        <v>9.322331999999999</v>
      </c>
      <c r="Q145" t="n">
        <v>39.287989</v>
      </c>
      <c r="R145" t="n">
        <v>9.322331999999999</v>
      </c>
      <c r="S145" t="n">
        <v>35.643768</v>
      </c>
      <c r="T145" t="n">
        <v>8514</v>
      </c>
      <c r="U145" t="n">
        <v>9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10.25</v>
      </c>
      <c r="AI145" t="n">
        <v>10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inlineStr">
        <is>
          <t>022.3811.00</t>
        </is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8.257999999999999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21</v>
      </c>
      <c r="BY145" t="n">
        <v>311</v>
      </c>
    </row>
    <row r="146">
      <c r="A146" t="inlineStr"/>
      <c r="B146" t="inlineStr">
        <is>
          <t>57Rte</t>
        </is>
      </c>
      <c r="C146" t="n">
        <v>89</v>
      </c>
      <c r="D146" t="inlineStr">
        <is>
          <t>Spgfield/Joelton</t>
        </is>
      </c>
      <c r="E146" t="inlineStr">
        <is>
          <t>E</t>
        </is>
      </c>
      <c r="F146" t="n">
        <v>6</v>
      </c>
      <c r="G146" t="n">
        <v>120</v>
      </c>
      <c r="H146" t="n">
        <v>89</v>
      </c>
      <c r="I146" t="n">
        <v>0</v>
      </c>
      <c r="J146" t="n">
        <v>0</v>
      </c>
      <c r="K146" t="n">
        <v>0</v>
      </c>
      <c r="L146" t="n">
        <v>0</v>
      </c>
      <c r="M146" t="n">
        <v>31.173441</v>
      </c>
      <c r="N146" t="n">
        <v>78.490241</v>
      </c>
      <c r="O146" t="n">
        <v>0</v>
      </c>
      <c r="P146" t="n">
        <v>0</v>
      </c>
      <c r="Q146" t="n">
        <v>4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2</v>
      </c>
      <c r="AY146" t="n">
        <v>0</v>
      </c>
      <c r="AZ146" t="n">
        <v>0</v>
      </c>
      <c r="BA146" t="n">
        <v>0</v>
      </c>
      <c r="BB146" t="n">
        <v>1.5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2</v>
      </c>
      <c r="BZ146" t="n">
        <v>38</v>
      </c>
    </row>
    <row r="147">
      <c r="A147" t="inlineStr"/>
      <c r="B147" t="inlineStr">
        <is>
          <t>58Rte</t>
        </is>
      </c>
      <c r="C147" t="n">
        <v>103</v>
      </c>
      <c r="D147" t="inlineStr">
        <is>
          <t>Rover</t>
        </is>
      </c>
      <c r="E147" t="inlineStr">
        <is>
          <t>Memorial</t>
        </is>
      </c>
      <c r="F147" t="n">
        <v>2</v>
      </c>
      <c r="G147" t="n">
        <v>103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</row>
    <row r="148">
      <c r="A148" t="inlineStr"/>
      <c r="B148" t="inlineStr">
        <is>
          <t>59Rte</t>
        </is>
      </c>
      <c r="C148" t="n">
        <v>22</v>
      </c>
      <c r="D148" t="inlineStr">
        <is>
          <t>Bordeaux</t>
        </is>
      </c>
      <c r="E148" t="inlineStr">
        <is>
          <t>(Kings</t>
        </is>
      </c>
      <c r="F148" t="inlineStr">
        <is>
          <t>Ln</t>
        </is>
      </c>
      <c r="G148" t="n">
        <v>1</v>
      </c>
      <c r="H148" t="n">
        <v>60</v>
      </c>
      <c r="I148" t="n">
        <v>60</v>
      </c>
      <c r="J148" t="n">
        <v>48</v>
      </c>
      <c r="K148" t="n">
        <v>50</v>
      </c>
      <c r="L148" t="n">
        <v>22</v>
      </c>
      <c r="M148" t="n">
        <v>9.641940999999999</v>
      </c>
      <c r="N148" t="n">
        <v>37.299974</v>
      </c>
      <c r="O148" t="n">
        <v>9.641940999999999</v>
      </c>
      <c r="P148" t="n">
        <v>36.984958</v>
      </c>
      <c r="Q148" t="n">
        <v>9.641940999999999</v>
      </c>
      <c r="R148" t="n">
        <v>41.482845</v>
      </c>
      <c r="S148" t="n">
        <v>9.641940999999999</v>
      </c>
      <c r="T148" t="n">
        <v>35.398434</v>
      </c>
      <c r="U148" t="inlineStr">
        <is>
          <t>35024.110.537</t>
        </is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inlineStr">
        <is>
          <t>086.900.129</t>
        </is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inlineStr">
        <is>
          <t>0158.71.4250.294</t>
        </is>
      </c>
      <c r="AV148" t="inlineStr">
        <is>
          <t>00.4660.5000.2000.692</t>
        </is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75.37</v>
      </c>
      <c r="BD148" t="n">
        <v>0</v>
      </c>
      <c r="BE148" t="n">
        <v>0</v>
      </c>
      <c r="BF148" t="n">
        <v>0</v>
      </c>
      <c r="BG148" t="n">
        <v>0.397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47</v>
      </c>
      <c r="BR148" t="n">
        <v>677</v>
      </c>
    </row>
    <row r="149">
      <c r="A149" t="inlineStr"/>
      <c r="B149" t="inlineStr">
        <is>
          <t>60Rte</t>
        </is>
      </c>
      <c r="C149" t="n">
        <v>22</v>
      </c>
      <c r="D149" t="inlineStr">
        <is>
          <t>Bordeaux</t>
        </is>
      </c>
      <c r="E149" t="inlineStr">
        <is>
          <t>(Kings</t>
        </is>
      </c>
      <c r="F149" t="inlineStr">
        <is>
          <t>Ln</t>
        </is>
      </c>
      <c r="G149" t="n">
        <v>1</v>
      </c>
      <c r="H149" t="n">
        <v>45</v>
      </c>
      <c r="I149" t="n">
        <v>51</v>
      </c>
      <c r="J149" t="n">
        <v>48</v>
      </c>
      <c r="K149" t="n">
        <v>43</v>
      </c>
      <c r="L149" t="n">
        <v>22</v>
      </c>
      <c r="M149" t="n">
        <v>10.415277</v>
      </c>
      <c r="N149" t="n">
        <v>46.569399</v>
      </c>
      <c r="O149" t="n">
        <v>10.415277</v>
      </c>
      <c r="P149" t="n">
        <v>40.570645</v>
      </c>
      <c r="Q149" t="n">
        <v>10.415277</v>
      </c>
      <c r="R149" t="n">
        <v>42.519511</v>
      </c>
      <c r="S149" t="n">
        <v>10.415277</v>
      </c>
      <c r="T149" t="n">
        <v>38.620618</v>
      </c>
      <c r="U149" t="n">
        <v>422132.2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132.8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113.3</v>
      </c>
      <c r="AX149" t="n">
        <v>0</v>
      </c>
      <c r="AY149" t="n">
        <v>0</v>
      </c>
      <c r="AZ149" t="inlineStr">
        <is>
          <t>00.5790.772</t>
        </is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41.15</v>
      </c>
      <c r="BJ149" t="n">
        <v>0</v>
      </c>
      <c r="BK149" t="n">
        <v>0</v>
      </c>
      <c r="BL149" t="n">
        <v>0</v>
      </c>
      <c r="BM149" t="inlineStr">
        <is>
          <t>00.2110.1050.242</t>
        </is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65</v>
      </c>
      <c r="BV149" t="n">
        <v>846</v>
      </c>
    </row>
    <row r="150">
      <c r="A150" t="inlineStr"/>
      <c r="B150" t="inlineStr">
        <is>
          <t>61MuleGreenWest</t>
        </is>
      </c>
      <c r="C150" t="n">
        <v>2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</row>
    <row r="151">
      <c r="A151" t="inlineStr"/>
      <c r="B151" t="inlineStr">
        <is>
          <t>62MulePurpleEast</t>
        </is>
      </c>
      <c r="C151" t="n">
        <v>2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/>
      <c r="B152" t="inlineStr">
        <is>
          <t>63MuleRedSouth</t>
        </is>
      </c>
      <c r="C152" t="n">
        <v>2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  <row r="153">
      <c r="A153" t="inlineStr"/>
      <c r="B153" t="inlineStr">
        <is>
          <t>64Rte</t>
        </is>
      </c>
      <c r="C153" t="n">
        <v>86</v>
      </c>
      <c r="D153" t="inlineStr">
        <is>
          <t>Smyrna</t>
        </is>
      </c>
      <c r="E153" t="inlineStr">
        <is>
          <t>Lavergne</t>
        </is>
      </c>
      <c r="F153" t="inlineStr">
        <is>
          <t>Ex</t>
        </is>
      </c>
      <c r="G153" t="n">
        <v>6</v>
      </c>
      <c r="H153" t="n">
        <v>60</v>
      </c>
      <c r="I153" t="n">
        <v>86</v>
      </c>
      <c r="J153" t="n">
        <v>0</v>
      </c>
      <c r="K153" t="n">
        <v>0</v>
      </c>
      <c r="L153" t="n">
        <v>0</v>
      </c>
      <c r="M153" t="n">
        <v>0</v>
      </c>
      <c r="N153" t="n">
        <v>21.568453</v>
      </c>
      <c r="O153" t="n">
        <v>72.44232100000001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</row>
    <row r="154">
      <c r="A154" t="inlineStr"/>
      <c r="B154" t="inlineStr">
        <is>
          <t>65MuleBlueSB</t>
        </is>
      </c>
      <c r="C154" t="n">
        <v>2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</row>
    <row r="155">
      <c r="A155" t="inlineStr"/>
      <c r="B155" t="inlineStr">
        <is>
          <t>66Rte</t>
        </is>
      </c>
      <c r="C155" t="n">
        <v>84</v>
      </c>
      <c r="D155" t="inlineStr">
        <is>
          <t>Murfreesboro</t>
        </is>
      </c>
      <c r="E155" t="inlineStr">
        <is>
          <t>Expre</t>
        </is>
      </c>
      <c r="F155" t="n">
        <v>6</v>
      </c>
      <c r="G155" t="n">
        <v>90</v>
      </c>
      <c r="H155" t="n">
        <v>90</v>
      </c>
      <c r="I155" t="n">
        <v>60</v>
      </c>
      <c r="J155" t="n">
        <v>300</v>
      </c>
      <c r="K155" t="n">
        <v>84</v>
      </c>
      <c r="L155" t="n">
        <v>34.234398</v>
      </c>
      <c r="M155" t="n">
        <v>84.10298</v>
      </c>
      <c r="N155" t="n">
        <v>34.234398</v>
      </c>
      <c r="O155" t="n">
        <v>56.632309</v>
      </c>
      <c r="P155" t="inlineStr">
        <is>
          <t>34.234398106.486350</t>
        </is>
      </c>
      <c r="Q155" t="n">
        <v>34.234398</v>
      </c>
      <c r="R155" t="n">
        <v>49.948551</v>
      </c>
      <c r="S155" t="n">
        <v>50</v>
      </c>
      <c r="T155" t="n">
        <v>0</v>
      </c>
      <c r="U155" t="n">
        <v>0</v>
      </c>
      <c r="V155" t="n">
        <v>6</v>
      </c>
      <c r="W155" t="n">
        <v>0</v>
      </c>
      <c r="X155" t="n">
        <v>0</v>
      </c>
      <c r="Y155" t="n">
        <v>0</v>
      </c>
      <c r="Z155" t="n">
        <v>0</v>
      </c>
      <c r="AA155" t="n">
        <v>11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11</v>
      </c>
      <c r="AL155" t="n">
        <v>0</v>
      </c>
      <c r="AM155" t="n">
        <v>0</v>
      </c>
      <c r="AN155" t="n">
        <v>0</v>
      </c>
      <c r="AO155" t="n">
        <v>0</v>
      </c>
      <c r="AP155" t="n">
        <v>5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14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3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18</v>
      </c>
      <c r="CC155" t="n">
        <v>332</v>
      </c>
    </row>
    <row r="156">
      <c r="A156" t="inlineStr"/>
      <c r="B156" t="inlineStr">
        <is>
          <t>67Rte</t>
        </is>
      </c>
      <c r="C156" t="n">
        <v>84</v>
      </c>
      <c r="D156" t="inlineStr">
        <is>
          <t>Murfreesboro</t>
        </is>
      </c>
      <c r="E156" t="inlineStr">
        <is>
          <t>Expre</t>
        </is>
      </c>
      <c r="F156" t="n">
        <v>6</v>
      </c>
      <c r="G156" t="n">
        <v>90</v>
      </c>
      <c r="H156" t="n">
        <v>90</v>
      </c>
      <c r="I156" t="n">
        <v>80</v>
      </c>
      <c r="J156" t="n">
        <v>100</v>
      </c>
      <c r="K156" t="n">
        <v>84</v>
      </c>
      <c r="L156" t="inlineStr">
        <is>
          <t>34.042652137.783164</t>
        </is>
      </c>
      <c r="M156" t="n">
        <v>34.042652</v>
      </c>
      <c r="N156" t="n">
        <v>62.561057</v>
      </c>
      <c r="O156" t="n">
        <v>34.042652</v>
      </c>
      <c r="P156" t="n">
        <v>92.49501600000001</v>
      </c>
      <c r="Q156" t="n">
        <v>34.042652</v>
      </c>
      <c r="R156" t="n">
        <v>51.898313</v>
      </c>
      <c r="S156" t="n">
        <v>51</v>
      </c>
      <c r="T156" t="n">
        <v>0</v>
      </c>
      <c r="U156" t="n">
        <v>0</v>
      </c>
      <c r="V156" t="n">
        <v>13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17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5</v>
      </c>
      <c r="BA156" t="n">
        <v>0</v>
      </c>
      <c r="BB156" t="n">
        <v>0</v>
      </c>
      <c r="BC156" t="n">
        <v>0</v>
      </c>
      <c r="BD156" t="n">
        <v>0</v>
      </c>
      <c r="BE156" t="n">
        <v>16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11</v>
      </c>
      <c r="CC156" t="n">
        <v>266</v>
      </c>
    </row>
    <row r="157">
      <c r="A157" t="inlineStr"/>
      <c r="B157" t="inlineStr">
        <is>
          <t>68Rte</t>
        </is>
      </c>
      <c r="C157" t="n">
        <v>86</v>
      </c>
      <c r="D157" t="inlineStr">
        <is>
          <t>Smyrna</t>
        </is>
      </c>
      <c r="E157" t="inlineStr">
        <is>
          <t>Lavergne</t>
        </is>
      </c>
      <c r="F157" t="inlineStr">
        <is>
          <t>Ex</t>
        </is>
      </c>
      <c r="G157" t="n">
        <v>6</v>
      </c>
      <c r="H157" t="n">
        <v>90</v>
      </c>
      <c r="I157" t="n">
        <v>300</v>
      </c>
      <c r="J157" t="n">
        <v>86</v>
      </c>
      <c r="K157" t="inlineStr">
        <is>
          <t>22.668547100.332926</t>
        </is>
      </c>
      <c r="L157" t="n">
        <v>0</v>
      </c>
      <c r="M157" t="n">
        <v>0</v>
      </c>
      <c r="N157" t="n">
        <v>0</v>
      </c>
      <c r="O157" t="n">
        <v>0</v>
      </c>
      <c r="P157" t="n">
        <v>22.668547</v>
      </c>
      <c r="Q157" t="n">
        <v>31.848168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</row>
    <row r="158">
      <c r="A158" t="inlineStr"/>
      <c r="B158" t="inlineStr">
        <is>
          <t>69Rte</t>
        </is>
      </c>
      <c r="C158" t="n">
        <v>18</v>
      </c>
      <c r="D158" t="inlineStr">
        <is>
          <t>Airport</t>
        </is>
      </c>
      <c r="E158" t="inlineStr">
        <is>
          <t>Local</t>
        </is>
      </c>
      <c r="F158" t="inlineStr">
        <is>
          <t>OB</t>
        </is>
      </c>
      <c r="G158" t="n">
        <v>1</v>
      </c>
      <c r="H158" t="n">
        <v>45</v>
      </c>
      <c r="I158" t="n">
        <v>45</v>
      </c>
      <c r="J158" t="n">
        <v>60</v>
      </c>
      <c r="K158" t="n">
        <v>110</v>
      </c>
      <c r="L158" t="n">
        <v>18</v>
      </c>
      <c r="M158" t="n">
        <v>8.019690000000001</v>
      </c>
      <c r="N158" t="n">
        <v>33.941483</v>
      </c>
      <c r="O158" t="n">
        <v>8.019690000000001</v>
      </c>
      <c r="P158" t="n">
        <v>31.568908</v>
      </c>
      <c r="Q158" t="n">
        <v>8.019690000000001</v>
      </c>
      <c r="R158" t="n">
        <v>40.484882</v>
      </c>
      <c r="S158" t="n">
        <v>8.019690000000001</v>
      </c>
      <c r="T158" t="n">
        <v>28.61248</v>
      </c>
      <c r="U158" t="inlineStr">
        <is>
          <t>23448.482.463</t>
        </is>
      </c>
      <c r="V158" t="n">
        <v>0</v>
      </c>
      <c r="W158" t="inlineStr">
        <is>
          <t>00.2501.363</t>
        </is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inlineStr">
        <is>
          <t>0131.11.216</t>
        </is>
      </c>
      <c r="AG158" t="n">
        <v>0</v>
      </c>
      <c r="AH158" t="n">
        <v>0</v>
      </c>
      <c r="AI158" t="inlineStr">
        <is>
          <t>00.7170.108</t>
        </is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13.73</v>
      </c>
      <c r="AR158" t="n">
        <v>1</v>
      </c>
      <c r="AS158" t="n">
        <v>0</v>
      </c>
      <c r="AT158" t="n">
        <v>0.111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29.6</v>
      </c>
      <c r="BE158" t="n">
        <v>0</v>
      </c>
      <c r="BF158" t="n">
        <v>0</v>
      </c>
      <c r="BG158" t="n">
        <v>0</v>
      </c>
      <c r="BH158" t="inlineStr">
        <is>
          <t>04.0220.111</t>
        </is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37</v>
      </c>
      <c r="BR158" t="n">
        <v>524</v>
      </c>
    </row>
    <row r="159">
      <c r="A159" t="inlineStr"/>
      <c r="B159" t="inlineStr">
        <is>
          <t>70Rte</t>
        </is>
      </c>
      <c r="C159" t="n">
        <v>18</v>
      </c>
      <c r="D159" t="inlineStr">
        <is>
          <t>Airport</t>
        </is>
      </c>
      <c r="E159" t="inlineStr">
        <is>
          <t>Local</t>
        </is>
      </c>
      <c r="F159" t="inlineStr">
        <is>
          <t>IB</t>
        </is>
      </c>
      <c r="G159" t="n">
        <v>1</v>
      </c>
      <c r="H159" t="n">
        <v>60</v>
      </c>
      <c r="I159" t="n">
        <v>45</v>
      </c>
      <c r="J159" t="n">
        <v>48</v>
      </c>
      <c r="K159" t="n">
        <v>50</v>
      </c>
      <c r="L159" t="n">
        <v>18</v>
      </c>
      <c r="M159" t="n">
        <v>8.178722</v>
      </c>
      <c r="N159" t="n">
        <v>44.191444</v>
      </c>
      <c r="O159" t="n">
        <v>8.178722</v>
      </c>
      <c r="P159" t="n">
        <v>33.291829</v>
      </c>
      <c r="Q159" t="n">
        <v>8.178722</v>
      </c>
      <c r="R159" t="n">
        <v>37.531902</v>
      </c>
      <c r="S159" t="n">
        <v>8.178722</v>
      </c>
      <c r="T159" t="n">
        <v>29.602424</v>
      </c>
      <c r="U159" t="n">
        <v>18119.57</v>
      </c>
      <c r="V159" t="n">
        <v>0</v>
      </c>
      <c r="W159" t="n">
        <v>0</v>
      </c>
      <c r="X159" t="n">
        <v>0</v>
      </c>
      <c r="Y159" t="n">
        <v>12.42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49.13</v>
      </c>
      <c r="AI159" t="n">
        <v>0</v>
      </c>
      <c r="AJ159" t="n">
        <v>0</v>
      </c>
      <c r="AK159" t="n">
        <v>0</v>
      </c>
      <c r="AL159" t="n">
        <v>5.636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inlineStr">
        <is>
          <t>077.530.200</t>
        </is>
      </c>
      <c r="AV159" t="n">
        <v>0</v>
      </c>
      <c r="AW159" t="n">
        <v>0</v>
      </c>
      <c r="AX159" t="n">
        <v>1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15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44</v>
      </c>
      <c r="BX159" t="n">
        <v>573</v>
      </c>
    </row>
    <row r="160">
      <c r="A160" t="inlineStr"/>
      <c r="B160" t="inlineStr">
        <is>
          <t>71Rte</t>
        </is>
      </c>
      <c r="C160" t="n">
        <v>95</v>
      </c>
      <c r="D160" t="inlineStr">
        <is>
          <t>Spring</t>
        </is>
      </c>
      <c r="E160" t="inlineStr">
        <is>
          <t>Hill</t>
        </is>
      </c>
      <c r="F160" t="inlineStr">
        <is>
          <t>Exp</t>
        </is>
      </c>
      <c r="G160" t="inlineStr">
        <is>
          <t>OB</t>
        </is>
      </c>
      <c r="H160" t="n">
        <v>6</v>
      </c>
      <c r="I160" t="n">
        <v>120</v>
      </c>
      <c r="J160" t="n">
        <v>95</v>
      </c>
      <c r="K160" t="n">
        <v>0</v>
      </c>
      <c r="L160" t="n">
        <v>0</v>
      </c>
      <c r="M160" t="n">
        <v>0</v>
      </c>
      <c r="N160" t="n">
        <v>0</v>
      </c>
      <c r="O160" t="inlineStr">
        <is>
          <t>41.064507119.526601</t>
        </is>
      </c>
      <c r="P160" t="n">
        <v>0</v>
      </c>
      <c r="Q160" t="n">
        <v>0</v>
      </c>
      <c r="R160" t="n">
        <v>2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1.5</v>
      </c>
      <c r="AY160" t="n">
        <v>0</v>
      </c>
      <c r="AZ160" t="n">
        <v>0</v>
      </c>
      <c r="BA160" t="n">
        <v>0</v>
      </c>
      <c r="BB160" t="n">
        <v>0.75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4</v>
      </c>
      <c r="BZ160" t="n">
        <v>70</v>
      </c>
    </row>
    <row r="161">
      <c r="A161" t="inlineStr"/>
      <c r="B161" t="inlineStr">
        <is>
          <t>72Rte</t>
        </is>
      </c>
      <c r="C161" t="n">
        <v>95</v>
      </c>
      <c r="D161" t="inlineStr">
        <is>
          <t>Spring</t>
        </is>
      </c>
      <c r="E161" t="inlineStr">
        <is>
          <t>Hill</t>
        </is>
      </c>
      <c r="F161" t="inlineStr">
        <is>
          <t>Exp</t>
        </is>
      </c>
      <c r="G161" t="inlineStr">
        <is>
          <t>IB</t>
        </is>
      </c>
      <c r="H161" t="n">
        <v>6</v>
      </c>
      <c r="I161" t="n">
        <v>180</v>
      </c>
      <c r="J161" t="n">
        <v>300</v>
      </c>
      <c r="K161" t="n">
        <v>95</v>
      </c>
      <c r="L161" t="inlineStr">
        <is>
          <t>42.158466106.685444</t>
        </is>
      </c>
      <c r="M161" t="n">
        <v>0</v>
      </c>
      <c r="N161" t="n">
        <v>0</v>
      </c>
      <c r="O161" t="n">
        <v>0</v>
      </c>
      <c r="P161" t="n">
        <v>0</v>
      </c>
      <c r="Q161" t="n">
        <v>42.158466</v>
      </c>
      <c r="R161" t="n">
        <v>61.224047</v>
      </c>
      <c r="S161" t="n">
        <v>4</v>
      </c>
      <c r="T161" t="n">
        <v>0</v>
      </c>
      <c r="U161" t="n">
        <v>0</v>
      </c>
      <c r="V161" t="n">
        <v>1</v>
      </c>
      <c r="W161" t="n">
        <v>0</v>
      </c>
      <c r="X161" t="n">
        <v>0</v>
      </c>
      <c r="Y161" t="n">
        <v>0</v>
      </c>
      <c r="Z161" t="n">
        <v>0</v>
      </c>
      <c r="AA161" t="n">
        <v>3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6</v>
      </c>
      <c r="CC161" t="n">
        <v>135</v>
      </c>
    </row>
    <row r="162">
      <c r="A162" t="inlineStr"/>
      <c r="B162" t="inlineStr">
        <is>
          <t>73Rte</t>
        </is>
      </c>
      <c r="C162" t="n">
        <v>6</v>
      </c>
      <c r="D162" t="inlineStr">
        <is>
          <t>Lebanon</t>
        </is>
      </c>
      <c r="E162" t="inlineStr">
        <is>
          <t>Rd</t>
        </is>
      </c>
      <c r="F162" t="inlineStr">
        <is>
          <t>OB</t>
        </is>
      </c>
      <c r="G162" t="n">
        <v>1</v>
      </c>
      <c r="H162" t="n">
        <v>26</v>
      </c>
      <c r="I162" t="n">
        <v>60</v>
      </c>
      <c r="J162" t="n">
        <v>24</v>
      </c>
      <c r="K162" t="n">
        <v>50</v>
      </c>
      <c r="L162" t="n">
        <v>6</v>
      </c>
      <c r="M162" t="n">
        <v>16.01181</v>
      </c>
      <c r="N162" t="n">
        <v>66.853718</v>
      </c>
      <c r="O162" t="n">
        <v>16.01181</v>
      </c>
      <c r="P162" t="n">
        <v>61.62696</v>
      </c>
      <c r="Q162" t="n">
        <v>16.01181</v>
      </c>
      <c r="R162" t="n">
        <v>92.357232</v>
      </c>
      <c r="S162" t="n">
        <v>16.01181</v>
      </c>
      <c r="T162" t="n">
        <v>56.777525</v>
      </c>
      <c r="U162" t="inlineStr">
        <is>
          <t>508132.52.165</t>
        </is>
      </c>
      <c r="V162" t="n">
        <v>0</v>
      </c>
      <c r="W162" t="inlineStr">
        <is>
          <t>014.032.0930.3250.162</t>
        </is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inlineStr">
        <is>
          <t>075.220.162</t>
        </is>
      </c>
      <c r="AE162" t="n">
        <v>0</v>
      </c>
      <c r="AF162" t="n">
        <v>0</v>
      </c>
      <c r="AG162" t="inlineStr">
        <is>
          <t>00.2650.081</t>
        </is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inlineStr">
        <is>
          <t>0216.70.3120.185</t>
        </is>
      </c>
      <c r="AP162" t="n">
        <v>12.56</v>
      </c>
      <c r="AQ162" t="n">
        <v>1</v>
      </c>
      <c r="AR162" t="n">
        <v>0</v>
      </c>
      <c r="AS162" t="n">
        <v>0</v>
      </c>
      <c r="AT162" t="n">
        <v>16.55</v>
      </c>
      <c r="AU162" t="n">
        <v>0</v>
      </c>
      <c r="AV162" t="n">
        <v>0</v>
      </c>
      <c r="AW162" t="n">
        <v>0</v>
      </c>
      <c r="AX162" t="n">
        <v>0</v>
      </c>
      <c r="AY162" t="n">
        <v>33.14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113</v>
      </c>
      <c r="BO162" t="n">
        <v>1350</v>
      </c>
    </row>
    <row r="163">
      <c r="A163" t="inlineStr"/>
      <c r="B163" t="inlineStr">
        <is>
          <t>74Rte</t>
        </is>
      </c>
      <c r="C163" t="n">
        <v>6</v>
      </c>
      <c r="D163" t="inlineStr">
        <is>
          <t>Lebanon</t>
        </is>
      </c>
      <c r="E163" t="inlineStr">
        <is>
          <t>Rd</t>
        </is>
      </c>
      <c r="F163" t="inlineStr">
        <is>
          <t>IB</t>
        </is>
      </c>
      <c r="G163" t="n">
        <v>1</v>
      </c>
      <c r="H163" t="n">
        <v>36</v>
      </c>
      <c r="I163" t="n">
        <v>45</v>
      </c>
      <c r="J163" t="n">
        <v>30</v>
      </c>
      <c r="K163" t="n">
        <v>38</v>
      </c>
      <c r="L163" t="n">
        <v>6</v>
      </c>
      <c r="M163" t="inlineStr">
        <is>
          <t>17.163448113.793659</t>
        </is>
      </c>
      <c r="N163" t="n">
        <v>17.163448</v>
      </c>
      <c r="O163" t="n">
        <v>70.187651</v>
      </c>
      <c r="P163" t="n">
        <v>17.163448</v>
      </c>
      <c r="Q163" t="n">
        <v>78.505903</v>
      </c>
      <c r="R163" t="n">
        <v>17.163448</v>
      </c>
      <c r="S163" t="n">
        <v>61.333684</v>
      </c>
      <c r="T163" t="inlineStr">
        <is>
          <t>24138.150.147</t>
        </is>
      </c>
      <c r="U163" t="n">
        <v>0</v>
      </c>
      <c r="V163" t="n">
        <v>13.35</v>
      </c>
      <c r="W163" t="n">
        <v>1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43.77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99.59999999999999</v>
      </c>
      <c r="AU163" t="n">
        <v>0</v>
      </c>
      <c r="AV163" t="n">
        <v>0</v>
      </c>
      <c r="AW163" t="inlineStr">
        <is>
          <t>03.7301.285</t>
        </is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39.85</v>
      </c>
      <c r="BG163" t="n">
        <v>0</v>
      </c>
      <c r="BH163" t="n">
        <v>0</v>
      </c>
      <c r="BI163" t="n">
        <v>0</v>
      </c>
      <c r="BJ163" t="n">
        <v>0.217</v>
      </c>
      <c r="BK163" t="n">
        <v>0.274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75</v>
      </c>
      <c r="BT163" t="n">
        <v>935</v>
      </c>
    </row>
    <row r="164">
      <c r="A164" t="inlineStr"/>
      <c r="B164" t="inlineStr">
        <is>
          <t>75Rte</t>
        </is>
      </c>
      <c r="C164" t="n">
        <v>56</v>
      </c>
      <c r="D164" t="inlineStr">
        <is>
          <t>Gallatin</t>
        </is>
      </c>
      <c r="E164" t="inlineStr">
        <is>
          <t>Rd</t>
        </is>
      </c>
      <c r="F164" t="inlineStr">
        <is>
          <t>IB</t>
        </is>
      </c>
      <c r="G164" t="n">
        <v>1</v>
      </c>
      <c r="H164" t="n">
        <v>10</v>
      </c>
      <c r="I164" t="n">
        <v>10</v>
      </c>
      <c r="J164" t="n">
        <v>12</v>
      </c>
      <c r="K164" t="n">
        <v>14</v>
      </c>
      <c r="L164" t="n">
        <v>56</v>
      </c>
      <c r="M164" t="n">
        <v>11.946568</v>
      </c>
      <c r="N164" t="n">
        <v>70.691592</v>
      </c>
      <c r="O164" t="n">
        <v>11.946568</v>
      </c>
      <c r="P164" t="n">
        <v>48.629758</v>
      </c>
      <c r="Q164" t="n">
        <v>11.946568</v>
      </c>
      <c r="R164" t="n">
        <v>53.001595</v>
      </c>
      <c r="S164" t="n">
        <v>11.946568</v>
      </c>
      <c r="T164" t="n">
        <v>42.23876</v>
      </c>
      <c r="U164" t="n">
        <v>1996657.6</v>
      </c>
      <c r="V164" t="n">
        <v>1</v>
      </c>
      <c r="W164" t="n">
        <v>1</v>
      </c>
      <c r="X164" t="n">
        <v>0</v>
      </c>
      <c r="Y164" t="n">
        <v>0</v>
      </c>
      <c r="Z164" t="n">
        <v>53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648.3</v>
      </c>
      <c r="AJ164" t="n">
        <v>1</v>
      </c>
      <c r="AK164" t="n">
        <v>1</v>
      </c>
      <c r="AL164" t="n">
        <v>0</v>
      </c>
      <c r="AM164" t="n">
        <v>0</v>
      </c>
      <c r="AN164" t="n">
        <v>16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inlineStr">
        <is>
          <t>0481.40.476</t>
        </is>
      </c>
      <c r="AX164" t="n">
        <v>1</v>
      </c>
      <c r="AY164" t="n">
        <v>0</v>
      </c>
      <c r="AZ164" t="n">
        <v>0.4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133.6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499</v>
      </c>
      <c r="BY164" t="n">
        <v>6071</v>
      </c>
    </row>
    <row r="165">
      <c r="A165" t="inlineStr"/>
      <c r="B165" t="inlineStr">
        <is>
          <t>76Rte</t>
        </is>
      </c>
      <c r="C165" t="n">
        <v>28</v>
      </c>
      <c r="D165" t="inlineStr">
        <is>
          <t>Meridian</t>
        </is>
      </c>
      <c r="E165" t="inlineStr">
        <is>
          <t>OB</t>
        </is>
      </c>
      <c r="F165" t="n">
        <v>1</v>
      </c>
      <c r="G165" t="n">
        <v>36</v>
      </c>
      <c r="H165" t="n">
        <v>51</v>
      </c>
      <c r="I165" t="n">
        <v>34</v>
      </c>
      <c r="J165" t="n">
        <v>60</v>
      </c>
      <c r="K165" t="n">
        <v>28</v>
      </c>
      <c r="L165" t="n">
        <v>5.198937</v>
      </c>
      <c r="M165" t="n">
        <v>18.605497</v>
      </c>
      <c r="N165" t="n">
        <v>5.198937</v>
      </c>
      <c r="O165" t="n">
        <v>18.773495</v>
      </c>
      <c r="P165" t="n">
        <v>5.198937</v>
      </c>
      <c r="Q165" t="n">
        <v>21.43704</v>
      </c>
      <c r="R165" t="n">
        <v>5.198937</v>
      </c>
      <c r="S165" t="n">
        <v>18.252339</v>
      </c>
      <c r="T165" t="n">
        <v>5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4.636</v>
      </c>
      <c r="AY165" t="n">
        <v>0</v>
      </c>
      <c r="AZ165" t="n">
        <v>0</v>
      </c>
      <c r="BA165" t="n">
        <v>0</v>
      </c>
      <c r="BB165" t="n">
        <v>0.5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1</v>
      </c>
      <c r="CB165" t="n">
        <v>10</v>
      </c>
    </row>
    <row r="166">
      <c r="A166" t="inlineStr"/>
      <c r="B166" t="inlineStr">
        <is>
          <t>77Rte</t>
        </is>
      </c>
      <c r="C166" t="n">
        <v>56</v>
      </c>
      <c r="D166" t="inlineStr">
        <is>
          <t>Gallatin</t>
        </is>
      </c>
      <c r="E166" t="inlineStr">
        <is>
          <t>Rd</t>
        </is>
      </c>
      <c r="F166" t="inlineStr">
        <is>
          <t>oB</t>
        </is>
      </c>
      <c r="G166" t="n">
        <v>1</v>
      </c>
      <c r="H166" t="n">
        <v>10</v>
      </c>
      <c r="I166" t="n">
        <v>10</v>
      </c>
      <c r="J166" t="n">
        <v>11</v>
      </c>
      <c r="K166" t="n">
        <v>15</v>
      </c>
      <c r="L166" t="n">
        <v>56</v>
      </c>
      <c r="M166" t="n">
        <v>11.925564</v>
      </c>
      <c r="N166" t="n">
        <v>48.711032</v>
      </c>
      <c r="O166" t="n">
        <v>11.925564</v>
      </c>
      <c r="P166" t="n">
        <v>46.660561</v>
      </c>
      <c r="Q166" t="n">
        <v>11.925564</v>
      </c>
      <c r="R166" t="n">
        <v>63.670326</v>
      </c>
      <c r="S166" t="n">
        <v>11.925564</v>
      </c>
      <c r="T166" t="n">
        <v>42.709909</v>
      </c>
      <c r="U166" t="inlineStr">
        <is>
          <t>1967256.23.800</t>
        </is>
      </c>
      <c r="V166" t="n">
        <v>1</v>
      </c>
      <c r="W166" t="n">
        <v>0</v>
      </c>
      <c r="X166" t="n">
        <v>0</v>
      </c>
      <c r="Y166" t="n">
        <v>1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inlineStr">
        <is>
          <t>0562.81.774</t>
        </is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inlineStr">
        <is>
          <t>0853.44.9891.785</t>
        </is>
      </c>
      <c r="AV166" t="inlineStr">
        <is>
          <t>01.24450.410.8803.046</t>
        </is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216.6</v>
      </c>
      <c r="BD166" t="n">
        <v>0</v>
      </c>
      <c r="BE166" t="n">
        <v>2</v>
      </c>
      <c r="BF166" t="n">
        <v>0</v>
      </c>
      <c r="BG166" t="inlineStr">
        <is>
          <t>03.3910.4442.000</t>
        </is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474</v>
      </c>
      <c r="BP166" t="n">
        <v>6128</v>
      </c>
    </row>
    <row r="167">
      <c r="A167" t="inlineStr"/>
      <c r="B167" t="inlineStr">
        <is>
          <t>78Rte</t>
        </is>
      </c>
      <c r="C167" t="n">
        <v>18</v>
      </c>
      <c r="D167" t="inlineStr">
        <is>
          <t>Airport</t>
        </is>
      </c>
      <c r="E167" t="inlineStr">
        <is>
          <t>Exp</t>
        </is>
      </c>
      <c r="F167" t="inlineStr">
        <is>
          <t>IB</t>
        </is>
      </c>
      <c r="G167" t="n">
        <v>6</v>
      </c>
      <c r="H167" t="n">
        <v>60</v>
      </c>
      <c r="I167" t="n">
        <v>120</v>
      </c>
      <c r="J167" t="n">
        <v>18</v>
      </c>
      <c r="K167" t="n">
        <v>0</v>
      </c>
      <c r="L167" t="n">
        <v>0</v>
      </c>
      <c r="M167" t="n">
        <v>0</v>
      </c>
      <c r="N167" t="n">
        <v>0</v>
      </c>
      <c r="O167" t="n">
        <v>8.089238</v>
      </c>
      <c r="P167" t="n">
        <v>20.050382</v>
      </c>
      <c r="Q167" t="n">
        <v>8.089238</v>
      </c>
      <c r="R167" t="n">
        <v>13.552433</v>
      </c>
      <c r="S167" t="n">
        <v>11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7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4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3</v>
      </c>
      <c r="CC167" t="n">
        <v>87</v>
      </c>
    </row>
    <row r="168">
      <c r="A168" t="inlineStr"/>
      <c r="B168" t="inlineStr">
        <is>
          <t>79Rte</t>
        </is>
      </c>
      <c r="C168" t="n">
        <v>34</v>
      </c>
      <c r="D168" t="inlineStr">
        <is>
          <t>Opry</t>
        </is>
      </c>
      <c r="E168" t="inlineStr">
        <is>
          <t>Mills</t>
        </is>
      </c>
      <c r="F168" t="inlineStr">
        <is>
          <t>IB</t>
        </is>
      </c>
      <c r="G168" t="n">
        <v>1</v>
      </c>
      <c r="H168" t="n">
        <v>90</v>
      </c>
      <c r="I168" t="n">
        <v>51</v>
      </c>
      <c r="J168" t="n">
        <v>60</v>
      </c>
      <c r="K168" t="n">
        <v>75</v>
      </c>
      <c r="L168" t="n">
        <v>34</v>
      </c>
      <c r="M168" t="n">
        <v>11.822083</v>
      </c>
      <c r="N168" t="n">
        <v>51.754071</v>
      </c>
      <c r="O168" t="n">
        <v>11.822083</v>
      </c>
      <c r="P168" t="n">
        <v>43.32451</v>
      </c>
      <c r="Q168" t="n">
        <v>11.822083</v>
      </c>
      <c r="R168" t="n">
        <v>46.013209</v>
      </c>
      <c r="S168" t="n">
        <v>11.822083</v>
      </c>
      <c r="T168" t="n">
        <v>40.321362</v>
      </c>
      <c r="U168" t="n">
        <v>161.428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4.078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9.666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1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7</v>
      </c>
      <c r="CB168" t="n">
        <v>119</v>
      </c>
    </row>
    <row r="169">
      <c r="A169" t="inlineStr"/>
      <c r="B169" t="inlineStr">
        <is>
          <t>80Rte</t>
        </is>
      </c>
      <c r="C169" t="n">
        <v>56</v>
      </c>
      <c r="D169" t="inlineStr">
        <is>
          <t>Gallatin</t>
        </is>
      </c>
      <c r="E169" t="inlineStr">
        <is>
          <t>Rd</t>
        </is>
      </c>
      <c r="F169" t="inlineStr">
        <is>
          <t>BRTmix</t>
        </is>
      </c>
      <c r="G169" t="n">
        <v>8</v>
      </c>
      <c r="H169" t="n">
        <v>10</v>
      </c>
      <c r="I169" t="n">
        <v>10</v>
      </c>
      <c r="J169" t="n">
        <v>10</v>
      </c>
      <c r="K169" t="n">
        <v>30</v>
      </c>
      <c r="L169" t="n">
        <v>56</v>
      </c>
      <c r="M169" t="n">
        <v>11.634682</v>
      </c>
      <c r="N169" t="n">
        <v>41.557317</v>
      </c>
      <c r="O169" t="n">
        <v>11.634682</v>
      </c>
      <c r="P169" t="n">
        <v>39.942843</v>
      </c>
      <c r="Q169" t="n">
        <v>11.634682</v>
      </c>
      <c r="R169" t="n">
        <v>56.077419</v>
      </c>
      <c r="S169" t="n">
        <v>11.634682</v>
      </c>
      <c r="T169" t="n">
        <v>36.175773</v>
      </c>
      <c r="U169" t="n">
        <v>69</v>
      </c>
      <c r="V169" t="n">
        <v>4.2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11.22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38.53</v>
      </c>
      <c r="AY169" t="n">
        <v>0</v>
      </c>
      <c r="AZ169" t="n">
        <v>0</v>
      </c>
      <c r="BA169" t="n">
        <v>0</v>
      </c>
      <c r="BB169" t="inlineStr">
        <is>
          <t>06.1208.953</t>
        </is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37</v>
      </c>
      <c r="BZ169" t="n">
        <v>519</v>
      </c>
    </row>
    <row r="170">
      <c r="A170" t="inlineStr"/>
      <c r="B170" t="inlineStr">
        <is>
          <t>81Rte</t>
        </is>
      </c>
      <c r="C170" t="n">
        <v>56</v>
      </c>
      <c r="D170" t="inlineStr">
        <is>
          <t>Gallatin</t>
        </is>
      </c>
      <c r="E170" t="inlineStr">
        <is>
          <t>Rd</t>
        </is>
      </c>
      <c r="F170" t="inlineStr">
        <is>
          <t>BRTmix</t>
        </is>
      </c>
      <c r="G170" t="n">
        <v>8</v>
      </c>
      <c r="H170" t="n">
        <v>10</v>
      </c>
      <c r="I170" t="n">
        <v>10</v>
      </c>
      <c r="J170" t="n">
        <v>10</v>
      </c>
      <c r="K170" t="n">
        <v>30</v>
      </c>
      <c r="L170" t="n">
        <v>56</v>
      </c>
      <c r="M170" t="n">
        <v>11.738973</v>
      </c>
      <c r="N170" t="n">
        <v>58.809838</v>
      </c>
      <c r="O170" t="n">
        <v>11.738973</v>
      </c>
      <c r="P170" t="n">
        <v>38.513379</v>
      </c>
      <c r="Q170" t="n">
        <v>11.738973</v>
      </c>
      <c r="R170" t="n">
        <v>42.124452</v>
      </c>
      <c r="S170" t="n">
        <v>11.738973</v>
      </c>
      <c r="T170" t="n">
        <v>32.674111</v>
      </c>
      <c r="U170" t="n">
        <v>138</v>
      </c>
      <c r="V170" t="n">
        <v>59.5</v>
      </c>
      <c r="W170" t="n">
        <v>1</v>
      </c>
      <c r="X170" t="n">
        <v>0</v>
      </c>
      <c r="Y170" t="n">
        <v>0</v>
      </c>
      <c r="Z170" t="n">
        <v>0</v>
      </c>
      <c r="AA170" t="n">
        <v>5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24</v>
      </c>
      <c r="AL170" t="n">
        <v>1</v>
      </c>
      <c r="AM170" t="n">
        <v>0</v>
      </c>
      <c r="AN170" t="n">
        <v>0</v>
      </c>
      <c r="AO170" t="n">
        <v>0</v>
      </c>
      <c r="AP170" t="n">
        <v>1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44.02</v>
      </c>
      <c r="AZ170" t="n">
        <v>0</v>
      </c>
      <c r="BA170" t="n">
        <v>0</v>
      </c>
      <c r="BB170" t="n">
        <v>2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60</v>
      </c>
      <c r="CC170" t="n">
        <v>840</v>
      </c>
    </row>
    <row r="171">
      <c r="A171" t="inlineStr"/>
      <c r="B171" t="inlineStr">
        <is>
          <t>82Rte</t>
        </is>
      </c>
      <c r="C171" t="n">
        <v>89</v>
      </c>
      <c r="D171" t="inlineStr">
        <is>
          <t>Sprgfield/Joelton</t>
        </is>
      </c>
      <c r="E171" t="n">
        <v>6</v>
      </c>
      <c r="F171" t="n">
        <v>180</v>
      </c>
      <c r="G171" t="n">
        <v>300</v>
      </c>
      <c r="H171" t="n">
        <v>89</v>
      </c>
      <c r="I171" t="n">
        <v>31.743933</v>
      </c>
      <c r="J171" t="n">
        <v>88.382107</v>
      </c>
      <c r="K171" t="n">
        <v>0</v>
      </c>
      <c r="L171" t="n">
        <v>0</v>
      </c>
      <c r="M171" t="n">
        <v>0</v>
      </c>
      <c r="N171" t="n">
        <v>0</v>
      </c>
      <c r="O171" t="n">
        <v>31.743933</v>
      </c>
      <c r="P171" t="n">
        <v>46.346728</v>
      </c>
      <c r="Q171" t="n">
        <v>2</v>
      </c>
      <c r="R171" t="n">
        <v>0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1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2</v>
      </c>
      <c r="CA171" t="n">
        <v>33</v>
      </c>
    </row>
    <row r="172">
      <c r="A172" t="inlineStr"/>
      <c r="B172" t="inlineStr">
        <is>
          <t>83Rte</t>
        </is>
      </c>
      <c r="C172" t="n">
        <v>41</v>
      </c>
      <c r="D172" t="inlineStr">
        <is>
          <t>Golden</t>
        </is>
      </c>
      <c r="E172" t="inlineStr">
        <is>
          <t>Valley</t>
        </is>
      </c>
      <c r="F172" t="inlineStr">
        <is>
          <t>IB</t>
        </is>
      </c>
      <c r="G172" t="inlineStr">
        <is>
          <t>P</t>
        </is>
      </c>
      <c r="H172" t="n">
        <v>1</v>
      </c>
      <c r="I172" t="n">
        <v>120</v>
      </c>
      <c r="J172" t="n">
        <v>41</v>
      </c>
      <c r="K172" t="n">
        <v>0</v>
      </c>
      <c r="L172" t="n">
        <v>0</v>
      </c>
      <c r="M172" t="n">
        <v>0</v>
      </c>
      <c r="N172" t="n">
        <v>0</v>
      </c>
      <c r="O172" t="n">
        <v>12.388599</v>
      </c>
      <c r="P172" t="n">
        <v>40.161501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</row>
    <row r="173">
      <c r="A173" t="inlineStr"/>
      <c r="B173" t="inlineStr">
        <is>
          <t>84Rte</t>
        </is>
      </c>
      <c r="C173" t="n">
        <v>41</v>
      </c>
      <c r="D173" t="inlineStr">
        <is>
          <t>Golden</t>
        </is>
      </c>
      <c r="E173" t="inlineStr">
        <is>
          <t>Valley</t>
        </is>
      </c>
      <c r="F173" t="inlineStr">
        <is>
          <t>OB</t>
        </is>
      </c>
      <c r="G173" t="inlineStr">
        <is>
          <t>A</t>
        </is>
      </c>
      <c r="H173" t="n">
        <v>1</v>
      </c>
      <c r="I173" t="n">
        <v>90</v>
      </c>
      <c r="J173" t="n">
        <v>41</v>
      </c>
      <c r="K173" t="n">
        <v>12.898892</v>
      </c>
      <c r="L173" t="n">
        <v>43.447417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10.916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1</v>
      </c>
      <c r="CB173" t="n">
        <v>11</v>
      </c>
    </row>
    <row r="174">
      <c r="A174" t="inlineStr"/>
      <c r="B174" t="inlineStr">
        <is>
          <t>85Rte</t>
        </is>
      </c>
      <c r="C174" t="n">
        <v>87</v>
      </c>
      <c r="D174" t="inlineStr">
        <is>
          <t>Gallatin</t>
        </is>
      </c>
      <c r="E174" t="inlineStr">
        <is>
          <t>Comm</t>
        </is>
      </c>
      <c r="F174" t="inlineStr">
        <is>
          <t>Bus</t>
        </is>
      </c>
      <c r="G174" t="n">
        <v>7</v>
      </c>
      <c r="H174" t="n">
        <v>60</v>
      </c>
      <c r="I174" t="n">
        <v>87</v>
      </c>
      <c r="J174" t="n">
        <v>0</v>
      </c>
      <c r="K174" t="n">
        <v>0</v>
      </c>
      <c r="L174" t="n">
        <v>0</v>
      </c>
      <c r="M174" t="n">
        <v>0</v>
      </c>
      <c r="N174" t="inlineStr">
        <is>
          <t>30.916191105.950783</t>
        </is>
      </c>
      <c r="O174" t="n">
        <v>0</v>
      </c>
      <c r="P174" t="n">
        <v>0</v>
      </c>
      <c r="Q174" t="n">
        <v>4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2</v>
      </c>
      <c r="AY174" t="n">
        <v>0</v>
      </c>
      <c r="AZ174" t="n">
        <v>0</v>
      </c>
      <c r="BA174" t="n">
        <v>0</v>
      </c>
      <c r="BB174" t="n">
        <v>2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4</v>
      </c>
      <c r="BZ174" t="n">
        <v>86</v>
      </c>
    </row>
    <row r="175">
      <c r="A175" t="inlineStr"/>
      <c r="B175" t="inlineStr">
        <is>
          <t>86Rte</t>
        </is>
      </c>
      <c r="C175" t="n">
        <v>87</v>
      </c>
      <c r="D175" t="inlineStr">
        <is>
          <t>Gallatin</t>
        </is>
      </c>
      <c r="E175" t="inlineStr">
        <is>
          <t>Comm</t>
        </is>
      </c>
      <c r="F175" t="inlineStr">
        <is>
          <t>Bus</t>
        </is>
      </c>
      <c r="G175" t="n">
        <v>7</v>
      </c>
      <c r="H175" t="n">
        <v>60</v>
      </c>
      <c r="I175" t="n">
        <v>300</v>
      </c>
      <c r="J175" t="n">
        <v>87</v>
      </c>
      <c r="K175" t="inlineStr">
        <is>
          <t>31.107801111.291453</t>
        </is>
      </c>
      <c r="L175" t="n">
        <v>0</v>
      </c>
      <c r="M175" t="n">
        <v>0</v>
      </c>
      <c r="N175" t="n">
        <v>0</v>
      </c>
      <c r="O175" t="n">
        <v>0</v>
      </c>
      <c r="P175" t="n">
        <v>31.107801</v>
      </c>
      <c r="Q175" t="n">
        <v>68.935343</v>
      </c>
      <c r="R175" t="n">
        <v>5</v>
      </c>
      <c r="S175" t="n">
        <v>0</v>
      </c>
      <c r="T175" t="n">
        <v>0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4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8</v>
      </c>
      <c r="CB175" t="n">
        <v>134</v>
      </c>
    </row>
    <row r="176">
      <c r="A176" t="inlineStr"/>
      <c r="B176" t="inlineStr">
        <is>
          <t>87Rte</t>
        </is>
      </c>
      <c r="C176" t="n">
        <v>34</v>
      </c>
      <c r="D176" t="inlineStr">
        <is>
          <t>Opry</t>
        </is>
      </c>
      <c r="E176" t="inlineStr">
        <is>
          <t>Mills</t>
        </is>
      </c>
      <c r="F176" t="inlineStr">
        <is>
          <t>OB</t>
        </is>
      </c>
      <c r="G176" t="n">
        <v>1</v>
      </c>
      <c r="H176" t="n">
        <v>60</v>
      </c>
      <c r="I176" t="n">
        <v>60</v>
      </c>
      <c r="J176" t="n">
        <v>60</v>
      </c>
      <c r="K176" t="n">
        <v>75</v>
      </c>
      <c r="L176" t="n">
        <v>34</v>
      </c>
      <c r="M176" t="n">
        <v>11.614408</v>
      </c>
      <c r="N176" t="n">
        <v>42.09313</v>
      </c>
      <c r="O176" t="n">
        <v>11.614408</v>
      </c>
      <c r="P176" t="n">
        <v>40.093969</v>
      </c>
      <c r="Q176" t="n">
        <v>11.614408</v>
      </c>
      <c r="R176" t="n">
        <v>47.167301</v>
      </c>
      <c r="S176" t="n">
        <v>11.614408</v>
      </c>
      <c r="T176" t="n">
        <v>37.85791</v>
      </c>
      <c r="U176" t="n">
        <v>329.95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10.98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7.35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3.96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8</v>
      </c>
      <c r="CA176" t="n">
        <v>145</v>
      </c>
    </row>
    <row r="177">
      <c r="A177" t="inlineStr"/>
      <c r="B177" t="inlineStr">
        <is>
          <t>88Rte</t>
        </is>
      </c>
      <c r="C177" t="n">
        <v>77</v>
      </c>
      <c r="D177" t="inlineStr">
        <is>
          <t>THOMPSON</t>
        </is>
      </c>
      <c r="E177" t="inlineStr">
        <is>
          <t>-</t>
        </is>
      </c>
      <c r="F177" t="inlineStr">
        <is>
          <t>WEDGEWO</t>
        </is>
      </c>
      <c r="G177" t="n">
        <v>1</v>
      </c>
      <c r="H177" t="n">
        <v>60</v>
      </c>
      <c r="I177" t="n">
        <v>60</v>
      </c>
      <c r="J177" t="n">
        <v>60</v>
      </c>
      <c r="K177" t="n">
        <v>75</v>
      </c>
      <c r="L177" t="n">
        <v>77</v>
      </c>
      <c r="M177" t="n">
        <v>9.679456</v>
      </c>
      <c r="N177" t="n">
        <v>46.956112</v>
      </c>
      <c r="O177" t="n">
        <v>9.679456</v>
      </c>
      <c r="P177" t="n">
        <v>40.92322</v>
      </c>
      <c r="Q177" t="n">
        <v>9.679456</v>
      </c>
      <c r="R177" t="n">
        <v>45.99907</v>
      </c>
      <c r="S177" t="n">
        <v>9.679456</v>
      </c>
      <c r="T177" t="n">
        <v>36.762777</v>
      </c>
      <c r="U177" t="n">
        <v>344.721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8.532999999999999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12.31</v>
      </c>
      <c r="AX177" t="n">
        <v>0</v>
      </c>
      <c r="AY177" t="n">
        <v>0</v>
      </c>
      <c r="AZ177" t="n">
        <v>0</v>
      </c>
      <c r="BA177" t="n">
        <v>4.664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2.514</v>
      </c>
      <c r="BK177" t="n">
        <v>0.5</v>
      </c>
      <c r="BL177" t="n">
        <v>0</v>
      </c>
      <c r="BM177" t="n">
        <v>0.5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6</v>
      </c>
      <c r="BX177" t="n">
        <v>72</v>
      </c>
    </row>
    <row r="178">
      <c r="A178" t="inlineStr"/>
      <c r="B178" t="inlineStr">
        <is>
          <t>89Rte</t>
        </is>
      </c>
      <c r="C178" t="n">
        <v>77</v>
      </c>
      <c r="D178" t="inlineStr">
        <is>
          <t>THOMPSON</t>
        </is>
      </c>
      <c r="E178" t="inlineStr">
        <is>
          <t>-</t>
        </is>
      </c>
      <c r="F178" t="inlineStr">
        <is>
          <t>WEDGEWO</t>
        </is>
      </c>
      <c r="G178" t="n">
        <v>1</v>
      </c>
      <c r="H178" t="n">
        <v>60</v>
      </c>
      <c r="I178" t="n">
        <v>51</v>
      </c>
      <c r="J178" t="n">
        <v>80</v>
      </c>
      <c r="K178" t="n">
        <v>60</v>
      </c>
      <c r="L178" t="n">
        <v>77</v>
      </c>
      <c r="M178" t="n">
        <v>15.916506</v>
      </c>
      <c r="N178" t="n">
        <v>42.88353</v>
      </c>
      <c r="O178" t="n">
        <v>15.916506</v>
      </c>
      <c r="P178" t="n">
        <v>39.237678</v>
      </c>
      <c r="Q178" t="n">
        <v>15.916506</v>
      </c>
      <c r="R178" t="n">
        <v>44.788306</v>
      </c>
      <c r="S178" t="n">
        <v>15.916506</v>
      </c>
      <c r="T178" t="n">
        <v>35.501528</v>
      </c>
      <c r="U178" t="n">
        <v>673.688</v>
      </c>
      <c r="V178" t="n">
        <v>0</v>
      </c>
      <c r="W178" t="n">
        <v>0</v>
      </c>
      <c r="X178" t="n">
        <v>0</v>
      </c>
      <c r="Y178" t="n">
        <v>6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22.68</v>
      </c>
      <c r="AI178" t="n">
        <v>0</v>
      </c>
      <c r="AJ178" t="n">
        <v>0</v>
      </c>
      <c r="AK178" t="n">
        <v>0</v>
      </c>
      <c r="AL178" t="n">
        <v>4.2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14.95</v>
      </c>
      <c r="AV178" t="n">
        <v>0</v>
      </c>
      <c r="AW178" t="n">
        <v>0</v>
      </c>
      <c r="AX178" t="n">
        <v>0</v>
      </c>
      <c r="AY178" t="n">
        <v>4.664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9.853</v>
      </c>
      <c r="BI178" t="n">
        <v>0</v>
      </c>
      <c r="BJ178" t="n">
        <v>0</v>
      </c>
      <c r="BK178" t="n">
        <v>0</v>
      </c>
      <c r="BL178" t="n">
        <v>0.5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14</v>
      </c>
      <c r="BW178" t="n">
        <v>178</v>
      </c>
    </row>
    <row r="179">
      <c r="A179" t="inlineStr"/>
      <c r="B179" t="inlineStr">
        <is>
          <t>90Rte</t>
        </is>
      </c>
      <c r="C179" t="inlineStr">
        <is>
          <t>23B</t>
        </is>
      </c>
      <c r="D179" t="inlineStr">
        <is>
          <t>Dickerson</t>
        </is>
      </c>
      <c r="E179" t="inlineStr">
        <is>
          <t>Loop</t>
        </is>
      </c>
      <c r="F179" t="inlineStr">
        <is>
          <t>OB</t>
        </is>
      </c>
      <c r="G179" t="n">
        <v>1</v>
      </c>
      <c r="H179" t="n">
        <v>26</v>
      </c>
      <c r="I179" t="n">
        <v>24</v>
      </c>
      <c r="J179" t="n">
        <v>24</v>
      </c>
      <c r="K179" t="n">
        <v>18</v>
      </c>
      <c r="L179" t="n">
        <v>23</v>
      </c>
      <c r="M179" t="n">
        <v>5.499177</v>
      </c>
      <c r="N179" t="n">
        <v>17.913191</v>
      </c>
      <c r="O179" t="n">
        <v>5.499177</v>
      </c>
      <c r="P179" t="n">
        <v>17.846152</v>
      </c>
      <c r="Q179" t="n">
        <v>5.499177</v>
      </c>
      <c r="R179" t="n">
        <v>18.998598</v>
      </c>
      <c r="S179" t="n">
        <v>5.499177</v>
      </c>
      <c r="T179" t="n">
        <v>17.745765</v>
      </c>
      <c r="U179" t="n">
        <v>248.621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7.87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7.5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1</v>
      </c>
      <c r="CB179" t="n">
        <v>24</v>
      </c>
    </row>
    <row r="180">
      <c r="A180" t="inlineStr"/>
      <c r="B180" t="inlineStr">
        <is>
          <t>91Rte</t>
        </is>
      </c>
      <c r="C180" t="inlineStr">
        <is>
          <t>23B</t>
        </is>
      </c>
      <c r="D180" t="inlineStr">
        <is>
          <t>Dickerson</t>
        </is>
      </c>
      <c r="E180" t="inlineStr">
        <is>
          <t>Loop</t>
        </is>
      </c>
      <c r="F180" t="inlineStr">
        <is>
          <t>IB</t>
        </is>
      </c>
      <c r="G180" t="n">
        <v>1</v>
      </c>
      <c r="H180" t="n">
        <v>30</v>
      </c>
      <c r="I180" t="n">
        <v>23</v>
      </c>
      <c r="J180" t="n">
        <v>24</v>
      </c>
      <c r="K180" t="n">
        <v>21</v>
      </c>
      <c r="L180" t="n">
        <v>23</v>
      </c>
      <c r="M180" t="n">
        <v>5.6436</v>
      </c>
      <c r="N180" t="n">
        <v>20.863809</v>
      </c>
      <c r="O180" t="n">
        <v>5.6436</v>
      </c>
      <c r="P180" t="n">
        <v>18.765175</v>
      </c>
      <c r="Q180" t="n">
        <v>5.6436</v>
      </c>
      <c r="R180" t="n">
        <v>18.891162</v>
      </c>
      <c r="S180" t="n">
        <v>5.6436</v>
      </c>
      <c r="T180" t="n">
        <v>18.60179</v>
      </c>
      <c r="U180" t="n">
        <v>336.961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14.12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8.5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3.779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3</v>
      </c>
      <c r="CA180" t="n">
        <v>50</v>
      </c>
    </row>
    <row r="181">
      <c r="A181" t="inlineStr"/>
      <c r="B181" t="inlineStr">
        <is>
          <t>94Rte</t>
        </is>
      </c>
      <c r="C181" t="n">
        <v>70</v>
      </c>
      <c r="D181" t="inlineStr">
        <is>
          <t>Belevue</t>
        </is>
      </c>
      <c r="E181" t="inlineStr">
        <is>
          <t>Conn</t>
        </is>
      </c>
      <c r="F181" t="inlineStr">
        <is>
          <t>OB</t>
        </is>
      </c>
      <c r="G181" t="n">
        <v>1</v>
      </c>
      <c r="H181" t="n">
        <v>90</v>
      </c>
      <c r="I181" t="n">
        <v>60</v>
      </c>
      <c r="J181" t="n">
        <v>60</v>
      </c>
      <c r="K181" t="n">
        <v>70</v>
      </c>
      <c r="L181" t="n">
        <v>7.237816</v>
      </c>
      <c r="M181" t="n">
        <v>25.227647</v>
      </c>
      <c r="N181" t="n">
        <v>7.237816</v>
      </c>
      <c r="O181" t="n">
        <v>24.218865</v>
      </c>
      <c r="P181" t="n">
        <v>7.237816</v>
      </c>
      <c r="Q181" t="n">
        <v>27.739855</v>
      </c>
      <c r="R181" t="n">
        <v>0</v>
      </c>
      <c r="S181" t="n">
        <v>0</v>
      </c>
      <c r="T181" t="n">
        <v>144.09</v>
      </c>
      <c r="U181" t="n">
        <v>0</v>
      </c>
      <c r="V181" t="n">
        <v>0</v>
      </c>
      <c r="W181" t="n">
        <v>0</v>
      </c>
      <c r="X181" t="n">
        <v>0.272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4.175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5.927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2</v>
      </c>
      <c r="BZ181" t="n">
        <v>33</v>
      </c>
    </row>
    <row r="182">
      <c r="A182" t="inlineStr"/>
      <c r="B182" t="inlineStr">
        <is>
          <t>95Rte</t>
        </is>
      </c>
      <c r="C182" t="n">
        <v>70</v>
      </c>
      <c r="D182" t="inlineStr">
        <is>
          <t>Belevue</t>
        </is>
      </c>
      <c r="E182" t="inlineStr">
        <is>
          <t>Conn</t>
        </is>
      </c>
      <c r="F182" t="inlineStr">
        <is>
          <t>IB</t>
        </is>
      </c>
      <c r="G182" t="n">
        <v>1</v>
      </c>
      <c r="H182" t="n">
        <v>60</v>
      </c>
      <c r="I182" t="n">
        <v>60</v>
      </c>
      <c r="J182" t="n">
        <v>80</v>
      </c>
      <c r="K182" t="n">
        <v>70</v>
      </c>
      <c r="L182" t="n">
        <v>7.245699</v>
      </c>
      <c r="M182" t="n">
        <v>28.733916</v>
      </c>
      <c r="N182" t="n">
        <v>7.245699</v>
      </c>
      <c r="O182" t="n">
        <v>23.761953</v>
      </c>
      <c r="P182" t="n">
        <v>7.245699</v>
      </c>
      <c r="Q182" t="n">
        <v>25.382911</v>
      </c>
      <c r="R182" t="n">
        <v>0</v>
      </c>
      <c r="S182" t="n">
        <v>0</v>
      </c>
      <c r="T182" t="n">
        <v>95.05</v>
      </c>
      <c r="U182" t="n">
        <v>0</v>
      </c>
      <c r="V182" t="n">
        <v>0</v>
      </c>
      <c r="W182" t="n">
        <v>0</v>
      </c>
      <c r="X182" t="n">
        <v>0.3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2.771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1.334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2</v>
      </c>
      <c r="BZ182" t="n">
        <v>33</v>
      </c>
    </row>
    <row r="183">
      <c r="A183" t="inlineStr"/>
      <c r="B183" t="inlineStr">
        <is>
          <t>96Rte</t>
        </is>
      </c>
      <c r="C183" t="n">
        <v>111</v>
      </c>
      <c r="D183" t="inlineStr">
        <is>
          <t>FTA</t>
        </is>
      </c>
      <c r="E183" t="inlineStr">
        <is>
          <t>Blue</t>
        </is>
      </c>
      <c r="F183" t="n">
        <v>3</v>
      </c>
      <c r="G183" t="n">
        <v>111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</row>
    <row r="184">
      <c r="A184" t="inlineStr"/>
      <c r="B184" t="inlineStr">
        <is>
          <t>97Circ_Lebanon_W</t>
        </is>
      </c>
      <c r="C184" t="n">
        <v>2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</row>
    <row r="185">
      <c r="A185" t="inlineStr"/>
      <c r="B185" t="inlineStr">
        <is>
          <t>98Circ_Lebanon_E</t>
        </is>
      </c>
      <c r="C185" t="n">
        <v>2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</row>
    <row r="186">
      <c r="A186" t="inlineStr"/>
      <c r="B186" t="inlineStr">
        <is>
          <t>99Circ_Lebanon_N</t>
        </is>
      </c>
      <c r="C186" t="n">
        <v>2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</row>
    <row r="187">
      <c r="A187" t="inlineStr"/>
      <c r="B187" t="inlineStr">
        <is>
          <t>100Circ_Lebanon_S</t>
        </is>
      </c>
      <c r="C187" t="n">
        <v>2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</row>
    <row r="188">
      <c r="A188" t="inlineStr"/>
      <c r="B188" t="inlineStr">
        <is>
          <t>101Circ_MJ_E</t>
        </is>
      </c>
      <c r="C188" t="n">
        <v>2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</row>
    <row r="189">
      <c r="A189" t="inlineStr"/>
      <c r="B189" t="inlineStr">
        <is>
          <t>102Circ_MJ_W</t>
        </is>
      </c>
      <c r="C189" t="n">
        <v>2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</row>
    <row r="190">
      <c r="A190" t="inlineStr"/>
      <c r="B190" t="inlineStr">
        <is>
          <t>103Circ_MJ_S</t>
        </is>
      </c>
      <c r="C190" t="n">
        <v>2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</row>
    <row r="191">
      <c r="A191" t="inlineStr"/>
      <c r="B191" t="inlineStr">
        <is>
          <t>104Circ_MJ_N</t>
        </is>
      </c>
      <c r="C191" t="n">
        <v>2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</row>
    <row r="192">
      <c r="A192" t="inlineStr"/>
      <c r="B192" t="inlineStr">
        <is>
          <t>105Cric_Herm_W</t>
        </is>
      </c>
      <c r="C192" t="n">
        <v>2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</row>
    <row r="193">
      <c r="A193" t="inlineStr"/>
      <c r="B193" t="inlineStr">
        <is>
          <t>106Circ_Herm_N</t>
        </is>
      </c>
      <c r="C193" t="n">
        <v>2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</row>
    <row r="194">
      <c r="A194" t="inlineStr"/>
      <c r="B194" t="inlineStr">
        <is>
          <t>107Circ_Herm_S</t>
        </is>
      </c>
      <c r="C194" t="n">
        <v>2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</row>
    <row r="195">
      <c r="A195" t="inlineStr"/>
      <c r="B195" t="inlineStr">
        <is>
          <t>108Circ_Herm_E</t>
        </is>
      </c>
      <c r="C195" t="n">
        <v>2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/>
      <c r="B196" t="inlineStr">
        <is>
          <t>109BRT_CU7_Corridor</t>
        </is>
      </c>
      <c r="C196" t="inlineStr">
        <is>
          <t>iB</t>
        </is>
      </c>
      <c r="D196" t="n">
        <v>9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</row>
    <row r="197">
      <c r="A197" t="inlineStr"/>
      <c r="B197" t="inlineStr">
        <is>
          <t>110BRT_CU7_Corridor</t>
        </is>
      </c>
      <c r="C197" t="inlineStr">
        <is>
          <t>oB</t>
        </is>
      </c>
      <c r="D197" t="n">
        <v>9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</row>
    <row r="198">
      <c r="A198" t="inlineStr"/>
      <c r="B198" t="inlineStr">
        <is>
          <t>111BRT_CU1air_Corridor</t>
        </is>
      </c>
      <c r="C198" t="inlineStr">
        <is>
          <t>iB</t>
        </is>
      </c>
      <c r="D198" t="n">
        <v>9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</row>
    <row r="199">
      <c r="A199" t="inlineStr"/>
      <c r="B199" t="inlineStr">
        <is>
          <t>112BRT_CU1air_Corridor</t>
        </is>
      </c>
      <c r="C199" t="inlineStr">
        <is>
          <t>oB</t>
        </is>
      </c>
      <c r="D199" t="n">
        <v>9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</row>
    <row r="200">
      <c r="A200" t="inlineStr"/>
      <c r="B200" t="inlineStr">
        <is>
          <t>113BRT_CU2_Corridor</t>
        </is>
      </c>
      <c r="C200" t="inlineStr">
        <is>
          <t>oB</t>
        </is>
      </c>
      <c r="D200" t="n">
        <v>9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</row>
    <row r="201">
      <c r="A201" t="inlineStr"/>
      <c r="B201" t="inlineStr">
        <is>
          <t>114BRT_CU2_Corridor</t>
        </is>
      </c>
      <c r="C201" t="inlineStr">
        <is>
          <t>iB</t>
        </is>
      </c>
      <c r="D201" t="n">
        <v>9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</row>
    <row r="202">
      <c r="A202" t="inlineStr"/>
      <c r="B202" t="inlineStr">
        <is>
          <t>115BRT_CU4_Corridor</t>
        </is>
      </c>
      <c r="C202" t="inlineStr">
        <is>
          <t>iB</t>
        </is>
      </c>
      <c r="D202" t="n">
        <v>9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</row>
    <row r="203">
      <c r="A203" t="inlineStr"/>
      <c r="B203" t="inlineStr">
        <is>
          <t>116BRT_CU4_Corridor</t>
        </is>
      </c>
      <c r="C203" t="inlineStr">
        <is>
          <t>oB</t>
        </is>
      </c>
      <c r="D203" t="n">
        <v>9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</row>
    <row r="204">
      <c r="A204" t="inlineStr"/>
      <c r="B204" t="inlineStr">
        <is>
          <t>117BRT_CU3_Corridor</t>
        </is>
      </c>
      <c r="C204" t="inlineStr">
        <is>
          <t>oB</t>
        </is>
      </c>
      <c r="D204" t="n">
        <v>9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</row>
    <row r="205">
      <c r="A205" t="inlineStr"/>
      <c r="B205" t="inlineStr">
        <is>
          <t>118BRT_CU3_Corridor</t>
        </is>
      </c>
      <c r="C205" t="inlineStr">
        <is>
          <t>iB</t>
        </is>
      </c>
      <c r="D205" t="n">
        <v>9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</row>
    <row r="206">
      <c r="A206" t="inlineStr"/>
      <c r="B206" t="inlineStr">
        <is>
          <t>121BRT_CU6_Corridor</t>
        </is>
      </c>
      <c r="C206" t="inlineStr">
        <is>
          <t>OB</t>
        </is>
      </c>
      <c r="D206" t="n">
        <v>9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</row>
    <row r="207">
      <c r="A207" t="inlineStr"/>
      <c r="B207" t="inlineStr">
        <is>
          <t>122BRT_CU6_Corridor</t>
        </is>
      </c>
      <c r="C207" t="inlineStr">
        <is>
          <t>iB</t>
        </is>
      </c>
      <c r="D207" t="n">
        <v>9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</row>
    <row r="208">
      <c r="A208" t="inlineStr"/>
      <c r="B208" t="inlineStr">
        <is>
          <t>123BRT_CU9_Corridor</t>
        </is>
      </c>
      <c r="C208" t="inlineStr">
        <is>
          <t>oB</t>
        </is>
      </c>
      <c r="D208" t="n">
        <v>9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</row>
    <row r="209">
      <c r="A209" t="inlineStr"/>
      <c r="B209" t="inlineStr">
        <is>
          <t>124BRT_CU9_Corridor</t>
        </is>
      </c>
      <c r="C209" t="inlineStr">
        <is>
          <t>iB</t>
        </is>
      </c>
      <c r="D209" t="n">
        <v>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</row>
    <row r="210">
      <c r="A210" t="inlineStr"/>
      <c r="B210" t="inlineStr">
        <is>
          <t>125BRT_CU10_Corridor</t>
        </is>
      </c>
      <c r="C210" t="inlineStr">
        <is>
          <t>iB</t>
        </is>
      </c>
      <c r="D210" t="n">
        <v>9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</row>
    <row r="211">
      <c r="A211" t="inlineStr"/>
      <c r="B211" t="inlineStr">
        <is>
          <t>126BRT_CU10_Corridor</t>
        </is>
      </c>
      <c r="C211" t="inlineStr">
        <is>
          <t>oB</t>
        </is>
      </c>
      <c r="D211" t="n">
        <v>9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</row>
    <row r="212">
      <c r="A212" t="inlineStr"/>
      <c r="B212" t="inlineStr">
        <is>
          <t>127BRT_CU11_Corridor</t>
        </is>
      </c>
      <c r="C212" t="inlineStr">
        <is>
          <t>oB</t>
        </is>
      </c>
      <c r="D212" t="n">
        <v>9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</row>
    <row r="213">
      <c r="A213" t="inlineStr"/>
      <c r="B213" t="inlineStr">
        <is>
          <t>128BRT_CU11_Corridor</t>
        </is>
      </c>
      <c r="C213" t="inlineStr">
        <is>
          <t>iB</t>
        </is>
      </c>
      <c r="D213" t="n">
        <v>9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</row>
    <row r="214">
      <c r="A214" t="inlineStr"/>
      <c r="B214" t="inlineStr">
        <is>
          <t>131Rte</t>
        </is>
      </c>
      <c r="C214" t="n">
        <v>90</v>
      </c>
      <c r="D214" t="inlineStr">
        <is>
          <t>Music</t>
        </is>
      </c>
      <c r="E214" t="inlineStr">
        <is>
          <t>City</t>
        </is>
      </c>
      <c r="F214" t="inlineStr">
        <is>
          <t>Star</t>
        </is>
      </c>
      <c r="G214" t="inlineStr">
        <is>
          <t>oB</t>
        </is>
      </c>
      <c r="H214" t="n">
        <v>12</v>
      </c>
      <c r="I214" t="n">
        <v>90</v>
      </c>
      <c r="J214" t="n">
        <v>120</v>
      </c>
      <c r="K214" t="n">
        <v>90</v>
      </c>
      <c r="L214" t="n">
        <v>31.099398</v>
      </c>
      <c r="M214" t="n">
        <v>59.995204</v>
      </c>
      <c r="N214" t="n">
        <v>0</v>
      </c>
      <c r="O214" t="n">
        <v>0</v>
      </c>
      <c r="P214" t="n">
        <v>31.099398</v>
      </c>
      <c r="Q214" t="n">
        <v>59.995204</v>
      </c>
      <c r="R214" t="n">
        <v>0</v>
      </c>
      <c r="S214" t="n">
        <v>0</v>
      </c>
      <c r="T214" t="n">
        <v>111</v>
      </c>
      <c r="U214" t="n">
        <v>0</v>
      </c>
      <c r="V214" t="n">
        <v>0</v>
      </c>
      <c r="W214" t="n">
        <v>0</v>
      </c>
      <c r="X214" t="n">
        <v>4.5</v>
      </c>
      <c r="Y214" t="n">
        <v>0</v>
      </c>
      <c r="Z214" t="n">
        <v>0</v>
      </c>
      <c r="AA214" t="n">
        <v>0</v>
      </c>
      <c r="AB214" t="n">
        <v>0</v>
      </c>
      <c r="AC214" t="n">
        <v>2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49.93</v>
      </c>
      <c r="BB214" t="n">
        <v>0</v>
      </c>
      <c r="BC214" t="n">
        <v>0</v>
      </c>
      <c r="BD214" t="n">
        <v>0</v>
      </c>
      <c r="BE214" t="n">
        <v>54.61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34</v>
      </c>
      <c r="CA214" t="n">
        <v>1118</v>
      </c>
    </row>
    <row r="215">
      <c r="A215" t="inlineStr"/>
      <c r="B215" t="inlineStr">
        <is>
          <t>132Rte</t>
        </is>
      </c>
      <c r="C215" t="n">
        <v>90</v>
      </c>
      <c r="D215" t="inlineStr">
        <is>
          <t>Music</t>
        </is>
      </c>
      <c r="E215" t="inlineStr">
        <is>
          <t>City</t>
        </is>
      </c>
      <c r="F215" t="inlineStr">
        <is>
          <t>Star</t>
        </is>
      </c>
      <c r="G215" t="inlineStr">
        <is>
          <t>iB</t>
        </is>
      </c>
      <c r="H215" t="n">
        <v>12</v>
      </c>
      <c r="I215" t="n">
        <v>90</v>
      </c>
      <c r="J215" t="n">
        <v>120</v>
      </c>
      <c r="K215" t="n">
        <v>90</v>
      </c>
      <c r="L215" t="n">
        <v>31.10187</v>
      </c>
      <c r="M215" t="n">
        <v>59.283578</v>
      </c>
      <c r="N215" t="n">
        <v>0</v>
      </c>
      <c r="O215" t="n">
        <v>0</v>
      </c>
      <c r="P215" t="n">
        <v>31.10187</v>
      </c>
      <c r="Q215" t="n">
        <v>59.283578</v>
      </c>
      <c r="R215" t="n">
        <v>0</v>
      </c>
      <c r="S215" t="n">
        <v>0</v>
      </c>
      <c r="T215" t="n">
        <v>132</v>
      </c>
      <c r="U215" t="n">
        <v>0</v>
      </c>
      <c r="V215" t="n">
        <v>0</v>
      </c>
      <c r="W215" t="n">
        <v>0</v>
      </c>
      <c r="X215" t="n">
        <v>42.87</v>
      </c>
      <c r="Y215" t="n">
        <v>0</v>
      </c>
      <c r="Z215" t="n">
        <v>0</v>
      </c>
      <c r="AA215" t="n">
        <v>0</v>
      </c>
      <c r="AB215" t="n">
        <v>0</v>
      </c>
      <c r="AC215" t="n">
        <v>69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18.27</v>
      </c>
      <c r="BB215" t="n">
        <v>0</v>
      </c>
      <c r="BC215" t="n">
        <v>0</v>
      </c>
      <c r="BD215" t="n">
        <v>0</v>
      </c>
      <c r="BE215" t="n">
        <v>0</v>
      </c>
      <c r="BF215" t="n">
        <v>2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41</v>
      </c>
      <c r="CB215" t="n">
        <v>1301</v>
      </c>
    </row>
    <row r="216">
      <c r="A216" t="inlineStr"/>
      <c r="B216" t="inlineStr">
        <is>
          <t>133Rte</t>
        </is>
      </c>
      <c r="C216" t="n">
        <v>90</v>
      </c>
      <c r="D216" t="inlineStr">
        <is>
          <t>Music</t>
        </is>
      </c>
      <c r="E216" t="inlineStr">
        <is>
          <t>City</t>
        </is>
      </c>
      <c r="F216" t="inlineStr">
        <is>
          <t>StarMJ</t>
        </is>
      </c>
      <c r="G216" t="n">
        <v>12</v>
      </c>
      <c r="H216" t="n">
        <v>180</v>
      </c>
      <c r="I216" t="n">
        <v>240</v>
      </c>
      <c r="J216" t="n">
        <v>90</v>
      </c>
      <c r="K216" t="n">
        <v>11.352581</v>
      </c>
      <c r="L216" t="n">
        <v>21.261206</v>
      </c>
      <c r="M216" t="n">
        <v>0</v>
      </c>
      <c r="N216" t="n">
        <v>0</v>
      </c>
      <c r="O216" t="n">
        <v>11.352581</v>
      </c>
      <c r="P216" t="n">
        <v>21.261206</v>
      </c>
      <c r="Q216" t="n">
        <v>0</v>
      </c>
      <c r="R216" t="n">
        <v>0</v>
      </c>
      <c r="S216" t="n">
        <v>100</v>
      </c>
      <c r="T216" t="n">
        <v>0</v>
      </c>
      <c r="U216" t="n">
        <v>0</v>
      </c>
      <c r="V216" t="n">
        <v>0</v>
      </c>
      <c r="W216" t="n">
        <v>3.5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49.93</v>
      </c>
      <c r="BA216" t="n">
        <v>0</v>
      </c>
      <c r="BB216" t="n">
        <v>0</v>
      </c>
      <c r="BC216" t="n">
        <v>0</v>
      </c>
      <c r="BD216" t="n">
        <v>46.61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28</v>
      </c>
      <c r="BZ216" t="n">
        <v>925</v>
      </c>
    </row>
    <row r="217">
      <c r="A217" t="inlineStr"/>
      <c r="B217" t="inlineStr">
        <is>
          <t>134Rte</t>
        </is>
      </c>
      <c r="C217" t="n">
        <v>90</v>
      </c>
      <c r="D217" t="inlineStr">
        <is>
          <t>Music</t>
        </is>
      </c>
      <c r="E217" t="inlineStr">
        <is>
          <t>City</t>
        </is>
      </c>
      <c r="F217" t="inlineStr">
        <is>
          <t>StarMJ</t>
        </is>
      </c>
      <c r="G217" t="n">
        <v>12</v>
      </c>
      <c r="H217" t="n">
        <v>180</v>
      </c>
      <c r="I217" t="n">
        <v>240</v>
      </c>
      <c r="J217" t="n">
        <v>90</v>
      </c>
      <c r="K217" t="n">
        <v>11.351228</v>
      </c>
      <c r="L217" t="n">
        <v>20.4951</v>
      </c>
      <c r="M217" t="n">
        <v>0</v>
      </c>
      <c r="N217" t="n">
        <v>0</v>
      </c>
      <c r="O217" t="n">
        <v>11.351228</v>
      </c>
      <c r="P217" t="n">
        <v>20.4951</v>
      </c>
      <c r="Q217" t="n">
        <v>0</v>
      </c>
      <c r="R217" t="n">
        <v>0</v>
      </c>
      <c r="S217" t="n">
        <v>122</v>
      </c>
      <c r="T217" t="n">
        <v>0</v>
      </c>
      <c r="U217" t="n">
        <v>0</v>
      </c>
      <c r="V217" t="n">
        <v>0</v>
      </c>
      <c r="W217" t="n">
        <v>42.87</v>
      </c>
      <c r="X217" t="n">
        <v>0</v>
      </c>
      <c r="Y217" t="n">
        <v>0</v>
      </c>
      <c r="Z217" t="n">
        <v>0</v>
      </c>
      <c r="AA217" t="n">
        <v>0</v>
      </c>
      <c r="AB217" t="n">
        <v>61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18.27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34</v>
      </c>
      <c r="CA217" t="n">
        <v>1124</v>
      </c>
    </row>
    <row r="218">
      <c r="A218" t="inlineStr"/>
      <c r="B218" t="inlineStr">
        <is>
          <t>135RailExt</t>
        </is>
      </c>
      <c r="C218" t="n">
        <v>3</v>
      </c>
      <c r="D218" t="inlineStr">
        <is>
          <t>Geodis</t>
        </is>
      </c>
      <c r="E218" t="inlineStr">
        <is>
          <t>OB</t>
        </is>
      </c>
      <c r="F218" t="n">
        <v>12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</row>
    <row r="219">
      <c r="A219" t="inlineStr"/>
      <c r="B219" t="inlineStr">
        <is>
          <t>136RailExt</t>
        </is>
      </c>
      <c r="C219" t="n">
        <v>3</v>
      </c>
      <c r="D219" t="inlineStr">
        <is>
          <t>Geodis</t>
        </is>
      </c>
      <c r="E219" t="inlineStr">
        <is>
          <t>IB</t>
        </is>
      </c>
      <c r="F219" t="n">
        <v>12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</row>
    <row r="220">
      <c r="A220" t="inlineStr"/>
      <c r="B220" t="inlineStr">
        <is>
          <t>137RailExt4</t>
        </is>
      </c>
      <c r="C220" t="inlineStr">
        <is>
          <t>Riverfront</t>
        </is>
      </c>
      <c r="D220" t="inlineStr">
        <is>
          <t>-</t>
        </is>
      </c>
      <c r="E220" t="inlineStr">
        <is>
          <t>Leb</t>
        </is>
      </c>
      <c r="F220" t="n">
        <v>12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</row>
    <row r="221">
      <c r="A221" t="inlineStr"/>
      <c r="B221" t="inlineStr">
        <is>
          <t>138RailExt4</t>
        </is>
      </c>
      <c r="C221" t="inlineStr">
        <is>
          <t>Riverfront</t>
        </is>
      </c>
      <c r="D221" t="inlineStr">
        <is>
          <t>-</t>
        </is>
      </c>
      <c r="E221" t="inlineStr">
        <is>
          <t>Leb</t>
        </is>
      </c>
      <c r="F221" t="n">
        <v>12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</row>
    <row r="222">
      <c r="A222" t="inlineStr"/>
      <c r="B222" t="inlineStr">
        <is>
          <t>139RailExt5</t>
        </is>
      </c>
      <c r="C222" t="inlineStr">
        <is>
          <t>Donelson</t>
        </is>
      </c>
      <c r="D222" t="inlineStr">
        <is>
          <t>-</t>
        </is>
      </c>
      <c r="E222" t="inlineStr">
        <is>
          <t>Hermi</t>
        </is>
      </c>
      <c r="F222" t="n">
        <v>12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</row>
    <row r="223">
      <c r="A223" t="inlineStr"/>
      <c r="B223" t="inlineStr">
        <is>
          <t>140RailExt5</t>
        </is>
      </c>
      <c r="C223" t="inlineStr">
        <is>
          <t>Donelson</t>
        </is>
      </c>
      <c r="D223" t="inlineStr">
        <is>
          <t>-</t>
        </is>
      </c>
      <c r="E223" t="inlineStr">
        <is>
          <t>Hermi</t>
        </is>
      </c>
      <c r="F223" t="n">
        <v>12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</row>
    <row r="224">
      <c r="A224" t="inlineStr"/>
      <c r="B224" t="inlineStr">
        <is>
          <t>141RailExt</t>
        </is>
      </c>
      <c r="C224" t="n">
        <v>1</v>
      </c>
      <c r="D224" t="inlineStr">
        <is>
          <t>VB</t>
        </is>
      </c>
      <c r="E224" t="inlineStr">
        <is>
          <t>-</t>
        </is>
      </c>
      <c r="F224" t="inlineStr">
        <is>
          <t>Airport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</row>
    <row r="225">
      <c r="A225" t="inlineStr"/>
      <c r="B225" t="inlineStr">
        <is>
          <t>142RailExt</t>
        </is>
      </c>
      <c r="C225" t="n">
        <v>1</v>
      </c>
      <c r="D225" t="inlineStr">
        <is>
          <t>Airport</t>
        </is>
      </c>
      <c r="E225" t="inlineStr">
        <is>
          <t>-</t>
        </is>
      </c>
      <c r="F225" t="inlineStr">
        <is>
          <t>VB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</row>
    <row r="226">
      <c r="A226" t="inlineStr"/>
      <c r="B226" t="inlineStr">
        <is>
          <t>143RailExt</t>
        </is>
      </c>
      <c r="C226" t="n">
        <v>2</v>
      </c>
      <c r="D226" t="inlineStr">
        <is>
          <t>Germantown</t>
        </is>
      </c>
      <c r="E226" t="inlineStr">
        <is>
          <t>OB</t>
        </is>
      </c>
      <c r="F226" t="n">
        <v>12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</row>
    <row r="227">
      <c r="A227" t="inlineStr"/>
      <c r="B227" t="inlineStr">
        <is>
          <t>144RailExt</t>
        </is>
      </c>
      <c r="C227" t="n">
        <v>2</v>
      </c>
      <c r="D227" t="inlineStr">
        <is>
          <t>Germantown</t>
        </is>
      </c>
      <c r="E227" t="inlineStr">
        <is>
          <t>IB</t>
        </is>
      </c>
      <c r="F227" t="n">
        <v>12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</row>
    <row r="228">
      <c r="A228" t="inlineStr"/>
      <c r="B228" t="inlineStr">
        <is>
          <t>145BRT_CU5_Corridor</t>
        </is>
      </c>
      <c r="C228" t="inlineStr">
        <is>
          <t>iB</t>
        </is>
      </c>
      <c r="D228" t="n">
        <v>9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</row>
    <row r="229">
      <c r="A229" t="inlineStr"/>
      <c r="B229" t="inlineStr">
        <is>
          <t>146BRT_CU5_Corridor</t>
        </is>
      </c>
      <c r="C229" t="inlineStr">
        <is>
          <t>oB</t>
        </is>
      </c>
      <c r="D229" t="n">
        <v>9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</row>
    <row r="230">
      <c r="A230" t="inlineStr"/>
      <c r="B230" t="inlineStr">
        <is>
          <t>147Rte</t>
        </is>
      </c>
      <c r="C230" t="n">
        <v>112</v>
      </c>
      <c r="D230" t="inlineStr">
        <is>
          <t>FTA</t>
        </is>
      </c>
      <c r="E230" t="inlineStr">
        <is>
          <t>Red</t>
        </is>
      </c>
      <c r="F230" t="inlineStr">
        <is>
          <t>Route</t>
        </is>
      </c>
      <c r="G230" t="inlineStr">
        <is>
          <t>NS</t>
        </is>
      </c>
      <c r="H230" t="n">
        <v>3</v>
      </c>
      <c r="I230" t="n">
        <v>112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</row>
    <row r="231">
      <c r="A231" t="inlineStr"/>
      <c r="B231" t="inlineStr">
        <is>
          <t>148Rte</t>
        </is>
      </c>
      <c r="C231" t="n">
        <v>79</v>
      </c>
      <c r="D231" t="inlineStr">
        <is>
          <t>Skyline</t>
        </is>
      </c>
      <c r="E231" t="inlineStr">
        <is>
          <t>iB</t>
        </is>
      </c>
      <c r="F231" t="n">
        <v>1</v>
      </c>
      <c r="G231" t="n">
        <v>36</v>
      </c>
      <c r="H231" t="n">
        <v>30</v>
      </c>
      <c r="I231" t="n">
        <v>30</v>
      </c>
      <c r="J231" t="n">
        <v>75</v>
      </c>
      <c r="K231" t="n">
        <v>79</v>
      </c>
      <c r="L231" t="n">
        <v>6.797602</v>
      </c>
      <c r="M231" t="n">
        <v>31.441723</v>
      </c>
      <c r="N231" t="n">
        <v>6.797602</v>
      </c>
      <c r="O231" t="n">
        <v>24.281422</v>
      </c>
      <c r="P231" t="n">
        <v>6.797602</v>
      </c>
      <c r="Q231" t="n">
        <v>28.430445</v>
      </c>
      <c r="R231" t="n">
        <v>6.797602</v>
      </c>
      <c r="S231" t="n">
        <v>22.601535</v>
      </c>
      <c r="T231" t="inlineStr">
        <is>
          <t>5512.000.500</t>
        </is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14.13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inlineStr">
        <is>
          <t>022.300.500</t>
        </is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6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6</v>
      </c>
      <c r="BY231" t="n">
        <v>104</v>
      </c>
    </row>
    <row r="232">
      <c r="A232" t="inlineStr"/>
      <c r="B232" t="inlineStr">
        <is>
          <t>149Rte</t>
        </is>
      </c>
      <c r="C232" t="n">
        <v>79</v>
      </c>
      <c r="D232" t="inlineStr">
        <is>
          <t>Skyline</t>
        </is>
      </c>
      <c r="E232" t="inlineStr">
        <is>
          <t>oB</t>
        </is>
      </c>
      <c r="F232" t="n">
        <v>1</v>
      </c>
      <c r="G232" t="n">
        <v>36</v>
      </c>
      <c r="H232" t="n">
        <v>33</v>
      </c>
      <c r="I232" t="n">
        <v>30</v>
      </c>
      <c r="J232" t="n">
        <v>75</v>
      </c>
      <c r="K232" t="n">
        <v>79</v>
      </c>
      <c r="L232" t="n">
        <v>7.52821</v>
      </c>
      <c r="M232" t="n">
        <v>29.263348</v>
      </c>
      <c r="N232" t="n">
        <v>7.52821</v>
      </c>
      <c r="O232" t="n">
        <v>25.12566</v>
      </c>
      <c r="P232" t="n">
        <v>7.52821</v>
      </c>
      <c r="Q232" t="n">
        <v>30.194225</v>
      </c>
      <c r="R232" t="n">
        <v>7.52821</v>
      </c>
      <c r="S232" t="n">
        <v>23.926201</v>
      </c>
      <c r="T232" t="inlineStr">
        <is>
          <t>5812.220.500</t>
        </is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17.44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inlineStr">
        <is>
          <t>020.140.500</t>
        </is>
      </c>
      <c r="AV232" t="n">
        <v>0</v>
      </c>
      <c r="AW232" t="n">
        <v>0</v>
      </c>
      <c r="AX232" t="n">
        <v>0.6870000000000001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6.968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10</v>
      </c>
      <c r="BW232" t="n">
        <v>158</v>
      </c>
    </row>
    <row r="233">
      <c r="A233" t="inlineStr"/>
      <c r="B233" t="inlineStr">
        <is>
          <t>150Rte</t>
        </is>
      </c>
      <c r="C233" t="n">
        <v>95</v>
      </c>
      <c r="D233" t="inlineStr">
        <is>
          <t>Spring</t>
        </is>
      </c>
      <c r="E233" t="inlineStr">
        <is>
          <t>Hill</t>
        </is>
      </c>
      <c r="F233" t="inlineStr">
        <is>
          <t>VB</t>
        </is>
      </c>
      <c r="G233" t="inlineStr">
        <is>
          <t>Exp</t>
        </is>
      </c>
      <c r="H233" t="n">
        <v>6</v>
      </c>
      <c r="I233" t="n">
        <v>180</v>
      </c>
      <c r="J233" t="n">
        <v>300</v>
      </c>
      <c r="K233" t="n">
        <v>95</v>
      </c>
      <c r="L233" t="inlineStr">
        <is>
          <t>43.785130114.616018</t>
        </is>
      </c>
      <c r="M233" t="n">
        <v>0</v>
      </c>
      <c r="N233" t="n">
        <v>0</v>
      </c>
      <c r="O233" t="n">
        <v>0</v>
      </c>
      <c r="P233" t="n">
        <v>0</v>
      </c>
      <c r="Q233" t="n">
        <v>43.78513</v>
      </c>
      <c r="R233" t="n">
        <v>66.98669099999999</v>
      </c>
      <c r="S233" t="n">
        <v>5</v>
      </c>
      <c r="T233" t="n">
        <v>0</v>
      </c>
      <c r="U233" t="n">
        <v>0</v>
      </c>
      <c r="V233" t="n">
        <v>2</v>
      </c>
      <c r="W233" t="n">
        <v>0</v>
      </c>
      <c r="X233" t="n">
        <v>0</v>
      </c>
      <c r="Y233" t="n">
        <v>0</v>
      </c>
      <c r="Z233" t="n">
        <v>0</v>
      </c>
      <c r="AA233" t="n">
        <v>3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7</v>
      </c>
      <c r="CC233" t="n">
        <v>143</v>
      </c>
    </row>
    <row r="234">
      <c r="A234" t="inlineStr"/>
      <c r="B234" t="inlineStr">
        <is>
          <t>151Rte</t>
        </is>
      </c>
      <c r="C234" t="n">
        <v>95</v>
      </c>
      <c r="D234" t="inlineStr">
        <is>
          <t>Spring</t>
        </is>
      </c>
      <c r="E234" t="inlineStr">
        <is>
          <t>Hill</t>
        </is>
      </c>
      <c r="F234" t="inlineStr">
        <is>
          <t>VB</t>
        </is>
      </c>
      <c r="G234" t="inlineStr">
        <is>
          <t>Exp</t>
        </is>
      </c>
      <c r="H234" t="n">
        <v>6</v>
      </c>
      <c r="I234" t="n">
        <v>120</v>
      </c>
      <c r="J234" t="n">
        <v>95</v>
      </c>
      <c r="K234" t="n">
        <v>0</v>
      </c>
      <c r="L234" t="n">
        <v>0</v>
      </c>
      <c r="M234" t="n">
        <v>0</v>
      </c>
      <c r="N234" t="n">
        <v>0</v>
      </c>
      <c r="O234" t="inlineStr">
        <is>
          <t>42.704876129.905549</t>
        </is>
      </c>
      <c r="P234" t="n">
        <v>0</v>
      </c>
      <c r="Q234" t="n">
        <v>0</v>
      </c>
      <c r="R234" t="n">
        <v>7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1.5</v>
      </c>
      <c r="AY234" t="n">
        <v>0</v>
      </c>
      <c r="AZ234" t="n">
        <v>0</v>
      </c>
      <c r="BA234" t="n">
        <v>0</v>
      </c>
      <c r="BB234" t="n">
        <v>5.25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12</v>
      </c>
      <c r="BZ234" t="n">
        <v>225</v>
      </c>
    </row>
    <row r="235">
      <c r="A235" t="inlineStr"/>
      <c r="B235" t="inlineStr">
        <is>
          <t>152BRT_CU1_Corridor</t>
        </is>
      </c>
      <c r="C235" t="inlineStr">
        <is>
          <t>oB</t>
        </is>
      </c>
      <c r="D235" t="n">
        <v>9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</row>
    <row r="236">
      <c r="A236" t="inlineStr"/>
      <c r="B236" t="inlineStr">
        <is>
          <t>153BRT_CU1_Corridor</t>
        </is>
      </c>
      <c r="C236" t="inlineStr">
        <is>
          <t>iB</t>
        </is>
      </c>
      <c r="D236" t="n">
        <v>9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</row>
    <row r="237">
      <c r="A237" t="inlineStr"/>
      <c r="B237" t="inlineStr">
        <is>
          <t>154Rte</t>
        </is>
      </c>
      <c r="C237" t="n">
        <v>55</v>
      </c>
      <c r="D237" t="inlineStr">
        <is>
          <t>MURFREESBORO</t>
        </is>
      </c>
      <c r="E237" t="inlineStr">
        <is>
          <t>PIKE</t>
        </is>
      </c>
      <c r="F237" t="n">
        <v>1</v>
      </c>
      <c r="G237" t="n">
        <v>10</v>
      </c>
      <c r="H237" t="n">
        <v>10</v>
      </c>
      <c r="I237" t="n">
        <v>11</v>
      </c>
      <c r="J237" t="n">
        <v>15</v>
      </c>
      <c r="K237" t="n">
        <v>55</v>
      </c>
      <c r="L237" t="n">
        <v>12.690196</v>
      </c>
      <c r="M237" t="n">
        <v>57.388948</v>
      </c>
      <c r="N237" t="n">
        <v>12.690196</v>
      </c>
      <c r="O237" t="n">
        <v>51.070325</v>
      </c>
      <c r="P237" t="n">
        <v>12.690196</v>
      </c>
      <c r="Q237" t="n">
        <v>78.004803</v>
      </c>
      <c r="R237" t="n">
        <v>12.690196</v>
      </c>
      <c r="S237" t="n">
        <v>47.427498</v>
      </c>
      <c r="T237" t="inlineStr">
        <is>
          <t>2650458.78.002</t>
        </is>
      </c>
      <c r="U237" t="n">
        <v>0</v>
      </c>
      <c r="V237" t="inlineStr">
        <is>
          <t>01.8454.4460.8370.418</t>
        </is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inlineStr">
        <is>
          <t>0892.03.572</t>
        </is>
      </c>
      <c r="AD237" t="n">
        <v>0</v>
      </c>
      <c r="AE237" t="n">
        <v>0</v>
      </c>
      <c r="AF237" t="inlineStr">
        <is>
          <t>03.2280.486</t>
        </is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inlineStr">
        <is>
          <t>0799.94.1870.407</t>
        </is>
      </c>
      <c r="AO237" t="inlineStr">
        <is>
          <t>07.203117.2</t>
        </is>
      </c>
      <c r="AP237" t="n">
        <v>0</v>
      </c>
      <c r="AQ237" t="n">
        <v>0</v>
      </c>
      <c r="AR237" t="n">
        <v>34.22</v>
      </c>
      <c r="AS237" t="n">
        <v>0</v>
      </c>
      <c r="AT237" t="n">
        <v>0</v>
      </c>
      <c r="AU237" t="n">
        <v>0</v>
      </c>
      <c r="AV237" t="n">
        <v>0</v>
      </c>
      <c r="AW237" t="n">
        <v>291</v>
      </c>
      <c r="AX237" t="n">
        <v>0</v>
      </c>
      <c r="AY237" t="n">
        <v>0</v>
      </c>
      <c r="AZ237" t="n">
        <v>0</v>
      </c>
      <c r="BA237" t="inlineStr">
        <is>
          <t>021.950.444</t>
        </is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427</v>
      </c>
      <c r="BK237" t="n">
        <v>5199</v>
      </c>
    </row>
    <row r="238">
      <c r="A238" t="inlineStr"/>
      <c r="B238" t="inlineStr">
        <is>
          <t>155Rte</t>
        </is>
      </c>
      <c r="C238" t="n">
        <v>55</v>
      </c>
      <c r="D238" t="inlineStr">
        <is>
          <t>MURFREESBORO</t>
        </is>
      </c>
      <c r="E238" t="inlineStr">
        <is>
          <t>PIKE</t>
        </is>
      </c>
      <c r="F238" t="n">
        <v>1</v>
      </c>
      <c r="G238" t="n">
        <v>10</v>
      </c>
      <c r="H238" t="n">
        <v>10</v>
      </c>
      <c r="I238" t="n">
        <v>12</v>
      </c>
      <c r="J238" t="n">
        <v>14</v>
      </c>
      <c r="K238" t="n">
        <v>55</v>
      </c>
      <c r="L238" t="n">
        <v>13.997395</v>
      </c>
      <c r="M238" t="n">
        <v>90.473654</v>
      </c>
      <c r="N238" t="n">
        <v>13.997395</v>
      </c>
      <c r="O238" t="n">
        <v>58.101091</v>
      </c>
      <c r="P238" t="n">
        <v>13.997395</v>
      </c>
      <c r="Q238" t="n">
        <v>66.192578</v>
      </c>
      <c r="R238" t="n">
        <v>13.997395</v>
      </c>
      <c r="S238" t="n">
        <v>50.98906</v>
      </c>
      <c r="T238" t="inlineStr">
        <is>
          <t>1965462.00.531</t>
        </is>
      </c>
      <c r="U238" t="n">
        <v>0</v>
      </c>
      <c r="V238" t="inlineStr">
        <is>
          <t>00.39187.57</t>
        </is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672.5</v>
      </c>
      <c r="AF238" t="n">
        <v>0</v>
      </c>
      <c r="AG238" t="n">
        <v>0</v>
      </c>
      <c r="AH238" t="n">
        <v>0</v>
      </c>
      <c r="AI238" t="n">
        <v>31.36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inlineStr">
        <is>
          <t>0519.50.800</t>
        </is>
      </c>
      <c r="AS238" t="n">
        <v>0</v>
      </c>
      <c r="AT238" t="inlineStr">
        <is>
          <t>01.5124.285</t>
        </is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184.2</v>
      </c>
      <c r="BD238" t="n">
        <v>0</v>
      </c>
      <c r="BE238" t="n">
        <v>0</v>
      </c>
      <c r="BF238" t="n">
        <v>0</v>
      </c>
      <c r="BG238" t="n">
        <v>0.59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496</v>
      </c>
      <c r="BR238" t="n">
        <v>5905</v>
      </c>
    </row>
    <row r="239">
      <c r="A239" t="inlineStr">
        <is>
          <t xml:space="preserve">
</t>
        </is>
      </c>
    </row>
    <row r="240">
      <c r="A240" t="inlineStr">
        <is>
          <t xml:space="preserve">
</t>
        </is>
      </c>
    </row>
    <row r="241">
      <c r="A241" t="inlineStr">
        <is>
          <t xml:space="preserve">
</t>
        </is>
      </c>
    </row>
    <row r="242">
      <c r="A242" t="inlineStr"/>
      <c r="B242" t="inlineStr">
        <is>
          <t>END</t>
        </is>
      </c>
      <c r="C242" t="inlineStr">
        <is>
          <t>TRANSIT</t>
        </is>
      </c>
      <c r="D242" t="inlineStr">
        <is>
          <t>REPORTING</t>
        </is>
      </c>
      <c r="E242" t="inlineStr">
        <is>
          <t>-</t>
        </is>
      </c>
      <c r="F242" t="inlineStr">
        <is>
          <t>Wed,</t>
        </is>
      </c>
      <c r="G242" t="inlineStr">
        <is>
          <t>Apr</t>
        </is>
      </c>
      <c r="H242" t="n">
        <v>16</v>
      </c>
      <c r="I242" t="n">
        <v>2025</v>
      </c>
      <c r="J242" t="inlineStr">
        <is>
          <t>(01:34:40)</t>
        </is>
      </c>
      <c r="K242" t="inlineStr">
        <is>
          <t xml:space="preserve">
</t>
        </is>
      </c>
    </row>
    <row r="243"/>
    <row r="244"/>
    <row r="245"/>
    <row r="246"/>
    <row r="247"/>
    <row r="248"/>
    <row r="249"/>
    <row r="250"/>
    <row r="251"/>
    <row r="252"/>
    <row r="253"/>
    <row r="254"/>
    <row r="255"/>
    <row r="256">
      <c r="B256" t="inlineStr">
        <is>
          <t>END</t>
        </is>
      </c>
      <c r="C256" t="inlineStr">
        <is>
          <t>TRANSIT</t>
        </is>
      </c>
      <c r="D256" t="inlineStr">
        <is>
          <t>REPORTING</t>
        </is>
      </c>
      <c r="E256" t="inlineStr">
        <is>
          <t>-</t>
        </is>
      </c>
      <c r="F256" t="inlineStr">
        <is>
          <t>Fri,</t>
        </is>
      </c>
      <c r="G256" t="inlineStr">
        <is>
          <t>Jun</t>
        </is>
      </c>
      <c r="H256" t="n">
        <v>5</v>
      </c>
      <c r="I256" t="n">
        <v>2020</v>
      </c>
      <c r="J256" t="inlineStr">
        <is>
          <t>(14:59:12)</t>
        </is>
      </c>
    </row>
    <row r="257">
      <c r="B257" t="inlineStr">
        <is>
          <t>END</t>
        </is>
      </c>
      <c r="C257" t="inlineStr">
        <is>
          <t>TRANSIT</t>
        </is>
      </c>
      <c r="D257" t="inlineStr">
        <is>
          <t>REPORTING</t>
        </is>
      </c>
      <c r="E257" t="inlineStr">
        <is>
          <t>-</t>
        </is>
      </c>
      <c r="F257" t="inlineStr">
        <is>
          <t>Sat,</t>
        </is>
      </c>
      <c r="G257" t="inlineStr">
        <is>
          <t>May</t>
        </is>
      </c>
      <c r="H257" t="n">
        <v>16</v>
      </c>
      <c r="I257" t="n">
        <v>2020</v>
      </c>
      <c r="J257" t="inlineStr">
        <is>
          <t>(01:49:48)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zoomScaleNormal="100" workbookViewId="0">
      <selection activeCell="I20" sqref="I20"/>
    </sheetView>
  </sheetViews>
  <sheetFormatPr baseColWidth="8" defaultRowHeight="14.25"/>
  <cols>
    <col width="17.59765625" bestFit="1" customWidth="1" style="57" min="1" max="1"/>
    <col width="14.73046875" bestFit="1" customWidth="1" style="126" min="2" max="2"/>
    <col width="35.86328125" bestFit="1" customWidth="1" style="126" min="4" max="4"/>
    <col width="17.59765625" bestFit="1" customWidth="1" style="126" min="5" max="5"/>
    <col width="11.1328125" bestFit="1" customWidth="1" style="126" min="6" max="6"/>
    <col width="25.73046875" bestFit="1" customWidth="1" style="126" min="7" max="7"/>
  </cols>
  <sheetData>
    <row r="1">
      <c r="A1" s="57" t="inlineStr">
        <is>
          <t>Model Rte txt+A36</t>
        </is>
      </c>
      <c r="B1" s="104" t="inlineStr">
        <is>
          <t>Model Rte num</t>
        </is>
      </c>
      <c r="C1" t="inlineStr">
        <is>
          <t>Modelid</t>
        </is>
      </c>
      <c r="D1" t="inlineStr">
        <is>
          <t>Model Rte Name</t>
        </is>
      </c>
      <c r="E1" t="inlineStr">
        <is>
          <t>Ridership Oct 2023</t>
        </is>
      </c>
      <c r="F1" s="105" t="inlineStr">
        <is>
          <t>Daily_20</t>
        </is>
      </c>
      <c r="G1" s="107" t="inlineStr">
        <is>
          <t>Daily_22</t>
        </is>
      </c>
    </row>
    <row r="2">
      <c r="A2" s="108" t="n">
        <v>3</v>
      </c>
      <c r="B2" s="104" t="n">
        <v>3</v>
      </c>
      <c r="C2" t="n">
        <v>35</v>
      </c>
      <c r="D2" t="inlineStr">
        <is>
          <t>Rte 3 West End (Bellevue) IB</t>
        </is>
      </c>
      <c r="E2" t="n">
        <v>55372</v>
      </c>
      <c r="F2" s="105" t="n">
        <v>2768.6</v>
      </c>
      <c r="G2" s="107" t="n">
        <v>2516.909090909091</v>
      </c>
    </row>
    <row r="3">
      <c r="A3" s="108" t="n">
        <v>4</v>
      </c>
      <c r="B3" s="104" t="n">
        <v>4</v>
      </c>
      <c r="C3" t="n">
        <v>17</v>
      </c>
      <c r="D3" t="inlineStr">
        <is>
          <t>Rte 4 Shelby IB</t>
        </is>
      </c>
      <c r="E3" t="n">
        <v>20703</v>
      </c>
      <c r="F3" s="105" t="n">
        <v>1035.15</v>
      </c>
      <c r="G3" s="107" t="n">
        <v>941.0454545454545</v>
      </c>
    </row>
    <row r="4">
      <c r="A4" s="108" t="n">
        <v>6</v>
      </c>
      <c r="B4" s="104" t="n">
        <v>6</v>
      </c>
      <c r="C4" t="n">
        <v>74</v>
      </c>
      <c r="D4" t="inlineStr">
        <is>
          <t>Rte 6 Lebanon Rd IB</t>
        </is>
      </c>
      <c r="E4" t="n">
        <v>18000</v>
      </c>
      <c r="F4" s="105" t="n">
        <v>900</v>
      </c>
      <c r="G4" s="107" t="n">
        <v>818.1818181818181</v>
      </c>
    </row>
    <row r="5">
      <c r="A5" s="108" t="n">
        <v>7</v>
      </c>
      <c r="B5" s="104" t="n">
        <v>7</v>
      </c>
      <c r="C5" t="n">
        <v>37</v>
      </c>
      <c r="D5" t="inlineStr">
        <is>
          <t>Rte 7 Hillsboro IB</t>
        </is>
      </c>
      <c r="E5" t="n">
        <v>40515</v>
      </c>
      <c r="F5" s="105" t="n">
        <v>2025.75</v>
      </c>
      <c r="G5" s="107" t="n">
        <v>1841.590909090909</v>
      </c>
    </row>
    <row r="6">
      <c r="A6" s="108" t="n">
        <v>8</v>
      </c>
      <c r="B6" s="104" t="n">
        <v>8</v>
      </c>
      <c r="C6" t="n">
        <v>32</v>
      </c>
      <c r="D6" t="inlineStr">
        <is>
          <t>Rte 8 8TH AVENUE SOUTH iB</t>
        </is>
      </c>
      <c r="E6" t="n">
        <v>20777</v>
      </c>
      <c r="F6" s="105" t="n">
        <v>1038.85</v>
      </c>
      <c r="G6" s="107" t="n">
        <v>944.4090909090909</v>
      </c>
    </row>
    <row r="7">
      <c r="A7" s="108" t="n">
        <v>9</v>
      </c>
      <c r="B7" s="104" t="n">
        <v>9</v>
      </c>
      <c r="C7" t="n">
        <v>51</v>
      </c>
      <c r="D7" t="inlineStr">
        <is>
          <t>Rte 9 MetroCenter IB</t>
        </is>
      </c>
      <c r="E7" t="n">
        <v>7713</v>
      </c>
      <c r="F7" s="105" t="n">
        <v>385.65</v>
      </c>
      <c r="G7" s="107" t="n">
        <v>350.5909090909091</v>
      </c>
    </row>
    <row r="8">
      <c r="A8" s="108" t="n">
        <v>14</v>
      </c>
      <c r="B8" s="104" t="n">
        <v>14</v>
      </c>
      <c r="C8" t="n">
        <v>29</v>
      </c>
      <c r="D8" t="inlineStr">
        <is>
          <t>Rte 14 WHITES CREEK iB</t>
        </is>
      </c>
      <c r="E8" t="n">
        <v>7352</v>
      </c>
      <c r="F8" s="105" t="n">
        <v>367.6</v>
      </c>
      <c r="G8" s="107" t="n">
        <v>334.1818181818182</v>
      </c>
    </row>
    <row r="9">
      <c r="A9" s="108" t="n">
        <v>17</v>
      </c>
      <c r="B9" s="104" t="n">
        <v>17</v>
      </c>
      <c r="C9" t="n">
        <v>2</v>
      </c>
      <c r="D9" t="inlineStr">
        <is>
          <t>Rte 17 12TH AVENUE SOUTH iB</t>
        </is>
      </c>
      <c r="E9" t="n">
        <v>14035</v>
      </c>
      <c r="F9" s="105" t="n">
        <v>701.75</v>
      </c>
      <c r="G9" s="107" t="n">
        <v>637.9545454545455</v>
      </c>
    </row>
    <row r="10">
      <c r="A10" s="108" t="n">
        <v>18</v>
      </c>
      <c r="B10" s="104" t="n">
        <v>18</v>
      </c>
      <c r="C10" t="n">
        <v>78</v>
      </c>
      <c r="D10" t="inlineStr">
        <is>
          <t>Rte 18 Airport Exp IB</t>
        </is>
      </c>
      <c r="E10" t="n">
        <v>14914</v>
      </c>
      <c r="F10" s="105" t="n">
        <v>745.7</v>
      </c>
      <c r="G10" s="107" t="n">
        <v>677.9090909090909</v>
      </c>
    </row>
    <row r="11">
      <c r="A11" s="108" t="n">
        <v>19</v>
      </c>
      <c r="B11" s="104" t="n">
        <v>19</v>
      </c>
      <c r="C11" t="n">
        <v>49</v>
      </c>
      <c r="D11" t="inlineStr">
        <is>
          <t>Rte 19 Herman IB</t>
        </is>
      </c>
      <c r="E11" t="n">
        <v>21026</v>
      </c>
      <c r="F11" s="105" t="n">
        <v>1051.3</v>
      </c>
      <c r="G11" s="107" t="n">
        <v>955.7272727272727</v>
      </c>
    </row>
    <row r="12">
      <c r="A12" s="108" t="n">
        <v>22</v>
      </c>
      <c r="B12" s="104" t="n">
        <v>22</v>
      </c>
      <c r="C12" t="n">
        <v>60</v>
      </c>
      <c r="D12" t="inlineStr">
        <is>
          <t>Rte 22 Bordeaux (Kings Ln) IB</t>
        </is>
      </c>
      <c r="E12" t="n">
        <v>33119</v>
      </c>
      <c r="F12" s="105" t="n">
        <v>1655.95</v>
      </c>
      <c r="G12" s="107" t="n">
        <v>1505.409090909091</v>
      </c>
    </row>
    <row r="13">
      <c r="A13" s="108" t="n">
        <v>23</v>
      </c>
      <c r="B13" s="104" t="n">
        <v>23</v>
      </c>
      <c r="C13" t="n">
        <v>15</v>
      </c>
      <c r="D13" t="inlineStr">
        <is>
          <t>Rte 23 Dickerson Pike IB</t>
        </is>
      </c>
      <c r="E13" t="n">
        <v>59191</v>
      </c>
      <c r="F13" s="105" t="n">
        <v>2959.55</v>
      </c>
      <c r="G13" s="107" t="n">
        <v>2690.5</v>
      </c>
    </row>
    <row r="14">
      <c r="A14" s="108" t="n">
        <v>28</v>
      </c>
      <c r="B14" s="104" t="n">
        <v>28</v>
      </c>
      <c r="C14" t="n">
        <v>21</v>
      </c>
      <c r="D14" t="inlineStr">
        <is>
          <t>Rte 28 Meridian IB</t>
        </is>
      </c>
      <c r="E14" t="n">
        <v>6059</v>
      </c>
      <c r="F14" s="105" t="n">
        <v>302.95</v>
      </c>
      <c r="G14" s="107" t="n">
        <v>275.4090909090909</v>
      </c>
    </row>
    <row r="15">
      <c r="A15" s="108" t="n">
        <v>29</v>
      </c>
      <c r="B15" s="104" t="n">
        <v>29</v>
      </c>
      <c r="C15" t="n">
        <v>47</v>
      </c>
      <c r="D15" t="inlineStr">
        <is>
          <t>Rte 29 Jefferson IB</t>
        </is>
      </c>
      <c r="E15" t="n">
        <v>15204</v>
      </c>
      <c r="F15" s="105" t="n">
        <v>760.2</v>
      </c>
      <c r="G15" s="107" t="n">
        <v>691.0909090909091</v>
      </c>
    </row>
    <row r="16">
      <c r="A16" s="108" t="n">
        <v>34</v>
      </c>
      <c r="B16" s="104" t="n">
        <v>34</v>
      </c>
      <c r="C16" t="n">
        <v>79</v>
      </c>
      <c r="D16" t="inlineStr">
        <is>
          <t>Rte 34 Opry Mills IB</t>
        </is>
      </c>
      <c r="E16" t="n">
        <v>8048</v>
      </c>
      <c r="F16" s="105" t="n">
        <v>402.4</v>
      </c>
      <c r="G16" s="107" t="n">
        <v>365.8181818181818</v>
      </c>
    </row>
    <row r="17">
      <c r="A17" s="108" t="n">
        <v>41</v>
      </c>
      <c r="B17" s="104" t="n">
        <v>41</v>
      </c>
      <c r="C17" t="n">
        <v>46</v>
      </c>
      <c r="D17" t="inlineStr">
        <is>
          <t>Rte 41 Golden Valley IB AM</t>
        </is>
      </c>
      <c r="E17" t="n">
        <v>1362</v>
      </c>
      <c r="F17" s="105" t="n">
        <v>68.09999999999999</v>
      </c>
      <c r="G17" s="107" t="n">
        <v>61.90909090909091</v>
      </c>
    </row>
    <row r="18">
      <c r="A18" s="108" t="n">
        <v>42</v>
      </c>
      <c r="B18" s="104" t="n">
        <v>42</v>
      </c>
      <c r="C18" t="n">
        <v>24</v>
      </c>
      <c r="D18" t="inlineStr">
        <is>
          <t>Rte 42 St. Cecilia/Cumberland IB</t>
        </is>
      </c>
      <c r="E18" t="n">
        <v>8859</v>
      </c>
      <c r="F18" s="105" t="n">
        <v>442.95</v>
      </c>
      <c r="G18" s="107" t="n">
        <v>402.6818181818182</v>
      </c>
    </row>
    <row r="19">
      <c r="A19" s="108" t="n">
        <v>50</v>
      </c>
      <c r="B19" s="104" t="n">
        <v>50</v>
      </c>
      <c r="C19" t="n">
        <v>41</v>
      </c>
      <c r="D19" t="inlineStr">
        <is>
          <t>Rte 50 CHARLOTTE PIKE iB</t>
        </is>
      </c>
      <c r="E19" t="n">
        <v>55943</v>
      </c>
      <c r="F19" s="105" t="n">
        <v>2797.15</v>
      </c>
      <c r="G19" s="107" t="n">
        <v>2542.863636363636</v>
      </c>
    </row>
    <row r="20">
      <c r="A20" s="108" t="n">
        <v>52</v>
      </c>
      <c r="B20" s="104" t="n">
        <v>52</v>
      </c>
      <c r="C20" t="n">
        <v>5</v>
      </c>
      <c r="D20" t="inlineStr">
        <is>
          <t>Rte 52 NOLENSVILLE PIKE (Hick) iB</t>
        </is>
      </c>
      <c r="E20" t="n">
        <v>79725</v>
      </c>
      <c r="F20" s="105" t="n">
        <v>3986.25</v>
      </c>
      <c r="G20" s="107" t="n">
        <v>3623.863636363636</v>
      </c>
    </row>
    <row r="21">
      <c r="A21" s="108" t="n">
        <v>55</v>
      </c>
      <c r="B21" s="104" t="n">
        <v>55</v>
      </c>
      <c r="C21" t="n">
        <v>155</v>
      </c>
      <c r="D21" t="inlineStr">
        <is>
          <t>Rte 55 MURFREESBORO PIKE iB</t>
        </is>
      </c>
      <c r="E21" t="n">
        <v>128246</v>
      </c>
      <c r="F21" s="105" t="n">
        <v>6412.3</v>
      </c>
      <c r="G21" s="107" t="n">
        <v>5829.363636363636</v>
      </c>
    </row>
    <row r="22">
      <c r="A22" s="108" t="n">
        <v>56</v>
      </c>
      <c r="B22" s="104" t="n">
        <v>56</v>
      </c>
      <c r="C22" t="n">
        <v>81</v>
      </c>
      <c r="D22" t="inlineStr">
        <is>
          <t>Rte 56 Gallatin Rd BRTmix IB</t>
        </is>
      </c>
      <c r="E22" t="n">
        <v>98359</v>
      </c>
      <c r="F22" s="105" t="n">
        <v>4917.95</v>
      </c>
      <c r="G22" s="107" t="n">
        <v>4470.863636363636</v>
      </c>
    </row>
    <row r="23">
      <c r="A23" s="108" t="n">
        <v>64</v>
      </c>
      <c r="B23" s="104" t="n">
        <v>64</v>
      </c>
      <c r="C23" t="n">
        <v>31</v>
      </c>
      <c r="D23" t="inlineStr">
        <is>
          <t>Rte 64 STAR DOWNTOWN SHUTTLE</t>
        </is>
      </c>
      <c r="E23" t="n">
        <v>202</v>
      </c>
      <c r="F23" s="105" t="n">
        <v>10.1</v>
      </c>
      <c r="G23" s="107" t="n">
        <v>9.181818181818182</v>
      </c>
    </row>
    <row r="24">
      <c r="A24" s="108" t="n">
        <v>70</v>
      </c>
      <c r="B24" s="104" t="n">
        <v>70</v>
      </c>
      <c r="C24" t="n">
        <v>95</v>
      </c>
      <c r="D24" t="inlineStr">
        <is>
          <t>Rte 70 Belevue Conn IB</t>
        </is>
      </c>
      <c r="E24" t="n">
        <v>933</v>
      </c>
      <c r="F24" s="105" t="n">
        <v>46.65</v>
      </c>
      <c r="G24" s="107" t="n">
        <v>42.40909090909091</v>
      </c>
    </row>
    <row r="25">
      <c r="A25" s="108" t="n">
        <v>75</v>
      </c>
      <c r="B25" s="104" t="n">
        <v>75</v>
      </c>
      <c r="C25" t="n">
        <v>23</v>
      </c>
      <c r="D25" t="inlineStr">
        <is>
          <t>Rte 75 Midtown CCW Loop</t>
        </is>
      </c>
      <c r="E25" t="n">
        <v>2808</v>
      </c>
      <c r="F25" s="105" t="n">
        <v>140.4</v>
      </c>
      <c r="G25" s="107" t="n">
        <v>127.6363636363636</v>
      </c>
    </row>
    <row r="26">
      <c r="A26" s="108" t="n">
        <v>76</v>
      </c>
      <c r="B26" s="104" t="n">
        <v>76</v>
      </c>
      <c r="C26" t="n">
        <v>54</v>
      </c>
      <c r="D26" t="inlineStr">
        <is>
          <t>Rte 76 Madison Conn</t>
        </is>
      </c>
      <c r="E26" t="n">
        <v>7641</v>
      </c>
      <c r="F26" s="105" t="n">
        <v>382.05</v>
      </c>
      <c r="G26" s="107" t="n">
        <v>347.3181818181818</v>
      </c>
    </row>
    <row r="27">
      <c r="A27" s="108" t="n">
        <v>77</v>
      </c>
      <c r="B27" s="104" t="n">
        <v>77</v>
      </c>
      <c r="C27" t="n">
        <v>88</v>
      </c>
      <c r="D27" t="inlineStr">
        <is>
          <t>Rte 77 THOMPSON - WEDGEWOOD ccw</t>
        </is>
      </c>
      <c r="E27" t="n">
        <v>7347</v>
      </c>
      <c r="F27" s="105" t="n">
        <v>367.35</v>
      </c>
      <c r="G27" s="107" t="n">
        <v>333.9545454545454</v>
      </c>
    </row>
    <row r="28">
      <c r="A28" s="108" t="n">
        <v>79</v>
      </c>
      <c r="B28" s="104" t="n">
        <v>79</v>
      </c>
      <c r="C28" t="n">
        <v>148</v>
      </c>
      <c r="D28" t="inlineStr">
        <is>
          <t>Rte 79 Skyline iB</t>
        </is>
      </c>
      <c r="E28" t="n">
        <v>4967</v>
      </c>
      <c r="F28" s="105" t="n">
        <v>248.35</v>
      </c>
      <c r="G28" s="107" t="n">
        <v>225.7727272727273</v>
      </c>
    </row>
    <row r="29">
      <c r="A29" s="108" t="n">
        <v>84</v>
      </c>
      <c r="B29" s="104" t="n">
        <v>84</v>
      </c>
      <c r="C29" t="n">
        <v>67</v>
      </c>
      <c r="D29" t="inlineStr">
        <is>
          <t>Rte 84 Murfreesboro Express IB</t>
        </is>
      </c>
      <c r="E29" t="n">
        <v>2805</v>
      </c>
      <c r="F29" s="105" t="n">
        <v>140.25</v>
      </c>
      <c r="G29" s="107" t="n">
        <v>127.5</v>
      </c>
    </row>
    <row r="30">
      <c r="A30" s="108" t="n">
        <v>86</v>
      </c>
      <c r="B30" s="104" t="n">
        <v>86</v>
      </c>
      <c r="C30" t="n">
        <v>68</v>
      </c>
      <c r="D30" t="inlineStr">
        <is>
          <t>Rte 86 Smyrna Lavergne Exp IB</t>
        </is>
      </c>
      <c r="E30" t="n">
        <v>1036</v>
      </c>
      <c r="F30" s="105" t="n">
        <v>51.8</v>
      </c>
      <c r="G30" s="107" t="n">
        <v>47.09090909090909</v>
      </c>
    </row>
    <row r="31">
      <c r="A31" s="108" t="n">
        <v>87</v>
      </c>
      <c r="B31" s="104" t="n">
        <v>87</v>
      </c>
      <c r="C31" t="n">
        <v>86</v>
      </c>
      <c r="D31" t="inlineStr">
        <is>
          <t>Rte 87 Gallatin Comm Bus IB</t>
        </is>
      </c>
      <c r="E31" t="n">
        <v>1701</v>
      </c>
      <c r="F31" s="105" t="n">
        <v>85.05</v>
      </c>
      <c r="G31" s="107" t="n">
        <v>77.31818181818181</v>
      </c>
    </row>
    <row r="32">
      <c r="A32" s="108" t="n">
        <v>89</v>
      </c>
      <c r="B32" s="104" t="n">
        <v>89</v>
      </c>
      <c r="C32" t="n">
        <v>57</v>
      </c>
      <c r="D32" t="inlineStr">
        <is>
          <t>Rte 89 Spgfield/Joelton Exp OB</t>
        </is>
      </c>
      <c r="E32" t="n">
        <v>506</v>
      </c>
      <c r="F32" s="105" t="n">
        <v>25.3</v>
      </c>
      <c r="G32" s="107" t="n">
        <v>23</v>
      </c>
    </row>
    <row r="33">
      <c r="A33" s="108" t="n">
        <v>90</v>
      </c>
      <c r="B33" s="104" t="n">
        <v>90</v>
      </c>
      <c r="C33" t="n">
        <v>132</v>
      </c>
      <c r="D33" t="inlineStr">
        <is>
          <t>Rte 90 Music City Star iB</t>
        </is>
      </c>
      <c r="E33" t="n">
        <v>8785</v>
      </c>
      <c r="F33" s="105" t="n">
        <v>439.25</v>
      </c>
      <c r="G33" s="107" t="n">
        <v>399.3181818181818</v>
      </c>
    </row>
    <row r="34">
      <c r="A34" s="108" t="n">
        <v>93</v>
      </c>
      <c r="B34" s="104" t="n">
        <v>93</v>
      </c>
      <c r="C34" t="n">
        <v>36</v>
      </c>
      <c r="D34" t="inlineStr">
        <is>
          <t>Rte 93 MCS West End Shuttle</t>
        </is>
      </c>
      <c r="E34" t="n">
        <v>2670</v>
      </c>
      <c r="F34" s="105" t="n">
        <v>133.5</v>
      </c>
      <c r="G34" s="107" t="n">
        <v>121.3636363636364</v>
      </c>
    </row>
    <row r="35">
      <c r="A35" s="108" t="n">
        <v>95</v>
      </c>
      <c r="B35" s="104" t="n">
        <v>95</v>
      </c>
      <c r="C35" t="n">
        <v>72</v>
      </c>
      <c r="D35" t="inlineStr">
        <is>
          <t>Rte 95 Spring Hill Exp IB</t>
        </is>
      </c>
      <c r="E35" t="n">
        <v>1136</v>
      </c>
      <c r="F35" s="105" t="n">
        <v>56.8</v>
      </c>
      <c r="G35" s="107" t="n">
        <v>51.63636363636363</v>
      </c>
    </row>
    <row r="36">
      <c r="D36" t="inlineStr">
        <is>
          <t>Rover</t>
        </is>
      </c>
      <c r="E36" t="n">
        <v>9187</v>
      </c>
      <c r="F36" s="105" t="n">
        <v>459.35</v>
      </c>
      <c r="G36" s="107" t="n">
        <v>417.5909090909091</v>
      </c>
    </row>
    <row r="37">
      <c r="D37" t="inlineStr">
        <is>
          <t>FTA</t>
        </is>
      </c>
      <c r="E37" t="n">
        <v>12084</v>
      </c>
      <c r="F37" s="105" t="n">
        <v>604.2</v>
      </c>
      <c r="G37" s="107" t="n">
        <v>549.2727272727273</v>
      </c>
    </row>
    <row r="38">
      <c r="D38" t="inlineStr">
        <is>
          <t>Mule</t>
        </is>
      </c>
      <c r="F38" s="105" t="n"/>
    </row>
    <row r="39">
      <c r="F39" s="105" t="n"/>
    </row>
    <row r="40">
      <c r="A40" s="109" t="n"/>
      <c r="B40" s="102" t="n"/>
      <c r="C40" s="102" t="n"/>
      <c r="D40" s="102" t="inlineStr">
        <is>
          <t>TOTAL</t>
        </is>
      </c>
      <c r="E40" s="103" t="n">
        <v>778330</v>
      </c>
      <c r="F40" s="103" t="n">
        <v>38916.50000000001</v>
      </c>
      <c r="G40" s="107" t="n">
        <v>35378.63636363637</v>
      </c>
    </row>
    <row r="41">
      <c r="F41" s="106" t="n">
        <v>38916.5</v>
      </c>
      <c r="G41" s="107" t="inlineStr">
        <is>
          <t>check monthly weekday/20</t>
        </is>
      </c>
    </row>
    <row r="42">
      <c r="F42" s="101">
        <f>E40/20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34"/>
  <sheetViews>
    <sheetView workbookViewId="0">
      <selection activeCell="H38" sqref="H38"/>
    </sheetView>
  </sheetViews>
  <sheetFormatPr baseColWidth="8" defaultRowHeight="14.25"/>
  <cols>
    <col width="9.1328125" customWidth="1" style="126" min="5" max="5"/>
  </cols>
  <sheetData>
    <row r="1">
      <c r="B1" t="inlineStr">
        <is>
          <t>Route</t>
        </is>
      </c>
      <c r="C1" t="inlineStr">
        <is>
          <t>Mode</t>
        </is>
      </c>
      <c r="D1" t="inlineStr">
        <is>
          <t>Route Name</t>
        </is>
      </c>
      <c r="F1" t="inlineStr">
        <is>
          <t>AM</t>
        </is>
      </c>
      <c r="G1" t="inlineStr">
        <is>
          <t>MD</t>
        </is>
      </c>
      <c r="H1" t="inlineStr">
        <is>
          <t>PM</t>
        </is>
      </c>
      <c r="I1" t="inlineStr">
        <is>
          <t>OP   |</t>
        </is>
      </c>
      <c r="J1" t="inlineStr">
        <is>
          <t>T</t>
        </is>
      </c>
      <c r="K1" t="inlineStr">
        <is>
          <t>otal</t>
        </is>
      </c>
      <c r="M1" t="inlineStr">
        <is>
          <t>text</t>
        </is>
      </c>
      <c r="N1" t="inlineStr">
        <is>
          <t>Boarding</t>
        </is>
      </c>
    </row>
    <row r="2">
      <c r="B2">
        <f>TrnStat.asc!B54</f>
        <v/>
      </c>
      <c r="C2">
        <f>TrnStat.asc!C54</f>
        <v/>
      </c>
      <c r="D2">
        <f>TrnStat.asc!D54</f>
        <v/>
      </c>
      <c r="E2">
        <f>TrnStat.asc!E54</f>
        <v/>
      </c>
      <c r="F2">
        <f>TrnStat.asc!F54</f>
        <v/>
      </c>
      <c r="G2">
        <f>TrnStat.asc!G54</f>
        <v/>
      </c>
      <c r="H2">
        <f>TrnStat.asc!H54</f>
        <v/>
      </c>
      <c r="I2">
        <f>TrnStat.asc!I54</f>
        <v/>
      </c>
      <c r="J2">
        <f>TrnStat.asc!J54</f>
        <v/>
      </c>
      <c r="K2">
        <f>TrnStat.asc!K54</f>
        <v/>
      </c>
      <c r="M2">
        <f>IF(ISNUMBER(K2),K2,CONCATENATE(LEFT(K2,2),RIGHT(K2,3)))</f>
        <v/>
      </c>
      <c r="N2">
        <f>VALUE(M2)</f>
        <v/>
      </c>
    </row>
    <row r="3">
      <c r="B3">
        <f>TrnStat.asc!B55</f>
        <v/>
      </c>
      <c r="C3">
        <f>TrnStat.asc!C55</f>
        <v/>
      </c>
      <c r="D3">
        <f>TrnStat.asc!D55</f>
        <v/>
      </c>
      <c r="E3">
        <f>TrnStat.asc!E55</f>
        <v/>
      </c>
      <c r="F3">
        <f>TrnStat.asc!F55</f>
        <v/>
      </c>
      <c r="G3">
        <f>TrnStat.asc!G55</f>
        <v/>
      </c>
      <c r="H3">
        <f>TrnStat.asc!H55</f>
        <v/>
      </c>
      <c r="I3">
        <f>TrnStat.asc!I55</f>
        <v/>
      </c>
      <c r="J3">
        <f>TrnStat.asc!J55</f>
        <v/>
      </c>
      <c r="K3">
        <f>TrnStat.asc!K55</f>
        <v/>
      </c>
      <c r="M3">
        <f>IF(ISNUMBER(K3),K3,CONCATENATE(LEFT(K3,2),RIGHT(K3,3)))</f>
        <v/>
      </c>
      <c r="N3">
        <f>VALUE(M3)</f>
        <v/>
      </c>
    </row>
    <row r="4">
      <c r="B4">
        <f>TrnStat.asc!B56</f>
        <v/>
      </c>
      <c r="C4">
        <f>TrnStat.asc!C56</f>
        <v/>
      </c>
      <c r="D4">
        <f>TrnStat.asc!D56</f>
        <v/>
      </c>
      <c r="E4">
        <f>TrnStat.asc!E56</f>
        <v/>
      </c>
      <c r="F4">
        <f>TrnStat.asc!F56</f>
        <v/>
      </c>
      <c r="G4">
        <f>TrnStat.asc!G56</f>
        <v/>
      </c>
      <c r="H4">
        <f>TrnStat.asc!H56</f>
        <v/>
      </c>
      <c r="I4">
        <f>TrnStat.asc!I56</f>
        <v/>
      </c>
      <c r="J4">
        <f>TrnStat.asc!J56</f>
        <v/>
      </c>
      <c r="K4">
        <f>TrnStat.asc!K56</f>
        <v/>
      </c>
      <c r="M4">
        <f>IF(ISNUMBER(K4),K4,CONCATENATE(LEFT(K4,2),RIGHT(K4,3)))</f>
        <v/>
      </c>
      <c r="N4">
        <f>VALUE(M4)</f>
        <v/>
      </c>
    </row>
    <row r="5">
      <c r="B5">
        <f>TrnStat.asc!B57</f>
        <v/>
      </c>
      <c r="C5">
        <f>TrnStat.asc!C57</f>
        <v/>
      </c>
      <c r="D5">
        <f>TrnStat.asc!D57</f>
        <v/>
      </c>
      <c r="E5">
        <f>TrnStat.asc!E57</f>
        <v/>
      </c>
      <c r="F5">
        <f>TrnStat.asc!F57</f>
        <v/>
      </c>
      <c r="G5">
        <f>TrnStat.asc!G57</f>
        <v/>
      </c>
      <c r="H5">
        <f>TrnStat.asc!H57</f>
        <v/>
      </c>
      <c r="I5">
        <f>TrnStat.asc!I57</f>
        <v/>
      </c>
      <c r="J5">
        <f>TrnStat.asc!J57</f>
        <v/>
      </c>
      <c r="K5">
        <f>TrnStat.asc!K57</f>
        <v/>
      </c>
      <c r="M5">
        <f>IF(ISNUMBER(K5),K5,CONCATENATE(LEFT(K5,2),RIGHT(K5,3)))</f>
        <v/>
      </c>
      <c r="N5">
        <f>VALUE(M5)</f>
        <v/>
      </c>
    </row>
    <row r="6">
      <c r="B6">
        <f>TrnStat.asc!B58</f>
        <v/>
      </c>
      <c r="C6">
        <f>TrnStat.asc!C58</f>
        <v/>
      </c>
      <c r="D6">
        <f>TrnStat.asc!D58</f>
        <v/>
      </c>
      <c r="E6">
        <f>TrnStat.asc!E58</f>
        <v/>
      </c>
      <c r="F6">
        <f>TrnStat.asc!F58</f>
        <v/>
      </c>
      <c r="G6">
        <f>TrnStat.asc!G58</f>
        <v/>
      </c>
      <c r="H6">
        <f>TrnStat.asc!H58</f>
        <v/>
      </c>
      <c r="I6">
        <f>TrnStat.asc!I58</f>
        <v/>
      </c>
      <c r="J6">
        <f>TrnStat.asc!J58</f>
        <v/>
      </c>
      <c r="K6">
        <f>TrnStat.asc!K58</f>
        <v/>
      </c>
      <c r="M6">
        <f>IF(ISNUMBER(K6),K6,CONCATENATE(LEFT(K6,2),RIGHT(K6,3)))</f>
        <v/>
      </c>
      <c r="N6">
        <f>VALUE(M6)</f>
        <v/>
      </c>
    </row>
    <row r="7">
      <c r="B7">
        <f>TrnStat.asc!B59</f>
        <v/>
      </c>
      <c r="C7">
        <f>TrnStat.asc!C59</f>
        <v/>
      </c>
      <c r="D7">
        <f>TrnStat.asc!D59</f>
        <v/>
      </c>
      <c r="E7">
        <f>TrnStat.asc!E59</f>
        <v/>
      </c>
      <c r="F7">
        <f>TrnStat.asc!F59</f>
        <v/>
      </c>
      <c r="G7">
        <f>TrnStat.asc!G59</f>
        <v/>
      </c>
      <c r="H7">
        <f>TrnStat.asc!H59</f>
        <v/>
      </c>
      <c r="I7">
        <f>TrnStat.asc!I59</f>
        <v/>
      </c>
      <c r="J7">
        <f>TrnStat.asc!J59</f>
        <v/>
      </c>
      <c r="K7">
        <f>TrnStat.asc!K59</f>
        <v/>
      </c>
      <c r="M7">
        <f>IF(ISNUMBER(K7),K7,CONCATENATE(LEFT(K7,2),RIGHT(K7,3)))</f>
        <v/>
      </c>
      <c r="N7">
        <f>VALUE(M7)</f>
        <v/>
      </c>
    </row>
    <row r="8">
      <c r="B8">
        <f>TrnStat.asc!B60</f>
        <v/>
      </c>
      <c r="C8">
        <f>TrnStat.asc!C60</f>
        <v/>
      </c>
      <c r="D8">
        <f>TrnStat.asc!D60</f>
        <v/>
      </c>
      <c r="E8">
        <f>TrnStat.asc!E60</f>
        <v/>
      </c>
      <c r="F8">
        <f>TrnStat.asc!F60</f>
        <v/>
      </c>
      <c r="G8">
        <f>TrnStat.asc!G60</f>
        <v/>
      </c>
      <c r="H8">
        <f>TrnStat.asc!H60</f>
        <v/>
      </c>
      <c r="I8">
        <f>TrnStat.asc!I60</f>
        <v/>
      </c>
      <c r="J8">
        <f>TrnStat.asc!J60</f>
        <v/>
      </c>
      <c r="K8">
        <f>TrnStat.asc!K60</f>
        <v/>
      </c>
      <c r="M8">
        <f>IF(ISNUMBER(K8),K8,CONCATENATE(LEFT(K8,2),RIGHT(K8,3)))</f>
        <v/>
      </c>
      <c r="N8">
        <f>VALUE(M8)</f>
        <v/>
      </c>
    </row>
    <row r="9">
      <c r="B9">
        <f>TrnStat.asc!B61</f>
        <v/>
      </c>
      <c r="C9">
        <f>TrnStat.asc!C61</f>
        <v/>
      </c>
      <c r="D9">
        <f>TrnStat.asc!D61</f>
        <v/>
      </c>
      <c r="E9">
        <f>TrnStat.asc!E61</f>
        <v/>
      </c>
      <c r="F9">
        <f>TrnStat.asc!F61</f>
        <v/>
      </c>
      <c r="G9">
        <f>TrnStat.asc!G61</f>
        <v/>
      </c>
      <c r="H9">
        <f>TrnStat.asc!H61</f>
        <v/>
      </c>
      <c r="I9">
        <f>TrnStat.asc!I61</f>
        <v/>
      </c>
      <c r="J9">
        <f>TrnStat.asc!J61</f>
        <v/>
      </c>
      <c r="K9">
        <f>TrnStat.asc!K61</f>
        <v/>
      </c>
      <c r="M9">
        <f>IF(ISNUMBER(K9),K9,CONCATENATE(LEFT(K9,2),RIGHT(K9,3)))</f>
        <v/>
      </c>
      <c r="N9">
        <f>VALUE(M9)</f>
        <v/>
      </c>
    </row>
    <row r="10">
      <c r="B10">
        <f>TrnStat.asc!B62</f>
        <v/>
      </c>
      <c r="C10">
        <f>TrnStat.asc!C62</f>
        <v/>
      </c>
      <c r="D10">
        <f>TrnStat.asc!D62</f>
        <v/>
      </c>
      <c r="E10">
        <f>TrnStat.asc!E62</f>
        <v/>
      </c>
      <c r="F10">
        <f>TrnStat.asc!F62</f>
        <v/>
      </c>
      <c r="G10">
        <f>TrnStat.asc!G62</f>
        <v/>
      </c>
      <c r="H10">
        <f>TrnStat.asc!H62</f>
        <v/>
      </c>
      <c r="I10">
        <f>TrnStat.asc!I62</f>
        <v/>
      </c>
      <c r="J10">
        <f>TrnStat.asc!J62</f>
        <v/>
      </c>
      <c r="K10">
        <f>TrnStat.asc!K62</f>
        <v/>
      </c>
      <c r="M10">
        <f>IF(ISNUMBER(K10),K10,CONCATENATE(LEFT(K10,2),RIGHT(K10,3)))</f>
        <v/>
      </c>
      <c r="N10">
        <f>VALUE(M10)</f>
        <v/>
      </c>
    </row>
    <row r="11">
      <c r="B11">
        <f>TrnStat.asc!B63</f>
        <v/>
      </c>
      <c r="C11">
        <f>TrnStat.asc!C63</f>
        <v/>
      </c>
      <c r="D11">
        <f>TrnStat.asc!D63</f>
        <v/>
      </c>
      <c r="E11">
        <f>TrnStat.asc!E63</f>
        <v/>
      </c>
      <c r="F11">
        <f>TrnStat.asc!F63</f>
        <v/>
      </c>
      <c r="G11">
        <f>TrnStat.asc!G63</f>
        <v/>
      </c>
      <c r="H11">
        <f>TrnStat.asc!H63</f>
        <v/>
      </c>
      <c r="I11">
        <f>TrnStat.asc!I63</f>
        <v/>
      </c>
      <c r="J11">
        <f>TrnStat.asc!J63</f>
        <v/>
      </c>
      <c r="K11">
        <f>TrnStat.asc!K63</f>
        <v/>
      </c>
      <c r="M11">
        <f>IF(ISNUMBER(K11),K11,CONCATENATE(LEFT(K11,2),RIGHT(K11,3)))</f>
        <v/>
      </c>
      <c r="N11">
        <f>VALUE(M11)</f>
        <v/>
      </c>
    </row>
    <row r="12">
      <c r="B12">
        <f>TrnStat.asc!B64</f>
        <v/>
      </c>
      <c r="C12">
        <f>TrnStat.asc!C64</f>
        <v/>
      </c>
      <c r="D12">
        <f>TrnStat.asc!D64</f>
        <v/>
      </c>
      <c r="E12">
        <f>TrnStat.asc!E64</f>
        <v/>
      </c>
      <c r="F12">
        <f>TrnStat.asc!F64</f>
        <v/>
      </c>
      <c r="G12">
        <f>TrnStat.asc!G64</f>
        <v/>
      </c>
      <c r="H12">
        <f>TrnStat.asc!H64</f>
        <v/>
      </c>
      <c r="I12">
        <f>TrnStat.asc!I64</f>
        <v/>
      </c>
      <c r="J12">
        <f>TrnStat.asc!J64</f>
        <v/>
      </c>
      <c r="K12">
        <f>TrnStat.asc!K64</f>
        <v/>
      </c>
      <c r="M12">
        <f>IF(ISNUMBER(K12),K12,CONCATENATE(LEFT(K12,2),RIGHT(K12,3)))</f>
        <v/>
      </c>
      <c r="N12">
        <f>VALUE(M12)</f>
        <v/>
      </c>
    </row>
    <row r="13">
      <c r="B13">
        <f>TrnStat.asc!B65</f>
        <v/>
      </c>
      <c r="C13">
        <f>TrnStat.asc!C65</f>
        <v/>
      </c>
      <c r="D13">
        <f>TrnStat.asc!D65</f>
        <v/>
      </c>
      <c r="E13">
        <f>TrnStat.asc!E65</f>
        <v/>
      </c>
      <c r="F13">
        <f>TrnStat.asc!F65</f>
        <v/>
      </c>
      <c r="G13">
        <f>TrnStat.asc!G65</f>
        <v/>
      </c>
      <c r="H13">
        <f>TrnStat.asc!H65</f>
        <v/>
      </c>
      <c r="I13">
        <f>TrnStat.asc!I65</f>
        <v/>
      </c>
      <c r="J13">
        <f>TrnStat.asc!J65</f>
        <v/>
      </c>
      <c r="K13">
        <f>TrnStat.asc!K65</f>
        <v/>
      </c>
      <c r="M13">
        <f>IF(ISNUMBER(K13),K13,CONCATENATE(LEFT(K13,2),RIGHT(K13,3)))</f>
        <v/>
      </c>
      <c r="N13">
        <f>VALUE(M13)</f>
        <v/>
      </c>
    </row>
    <row r="14">
      <c r="B14">
        <f>TrnStat.asc!B66</f>
        <v/>
      </c>
      <c r="C14">
        <f>TrnStat.asc!C66</f>
        <v/>
      </c>
      <c r="D14">
        <f>TrnStat.asc!D66</f>
        <v/>
      </c>
      <c r="E14">
        <f>TrnStat.asc!E66</f>
        <v/>
      </c>
      <c r="F14">
        <f>TrnStat.asc!F66</f>
        <v/>
      </c>
      <c r="G14">
        <f>TrnStat.asc!G66</f>
        <v/>
      </c>
      <c r="H14">
        <f>TrnStat.asc!H66</f>
        <v/>
      </c>
      <c r="I14">
        <f>TrnStat.asc!I66</f>
        <v/>
      </c>
      <c r="J14">
        <f>TrnStat.asc!J66</f>
        <v/>
      </c>
      <c r="K14">
        <f>TrnStat.asc!K66</f>
        <v/>
      </c>
      <c r="M14">
        <f>IF(ISNUMBER(K14),K14,CONCATENATE(LEFT(K14,2),RIGHT(K14,3)))</f>
        <v/>
      </c>
      <c r="N14">
        <f>VALUE(M14)</f>
        <v/>
      </c>
    </row>
    <row r="15">
      <c r="B15">
        <f>TrnStat.asc!B67</f>
        <v/>
      </c>
      <c r="C15">
        <f>TrnStat.asc!C67</f>
        <v/>
      </c>
      <c r="D15">
        <f>TrnStat.asc!D67</f>
        <v/>
      </c>
      <c r="E15">
        <f>TrnStat.asc!E67</f>
        <v/>
      </c>
      <c r="F15">
        <f>TrnStat.asc!F67</f>
        <v/>
      </c>
      <c r="G15">
        <f>TrnStat.asc!G67</f>
        <v/>
      </c>
      <c r="H15">
        <f>TrnStat.asc!H67</f>
        <v/>
      </c>
      <c r="I15">
        <f>TrnStat.asc!I67</f>
        <v/>
      </c>
      <c r="J15">
        <f>TrnStat.asc!J67</f>
        <v/>
      </c>
      <c r="K15">
        <f>TrnStat.asc!K67</f>
        <v/>
      </c>
      <c r="M15">
        <f>IF(ISNUMBER(K15),K15,CONCATENATE(LEFT(K15,2),RIGHT(K15,3)))</f>
        <v/>
      </c>
      <c r="N15">
        <f>VALUE(M15)</f>
        <v/>
      </c>
    </row>
    <row r="16">
      <c r="B16">
        <f>TrnStat.asc!B68</f>
        <v/>
      </c>
      <c r="C16">
        <f>TrnStat.asc!C68</f>
        <v/>
      </c>
      <c r="D16">
        <f>TrnStat.asc!D68</f>
        <v/>
      </c>
      <c r="E16">
        <f>TrnStat.asc!E68</f>
        <v/>
      </c>
      <c r="F16">
        <f>TrnStat.asc!F68</f>
        <v/>
      </c>
      <c r="G16">
        <f>TrnStat.asc!G68</f>
        <v/>
      </c>
      <c r="H16">
        <f>TrnStat.asc!H68</f>
        <v/>
      </c>
      <c r="I16">
        <f>TrnStat.asc!I68</f>
        <v/>
      </c>
      <c r="J16">
        <f>TrnStat.asc!J68</f>
        <v/>
      </c>
      <c r="K16">
        <f>TrnStat.asc!K68</f>
        <v/>
      </c>
      <c r="M16">
        <f>IF(ISNUMBER(K16),K16,CONCATENATE(LEFT(K16,2),RIGHT(K16,3)))</f>
        <v/>
      </c>
      <c r="N16">
        <f>VALUE(M16)</f>
        <v/>
      </c>
    </row>
    <row r="17">
      <c r="B17">
        <f>TrnStat.asc!B69</f>
        <v/>
      </c>
      <c r="C17">
        <f>TrnStat.asc!C69</f>
        <v/>
      </c>
      <c r="D17">
        <f>TrnStat.asc!D69</f>
        <v/>
      </c>
      <c r="E17">
        <f>TrnStat.asc!E69</f>
        <v/>
      </c>
      <c r="F17">
        <f>TrnStat.asc!F69</f>
        <v/>
      </c>
      <c r="G17">
        <f>TrnStat.asc!G69</f>
        <v/>
      </c>
      <c r="H17">
        <f>TrnStat.asc!H69</f>
        <v/>
      </c>
      <c r="I17">
        <f>TrnStat.asc!I69</f>
        <v/>
      </c>
      <c r="J17">
        <f>TrnStat.asc!J69</f>
        <v/>
      </c>
      <c r="K17">
        <f>TrnStat.asc!K69</f>
        <v/>
      </c>
      <c r="M17">
        <f>IF(ISNUMBER(K17),K17,CONCATENATE(LEFT(K17,2),RIGHT(K17,3)))</f>
        <v/>
      </c>
      <c r="N17">
        <f>VALUE(M17)</f>
        <v/>
      </c>
    </row>
    <row r="18">
      <c r="B18">
        <f>TrnStat.asc!B70</f>
        <v/>
      </c>
      <c r="C18">
        <f>TrnStat.asc!C70</f>
        <v/>
      </c>
      <c r="D18">
        <f>TrnStat.asc!D70</f>
        <v/>
      </c>
      <c r="E18">
        <f>TrnStat.asc!E70</f>
        <v/>
      </c>
      <c r="F18">
        <f>TrnStat.asc!F70</f>
        <v/>
      </c>
      <c r="G18">
        <f>TrnStat.asc!G70</f>
        <v/>
      </c>
      <c r="H18">
        <f>TrnStat.asc!H70</f>
        <v/>
      </c>
      <c r="I18">
        <f>TrnStat.asc!I70</f>
        <v/>
      </c>
      <c r="J18">
        <f>TrnStat.asc!J70</f>
        <v/>
      </c>
      <c r="K18">
        <f>TrnStat.asc!K70</f>
        <v/>
      </c>
      <c r="M18">
        <f>IF(ISNUMBER(K18),K18,CONCATENATE(LEFT(K18,2),RIGHT(K18,3)))</f>
        <v/>
      </c>
      <c r="N18">
        <f>VALUE(M18)</f>
        <v/>
      </c>
    </row>
    <row r="19">
      <c r="B19">
        <f>TrnStat.asc!B71</f>
        <v/>
      </c>
      <c r="C19">
        <f>TrnStat.asc!C71</f>
        <v/>
      </c>
      <c r="D19">
        <f>TrnStat.asc!D71</f>
        <v/>
      </c>
      <c r="E19">
        <f>TrnStat.asc!E71</f>
        <v/>
      </c>
      <c r="F19">
        <f>TrnStat.asc!F71</f>
        <v/>
      </c>
      <c r="G19">
        <f>TrnStat.asc!G71</f>
        <v/>
      </c>
      <c r="H19">
        <f>TrnStat.asc!H71</f>
        <v/>
      </c>
      <c r="I19">
        <f>TrnStat.asc!I71</f>
        <v/>
      </c>
      <c r="J19">
        <f>TrnStat.asc!J71</f>
        <v/>
      </c>
      <c r="K19">
        <f>TrnStat.asc!K71</f>
        <v/>
      </c>
      <c r="M19">
        <f>IF(ISNUMBER(K19),K19,CONCATENATE(LEFT(K19,2),RIGHT(K19,3)))</f>
        <v/>
      </c>
      <c r="N19">
        <f>VALUE(M19)</f>
        <v/>
      </c>
    </row>
    <row r="20">
      <c r="B20">
        <f>TrnStat.asc!B72</f>
        <v/>
      </c>
      <c r="C20">
        <f>TrnStat.asc!C72</f>
        <v/>
      </c>
      <c r="D20">
        <f>TrnStat.asc!D72</f>
        <v/>
      </c>
      <c r="E20">
        <f>TrnStat.asc!E72</f>
        <v/>
      </c>
      <c r="F20">
        <f>TrnStat.asc!F72</f>
        <v/>
      </c>
      <c r="G20">
        <f>TrnStat.asc!G72</f>
        <v/>
      </c>
      <c r="H20">
        <f>TrnStat.asc!H72</f>
        <v/>
      </c>
      <c r="I20">
        <f>TrnStat.asc!I72</f>
        <v/>
      </c>
      <c r="J20">
        <f>TrnStat.asc!J72</f>
        <v/>
      </c>
      <c r="K20">
        <f>TrnStat.asc!K72</f>
        <v/>
      </c>
      <c r="M20">
        <f>IF(ISNUMBER(K20),K20,CONCATENATE(LEFT(K20,2),RIGHT(K20,3)))</f>
        <v/>
      </c>
      <c r="N20">
        <f>VALUE(M20)</f>
        <v/>
      </c>
    </row>
    <row r="21">
      <c r="B21">
        <f>TrnStat.asc!B73</f>
        <v/>
      </c>
      <c r="C21">
        <f>TrnStat.asc!C73</f>
        <v/>
      </c>
      <c r="D21">
        <f>TrnStat.asc!D73</f>
        <v/>
      </c>
      <c r="E21">
        <f>TrnStat.asc!E73</f>
        <v/>
      </c>
      <c r="F21">
        <f>TrnStat.asc!F73</f>
        <v/>
      </c>
      <c r="G21">
        <f>TrnStat.asc!G73</f>
        <v/>
      </c>
      <c r="H21">
        <f>TrnStat.asc!H73</f>
        <v/>
      </c>
      <c r="I21">
        <f>TrnStat.asc!I73</f>
        <v/>
      </c>
      <c r="J21">
        <f>TrnStat.asc!J73</f>
        <v/>
      </c>
      <c r="K21">
        <f>TrnStat.asc!K73</f>
        <v/>
      </c>
      <c r="M21">
        <f>IF(ISNUMBER(K21),K21,CONCATENATE(LEFT(K21,2),RIGHT(K21,3)))</f>
        <v/>
      </c>
      <c r="N21">
        <f>VALUE(M21)</f>
        <v/>
      </c>
    </row>
    <row r="22">
      <c r="B22">
        <f>TrnStat.asc!B74</f>
        <v/>
      </c>
      <c r="C22">
        <f>TrnStat.asc!C74</f>
        <v/>
      </c>
      <c r="D22">
        <f>TrnStat.asc!D74</f>
        <v/>
      </c>
      <c r="E22">
        <f>TrnStat.asc!E74</f>
        <v/>
      </c>
      <c r="F22">
        <f>TrnStat.asc!F74</f>
        <v/>
      </c>
      <c r="G22">
        <f>TrnStat.asc!G74</f>
        <v/>
      </c>
      <c r="H22">
        <f>TrnStat.asc!H74</f>
        <v/>
      </c>
      <c r="I22">
        <f>TrnStat.asc!I74</f>
        <v/>
      </c>
      <c r="J22">
        <f>TrnStat.asc!J74</f>
        <v/>
      </c>
      <c r="K22">
        <f>TrnStat.asc!K74</f>
        <v/>
      </c>
      <c r="M22">
        <f>IF(ISNUMBER(K22),K22,CONCATENATE(LEFT(K22,2),RIGHT(K22,3)))</f>
        <v/>
      </c>
      <c r="N22">
        <f>VALUE(M22)</f>
        <v/>
      </c>
    </row>
    <row r="23">
      <c r="B23">
        <f>TrnStat.asc!B75</f>
        <v/>
      </c>
      <c r="C23">
        <f>TrnStat.asc!C75</f>
        <v/>
      </c>
      <c r="D23">
        <f>TrnStat.asc!D75</f>
        <v/>
      </c>
      <c r="E23">
        <f>TrnStat.asc!E75</f>
        <v/>
      </c>
      <c r="F23">
        <f>TrnStat.asc!F75</f>
        <v/>
      </c>
      <c r="G23">
        <f>TrnStat.asc!G75</f>
        <v/>
      </c>
      <c r="H23">
        <f>TrnStat.asc!H75</f>
        <v/>
      </c>
      <c r="I23">
        <f>TrnStat.asc!I75</f>
        <v/>
      </c>
      <c r="J23">
        <f>TrnStat.asc!J75</f>
        <v/>
      </c>
      <c r="K23">
        <f>TrnStat.asc!K75</f>
        <v/>
      </c>
      <c r="M23">
        <f>IF(ISNUMBER(K23),K23,CONCATENATE(LEFT(K23,2),RIGHT(K23,3)))</f>
        <v/>
      </c>
      <c r="N23">
        <f>VALUE(M23)</f>
        <v/>
      </c>
    </row>
    <row r="24">
      <c r="B24">
        <f>TrnStat.asc!B76</f>
        <v/>
      </c>
      <c r="C24">
        <f>TrnStat.asc!C76</f>
        <v/>
      </c>
      <c r="D24">
        <f>TrnStat.asc!D76</f>
        <v/>
      </c>
      <c r="E24">
        <f>TrnStat.asc!E76</f>
        <v/>
      </c>
      <c r="F24">
        <f>TrnStat.asc!F76</f>
        <v/>
      </c>
      <c r="G24">
        <f>TrnStat.asc!G76</f>
        <v/>
      </c>
      <c r="H24">
        <f>TrnStat.asc!H76</f>
        <v/>
      </c>
      <c r="I24">
        <f>TrnStat.asc!I76</f>
        <v/>
      </c>
      <c r="J24">
        <f>TrnStat.asc!J76</f>
        <v/>
      </c>
      <c r="K24">
        <f>TrnStat.asc!K76</f>
        <v/>
      </c>
      <c r="M24">
        <f>IF(ISNUMBER(K24),K24,CONCATENATE(LEFT(K24,2),RIGHT(K24,3)))</f>
        <v/>
      </c>
      <c r="N24">
        <f>VALUE(M24)</f>
        <v/>
      </c>
    </row>
    <row r="25">
      <c r="B25">
        <f>TrnStat.asc!B77</f>
        <v/>
      </c>
      <c r="C25">
        <f>TrnStat.asc!C77</f>
        <v/>
      </c>
      <c r="D25">
        <f>TrnStat.asc!D77</f>
        <v/>
      </c>
      <c r="E25">
        <f>TrnStat.asc!E77</f>
        <v/>
      </c>
      <c r="F25">
        <f>TrnStat.asc!F77</f>
        <v/>
      </c>
      <c r="G25">
        <f>TrnStat.asc!G77</f>
        <v/>
      </c>
      <c r="H25">
        <f>TrnStat.asc!H77</f>
        <v/>
      </c>
      <c r="I25">
        <f>TrnStat.asc!I77</f>
        <v/>
      </c>
      <c r="J25">
        <f>TrnStat.asc!J77</f>
        <v/>
      </c>
      <c r="K25">
        <f>TrnStat.asc!K77</f>
        <v/>
      </c>
      <c r="M25">
        <f>IF(ISNUMBER(K25),K25,CONCATENATE(LEFT(K25,2),RIGHT(K25,3)))</f>
        <v/>
      </c>
      <c r="N25">
        <f>VALUE(M25)</f>
        <v/>
      </c>
    </row>
    <row r="26">
      <c r="B26">
        <f>TrnStat.asc!B78</f>
        <v/>
      </c>
      <c r="C26">
        <f>TrnStat.asc!C78</f>
        <v/>
      </c>
      <c r="D26">
        <f>TrnStat.asc!D78</f>
        <v/>
      </c>
      <c r="E26">
        <f>TrnStat.asc!E78</f>
        <v/>
      </c>
      <c r="F26">
        <f>TrnStat.asc!F78</f>
        <v/>
      </c>
      <c r="G26">
        <f>TrnStat.asc!G78</f>
        <v/>
      </c>
      <c r="H26">
        <f>TrnStat.asc!H78</f>
        <v/>
      </c>
      <c r="I26">
        <f>TrnStat.asc!I78</f>
        <v/>
      </c>
      <c r="J26">
        <f>TrnStat.asc!J78</f>
        <v/>
      </c>
      <c r="K26">
        <f>TrnStat.asc!K78</f>
        <v/>
      </c>
      <c r="M26">
        <f>IF(ISNUMBER(K26),K26,CONCATENATE(LEFT(K26,2),RIGHT(K26,3)))</f>
        <v/>
      </c>
      <c r="N26">
        <f>VALUE(M26)</f>
        <v/>
      </c>
    </row>
    <row r="27">
      <c r="B27">
        <f>TrnStat.asc!B79</f>
        <v/>
      </c>
      <c r="C27">
        <f>TrnStat.asc!C79</f>
        <v/>
      </c>
      <c r="D27">
        <f>TrnStat.asc!D79</f>
        <v/>
      </c>
      <c r="E27">
        <f>TrnStat.asc!E79</f>
        <v/>
      </c>
      <c r="F27">
        <f>TrnStat.asc!F79</f>
        <v/>
      </c>
      <c r="G27">
        <f>TrnStat.asc!G79</f>
        <v/>
      </c>
      <c r="H27">
        <f>TrnStat.asc!H79</f>
        <v/>
      </c>
      <c r="I27">
        <f>TrnStat.asc!I79</f>
        <v/>
      </c>
      <c r="J27">
        <f>TrnStat.asc!J79</f>
        <v/>
      </c>
      <c r="K27">
        <f>TrnStat.asc!K79</f>
        <v/>
      </c>
      <c r="M27">
        <f>IF(ISNUMBER(K27),K27,CONCATENATE(LEFT(K27,2),RIGHT(K27,3)))</f>
        <v/>
      </c>
      <c r="N27">
        <f>VALUE(M27)</f>
        <v/>
      </c>
    </row>
    <row r="28">
      <c r="B28">
        <f>TrnStat.asc!B80</f>
        <v/>
      </c>
      <c r="C28">
        <f>TrnStat.asc!C80</f>
        <v/>
      </c>
      <c r="D28">
        <f>TrnStat.asc!D80</f>
        <v/>
      </c>
      <c r="E28">
        <f>TrnStat.asc!E80</f>
        <v/>
      </c>
      <c r="F28">
        <f>TrnStat.asc!F80</f>
        <v/>
      </c>
      <c r="G28">
        <f>TrnStat.asc!G80</f>
        <v/>
      </c>
      <c r="H28">
        <f>TrnStat.asc!H80</f>
        <v/>
      </c>
      <c r="I28">
        <f>TrnStat.asc!I80</f>
        <v/>
      </c>
      <c r="J28">
        <f>TrnStat.asc!J80</f>
        <v/>
      </c>
      <c r="K28">
        <f>TrnStat.asc!K80</f>
        <v/>
      </c>
      <c r="M28">
        <f>IF(ISNUMBER(K28),K28,CONCATENATE(LEFT(K28,2),RIGHT(K28,3)))</f>
        <v/>
      </c>
      <c r="N28">
        <f>VALUE(M28)</f>
        <v/>
      </c>
    </row>
    <row r="29">
      <c r="B29">
        <f>TrnStat.asc!B81</f>
        <v/>
      </c>
      <c r="C29">
        <f>TrnStat.asc!C81</f>
        <v/>
      </c>
      <c r="D29">
        <f>TrnStat.asc!D81</f>
        <v/>
      </c>
      <c r="E29">
        <f>TrnStat.asc!E81</f>
        <v/>
      </c>
      <c r="F29">
        <f>TrnStat.asc!F81</f>
        <v/>
      </c>
      <c r="G29">
        <f>TrnStat.asc!G81</f>
        <v/>
      </c>
      <c r="H29">
        <f>TrnStat.asc!H81</f>
        <v/>
      </c>
      <c r="I29">
        <f>TrnStat.asc!I81</f>
        <v/>
      </c>
      <c r="J29">
        <f>TrnStat.asc!J81</f>
        <v/>
      </c>
      <c r="K29">
        <f>TrnStat.asc!K81</f>
        <v/>
      </c>
      <c r="M29">
        <f>IF(ISNUMBER(K29),K29,CONCATENATE(LEFT(K29,2),RIGHT(K29,3)))</f>
        <v/>
      </c>
      <c r="N29">
        <f>VALUE(M29)</f>
        <v/>
      </c>
    </row>
    <row r="30">
      <c r="B30">
        <f>TrnStat.asc!B82</f>
        <v/>
      </c>
      <c r="C30">
        <f>TrnStat.asc!C82</f>
        <v/>
      </c>
      <c r="D30">
        <f>TrnStat.asc!D82</f>
        <v/>
      </c>
      <c r="E30">
        <f>TrnStat.asc!E82</f>
        <v/>
      </c>
      <c r="F30">
        <f>TrnStat.asc!F82</f>
        <v/>
      </c>
      <c r="G30">
        <f>TrnStat.asc!G82</f>
        <v/>
      </c>
      <c r="H30">
        <f>TrnStat.asc!H82</f>
        <v/>
      </c>
      <c r="I30">
        <f>TrnStat.asc!I82</f>
        <v/>
      </c>
      <c r="J30">
        <f>TrnStat.asc!J82</f>
        <v/>
      </c>
      <c r="K30">
        <f>TrnStat.asc!K82</f>
        <v/>
      </c>
      <c r="M30">
        <f>IF(ISNUMBER(K30),K30,CONCATENATE(LEFT(K30,2),RIGHT(K30,3)))</f>
        <v/>
      </c>
      <c r="N30">
        <f>VALUE(M30)</f>
        <v/>
      </c>
    </row>
    <row r="31">
      <c r="B31">
        <f>TrnStat.asc!B83</f>
        <v/>
      </c>
      <c r="C31">
        <f>TrnStat.asc!C83</f>
        <v/>
      </c>
      <c r="D31">
        <f>TrnStat.asc!D83</f>
        <v/>
      </c>
      <c r="E31">
        <f>TrnStat.asc!E83</f>
        <v/>
      </c>
      <c r="F31">
        <f>TrnStat.asc!F83</f>
        <v/>
      </c>
      <c r="G31">
        <f>TrnStat.asc!G83</f>
        <v/>
      </c>
      <c r="H31">
        <f>TrnStat.asc!H83</f>
        <v/>
      </c>
      <c r="I31">
        <f>TrnStat.asc!I83</f>
        <v/>
      </c>
      <c r="J31">
        <f>TrnStat.asc!J83</f>
        <v/>
      </c>
      <c r="K31">
        <f>TrnStat.asc!K83</f>
        <v/>
      </c>
      <c r="M31">
        <f>IF(ISNUMBER(K31),K31,CONCATENATE(LEFT(K31,2),RIGHT(K31,3)))</f>
        <v/>
      </c>
      <c r="N31">
        <f>VALUE(M31)</f>
        <v/>
      </c>
    </row>
    <row r="32">
      <c r="B32">
        <f>TrnStat.asc!B84</f>
        <v/>
      </c>
      <c r="C32">
        <f>TrnStat.asc!C84</f>
        <v/>
      </c>
      <c r="D32">
        <f>TrnStat.asc!D84</f>
        <v/>
      </c>
      <c r="E32">
        <f>TrnStat.asc!E84</f>
        <v/>
      </c>
      <c r="F32">
        <f>TrnStat.asc!F84</f>
        <v/>
      </c>
      <c r="G32">
        <f>TrnStat.asc!G84</f>
        <v/>
      </c>
      <c r="H32">
        <f>TrnStat.asc!H84</f>
        <v/>
      </c>
      <c r="I32">
        <f>TrnStat.asc!I84</f>
        <v/>
      </c>
      <c r="J32">
        <f>TrnStat.asc!J84</f>
        <v/>
      </c>
      <c r="K32">
        <f>TrnStat.asc!K84</f>
        <v/>
      </c>
      <c r="M32">
        <f>IF(ISNUMBER(K32),K32,CONCATENATE(LEFT(K32,2),RIGHT(K32,3)))</f>
        <v/>
      </c>
      <c r="N32">
        <f>VALUE(M32)</f>
        <v/>
      </c>
    </row>
    <row r="33">
      <c r="B33">
        <f>TrnStat.asc!B85</f>
        <v/>
      </c>
      <c r="C33">
        <f>TrnStat.asc!C85</f>
        <v/>
      </c>
      <c r="D33">
        <f>TrnStat.asc!D85</f>
        <v/>
      </c>
      <c r="E33">
        <f>TrnStat.asc!E85</f>
        <v/>
      </c>
      <c r="F33">
        <f>TrnStat.asc!F85</f>
        <v/>
      </c>
      <c r="G33">
        <f>TrnStat.asc!G85</f>
        <v/>
      </c>
      <c r="H33">
        <f>TrnStat.asc!H85</f>
        <v/>
      </c>
      <c r="I33">
        <f>TrnStat.asc!I85</f>
        <v/>
      </c>
      <c r="J33">
        <f>TrnStat.asc!J85</f>
        <v/>
      </c>
      <c r="K33">
        <f>TrnStat.asc!K85</f>
        <v/>
      </c>
      <c r="M33">
        <f>IF(ISNUMBER(K33),K33,CONCATENATE(LEFT(K33,2),RIGHT(K33,3)))</f>
        <v/>
      </c>
      <c r="N33">
        <f>VALUE(M33)</f>
        <v/>
      </c>
    </row>
    <row r="34">
      <c r="B34">
        <f>TrnStat.asc!B86</f>
        <v/>
      </c>
      <c r="C34">
        <f>TrnStat.asc!C86</f>
        <v/>
      </c>
      <c r="D34">
        <f>TrnStat.asc!D86</f>
        <v/>
      </c>
      <c r="E34">
        <f>TrnStat.asc!E86</f>
        <v/>
      </c>
      <c r="F34">
        <f>TrnStat.asc!F86</f>
        <v/>
      </c>
      <c r="G34">
        <f>TrnStat.asc!G86</f>
        <v/>
      </c>
      <c r="H34">
        <f>TrnStat.asc!H86</f>
        <v/>
      </c>
      <c r="I34">
        <f>TrnStat.asc!I86</f>
        <v/>
      </c>
      <c r="J34">
        <f>TrnStat.asc!J86</f>
        <v/>
      </c>
      <c r="K34">
        <f>TrnStat.asc!K86</f>
        <v/>
      </c>
      <c r="M34">
        <f>IF(ISNUMBER(K34),K34,CONCATENATE(LEFT(K34,2),RIGHT(K34,3)))</f>
        <v/>
      </c>
      <c r="N34">
        <f>VALUE(M34)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3" sqref="A13"/>
    </sheetView>
  </sheetViews>
  <sheetFormatPr baseColWidth="8" defaultRowHeight="14.25"/>
  <cols>
    <col width="6.265625" bestFit="1" customWidth="1" style="126" min="1" max="1"/>
  </cols>
  <sheetData>
    <row r="1">
      <c r="A1" t="inlineStr">
        <is>
          <t>Rte ID</t>
        </is>
      </c>
      <c r="B1" t="inlineStr">
        <is>
          <t>Route Name</t>
        </is>
      </c>
    </row>
    <row r="2">
      <c r="A2" s="26" t="n">
        <v>3</v>
      </c>
      <c r="B2" t="inlineStr">
        <is>
          <t>Rte 3 West End (Bellevue) IB</t>
        </is>
      </c>
    </row>
    <row r="3">
      <c r="A3" s="26" t="n">
        <v>4</v>
      </c>
      <c r="B3" t="inlineStr">
        <is>
          <t>Rte 4 Shelby IB</t>
        </is>
      </c>
    </row>
    <row r="4">
      <c r="A4" s="26" t="n">
        <v>6</v>
      </c>
      <c r="B4" t="inlineStr">
        <is>
          <t>Rte 6 Lebanon Rd IB</t>
        </is>
      </c>
    </row>
    <row r="5">
      <c r="A5" s="26" t="n">
        <v>7</v>
      </c>
      <c r="B5" t="inlineStr">
        <is>
          <t>Rte 7 Hillsboro IB</t>
        </is>
      </c>
    </row>
    <row r="6">
      <c r="A6" s="26" t="n">
        <v>8</v>
      </c>
      <c r="B6" t="inlineStr">
        <is>
          <t>Rte 8 8TH AVENUE SOUTH iB</t>
        </is>
      </c>
    </row>
    <row r="7">
      <c r="A7" s="26" t="n">
        <v>9</v>
      </c>
      <c r="B7" t="inlineStr">
        <is>
          <t>Rte 9 MetroCenter IB</t>
        </is>
      </c>
    </row>
    <row r="8">
      <c r="A8" s="26" t="n">
        <v>14</v>
      </c>
      <c r="B8" t="inlineStr">
        <is>
          <t>Rte 14 WHITES CREEK iB</t>
        </is>
      </c>
    </row>
    <row r="9">
      <c r="A9" s="26" t="n">
        <v>17</v>
      </c>
      <c r="B9" t="inlineStr">
        <is>
          <t>Rte 17 12TH AVENUE SOUTH iB</t>
        </is>
      </c>
    </row>
    <row r="10">
      <c r="A10" s="26" t="n">
        <v>18</v>
      </c>
      <c r="B10" t="inlineStr">
        <is>
          <t>Rte 18 Airport Exp IB</t>
        </is>
      </c>
    </row>
    <row r="11">
      <c r="A11" s="26" t="n">
        <v>19</v>
      </c>
      <c r="B11" t="inlineStr">
        <is>
          <t>Rte 19 Herman IB</t>
        </is>
      </c>
    </row>
    <row r="12">
      <c r="A12" s="26" t="n">
        <v>22</v>
      </c>
      <c r="B12" t="inlineStr">
        <is>
          <t>Rte 22 Bordeaux (Kings Ln) IB</t>
        </is>
      </c>
    </row>
    <row r="13">
      <c r="A13" s="26" t="n">
        <v>23</v>
      </c>
      <c r="B13" t="inlineStr">
        <is>
          <t>Rte 23 Dickerson Pike IB</t>
        </is>
      </c>
    </row>
    <row r="14">
      <c r="A14" s="26" t="n">
        <v>28</v>
      </c>
      <c r="B14" t="inlineStr">
        <is>
          <t>Rte 28 Meridian IB</t>
        </is>
      </c>
    </row>
    <row r="15">
      <c r="A15" s="26" t="n">
        <v>29</v>
      </c>
      <c r="B15" t="inlineStr">
        <is>
          <t>Rte 29 Jefferson IB</t>
        </is>
      </c>
    </row>
    <row r="16">
      <c r="A16" s="26" t="n">
        <v>34</v>
      </c>
      <c r="B16" t="inlineStr">
        <is>
          <t>Rte 34 Opry Mills IB</t>
        </is>
      </c>
    </row>
    <row r="17">
      <c r="A17" s="26" t="n">
        <v>41</v>
      </c>
      <c r="B17" t="inlineStr">
        <is>
          <t>Rte 41 Golden Valley IB AM</t>
        </is>
      </c>
    </row>
    <row r="18">
      <c r="A18" s="26" t="n">
        <v>42</v>
      </c>
      <c r="B18" t="inlineStr">
        <is>
          <t>Rte 42 St. Cecilia/Cumberland IB</t>
        </is>
      </c>
    </row>
    <row r="19">
      <c r="A19" s="26" t="n">
        <v>50</v>
      </c>
      <c r="B19" t="inlineStr">
        <is>
          <t>Rte 50 CHARLOTTE PIKE iB</t>
        </is>
      </c>
    </row>
    <row r="20">
      <c r="A20" s="26" t="n">
        <v>52</v>
      </c>
      <c r="B20" t="inlineStr">
        <is>
          <t>Rte 52 NOLENSVILLE PIKE (Hick) iB</t>
        </is>
      </c>
    </row>
    <row r="21">
      <c r="A21" s="26" t="n">
        <v>55</v>
      </c>
      <c r="B21" t="inlineStr">
        <is>
          <t>Rte 55 MURFREESBORO PIKE iB</t>
        </is>
      </c>
    </row>
    <row r="22">
      <c r="A22" s="26" t="n">
        <v>56</v>
      </c>
      <c r="B22" t="inlineStr">
        <is>
          <t>Rte 56 Gallatin Rd BRTmix IB</t>
        </is>
      </c>
    </row>
    <row r="23">
      <c r="A23" s="26" t="n">
        <v>64</v>
      </c>
      <c r="B23" t="inlineStr">
        <is>
          <t>Rte 64 STAR DOWNTOWN SHUTTLE</t>
        </is>
      </c>
    </row>
    <row r="24">
      <c r="A24" s="26" t="n">
        <v>70</v>
      </c>
      <c r="B24" t="inlineStr">
        <is>
          <t>Rte 70 Belevue Conn IB</t>
        </is>
      </c>
    </row>
    <row r="25">
      <c r="A25" s="26" t="n">
        <v>75</v>
      </c>
      <c r="B25" t="inlineStr">
        <is>
          <t>Rte 75 Midtown CCW Loop</t>
        </is>
      </c>
    </row>
    <row r="26">
      <c r="A26" s="26" t="n">
        <v>76</v>
      </c>
      <c r="B26" t="inlineStr">
        <is>
          <t>Rte 76 Madison Conn</t>
        </is>
      </c>
    </row>
    <row r="27">
      <c r="A27" s="26" t="n">
        <v>77</v>
      </c>
      <c r="B27" t="inlineStr">
        <is>
          <t>Rte 77 THOMPSON - WEDGEWOOD ccw</t>
        </is>
      </c>
    </row>
    <row r="28">
      <c r="A28" s="26" t="n">
        <v>79</v>
      </c>
      <c r="B28" t="inlineStr">
        <is>
          <t>Rte 79 Skyline iB</t>
        </is>
      </c>
    </row>
    <row r="29">
      <c r="A29" s="26" t="n">
        <v>84</v>
      </c>
      <c r="B29" t="inlineStr">
        <is>
          <t>Rte 84 Murfreesboro Express IB</t>
        </is>
      </c>
    </row>
    <row r="30">
      <c r="A30" s="26" t="n">
        <v>86</v>
      </c>
      <c r="B30" t="inlineStr">
        <is>
          <t>Rte 86 Smyrna Lavergne Exp IB</t>
        </is>
      </c>
    </row>
    <row r="31">
      <c r="A31" s="26" t="n">
        <v>87</v>
      </c>
      <c r="B31" t="inlineStr">
        <is>
          <t>Rte 87 Gallatin Comm Bus IB</t>
        </is>
      </c>
    </row>
    <row r="32">
      <c r="A32" s="26" t="n">
        <v>89</v>
      </c>
      <c r="B32" t="inlineStr">
        <is>
          <t>Rte 89 Spgfield/Joelton Exp OB</t>
        </is>
      </c>
    </row>
    <row r="33">
      <c r="A33" s="26" t="n">
        <v>90</v>
      </c>
      <c r="B33" t="inlineStr">
        <is>
          <t>Rte 90 Music City Star iB</t>
        </is>
      </c>
    </row>
    <row r="34">
      <c r="A34" s="26" t="n">
        <v>93</v>
      </c>
      <c r="B34" t="inlineStr">
        <is>
          <t>Rte 93 MCS West End Shuttle</t>
        </is>
      </c>
    </row>
    <row r="35">
      <c r="A35" s="26" t="n">
        <v>95</v>
      </c>
      <c r="B35" t="inlineStr">
        <is>
          <t>Rte 95 Spring Hill Exp IB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selection activeCell="E22" sqref="E22"/>
    </sheetView>
  </sheetViews>
  <sheetFormatPr baseColWidth="8" defaultRowHeight="14.25"/>
  <cols>
    <col width="35.86328125" bestFit="1" customWidth="1" style="126" min="2" max="4"/>
    <col width="10.59765625" bestFit="1" customWidth="1" style="112" min="9" max="9"/>
    <col width="33" bestFit="1" customWidth="1" style="112" min="10" max="10"/>
    <col width="9.1328125" customWidth="1" style="112" min="11" max="13"/>
  </cols>
  <sheetData>
    <row r="1">
      <c r="A1" s="4" t="inlineStr">
        <is>
          <t>Route Id</t>
        </is>
      </c>
      <c r="B1" s="4" t="inlineStr">
        <is>
          <t>Route Name (RAW)</t>
        </is>
      </c>
      <c r="C1" s="4" t="inlineStr">
        <is>
          <t>Route Name (Temp)</t>
        </is>
      </c>
      <c r="D1" s="4" t="inlineStr">
        <is>
          <t>Route Name</t>
        </is>
      </c>
      <c r="E1" s="22" t="inlineStr">
        <is>
          <t>Mode</t>
        </is>
      </c>
      <c r="F1" s="22" t="inlineStr">
        <is>
          <t>Track</t>
        </is>
      </c>
      <c r="I1" s="112" t="inlineStr">
        <is>
          <t>RouteNum</t>
        </is>
      </c>
      <c r="J1" s="112" t="inlineStr">
        <is>
          <t>Route_Name</t>
        </is>
      </c>
      <c r="K1" s="112" t="inlineStr">
        <is>
          <t>modes</t>
        </is>
      </c>
      <c r="L1" s="112" t="inlineStr">
        <is>
          <t>Mode</t>
        </is>
      </c>
      <c r="M1" s="112" t="inlineStr">
        <is>
          <t>Track</t>
        </is>
      </c>
    </row>
    <row r="2">
      <c r="A2" s="112" t="n">
        <v>3</v>
      </c>
      <c r="B2" s="112">
        <f>VLOOKUP(A2,Obs_Ridership!$B:$D,3,FALSE)</f>
        <v/>
      </c>
      <c r="C2">
        <f>VLOOKUP(A2,$I:$L,2,FALSE)</f>
        <v/>
      </c>
      <c r="D2">
        <f>IF(ISNUMBER(SEARCH("IB",B2)),LEFT(B2,LEN(B2)-3),IF(ISNUMBER(SEARCH("OB",B2)),LEFT(B2,LEN(B2)-3),B2))</f>
        <v/>
      </c>
      <c r="E2">
        <f>VLOOKUP($B2,$J:$L,3,FALSE)</f>
        <v/>
      </c>
      <c r="F2">
        <f>VLOOKUP($B2,$J:$M,4,FALSE)</f>
        <v/>
      </c>
      <c r="I2" s="112" t="n">
        <v>3</v>
      </c>
      <c r="J2" s="112" t="inlineStr">
        <is>
          <t>Rte 3 West End (White Bridge) IB</t>
        </is>
      </c>
      <c r="K2" s="112" t="n">
        <v>4</v>
      </c>
      <c r="L2" s="112" t="n">
        <v>1</v>
      </c>
      <c r="M2" s="112" t="n">
        <v>55</v>
      </c>
    </row>
    <row r="3">
      <c r="A3" s="112" t="n">
        <v>4</v>
      </c>
      <c r="B3" s="112">
        <f>VLOOKUP(A3,Obs_Ridership!$B:$D,3,FALSE)</f>
        <v/>
      </c>
      <c r="C3">
        <f>VLOOKUP(A3,$I:$L,2,FALSE)</f>
        <v/>
      </c>
      <c r="D3">
        <f>IF(ISNUMBER(SEARCH("IB",B3)),LEFT(B3,LEN(B3)-3),IF(ISNUMBER(SEARCH("OB",B3)),LEFT(B3,LEN(B3)-3),B3))</f>
        <v/>
      </c>
      <c r="E3">
        <f>VLOOKUP($B3,$J:$L,3,FALSE)</f>
        <v/>
      </c>
      <c r="F3">
        <f>VLOOKUP($B3,$J:$M,4,FALSE)</f>
        <v/>
      </c>
      <c r="I3" s="112" t="n">
        <v>3</v>
      </c>
      <c r="J3" s="112" t="inlineStr">
        <is>
          <t>Rte 3 West End (Bellevue) IB</t>
        </is>
      </c>
      <c r="K3" s="112" t="n">
        <v>4</v>
      </c>
      <c r="L3" s="112" t="n">
        <v>1</v>
      </c>
      <c r="M3" s="112" t="n">
        <v>54</v>
      </c>
    </row>
    <row r="4">
      <c r="A4" s="112" t="n">
        <v>6</v>
      </c>
      <c r="B4" s="112">
        <f>VLOOKUP(A4,Obs_Ridership!$B:$D,3,FALSE)</f>
        <v/>
      </c>
      <c r="C4">
        <f>VLOOKUP(A4,$I:$L,2,FALSE)</f>
        <v/>
      </c>
      <c r="D4">
        <f>IF(ISNUMBER(SEARCH("IB",B4)),LEFT(B4,LEN(B4)-3),IF(ISNUMBER(SEARCH("OB",B4)),LEFT(B4,LEN(B4)-3),B4))</f>
        <v/>
      </c>
      <c r="E4">
        <f>VLOOKUP($B4,$J:$L,3,FALSE)</f>
        <v/>
      </c>
      <c r="F4">
        <f>VLOOKUP($B4,$J:$M,4,FALSE)</f>
        <v/>
      </c>
      <c r="I4" s="112" t="n">
        <v>3</v>
      </c>
      <c r="J4" s="112" t="inlineStr">
        <is>
          <t>Rte 3 West End (Bellevue) oB</t>
        </is>
      </c>
      <c r="K4" s="112" t="n">
        <v>4</v>
      </c>
      <c r="L4" s="112" t="n">
        <v>1</v>
      </c>
      <c r="M4" s="112" t="n">
        <v>54</v>
      </c>
    </row>
    <row r="5">
      <c r="A5" s="112" t="n">
        <v>7</v>
      </c>
      <c r="B5" s="112">
        <f>VLOOKUP(A5,Obs_Ridership!$B:$D,3,FALSE)</f>
        <v/>
      </c>
      <c r="C5">
        <f>VLOOKUP(A5,$I:$L,2,FALSE)</f>
        <v/>
      </c>
      <c r="D5">
        <f>IF(ISNUMBER(SEARCH("IB",B5)),LEFT(B5,LEN(B5)-3),IF(ISNUMBER(SEARCH("OB",B5)),LEFT(B5,LEN(B5)-3),B5))</f>
        <v/>
      </c>
      <c r="E5">
        <f>VLOOKUP($B5,$J:$L,3,FALSE)</f>
        <v/>
      </c>
      <c r="F5">
        <f>VLOOKUP($B5,$J:$M,4,FALSE)</f>
        <v/>
      </c>
      <c r="I5" s="112" t="n">
        <v>3</v>
      </c>
      <c r="J5" s="112" t="inlineStr">
        <is>
          <t>Rte 3 West End (White Bridge) OB</t>
        </is>
      </c>
      <c r="K5" s="112" t="n">
        <v>4</v>
      </c>
      <c r="L5" s="112" t="n">
        <v>1</v>
      </c>
      <c r="M5" s="112" t="n">
        <v>55</v>
      </c>
    </row>
    <row r="6">
      <c r="A6" s="112" t="n">
        <v>8</v>
      </c>
      <c r="B6" s="112">
        <f>VLOOKUP(A6,Obs_Ridership!$B:$D,3,FALSE)</f>
        <v/>
      </c>
      <c r="C6">
        <f>VLOOKUP(A6,$I:$L,2,FALSE)</f>
        <v/>
      </c>
      <c r="D6">
        <f>IF(ISNUMBER(SEARCH("IB",B6)),LEFT(B6,LEN(B6)-3),IF(ISNUMBER(SEARCH("OB",B6)),LEFT(B6,LEN(B6)-3),B6))</f>
        <v/>
      </c>
      <c r="E6">
        <f>VLOOKUP($B6,$J:$L,3,FALSE)</f>
        <v/>
      </c>
      <c r="F6">
        <f>VLOOKUP($B6,$J:$M,4,FALSE)</f>
        <v/>
      </c>
      <c r="I6" s="112" t="n">
        <v>4</v>
      </c>
      <c r="J6" s="112" t="inlineStr">
        <is>
          <t>Rte 4 Shelby IB</t>
        </is>
      </c>
      <c r="K6" s="112" t="n">
        <v>4</v>
      </c>
      <c r="L6" s="112" t="n">
        <v>1</v>
      </c>
      <c r="M6" s="112" t="n">
        <v>57</v>
      </c>
    </row>
    <row r="7">
      <c r="A7" s="112" t="n">
        <v>9</v>
      </c>
      <c r="B7" s="112">
        <f>VLOOKUP(A7,Obs_Ridership!$B:$D,3,FALSE)</f>
        <v/>
      </c>
      <c r="C7">
        <f>VLOOKUP(A7,$I:$L,2,FALSE)</f>
        <v/>
      </c>
      <c r="D7">
        <f>IF(ISNUMBER(SEARCH("IB",B7)),LEFT(B7,LEN(B7)-3),IF(ISNUMBER(SEARCH("OB",B7)),LEFT(B7,LEN(B7)-3),B7))</f>
        <v/>
      </c>
      <c r="E7">
        <f>VLOOKUP($B7,$J:$L,3,FALSE)</f>
        <v/>
      </c>
      <c r="F7">
        <f>VLOOKUP($B7,$J:$M,4,FALSE)</f>
        <v/>
      </c>
      <c r="I7" s="112" t="n">
        <v>4</v>
      </c>
      <c r="J7" s="112" t="inlineStr">
        <is>
          <t>Rte 4 Shelby OB</t>
        </is>
      </c>
      <c r="K7" s="112" t="n">
        <v>4</v>
      </c>
      <c r="L7" s="112" t="n">
        <v>1</v>
      </c>
      <c r="M7" s="112" t="n">
        <v>57</v>
      </c>
    </row>
    <row r="8">
      <c r="A8" s="112" t="n">
        <v>14</v>
      </c>
      <c r="B8" s="112">
        <f>VLOOKUP(A8,Obs_Ridership!$B:$D,3,FALSE)</f>
        <v/>
      </c>
      <c r="C8">
        <f>VLOOKUP(A8,$I:$L,2,FALSE)</f>
        <v/>
      </c>
      <c r="D8">
        <f>IF(ISNUMBER(SEARCH("IB",B8)),LEFT(B8,LEN(B8)-3),IF(ISNUMBER(SEARCH("OB",B8)),LEFT(B8,LEN(B8)-3),B8))</f>
        <v/>
      </c>
      <c r="E8">
        <f>VLOOKUP($B8,$J:$L,3,FALSE)</f>
        <v/>
      </c>
      <c r="F8">
        <f>VLOOKUP($B8,$J:$M,4,FALSE)</f>
        <v/>
      </c>
      <c r="I8" s="112" t="n">
        <v>6</v>
      </c>
      <c r="J8" s="112" t="inlineStr">
        <is>
          <t>Rte 6 Lebanon Rd OB</t>
        </is>
      </c>
      <c r="K8" s="112" t="n">
        <v>4</v>
      </c>
      <c r="L8" s="112" t="n">
        <v>1</v>
      </c>
      <c r="M8" s="112" t="n">
        <v>67</v>
      </c>
    </row>
    <row r="9">
      <c r="A9" s="112" t="n">
        <v>17</v>
      </c>
      <c r="B9" s="112">
        <f>VLOOKUP(A9,Obs_Ridership!$B:$D,3,FALSE)</f>
        <v/>
      </c>
      <c r="C9">
        <f>VLOOKUP(A9,$I:$L,2,FALSE)</f>
        <v/>
      </c>
      <c r="D9">
        <f>IF(ISNUMBER(SEARCH("IB",B9)),LEFT(B9,LEN(B9)-3),IF(ISNUMBER(SEARCH("OB",B9)),LEFT(B9,LEN(B9)-3),B9))</f>
        <v/>
      </c>
      <c r="E9">
        <f>VLOOKUP($B9,$J:$L,3,FALSE)</f>
        <v/>
      </c>
      <c r="F9">
        <f>VLOOKUP($B9,$J:$M,4,FALSE)</f>
        <v/>
      </c>
      <c r="I9" s="112" t="n">
        <v>6</v>
      </c>
      <c r="J9" s="112" t="inlineStr">
        <is>
          <t>Rte 6 Lebanon Rd IB</t>
        </is>
      </c>
      <c r="K9" s="112" t="n">
        <v>4</v>
      </c>
      <c r="L9" s="112" t="n">
        <v>1</v>
      </c>
      <c r="M9" s="112" t="n">
        <v>67</v>
      </c>
    </row>
    <row r="10">
      <c r="A10" s="112" t="n">
        <v>18</v>
      </c>
      <c r="B10" s="112">
        <f>VLOOKUP(A10,Obs_Ridership!$B:$D,3,FALSE)</f>
        <v/>
      </c>
      <c r="C10">
        <f>VLOOKUP(A10,$I:$L,2,FALSE)</f>
        <v/>
      </c>
      <c r="D10">
        <f>IF(ISNUMBER(SEARCH("IB",B10)),LEFT(B10,LEN(B10)-3),IF(ISNUMBER(SEARCH("OB",B10)),LEFT(B10,LEN(B10)-3),B10))</f>
        <v/>
      </c>
      <c r="E10">
        <f>VLOOKUP($B10,$J:$L,3,FALSE)</f>
        <v/>
      </c>
      <c r="F10">
        <f>VLOOKUP($B10,$J:$M,4,FALSE)</f>
        <v/>
      </c>
      <c r="I10" s="112" t="n">
        <v>7</v>
      </c>
      <c r="J10" s="112" t="inlineStr">
        <is>
          <t>Rte 7 Hillsboro IB</t>
        </is>
      </c>
      <c r="K10" s="112" t="n">
        <v>4</v>
      </c>
      <c r="L10" s="112" t="n">
        <v>1</v>
      </c>
      <c r="M10" s="112" t="n">
        <v>68</v>
      </c>
    </row>
    <row r="11">
      <c r="A11" s="112" t="n">
        <v>19</v>
      </c>
      <c r="B11" s="112">
        <f>VLOOKUP(A11,Obs_Ridership!$B:$D,3,FALSE)</f>
        <v/>
      </c>
      <c r="C11">
        <f>VLOOKUP(A11,$I:$L,2,FALSE)</f>
        <v/>
      </c>
      <c r="D11">
        <f>IF(ISNUMBER(SEARCH("IB",B11)),LEFT(B11,LEN(B11)-3),IF(ISNUMBER(SEARCH("OB",B11)),LEFT(B11,LEN(B11)-3),B11))</f>
        <v/>
      </c>
      <c r="E11">
        <f>VLOOKUP($B11,$J:$L,3,FALSE)</f>
        <v/>
      </c>
      <c r="F11">
        <f>VLOOKUP($B11,$J:$M,4,FALSE)</f>
        <v/>
      </c>
      <c r="I11" s="112" t="n">
        <v>7</v>
      </c>
      <c r="J11" s="112" t="inlineStr">
        <is>
          <t>Rte 7 Hillsboro OB</t>
        </is>
      </c>
      <c r="K11" s="112" t="n">
        <v>4</v>
      </c>
      <c r="L11" s="112" t="n">
        <v>1</v>
      </c>
      <c r="M11" s="112" t="n">
        <v>68</v>
      </c>
    </row>
    <row r="12">
      <c r="A12" s="112" t="n">
        <v>22</v>
      </c>
      <c r="B12" s="112">
        <f>VLOOKUP(A12,Obs_Ridership!$B:$D,3,FALSE)</f>
        <v/>
      </c>
      <c r="C12">
        <f>VLOOKUP(A12,$I:$L,2,FALSE)</f>
        <v/>
      </c>
      <c r="D12">
        <f>IF(ISNUMBER(SEARCH("IB",B12)),LEFT(B12,LEN(B12)-3),IF(ISNUMBER(SEARCH("OB",B12)),LEFT(B12,LEN(B12)-3),B12))</f>
        <v/>
      </c>
      <c r="E12">
        <f>VLOOKUP($B12,$J:$L,3,FALSE)</f>
        <v/>
      </c>
      <c r="F12">
        <f>VLOOKUP($B12,$J:$M,4,FALSE)</f>
        <v/>
      </c>
      <c r="I12" s="112" t="n">
        <v>8</v>
      </c>
      <c r="J12" s="112" t="inlineStr">
        <is>
          <t>Rte 8 8TH AVENUE SOUTH iB</t>
        </is>
      </c>
      <c r="K12" s="112" t="n">
        <v>4</v>
      </c>
      <c r="L12" s="112" t="n">
        <v>1</v>
      </c>
      <c r="M12" s="112" t="n">
        <v>73</v>
      </c>
    </row>
    <row r="13">
      <c r="A13" s="112" t="n">
        <v>23</v>
      </c>
      <c r="B13" s="112">
        <f>VLOOKUP(A13,Obs_Ridership!$B:$D,3,FALSE)</f>
        <v/>
      </c>
      <c r="C13">
        <f>VLOOKUP(A13,$I:$L,2,FALSE)</f>
        <v/>
      </c>
      <c r="D13">
        <f>IF(ISNUMBER(SEARCH("IB",B13)),LEFT(B13,LEN(B13)-3),IF(ISNUMBER(SEARCH("OB",B13)),LEFT(B13,LEN(B13)-3),B13))</f>
        <v/>
      </c>
      <c r="E13">
        <f>VLOOKUP($B13,$J:$L,3,FALSE)</f>
        <v/>
      </c>
      <c r="F13">
        <f>VLOOKUP($B13,$J:$M,4,FALSE)</f>
        <v/>
      </c>
      <c r="I13" s="112" t="n">
        <v>8</v>
      </c>
      <c r="J13" s="112" t="inlineStr">
        <is>
          <t>Rte 8 8TH AVENUE SOUTH oB</t>
        </is>
      </c>
      <c r="K13" s="112" t="n">
        <v>4</v>
      </c>
      <c r="L13" s="112" t="n">
        <v>1</v>
      </c>
      <c r="M13" s="112" t="n">
        <v>73</v>
      </c>
    </row>
    <row r="14">
      <c r="A14" s="112" t="n">
        <v>28</v>
      </c>
      <c r="B14" s="112">
        <f>VLOOKUP(A14,Obs_Ridership!$B:$D,3,FALSE)</f>
        <v/>
      </c>
      <c r="C14">
        <f>VLOOKUP(A14,$I:$L,2,FALSE)</f>
        <v/>
      </c>
      <c r="D14">
        <f>IF(ISNUMBER(SEARCH("IB",B14)),LEFT(B14,LEN(B14)-3),IF(ISNUMBER(SEARCH("OB",B14)),LEFT(B14,LEN(B14)-3),B14))</f>
        <v/>
      </c>
      <c r="E14">
        <f>VLOOKUP($B14,$J:$L,3,FALSE)</f>
        <v/>
      </c>
      <c r="F14">
        <f>VLOOKUP($B14,$J:$M,4,FALSE)</f>
        <v/>
      </c>
      <c r="I14" s="112" t="n">
        <v>9</v>
      </c>
      <c r="J14" s="112" t="inlineStr">
        <is>
          <t>Rte 9 MetroCenter OB</t>
        </is>
      </c>
      <c r="K14" s="112" t="n">
        <v>4</v>
      </c>
      <c r="L14" s="112" t="n">
        <v>1</v>
      </c>
      <c r="M14" s="112" t="n">
        <v>78</v>
      </c>
    </row>
    <row r="15">
      <c r="A15" s="112" t="n">
        <v>29</v>
      </c>
      <c r="B15" s="112">
        <f>VLOOKUP(A15,Obs_Ridership!$B:$D,3,FALSE)</f>
        <v/>
      </c>
      <c r="C15">
        <f>VLOOKUP(A15,$I:$L,2,FALSE)</f>
        <v/>
      </c>
      <c r="D15">
        <f>IF(ISNUMBER(SEARCH("IB",B15)),LEFT(B15,LEN(B15)-3),IF(ISNUMBER(SEARCH("OB",B15)),LEFT(B15,LEN(B15)-3),B15))</f>
        <v/>
      </c>
      <c r="E15">
        <f>VLOOKUP($B15,$J:$L,3,FALSE)</f>
        <v/>
      </c>
      <c r="F15">
        <f>VLOOKUP($B15,$J:$M,4,FALSE)</f>
        <v/>
      </c>
      <c r="I15" s="112" t="n">
        <v>9</v>
      </c>
      <c r="J15" s="112" t="inlineStr">
        <is>
          <t>Rte 9 MetroCenter IB</t>
        </is>
      </c>
      <c r="K15" s="112" t="n">
        <v>4</v>
      </c>
      <c r="L15" s="112" t="n">
        <v>1</v>
      </c>
      <c r="M15" s="112" t="n">
        <v>78</v>
      </c>
    </row>
    <row r="16">
      <c r="A16" s="112" t="n">
        <v>34</v>
      </c>
      <c r="B16" s="112">
        <f>VLOOKUP(A16,Obs_Ridership!$B:$D,3,FALSE)</f>
        <v/>
      </c>
      <c r="C16">
        <f>VLOOKUP(A16,$I:$L,2,FALSE)</f>
        <v/>
      </c>
      <c r="D16">
        <f>IF(ISNUMBER(SEARCH("IB",B16)),LEFT(B16,LEN(B16)-3),IF(ISNUMBER(SEARCH("OB",B16)),LEFT(B16,LEN(B16)-3),B16))</f>
        <v/>
      </c>
      <c r="E16">
        <f>VLOOKUP($B16,$J:$L,3,FALSE)</f>
        <v/>
      </c>
      <c r="F16">
        <f>VLOOKUP($B16,$J:$M,4,FALSE)</f>
        <v/>
      </c>
      <c r="I16" s="112" t="n">
        <v>14</v>
      </c>
      <c r="J16" s="112" t="inlineStr">
        <is>
          <t>Rte 14 WHITES CREEK oB</t>
        </is>
      </c>
      <c r="K16" s="112" t="n">
        <v>4</v>
      </c>
      <c r="L16" s="112" t="n">
        <v>1</v>
      </c>
      <c r="M16" s="112" t="n">
        <v>42</v>
      </c>
    </row>
    <row r="17">
      <c r="A17" s="112" t="n">
        <v>41</v>
      </c>
      <c r="B17" s="112">
        <f>VLOOKUP(A17,Obs_Ridership!$B:$D,3,FALSE)</f>
        <v/>
      </c>
      <c r="C17">
        <f>VLOOKUP(A17,$I:$L,2,FALSE)</f>
        <v/>
      </c>
      <c r="D17">
        <f>IF(ISNUMBER(SEARCH("IB",B17)),LEFT(B17,LEN(B17)-3),IF(ISNUMBER(SEARCH("OB",B17)),LEFT(B17,LEN(B17)-3),B17))</f>
        <v/>
      </c>
      <c r="E17">
        <f>VLOOKUP($B17,$J:$L,3,FALSE)</f>
        <v/>
      </c>
      <c r="F17">
        <f>VLOOKUP($B17,$J:$M,4,FALSE)</f>
        <v/>
      </c>
      <c r="I17" s="112" t="n">
        <v>14</v>
      </c>
      <c r="J17" s="112" t="inlineStr">
        <is>
          <t>Rte 14 WHITES CREEK iB</t>
        </is>
      </c>
      <c r="K17" s="112" t="n">
        <v>4</v>
      </c>
      <c r="L17" s="112" t="n">
        <v>1</v>
      </c>
      <c r="M17" s="112" t="n">
        <v>42</v>
      </c>
    </row>
    <row r="18">
      <c r="A18" s="112" t="n">
        <v>42</v>
      </c>
      <c r="B18" s="112">
        <f>VLOOKUP(A18,Obs_Ridership!$B:$D,3,FALSE)</f>
        <v/>
      </c>
      <c r="C18">
        <f>VLOOKUP(A18,$I:$L,2,FALSE)</f>
        <v/>
      </c>
      <c r="D18">
        <f>IF(ISNUMBER(SEARCH("IB",B18)),LEFT(B18,LEN(B18)-3),IF(ISNUMBER(SEARCH("OB",B18)),LEFT(B18,LEN(B18)-3),B18))</f>
        <v/>
      </c>
      <c r="E18">
        <f>VLOOKUP($B18,$J:$L,3,FALSE)</f>
        <v/>
      </c>
      <c r="F18">
        <f>VLOOKUP($B18,$J:$M,4,FALSE)</f>
        <v/>
      </c>
      <c r="I18" s="112" t="n">
        <v>17</v>
      </c>
      <c r="J18" s="112" t="inlineStr">
        <is>
          <t>Rte 17 12TH AVENUE SOUTH iB</t>
        </is>
      </c>
      <c r="K18" s="112" t="n">
        <v>4</v>
      </c>
      <c r="L18" s="112" t="n">
        <v>1</v>
      </c>
      <c r="M18" s="112" t="n">
        <v>43</v>
      </c>
    </row>
    <row r="19">
      <c r="A19" s="112" t="n">
        <v>50</v>
      </c>
      <c r="B19" s="112">
        <f>VLOOKUP(A19,Obs_Ridership!$B:$D,3,FALSE)</f>
        <v/>
      </c>
      <c r="C19">
        <f>VLOOKUP(A19,$I:$L,2,FALSE)</f>
        <v/>
      </c>
      <c r="D19">
        <f>IF(ISNUMBER(SEARCH("IB",B19)),LEFT(B19,LEN(B19)-3),IF(ISNUMBER(SEARCH("OB",B19)),LEFT(B19,LEN(B19)-3),B19))</f>
        <v/>
      </c>
      <c r="E19">
        <f>VLOOKUP($B19,$J:$L,3,FALSE)</f>
        <v/>
      </c>
      <c r="F19">
        <f>VLOOKUP($B19,$J:$M,4,FALSE)</f>
        <v/>
      </c>
      <c r="I19" s="112" t="n">
        <v>17</v>
      </c>
      <c r="J19" s="112" t="inlineStr">
        <is>
          <t>Rte 17 12TH AVENUE SOUTH oB</t>
        </is>
      </c>
      <c r="K19" s="112" t="n">
        <v>4</v>
      </c>
      <c r="L19" s="112" t="n">
        <v>1</v>
      </c>
      <c r="M19" s="112" t="n">
        <v>43</v>
      </c>
    </row>
    <row r="20">
      <c r="A20" s="112" t="n">
        <v>52</v>
      </c>
      <c r="B20" s="112">
        <f>VLOOKUP(A20,Obs_Ridership!$B:$D,3,FALSE)</f>
        <v/>
      </c>
      <c r="C20">
        <f>VLOOKUP(A20,$I:$L,2,FALSE)</f>
        <v/>
      </c>
      <c r="D20">
        <f>IF(ISNUMBER(SEARCH("IB",B20)),LEFT(B20,LEN(B20)-3),IF(ISNUMBER(SEARCH("OB",B20)),LEFT(B20,LEN(B20)-3),B20))</f>
        <v/>
      </c>
      <c r="E20">
        <f>VLOOKUP($B20,$J:$L,3,FALSE)</f>
        <v/>
      </c>
      <c r="F20">
        <f>VLOOKUP($B20,$J:$M,4,FALSE)</f>
        <v/>
      </c>
      <c r="I20" s="112" t="n">
        <v>18</v>
      </c>
      <c r="J20" s="112" t="inlineStr">
        <is>
          <t>Rte 18 Airport Exp OB</t>
        </is>
      </c>
      <c r="K20" s="112" t="n">
        <v>5</v>
      </c>
      <c r="L20" s="112" t="n">
        <v>6</v>
      </c>
      <c r="M20" s="112" t="n">
        <v>44</v>
      </c>
    </row>
    <row r="21">
      <c r="A21" s="112" t="n">
        <v>55</v>
      </c>
      <c r="B21" s="112">
        <f>VLOOKUP(A21,Obs_Ridership!$B:$D,3,FALSE)</f>
        <v/>
      </c>
      <c r="C21">
        <f>VLOOKUP(A21,$I:$L,2,FALSE)</f>
        <v/>
      </c>
      <c r="D21">
        <f>IF(ISNUMBER(SEARCH("IB",B21)),LEFT(B21,LEN(B21)-3),IF(ISNUMBER(SEARCH("OB",B21)),LEFT(B21,LEN(B21)-3),B21))</f>
        <v/>
      </c>
      <c r="E21">
        <f>VLOOKUP($B21,$J:$L,3,FALSE)</f>
        <v/>
      </c>
      <c r="F21">
        <f>VLOOKUP($B21,$J:$M,4,FALSE)</f>
        <v/>
      </c>
      <c r="I21" s="112" t="n">
        <v>18</v>
      </c>
      <c r="J21" s="112" t="inlineStr">
        <is>
          <t>Rte 18 Airport Local OB</t>
        </is>
      </c>
      <c r="K21" s="112" t="n">
        <v>4</v>
      </c>
      <c r="L21" s="112" t="n">
        <v>1</v>
      </c>
      <c r="M21" s="112" t="n">
        <v>45</v>
      </c>
    </row>
    <row r="22">
      <c r="A22" s="112" t="n">
        <v>56</v>
      </c>
      <c r="B22" s="112">
        <f>VLOOKUP(A22,Obs_Ridership!$B:$D,3,FALSE)</f>
        <v/>
      </c>
      <c r="C22">
        <f>VLOOKUP(A22,$I:$L,2,FALSE)</f>
        <v/>
      </c>
      <c r="D22">
        <f>IF(ISNUMBER(SEARCH("IB",B22)),LEFT(B22,LEN(B22)-3),IF(ISNUMBER(SEARCH("OB",B22)),LEFT(B22,LEN(B22)-3),B22))</f>
        <v/>
      </c>
      <c r="E22">
        <f>VLOOKUP($B22,$J:$L,3,FALSE)</f>
        <v/>
      </c>
      <c r="F22">
        <f>VLOOKUP($B22,$J:$M,4,FALSE)</f>
        <v/>
      </c>
      <c r="I22" s="112" t="n">
        <v>18</v>
      </c>
      <c r="J22" s="112" t="inlineStr">
        <is>
          <t>Rte 18 Airport Local IB</t>
        </is>
      </c>
      <c r="K22" s="112" t="n">
        <v>4</v>
      </c>
      <c r="L22" s="112" t="n">
        <v>1</v>
      </c>
      <c r="M22" s="112" t="n">
        <v>45</v>
      </c>
    </row>
    <row r="23">
      <c r="A23" s="112" t="n">
        <v>64</v>
      </c>
      <c r="B23" s="112">
        <f>VLOOKUP(A23,Obs_Ridership!$B:$D,3,FALSE)</f>
        <v/>
      </c>
      <c r="C23">
        <f>VLOOKUP(A23,$I:$L,2,FALSE)</f>
        <v/>
      </c>
      <c r="D23">
        <f>IF(ISNUMBER(SEARCH("IB",B23)),LEFT(B23,LEN(B23)-3),IF(ISNUMBER(SEARCH("OB",B23)),LEFT(B23,LEN(B23)-3),B23))</f>
        <v/>
      </c>
      <c r="E23">
        <f>VLOOKUP($B23,$J:$L,3,FALSE)</f>
        <v/>
      </c>
      <c r="F23">
        <f>VLOOKUP($B23,$J:$M,4,FALSE)</f>
        <v/>
      </c>
      <c r="I23" s="112" t="n">
        <v>18</v>
      </c>
      <c r="J23" s="112" t="inlineStr">
        <is>
          <t>Rte 18 Airport Exp IB</t>
        </is>
      </c>
      <c r="K23" s="112" t="n">
        <v>5</v>
      </c>
      <c r="L23" s="112" t="n">
        <v>6</v>
      </c>
      <c r="M23" s="112" t="n">
        <v>44</v>
      </c>
    </row>
    <row r="24">
      <c r="A24" s="112" t="n">
        <v>70</v>
      </c>
      <c r="B24" s="112">
        <f>VLOOKUP(A24,Obs_Ridership!$B:$D,3,FALSE)</f>
        <v/>
      </c>
      <c r="C24">
        <f>VLOOKUP(A24,$I:$L,2,FALSE)</f>
        <v/>
      </c>
      <c r="D24">
        <f>IF(ISNUMBER(SEARCH("IB",B24)),LEFT(B24,LEN(B24)-3),IF(ISNUMBER(SEARCH("OB",B24)),LEFT(B24,LEN(B24)-3),B24))</f>
        <v/>
      </c>
      <c r="E24">
        <f>VLOOKUP($B24,$J:$L,3,FALSE)</f>
        <v/>
      </c>
      <c r="F24">
        <f>VLOOKUP($B24,$J:$M,4,FALSE)</f>
        <v/>
      </c>
      <c r="I24" s="112" t="n">
        <v>19</v>
      </c>
      <c r="J24" s="112" t="inlineStr">
        <is>
          <t>Rte 19 Herman IB</t>
        </is>
      </c>
      <c r="K24" s="112" t="n">
        <v>4</v>
      </c>
      <c r="L24" s="112" t="n">
        <v>1</v>
      </c>
      <c r="M24" s="112" t="n">
        <v>46</v>
      </c>
    </row>
    <row r="25">
      <c r="A25" s="112" t="n">
        <v>75</v>
      </c>
      <c r="B25" s="112">
        <f>VLOOKUP(A25,Obs_Ridership!$B:$D,3,FALSE)</f>
        <v/>
      </c>
      <c r="C25">
        <f>VLOOKUP(A25,$I:$L,2,FALSE)</f>
        <v/>
      </c>
      <c r="D25">
        <f>IF(ISNUMBER(SEARCH("IB",B25)),LEFT(B25,LEN(B25)-3),IF(ISNUMBER(SEARCH("OB",B25)),LEFT(B25,LEN(B25)-3),B25))</f>
        <v/>
      </c>
      <c r="E25">
        <f>VLOOKUP($B25,$J:$L,3,FALSE)</f>
        <v/>
      </c>
      <c r="F25">
        <f>VLOOKUP($B25,$J:$M,4,FALSE)</f>
        <v/>
      </c>
      <c r="I25" s="112" t="n">
        <v>19</v>
      </c>
      <c r="J25" s="112" t="inlineStr">
        <is>
          <t>Rte 19 Herman OB</t>
        </is>
      </c>
      <c r="K25" s="112" t="n">
        <v>4</v>
      </c>
      <c r="L25" s="112" t="n">
        <v>1</v>
      </c>
      <c r="M25" s="112" t="n">
        <v>46</v>
      </c>
    </row>
    <row r="26">
      <c r="A26" s="112" t="n">
        <v>76</v>
      </c>
      <c r="B26" s="112">
        <f>VLOOKUP(A26,Obs_Ridership!$B:$D,3,FALSE)</f>
        <v/>
      </c>
      <c r="C26">
        <f>VLOOKUP(A26,$I:$L,2,FALSE)</f>
        <v/>
      </c>
      <c r="D26">
        <f>IF(ISNUMBER(SEARCH("IB",B26)),LEFT(B26,LEN(B26)-3),IF(ISNUMBER(SEARCH("OB",B26)),LEFT(B26,LEN(B26)-3),B26))</f>
        <v/>
      </c>
      <c r="E26">
        <f>VLOOKUP($B26,$J:$L,3,FALSE)</f>
        <v/>
      </c>
      <c r="F26">
        <f>VLOOKUP($B26,$J:$M,4,FALSE)</f>
        <v/>
      </c>
      <c r="I26" s="112" t="n">
        <v>22</v>
      </c>
      <c r="J26" s="112" t="inlineStr">
        <is>
          <t>Rte 22 Bordeaux (Panaroma) IB</t>
        </is>
      </c>
      <c r="K26" s="112" t="n">
        <v>4</v>
      </c>
      <c r="L26" s="112" t="n">
        <v>1</v>
      </c>
      <c r="M26" s="112" t="n">
        <v>48</v>
      </c>
    </row>
    <row r="27">
      <c r="A27" s="112" t="n">
        <v>77</v>
      </c>
      <c r="B27" s="112">
        <f>VLOOKUP(A27,Obs_Ridership!$B:$D,3,FALSE)</f>
        <v/>
      </c>
      <c r="C27">
        <f>VLOOKUP(A27,$I:$L,2,FALSE)</f>
        <v/>
      </c>
      <c r="D27">
        <f>IF(ISNUMBER(SEARCH("IB",B27)),LEFT(B27,LEN(B27)-3),IF(ISNUMBER(SEARCH("OB",B27)),LEFT(B27,LEN(B27)-3),B27))</f>
        <v/>
      </c>
      <c r="E27">
        <f>VLOOKUP($B27,$J:$L,3,FALSE)</f>
        <v/>
      </c>
      <c r="F27">
        <f>VLOOKUP($B27,$J:$M,4,FALSE)</f>
        <v/>
      </c>
      <c r="I27" s="112" t="n">
        <v>22</v>
      </c>
      <c r="J27" s="112" t="inlineStr">
        <is>
          <t>Rte 22 Bordeaux (Panaroma) OB</t>
        </is>
      </c>
      <c r="K27" s="112" t="n">
        <v>4</v>
      </c>
      <c r="L27" s="112" t="n">
        <v>1</v>
      </c>
      <c r="M27" s="112" t="n">
        <v>48</v>
      </c>
    </row>
    <row r="28">
      <c r="A28" s="112" t="n">
        <v>79</v>
      </c>
      <c r="B28" s="112">
        <f>VLOOKUP(A28,Obs_Ridership!$B:$D,3,FALSE)</f>
        <v/>
      </c>
      <c r="C28">
        <f>VLOOKUP(A28,$I:$L,2,FALSE)</f>
        <v/>
      </c>
      <c r="D28">
        <f>IF(ISNUMBER(SEARCH("IB",B28)),LEFT(B28,LEN(B28)-3),IF(ISNUMBER(SEARCH("OB",B28)),LEFT(B28,LEN(B28)-3),B28))</f>
        <v/>
      </c>
      <c r="E28">
        <f>VLOOKUP($B28,$J:$L,3,FALSE)</f>
        <v/>
      </c>
      <c r="F28">
        <f>VLOOKUP($B28,$J:$M,4,FALSE)</f>
        <v/>
      </c>
      <c r="I28" s="112" t="n">
        <v>22</v>
      </c>
      <c r="J28" s="112" t="inlineStr">
        <is>
          <t>Rte 22 Bordeaux (Kings Ln) OB</t>
        </is>
      </c>
      <c r="K28" s="112" t="n">
        <v>4</v>
      </c>
      <c r="L28" s="112" t="n">
        <v>1</v>
      </c>
      <c r="M28" s="112" t="n">
        <v>47</v>
      </c>
    </row>
    <row r="29">
      <c r="A29" s="112" t="n">
        <v>84</v>
      </c>
      <c r="B29" s="112">
        <f>VLOOKUP(A29,Obs_Ridership!$B:$D,3,FALSE)</f>
        <v/>
      </c>
      <c r="C29">
        <f>VLOOKUP(A29,$I:$L,2,FALSE)</f>
        <v/>
      </c>
      <c r="D29">
        <f>IF(ISNUMBER(SEARCH("IB",B29)),LEFT(B29,LEN(B29)-3),IF(ISNUMBER(SEARCH("OB",B29)),LEFT(B29,LEN(B29)-3),B29))</f>
        <v/>
      </c>
      <c r="E29">
        <f>VLOOKUP($B29,$J:$L,3,FALSE)</f>
        <v/>
      </c>
      <c r="F29">
        <f>VLOOKUP($B29,$J:$M,4,FALSE)</f>
        <v/>
      </c>
      <c r="I29" s="112" t="n">
        <v>22</v>
      </c>
      <c r="J29" s="112" t="inlineStr">
        <is>
          <t>Rte 22 Bordeaux (Kings Ln) IB</t>
        </is>
      </c>
      <c r="K29" s="112" t="n">
        <v>4</v>
      </c>
      <c r="L29" s="112" t="n">
        <v>1</v>
      </c>
      <c r="M29" s="112" t="n">
        <v>47</v>
      </c>
    </row>
    <row r="30">
      <c r="A30" s="112" t="n">
        <v>86</v>
      </c>
      <c r="B30" s="112">
        <f>VLOOKUP(A30,Obs_Ridership!$B:$D,3,FALSE)</f>
        <v/>
      </c>
      <c r="C30">
        <f>VLOOKUP(A30,$I:$L,2,FALSE)</f>
        <v/>
      </c>
      <c r="D30">
        <f>IF(ISNUMBER(SEARCH("IB",B30)),LEFT(B30,LEN(B30)-3),IF(ISNUMBER(SEARCH("OB",B30)),LEFT(B30,LEN(B30)-3),B30))</f>
        <v/>
      </c>
      <c r="E30">
        <f>VLOOKUP($B30,$J:$L,3,FALSE)</f>
        <v/>
      </c>
      <c r="F30">
        <f>VLOOKUP($B30,$J:$M,4,FALSE)</f>
        <v/>
      </c>
      <c r="I30" s="112" t="n">
        <v>23</v>
      </c>
      <c r="J30" s="112" t="inlineStr">
        <is>
          <t>Rte 23 Dickerson Pike OB</t>
        </is>
      </c>
      <c r="K30" s="112" t="n">
        <v>4</v>
      </c>
      <c r="L30" s="112" t="n">
        <v>1</v>
      </c>
      <c r="M30" s="112" t="n">
        <v>49</v>
      </c>
    </row>
    <row r="31">
      <c r="A31" s="112" t="n">
        <v>87</v>
      </c>
      <c r="B31" s="112">
        <f>VLOOKUP(A31,Obs_Ridership!$B:$D,3,FALSE)</f>
        <v/>
      </c>
      <c r="C31">
        <f>VLOOKUP(A31,$I:$L,2,FALSE)</f>
        <v/>
      </c>
      <c r="D31">
        <f>IF(ISNUMBER(SEARCH("IB",B31)),LEFT(B31,LEN(B31)-3),IF(ISNUMBER(SEARCH("OB",B31)),LEFT(B31,LEN(B31)-3),B31))</f>
        <v/>
      </c>
      <c r="E31">
        <f>VLOOKUP($B31,$J:$L,3,FALSE)</f>
        <v/>
      </c>
      <c r="F31">
        <f>VLOOKUP($B31,$J:$M,4,FALSE)</f>
        <v/>
      </c>
      <c r="I31" s="112" t="n">
        <v>23</v>
      </c>
      <c r="J31" s="112" t="inlineStr">
        <is>
          <t>Rte 23 Dickerson Pike IB</t>
        </is>
      </c>
      <c r="K31" s="112" t="n">
        <v>4</v>
      </c>
      <c r="L31" s="112" t="n">
        <v>1</v>
      </c>
      <c r="M31" s="112" t="n">
        <v>49</v>
      </c>
    </row>
    <row r="32">
      <c r="A32" s="112" t="n">
        <v>89</v>
      </c>
      <c r="B32" s="112">
        <f>VLOOKUP(A32,Obs_Ridership!$B:$D,3,FALSE)</f>
        <v/>
      </c>
      <c r="C32">
        <f>VLOOKUP(A32,$I:$L,2,FALSE)</f>
        <v/>
      </c>
      <c r="D32">
        <f>IF(ISNUMBER(SEARCH("IB",B32)),LEFT(B32,LEN(B32)-3),IF(ISNUMBER(SEARCH("OB",B32)),LEFT(B32,LEN(B32)-3),B32))</f>
        <v/>
      </c>
      <c r="E32">
        <f>VLOOKUP($B32,$J:$L,3,FALSE)</f>
        <v/>
      </c>
      <c r="F32">
        <f>VLOOKUP($B32,$J:$M,4,FALSE)</f>
        <v/>
      </c>
      <c r="I32" s="112" t="n">
        <v>23</v>
      </c>
      <c r="J32" s="112" t="inlineStr">
        <is>
          <t>Rte 23B Dickerson Loop OB</t>
        </is>
      </c>
      <c r="K32" s="112" t="n">
        <v>4</v>
      </c>
      <c r="L32" s="112" t="n">
        <v>1</v>
      </c>
      <c r="M32" s="112" t="n">
        <v>50</v>
      </c>
    </row>
    <row r="33">
      <c r="A33" s="112" t="n">
        <v>90</v>
      </c>
      <c r="B33" s="112">
        <f>VLOOKUP(A33,Obs_Ridership!$B:$D,3,FALSE)</f>
        <v/>
      </c>
      <c r="C33">
        <f>VLOOKUP(A33,$I:$L,2,FALSE)</f>
        <v/>
      </c>
      <c r="D33">
        <f>IF(ISNUMBER(SEARCH("IB",B33)),LEFT(B33,LEN(B33)-3),IF(ISNUMBER(SEARCH("OB",B33)),LEFT(B33,LEN(B33)-3),B33))</f>
        <v/>
      </c>
      <c r="E33">
        <f>VLOOKUP($B33,$J:$L,3,FALSE)</f>
        <v/>
      </c>
      <c r="F33">
        <f>VLOOKUP($B33,$J:$M,4,FALSE)</f>
        <v/>
      </c>
      <c r="I33" s="112" t="n">
        <v>23</v>
      </c>
      <c r="J33" s="112" t="inlineStr">
        <is>
          <t>Rte 23B Dickerson Loop IB</t>
        </is>
      </c>
      <c r="K33" s="112" t="n">
        <v>4</v>
      </c>
      <c r="L33" s="112" t="n">
        <v>1</v>
      </c>
      <c r="M33" s="112" t="n">
        <v>50</v>
      </c>
    </row>
    <row r="34">
      <c r="A34" s="112" t="n">
        <v>93</v>
      </c>
      <c r="B34" s="112">
        <f>VLOOKUP(A34,Obs_Ridership!$B:$D,3,FALSE)</f>
        <v/>
      </c>
      <c r="C34">
        <f>VLOOKUP(A34,$I:$L,2,FALSE)</f>
        <v/>
      </c>
      <c r="D34">
        <f>IF(ISNUMBER(SEARCH("IB",B34)),LEFT(B34,LEN(B34)-3),IF(ISNUMBER(SEARCH("OB",B34)),LEFT(B34,LEN(B34)-3),B34))</f>
        <v/>
      </c>
      <c r="E34">
        <f>VLOOKUP($B34,$J:$L,3,FALSE)</f>
        <v/>
      </c>
      <c r="F34">
        <f>VLOOKUP($B34,$J:$M,4,FALSE)</f>
        <v/>
      </c>
      <c r="I34" s="112" t="n">
        <v>24</v>
      </c>
      <c r="J34" s="112" t="inlineStr">
        <is>
          <t>Rte 24 Bellevue Exp AM</t>
        </is>
      </c>
      <c r="K34" s="112" t="n">
        <v>5</v>
      </c>
      <c r="L34" s="112" t="n">
        <v>6</v>
      </c>
      <c r="M34" s="112" t="n">
        <v>51</v>
      </c>
    </row>
    <row r="35">
      <c r="A35" s="112" t="n">
        <v>95</v>
      </c>
      <c r="B35" s="112">
        <f>VLOOKUP(A35,Obs_Ridership!$B:$D,3,FALSE)</f>
        <v/>
      </c>
      <c r="C35">
        <f>VLOOKUP(A35,$I:$L,2,FALSE)</f>
        <v/>
      </c>
      <c r="D35">
        <f>IF(ISNUMBER(SEARCH("IB",B35)),LEFT(B35,LEN(B35)-3),IF(ISNUMBER(SEARCH("OB",B35)),LEFT(B35,LEN(B35)-3),B35))</f>
        <v/>
      </c>
      <c r="E35">
        <f>VLOOKUP($B35,$J:$L,3,FALSE)</f>
        <v/>
      </c>
      <c r="F35">
        <f>VLOOKUP($B35,$J:$M,4,FALSE)</f>
        <v/>
      </c>
      <c r="I35" s="112" t="n">
        <v>24</v>
      </c>
      <c r="J35" s="112" t="inlineStr">
        <is>
          <t>Rte 24 Bellevue Exp PM</t>
        </is>
      </c>
      <c r="K35" s="112" t="n">
        <v>5</v>
      </c>
      <c r="L35" s="112" t="n">
        <v>6</v>
      </c>
      <c r="M35" s="112" t="n">
        <v>51</v>
      </c>
    </row>
    <row r="36">
      <c r="I36" s="112" t="n">
        <v>28</v>
      </c>
      <c r="J36" s="112" t="inlineStr">
        <is>
          <t>Rte 28 Meridian IB</t>
        </is>
      </c>
      <c r="K36" s="112" t="n">
        <v>4</v>
      </c>
      <c r="L36" s="112" t="n">
        <v>1</v>
      </c>
      <c r="M36" s="112" t="n">
        <v>52</v>
      </c>
    </row>
    <row r="37">
      <c r="A37" s="112" t="n"/>
      <c r="B37" s="112" t="n"/>
      <c r="I37" s="112" t="n">
        <v>28</v>
      </c>
      <c r="J37" s="112" t="inlineStr">
        <is>
          <t>Rte 28 Meridian OB</t>
        </is>
      </c>
      <c r="K37" s="112" t="n">
        <v>4</v>
      </c>
      <c r="L37" s="112" t="n">
        <v>1</v>
      </c>
      <c r="M37" s="112" t="n">
        <v>52</v>
      </c>
    </row>
    <row r="38">
      <c r="A38" s="112" t="n"/>
      <c r="B38" s="112" t="n"/>
      <c r="I38" s="112" t="n">
        <v>29</v>
      </c>
      <c r="J38" s="112" t="inlineStr">
        <is>
          <t>Rte 29 Jefferson IB</t>
        </is>
      </c>
      <c r="K38" s="112" t="n">
        <v>4</v>
      </c>
      <c r="L38" s="112" t="n">
        <v>1</v>
      </c>
      <c r="M38" s="112" t="n">
        <v>53</v>
      </c>
    </row>
    <row r="39">
      <c r="A39" s="112" t="n"/>
      <c r="B39" s="112" t="n"/>
      <c r="I39" s="112" t="n">
        <v>29</v>
      </c>
      <c r="J39" s="112" t="inlineStr">
        <is>
          <t>Rte 29 Jefferson OB</t>
        </is>
      </c>
      <c r="K39" s="112" t="n">
        <v>4</v>
      </c>
      <c r="L39" s="112" t="n">
        <v>1</v>
      </c>
      <c r="M39" s="112" t="n">
        <v>53</v>
      </c>
    </row>
    <row r="40">
      <c r="A40" s="112" t="n"/>
      <c r="B40" s="112" t="n"/>
      <c r="I40" s="112" t="n">
        <v>34</v>
      </c>
      <c r="J40" s="112" t="inlineStr">
        <is>
          <t>Rte 34 Opry Mills IB</t>
        </is>
      </c>
      <c r="K40" s="112" t="n">
        <v>4</v>
      </c>
      <c r="L40" s="112" t="n">
        <v>1</v>
      </c>
      <c r="M40" s="112" t="n">
        <v>56</v>
      </c>
    </row>
    <row r="41">
      <c r="A41" s="112" t="n"/>
      <c r="B41" s="112" t="n"/>
      <c r="I41" s="112" t="n">
        <v>34</v>
      </c>
      <c r="J41" s="112" t="inlineStr">
        <is>
          <t>Rte 34 Opry Mills OB</t>
        </is>
      </c>
      <c r="K41" s="112" t="n">
        <v>4</v>
      </c>
      <c r="L41" s="112" t="n">
        <v>1</v>
      </c>
      <c r="M41" s="112" t="n">
        <v>56</v>
      </c>
    </row>
    <row r="42">
      <c r="A42" s="112" t="n"/>
      <c r="B42" s="112" t="n"/>
      <c r="I42" s="112" t="n">
        <v>41</v>
      </c>
      <c r="J42" s="112" t="inlineStr">
        <is>
          <t>Rte 41 Golden Valley OB PM</t>
        </is>
      </c>
      <c r="K42" s="112" t="n">
        <v>4</v>
      </c>
      <c r="L42" s="112" t="n">
        <v>1</v>
      </c>
      <c r="M42" s="112" t="n">
        <v>59</v>
      </c>
    </row>
    <row r="43">
      <c r="A43" s="112" t="n"/>
      <c r="B43" s="112" t="n"/>
      <c r="I43" s="112" t="n">
        <v>41</v>
      </c>
      <c r="J43" s="112" t="inlineStr">
        <is>
          <t>Rte 41 Golden Valley IB AM</t>
        </is>
      </c>
      <c r="K43" s="112" t="n">
        <v>4</v>
      </c>
      <c r="L43" s="112" t="n">
        <v>1</v>
      </c>
      <c r="M43" s="112" t="n">
        <v>58</v>
      </c>
    </row>
    <row r="44">
      <c r="A44" s="112" t="n"/>
      <c r="B44" s="112" t="n"/>
      <c r="I44" s="112" t="n">
        <v>41</v>
      </c>
      <c r="J44" s="112" t="inlineStr">
        <is>
          <t>Rte 41 Golden Valley IB PM</t>
        </is>
      </c>
      <c r="K44" s="112" t="n">
        <v>4</v>
      </c>
      <c r="L44" s="112" t="n">
        <v>1</v>
      </c>
      <c r="M44" s="112" t="n">
        <v>59</v>
      </c>
    </row>
    <row r="45">
      <c r="A45" s="112" t="n"/>
      <c r="B45" s="112" t="n"/>
      <c r="I45" s="112" t="n">
        <v>41</v>
      </c>
      <c r="J45" s="112" t="inlineStr">
        <is>
          <t>Rte 41 Golden Valley OB AM</t>
        </is>
      </c>
      <c r="K45" s="112" t="n">
        <v>4</v>
      </c>
      <c r="L45" s="112" t="n">
        <v>1</v>
      </c>
      <c r="M45" s="112" t="n">
        <v>58</v>
      </c>
    </row>
    <row r="46">
      <c r="A46" s="111" t="n"/>
      <c r="B46" s="111" t="n"/>
      <c r="I46" s="112" t="n">
        <v>42</v>
      </c>
      <c r="J46" s="112" t="inlineStr">
        <is>
          <t>Rte 42 St. Cecilia/Cumberland IB</t>
        </is>
      </c>
      <c r="K46" s="112" t="n">
        <v>4</v>
      </c>
      <c r="L46" s="112" t="n">
        <v>1</v>
      </c>
      <c r="M46" s="112" t="n">
        <v>60</v>
      </c>
    </row>
    <row r="47">
      <c r="A47" s="111" t="n"/>
      <c r="B47" s="111" t="n"/>
      <c r="I47" s="112" t="n">
        <v>42</v>
      </c>
      <c r="J47" s="112" t="inlineStr">
        <is>
          <t>Rte 42 St. Cecilia/Cumberland oB</t>
        </is>
      </c>
      <c r="K47" s="112" t="n">
        <v>4</v>
      </c>
      <c r="L47" s="112" t="n">
        <v>1</v>
      </c>
      <c r="M47" s="112" t="n">
        <v>60</v>
      </c>
    </row>
    <row r="48">
      <c r="A48" s="111" t="n"/>
      <c r="B48" s="111" t="n"/>
      <c r="I48" s="112" t="n">
        <v>50</v>
      </c>
      <c r="J48" s="112" t="inlineStr">
        <is>
          <t>Rte 50 CHARLOTTE PIKE oB</t>
        </is>
      </c>
      <c r="K48" s="112" t="n">
        <v>4</v>
      </c>
      <c r="L48" s="112" t="n">
        <v>1</v>
      </c>
      <c r="M48" s="112" t="n">
        <v>61</v>
      </c>
    </row>
    <row r="49">
      <c r="A49" s="111" t="n"/>
      <c r="B49" s="111" t="n"/>
      <c r="I49" s="112" t="n">
        <v>50</v>
      </c>
      <c r="J49" s="112" t="inlineStr">
        <is>
          <t>Rte 50 CHARLOTTE PIKE iB</t>
        </is>
      </c>
      <c r="K49" s="112" t="n">
        <v>4</v>
      </c>
      <c r="L49" s="112" t="n">
        <v>1</v>
      </c>
      <c r="M49" s="112" t="n">
        <v>61</v>
      </c>
    </row>
    <row r="50">
      <c r="A50" s="111" t="n"/>
      <c r="B50" s="111" t="n"/>
      <c r="I50" s="112" t="n">
        <v>52</v>
      </c>
      <c r="J50" s="112" t="inlineStr">
        <is>
          <t>Rte 52 NOLENSVILLE PIKE (Hick) oB</t>
        </is>
      </c>
      <c r="K50" s="112" t="n">
        <v>4</v>
      </c>
      <c r="L50" s="112" t="n">
        <v>1</v>
      </c>
      <c r="M50" s="112" t="n">
        <v>62</v>
      </c>
    </row>
    <row r="51">
      <c r="A51" s="111" t="n"/>
      <c r="B51" s="111" t="n"/>
      <c r="I51" s="112" t="n">
        <v>52</v>
      </c>
      <c r="J51" s="112" t="inlineStr">
        <is>
          <t>Rte 52 NOLENSVILLE PIKE (Hick) iB</t>
        </is>
      </c>
      <c r="K51" s="112" t="n">
        <v>4</v>
      </c>
      <c r="L51" s="112" t="n">
        <v>1</v>
      </c>
      <c r="M51" s="112" t="n">
        <v>62</v>
      </c>
    </row>
    <row r="52">
      <c r="A52" s="111" t="n"/>
      <c r="B52" s="111" t="n"/>
      <c r="I52" s="112" t="n">
        <v>52</v>
      </c>
      <c r="J52" s="112" t="inlineStr">
        <is>
          <t>Rte 52 NOLENSVILLE PIKE (Wall) iB</t>
        </is>
      </c>
      <c r="K52" s="112" t="n">
        <v>4</v>
      </c>
      <c r="L52" s="112" t="n">
        <v>1</v>
      </c>
      <c r="M52" s="112" t="n">
        <v>63</v>
      </c>
    </row>
    <row r="53">
      <c r="A53" s="111" t="n"/>
      <c r="B53" s="111" t="n"/>
      <c r="I53" s="112" t="n">
        <v>52</v>
      </c>
      <c r="J53" s="112" t="inlineStr">
        <is>
          <t>Rte 52 NOLENSVILLE PIKE (Wall) oB</t>
        </is>
      </c>
      <c r="K53" s="112" t="n">
        <v>4</v>
      </c>
      <c r="L53" s="112" t="n">
        <v>1</v>
      </c>
      <c r="M53" s="112" t="n">
        <v>63</v>
      </c>
    </row>
    <row r="54">
      <c r="A54" s="111" t="n"/>
      <c r="B54" s="111" t="n"/>
      <c r="I54" s="112" t="n">
        <v>55</v>
      </c>
      <c r="J54" s="112" t="inlineStr">
        <is>
          <t>Rte 55 MURFREESBORO PIKE oB</t>
        </is>
      </c>
      <c r="K54" s="112" t="n">
        <v>4</v>
      </c>
      <c r="L54" s="112" t="n">
        <v>1</v>
      </c>
      <c r="M54" s="112" t="n">
        <v>64</v>
      </c>
    </row>
    <row r="55">
      <c r="A55" s="111" t="n"/>
      <c r="B55" s="111" t="n"/>
      <c r="I55" s="112" t="n">
        <v>55</v>
      </c>
      <c r="J55" s="112" t="inlineStr">
        <is>
          <t>Rte 55 MURFREESBORO PIKE iB</t>
        </is>
      </c>
      <c r="K55" s="112" t="n">
        <v>4</v>
      </c>
      <c r="L55" s="112" t="n">
        <v>1</v>
      </c>
      <c r="M55" s="112" t="n">
        <v>64</v>
      </c>
    </row>
    <row r="56">
      <c r="A56" s="111" t="n"/>
      <c r="B56" s="111" t="n"/>
      <c r="I56" s="112" t="n">
        <v>56</v>
      </c>
      <c r="J56" s="112" t="inlineStr">
        <is>
          <t>Rte 56 Gallatin Rd IB</t>
        </is>
      </c>
      <c r="K56" s="112" t="n">
        <v>4</v>
      </c>
      <c r="L56" s="112" t="n">
        <v>1</v>
      </c>
      <c r="M56" s="112" t="n">
        <v>66</v>
      </c>
    </row>
    <row r="57">
      <c r="A57" s="111" t="n"/>
      <c r="B57" s="111" t="n"/>
      <c r="I57" s="112" t="n">
        <v>56</v>
      </c>
      <c r="J57" s="112" t="inlineStr">
        <is>
          <t>Rte 56 Gallatin Rd oB</t>
        </is>
      </c>
      <c r="K57" s="112" t="n">
        <v>4</v>
      </c>
      <c r="L57" s="112" t="n">
        <v>1</v>
      </c>
      <c r="M57" s="112" t="n">
        <v>66</v>
      </c>
    </row>
    <row r="58">
      <c r="A58" s="111" t="n"/>
      <c r="B58" s="111" t="n"/>
      <c r="I58" s="112" t="n">
        <v>56</v>
      </c>
      <c r="J58" s="112" t="inlineStr">
        <is>
          <t>Rte 56 Gallatin Rd BRTmix OB</t>
        </is>
      </c>
      <c r="K58" s="112" t="n">
        <v>4</v>
      </c>
      <c r="L58" s="112" t="n">
        <v>8</v>
      </c>
      <c r="M58" s="112" t="n">
        <v>65</v>
      </c>
    </row>
    <row r="59">
      <c r="A59" s="111" t="n"/>
      <c r="B59" s="111" t="n"/>
      <c r="I59" s="112" t="n">
        <v>56</v>
      </c>
      <c r="J59" s="112" t="inlineStr">
        <is>
          <t>Rte 56 Gallatin Rd BRTmix IB</t>
        </is>
      </c>
      <c r="K59" s="112" t="n">
        <v>4</v>
      </c>
      <c r="L59" s="112" t="n">
        <v>8</v>
      </c>
      <c r="M59" s="112" t="n">
        <v>65</v>
      </c>
    </row>
    <row r="60">
      <c r="A60" s="111" t="n"/>
      <c r="B60" s="111" t="n"/>
      <c r="I60" s="112" t="n">
        <v>64</v>
      </c>
      <c r="J60" s="112" t="inlineStr">
        <is>
          <t>Rte 64 STAR DOWNTOWN SHUTTLE</t>
        </is>
      </c>
      <c r="K60" s="112" t="n">
        <v>4</v>
      </c>
      <c r="L60" s="112" t="n">
        <v>11</v>
      </c>
      <c r="M60" s="112" t="n">
        <v>83</v>
      </c>
    </row>
    <row r="61">
      <c r="A61" s="111" t="n"/>
      <c r="B61" s="111" t="n"/>
      <c r="I61" s="112" t="n">
        <v>70</v>
      </c>
      <c r="J61" s="112" t="inlineStr">
        <is>
          <t>Rte 70 Belevue Conn OB</t>
        </is>
      </c>
      <c r="K61" s="112" t="n">
        <v>4</v>
      </c>
      <c r="L61" s="112" t="n">
        <v>1</v>
      </c>
      <c r="M61" s="112" t="n">
        <v>69</v>
      </c>
    </row>
    <row r="62">
      <c r="A62" s="111" t="n"/>
      <c r="B62" s="111" t="n"/>
      <c r="I62" s="112" t="n">
        <v>70</v>
      </c>
      <c r="J62" s="112" t="inlineStr">
        <is>
          <t>Rte 70 Belevue Conn IB</t>
        </is>
      </c>
      <c r="K62" s="112" t="n">
        <v>4</v>
      </c>
      <c r="L62" s="112" t="n">
        <v>1</v>
      </c>
      <c r="M62" s="112" t="n">
        <v>69</v>
      </c>
    </row>
    <row r="63">
      <c r="A63" s="111" t="n"/>
      <c r="B63" s="111" t="n"/>
      <c r="I63" s="112" t="n">
        <v>75</v>
      </c>
      <c r="J63" s="112" t="inlineStr">
        <is>
          <t>Rte 75 Midtown CW Loop</t>
        </is>
      </c>
      <c r="K63" s="112" t="n">
        <v>4</v>
      </c>
      <c r="L63" s="112" t="n">
        <v>1</v>
      </c>
      <c r="M63" s="112" t="n">
        <v>70</v>
      </c>
    </row>
    <row r="64">
      <c r="A64" s="111" t="n"/>
      <c r="B64" s="111" t="n"/>
      <c r="I64" s="112" t="n">
        <v>75</v>
      </c>
      <c r="J64" s="112" t="inlineStr">
        <is>
          <t>Rte 75 Midtown CCW Loop</t>
        </is>
      </c>
      <c r="K64" s="112" t="n">
        <v>4</v>
      </c>
      <c r="L64" s="112" t="n">
        <v>1</v>
      </c>
      <c r="M64" s="112" t="n">
        <v>70</v>
      </c>
    </row>
    <row r="65">
      <c r="A65" s="111" t="n"/>
      <c r="B65" s="111" t="n"/>
      <c r="I65" s="112" t="n">
        <v>76</v>
      </c>
      <c r="J65" s="112" t="inlineStr">
        <is>
          <t>Rte 76 Madison Conn</t>
        </is>
      </c>
      <c r="K65" s="112" t="n">
        <v>4</v>
      </c>
      <c r="L65" s="112" t="n">
        <v>1</v>
      </c>
      <c r="M65" s="112" t="n">
        <v>85</v>
      </c>
    </row>
    <row r="66">
      <c r="A66" s="111" t="n"/>
      <c r="B66" s="111" t="n"/>
      <c r="I66" s="112" t="n">
        <v>77</v>
      </c>
      <c r="J66" s="112" t="inlineStr">
        <is>
          <t>Rte 77 THOMPSON - WEDGEWOOD ccw</t>
        </is>
      </c>
      <c r="K66" s="112" t="n">
        <v>4</v>
      </c>
      <c r="L66" s="112" t="n">
        <v>1</v>
      </c>
      <c r="M66" s="112" t="n">
        <v>71</v>
      </c>
    </row>
    <row r="67">
      <c r="A67" s="111" t="n"/>
      <c r="B67" s="111" t="n"/>
      <c r="I67" s="112" t="n">
        <v>77</v>
      </c>
      <c r="J67" s="112" t="inlineStr">
        <is>
          <t>Rte 77 THOMPSON - WEDGEWOOD cw</t>
        </is>
      </c>
      <c r="K67" s="112" t="n">
        <v>4</v>
      </c>
      <c r="L67" s="112" t="n">
        <v>1</v>
      </c>
      <c r="M67" s="112" t="n">
        <v>71</v>
      </c>
    </row>
    <row r="68">
      <c r="A68" s="111" t="n"/>
      <c r="B68" s="111" t="n"/>
      <c r="I68" s="112" t="n">
        <v>79</v>
      </c>
      <c r="J68" s="112" t="inlineStr">
        <is>
          <t>Rte 79 Skyline iB</t>
        </is>
      </c>
      <c r="K68" s="112" t="n">
        <v>4</v>
      </c>
      <c r="L68" s="112" t="n">
        <v>1</v>
      </c>
      <c r="M68" s="112" t="n">
        <v>72</v>
      </c>
    </row>
    <row r="69">
      <c r="A69" s="111" t="n"/>
      <c r="B69" s="111" t="n"/>
      <c r="I69" s="112" t="n">
        <v>79</v>
      </c>
      <c r="J69" s="112" t="inlineStr">
        <is>
          <t>Rte 79 Skyline oB</t>
        </is>
      </c>
      <c r="K69" s="112" t="n">
        <v>4</v>
      </c>
      <c r="L69" s="112" t="n">
        <v>1</v>
      </c>
      <c r="M69" s="112" t="n">
        <v>72</v>
      </c>
    </row>
    <row r="70">
      <c r="A70" s="111" t="n"/>
      <c r="B70" s="111" t="n"/>
      <c r="I70" s="112" t="n">
        <v>84</v>
      </c>
      <c r="J70" s="112" t="inlineStr">
        <is>
          <t>Rte 84 Murfreesboro Express OB</t>
        </is>
      </c>
      <c r="K70" s="112" t="n">
        <v>5</v>
      </c>
      <c r="L70" s="112" t="n">
        <v>6</v>
      </c>
      <c r="M70" s="112" t="n">
        <v>74</v>
      </c>
    </row>
    <row r="71">
      <c r="A71" s="111" t="n"/>
      <c r="B71" s="111" t="n"/>
      <c r="I71" s="112" t="n">
        <v>84</v>
      </c>
      <c r="J71" s="112" t="inlineStr">
        <is>
          <t>Rte 84 Murfreesboro Express IB</t>
        </is>
      </c>
      <c r="K71" s="112" t="n">
        <v>5</v>
      </c>
      <c r="L71" s="112" t="n">
        <v>6</v>
      </c>
      <c r="M71" s="112" t="n">
        <v>74</v>
      </c>
    </row>
    <row r="72">
      <c r="A72" s="111" t="n"/>
      <c r="B72" s="111" t="n"/>
      <c r="I72" s="112" t="n">
        <v>86</v>
      </c>
      <c r="J72" s="112" t="inlineStr">
        <is>
          <t>Rte 86 Smyrna Lavergne Exp OB</t>
        </is>
      </c>
      <c r="K72" s="112" t="n">
        <v>5</v>
      </c>
      <c r="L72" s="112" t="n">
        <v>6</v>
      </c>
      <c r="M72" s="112" t="n">
        <v>75</v>
      </c>
    </row>
    <row r="73">
      <c r="A73" s="111" t="n"/>
      <c r="B73" s="111" t="n"/>
      <c r="I73" s="112" t="n">
        <v>86</v>
      </c>
      <c r="J73" s="112" t="inlineStr">
        <is>
          <t>Rte 86 Smyrna Lavergne Exp IB</t>
        </is>
      </c>
      <c r="K73" s="112" t="n">
        <v>5</v>
      </c>
      <c r="L73" s="112" t="n">
        <v>6</v>
      </c>
      <c r="M73" s="112" t="n">
        <v>75</v>
      </c>
    </row>
    <row r="74">
      <c r="A74" s="111" t="n"/>
      <c r="B74" s="111" t="n"/>
      <c r="I74" s="112" t="n">
        <v>87</v>
      </c>
      <c r="J74" s="112" t="inlineStr">
        <is>
          <t>Rte 87 Gallatin Comm Bus OB</t>
        </is>
      </c>
      <c r="K74" s="112" t="n">
        <v>5</v>
      </c>
      <c r="L74" s="112" t="n">
        <v>7</v>
      </c>
      <c r="M74" s="112" t="n">
        <v>76</v>
      </c>
    </row>
    <row r="75">
      <c r="A75" s="111" t="n"/>
      <c r="B75" s="111" t="n"/>
      <c r="I75" s="112" t="n">
        <v>87</v>
      </c>
      <c r="J75" s="112" t="inlineStr">
        <is>
          <t>Rte 87 Gallatin Comm Bus IB</t>
        </is>
      </c>
      <c r="K75" s="112" t="n">
        <v>5</v>
      </c>
      <c r="L75" s="112" t="n">
        <v>7</v>
      </c>
      <c r="M75" s="112" t="n">
        <v>76</v>
      </c>
    </row>
    <row r="76">
      <c r="A76" s="111" t="n"/>
      <c r="B76" s="111" t="n"/>
      <c r="I76" s="112" t="n">
        <v>89</v>
      </c>
      <c r="J76" s="112" t="inlineStr">
        <is>
          <t>Rte 89 Spgfield/Joelton Exp OB</t>
        </is>
      </c>
      <c r="K76" s="112" t="n">
        <v>5</v>
      </c>
      <c r="L76" s="112" t="n">
        <v>6</v>
      </c>
      <c r="M76" s="112" t="n">
        <v>77</v>
      </c>
    </row>
    <row r="77">
      <c r="A77" s="111" t="n"/>
      <c r="B77" s="111" t="n"/>
      <c r="I77" s="112" t="n">
        <v>89</v>
      </c>
      <c r="J77" s="112" t="inlineStr">
        <is>
          <t>Rte 89 Sprgfield/Joelton Exp IB</t>
        </is>
      </c>
      <c r="K77" s="112" t="n">
        <v>5</v>
      </c>
      <c r="L77" s="112" t="n">
        <v>6</v>
      </c>
      <c r="M77" s="112" t="n">
        <v>77</v>
      </c>
    </row>
    <row r="78">
      <c r="A78" s="111" t="n"/>
      <c r="B78" s="111" t="n"/>
      <c r="I78" s="112" t="n">
        <v>90</v>
      </c>
      <c r="J78" s="112" t="inlineStr">
        <is>
          <t>Rte 90 Music City Star oB</t>
        </is>
      </c>
      <c r="K78" s="112" t="n">
        <v>6</v>
      </c>
      <c r="L78" s="112" t="n">
        <v>12</v>
      </c>
      <c r="M78" s="112" t="n">
        <v>79</v>
      </c>
    </row>
    <row r="79">
      <c r="A79" s="111" t="n"/>
      <c r="B79" s="111" t="n"/>
      <c r="I79" s="112" t="n">
        <v>90</v>
      </c>
      <c r="J79" s="112" t="inlineStr">
        <is>
          <t>Rte 90 Music City Star iB</t>
        </is>
      </c>
      <c r="K79" s="112" t="n">
        <v>6</v>
      </c>
      <c r="L79" s="112" t="n">
        <v>12</v>
      </c>
      <c r="M79" s="112" t="n">
        <v>79</v>
      </c>
    </row>
    <row r="80">
      <c r="A80" s="111" t="n"/>
      <c r="B80" s="111" t="n"/>
      <c r="I80" s="112" t="n">
        <v>90</v>
      </c>
      <c r="J80" s="112" t="inlineStr">
        <is>
          <t>Rte 90 Music City StarMJ oB</t>
        </is>
      </c>
      <c r="K80" s="112" t="n">
        <v>6</v>
      </c>
      <c r="L80" s="112" t="n">
        <v>12</v>
      </c>
      <c r="M80" s="112" t="n">
        <v>80</v>
      </c>
    </row>
    <row r="81">
      <c r="A81" s="111" t="n"/>
      <c r="B81" s="111" t="n"/>
      <c r="I81" s="112" t="n">
        <v>90</v>
      </c>
      <c r="J81" s="112" t="inlineStr">
        <is>
          <t>Rte 90 Music City StarMJ iB</t>
        </is>
      </c>
      <c r="K81" s="112" t="n">
        <v>6</v>
      </c>
      <c r="L81" s="112" t="n">
        <v>12</v>
      </c>
      <c r="M81" s="112" t="n">
        <v>80</v>
      </c>
    </row>
    <row r="82">
      <c r="A82" s="111" t="n"/>
      <c r="B82" s="111" t="n"/>
      <c r="I82" s="112" t="n">
        <v>93</v>
      </c>
      <c r="J82" s="112" t="inlineStr">
        <is>
          <t>Rte 93 MCS West End Shuttle</t>
        </is>
      </c>
      <c r="K82" s="112" t="n">
        <v>4</v>
      </c>
      <c r="L82" s="112" t="n">
        <v>11</v>
      </c>
      <c r="M82" s="112" t="n">
        <v>84</v>
      </c>
    </row>
    <row r="83">
      <c r="A83" s="111" t="n"/>
      <c r="B83" s="111" t="n"/>
      <c r="I83" s="112" t="n">
        <v>95</v>
      </c>
      <c r="J83" s="112" t="inlineStr">
        <is>
          <t>Rte 95 Spring Hill Exp OB</t>
        </is>
      </c>
      <c r="K83" s="112" t="n">
        <v>5</v>
      </c>
      <c r="L83" s="112" t="n">
        <v>6</v>
      </c>
      <c r="M83" s="112" t="n">
        <v>81</v>
      </c>
    </row>
    <row r="84">
      <c r="A84" s="111" t="n"/>
      <c r="B84" s="111" t="n"/>
      <c r="I84" s="112" t="n">
        <v>95</v>
      </c>
      <c r="J84" s="112" t="inlineStr">
        <is>
          <t>Rte 95 Spring Hill Exp IB</t>
        </is>
      </c>
      <c r="K84" s="112" t="n">
        <v>5</v>
      </c>
      <c r="L84" s="112" t="n">
        <v>6</v>
      </c>
      <c r="M84" s="112" t="n">
        <v>81</v>
      </c>
    </row>
    <row r="85">
      <c r="A85" s="111" t="n"/>
      <c r="B85" s="111" t="n"/>
      <c r="I85" s="112" t="n">
        <v>95</v>
      </c>
      <c r="J85" s="112" t="inlineStr">
        <is>
          <t>Rte 95 Spring Hill VB Exp IB</t>
        </is>
      </c>
      <c r="K85" s="112" t="n">
        <v>5</v>
      </c>
      <c r="L85" s="112" t="n">
        <v>6</v>
      </c>
      <c r="M85" s="112" t="n">
        <v>82</v>
      </c>
    </row>
    <row r="86">
      <c r="A86" s="111" t="n"/>
      <c r="B86" s="111" t="n"/>
      <c r="I86" s="112" t="n">
        <v>95</v>
      </c>
      <c r="J86" s="112" t="inlineStr">
        <is>
          <t>Rte 95 Spring Hill VB Exp OB</t>
        </is>
      </c>
      <c r="K86" s="112" t="n">
        <v>5</v>
      </c>
      <c r="L86" s="112" t="n">
        <v>6</v>
      </c>
      <c r="M86" s="112" t="n">
        <v>82</v>
      </c>
    </row>
    <row r="87">
      <c r="A87" s="111" t="n"/>
      <c r="B87" s="111" t="n"/>
      <c r="I87" s="112" t="n">
        <v>102</v>
      </c>
      <c r="J87" s="112" t="inlineStr">
        <is>
          <t>Rte 102 Rover South Church</t>
        </is>
      </c>
      <c r="K87" s="112" t="n">
        <v>4</v>
      </c>
      <c r="L87" s="112" t="n">
        <v>2</v>
      </c>
      <c r="M87" s="112" t="n">
        <v>33</v>
      </c>
    </row>
    <row r="88">
      <c r="A88" s="111" t="n"/>
      <c r="B88" s="111" t="n"/>
      <c r="I88" s="112" t="n">
        <v>103</v>
      </c>
      <c r="J88" s="112" t="inlineStr">
        <is>
          <t>Rte 103 Rover Memorial</t>
        </is>
      </c>
      <c r="K88" s="112" t="n">
        <v>4</v>
      </c>
      <c r="L88" s="112" t="n">
        <v>2</v>
      </c>
      <c r="M88" s="112" t="n">
        <v>34</v>
      </c>
    </row>
    <row r="89">
      <c r="A89" s="111" t="n"/>
      <c r="B89" s="111" t="n"/>
      <c r="I89" s="112" t="n">
        <v>104</v>
      </c>
      <c r="J89" s="112" t="inlineStr">
        <is>
          <t>Rte 104 Rover Mercury</t>
        </is>
      </c>
      <c r="K89" s="112" t="n">
        <v>4</v>
      </c>
      <c r="L89" s="112" t="n">
        <v>2</v>
      </c>
      <c r="M89" s="112" t="n">
        <v>35</v>
      </c>
    </row>
    <row r="90">
      <c r="A90" s="111" t="n"/>
      <c r="B90" s="111" t="n"/>
      <c r="I90" s="112" t="n">
        <v>105</v>
      </c>
      <c r="J90" s="112" t="inlineStr">
        <is>
          <t>Rte 105 Rover HighLand</t>
        </is>
      </c>
      <c r="K90" s="112" t="n">
        <v>4</v>
      </c>
      <c r="L90" s="112" t="n">
        <v>2</v>
      </c>
      <c r="M90" s="112" t="n">
        <v>36</v>
      </c>
    </row>
    <row r="91">
      <c r="A91" s="111" t="n"/>
      <c r="B91" s="111" t="n"/>
      <c r="I91" s="112" t="n">
        <v>106</v>
      </c>
      <c r="J91" s="112" t="inlineStr">
        <is>
          <t>Rte 106 Rover Medical Center</t>
        </is>
      </c>
      <c r="K91" s="112" t="n">
        <v>4</v>
      </c>
      <c r="L91" s="112" t="n">
        <v>2</v>
      </c>
      <c r="M91" s="112" t="n">
        <v>37</v>
      </c>
    </row>
    <row r="92">
      <c r="A92" s="111" t="n"/>
      <c r="B92" s="111" t="n"/>
      <c r="I92" s="112" t="n">
        <v>107</v>
      </c>
      <c r="J92" s="112" t="inlineStr">
        <is>
          <t>Rte 107 Rover Gateway</t>
        </is>
      </c>
      <c r="K92" s="112" t="n">
        <v>4</v>
      </c>
      <c r="L92" s="112" t="n">
        <v>2</v>
      </c>
      <c r="M92" s="112" t="n">
        <v>38</v>
      </c>
    </row>
    <row r="93">
      <c r="A93" s="111" t="n"/>
      <c r="B93" s="111" t="n"/>
      <c r="I93" s="112" t="n">
        <v>108</v>
      </c>
      <c r="J93" s="112" t="inlineStr">
        <is>
          <t>Rte 108 Rover Old Fort</t>
        </is>
      </c>
      <c r="K93" s="112" t="n">
        <v>4</v>
      </c>
      <c r="L93" s="112" t="n">
        <v>2</v>
      </c>
      <c r="M93" s="112" t="n">
        <v>39</v>
      </c>
    </row>
    <row r="94">
      <c r="A94" s="111" t="n"/>
      <c r="B94" s="111" t="n"/>
      <c r="I94" s="112" t="n">
        <v>111</v>
      </c>
      <c r="J94" s="112" t="inlineStr">
        <is>
          <t>Rte 111 FTA Blue</t>
        </is>
      </c>
      <c r="K94" s="112" t="n">
        <v>4</v>
      </c>
      <c r="L94" s="112" t="n">
        <v>3</v>
      </c>
      <c r="M94" s="112" t="n">
        <v>40</v>
      </c>
    </row>
    <row r="95">
      <c r="A95" s="111" t="n"/>
      <c r="B95" s="111" t="n"/>
      <c r="I95" s="112" t="n">
        <v>112</v>
      </c>
      <c r="J95" s="112" t="inlineStr">
        <is>
          <t>Rte 112 FTA Red Route SN</t>
        </is>
      </c>
      <c r="K95" s="112" t="n">
        <v>4</v>
      </c>
      <c r="L95" s="112" t="n">
        <v>3</v>
      </c>
      <c r="M95" s="112" t="n">
        <v>41</v>
      </c>
    </row>
    <row r="96">
      <c r="A96" s="111" t="n"/>
      <c r="B96" s="111" t="n"/>
      <c r="I96" s="112" t="n">
        <v>112</v>
      </c>
      <c r="J96" s="112" t="inlineStr">
        <is>
          <t>Rte 112 FTA Red Route NS</t>
        </is>
      </c>
      <c r="K96" s="112" t="n">
        <v>4</v>
      </c>
      <c r="L96" s="112" t="n">
        <v>3</v>
      </c>
      <c r="M96" s="112" t="n">
        <v>41</v>
      </c>
    </row>
    <row r="97">
      <c r="J97" s="112" t="inlineStr">
        <is>
          <t>MuleGreenWest</t>
        </is>
      </c>
      <c r="K97" s="112" t="n">
        <v>4</v>
      </c>
      <c r="L97" s="112" t="n">
        <v>2</v>
      </c>
      <c r="M97" s="112" t="n">
        <v>25</v>
      </c>
    </row>
    <row r="98">
      <c r="J98" s="112" t="inlineStr">
        <is>
          <t>MulePurpleEast</t>
        </is>
      </c>
      <c r="K98" s="112" t="n">
        <v>4</v>
      </c>
      <c r="L98" s="112" t="n">
        <v>2</v>
      </c>
      <c r="M98" s="112" t="n">
        <v>26</v>
      </c>
    </row>
    <row r="99">
      <c r="J99" s="112" t="inlineStr">
        <is>
          <t>MuleRedSouth</t>
        </is>
      </c>
      <c r="K99" s="112" t="n">
        <v>4</v>
      </c>
      <c r="L99" s="112" t="n">
        <v>2</v>
      </c>
      <c r="M99" s="112" t="n">
        <v>27</v>
      </c>
    </row>
    <row r="100">
      <c r="J100" s="112" t="inlineStr">
        <is>
          <t>MuleBlueSB</t>
        </is>
      </c>
      <c r="K100" s="112" t="n">
        <v>4</v>
      </c>
      <c r="L100" s="112" t="n">
        <v>2</v>
      </c>
      <c r="M100" s="112" t="n">
        <v>24</v>
      </c>
    </row>
    <row r="101">
      <c r="J101" s="112" t="inlineStr">
        <is>
          <t>Circ_Lebanon_W</t>
        </is>
      </c>
      <c r="K101" s="112" t="n">
        <v>4</v>
      </c>
      <c r="L101" s="112" t="n">
        <v>2</v>
      </c>
      <c r="M101" s="112" t="n">
        <v>18</v>
      </c>
    </row>
    <row r="102">
      <c r="J102" s="112" t="inlineStr">
        <is>
          <t>Circ_Lebanon_E</t>
        </is>
      </c>
      <c r="K102" s="112" t="n">
        <v>4</v>
      </c>
      <c r="L102" s="112" t="n">
        <v>2</v>
      </c>
      <c r="M102" s="112" t="n">
        <v>15</v>
      </c>
    </row>
    <row r="103">
      <c r="J103" s="112" t="inlineStr">
        <is>
          <t>Circ_Lebanon_N</t>
        </is>
      </c>
      <c r="K103" s="112" t="n">
        <v>4</v>
      </c>
      <c r="L103" s="112" t="n">
        <v>2</v>
      </c>
      <c r="M103" s="112" t="n">
        <v>16</v>
      </c>
    </row>
    <row r="104">
      <c r="J104" s="112" t="inlineStr">
        <is>
          <t>Circ_Lebanon_S</t>
        </is>
      </c>
      <c r="K104" s="112" t="n">
        <v>4</v>
      </c>
      <c r="L104" s="112" t="n">
        <v>2</v>
      </c>
      <c r="M104" s="112" t="n">
        <v>17</v>
      </c>
    </row>
    <row r="105">
      <c r="J105" s="112" t="inlineStr">
        <is>
          <t>Circ_MJ_E</t>
        </is>
      </c>
      <c r="K105" s="112" t="n">
        <v>4</v>
      </c>
      <c r="L105" s="112" t="n">
        <v>2</v>
      </c>
      <c r="M105" s="112" t="n">
        <v>19</v>
      </c>
    </row>
    <row r="106">
      <c r="J106" s="112" t="inlineStr">
        <is>
          <t>Circ_MJ_W</t>
        </is>
      </c>
      <c r="K106" s="112" t="n">
        <v>4</v>
      </c>
      <c r="L106" s="112" t="n">
        <v>2</v>
      </c>
      <c r="M106" s="112" t="n">
        <v>22</v>
      </c>
    </row>
    <row r="107">
      <c r="J107" s="112" t="inlineStr">
        <is>
          <t>Circ_MJ_S</t>
        </is>
      </c>
      <c r="K107" s="112" t="n">
        <v>4</v>
      </c>
      <c r="L107" s="112" t="n">
        <v>2</v>
      </c>
      <c r="M107" s="112" t="n">
        <v>21</v>
      </c>
    </row>
    <row r="108">
      <c r="J108" s="112" t="inlineStr">
        <is>
          <t>Circ_MJ_N</t>
        </is>
      </c>
      <c r="K108" s="112" t="n">
        <v>4</v>
      </c>
      <c r="L108" s="112" t="n">
        <v>2</v>
      </c>
      <c r="M108" s="112" t="n">
        <v>20</v>
      </c>
    </row>
    <row r="109">
      <c r="J109" s="112" t="inlineStr">
        <is>
          <t>Cric_Herm_W</t>
        </is>
      </c>
      <c r="K109" s="112" t="n">
        <v>4</v>
      </c>
      <c r="L109" s="112" t="n">
        <v>2</v>
      </c>
      <c r="M109" s="112" t="n">
        <v>23</v>
      </c>
    </row>
    <row r="110">
      <c r="J110" s="112" t="inlineStr">
        <is>
          <t>Circ_Herm_N</t>
        </is>
      </c>
      <c r="K110" s="112" t="n">
        <v>4</v>
      </c>
      <c r="L110" s="112" t="n">
        <v>2</v>
      </c>
      <c r="M110" s="112" t="n">
        <v>13</v>
      </c>
    </row>
    <row r="111">
      <c r="J111" s="112" t="inlineStr">
        <is>
          <t>Circ_Herm_S</t>
        </is>
      </c>
      <c r="K111" s="112" t="n">
        <v>4</v>
      </c>
      <c r="L111" s="112" t="n">
        <v>2</v>
      </c>
      <c r="M111" s="112" t="n">
        <v>14</v>
      </c>
    </row>
    <row r="112">
      <c r="J112" s="112" t="inlineStr">
        <is>
          <t>Circ_Herm_E</t>
        </is>
      </c>
      <c r="K112" s="112" t="n">
        <v>4</v>
      </c>
      <c r="L112" s="112" t="n">
        <v>2</v>
      </c>
      <c r="M112" s="112" t="n">
        <v>12</v>
      </c>
    </row>
    <row r="113">
      <c r="J113" s="112" t="inlineStr">
        <is>
          <t>BRT_CU7_Corridor iB</t>
        </is>
      </c>
      <c r="K113" s="112" t="n">
        <v>7</v>
      </c>
      <c r="L113" s="112" t="n">
        <v>9</v>
      </c>
      <c r="M113" s="112" t="n">
        <v>10</v>
      </c>
    </row>
    <row r="114">
      <c r="J114" s="112" t="inlineStr">
        <is>
          <t>BRT_CU7_Corridor oB</t>
        </is>
      </c>
      <c r="K114" s="112" t="n">
        <v>7</v>
      </c>
      <c r="L114" s="112" t="n">
        <v>9</v>
      </c>
      <c r="M114" s="112" t="n">
        <v>10</v>
      </c>
    </row>
    <row r="115">
      <c r="J115" s="112" t="inlineStr">
        <is>
          <t>BRT_CU1air_Corridor iB</t>
        </is>
      </c>
      <c r="K115" s="112" t="n">
        <v>7</v>
      </c>
      <c r="L115" s="112" t="n">
        <v>9</v>
      </c>
      <c r="M115" s="112" t="n">
        <v>4</v>
      </c>
    </row>
    <row r="116">
      <c r="J116" s="112" t="inlineStr">
        <is>
          <t>BRT_CU1air_Corridor oB</t>
        </is>
      </c>
      <c r="K116" s="112" t="n">
        <v>7</v>
      </c>
      <c r="L116" s="112" t="n">
        <v>9</v>
      </c>
      <c r="M116" s="112" t="n">
        <v>4</v>
      </c>
    </row>
    <row r="117">
      <c r="J117" s="112" t="inlineStr">
        <is>
          <t>BRT_CU2_Corridor oB</t>
        </is>
      </c>
      <c r="K117" s="112" t="n">
        <v>7</v>
      </c>
      <c r="L117" s="112" t="n">
        <v>9</v>
      </c>
      <c r="M117" s="112" t="n">
        <v>5</v>
      </c>
    </row>
    <row r="118">
      <c r="J118" s="112" t="inlineStr">
        <is>
          <t>BRT_CU2_Corridor iB</t>
        </is>
      </c>
      <c r="K118" s="112" t="n">
        <v>7</v>
      </c>
      <c r="L118" s="112" t="n">
        <v>9</v>
      </c>
      <c r="M118" s="112" t="n">
        <v>5</v>
      </c>
    </row>
    <row r="119">
      <c r="J119" s="112" t="inlineStr">
        <is>
          <t>BRT_CU4_Corridor iB</t>
        </is>
      </c>
      <c r="K119" s="112" t="n">
        <v>7</v>
      </c>
      <c r="L119" s="112" t="n">
        <v>9</v>
      </c>
      <c r="M119" s="112" t="n">
        <v>7</v>
      </c>
    </row>
    <row r="120">
      <c r="J120" s="112" t="inlineStr">
        <is>
          <t>BRT_CU4_Corridor oB</t>
        </is>
      </c>
      <c r="K120" s="112" t="n">
        <v>7</v>
      </c>
      <c r="L120" s="112" t="n">
        <v>9</v>
      </c>
      <c r="M120" s="112" t="n">
        <v>7</v>
      </c>
    </row>
    <row r="121">
      <c r="J121" s="112" t="inlineStr">
        <is>
          <t>BRT_CU3_Corridor oB</t>
        </is>
      </c>
      <c r="K121" s="112" t="n">
        <v>7</v>
      </c>
      <c r="L121" s="112" t="n">
        <v>9</v>
      </c>
      <c r="M121" s="112" t="n">
        <v>6</v>
      </c>
    </row>
    <row r="122">
      <c r="J122" s="112" t="inlineStr">
        <is>
          <t>BRT_CU3_Corridor iB</t>
        </is>
      </c>
      <c r="K122" s="112" t="n">
        <v>7</v>
      </c>
      <c r="L122" s="112" t="n">
        <v>9</v>
      </c>
      <c r="M122" s="112" t="n">
        <v>6</v>
      </c>
    </row>
    <row r="123">
      <c r="J123" s="112" t="inlineStr">
        <is>
          <t>BRT_CU6_Corridor OB</t>
        </is>
      </c>
      <c r="K123" s="112" t="n">
        <v>7</v>
      </c>
      <c r="L123" s="112" t="n">
        <v>9</v>
      </c>
      <c r="M123" s="112" t="n">
        <v>9</v>
      </c>
    </row>
    <row r="124">
      <c r="J124" s="112" t="inlineStr">
        <is>
          <t>BRT_CU6_Corridor iB</t>
        </is>
      </c>
      <c r="K124" s="112" t="n">
        <v>7</v>
      </c>
      <c r="L124" s="112" t="n">
        <v>9</v>
      </c>
      <c r="M124" s="112" t="n">
        <v>9</v>
      </c>
    </row>
    <row r="125">
      <c r="J125" s="112" t="inlineStr">
        <is>
          <t>BRT_CU9_Corridor oB</t>
        </is>
      </c>
      <c r="K125" s="112" t="n">
        <v>7</v>
      </c>
      <c r="L125" s="112" t="n">
        <v>9</v>
      </c>
      <c r="M125" s="112" t="n">
        <v>11</v>
      </c>
    </row>
    <row r="126">
      <c r="J126" s="112" t="inlineStr">
        <is>
          <t>BRT_CU9_Corridor iB</t>
        </is>
      </c>
      <c r="K126" s="112" t="n">
        <v>7</v>
      </c>
      <c r="L126" s="112" t="n">
        <v>9</v>
      </c>
      <c r="M126" s="112" t="n">
        <v>11</v>
      </c>
    </row>
    <row r="127">
      <c r="J127" s="112" t="inlineStr">
        <is>
          <t>BRT_CU10_Corridor iB</t>
        </is>
      </c>
      <c r="K127" s="112" t="n">
        <v>7</v>
      </c>
      <c r="L127" s="112" t="n">
        <v>9</v>
      </c>
      <c r="M127" s="112" t="n">
        <v>1</v>
      </c>
    </row>
    <row r="128">
      <c r="J128" s="112" t="inlineStr">
        <is>
          <t>BRT_CU10_Corridor oB</t>
        </is>
      </c>
      <c r="K128" s="112" t="n">
        <v>7</v>
      </c>
      <c r="L128" s="112" t="n">
        <v>9</v>
      </c>
      <c r="M128" s="112" t="n">
        <v>1</v>
      </c>
    </row>
    <row r="129">
      <c r="J129" s="112" t="inlineStr">
        <is>
          <t>BRT_CU11_Corridor oB</t>
        </is>
      </c>
      <c r="K129" s="112" t="n">
        <v>7</v>
      </c>
      <c r="L129" s="112" t="n">
        <v>9</v>
      </c>
      <c r="M129" s="112" t="n">
        <v>2</v>
      </c>
    </row>
    <row r="130">
      <c r="J130" s="112" t="inlineStr">
        <is>
          <t>BRT_CU11_Corridor iB</t>
        </is>
      </c>
      <c r="K130" s="112" t="n">
        <v>7</v>
      </c>
      <c r="L130" s="112" t="n">
        <v>9</v>
      </c>
      <c r="M130" s="112" t="n">
        <v>2</v>
      </c>
    </row>
    <row r="131">
      <c r="J131" s="112" t="inlineStr">
        <is>
          <t>RailExt 3 Geodis OB</t>
        </is>
      </c>
      <c r="K131" s="112" t="n">
        <v>6</v>
      </c>
      <c r="L131" s="112" t="n">
        <v>12</v>
      </c>
      <c r="M131" s="112" t="n">
        <v>30</v>
      </c>
    </row>
    <row r="132">
      <c r="J132" s="112" t="inlineStr">
        <is>
          <t>RailExt 3 Geodis IB</t>
        </is>
      </c>
      <c r="K132" s="112" t="n">
        <v>6</v>
      </c>
      <c r="L132" s="112" t="n">
        <v>12</v>
      </c>
      <c r="M132" s="112" t="n">
        <v>30</v>
      </c>
    </row>
    <row r="133">
      <c r="J133" s="112" t="inlineStr">
        <is>
          <t>RailExt4 Riverfront - Lebanon OB</t>
        </is>
      </c>
      <c r="K133" s="112" t="n">
        <v>6</v>
      </c>
      <c r="L133" s="112" t="n">
        <v>12</v>
      </c>
      <c r="M133" s="112" t="n">
        <v>31</v>
      </c>
    </row>
    <row r="134">
      <c r="J134" s="112" t="inlineStr">
        <is>
          <t>RailExt4 Riverfront - Lebanon iB</t>
        </is>
      </c>
      <c r="K134" s="112" t="n">
        <v>6</v>
      </c>
      <c r="L134" s="112" t="n">
        <v>12</v>
      </c>
      <c r="M134" s="112" t="n">
        <v>31</v>
      </c>
    </row>
    <row r="135">
      <c r="J135" s="112" t="inlineStr">
        <is>
          <t>RailExt5 Donelson - Hermitage oB</t>
        </is>
      </c>
      <c r="K135" s="112" t="n">
        <v>6</v>
      </c>
      <c r="L135" s="112" t="n">
        <v>12</v>
      </c>
      <c r="M135" s="112" t="n">
        <v>32</v>
      </c>
    </row>
    <row r="136">
      <c r="J136" s="112" t="inlineStr">
        <is>
          <t>RailExt5 Donelson - Hermitage iB</t>
        </is>
      </c>
      <c r="K136" s="112" t="n">
        <v>6</v>
      </c>
      <c r="L136" s="112" t="n">
        <v>12</v>
      </c>
      <c r="M136" s="112" t="n">
        <v>32</v>
      </c>
    </row>
    <row r="137">
      <c r="J137" s="112" t="inlineStr">
        <is>
          <t>RailExt 1 VB - Airport</t>
        </is>
      </c>
      <c r="K137" s="112" t="n">
        <v>6</v>
      </c>
      <c r="L137" s="112" t="n">
        <v>12</v>
      </c>
      <c r="M137" s="112" t="n">
        <v>28</v>
      </c>
    </row>
    <row r="138">
      <c r="J138" s="112" t="inlineStr">
        <is>
          <t>RailExt 1 Airport - VB</t>
        </is>
      </c>
      <c r="K138" s="112" t="n">
        <v>6</v>
      </c>
      <c r="L138" s="112" t="n">
        <v>12</v>
      </c>
      <c r="M138" s="112" t="n">
        <v>28</v>
      </c>
    </row>
    <row r="139">
      <c r="J139" s="112" t="inlineStr">
        <is>
          <t>RailExt 2 Germantown OB</t>
        </is>
      </c>
      <c r="K139" s="112" t="n">
        <v>6</v>
      </c>
      <c r="L139" s="112" t="n">
        <v>12</v>
      </c>
      <c r="M139" s="112" t="n">
        <v>29</v>
      </c>
    </row>
    <row r="140">
      <c r="J140" s="112" t="inlineStr">
        <is>
          <t>RailExt 2 Germantown IB</t>
        </is>
      </c>
      <c r="K140" s="112" t="n">
        <v>6</v>
      </c>
      <c r="L140" s="112" t="n">
        <v>12</v>
      </c>
      <c r="M140" s="112" t="n">
        <v>29</v>
      </c>
    </row>
    <row r="141">
      <c r="J141" s="112" t="inlineStr">
        <is>
          <t>BRT_CU5_Corridor iB</t>
        </is>
      </c>
      <c r="K141" s="112" t="n">
        <v>7</v>
      </c>
      <c r="L141" s="112" t="n">
        <v>9</v>
      </c>
      <c r="M141" s="112" t="n">
        <v>8</v>
      </c>
    </row>
    <row r="142">
      <c r="J142" s="112" t="inlineStr">
        <is>
          <t>BRT_CU5_Corridor oB</t>
        </is>
      </c>
      <c r="K142" s="112" t="n">
        <v>7</v>
      </c>
      <c r="L142" s="112" t="n">
        <v>9</v>
      </c>
      <c r="M142" s="112" t="n">
        <v>8</v>
      </c>
    </row>
    <row r="143">
      <c r="J143" s="112" t="inlineStr">
        <is>
          <t>BRT_CU1_Corridor oB</t>
        </is>
      </c>
      <c r="K143" s="112" t="n">
        <v>7</v>
      </c>
      <c r="L143" s="112" t="n">
        <v>9</v>
      </c>
      <c r="M143" s="112" t="n">
        <v>3</v>
      </c>
    </row>
    <row r="144">
      <c r="J144" s="112" t="inlineStr">
        <is>
          <t>BRT_CU1_Corridor iB</t>
        </is>
      </c>
      <c r="K144" s="112" t="n">
        <v>7</v>
      </c>
      <c r="L144" s="112" t="n">
        <v>9</v>
      </c>
      <c r="M144" s="112" t="n">
        <v>3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Nagendra Dhakar</dc:creator>
  <dcterms:created xsi:type="dcterms:W3CDTF">2015-08-26T21:05:32Z</dcterms:created>
  <dcterms:modified xsi:type="dcterms:W3CDTF">2025-01-14T15:24:35Z</dcterms:modified>
  <cp:lastModifiedBy>Nagendra Dhakar</cp:lastModifiedBy>
</cp:coreProperties>
</file>