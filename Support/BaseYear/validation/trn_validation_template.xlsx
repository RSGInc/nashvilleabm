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E:\Projects\Clients\NashvilleMPO\ModelUpdate2023\Model\Development\nashville_abm_tcad9_01062025\Support\BaseYear\validation\"/>
    </mc:Choice>
  </mc:AlternateContent>
  <xr:revisionPtr revIDLastSave="0" documentId="13_ncr:1_{8B3D129F-239B-4CE0-BEAC-43BF05067F97}" xr6:coauthVersionLast="47" xr6:coauthVersionMax="47" xr10:uidLastSave="{00000000-0000-0000-0000-000000000000}"/>
  <bookViews>
    <workbookView xWindow="-120" yWindow="-120" windowWidth="29040" windowHeight="15840" tabRatio="763" xr2:uid="{00000000-000D-0000-FFFF-FFFF00000000}"/>
  </bookViews>
  <sheets>
    <sheet name="BoardingByRoute_All" sheetId="1" r:id="rId1"/>
    <sheet name="PrilimTable" sheetId="2" r:id="rId2"/>
    <sheet name="Aggregated_Transit_Final_V2" sheetId="3" r:id="rId3"/>
    <sheet name="TrnStat.asc" sheetId="4" r:id="rId4"/>
    <sheet name="Obs_Ridership" sheetId="5" r:id="rId5"/>
    <sheet name="BoardingByRoute_ABM" sheetId="6" r:id="rId6"/>
    <sheet name="OBS_RteName" sheetId="7" r:id="rId7"/>
    <sheet name="ABM_RteNam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C35" i="8"/>
  <c r="B35" i="8"/>
  <c r="F35" i="8" s="1"/>
  <c r="C34" i="8"/>
  <c r="B34" i="8"/>
  <c r="F34" i="8" s="1"/>
  <c r="F33" i="8"/>
  <c r="E33" i="8"/>
  <c r="T35" i="2" s="1"/>
  <c r="C33" i="8"/>
  <c r="B33" i="8"/>
  <c r="D33" i="8" s="1"/>
  <c r="E32" i="8"/>
  <c r="D32" i="8"/>
  <c r="C32" i="8"/>
  <c r="B32" i="8"/>
  <c r="F32" i="8" s="1"/>
  <c r="F31" i="8"/>
  <c r="E31" i="8"/>
  <c r="D31" i="8"/>
  <c r="C31" i="8"/>
  <c r="B31" i="8"/>
  <c r="C30" i="8"/>
  <c r="B30" i="8"/>
  <c r="F30" i="8" s="1"/>
  <c r="C29" i="8"/>
  <c r="B29" i="8"/>
  <c r="F29" i="8" s="1"/>
  <c r="F28" i="8"/>
  <c r="D28" i="8"/>
  <c r="C28" i="8"/>
  <c r="B28" i="8"/>
  <c r="E28" i="8" s="1"/>
  <c r="T30" i="2" s="1"/>
  <c r="F27" i="8"/>
  <c r="E27" i="8"/>
  <c r="D27" i="8"/>
  <c r="C27" i="8"/>
  <c r="B27" i="8"/>
  <c r="F26" i="8"/>
  <c r="E26" i="8"/>
  <c r="D26" i="8"/>
  <c r="C26" i="8"/>
  <c r="B26" i="8"/>
  <c r="D25" i="8"/>
  <c r="C25" i="8"/>
  <c r="B25" i="8"/>
  <c r="F25" i="8" s="1"/>
  <c r="C24" i="8"/>
  <c r="O26" i="2" s="1"/>
  <c r="D37" i="1" s="1"/>
  <c r="B24" i="8"/>
  <c r="F24" i="8" s="1"/>
  <c r="C23" i="8"/>
  <c r="B23" i="8"/>
  <c r="F23" i="8" s="1"/>
  <c r="F22" i="8"/>
  <c r="C22" i="8"/>
  <c r="B22" i="8"/>
  <c r="E22" i="8" s="1"/>
  <c r="T24" i="2" s="1"/>
  <c r="F21" i="8"/>
  <c r="E21" i="8"/>
  <c r="D21" i="8"/>
  <c r="C21" i="8"/>
  <c r="B21" i="8"/>
  <c r="F20" i="8"/>
  <c r="E20" i="8"/>
  <c r="D20" i="8"/>
  <c r="C20" i="8"/>
  <c r="B20" i="8"/>
  <c r="F19" i="8"/>
  <c r="E19" i="8"/>
  <c r="D19" i="8"/>
  <c r="C19" i="8"/>
  <c r="O21" i="2" s="1"/>
  <c r="B19" i="8"/>
  <c r="C18" i="8"/>
  <c r="O20" i="2" s="1"/>
  <c r="D31" i="1" s="1"/>
  <c r="B18" i="8"/>
  <c r="F18" i="8" s="1"/>
  <c r="F17" i="8"/>
  <c r="E17" i="8"/>
  <c r="D17" i="8"/>
  <c r="C17" i="8"/>
  <c r="B17" i="8"/>
  <c r="F16" i="8"/>
  <c r="E16" i="8"/>
  <c r="C16" i="8"/>
  <c r="B16" i="8"/>
  <c r="D16" i="8" s="1"/>
  <c r="F15" i="8"/>
  <c r="E15" i="8"/>
  <c r="C15" i="8"/>
  <c r="B15" i="8"/>
  <c r="D15" i="8" s="1"/>
  <c r="E14" i="8"/>
  <c r="D14" i="8"/>
  <c r="C14" i="8"/>
  <c r="B14" i="8"/>
  <c r="F14" i="8" s="1"/>
  <c r="D13" i="8"/>
  <c r="C13" i="8"/>
  <c r="B13" i="8"/>
  <c r="F13" i="8" s="1"/>
  <c r="F12" i="8"/>
  <c r="E12" i="8"/>
  <c r="D12" i="8"/>
  <c r="C12" i="8"/>
  <c r="B12" i="8"/>
  <c r="C11" i="8"/>
  <c r="B11" i="8"/>
  <c r="F11" i="8" s="1"/>
  <c r="F10" i="8"/>
  <c r="C10" i="8"/>
  <c r="B10" i="8"/>
  <c r="E10" i="8" s="1"/>
  <c r="T12" i="2" s="1"/>
  <c r="F9" i="8"/>
  <c r="E9" i="8"/>
  <c r="T11" i="2" s="1"/>
  <c r="C9" i="8"/>
  <c r="B9" i="8"/>
  <c r="D9" i="8" s="1"/>
  <c r="E8" i="8"/>
  <c r="D8" i="8"/>
  <c r="C8" i="8"/>
  <c r="B8" i="8"/>
  <c r="F8" i="8" s="1"/>
  <c r="F7" i="8"/>
  <c r="E7" i="8"/>
  <c r="D7" i="8"/>
  <c r="C7" i="8"/>
  <c r="B7" i="8"/>
  <c r="C6" i="8"/>
  <c r="B6" i="8"/>
  <c r="F6" i="8" s="1"/>
  <c r="C5" i="8"/>
  <c r="B5" i="8"/>
  <c r="F5" i="8" s="1"/>
  <c r="F4" i="8"/>
  <c r="D4" i="8"/>
  <c r="C4" i="8"/>
  <c r="B4" i="8"/>
  <c r="E4" i="8" s="1"/>
  <c r="T6" i="2" s="1"/>
  <c r="F3" i="8"/>
  <c r="E3" i="8"/>
  <c r="D3" i="8"/>
  <c r="C3" i="8"/>
  <c r="B3" i="8"/>
  <c r="F2" i="8"/>
  <c r="E2" i="8"/>
  <c r="D2" i="8"/>
  <c r="C2" i="8"/>
  <c r="B2" i="8"/>
  <c r="K34" i="6"/>
  <c r="M34" i="6" s="1"/>
  <c r="N34" i="6" s="1"/>
  <c r="J34" i="6"/>
  <c r="I34" i="6"/>
  <c r="H34" i="6"/>
  <c r="G34" i="6"/>
  <c r="F34" i="6"/>
  <c r="E34" i="6"/>
  <c r="D34" i="6"/>
  <c r="C34" i="6"/>
  <c r="B34" i="6"/>
  <c r="K33" i="6"/>
  <c r="M33" i="6" s="1"/>
  <c r="N33" i="6" s="1"/>
  <c r="J33" i="6"/>
  <c r="I33" i="6"/>
  <c r="H33" i="6"/>
  <c r="G33" i="6"/>
  <c r="F33" i="6"/>
  <c r="E33" i="6"/>
  <c r="D33" i="6"/>
  <c r="C33" i="6"/>
  <c r="B33" i="6"/>
  <c r="K32" i="6"/>
  <c r="M32" i="6" s="1"/>
  <c r="N32" i="6" s="1"/>
  <c r="R34" i="2" s="1"/>
  <c r="J32" i="6"/>
  <c r="I32" i="6"/>
  <c r="H32" i="6"/>
  <c r="G32" i="6"/>
  <c r="F32" i="6"/>
  <c r="E32" i="6"/>
  <c r="D32" i="6"/>
  <c r="C32" i="6"/>
  <c r="B32" i="6"/>
  <c r="K31" i="6"/>
  <c r="M31" i="6" s="1"/>
  <c r="N31" i="6" s="1"/>
  <c r="J31" i="6"/>
  <c r="I31" i="6"/>
  <c r="H31" i="6"/>
  <c r="G31" i="6"/>
  <c r="F31" i="6"/>
  <c r="E31" i="6"/>
  <c r="D31" i="6"/>
  <c r="C31" i="6"/>
  <c r="B31" i="6"/>
  <c r="K30" i="6"/>
  <c r="M30" i="6" s="1"/>
  <c r="N30" i="6" s="1"/>
  <c r="J30" i="6"/>
  <c r="I30" i="6"/>
  <c r="H30" i="6"/>
  <c r="G30" i="6"/>
  <c r="F30" i="6"/>
  <c r="E30" i="6"/>
  <c r="D30" i="6"/>
  <c r="C30" i="6"/>
  <c r="B30" i="6"/>
  <c r="K29" i="6"/>
  <c r="M29" i="6" s="1"/>
  <c r="N29" i="6" s="1"/>
  <c r="J29" i="6"/>
  <c r="I29" i="6"/>
  <c r="H29" i="6"/>
  <c r="G29" i="6"/>
  <c r="F29" i="6"/>
  <c r="E29" i="6"/>
  <c r="D29" i="6"/>
  <c r="C29" i="6"/>
  <c r="B29" i="6"/>
  <c r="K28" i="6"/>
  <c r="M28" i="6" s="1"/>
  <c r="N28" i="6" s="1"/>
  <c r="J28" i="6"/>
  <c r="I28" i="6"/>
  <c r="H28" i="6"/>
  <c r="G28" i="6"/>
  <c r="F28" i="6"/>
  <c r="E28" i="6"/>
  <c r="D28" i="6"/>
  <c r="C28" i="6"/>
  <c r="B28" i="6"/>
  <c r="K27" i="6"/>
  <c r="M27" i="6" s="1"/>
  <c r="N27" i="6" s="1"/>
  <c r="J27" i="6"/>
  <c r="I27" i="6"/>
  <c r="H27" i="6"/>
  <c r="G27" i="6"/>
  <c r="F27" i="6"/>
  <c r="E27" i="6"/>
  <c r="D27" i="6"/>
  <c r="C27" i="6"/>
  <c r="B27" i="6"/>
  <c r="K26" i="6"/>
  <c r="M26" i="6" s="1"/>
  <c r="N26" i="6" s="1"/>
  <c r="J26" i="6"/>
  <c r="I26" i="6"/>
  <c r="H26" i="6"/>
  <c r="G26" i="6"/>
  <c r="F26" i="6"/>
  <c r="E26" i="6"/>
  <c r="D26" i="6"/>
  <c r="C26" i="6"/>
  <c r="B26" i="6"/>
  <c r="K25" i="6"/>
  <c r="M25" i="6" s="1"/>
  <c r="N25" i="6" s="1"/>
  <c r="J25" i="6"/>
  <c r="I25" i="6"/>
  <c r="H25" i="6"/>
  <c r="G25" i="6"/>
  <c r="F25" i="6"/>
  <c r="E25" i="6"/>
  <c r="D25" i="6"/>
  <c r="C25" i="6"/>
  <c r="B25" i="6"/>
  <c r="K24" i="6"/>
  <c r="M24" i="6" s="1"/>
  <c r="N24" i="6" s="1"/>
  <c r="J24" i="6"/>
  <c r="I24" i="6"/>
  <c r="H24" i="6"/>
  <c r="G24" i="6"/>
  <c r="F24" i="6"/>
  <c r="E24" i="6"/>
  <c r="D24" i="6"/>
  <c r="C24" i="6"/>
  <c r="B24" i="6"/>
  <c r="K23" i="6"/>
  <c r="M23" i="6" s="1"/>
  <c r="N23" i="6" s="1"/>
  <c r="J23" i="6"/>
  <c r="I23" i="6"/>
  <c r="H23" i="6"/>
  <c r="G23" i="6"/>
  <c r="F23" i="6"/>
  <c r="E23" i="6"/>
  <c r="D23" i="6"/>
  <c r="C23" i="6"/>
  <c r="B23" i="6"/>
  <c r="K22" i="6"/>
  <c r="M22" i="6" s="1"/>
  <c r="N22" i="6" s="1"/>
  <c r="J22" i="6"/>
  <c r="I22" i="6"/>
  <c r="H22" i="6"/>
  <c r="G22" i="6"/>
  <c r="F22" i="6"/>
  <c r="E22" i="6"/>
  <c r="D22" i="6"/>
  <c r="C22" i="6"/>
  <c r="B22" i="6"/>
  <c r="K21" i="6"/>
  <c r="M21" i="6" s="1"/>
  <c r="N21" i="6" s="1"/>
  <c r="R23" i="2" s="1"/>
  <c r="J21" i="6"/>
  <c r="I21" i="6"/>
  <c r="H21" i="6"/>
  <c r="G21" i="6"/>
  <c r="F21" i="6"/>
  <c r="E21" i="6"/>
  <c r="D21" i="6"/>
  <c r="C21" i="6"/>
  <c r="B21" i="6"/>
  <c r="K20" i="6"/>
  <c r="M20" i="6" s="1"/>
  <c r="N20" i="6" s="1"/>
  <c r="R22" i="2" s="1"/>
  <c r="J20" i="6"/>
  <c r="I20" i="6"/>
  <c r="H20" i="6"/>
  <c r="G20" i="6"/>
  <c r="F20" i="6"/>
  <c r="E20" i="6"/>
  <c r="D20" i="6"/>
  <c r="C20" i="6"/>
  <c r="B20" i="6"/>
  <c r="K19" i="6"/>
  <c r="M19" i="6" s="1"/>
  <c r="N19" i="6" s="1"/>
  <c r="J19" i="6"/>
  <c r="I19" i="6"/>
  <c r="H19" i="6"/>
  <c r="G19" i="6"/>
  <c r="F19" i="6"/>
  <c r="E19" i="6"/>
  <c r="D19" i="6"/>
  <c r="C19" i="6"/>
  <c r="B19" i="6"/>
  <c r="K18" i="6"/>
  <c r="M18" i="6" s="1"/>
  <c r="N18" i="6" s="1"/>
  <c r="J18" i="6"/>
  <c r="I18" i="6"/>
  <c r="H18" i="6"/>
  <c r="G18" i="6"/>
  <c r="F18" i="6"/>
  <c r="E18" i="6"/>
  <c r="D18" i="6"/>
  <c r="C18" i="6"/>
  <c r="B18" i="6"/>
  <c r="K17" i="6"/>
  <c r="M17" i="6" s="1"/>
  <c r="N17" i="6" s="1"/>
  <c r="J17" i="6"/>
  <c r="I17" i="6"/>
  <c r="H17" i="6"/>
  <c r="G17" i="6"/>
  <c r="F17" i="6"/>
  <c r="E17" i="6"/>
  <c r="D17" i="6"/>
  <c r="C17" i="6"/>
  <c r="B17" i="6"/>
  <c r="K16" i="6"/>
  <c r="M16" i="6" s="1"/>
  <c r="N16" i="6" s="1"/>
  <c r="J16" i="6"/>
  <c r="I16" i="6"/>
  <c r="H16" i="6"/>
  <c r="G16" i="6"/>
  <c r="F16" i="6"/>
  <c r="E16" i="6"/>
  <c r="D16" i="6"/>
  <c r="C16" i="6"/>
  <c r="B16" i="6"/>
  <c r="K15" i="6"/>
  <c r="M15" i="6" s="1"/>
  <c r="N15" i="6" s="1"/>
  <c r="R17" i="2" s="1"/>
  <c r="J15" i="6"/>
  <c r="I15" i="6"/>
  <c r="H15" i="6"/>
  <c r="G15" i="6"/>
  <c r="F15" i="6"/>
  <c r="E15" i="6"/>
  <c r="D15" i="6"/>
  <c r="C15" i="6"/>
  <c r="B15" i="6"/>
  <c r="K14" i="6"/>
  <c r="M14" i="6" s="1"/>
  <c r="N14" i="6" s="1"/>
  <c r="J14" i="6"/>
  <c r="I14" i="6"/>
  <c r="H14" i="6"/>
  <c r="G14" i="6"/>
  <c r="F14" i="6"/>
  <c r="E14" i="6"/>
  <c r="D14" i="6"/>
  <c r="C14" i="6"/>
  <c r="B14" i="6"/>
  <c r="K13" i="6"/>
  <c r="M13" i="6" s="1"/>
  <c r="N13" i="6" s="1"/>
  <c r="J13" i="6"/>
  <c r="I13" i="6"/>
  <c r="H13" i="6"/>
  <c r="G13" i="6"/>
  <c r="F13" i="6"/>
  <c r="E13" i="6"/>
  <c r="D13" i="6"/>
  <c r="C13" i="6"/>
  <c r="B13" i="6"/>
  <c r="K12" i="6"/>
  <c r="M12" i="6" s="1"/>
  <c r="N12" i="6" s="1"/>
  <c r="J12" i="6"/>
  <c r="I12" i="6"/>
  <c r="H12" i="6"/>
  <c r="G12" i="6"/>
  <c r="F12" i="6"/>
  <c r="E12" i="6"/>
  <c r="D12" i="6"/>
  <c r="C12" i="6"/>
  <c r="B12" i="6"/>
  <c r="K11" i="6"/>
  <c r="M11" i="6" s="1"/>
  <c r="N11" i="6" s="1"/>
  <c r="J11" i="6"/>
  <c r="I11" i="6"/>
  <c r="H11" i="6"/>
  <c r="G11" i="6"/>
  <c r="F11" i="6"/>
  <c r="E11" i="6"/>
  <c r="D11" i="6"/>
  <c r="C11" i="6"/>
  <c r="B11" i="6"/>
  <c r="K10" i="6"/>
  <c r="M10" i="6" s="1"/>
  <c r="N10" i="6" s="1"/>
  <c r="J10" i="6"/>
  <c r="I10" i="6"/>
  <c r="H10" i="6"/>
  <c r="G10" i="6"/>
  <c r="F10" i="6"/>
  <c r="E10" i="6"/>
  <c r="D10" i="6"/>
  <c r="C10" i="6"/>
  <c r="B10" i="6"/>
  <c r="K9" i="6"/>
  <c r="M9" i="6" s="1"/>
  <c r="N9" i="6" s="1"/>
  <c r="R11" i="2" s="1"/>
  <c r="J9" i="6"/>
  <c r="I9" i="6"/>
  <c r="H9" i="6"/>
  <c r="G9" i="6"/>
  <c r="F9" i="6"/>
  <c r="E9" i="6"/>
  <c r="D9" i="6"/>
  <c r="C9" i="6"/>
  <c r="B9" i="6"/>
  <c r="K8" i="6"/>
  <c r="M8" i="6" s="1"/>
  <c r="N8" i="6" s="1"/>
  <c r="R10" i="2" s="1"/>
  <c r="J8" i="6"/>
  <c r="I8" i="6"/>
  <c r="H8" i="6"/>
  <c r="G8" i="6"/>
  <c r="F8" i="6"/>
  <c r="E8" i="6"/>
  <c r="D8" i="6"/>
  <c r="C8" i="6"/>
  <c r="B8" i="6"/>
  <c r="K7" i="6"/>
  <c r="M7" i="6" s="1"/>
  <c r="N7" i="6" s="1"/>
  <c r="J7" i="6"/>
  <c r="I7" i="6"/>
  <c r="H7" i="6"/>
  <c r="G7" i="6"/>
  <c r="F7" i="6"/>
  <c r="E7" i="6"/>
  <c r="D7" i="6"/>
  <c r="C7" i="6"/>
  <c r="B7" i="6"/>
  <c r="K6" i="6"/>
  <c r="M6" i="6" s="1"/>
  <c r="N6" i="6" s="1"/>
  <c r="J6" i="6"/>
  <c r="I6" i="6"/>
  <c r="H6" i="6"/>
  <c r="G6" i="6"/>
  <c r="F6" i="6"/>
  <c r="E6" i="6"/>
  <c r="D6" i="6"/>
  <c r="C6" i="6"/>
  <c r="B6" i="6"/>
  <c r="K5" i="6"/>
  <c r="M5" i="6" s="1"/>
  <c r="N5" i="6" s="1"/>
  <c r="J5" i="6"/>
  <c r="I5" i="6"/>
  <c r="H5" i="6"/>
  <c r="G5" i="6"/>
  <c r="F5" i="6"/>
  <c r="E5" i="6"/>
  <c r="D5" i="6"/>
  <c r="C5" i="6"/>
  <c r="B5" i="6"/>
  <c r="R37" i="2" s="1"/>
  <c r="K4" i="6"/>
  <c r="M4" i="6" s="1"/>
  <c r="N4" i="6" s="1"/>
  <c r="R6" i="2" s="1"/>
  <c r="J4" i="6"/>
  <c r="I4" i="6"/>
  <c r="H4" i="6"/>
  <c r="G4" i="6"/>
  <c r="F4" i="6"/>
  <c r="E4" i="6"/>
  <c r="D4" i="6"/>
  <c r="C4" i="6"/>
  <c r="B4" i="6"/>
  <c r="K3" i="6"/>
  <c r="M3" i="6" s="1"/>
  <c r="N3" i="6" s="1"/>
  <c r="R5" i="2" s="1"/>
  <c r="J3" i="6"/>
  <c r="I3" i="6"/>
  <c r="H3" i="6"/>
  <c r="G3" i="6"/>
  <c r="F3" i="6"/>
  <c r="E3" i="6"/>
  <c r="D3" i="6"/>
  <c r="C3" i="6"/>
  <c r="B3" i="6"/>
  <c r="K2" i="6"/>
  <c r="M2" i="6" s="1"/>
  <c r="N2" i="6" s="1"/>
  <c r="J2" i="6"/>
  <c r="I2" i="6"/>
  <c r="H2" i="6"/>
  <c r="G2" i="6"/>
  <c r="F2" i="6"/>
  <c r="E2" i="6"/>
  <c r="D2" i="6"/>
  <c r="C2" i="6"/>
  <c r="B2" i="6"/>
  <c r="F42" i="5"/>
  <c r="H35" i="3"/>
  <c r="H34" i="3"/>
  <c r="C36" i="2" s="1"/>
  <c r="P36" i="2" s="1"/>
  <c r="H33" i="3"/>
  <c r="C35" i="2" s="1"/>
  <c r="P35" i="2" s="1"/>
  <c r="H32" i="3"/>
  <c r="C34" i="2" s="1"/>
  <c r="P34" i="2" s="1"/>
  <c r="H31" i="3"/>
  <c r="C33" i="2" s="1"/>
  <c r="P33" i="2" s="1"/>
  <c r="H30" i="3"/>
  <c r="H29" i="3"/>
  <c r="C31" i="2" s="1"/>
  <c r="P31" i="2" s="1"/>
  <c r="H28" i="3"/>
  <c r="C30" i="2" s="1"/>
  <c r="P30" i="2" s="1"/>
  <c r="H27" i="3"/>
  <c r="H26" i="3"/>
  <c r="H25" i="3"/>
  <c r="H24" i="3"/>
  <c r="H23" i="3"/>
  <c r="H22" i="3"/>
  <c r="C24" i="2" s="1"/>
  <c r="P24" i="2" s="1"/>
  <c r="H21" i="3"/>
  <c r="H20" i="3"/>
  <c r="H19" i="3"/>
  <c r="H18" i="3"/>
  <c r="H17" i="3"/>
  <c r="H16" i="3"/>
  <c r="H15" i="3"/>
  <c r="C17" i="2" s="1"/>
  <c r="P17" i="2" s="1"/>
  <c r="H14" i="3"/>
  <c r="H13" i="3"/>
  <c r="H12" i="3"/>
  <c r="H11" i="3"/>
  <c r="H10" i="3"/>
  <c r="C12" i="2" s="1"/>
  <c r="P12" i="2" s="1"/>
  <c r="H9" i="3"/>
  <c r="C11" i="2" s="1"/>
  <c r="P11" i="2" s="1"/>
  <c r="H8" i="3"/>
  <c r="H7" i="3"/>
  <c r="H6" i="3"/>
  <c r="H5" i="3"/>
  <c r="C7" i="2" s="1"/>
  <c r="P7" i="2" s="1"/>
  <c r="H4" i="3"/>
  <c r="H3" i="3"/>
  <c r="H2" i="3"/>
  <c r="E63" i="2"/>
  <c r="D61" i="2"/>
  <c r="H60" i="2"/>
  <c r="E60" i="2"/>
  <c r="H59" i="2"/>
  <c r="E59" i="2"/>
  <c r="F59" i="2" s="1"/>
  <c r="H6" i="1" s="1"/>
  <c r="D59" i="2"/>
  <c r="H58" i="2"/>
  <c r="E58" i="2"/>
  <c r="D58" i="2"/>
  <c r="H57" i="2"/>
  <c r="E57" i="2"/>
  <c r="E61" i="2" s="1"/>
  <c r="O37" i="2"/>
  <c r="C37" i="2"/>
  <c r="P37" i="2" s="1"/>
  <c r="O36" i="2"/>
  <c r="O35" i="2"/>
  <c r="T34" i="2"/>
  <c r="O34" i="2"/>
  <c r="T33" i="2"/>
  <c r="O33" i="2"/>
  <c r="P32" i="2"/>
  <c r="E43" i="1" s="1"/>
  <c r="O32" i="2"/>
  <c r="C32" i="2"/>
  <c r="O31" i="2"/>
  <c r="O30" i="2"/>
  <c r="T29" i="2"/>
  <c r="O29" i="2"/>
  <c r="C29" i="2"/>
  <c r="P29" i="2" s="1"/>
  <c r="T28" i="2"/>
  <c r="A39" i="1" s="1"/>
  <c r="P28" i="2"/>
  <c r="O28" i="2"/>
  <c r="C28" i="2"/>
  <c r="P27" i="2"/>
  <c r="O27" i="2"/>
  <c r="C27" i="2"/>
  <c r="P26" i="2"/>
  <c r="E37" i="1" s="1"/>
  <c r="C26" i="2"/>
  <c r="P25" i="2"/>
  <c r="AA48" i="1" s="1"/>
  <c r="O25" i="2"/>
  <c r="C25" i="2"/>
  <c r="O24" i="2"/>
  <c r="T23" i="2"/>
  <c r="O23" i="2"/>
  <c r="C23" i="2"/>
  <c r="P23" i="2" s="1"/>
  <c r="T22" i="2"/>
  <c r="A33" i="1" s="1"/>
  <c r="O22" i="2"/>
  <c r="C22" i="2"/>
  <c r="P22" i="2" s="1"/>
  <c r="T21" i="2"/>
  <c r="P21" i="2"/>
  <c r="C21" i="2"/>
  <c r="P20" i="2"/>
  <c r="C20" i="2"/>
  <c r="T19" i="2"/>
  <c r="P19" i="2"/>
  <c r="O19" i="2"/>
  <c r="C19" i="2"/>
  <c r="T18" i="2"/>
  <c r="O18" i="2"/>
  <c r="C18" i="2"/>
  <c r="P18" i="2" s="1"/>
  <c r="T17" i="2"/>
  <c r="O17" i="2"/>
  <c r="T16" i="2"/>
  <c r="O16" i="2"/>
  <c r="C16" i="2"/>
  <c r="P16" i="2" s="1"/>
  <c r="P15" i="2"/>
  <c r="E26" i="1" s="1"/>
  <c r="O15" i="2"/>
  <c r="C15" i="2"/>
  <c r="T14" i="2"/>
  <c r="P14" i="2"/>
  <c r="O14" i="2"/>
  <c r="C14" i="2"/>
  <c r="O13" i="2"/>
  <c r="C13" i="2"/>
  <c r="P13" i="2" s="1"/>
  <c r="O12" i="2"/>
  <c r="O11" i="2"/>
  <c r="T10" i="2"/>
  <c r="O10" i="2"/>
  <c r="C10" i="2"/>
  <c r="P10" i="2" s="1"/>
  <c r="T9" i="2"/>
  <c r="P9" i="2"/>
  <c r="O9" i="2"/>
  <c r="C9" i="2"/>
  <c r="P8" i="2"/>
  <c r="O8" i="2"/>
  <c r="C8" i="2"/>
  <c r="O7" i="2"/>
  <c r="O6" i="2"/>
  <c r="C6" i="2"/>
  <c r="P6" i="2" s="1"/>
  <c r="T5" i="2"/>
  <c r="O5" i="2"/>
  <c r="C5" i="2"/>
  <c r="P5" i="2" s="1"/>
  <c r="T4" i="2"/>
  <c r="A15" i="1" s="1"/>
  <c r="P4" i="2"/>
  <c r="O4" i="2"/>
  <c r="C4" i="2"/>
  <c r="D48" i="1"/>
  <c r="C48" i="1"/>
  <c r="C47" i="1"/>
  <c r="C46" i="1"/>
  <c r="D46" i="1" s="1"/>
  <c r="D45" i="1"/>
  <c r="C45" i="1"/>
  <c r="A45" i="1"/>
  <c r="C44" i="1"/>
  <c r="AA43" i="1"/>
  <c r="C43" i="1"/>
  <c r="D43" i="1" s="1"/>
  <c r="D42" i="1"/>
  <c r="C42" i="1"/>
  <c r="C41" i="1"/>
  <c r="C40" i="1"/>
  <c r="D40" i="1" s="1"/>
  <c r="AA39" i="1"/>
  <c r="E39" i="1"/>
  <c r="D39" i="1"/>
  <c r="C39" i="1"/>
  <c r="E38" i="1"/>
  <c r="C38" i="1"/>
  <c r="C37" i="1"/>
  <c r="E36" i="1"/>
  <c r="D36" i="1"/>
  <c r="C36" i="1"/>
  <c r="C35" i="1"/>
  <c r="AA34" i="1"/>
  <c r="D34" i="1"/>
  <c r="Z15" i="1" s="1"/>
  <c r="C34" i="1"/>
  <c r="A34" i="1" s="1"/>
  <c r="D33" i="1"/>
  <c r="C33" i="1"/>
  <c r="E32" i="1"/>
  <c r="C32" i="1"/>
  <c r="E31" i="1"/>
  <c r="C31" i="1"/>
  <c r="AA30" i="1"/>
  <c r="E30" i="1"/>
  <c r="D30" i="1"/>
  <c r="C30" i="1"/>
  <c r="A30" i="1"/>
  <c r="C29" i="1"/>
  <c r="D28" i="1"/>
  <c r="C28" i="1"/>
  <c r="A28" i="1" s="1"/>
  <c r="D27" i="1"/>
  <c r="C27" i="1"/>
  <c r="A27" i="1"/>
  <c r="C26" i="1"/>
  <c r="E25" i="1"/>
  <c r="D25" i="1"/>
  <c r="C25" i="1"/>
  <c r="A25" i="1" s="1"/>
  <c r="AA24" i="1"/>
  <c r="D24" i="1"/>
  <c r="C24" i="1"/>
  <c r="C23" i="1"/>
  <c r="AA22" i="1"/>
  <c r="D22" i="1"/>
  <c r="C22" i="1"/>
  <c r="A22" i="1" s="1"/>
  <c r="D21" i="1"/>
  <c r="C21" i="1"/>
  <c r="A21" i="1"/>
  <c r="AA20" i="1"/>
  <c r="E20" i="1"/>
  <c r="C20" i="1"/>
  <c r="AA19" i="1"/>
  <c r="E19" i="1"/>
  <c r="D19" i="1"/>
  <c r="C19" i="1"/>
  <c r="AA18" i="1"/>
  <c r="D18" i="1"/>
  <c r="C18" i="1"/>
  <c r="C17" i="1"/>
  <c r="D16" i="1"/>
  <c r="C16" i="1"/>
  <c r="Z17" i="1" s="1"/>
  <c r="E15" i="1"/>
  <c r="D15" i="1"/>
  <c r="C15" i="1"/>
  <c r="Z46" i="1" s="1"/>
  <c r="AC13" i="1"/>
  <c r="L10" i="1"/>
  <c r="L7" i="1"/>
  <c r="K7" i="1"/>
  <c r="L6" i="1"/>
  <c r="K6" i="1"/>
  <c r="L5" i="1"/>
  <c r="K5" i="1"/>
  <c r="L4" i="1"/>
  <c r="K4" i="1"/>
  <c r="G48" i="1" l="1"/>
  <c r="AC44" i="1"/>
  <c r="R15" i="2"/>
  <c r="R27" i="2"/>
  <c r="R20" i="2"/>
  <c r="R32" i="2"/>
  <c r="R8" i="2"/>
  <c r="R13" i="2"/>
  <c r="R25" i="2"/>
  <c r="F58" i="2"/>
  <c r="H5" i="1" s="1"/>
  <c r="R30" i="2"/>
  <c r="G41" i="1" s="1"/>
  <c r="R18" i="2"/>
  <c r="R35" i="2"/>
  <c r="G47" i="1"/>
  <c r="R4" i="2"/>
  <c r="R16" i="2"/>
  <c r="R28" i="2"/>
  <c r="R33" i="2"/>
  <c r="AC42" i="1" s="1"/>
  <c r="G29" i="1"/>
  <c r="I29" i="1" s="1"/>
  <c r="J29" i="1" s="1"/>
  <c r="R21" i="2"/>
  <c r="AC19" i="1" s="1"/>
  <c r="R9" i="2"/>
  <c r="G20" i="1" s="1"/>
  <c r="I20" i="1" s="1"/>
  <c r="J20" i="1" s="1"/>
  <c r="R26" i="2"/>
  <c r="R14" i="2"/>
  <c r="R19" i="2"/>
  <c r="R31" i="2"/>
  <c r="G38" i="1"/>
  <c r="R7" i="2"/>
  <c r="R24" i="2"/>
  <c r="R36" i="2"/>
  <c r="R12" i="2"/>
  <c r="R29" i="2"/>
  <c r="AC47" i="1"/>
  <c r="G45" i="1"/>
  <c r="AA44" i="1"/>
  <c r="E48" i="1"/>
  <c r="AC18" i="1"/>
  <c r="AC39" i="1"/>
  <c r="G31" i="1"/>
  <c r="AC30" i="1"/>
  <c r="AA32" i="1"/>
  <c r="E29" i="1"/>
  <c r="Q18" i="2"/>
  <c r="F60" i="2"/>
  <c r="H7" i="1" s="1"/>
  <c r="F57" i="2"/>
  <c r="H4" i="1" s="1"/>
  <c r="G19" i="1"/>
  <c r="AC24" i="1"/>
  <c r="G43" i="1"/>
  <c r="AC45" i="1"/>
  <c r="E28" i="1"/>
  <c r="AA27" i="1"/>
  <c r="AC23" i="1"/>
  <c r="G24" i="1"/>
  <c r="AC48" i="1"/>
  <c r="G36" i="1"/>
  <c r="G44" i="1"/>
  <c r="AC32" i="1"/>
  <c r="AC38" i="1"/>
  <c r="AC26" i="1"/>
  <c r="G23" i="1"/>
  <c r="AA35" i="1"/>
  <c r="E21" i="1"/>
  <c r="G46" i="1"/>
  <c r="AC31" i="1"/>
  <c r="AA41" i="1"/>
  <c r="E47" i="1"/>
  <c r="AC29" i="1"/>
  <c r="G22" i="1"/>
  <c r="G34" i="1"/>
  <c r="AC15" i="1"/>
  <c r="E40" i="1"/>
  <c r="AA36" i="1"/>
  <c r="AC17" i="1"/>
  <c r="G33" i="1"/>
  <c r="I47" i="1"/>
  <c r="J47" i="1" s="1"/>
  <c r="AC20" i="1"/>
  <c r="G15" i="1"/>
  <c r="AC34" i="1"/>
  <c r="G39" i="1"/>
  <c r="E23" i="1"/>
  <c r="AA28" i="1"/>
  <c r="Q24" i="2"/>
  <c r="AA16" i="1"/>
  <c r="E35" i="1"/>
  <c r="G27" i="1"/>
  <c r="AC37" i="1"/>
  <c r="G35" i="1"/>
  <c r="AC35" i="1"/>
  <c r="G21" i="1"/>
  <c r="AE44" i="1"/>
  <c r="AF44" i="1" s="1"/>
  <c r="Q13" i="2"/>
  <c r="AA23" i="1"/>
  <c r="E24" i="1"/>
  <c r="G37" i="1"/>
  <c r="AC46" i="1"/>
  <c r="G17" i="1"/>
  <c r="G26" i="1"/>
  <c r="AA17" i="1"/>
  <c r="E33" i="1"/>
  <c r="G25" i="1"/>
  <c r="AC22" i="1"/>
  <c r="I38" i="1"/>
  <c r="J38" i="1" s="1"/>
  <c r="G30" i="1"/>
  <c r="AC43" i="1"/>
  <c r="G42" i="1"/>
  <c r="AC40" i="1"/>
  <c r="AC21" i="1"/>
  <c r="G18" i="1"/>
  <c r="E34" i="1"/>
  <c r="Q23" i="2"/>
  <c r="AA15" i="1"/>
  <c r="AA21" i="1"/>
  <c r="E18" i="1"/>
  <c r="E42" i="1"/>
  <c r="Q31" i="2"/>
  <c r="AA40" i="1"/>
  <c r="P38" i="2"/>
  <c r="Q36" i="2" s="1"/>
  <c r="E16" i="1"/>
  <c r="AA25" i="1"/>
  <c r="AC28" i="1"/>
  <c r="AC41" i="1"/>
  <c r="AC16" i="1"/>
  <c r="Q33" i="2"/>
  <c r="E44" i="1"/>
  <c r="AA42" i="1"/>
  <c r="Q34" i="2"/>
  <c r="AA47" i="1"/>
  <c r="E45" i="1"/>
  <c r="G16" i="1"/>
  <c r="AC25" i="1"/>
  <c r="G28" i="1"/>
  <c r="AC27" i="1"/>
  <c r="G40" i="1"/>
  <c r="AC36" i="1"/>
  <c r="Q30" i="2"/>
  <c r="AA38" i="1"/>
  <c r="E41" i="1"/>
  <c r="AA26" i="1"/>
  <c r="E17" i="1"/>
  <c r="E27" i="1"/>
  <c r="AA37" i="1"/>
  <c r="E22" i="1"/>
  <c r="AA29" i="1"/>
  <c r="Q11" i="2"/>
  <c r="E46" i="1"/>
  <c r="Q35" i="2"/>
  <c r="AA31" i="1"/>
  <c r="AA46" i="1"/>
  <c r="Q4" i="2"/>
  <c r="D22" i="8"/>
  <c r="A17" i="1"/>
  <c r="A20" i="1"/>
  <c r="A23" i="1"/>
  <c r="A29" i="1"/>
  <c r="A32" i="1"/>
  <c r="A35" i="1"/>
  <c r="A41" i="1"/>
  <c r="A44" i="1"/>
  <c r="Z21" i="1"/>
  <c r="Z27" i="1"/>
  <c r="Z36" i="1"/>
  <c r="Z45" i="1"/>
  <c r="Z48" i="1"/>
  <c r="D29" i="1"/>
  <c r="Z32" i="1" s="1"/>
  <c r="D32" i="1"/>
  <c r="Z19" i="1" s="1"/>
  <c r="AA33" i="1"/>
  <c r="D35" i="1"/>
  <c r="Z16" i="1" s="1"/>
  <c r="D38" i="1"/>
  <c r="Z39" i="1" s="1"/>
  <c r="D41" i="1"/>
  <c r="Z38" i="1" s="1"/>
  <c r="D44" i="1"/>
  <c r="Z42" i="1" s="1"/>
  <c r="AA45" i="1"/>
  <c r="D47" i="1"/>
  <c r="Z41" i="1" s="1"/>
  <c r="Q15" i="2"/>
  <c r="E13" i="8"/>
  <c r="T15" i="2" s="1"/>
  <c r="A26" i="1" s="1"/>
  <c r="D18" i="8"/>
  <c r="D23" i="1"/>
  <c r="Z28" i="1" s="1"/>
  <c r="D26" i="1"/>
  <c r="Z18" i="1" s="1"/>
  <c r="E18" i="8"/>
  <c r="T20" i="2" s="1"/>
  <c r="A31" i="1" s="1"/>
  <c r="D23" i="8"/>
  <c r="Z24" i="1"/>
  <c r="E23" i="8"/>
  <c r="T25" i="2" s="1"/>
  <c r="A36" i="1" s="1"/>
  <c r="Z30" i="1"/>
  <c r="D17" i="1"/>
  <c r="Z26" i="1" s="1"/>
  <c r="D20" i="1"/>
  <c r="Z33" i="1" s="1"/>
  <c r="A16" i="1"/>
  <c r="A40" i="1"/>
  <c r="A43" i="1"/>
  <c r="A46" i="1"/>
  <c r="D24" i="8"/>
  <c r="Q26" i="2"/>
  <c r="Z20" i="1"/>
  <c r="Z23" i="1"/>
  <c r="Z29" i="1"/>
  <c r="Z35" i="1"/>
  <c r="Z44" i="1"/>
  <c r="Z47" i="1"/>
  <c r="D5" i="8"/>
  <c r="E24" i="8"/>
  <c r="T26" i="2" s="1"/>
  <c r="A37" i="1" s="1"/>
  <c r="D29" i="8"/>
  <c r="E5" i="8"/>
  <c r="T7" i="2" s="1"/>
  <c r="A18" i="1" s="1"/>
  <c r="D10" i="8"/>
  <c r="E29" i="8"/>
  <c r="T31" i="2" s="1"/>
  <c r="A42" i="1" s="1"/>
  <c r="D34" i="8"/>
  <c r="E34" i="8"/>
  <c r="T36" i="2" s="1"/>
  <c r="A47" i="1" s="1"/>
  <c r="D6" i="8"/>
  <c r="E25" i="8"/>
  <c r="T27" i="2" s="1"/>
  <c r="A38" i="1" s="1"/>
  <c r="D30" i="8"/>
  <c r="E6" i="8"/>
  <c r="T8" i="2" s="1"/>
  <c r="A19" i="1" s="1"/>
  <c r="D11" i="8"/>
  <c r="E30" i="8"/>
  <c r="T32" i="2" s="1"/>
  <c r="D35" i="8"/>
  <c r="E11" i="8"/>
  <c r="T13" i="2" s="1"/>
  <c r="A24" i="1" s="1"/>
  <c r="E35" i="8"/>
  <c r="T37" i="2" s="1"/>
  <c r="A48" i="1" s="1"/>
  <c r="Z22" i="1"/>
  <c r="Z25" i="1"/>
  <c r="Z31" i="1"/>
  <c r="Z34" i="1"/>
  <c r="Z37" i="1"/>
  <c r="Z40" i="1"/>
  <c r="Z43" i="1"/>
  <c r="AC33" i="1" l="1"/>
  <c r="R38" i="2"/>
  <c r="S21" i="2"/>
  <c r="G32" i="1"/>
  <c r="I32" i="1" s="1"/>
  <c r="J32" i="1" s="1"/>
  <c r="E5" i="1"/>
  <c r="AE16" i="1"/>
  <c r="AF16" i="1" s="1"/>
  <c r="G5" i="1"/>
  <c r="I5" i="1" s="1"/>
  <c r="J5" i="1" s="1"/>
  <c r="AE33" i="1"/>
  <c r="AF33" i="1" s="1"/>
  <c r="AB38" i="1"/>
  <c r="E6" i="1"/>
  <c r="AB16" i="1"/>
  <c r="I34" i="1"/>
  <c r="J34" i="1" s="1"/>
  <c r="AE32" i="1"/>
  <c r="AF32" i="1" s="1"/>
  <c r="F29" i="1"/>
  <c r="AE41" i="1"/>
  <c r="AF41" i="1" s="1"/>
  <c r="G6" i="1"/>
  <c r="I6" i="1" s="1"/>
  <c r="J6" i="1" s="1"/>
  <c r="AB32" i="1"/>
  <c r="AE36" i="1"/>
  <c r="AF36" i="1" s="1"/>
  <c r="AE28" i="1"/>
  <c r="AF28" i="1" s="1"/>
  <c r="AE46" i="1"/>
  <c r="AF46" i="1" s="1"/>
  <c r="I22" i="1"/>
  <c r="J22" i="1" s="1"/>
  <c r="I44" i="1"/>
  <c r="J44" i="1" s="1"/>
  <c r="AE29" i="1"/>
  <c r="AF29" i="1" s="1"/>
  <c r="I36" i="1"/>
  <c r="J36" i="1" s="1"/>
  <c r="I40" i="1"/>
  <c r="J40" i="1" s="1"/>
  <c r="AB25" i="1"/>
  <c r="I18" i="1"/>
  <c r="J18" i="1" s="1"/>
  <c r="I37" i="1"/>
  <c r="J37" i="1" s="1"/>
  <c r="F23" i="1"/>
  <c r="Q27" i="2"/>
  <c r="AE30" i="1"/>
  <c r="AF30" i="1" s="1"/>
  <c r="Q5" i="2"/>
  <c r="AE21" i="1"/>
  <c r="AF21" i="1" s="1"/>
  <c r="Q12" i="2"/>
  <c r="AE48" i="1"/>
  <c r="AF48" i="1" s="1"/>
  <c r="I31" i="1"/>
  <c r="J31" i="1" s="1"/>
  <c r="AB45" i="1"/>
  <c r="AE27" i="1"/>
  <c r="AF27" i="1" s="1"/>
  <c r="F16" i="1"/>
  <c r="AE40" i="1"/>
  <c r="AF40" i="1" s="1"/>
  <c r="I39" i="1"/>
  <c r="J39" i="1" s="1"/>
  <c r="I24" i="1"/>
  <c r="J24" i="1" s="1"/>
  <c r="S20" i="2"/>
  <c r="I28" i="1"/>
  <c r="J28" i="1" s="1"/>
  <c r="AE19" i="1"/>
  <c r="AF19" i="1" s="1"/>
  <c r="AB41" i="1"/>
  <c r="AE23" i="1"/>
  <c r="AF23" i="1" s="1"/>
  <c r="AE25" i="1"/>
  <c r="AF25" i="1" s="1"/>
  <c r="Q20" i="2"/>
  <c r="Q19" i="2"/>
  <c r="Q32" i="2"/>
  <c r="Q8" i="2"/>
  <c r="Q25" i="2"/>
  <c r="Q21" i="2"/>
  <c r="Q14" i="2"/>
  <c r="I42" i="1"/>
  <c r="J42" i="1" s="1"/>
  <c r="F24" i="1"/>
  <c r="AE34" i="1"/>
  <c r="AF34" i="1" s="1"/>
  <c r="AE31" i="1"/>
  <c r="AF31" i="1" s="1"/>
  <c r="S13" i="2"/>
  <c r="AB31" i="1"/>
  <c r="AB40" i="1"/>
  <c r="AE43" i="1"/>
  <c r="AF43" i="1" s="1"/>
  <c r="AB23" i="1"/>
  <c r="S35" i="2"/>
  <c r="AE39" i="1"/>
  <c r="AF39" i="1" s="1"/>
  <c r="I16" i="1"/>
  <c r="J16" i="1" s="1"/>
  <c r="I30" i="1"/>
  <c r="J30" i="1" s="1"/>
  <c r="E11" i="1"/>
  <c r="I15" i="1"/>
  <c r="J15" i="1" s="1"/>
  <c r="I46" i="1"/>
  <c r="J46" i="1" s="1"/>
  <c r="S27" i="2"/>
  <c r="AB33" i="1"/>
  <c r="F46" i="1"/>
  <c r="F45" i="1"/>
  <c r="F42" i="1"/>
  <c r="Q28" i="2"/>
  <c r="AB27" i="1"/>
  <c r="AE18" i="1"/>
  <c r="AF18" i="1" s="1"/>
  <c r="AB47" i="1"/>
  <c r="Q7" i="2"/>
  <c r="E49" i="1"/>
  <c r="AB28" i="1" s="1"/>
  <c r="AE20" i="1"/>
  <c r="AF20" i="1" s="1"/>
  <c r="F21" i="1"/>
  <c r="F28" i="1"/>
  <c r="S15" i="2"/>
  <c r="AB29" i="1"/>
  <c r="F18" i="1"/>
  <c r="AB35" i="1"/>
  <c r="Q17" i="2"/>
  <c r="C60" i="2"/>
  <c r="D60" i="2" s="1"/>
  <c r="I48" i="1"/>
  <c r="J48" i="1" s="1"/>
  <c r="C57" i="2"/>
  <c r="D57" i="2" s="1"/>
  <c r="F48" i="1"/>
  <c r="F22" i="1"/>
  <c r="AB21" i="1"/>
  <c r="I21" i="1"/>
  <c r="J21" i="1" s="1"/>
  <c r="Q10" i="2"/>
  <c r="AB44" i="1"/>
  <c r="AB37" i="1"/>
  <c r="AA49" i="1"/>
  <c r="AB15" i="1"/>
  <c r="AE35" i="1"/>
  <c r="AF35" i="1" s="1"/>
  <c r="I23" i="1"/>
  <c r="J23" i="1" s="1"/>
  <c r="S32" i="2"/>
  <c r="Q37" i="2"/>
  <c r="F27" i="1"/>
  <c r="AE22" i="1"/>
  <c r="AF22" i="1" s="1"/>
  <c r="I33" i="1"/>
  <c r="J33" i="1" s="1"/>
  <c r="S6" i="2"/>
  <c r="AE45" i="1"/>
  <c r="AF45" i="1" s="1"/>
  <c r="Q16" i="2"/>
  <c r="F34" i="1"/>
  <c r="I25" i="1"/>
  <c r="J25" i="1" s="1"/>
  <c r="AE42" i="1"/>
  <c r="AF42" i="1" s="1"/>
  <c r="S22" i="2"/>
  <c r="AE26" i="1"/>
  <c r="AF26" i="1" s="1"/>
  <c r="I43" i="1"/>
  <c r="J43" i="1" s="1"/>
  <c r="F17" i="1"/>
  <c r="E4" i="1"/>
  <c r="F33" i="1"/>
  <c r="S33" i="2"/>
  <c r="AE17" i="1"/>
  <c r="AF17" i="1" s="1"/>
  <c r="Q9" i="2"/>
  <c r="S8" i="2"/>
  <c r="I41" i="1"/>
  <c r="J41" i="1" s="1"/>
  <c r="AB26" i="1"/>
  <c r="AB42" i="1"/>
  <c r="E7" i="1"/>
  <c r="Q22" i="2"/>
  <c r="I35" i="1"/>
  <c r="J35" i="1" s="1"/>
  <c r="AB36" i="1"/>
  <c r="AE24" i="1"/>
  <c r="AF24" i="1" s="1"/>
  <c r="Q6" i="2"/>
  <c r="Q38" i="2" s="1"/>
  <c r="F44" i="1"/>
  <c r="G4" i="1"/>
  <c r="AB17" i="1"/>
  <c r="AE37" i="1"/>
  <c r="AF37" i="1" s="1"/>
  <c r="Q29" i="2"/>
  <c r="I19" i="1"/>
  <c r="J19" i="1" s="1"/>
  <c r="I45" i="1"/>
  <c r="J45" i="1" s="1"/>
  <c r="G7" i="1"/>
  <c r="I26" i="1"/>
  <c r="J26" i="1" s="1"/>
  <c r="I27" i="1"/>
  <c r="J27" i="1" s="1"/>
  <c r="F40" i="1"/>
  <c r="AE38" i="1"/>
  <c r="AF38" i="1" s="1"/>
  <c r="AE47" i="1"/>
  <c r="AF47" i="1" s="1"/>
  <c r="I17" i="1"/>
  <c r="J17" i="1" s="1"/>
  <c r="AC49" i="1"/>
  <c r="AE15" i="1"/>
  <c r="AF15" i="1" s="1"/>
  <c r="S30" i="2"/>
  <c r="I7" i="1" l="1"/>
  <c r="J7" i="1" s="1"/>
  <c r="G49" i="1"/>
  <c r="S34" i="2"/>
  <c r="S16" i="2"/>
  <c r="S14" i="2"/>
  <c r="S36" i="2"/>
  <c r="S11" i="2"/>
  <c r="S19" i="2"/>
  <c r="S24" i="2"/>
  <c r="S23" i="2"/>
  <c r="S10" i="2"/>
  <c r="S31" i="2"/>
  <c r="S25" i="2"/>
  <c r="S7" i="2"/>
  <c r="S12" i="2"/>
  <c r="S4" i="2"/>
  <c r="S38" i="2" s="1"/>
  <c r="S5" i="2"/>
  <c r="S18" i="2"/>
  <c r="S26" i="2"/>
  <c r="S37" i="2"/>
  <c r="S28" i="2"/>
  <c r="S17" i="2"/>
  <c r="S29" i="2"/>
  <c r="S9" i="2"/>
  <c r="AD19" i="1"/>
  <c r="AD30" i="1"/>
  <c r="H28" i="1"/>
  <c r="AD36" i="1"/>
  <c r="H37" i="1"/>
  <c r="AD41" i="1"/>
  <c r="AD31" i="1"/>
  <c r="H35" i="1"/>
  <c r="AD34" i="1"/>
  <c r="H24" i="1"/>
  <c r="H18" i="1"/>
  <c r="H39" i="1"/>
  <c r="AD32" i="1"/>
  <c r="AE49" i="1"/>
  <c r="AF49" i="1" s="1"/>
  <c r="AD45" i="1"/>
  <c r="H46" i="1"/>
  <c r="H42" i="1"/>
  <c r="AD40" i="1"/>
  <c r="H40" i="1"/>
  <c r="H34" i="1"/>
  <c r="H33" i="1"/>
  <c r="H15" i="1"/>
  <c r="H49" i="1" s="1"/>
  <c r="I49" i="1"/>
  <c r="J49" i="1" s="1"/>
  <c r="H32" i="1"/>
  <c r="H41" i="1"/>
  <c r="H29" i="1"/>
  <c r="H47" i="1"/>
  <c r="H38" i="1"/>
  <c r="AD44" i="1"/>
  <c r="H20" i="1"/>
  <c r="H48" i="1"/>
  <c r="AD27" i="1"/>
  <c r="AD29" i="1"/>
  <c r="H30" i="1"/>
  <c r="F35" i="1"/>
  <c r="G8" i="1"/>
  <c r="I4" i="1"/>
  <c r="J4" i="1" s="1"/>
  <c r="H31" i="1"/>
  <c r="H44" i="1"/>
  <c r="AD33" i="1"/>
  <c r="AD17" i="1"/>
  <c r="H19" i="1"/>
  <c r="H23" i="1"/>
  <c r="AD20" i="1"/>
  <c r="AD25" i="1"/>
  <c r="E8" i="1"/>
  <c r="F5" i="1" s="1"/>
  <c r="AD48" i="1"/>
  <c r="H22" i="1"/>
  <c r="F31" i="1"/>
  <c r="F25" i="1"/>
  <c r="F38" i="1"/>
  <c r="F39" i="1"/>
  <c r="F36" i="1"/>
  <c r="F30" i="1"/>
  <c r="AB19" i="1"/>
  <c r="AB39" i="1"/>
  <c r="F15" i="1"/>
  <c r="F20" i="1"/>
  <c r="F43" i="1"/>
  <c r="F19" i="1"/>
  <c r="AB48" i="1"/>
  <c r="AB20" i="1"/>
  <c r="AB43" i="1"/>
  <c r="F26" i="1"/>
  <c r="AB34" i="1"/>
  <c r="F37" i="1"/>
  <c r="AB30" i="1"/>
  <c r="F32" i="1"/>
  <c r="AB18" i="1"/>
  <c r="AB22" i="1"/>
  <c r="AB24" i="1"/>
  <c r="AD39" i="1"/>
  <c r="AB46" i="1"/>
  <c r="F47" i="1"/>
  <c r="AD16" i="1"/>
  <c r="H26" i="1"/>
  <c r="AD37" i="1"/>
  <c r="H43" i="1"/>
  <c r="AD35" i="1"/>
  <c r="AD23" i="1"/>
  <c r="AD46" i="1"/>
  <c r="F41" i="1"/>
  <c r="H36" i="1" l="1"/>
  <c r="AD24" i="1"/>
  <c r="AD43" i="1"/>
  <c r="AD42" i="1"/>
  <c r="AD38" i="1"/>
  <c r="H25" i="1"/>
  <c r="H45" i="1"/>
  <c r="H17" i="1"/>
  <c r="H16" i="1"/>
  <c r="H21" i="1"/>
  <c r="AD26" i="1"/>
  <c r="H27" i="1"/>
  <c r="AD21" i="1"/>
  <c r="AD18" i="1"/>
  <c r="AD47" i="1"/>
  <c r="AD28" i="1"/>
  <c r="AD22" i="1"/>
  <c r="AD15" i="1"/>
  <c r="F49" i="1"/>
  <c r="G10" i="1"/>
  <c r="I8" i="1"/>
  <c r="J8" i="1" s="1"/>
  <c r="F8" i="1"/>
  <c r="E10" i="1"/>
  <c r="F6" i="1"/>
  <c r="F7" i="1"/>
  <c r="F4" i="1"/>
</calcChain>
</file>

<file path=xl/sharedStrings.xml><?xml version="1.0" encoding="utf-8"?>
<sst xmlns="http://schemas.openxmlformats.org/spreadsheetml/2006/main" count="379" uniqueCount="251">
  <si>
    <t>BOARDINGS BY SUB-MODE</t>
  </si>
  <si>
    <t>OBS</t>
  </si>
  <si>
    <t>ABM</t>
  </si>
  <si>
    <t>DIFF</t>
  </si>
  <si>
    <t>Sub-mode Constant (DaySim)</t>
  </si>
  <si>
    <t>NOTE:</t>
  </si>
  <si>
    <t>Mode</t>
  </si>
  <si>
    <t>Transit sub-mode</t>
  </si>
  <si>
    <t>Count</t>
  </si>
  <si>
    <t>Percentage</t>
  </si>
  <si>
    <t>Utils</t>
  </si>
  <si>
    <t>Mins</t>
  </si>
  <si>
    <t>diff in by sub-mode in TrnStat.asc and this table is because of Rte 18 Airport Exp. There are two servies, one is Exp and one local. TrnStat.asc considers both as local.</t>
  </si>
  <si>
    <t>Path Impedance</t>
  </si>
  <si>
    <t>1,11</t>
  </si>
  <si>
    <t>Local Bus</t>
  </si>
  <si>
    <t xml:space="preserve">PathImpedance_TransitLocalBusPathConstant = 0.05 </t>
  </si>
  <si>
    <t>6,7</t>
  </si>
  <si>
    <t>Express Bus</t>
  </si>
  <si>
    <t>PathImpedance_TransitPremiumBusPathConstant = 0.12</t>
  </si>
  <si>
    <t>BRT</t>
  </si>
  <si>
    <t xml:space="preserve">PathImpedance_TransitLightRailPathConstant = 0.0 </t>
  </si>
  <si>
    <t>Commuter Rail</t>
  </si>
  <si>
    <t xml:space="preserve">PathImpedance_TransitCommuterRailPathConstant = 1.15 </t>
  </si>
  <si>
    <t>Total</t>
  </si>
  <si>
    <t>PathImpedance_TransitFerryPathConstant = 0.07</t>
  </si>
  <si>
    <t>Transit trips</t>
  </si>
  <si>
    <t xml:space="preserve">PathImpedance_TransitUsePathTypeSpecificTime = true </t>
  </si>
  <si>
    <t>Boarding rate</t>
  </si>
  <si>
    <t>Transfer Rate</t>
  </si>
  <si>
    <t>R-Squared</t>
  </si>
  <si>
    <t xml:space="preserve">PathImpedance_TransitPremiumBusTimeAdditiveWeight = -0.204 </t>
  </si>
  <si>
    <t>BOARDINGS BY ROUTE</t>
  </si>
  <si>
    <t>BOARDINGS BY ROUTE (SORTED BY OBS BOARDINGS)</t>
  </si>
  <si>
    <t>PathImpedance_TransitLightRailTimeAdditiveWeight = 0.0</t>
  </si>
  <si>
    <t>PathImpedance_TransitCommuterRailTimeAdditiveWeight = -0.273</t>
  </si>
  <si>
    <t>Rte Id (OBS)</t>
  </si>
  <si>
    <t>Rte Id (ABM)</t>
  </si>
  <si>
    <t>Rte Name</t>
  </si>
  <si>
    <t>Boardings</t>
  </si>
  <si>
    <t>Diff</t>
  </si>
  <si>
    <t>% Diff</t>
  </si>
  <si>
    <t>Reference</t>
  </si>
  <si>
    <t>PathImpedance_TransitFerryTimeAdditiveWeight = -0.318</t>
  </si>
  <si>
    <t>PathImpedance_TransitPremiumBusInVehicleTimeWeight = 0.95</t>
  </si>
  <si>
    <t>PathImpedance_TransitLightRailInVehicleTimeWeight = 1.0</t>
  </si>
  <si>
    <t>PathImpedance_TransitCommuterRailInVehicleTimeWeight = 0.65</t>
  </si>
  <si>
    <t>PathImpedance_TransitFerryInVehicleTimeWeight = 0.80</t>
  </si>
  <si>
    <t>TOTAL</t>
  </si>
  <si>
    <t>ABM_12132015</t>
  </si>
  <si>
    <t>ROUTE_STATION_NUM</t>
  </si>
  <si>
    <t>Following stations are replaced with '301'</t>
  </si>
  <si>
    <t>DON</t>
  </si>
  <si>
    <t>HER</t>
  </si>
  <si>
    <t>JUL</t>
  </si>
  <si>
    <t>LEB</t>
  </si>
  <si>
    <t>MAR</t>
  </si>
  <si>
    <t>RIV</t>
  </si>
  <si>
    <t>18X</t>
  </si>
  <si>
    <t>Boardings by transit sub-mode</t>
  </si>
  <si>
    <t>RouteNumChar</t>
  </si>
  <si>
    <t>RouteNumNum</t>
  </si>
  <si>
    <t>RouteObs</t>
  </si>
  <si>
    <t>ON</t>
  </si>
  <si>
    <t>ObsName</t>
  </si>
  <si>
    <t>ObsOn</t>
  </si>
  <si>
    <t>ObsOff</t>
  </si>
  <si>
    <t>boarding</t>
  </si>
  <si>
    <t>"RouteNumNum" isn't correct, used "RouteNumChar"</t>
  </si>
  <si>
    <t>TRANSIT</t>
  </si>
  <si>
    <t>AM</t>
  </si>
  <si>
    <t>MD</t>
  </si>
  <si>
    <t>PM</t>
  </si>
  <si>
    <t>Route</t>
  </si>
  <si>
    <t>FTA</t>
  </si>
  <si>
    <t>Rover</t>
  </si>
  <si>
    <t>-</t>
  </si>
  <si>
    <t>END</t>
  </si>
  <si>
    <t>REPORTING</t>
  </si>
  <si>
    <t>Fri,</t>
  </si>
  <si>
    <t>Jun</t>
  </si>
  <si>
    <t>(14:59:12)</t>
  </si>
  <si>
    <t>Sat,</t>
  </si>
  <si>
    <t>May</t>
  </si>
  <si>
    <t>(01:49:48)</t>
  </si>
  <si>
    <t>Model Rte txt+A36</t>
  </si>
  <si>
    <t>Model Rte num</t>
  </si>
  <si>
    <t>Modelid</t>
  </si>
  <si>
    <t>Model Rte Name</t>
  </si>
  <si>
    <t>Ridership Oct 2023</t>
  </si>
  <si>
    <t>Daily_20</t>
  </si>
  <si>
    <t>Daily_22</t>
  </si>
  <si>
    <t>Rte 3 West End (Bellevue) IB</t>
  </si>
  <si>
    <t>Rte 4 Shelby IB</t>
  </si>
  <si>
    <t>Rte 6 Lebanon Rd IB</t>
  </si>
  <si>
    <t>Rte 7 Hillsboro IB</t>
  </si>
  <si>
    <t>Rte 8 8TH AVENUE SOUTH iB</t>
  </si>
  <si>
    <t>Rte 9 MetroCenter IB</t>
  </si>
  <si>
    <t>Rte 14 WHITES CREEK iB</t>
  </si>
  <si>
    <t>Rte 17 12TH AVENUE SOUTH iB</t>
  </si>
  <si>
    <t>Rte 18 Airport Exp IB</t>
  </si>
  <si>
    <t>Rte 19 Herman IB</t>
  </si>
  <si>
    <t>Rte 22 Bordeaux (Kings Ln) IB</t>
  </si>
  <si>
    <t>Rte 23 Dickerson Pike IB</t>
  </si>
  <si>
    <t>Rte 28 Meridian IB</t>
  </si>
  <si>
    <t>Rte 29 Jefferson IB</t>
  </si>
  <si>
    <t>Rte 34 Opry Mills IB</t>
  </si>
  <si>
    <t>Rte 41 Golden Valley IB AM</t>
  </si>
  <si>
    <t>Rte 42 St. Cecilia/Cumberland IB</t>
  </si>
  <si>
    <t>Rte 50 CHARLOTTE PIKE iB</t>
  </si>
  <si>
    <t>Rte 52 NOLENSVILLE PIKE (Hick) iB</t>
  </si>
  <si>
    <t>Rte 55 MURFREESBORO PIKE iB</t>
  </si>
  <si>
    <t>Rte 56 Gallatin Rd BRTmix IB</t>
  </si>
  <si>
    <t>Rte 64 STAR DOWNTOWN SHUTTLE</t>
  </si>
  <si>
    <t>Rte 70 Belevue Conn IB</t>
  </si>
  <si>
    <t>Rte 75 Midtown CCW Loop</t>
  </si>
  <si>
    <t>Rte 76 Madison Conn</t>
  </si>
  <si>
    <t>Rte 77 THOMPSON - WEDGEWOOD ccw</t>
  </si>
  <si>
    <t>Rte 79 Skyline iB</t>
  </si>
  <si>
    <t>Rte 84 Murfreesboro Express IB</t>
  </si>
  <si>
    <t>Rte 86 Smyrna Lavergne Exp IB</t>
  </si>
  <si>
    <t>Rte 87 Gallatin Comm Bus IB</t>
  </si>
  <si>
    <t>Rte 89 Spgfield/Joelton Exp OB</t>
  </si>
  <si>
    <t>Rte 90 Music City Star iB</t>
  </si>
  <si>
    <t>Rte 93 MCS West End Shuttle</t>
  </si>
  <si>
    <t>Rte 95 Spring Hill Exp IB</t>
  </si>
  <si>
    <t>Mule</t>
  </si>
  <si>
    <t>check monthly weekday/20</t>
  </si>
  <si>
    <t>Route Name</t>
  </si>
  <si>
    <t>OP   |</t>
  </si>
  <si>
    <t>T</t>
  </si>
  <si>
    <t>otal</t>
  </si>
  <si>
    <t>text</t>
  </si>
  <si>
    <t>Boarding</t>
  </si>
  <si>
    <t>Rte ID</t>
  </si>
  <si>
    <t>Route Id</t>
  </si>
  <si>
    <t>Route Name (RAW)</t>
  </si>
  <si>
    <t>Route Name (Temp)</t>
  </si>
  <si>
    <t>Track</t>
  </si>
  <si>
    <t>RouteNum</t>
  </si>
  <si>
    <t>Route_Name</t>
  </si>
  <si>
    <t>modes</t>
  </si>
  <si>
    <t>Rte 3 West End (White Bridge) IB</t>
  </si>
  <si>
    <t>Rte 3 West End (Bellevue) oB</t>
  </si>
  <si>
    <t>Rte 3 West End (White Bridge) OB</t>
  </si>
  <si>
    <t>Rte 4 Shelby OB</t>
  </si>
  <si>
    <t>Rte 6 Lebanon Rd OB</t>
  </si>
  <si>
    <t>Rte 7 Hillsboro OB</t>
  </si>
  <si>
    <t>Rte 8 8TH AVENUE SOUTH oB</t>
  </si>
  <si>
    <t>Rte 9 MetroCenter OB</t>
  </si>
  <si>
    <t>Rte 14 WHITES CREEK oB</t>
  </si>
  <si>
    <t>Rte 17 12TH AVENUE SOUTH oB</t>
  </si>
  <si>
    <t>Rte 18 Airport Exp OB</t>
  </si>
  <si>
    <t>Rte 18 Airport Local OB</t>
  </si>
  <si>
    <t>Rte 18 Airport Local IB</t>
  </si>
  <si>
    <t>Rte 19 Herman OB</t>
  </si>
  <si>
    <t>Rte 22 Bordeaux (Panaroma) IB</t>
  </si>
  <si>
    <t>Rte 22 Bordeaux (Panaroma) OB</t>
  </si>
  <si>
    <t>Rte 22 Bordeaux (Kings Ln) OB</t>
  </si>
  <si>
    <t>Rte 23 Dickerson Pike OB</t>
  </si>
  <si>
    <t>Rte 23B Dickerson Loop OB</t>
  </si>
  <si>
    <t>Rte 23B Dickerson Loop IB</t>
  </si>
  <si>
    <t>Rte 24 Bellevue Exp AM</t>
  </si>
  <si>
    <t>Rte 24 Bellevue Exp PM</t>
  </si>
  <si>
    <t>Rte 28 Meridian OB</t>
  </si>
  <si>
    <t>Rte 29 Jefferson OB</t>
  </si>
  <si>
    <t>Rte 34 Opry Mills OB</t>
  </si>
  <si>
    <t>Rte 41 Golden Valley OB PM</t>
  </si>
  <si>
    <t>Rte 41 Golden Valley IB PM</t>
  </si>
  <si>
    <t>Rte 41 Golden Valley OB AM</t>
  </si>
  <si>
    <t>Rte 42 St. Cecilia/Cumberland oB</t>
  </si>
  <si>
    <t>Rte 50 CHARLOTTE PIKE oB</t>
  </si>
  <si>
    <t>Rte 52 NOLENSVILLE PIKE (Hick) oB</t>
  </si>
  <si>
    <t>Rte 52 NOLENSVILLE PIKE (Wall) iB</t>
  </si>
  <si>
    <t>Rte 52 NOLENSVILLE PIKE (Wall) oB</t>
  </si>
  <si>
    <t>Rte 55 MURFREESBORO PIKE oB</t>
  </si>
  <si>
    <t>Rte 56 Gallatin Rd IB</t>
  </si>
  <si>
    <t>Rte 56 Gallatin Rd oB</t>
  </si>
  <si>
    <t>Rte 56 Gallatin Rd BRTmix OB</t>
  </si>
  <si>
    <t>Rte 70 Belevue Conn OB</t>
  </si>
  <si>
    <t>Rte 75 Midtown CW Loop</t>
  </si>
  <si>
    <t>Rte 77 THOMPSON - WEDGEWOOD cw</t>
  </si>
  <si>
    <t>Rte 79 Skyline oB</t>
  </si>
  <si>
    <t>Rte 84 Murfreesboro Express OB</t>
  </si>
  <si>
    <t>Rte 86 Smyrna Lavergne Exp OB</t>
  </si>
  <si>
    <t>Rte 87 Gallatin Comm Bus OB</t>
  </si>
  <si>
    <t>Rte 89 Sprgfield/Joelton Exp IB</t>
  </si>
  <si>
    <t>Rte 90 Music City Star oB</t>
  </si>
  <si>
    <t>Rte 90 Music City StarMJ oB</t>
  </si>
  <si>
    <t>Rte 90 Music City StarMJ iB</t>
  </si>
  <si>
    <t>Rte 95 Spring Hill Exp OB</t>
  </si>
  <si>
    <t>Rte 95 Spring Hill VB Exp IB</t>
  </si>
  <si>
    <t>Rte 95 Spring Hill VB Exp OB</t>
  </si>
  <si>
    <t>Rte 102 Rover South Church</t>
  </si>
  <si>
    <t>Rte 103 Rover Memorial</t>
  </si>
  <si>
    <t>Rte 104 Rover Mercury</t>
  </si>
  <si>
    <t>Rte 105 Rover HighLand</t>
  </si>
  <si>
    <t>Rte 106 Rover Medical Center</t>
  </si>
  <si>
    <t>Rte 107 Rover Gateway</t>
  </si>
  <si>
    <t>Rte 108 Rover Old Fort</t>
  </si>
  <si>
    <t>Rte 111 FTA Blue</t>
  </si>
  <si>
    <t>Rte 112 FTA Red Route SN</t>
  </si>
  <si>
    <t>Rte 112 FTA Red Route NS</t>
  </si>
  <si>
    <t>MuleGreenWest</t>
  </si>
  <si>
    <t>MulePurpleEast</t>
  </si>
  <si>
    <t>MuleRedSouth</t>
  </si>
  <si>
    <t>MuleBlueSB</t>
  </si>
  <si>
    <t>Circ_Lebanon_W</t>
  </si>
  <si>
    <t>Circ_Lebanon_E</t>
  </si>
  <si>
    <t>Circ_Lebanon_N</t>
  </si>
  <si>
    <t>Circ_Lebanon_S</t>
  </si>
  <si>
    <t>Circ_MJ_E</t>
  </si>
  <si>
    <t>Circ_MJ_W</t>
  </si>
  <si>
    <t>Circ_MJ_S</t>
  </si>
  <si>
    <t>Circ_MJ_N</t>
  </si>
  <si>
    <t>Cric_Herm_W</t>
  </si>
  <si>
    <t>Circ_Herm_N</t>
  </si>
  <si>
    <t>Circ_Herm_S</t>
  </si>
  <si>
    <t>Circ_Herm_E</t>
  </si>
  <si>
    <t>BRT_CU7_Corridor iB</t>
  </si>
  <si>
    <t>BRT_CU7_Corridor oB</t>
  </si>
  <si>
    <t>BRT_CU1air_Corridor iB</t>
  </si>
  <si>
    <t>BRT_CU1air_Corridor oB</t>
  </si>
  <si>
    <t>BRT_CU2_Corridor oB</t>
  </si>
  <si>
    <t>BRT_CU2_Corridor iB</t>
  </si>
  <si>
    <t>BRT_CU4_Corridor iB</t>
  </si>
  <si>
    <t>BRT_CU4_Corridor oB</t>
  </si>
  <si>
    <t>BRT_CU3_Corridor oB</t>
  </si>
  <si>
    <t>BRT_CU3_Corridor iB</t>
  </si>
  <si>
    <t>BRT_CU6_Corridor OB</t>
  </si>
  <si>
    <t>BRT_CU6_Corridor iB</t>
  </si>
  <si>
    <t>BRT_CU9_Corridor oB</t>
  </si>
  <si>
    <t>BRT_CU9_Corridor iB</t>
  </si>
  <si>
    <t>BRT_CU10_Corridor iB</t>
  </si>
  <si>
    <t>BRT_CU10_Corridor oB</t>
  </si>
  <si>
    <t>BRT_CU11_Corridor oB</t>
  </si>
  <si>
    <t>BRT_CU11_Corridor iB</t>
  </si>
  <si>
    <t>RailExt 3 Geodis OB</t>
  </si>
  <si>
    <t>RailExt 3 Geodis IB</t>
  </si>
  <si>
    <t>RailExt4 Riverfront - Lebanon OB</t>
  </si>
  <si>
    <t>RailExt4 Riverfront - Lebanon iB</t>
  </si>
  <si>
    <t>RailExt5 Donelson - Hermitage oB</t>
  </si>
  <si>
    <t>RailExt5 Donelson - Hermitage iB</t>
  </si>
  <si>
    <t>RailExt 1 VB - Airport</t>
  </si>
  <si>
    <t>RailExt 1 Airport - VB</t>
  </si>
  <si>
    <t>RailExt 2 Germantown OB</t>
  </si>
  <si>
    <t>RailExt 2 Germantown IB</t>
  </si>
  <si>
    <t>BRT_CU5_Corridor iB</t>
  </si>
  <si>
    <t>BRT_CU5_Corridor oB</t>
  </si>
  <si>
    <t>BRT_CU1_Corridor oB</t>
  </si>
  <si>
    <t>BRT_CU1_Corridor 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</si>
</sst>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indexed="8"/>
      <name val="Aptos Narrow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1" fillId="0" borderId="0"/>
    <xf numFmtId="43" fontId="1" fillId="0" borderId="0"/>
  </cellStyleXfs>
  <cellXfs count="127">
    <xf numFmtId="0" fontId="0" fillId="0" borderId="0" xfId="0"/>
    <xf numFmtId="3" fontId="0" fillId="0" borderId="0" xfId="0" applyNumberFormat="1"/>
    <xf numFmtId="10" fontId="0" fillId="0" borderId="0" xfId="0" applyNumberFormat="1"/>
    <xf numFmtId="3" fontId="0" fillId="3" borderId="0" xfId="0" applyNumberFormat="1" applyFill="1"/>
    <xf numFmtId="0" fontId="3" fillId="0" borderId="0" xfId="0" applyFont="1"/>
    <xf numFmtId="0" fontId="3" fillId="0" borderId="1" xfId="0" applyFont="1" applyBorder="1"/>
    <xf numFmtId="0" fontId="0" fillId="0" borderId="3" xfId="0" applyBorder="1"/>
    <xf numFmtId="3" fontId="0" fillId="2" borderId="0" xfId="0" applyNumberFormat="1" applyFill="1"/>
    <xf numFmtId="10" fontId="0" fillId="2" borderId="0" xfId="0" applyNumberFormat="1" applyFill="1"/>
    <xf numFmtId="10" fontId="0" fillId="3" borderId="0" xfId="0" applyNumberFormat="1" applyFill="1"/>
    <xf numFmtId="0" fontId="0" fillId="0" borderId="1" xfId="0" applyBorder="1"/>
    <xf numFmtId="3" fontId="0" fillId="2" borderId="1" xfId="0" applyNumberFormat="1" applyFill="1" applyBorder="1"/>
    <xf numFmtId="10" fontId="0" fillId="3" borderId="1" xfId="0" applyNumberFormat="1" applyFill="1" applyBorder="1"/>
    <xf numFmtId="3" fontId="3" fillId="2" borderId="1" xfId="0" applyNumberFormat="1" applyFont="1" applyFill="1" applyBorder="1"/>
    <xf numFmtId="3" fontId="3" fillId="3" borderId="1" xfId="0" applyNumberFormat="1" applyFont="1" applyFill="1" applyBorder="1"/>
    <xf numFmtId="10" fontId="3" fillId="3" borderId="1" xfId="0" applyNumberFormat="1" applyFont="1" applyFill="1" applyBorder="1"/>
    <xf numFmtId="0" fontId="3" fillId="0" borderId="3" xfId="0" applyFont="1" applyBorder="1"/>
    <xf numFmtId="10" fontId="0" fillId="0" borderId="0" xfId="1" applyNumberFormat="1" applyFont="1"/>
    <xf numFmtId="3" fontId="3" fillId="3" borderId="2" xfId="0" applyNumberFormat="1" applyFont="1" applyFill="1" applyBorder="1"/>
    <xf numFmtId="10" fontId="3" fillId="3" borderId="2" xfId="0" applyNumberFormat="1" applyFont="1" applyFill="1" applyBorder="1"/>
    <xf numFmtId="0" fontId="0" fillId="0" borderId="0" xfId="0" applyAlignment="1">
      <alignment horizontal="right"/>
    </xf>
    <xf numFmtId="0" fontId="3" fillId="2" borderId="1" xfId="0" applyFont="1" applyFill="1" applyBorder="1" applyAlignment="1">
      <alignment horizontal="right"/>
    </xf>
    <xf numFmtId="0" fontId="3" fillId="0" borderId="0" xfId="0" applyFont="1" applyAlignment="1">
      <alignment horizontal="right"/>
    </xf>
    <xf numFmtId="0" fontId="3" fillId="3" borderId="1" xfId="0" applyFont="1" applyFill="1" applyBorder="1" applyAlignment="1">
      <alignment horizontal="right"/>
    </xf>
    <xf numFmtId="0" fontId="3" fillId="2" borderId="2" xfId="0" applyFont="1" applyFill="1" applyBorder="1" applyAlignment="1">
      <alignment horizontal="right"/>
    </xf>
    <xf numFmtId="0" fontId="3" fillId="3" borderId="2" xfId="0" applyFont="1" applyFill="1" applyBorder="1" applyAlignment="1">
      <alignment horizontal="right"/>
    </xf>
    <xf numFmtId="0" fontId="0" fillId="0" borderId="0" xfId="0" applyAlignment="1">
      <alignment horizontal="left"/>
    </xf>
    <xf numFmtId="10" fontId="0" fillId="3" borderId="0" xfId="1" applyNumberFormat="1" applyFont="1" applyFill="1"/>
    <xf numFmtId="10" fontId="0" fillId="2" borderId="0" xfId="1" applyNumberFormat="1" applyFont="1" applyFill="1"/>
    <xf numFmtId="10" fontId="3" fillId="3" borderId="2" xfId="1" applyNumberFormat="1" applyFont="1" applyFill="1" applyBorder="1"/>
    <xf numFmtId="164" fontId="0" fillId="3" borderId="0" xfId="2" applyNumberFormat="1" applyFont="1" applyFill="1"/>
    <xf numFmtId="0" fontId="3" fillId="3" borderId="2" xfId="0" applyFont="1" applyFill="1" applyBorder="1"/>
    <xf numFmtId="3" fontId="3" fillId="0" borderId="0" xfId="0" applyNumberFormat="1" applyFont="1"/>
    <xf numFmtId="0" fontId="0" fillId="3" borderId="0" xfId="2" applyNumberFormat="1" applyFont="1" applyFill="1"/>
    <xf numFmtId="164" fontId="3" fillId="3" borderId="2" xfId="2" applyNumberFormat="1" applyFont="1" applyFill="1" applyBorder="1"/>
    <xf numFmtId="165" fontId="0" fillId="3" borderId="0" xfId="0" applyNumberFormat="1" applyFill="1"/>
    <xf numFmtId="164" fontId="0" fillId="2" borderId="0" xfId="2" applyNumberFormat="1" applyFont="1" applyFill="1"/>
    <xf numFmtId="0" fontId="3" fillId="2" borderId="2" xfId="0" applyFont="1" applyFill="1" applyBorder="1"/>
    <xf numFmtId="0" fontId="0" fillId="0" borderId="2" xfId="0" applyBorder="1"/>
    <xf numFmtId="10" fontId="3" fillId="2" borderId="2" xfId="1" applyNumberFormat="1" applyFont="1" applyFill="1" applyBorder="1"/>
    <xf numFmtId="164" fontId="3" fillId="2" borderId="2" xfId="2" applyNumberFormat="1" applyFont="1" applyFill="1" applyBorder="1"/>
    <xf numFmtId="164" fontId="0" fillId="0" borderId="0" xfId="0" applyNumberFormat="1"/>
    <xf numFmtId="164" fontId="0" fillId="0" borderId="0" xfId="1" applyNumberFormat="1" applyFont="1"/>
    <xf numFmtId="164" fontId="0" fillId="4" borderId="0" xfId="1" applyNumberFormat="1" applyFont="1" applyFill="1"/>
    <xf numFmtId="164" fontId="3" fillId="4" borderId="2" xfId="1" applyNumberFormat="1" applyFont="1" applyFill="1" applyBorder="1"/>
    <xf numFmtId="166" fontId="0" fillId="2" borderId="0" xfId="1" applyNumberFormat="1" applyFont="1" applyFill="1"/>
    <xf numFmtId="0" fontId="3" fillId="5" borderId="1" xfId="0" applyFont="1" applyFill="1" applyBorder="1" applyAlignment="1">
      <alignment horizontal="right"/>
    </xf>
    <xf numFmtId="3" fontId="0" fillId="5" borderId="0" xfId="0" applyNumberFormat="1" applyFill="1"/>
    <xf numFmtId="166" fontId="0" fillId="5" borderId="0" xfId="1" applyNumberFormat="1" applyFont="1" applyFill="1"/>
    <xf numFmtId="3" fontId="3" fillId="5" borderId="1" xfId="0" applyNumberFormat="1" applyFont="1" applyFill="1" applyBorder="1"/>
    <xf numFmtId="10" fontId="3" fillId="5" borderId="1" xfId="0" applyNumberFormat="1" applyFont="1" applyFill="1" applyBorder="1"/>
    <xf numFmtId="166" fontId="0" fillId="2" borderId="1" xfId="1" applyNumberFormat="1" applyFont="1" applyFill="1" applyBorder="1"/>
    <xf numFmtId="3" fontId="0" fillId="5" borderId="1" xfId="0" applyNumberFormat="1" applyFill="1" applyBorder="1"/>
    <xf numFmtId="166" fontId="0" fillId="5" borderId="1" xfId="1" applyNumberFormat="1" applyFont="1" applyFill="1" applyBorder="1"/>
    <xf numFmtId="0" fontId="4" fillId="0" borderId="0" xfId="0" applyFont="1"/>
    <xf numFmtId="164" fontId="3" fillId="0" borderId="0" xfId="1" applyNumberFormat="1" applyFont="1" applyAlignment="1">
      <alignment horizontal="right"/>
    </xf>
    <xf numFmtId="0" fontId="3" fillId="0" borderId="2" xfId="0" applyFont="1" applyBorder="1"/>
    <xf numFmtId="1" fontId="0" fillId="0" borderId="0" xfId="0" applyNumberFormat="1"/>
    <xf numFmtId="0" fontId="3" fillId="0" borderId="0" xfId="0" applyFont="1" applyAlignment="1">
      <alignment horizontal="left"/>
    </xf>
    <xf numFmtId="166" fontId="3" fillId="2" borderId="2" xfId="1" applyNumberFormat="1" applyFont="1" applyFill="1" applyBorder="1"/>
    <xf numFmtId="166" fontId="0" fillId="3" borderId="0" xfId="1" applyNumberFormat="1" applyFont="1" applyFill="1"/>
    <xf numFmtId="166" fontId="3" fillId="3" borderId="2" xfId="1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10" fontId="3" fillId="2" borderId="2" xfId="0" applyNumberFormat="1" applyFont="1" applyFill="1" applyBorder="1"/>
    <xf numFmtId="164" fontId="0" fillId="0" borderId="0" xfId="2" applyNumberFormat="1" applyFont="1"/>
    <xf numFmtId="0" fontId="2" fillId="0" borderId="0" xfId="0" applyFont="1" applyAlignment="1">
      <alignment horizontal="left"/>
    </xf>
    <xf numFmtId="0" fontId="2" fillId="0" borderId="0" xfId="0" applyFont="1"/>
    <xf numFmtId="3" fontId="2" fillId="0" borderId="0" xfId="0" applyNumberFormat="1" applyFont="1"/>
    <xf numFmtId="10" fontId="2" fillId="0" borderId="0" xfId="1" applyNumberFormat="1" applyFont="1"/>
    <xf numFmtId="3" fontId="3" fillId="2" borderId="2" xfId="0" applyNumberFormat="1" applyFont="1" applyFill="1" applyBorder="1"/>
    <xf numFmtId="9" fontId="3" fillId="2" borderId="2" xfId="1" applyFont="1" applyFill="1" applyBorder="1"/>
    <xf numFmtId="9" fontId="3" fillId="3" borderId="2" xfId="1" applyFont="1" applyFill="1" applyBorder="1"/>
    <xf numFmtId="164" fontId="3" fillId="0" borderId="0" xfId="0" applyNumberFormat="1" applyFont="1"/>
    <xf numFmtId="9" fontId="0" fillId="4" borderId="0" xfId="1" applyFont="1" applyFill="1"/>
    <xf numFmtId="9" fontId="3" fillId="4" borderId="2" xfId="1" applyFont="1" applyFill="1" applyBorder="1"/>
    <xf numFmtId="0" fontId="3" fillId="4" borderId="1" xfId="0" applyFont="1" applyFill="1" applyBorder="1" applyAlignment="1">
      <alignment horizontal="right"/>
    </xf>
    <xf numFmtId="3" fontId="0" fillId="4" borderId="0" xfId="0" applyNumberFormat="1" applyFill="1"/>
    <xf numFmtId="3" fontId="0" fillId="4" borderId="1" xfId="0" applyNumberFormat="1" applyFill="1" applyBorder="1"/>
    <xf numFmtId="3" fontId="3" fillId="4" borderId="1" xfId="0" applyNumberFormat="1" applyFont="1" applyFill="1" applyBorder="1"/>
    <xf numFmtId="9" fontId="3" fillId="4" borderId="1" xfId="0" applyNumberFormat="1" applyFont="1" applyFill="1" applyBorder="1"/>
    <xf numFmtId="0" fontId="3" fillId="6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right"/>
    </xf>
    <xf numFmtId="4" fontId="0" fillId="6" borderId="0" xfId="0" applyNumberFormat="1" applyFill="1"/>
    <xf numFmtId="3" fontId="0" fillId="6" borderId="0" xfId="0" applyNumberFormat="1" applyFill="1"/>
    <xf numFmtId="164" fontId="3" fillId="6" borderId="3" xfId="2" applyNumberFormat="1" applyFont="1" applyFill="1" applyBorder="1"/>
    <xf numFmtId="10" fontId="3" fillId="6" borderId="3" xfId="0" applyNumberFormat="1" applyFont="1" applyFill="1" applyBorder="1"/>
    <xf numFmtId="0" fontId="3" fillId="4" borderId="2" xfId="0" applyFont="1" applyFill="1" applyBorder="1" applyAlignment="1">
      <alignment horizontal="right"/>
    </xf>
    <xf numFmtId="0" fontId="3" fillId="7" borderId="0" xfId="0" applyFont="1" applyFill="1"/>
    <xf numFmtId="0" fontId="3" fillId="7" borderId="3" xfId="0" applyFont="1" applyFill="1" applyBorder="1"/>
    <xf numFmtId="0" fontId="3" fillId="7" borderId="1" xfId="0" applyFont="1" applyFill="1" applyBorder="1"/>
    <xf numFmtId="0" fontId="0" fillId="7" borderId="0" xfId="0" applyFill="1"/>
    <xf numFmtId="0" fontId="0" fillId="7" borderId="1" xfId="0" applyFill="1" applyBorder="1"/>
    <xf numFmtId="0" fontId="0" fillId="0" borderId="0" xfId="0" quotePrefix="1"/>
    <xf numFmtId="164" fontId="0" fillId="7" borderId="0" xfId="2" applyNumberFormat="1" applyFont="1" applyFill="1"/>
    <xf numFmtId="9" fontId="0" fillId="7" borderId="0" xfId="0" applyNumberFormat="1" applyFill="1"/>
    <xf numFmtId="166" fontId="0" fillId="7" borderId="0" xfId="1" applyNumberFormat="1" applyFont="1" applyFill="1"/>
    <xf numFmtId="43" fontId="0" fillId="7" borderId="0" xfId="2" applyFont="1" applyFill="1"/>
    <xf numFmtId="0" fontId="0" fillId="7" borderId="0" xfId="0" applyFill="1" applyAlignment="1">
      <alignment horizontal="left"/>
    </xf>
    <xf numFmtId="166" fontId="0" fillId="0" borderId="0" xfId="1" applyNumberFormat="1" applyFont="1"/>
    <xf numFmtId="43" fontId="0" fillId="0" borderId="0" xfId="0" applyNumberFormat="1"/>
    <xf numFmtId="0" fontId="2" fillId="8" borderId="0" xfId="0" applyFont="1" applyFill="1"/>
    <xf numFmtId="164" fontId="2" fillId="8" borderId="0" xfId="2" applyNumberFormat="1" applyFont="1" applyFill="1"/>
    <xf numFmtId="0" fontId="0" fillId="8" borderId="0" xfId="0" applyFill="1"/>
    <xf numFmtId="164" fontId="0" fillId="8" borderId="0" xfId="2" applyNumberFormat="1" applyFont="1" applyFill="1"/>
    <xf numFmtId="43" fontId="0" fillId="8" borderId="0" xfId="0" applyNumberFormat="1" applyFill="1"/>
    <xf numFmtId="0" fontId="0" fillId="9" borderId="0" xfId="0" applyFill="1"/>
    <xf numFmtId="1" fontId="0" fillId="0" borderId="0" xfId="1" applyNumberFormat="1" applyFont="1"/>
    <xf numFmtId="1" fontId="2" fillId="8" borderId="0" xfId="0" applyNumberFormat="1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0" xfId="0" applyNumberFormat="1"/>
    <xf numFmtId="9" fontId="0" fillId="4" borderId="1" xfId="1" applyFont="1" applyFill="1" applyBorder="1"/>
    <xf numFmtId="0" fontId="3" fillId="5" borderId="2" xfId="0" applyFont="1" applyFill="1" applyBorder="1" applyAlignment="1">
      <alignment horizontal="center"/>
    </xf>
    <xf numFmtId="0" fontId="0" fillId="0" borderId="2" xfId="0" applyBorder="1"/>
    <xf numFmtId="0" fontId="3" fillId="2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0" fillId="0" borderId="1" xfId="0" applyBorder="1"/>
    <xf numFmtId="0" fontId="3" fillId="2" borderId="3" xfId="0" applyFont="1" applyFill="1" applyBorder="1" applyAlignment="1">
      <alignment horizontal="center"/>
    </xf>
    <xf numFmtId="0" fontId="0" fillId="0" borderId="3" xfId="0" applyBorder="1"/>
    <xf numFmtId="0" fontId="3" fillId="3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R-Squared</a:t>
            </a:r>
            <a:r>
              <a:rPr lang="en-US" baseline="0"/>
              <a:t> Plot (OBS vs ABM)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BoardingByRoute_All!$G$13</c:f>
              <c:strCache>
                <c:ptCount val="1"/>
                <c:pt idx="0">
                  <c:v>ABM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1"/>
            <c:dispEq val="0"/>
            <c:trendlineLbl>
              <c:layout>
                <c:manualLayout>
                  <c:x val="-4.0981760187998872E-2"/>
                  <c:y val="1.35233176683472E-2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BoardingByRoute_All!$E$15:$E$48</c:f>
              <c:numCache>
                <c:formatCode>_(* #,##0_);_(* \(#,##0\);_(* "-"??_);_(@_)</c:formatCode>
                <c:ptCount val="34"/>
                <c:pt idx="0">
                  <c:v>2516.909090909091</c:v>
                </c:pt>
                <c:pt idx="1">
                  <c:v>941.0454545454545</c:v>
                </c:pt>
                <c:pt idx="2">
                  <c:v>818.18181818181813</c:v>
                </c:pt>
                <c:pt idx="3">
                  <c:v>1841.590909090909</c:v>
                </c:pt>
                <c:pt idx="4">
                  <c:v>944.40909090909088</c:v>
                </c:pt>
                <c:pt idx="5">
                  <c:v>350.59090909090912</c:v>
                </c:pt>
                <c:pt idx="6">
                  <c:v>334.18181818181819</c:v>
                </c:pt>
                <c:pt idx="7">
                  <c:v>637.9545454545455</c:v>
                </c:pt>
                <c:pt idx="8">
                  <c:v>677.90909090909088</c:v>
                </c:pt>
                <c:pt idx="9">
                  <c:v>955.72727272727275</c:v>
                </c:pt>
                <c:pt idx="10">
                  <c:v>1505.409090909091</c:v>
                </c:pt>
                <c:pt idx="11">
                  <c:v>2690.5</c:v>
                </c:pt>
                <c:pt idx="12">
                  <c:v>275.40909090909088</c:v>
                </c:pt>
                <c:pt idx="13">
                  <c:v>691.09090909090912</c:v>
                </c:pt>
                <c:pt idx="14">
                  <c:v>365.81818181818181</c:v>
                </c:pt>
                <c:pt idx="15">
                  <c:v>61.909090909090907</c:v>
                </c:pt>
                <c:pt idx="16">
                  <c:v>402.68181818181819</c:v>
                </c:pt>
                <c:pt idx="17">
                  <c:v>2542.863636363636</c:v>
                </c:pt>
                <c:pt idx="18">
                  <c:v>3623.863636363636</c:v>
                </c:pt>
                <c:pt idx="19">
                  <c:v>5829.363636363636</c:v>
                </c:pt>
                <c:pt idx="20">
                  <c:v>4470.863636363636</c:v>
                </c:pt>
                <c:pt idx="21">
                  <c:v>9.1818181818181817</c:v>
                </c:pt>
                <c:pt idx="22">
                  <c:v>42.409090909090907</c:v>
                </c:pt>
                <c:pt idx="23">
                  <c:v>127.6363636363636</c:v>
                </c:pt>
                <c:pt idx="24">
                  <c:v>347.31818181818181</c:v>
                </c:pt>
                <c:pt idx="25">
                  <c:v>333.95454545454538</c:v>
                </c:pt>
                <c:pt idx="26">
                  <c:v>225.77272727272731</c:v>
                </c:pt>
                <c:pt idx="27">
                  <c:v>127.5</c:v>
                </c:pt>
                <c:pt idx="28">
                  <c:v>47.090909090909093</c:v>
                </c:pt>
                <c:pt idx="29">
                  <c:v>77.318181818181813</c:v>
                </c:pt>
                <c:pt idx="30">
                  <c:v>23</c:v>
                </c:pt>
                <c:pt idx="31">
                  <c:v>399.31818181818181</c:v>
                </c:pt>
                <c:pt idx="32">
                  <c:v>121.3636363636364</c:v>
                </c:pt>
                <c:pt idx="33">
                  <c:v>51.636363636363633</c:v>
                </c:pt>
              </c:numCache>
            </c:numRef>
          </c:xVal>
          <c:yVal>
            <c:numRef>
              <c:f>BoardingByRoute_All!$G$15:$G$48</c:f>
              <c:numCache>
                <c:formatCode>_(* #,##0_);_(* \(#,##0\);_(* "-"??_);_(@_)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7C-4A53-8D27-D784196A1413}"/>
            </c:ext>
          </c:extLst>
        </c:ser>
        <c:ser>
          <c:idx val="1"/>
          <c:order val="1"/>
          <c:tx>
            <c:strRef>
              <c:f>BoardingByRoute_All!$AG$14</c:f>
              <c:strCache>
                <c:ptCount val="1"/>
                <c:pt idx="0">
                  <c:v>Reference</c:v>
                </c:pt>
              </c:strCache>
            </c:strRef>
          </c:tx>
          <c:spPr>
            <a:ln w="25400" cap="rnd">
              <a:solidFill>
                <a:schemeClr val="bg2">
                  <a:lumMod val="50000"/>
                </a:schemeClr>
              </a:solidFill>
              <a:prstDash val="dash"/>
              <a:round/>
            </a:ln>
          </c:spPr>
          <c:marker>
            <c:symbol val="circle"/>
            <c:size val="5"/>
            <c:spPr>
              <a:solidFill>
                <a:schemeClr val="bg2">
                  <a:lumMod val="75000"/>
                </a:schemeClr>
              </a:solidFill>
              <a:ln w="9525">
                <a:solidFill>
                  <a:schemeClr val="bg2">
                    <a:lumMod val="50000"/>
                  </a:schemeClr>
                </a:solidFill>
                <a:prstDash val="sysDash"/>
              </a:ln>
            </c:spPr>
          </c:marker>
          <c:xVal>
            <c:numRef>
              <c:f>BoardingByRoute_All!$AG$15:$AG$74</c:f>
              <c:numCache>
                <c:formatCode>General</c:formatCode>
                <c:ptCount val="6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  <c:pt idx="18">
                  <c:v>1900</c:v>
                </c:pt>
                <c:pt idx="19">
                  <c:v>2000</c:v>
                </c:pt>
                <c:pt idx="20">
                  <c:v>2100</c:v>
                </c:pt>
                <c:pt idx="21">
                  <c:v>2200</c:v>
                </c:pt>
                <c:pt idx="22">
                  <c:v>2300</c:v>
                </c:pt>
                <c:pt idx="23">
                  <c:v>2400</c:v>
                </c:pt>
                <c:pt idx="24">
                  <c:v>2500</c:v>
                </c:pt>
                <c:pt idx="25">
                  <c:v>2600</c:v>
                </c:pt>
                <c:pt idx="26">
                  <c:v>2700</c:v>
                </c:pt>
                <c:pt idx="27">
                  <c:v>2800</c:v>
                </c:pt>
                <c:pt idx="28">
                  <c:v>2900</c:v>
                </c:pt>
                <c:pt idx="29">
                  <c:v>3000</c:v>
                </c:pt>
                <c:pt idx="30">
                  <c:v>3100</c:v>
                </c:pt>
                <c:pt idx="31">
                  <c:v>3200</c:v>
                </c:pt>
                <c:pt idx="32">
                  <c:v>3300</c:v>
                </c:pt>
                <c:pt idx="33">
                  <c:v>3400</c:v>
                </c:pt>
                <c:pt idx="34">
                  <c:v>3500</c:v>
                </c:pt>
                <c:pt idx="35">
                  <c:v>3600</c:v>
                </c:pt>
                <c:pt idx="36">
                  <c:v>3700</c:v>
                </c:pt>
                <c:pt idx="37">
                  <c:v>3800</c:v>
                </c:pt>
                <c:pt idx="38">
                  <c:v>3900</c:v>
                </c:pt>
                <c:pt idx="39">
                  <c:v>4000</c:v>
                </c:pt>
                <c:pt idx="40">
                  <c:v>4100</c:v>
                </c:pt>
                <c:pt idx="41">
                  <c:v>4200</c:v>
                </c:pt>
                <c:pt idx="42">
                  <c:v>4300</c:v>
                </c:pt>
                <c:pt idx="43">
                  <c:v>4400</c:v>
                </c:pt>
                <c:pt idx="44">
                  <c:v>4500</c:v>
                </c:pt>
                <c:pt idx="45">
                  <c:v>4600</c:v>
                </c:pt>
                <c:pt idx="46">
                  <c:v>4700</c:v>
                </c:pt>
                <c:pt idx="47">
                  <c:v>4800</c:v>
                </c:pt>
                <c:pt idx="48">
                  <c:v>4900</c:v>
                </c:pt>
                <c:pt idx="49">
                  <c:v>5000</c:v>
                </c:pt>
                <c:pt idx="50">
                  <c:v>5100</c:v>
                </c:pt>
                <c:pt idx="51">
                  <c:v>5200</c:v>
                </c:pt>
                <c:pt idx="52">
                  <c:v>5300</c:v>
                </c:pt>
                <c:pt idx="53">
                  <c:v>5400</c:v>
                </c:pt>
                <c:pt idx="54">
                  <c:v>5500</c:v>
                </c:pt>
                <c:pt idx="55">
                  <c:v>5600</c:v>
                </c:pt>
                <c:pt idx="56">
                  <c:v>5700</c:v>
                </c:pt>
                <c:pt idx="57">
                  <c:v>5800</c:v>
                </c:pt>
                <c:pt idx="58">
                  <c:v>5900</c:v>
                </c:pt>
                <c:pt idx="59">
                  <c:v>6000</c:v>
                </c:pt>
              </c:numCache>
            </c:numRef>
          </c:xVal>
          <c:yVal>
            <c:numRef>
              <c:f>BoardingByRoute_All!$AG$15:$AG$74</c:f>
              <c:numCache>
                <c:formatCode>General</c:formatCode>
                <c:ptCount val="6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  <c:pt idx="18">
                  <c:v>1900</c:v>
                </c:pt>
                <c:pt idx="19">
                  <c:v>2000</c:v>
                </c:pt>
                <c:pt idx="20">
                  <c:v>2100</c:v>
                </c:pt>
                <c:pt idx="21">
                  <c:v>2200</c:v>
                </c:pt>
                <c:pt idx="22">
                  <c:v>2300</c:v>
                </c:pt>
                <c:pt idx="23">
                  <c:v>2400</c:v>
                </c:pt>
                <c:pt idx="24">
                  <c:v>2500</c:v>
                </c:pt>
                <c:pt idx="25">
                  <c:v>2600</c:v>
                </c:pt>
                <c:pt idx="26">
                  <c:v>2700</c:v>
                </c:pt>
                <c:pt idx="27">
                  <c:v>2800</c:v>
                </c:pt>
                <c:pt idx="28">
                  <c:v>2900</c:v>
                </c:pt>
                <c:pt idx="29">
                  <c:v>3000</c:v>
                </c:pt>
                <c:pt idx="30">
                  <c:v>3100</c:v>
                </c:pt>
                <c:pt idx="31">
                  <c:v>3200</c:v>
                </c:pt>
                <c:pt idx="32">
                  <c:v>3300</c:v>
                </c:pt>
                <c:pt idx="33">
                  <c:v>3400</c:v>
                </c:pt>
                <c:pt idx="34">
                  <c:v>3500</c:v>
                </c:pt>
                <c:pt idx="35">
                  <c:v>3600</c:v>
                </c:pt>
                <c:pt idx="36">
                  <c:v>3700</c:v>
                </c:pt>
                <c:pt idx="37">
                  <c:v>3800</c:v>
                </c:pt>
                <c:pt idx="38">
                  <c:v>3900</c:v>
                </c:pt>
                <c:pt idx="39">
                  <c:v>4000</c:v>
                </c:pt>
                <c:pt idx="40">
                  <c:v>4100</c:v>
                </c:pt>
                <c:pt idx="41">
                  <c:v>4200</c:v>
                </c:pt>
                <c:pt idx="42">
                  <c:v>4300</c:v>
                </c:pt>
                <c:pt idx="43">
                  <c:v>4400</c:v>
                </c:pt>
                <c:pt idx="44">
                  <c:v>4500</c:v>
                </c:pt>
                <c:pt idx="45">
                  <c:v>4600</c:v>
                </c:pt>
                <c:pt idx="46">
                  <c:v>4700</c:v>
                </c:pt>
                <c:pt idx="47">
                  <c:v>4800</c:v>
                </c:pt>
                <c:pt idx="48">
                  <c:v>4900</c:v>
                </c:pt>
                <c:pt idx="49">
                  <c:v>5000</c:v>
                </c:pt>
                <c:pt idx="50">
                  <c:v>5100</c:v>
                </c:pt>
                <c:pt idx="51">
                  <c:v>5200</c:v>
                </c:pt>
                <c:pt idx="52">
                  <c:v>5300</c:v>
                </c:pt>
                <c:pt idx="53">
                  <c:v>5400</c:v>
                </c:pt>
                <c:pt idx="54">
                  <c:v>5500</c:v>
                </c:pt>
                <c:pt idx="55">
                  <c:v>5600</c:v>
                </c:pt>
                <c:pt idx="56">
                  <c:v>5700</c:v>
                </c:pt>
                <c:pt idx="57">
                  <c:v>5800</c:v>
                </c:pt>
                <c:pt idx="58">
                  <c:v>5900</c:v>
                </c:pt>
                <c:pt idx="59">
                  <c:v>6000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27C-4A53-8D27-D784196A1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0130112"/>
        <c:axId val="360132352"/>
      </c:scatterChart>
      <c:valAx>
        <c:axId val="360130112"/>
        <c:scaling>
          <c:orientation val="minMax"/>
          <c:max val="6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0132352"/>
        <c:crosses val="autoZero"/>
        <c:crossBetween val="midCat"/>
        <c:majorUnit val="500"/>
      </c:valAx>
      <c:valAx>
        <c:axId val="360132352"/>
        <c:scaling>
          <c:orientation val="minMax"/>
          <c:max val="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0130112"/>
        <c:crosses val="autoZero"/>
        <c:crossBetween val="midCat"/>
        <c:majorUnit val="5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BOARDINGS</a:t>
            </a:r>
            <a:r>
              <a:rPr lang="en-US" b="1" baseline="0"/>
              <a:t> BY ROUTE</a:t>
            </a:r>
            <a:endParaRPr lang="en-US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BoardingByRoute_All!$E$13</c:f>
              <c:strCache>
                <c:ptCount val="1"/>
                <c:pt idx="0">
                  <c:v>OBS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BoardingByRoute_All!$D$15:$D$48</c:f>
              <c:strCache>
                <c:ptCount val="34"/>
                <c:pt idx="0">
                  <c:v>Rte 3 West End (White Bridge) IB</c:v>
                </c:pt>
                <c:pt idx="1">
                  <c:v>Rte 4 Shelby IB</c:v>
                </c:pt>
                <c:pt idx="2">
                  <c:v>Rte 6 Lebanon Rd OB</c:v>
                </c:pt>
                <c:pt idx="3">
                  <c:v>Rte 7 Hillsboro IB</c:v>
                </c:pt>
                <c:pt idx="4">
                  <c:v>Rte 8 8TH AVENUE SOUTH iB</c:v>
                </c:pt>
                <c:pt idx="5">
                  <c:v>Rte 9 MetroCenter OB</c:v>
                </c:pt>
                <c:pt idx="6">
                  <c:v>Rte 14 WHITES CREEK oB</c:v>
                </c:pt>
                <c:pt idx="7">
                  <c:v>Rte 17 12TH AVENUE SOUTH iB</c:v>
                </c:pt>
                <c:pt idx="8">
                  <c:v>Rte 18 Airport Exp OB</c:v>
                </c:pt>
                <c:pt idx="9">
                  <c:v>Rte 19 Herman IB</c:v>
                </c:pt>
                <c:pt idx="10">
                  <c:v>Rte 22 Bordeaux (Panaroma) IB</c:v>
                </c:pt>
                <c:pt idx="11">
                  <c:v>Rte 23 Dickerson Pike OB</c:v>
                </c:pt>
                <c:pt idx="12">
                  <c:v>Rte 28 Meridian IB</c:v>
                </c:pt>
                <c:pt idx="13">
                  <c:v>Rte 29 Jefferson IB</c:v>
                </c:pt>
                <c:pt idx="14">
                  <c:v>Rte 34 Opry Mills IB</c:v>
                </c:pt>
                <c:pt idx="15">
                  <c:v>Rte 41 Golden Valley OB PM</c:v>
                </c:pt>
                <c:pt idx="16">
                  <c:v>Rte 42 St. Cecilia/Cumberland IB</c:v>
                </c:pt>
                <c:pt idx="17">
                  <c:v>Rte 50 CHARLOTTE PIKE oB</c:v>
                </c:pt>
                <c:pt idx="18">
                  <c:v>Rte 52 NOLENSVILLE PIKE (Hick) oB</c:v>
                </c:pt>
                <c:pt idx="19">
                  <c:v>Rte 55 MURFREESBORO PIKE oB</c:v>
                </c:pt>
                <c:pt idx="20">
                  <c:v>Rte 56 Gallatin Rd IB</c:v>
                </c:pt>
                <c:pt idx="21">
                  <c:v>Rte 64 STAR DOWNTOWN SHUTTLE</c:v>
                </c:pt>
                <c:pt idx="22">
                  <c:v>Rte 70 Belevue Conn OB</c:v>
                </c:pt>
                <c:pt idx="23">
                  <c:v>Rte 75 Midtown CW Loop</c:v>
                </c:pt>
                <c:pt idx="24">
                  <c:v>Rte 76 Madison Conn</c:v>
                </c:pt>
                <c:pt idx="25">
                  <c:v>Rte 77 THOMPSON - WEDGEWOOD ccw</c:v>
                </c:pt>
                <c:pt idx="26">
                  <c:v>Rte 79 Skyline iB</c:v>
                </c:pt>
                <c:pt idx="27">
                  <c:v>Rte 84 Murfreesboro Express OB</c:v>
                </c:pt>
                <c:pt idx="28">
                  <c:v>Rte 86 Smyrna Lavergne Exp OB</c:v>
                </c:pt>
                <c:pt idx="29">
                  <c:v>Rte 87 Gallatin Comm Bus OB</c:v>
                </c:pt>
                <c:pt idx="30">
                  <c:v>Rte 89 Spgfield/Joelton Exp OB</c:v>
                </c:pt>
                <c:pt idx="31">
                  <c:v>Rte 90 Music City Star oB</c:v>
                </c:pt>
                <c:pt idx="32">
                  <c:v>Rte 93 MCS West End Shuttle</c:v>
                </c:pt>
                <c:pt idx="33">
                  <c:v>Rte 95 Spring Hill Exp OB</c:v>
                </c:pt>
              </c:strCache>
            </c:strRef>
          </c:cat>
          <c:val>
            <c:numRef>
              <c:f>BoardingByRoute_All!$E$15:$E$48</c:f>
              <c:numCache>
                <c:formatCode>_(* #,##0_);_(* \(#,##0\);_(* "-"??_);_(@_)</c:formatCode>
                <c:ptCount val="34"/>
                <c:pt idx="0">
                  <c:v>2516.909090909091</c:v>
                </c:pt>
                <c:pt idx="1">
                  <c:v>941.0454545454545</c:v>
                </c:pt>
                <c:pt idx="2">
                  <c:v>818.18181818181813</c:v>
                </c:pt>
                <c:pt idx="3">
                  <c:v>1841.590909090909</c:v>
                </c:pt>
                <c:pt idx="4">
                  <c:v>944.40909090909088</c:v>
                </c:pt>
                <c:pt idx="5">
                  <c:v>350.59090909090912</c:v>
                </c:pt>
                <c:pt idx="6">
                  <c:v>334.18181818181819</c:v>
                </c:pt>
                <c:pt idx="7">
                  <c:v>637.9545454545455</c:v>
                </c:pt>
                <c:pt idx="8">
                  <c:v>677.90909090909088</c:v>
                </c:pt>
                <c:pt idx="9">
                  <c:v>955.72727272727275</c:v>
                </c:pt>
                <c:pt idx="10">
                  <c:v>1505.409090909091</c:v>
                </c:pt>
                <c:pt idx="11">
                  <c:v>2690.5</c:v>
                </c:pt>
                <c:pt idx="12">
                  <c:v>275.40909090909088</c:v>
                </c:pt>
                <c:pt idx="13">
                  <c:v>691.09090909090912</c:v>
                </c:pt>
                <c:pt idx="14">
                  <c:v>365.81818181818181</c:v>
                </c:pt>
                <c:pt idx="15">
                  <c:v>61.909090909090907</c:v>
                </c:pt>
                <c:pt idx="16">
                  <c:v>402.68181818181819</c:v>
                </c:pt>
                <c:pt idx="17">
                  <c:v>2542.863636363636</c:v>
                </c:pt>
                <c:pt idx="18">
                  <c:v>3623.863636363636</c:v>
                </c:pt>
                <c:pt idx="19">
                  <c:v>5829.363636363636</c:v>
                </c:pt>
                <c:pt idx="20">
                  <c:v>4470.863636363636</c:v>
                </c:pt>
                <c:pt idx="21">
                  <c:v>9.1818181818181817</c:v>
                </c:pt>
                <c:pt idx="22">
                  <c:v>42.409090909090907</c:v>
                </c:pt>
                <c:pt idx="23">
                  <c:v>127.6363636363636</c:v>
                </c:pt>
                <c:pt idx="24">
                  <c:v>347.31818181818181</c:v>
                </c:pt>
                <c:pt idx="25">
                  <c:v>333.95454545454538</c:v>
                </c:pt>
                <c:pt idx="26">
                  <c:v>225.77272727272731</c:v>
                </c:pt>
                <c:pt idx="27">
                  <c:v>127.5</c:v>
                </c:pt>
                <c:pt idx="28">
                  <c:v>47.090909090909093</c:v>
                </c:pt>
                <c:pt idx="29">
                  <c:v>77.318181818181813</c:v>
                </c:pt>
                <c:pt idx="30">
                  <c:v>23</c:v>
                </c:pt>
                <c:pt idx="31">
                  <c:v>399.31818181818181</c:v>
                </c:pt>
                <c:pt idx="32">
                  <c:v>121.3636363636364</c:v>
                </c:pt>
                <c:pt idx="33">
                  <c:v>51.636363636363633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1A-48F9-A5ED-1C0CA1A267A9}"/>
            </c:ext>
          </c:extLst>
        </c:ser>
        <c:ser>
          <c:idx val="1"/>
          <c:order val="1"/>
          <c:tx>
            <c:strRef>
              <c:f>BoardingByRoute_All!$G$13</c:f>
              <c:strCache>
                <c:ptCount val="1"/>
                <c:pt idx="0">
                  <c:v>ABM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BoardingByRoute_All!$D$15:$D$48</c:f>
              <c:strCache>
                <c:ptCount val="34"/>
                <c:pt idx="0">
                  <c:v>Rte 3 West End (White Bridge) IB</c:v>
                </c:pt>
                <c:pt idx="1">
                  <c:v>Rte 4 Shelby IB</c:v>
                </c:pt>
                <c:pt idx="2">
                  <c:v>Rte 6 Lebanon Rd OB</c:v>
                </c:pt>
                <c:pt idx="3">
                  <c:v>Rte 7 Hillsboro IB</c:v>
                </c:pt>
                <c:pt idx="4">
                  <c:v>Rte 8 8TH AVENUE SOUTH iB</c:v>
                </c:pt>
                <c:pt idx="5">
                  <c:v>Rte 9 MetroCenter OB</c:v>
                </c:pt>
                <c:pt idx="6">
                  <c:v>Rte 14 WHITES CREEK oB</c:v>
                </c:pt>
                <c:pt idx="7">
                  <c:v>Rte 17 12TH AVENUE SOUTH iB</c:v>
                </c:pt>
                <c:pt idx="8">
                  <c:v>Rte 18 Airport Exp OB</c:v>
                </c:pt>
                <c:pt idx="9">
                  <c:v>Rte 19 Herman IB</c:v>
                </c:pt>
                <c:pt idx="10">
                  <c:v>Rte 22 Bordeaux (Panaroma) IB</c:v>
                </c:pt>
                <c:pt idx="11">
                  <c:v>Rte 23 Dickerson Pike OB</c:v>
                </c:pt>
                <c:pt idx="12">
                  <c:v>Rte 28 Meridian IB</c:v>
                </c:pt>
                <c:pt idx="13">
                  <c:v>Rte 29 Jefferson IB</c:v>
                </c:pt>
                <c:pt idx="14">
                  <c:v>Rte 34 Opry Mills IB</c:v>
                </c:pt>
                <c:pt idx="15">
                  <c:v>Rte 41 Golden Valley OB PM</c:v>
                </c:pt>
                <c:pt idx="16">
                  <c:v>Rte 42 St. Cecilia/Cumberland IB</c:v>
                </c:pt>
                <c:pt idx="17">
                  <c:v>Rte 50 CHARLOTTE PIKE oB</c:v>
                </c:pt>
                <c:pt idx="18">
                  <c:v>Rte 52 NOLENSVILLE PIKE (Hick) oB</c:v>
                </c:pt>
                <c:pt idx="19">
                  <c:v>Rte 55 MURFREESBORO PIKE oB</c:v>
                </c:pt>
                <c:pt idx="20">
                  <c:v>Rte 56 Gallatin Rd IB</c:v>
                </c:pt>
                <c:pt idx="21">
                  <c:v>Rte 64 STAR DOWNTOWN SHUTTLE</c:v>
                </c:pt>
                <c:pt idx="22">
                  <c:v>Rte 70 Belevue Conn OB</c:v>
                </c:pt>
                <c:pt idx="23">
                  <c:v>Rte 75 Midtown CW Loop</c:v>
                </c:pt>
                <c:pt idx="24">
                  <c:v>Rte 76 Madison Conn</c:v>
                </c:pt>
                <c:pt idx="25">
                  <c:v>Rte 77 THOMPSON - WEDGEWOOD ccw</c:v>
                </c:pt>
                <c:pt idx="26">
                  <c:v>Rte 79 Skyline iB</c:v>
                </c:pt>
                <c:pt idx="27">
                  <c:v>Rte 84 Murfreesboro Express OB</c:v>
                </c:pt>
                <c:pt idx="28">
                  <c:v>Rte 86 Smyrna Lavergne Exp OB</c:v>
                </c:pt>
                <c:pt idx="29">
                  <c:v>Rte 87 Gallatin Comm Bus OB</c:v>
                </c:pt>
                <c:pt idx="30">
                  <c:v>Rte 89 Spgfield/Joelton Exp OB</c:v>
                </c:pt>
                <c:pt idx="31">
                  <c:v>Rte 90 Music City Star oB</c:v>
                </c:pt>
                <c:pt idx="32">
                  <c:v>Rte 93 MCS West End Shuttle</c:v>
                </c:pt>
                <c:pt idx="33">
                  <c:v>Rte 95 Spring Hill Exp OB</c:v>
                </c:pt>
              </c:strCache>
            </c:strRef>
          </c:cat>
          <c:val>
            <c:numRef>
              <c:f>BoardingByRoute_All!$G$15:$G$48</c:f>
              <c:numCache>
                <c:formatCode>_(* #,##0_);_(* \(#,##0\);_(* "-"??_);_(@_)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1A-48F9-A5ED-1C0CA1A26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670800"/>
        <c:axId val="353676336"/>
      </c:barChart>
      <c:catAx>
        <c:axId val="534670800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Route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676336"/>
        <c:crosses val="autoZero"/>
        <c:auto val="1"/>
        <c:lblAlgn val="ctr"/>
        <c:lblOffset val="100"/>
        <c:noMultiLvlLbl val="0"/>
      </c:catAx>
      <c:valAx>
        <c:axId val="35367633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Boardings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670800"/>
        <c:crosses val="autoZero"/>
        <c:crossBetween val="between"/>
        <c:majorUnit val="1000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BOARDINGS</a:t>
            </a:r>
            <a:r>
              <a:rPr lang="en-US" b="1" baseline="0"/>
              <a:t> BY ROUTE</a:t>
            </a:r>
            <a:endParaRPr lang="en-US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BoardingByRoute_All!$AA$13</c:f>
              <c:strCache>
                <c:ptCount val="1"/>
                <c:pt idx="0">
                  <c:v>OBS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BoardingByRoute_All!$Z$15:$Z$48</c:f>
              <c:strCache>
                <c:ptCount val="34"/>
                <c:pt idx="0">
                  <c:v>Rte 55 MURFREESBORO PIKE oB</c:v>
                </c:pt>
                <c:pt idx="1">
                  <c:v>Rte 56 Gallatin Rd IB</c:v>
                </c:pt>
                <c:pt idx="2">
                  <c:v>Rte 52 NOLENSVILLE PIKE (Hick) oB</c:v>
                </c:pt>
                <c:pt idx="3">
                  <c:v>Rte 23 Dickerson Pike OB</c:v>
                </c:pt>
                <c:pt idx="4">
                  <c:v>Rte 50 CHARLOTTE PIKE oB</c:v>
                </c:pt>
                <c:pt idx="5">
                  <c:v>Rte 3 West End (White Bridge) IB</c:v>
                </c:pt>
                <c:pt idx="6">
                  <c:v>Rte 7 Hillsboro IB</c:v>
                </c:pt>
                <c:pt idx="7">
                  <c:v>Rte 22 Bordeaux (Panaroma) IB</c:v>
                </c:pt>
                <c:pt idx="8">
                  <c:v>Rte 19 Herman IB</c:v>
                </c:pt>
                <c:pt idx="9">
                  <c:v>Rte 8 8TH AVENUE SOUTH iB</c:v>
                </c:pt>
                <c:pt idx="10">
                  <c:v>Rte 4 Shelby IB</c:v>
                </c:pt>
                <c:pt idx="11">
                  <c:v>Rte 6 Lebanon Rd OB</c:v>
                </c:pt>
                <c:pt idx="12">
                  <c:v>Rte 29 Jefferson IB</c:v>
                </c:pt>
                <c:pt idx="13">
                  <c:v>Rte 18 Airport Exp OB</c:v>
                </c:pt>
                <c:pt idx="14">
                  <c:v>Rte 17 12TH AVENUE SOUTH iB</c:v>
                </c:pt>
                <c:pt idx="15">
                  <c:v>Rte 42 St. Cecilia/Cumberland IB</c:v>
                </c:pt>
                <c:pt idx="16">
                  <c:v>Rte 90 Music City Star oB</c:v>
                </c:pt>
                <c:pt idx="17">
                  <c:v>Rte 34 Opry Mills IB</c:v>
                </c:pt>
                <c:pt idx="18">
                  <c:v>Rte 9 MetroCenter OB</c:v>
                </c:pt>
                <c:pt idx="19">
                  <c:v>Rte 76 Madison Conn</c:v>
                </c:pt>
                <c:pt idx="20">
                  <c:v>Rte 14 WHITES CREEK oB</c:v>
                </c:pt>
                <c:pt idx="21">
                  <c:v>Rte 77 THOMPSON - WEDGEWOOD ccw</c:v>
                </c:pt>
                <c:pt idx="22">
                  <c:v>Rte 28 Meridian IB</c:v>
                </c:pt>
                <c:pt idx="23">
                  <c:v>Rte 79 Skyline iB</c:v>
                </c:pt>
                <c:pt idx="24">
                  <c:v>Rte 75 Midtown CW Loop</c:v>
                </c:pt>
                <c:pt idx="25">
                  <c:v>Rte 84 Murfreesboro Express OB</c:v>
                </c:pt>
                <c:pt idx="26">
                  <c:v>Rte 93 MCS West End Shuttle</c:v>
                </c:pt>
                <c:pt idx="27">
                  <c:v>Rte 87 Gallatin Comm Bus OB</c:v>
                </c:pt>
                <c:pt idx="28">
                  <c:v>Rte 41 Golden Valley OB PM</c:v>
                </c:pt>
                <c:pt idx="29">
                  <c:v>Rte 95 Spring Hill Exp OB</c:v>
                </c:pt>
                <c:pt idx="30">
                  <c:v>Rte 86 Smyrna Lavergne Exp OB</c:v>
                </c:pt>
                <c:pt idx="31">
                  <c:v>Rte 70 Belevue Conn OB</c:v>
                </c:pt>
                <c:pt idx="32">
                  <c:v>Rte 89 Spgfield/Joelton Exp OB</c:v>
                </c:pt>
                <c:pt idx="33">
                  <c:v>Rte 64 STAR DOWNTOWN SHUTTLE</c:v>
                </c:pt>
              </c:strCache>
            </c:strRef>
          </c:cat>
          <c:val>
            <c:numRef>
              <c:f>BoardingByRoute_All!$AA$15:$AA$48</c:f>
              <c:numCache>
                <c:formatCode>_(* #,##0_);_(* \(#,##0\);_(* "-"??_);_(@_)</c:formatCode>
                <c:ptCount val="34"/>
                <c:pt idx="0">
                  <c:v>5829.363636363636</c:v>
                </c:pt>
                <c:pt idx="1">
                  <c:v>4470.863636363636</c:v>
                </c:pt>
                <c:pt idx="2">
                  <c:v>3623.863636363636</c:v>
                </c:pt>
                <c:pt idx="3">
                  <c:v>2690.5</c:v>
                </c:pt>
                <c:pt idx="4">
                  <c:v>2542.863636363636</c:v>
                </c:pt>
                <c:pt idx="5">
                  <c:v>2516.909090909091</c:v>
                </c:pt>
                <c:pt idx="6">
                  <c:v>1841.590909090909</c:v>
                </c:pt>
                <c:pt idx="7">
                  <c:v>1505.409090909091</c:v>
                </c:pt>
                <c:pt idx="8">
                  <c:v>955.72727272727275</c:v>
                </c:pt>
                <c:pt idx="9">
                  <c:v>944.40909090909088</c:v>
                </c:pt>
                <c:pt idx="10">
                  <c:v>941.0454545454545</c:v>
                </c:pt>
                <c:pt idx="11">
                  <c:v>818.18181818181813</c:v>
                </c:pt>
                <c:pt idx="12">
                  <c:v>691.09090909090912</c:v>
                </c:pt>
                <c:pt idx="13">
                  <c:v>677.90909090909088</c:v>
                </c:pt>
                <c:pt idx="14">
                  <c:v>637.9545454545455</c:v>
                </c:pt>
                <c:pt idx="15">
                  <c:v>402.68181818181819</c:v>
                </c:pt>
                <c:pt idx="16">
                  <c:v>399.31818181818181</c:v>
                </c:pt>
                <c:pt idx="17">
                  <c:v>365.81818181818181</c:v>
                </c:pt>
                <c:pt idx="18">
                  <c:v>350.59090909090912</c:v>
                </c:pt>
                <c:pt idx="19">
                  <c:v>347.31818181818181</c:v>
                </c:pt>
                <c:pt idx="20">
                  <c:v>334.18181818181819</c:v>
                </c:pt>
                <c:pt idx="21">
                  <c:v>333.95454545454538</c:v>
                </c:pt>
                <c:pt idx="22">
                  <c:v>275.40909090909088</c:v>
                </c:pt>
                <c:pt idx="23">
                  <c:v>225.77272727272731</c:v>
                </c:pt>
                <c:pt idx="24">
                  <c:v>127.6363636363636</c:v>
                </c:pt>
                <c:pt idx="25">
                  <c:v>127.5</c:v>
                </c:pt>
                <c:pt idx="26">
                  <c:v>121.3636363636364</c:v>
                </c:pt>
                <c:pt idx="27">
                  <c:v>77.318181818181813</c:v>
                </c:pt>
                <c:pt idx="28">
                  <c:v>61.909090909090907</c:v>
                </c:pt>
                <c:pt idx="29">
                  <c:v>51.636363636363633</c:v>
                </c:pt>
                <c:pt idx="30">
                  <c:v>47.090909090909093</c:v>
                </c:pt>
                <c:pt idx="31">
                  <c:v>42.409090909090907</c:v>
                </c:pt>
                <c:pt idx="32">
                  <c:v>23</c:v>
                </c:pt>
                <c:pt idx="33">
                  <c:v>9.1818181818181817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89-4FDA-BD0B-804EFAA2451A}"/>
            </c:ext>
          </c:extLst>
        </c:ser>
        <c:ser>
          <c:idx val="1"/>
          <c:order val="1"/>
          <c:tx>
            <c:strRef>
              <c:f>BoardingByRoute_All!$AC$13</c:f>
              <c:strCache>
                <c:ptCount val="1"/>
                <c:pt idx="0">
                  <c:v>ABM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BoardingByRoute_All!$Z$15:$Z$48</c:f>
              <c:strCache>
                <c:ptCount val="34"/>
                <c:pt idx="0">
                  <c:v>Rte 55 MURFREESBORO PIKE oB</c:v>
                </c:pt>
                <c:pt idx="1">
                  <c:v>Rte 56 Gallatin Rd IB</c:v>
                </c:pt>
                <c:pt idx="2">
                  <c:v>Rte 52 NOLENSVILLE PIKE (Hick) oB</c:v>
                </c:pt>
                <c:pt idx="3">
                  <c:v>Rte 23 Dickerson Pike OB</c:v>
                </c:pt>
                <c:pt idx="4">
                  <c:v>Rte 50 CHARLOTTE PIKE oB</c:v>
                </c:pt>
                <c:pt idx="5">
                  <c:v>Rte 3 West End (White Bridge) IB</c:v>
                </c:pt>
                <c:pt idx="6">
                  <c:v>Rte 7 Hillsboro IB</c:v>
                </c:pt>
                <c:pt idx="7">
                  <c:v>Rte 22 Bordeaux (Panaroma) IB</c:v>
                </c:pt>
                <c:pt idx="8">
                  <c:v>Rte 19 Herman IB</c:v>
                </c:pt>
                <c:pt idx="9">
                  <c:v>Rte 8 8TH AVENUE SOUTH iB</c:v>
                </c:pt>
                <c:pt idx="10">
                  <c:v>Rte 4 Shelby IB</c:v>
                </c:pt>
                <c:pt idx="11">
                  <c:v>Rte 6 Lebanon Rd OB</c:v>
                </c:pt>
                <c:pt idx="12">
                  <c:v>Rte 29 Jefferson IB</c:v>
                </c:pt>
                <c:pt idx="13">
                  <c:v>Rte 18 Airport Exp OB</c:v>
                </c:pt>
                <c:pt idx="14">
                  <c:v>Rte 17 12TH AVENUE SOUTH iB</c:v>
                </c:pt>
                <c:pt idx="15">
                  <c:v>Rte 42 St. Cecilia/Cumberland IB</c:v>
                </c:pt>
                <c:pt idx="16">
                  <c:v>Rte 90 Music City Star oB</c:v>
                </c:pt>
                <c:pt idx="17">
                  <c:v>Rte 34 Opry Mills IB</c:v>
                </c:pt>
                <c:pt idx="18">
                  <c:v>Rte 9 MetroCenter OB</c:v>
                </c:pt>
                <c:pt idx="19">
                  <c:v>Rte 76 Madison Conn</c:v>
                </c:pt>
                <c:pt idx="20">
                  <c:v>Rte 14 WHITES CREEK oB</c:v>
                </c:pt>
                <c:pt idx="21">
                  <c:v>Rte 77 THOMPSON - WEDGEWOOD ccw</c:v>
                </c:pt>
                <c:pt idx="22">
                  <c:v>Rte 28 Meridian IB</c:v>
                </c:pt>
                <c:pt idx="23">
                  <c:v>Rte 79 Skyline iB</c:v>
                </c:pt>
                <c:pt idx="24">
                  <c:v>Rte 75 Midtown CW Loop</c:v>
                </c:pt>
                <c:pt idx="25">
                  <c:v>Rte 84 Murfreesboro Express OB</c:v>
                </c:pt>
                <c:pt idx="26">
                  <c:v>Rte 93 MCS West End Shuttle</c:v>
                </c:pt>
                <c:pt idx="27">
                  <c:v>Rte 87 Gallatin Comm Bus OB</c:v>
                </c:pt>
                <c:pt idx="28">
                  <c:v>Rte 41 Golden Valley OB PM</c:v>
                </c:pt>
                <c:pt idx="29">
                  <c:v>Rte 95 Spring Hill Exp OB</c:v>
                </c:pt>
                <c:pt idx="30">
                  <c:v>Rte 86 Smyrna Lavergne Exp OB</c:v>
                </c:pt>
                <c:pt idx="31">
                  <c:v>Rte 70 Belevue Conn OB</c:v>
                </c:pt>
                <c:pt idx="32">
                  <c:v>Rte 89 Spgfield/Joelton Exp OB</c:v>
                </c:pt>
                <c:pt idx="33">
                  <c:v>Rte 64 STAR DOWNTOWN SHUTTLE</c:v>
                </c:pt>
              </c:strCache>
            </c:strRef>
          </c:cat>
          <c:val>
            <c:numRef>
              <c:f>BoardingByRoute_All!$AC$15:$AC$48</c:f>
              <c:numCache>
                <c:formatCode>_(* #,##0_);_(* \(#,##0\);_(* "-"??_);_(@_)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89-4FDA-BD0B-804EFAA24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40147904"/>
        <c:axId val="540145104"/>
      </c:barChart>
      <c:catAx>
        <c:axId val="540147904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Route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45104"/>
        <c:crosses val="autoZero"/>
        <c:auto val="1"/>
        <c:lblAlgn val="ctr"/>
        <c:lblOffset val="100"/>
        <c:noMultiLvlLbl val="0"/>
      </c:catAx>
      <c:valAx>
        <c:axId val="54014510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Boardings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47904"/>
        <c:crosses val="autoZero"/>
        <c:crossBetween val="between"/>
        <c:majorUnit val="1000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226779</xdr:colOff>
      <xdr:row>1</xdr:row>
      <xdr:rowOff>124945</xdr:rowOff>
    </xdr:from>
    <xdr:to>
      <xdr:col>45</xdr:col>
      <xdr:colOff>381000</xdr:colOff>
      <xdr:row>36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40901</xdr:colOff>
      <xdr:row>12</xdr:row>
      <xdr:rowOff>2940</xdr:rowOff>
    </xdr:from>
    <xdr:to>
      <xdr:col>22</xdr:col>
      <xdr:colOff>96199</xdr:colOff>
      <xdr:row>55</xdr:row>
      <xdr:rowOff>35751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300037</xdr:colOff>
      <xdr:row>37</xdr:row>
      <xdr:rowOff>102394</xdr:rowOff>
    </xdr:from>
    <xdr:to>
      <xdr:col>44</xdr:col>
      <xdr:colOff>533928</xdr:colOff>
      <xdr:row>80</xdr:row>
      <xdr:rowOff>135205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X74"/>
  <sheetViews>
    <sheetView tabSelected="1" zoomScale="80" zoomScaleNormal="80" workbookViewId="0">
      <selection activeCell="N8" sqref="N8"/>
    </sheetView>
  </sheetViews>
  <sheetFormatPr defaultRowHeight="14.25" x14ac:dyDescent="0.45"/>
  <cols>
    <col min="2" max="2" width="12" customWidth="1"/>
    <col min="3" max="3" width="12.73046875" customWidth="1"/>
    <col min="4" max="4" width="31" customWidth="1"/>
    <col min="5" max="5" width="10.59765625" bestFit="1" customWidth="1"/>
    <col min="6" max="6" width="11" hidden="1" customWidth="1"/>
    <col min="7" max="7" width="14.265625" bestFit="1" customWidth="1"/>
    <col min="8" max="8" width="12" hidden="1" customWidth="1"/>
    <col min="9" max="9" width="12" customWidth="1"/>
    <col min="11" max="11" width="12.59765625" hidden="1" customWidth="1"/>
    <col min="12" max="12" width="11.73046875" hidden="1" customWidth="1"/>
    <col min="24" max="24" width="11.59765625" bestFit="1" customWidth="1"/>
    <col min="25" max="25" width="12.265625" bestFit="1" customWidth="1"/>
    <col min="26" max="26" width="29.3984375" bestFit="1" customWidth="1"/>
    <col min="29" max="29" width="12.1328125" customWidth="1"/>
    <col min="30" max="30" width="11" bestFit="1" customWidth="1"/>
    <col min="31" max="32" width="11" customWidth="1"/>
  </cols>
  <sheetData>
    <row r="1" spans="1:50" x14ac:dyDescent="0.45">
      <c r="D1" s="89" t="s">
        <v>0</v>
      </c>
      <c r="E1" s="92"/>
      <c r="F1" s="92"/>
      <c r="G1" s="92"/>
      <c r="H1" s="92"/>
      <c r="I1" s="92"/>
      <c r="J1" s="92"/>
      <c r="M1" s="54"/>
    </row>
    <row r="2" spans="1:50" x14ac:dyDescent="0.45">
      <c r="D2" s="90"/>
      <c r="E2" s="117" t="s">
        <v>1</v>
      </c>
      <c r="F2" s="116"/>
      <c r="G2" s="115" t="s">
        <v>2</v>
      </c>
      <c r="H2" s="116"/>
      <c r="I2" s="118" t="s">
        <v>3</v>
      </c>
      <c r="J2" s="116"/>
      <c r="K2" s="81" t="s">
        <v>4</v>
      </c>
      <c r="L2" s="82"/>
      <c r="N2" t="s">
        <v>5</v>
      </c>
      <c r="O2" s="4"/>
      <c r="P2" s="4"/>
    </row>
    <row r="3" spans="1:50" x14ac:dyDescent="0.45">
      <c r="C3" t="s">
        <v>6</v>
      </c>
      <c r="D3" s="91" t="s">
        <v>7</v>
      </c>
      <c r="E3" s="21" t="s">
        <v>8</v>
      </c>
      <c r="F3" s="21" t="s">
        <v>9</v>
      </c>
      <c r="G3" s="46" t="s">
        <v>8</v>
      </c>
      <c r="H3" s="46" t="s">
        <v>9</v>
      </c>
      <c r="I3" s="76" t="s">
        <v>8</v>
      </c>
      <c r="J3" s="76" t="s">
        <v>9</v>
      </c>
      <c r="K3" s="83" t="s">
        <v>10</v>
      </c>
      <c r="L3" s="83" t="s">
        <v>11</v>
      </c>
      <c r="M3" s="58"/>
      <c r="N3" s="26" t="s">
        <v>12</v>
      </c>
      <c r="AX3" s="54" t="s">
        <v>13</v>
      </c>
    </row>
    <row r="4" spans="1:50" x14ac:dyDescent="0.45">
      <c r="C4" s="94" t="s">
        <v>14</v>
      </c>
      <c r="D4" s="92" t="s">
        <v>15</v>
      </c>
      <c r="E4" s="7">
        <f>SUMIF($A$15:$A$48,1,E$15:E$49)+SUMIF($A$15:$A$48,11,E$15:E$49)</f>
        <v>28537.136363636364</v>
      </c>
      <c r="F4" s="45">
        <f>E4/E$8</f>
        <v>0.82928411127798496</v>
      </c>
      <c r="G4" s="47">
        <f>SUMIF($A$15:$A$48,1,G$15:G$48)+SUMIF($A$15:$A$48,11,G$15:G$48)</f>
        <v>0</v>
      </c>
      <c r="H4" s="48" t="e">
        <f>PrilimTable!F57</f>
        <v>#VALUE!</v>
      </c>
      <c r="I4" s="77">
        <f>G4-E4</f>
        <v>-28537.136363636364</v>
      </c>
      <c r="J4" s="74">
        <f>IFERROR(I4/E4,0)</f>
        <v>-1</v>
      </c>
      <c r="K4" s="84">
        <f>PrilimTable!G57</f>
        <v>-0.1</v>
      </c>
      <c r="L4" s="85">
        <f>PrilimTable!H57</f>
        <v>-3.3333333333333335</v>
      </c>
      <c r="N4" s="100"/>
      <c r="O4" s="100"/>
      <c r="AX4" t="s">
        <v>16</v>
      </c>
    </row>
    <row r="5" spans="1:50" x14ac:dyDescent="0.45">
      <c r="C5" t="s">
        <v>17</v>
      </c>
      <c r="D5" s="92" t="s">
        <v>18</v>
      </c>
      <c r="E5" s="7">
        <f>SUMIF($A$15:$A$48,6,E$15:E$49)+SUMIF($A$15:$A$48,7,E$15:E$49)</f>
        <v>1004.4545454545455</v>
      </c>
      <c r="F5" s="45">
        <f>E5/E$8</f>
        <v>2.9189270585251611E-2</v>
      </c>
      <c r="G5" s="47">
        <f>SUMIF($A$15:$A$48,6,G$15:G$48)+SUMIF($A$15:$A$48,7,G$15:G$48)</f>
        <v>0</v>
      </c>
      <c r="H5" s="48" t="e">
        <f>PrilimTable!F58</f>
        <v>#VALUE!</v>
      </c>
      <c r="I5" s="77">
        <f>G5-E5</f>
        <v>-1004.4545454545455</v>
      </c>
      <c r="J5" s="74">
        <f>IFERROR(I5/E5,0)</f>
        <v>-1</v>
      </c>
      <c r="K5" s="84">
        <f>PrilimTable!G58</f>
        <v>0.45</v>
      </c>
      <c r="L5" s="85">
        <f>PrilimTable!H58</f>
        <v>15.000000000000002</v>
      </c>
      <c r="N5" s="100"/>
      <c r="O5" s="100"/>
      <c r="AX5" t="s">
        <v>19</v>
      </c>
    </row>
    <row r="6" spans="1:50" x14ac:dyDescent="0.45">
      <c r="C6" s="26">
        <v>8</v>
      </c>
      <c r="D6" s="92" t="s">
        <v>20</v>
      </c>
      <c r="E6" s="7">
        <f>SUMIF($A$15:$A$48,8,E$15:E$49)</f>
        <v>4470.863636363636</v>
      </c>
      <c r="F6" s="45">
        <f>E6/E$8</f>
        <v>0.12992250273756734</v>
      </c>
      <c r="G6" s="47">
        <f>SUMIF($A$15:$A$48,8,G$15:G$48)</f>
        <v>0</v>
      </c>
      <c r="H6" s="48" t="e">
        <f>PrilimTable!F59</f>
        <v>#VALUE!</v>
      </c>
      <c r="I6" s="77">
        <f>G6-E6</f>
        <v>-4470.863636363636</v>
      </c>
      <c r="J6" s="74">
        <f>IFERROR(I6/E6,0)</f>
        <v>-1</v>
      </c>
      <c r="K6" s="84">
        <f>PrilimTable!G59</f>
        <v>-0.1</v>
      </c>
      <c r="L6" s="85">
        <f>PrilimTable!H59</f>
        <v>-3.3333333333333335</v>
      </c>
      <c r="N6" s="100"/>
      <c r="O6" s="100"/>
      <c r="S6" s="57"/>
      <c r="AX6" t="s">
        <v>21</v>
      </c>
    </row>
    <row r="7" spans="1:50" x14ac:dyDescent="0.45">
      <c r="C7">
        <v>12</v>
      </c>
      <c r="D7" s="93" t="s">
        <v>22</v>
      </c>
      <c r="E7" s="11">
        <f>SUMIF($A$15:$A$48,12,E$15:E$49)</f>
        <v>399.31818181818181</v>
      </c>
      <c r="F7" s="51">
        <f>E7/E$8</f>
        <v>1.16041153991961E-2</v>
      </c>
      <c r="G7" s="52">
        <f>SUMIF($A$15:$A$48,12,G$15:G$48)</f>
        <v>0</v>
      </c>
      <c r="H7" s="53" t="e">
        <f>PrilimTable!F60</f>
        <v>#VALUE!</v>
      </c>
      <c r="I7" s="78">
        <f>G7-E7</f>
        <v>-399.31818181818181</v>
      </c>
      <c r="J7" s="114">
        <f>IFERROR(I7/E7,0)</f>
        <v>-1</v>
      </c>
      <c r="K7" s="84">
        <f>PrilimTable!G60</f>
        <v>1.3</v>
      </c>
      <c r="L7" s="85">
        <f>PrilimTable!H60</f>
        <v>43.333333333333336</v>
      </c>
      <c r="N7" s="100"/>
      <c r="O7" s="100"/>
      <c r="S7" s="57"/>
      <c r="AX7" t="s">
        <v>23</v>
      </c>
    </row>
    <row r="8" spans="1:50" x14ac:dyDescent="0.45">
      <c r="D8" s="91" t="s">
        <v>24</v>
      </c>
      <c r="E8" s="13">
        <f>SUM(E4:E7)</f>
        <v>34411.772727272728</v>
      </c>
      <c r="F8" s="59">
        <f>E8/E$8</f>
        <v>1</v>
      </c>
      <c r="G8" s="49">
        <f>SUM(G4:G7)</f>
        <v>0</v>
      </c>
      <c r="H8" s="50">
        <v>1</v>
      </c>
      <c r="I8" s="79">
        <f>G8-E8</f>
        <v>-34411.772727272728</v>
      </c>
      <c r="J8" s="80">
        <f>I8/E8</f>
        <v>-1</v>
      </c>
      <c r="K8" s="86"/>
      <c r="L8" s="87"/>
      <c r="S8" s="57"/>
      <c r="AX8" t="s">
        <v>25</v>
      </c>
    </row>
    <row r="9" spans="1:50" x14ac:dyDescent="0.45">
      <c r="D9" s="92" t="s">
        <v>26</v>
      </c>
      <c r="E9" s="95">
        <v>25693</v>
      </c>
      <c r="F9" s="92"/>
      <c r="G9" s="95">
        <f>TrnStat.asc!R18</f>
        <v>0</v>
      </c>
      <c r="H9" s="92"/>
      <c r="I9" s="92"/>
      <c r="J9" s="92"/>
      <c r="L9" s="17"/>
      <c r="S9" s="57"/>
      <c r="AX9" t="s">
        <v>27</v>
      </c>
    </row>
    <row r="10" spans="1:50" x14ac:dyDescent="0.45">
      <c r="D10" s="92" t="s">
        <v>28</v>
      </c>
      <c r="E10" s="98">
        <f>E8/E9</f>
        <v>1.3393442854969342</v>
      </c>
      <c r="F10" s="92"/>
      <c r="G10" s="98" t="e">
        <f>G8/G9</f>
        <v>#DIV/0!</v>
      </c>
      <c r="H10" s="92"/>
      <c r="I10" s="92"/>
      <c r="J10" s="92"/>
      <c r="K10" s="92" t="s">
        <v>29</v>
      </c>
      <c r="L10" s="96">
        <f>PrilimTable!E63</f>
        <v>0</v>
      </c>
    </row>
    <row r="11" spans="1:50" x14ac:dyDescent="0.45">
      <c r="C11" s="2"/>
      <c r="D11" s="99" t="s">
        <v>30</v>
      </c>
      <c r="E11" s="97" t="e">
        <f>RSQ(G15:G48,E15:E48)</f>
        <v>#DIV/0!</v>
      </c>
      <c r="F11" s="92"/>
      <c r="G11" s="92"/>
      <c r="H11" s="92"/>
      <c r="I11" s="92"/>
      <c r="J11" s="92"/>
      <c r="AX11" t="s">
        <v>31</v>
      </c>
    </row>
    <row r="12" spans="1:50" x14ac:dyDescent="0.45">
      <c r="B12" s="4" t="s">
        <v>32</v>
      </c>
      <c r="I12" s="10"/>
      <c r="J12" s="10"/>
      <c r="X12" s="110" t="s">
        <v>33</v>
      </c>
      <c r="AX12" t="s">
        <v>34</v>
      </c>
    </row>
    <row r="13" spans="1:50" x14ac:dyDescent="0.45">
      <c r="B13" s="6"/>
      <c r="C13" s="6"/>
      <c r="D13" s="6"/>
      <c r="E13" s="121" t="s">
        <v>1</v>
      </c>
      <c r="F13" s="122"/>
      <c r="G13" s="123" t="s">
        <v>2</v>
      </c>
      <c r="H13" s="122"/>
      <c r="I13" s="119" t="s">
        <v>3</v>
      </c>
      <c r="J13" s="120"/>
      <c r="L13" s="4"/>
      <c r="X13" s="6"/>
      <c r="Y13" s="6"/>
      <c r="Z13" s="6"/>
      <c r="AA13" s="121" t="s">
        <v>1</v>
      </c>
      <c r="AB13" s="122"/>
      <c r="AC13" s="123" t="str">
        <f>G13</f>
        <v>ABM</v>
      </c>
      <c r="AD13" s="122"/>
      <c r="AE13" s="119" t="s">
        <v>3</v>
      </c>
      <c r="AF13" s="120"/>
      <c r="AX13" t="s">
        <v>35</v>
      </c>
    </row>
    <row r="14" spans="1:50" x14ac:dyDescent="0.45">
      <c r="A14" t="s">
        <v>6</v>
      </c>
      <c r="B14" s="62" t="s">
        <v>36</v>
      </c>
      <c r="C14" s="5" t="s">
        <v>37</v>
      </c>
      <c r="D14" s="5" t="s">
        <v>38</v>
      </c>
      <c r="E14" s="37" t="s">
        <v>39</v>
      </c>
      <c r="F14" s="37" t="s">
        <v>9</v>
      </c>
      <c r="G14" s="31" t="s">
        <v>39</v>
      </c>
      <c r="H14" s="31" t="s">
        <v>9</v>
      </c>
      <c r="I14" s="88" t="s">
        <v>40</v>
      </c>
      <c r="J14" s="88" t="s">
        <v>41</v>
      </c>
      <c r="L14" s="4"/>
      <c r="M14" s="20"/>
      <c r="X14" s="5" t="s">
        <v>36</v>
      </c>
      <c r="Y14" s="5" t="s">
        <v>37</v>
      </c>
      <c r="Z14" s="5" t="s">
        <v>38</v>
      </c>
      <c r="AA14" s="37" t="s">
        <v>39</v>
      </c>
      <c r="AB14" s="37" t="s">
        <v>9</v>
      </c>
      <c r="AC14" s="31" t="s">
        <v>39</v>
      </c>
      <c r="AD14" s="31" t="s">
        <v>9</v>
      </c>
      <c r="AE14" s="88" t="s">
        <v>40</v>
      </c>
      <c r="AF14" s="88" t="s">
        <v>41</v>
      </c>
      <c r="AG14" t="s">
        <v>42</v>
      </c>
      <c r="AX14" t="s">
        <v>43</v>
      </c>
    </row>
    <row r="15" spans="1:50" x14ac:dyDescent="0.45">
      <c r="A15">
        <f>VLOOKUP($C15,PrilimTable!$N:$T,7,FALSE)</f>
        <v>1</v>
      </c>
      <c r="B15">
        <v>3</v>
      </c>
      <c r="C15">
        <f t="shared" ref="C15:C48" si="0">B15</f>
        <v>3</v>
      </c>
      <c r="D15" t="str">
        <f>VLOOKUP($C15,PrilimTable!$N:$S,2,FALSE)</f>
        <v>Rte 3 West End (White Bridge) IB</v>
      </c>
      <c r="E15" s="36">
        <f>SUMIF(PrilimTable!$M$4:$M$82,B15,PrilimTable!$P$4:$P$82)</f>
        <v>2516.909090909091</v>
      </c>
      <c r="F15" s="45">
        <f t="shared" ref="F15:F48" si="1">E15/$E$49</f>
        <v>7.3140930891779893E-2</v>
      </c>
      <c r="G15" s="30">
        <f>SUMIF(PrilimTable!$N$4:$N$82,C15,PrilimTable!$R$4:$R$82)</f>
        <v>0</v>
      </c>
      <c r="H15" s="60" t="e">
        <f t="shared" ref="H15:H48" si="2">G15/$G$49</f>
        <v>#DIV/0!</v>
      </c>
      <c r="I15" s="43">
        <f t="shared" ref="I15:I49" si="3">G15-E15</f>
        <v>-2516.909090909091</v>
      </c>
      <c r="J15" s="74">
        <f t="shared" ref="J15:J49" si="4">I15/E15</f>
        <v>-1</v>
      </c>
      <c r="L15" s="65"/>
      <c r="M15" s="41"/>
      <c r="N15" s="41"/>
      <c r="X15">
        <v>55</v>
      </c>
      <c r="Y15">
        <v>55</v>
      </c>
      <c r="Z15" t="str">
        <f t="shared" ref="Z15:Z48" si="5">VLOOKUP(Y15,$C$14:$D$49,2,FALSE)</f>
        <v>Rte 55 MURFREESBORO PIKE oB</v>
      </c>
      <c r="AA15" s="36">
        <f>SUMIF(PrilimTable!$M$4:$M$82,X15,PrilimTable!$P$4:$P$82)</f>
        <v>5829.363636363636</v>
      </c>
      <c r="AB15" s="28">
        <f t="shared" ref="AB15:AB48" si="6">AA15/$E$49</f>
        <v>0.16940027131306803</v>
      </c>
      <c r="AC15" s="30">
        <f>SUMIF(PrilimTable!$N$4:$N$82,Y15,PrilimTable!$R$4:$R$82)</f>
        <v>0</v>
      </c>
      <c r="AD15" s="27" t="e">
        <f t="shared" ref="AD15:AD48" si="7">AC15/$G$49</f>
        <v>#DIV/0!</v>
      </c>
      <c r="AE15" s="43">
        <f t="shared" ref="AE15:AE49" si="8">AC15-AA15</f>
        <v>-5829.363636363636</v>
      </c>
      <c r="AF15" s="74">
        <f t="shared" ref="AF15:AF49" si="9">AE15/AA15</f>
        <v>-1</v>
      </c>
      <c r="AG15">
        <v>100</v>
      </c>
    </row>
    <row r="16" spans="1:50" x14ac:dyDescent="0.45">
      <c r="A16">
        <f>VLOOKUP($C16,PrilimTable!$N:$T,7,FALSE)</f>
        <v>1</v>
      </c>
      <c r="B16">
        <v>4</v>
      </c>
      <c r="C16">
        <f t="shared" si="0"/>
        <v>4</v>
      </c>
      <c r="D16" t="str">
        <f>VLOOKUP($C16,PrilimTable!$N:$S,2,FALSE)</f>
        <v>Rte 4 Shelby IB</v>
      </c>
      <c r="E16" s="36">
        <f>SUMIF(PrilimTable!$M$4:$M$82,B16,PrilimTable!$P$4:$P$82)</f>
        <v>941.0454545454545</v>
      </c>
      <c r="F16" s="45">
        <f t="shared" si="1"/>
        <v>2.7346613672118016E-2</v>
      </c>
      <c r="G16" s="30">
        <f>SUMIF(PrilimTable!$N$4:$N$82,C16,PrilimTable!$R$4:$R$82)</f>
        <v>0</v>
      </c>
      <c r="H16" s="60" t="e">
        <f t="shared" si="2"/>
        <v>#DIV/0!</v>
      </c>
      <c r="I16" s="43">
        <f t="shared" si="3"/>
        <v>-941.0454545454545</v>
      </c>
      <c r="J16" s="74">
        <f t="shared" si="4"/>
        <v>-1</v>
      </c>
      <c r="L16" s="65"/>
      <c r="M16" s="41"/>
      <c r="X16">
        <v>56</v>
      </c>
      <c r="Y16">
        <v>56</v>
      </c>
      <c r="Z16" t="str">
        <f t="shared" si="5"/>
        <v>Rte 56 Gallatin Rd IB</v>
      </c>
      <c r="AA16" s="36">
        <f>SUMIF(PrilimTable!$M$4:$M$82,X16,PrilimTable!$P$4:$P$82)</f>
        <v>4470.863636363636</v>
      </c>
      <c r="AB16" s="28">
        <f t="shared" si="6"/>
        <v>0.12992250273756731</v>
      </c>
      <c r="AC16" s="30">
        <f>SUMIF(PrilimTable!$N$4:$N$82,Y16,PrilimTable!$R$4:$R$82)</f>
        <v>0</v>
      </c>
      <c r="AD16" s="27" t="e">
        <f t="shared" si="7"/>
        <v>#DIV/0!</v>
      </c>
      <c r="AE16" s="43">
        <f t="shared" si="8"/>
        <v>-4470.863636363636</v>
      </c>
      <c r="AF16" s="74">
        <f t="shared" si="9"/>
        <v>-1</v>
      </c>
      <c r="AG16">
        <v>200</v>
      </c>
      <c r="AX16" t="s">
        <v>44</v>
      </c>
    </row>
    <row r="17" spans="1:50" x14ac:dyDescent="0.45">
      <c r="A17">
        <f>VLOOKUP($C17,PrilimTable!$N:$T,7,FALSE)</f>
        <v>1</v>
      </c>
      <c r="B17">
        <v>6</v>
      </c>
      <c r="C17">
        <f t="shared" si="0"/>
        <v>6</v>
      </c>
      <c r="D17" t="str">
        <f>VLOOKUP($C17,PrilimTable!$N:$S,2,FALSE)</f>
        <v>Rte 6 Lebanon Rd OB</v>
      </c>
      <c r="E17" s="36">
        <f>SUMIF(PrilimTable!$M$4:$M$82,B17,PrilimTable!$P$4:$P$82)</f>
        <v>818.18181818181813</v>
      </c>
      <c r="F17" s="45">
        <f t="shared" si="1"/>
        <v>2.3776218233981756E-2</v>
      </c>
      <c r="G17" s="30">
        <f>SUMIF(PrilimTable!$N$4:$N$82,C17,PrilimTable!$R$4:$R$82)</f>
        <v>0</v>
      </c>
      <c r="H17" s="60" t="e">
        <f t="shared" si="2"/>
        <v>#DIV/0!</v>
      </c>
      <c r="I17" s="43">
        <f t="shared" si="3"/>
        <v>-818.18181818181813</v>
      </c>
      <c r="J17" s="74">
        <f t="shared" si="4"/>
        <v>-1</v>
      </c>
      <c r="L17" s="65"/>
      <c r="M17" s="41"/>
      <c r="N17" s="41"/>
      <c r="X17">
        <v>52</v>
      </c>
      <c r="Y17">
        <v>52</v>
      </c>
      <c r="Z17" t="str">
        <f t="shared" si="5"/>
        <v>Rte 52 NOLENSVILLE PIKE (Hick) oB</v>
      </c>
      <c r="AA17" s="36">
        <f>SUMIF(PrilimTable!$M$4:$M$82,X17,PrilimTable!$P$4:$P$82)</f>
        <v>3623.863636363636</v>
      </c>
      <c r="AB17" s="28">
        <f t="shared" si="6"/>
        <v>0.1053088332613442</v>
      </c>
      <c r="AC17" s="30">
        <f>SUMIF(PrilimTable!$N$4:$N$82,Y17,PrilimTable!$R$4:$R$82)</f>
        <v>0</v>
      </c>
      <c r="AD17" s="27" t="e">
        <f t="shared" si="7"/>
        <v>#DIV/0!</v>
      </c>
      <c r="AE17" s="43">
        <f t="shared" si="8"/>
        <v>-3623.863636363636</v>
      </c>
      <c r="AF17" s="74">
        <f t="shared" si="9"/>
        <v>-1</v>
      </c>
      <c r="AG17">
        <v>300</v>
      </c>
      <c r="AX17" t="s">
        <v>45</v>
      </c>
    </row>
    <row r="18" spans="1:50" x14ac:dyDescent="0.45">
      <c r="A18">
        <f>VLOOKUP($C18,PrilimTable!$N:$T,7,FALSE)</f>
        <v>1</v>
      </c>
      <c r="B18">
        <v>7</v>
      </c>
      <c r="C18">
        <f t="shared" si="0"/>
        <v>7</v>
      </c>
      <c r="D18" t="str">
        <f>VLOOKUP($C18,PrilimTable!$N:$S,2,FALSE)</f>
        <v>Rte 7 Hillsboro IB</v>
      </c>
      <c r="E18" s="36">
        <f>SUMIF(PrilimTable!$M$4:$M$82,B18,PrilimTable!$P$4:$P$82)</f>
        <v>1841.590909090909</v>
      </c>
      <c r="F18" s="45">
        <f t="shared" si="1"/>
        <v>5.3516304541653938E-2</v>
      </c>
      <c r="G18" s="30">
        <f>SUMIF(PrilimTable!$N$4:$N$82,C18,PrilimTable!$R$4:$R$82)</f>
        <v>0</v>
      </c>
      <c r="H18" s="60" t="e">
        <f t="shared" si="2"/>
        <v>#DIV/0!</v>
      </c>
      <c r="I18" s="43">
        <f t="shared" si="3"/>
        <v>-1841.590909090909</v>
      </c>
      <c r="J18" s="74">
        <f t="shared" si="4"/>
        <v>-1</v>
      </c>
      <c r="L18" s="65"/>
      <c r="M18" s="41"/>
      <c r="X18">
        <v>23</v>
      </c>
      <c r="Y18">
        <v>23</v>
      </c>
      <c r="Z18" t="str">
        <f t="shared" si="5"/>
        <v>Rte 23 Dickerson Pike OB</v>
      </c>
      <c r="AA18" s="36">
        <f>SUMIF(PrilimTable!$M$4:$M$82,X18,PrilimTable!$P$4:$P$82)</f>
        <v>2690.5</v>
      </c>
      <c r="AB18" s="28">
        <f t="shared" si="6"/>
        <v>7.8185451860423014E-2</v>
      </c>
      <c r="AC18" s="30">
        <f>SUMIF(PrilimTable!$N$4:$N$82,Y18,PrilimTable!$R$4:$R$82)</f>
        <v>0</v>
      </c>
      <c r="AD18" s="27" t="e">
        <f t="shared" si="7"/>
        <v>#DIV/0!</v>
      </c>
      <c r="AE18" s="43">
        <f t="shared" si="8"/>
        <v>-2690.5</v>
      </c>
      <c r="AF18" s="74">
        <f t="shared" si="9"/>
        <v>-1</v>
      </c>
      <c r="AG18">
        <v>400</v>
      </c>
      <c r="AX18" t="s">
        <v>46</v>
      </c>
    </row>
    <row r="19" spans="1:50" x14ac:dyDescent="0.45">
      <c r="A19">
        <f>VLOOKUP($C19,PrilimTable!$N:$T,7,FALSE)</f>
        <v>1</v>
      </c>
      <c r="B19">
        <v>8</v>
      </c>
      <c r="C19">
        <f t="shared" si="0"/>
        <v>8</v>
      </c>
      <c r="D19" t="str">
        <f>VLOOKUP($C19,PrilimTable!$N:$S,2,FALSE)</f>
        <v>Rte 8 8TH AVENUE SOUTH iB</v>
      </c>
      <c r="E19" s="36">
        <f>SUMIF(PrilimTable!$M$4:$M$82,B19,PrilimTable!$P$4:$P$82)</f>
        <v>944.40909090909088</v>
      </c>
      <c r="F19" s="45">
        <f t="shared" si="1"/>
        <v>2.7444360347079942E-2</v>
      </c>
      <c r="G19" s="30">
        <f>SUMIF(PrilimTable!$N$4:$N$82,C19,PrilimTable!$R$4:$R$82)</f>
        <v>0</v>
      </c>
      <c r="H19" s="60" t="e">
        <f t="shared" si="2"/>
        <v>#DIV/0!</v>
      </c>
      <c r="I19" s="43">
        <f t="shared" si="3"/>
        <v>-944.40909090909088</v>
      </c>
      <c r="J19" s="74">
        <f t="shared" si="4"/>
        <v>-1</v>
      </c>
      <c r="L19" s="65"/>
      <c r="M19" s="41"/>
      <c r="X19">
        <v>50</v>
      </c>
      <c r="Y19">
        <v>50</v>
      </c>
      <c r="Z19" t="str">
        <f t="shared" si="5"/>
        <v>Rte 50 CHARLOTTE PIKE oB</v>
      </c>
      <c r="AA19" s="36">
        <f>SUMIF(PrilimTable!$M$4:$M$82,X19,PrilimTable!$P$4:$P$82)</f>
        <v>2542.863636363636</v>
      </c>
      <c r="AB19" s="28">
        <f t="shared" si="6"/>
        <v>7.3895165370202298E-2</v>
      </c>
      <c r="AC19" s="30">
        <f>SUMIF(PrilimTable!$N$4:$N$82,Y19,PrilimTable!$R$4:$R$82)</f>
        <v>0</v>
      </c>
      <c r="AD19" s="27" t="e">
        <f t="shared" si="7"/>
        <v>#DIV/0!</v>
      </c>
      <c r="AE19" s="43">
        <f t="shared" si="8"/>
        <v>-2542.863636363636</v>
      </c>
      <c r="AF19" s="74">
        <f t="shared" si="9"/>
        <v>-1</v>
      </c>
      <c r="AG19">
        <v>500</v>
      </c>
      <c r="AX19" t="s">
        <v>47</v>
      </c>
    </row>
    <row r="20" spans="1:50" x14ac:dyDescent="0.45">
      <c r="A20">
        <f>VLOOKUP($C20,PrilimTable!$N:$T,7,FALSE)</f>
        <v>1</v>
      </c>
      <c r="B20">
        <v>9</v>
      </c>
      <c r="C20">
        <f t="shared" si="0"/>
        <v>9</v>
      </c>
      <c r="D20" t="str">
        <f>VLOOKUP($C20,PrilimTable!$N:$S,2,FALSE)</f>
        <v>Rte 9 MetroCenter OB</v>
      </c>
      <c r="E20" s="36">
        <f>SUMIF(PrilimTable!$M$4:$M$82,B20,PrilimTable!$P$4:$P$82)</f>
        <v>350.59090909090912</v>
      </c>
      <c r="F20" s="45">
        <f t="shared" si="1"/>
        <v>1.0188109513261184E-2</v>
      </c>
      <c r="G20" s="30">
        <f>SUMIF(PrilimTable!$N$4:$N$82,C20,PrilimTable!$R$4:$R$82)</f>
        <v>0</v>
      </c>
      <c r="H20" s="60" t="e">
        <f t="shared" si="2"/>
        <v>#DIV/0!</v>
      </c>
      <c r="I20" s="43">
        <f t="shared" si="3"/>
        <v>-350.59090909090912</v>
      </c>
      <c r="J20" s="74">
        <f t="shared" si="4"/>
        <v>-1</v>
      </c>
      <c r="L20" s="65"/>
      <c r="M20" s="41"/>
      <c r="N20" s="41"/>
      <c r="X20">
        <v>3</v>
      </c>
      <c r="Y20">
        <v>3</v>
      </c>
      <c r="Z20" t="str">
        <f t="shared" si="5"/>
        <v>Rte 3 West End (White Bridge) IB</v>
      </c>
      <c r="AA20" s="36">
        <f>SUMIF(PrilimTable!$M$4:$M$82,X20,PrilimTable!$P$4:$P$82)</f>
        <v>2516.909090909091</v>
      </c>
      <c r="AB20" s="28">
        <f t="shared" si="6"/>
        <v>7.3140930891779893E-2</v>
      </c>
      <c r="AC20" s="30">
        <f>SUMIF(PrilimTable!$N$4:$N$82,Y20,PrilimTable!$R$4:$R$82)</f>
        <v>0</v>
      </c>
      <c r="AD20" s="27" t="e">
        <f t="shared" si="7"/>
        <v>#DIV/0!</v>
      </c>
      <c r="AE20" s="43">
        <f t="shared" si="8"/>
        <v>-2516.909090909091</v>
      </c>
      <c r="AF20" s="74">
        <f t="shared" si="9"/>
        <v>-1</v>
      </c>
      <c r="AG20">
        <v>600</v>
      </c>
    </row>
    <row r="21" spans="1:50" x14ac:dyDescent="0.45">
      <c r="A21">
        <f>VLOOKUP($C21,PrilimTable!$N:$T,7,FALSE)</f>
        <v>1</v>
      </c>
      <c r="B21">
        <v>14</v>
      </c>
      <c r="C21">
        <f t="shared" si="0"/>
        <v>14</v>
      </c>
      <c r="D21" t="str">
        <f>VLOOKUP($C21,PrilimTable!$N:$S,2,FALSE)</f>
        <v>Rte 14 WHITES CREEK oB</v>
      </c>
      <c r="E21" s="36">
        <f>SUMIF(PrilimTable!$M$4:$M$82,B21,PrilimTable!$P$4:$P$82)</f>
        <v>334.18181818181819</v>
      </c>
      <c r="F21" s="45">
        <f t="shared" si="1"/>
        <v>9.7112642475685497E-3</v>
      </c>
      <c r="G21" s="30">
        <f>SUMIF(PrilimTable!$N$4:$N$82,C21,PrilimTable!$R$4:$R$82)</f>
        <v>0</v>
      </c>
      <c r="H21" s="60" t="e">
        <f t="shared" si="2"/>
        <v>#DIV/0!</v>
      </c>
      <c r="I21" s="43">
        <f t="shared" si="3"/>
        <v>-334.18181818181819</v>
      </c>
      <c r="J21" s="74">
        <f t="shared" si="4"/>
        <v>-1</v>
      </c>
      <c r="L21" s="65"/>
      <c r="M21" s="41"/>
      <c r="X21">
        <v>7</v>
      </c>
      <c r="Y21">
        <v>7</v>
      </c>
      <c r="Z21" t="str">
        <f t="shared" si="5"/>
        <v>Rte 7 Hillsboro IB</v>
      </c>
      <c r="AA21" s="36">
        <f>SUMIF(PrilimTable!$M$4:$M$82,X21,PrilimTable!$P$4:$P$82)</f>
        <v>1841.590909090909</v>
      </c>
      <c r="AB21" s="28">
        <f t="shared" si="6"/>
        <v>5.3516304541653938E-2</v>
      </c>
      <c r="AC21" s="30">
        <f>SUMIF(PrilimTable!$N$4:$N$82,Y21,PrilimTable!$R$4:$R$82)</f>
        <v>0</v>
      </c>
      <c r="AD21" s="27" t="e">
        <f t="shared" si="7"/>
        <v>#DIV/0!</v>
      </c>
      <c r="AE21" s="43">
        <f t="shared" si="8"/>
        <v>-1841.590909090909</v>
      </c>
      <c r="AF21" s="74">
        <f t="shared" si="9"/>
        <v>-1</v>
      </c>
      <c r="AG21">
        <v>700</v>
      </c>
    </row>
    <row r="22" spans="1:50" x14ac:dyDescent="0.45">
      <c r="A22">
        <f>VLOOKUP($C22,PrilimTable!$N:$T,7,FALSE)</f>
        <v>1</v>
      </c>
      <c r="B22">
        <v>17</v>
      </c>
      <c r="C22">
        <f t="shared" si="0"/>
        <v>17</v>
      </c>
      <c r="D22" t="str">
        <f>VLOOKUP($C22,PrilimTable!$N:$S,2,FALSE)</f>
        <v>Rte 17 12TH AVENUE SOUTH iB</v>
      </c>
      <c r="E22" s="36">
        <f>SUMIF(PrilimTable!$M$4:$M$82,B22,PrilimTable!$P$4:$P$82)</f>
        <v>637.9545454545455</v>
      </c>
      <c r="F22" s="45">
        <f t="shared" si="1"/>
        <v>1.8538845717440779E-2</v>
      </c>
      <c r="G22" s="30">
        <f>SUMIF(PrilimTable!$N$4:$N$82,C22,PrilimTable!$R$4:$R$82)</f>
        <v>0</v>
      </c>
      <c r="H22" s="60" t="e">
        <f t="shared" si="2"/>
        <v>#DIV/0!</v>
      </c>
      <c r="I22" s="43">
        <f t="shared" si="3"/>
        <v>-637.9545454545455</v>
      </c>
      <c r="J22" s="74">
        <f t="shared" si="4"/>
        <v>-1</v>
      </c>
      <c r="L22" s="65"/>
      <c r="M22" s="41"/>
      <c r="X22">
        <v>22</v>
      </c>
      <c r="Y22">
        <v>22</v>
      </c>
      <c r="Z22" t="str">
        <f t="shared" si="5"/>
        <v>Rte 22 Bordeaux (Panaroma) IB</v>
      </c>
      <c r="AA22" s="36">
        <f>SUMIF(PrilimTable!$M$4:$M$82,X22,PrilimTable!$P$4:$P$82)</f>
        <v>1505.409090909091</v>
      </c>
      <c r="AB22" s="28">
        <f t="shared" si="6"/>
        <v>4.3746920649513438E-2</v>
      </c>
      <c r="AC22" s="30">
        <f>SUMIF(PrilimTable!$N$4:$N$82,Y22,PrilimTable!$R$4:$R$82)</f>
        <v>0</v>
      </c>
      <c r="AD22" s="27" t="e">
        <f t="shared" si="7"/>
        <v>#DIV/0!</v>
      </c>
      <c r="AE22" s="43">
        <f t="shared" si="8"/>
        <v>-1505.409090909091</v>
      </c>
      <c r="AF22" s="74">
        <f t="shared" si="9"/>
        <v>-1</v>
      </c>
      <c r="AG22">
        <v>800</v>
      </c>
    </row>
    <row r="23" spans="1:50" x14ac:dyDescent="0.45">
      <c r="A23">
        <f>VLOOKUP($C23,PrilimTable!$N:$T,7,FALSE)</f>
        <v>6</v>
      </c>
      <c r="B23">
        <v>18</v>
      </c>
      <c r="C23">
        <f t="shared" si="0"/>
        <v>18</v>
      </c>
      <c r="D23" t="str">
        <f>VLOOKUP($C23,PrilimTable!$N:$S,2,FALSE)</f>
        <v>Rte 18 Airport Exp OB</v>
      </c>
      <c r="E23" s="36">
        <f>SUMIF(PrilimTable!$M$4:$M$82,B23,PrilimTable!$P$4:$P$82)</f>
        <v>677.90909090909088</v>
      </c>
      <c r="F23" s="45">
        <f t="shared" si="1"/>
        <v>1.9699917707866884E-2</v>
      </c>
      <c r="G23" s="30">
        <f>SUMIF(PrilimTable!$N$4:$N$82,C23,PrilimTable!$R$4:$R$82)</f>
        <v>0</v>
      </c>
      <c r="H23" s="60" t="e">
        <f t="shared" si="2"/>
        <v>#DIV/0!</v>
      </c>
      <c r="I23" s="43">
        <f t="shared" si="3"/>
        <v>-677.90909090909088</v>
      </c>
      <c r="J23" s="74">
        <f t="shared" si="4"/>
        <v>-1</v>
      </c>
      <c r="L23" s="65"/>
      <c r="M23" s="41"/>
      <c r="X23">
        <v>19</v>
      </c>
      <c r="Y23">
        <v>19</v>
      </c>
      <c r="Z23" t="str">
        <f t="shared" si="5"/>
        <v>Rte 19 Herman IB</v>
      </c>
      <c r="AA23" s="36">
        <f>SUMIF(PrilimTable!$M$4:$M$82,X23,PrilimTable!$P$4:$P$82)</f>
        <v>955.72727272727275</v>
      </c>
      <c r="AB23" s="28">
        <f t="shared" si="6"/>
        <v>2.7773264699316694E-2</v>
      </c>
      <c r="AC23" s="30">
        <f>SUMIF(PrilimTable!$N$4:$N$82,Y23,PrilimTable!$R$4:$R$82)</f>
        <v>0</v>
      </c>
      <c r="AD23" s="27" t="e">
        <f t="shared" si="7"/>
        <v>#DIV/0!</v>
      </c>
      <c r="AE23" s="43">
        <f t="shared" si="8"/>
        <v>-955.72727272727275</v>
      </c>
      <c r="AF23" s="74">
        <f t="shared" si="9"/>
        <v>-1</v>
      </c>
      <c r="AG23">
        <v>900</v>
      </c>
    </row>
    <row r="24" spans="1:50" x14ac:dyDescent="0.45">
      <c r="A24">
        <f>VLOOKUP($C24,PrilimTable!$N:$T,7,FALSE)</f>
        <v>1</v>
      </c>
      <c r="B24">
        <v>19</v>
      </c>
      <c r="C24">
        <f t="shared" si="0"/>
        <v>19</v>
      </c>
      <c r="D24" t="str">
        <f>VLOOKUP($C24,PrilimTable!$N:$S,2,FALSE)</f>
        <v>Rte 19 Herman IB</v>
      </c>
      <c r="E24" s="36">
        <f>SUMIF(PrilimTable!$M$4:$M$82,B24,PrilimTable!$P$4:$P$82)</f>
        <v>955.72727272727275</v>
      </c>
      <c r="F24" s="45">
        <f t="shared" si="1"/>
        <v>2.7773264699316694E-2</v>
      </c>
      <c r="G24" s="30">
        <f>SUMIF(PrilimTable!$N$4:$N$82,C24,PrilimTable!$R$4:$R$82)</f>
        <v>0</v>
      </c>
      <c r="H24" s="60" t="e">
        <f t="shared" si="2"/>
        <v>#DIV/0!</v>
      </c>
      <c r="I24" s="43">
        <f t="shared" si="3"/>
        <v>-955.72727272727275</v>
      </c>
      <c r="J24" s="74">
        <f t="shared" si="4"/>
        <v>-1</v>
      </c>
      <c r="L24" s="65"/>
      <c r="M24" s="41"/>
      <c r="X24">
        <v>8</v>
      </c>
      <c r="Y24">
        <v>8</v>
      </c>
      <c r="Z24" t="str">
        <f t="shared" si="5"/>
        <v>Rte 8 8TH AVENUE SOUTH iB</v>
      </c>
      <c r="AA24" s="36">
        <f>SUMIF(PrilimTable!$M$4:$M$82,X24,PrilimTable!$P$4:$P$82)</f>
        <v>944.40909090909088</v>
      </c>
      <c r="AB24" s="28">
        <f t="shared" si="6"/>
        <v>2.7444360347079942E-2</v>
      </c>
      <c r="AC24" s="30">
        <f>SUMIF(PrilimTable!$N$4:$N$82,Y24,PrilimTable!$R$4:$R$82)</f>
        <v>0</v>
      </c>
      <c r="AD24" s="27" t="e">
        <f t="shared" si="7"/>
        <v>#DIV/0!</v>
      </c>
      <c r="AE24" s="43">
        <f t="shared" si="8"/>
        <v>-944.40909090909088</v>
      </c>
      <c r="AF24" s="74">
        <f t="shared" si="9"/>
        <v>-1</v>
      </c>
      <c r="AG24">
        <v>1000</v>
      </c>
    </row>
    <row r="25" spans="1:50" x14ac:dyDescent="0.45">
      <c r="A25">
        <f>VLOOKUP($C25,PrilimTable!$N:$T,7,FALSE)</f>
        <v>1</v>
      </c>
      <c r="B25">
        <v>22</v>
      </c>
      <c r="C25">
        <f t="shared" si="0"/>
        <v>22</v>
      </c>
      <c r="D25" t="str">
        <f>VLOOKUP($C25,PrilimTable!$N:$S,2,FALSE)</f>
        <v>Rte 22 Bordeaux (Panaroma) IB</v>
      </c>
      <c r="E25" s="36">
        <f>SUMIF(PrilimTable!$M$4:$M$82,B25,PrilimTable!$P$4:$P$82)</f>
        <v>1505.409090909091</v>
      </c>
      <c r="F25" s="45">
        <f t="shared" si="1"/>
        <v>4.3746920649513438E-2</v>
      </c>
      <c r="G25" s="30">
        <f>SUMIF(PrilimTable!$N$4:$N$82,C25,PrilimTable!$R$4:$R$82)</f>
        <v>0</v>
      </c>
      <c r="H25" s="60" t="e">
        <f t="shared" si="2"/>
        <v>#DIV/0!</v>
      </c>
      <c r="I25" s="43">
        <f t="shared" si="3"/>
        <v>-1505.409090909091</v>
      </c>
      <c r="J25" s="74">
        <f t="shared" si="4"/>
        <v>-1</v>
      </c>
      <c r="L25" s="65"/>
      <c r="M25" s="41"/>
      <c r="X25">
        <v>4</v>
      </c>
      <c r="Y25">
        <v>4</v>
      </c>
      <c r="Z25" t="str">
        <f t="shared" si="5"/>
        <v>Rte 4 Shelby IB</v>
      </c>
      <c r="AA25" s="36">
        <f>SUMIF(PrilimTable!$M$4:$M$82,X25,PrilimTable!$P$4:$P$82)</f>
        <v>941.0454545454545</v>
      </c>
      <c r="AB25" s="28">
        <f t="shared" si="6"/>
        <v>2.7346613672118016E-2</v>
      </c>
      <c r="AC25" s="30">
        <f>SUMIF(PrilimTable!$N$4:$N$82,Y25,PrilimTable!$R$4:$R$82)</f>
        <v>0</v>
      </c>
      <c r="AD25" s="27" t="e">
        <f t="shared" si="7"/>
        <v>#DIV/0!</v>
      </c>
      <c r="AE25" s="43">
        <f t="shared" si="8"/>
        <v>-941.0454545454545</v>
      </c>
      <c r="AF25" s="74">
        <f t="shared" si="9"/>
        <v>-1</v>
      </c>
      <c r="AG25">
        <v>1100</v>
      </c>
    </row>
    <row r="26" spans="1:50" x14ac:dyDescent="0.45">
      <c r="A26">
        <f>VLOOKUP($C26,PrilimTable!$N:$T,7,FALSE)</f>
        <v>1</v>
      </c>
      <c r="B26">
        <v>23</v>
      </c>
      <c r="C26">
        <f t="shared" si="0"/>
        <v>23</v>
      </c>
      <c r="D26" t="str">
        <f>VLOOKUP($C26,PrilimTable!$N:$S,2,FALSE)</f>
        <v>Rte 23 Dickerson Pike OB</v>
      </c>
      <c r="E26" s="36">
        <f>SUMIF(PrilimTable!$M$4:$M$82,B26,PrilimTable!$P$4:$P$82)</f>
        <v>2690.5</v>
      </c>
      <c r="F26" s="45">
        <f t="shared" si="1"/>
        <v>7.8185451860423014E-2</v>
      </c>
      <c r="G26" s="30">
        <f>SUMIF(PrilimTable!$N$4:$N$82,C26,PrilimTable!$R$4:$R$82)</f>
        <v>0</v>
      </c>
      <c r="H26" s="60" t="e">
        <f t="shared" si="2"/>
        <v>#DIV/0!</v>
      </c>
      <c r="I26" s="43">
        <f t="shared" si="3"/>
        <v>-2690.5</v>
      </c>
      <c r="J26" s="74">
        <f t="shared" si="4"/>
        <v>-1</v>
      </c>
      <c r="L26" s="65"/>
      <c r="M26" s="41"/>
      <c r="X26">
        <v>6</v>
      </c>
      <c r="Y26">
        <v>6</v>
      </c>
      <c r="Z26" t="str">
        <f t="shared" si="5"/>
        <v>Rte 6 Lebanon Rd OB</v>
      </c>
      <c r="AA26" s="36">
        <f>SUMIF(PrilimTable!$M$4:$M$82,X26,PrilimTable!$P$4:$P$82)</f>
        <v>818.18181818181813</v>
      </c>
      <c r="AB26" s="28">
        <f t="shared" si="6"/>
        <v>2.3776218233981756E-2</v>
      </c>
      <c r="AC26" s="30">
        <f>SUMIF(PrilimTable!$N$4:$N$82,Y26,PrilimTable!$R$4:$R$82)</f>
        <v>0</v>
      </c>
      <c r="AD26" s="27" t="e">
        <f t="shared" si="7"/>
        <v>#DIV/0!</v>
      </c>
      <c r="AE26" s="43">
        <f t="shared" si="8"/>
        <v>-818.18181818181813</v>
      </c>
      <c r="AF26" s="74">
        <f t="shared" si="9"/>
        <v>-1</v>
      </c>
      <c r="AG26">
        <v>1200</v>
      </c>
    </row>
    <row r="27" spans="1:50" x14ac:dyDescent="0.45">
      <c r="A27">
        <f>VLOOKUP($C27,PrilimTable!$N:$T,7,FALSE)</f>
        <v>1</v>
      </c>
      <c r="B27">
        <v>28</v>
      </c>
      <c r="C27">
        <f t="shared" si="0"/>
        <v>28</v>
      </c>
      <c r="D27" t="str">
        <f>VLOOKUP($C27,PrilimTable!$N:$S,2,FALSE)</f>
        <v>Rte 28 Meridian IB</v>
      </c>
      <c r="E27" s="36">
        <f>SUMIF(PrilimTable!$M$4:$M$82,B27,PrilimTable!$P$4:$P$82)</f>
        <v>275.40909090909088</v>
      </c>
      <c r="F27" s="45">
        <f t="shared" si="1"/>
        <v>8.0033392377608596E-3</v>
      </c>
      <c r="G27" s="30">
        <f>SUMIF(PrilimTable!$N$4:$N$82,C27,PrilimTable!$R$4:$R$82)</f>
        <v>0</v>
      </c>
      <c r="H27" s="60" t="e">
        <f t="shared" si="2"/>
        <v>#DIV/0!</v>
      </c>
      <c r="I27" s="43">
        <f t="shared" si="3"/>
        <v>-275.40909090909088</v>
      </c>
      <c r="J27" s="74">
        <f t="shared" si="4"/>
        <v>-1</v>
      </c>
      <c r="L27" s="65"/>
      <c r="M27" s="41"/>
      <c r="X27">
        <v>29</v>
      </c>
      <c r="Y27">
        <v>29</v>
      </c>
      <c r="Z27" t="str">
        <f t="shared" si="5"/>
        <v>Rte 29 Jefferson IB</v>
      </c>
      <c r="AA27" s="36">
        <f>SUMIF(PrilimTable!$M$4:$M$82,X27,PrilimTable!$P$4:$P$82)</f>
        <v>691.09090909090912</v>
      </c>
      <c r="AB27" s="28">
        <f t="shared" si="6"/>
        <v>2.0082979001636591E-2</v>
      </c>
      <c r="AC27" s="30">
        <f>SUMIF(PrilimTable!$N$4:$N$82,Y27,PrilimTable!$R$4:$R$82)</f>
        <v>0</v>
      </c>
      <c r="AD27" s="27" t="e">
        <f t="shared" si="7"/>
        <v>#DIV/0!</v>
      </c>
      <c r="AE27" s="43">
        <f t="shared" si="8"/>
        <v>-691.09090909090912</v>
      </c>
      <c r="AF27" s="74">
        <f t="shared" si="9"/>
        <v>-1</v>
      </c>
      <c r="AG27">
        <v>1300</v>
      </c>
    </row>
    <row r="28" spans="1:50" x14ac:dyDescent="0.45">
      <c r="A28">
        <f>VLOOKUP($C28,PrilimTable!$N:$T,7,FALSE)</f>
        <v>1</v>
      </c>
      <c r="B28">
        <v>29</v>
      </c>
      <c r="C28">
        <f t="shared" si="0"/>
        <v>29</v>
      </c>
      <c r="D28" t="str">
        <f>VLOOKUP($C28,PrilimTable!$N:$S,2,FALSE)</f>
        <v>Rte 29 Jefferson IB</v>
      </c>
      <c r="E28" s="36">
        <f>SUMIF(PrilimTable!$M$4:$M$82,B28,PrilimTable!$P$4:$P$82)</f>
        <v>691.09090909090912</v>
      </c>
      <c r="F28" s="45">
        <f t="shared" si="1"/>
        <v>2.0082979001636591E-2</v>
      </c>
      <c r="G28" s="30">
        <f>SUMIF(PrilimTable!$N$4:$N$82,C28,PrilimTable!$R$4:$R$82)</f>
        <v>0</v>
      </c>
      <c r="H28" s="60" t="e">
        <f t="shared" si="2"/>
        <v>#DIV/0!</v>
      </c>
      <c r="I28" s="43">
        <f t="shared" si="3"/>
        <v>-691.09090909090912</v>
      </c>
      <c r="J28" s="74">
        <f t="shared" si="4"/>
        <v>-1</v>
      </c>
      <c r="L28" s="65"/>
      <c r="M28" s="41"/>
      <c r="X28">
        <v>18</v>
      </c>
      <c r="Y28">
        <v>18</v>
      </c>
      <c r="Z28" t="str">
        <f t="shared" si="5"/>
        <v>Rte 18 Airport Exp OB</v>
      </c>
      <c r="AA28" s="36">
        <f>SUMIF(PrilimTable!$M$4:$M$82,X28,PrilimTable!$P$4:$P$82)</f>
        <v>677.90909090909088</v>
      </c>
      <c r="AB28" s="28">
        <f t="shared" si="6"/>
        <v>1.9699917707866884E-2</v>
      </c>
      <c r="AC28" s="30">
        <f>SUMIF(PrilimTable!$N$4:$N$82,Y28,PrilimTable!$R$4:$R$82)</f>
        <v>0</v>
      </c>
      <c r="AD28" s="27" t="e">
        <f t="shared" si="7"/>
        <v>#DIV/0!</v>
      </c>
      <c r="AE28" s="43">
        <f t="shared" si="8"/>
        <v>-677.90909090909088</v>
      </c>
      <c r="AF28" s="74">
        <f t="shared" si="9"/>
        <v>-1</v>
      </c>
      <c r="AG28">
        <v>1400</v>
      </c>
    </row>
    <row r="29" spans="1:50" x14ac:dyDescent="0.45">
      <c r="A29">
        <f>VLOOKUP($C29,PrilimTable!$N:$T,7,FALSE)</f>
        <v>1</v>
      </c>
      <c r="B29">
        <v>34</v>
      </c>
      <c r="C29">
        <f t="shared" si="0"/>
        <v>34</v>
      </c>
      <c r="D29" t="str">
        <f>VLOOKUP($C29,PrilimTable!$N:$S,2,FALSE)</f>
        <v>Rte 34 Opry Mills IB</v>
      </c>
      <c r="E29" s="36">
        <f>SUMIF(PrilimTable!$M$4:$M$82,B29,PrilimTable!$P$4:$P$82)</f>
        <v>365.81818181818181</v>
      </c>
      <c r="F29" s="45">
        <f t="shared" si="1"/>
        <v>1.0630611352615844E-2</v>
      </c>
      <c r="G29" s="30">
        <f>SUMIF(PrilimTable!$N$4:$N$82,C29,PrilimTable!$R$4:$R$82)</f>
        <v>0</v>
      </c>
      <c r="H29" s="60" t="e">
        <f t="shared" si="2"/>
        <v>#DIV/0!</v>
      </c>
      <c r="I29" s="43">
        <f t="shared" si="3"/>
        <v>-365.81818181818181</v>
      </c>
      <c r="J29" s="74">
        <f t="shared" si="4"/>
        <v>-1</v>
      </c>
      <c r="L29" s="65"/>
      <c r="M29" s="41"/>
      <c r="X29">
        <v>17</v>
      </c>
      <c r="Y29">
        <v>17</v>
      </c>
      <c r="Z29" t="str">
        <f t="shared" si="5"/>
        <v>Rte 17 12TH AVENUE SOUTH iB</v>
      </c>
      <c r="AA29" s="36">
        <f>SUMIF(PrilimTable!$M$4:$M$82,X29,PrilimTable!$P$4:$P$82)</f>
        <v>637.9545454545455</v>
      </c>
      <c r="AB29" s="28">
        <f t="shared" si="6"/>
        <v>1.8538845717440779E-2</v>
      </c>
      <c r="AC29" s="30">
        <f>SUMIF(PrilimTable!$N$4:$N$82,Y29,PrilimTable!$R$4:$R$82)</f>
        <v>0</v>
      </c>
      <c r="AD29" s="27" t="e">
        <f t="shared" si="7"/>
        <v>#DIV/0!</v>
      </c>
      <c r="AE29" s="43">
        <f t="shared" si="8"/>
        <v>-637.9545454545455</v>
      </c>
      <c r="AF29" s="74">
        <f t="shared" si="9"/>
        <v>-1</v>
      </c>
      <c r="AG29">
        <v>1500</v>
      </c>
    </row>
    <row r="30" spans="1:50" x14ac:dyDescent="0.45">
      <c r="A30">
        <f>VLOOKUP($C30,PrilimTable!$N:$T,7,FALSE)</f>
        <v>1</v>
      </c>
      <c r="B30">
        <v>41</v>
      </c>
      <c r="C30">
        <f t="shared" si="0"/>
        <v>41</v>
      </c>
      <c r="D30" t="str">
        <f>VLOOKUP($C30,PrilimTable!$N:$S,2,FALSE)</f>
        <v>Rte 41 Golden Valley OB PM</v>
      </c>
      <c r="E30" s="36">
        <f>SUMIF(PrilimTable!$M$4:$M$82,B30,PrilimTable!$P$4:$P$82)</f>
        <v>61.909090909090907</v>
      </c>
      <c r="F30" s="45">
        <f t="shared" si="1"/>
        <v>1.7990671797046196E-3</v>
      </c>
      <c r="G30" s="30">
        <f>SUMIF(PrilimTable!$N$4:$N$82,C30,PrilimTable!$R$4:$R$82)</f>
        <v>0</v>
      </c>
      <c r="H30" s="60" t="e">
        <f t="shared" si="2"/>
        <v>#DIV/0!</v>
      </c>
      <c r="I30" s="43">
        <f t="shared" si="3"/>
        <v>-61.909090909090907</v>
      </c>
      <c r="J30" s="74">
        <f t="shared" si="4"/>
        <v>-1</v>
      </c>
      <c r="L30" s="65"/>
      <c r="M30" s="41"/>
      <c r="X30">
        <v>42</v>
      </c>
      <c r="Y30">
        <v>42</v>
      </c>
      <c r="Z30" t="str">
        <f t="shared" si="5"/>
        <v>Rte 42 St. Cecilia/Cumberland IB</v>
      </c>
      <c r="AA30" s="36">
        <f>SUMIF(PrilimTable!$M$4:$M$82,X30,PrilimTable!$P$4:$P$82)</f>
        <v>402.68181818181819</v>
      </c>
      <c r="AB30" s="28">
        <f t="shared" si="6"/>
        <v>1.1701862074158022E-2</v>
      </c>
      <c r="AC30" s="30">
        <f>SUMIF(PrilimTable!$N$4:$N$82,Y30,PrilimTable!$R$4:$R$82)</f>
        <v>0</v>
      </c>
      <c r="AD30" s="27" t="e">
        <f t="shared" si="7"/>
        <v>#DIV/0!</v>
      </c>
      <c r="AE30" s="43">
        <f t="shared" si="8"/>
        <v>-402.68181818181819</v>
      </c>
      <c r="AF30" s="74">
        <f t="shared" si="9"/>
        <v>-1</v>
      </c>
      <c r="AG30">
        <v>1600</v>
      </c>
    </row>
    <row r="31" spans="1:50" x14ac:dyDescent="0.45">
      <c r="A31">
        <f>VLOOKUP($C31,PrilimTable!$N:$T,7,FALSE)</f>
        <v>1</v>
      </c>
      <c r="B31">
        <v>42</v>
      </c>
      <c r="C31">
        <f t="shared" si="0"/>
        <v>42</v>
      </c>
      <c r="D31" t="str">
        <f>VLOOKUP($C31,PrilimTable!$N:$S,2,FALSE)</f>
        <v>Rte 42 St. Cecilia/Cumberland IB</v>
      </c>
      <c r="E31" s="36">
        <f>SUMIF(PrilimTable!$M$4:$M$82,B31,PrilimTable!$P$4:$P$82)</f>
        <v>402.68181818181819</v>
      </c>
      <c r="F31" s="45">
        <f t="shared" si="1"/>
        <v>1.1701862074158022E-2</v>
      </c>
      <c r="G31" s="30">
        <f>SUMIF(PrilimTable!$N$4:$N$82,C31,PrilimTable!$R$4:$R$82)</f>
        <v>0</v>
      </c>
      <c r="H31" s="60" t="e">
        <f t="shared" si="2"/>
        <v>#DIV/0!</v>
      </c>
      <c r="I31" s="43">
        <f t="shared" si="3"/>
        <v>-402.68181818181819</v>
      </c>
      <c r="J31" s="74">
        <f t="shared" si="4"/>
        <v>-1</v>
      </c>
      <c r="L31" s="65"/>
      <c r="M31" s="41"/>
      <c r="X31">
        <v>90</v>
      </c>
      <c r="Y31">
        <v>90</v>
      </c>
      <c r="Z31" t="str">
        <f t="shared" si="5"/>
        <v>Rte 90 Music City Star oB</v>
      </c>
      <c r="AA31" s="36">
        <f>SUMIF(PrilimTable!$M$4:$M$82,X31,PrilimTable!$P$4:$P$82)</f>
        <v>399.31818181818181</v>
      </c>
      <c r="AB31" s="28">
        <f t="shared" si="6"/>
        <v>1.1604115399196096E-2</v>
      </c>
      <c r="AC31" s="30">
        <f>SUMIF(PrilimTable!$N$4:$N$82,Y31,PrilimTable!$R$4:$R$82)</f>
        <v>0</v>
      </c>
      <c r="AD31" s="27" t="e">
        <f t="shared" si="7"/>
        <v>#DIV/0!</v>
      </c>
      <c r="AE31" s="43">
        <f t="shared" si="8"/>
        <v>-399.31818181818181</v>
      </c>
      <c r="AF31" s="74">
        <f t="shared" si="9"/>
        <v>-1</v>
      </c>
      <c r="AG31">
        <v>1700</v>
      </c>
    </row>
    <row r="32" spans="1:50" x14ac:dyDescent="0.45">
      <c r="A32">
        <f>VLOOKUP($C32,PrilimTable!$N:$T,7,FALSE)</f>
        <v>1</v>
      </c>
      <c r="B32">
        <v>50</v>
      </c>
      <c r="C32">
        <f t="shared" si="0"/>
        <v>50</v>
      </c>
      <c r="D32" t="str">
        <f>VLOOKUP($C32,PrilimTable!$N:$S,2,FALSE)</f>
        <v>Rte 50 CHARLOTTE PIKE oB</v>
      </c>
      <c r="E32" s="36">
        <f>SUMIF(PrilimTable!$M$4:$M$82,B32,PrilimTable!$P$4:$P$82)</f>
        <v>2542.863636363636</v>
      </c>
      <c r="F32" s="45">
        <f t="shared" si="1"/>
        <v>7.3895165370202298E-2</v>
      </c>
      <c r="G32" s="30">
        <f>SUMIF(PrilimTable!$N$4:$N$82,C32,PrilimTable!$R$4:$R$82)</f>
        <v>0</v>
      </c>
      <c r="H32" s="60" t="e">
        <f t="shared" si="2"/>
        <v>#DIV/0!</v>
      </c>
      <c r="I32" s="43">
        <f t="shared" si="3"/>
        <v>-2542.863636363636</v>
      </c>
      <c r="J32" s="74">
        <f t="shared" si="4"/>
        <v>-1</v>
      </c>
      <c r="L32" s="65"/>
      <c r="M32" s="41"/>
      <c r="X32">
        <v>34</v>
      </c>
      <c r="Y32">
        <v>34</v>
      </c>
      <c r="Z32" t="str">
        <f t="shared" si="5"/>
        <v>Rte 34 Opry Mills IB</v>
      </c>
      <c r="AA32" s="36">
        <f>SUMIF(PrilimTable!$M$4:$M$82,X32,PrilimTable!$P$4:$P$82)</f>
        <v>365.81818181818181</v>
      </c>
      <c r="AB32" s="28">
        <f t="shared" si="6"/>
        <v>1.0630611352615844E-2</v>
      </c>
      <c r="AC32" s="30">
        <f>SUMIF(PrilimTable!$N$4:$N$82,Y32,PrilimTable!$R$4:$R$82)</f>
        <v>0</v>
      </c>
      <c r="AD32" s="27" t="e">
        <f t="shared" si="7"/>
        <v>#DIV/0!</v>
      </c>
      <c r="AE32" s="43">
        <f t="shared" si="8"/>
        <v>-365.81818181818181</v>
      </c>
      <c r="AF32" s="74">
        <f t="shared" si="9"/>
        <v>-1</v>
      </c>
      <c r="AG32">
        <v>1800</v>
      </c>
    </row>
    <row r="33" spans="1:33" x14ac:dyDescent="0.45">
      <c r="A33">
        <f>VLOOKUP($C33,PrilimTable!$N:$T,7,FALSE)</f>
        <v>1</v>
      </c>
      <c r="B33">
        <v>52</v>
      </c>
      <c r="C33">
        <f t="shared" si="0"/>
        <v>52</v>
      </c>
      <c r="D33" t="str">
        <f>VLOOKUP($C33,PrilimTable!$N:$S,2,FALSE)</f>
        <v>Rte 52 NOLENSVILLE PIKE (Hick) oB</v>
      </c>
      <c r="E33" s="36">
        <f>SUMIF(PrilimTable!$M$4:$M$82,B33,PrilimTable!$P$4:$P$82)</f>
        <v>3623.863636363636</v>
      </c>
      <c r="F33" s="45">
        <f t="shared" si="1"/>
        <v>0.1053088332613442</v>
      </c>
      <c r="G33" s="30">
        <f>SUMIF(PrilimTable!$N$4:$N$82,C33,PrilimTable!$R$4:$R$82)</f>
        <v>0</v>
      </c>
      <c r="H33" s="60" t="e">
        <f t="shared" si="2"/>
        <v>#DIV/0!</v>
      </c>
      <c r="I33" s="43">
        <f t="shared" si="3"/>
        <v>-3623.863636363636</v>
      </c>
      <c r="J33" s="74">
        <f t="shared" si="4"/>
        <v>-1</v>
      </c>
      <c r="L33" s="65"/>
      <c r="M33" s="41"/>
      <c r="X33">
        <v>9</v>
      </c>
      <c r="Y33">
        <v>9</v>
      </c>
      <c r="Z33" t="str">
        <f t="shared" si="5"/>
        <v>Rte 9 MetroCenter OB</v>
      </c>
      <c r="AA33" s="36">
        <f>SUMIF(PrilimTable!$M$4:$M$82,X33,PrilimTable!$P$4:$P$82)</f>
        <v>350.59090909090912</v>
      </c>
      <c r="AB33" s="28">
        <f t="shared" si="6"/>
        <v>1.0188109513261184E-2</v>
      </c>
      <c r="AC33" s="30">
        <f>SUMIF(PrilimTable!$N$4:$N$82,Y33,PrilimTable!$R$4:$R$82)</f>
        <v>0</v>
      </c>
      <c r="AD33" s="27" t="e">
        <f t="shared" si="7"/>
        <v>#DIV/0!</v>
      </c>
      <c r="AE33" s="43">
        <f t="shared" si="8"/>
        <v>-350.59090909090912</v>
      </c>
      <c r="AF33" s="74">
        <f t="shared" si="9"/>
        <v>-1</v>
      </c>
      <c r="AG33">
        <v>1900</v>
      </c>
    </row>
    <row r="34" spans="1:33" x14ac:dyDescent="0.45">
      <c r="A34">
        <f>VLOOKUP($C34,PrilimTable!$N:$T,7,FALSE)</f>
        <v>1</v>
      </c>
      <c r="B34">
        <v>55</v>
      </c>
      <c r="C34">
        <f t="shared" si="0"/>
        <v>55</v>
      </c>
      <c r="D34" t="str">
        <f>VLOOKUP($C34,PrilimTable!$N:$S,2,FALSE)</f>
        <v>Rte 55 MURFREESBORO PIKE oB</v>
      </c>
      <c r="E34" s="36">
        <f>SUMIF(PrilimTable!$M$4:$M$82,B34,PrilimTable!$P$4:$P$82)</f>
        <v>5829.363636363636</v>
      </c>
      <c r="F34" s="45">
        <f t="shared" si="1"/>
        <v>0.16940027131306803</v>
      </c>
      <c r="G34" s="30">
        <f>SUMIF(PrilimTable!$N$4:$N$82,C34,PrilimTable!$R$4:$R$82)</f>
        <v>0</v>
      </c>
      <c r="H34" s="60" t="e">
        <f t="shared" si="2"/>
        <v>#DIV/0!</v>
      </c>
      <c r="I34" s="43">
        <f t="shared" si="3"/>
        <v>-5829.363636363636</v>
      </c>
      <c r="J34" s="74">
        <f t="shared" si="4"/>
        <v>-1</v>
      </c>
      <c r="L34" s="65"/>
      <c r="M34" s="41"/>
      <c r="X34">
        <v>76</v>
      </c>
      <c r="Y34">
        <v>76</v>
      </c>
      <c r="Z34" t="str">
        <f t="shared" si="5"/>
        <v>Rte 76 Madison Conn</v>
      </c>
      <c r="AA34" s="36">
        <f>SUMIF(PrilimTable!$M$4:$M$82,X34,PrilimTable!$P$4:$P$82)</f>
        <v>347.31818181818181</v>
      </c>
      <c r="AB34" s="28">
        <f t="shared" si="6"/>
        <v>1.0093004640325256E-2</v>
      </c>
      <c r="AC34" s="30">
        <f>SUMIF(PrilimTable!$N$4:$N$82,Y34,PrilimTable!$R$4:$R$82)</f>
        <v>0</v>
      </c>
      <c r="AD34" s="27" t="e">
        <f t="shared" si="7"/>
        <v>#DIV/0!</v>
      </c>
      <c r="AE34" s="43">
        <f t="shared" si="8"/>
        <v>-347.31818181818181</v>
      </c>
      <c r="AF34" s="74">
        <f t="shared" si="9"/>
        <v>-1</v>
      </c>
      <c r="AG34">
        <v>2000</v>
      </c>
    </row>
    <row r="35" spans="1:33" x14ac:dyDescent="0.45">
      <c r="A35">
        <f>VLOOKUP($C35,PrilimTable!$N:$T,7,FALSE)</f>
        <v>8</v>
      </c>
      <c r="B35">
        <v>56</v>
      </c>
      <c r="C35">
        <f t="shared" si="0"/>
        <v>56</v>
      </c>
      <c r="D35" t="str">
        <f>VLOOKUP($C35,PrilimTable!$N:$S,2,FALSE)</f>
        <v>Rte 56 Gallatin Rd IB</v>
      </c>
      <c r="E35" s="36">
        <f>SUMIF(PrilimTable!$M$4:$M$82,B35,PrilimTable!$P$4:$P$82)</f>
        <v>4470.863636363636</v>
      </c>
      <c r="F35" s="45">
        <f t="shared" si="1"/>
        <v>0.12992250273756731</v>
      </c>
      <c r="G35" s="30">
        <f>SUMIF(PrilimTable!$N$4:$N$82,C35,PrilimTable!$R$4:$R$82)</f>
        <v>0</v>
      </c>
      <c r="H35" s="60" t="e">
        <f t="shared" si="2"/>
        <v>#DIV/0!</v>
      </c>
      <c r="I35" s="43">
        <f t="shared" si="3"/>
        <v>-4470.863636363636</v>
      </c>
      <c r="J35" s="74">
        <f t="shared" si="4"/>
        <v>-1</v>
      </c>
      <c r="L35" s="65"/>
      <c r="M35" s="41"/>
      <c r="X35">
        <v>14</v>
      </c>
      <c r="Y35">
        <v>14</v>
      </c>
      <c r="Z35" t="str">
        <f t="shared" si="5"/>
        <v>Rte 14 WHITES CREEK oB</v>
      </c>
      <c r="AA35" s="36">
        <f>SUMIF(PrilimTable!$M$4:$M$82,X35,PrilimTable!$P$4:$P$82)</f>
        <v>334.18181818181819</v>
      </c>
      <c r="AB35" s="28">
        <f t="shared" si="6"/>
        <v>9.7112642475685497E-3</v>
      </c>
      <c r="AC35" s="30">
        <f>SUMIF(PrilimTable!$N$4:$N$82,Y35,PrilimTable!$R$4:$R$82)</f>
        <v>0</v>
      </c>
      <c r="AD35" s="27" t="e">
        <f t="shared" si="7"/>
        <v>#DIV/0!</v>
      </c>
      <c r="AE35" s="43">
        <f t="shared" si="8"/>
        <v>-334.18181818181819</v>
      </c>
      <c r="AF35" s="74">
        <f t="shared" si="9"/>
        <v>-1</v>
      </c>
      <c r="AG35">
        <v>2100</v>
      </c>
    </row>
    <row r="36" spans="1:33" x14ac:dyDescent="0.45">
      <c r="A36">
        <f>VLOOKUP($C36,PrilimTable!$N:$T,7,FALSE)</f>
        <v>11</v>
      </c>
      <c r="B36">
        <v>64</v>
      </c>
      <c r="C36">
        <f t="shared" si="0"/>
        <v>64</v>
      </c>
      <c r="D36" t="str">
        <f>VLOOKUP($C36,PrilimTable!$N:$S,2,FALSE)</f>
        <v>Rte 64 STAR DOWNTOWN SHUTTLE</v>
      </c>
      <c r="E36" s="36">
        <f>SUMIF(PrilimTable!$M$4:$M$82,B36,PrilimTable!$P$4:$P$82)</f>
        <v>9.1818181818181817</v>
      </c>
      <c r="F36" s="45">
        <f t="shared" si="1"/>
        <v>2.668220046257953E-4</v>
      </c>
      <c r="G36" s="30">
        <f>SUMIF(PrilimTable!$N$4:$N$82,C36,PrilimTable!$R$4:$R$82)</f>
        <v>0</v>
      </c>
      <c r="H36" s="60" t="e">
        <f t="shared" si="2"/>
        <v>#DIV/0!</v>
      </c>
      <c r="I36" s="43">
        <f t="shared" si="3"/>
        <v>-9.1818181818181817</v>
      </c>
      <c r="J36" s="74">
        <f t="shared" si="4"/>
        <v>-1</v>
      </c>
      <c r="L36" s="65"/>
      <c r="M36" s="41"/>
      <c r="X36">
        <v>77</v>
      </c>
      <c r="Y36">
        <v>77</v>
      </c>
      <c r="Z36" t="str">
        <f t="shared" si="5"/>
        <v>Rte 77 THOMPSON - WEDGEWOOD ccw</v>
      </c>
      <c r="AA36" s="36">
        <f>SUMIF(PrilimTable!$M$4:$M$82,X36,PrilimTable!$P$4:$P$82)</f>
        <v>333.95454545454538</v>
      </c>
      <c r="AB36" s="28">
        <f t="shared" si="6"/>
        <v>9.7046597425035526E-3</v>
      </c>
      <c r="AC36" s="30">
        <f>SUMIF(PrilimTable!$N$4:$N$82,Y36,PrilimTable!$R$4:$R$82)</f>
        <v>0</v>
      </c>
      <c r="AD36" s="27" t="e">
        <f t="shared" si="7"/>
        <v>#DIV/0!</v>
      </c>
      <c r="AE36" s="43">
        <f t="shared" si="8"/>
        <v>-333.95454545454538</v>
      </c>
      <c r="AF36" s="74">
        <f t="shared" si="9"/>
        <v>-1</v>
      </c>
      <c r="AG36">
        <v>2200</v>
      </c>
    </row>
    <row r="37" spans="1:33" x14ac:dyDescent="0.45">
      <c r="A37">
        <f>VLOOKUP($C37,PrilimTable!$N:$T,7,FALSE)</f>
        <v>1</v>
      </c>
      <c r="B37">
        <v>70</v>
      </c>
      <c r="C37">
        <f t="shared" si="0"/>
        <v>70</v>
      </c>
      <c r="D37" t="str">
        <f>VLOOKUP($C37,PrilimTable!$N:$S,2,FALSE)</f>
        <v>Rte 70 Belevue Conn OB</v>
      </c>
      <c r="E37" s="36">
        <f>SUMIF(PrilimTable!$M$4:$M$82,B37,PrilimTable!$P$4:$P$82)</f>
        <v>42.409090909090907</v>
      </c>
      <c r="F37" s="45">
        <f t="shared" si="1"/>
        <v>1.2324006451280543E-3</v>
      </c>
      <c r="G37" s="30">
        <f>SUMIF(PrilimTable!$N$4:$N$82,C37,PrilimTable!$R$4:$R$82)</f>
        <v>0</v>
      </c>
      <c r="H37" s="60" t="e">
        <f t="shared" si="2"/>
        <v>#DIV/0!</v>
      </c>
      <c r="I37" s="43">
        <f t="shared" si="3"/>
        <v>-42.409090909090907</v>
      </c>
      <c r="J37" s="74">
        <f t="shared" si="4"/>
        <v>-1</v>
      </c>
      <c r="L37" s="65"/>
      <c r="M37" s="41"/>
      <c r="X37">
        <v>28</v>
      </c>
      <c r="Y37">
        <v>28</v>
      </c>
      <c r="Z37" t="str">
        <f t="shared" si="5"/>
        <v>Rte 28 Meridian IB</v>
      </c>
      <c r="AA37" s="36">
        <f>SUMIF(PrilimTable!$M$4:$M$82,X37,PrilimTable!$P$4:$P$82)</f>
        <v>275.40909090909088</v>
      </c>
      <c r="AB37" s="28">
        <f t="shared" si="6"/>
        <v>8.0033392377608596E-3</v>
      </c>
      <c r="AC37" s="30">
        <f>SUMIF(PrilimTable!$N$4:$N$82,Y37,PrilimTable!$R$4:$R$82)</f>
        <v>0</v>
      </c>
      <c r="AD37" s="27" t="e">
        <f t="shared" si="7"/>
        <v>#DIV/0!</v>
      </c>
      <c r="AE37" s="43">
        <f t="shared" si="8"/>
        <v>-275.40909090909088</v>
      </c>
      <c r="AF37" s="74">
        <f t="shared" si="9"/>
        <v>-1</v>
      </c>
      <c r="AG37">
        <v>2300</v>
      </c>
    </row>
    <row r="38" spans="1:33" x14ac:dyDescent="0.45">
      <c r="A38">
        <f>VLOOKUP($C38,PrilimTable!$N:$T,7,FALSE)</f>
        <v>1</v>
      </c>
      <c r="B38">
        <v>75</v>
      </c>
      <c r="C38">
        <f t="shared" si="0"/>
        <v>75</v>
      </c>
      <c r="D38" t="str">
        <f>VLOOKUP($C38,PrilimTable!$N:$S,2,FALSE)</f>
        <v>Rte 75 Midtown CW Loop</v>
      </c>
      <c r="E38" s="36">
        <f>SUMIF(PrilimTable!$M$4:$M$82,B38,PrilimTable!$P$4:$P$82)</f>
        <v>127.6363636363636</v>
      </c>
      <c r="F38" s="45">
        <f t="shared" si="1"/>
        <v>3.7090900445011532E-3</v>
      </c>
      <c r="G38" s="30">
        <f>SUMIF(PrilimTable!$N$4:$N$82,C38,PrilimTable!$R$4:$R$82)</f>
        <v>0</v>
      </c>
      <c r="H38" s="60" t="e">
        <f t="shared" si="2"/>
        <v>#DIV/0!</v>
      </c>
      <c r="I38" s="43">
        <f t="shared" si="3"/>
        <v>-127.6363636363636</v>
      </c>
      <c r="J38" s="74">
        <f t="shared" si="4"/>
        <v>-1</v>
      </c>
      <c r="L38" s="65"/>
      <c r="M38" s="41"/>
      <c r="X38">
        <v>79</v>
      </c>
      <c r="Y38">
        <v>79</v>
      </c>
      <c r="Z38" t="str">
        <f t="shared" si="5"/>
        <v>Rte 79 Skyline iB</v>
      </c>
      <c r="AA38" s="36">
        <f>SUMIF(PrilimTable!$M$4:$M$82,X38,PrilimTable!$P$4:$P$82)</f>
        <v>225.77272727272731</v>
      </c>
      <c r="AB38" s="28">
        <f t="shared" si="6"/>
        <v>6.560915331565967E-3</v>
      </c>
      <c r="AC38" s="30">
        <f>SUMIF(PrilimTable!$N$4:$N$82,Y38,PrilimTable!$R$4:$R$82)</f>
        <v>0</v>
      </c>
      <c r="AD38" s="27" t="e">
        <f t="shared" si="7"/>
        <v>#DIV/0!</v>
      </c>
      <c r="AE38" s="43">
        <f t="shared" si="8"/>
        <v>-225.77272727272731</v>
      </c>
      <c r="AF38" s="74">
        <f t="shared" si="9"/>
        <v>-1</v>
      </c>
      <c r="AG38">
        <v>2400</v>
      </c>
    </row>
    <row r="39" spans="1:33" x14ac:dyDescent="0.45">
      <c r="A39">
        <f>VLOOKUP($C39,PrilimTable!$N:$T,7,FALSE)</f>
        <v>1</v>
      </c>
      <c r="B39">
        <v>76</v>
      </c>
      <c r="C39">
        <f t="shared" si="0"/>
        <v>76</v>
      </c>
      <c r="D39" t="str">
        <f>VLOOKUP($C39,PrilimTable!$N:$S,2,FALSE)</f>
        <v>Rte 76 Madison Conn</v>
      </c>
      <c r="E39" s="36">
        <f>SUMIF(PrilimTable!$M$4:$M$82,B39,PrilimTable!$P$4:$P$82)</f>
        <v>347.31818181818181</v>
      </c>
      <c r="F39" s="45">
        <f t="shared" si="1"/>
        <v>1.0093004640325256E-2</v>
      </c>
      <c r="G39" s="30">
        <f>SUMIF(PrilimTable!$N$4:$N$82,C39,PrilimTable!$R$4:$R$82)</f>
        <v>0</v>
      </c>
      <c r="H39" s="60" t="e">
        <f t="shared" si="2"/>
        <v>#DIV/0!</v>
      </c>
      <c r="I39" s="43">
        <f t="shared" si="3"/>
        <v>-347.31818181818181</v>
      </c>
      <c r="J39" s="74">
        <f t="shared" si="4"/>
        <v>-1</v>
      </c>
      <c r="L39" s="65"/>
      <c r="M39" s="41"/>
      <c r="X39">
        <v>75</v>
      </c>
      <c r="Y39">
        <v>75</v>
      </c>
      <c r="Z39" t="str">
        <f t="shared" si="5"/>
        <v>Rte 75 Midtown CW Loop</v>
      </c>
      <c r="AA39" s="36">
        <f>SUMIF(PrilimTable!$M$4:$M$82,X39,PrilimTable!$P$4:$P$82)</f>
        <v>127.6363636363636</v>
      </c>
      <c r="AB39" s="28">
        <f t="shared" si="6"/>
        <v>3.7090900445011532E-3</v>
      </c>
      <c r="AC39" s="30">
        <f>SUMIF(PrilimTable!$N$4:$N$82,Y39,PrilimTable!$R$4:$R$82)</f>
        <v>0</v>
      </c>
      <c r="AD39" s="27" t="e">
        <f t="shared" si="7"/>
        <v>#DIV/0!</v>
      </c>
      <c r="AE39" s="43">
        <f t="shared" si="8"/>
        <v>-127.6363636363636</v>
      </c>
      <c r="AF39" s="74">
        <f t="shared" si="9"/>
        <v>-1</v>
      </c>
      <c r="AG39">
        <v>2500</v>
      </c>
    </row>
    <row r="40" spans="1:33" x14ac:dyDescent="0.45">
      <c r="A40">
        <f>VLOOKUP($C40,PrilimTable!$N:$T,7,FALSE)</f>
        <v>1</v>
      </c>
      <c r="B40">
        <v>77</v>
      </c>
      <c r="C40">
        <f t="shared" si="0"/>
        <v>77</v>
      </c>
      <c r="D40" t="str">
        <f>VLOOKUP($C40,PrilimTable!$N:$S,2,FALSE)</f>
        <v>Rte 77 THOMPSON - WEDGEWOOD ccw</v>
      </c>
      <c r="E40" s="36">
        <f>SUMIF(PrilimTable!$M$4:$M$82,B40,PrilimTable!$P$4:$P$82)</f>
        <v>333.95454545454538</v>
      </c>
      <c r="F40" s="45">
        <f t="shared" si="1"/>
        <v>9.7046597425035526E-3</v>
      </c>
      <c r="G40" s="30">
        <f>SUMIF(PrilimTable!$N$4:$N$82,C40,PrilimTable!$R$4:$R$82)</f>
        <v>0</v>
      </c>
      <c r="H40" s="60" t="e">
        <f t="shared" si="2"/>
        <v>#DIV/0!</v>
      </c>
      <c r="I40" s="43">
        <f t="shared" si="3"/>
        <v>-333.95454545454538</v>
      </c>
      <c r="J40" s="74">
        <f t="shared" si="4"/>
        <v>-1</v>
      </c>
      <c r="L40" s="65"/>
      <c r="M40" s="41"/>
      <c r="X40">
        <v>84</v>
      </c>
      <c r="Y40">
        <v>84</v>
      </c>
      <c r="Z40" t="str">
        <f t="shared" si="5"/>
        <v>Rte 84 Murfreesboro Express OB</v>
      </c>
      <c r="AA40" s="36">
        <f>SUMIF(PrilimTable!$M$4:$M$82,X40,PrilimTable!$P$4:$P$82)</f>
        <v>127.5</v>
      </c>
      <c r="AB40" s="28">
        <f t="shared" si="6"/>
        <v>3.7051273414621575E-3</v>
      </c>
      <c r="AC40" s="30">
        <f>SUMIF(PrilimTable!$N$4:$N$82,Y40,PrilimTable!$R$4:$R$82)</f>
        <v>0</v>
      </c>
      <c r="AD40" s="27" t="e">
        <f t="shared" si="7"/>
        <v>#DIV/0!</v>
      </c>
      <c r="AE40" s="43">
        <f t="shared" si="8"/>
        <v>-127.5</v>
      </c>
      <c r="AF40" s="74">
        <f t="shared" si="9"/>
        <v>-1</v>
      </c>
      <c r="AG40">
        <v>2600</v>
      </c>
    </row>
    <row r="41" spans="1:33" x14ac:dyDescent="0.45">
      <c r="A41">
        <f>VLOOKUP($C41,PrilimTable!$N:$T,7,FALSE)</f>
        <v>1</v>
      </c>
      <c r="B41">
        <v>79</v>
      </c>
      <c r="C41">
        <f t="shared" si="0"/>
        <v>79</v>
      </c>
      <c r="D41" t="str">
        <f>VLOOKUP($C41,PrilimTable!$N:$S,2,FALSE)</f>
        <v>Rte 79 Skyline iB</v>
      </c>
      <c r="E41" s="36">
        <f>SUMIF(PrilimTable!$M$4:$M$82,B41,PrilimTable!$P$4:$P$82)</f>
        <v>225.77272727272731</v>
      </c>
      <c r="F41" s="45">
        <f t="shared" si="1"/>
        <v>6.560915331565967E-3</v>
      </c>
      <c r="G41" s="30">
        <f>SUMIF(PrilimTable!$N$4:$N$82,C41,PrilimTable!$R$4:$R$82)</f>
        <v>0</v>
      </c>
      <c r="H41" s="60" t="e">
        <f t="shared" si="2"/>
        <v>#DIV/0!</v>
      </c>
      <c r="I41" s="43">
        <f t="shared" si="3"/>
        <v>-225.77272727272731</v>
      </c>
      <c r="J41" s="74">
        <f t="shared" si="4"/>
        <v>-1</v>
      </c>
      <c r="L41" s="65"/>
      <c r="M41" s="41"/>
      <c r="X41">
        <v>93</v>
      </c>
      <c r="Y41">
        <v>93</v>
      </c>
      <c r="Z41" t="str">
        <f t="shared" si="5"/>
        <v>Rte 93 MCS West End Shuttle</v>
      </c>
      <c r="AA41" s="36">
        <f>SUMIF(PrilimTable!$M$4:$M$82,X41,PrilimTable!$P$4:$P$82)</f>
        <v>121.3636363636364</v>
      </c>
      <c r="AB41" s="28">
        <f t="shared" si="6"/>
        <v>3.5268057047072952E-3</v>
      </c>
      <c r="AC41" s="30">
        <f>SUMIF(PrilimTable!$N$4:$N$82,Y41,PrilimTable!$R$4:$R$82)</f>
        <v>0</v>
      </c>
      <c r="AD41" s="27" t="e">
        <f t="shared" si="7"/>
        <v>#DIV/0!</v>
      </c>
      <c r="AE41" s="43">
        <f t="shared" si="8"/>
        <v>-121.3636363636364</v>
      </c>
      <c r="AF41" s="74">
        <f t="shared" si="9"/>
        <v>-1</v>
      </c>
      <c r="AG41">
        <v>2700</v>
      </c>
    </row>
    <row r="42" spans="1:33" x14ac:dyDescent="0.45">
      <c r="A42">
        <f>VLOOKUP($C42,PrilimTable!$N:$T,7,FALSE)</f>
        <v>6</v>
      </c>
      <c r="B42">
        <v>84</v>
      </c>
      <c r="C42">
        <f t="shared" si="0"/>
        <v>84</v>
      </c>
      <c r="D42" t="str">
        <f>VLOOKUP($C42,PrilimTable!$N:$S,2,FALSE)</f>
        <v>Rte 84 Murfreesboro Express OB</v>
      </c>
      <c r="E42" s="36">
        <f>SUMIF(PrilimTable!$M$4:$M$82,B42,PrilimTable!$P$4:$P$82)</f>
        <v>127.5</v>
      </c>
      <c r="F42" s="45">
        <f t="shared" si="1"/>
        <v>3.7051273414621575E-3</v>
      </c>
      <c r="G42" s="30">
        <f>SUMIF(PrilimTable!$N$4:$N$82,C42,PrilimTable!$R$4:$R$82)</f>
        <v>0</v>
      </c>
      <c r="H42" s="60" t="e">
        <f t="shared" si="2"/>
        <v>#DIV/0!</v>
      </c>
      <c r="I42" s="43">
        <f t="shared" si="3"/>
        <v>-127.5</v>
      </c>
      <c r="J42" s="74">
        <f t="shared" si="4"/>
        <v>-1</v>
      </c>
      <c r="L42" s="65"/>
      <c r="M42" s="41"/>
      <c r="X42">
        <v>87</v>
      </c>
      <c r="Y42">
        <v>87</v>
      </c>
      <c r="Z42" t="str">
        <f t="shared" si="5"/>
        <v>Rte 87 Gallatin Comm Bus OB</v>
      </c>
      <c r="AA42" s="36">
        <f>SUMIF(PrilimTable!$M$4:$M$82,X42,PrilimTable!$P$4:$P$82)</f>
        <v>77.318181818181813</v>
      </c>
      <c r="AB42" s="28">
        <f t="shared" si="6"/>
        <v>2.2468526231112758E-3</v>
      </c>
      <c r="AC42" s="30">
        <f>SUMIF(PrilimTable!$N$4:$N$82,Y42,PrilimTable!$R$4:$R$82)</f>
        <v>0</v>
      </c>
      <c r="AD42" s="27" t="e">
        <f t="shared" si="7"/>
        <v>#DIV/0!</v>
      </c>
      <c r="AE42" s="43">
        <f t="shared" si="8"/>
        <v>-77.318181818181813</v>
      </c>
      <c r="AF42" s="74">
        <f t="shared" si="9"/>
        <v>-1</v>
      </c>
      <c r="AG42">
        <v>2800</v>
      </c>
    </row>
    <row r="43" spans="1:33" x14ac:dyDescent="0.45">
      <c r="A43">
        <f>VLOOKUP($C43,PrilimTable!$N:$T,7,FALSE)</f>
        <v>6</v>
      </c>
      <c r="B43">
        <v>86</v>
      </c>
      <c r="C43">
        <f t="shared" si="0"/>
        <v>86</v>
      </c>
      <c r="D43" t="str">
        <f>VLOOKUP($C43,PrilimTable!$N:$S,2,FALSE)</f>
        <v>Rte 86 Smyrna Lavergne Exp OB</v>
      </c>
      <c r="E43" s="36">
        <f>SUMIF(PrilimTable!$M$4:$M$82,B43,PrilimTable!$P$4:$P$82)</f>
        <v>47.090909090909093</v>
      </c>
      <c r="F43" s="45">
        <f t="shared" si="1"/>
        <v>1.3684534494669501E-3</v>
      </c>
      <c r="G43" s="30">
        <f>SUMIF(PrilimTable!$N$4:$N$82,C43,PrilimTable!$R$4:$R$82)</f>
        <v>0</v>
      </c>
      <c r="H43" s="60" t="e">
        <f t="shared" si="2"/>
        <v>#DIV/0!</v>
      </c>
      <c r="I43" s="43">
        <f t="shared" si="3"/>
        <v>-47.090909090909093</v>
      </c>
      <c r="J43" s="74">
        <f t="shared" si="4"/>
        <v>-1</v>
      </c>
      <c r="L43" s="65"/>
      <c r="M43" s="41"/>
      <c r="X43">
        <v>41</v>
      </c>
      <c r="Y43">
        <v>41</v>
      </c>
      <c r="Z43" t="str">
        <f t="shared" si="5"/>
        <v>Rte 41 Golden Valley OB PM</v>
      </c>
      <c r="AA43" s="36">
        <f>SUMIF(PrilimTable!$M$4:$M$82,X43,PrilimTable!$P$4:$P$82)</f>
        <v>61.909090909090907</v>
      </c>
      <c r="AB43" s="28">
        <f t="shared" si="6"/>
        <v>1.7990671797046196E-3</v>
      </c>
      <c r="AC43" s="30">
        <f>SUMIF(PrilimTable!$N$4:$N$82,Y43,PrilimTable!$R$4:$R$82)</f>
        <v>0</v>
      </c>
      <c r="AD43" s="27" t="e">
        <f t="shared" si="7"/>
        <v>#DIV/0!</v>
      </c>
      <c r="AE43" s="43">
        <f t="shared" si="8"/>
        <v>-61.909090909090907</v>
      </c>
      <c r="AF43" s="74">
        <f t="shared" si="9"/>
        <v>-1</v>
      </c>
      <c r="AG43">
        <v>2900</v>
      </c>
    </row>
    <row r="44" spans="1:33" x14ac:dyDescent="0.45">
      <c r="A44">
        <f>VLOOKUP($C44,PrilimTable!$N:$T,7,FALSE)</f>
        <v>7</v>
      </c>
      <c r="B44">
        <v>87</v>
      </c>
      <c r="C44">
        <f t="shared" si="0"/>
        <v>87</v>
      </c>
      <c r="D44" t="str">
        <f>VLOOKUP($C44,PrilimTable!$N:$S,2,FALSE)</f>
        <v>Rte 87 Gallatin Comm Bus OB</v>
      </c>
      <c r="E44" s="36">
        <f>SUMIF(PrilimTable!$M$4:$M$82,B44,PrilimTable!$P$4:$P$82)</f>
        <v>77.318181818181813</v>
      </c>
      <c r="F44" s="45">
        <f t="shared" si="1"/>
        <v>2.2468526231112758E-3</v>
      </c>
      <c r="G44" s="30">
        <f>SUMIF(PrilimTable!$N$4:$N$82,C44,PrilimTable!$R$4:$R$82)</f>
        <v>0</v>
      </c>
      <c r="H44" s="60" t="e">
        <f t="shared" si="2"/>
        <v>#DIV/0!</v>
      </c>
      <c r="I44" s="43">
        <f t="shared" si="3"/>
        <v>-77.318181818181813</v>
      </c>
      <c r="J44" s="74">
        <f t="shared" si="4"/>
        <v>-1</v>
      </c>
      <c r="L44" s="65"/>
      <c r="M44" s="41"/>
      <c r="X44">
        <v>95</v>
      </c>
      <c r="Y44">
        <v>95</v>
      </c>
      <c r="Z44" t="str">
        <f t="shared" si="5"/>
        <v>Rte 95 Spring Hill Exp OB</v>
      </c>
      <c r="AA44" s="36">
        <f>SUMIF(PrilimTable!$M$4:$M$82,X44,PrilimTable!$P$4:$P$82)</f>
        <v>51.636363636363633</v>
      </c>
      <c r="AB44" s="28">
        <f t="shared" si="6"/>
        <v>1.5005435507668486E-3</v>
      </c>
      <c r="AC44" s="30">
        <f>SUMIF(PrilimTable!$N$4:$N$82,Y44,PrilimTable!$R$4:$R$82)</f>
        <v>0</v>
      </c>
      <c r="AD44" s="27" t="e">
        <f t="shared" si="7"/>
        <v>#DIV/0!</v>
      </c>
      <c r="AE44" s="43">
        <f t="shared" si="8"/>
        <v>-51.636363636363633</v>
      </c>
      <c r="AF44" s="74">
        <f t="shared" si="9"/>
        <v>-1</v>
      </c>
      <c r="AG44">
        <v>3000</v>
      </c>
    </row>
    <row r="45" spans="1:33" x14ac:dyDescent="0.45">
      <c r="A45">
        <f>VLOOKUP($C45,PrilimTable!$N:$T,7,FALSE)</f>
        <v>6</v>
      </c>
      <c r="B45">
        <v>89</v>
      </c>
      <c r="C45">
        <f t="shared" si="0"/>
        <v>89</v>
      </c>
      <c r="D45" t="str">
        <f>VLOOKUP($C45,PrilimTable!$N:$S,2,FALSE)</f>
        <v>Rte 89 Spgfield/Joelton Exp OB</v>
      </c>
      <c r="E45" s="36">
        <f>SUMIF(PrilimTable!$M$4:$M$82,B45,PrilimTable!$P$4:$P$82)</f>
        <v>23</v>
      </c>
      <c r="F45" s="45">
        <f t="shared" si="1"/>
        <v>6.6837591257748723E-4</v>
      </c>
      <c r="G45" s="30">
        <f>SUMIF(PrilimTable!$N$4:$N$82,C45,PrilimTable!$R$4:$R$82)</f>
        <v>0</v>
      </c>
      <c r="H45" s="60" t="e">
        <f t="shared" si="2"/>
        <v>#DIV/0!</v>
      </c>
      <c r="I45" s="43">
        <f t="shared" si="3"/>
        <v>-23</v>
      </c>
      <c r="J45" s="74">
        <f t="shared" si="4"/>
        <v>-1</v>
      </c>
      <c r="L45" s="65"/>
      <c r="M45" s="41"/>
      <c r="X45">
        <v>86</v>
      </c>
      <c r="Y45">
        <v>86</v>
      </c>
      <c r="Z45" t="str">
        <f t="shared" si="5"/>
        <v>Rte 86 Smyrna Lavergne Exp OB</v>
      </c>
      <c r="AA45" s="36">
        <f>SUMIF(PrilimTable!$M$4:$M$82,X45,PrilimTable!$P$4:$P$82)</f>
        <v>47.090909090909093</v>
      </c>
      <c r="AB45" s="28">
        <f t="shared" si="6"/>
        <v>1.3684534494669501E-3</v>
      </c>
      <c r="AC45" s="30">
        <f>SUMIF(PrilimTable!$N$4:$N$82,Y45,PrilimTable!$R$4:$R$82)</f>
        <v>0</v>
      </c>
      <c r="AD45" s="27" t="e">
        <f t="shared" si="7"/>
        <v>#DIV/0!</v>
      </c>
      <c r="AE45" s="43">
        <f t="shared" si="8"/>
        <v>-47.090909090909093</v>
      </c>
      <c r="AF45" s="74">
        <f t="shared" si="9"/>
        <v>-1</v>
      </c>
      <c r="AG45">
        <v>3100</v>
      </c>
    </row>
    <row r="46" spans="1:33" x14ac:dyDescent="0.45">
      <c r="A46">
        <f>VLOOKUP($C46,PrilimTable!$N:$T,7,FALSE)</f>
        <v>12</v>
      </c>
      <c r="B46">
        <v>90</v>
      </c>
      <c r="C46">
        <f t="shared" si="0"/>
        <v>90</v>
      </c>
      <c r="D46" t="str">
        <f>VLOOKUP($C46,PrilimTable!$N:$S,2,FALSE)</f>
        <v>Rte 90 Music City Star oB</v>
      </c>
      <c r="E46" s="36">
        <f>SUMIF(PrilimTable!$M$4:$M$82,B46,PrilimTable!$P$4:$P$82)</f>
        <v>399.31818181818181</v>
      </c>
      <c r="F46" s="45">
        <f t="shared" si="1"/>
        <v>1.1604115399196096E-2</v>
      </c>
      <c r="G46" s="30">
        <f>SUMIF(PrilimTable!$N$4:$N$82,C46,PrilimTable!$R$4:$R$82)</f>
        <v>0</v>
      </c>
      <c r="H46" s="60" t="e">
        <f t="shared" si="2"/>
        <v>#DIV/0!</v>
      </c>
      <c r="I46" s="43">
        <f t="shared" si="3"/>
        <v>-399.31818181818181</v>
      </c>
      <c r="J46" s="74">
        <f t="shared" si="4"/>
        <v>-1</v>
      </c>
      <c r="L46" s="65"/>
      <c r="M46" s="41"/>
      <c r="X46">
        <v>70</v>
      </c>
      <c r="Y46">
        <v>70</v>
      </c>
      <c r="Z46" t="str">
        <f t="shared" si="5"/>
        <v>Rte 70 Belevue Conn OB</v>
      </c>
      <c r="AA46" s="36">
        <f>SUMIF(PrilimTable!$M$4:$M$82,X46,PrilimTable!$P$4:$P$82)</f>
        <v>42.409090909090907</v>
      </c>
      <c r="AB46" s="28">
        <f t="shared" si="6"/>
        <v>1.2324006451280543E-3</v>
      </c>
      <c r="AC46" s="30">
        <f>SUMIF(PrilimTable!$N$4:$N$82,Y46,PrilimTable!$R$4:$R$82)</f>
        <v>0</v>
      </c>
      <c r="AD46" s="27" t="e">
        <f t="shared" si="7"/>
        <v>#DIV/0!</v>
      </c>
      <c r="AE46" s="43">
        <f t="shared" si="8"/>
        <v>-42.409090909090907</v>
      </c>
      <c r="AF46" s="74">
        <f t="shared" si="9"/>
        <v>-1</v>
      </c>
      <c r="AG46">
        <v>3200</v>
      </c>
    </row>
    <row r="47" spans="1:33" x14ac:dyDescent="0.45">
      <c r="A47">
        <f>VLOOKUP($C47,PrilimTable!$N:$T,7,FALSE)</f>
        <v>11</v>
      </c>
      <c r="B47">
        <v>93</v>
      </c>
      <c r="C47">
        <f t="shared" si="0"/>
        <v>93</v>
      </c>
      <c r="D47" t="str">
        <f>VLOOKUP($C47,PrilimTable!$N:$S,2,FALSE)</f>
        <v>Rte 93 MCS West End Shuttle</v>
      </c>
      <c r="E47" s="36">
        <f>SUMIF(PrilimTable!$M$4:$M$82,B47,PrilimTable!$P$4:$P$82)</f>
        <v>121.3636363636364</v>
      </c>
      <c r="F47" s="45">
        <f t="shared" si="1"/>
        <v>3.5268057047072952E-3</v>
      </c>
      <c r="G47" s="30">
        <f>SUMIF(PrilimTable!$N$4:$N$82,C47,PrilimTable!$R$4:$R$82)</f>
        <v>0</v>
      </c>
      <c r="H47" s="60" t="e">
        <f t="shared" si="2"/>
        <v>#DIV/0!</v>
      </c>
      <c r="I47" s="43">
        <f t="shared" si="3"/>
        <v>-121.3636363636364</v>
      </c>
      <c r="J47" s="74">
        <f t="shared" si="4"/>
        <v>-1</v>
      </c>
      <c r="L47" s="65"/>
      <c r="M47" s="41"/>
      <c r="X47">
        <v>89</v>
      </c>
      <c r="Y47">
        <v>89</v>
      </c>
      <c r="Z47" t="str">
        <f t="shared" si="5"/>
        <v>Rte 89 Spgfield/Joelton Exp OB</v>
      </c>
      <c r="AA47" s="36">
        <f>SUMIF(PrilimTable!$M$4:$M$82,X47,PrilimTable!$P$4:$P$82)</f>
        <v>23</v>
      </c>
      <c r="AB47" s="28">
        <f t="shared" si="6"/>
        <v>6.6837591257748723E-4</v>
      </c>
      <c r="AC47" s="30">
        <f>SUMIF(PrilimTable!$N$4:$N$82,Y47,PrilimTable!$R$4:$R$82)</f>
        <v>0</v>
      </c>
      <c r="AD47" s="27" t="e">
        <f t="shared" si="7"/>
        <v>#DIV/0!</v>
      </c>
      <c r="AE47" s="43">
        <f t="shared" si="8"/>
        <v>-23</v>
      </c>
      <c r="AF47" s="74">
        <f t="shared" si="9"/>
        <v>-1</v>
      </c>
      <c r="AG47">
        <v>3300</v>
      </c>
    </row>
    <row r="48" spans="1:33" x14ac:dyDescent="0.45">
      <c r="A48">
        <f>VLOOKUP($C48,PrilimTable!$N:$T,7,FALSE)</f>
        <v>6</v>
      </c>
      <c r="B48">
        <v>95</v>
      </c>
      <c r="C48">
        <f t="shared" si="0"/>
        <v>95</v>
      </c>
      <c r="D48" t="str">
        <f>VLOOKUP($C48,PrilimTable!$N:$S,2,FALSE)</f>
        <v>Rte 95 Spring Hill Exp OB</v>
      </c>
      <c r="E48" s="36">
        <f>SUMIF(PrilimTable!$M$4:$M$82,B48,PrilimTable!$P$4:$P$82)</f>
        <v>51.636363636363633</v>
      </c>
      <c r="F48" s="45">
        <f t="shared" si="1"/>
        <v>1.5005435507668486E-3</v>
      </c>
      <c r="G48" s="30">
        <f>SUMIF(PrilimTable!$N$4:$N$82,C48,PrilimTable!$R$4:$R$82)</f>
        <v>0</v>
      </c>
      <c r="H48" s="60" t="e">
        <f t="shared" si="2"/>
        <v>#DIV/0!</v>
      </c>
      <c r="I48" s="43">
        <f t="shared" si="3"/>
        <v>-51.636363636363633</v>
      </c>
      <c r="J48" s="74">
        <f t="shared" si="4"/>
        <v>-1</v>
      </c>
      <c r="L48" s="65"/>
      <c r="M48" s="41"/>
      <c r="X48">
        <v>64</v>
      </c>
      <c r="Y48">
        <v>64</v>
      </c>
      <c r="Z48" t="str">
        <f t="shared" si="5"/>
        <v>Rte 64 STAR DOWNTOWN SHUTTLE</v>
      </c>
      <c r="AA48" s="36">
        <f>SUMIF(PrilimTable!$M$4:$M$82,X48,PrilimTable!$P$4:$P$82)</f>
        <v>9.1818181818181817</v>
      </c>
      <c r="AB48" s="28">
        <f t="shared" si="6"/>
        <v>2.668220046257953E-4</v>
      </c>
      <c r="AC48" s="30">
        <f>SUMIF(PrilimTable!$N$4:$N$82,Y48,PrilimTable!$R$4:$R$82)</f>
        <v>0</v>
      </c>
      <c r="AD48" s="27" t="e">
        <f t="shared" si="7"/>
        <v>#DIV/0!</v>
      </c>
      <c r="AE48" s="43">
        <f t="shared" si="8"/>
        <v>-9.1818181818181817</v>
      </c>
      <c r="AF48" s="74">
        <f t="shared" si="9"/>
        <v>-1</v>
      </c>
      <c r="AG48">
        <v>3400</v>
      </c>
    </row>
    <row r="49" spans="4:33" x14ac:dyDescent="0.45">
      <c r="D49" s="63" t="s">
        <v>48</v>
      </c>
      <c r="E49" s="40">
        <f>SUM(E15:E48)</f>
        <v>34411.772727272735</v>
      </c>
      <c r="F49" s="59">
        <f>SUM(F15:F48)</f>
        <v>1</v>
      </c>
      <c r="G49" s="34">
        <f>SUM(G15:G48)</f>
        <v>0</v>
      </c>
      <c r="H49" s="61" t="e">
        <f>SUM(H15:H48)</f>
        <v>#DIV/0!</v>
      </c>
      <c r="I49" s="44">
        <f t="shared" si="3"/>
        <v>-34411.772727272735</v>
      </c>
      <c r="J49" s="75">
        <f t="shared" si="4"/>
        <v>-1</v>
      </c>
      <c r="Z49" s="38"/>
      <c r="AA49" s="40">
        <f>SUM(AA15:AA48)</f>
        <v>34411.772727272713</v>
      </c>
      <c r="AB49" s="39">
        <v>0.99800000000000044</v>
      </c>
      <c r="AC49" s="34">
        <f>SUM(AC15:AC48)</f>
        <v>0</v>
      </c>
      <c r="AD49" s="29">
        <v>1</v>
      </c>
      <c r="AE49" s="44">
        <f t="shared" si="8"/>
        <v>-34411.772727272713</v>
      </c>
      <c r="AF49" s="75">
        <f t="shared" si="9"/>
        <v>-1</v>
      </c>
      <c r="AG49">
        <v>3500</v>
      </c>
    </row>
    <row r="50" spans="4:33" x14ac:dyDescent="0.45">
      <c r="AG50">
        <v>3600</v>
      </c>
    </row>
    <row r="51" spans="4:33" x14ac:dyDescent="0.45">
      <c r="AG51">
        <v>3700</v>
      </c>
    </row>
    <row r="52" spans="4:33" x14ac:dyDescent="0.45">
      <c r="I52" s="42"/>
      <c r="AG52">
        <v>3800</v>
      </c>
    </row>
    <row r="53" spans="4:33" x14ac:dyDescent="0.45">
      <c r="I53" s="55"/>
      <c r="AG53">
        <v>3900</v>
      </c>
    </row>
    <row r="54" spans="4:33" x14ac:dyDescent="0.45">
      <c r="E54" s="41"/>
      <c r="F54" s="41"/>
      <c r="H54" s="4"/>
      <c r="I54" s="42"/>
      <c r="AG54">
        <v>4000</v>
      </c>
    </row>
    <row r="55" spans="4:33" x14ac:dyDescent="0.45">
      <c r="E55" s="41"/>
      <c r="F55" s="41"/>
      <c r="H55" s="4"/>
      <c r="I55" s="42"/>
      <c r="AG55">
        <v>4100</v>
      </c>
    </row>
    <row r="56" spans="4:33" x14ac:dyDescent="0.45">
      <c r="E56" s="73"/>
      <c r="F56" s="73"/>
      <c r="H56" s="4"/>
      <c r="I56" s="42"/>
      <c r="AG56">
        <v>4200</v>
      </c>
    </row>
    <row r="57" spans="4:33" x14ac:dyDescent="0.45">
      <c r="I57" s="42"/>
      <c r="AG57">
        <v>4300</v>
      </c>
    </row>
    <row r="58" spans="4:33" x14ac:dyDescent="0.45">
      <c r="E58" s="22"/>
      <c r="F58" s="22"/>
      <c r="G58" s="22"/>
      <c r="I58" s="42"/>
      <c r="AG58">
        <v>4400</v>
      </c>
    </row>
    <row r="59" spans="4:33" x14ac:dyDescent="0.45">
      <c r="E59" s="41"/>
      <c r="F59" s="41"/>
      <c r="G59" s="73"/>
      <c r="I59" s="42"/>
      <c r="AG59">
        <v>4500</v>
      </c>
    </row>
    <row r="60" spans="4:33" x14ac:dyDescent="0.45">
      <c r="F60" s="41"/>
      <c r="G60" s="73"/>
      <c r="I60" s="42"/>
      <c r="AG60">
        <v>4600</v>
      </c>
    </row>
    <row r="61" spans="4:33" x14ac:dyDescent="0.45">
      <c r="F61" s="41"/>
      <c r="G61" s="73"/>
      <c r="I61" s="42"/>
      <c r="AG61">
        <v>4700</v>
      </c>
    </row>
    <row r="62" spans="4:33" x14ac:dyDescent="0.45">
      <c r="F62" s="41"/>
      <c r="G62" s="73"/>
      <c r="I62" s="42"/>
      <c r="AG62">
        <v>4800</v>
      </c>
    </row>
    <row r="63" spans="4:33" x14ac:dyDescent="0.45">
      <c r="D63" s="4"/>
      <c r="E63" s="73"/>
      <c r="F63" s="73"/>
      <c r="G63" s="73"/>
      <c r="I63" s="42"/>
      <c r="AG63">
        <v>4900</v>
      </c>
    </row>
    <row r="64" spans="4:33" x14ac:dyDescent="0.45">
      <c r="I64" s="42"/>
      <c r="AG64">
        <v>5000</v>
      </c>
    </row>
    <row r="65" spans="33:33" x14ac:dyDescent="0.45">
      <c r="AG65">
        <v>5100</v>
      </c>
    </row>
    <row r="66" spans="33:33" x14ac:dyDescent="0.45">
      <c r="AG66">
        <v>5200</v>
      </c>
    </row>
    <row r="67" spans="33:33" x14ac:dyDescent="0.45">
      <c r="AG67">
        <v>5300</v>
      </c>
    </row>
    <row r="68" spans="33:33" x14ac:dyDescent="0.45">
      <c r="AG68">
        <v>5400</v>
      </c>
    </row>
    <row r="69" spans="33:33" x14ac:dyDescent="0.45">
      <c r="AG69">
        <v>5500</v>
      </c>
    </row>
    <row r="70" spans="33:33" x14ac:dyDescent="0.45">
      <c r="AG70">
        <v>5600</v>
      </c>
    </row>
    <row r="71" spans="33:33" x14ac:dyDescent="0.45">
      <c r="AG71">
        <v>5700</v>
      </c>
    </row>
    <row r="72" spans="33:33" x14ac:dyDescent="0.45">
      <c r="AG72">
        <v>5800</v>
      </c>
    </row>
    <row r="73" spans="33:33" x14ac:dyDescent="0.45">
      <c r="AG73">
        <v>5900</v>
      </c>
    </row>
    <row r="74" spans="33:33" x14ac:dyDescent="0.45">
      <c r="AG74">
        <v>6000</v>
      </c>
    </row>
  </sheetData>
  <mergeCells count="9">
    <mergeCell ref="G2:H2"/>
    <mergeCell ref="E2:F2"/>
    <mergeCell ref="I2:J2"/>
    <mergeCell ref="I13:J13"/>
    <mergeCell ref="AE13:AF13"/>
    <mergeCell ref="AA13:AB13"/>
    <mergeCell ref="AC13:AD13"/>
    <mergeCell ref="E13:F13"/>
    <mergeCell ref="G13:H13"/>
  </mergeCells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T63"/>
  <sheetViews>
    <sheetView topLeftCell="A7" zoomScaleNormal="100" workbookViewId="0">
      <selection activeCell="C9" sqref="C9"/>
    </sheetView>
  </sheetViews>
  <sheetFormatPr defaultRowHeight="14.25" x14ac:dyDescent="0.45"/>
  <cols>
    <col min="1" max="1" width="28.3984375" bestFit="1" customWidth="1"/>
    <col min="2" max="2" width="22.3984375" customWidth="1"/>
    <col min="3" max="3" width="16.73046875" customWidth="1"/>
    <col min="4" max="4" width="17.1328125" customWidth="1"/>
    <col min="5" max="5" width="16" customWidth="1"/>
    <col min="6" max="6" width="18.59765625" customWidth="1"/>
    <col min="7" max="7" width="14" customWidth="1"/>
    <col min="8" max="8" width="17.265625" customWidth="1"/>
    <col min="9" max="9" width="27.3984375" customWidth="1"/>
    <col min="10" max="11" width="13.1328125" customWidth="1"/>
    <col min="12" max="12" width="13" customWidth="1"/>
    <col min="13" max="13" width="11.59765625" customWidth="1"/>
    <col min="14" max="14" width="12.59765625" customWidth="1"/>
    <col min="15" max="15" width="34.1328125" customWidth="1"/>
    <col min="16" max="16" width="11.1328125" customWidth="1"/>
    <col min="17" max="17" width="12.59765625" customWidth="1"/>
    <col min="18" max="18" width="14.59765625" customWidth="1"/>
    <col min="19" max="19" width="14.1328125" customWidth="1"/>
    <col min="20" max="20" width="18.59765625" customWidth="1"/>
    <col min="21" max="21" width="16.86328125" customWidth="1"/>
    <col min="22" max="22" width="15.73046875" customWidth="1"/>
    <col min="23" max="23" width="18.3984375" bestFit="1" customWidth="1"/>
    <col min="24" max="24" width="17" bestFit="1" customWidth="1"/>
    <col min="25" max="25" width="17.265625" customWidth="1"/>
    <col min="26" max="26" width="15.3984375" customWidth="1"/>
  </cols>
  <sheetData>
    <row r="2" spans="2:20" x14ac:dyDescent="0.45">
      <c r="I2" s="4"/>
      <c r="J2" s="125"/>
      <c r="K2" s="126"/>
      <c r="M2" s="6"/>
      <c r="N2" s="6"/>
      <c r="O2" s="6"/>
      <c r="P2" s="117" t="s">
        <v>1</v>
      </c>
      <c r="Q2" s="116"/>
      <c r="R2" s="124" t="s">
        <v>49</v>
      </c>
      <c r="S2" s="116"/>
    </row>
    <row r="3" spans="2:20" x14ac:dyDescent="0.45">
      <c r="B3" t="s">
        <v>50</v>
      </c>
      <c r="C3" t="s">
        <v>39</v>
      </c>
      <c r="G3" s="4"/>
      <c r="J3" s="22"/>
      <c r="K3" s="22"/>
      <c r="M3" s="4" t="s">
        <v>36</v>
      </c>
      <c r="N3" s="4" t="s">
        <v>37</v>
      </c>
      <c r="O3" s="4" t="s">
        <v>38</v>
      </c>
      <c r="P3" s="24" t="s">
        <v>39</v>
      </c>
      <c r="Q3" s="24" t="s">
        <v>9</v>
      </c>
      <c r="R3" s="25" t="s">
        <v>39</v>
      </c>
      <c r="S3" s="25" t="s">
        <v>9</v>
      </c>
      <c r="T3" t="s">
        <v>6</v>
      </c>
    </row>
    <row r="4" spans="2:20" x14ac:dyDescent="0.45">
      <c r="B4">
        <v>3</v>
      </c>
      <c r="C4" s="1">
        <f>VLOOKUP($B4,Aggregated_Transit_Final_V2!$B:$H,7,FALSE)</f>
        <v>2516.909090909091</v>
      </c>
      <c r="D4" s="2"/>
      <c r="J4" s="1"/>
      <c r="K4" s="2"/>
      <c r="M4">
        <v>3</v>
      </c>
      <c r="N4">
        <v>3</v>
      </c>
      <c r="O4" t="str">
        <f>VLOOKUP($N4,ABM_RteName!$A:$D,3,FALSE)</f>
        <v>Rte 3 West End (White Bridge) IB</v>
      </c>
      <c r="P4" s="7">
        <f t="shared" ref="P4:P37" si="0">VLOOKUP(M4,$B:$C,2,FALSE)</f>
        <v>2516.909090909091</v>
      </c>
      <c r="Q4" s="28">
        <f t="shared" ref="Q4:Q37" si="1">P4/$P$38</f>
        <v>7.3140930891779893E-2</v>
      </c>
      <c r="R4" s="3">
        <f>SUMIF(BoardingByRoute_ABM!$B:$B,N4,BoardingByRoute_ABM!$N:$N)</f>
        <v>0</v>
      </c>
      <c r="S4" s="27" t="e">
        <f t="shared" ref="S4:S37" si="2">R4/R$38</f>
        <v>#DIV/0!</v>
      </c>
      <c r="T4">
        <f>VLOOKUP($N4,ABM_RteName!$A:$E,5,FALSE)</f>
        <v>1</v>
      </c>
    </row>
    <row r="5" spans="2:20" x14ac:dyDescent="0.45">
      <c r="B5">
        <v>4</v>
      </c>
      <c r="C5" s="1">
        <f>VLOOKUP($B5,Aggregated_Transit_Final_V2!$B:$H,7,FALSE)</f>
        <v>941.0454545454545</v>
      </c>
      <c r="D5" s="2"/>
      <c r="J5" s="1"/>
      <c r="K5" s="2"/>
      <c r="M5">
        <v>4</v>
      </c>
      <c r="N5">
        <v>4</v>
      </c>
      <c r="O5" t="str">
        <f>VLOOKUP($N5,ABM_RteName!$A:$D,3,FALSE)</f>
        <v>Rte 4 Shelby IB</v>
      </c>
      <c r="P5" s="7">
        <f t="shared" si="0"/>
        <v>941.0454545454545</v>
      </c>
      <c r="Q5" s="28">
        <f t="shared" si="1"/>
        <v>2.7346613672118016E-2</v>
      </c>
      <c r="R5" s="3">
        <f>SUMIF(BoardingByRoute_ABM!$B:$B,N5,BoardingByRoute_ABM!$N:$N)</f>
        <v>0</v>
      </c>
      <c r="S5" s="27" t="e">
        <f t="shared" si="2"/>
        <v>#DIV/0!</v>
      </c>
      <c r="T5">
        <f>VLOOKUP($N5,ABM_RteName!$A:$E,5,FALSE)</f>
        <v>1</v>
      </c>
    </row>
    <row r="6" spans="2:20" x14ac:dyDescent="0.45">
      <c r="B6">
        <v>6</v>
      </c>
      <c r="C6" s="1">
        <f>VLOOKUP($B6,Aggregated_Transit_Final_V2!$B:$H,7,FALSE)</f>
        <v>818.18181818181813</v>
      </c>
      <c r="D6" s="2"/>
      <c r="J6" s="1"/>
      <c r="K6" s="2"/>
      <c r="M6">
        <v>6</v>
      </c>
      <c r="N6">
        <v>6</v>
      </c>
      <c r="O6" t="str">
        <f>VLOOKUP($N6,ABM_RteName!$A:$D,3,FALSE)</f>
        <v>Rte 6 Lebanon Rd OB</v>
      </c>
      <c r="P6" s="7">
        <f t="shared" si="0"/>
        <v>818.18181818181813</v>
      </c>
      <c r="Q6" s="28">
        <f t="shared" si="1"/>
        <v>2.3776218233981756E-2</v>
      </c>
      <c r="R6" s="3">
        <f>SUMIF(BoardingByRoute_ABM!$B:$B,N6,BoardingByRoute_ABM!$N:$N)</f>
        <v>0</v>
      </c>
      <c r="S6" s="27" t="e">
        <f t="shared" si="2"/>
        <v>#DIV/0!</v>
      </c>
      <c r="T6">
        <f>VLOOKUP($N6,ABM_RteName!$A:$E,5,FALSE)</f>
        <v>1</v>
      </c>
    </row>
    <row r="7" spans="2:20" x14ac:dyDescent="0.45">
      <c r="B7">
        <v>7</v>
      </c>
      <c r="C7" s="1">
        <f>VLOOKUP($B7,Aggregated_Transit_Final_V2!$B:$H,7,FALSE)</f>
        <v>1841.590909090909</v>
      </c>
      <c r="D7" s="2"/>
      <c r="J7" s="1"/>
      <c r="K7" s="2"/>
      <c r="M7">
        <v>7</v>
      </c>
      <c r="N7">
        <v>7</v>
      </c>
      <c r="O7" t="str">
        <f>VLOOKUP($N7,ABM_RteName!$A:$D,3,FALSE)</f>
        <v>Rte 7 Hillsboro IB</v>
      </c>
      <c r="P7" s="7">
        <f t="shared" si="0"/>
        <v>1841.590909090909</v>
      </c>
      <c r="Q7" s="28">
        <f t="shared" si="1"/>
        <v>5.3516304541653938E-2</v>
      </c>
      <c r="R7" s="3">
        <f>SUMIF(BoardingByRoute_ABM!$B:$B,N7,BoardingByRoute_ABM!$N:$N)</f>
        <v>0</v>
      </c>
      <c r="S7" s="27" t="e">
        <f t="shared" si="2"/>
        <v>#DIV/0!</v>
      </c>
      <c r="T7">
        <f>VLOOKUP($N7,ABM_RteName!$A:$E,5,FALSE)</f>
        <v>1</v>
      </c>
    </row>
    <row r="8" spans="2:20" x14ac:dyDescent="0.45">
      <c r="B8">
        <v>8</v>
      </c>
      <c r="C8" s="1">
        <f>VLOOKUP($B8,Aggregated_Transit_Final_V2!$B:$H,7,FALSE)</f>
        <v>944.40909090909088</v>
      </c>
      <c r="D8" s="2"/>
      <c r="J8" s="1"/>
      <c r="K8" s="2"/>
      <c r="M8">
        <v>8</v>
      </c>
      <c r="N8">
        <v>8</v>
      </c>
      <c r="O8" t="str">
        <f>VLOOKUP($N8,ABM_RteName!$A:$D,3,FALSE)</f>
        <v>Rte 8 8TH AVENUE SOUTH iB</v>
      </c>
      <c r="P8" s="7">
        <f t="shared" si="0"/>
        <v>944.40909090909088</v>
      </c>
      <c r="Q8" s="28">
        <f t="shared" si="1"/>
        <v>2.7444360347079942E-2</v>
      </c>
      <c r="R8" s="3">
        <f>SUMIF(BoardingByRoute_ABM!$B:$B,N8,BoardingByRoute_ABM!$N:$N)</f>
        <v>0</v>
      </c>
      <c r="S8" s="27" t="e">
        <f t="shared" si="2"/>
        <v>#DIV/0!</v>
      </c>
      <c r="T8">
        <f>VLOOKUP($N8,ABM_RteName!$A:$E,5,FALSE)</f>
        <v>1</v>
      </c>
    </row>
    <row r="9" spans="2:20" x14ac:dyDescent="0.45">
      <c r="B9">
        <v>9</v>
      </c>
      <c r="C9" s="1">
        <f>VLOOKUP($B9,Aggregated_Transit_Final_V2!$B:$H,7,FALSE)</f>
        <v>350.59090909090912</v>
      </c>
      <c r="D9" s="2"/>
      <c r="J9" s="1"/>
      <c r="K9" s="2"/>
      <c r="M9">
        <v>9</v>
      </c>
      <c r="N9">
        <v>9</v>
      </c>
      <c r="O9" t="str">
        <f>VLOOKUP($N9,ABM_RteName!$A:$D,3,FALSE)</f>
        <v>Rte 9 MetroCenter OB</v>
      </c>
      <c r="P9" s="7">
        <f t="shared" si="0"/>
        <v>350.59090909090912</v>
      </c>
      <c r="Q9" s="28">
        <f t="shared" si="1"/>
        <v>1.0188109513261184E-2</v>
      </c>
      <c r="R9" s="3">
        <f>SUMIF(BoardingByRoute_ABM!$B:$B,N9,BoardingByRoute_ABM!$N:$N)</f>
        <v>0</v>
      </c>
      <c r="S9" s="27" t="e">
        <f t="shared" si="2"/>
        <v>#DIV/0!</v>
      </c>
      <c r="T9">
        <f>VLOOKUP($N9,ABM_RteName!$A:$E,5,FALSE)</f>
        <v>1</v>
      </c>
    </row>
    <row r="10" spans="2:20" x14ac:dyDescent="0.45">
      <c r="B10">
        <v>14</v>
      </c>
      <c r="C10" s="1">
        <f>VLOOKUP($B10,Aggregated_Transit_Final_V2!$B:$H,7,FALSE)</f>
        <v>334.18181818181819</v>
      </c>
      <c r="D10" s="2"/>
      <c r="J10" s="1"/>
      <c r="K10" s="2"/>
      <c r="M10">
        <v>14</v>
      </c>
      <c r="N10">
        <v>14</v>
      </c>
      <c r="O10" t="str">
        <f>VLOOKUP($N10,ABM_RteName!$A:$D,3,FALSE)</f>
        <v>Rte 14 WHITES CREEK oB</v>
      </c>
      <c r="P10" s="7">
        <f t="shared" si="0"/>
        <v>334.18181818181819</v>
      </c>
      <c r="Q10" s="28">
        <f t="shared" si="1"/>
        <v>9.7112642475685497E-3</v>
      </c>
      <c r="R10" s="3">
        <f>SUMIF(BoardingByRoute_ABM!$B:$B,N10,BoardingByRoute_ABM!$N:$N)</f>
        <v>0</v>
      </c>
      <c r="S10" s="27" t="e">
        <f t="shared" si="2"/>
        <v>#DIV/0!</v>
      </c>
      <c r="T10">
        <f>VLOOKUP($N10,ABM_RteName!$A:$E,5,FALSE)</f>
        <v>1</v>
      </c>
    </row>
    <row r="11" spans="2:20" x14ac:dyDescent="0.45">
      <c r="B11">
        <v>17</v>
      </c>
      <c r="C11" s="1">
        <f>VLOOKUP($B11,Aggregated_Transit_Final_V2!$B:$H,7,FALSE)</f>
        <v>637.9545454545455</v>
      </c>
      <c r="D11" s="2"/>
      <c r="J11" s="1"/>
      <c r="K11" s="2"/>
      <c r="M11">
        <v>17</v>
      </c>
      <c r="N11">
        <v>17</v>
      </c>
      <c r="O11" t="str">
        <f>VLOOKUP($N11,ABM_RteName!$A:$D,3,FALSE)</f>
        <v>Rte 17 12TH AVENUE SOUTH iB</v>
      </c>
      <c r="P11" s="7">
        <f t="shared" si="0"/>
        <v>637.9545454545455</v>
      </c>
      <c r="Q11" s="28">
        <f t="shared" si="1"/>
        <v>1.8538845717440779E-2</v>
      </c>
      <c r="R11" s="3">
        <f>SUMIF(BoardingByRoute_ABM!$B:$B,N11,BoardingByRoute_ABM!$N:$N)</f>
        <v>0</v>
      </c>
      <c r="S11" s="27" t="e">
        <f t="shared" si="2"/>
        <v>#DIV/0!</v>
      </c>
      <c r="T11">
        <f>VLOOKUP($N11,ABM_RteName!$A:$E,5,FALSE)</f>
        <v>1</v>
      </c>
    </row>
    <row r="12" spans="2:20" x14ac:dyDescent="0.45">
      <c r="B12">
        <v>18</v>
      </c>
      <c r="C12" s="1">
        <f>VLOOKUP($B12,Aggregated_Transit_Final_V2!$B:$H,7,FALSE)</f>
        <v>677.90909090909088</v>
      </c>
      <c r="D12" s="2"/>
      <c r="J12" s="1"/>
      <c r="K12" s="2"/>
      <c r="M12">
        <v>18</v>
      </c>
      <c r="N12">
        <v>18</v>
      </c>
      <c r="O12" t="str">
        <f>VLOOKUP($N12,ABM_RteName!$A:$D,3,FALSE)</f>
        <v>Rte 18 Airport Exp OB</v>
      </c>
      <c r="P12" s="7">
        <f t="shared" si="0"/>
        <v>677.90909090909088</v>
      </c>
      <c r="Q12" s="28">
        <f t="shared" si="1"/>
        <v>1.9699917707866884E-2</v>
      </c>
      <c r="R12" s="3">
        <f>SUMIF(BoardingByRoute_ABM!$B:$B,N12,BoardingByRoute_ABM!$N:$N)</f>
        <v>0</v>
      </c>
      <c r="S12" s="27" t="e">
        <f t="shared" si="2"/>
        <v>#DIV/0!</v>
      </c>
      <c r="T12">
        <f>VLOOKUP($N12,ABM_RteName!$A:$E,5,FALSE)</f>
        <v>6</v>
      </c>
    </row>
    <row r="13" spans="2:20" x14ac:dyDescent="0.45">
      <c r="B13">
        <v>19</v>
      </c>
      <c r="C13" s="1">
        <f>VLOOKUP($B13,Aggregated_Transit_Final_V2!$B:$H,7,FALSE)</f>
        <v>955.72727272727275</v>
      </c>
      <c r="D13" s="2"/>
      <c r="J13" s="1"/>
      <c r="K13" s="2"/>
      <c r="M13">
        <v>19</v>
      </c>
      <c r="N13">
        <v>19</v>
      </c>
      <c r="O13" t="str">
        <f>VLOOKUP($N13,ABM_RteName!$A:$D,3,FALSE)</f>
        <v>Rte 19 Herman IB</v>
      </c>
      <c r="P13" s="7">
        <f t="shared" si="0"/>
        <v>955.72727272727275</v>
      </c>
      <c r="Q13" s="28">
        <f t="shared" si="1"/>
        <v>2.7773264699316694E-2</v>
      </c>
      <c r="R13" s="3">
        <f>SUMIF(BoardingByRoute_ABM!$B:$B,N13,BoardingByRoute_ABM!$N:$N)</f>
        <v>0</v>
      </c>
      <c r="S13" s="27" t="e">
        <f t="shared" si="2"/>
        <v>#DIV/0!</v>
      </c>
      <c r="T13">
        <f>VLOOKUP($N13,ABM_RteName!$A:$E,5,FALSE)</f>
        <v>1</v>
      </c>
    </row>
    <row r="14" spans="2:20" x14ac:dyDescent="0.45">
      <c r="B14">
        <v>22</v>
      </c>
      <c r="C14" s="1">
        <f>VLOOKUP($B14,Aggregated_Transit_Final_V2!$B:$H,7,FALSE)</f>
        <v>1505.409090909091</v>
      </c>
      <c r="D14" s="2"/>
      <c r="J14" s="1"/>
      <c r="K14" s="2"/>
      <c r="M14">
        <v>22</v>
      </c>
      <c r="N14">
        <v>22</v>
      </c>
      <c r="O14" t="str">
        <f>VLOOKUP($N14,ABM_RteName!$A:$D,3,FALSE)</f>
        <v>Rte 22 Bordeaux (Panaroma) IB</v>
      </c>
      <c r="P14" s="7">
        <f t="shared" si="0"/>
        <v>1505.409090909091</v>
      </c>
      <c r="Q14" s="28">
        <f t="shared" si="1"/>
        <v>4.3746920649513438E-2</v>
      </c>
      <c r="R14" s="3">
        <f>SUMIF(BoardingByRoute_ABM!$B:$B,N14,BoardingByRoute_ABM!$N:$N)</f>
        <v>0</v>
      </c>
      <c r="S14" s="27" t="e">
        <f t="shared" si="2"/>
        <v>#DIV/0!</v>
      </c>
      <c r="T14">
        <f>VLOOKUP($N14,ABM_RteName!$A:$E,5,FALSE)</f>
        <v>1</v>
      </c>
    </row>
    <row r="15" spans="2:20" x14ac:dyDescent="0.45">
      <c r="B15">
        <v>23</v>
      </c>
      <c r="C15" s="1">
        <f>VLOOKUP($B15,Aggregated_Transit_Final_V2!$B:$H,7,FALSE)</f>
        <v>2690.5</v>
      </c>
      <c r="D15" s="2"/>
      <c r="J15" s="1"/>
      <c r="K15" s="2"/>
      <c r="M15">
        <v>23</v>
      </c>
      <c r="N15">
        <v>23</v>
      </c>
      <c r="O15" t="str">
        <f>VLOOKUP($N15,ABM_RteName!$A:$D,3,FALSE)</f>
        <v>Rte 23 Dickerson Pike OB</v>
      </c>
      <c r="P15" s="7">
        <f t="shared" si="0"/>
        <v>2690.5</v>
      </c>
      <c r="Q15" s="28">
        <f t="shared" si="1"/>
        <v>7.8185451860423014E-2</v>
      </c>
      <c r="R15" s="3">
        <f>SUMIF(BoardingByRoute_ABM!$B:$B,N15,BoardingByRoute_ABM!$N:$N)</f>
        <v>0</v>
      </c>
      <c r="S15" s="27" t="e">
        <f t="shared" si="2"/>
        <v>#DIV/0!</v>
      </c>
      <c r="T15">
        <f>VLOOKUP($N15,ABM_RteName!$A:$E,5,FALSE)</f>
        <v>1</v>
      </c>
    </row>
    <row r="16" spans="2:20" x14ac:dyDescent="0.45">
      <c r="B16">
        <v>28</v>
      </c>
      <c r="C16" s="1">
        <f>VLOOKUP($B16,Aggregated_Transit_Final_V2!$B:$H,7,FALSE)</f>
        <v>275.40909090909088</v>
      </c>
      <c r="D16" s="2"/>
      <c r="J16" s="1"/>
      <c r="K16" s="2"/>
      <c r="M16">
        <v>28</v>
      </c>
      <c r="N16">
        <v>28</v>
      </c>
      <c r="O16" t="str">
        <f>VLOOKUP($N16,ABM_RteName!$A:$D,3,FALSE)</f>
        <v>Rte 28 Meridian IB</v>
      </c>
      <c r="P16" s="7">
        <f t="shared" si="0"/>
        <v>275.40909090909088</v>
      </c>
      <c r="Q16" s="28">
        <f t="shared" si="1"/>
        <v>8.0033392377608596E-3</v>
      </c>
      <c r="R16" s="3">
        <f>SUMIF(BoardingByRoute_ABM!$B:$B,N16,BoardingByRoute_ABM!$N:$N)</f>
        <v>0</v>
      </c>
      <c r="S16" s="27" t="e">
        <f t="shared" si="2"/>
        <v>#DIV/0!</v>
      </c>
      <c r="T16">
        <f>VLOOKUP($N16,ABM_RteName!$A:$E,5,FALSE)</f>
        <v>1</v>
      </c>
    </row>
    <row r="17" spans="2:20" x14ac:dyDescent="0.45">
      <c r="B17">
        <v>29</v>
      </c>
      <c r="C17" s="1">
        <f>VLOOKUP($B17,Aggregated_Transit_Final_V2!$B:$H,7,FALSE)</f>
        <v>691.09090909090912</v>
      </c>
      <c r="D17" s="2"/>
      <c r="J17" s="1"/>
      <c r="K17" s="2"/>
      <c r="M17">
        <v>29</v>
      </c>
      <c r="N17">
        <v>29</v>
      </c>
      <c r="O17" t="str">
        <f>VLOOKUP($N17,ABM_RteName!$A:$D,3,FALSE)</f>
        <v>Rte 29 Jefferson IB</v>
      </c>
      <c r="P17" s="7">
        <f t="shared" si="0"/>
        <v>691.09090909090912</v>
      </c>
      <c r="Q17" s="28">
        <f t="shared" si="1"/>
        <v>2.0082979001636591E-2</v>
      </c>
      <c r="R17" s="3">
        <f>SUMIF(BoardingByRoute_ABM!$B:$B,N17,BoardingByRoute_ABM!$N:$N)</f>
        <v>0</v>
      </c>
      <c r="S17" s="27" t="e">
        <f t="shared" si="2"/>
        <v>#DIV/0!</v>
      </c>
      <c r="T17">
        <f>VLOOKUP($N17,ABM_RteName!$A:$E,5,FALSE)</f>
        <v>1</v>
      </c>
    </row>
    <row r="18" spans="2:20" x14ac:dyDescent="0.45">
      <c r="B18">
        <v>34</v>
      </c>
      <c r="C18" s="1">
        <f>VLOOKUP($B18,Aggregated_Transit_Final_V2!$B:$H,7,FALSE)</f>
        <v>365.81818181818181</v>
      </c>
      <c r="D18" s="2"/>
      <c r="J18" s="1"/>
      <c r="K18" s="2"/>
      <c r="M18">
        <v>34</v>
      </c>
      <c r="N18">
        <v>34</v>
      </c>
      <c r="O18" t="str">
        <f>VLOOKUP($N18,ABM_RteName!$A:$D,3,FALSE)</f>
        <v>Rte 34 Opry Mills IB</v>
      </c>
      <c r="P18" s="7">
        <f t="shared" si="0"/>
        <v>365.81818181818181</v>
      </c>
      <c r="Q18" s="28">
        <f t="shared" si="1"/>
        <v>1.0630611352615844E-2</v>
      </c>
      <c r="R18" s="3">
        <f>SUMIF(BoardingByRoute_ABM!$B:$B,N18,BoardingByRoute_ABM!$N:$N)</f>
        <v>0</v>
      </c>
      <c r="S18" s="27" t="e">
        <f t="shared" si="2"/>
        <v>#DIV/0!</v>
      </c>
      <c r="T18">
        <f>VLOOKUP($N18,ABM_RteName!$A:$E,5,FALSE)</f>
        <v>1</v>
      </c>
    </row>
    <row r="19" spans="2:20" x14ac:dyDescent="0.45">
      <c r="B19">
        <v>41</v>
      </c>
      <c r="C19" s="1">
        <f>VLOOKUP($B19,Aggregated_Transit_Final_V2!$B:$H,7,FALSE)</f>
        <v>61.909090909090907</v>
      </c>
      <c r="D19" s="2"/>
      <c r="J19" s="1"/>
      <c r="K19" s="2"/>
      <c r="M19">
        <v>41</v>
      </c>
      <c r="N19">
        <v>41</v>
      </c>
      <c r="O19" t="str">
        <f>VLOOKUP($N19,ABM_RteName!$A:$D,3,FALSE)</f>
        <v>Rte 41 Golden Valley OB PM</v>
      </c>
      <c r="P19" s="7">
        <f t="shared" si="0"/>
        <v>61.909090909090907</v>
      </c>
      <c r="Q19" s="28">
        <f t="shared" si="1"/>
        <v>1.7990671797046196E-3</v>
      </c>
      <c r="R19" s="3">
        <f>SUMIF(BoardingByRoute_ABM!$B:$B,N19,BoardingByRoute_ABM!$N:$N)</f>
        <v>0</v>
      </c>
      <c r="S19" s="27" t="e">
        <f t="shared" si="2"/>
        <v>#DIV/0!</v>
      </c>
      <c r="T19">
        <f>VLOOKUP($N19,ABM_RteName!$A:$E,5,FALSE)</f>
        <v>1</v>
      </c>
    </row>
    <row r="20" spans="2:20" x14ac:dyDescent="0.45">
      <c r="B20">
        <v>42</v>
      </c>
      <c r="C20" s="1">
        <f>VLOOKUP($B20,Aggregated_Transit_Final_V2!$B:$H,7,FALSE)</f>
        <v>402.68181818181819</v>
      </c>
      <c r="D20" s="2"/>
      <c r="J20" s="1"/>
      <c r="K20" s="2"/>
      <c r="M20">
        <v>42</v>
      </c>
      <c r="N20">
        <v>42</v>
      </c>
      <c r="O20" t="str">
        <f>VLOOKUP($N20,ABM_RteName!$A:$D,3,FALSE)</f>
        <v>Rte 42 St. Cecilia/Cumberland IB</v>
      </c>
      <c r="P20" s="7">
        <f t="shared" si="0"/>
        <v>402.68181818181819</v>
      </c>
      <c r="Q20" s="28">
        <f t="shared" si="1"/>
        <v>1.1701862074158022E-2</v>
      </c>
      <c r="R20" s="3">
        <f>SUMIF(BoardingByRoute_ABM!$B:$B,N20,BoardingByRoute_ABM!$N:$N)</f>
        <v>0</v>
      </c>
      <c r="S20" s="27" t="e">
        <f t="shared" si="2"/>
        <v>#DIV/0!</v>
      </c>
      <c r="T20">
        <f>VLOOKUP($N20,ABM_RteName!$A:$E,5,FALSE)</f>
        <v>1</v>
      </c>
    </row>
    <row r="21" spans="2:20" x14ac:dyDescent="0.45">
      <c r="B21">
        <v>50</v>
      </c>
      <c r="C21" s="1">
        <f>VLOOKUP($B21,Aggregated_Transit_Final_V2!$B:$H,7,FALSE)</f>
        <v>2542.863636363636</v>
      </c>
      <c r="D21" s="2"/>
      <c r="J21" s="1"/>
      <c r="K21" s="2"/>
      <c r="M21">
        <v>50</v>
      </c>
      <c r="N21">
        <v>50</v>
      </c>
      <c r="O21" t="str">
        <f>VLOOKUP($N21,ABM_RteName!$A:$D,3,FALSE)</f>
        <v>Rte 50 CHARLOTTE PIKE oB</v>
      </c>
      <c r="P21" s="7">
        <f t="shared" si="0"/>
        <v>2542.863636363636</v>
      </c>
      <c r="Q21" s="28">
        <f t="shared" si="1"/>
        <v>7.3895165370202298E-2</v>
      </c>
      <c r="R21" s="3">
        <f>SUMIF(BoardingByRoute_ABM!$B:$B,N21,BoardingByRoute_ABM!$N:$N)</f>
        <v>0</v>
      </c>
      <c r="S21" s="27" t="e">
        <f t="shared" si="2"/>
        <v>#DIV/0!</v>
      </c>
      <c r="T21">
        <f>VLOOKUP($N21,ABM_RteName!$A:$E,5,FALSE)</f>
        <v>1</v>
      </c>
    </row>
    <row r="22" spans="2:20" x14ac:dyDescent="0.45">
      <c r="B22">
        <v>52</v>
      </c>
      <c r="C22" s="1">
        <f>VLOOKUP($B22,Aggregated_Transit_Final_V2!$B:$H,7,FALSE)</f>
        <v>3623.863636363636</v>
      </c>
      <c r="D22" s="2"/>
      <c r="J22" s="1"/>
      <c r="K22" s="2"/>
      <c r="M22">
        <v>52</v>
      </c>
      <c r="N22">
        <v>52</v>
      </c>
      <c r="O22" t="str">
        <f>VLOOKUP($N22,ABM_RteName!$A:$D,3,FALSE)</f>
        <v>Rte 52 NOLENSVILLE PIKE (Hick) oB</v>
      </c>
      <c r="P22" s="7">
        <f t="shared" si="0"/>
        <v>3623.863636363636</v>
      </c>
      <c r="Q22" s="28">
        <f t="shared" si="1"/>
        <v>0.1053088332613442</v>
      </c>
      <c r="R22" s="3">
        <f>SUMIF(BoardingByRoute_ABM!$B:$B,N22,BoardingByRoute_ABM!$N:$N)</f>
        <v>0</v>
      </c>
      <c r="S22" s="27" t="e">
        <f t="shared" si="2"/>
        <v>#DIV/0!</v>
      </c>
      <c r="T22">
        <f>VLOOKUP($N22,ABM_RteName!$A:$E,5,FALSE)</f>
        <v>1</v>
      </c>
    </row>
    <row r="23" spans="2:20" x14ac:dyDescent="0.45">
      <c r="B23">
        <v>55</v>
      </c>
      <c r="C23" s="1">
        <f>VLOOKUP($B23,Aggregated_Transit_Final_V2!$B:$H,7,FALSE)</f>
        <v>5829.363636363636</v>
      </c>
      <c r="D23" s="2"/>
      <c r="J23" s="1"/>
      <c r="K23" s="2"/>
      <c r="M23">
        <v>55</v>
      </c>
      <c r="N23">
        <v>55</v>
      </c>
      <c r="O23" t="str">
        <f>VLOOKUP($N23,ABM_RteName!$A:$D,3,FALSE)</f>
        <v>Rte 55 MURFREESBORO PIKE oB</v>
      </c>
      <c r="P23" s="7">
        <f t="shared" si="0"/>
        <v>5829.363636363636</v>
      </c>
      <c r="Q23" s="28">
        <f t="shared" si="1"/>
        <v>0.16940027131306803</v>
      </c>
      <c r="R23" s="3">
        <f>SUMIF(BoardingByRoute_ABM!$B:$B,N23,BoardingByRoute_ABM!$N:$N)</f>
        <v>0</v>
      </c>
      <c r="S23" s="27" t="e">
        <f t="shared" si="2"/>
        <v>#DIV/0!</v>
      </c>
      <c r="T23">
        <f>VLOOKUP($N23,ABM_RteName!$A:$E,5,FALSE)</f>
        <v>1</v>
      </c>
    </row>
    <row r="24" spans="2:20" x14ac:dyDescent="0.45">
      <c r="B24">
        <v>56</v>
      </c>
      <c r="C24" s="1">
        <f>VLOOKUP($B24,Aggregated_Transit_Final_V2!$B:$H,7,FALSE)</f>
        <v>4470.863636363636</v>
      </c>
      <c r="D24" s="2"/>
      <c r="J24" s="1"/>
      <c r="K24" s="2"/>
      <c r="M24">
        <v>56</v>
      </c>
      <c r="N24">
        <v>56</v>
      </c>
      <c r="O24" t="str">
        <f>VLOOKUP($N24,ABM_RteName!$A:$D,3,FALSE)</f>
        <v>Rte 56 Gallatin Rd IB</v>
      </c>
      <c r="P24" s="7">
        <f t="shared" si="0"/>
        <v>4470.863636363636</v>
      </c>
      <c r="Q24" s="28">
        <f t="shared" si="1"/>
        <v>0.12992250273756731</v>
      </c>
      <c r="R24" s="3">
        <f>SUMIF(BoardingByRoute_ABM!$B:$B,N24,BoardingByRoute_ABM!$N:$N)</f>
        <v>0</v>
      </c>
      <c r="S24" s="27" t="e">
        <f t="shared" si="2"/>
        <v>#DIV/0!</v>
      </c>
      <c r="T24">
        <f>VLOOKUP($N24,ABM_RteName!$A:$E,5,FALSE)</f>
        <v>8</v>
      </c>
    </row>
    <row r="25" spans="2:20" x14ac:dyDescent="0.45">
      <c r="B25">
        <v>64</v>
      </c>
      <c r="C25" s="1">
        <f>VLOOKUP($B25,Aggregated_Transit_Final_V2!$B:$H,7,FALSE)</f>
        <v>9.1818181818181817</v>
      </c>
      <c r="D25" s="2"/>
      <c r="J25" s="1"/>
      <c r="K25" s="2"/>
      <c r="M25">
        <v>64</v>
      </c>
      <c r="N25">
        <v>64</v>
      </c>
      <c r="O25" t="str">
        <f>VLOOKUP($N25,ABM_RteName!$A:$D,3,FALSE)</f>
        <v>Rte 64 STAR DOWNTOWN SHUTTLE</v>
      </c>
      <c r="P25" s="7">
        <f t="shared" si="0"/>
        <v>9.1818181818181817</v>
      </c>
      <c r="Q25" s="28">
        <f t="shared" si="1"/>
        <v>2.668220046257953E-4</v>
      </c>
      <c r="R25" s="3">
        <f>SUMIF(BoardingByRoute_ABM!$B:$B,N25,BoardingByRoute_ABM!$N:$N)</f>
        <v>0</v>
      </c>
      <c r="S25" s="27" t="e">
        <f t="shared" si="2"/>
        <v>#DIV/0!</v>
      </c>
      <c r="T25">
        <f>VLOOKUP($N25,ABM_RteName!$A:$E,5,FALSE)</f>
        <v>11</v>
      </c>
    </row>
    <row r="26" spans="2:20" x14ac:dyDescent="0.45">
      <c r="B26">
        <v>70</v>
      </c>
      <c r="C26" s="1">
        <f>VLOOKUP($B26,Aggregated_Transit_Final_V2!$B:$H,7,FALSE)</f>
        <v>42.409090909090907</v>
      </c>
      <c r="D26" s="2"/>
      <c r="J26" s="1"/>
      <c r="K26" s="2"/>
      <c r="M26">
        <v>70</v>
      </c>
      <c r="N26">
        <v>70</v>
      </c>
      <c r="O26" t="str">
        <f>VLOOKUP($N26,ABM_RteName!$A:$D,3,FALSE)</f>
        <v>Rte 70 Belevue Conn OB</v>
      </c>
      <c r="P26" s="7">
        <f t="shared" si="0"/>
        <v>42.409090909090907</v>
      </c>
      <c r="Q26" s="28">
        <f t="shared" si="1"/>
        <v>1.2324006451280543E-3</v>
      </c>
      <c r="R26" s="3">
        <f>SUMIF(BoardingByRoute_ABM!$B:$B,N26,BoardingByRoute_ABM!$N:$N)</f>
        <v>0</v>
      </c>
      <c r="S26" s="27" t="e">
        <f t="shared" si="2"/>
        <v>#DIV/0!</v>
      </c>
      <c r="T26">
        <f>VLOOKUP($N26,ABM_RteName!$A:$E,5,FALSE)</f>
        <v>1</v>
      </c>
    </row>
    <row r="27" spans="2:20" x14ac:dyDescent="0.45">
      <c r="B27">
        <v>75</v>
      </c>
      <c r="C27" s="1">
        <f>VLOOKUP($B27,Aggregated_Transit_Final_V2!$B:$H,7,FALSE)</f>
        <v>127.6363636363636</v>
      </c>
      <c r="D27" s="2"/>
      <c r="J27" s="1"/>
      <c r="K27" s="2"/>
      <c r="M27">
        <v>75</v>
      </c>
      <c r="N27">
        <v>75</v>
      </c>
      <c r="O27" t="str">
        <f>VLOOKUP($N27,ABM_RteName!$A:$D,3,FALSE)</f>
        <v>Rte 75 Midtown CW Loop</v>
      </c>
      <c r="P27" s="7">
        <f t="shared" si="0"/>
        <v>127.6363636363636</v>
      </c>
      <c r="Q27" s="28">
        <f t="shared" si="1"/>
        <v>3.7090900445011532E-3</v>
      </c>
      <c r="R27" s="3">
        <f>SUMIF(BoardingByRoute_ABM!$B:$B,N27,BoardingByRoute_ABM!$N:$N)</f>
        <v>0</v>
      </c>
      <c r="S27" s="27" t="e">
        <f t="shared" si="2"/>
        <v>#DIV/0!</v>
      </c>
      <c r="T27">
        <f>VLOOKUP($N27,ABM_RteName!$A:$E,5,FALSE)</f>
        <v>1</v>
      </c>
    </row>
    <row r="28" spans="2:20" x14ac:dyDescent="0.45">
      <c r="B28">
        <v>76</v>
      </c>
      <c r="C28" s="1">
        <f>VLOOKUP($B28,Aggregated_Transit_Final_V2!$B:$H,7,FALSE)</f>
        <v>347.31818181818181</v>
      </c>
      <c r="D28" s="2"/>
      <c r="J28" s="1"/>
      <c r="K28" s="2"/>
      <c r="M28">
        <v>76</v>
      </c>
      <c r="N28">
        <v>76</v>
      </c>
      <c r="O28" t="str">
        <f>VLOOKUP($N28,ABM_RteName!$A:$D,3,FALSE)</f>
        <v>Rte 76 Madison Conn</v>
      </c>
      <c r="P28" s="7">
        <f t="shared" si="0"/>
        <v>347.31818181818181</v>
      </c>
      <c r="Q28" s="28">
        <f t="shared" si="1"/>
        <v>1.0093004640325256E-2</v>
      </c>
      <c r="R28" s="3">
        <f>SUMIF(BoardingByRoute_ABM!$B:$B,N28,BoardingByRoute_ABM!$N:$N)</f>
        <v>0</v>
      </c>
      <c r="S28" s="27" t="e">
        <f t="shared" si="2"/>
        <v>#DIV/0!</v>
      </c>
      <c r="T28">
        <f>VLOOKUP($N28,ABM_RteName!$A:$E,5,FALSE)</f>
        <v>1</v>
      </c>
    </row>
    <row r="29" spans="2:20" x14ac:dyDescent="0.45">
      <c r="B29">
        <v>77</v>
      </c>
      <c r="C29" s="1">
        <f>VLOOKUP($B29,Aggregated_Transit_Final_V2!$B:$H,7,FALSE)</f>
        <v>333.95454545454538</v>
      </c>
      <c r="D29" s="2"/>
      <c r="J29" s="1"/>
      <c r="K29" s="2"/>
      <c r="M29">
        <v>77</v>
      </c>
      <c r="N29">
        <v>77</v>
      </c>
      <c r="O29" t="str">
        <f>VLOOKUP($N29,ABM_RteName!$A:$D,3,FALSE)</f>
        <v>Rte 77 THOMPSON - WEDGEWOOD ccw</v>
      </c>
      <c r="P29" s="7">
        <f t="shared" si="0"/>
        <v>333.95454545454538</v>
      </c>
      <c r="Q29" s="28">
        <f t="shared" si="1"/>
        <v>9.7046597425035526E-3</v>
      </c>
      <c r="R29" s="3">
        <f>SUMIF(BoardingByRoute_ABM!$B:$B,N29,BoardingByRoute_ABM!$N:$N)</f>
        <v>0</v>
      </c>
      <c r="S29" s="27" t="e">
        <f t="shared" si="2"/>
        <v>#DIV/0!</v>
      </c>
      <c r="T29">
        <f>VLOOKUP($N29,ABM_RteName!$A:$E,5,FALSE)</f>
        <v>1</v>
      </c>
    </row>
    <row r="30" spans="2:20" x14ac:dyDescent="0.45">
      <c r="B30">
        <v>79</v>
      </c>
      <c r="C30" s="1">
        <f>VLOOKUP($B30,Aggregated_Transit_Final_V2!$B:$H,7,FALSE)</f>
        <v>225.77272727272731</v>
      </c>
      <c r="D30" s="2"/>
      <c r="J30" s="1"/>
      <c r="K30" s="2"/>
      <c r="M30">
        <v>79</v>
      </c>
      <c r="N30">
        <v>79</v>
      </c>
      <c r="O30" t="str">
        <f>VLOOKUP($N30,ABM_RteName!$A:$D,3,FALSE)</f>
        <v>Rte 79 Skyline iB</v>
      </c>
      <c r="P30" s="7">
        <f t="shared" si="0"/>
        <v>225.77272727272731</v>
      </c>
      <c r="Q30" s="28">
        <f t="shared" si="1"/>
        <v>6.560915331565967E-3</v>
      </c>
      <c r="R30" s="3">
        <f>SUMIF(BoardingByRoute_ABM!$B:$B,N30,BoardingByRoute_ABM!$N:$N)</f>
        <v>0</v>
      </c>
      <c r="S30" s="27" t="e">
        <f t="shared" si="2"/>
        <v>#DIV/0!</v>
      </c>
      <c r="T30">
        <f>VLOOKUP($N30,ABM_RteName!$A:$E,5,FALSE)</f>
        <v>1</v>
      </c>
    </row>
    <row r="31" spans="2:20" x14ac:dyDescent="0.45">
      <c r="B31">
        <v>84</v>
      </c>
      <c r="C31" s="1">
        <f>VLOOKUP($B31,Aggregated_Transit_Final_V2!$B:$H,7,FALSE)</f>
        <v>127.5</v>
      </c>
      <c r="D31" s="2"/>
      <c r="J31" s="1"/>
      <c r="K31" s="2"/>
      <c r="M31">
        <v>84</v>
      </c>
      <c r="N31">
        <v>84</v>
      </c>
      <c r="O31" t="str">
        <f>VLOOKUP($N31,ABM_RteName!$A:$D,3,FALSE)</f>
        <v>Rte 84 Murfreesboro Express OB</v>
      </c>
      <c r="P31" s="7">
        <f t="shared" si="0"/>
        <v>127.5</v>
      </c>
      <c r="Q31" s="28">
        <f t="shared" si="1"/>
        <v>3.7051273414621575E-3</v>
      </c>
      <c r="R31" s="3">
        <f>SUMIF(BoardingByRoute_ABM!$B:$B,N31,BoardingByRoute_ABM!$N:$N)</f>
        <v>0</v>
      </c>
      <c r="S31" s="27" t="e">
        <f t="shared" si="2"/>
        <v>#DIV/0!</v>
      </c>
      <c r="T31">
        <f>VLOOKUP($N31,ABM_RteName!$A:$E,5,FALSE)</f>
        <v>6</v>
      </c>
    </row>
    <row r="32" spans="2:20" x14ac:dyDescent="0.45">
      <c r="B32">
        <v>86</v>
      </c>
      <c r="C32" s="1">
        <f>VLOOKUP($B32,Aggregated_Transit_Final_V2!$B:$H,7,FALSE)</f>
        <v>47.090909090909093</v>
      </c>
      <c r="D32" s="2"/>
      <c r="J32" s="1"/>
      <c r="K32" s="2"/>
      <c r="M32">
        <v>86</v>
      </c>
      <c r="N32">
        <v>86</v>
      </c>
      <c r="O32" t="str">
        <f>VLOOKUP($N32,ABM_RteName!$A:$D,3,FALSE)</f>
        <v>Rte 86 Smyrna Lavergne Exp OB</v>
      </c>
      <c r="P32" s="7">
        <f t="shared" si="0"/>
        <v>47.090909090909093</v>
      </c>
      <c r="Q32" s="28">
        <f t="shared" si="1"/>
        <v>1.3684534494669501E-3</v>
      </c>
      <c r="R32" s="3">
        <f>SUMIF(BoardingByRoute_ABM!$B:$B,N32,BoardingByRoute_ABM!$N:$N)</f>
        <v>0</v>
      </c>
      <c r="S32" s="27" t="e">
        <f t="shared" si="2"/>
        <v>#DIV/0!</v>
      </c>
      <c r="T32">
        <f>VLOOKUP($N32,ABM_RteName!$A:$E,5,FALSE)</f>
        <v>6</v>
      </c>
    </row>
    <row r="33" spans="2:20" x14ac:dyDescent="0.45">
      <c r="B33">
        <v>87</v>
      </c>
      <c r="C33" s="1">
        <f>VLOOKUP($B33,Aggregated_Transit_Final_V2!$B:$H,7,FALSE)</f>
        <v>77.318181818181813</v>
      </c>
      <c r="D33" s="2"/>
      <c r="J33" s="1"/>
      <c r="K33" s="2"/>
      <c r="M33">
        <v>87</v>
      </c>
      <c r="N33">
        <v>87</v>
      </c>
      <c r="O33" t="str">
        <f>VLOOKUP($N33,ABM_RteName!$A:$D,3,FALSE)</f>
        <v>Rte 87 Gallatin Comm Bus OB</v>
      </c>
      <c r="P33" s="7">
        <f t="shared" si="0"/>
        <v>77.318181818181813</v>
      </c>
      <c r="Q33" s="28">
        <f t="shared" si="1"/>
        <v>2.2468526231112758E-3</v>
      </c>
      <c r="R33" s="3">
        <f>SUMIF(BoardingByRoute_ABM!$B:$B,N33,BoardingByRoute_ABM!$N:$N)</f>
        <v>0</v>
      </c>
      <c r="S33" s="27" t="e">
        <f t="shared" si="2"/>
        <v>#DIV/0!</v>
      </c>
      <c r="T33">
        <f>VLOOKUP($N33,ABM_RteName!$A:$E,5,FALSE)</f>
        <v>7</v>
      </c>
    </row>
    <row r="34" spans="2:20" x14ac:dyDescent="0.45">
      <c r="B34">
        <v>89</v>
      </c>
      <c r="C34" s="1">
        <f>VLOOKUP($B34,Aggregated_Transit_Final_V2!$B:$H,7,FALSE)</f>
        <v>23</v>
      </c>
      <c r="D34" s="2"/>
      <c r="J34" s="1"/>
      <c r="K34" s="2"/>
      <c r="M34">
        <v>89</v>
      </c>
      <c r="N34">
        <v>89</v>
      </c>
      <c r="O34" t="str">
        <f>VLOOKUP($N34,ABM_RteName!$A:$D,3,FALSE)</f>
        <v>Rte 89 Spgfield/Joelton Exp OB</v>
      </c>
      <c r="P34" s="7">
        <f t="shared" si="0"/>
        <v>23</v>
      </c>
      <c r="Q34" s="28">
        <f t="shared" si="1"/>
        <v>6.6837591257748723E-4</v>
      </c>
      <c r="R34" s="3">
        <f>SUMIF(BoardingByRoute_ABM!$B:$B,N34,BoardingByRoute_ABM!$N:$N)</f>
        <v>0</v>
      </c>
      <c r="S34" s="27" t="e">
        <f t="shared" si="2"/>
        <v>#DIV/0!</v>
      </c>
      <c r="T34">
        <f>VLOOKUP($N34,ABM_RteName!$A:$E,5,FALSE)</f>
        <v>6</v>
      </c>
    </row>
    <row r="35" spans="2:20" x14ac:dyDescent="0.45">
      <c r="B35">
        <v>90</v>
      </c>
      <c r="C35" s="1">
        <f>VLOOKUP($B35,Aggregated_Transit_Final_V2!$B:$H,7,FALSE)</f>
        <v>399.31818181818181</v>
      </c>
      <c r="D35" s="2"/>
      <c r="J35" s="1"/>
      <c r="K35" s="2"/>
      <c r="M35">
        <v>90</v>
      </c>
      <c r="N35">
        <v>90</v>
      </c>
      <c r="O35" t="str">
        <f>VLOOKUP($N35,ABM_RteName!$A:$D,3,FALSE)</f>
        <v>Rte 90 Music City Star oB</v>
      </c>
      <c r="P35" s="7">
        <f t="shared" si="0"/>
        <v>399.31818181818181</v>
      </c>
      <c r="Q35" s="28">
        <f t="shared" si="1"/>
        <v>1.1604115399196096E-2</v>
      </c>
      <c r="R35" s="3">
        <f>SUMIF(BoardingByRoute_ABM!$B:$B,N35,BoardingByRoute_ABM!$N:$N)</f>
        <v>0</v>
      </c>
      <c r="S35" s="27" t="e">
        <f t="shared" si="2"/>
        <v>#DIV/0!</v>
      </c>
      <c r="T35">
        <f>VLOOKUP($N35,ABM_RteName!$A:$E,5,FALSE)</f>
        <v>12</v>
      </c>
    </row>
    <row r="36" spans="2:20" x14ac:dyDescent="0.45">
      <c r="B36">
        <v>93</v>
      </c>
      <c r="C36" s="1">
        <f>VLOOKUP($B36,Aggregated_Transit_Final_V2!$B:$H,7,FALSE)</f>
        <v>121.3636363636364</v>
      </c>
      <c r="D36" s="2"/>
      <c r="J36" s="1"/>
      <c r="K36" s="2"/>
      <c r="M36">
        <v>93</v>
      </c>
      <c r="N36">
        <v>93</v>
      </c>
      <c r="O36" t="str">
        <f>VLOOKUP($N36,ABM_RteName!$A:$D,3,FALSE)</f>
        <v>Rte 93 MCS West End Shuttle</v>
      </c>
      <c r="P36" s="7">
        <f t="shared" si="0"/>
        <v>121.3636363636364</v>
      </c>
      <c r="Q36" s="28">
        <f t="shared" si="1"/>
        <v>3.5268057047072952E-3</v>
      </c>
      <c r="R36" s="3">
        <f>SUMIF(BoardingByRoute_ABM!$B:$B,N36,BoardingByRoute_ABM!$N:$N)</f>
        <v>0</v>
      </c>
      <c r="S36" s="27" t="e">
        <f t="shared" si="2"/>
        <v>#DIV/0!</v>
      </c>
      <c r="T36">
        <f>VLOOKUP($N36,ABM_RteName!$A:$E,5,FALSE)</f>
        <v>11</v>
      </c>
    </row>
    <row r="37" spans="2:20" x14ac:dyDescent="0.45">
      <c r="B37">
        <v>95</v>
      </c>
      <c r="C37" s="1">
        <f>VLOOKUP($B37,Aggregated_Transit_Final_V2!$B:$H,7,FALSE)</f>
        <v>51.636363636363633</v>
      </c>
      <c r="D37" s="2"/>
      <c r="J37" s="1"/>
      <c r="K37" s="2"/>
      <c r="M37">
        <v>95</v>
      </c>
      <c r="N37">
        <v>95</v>
      </c>
      <c r="O37" t="str">
        <f>VLOOKUP($N37,ABM_RteName!$A:$D,3,FALSE)</f>
        <v>Rte 95 Spring Hill Exp OB</v>
      </c>
      <c r="P37" s="7">
        <f t="shared" si="0"/>
        <v>51.636363636363633</v>
      </c>
      <c r="Q37" s="28">
        <f t="shared" si="1"/>
        <v>1.5005435507668486E-3</v>
      </c>
      <c r="R37" s="3">
        <f>SUMIF(BoardingByRoute_ABM!$B:$B,N37,BoardingByRoute_ABM!$N:$N)</f>
        <v>0</v>
      </c>
      <c r="S37" s="27" t="e">
        <f t="shared" si="2"/>
        <v>#DIV/0!</v>
      </c>
      <c r="T37">
        <f>VLOOKUP($N37,ABM_RteName!$A:$E,5,FALSE)</f>
        <v>6</v>
      </c>
    </row>
    <row r="38" spans="2:20" x14ac:dyDescent="0.45">
      <c r="C38" s="1"/>
      <c r="D38" s="2"/>
      <c r="K38" s="2"/>
      <c r="M38" s="63" t="s">
        <v>48</v>
      </c>
      <c r="N38" s="56"/>
      <c r="O38" s="56"/>
      <c r="P38" s="70">
        <f>SUM(P4:P37)</f>
        <v>34411.772727272735</v>
      </c>
      <c r="Q38" s="71">
        <f>SUM(Q4:Q37)</f>
        <v>1</v>
      </c>
      <c r="R38" s="18">
        <f>SUM(R4:R37)</f>
        <v>0</v>
      </c>
      <c r="S38" s="72" t="e">
        <f>SUM(S4:S37)</f>
        <v>#DIV/0!</v>
      </c>
      <c r="T38" s="67"/>
    </row>
    <row r="39" spans="2:20" x14ac:dyDescent="0.45">
      <c r="K39" s="2"/>
      <c r="M39" s="66"/>
      <c r="N39" s="66"/>
      <c r="O39" s="67"/>
      <c r="P39" s="68"/>
      <c r="Q39" s="69"/>
      <c r="R39" s="68"/>
      <c r="S39" s="69"/>
      <c r="T39" s="67"/>
    </row>
    <row r="40" spans="2:20" x14ac:dyDescent="0.45">
      <c r="K40" s="2"/>
      <c r="M40" s="67"/>
      <c r="N40" s="67"/>
      <c r="O40" s="67"/>
      <c r="P40" s="67"/>
      <c r="Q40" s="67"/>
      <c r="R40" s="67"/>
      <c r="S40" s="67"/>
      <c r="T40" s="67"/>
    </row>
    <row r="41" spans="2:20" x14ac:dyDescent="0.45">
      <c r="C41" s="1"/>
      <c r="D41" s="2"/>
      <c r="K41" s="2"/>
      <c r="M41" s="67"/>
      <c r="N41" s="67"/>
      <c r="O41" s="67"/>
      <c r="P41" s="67"/>
      <c r="Q41" s="67"/>
      <c r="R41" s="67"/>
      <c r="S41" s="67"/>
      <c r="T41" s="67"/>
    </row>
    <row r="42" spans="2:20" x14ac:dyDescent="0.45">
      <c r="C42" s="1"/>
      <c r="D42" s="2"/>
      <c r="K42" s="2"/>
    </row>
    <row r="43" spans="2:20" x14ac:dyDescent="0.45">
      <c r="C43" s="1"/>
      <c r="D43" s="2"/>
      <c r="K43" s="2"/>
      <c r="M43" s="26"/>
    </row>
    <row r="44" spans="2:20" x14ac:dyDescent="0.45">
      <c r="D44" s="2"/>
      <c r="K44" s="2"/>
      <c r="O44" s="26" t="s">
        <v>51</v>
      </c>
    </row>
    <row r="45" spans="2:20" x14ac:dyDescent="0.45">
      <c r="K45" s="2"/>
      <c r="O45" s="26" t="s">
        <v>52</v>
      </c>
      <c r="P45">
        <v>301</v>
      </c>
    </row>
    <row r="46" spans="2:20" x14ac:dyDescent="0.45">
      <c r="K46" s="2"/>
      <c r="O46" s="26" t="s">
        <v>53</v>
      </c>
      <c r="P46">
        <v>301</v>
      </c>
    </row>
    <row r="47" spans="2:20" x14ac:dyDescent="0.45">
      <c r="K47" s="2"/>
      <c r="O47" s="26" t="s">
        <v>54</v>
      </c>
      <c r="P47">
        <v>301</v>
      </c>
    </row>
    <row r="48" spans="2:20" x14ac:dyDescent="0.45">
      <c r="D48" s="20"/>
      <c r="K48" s="2"/>
      <c r="O48" s="26" t="s">
        <v>55</v>
      </c>
      <c r="P48">
        <v>301</v>
      </c>
    </row>
    <row r="49" spans="1:16" x14ac:dyDescent="0.45">
      <c r="K49" s="2"/>
      <c r="O49" s="26" t="s">
        <v>56</v>
      </c>
      <c r="P49">
        <v>301</v>
      </c>
    </row>
    <row r="50" spans="1:16" x14ac:dyDescent="0.45">
      <c r="K50" s="2"/>
      <c r="O50" t="s">
        <v>57</v>
      </c>
      <c r="P50">
        <v>301</v>
      </c>
    </row>
    <row r="51" spans="1:16" x14ac:dyDescent="0.45">
      <c r="O51" s="26" t="s">
        <v>58</v>
      </c>
      <c r="P51">
        <v>18</v>
      </c>
    </row>
    <row r="53" spans="1:16" x14ac:dyDescent="0.45">
      <c r="J53" s="1"/>
      <c r="L53" s="17"/>
    </row>
    <row r="54" spans="1:16" x14ac:dyDescent="0.45">
      <c r="A54" t="s">
        <v>59</v>
      </c>
    </row>
    <row r="55" spans="1:16" x14ac:dyDescent="0.45">
      <c r="B55" s="16"/>
      <c r="C55" s="117" t="s">
        <v>1</v>
      </c>
      <c r="D55" s="116"/>
      <c r="E55" s="124" t="s">
        <v>2</v>
      </c>
      <c r="F55" s="116"/>
      <c r="G55" s="124" t="s">
        <v>4</v>
      </c>
      <c r="H55" s="116"/>
      <c r="I55" s="125"/>
      <c r="J55" s="126"/>
    </row>
    <row r="56" spans="1:16" x14ac:dyDescent="0.45">
      <c r="B56" s="5" t="s">
        <v>7</v>
      </c>
      <c r="C56" s="21" t="s">
        <v>8</v>
      </c>
      <c r="D56" s="21" t="s">
        <v>9</v>
      </c>
      <c r="E56" s="23" t="s">
        <v>8</v>
      </c>
      <c r="F56" s="23" t="s">
        <v>9</v>
      </c>
      <c r="G56" s="23" t="s">
        <v>10</v>
      </c>
      <c r="H56" s="23" t="s">
        <v>11</v>
      </c>
      <c r="I56" s="22"/>
      <c r="J56" s="22"/>
    </row>
    <row r="57" spans="1:16" x14ac:dyDescent="0.45">
      <c r="B57" t="s">
        <v>15</v>
      </c>
      <c r="C57" s="7">
        <f>25297-BoardingByRoute_All!E48</f>
        <v>25245.363636363636</v>
      </c>
      <c r="D57" s="8">
        <f>C57/$C$61</f>
        <v>0.80599462474821648</v>
      </c>
      <c r="E57" s="3" t="str">
        <f>IF(ISNUMBER(TrnStat.asc!J26),TrnStat.asc!J26,CONCATENATE(LEFT(TrnStat.asc!J26,2),RIGHT(TrnStat.asc!J26,3)))</f>
        <v/>
      </c>
      <c r="F57" s="9" t="e">
        <f>E57/E$61</f>
        <v>#VALUE!</v>
      </c>
      <c r="G57" s="33">
        <v>-0.1</v>
      </c>
      <c r="H57" s="35">
        <f>G57/0.03</f>
        <v>-3.3333333333333335</v>
      </c>
      <c r="I57" s="1"/>
    </row>
    <row r="58" spans="1:16" x14ac:dyDescent="0.45">
      <c r="B58" t="s">
        <v>18</v>
      </c>
      <c r="C58" s="7">
        <v>2122</v>
      </c>
      <c r="D58" s="8">
        <f>C58/$C$61</f>
        <v>6.7747908818083138E-2</v>
      </c>
      <c r="E58" s="3" t="e">
        <f>IF(ISNUMBER(TrnStat.asc!K27),TrnStat.asc!K27,CONCATENATE(LEFT(TrnStat.asc!K27,2),RIGHT(TrnStat.asc!K27,3)))+IF(ISNUMBER(TrnStat.asc!K28),TrnStat.asc!K28,CONCATENATE(LEFT(TrnStat.asc!K28,2),RIGHT(TrnStat.asc!K28,3)))</f>
        <v>#VALUE!</v>
      </c>
      <c r="F58" s="9" t="e">
        <f>E58/E$61</f>
        <v>#VALUE!</v>
      </c>
      <c r="G58" s="33">
        <v>0.45</v>
      </c>
      <c r="H58" s="35">
        <f>G58/0.03</f>
        <v>15.000000000000002</v>
      </c>
    </row>
    <row r="59" spans="1:16" x14ac:dyDescent="0.45">
      <c r="B59" t="s">
        <v>20</v>
      </c>
      <c r="C59" s="7">
        <v>2660</v>
      </c>
      <c r="D59" s="8">
        <f>C59/$C$61</f>
        <v>8.4924334333695173E-2</v>
      </c>
      <c r="E59" s="3" t="str">
        <f>IF(ISNUMBER(TrnStat.asc!K29),TrnStat.asc!K29,CONCATENATE(LEFT(TrnStat.asc!K29,2),RIGHT(TrnStat.asc!K29,3)))</f>
        <v/>
      </c>
      <c r="F59" s="9" t="e">
        <f>E59/E$61</f>
        <v>#VALUE!</v>
      </c>
      <c r="G59" s="33">
        <v>-0.1</v>
      </c>
      <c r="H59" s="35">
        <f>G59/0.03</f>
        <v>-3.3333333333333335</v>
      </c>
    </row>
    <row r="60" spans="1:16" x14ac:dyDescent="0.45">
      <c r="B60" s="10" t="s">
        <v>22</v>
      </c>
      <c r="C60" s="11">
        <f>1243+BoardingByRoute_All!E48</f>
        <v>1294.6363636363637</v>
      </c>
      <c r="D60" s="8">
        <f>C60/$C$61</f>
        <v>4.1333132100005228E-2</v>
      </c>
      <c r="E60" s="3" t="e">
        <f>IF(ISNUMBER(TrnStat.asc!J30),TrnStat.asc!J30,CONCATENATE(LEFT(TrnStat.asc!J30,2),RIGHT(TrnStat.asc!J30,3)))+IF(ISNUMBER(TrnStat.asc!J31),TrnStat.asc!J31,CONCATENATE(LEFT(TrnStat.asc!J31,2),RIGHT(TrnStat.asc!J31,3)))</f>
        <v>#VALUE!</v>
      </c>
      <c r="F60" s="12" t="e">
        <f>E60/E$61</f>
        <v>#VALUE!</v>
      </c>
      <c r="G60" s="33">
        <v>1.3</v>
      </c>
      <c r="H60" s="35">
        <f>G60/0.03</f>
        <v>43.333333333333336</v>
      </c>
    </row>
    <row r="61" spans="1:16" x14ac:dyDescent="0.45">
      <c r="B61" s="5" t="s">
        <v>24</v>
      </c>
      <c r="C61" s="13">
        <v>31322</v>
      </c>
      <c r="D61" s="64">
        <f>C61/$C$61</f>
        <v>1</v>
      </c>
      <c r="E61" s="14" t="e">
        <f>SUM(E57:E60)</f>
        <v>#VALUE!</v>
      </c>
      <c r="F61" s="15">
        <v>1</v>
      </c>
      <c r="G61" s="34"/>
      <c r="H61" s="19"/>
      <c r="I61" s="32"/>
    </row>
    <row r="63" spans="1:16" x14ac:dyDescent="0.45">
      <c r="B63" t="s">
        <v>29</v>
      </c>
      <c r="C63" s="8">
        <v>0.59599999999999997</v>
      </c>
      <c r="E63" s="9">
        <f>-(TrnStat.asc!D46)</f>
        <v>0</v>
      </c>
    </row>
  </sheetData>
  <mergeCells count="7">
    <mergeCell ref="R2:S2"/>
    <mergeCell ref="G55:H55"/>
    <mergeCell ref="C55:D55"/>
    <mergeCell ref="E55:F55"/>
    <mergeCell ref="J2:K2"/>
    <mergeCell ref="P2:Q2"/>
    <mergeCell ref="I55:J55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"/>
  <sheetViews>
    <sheetView workbookViewId="0">
      <selection activeCell="H35" sqref="H35"/>
    </sheetView>
  </sheetViews>
  <sheetFormatPr defaultColWidth="9.1328125" defaultRowHeight="14.25" x14ac:dyDescent="0.45"/>
  <cols>
    <col min="1" max="1" width="14.73046875" bestFit="1" customWidth="1"/>
    <col min="2" max="2" width="15" bestFit="1" customWidth="1"/>
    <col min="3" max="3" width="9.73046875" bestFit="1" customWidth="1"/>
    <col min="4" max="4" width="3.86328125" bestFit="1" customWidth="1"/>
    <col min="5" max="5" width="9.73046875" bestFit="1" customWidth="1"/>
    <col min="6" max="6" width="12.1328125" bestFit="1" customWidth="1"/>
    <col min="7" max="8" width="9.59765625" bestFit="1" customWidth="1"/>
    <col min="9" max="9" width="9.1328125" customWidth="1"/>
  </cols>
  <sheetData>
    <row r="1" spans="1:8" x14ac:dyDescent="0.4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</row>
    <row r="2" spans="1:8" x14ac:dyDescent="0.45">
      <c r="A2">
        <v>3</v>
      </c>
      <c r="B2">
        <v>3</v>
      </c>
      <c r="F2" s="65"/>
      <c r="G2" s="65"/>
      <c r="H2" s="65">
        <f>IFERROR(VLOOKUP(B2,Obs_Ridership!$A:$G,7,FALSE),"")</f>
        <v>2516.909090909091</v>
      </c>
    </row>
    <row r="3" spans="1:8" x14ac:dyDescent="0.45">
      <c r="A3">
        <v>4</v>
      </c>
      <c r="B3">
        <v>4</v>
      </c>
      <c r="F3" s="65"/>
      <c r="G3" s="65"/>
      <c r="H3" s="65">
        <f>IFERROR(VLOOKUP(B3,Obs_Ridership!$A:$G,7,FALSE),"")</f>
        <v>941.0454545454545</v>
      </c>
    </row>
    <row r="4" spans="1:8" x14ac:dyDescent="0.45">
      <c r="A4">
        <v>6</v>
      </c>
      <c r="B4">
        <v>6</v>
      </c>
      <c r="F4" s="65"/>
      <c r="G4" s="65"/>
      <c r="H4" s="65">
        <f>IFERROR(VLOOKUP(B4,Obs_Ridership!$A:$G,7,FALSE),"")</f>
        <v>818.18181818181813</v>
      </c>
    </row>
    <row r="5" spans="1:8" x14ac:dyDescent="0.45">
      <c r="A5">
        <v>7</v>
      </c>
      <c r="B5">
        <v>7</v>
      </c>
      <c r="F5" s="65"/>
      <c r="G5" s="65"/>
      <c r="H5" s="65">
        <f>IFERROR(VLOOKUP(B5,Obs_Ridership!$A:$G,7,FALSE),"")</f>
        <v>1841.590909090909</v>
      </c>
    </row>
    <row r="6" spans="1:8" x14ac:dyDescent="0.45">
      <c r="A6">
        <v>8</v>
      </c>
      <c r="B6">
        <v>8</v>
      </c>
      <c r="F6" s="65"/>
      <c r="G6" s="65"/>
      <c r="H6" s="65">
        <f>IFERROR(VLOOKUP(B6,Obs_Ridership!$A:$G,7,FALSE),"")</f>
        <v>944.40909090909088</v>
      </c>
    </row>
    <row r="7" spans="1:8" x14ac:dyDescent="0.45">
      <c r="A7">
        <v>9</v>
      </c>
      <c r="B7">
        <v>9</v>
      </c>
      <c r="F7" s="65"/>
      <c r="G7" s="65"/>
      <c r="H7" s="65">
        <f>IFERROR(VLOOKUP(B7,Obs_Ridership!$A:$G,7,FALSE),"")</f>
        <v>350.59090909090912</v>
      </c>
    </row>
    <row r="8" spans="1:8" x14ac:dyDescent="0.45">
      <c r="A8">
        <v>14</v>
      </c>
      <c r="B8">
        <v>14</v>
      </c>
      <c r="F8" s="65"/>
      <c r="G8" s="65"/>
      <c r="H8" s="65">
        <f>IFERROR(VLOOKUP(B8,Obs_Ridership!$A:$G,7,FALSE),"")</f>
        <v>334.18181818181819</v>
      </c>
    </row>
    <row r="9" spans="1:8" x14ac:dyDescent="0.45">
      <c r="A9">
        <v>17</v>
      </c>
      <c r="B9">
        <v>17</v>
      </c>
      <c r="F9" s="65"/>
      <c r="G9" s="65"/>
      <c r="H9" s="65">
        <f>IFERROR(VLOOKUP(B9,Obs_Ridership!$A:$G,7,FALSE),"")</f>
        <v>637.9545454545455</v>
      </c>
    </row>
    <row r="10" spans="1:8" x14ac:dyDescent="0.45">
      <c r="A10">
        <v>18</v>
      </c>
      <c r="B10">
        <v>18</v>
      </c>
      <c r="F10" s="65"/>
      <c r="G10" s="65"/>
      <c r="H10" s="65">
        <f>IFERROR(VLOOKUP(B10,Obs_Ridership!$A:$G,7,FALSE),"")</f>
        <v>677.90909090909088</v>
      </c>
    </row>
    <row r="11" spans="1:8" x14ac:dyDescent="0.45">
      <c r="A11">
        <v>19</v>
      </c>
      <c r="B11">
        <v>19</v>
      </c>
      <c r="F11" s="65"/>
      <c r="G11" s="65"/>
      <c r="H11" s="65">
        <f>IFERROR(VLOOKUP(B11,Obs_Ridership!$A:$G,7,FALSE),"")</f>
        <v>955.72727272727275</v>
      </c>
    </row>
    <row r="12" spans="1:8" x14ac:dyDescent="0.45">
      <c r="A12">
        <v>22</v>
      </c>
      <c r="B12">
        <v>22</v>
      </c>
      <c r="F12" s="65"/>
      <c r="G12" s="65"/>
      <c r="H12" s="65">
        <f>IFERROR(VLOOKUP(B12,Obs_Ridership!$A:$G,7,FALSE),"")</f>
        <v>1505.409090909091</v>
      </c>
    </row>
    <row r="13" spans="1:8" x14ac:dyDescent="0.45">
      <c r="A13">
        <v>23</v>
      </c>
      <c r="B13">
        <v>23</v>
      </c>
      <c r="F13" s="65"/>
      <c r="G13" s="65"/>
      <c r="H13" s="65">
        <f>IFERROR(VLOOKUP(B13,Obs_Ridership!$A:$G,7,FALSE),"")</f>
        <v>2690.5</v>
      </c>
    </row>
    <row r="14" spans="1:8" x14ac:dyDescent="0.45">
      <c r="A14">
        <v>28</v>
      </c>
      <c r="B14">
        <v>28</v>
      </c>
      <c r="F14" s="65"/>
      <c r="G14" s="65"/>
      <c r="H14" s="65">
        <f>IFERROR(VLOOKUP(B14,Obs_Ridership!$A:$G,7,FALSE),"")</f>
        <v>275.40909090909088</v>
      </c>
    </row>
    <row r="15" spans="1:8" x14ac:dyDescent="0.45">
      <c r="A15">
        <v>29</v>
      </c>
      <c r="B15">
        <v>29</v>
      </c>
      <c r="F15" s="65"/>
      <c r="G15" s="65"/>
      <c r="H15" s="65">
        <f>IFERROR(VLOOKUP(B15,Obs_Ridership!$A:$G,7,FALSE),"")</f>
        <v>691.09090909090912</v>
      </c>
    </row>
    <row r="16" spans="1:8" x14ac:dyDescent="0.45">
      <c r="A16">
        <v>34</v>
      </c>
      <c r="B16">
        <v>34</v>
      </c>
      <c r="F16" s="65"/>
      <c r="G16" s="65"/>
      <c r="H16" s="65">
        <f>IFERROR(VLOOKUP(B16,Obs_Ridership!$A:$G,7,FALSE),"")</f>
        <v>365.81818181818181</v>
      </c>
    </row>
    <row r="17" spans="1:9" x14ac:dyDescent="0.45">
      <c r="A17">
        <v>41</v>
      </c>
      <c r="B17">
        <v>41</v>
      </c>
      <c r="F17" s="65"/>
      <c r="G17" s="65"/>
      <c r="H17" s="65">
        <f>IFERROR(VLOOKUP(B17,Obs_Ridership!$A:$G,7,FALSE),"")</f>
        <v>61.909090909090907</v>
      </c>
    </row>
    <row r="18" spans="1:9" x14ac:dyDescent="0.45">
      <c r="A18">
        <v>42</v>
      </c>
      <c r="B18">
        <v>42</v>
      </c>
      <c r="F18" s="65"/>
      <c r="G18" s="65"/>
      <c r="H18" s="65">
        <f>IFERROR(VLOOKUP(B18,Obs_Ridership!$A:$G,7,FALSE),"")</f>
        <v>402.68181818181819</v>
      </c>
    </row>
    <row r="19" spans="1:9" x14ac:dyDescent="0.45">
      <c r="A19">
        <v>50</v>
      </c>
      <c r="B19">
        <v>50</v>
      </c>
      <c r="F19" s="65"/>
      <c r="G19" s="65"/>
      <c r="H19" s="65">
        <f>IFERROR(VLOOKUP(B19,Obs_Ridership!$A:$G,7,FALSE),"")</f>
        <v>2542.863636363636</v>
      </c>
    </row>
    <row r="20" spans="1:9" x14ac:dyDescent="0.45">
      <c r="A20">
        <v>52</v>
      </c>
      <c r="B20">
        <v>52</v>
      </c>
      <c r="F20" s="65"/>
      <c r="G20" s="65"/>
      <c r="H20" s="65">
        <f>IFERROR(VLOOKUP(B20,Obs_Ridership!$A:$G,7,FALSE),"")</f>
        <v>3623.863636363636</v>
      </c>
    </row>
    <row r="21" spans="1:9" x14ac:dyDescent="0.45">
      <c r="A21">
        <v>55</v>
      </c>
      <c r="B21">
        <v>55</v>
      </c>
      <c r="F21" s="65"/>
      <c r="G21" s="65"/>
      <c r="H21" s="65">
        <f>IFERROR(VLOOKUP(B21,Obs_Ridership!$A:$G,7,FALSE),"")</f>
        <v>5829.363636363636</v>
      </c>
    </row>
    <row r="22" spans="1:9" x14ac:dyDescent="0.45">
      <c r="A22">
        <v>56</v>
      </c>
      <c r="B22">
        <v>56</v>
      </c>
      <c r="F22" s="65"/>
      <c r="G22" s="65"/>
      <c r="H22" s="65">
        <f>IFERROR(VLOOKUP(B22,Obs_Ridership!$A:$G,7,FALSE),"")</f>
        <v>4470.863636363636</v>
      </c>
    </row>
    <row r="23" spans="1:9" x14ac:dyDescent="0.45">
      <c r="A23">
        <v>64</v>
      </c>
      <c r="B23">
        <v>64</v>
      </c>
      <c r="F23" s="65"/>
      <c r="G23" s="65"/>
      <c r="H23" s="65">
        <f>IFERROR(VLOOKUP(B23,Obs_Ridership!$A:$G,7,FALSE),"")</f>
        <v>9.1818181818181817</v>
      </c>
    </row>
    <row r="24" spans="1:9" x14ac:dyDescent="0.45">
      <c r="A24">
        <v>70</v>
      </c>
      <c r="B24">
        <v>70</v>
      </c>
      <c r="F24" s="65"/>
      <c r="G24" s="65"/>
      <c r="H24" s="65">
        <f>IFERROR(VLOOKUP(B24,Obs_Ridership!$A:$G,7,FALSE),"")</f>
        <v>42.409090909090907</v>
      </c>
    </row>
    <row r="25" spans="1:9" x14ac:dyDescent="0.45">
      <c r="A25">
        <v>75</v>
      </c>
      <c r="B25">
        <v>75</v>
      </c>
      <c r="F25" s="65"/>
      <c r="G25" s="65"/>
      <c r="H25" s="65">
        <f>IFERROR(VLOOKUP(B25,Obs_Ridership!$A:$G,7,FALSE),"")</f>
        <v>127.6363636363636</v>
      </c>
    </row>
    <row r="26" spans="1:9" x14ac:dyDescent="0.45">
      <c r="A26">
        <v>76</v>
      </c>
      <c r="B26">
        <v>76</v>
      </c>
      <c r="F26" s="65"/>
      <c r="G26" s="65"/>
      <c r="H26" s="65">
        <f>IFERROR(VLOOKUP(B26,Obs_Ridership!$A:$G,7,FALSE),"")</f>
        <v>347.31818181818181</v>
      </c>
    </row>
    <row r="27" spans="1:9" x14ac:dyDescent="0.45">
      <c r="A27">
        <v>77</v>
      </c>
      <c r="B27">
        <v>77</v>
      </c>
      <c r="F27" s="65"/>
      <c r="G27" s="65"/>
      <c r="H27" s="65">
        <f>IFERROR(VLOOKUP(B27,Obs_Ridership!$A:$G,7,FALSE),"")</f>
        <v>333.95454545454538</v>
      </c>
    </row>
    <row r="28" spans="1:9" x14ac:dyDescent="0.45">
      <c r="A28">
        <v>79</v>
      </c>
      <c r="B28">
        <v>79</v>
      </c>
      <c r="F28" s="65"/>
      <c r="G28" s="65"/>
      <c r="H28" s="65">
        <f>IFERROR(VLOOKUP(B28,Obs_Ridership!$A:$G,7,FALSE),"")</f>
        <v>225.77272727272731</v>
      </c>
    </row>
    <row r="29" spans="1:9" x14ac:dyDescent="0.45">
      <c r="A29">
        <v>84</v>
      </c>
      <c r="B29">
        <v>84</v>
      </c>
      <c r="F29" s="65"/>
      <c r="G29" s="65"/>
      <c r="H29" s="65">
        <f>IFERROR(VLOOKUP(B29,Obs_Ridership!$A:$G,7,FALSE),"")</f>
        <v>127.5</v>
      </c>
    </row>
    <row r="30" spans="1:9" x14ac:dyDescent="0.45">
      <c r="A30">
        <v>86</v>
      </c>
      <c r="B30">
        <v>86</v>
      </c>
      <c r="F30" s="65"/>
      <c r="G30" s="65"/>
      <c r="H30" s="65">
        <f>IFERROR(VLOOKUP(B30,Obs_Ridership!$A:$G,7,FALSE),"")</f>
        <v>47.090909090909093</v>
      </c>
      <c r="I30" t="s">
        <v>68</v>
      </c>
    </row>
    <row r="31" spans="1:9" x14ac:dyDescent="0.45">
      <c r="A31">
        <v>87</v>
      </c>
      <c r="B31">
        <v>87</v>
      </c>
      <c r="H31" s="65">
        <f>IFERROR(VLOOKUP(B31,Obs_Ridership!$A:$G,7,FALSE),"")</f>
        <v>77.318181818181813</v>
      </c>
    </row>
    <row r="32" spans="1:9" x14ac:dyDescent="0.45">
      <c r="A32">
        <v>89</v>
      </c>
      <c r="B32">
        <v>89</v>
      </c>
      <c r="H32" s="65">
        <f>IFERROR(VLOOKUP(B32,Obs_Ridership!$A:$G,7,FALSE),"")</f>
        <v>23</v>
      </c>
    </row>
    <row r="33" spans="1:8" x14ac:dyDescent="0.45">
      <c r="A33">
        <v>90</v>
      </c>
      <c r="B33">
        <v>90</v>
      </c>
      <c r="H33" s="65">
        <f>IFERROR(VLOOKUP(B33,Obs_Ridership!$A:$G,7,FALSE),"")</f>
        <v>399.31818181818181</v>
      </c>
    </row>
    <row r="34" spans="1:8" x14ac:dyDescent="0.45">
      <c r="A34">
        <v>93</v>
      </c>
      <c r="B34">
        <v>93</v>
      </c>
      <c r="H34" s="65">
        <f>IFERROR(VLOOKUP(B34,Obs_Ridership!$A:$G,7,FALSE),"")</f>
        <v>121.3636363636364</v>
      </c>
    </row>
    <row r="35" spans="1:8" x14ac:dyDescent="0.45">
      <c r="A35">
        <v>95</v>
      </c>
      <c r="B35">
        <v>95</v>
      </c>
      <c r="H35" s="65">
        <f>IFERROR(VLOOKUP(B35,Obs_Ridership!$A:$G,7,FALSE),"")</f>
        <v>51.636363636363633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B13:M257"/>
  <sheetViews>
    <sheetView topLeftCell="A3" workbookViewId="0">
      <selection activeCell="A3" sqref="A1:DU252"/>
    </sheetView>
  </sheetViews>
  <sheetFormatPr defaultRowHeight="14.25" x14ac:dyDescent="0.45"/>
  <cols>
    <col min="1" max="1" width="12.73046875" customWidth="1"/>
    <col min="2" max="2" width="22.86328125" bestFit="1" customWidth="1"/>
    <col min="3" max="3" width="10.59765625" bestFit="1" customWidth="1"/>
    <col min="4" max="4" width="19.3984375" bestFit="1" customWidth="1"/>
    <col min="5" max="5" width="10.59765625" bestFit="1" customWidth="1"/>
    <col min="6" max="6" width="15.265625" bestFit="1" customWidth="1"/>
    <col min="7" max="7" width="9" bestFit="1" customWidth="1"/>
    <col min="8" max="8" width="19.3984375" bestFit="1" customWidth="1"/>
    <col min="9" max="9" width="10" bestFit="1" customWidth="1"/>
    <col min="10" max="17" width="19.3984375" bestFit="1" customWidth="1"/>
    <col min="18" max="18" width="13.265625" bestFit="1" customWidth="1"/>
    <col min="19" max="19" width="18" bestFit="1" customWidth="1"/>
    <col min="20" max="23" width="20.59765625" bestFit="1" customWidth="1"/>
  </cols>
  <sheetData>
    <row r="13" spans="6:13" x14ac:dyDescent="0.45">
      <c r="F13" s="1"/>
      <c r="G13" s="113"/>
      <c r="H13" s="1"/>
      <c r="K13" s="1"/>
      <c r="M13" s="1"/>
    </row>
    <row r="14" spans="6:13" x14ac:dyDescent="0.45">
      <c r="F14" s="1"/>
      <c r="G14" s="113"/>
      <c r="K14" s="1"/>
    </row>
    <row r="15" spans="6:13" x14ac:dyDescent="0.45">
      <c r="F15" s="1"/>
      <c r="G15" s="113"/>
      <c r="H15" s="1"/>
      <c r="J15" s="1"/>
      <c r="K15" s="1"/>
      <c r="M15" s="1"/>
    </row>
    <row r="16" spans="6:13" x14ac:dyDescent="0.45">
      <c r="F16" s="1"/>
      <c r="G16" s="113"/>
    </row>
    <row r="18" spans="5:12" x14ac:dyDescent="0.45">
      <c r="E18" s="1"/>
      <c r="F18" s="1"/>
      <c r="G18" s="1"/>
      <c r="I18" s="1"/>
      <c r="J18" s="1"/>
      <c r="K18" s="1"/>
      <c r="L18" s="1"/>
    </row>
    <row r="26" spans="5:12" x14ac:dyDescent="0.45">
      <c r="E26" s="1"/>
      <c r="F26" s="1"/>
      <c r="G26" s="1"/>
      <c r="H26" s="1"/>
      <c r="J26" s="1"/>
    </row>
    <row r="27" spans="5:12" x14ac:dyDescent="0.45">
      <c r="F27" s="1"/>
      <c r="H27" s="1"/>
      <c r="K27" s="1"/>
    </row>
    <row r="29" spans="5:12" x14ac:dyDescent="0.45">
      <c r="F29" s="1"/>
      <c r="G29" s="1"/>
      <c r="H29" s="1"/>
      <c r="K29" s="1"/>
    </row>
    <row r="31" spans="5:12" x14ac:dyDescent="0.45">
      <c r="J31" s="1"/>
    </row>
    <row r="33" spans="3:8" x14ac:dyDescent="0.45">
      <c r="C33" s="1"/>
      <c r="D33" s="1"/>
      <c r="E33" s="1"/>
      <c r="F33" s="1"/>
      <c r="H33" s="1"/>
    </row>
    <row r="41" spans="3:8" x14ac:dyDescent="0.45">
      <c r="C41" s="1"/>
      <c r="D41" s="2"/>
    </row>
    <row r="42" spans="3:8" x14ac:dyDescent="0.45">
      <c r="C42" s="1"/>
      <c r="D42" s="2"/>
    </row>
    <row r="43" spans="3:8" x14ac:dyDescent="0.45">
      <c r="C43" s="1"/>
      <c r="D43" s="2"/>
    </row>
    <row r="44" spans="3:8" x14ac:dyDescent="0.45">
      <c r="D44" s="2"/>
    </row>
    <row r="46" spans="3:8" x14ac:dyDescent="0.45">
      <c r="C46" s="1"/>
      <c r="D46" s="2"/>
    </row>
    <row r="56" spans="6:11" x14ac:dyDescent="0.45">
      <c r="F56" s="1"/>
      <c r="G56" s="1"/>
      <c r="H56" s="1"/>
      <c r="K56" s="1"/>
    </row>
    <row r="57" spans="6:11" x14ac:dyDescent="0.45">
      <c r="K57" s="1"/>
    </row>
    <row r="58" spans="6:11" x14ac:dyDescent="0.45">
      <c r="F58" s="1"/>
      <c r="H58" s="1"/>
      <c r="K58" s="1"/>
    </row>
    <row r="59" spans="6:11" x14ac:dyDescent="0.45">
      <c r="G59" s="1"/>
      <c r="K59" s="1"/>
    </row>
    <row r="60" spans="6:11" x14ac:dyDescent="0.45">
      <c r="K60" s="1"/>
    </row>
    <row r="62" spans="6:11" x14ac:dyDescent="0.45">
      <c r="K62" s="1"/>
    </row>
    <row r="63" spans="6:11" x14ac:dyDescent="0.45">
      <c r="K63" s="1"/>
    </row>
    <row r="65" spans="6:11" x14ac:dyDescent="0.45">
      <c r="F65" s="1"/>
      <c r="G65" s="1"/>
      <c r="H65" s="1"/>
      <c r="K65" s="1"/>
    </row>
    <row r="66" spans="6:11" x14ac:dyDescent="0.45">
      <c r="K66" s="1"/>
    </row>
    <row r="68" spans="6:11" x14ac:dyDescent="0.45">
      <c r="K68" s="1"/>
    </row>
    <row r="70" spans="6:11" x14ac:dyDescent="0.45">
      <c r="K70" s="1"/>
    </row>
    <row r="71" spans="6:11" x14ac:dyDescent="0.45">
      <c r="K71" s="1"/>
    </row>
    <row r="72" spans="6:11" x14ac:dyDescent="0.45">
      <c r="K72" s="1"/>
    </row>
    <row r="74" spans="6:11" x14ac:dyDescent="0.45">
      <c r="K74" s="1"/>
    </row>
    <row r="75" spans="6:11" x14ac:dyDescent="0.45">
      <c r="K75" s="1"/>
    </row>
    <row r="87" spans="6:11" x14ac:dyDescent="0.45">
      <c r="F87" s="1"/>
      <c r="G87" s="1"/>
      <c r="H87" s="1"/>
      <c r="K87" s="1"/>
    </row>
    <row r="88" spans="6:11" x14ac:dyDescent="0.45">
      <c r="K88" s="1"/>
    </row>
    <row r="89" spans="6:11" x14ac:dyDescent="0.45">
      <c r="H89" s="1"/>
      <c r="K89" s="1"/>
    </row>
    <row r="90" spans="6:11" x14ac:dyDescent="0.45">
      <c r="F90" s="1"/>
      <c r="H90" s="1"/>
      <c r="K90" s="1"/>
    </row>
    <row r="91" spans="6:11" x14ac:dyDescent="0.45">
      <c r="G91" s="1"/>
      <c r="K91" s="1"/>
    </row>
    <row r="99" spans="3:11" x14ac:dyDescent="0.45">
      <c r="K99" s="1"/>
    </row>
    <row r="101" spans="3:11" x14ac:dyDescent="0.45">
      <c r="C101" s="1"/>
      <c r="D101" s="1"/>
      <c r="E101" s="1"/>
      <c r="F101" s="1"/>
      <c r="H101" s="1"/>
    </row>
    <row r="104" spans="3:11" x14ac:dyDescent="0.45">
      <c r="C104" s="1"/>
      <c r="D104" s="1"/>
      <c r="E104" s="1"/>
      <c r="F104" s="1"/>
      <c r="H104" s="1"/>
    </row>
    <row r="105" spans="3:11" x14ac:dyDescent="0.45">
      <c r="C105" s="1"/>
      <c r="D105" s="1"/>
      <c r="E105" s="1"/>
      <c r="F105" s="1"/>
      <c r="H105" s="1"/>
    </row>
    <row r="106" spans="3:11" x14ac:dyDescent="0.45">
      <c r="C106" s="1"/>
      <c r="D106" s="1"/>
      <c r="E106" s="1"/>
      <c r="F106" s="1"/>
      <c r="H106" s="1"/>
    </row>
    <row r="256" spans="2:10" x14ac:dyDescent="0.45">
      <c r="B256" t="s">
        <v>77</v>
      </c>
      <c r="C256" t="s">
        <v>69</v>
      </c>
      <c r="D256" t="s">
        <v>78</v>
      </c>
      <c r="E256" t="s">
        <v>76</v>
      </c>
      <c r="F256" t="s">
        <v>79</v>
      </c>
      <c r="G256" t="s">
        <v>80</v>
      </c>
      <c r="H256">
        <v>5</v>
      </c>
      <c r="I256">
        <v>2020</v>
      </c>
      <c r="J256" t="s">
        <v>81</v>
      </c>
    </row>
    <row r="257" spans="2:10" x14ac:dyDescent="0.45">
      <c r="B257" t="s">
        <v>77</v>
      </c>
      <c r="C257" t="s">
        <v>69</v>
      </c>
      <c r="D257" t="s">
        <v>78</v>
      </c>
      <c r="E257" t="s">
        <v>76</v>
      </c>
      <c r="F257" t="s">
        <v>82</v>
      </c>
      <c r="G257" t="s">
        <v>83</v>
      </c>
      <c r="H257">
        <v>16</v>
      </c>
      <c r="I257">
        <v>2020</v>
      </c>
      <c r="J257" t="s">
        <v>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2"/>
  <sheetViews>
    <sheetView zoomScaleNormal="100" workbookViewId="0">
      <selection activeCell="I20" sqref="I20"/>
    </sheetView>
  </sheetViews>
  <sheetFormatPr defaultRowHeight="14.25" x14ac:dyDescent="0.45"/>
  <cols>
    <col min="1" max="1" width="17.59765625" style="57" bestFit="1" customWidth="1"/>
    <col min="2" max="2" width="14.73046875" bestFit="1" customWidth="1"/>
    <col min="4" max="4" width="35.86328125" bestFit="1" customWidth="1"/>
    <col min="5" max="5" width="17.59765625" bestFit="1" customWidth="1"/>
    <col min="6" max="6" width="11.1328125" bestFit="1" customWidth="1"/>
    <col min="7" max="7" width="25.73046875" bestFit="1" customWidth="1"/>
  </cols>
  <sheetData>
    <row r="1" spans="1:7" x14ac:dyDescent="0.45">
      <c r="A1" s="57" t="s">
        <v>85</v>
      </c>
      <c r="B1" s="104" t="s">
        <v>86</v>
      </c>
      <c r="C1" t="s">
        <v>87</v>
      </c>
      <c r="D1" t="s">
        <v>88</v>
      </c>
      <c r="E1" t="s">
        <v>89</v>
      </c>
      <c r="F1" s="105" t="s">
        <v>90</v>
      </c>
      <c r="G1" s="107" t="s">
        <v>91</v>
      </c>
    </row>
    <row r="2" spans="1:7" x14ac:dyDescent="0.45">
      <c r="A2" s="108">
        <v>3</v>
      </c>
      <c r="B2" s="104">
        <v>3</v>
      </c>
      <c r="C2">
        <v>35</v>
      </c>
      <c r="D2" t="s">
        <v>92</v>
      </c>
      <c r="E2">
        <v>55372</v>
      </c>
      <c r="F2" s="105">
        <v>2768.6</v>
      </c>
      <c r="G2" s="107">
        <v>2516.909090909091</v>
      </c>
    </row>
    <row r="3" spans="1:7" x14ac:dyDescent="0.45">
      <c r="A3" s="108">
        <v>4</v>
      </c>
      <c r="B3" s="104">
        <v>4</v>
      </c>
      <c r="C3">
        <v>17</v>
      </c>
      <c r="D3" t="s">
        <v>93</v>
      </c>
      <c r="E3">
        <v>20703</v>
      </c>
      <c r="F3" s="105">
        <v>1035.1500000000001</v>
      </c>
      <c r="G3" s="107">
        <v>941.0454545454545</v>
      </c>
    </row>
    <row r="4" spans="1:7" x14ac:dyDescent="0.45">
      <c r="A4" s="108">
        <v>6</v>
      </c>
      <c r="B4" s="104">
        <v>6</v>
      </c>
      <c r="C4">
        <v>74</v>
      </c>
      <c r="D4" t="s">
        <v>94</v>
      </c>
      <c r="E4">
        <v>18000</v>
      </c>
      <c r="F4" s="105">
        <v>900</v>
      </c>
      <c r="G4" s="107">
        <v>818.18181818181813</v>
      </c>
    </row>
    <row r="5" spans="1:7" x14ac:dyDescent="0.45">
      <c r="A5" s="108">
        <v>7</v>
      </c>
      <c r="B5" s="104">
        <v>7</v>
      </c>
      <c r="C5">
        <v>37</v>
      </c>
      <c r="D5" t="s">
        <v>95</v>
      </c>
      <c r="E5">
        <v>40515</v>
      </c>
      <c r="F5" s="105">
        <v>2025.75</v>
      </c>
      <c r="G5" s="107">
        <v>1841.590909090909</v>
      </c>
    </row>
    <row r="6" spans="1:7" x14ac:dyDescent="0.45">
      <c r="A6" s="108">
        <v>8</v>
      </c>
      <c r="B6" s="104">
        <v>8</v>
      </c>
      <c r="C6">
        <v>32</v>
      </c>
      <c r="D6" t="s">
        <v>96</v>
      </c>
      <c r="E6">
        <v>20777</v>
      </c>
      <c r="F6" s="105">
        <v>1038.8499999999999</v>
      </c>
      <c r="G6" s="107">
        <v>944.40909090909088</v>
      </c>
    </row>
    <row r="7" spans="1:7" x14ac:dyDescent="0.45">
      <c r="A7" s="108">
        <v>9</v>
      </c>
      <c r="B7" s="104">
        <v>9</v>
      </c>
      <c r="C7">
        <v>51</v>
      </c>
      <c r="D7" t="s">
        <v>97</v>
      </c>
      <c r="E7">
        <v>7713</v>
      </c>
      <c r="F7" s="105">
        <v>385.65</v>
      </c>
      <c r="G7" s="107">
        <v>350.59090909090912</v>
      </c>
    </row>
    <row r="8" spans="1:7" x14ac:dyDescent="0.45">
      <c r="A8" s="108">
        <v>14</v>
      </c>
      <c r="B8" s="104">
        <v>14</v>
      </c>
      <c r="C8">
        <v>29</v>
      </c>
      <c r="D8" t="s">
        <v>98</v>
      </c>
      <c r="E8">
        <v>7352</v>
      </c>
      <c r="F8" s="105">
        <v>367.6</v>
      </c>
      <c r="G8" s="107">
        <v>334.18181818181819</v>
      </c>
    </row>
    <row r="9" spans="1:7" x14ac:dyDescent="0.45">
      <c r="A9" s="108">
        <v>17</v>
      </c>
      <c r="B9" s="104">
        <v>17</v>
      </c>
      <c r="C9">
        <v>2</v>
      </c>
      <c r="D9" t="s">
        <v>99</v>
      </c>
      <c r="E9">
        <v>14035</v>
      </c>
      <c r="F9" s="105">
        <v>701.75</v>
      </c>
      <c r="G9" s="107">
        <v>637.9545454545455</v>
      </c>
    </row>
    <row r="10" spans="1:7" x14ac:dyDescent="0.45">
      <c r="A10" s="108">
        <v>18</v>
      </c>
      <c r="B10" s="104">
        <v>18</v>
      </c>
      <c r="C10">
        <v>78</v>
      </c>
      <c r="D10" t="s">
        <v>100</v>
      </c>
      <c r="E10">
        <v>14914</v>
      </c>
      <c r="F10" s="105">
        <v>745.7</v>
      </c>
      <c r="G10" s="107">
        <v>677.90909090909088</v>
      </c>
    </row>
    <row r="11" spans="1:7" x14ac:dyDescent="0.45">
      <c r="A11" s="108">
        <v>19</v>
      </c>
      <c r="B11" s="104">
        <v>19</v>
      </c>
      <c r="C11">
        <v>49</v>
      </c>
      <c r="D11" t="s">
        <v>101</v>
      </c>
      <c r="E11">
        <v>21026</v>
      </c>
      <c r="F11" s="105">
        <v>1051.3</v>
      </c>
      <c r="G11" s="107">
        <v>955.72727272727275</v>
      </c>
    </row>
    <row r="12" spans="1:7" x14ac:dyDescent="0.45">
      <c r="A12" s="108">
        <v>22</v>
      </c>
      <c r="B12" s="104">
        <v>22</v>
      </c>
      <c r="C12">
        <v>60</v>
      </c>
      <c r="D12" t="s">
        <v>102</v>
      </c>
      <c r="E12">
        <v>33119</v>
      </c>
      <c r="F12" s="105">
        <v>1655.95</v>
      </c>
      <c r="G12" s="107">
        <v>1505.409090909091</v>
      </c>
    </row>
    <row r="13" spans="1:7" x14ac:dyDescent="0.45">
      <c r="A13" s="108">
        <v>23</v>
      </c>
      <c r="B13" s="104">
        <v>23</v>
      </c>
      <c r="C13">
        <v>15</v>
      </c>
      <c r="D13" t="s">
        <v>103</v>
      </c>
      <c r="E13">
        <v>59191</v>
      </c>
      <c r="F13" s="105">
        <v>2959.55</v>
      </c>
      <c r="G13" s="107">
        <v>2690.5</v>
      </c>
    </row>
    <row r="14" spans="1:7" x14ac:dyDescent="0.45">
      <c r="A14" s="108">
        <v>28</v>
      </c>
      <c r="B14" s="104">
        <v>28</v>
      </c>
      <c r="C14">
        <v>21</v>
      </c>
      <c r="D14" t="s">
        <v>104</v>
      </c>
      <c r="E14">
        <v>6059</v>
      </c>
      <c r="F14" s="105">
        <v>302.95</v>
      </c>
      <c r="G14" s="107">
        <v>275.40909090909088</v>
      </c>
    </row>
    <row r="15" spans="1:7" x14ac:dyDescent="0.45">
      <c r="A15" s="108">
        <v>29</v>
      </c>
      <c r="B15" s="104">
        <v>29</v>
      </c>
      <c r="C15">
        <v>47</v>
      </c>
      <c r="D15" t="s">
        <v>105</v>
      </c>
      <c r="E15">
        <v>15204</v>
      </c>
      <c r="F15" s="105">
        <v>760.2</v>
      </c>
      <c r="G15" s="107">
        <v>691.09090909090912</v>
      </c>
    </row>
    <row r="16" spans="1:7" x14ac:dyDescent="0.45">
      <c r="A16" s="108">
        <v>34</v>
      </c>
      <c r="B16" s="104">
        <v>34</v>
      </c>
      <c r="C16">
        <v>79</v>
      </c>
      <c r="D16" t="s">
        <v>106</v>
      </c>
      <c r="E16">
        <v>8048</v>
      </c>
      <c r="F16" s="105">
        <v>402.4</v>
      </c>
      <c r="G16" s="107">
        <v>365.81818181818181</v>
      </c>
    </row>
    <row r="17" spans="1:7" x14ac:dyDescent="0.45">
      <c r="A17" s="108">
        <v>41</v>
      </c>
      <c r="B17" s="104">
        <v>41</v>
      </c>
      <c r="C17">
        <v>46</v>
      </c>
      <c r="D17" t="s">
        <v>107</v>
      </c>
      <c r="E17">
        <v>1362</v>
      </c>
      <c r="F17" s="105">
        <v>68.099999999999994</v>
      </c>
      <c r="G17" s="107">
        <v>61.909090909090907</v>
      </c>
    </row>
    <row r="18" spans="1:7" x14ac:dyDescent="0.45">
      <c r="A18" s="108">
        <v>42</v>
      </c>
      <c r="B18" s="104">
        <v>42</v>
      </c>
      <c r="C18">
        <v>24</v>
      </c>
      <c r="D18" t="s">
        <v>108</v>
      </c>
      <c r="E18">
        <v>8859</v>
      </c>
      <c r="F18" s="105">
        <v>442.95</v>
      </c>
      <c r="G18" s="107">
        <v>402.68181818181819</v>
      </c>
    </row>
    <row r="19" spans="1:7" x14ac:dyDescent="0.45">
      <c r="A19" s="108">
        <v>50</v>
      </c>
      <c r="B19" s="104">
        <v>50</v>
      </c>
      <c r="C19">
        <v>41</v>
      </c>
      <c r="D19" t="s">
        <v>109</v>
      </c>
      <c r="E19">
        <v>55943</v>
      </c>
      <c r="F19" s="105">
        <v>2797.15</v>
      </c>
      <c r="G19" s="107">
        <v>2542.863636363636</v>
      </c>
    </row>
    <row r="20" spans="1:7" x14ac:dyDescent="0.45">
      <c r="A20" s="108">
        <v>52</v>
      </c>
      <c r="B20" s="104">
        <v>52</v>
      </c>
      <c r="C20">
        <v>5</v>
      </c>
      <c r="D20" t="s">
        <v>110</v>
      </c>
      <c r="E20">
        <v>79725</v>
      </c>
      <c r="F20" s="105">
        <v>3986.25</v>
      </c>
      <c r="G20" s="107">
        <v>3623.863636363636</v>
      </c>
    </row>
    <row r="21" spans="1:7" x14ac:dyDescent="0.45">
      <c r="A21" s="108">
        <v>55</v>
      </c>
      <c r="B21" s="104">
        <v>55</v>
      </c>
      <c r="C21">
        <v>155</v>
      </c>
      <c r="D21" t="s">
        <v>111</v>
      </c>
      <c r="E21">
        <v>128246</v>
      </c>
      <c r="F21" s="105">
        <v>6412.3</v>
      </c>
      <c r="G21" s="107">
        <v>5829.363636363636</v>
      </c>
    </row>
    <row r="22" spans="1:7" x14ac:dyDescent="0.45">
      <c r="A22" s="108">
        <v>56</v>
      </c>
      <c r="B22" s="104">
        <v>56</v>
      </c>
      <c r="C22">
        <v>81</v>
      </c>
      <c r="D22" t="s">
        <v>112</v>
      </c>
      <c r="E22">
        <v>98359</v>
      </c>
      <c r="F22" s="105">
        <v>4917.95</v>
      </c>
      <c r="G22" s="107">
        <v>4470.863636363636</v>
      </c>
    </row>
    <row r="23" spans="1:7" x14ac:dyDescent="0.45">
      <c r="A23" s="108">
        <v>64</v>
      </c>
      <c r="B23" s="104">
        <v>64</v>
      </c>
      <c r="C23">
        <v>31</v>
      </c>
      <c r="D23" t="s">
        <v>113</v>
      </c>
      <c r="E23">
        <v>202</v>
      </c>
      <c r="F23" s="105">
        <v>10.1</v>
      </c>
      <c r="G23" s="107">
        <v>9.1818181818181817</v>
      </c>
    </row>
    <row r="24" spans="1:7" x14ac:dyDescent="0.45">
      <c r="A24" s="108">
        <v>70</v>
      </c>
      <c r="B24" s="104">
        <v>70</v>
      </c>
      <c r="C24">
        <v>95</v>
      </c>
      <c r="D24" t="s">
        <v>114</v>
      </c>
      <c r="E24">
        <v>933</v>
      </c>
      <c r="F24" s="105">
        <v>46.65</v>
      </c>
      <c r="G24" s="107">
        <v>42.409090909090907</v>
      </c>
    </row>
    <row r="25" spans="1:7" x14ac:dyDescent="0.45">
      <c r="A25" s="108">
        <v>75</v>
      </c>
      <c r="B25" s="104">
        <v>75</v>
      </c>
      <c r="C25">
        <v>23</v>
      </c>
      <c r="D25" t="s">
        <v>115</v>
      </c>
      <c r="E25">
        <v>2808</v>
      </c>
      <c r="F25" s="105">
        <v>140.4</v>
      </c>
      <c r="G25" s="107">
        <v>127.6363636363636</v>
      </c>
    </row>
    <row r="26" spans="1:7" x14ac:dyDescent="0.45">
      <c r="A26" s="108">
        <v>76</v>
      </c>
      <c r="B26" s="104">
        <v>76</v>
      </c>
      <c r="C26">
        <v>54</v>
      </c>
      <c r="D26" t="s">
        <v>116</v>
      </c>
      <c r="E26">
        <v>7641</v>
      </c>
      <c r="F26" s="105">
        <v>382.05</v>
      </c>
      <c r="G26" s="107">
        <v>347.31818181818181</v>
      </c>
    </row>
    <row r="27" spans="1:7" x14ac:dyDescent="0.45">
      <c r="A27" s="108">
        <v>77</v>
      </c>
      <c r="B27" s="104">
        <v>77</v>
      </c>
      <c r="C27">
        <v>88</v>
      </c>
      <c r="D27" t="s">
        <v>117</v>
      </c>
      <c r="E27">
        <v>7347</v>
      </c>
      <c r="F27" s="105">
        <v>367.35</v>
      </c>
      <c r="G27" s="107">
        <v>333.95454545454538</v>
      </c>
    </row>
    <row r="28" spans="1:7" x14ac:dyDescent="0.45">
      <c r="A28" s="108">
        <v>79</v>
      </c>
      <c r="B28" s="104">
        <v>79</v>
      </c>
      <c r="C28">
        <v>148</v>
      </c>
      <c r="D28" t="s">
        <v>118</v>
      </c>
      <c r="E28">
        <v>4967</v>
      </c>
      <c r="F28" s="105">
        <v>248.35</v>
      </c>
      <c r="G28" s="107">
        <v>225.77272727272731</v>
      </c>
    </row>
    <row r="29" spans="1:7" x14ac:dyDescent="0.45">
      <c r="A29" s="108">
        <v>84</v>
      </c>
      <c r="B29" s="104">
        <v>84</v>
      </c>
      <c r="C29">
        <v>67</v>
      </c>
      <c r="D29" t="s">
        <v>119</v>
      </c>
      <c r="E29">
        <v>2805</v>
      </c>
      <c r="F29" s="105">
        <v>140.25</v>
      </c>
      <c r="G29" s="107">
        <v>127.5</v>
      </c>
    </row>
    <row r="30" spans="1:7" x14ac:dyDescent="0.45">
      <c r="A30" s="108">
        <v>86</v>
      </c>
      <c r="B30" s="104">
        <v>86</v>
      </c>
      <c r="C30">
        <v>68</v>
      </c>
      <c r="D30" t="s">
        <v>120</v>
      </c>
      <c r="E30">
        <v>1036</v>
      </c>
      <c r="F30" s="105">
        <v>51.8</v>
      </c>
      <c r="G30" s="107">
        <v>47.090909090909093</v>
      </c>
    </row>
    <row r="31" spans="1:7" x14ac:dyDescent="0.45">
      <c r="A31" s="108">
        <v>87</v>
      </c>
      <c r="B31" s="104">
        <v>87</v>
      </c>
      <c r="C31">
        <v>86</v>
      </c>
      <c r="D31" t="s">
        <v>121</v>
      </c>
      <c r="E31">
        <v>1701</v>
      </c>
      <c r="F31" s="105">
        <v>85.05</v>
      </c>
      <c r="G31" s="107">
        <v>77.318181818181813</v>
      </c>
    </row>
    <row r="32" spans="1:7" x14ac:dyDescent="0.45">
      <c r="A32" s="108">
        <v>89</v>
      </c>
      <c r="B32" s="104">
        <v>89</v>
      </c>
      <c r="C32">
        <v>57</v>
      </c>
      <c r="D32" t="s">
        <v>122</v>
      </c>
      <c r="E32">
        <v>506</v>
      </c>
      <c r="F32" s="105">
        <v>25.3</v>
      </c>
      <c r="G32" s="107">
        <v>23</v>
      </c>
    </row>
    <row r="33" spans="1:7" x14ac:dyDescent="0.45">
      <c r="A33" s="108">
        <v>90</v>
      </c>
      <c r="B33" s="104">
        <v>90</v>
      </c>
      <c r="C33">
        <v>132</v>
      </c>
      <c r="D33" t="s">
        <v>123</v>
      </c>
      <c r="E33">
        <v>8785</v>
      </c>
      <c r="F33" s="105">
        <v>439.25</v>
      </c>
      <c r="G33" s="107">
        <v>399.31818181818181</v>
      </c>
    </row>
    <row r="34" spans="1:7" x14ac:dyDescent="0.45">
      <c r="A34" s="108">
        <v>93</v>
      </c>
      <c r="B34" s="104">
        <v>93</v>
      </c>
      <c r="C34">
        <v>36</v>
      </c>
      <c r="D34" t="s">
        <v>124</v>
      </c>
      <c r="E34">
        <v>2670</v>
      </c>
      <c r="F34" s="105">
        <v>133.5</v>
      </c>
      <c r="G34" s="107">
        <v>121.3636363636364</v>
      </c>
    </row>
    <row r="35" spans="1:7" x14ac:dyDescent="0.45">
      <c r="A35" s="108">
        <v>95</v>
      </c>
      <c r="B35" s="104">
        <v>95</v>
      </c>
      <c r="C35">
        <v>72</v>
      </c>
      <c r="D35" t="s">
        <v>125</v>
      </c>
      <c r="E35">
        <v>1136</v>
      </c>
      <c r="F35" s="105">
        <v>56.8</v>
      </c>
      <c r="G35" s="107">
        <v>51.636363636363633</v>
      </c>
    </row>
    <row r="36" spans="1:7" x14ac:dyDescent="0.45">
      <c r="D36" t="s">
        <v>75</v>
      </c>
      <c r="E36">
        <v>9187</v>
      </c>
      <c r="F36" s="105">
        <v>459.35</v>
      </c>
      <c r="G36" s="107">
        <v>417.59090909090912</v>
      </c>
    </row>
    <row r="37" spans="1:7" x14ac:dyDescent="0.45">
      <c r="D37" t="s">
        <v>74</v>
      </c>
      <c r="E37">
        <v>12084</v>
      </c>
      <c r="F37" s="105">
        <v>604.20000000000005</v>
      </c>
      <c r="G37" s="107">
        <v>549.27272727272725</v>
      </c>
    </row>
    <row r="38" spans="1:7" x14ac:dyDescent="0.45">
      <c r="D38" t="s">
        <v>126</v>
      </c>
      <c r="F38" s="105"/>
    </row>
    <row r="39" spans="1:7" x14ac:dyDescent="0.45">
      <c r="F39" s="105"/>
    </row>
    <row r="40" spans="1:7" x14ac:dyDescent="0.45">
      <c r="A40" s="109"/>
      <c r="B40" s="102"/>
      <c r="C40" s="102"/>
      <c r="D40" s="102" t="s">
        <v>48</v>
      </c>
      <c r="E40" s="103">
        <v>778330</v>
      </c>
      <c r="F40" s="103">
        <v>38916.500000000007</v>
      </c>
      <c r="G40" s="107">
        <v>35378.636363636368</v>
      </c>
    </row>
    <row r="41" spans="1:7" x14ac:dyDescent="0.45">
      <c r="F41" s="106">
        <v>38916.5</v>
      </c>
      <c r="G41" s="107" t="s">
        <v>127</v>
      </c>
    </row>
    <row r="42" spans="1:7" x14ac:dyDescent="0.45">
      <c r="F42" s="101">
        <f>E40/20</f>
        <v>38916.5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34"/>
  <sheetViews>
    <sheetView workbookViewId="0">
      <selection activeCell="H38" sqref="H38"/>
    </sheetView>
  </sheetViews>
  <sheetFormatPr defaultRowHeight="14.25" x14ac:dyDescent="0.45"/>
  <cols>
    <col min="5" max="5" width="9.1328125" customWidth="1"/>
  </cols>
  <sheetData>
    <row r="1" spans="2:14" x14ac:dyDescent="0.45">
      <c r="B1" t="s">
        <v>73</v>
      </c>
      <c r="C1" t="s">
        <v>6</v>
      </c>
      <c r="D1" t="s">
        <v>128</v>
      </c>
      <c r="F1" t="s">
        <v>70</v>
      </c>
      <c r="G1" t="s">
        <v>71</v>
      </c>
      <c r="H1" t="s">
        <v>72</v>
      </c>
      <c r="I1" t="s">
        <v>129</v>
      </c>
      <c r="J1" t="s">
        <v>130</v>
      </c>
      <c r="K1" t="s">
        <v>131</v>
      </c>
      <c r="M1" t="s">
        <v>132</v>
      </c>
      <c r="N1" t="s">
        <v>133</v>
      </c>
    </row>
    <row r="2" spans="2:14" x14ac:dyDescent="0.45">
      <c r="B2">
        <f>TrnStat.asc!B54</f>
        <v>0</v>
      </c>
      <c r="C2">
        <f>TrnStat.asc!C54</f>
        <v>0</v>
      </c>
      <c r="D2">
        <f>TrnStat.asc!D54</f>
        <v>0</v>
      </c>
      <c r="E2">
        <f>TrnStat.asc!E54</f>
        <v>0</v>
      </c>
      <c r="F2">
        <f>TrnStat.asc!F54</f>
        <v>0</v>
      </c>
      <c r="G2">
        <f>TrnStat.asc!G54</f>
        <v>0</v>
      </c>
      <c r="H2">
        <f>TrnStat.asc!H54</f>
        <v>0</v>
      </c>
      <c r="I2">
        <f>TrnStat.asc!I54</f>
        <v>0</v>
      </c>
      <c r="J2">
        <f>TrnStat.asc!J54</f>
        <v>0</v>
      </c>
      <c r="K2">
        <f>TrnStat.asc!K54</f>
        <v>0</v>
      </c>
      <c r="M2">
        <f t="shared" ref="M2:M34" si="0">IF(ISNUMBER(K2),K2,CONCATENATE(LEFT(K2,2),RIGHT(K2,3)))</f>
        <v>0</v>
      </c>
      <c r="N2">
        <f t="shared" ref="N2:N34" si="1">VALUE(M2)</f>
        <v>0</v>
      </c>
    </row>
    <row r="3" spans="2:14" x14ac:dyDescent="0.45">
      <c r="B3">
        <f>TrnStat.asc!B55</f>
        <v>0</v>
      </c>
      <c r="C3">
        <f>TrnStat.asc!C55</f>
        <v>0</v>
      </c>
      <c r="D3">
        <f>TrnStat.asc!D55</f>
        <v>0</v>
      </c>
      <c r="E3">
        <f>TrnStat.asc!E55</f>
        <v>0</v>
      </c>
      <c r="F3">
        <f>TrnStat.asc!F55</f>
        <v>0</v>
      </c>
      <c r="G3">
        <f>TrnStat.asc!G55</f>
        <v>0</v>
      </c>
      <c r="H3">
        <f>TrnStat.asc!H55</f>
        <v>0</v>
      </c>
      <c r="I3">
        <f>TrnStat.asc!I55</f>
        <v>0</v>
      </c>
      <c r="J3">
        <f>TrnStat.asc!J55</f>
        <v>0</v>
      </c>
      <c r="K3">
        <f>TrnStat.asc!K55</f>
        <v>0</v>
      </c>
      <c r="M3">
        <f t="shared" si="0"/>
        <v>0</v>
      </c>
      <c r="N3">
        <f t="shared" si="1"/>
        <v>0</v>
      </c>
    </row>
    <row r="4" spans="2:14" x14ac:dyDescent="0.45">
      <c r="B4">
        <f>TrnStat.asc!B56</f>
        <v>0</v>
      </c>
      <c r="C4">
        <f>TrnStat.asc!C56</f>
        <v>0</v>
      </c>
      <c r="D4">
        <f>TrnStat.asc!D56</f>
        <v>0</v>
      </c>
      <c r="E4">
        <f>TrnStat.asc!E56</f>
        <v>0</v>
      </c>
      <c r="F4">
        <f>TrnStat.asc!F56</f>
        <v>0</v>
      </c>
      <c r="G4">
        <f>TrnStat.asc!G56</f>
        <v>0</v>
      </c>
      <c r="H4">
        <f>TrnStat.asc!H56</f>
        <v>0</v>
      </c>
      <c r="I4">
        <f>TrnStat.asc!I56</f>
        <v>0</v>
      </c>
      <c r="J4">
        <f>TrnStat.asc!J56</f>
        <v>0</v>
      </c>
      <c r="K4">
        <f>TrnStat.asc!K56</f>
        <v>0</v>
      </c>
      <c r="M4">
        <f t="shared" si="0"/>
        <v>0</v>
      </c>
      <c r="N4">
        <f t="shared" si="1"/>
        <v>0</v>
      </c>
    </row>
    <row r="5" spans="2:14" x14ac:dyDescent="0.45">
      <c r="B5">
        <f>TrnStat.asc!B57</f>
        <v>0</v>
      </c>
      <c r="C5">
        <f>TrnStat.asc!C57</f>
        <v>0</v>
      </c>
      <c r="D5">
        <f>TrnStat.asc!D57</f>
        <v>0</v>
      </c>
      <c r="E5">
        <f>TrnStat.asc!E57</f>
        <v>0</v>
      </c>
      <c r="F5">
        <f>TrnStat.asc!F57</f>
        <v>0</v>
      </c>
      <c r="G5">
        <f>TrnStat.asc!G57</f>
        <v>0</v>
      </c>
      <c r="H5">
        <f>TrnStat.asc!H57</f>
        <v>0</v>
      </c>
      <c r="I5">
        <f>TrnStat.asc!I57</f>
        <v>0</v>
      </c>
      <c r="J5">
        <f>TrnStat.asc!J57</f>
        <v>0</v>
      </c>
      <c r="K5">
        <f>TrnStat.asc!K57</f>
        <v>0</v>
      </c>
      <c r="M5">
        <f t="shared" si="0"/>
        <v>0</v>
      </c>
      <c r="N5">
        <f t="shared" si="1"/>
        <v>0</v>
      </c>
    </row>
    <row r="6" spans="2:14" x14ac:dyDescent="0.45">
      <c r="B6">
        <f>TrnStat.asc!B58</f>
        <v>0</v>
      </c>
      <c r="C6">
        <f>TrnStat.asc!C58</f>
        <v>0</v>
      </c>
      <c r="D6">
        <f>TrnStat.asc!D58</f>
        <v>0</v>
      </c>
      <c r="E6">
        <f>TrnStat.asc!E58</f>
        <v>0</v>
      </c>
      <c r="F6">
        <f>TrnStat.asc!F58</f>
        <v>0</v>
      </c>
      <c r="G6">
        <f>TrnStat.asc!G58</f>
        <v>0</v>
      </c>
      <c r="H6">
        <f>TrnStat.asc!H58</f>
        <v>0</v>
      </c>
      <c r="I6">
        <f>TrnStat.asc!I58</f>
        <v>0</v>
      </c>
      <c r="J6">
        <f>TrnStat.asc!J58</f>
        <v>0</v>
      </c>
      <c r="K6">
        <f>TrnStat.asc!K58</f>
        <v>0</v>
      </c>
      <c r="M6">
        <f t="shared" si="0"/>
        <v>0</v>
      </c>
      <c r="N6">
        <f t="shared" si="1"/>
        <v>0</v>
      </c>
    </row>
    <row r="7" spans="2:14" x14ac:dyDescent="0.45">
      <c r="B7">
        <f>TrnStat.asc!B59</f>
        <v>0</v>
      </c>
      <c r="C7">
        <f>TrnStat.asc!C59</f>
        <v>0</v>
      </c>
      <c r="D7">
        <f>TrnStat.asc!D59</f>
        <v>0</v>
      </c>
      <c r="E7">
        <f>TrnStat.asc!E59</f>
        <v>0</v>
      </c>
      <c r="F7">
        <f>TrnStat.asc!F59</f>
        <v>0</v>
      </c>
      <c r="G7">
        <f>TrnStat.asc!G59</f>
        <v>0</v>
      </c>
      <c r="H7">
        <f>TrnStat.asc!H59</f>
        <v>0</v>
      </c>
      <c r="I7">
        <f>TrnStat.asc!I59</f>
        <v>0</v>
      </c>
      <c r="J7">
        <f>TrnStat.asc!J59</f>
        <v>0</v>
      </c>
      <c r="K7">
        <f>TrnStat.asc!K59</f>
        <v>0</v>
      </c>
      <c r="M7">
        <f t="shared" si="0"/>
        <v>0</v>
      </c>
      <c r="N7">
        <f t="shared" si="1"/>
        <v>0</v>
      </c>
    </row>
    <row r="8" spans="2:14" x14ac:dyDescent="0.45">
      <c r="B8">
        <f>TrnStat.asc!B60</f>
        <v>0</v>
      </c>
      <c r="C8">
        <f>TrnStat.asc!C60</f>
        <v>0</v>
      </c>
      <c r="D8">
        <f>TrnStat.asc!D60</f>
        <v>0</v>
      </c>
      <c r="E8">
        <f>TrnStat.asc!E60</f>
        <v>0</v>
      </c>
      <c r="F8">
        <f>TrnStat.asc!F60</f>
        <v>0</v>
      </c>
      <c r="G8">
        <f>TrnStat.asc!G60</f>
        <v>0</v>
      </c>
      <c r="H8">
        <f>TrnStat.asc!H60</f>
        <v>0</v>
      </c>
      <c r="I8">
        <f>TrnStat.asc!I60</f>
        <v>0</v>
      </c>
      <c r="J8">
        <f>TrnStat.asc!J60</f>
        <v>0</v>
      </c>
      <c r="K8">
        <f>TrnStat.asc!K60</f>
        <v>0</v>
      </c>
      <c r="M8">
        <f t="shared" si="0"/>
        <v>0</v>
      </c>
      <c r="N8">
        <f t="shared" si="1"/>
        <v>0</v>
      </c>
    </row>
    <row r="9" spans="2:14" x14ac:dyDescent="0.45">
      <c r="B9">
        <f>TrnStat.asc!B61</f>
        <v>0</v>
      </c>
      <c r="C9">
        <f>TrnStat.asc!C61</f>
        <v>0</v>
      </c>
      <c r="D9">
        <f>TrnStat.asc!D61</f>
        <v>0</v>
      </c>
      <c r="E9">
        <f>TrnStat.asc!E61</f>
        <v>0</v>
      </c>
      <c r="F9">
        <f>TrnStat.asc!F61</f>
        <v>0</v>
      </c>
      <c r="G9">
        <f>TrnStat.asc!G61</f>
        <v>0</v>
      </c>
      <c r="H9">
        <f>TrnStat.asc!H61</f>
        <v>0</v>
      </c>
      <c r="I9">
        <f>TrnStat.asc!I61</f>
        <v>0</v>
      </c>
      <c r="J9">
        <f>TrnStat.asc!J61</f>
        <v>0</v>
      </c>
      <c r="K9">
        <f>TrnStat.asc!K61</f>
        <v>0</v>
      </c>
      <c r="M9">
        <f t="shared" si="0"/>
        <v>0</v>
      </c>
      <c r="N9">
        <f t="shared" si="1"/>
        <v>0</v>
      </c>
    </row>
    <row r="10" spans="2:14" x14ac:dyDescent="0.45">
      <c r="B10">
        <f>TrnStat.asc!B62</f>
        <v>0</v>
      </c>
      <c r="C10">
        <f>TrnStat.asc!C62</f>
        <v>0</v>
      </c>
      <c r="D10">
        <f>TrnStat.asc!D62</f>
        <v>0</v>
      </c>
      <c r="E10">
        <f>TrnStat.asc!E62</f>
        <v>0</v>
      </c>
      <c r="F10">
        <f>TrnStat.asc!F62</f>
        <v>0</v>
      </c>
      <c r="G10">
        <f>TrnStat.asc!G62</f>
        <v>0</v>
      </c>
      <c r="H10">
        <f>TrnStat.asc!H62</f>
        <v>0</v>
      </c>
      <c r="I10">
        <f>TrnStat.asc!I62</f>
        <v>0</v>
      </c>
      <c r="J10">
        <f>TrnStat.asc!J62</f>
        <v>0</v>
      </c>
      <c r="K10">
        <f>TrnStat.asc!K62</f>
        <v>0</v>
      </c>
      <c r="M10">
        <f t="shared" si="0"/>
        <v>0</v>
      </c>
      <c r="N10">
        <f t="shared" si="1"/>
        <v>0</v>
      </c>
    </row>
    <row r="11" spans="2:14" x14ac:dyDescent="0.45">
      <c r="B11">
        <f>TrnStat.asc!B63</f>
        <v>0</v>
      </c>
      <c r="C11">
        <f>TrnStat.asc!C63</f>
        <v>0</v>
      </c>
      <c r="D11">
        <f>TrnStat.asc!D63</f>
        <v>0</v>
      </c>
      <c r="E11">
        <f>TrnStat.asc!E63</f>
        <v>0</v>
      </c>
      <c r="F11">
        <f>TrnStat.asc!F63</f>
        <v>0</v>
      </c>
      <c r="G11">
        <f>TrnStat.asc!G63</f>
        <v>0</v>
      </c>
      <c r="H11">
        <f>TrnStat.asc!H63</f>
        <v>0</v>
      </c>
      <c r="I11">
        <f>TrnStat.asc!I63</f>
        <v>0</v>
      </c>
      <c r="J11">
        <f>TrnStat.asc!J63</f>
        <v>0</v>
      </c>
      <c r="K11">
        <f>TrnStat.asc!K63</f>
        <v>0</v>
      </c>
      <c r="M11">
        <f t="shared" si="0"/>
        <v>0</v>
      </c>
      <c r="N11">
        <f t="shared" si="1"/>
        <v>0</v>
      </c>
    </row>
    <row r="12" spans="2:14" x14ac:dyDescent="0.45">
      <c r="B12">
        <f>TrnStat.asc!B64</f>
        <v>0</v>
      </c>
      <c r="C12">
        <f>TrnStat.asc!C64</f>
        <v>0</v>
      </c>
      <c r="D12">
        <f>TrnStat.asc!D64</f>
        <v>0</v>
      </c>
      <c r="E12">
        <f>TrnStat.asc!E64</f>
        <v>0</v>
      </c>
      <c r="F12">
        <f>TrnStat.asc!F64</f>
        <v>0</v>
      </c>
      <c r="G12">
        <f>TrnStat.asc!G64</f>
        <v>0</v>
      </c>
      <c r="H12">
        <f>TrnStat.asc!H64</f>
        <v>0</v>
      </c>
      <c r="I12">
        <f>TrnStat.asc!I64</f>
        <v>0</v>
      </c>
      <c r="J12">
        <f>TrnStat.asc!J64</f>
        <v>0</v>
      </c>
      <c r="K12">
        <f>TrnStat.asc!K64</f>
        <v>0</v>
      </c>
      <c r="M12">
        <f t="shared" si="0"/>
        <v>0</v>
      </c>
      <c r="N12">
        <f t="shared" si="1"/>
        <v>0</v>
      </c>
    </row>
    <row r="13" spans="2:14" x14ac:dyDescent="0.45">
      <c r="B13">
        <f>TrnStat.asc!B65</f>
        <v>0</v>
      </c>
      <c r="C13">
        <f>TrnStat.asc!C65</f>
        <v>0</v>
      </c>
      <c r="D13">
        <f>TrnStat.asc!D65</f>
        <v>0</v>
      </c>
      <c r="E13">
        <f>TrnStat.asc!E65</f>
        <v>0</v>
      </c>
      <c r="F13">
        <f>TrnStat.asc!F65</f>
        <v>0</v>
      </c>
      <c r="G13">
        <f>TrnStat.asc!G65</f>
        <v>0</v>
      </c>
      <c r="H13">
        <f>TrnStat.asc!H65</f>
        <v>0</v>
      </c>
      <c r="I13">
        <f>TrnStat.asc!I65</f>
        <v>0</v>
      </c>
      <c r="J13">
        <f>TrnStat.asc!J65</f>
        <v>0</v>
      </c>
      <c r="K13">
        <f>TrnStat.asc!K65</f>
        <v>0</v>
      </c>
      <c r="M13">
        <f t="shared" si="0"/>
        <v>0</v>
      </c>
      <c r="N13">
        <f t="shared" si="1"/>
        <v>0</v>
      </c>
    </row>
    <row r="14" spans="2:14" x14ac:dyDescent="0.45">
      <c r="B14">
        <f>TrnStat.asc!B66</f>
        <v>0</v>
      </c>
      <c r="C14">
        <f>TrnStat.asc!C66</f>
        <v>0</v>
      </c>
      <c r="D14">
        <f>TrnStat.asc!D66</f>
        <v>0</v>
      </c>
      <c r="E14">
        <f>TrnStat.asc!E66</f>
        <v>0</v>
      </c>
      <c r="F14">
        <f>TrnStat.asc!F66</f>
        <v>0</v>
      </c>
      <c r="G14">
        <f>TrnStat.asc!G66</f>
        <v>0</v>
      </c>
      <c r="H14">
        <f>TrnStat.asc!H66</f>
        <v>0</v>
      </c>
      <c r="I14">
        <f>TrnStat.asc!I66</f>
        <v>0</v>
      </c>
      <c r="J14">
        <f>TrnStat.asc!J66</f>
        <v>0</v>
      </c>
      <c r="K14">
        <f>TrnStat.asc!K66</f>
        <v>0</v>
      </c>
      <c r="M14">
        <f t="shared" si="0"/>
        <v>0</v>
      </c>
      <c r="N14">
        <f t="shared" si="1"/>
        <v>0</v>
      </c>
    </row>
    <row r="15" spans="2:14" x14ac:dyDescent="0.45">
      <c r="B15">
        <f>TrnStat.asc!B67</f>
        <v>0</v>
      </c>
      <c r="C15">
        <f>TrnStat.asc!C67</f>
        <v>0</v>
      </c>
      <c r="D15">
        <f>TrnStat.asc!D67</f>
        <v>0</v>
      </c>
      <c r="E15">
        <f>TrnStat.asc!E67</f>
        <v>0</v>
      </c>
      <c r="F15">
        <f>TrnStat.asc!F67</f>
        <v>0</v>
      </c>
      <c r="G15">
        <f>TrnStat.asc!G67</f>
        <v>0</v>
      </c>
      <c r="H15">
        <f>TrnStat.asc!H67</f>
        <v>0</v>
      </c>
      <c r="I15">
        <f>TrnStat.asc!I67</f>
        <v>0</v>
      </c>
      <c r="J15">
        <f>TrnStat.asc!J67</f>
        <v>0</v>
      </c>
      <c r="K15">
        <f>TrnStat.asc!K67</f>
        <v>0</v>
      </c>
      <c r="M15">
        <f t="shared" si="0"/>
        <v>0</v>
      </c>
      <c r="N15">
        <f t="shared" si="1"/>
        <v>0</v>
      </c>
    </row>
    <row r="16" spans="2:14" x14ac:dyDescent="0.45">
      <c r="B16">
        <f>TrnStat.asc!B68</f>
        <v>0</v>
      </c>
      <c r="C16">
        <f>TrnStat.asc!C68</f>
        <v>0</v>
      </c>
      <c r="D16">
        <f>TrnStat.asc!D68</f>
        <v>0</v>
      </c>
      <c r="E16">
        <f>TrnStat.asc!E68</f>
        <v>0</v>
      </c>
      <c r="F16">
        <f>TrnStat.asc!F68</f>
        <v>0</v>
      </c>
      <c r="G16">
        <f>TrnStat.asc!G68</f>
        <v>0</v>
      </c>
      <c r="H16">
        <f>TrnStat.asc!H68</f>
        <v>0</v>
      </c>
      <c r="I16">
        <f>TrnStat.asc!I68</f>
        <v>0</v>
      </c>
      <c r="J16">
        <f>TrnStat.asc!J68</f>
        <v>0</v>
      </c>
      <c r="K16">
        <f>TrnStat.asc!K68</f>
        <v>0</v>
      </c>
      <c r="M16">
        <f t="shared" si="0"/>
        <v>0</v>
      </c>
      <c r="N16">
        <f t="shared" si="1"/>
        <v>0</v>
      </c>
    </row>
    <row r="17" spans="2:14" x14ac:dyDescent="0.45">
      <c r="B17">
        <f>TrnStat.asc!B69</f>
        <v>0</v>
      </c>
      <c r="C17">
        <f>TrnStat.asc!C69</f>
        <v>0</v>
      </c>
      <c r="D17">
        <f>TrnStat.asc!D69</f>
        <v>0</v>
      </c>
      <c r="E17">
        <f>TrnStat.asc!E69</f>
        <v>0</v>
      </c>
      <c r="F17">
        <f>TrnStat.asc!F69</f>
        <v>0</v>
      </c>
      <c r="G17">
        <f>TrnStat.asc!G69</f>
        <v>0</v>
      </c>
      <c r="H17">
        <f>TrnStat.asc!H69</f>
        <v>0</v>
      </c>
      <c r="I17">
        <f>TrnStat.asc!I69</f>
        <v>0</v>
      </c>
      <c r="J17">
        <f>TrnStat.asc!J69</f>
        <v>0</v>
      </c>
      <c r="K17">
        <f>TrnStat.asc!K69</f>
        <v>0</v>
      </c>
      <c r="M17">
        <f t="shared" si="0"/>
        <v>0</v>
      </c>
      <c r="N17">
        <f t="shared" si="1"/>
        <v>0</v>
      </c>
    </row>
    <row r="18" spans="2:14" x14ac:dyDescent="0.45">
      <c r="B18">
        <f>TrnStat.asc!B70</f>
        <v>0</v>
      </c>
      <c r="C18">
        <f>TrnStat.asc!C70</f>
        <v>0</v>
      </c>
      <c r="D18">
        <f>TrnStat.asc!D70</f>
        <v>0</v>
      </c>
      <c r="E18">
        <f>TrnStat.asc!E70</f>
        <v>0</v>
      </c>
      <c r="F18">
        <f>TrnStat.asc!F70</f>
        <v>0</v>
      </c>
      <c r="G18">
        <f>TrnStat.asc!G70</f>
        <v>0</v>
      </c>
      <c r="H18">
        <f>TrnStat.asc!H70</f>
        <v>0</v>
      </c>
      <c r="I18">
        <f>TrnStat.asc!I70</f>
        <v>0</v>
      </c>
      <c r="J18">
        <f>TrnStat.asc!J70</f>
        <v>0</v>
      </c>
      <c r="K18">
        <f>TrnStat.asc!K70</f>
        <v>0</v>
      </c>
      <c r="M18">
        <f t="shared" si="0"/>
        <v>0</v>
      </c>
      <c r="N18">
        <f t="shared" si="1"/>
        <v>0</v>
      </c>
    </row>
    <row r="19" spans="2:14" x14ac:dyDescent="0.45">
      <c r="B19">
        <f>TrnStat.asc!B71</f>
        <v>0</v>
      </c>
      <c r="C19">
        <f>TrnStat.asc!C71</f>
        <v>0</v>
      </c>
      <c r="D19">
        <f>TrnStat.asc!D71</f>
        <v>0</v>
      </c>
      <c r="E19">
        <f>TrnStat.asc!E71</f>
        <v>0</v>
      </c>
      <c r="F19">
        <f>TrnStat.asc!F71</f>
        <v>0</v>
      </c>
      <c r="G19">
        <f>TrnStat.asc!G71</f>
        <v>0</v>
      </c>
      <c r="H19">
        <f>TrnStat.asc!H71</f>
        <v>0</v>
      </c>
      <c r="I19">
        <f>TrnStat.asc!I71</f>
        <v>0</v>
      </c>
      <c r="J19">
        <f>TrnStat.asc!J71</f>
        <v>0</v>
      </c>
      <c r="K19">
        <f>TrnStat.asc!K71</f>
        <v>0</v>
      </c>
      <c r="M19">
        <f t="shared" si="0"/>
        <v>0</v>
      </c>
      <c r="N19">
        <f t="shared" si="1"/>
        <v>0</v>
      </c>
    </row>
    <row r="20" spans="2:14" x14ac:dyDescent="0.45">
      <c r="B20">
        <f>TrnStat.asc!B72</f>
        <v>0</v>
      </c>
      <c r="C20">
        <f>TrnStat.asc!C72</f>
        <v>0</v>
      </c>
      <c r="D20">
        <f>TrnStat.asc!D72</f>
        <v>0</v>
      </c>
      <c r="E20">
        <f>TrnStat.asc!E72</f>
        <v>0</v>
      </c>
      <c r="F20">
        <f>TrnStat.asc!F72</f>
        <v>0</v>
      </c>
      <c r="G20">
        <f>TrnStat.asc!G72</f>
        <v>0</v>
      </c>
      <c r="H20">
        <f>TrnStat.asc!H72</f>
        <v>0</v>
      </c>
      <c r="I20">
        <f>TrnStat.asc!I72</f>
        <v>0</v>
      </c>
      <c r="J20">
        <f>TrnStat.asc!J72</f>
        <v>0</v>
      </c>
      <c r="K20">
        <f>TrnStat.asc!K72</f>
        <v>0</v>
      </c>
      <c r="M20">
        <f t="shared" si="0"/>
        <v>0</v>
      </c>
      <c r="N20">
        <f t="shared" si="1"/>
        <v>0</v>
      </c>
    </row>
    <row r="21" spans="2:14" x14ac:dyDescent="0.45">
      <c r="B21">
        <f>TrnStat.asc!B73</f>
        <v>0</v>
      </c>
      <c r="C21">
        <f>TrnStat.asc!C73</f>
        <v>0</v>
      </c>
      <c r="D21">
        <f>TrnStat.asc!D73</f>
        <v>0</v>
      </c>
      <c r="E21">
        <f>TrnStat.asc!E73</f>
        <v>0</v>
      </c>
      <c r="F21">
        <f>TrnStat.asc!F73</f>
        <v>0</v>
      </c>
      <c r="G21">
        <f>TrnStat.asc!G73</f>
        <v>0</v>
      </c>
      <c r="H21">
        <f>TrnStat.asc!H73</f>
        <v>0</v>
      </c>
      <c r="I21">
        <f>TrnStat.asc!I73</f>
        <v>0</v>
      </c>
      <c r="J21">
        <f>TrnStat.asc!J73</f>
        <v>0</v>
      </c>
      <c r="K21">
        <f>TrnStat.asc!K73</f>
        <v>0</v>
      </c>
      <c r="M21">
        <f t="shared" si="0"/>
        <v>0</v>
      </c>
      <c r="N21">
        <f t="shared" si="1"/>
        <v>0</v>
      </c>
    </row>
    <row r="22" spans="2:14" x14ac:dyDescent="0.45">
      <c r="B22">
        <f>TrnStat.asc!B74</f>
        <v>0</v>
      </c>
      <c r="C22">
        <f>TrnStat.asc!C74</f>
        <v>0</v>
      </c>
      <c r="D22">
        <f>TrnStat.asc!D74</f>
        <v>0</v>
      </c>
      <c r="E22">
        <f>TrnStat.asc!E74</f>
        <v>0</v>
      </c>
      <c r="F22">
        <f>TrnStat.asc!F74</f>
        <v>0</v>
      </c>
      <c r="G22">
        <f>TrnStat.asc!G74</f>
        <v>0</v>
      </c>
      <c r="H22">
        <f>TrnStat.asc!H74</f>
        <v>0</v>
      </c>
      <c r="I22">
        <f>TrnStat.asc!I74</f>
        <v>0</v>
      </c>
      <c r="J22">
        <f>TrnStat.asc!J74</f>
        <v>0</v>
      </c>
      <c r="K22">
        <f>TrnStat.asc!K74</f>
        <v>0</v>
      </c>
      <c r="M22">
        <f t="shared" si="0"/>
        <v>0</v>
      </c>
      <c r="N22">
        <f t="shared" si="1"/>
        <v>0</v>
      </c>
    </row>
    <row r="23" spans="2:14" x14ac:dyDescent="0.45">
      <c r="B23">
        <f>TrnStat.asc!B75</f>
        <v>0</v>
      </c>
      <c r="C23">
        <f>TrnStat.asc!C75</f>
        <v>0</v>
      </c>
      <c r="D23">
        <f>TrnStat.asc!D75</f>
        <v>0</v>
      </c>
      <c r="E23">
        <f>TrnStat.asc!E75</f>
        <v>0</v>
      </c>
      <c r="F23">
        <f>TrnStat.asc!F75</f>
        <v>0</v>
      </c>
      <c r="G23">
        <f>TrnStat.asc!G75</f>
        <v>0</v>
      </c>
      <c r="H23">
        <f>TrnStat.asc!H75</f>
        <v>0</v>
      </c>
      <c r="I23">
        <f>TrnStat.asc!I75</f>
        <v>0</v>
      </c>
      <c r="J23">
        <f>TrnStat.asc!J75</f>
        <v>0</v>
      </c>
      <c r="K23">
        <f>TrnStat.asc!K75</f>
        <v>0</v>
      </c>
      <c r="M23">
        <f t="shared" si="0"/>
        <v>0</v>
      </c>
      <c r="N23">
        <f t="shared" si="1"/>
        <v>0</v>
      </c>
    </row>
    <row r="24" spans="2:14" x14ac:dyDescent="0.45">
      <c r="B24">
        <f>TrnStat.asc!B76</f>
        <v>0</v>
      </c>
      <c r="C24">
        <f>TrnStat.asc!C76</f>
        <v>0</v>
      </c>
      <c r="D24">
        <f>TrnStat.asc!D76</f>
        <v>0</v>
      </c>
      <c r="E24">
        <f>TrnStat.asc!E76</f>
        <v>0</v>
      </c>
      <c r="F24">
        <f>TrnStat.asc!F76</f>
        <v>0</v>
      </c>
      <c r="G24">
        <f>TrnStat.asc!G76</f>
        <v>0</v>
      </c>
      <c r="H24">
        <f>TrnStat.asc!H76</f>
        <v>0</v>
      </c>
      <c r="I24">
        <f>TrnStat.asc!I76</f>
        <v>0</v>
      </c>
      <c r="J24">
        <f>TrnStat.asc!J76</f>
        <v>0</v>
      </c>
      <c r="K24">
        <f>TrnStat.asc!K76</f>
        <v>0</v>
      </c>
      <c r="M24">
        <f t="shared" si="0"/>
        <v>0</v>
      </c>
      <c r="N24">
        <f t="shared" si="1"/>
        <v>0</v>
      </c>
    </row>
    <row r="25" spans="2:14" x14ac:dyDescent="0.45">
      <c r="B25">
        <f>TrnStat.asc!B77</f>
        <v>0</v>
      </c>
      <c r="C25">
        <f>TrnStat.asc!C77</f>
        <v>0</v>
      </c>
      <c r="D25">
        <f>TrnStat.asc!D77</f>
        <v>0</v>
      </c>
      <c r="E25">
        <f>TrnStat.asc!E77</f>
        <v>0</v>
      </c>
      <c r="F25">
        <f>TrnStat.asc!F77</f>
        <v>0</v>
      </c>
      <c r="G25">
        <f>TrnStat.asc!G77</f>
        <v>0</v>
      </c>
      <c r="H25">
        <f>TrnStat.asc!H77</f>
        <v>0</v>
      </c>
      <c r="I25">
        <f>TrnStat.asc!I77</f>
        <v>0</v>
      </c>
      <c r="J25">
        <f>TrnStat.asc!J77</f>
        <v>0</v>
      </c>
      <c r="K25">
        <f>TrnStat.asc!K77</f>
        <v>0</v>
      </c>
      <c r="M25">
        <f t="shared" si="0"/>
        <v>0</v>
      </c>
      <c r="N25">
        <f t="shared" si="1"/>
        <v>0</v>
      </c>
    </row>
    <row r="26" spans="2:14" x14ac:dyDescent="0.45">
      <c r="B26">
        <f>TrnStat.asc!B78</f>
        <v>0</v>
      </c>
      <c r="C26">
        <f>TrnStat.asc!C78</f>
        <v>0</v>
      </c>
      <c r="D26">
        <f>TrnStat.asc!D78</f>
        <v>0</v>
      </c>
      <c r="E26">
        <f>TrnStat.asc!E78</f>
        <v>0</v>
      </c>
      <c r="F26">
        <f>TrnStat.asc!F78</f>
        <v>0</v>
      </c>
      <c r="G26">
        <f>TrnStat.asc!G78</f>
        <v>0</v>
      </c>
      <c r="H26">
        <f>TrnStat.asc!H78</f>
        <v>0</v>
      </c>
      <c r="I26">
        <f>TrnStat.asc!I78</f>
        <v>0</v>
      </c>
      <c r="J26">
        <f>TrnStat.asc!J78</f>
        <v>0</v>
      </c>
      <c r="K26">
        <f>TrnStat.asc!K78</f>
        <v>0</v>
      </c>
      <c r="M26">
        <f t="shared" si="0"/>
        <v>0</v>
      </c>
      <c r="N26">
        <f t="shared" si="1"/>
        <v>0</v>
      </c>
    </row>
    <row r="27" spans="2:14" x14ac:dyDescent="0.45">
      <c r="B27">
        <f>TrnStat.asc!B79</f>
        <v>0</v>
      </c>
      <c r="C27">
        <f>TrnStat.asc!C79</f>
        <v>0</v>
      </c>
      <c r="D27">
        <f>TrnStat.asc!D79</f>
        <v>0</v>
      </c>
      <c r="E27">
        <f>TrnStat.asc!E79</f>
        <v>0</v>
      </c>
      <c r="F27">
        <f>TrnStat.asc!F79</f>
        <v>0</v>
      </c>
      <c r="G27">
        <f>TrnStat.asc!G79</f>
        <v>0</v>
      </c>
      <c r="H27">
        <f>TrnStat.asc!H79</f>
        <v>0</v>
      </c>
      <c r="I27">
        <f>TrnStat.asc!I79</f>
        <v>0</v>
      </c>
      <c r="J27">
        <f>TrnStat.asc!J79</f>
        <v>0</v>
      </c>
      <c r="K27">
        <f>TrnStat.asc!K79</f>
        <v>0</v>
      </c>
      <c r="M27">
        <f t="shared" si="0"/>
        <v>0</v>
      </c>
      <c r="N27">
        <f t="shared" si="1"/>
        <v>0</v>
      </c>
    </row>
    <row r="28" spans="2:14" x14ac:dyDescent="0.45">
      <c r="B28">
        <f>TrnStat.asc!B80</f>
        <v>0</v>
      </c>
      <c r="C28">
        <f>TrnStat.asc!C80</f>
        <v>0</v>
      </c>
      <c r="D28">
        <f>TrnStat.asc!D80</f>
        <v>0</v>
      </c>
      <c r="E28">
        <f>TrnStat.asc!E80</f>
        <v>0</v>
      </c>
      <c r="F28">
        <f>TrnStat.asc!F80</f>
        <v>0</v>
      </c>
      <c r="G28">
        <f>TrnStat.asc!G80</f>
        <v>0</v>
      </c>
      <c r="H28">
        <f>TrnStat.asc!H80</f>
        <v>0</v>
      </c>
      <c r="I28">
        <f>TrnStat.asc!I80</f>
        <v>0</v>
      </c>
      <c r="J28">
        <f>TrnStat.asc!J80</f>
        <v>0</v>
      </c>
      <c r="K28">
        <f>TrnStat.asc!K80</f>
        <v>0</v>
      </c>
      <c r="M28">
        <f t="shared" si="0"/>
        <v>0</v>
      </c>
      <c r="N28">
        <f t="shared" si="1"/>
        <v>0</v>
      </c>
    </row>
    <row r="29" spans="2:14" x14ac:dyDescent="0.45">
      <c r="B29">
        <f>TrnStat.asc!B81</f>
        <v>0</v>
      </c>
      <c r="C29">
        <f>TrnStat.asc!C81</f>
        <v>0</v>
      </c>
      <c r="D29">
        <f>TrnStat.asc!D81</f>
        <v>0</v>
      </c>
      <c r="E29">
        <f>TrnStat.asc!E81</f>
        <v>0</v>
      </c>
      <c r="F29">
        <f>TrnStat.asc!F81</f>
        <v>0</v>
      </c>
      <c r="G29">
        <f>TrnStat.asc!G81</f>
        <v>0</v>
      </c>
      <c r="H29">
        <f>TrnStat.asc!H81</f>
        <v>0</v>
      </c>
      <c r="I29">
        <f>TrnStat.asc!I81</f>
        <v>0</v>
      </c>
      <c r="J29">
        <f>TrnStat.asc!J81</f>
        <v>0</v>
      </c>
      <c r="K29">
        <f>TrnStat.asc!K81</f>
        <v>0</v>
      </c>
      <c r="M29">
        <f t="shared" si="0"/>
        <v>0</v>
      </c>
      <c r="N29">
        <f t="shared" si="1"/>
        <v>0</v>
      </c>
    </row>
    <row r="30" spans="2:14" x14ac:dyDescent="0.45">
      <c r="B30">
        <f>TrnStat.asc!B82</f>
        <v>0</v>
      </c>
      <c r="C30">
        <f>TrnStat.asc!C82</f>
        <v>0</v>
      </c>
      <c r="D30">
        <f>TrnStat.asc!D82</f>
        <v>0</v>
      </c>
      <c r="E30">
        <f>TrnStat.asc!E82</f>
        <v>0</v>
      </c>
      <c r="F30">
        <f>TrnStat.asc!F82</f>
        <v>0</v>
      </c>
      <c r="G30">
        <f>TrnStat.asc!G82</f>
        <v>0</v>
      </c>
      <c r="H30">
        <f>TrnStat.asc!H82</f>
        <v>0</v>
      </c>
      <c r="I30">
        <f>TrnStat.asc!I82</f>
        <v>0</v>
      </c>
      <c r="J30">
        <f>TrnStat.asc!J82</f>
        <v>0</v>
      </c>
      <c r="K30">
        <f>TrnStat.asc!K82</f>
        <v>0</v>
      </c>
      <c r="M30">
        <f t="shared" si="0"/>
        <v>0</v>
      </c>
      <c r="N30">
        <f t="shared" si="1"/>
        <v>0</v>
      </c>
    </row>
    <row r="31" spans="2:14" x14ac:dyDescent="0.45">
      <c r="B31">
        <f>TrnStat.asc!B83</f>
        <v>0</v>
      </c>
      <c r="C31">
        <f>TrnStat.asc!C83</f>
        <v>0</v>
      </c>
      <c r="D31">
        <f>TrnStat.asc!D83</f>
        <v>0</v>
      </c>
      <c r="E31">
        <f>TrnStat.asc!E83</f>
        <v>0</v>
      </c>
      <c r="F31">
        <f>TrnStat.asc!F83</f>
        <v>0</v>
      </c>
      <c r="G31">
        <f>TrnStat.asc!G83</f>
        <v>0</v>
      </c>
      <c r="H31">
        <f>TrnStat.asc!H83</f>
        <v>0</v>
      </c>
      <c r="I31">
        <f>TrnStat.asc!I83</f>
        <v>0</v>
      </c>
      <c r="J31">
        <f>TrnStat.asc!J83</f>
        <v>0</v>
      </c>
      <c r="K31">
        <f>TrnStat.asc!K83</f>
        <v>0</v>
      </c>
      <c r="M31">
        <f t="shared" si="0"/>
        <v>0</v>
      </c>
      <c r="N31">
        <f t="shared" si="1"/>
        <v>0</v>
      </c>
    </row>
    <row r="32" spans="2:14" x14ac:dyDescent="0.45">
      <c r="B32">
        <f>TrnStat.asc!B84</f>
        <v>0</v>
      </c>
      <c r="C32">
        <f>TrnStat.asc!C84</f>
        <v>0</v>
      </c>
      <c r="D32">
        <f>TrnStat.asc!D84</f>
        <v>0</v>
      </c>
      <c r="E32">
        <f>TrnStat.asc!E84</f>
        <v>0</v>
      </c>
      <c r="F32">
        <f>TrnStat.asc!F84</f>
        <v>0</v>
      </c>
      <c r="G32">
        <f>TrnStat.asc!G84</f>
        <v>0</v>
      </c>
      <c r="H32">
        <f>TrnStat.asc!H84</f>
        <v>0</v>
      </c>
      <c r="I32">
        <f>TrnStat.asc!I84</f>
        <v>0</v>
      </c>
      <c r="J32">
        <f>TrnStat.asc!J84</f>
        <v>0</v>
      </c>
      <c r="K32">
        <f>TrnStat.asc!K84</f>
        <v>0</v>
      </c>
      <c r="M32">
        <f t="shared" si="0"/>
        <v>0</v>
      </c>
      <c r="N32">
        <f t="shared" si="1"/>
        <v>0</v>
      </c>
    </row>
    <row r="33" spans="2:14" x14ac:dyDescent="0.45">
      <c r="B33">
        <f>TrnStat.asc!B85</f>
        <v>0</v>
      </c>
      <c r="C33">
        <f>TrnStat.asc!C85</f>
        <v>0</v>
      </c>
      <c r="D33">
        <f>TrnStat.asc!D85</f>
        <v>0</v>
      </c>
      <c r="E33">
        <f>TrnStat.asc!E85</f>
        <v>0</v>
      </c>
      <c r="F33">
        <f>TrnStat.asc!F85</f>
        <v>0</v>
      </c>
      <c r="G33">
        <f>TrnStat.asc!G85</f>
        <v>0</v>
      </c>
      <c r="H33">
        <f>TrnStat.asc!H85</f>
        <v>0</v>
      </c>
      <c r="I33">
        <f>TrnStat.asc!I85</f>
        <v>0</v>
      </c>
      <c r="J33">
        <f>TrnStat.asc!J85</f>
        <v>0</v>
      </c>
      <c r="K33">
        <f>TrnStat.asc!K85</f>
        <v>0</v>
      </c>
      <c r="M33">
        <f t="shared" si="0"/>
        <v>0</v>
      </c>
      <c r="N33">
        <f t="shared" si="1"/>
        <v>0</v>
      </c>
    </row>
    <row r="34" spans="2:14" x14ac:dyDescent="0.45">
      <c r="B34">
        <f>TrnStat.asc!B86</f>
        <v>0</v>
      </c>
      <c r="C34">
        <f>TrnStat.asc!C86</f>
        <v>0</v>
      </c>
      <c r="D34">
        <f>TrnStat.asc!D86</f>
        <v>0</v>
      </c>
      <c r="E34">
        <f>TrnStat.asc!E86</f>
        <v>0</v>
      </c>
      <c r="F34">
        <f>TrnStat.asc!F86</f>
        <v>0</v>
      </c>
      <c r="G34">
        <f>TrnStat.asc!G86</f>
        <v>0</v>
      </c>
      <c r="H34">
        <f>TrnStat.asc!H86</f>
        <v>0</v>
      </c>
      <c r="I34">
        <f>TrnStat.asc!I86</f>
        <v>0</v>
      </c>
      <c r="J34">
        <f>TrnStat.asc!J86</f>
        <v>0</v>
      </c>
      <c r="K34">
        <f>TrnStat.asc!K86</f>
        <v>0</v>
      </c>
      <c r="M34">
        <f t="shared" si="0"/>
        <v>0</v>
      </c>
      <c r="N34">
        <f t="shared" si="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35"/>
  <sheetViews>
    <sheetView workbookViewId="0">
      <selection activeCell="A13" sqref="A13"/>
    </sheetView>
  </sheetViews>
  <sheetFormatPr defaultRowHeight="14.25" x14ac:dyDescent="0.45"/>
  <cols>
    <col min="1" max="1" width="6.265625" bestFit="1" customWidth="1"/>
  </cols>
  <sheetData>
    <row r="1" spans="1:2" x14ac:dyDescent="0.45">
      <c r="A1" t="s">
        <v>134</v>
      </c>
      <c r="B1" t="s">
        <v>128</v>
      </c>
    </row>
    <row r="2" spans="1:2" x14ac:dyDescent="0.45">
      <c r="A2" s="26">
        <v>3</v>
      </c>
      <c r="B2" t="s">
        <v>92</v>
      </c>
    </row>
    <row r="3" spans="1:2" x14ac:dyDescent="0.45">
      <c r="A3" s="26">
        <v>4</v>
      </c>
      <c r="B3" t="s">
        <v>93</v>
      </c>
    </row>
    <row r="4" spans="1:2" x14ac:dyDescent="0.45">
      <c r="A4" s="26">
        <v>6</v>
      </c>
      <c r="B4" t="s">
        <v>94</v>
      </c>
    </row>
    <row r="5" spans="1:2" x14ac:dyDescent="0.45">
      <c r="A5" s="26">
        <v>7</v>
      </c>
      <c r="B5" t="s">
        <v>95</v>
      </c>
    </row>
    <row r="6" spans="1:2" x14ac:dyDescent="0.45">
      <c r="A6" s="26">
        <v>8</v>
      </c>
      <c r="B6" t="s">
        <v>96</v>
      </c>
    </row>
    <row r="7" spans="1:2" x14ac:dyDescent="0.45">
      <c r="A7" s="26">
        <v>9</v>
      </c>
      <c r="B7" t="s">
        <v>97</v>
      </c>
    </row>
    <row r="8" spans="1:2" x14ac:dyDescent="0.45">
      <c r="A8" s="26">
        <v>14</v>
      </c>
      <c r="B8" t="s">
        <v>98</v>
      </c>
    </row>
    <row r="9" spans="1:2" x14ac:dyDescent="0.45">
      <c r="A9" s="26">
        <v>17</v>
      </c>
      <c r="B9" t="s">
        <v>99</v>
      </c>
    </row>
    <row r="10" spans="1:2" x14ac:dyDescent="0.45">
      <c r="A10" s="26">
        <v>18</v>
      </c>
      <c r="B10" t="s">
        <v>100</v>
      </c>
    </row>
    <row r="11" spans="1:2" x14ac:dyDescent="0.45">
      <c r="A11" s="26">
        <v>19</v>
      </c>
      <c r="B11" t="s">
        <v>101</v>
      </c>
    </row>
    <row r="12" spans="1:2" x14ac:dyDescent="0.45">
      <c r="A12" s="26">
        <v>22</v>
      </c>
      <c r="B12" t="s">
        <v>102</v>
      </c>
    </row>
    <row r="13" spans="1:2" x14ac:dyDescent="0.45">
      <c r="A13" s="26">
        <v>23</v>
      </c>
      <c r="B13" t="s">
        <v>103</v>
      </c>
    </row>
    <row r="14" spans="1:2" x14ac:dyDescent="0.45">
      <c r="A14" s="26">
        <v>28</v>
      </c>
      <c r="B14" t="s">
        <v>104</v>
      </c>
    </row>
    <row r="15" spans="1:2" x14ac:dyDescent="0.45">
      <c r="A15" s="26">
        <v>29</v>
      </c>
      <c r="B15" t="s">
        <v>105</v>
      </c>
    </row>
    <row r="16" spans="1:2" x14ac:dyDescent="0.45">
      <c r="A16" s="26">
        <v>34</v>
      </c>
      <c r="B16" t="s">
        <v>106</v>
      </c>
    </row>
    <row r="17" spans="1:2" x14ac:dyDescent="0.45">
      <c r="A17" s="26">
        <v>41</v>
      </c>
      <c r="B17" t="s">
        <v>107</v>
      </c>
    </row>
    <row r="18" spans="1:2" x14ac:dyDescent="0.45">
      <c r="A18" s="26">
        <v>42</v>
      </c>
      <c r="B18" t="s">
        <v>108</v>
      </c>
    </row>
    <row r="19" spans="1:2" x14ac:dyDescent="0.45">
      <c r="A19" s="26">
        <v>50</v>
      </c>
      <c r="B19" t="s">
        <v>109</v>
      </c>
    </row>
    <row r="20" spans="1:2" x14ac:dyDescent="0.45">
      <c r="A20" s="26">
        <v>52</v>
      </c>
      <c r="B20" t="s">
        <v>110</v>
      </c>
    </row>
    <row r="21" spans="1:2" x14ac:dyDescent="0.45">
      <c r="A21" s="26">
        <v>55</v>
      </c>
      <c r="B21" t="s">
        <v>111</v>
      </c>
    </row>
    <row r="22" spans="1:2" x14ac:dyDescent="0.45">
      <c r="A22" s="26">
        <v>56</v>
      </c>
      <c r="B22" t="s">
        <v>112</v>
      </c>
    </row>
    <row r="23" spans="1:2" x14ac:dyDescent="0.45">
      <c r="A23" s="26">
        <v>64</v>
      </c>
      <c r="B23" t="s">
        <v>113</v>
      </c>
    </row>
    <row r="24" spans="1:2" x14ac:dyDescent="0.45">
      <c r="A24" s="26">
        <v>70</v>
      </c>
      <c r="B24" t="s">
        <v>114</v>
      </c>
    </row>
    <row r="25" spans="1:2" x14ac:dyDescent="0.45">
      <c r="A25" s="26">
        <v>75</v>
      </c>
      <c r="B25" t="s">
        <v>115</v>
      </c>
    </row>
    <row r="26" spans="1:2" x14ac:dyDescent="0.45">
      <c r="A26" s="26">
        <v>76</v>
      </c>
      <c r="B26" t="s">
        <v>116</v>
      </c>
    </row>
    <row r="27" spans="1:2" x14ac:dyDescent="0.45">
      <c r="A27" s="26">
        <v>77</v>
      </c>
      <c r="B27" t="s">
        <v>117</v>
      </c>
    </row>
    <row r="28" spans="1:2" x14ac:dyDescent="0.45">
      <c r="A28" s="26">
        <v>79</v>
      </c>
      <c r="B28" t="s">
        <v>118</v>
      </c>
    </row>
    <row r="29" spans="1:2" x14ac:dyDescent="0.45">
      <c r="A29" s="26">
        <v>84</v>
      </c>
      <c r="B29" t="s">
        <v>119</v>
      </c>
    </row>
    <row r="30" spans="1:2" x14ac:dyDescent="0.45">
      <c r="A30" s="26">
        <v>86</v>
      </c>
      <c r="B30" t="s">
        <v>120</v>
      </c>
    </row>
    <row r="31" spans="1:2" x14ac:dyDescent="0.45">
      <c r="A31" s="26">
        <v>87</v>
      </c>
      <c r="B31" t="s">
        <v>121</v>
      </c>
    </row>
    <row r="32" spans="1:2" x14ac:dyDescent="0.45">
      <c r="A32" s="26">
        <v>89</v>
      </c>
      <c r="B32" t="s">
        <v>122</v>
      </c>
    </row>
    <row r="33" spans="1:2" x14ac:dyDescent="0.45">
      <c r="A33" s="26">
        <v>90</v>
      </c>
      <c r="B33" t="s">
        <v>123</v>
      </c>
    </row>
    <row r="34" spans="1:2" x14ac:dyDescent="0.45">
      <c r="A34" s="26">
        <v>93</v>
      </c>
      <c r="B34" t="s">
        <v>124</v>
      </c>
    </row>
    <row r="35" spans="1:2" x14ac:dyDescent="0.45">
      <c r="A35" s="26">
        <v>95</v>
      </c>
      <c r="B35" t="s">
        <v>125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44"/>
  <sheetViews>
    <sheetView workbookViewId="0">
      <selection activeCell="E22" sqref="E22"/>
    </sheetView>
  </sheetViews>
  <sheetFormatPr defaultRowHeight="14.25" x14ac:dyDescent="0.45"/>
  <cols>
    <col min="2" max="4" width="35.86328125" bestFit="1" customWidth="1"/>
    <col min="9" max="9" width="10.59765625" style="112" bestFit="1" customWidth="1"/>
    <col min="10" max="10" width="33" style="112" bestFit="1" customWidth="1"/>
    <col min="11" max="13" width="9.1328125" style="112" customWidth="1"/>
  </cols>
  <sheetData>
    <row r="1" spans="1:13" x14ac:dyDescent="0.45">
      <c r="A1" s="4" t="s">
        <v>135</v>
      </c>
      <c r="B1" s="4" t="s">
        <v>136</v>
      </c>
      <c r="C1" s="4" t="s">
        <v>137</v>
      </c>
      <c r="D1" s="4" t="s">
        <v>128</v>
      </c>
      <c r="E1" s="22" t="s">
        <v>6</v>
      </c>
      <c r="F1" s="22" t="s">
        <v>138</v>
      </c>
      <c r="I1" s="112" t="s">
        <v>139</v>
      </c>
      <c r="J1" s="112" t="s">
        <v>140</v>
      </c>
      <c r="K1" s="112" t="s">
        <v>141</v>
      </c>
      <c r="L1" s="112" t="s">
        <v>6</v>
      </c>
      <c r="M1" s="112" t="s">
        <v>138</v>
      </c>
    </row>
    <row r="2" spans="1:13" x14ac:dyDescent="0.45">
      <c r="A2" s="112">
        <v>3</v>
      </c>
      <c r="B2" s="112" t="str">
        <f>VLOOKUP(A2,Obs_Ridership!$B:$D,3,FALSE)</f>
        <v>Rte 3 West End (Bellevue) IB</v>
      </c>
      <c r="C2" t="str">
        <f t="shared" ref="C2:C35" si="0">VLOOKUP(A2,$I:$L,2,FALSE)</f>
        <v>Rte 3 West End (White Bridge) IB</v>
      </c>
      <c r="D2" t="str">
        <f t="shared" ref="D2:D35" si="1">IF(ISNUMBER(SEARCH("IB",B2)),LEFT(B2,LEN(B2)-3),IF(ISNUMBER(SEARCH("OB",B2)),LEFT(B2,LEN(B2)-3),B2))</f>
        <v>Rte 3 West End (Bellevue)</v>
      </c>
      <c r="E2">
        <f t="shared" ref="E2:E35" si="2">VLOOKUP($B2,$J:$L,3,FALSE)</f>
        <v>1</v>
      </c>
      <c r="F2">
        <f t="shared" ref="F2:F35" si="3">VLOOKUP($B2,$J:$M,4,FALSE)</f>
        <v>54</v>
      </c>
      <c r="I2" s="112">
        <v>3</v>
      </c>
      <c r="J2" s="112" t="s">
        <v>142</v>
      </c>
      <c r="K2" s="112">
        <v>4</v>
      </c>
      <c r="L2" s="112">
        <v>1</v>
      </c>
      <c r="M2" s="112">
        <v>55</v>
      </c>
    </row>
    <row r="3" spans="1:13" x14ac:dyDescent="0.45">
      <c r="A3" s="112">
        <v>4</v>
      </c>
      <c r="B3" s="112" t="str">
        <f>VLOOKUP(A3,Obs_Ridership!$B:$D,3,FALSE)</f>
        <v>Rte 4 Shelby IB</v>
      </c>
      <c r="C3" t="str">
        <f t="shared" si="0"/>
        <v>Rte 4 Shelby IB</v>
      </c>
      <c r="D3" t="str">
        <f t="shared" si="1"/>
        <v>Rte 4 Shelby</v>
      </c>
      <c r="E3">
        <f t="shared" si="2"/>
        <v>1</v>
      </c>
      <c r="F3">
        <f t="shared" si="3"/>
        <v>57</v>
      </c>
      <c r="I3" s="112">
        <v>3</v>
      </c>
      <c r="J3" s="112" t="s">
        <v>92</v>
      </c>
      <c r="K3" s="112">
        <v>4</v>
      </c>
      <c r="L3" s="112">
        <v>1</v>
      </c>
      <c r="M3" s="112">
        <v>54</v>
      </c>
    </row>
    <row r="4" spans="1:13" x14ac:dyDescent="0.45">
      <c r="A4" s="112">
        <v>6</v>
      </c>
      <c r="B4" s="112" t="str">
        <f>VLOOKUP(A4,Obs_Ridership!$B:$D,3,FALSE)</f>
        <v>Rte 6 Lebanon Rd IB</v>
      </c>
      <c r="C4" t="str">
        <f t="shared" si="0"/>
        <v>Rte 6 Lebanon Rd OB</v>
      </c>
      <c r="D4" t="str">
        <f t="shared" si="1"/>
        <v>Rte 6 Lebanon Rd</v>
      </c>
      <c r="E4">
        <f t="shared" si="2"/>
        <v>1</v>
      </c>
      <c r="F4">
        <f t="shared" si="3"/>
        <v>67</v>
      </c>
      <c r="I4" s="112">
        <v>3</v>
      </c>
      <c r="J4" s="112" t="s">
        <v>143</v>
      </c>
      <c r="K4" s="112">
        <v>4</v>
      </c>
      <c r="L4" s="112">
        <v>1</v>
      </c>
      <c r="M4" s="112">
        <v>54</v>
      </c>
    </row>
    <row r="5" spans="1:13" x14ac:dyDescent="0.45">
      <c r="A5" s="112">
        <v>7</v>
      </c>
      <c r="B5" s="112" t="str">
        <f>VLOOKUP(A5,Obs_Ridership!$B:$D,3,FALSE)</f>
        <v>Rte 7 Hillsboro IB</v>
      </c>
      <c r="C5" t="str">
        <f t="shared" si="0"/>
        <v>Rte 7 Hillsboro IB</v>
      </c>
      <c r="D5" t="str">
        <f t="shared" si="1"/>
        <v>Rte 7 Hillsboro</v>
      </c>
      <c r="E5">
        <f t="shared" si="2"/>
        <v>1</v>
      </c>
      <c r="F5">
        <f t="shared" si="3"/>
        <v>68</v>
      </c>
      <c r="I5" s="112">
        <v>3</v>
      </c>
      <c r="J5" s="112" t="s">
        <v>144</v>
      </c>
      <c r="K5" s="112">
        <v>4</v>
      </c>
      <c r="L5" s="112">
        <v>1</v>
      </c>
      <c r="M5" s="112">
        <v>55</v>
      </c>
    </row>
    <row r="6" spans="1:13" x14ac:dyDescent="0.45">
      <c r="A6" s="112">
        <v>8</v>
      </c>
      <c r="B6" s="112" t="str">
        <f>VLOOKUP(A6,Obs_Ridership!$B:$D,3,FALSE)</f>
        <v>Rte 8 8TH AVENUE SOUTH iB</v>
      </c>
      <c r="C6" t="str">
        <f t="shared" si="0"/>
        <v>Rte 8 8TH AVENUE SOUTH iB</v>
      </c>
      <c r="D6" t="str">
        <f t="shared" si="1"/>
        <v>Rte 8 8TH AVENUE SOUTH</v>
      </c>
      <c r="E6">
        <f t="shared" si="2"/>
        <v>1</v>
      </c>
      <c r="F6">
        <f t="shared" si="3"/>
        <v>73</v>
      </c>
      <c r="I6" s="112">
        <v>4</v>
      </c>
      <c r="J6" s="112" t="s">
        <v>93</v>
      </c>
      <c r="K6" s="112">
        <v>4</v>
      </c>
      <c r="L6" s="112">
        <v>1</v>
      </c>
      <c r="M6" s="112">
        <v>57</v>
      </c>
    </row>
    <row r="7" spans="1:13" x14ac:dyDescent="0.45">
      <c r="A7" s="112">
        <v>9</v>
      </c>
      <c r="B7" s="112" t="str">
        <f>VLOOKUP(A7,Obs_Ridership!$B:$D,3,FALSE)</f>
        <v>Rte 9 MetroCenter IB</v>
      </c>
      <c r="C7" t="str">
        <f t="shared" si="0"/>
        <v>Rte 9 MetroCenter OB</v>
      </c>
      <c r="D7" t="str">
        <f t="shared" si="1"/>
        <v>Rte 9 MetroCenter</v>
      </c>
      <c r="E7">
        <f t="shared" si="2"/>
        <v>1</v>
      </c>
      <c r="F7">
        <f t="shared" si="3"/>
        <v>78</v>
      </c>
      <c r="I7" s="112">
        <v>4</v>
      </c>
      <c r="J7" s="112" t="s">
        <v>145</v>
      </c>
      <c r="K7" s="112">
        <v>4</v>
      </c>
      <c r="L7" s="112">
        <v>1</v>
      </c>
      <c r="M7" s="112">
        <v>57</v>
      </c>
    </row>
    <row r="8" spans="1:13" x14ac:dyDescent="0.45">
      <c r="A8" s="112">
        <v>14</v>
      </c>
      <c r="B8" s="112" t="str">
        <f>VLOOKUP(A8,Obs_Ridership!$B:$D,3,FALSE)</f>
        <v>Rte 14 WHITES CREEK iB</v>
      </c>
      <c r="C8" t="str">
        <f t="shared" si="0"/>
        <v>Rte 14 WHITES CREEK oB</v>
      </c>
      <c r="D8" t="str">
        <f t="shared" si="1"/>
        <v>Rte 14 WHITES CREEK</v>
      </c>
      <c r="E8">
        <f t="shared" si="2"/>
        <v>1</v>
      </c>
      <c r="F8">
        <f t="shared" si="3"/>
        <v>42</v>
      </c>
      <c r="I8" s="112">
        <v>6</v>
      </c>
      <c r="J8" s="112" t="s">
        <v>146</v>
      </c>
      <c r="K8" s="112">
        <v>4</v>
      </c>
      <c r="L8" s="112">
        <v>1</v>
      </c>
      <c r="M8" s="112">
        <v>67</v>
      </c>
    </row>
    <row r="9" spans="1:13" x14ac:dyDescent="0.45">
      <c r="A9" s="112">
        <v>17</v>
      </c>
      <c r="B9" s="112" t="str">
        <f>VLOOKUP(A9,Obs_Ridership!$B:$D,3,FALSE)</f>
        <v>Rte 17 12TH AVENUE SOUTH iB</v>
      </c>
      <c r="C9" t="str">
        <f t="shared" si="0"/>
        <v>Rte 17 12TH AVENUE SOUTH iB</v>
      </c>
      <c r="D9" t="str">
        <f t="shared" si="1"/>
        <v>Rte 17 12TH AVENUE SOUTH</v>
      </c>
      <c r="E9">
        <f t="shared" si="2"/>
        <v>1</v>
      </c>
      <c r="F9">
        <f t="shared" si="3"/>
        <v>43</v>
      </c>
      <c r="I9" s="112">
        <v>6</v>
      </c>
      <c r="J9" s="112" t="s">
        <v>94</v>
      </c>
      <c r="K9" s="112">
        <v>4</v>
      </c>
      <c r="L9" s="112">
        <v>1</v>
      </c>
      <c r="M9" s="112">
        <v>67</v>
      </c>
    </row>
    <row r="10" spans="1:13" x14ac:dyDescent="0.45">
      <c r="A10" s="112">
        <v>18</v>
      </c>
      <c r="B10" s="112" t="str">
        <f>VLOOKUP(A10,Obs_Ridership!$B:$D,3,FALSE)</f>
        <v>Rte 18 Airport Exp IB</v>
      </c>
      <c r="C10" t="str">
        <f t="shared" si="0"/>
        <v>Rte 18 Airport Exp OB</v>
      </c>
      <c r="D10" t="str">
        <f t="shared" si="1"/>
        <v>Rte 18 Airport Exp</v>
      </c>
      <c r="E10">
        <f t="shared" si="2"/>
        <v>6</v>
      </c>
      <c r="F10">
        <f t="shared" si="3"/>
        <v>44</v>
      </c>
      <c r="I10" s="112">
        <v>7</v>
      </c>
      <c r="J10" s="112" t="s">
        <v>95</v>
      </c>
      <c r="K10" s="112">
        <v>4</v>
      </c>
      <c r="L10" s="112">
        <v>1</v>
      </c>
      <c r="M10" s="112">
        <v>68</v>
      </c>
    </row>
    <row r="11" spans="1:13" x14ac:dyDescent="0.45">
      <c r="A11" s="112">
        <v>19</v>
      </c>
      <c r="B11" s="112" t="str">
        <f>VLOOKUP(A11,Obs_Ridership!$B:$D,3,FALSE)</f>
        <v>Rte 19 Herman IB</v>
      </c>
      <c r="C11" t="str">
        <f t="shared" si="0"/>
        <v>Rte 19 Herman IB</v>
      </c>
      <c r="D11" t="str">
        <f t="shared" si="1"/>
        <v>Rte 19 Herman</v>
      </c>
      <c r="E11">
        <f t="shared" si="2"/>
        <v>1</v>
      </c>
      <c r="F11">
        <f t="shared" si="3"/>
        <v>46</v>
      </c>
      <c r="I11" s="112">
        <v>7</v>
      </c>
      <c r="J11" s="112" t="s">
        <v>147</v>
      </c>
      <c r="K11" s="112">
        <v>4</v>
      </c>
      <c r="L11" s="112">
        <v>1</v>
      </c>
      <c r="M11" s="112">
        <v>68</v>
      </c>
    </row>
    <row r="12" spans="1:13" x14ac:dyDescent="0.45">
      <c r="A12" s="112">
        <v>22</v>
      </c>
      <c r="B12" s="112" t="str">
        <f>VLOOKUP(A12,Obs_Ridership!$B:$D,3,FALSE)</f>
        <v>Rte 22 Bordeaux (Kings Ln) IB</v>
      </c>
      <c r="C12" t="str">
        <f t="shared" si="0"/>
        <v>Rte 22 Bordeaux (Panaroma) IB</v>
      </c>
      <c r="D12" t="str">
        <f t="shared" si="1"/>
        <v>Rte 22 Bordeaux (Kings Ln)</v>
      </c>
      <c r="E12">
        <f t="shared" si="2"/>
        <v>1</v>
      </c>
      <c r="F12">
        <f t="shared" si="3"/>
        <v>47</v>
      </c>
      <c r="I12" s="112">
        <v>8</v>
      </c>
      <c r="J12" s="112" t="s">
        <v>96</v>
      </c>
      <c r="K12" s="112">
        <v>4</v>
      </c>
      <c r="L12" s="112">
        <v>1</v>
      </c>
      <c r="M12" s="112">
        <v>73</v>
      </c>
    </row>
    <row r="13" spans="1:13" x14ac:dyDescent="0.45">
      <c r="A13" s="112">
        <v>23</v>
      </c>
      <c r="B13" s="112" t="str">
        <f>VLOOKUP(A13,Obs_Ridership!$B:$D,3,FALSE)</f>
        <v>Rte 23 Dickerson Pike IB</v>
      </c>
      <c r="C13" t="str">
        <f t="shared" si="0"/>
        <v>Rte 23 Dickerson Pike OB</v>
      </c>
      <c r="D13" t="str">
        <f t="shared" si="1"/>
        <v>Rte 23 Dickerson Pike</v>
      </c>
      <c r="E13">
        <f t="shared" si="2"/>
        <v>1</v>
      </c>
      <c r="F13">
        <f t="shared" si="3"/>
        <v>49</v>
      </c>
      <c r="I13" s="112">
        <v>8</v>
      </c>
      <c r="J13" s="112" t="s">
        <v>148</v>
      </c>
      <c r="K13" s="112">
        <v>4</v>
      </c>
      <c r="L13" s="112">
        <v>1</v>
      </c>
      <c r="M13" s="112">
        <v>73</v>
      </c>
    </row>
    <row r="14" spans="1:13" x14ac:dyDescent="0.45">
      <c r="A14" s="112">
        <v>28</v>
      </c>
      <c r="B14" s="112" t="str">
        <f>VLOOKUP(A14,Obs_Ridership!$B:$D,3,FALSE)</f>
        <v>Rte 28 Meridian IB</v>
      </c>
      <c r="C14" t="str">
        <f t="shared" si="0"/>
        <v>Rte 28 Meridian IB</v>
      </c>
      <c r="D14" t="str">
        <f t="shared" si="1"/>
        <v>Rte 28 Meridian</v>
      </c>
      <c r="E14">
        <f t="shared" si="2"/>
        <v>1</v>
      </c>
      <c r="F14">
        <f t="shared" si="3"/>
        <v>52</v>
      </c>
      <c r="I14" s="112">
        <v>9</v>
      </c>
      <c r="J14" s="112" t="s">
        <v>149</v>
      </c>
      <c r="K14" s="112">
        <v>4</v>
      </c>
      <c r="L14" s="112">
        <v>1</v>
      </c>
      <c r="M14" s="112">
        <v>78</v>
      </c>
    </row>
    <row r="15" spans="1:13" x14ac:dyDescent="0.45">
      <c r="A15" s="112">
        <v>29</v>
      </c>
      <c r="B15" s="112" t="str">
        <f>VLOOKUP(A15,Obs_Ridership!$B:$D,3,FALSE)</f>
        <v>Rte 29 Jefferson IB</v>
      </c>
      <c r="C15" t="str">
        <f t="shared" si="0"/>
        <v>Rte 29 Jefferson IB</v>
      </c>
      <c r="D15" t="str">
        <f t="shared" si="1"/>
        <v>Rte 29 Jefferson</v>
      </c>
      <c r="E15">
        <f t="shared" si="2"/>
        <v>1</v>
      </c>
      <c r="F15">
        <f t="shared" si="3"/>
        <v>53</v>
      </c>
      <c r="I15" s="112">
        <v>9</v>
      </c>
      <c r="J15" s="112" t="s">
        <v>97</v>
      </c>
      <c r="K15" s="112">
        <v>4</v>
      </c>
      <c r="L15" s="112">
        <v>1</v>
      </c>
      <c r="M15" s="112">
        <v>78</v>
      </c>
    </row>
    <row r="16" spans="1:13" x14ac:dyDescent="0.45">
      <c r="A16" s="112">
        <v>34</v>
      </c>
      <c r="B16" s="112" t="str">
        <f>VLOOKUP(A16,Obs_Ridership!$B:$D,3,FALSE)</f>
        <v>Rte 34 Opry Mills IB</v>
      </c>
      <c r="C16" t="str">
        <f t="shared" si="0"/>
        <v>Rte 34 Opry Mills IB</v>
      </c>
      <c r="D16" t="str">
        <f t="shared" si="1"/>
        <v>Rte 34 Opry Mills</v>
      </c>
      <c r="E16">
        <f t="shared" si="2"/>
        <v>1</v>
      </c>
      <c r="F16">
        <f t="shared" si="3"/>
        <v>56</v>
      </c>
      <c r="I16" s="112">
        <v>14</v>
      </c>
      <c r="J16" s="112" t="s">
        <v>150</v>
      </c>
      <c r="K16" s="112">
        <v>4</v>
      </c>
      <c r="L16" s="112">
        <v>1</v>
      </c>
      <c r="M16" s="112">
        <v>42</v>
      </c>
    </row>
    <row r="17" spans="1:13" x14ac:dyDescent="0.45">
      <c r="A17" s="112">
        <v>41</v>
      </c>
      <c r="B17" s="112" t="str">
        <f>VLOOKUP(A17,Obs_Ridership!$B:$D,3,FALSE)</f>
        <v>Rte 41 Golden Valley IB AM</v>
      </c>
      <c r="C17" t="str">
        <f t="shared" si="0"/>
        <v>Rte 41 Golden Valley OB PM</v>
      </c>
      <c r="D17" t="str">
        <f t="shared" si="1"/>
        <v>Rte 41 Golden Valley IB</v>
      </c>
      <c r="E17">
        <f t="shared" si="2"/>
        <v>1</v>
      </c>
      <c r="F17">
        <f t="shared" si="3"/>
        <v>58</v>
      </c>
      <c r="I17" s="112">
        <v>14</v>
      </c>
      <c r="J17" s="112" t="s">
        <v>98</v>
      </c>
      <c r="K17" s="112">
        <v>4</v>
      </c>
      <c r="L17" s="112">
        <v>1</v>
      </c>
      <c r="M17" s="112">
        <v>42</v>
      </c>
    </row>
    <row r="18" spans="1:13" x14ac:dyDescent="0.45">
      <c r="A18" s="112">
        <v>42</v>
      </c>
      <c r="B18" s="112" t="str">
        <f>VLOOKUP(A18,Obs_Ridership!$B:$D,3,FALSE)</f>
        <v>Rte 42 St. Cecilia/Cumberland IB</v>
      </c>
      <c r="C18" t="str">
        <f t="shared" si="0"/>
        <v>Rte 42 St. Cecilia/Cumberland IB</v>
      </c>
      <c r="D18" t="str">
        <f t="shared" si="1"/>
        <v>Rte 42 St. Cecilia/Cumberland</v>
      </c>
      <c r="E18">
        <f t="shared" si="2"/>
        <v>1</v>
      </c>
      <c r="F18">
        <f t="shared" si="3"/>
        <v>60</v>
      </c>
      <c r="I18" s="112">
        <v>17</v>
      </c>
      <c r="J18" s="112" t="s">
        <v>99</v>
      </c>
      <c r="K18" s="112">
        <v>4</v>
      </c>
      <c r="L18" s="112">
        <v>1</v>
      </c>
      <c r="M18" s="112">
        <v>43</v>
      </c>
    </row>
    <row r="19" spans="1:13" x14ac:dyDescent="0.45">
      <c r="A19" s="112">
        <v>50</v>
      </c>
      <c r="B19" s="112" t="str">
        <f>VLOOKUP(A19,Obs_Ridership!$B:$D,3,FALSE)</f>
        <v>Rte 50 CHARLOTTE PIKE iB</v>
      </c>
      <c r="C19" t="str">
        <f t="shared" si="0"/>
        <v>Rte 50 CHARLOTTE PIKE oB</v>
      </c>
      <c r="D19" t="str">
        <f t="shared" si="1"/>
        <v>Rte 50 CHARLOTTE PIKE</v>
      </c>
      <c r="E19">
        <f t="shared" si="2"/>
        <v>1</v>
      </c>
      <c r="F19">
        <f t="shared" si="3"/>
        <v>61</v>
      </c>
      <c r="I19" s="112">
        <v>17</v>
      </c>
      <c r="J19" s="112" t="s">
        <v>151</v>
      </c>
      <c r="K19" s="112">
        <v>4</v>
      </c>
      <c r="L19" s="112">
        <v>1</v>
      </c>
      <c r="M19" s="112">
        <v>43</v>
      </c>
    </row>
    <row r="20" spans="1:13" x14ac:dyDescent="0.45">
      <c r="A20" s="112">
        <v>52</v>
      </c>
      <c r="B20" s="112" t="str">
        <f>VLOOKUP(A20,Obs_Ridership!$B:$D,3,FALSE)</f>
        <v>Rte 52 NOLENSVILLE PIKE (Hick) iB</v>
      </c>
      <c r="C20" t="str">
        <f t="shared" si="0"/>
        <v>Rte 52 NOLENSVILLE PIKE (Hick) oB</v>
      </c>
      <c r="D20" t="str">
        <f t="shared" si="1"/>
        <v>Rte 52 NOLENSVILLE PIKE (Hick)</v>
      </c>
      <c r="E20">
        <f t="shared" si="2"/>
        <v>1</v>
      </c>
      <c r="F20">
        <f t="shared" si="3"/>
        <v>62</v>
      </c>
      <c r="I20" s="112">
        <v>18</v>
      </c>
      <c r="J20" s="112" t="s">
        <v>152</v>
      </c>
      <c r="K20" s="112">
        <v>5</v>
      </c>
      <c r="L20" s="112">
        <v>6</v>
      </c>
      <c r="M20" s="112">
        <v>44</v>
      </c>
    </row>
    <row r="21" spans="1:13" x14ac:dyDescent="0.45">
      <c r="A21" s="112">
        <v>55</v>
      </c>
      <c r="B21" s="112" t="str">
        <f>VLOOKUP(A21,Obs_Ridership!$B:$D,3,FALSE)</f>
        <v>Rte 55 MURFREESBORO PIKE iB</v>
      </c>
      <c r="C21" t="str">
        <f t="shared" si="0"/>
        <v>Rte 55 MURFREESBORO PIKE oB</v>
      </c>
      <c r="D21" t="str">
        <f t="shared" si="1"/>
        <v>Rte 55 MURFREESBORO PIKE</v>
      </c>
      <c r="E21">
        <f t="shared" si="2"/>
        <v>1</v>
      </c>
      <c r="F21">
        <f t="shared" si="3"/>
        <v>64</v>
      </c>
      <c r="I21" s="112">
        <v>18</v>
      </c>
      <c r="J21" s="112" t="s">
        <v>153</v>
      </c>
      <c r="K21" s="112">
        <v>4</v>
      </c>
      <c r="L21" s="112">
        <v>1</v>
      </c>
      <c r="M21" s="112">
        <v>45</v>
      </c>
    </row>
    <row r="22" spans="1:13" x14ac:dyDescent="0.45">
      <c r="A22" s="112">
        <v>56</v>
      </c>
      <c r="B22" s="112" t="str">
        <f>VLOOKUP(A22,Obs_Ridership!$B:$D,3,FALSE)</f>
        <v>Rte 56 Gallatin Rd BRTmix IB</v>
      </c>
      <c r="C22" t="str">
        <f t="shared" si="0"/>
        <v>Rte 56 Gallatin Rd IB</v>
      </c>
      <c r="D22" t="str">
        <f t="shared" si="1"/>
        <v>Rte 56 Gallatin Rd BRTmix</v>
      </c>
      <c r="E22">
        <f t="shared" si="2"/>
        <v>8</v>
      </c>
      <c r="F22">
        <f t="shared" si="3"/>
        <v>65</v>
      </c>
      <c r="I22" s="112">
        <v>18</v>
      </c>
      <c r="J22" s="112" t="s">
        <v>154</v>
      </c>
      <c r="K22" s="112">
        <v>4</v>
      </c>
      <c r="L22" s="112">
        <v>1</v>
      </c>
      <c r="M22" s="112">
        <v>45</v>
      </c>
    </row>
    <row r="23" spans="1:13" x14ac:dyDescent="0.45">
      <c r="A23" s="112">
        <v>64</v>
      </c>
      <c r="B23" s="112" t="str">
        <f>VLOOKUP(A23,Obs_Ridership!$B:$D,3,FALSE)</f>
        <v>Rte 64 STAR DOWNTOWN SHUTTLE</v>
      </c>
      <c r="C23" t="str">
        <f t="shared" si="0"/>
        <v>Rte 64 STAR DOWNTOWN SHUTTLE</v>
      </c>
      <c r="D23" t="str">
        <f t="shared" si="1"/>
        <v>Rte 64 STAR DOWNTOWN SHUTTLE</v>
      </c>
      <c r="E23">
        <f t="shared" si="2"/>
        <v>11</v>
      </c>
      <c r="F23">
        <f t="shared" si="3"/>
        <v>83</v>
      </c>
      <c r="I23" s="112">
        <v>18</v>
      </c>
      <c r="J23" s="112" t="s">
        <v>100</v>
      </c>
      <c r="K23" s="112">
        <v>5</v>
      </c>
      <c r="L23" s="112">
        <v>6</v>
      </c>
      <c r="M23" s="112">
        <v>44</v>
      </c>
    </row>
    <row r="24" spans="1:13" x14ac:dyDescent="0.45">
      <c r="A24" s="112">
        <v>70</v>
      </c>
      <c r="B24" s="112" t="str">
        <f>VLOOKUP(A24,Obs_Ridership!$B:$D,3,FALSE)</f>
        <v>Rte 70 Belevue Conn IB</v>
      </c>
      <c r="C24" t="str">
        <f t="shared" si="0"/>
        <v>Rte 70 Belevue Conn OB</v>
      </c>
      <c r="D24" t="str">
        <f t="shared" si="1"/>
        <v>Rte 70 Belevue Conn</v>
      </c>
      <c r="E24">
        <f t="shared" si="2"/>
        <v>1</v>
      </c>
      <c r="F24">
        <f t="shared" si="3"/>
        <v>69</v>
      </c>
      <c r="I24" s="112">
        <v>19</v>
      </c>
      <c r="J24" s="112" t="s">
        <v>101</v>
      </c>
      <c r="K24" s="112">
        <v>4</v>
      </c>
      <c r="L24" s="112">
        <v>1</v>
      </c>
      <c r="M24" s="112">
        <v>46</v>
      </c>
    </row>
    <row r="25" spans="1:13" x14ac:dyDescent="0.45">
      <c r="A25" s="112">
        <v>75</v>
      </c>
      <c r="B25" s="112" t="str">
        <f>VLOOKUP(A25,Obs_Ridership!$B:$D,3,FALSE)</f>
        <v>Rte 75 Midtown CCW Loop</v>
      </c>
      <c r="C25" t="str">
        <f t="shared" si="0"/>
        <v>Rte 75 Midtown CW Loop</v>
      </c>
      <c r="D25" t="str">
        <f t="shared" si="1"/>
        <v>Rte 75 Midtown CCW Loop</v>
      </c>
      <c r="E25">
        <f t="shared" si="2"/>
        <v>1</v>
      </c>
      <c r="F25">
        <f t="shared" si="3"/>
        <v>70</v>
      </c>
      <c r="I25" s="112">
        <v>19</v>
      </c>
      <c r="J25" s="112" t="s">
        <v>155</v>
      </c>
      <c r="K25" s="112">
        <v>4</v>
      </c>
      <c r="L25" s="112">
        <v>1</v>
      </c>
      <c r="M25" s="112">
        <v>46</v>
      </c>
    </row>
    <row r="26" spans="1:13" x14ac:dyDescent="0.45">
      <c r="A26" s="112">
        <v>76</v>
      </c>
      <c r="B26" s="112" t="str">
        <f>VLOOKUP(A26,Obs_Ridership!$B:$D,3,FALSE)</f>
        <v>Rte 76 Madison Conn</v>
      </c>
      <c r="C26" t="str">
        <f t="shared" si="0"/>
        <v>Rte 76 Madison Conn</v>
      </c>
      <c r="D26" t="str">
        <f t="shared" si="1"/>
        <v>Rte 76 Madison Conn</v>
      </c>
      <c r="E26">
        <f t="shared" si="2"/>
        <v>1</v>
      </c>
      <c r="F26">
        <f t="shared" si="3"/>
        <v>85</v>
      </c>
      <c r="I26" s="112">
        <v>22</v>
      </c>
      <c r="J26" s="112" t="s">
        <v>156</v>
      </c>
      <c r="K26" s="112">
        <v>4</v>
      </c>
      <c r="L26" s="112">
        <v>1</v>
      </c>
      <c r="M26" s="112">
        <v>48</v>
      </c>
    </row>
    <row r="27" spans="1:13" x14ac:dyDescent="0.45">
      <c r="A27" s="112">
        <v>77</v>
      </c>
      <c r="B27" s="112" t="str">
        <f>VLOOKUP(A27,Obs_Ridership!$B:$D,3,FALSE)</f>
        <v>Rte 77 THOMPSON - WEDGEWOOD ccw</v>
      </c>
      <c r="C27" t="str">
        <f t="shared" si="0"/>
        <v>Rte 77 THOMPSON - WEDGEWOOD ccw</v>
      </c>
      <c r="D27" t="str">
        <f t="shared" si="1"/>
        <v>Rte 77 THOMPSON - WEDGEWOOD ccw</v>
      </c>
      <c r="E27">
        <f t="shared" si="2"/>
        <v>1</v>
      </c>
      <c r="F27">
        <f t="shared" si="3"/>
        <v>71</v>
      </c>
      <c r="I27" s="112">
        <v>22</v>
      </c>
      <c r="J27" s="112" t="s">
        <v>157</v>
      </c>
      <c r="K27" s="112">
        <v>4</v>
      </c>
      <c r="L27" s="112">
        <v>1</v>
      </c>
      <c r="M27" s="112">
        <v>48</v>
      </c>
    </row>
    <row r="28" spans="1:13" x14ac:dyDescent="0.45">
      <c r="A28" s="112">
        <v>79</v>
      </c>
      <c r="B28" s="112" t="str">
        <f>VLOOKUP(A28,Obs_Ridership!$B:$D,3,FALSE)</f>
        <v>Rte 79 Skyline iB</v>
      </c>
      <c r="C28" t="str">
        <f t="shared" si="0"/>
        <v>Rte 79 Skyline iB</v>
      </c>
      <c r="D28" t="str">
        <f t="shared" si="1"/>
        <v>Rte 79 Skyline</v>
      </c>
      <c r="E28">
        <f t="shared" si="2"/>
        <v>1</v>
      </c>
      <c r="F28">
        <f t="shared" si="3"/>
        <v>72</v>
      </c>
      <c r="I28" s="112">
        <v>22</v>
      </c>
      <c r="J28" s="112" t="s">
        <v>158</v>
      </c>
      <c r="K28" s="112">
        <v>4</v>
      </c>
      <c r="L28" s="112">
        <v>1</v>
      </c>
      <c r="M28" s="112">
        <v>47</v>
      </c>
    </row>
    <row r="29" spans="1:13" x14ac:dyDescent="0.45">
      <c r="A29" s="112">
        <v>84</v>
      </c>
      <c r="B29" s="112" t="str">
        <f>VLOOKUP(A29,Obs_Ridership!$B:$D,3,FALSE)</f>
        <v>Rte 84 Murfreesboro Express IB</v>
      </c>
      <c r="C29" t="str">
        <f t="shared" si="0"/>
        <v>Rte 84 Murfreesboro Express OB</v>
      </c>
      <c r="D29" t="str">
        <f t="shared" si="1"/>
        <v>Rte 84 Murfreesboro Express</v>
      </c>
      <c r="E29">
        <f t="shared" si="2"/>
        <v>6</v>
      </c>
      <c r="F29">
        <f t="shared" si="3"/>
        <v>74</v>
      </c>
      <c r="I29" s="112">
        <v>22</v>
      </c>
      <c r="J29" s="112" t="s">
        <v>102</v>
      </c>
      <c r="K29" s="112">
        <v>4</v>
      </c>
      <c r="L29" s="112">
        <v>1</v>
      </c>
      <c r="M29" s="112">
        <v>47</v>
      </c>
    </row>
    <row r="30" spans="1:13" x14ac:dyDescent="0.45">
      <c r="A30" s="112">
        <v>86</v>
      </c>
      <c r="B30" s="112" t="str">
        <f>VLOOKUP(A30,Obs_Ridership!$B:$D,3,FALSE)</f>
        <v>Rte 86 Smyrna Lavergne Exp IB</v>
      </c>
      <c r="C30" t="str">
        <f t="shared" si="0"/>
        <v>Rte 86 Smyrna Lavergne Exp OB</v>
      </c>
      <c r="D30" t="str">
        <f t="shared" si="1"/>
        <v>Rte 86 Smyrna Lavergne Exp</v>
      </c>
      <c r="E30">
        <f t="shared" si="2"/>
        <v>6</v>
      </c>
      <c r="F30">
        <f t="shared" si="3"/>
        <v>75</v>
      </c>
      <c r="I30" s="112">
        <v>23</v>
      </c>
      <c r="J30" s="112" t="s">
        <v>159</v>
      </c>
      <c r="K30" s="112">
        <v>4</v>
      </c>
      <c r="L30" s="112">
        <v>1</v>
      </c>
      <c r="M30" s="112">
        <v>49</v>
      </c>
    </row>
    <row r="31" spans="1:13" x14ac:dyDescent="0.45">
      <c r="A31" s="112">
        <v>87</v>
      </c>
      <c r="B31" s="112" t="str">
        <f>VLOOKUP(A31,Obs_Ridership!$B:$D,3,FALSE)</f>
        <v>Rte 87 Gallatin Comm Bus IB</v>
      </c>
      <c r="C31" t="str">
        <f t="shared" si="0"/>
        <v>Rte 87 Gallatin Comm Bus OB</v>
      </c>
      <c r="D31" t="str">
        <f t="shared" si="1"/>
        <v>Rte 87 Gallatin Comm Bus</v>
      </c>
      <c r="E31">
        <f t="shared" si="2"/>
        <v>7</v>
      </c>
      <c r="F31">
        <f t="shared" si="3"/>
        <v>76</v>
      </c>
      <c r="I31" s="112">
        <v>23</v>
      </c>
      <c r="J31" s="112" t="s">
        <v>103</v>
      </c>
      <c r="K31" s="112">
        <v>4</v>
      </c>
      <c r="L31" s="112">
        <v>1</v>
      </c>
      <c r="M31" s="112">
        <v>49</v>
      </c>
    </row>
    <row r="32" spans="1:13" x14ac:dyDescent="0.45">
      <c r="A32" s="112">
        <v>89</v>
      </c>
      <c r="B32" s="112" t="str">
        <f>VLOOKUP(A32,Obs_Ridership!$B:$D,3,FALSE)</f>
        <v>Rte 89 Spgfield/Joelton Exp OB</v>
      </c>
      <c r="C32" t="str">
        <f t="shared" si="0"/>
        <v>Rte 89 Spgfield/Joelton Exp OB</v>
      </c>
      <c r="D32" t="str">
        <f t="shared" si="1"/>
        <v>Rte 89 Spgfield/Joelton Exp</v>
      </c>
      <c r="E32">
        <f t="shared" si="2"/>
        <v>6</v>
      </c>
      <c r="F32">
        <f t="shared" si="3"/>
        <v>77</v>
      </c>
      <c r="I32" s="112">
        <v>23</v>
      </c>
      <c r="J32" s="112" t="s">
        <v>160</v>
      </c>
      <c r="K32" s="112">
        <v>4</v>
      </c>
      <c r="L32" s="112">
        <v>1</v>
      </c>
      <c r="M32" s="112">
        <v>50</v>
      </c>
    </row>
    <row r="33" spans="1:13" x14ac:dyDescent="0.45">
      <c r="A33" s="112">
        <v>90</v>
      </c>
      <c r="B33" s="112" t="str">
        <f>VLOOKUP(A33,Obs_Ridership!$B:$D,3,FALSE)</f>
        <v>Rte 90 Music City Star iB</v>
      </c>
      <c r="C33" t="str">
        <f t="shared" si="0"/>
        <v>Rte 90 Music City Star oB</v>
      </c>
      <c r="D33" t="str">
        <f t="shared" si="1"/>
        <v>Rte 90 Music City Star</v>
      </c>
      <c r="E33">
        <f t="shared" si="2"/>
        <v>12</v>
      </c>
      <c r="F33">
        <f t="shared" si="3"/>
        <v>79</v>
      </c>
      <c r="I33" s="112">
        <v>23</v>
      </c>
      <c r="J33" s="112" t="s">
        <v>161</v>
      </c>
      <c r="K33" s="112">
        <v>4</v>
      </c>
      <c r="L33" s="112">
        <v>1</v>
      </c>
      <c r="M33" s="112">
        <v>50</v>
      </c>
    </row>
    <row r="34" spans="1:13" x14ac:dyDescent="0.45">
      <c r="A34" s="112">
        <v>93</v>
      </c>
      <c r="B34" s="112" t="str">
        <f>VLOOKUP(A34,Obs_Ridership!$B:$D,3,FALSE)</f>
        <v>Rte 93 MCS West End Shuttle</v>
      </c>
      <c r="C34" t="str">
        <f t="shared" si="0"/>
        <v>Rte 93 MCS West End Shuttle</v>
      </c>
      <c r="D34" t="str">
        <f t="shared" si="1"/>
        <v>Rte 93 MCS West End Shuttle</v>
      </c>
      <c r="E34">
        <f t="shared" si="2"/>
        <v>11</v>
      </c>
      <c r="F34">
        <f t="shared" si="3"/>
        <v>84</v>
      </c>
      <c r="I34" s="112">
        <v>24</v>
      </c>
      <c r="J34" s="112" t="s">
        <v>162</v>
      </c>
      <c r="K34" s="112">
        <v>5</v>
      </c>
      <c r="L34" s="112">
        <v>6</v>
      </c>
      <c r="M34" s="112">
        <v>51</v>
      </c>
    </row>
    <row r="35" spans="1:13" x14ac:dyDescent="0.45">
      <c r="A35" s="112">
        <v>95</v>
      </c>
      <c r="B35" s="112" t="str">
        <f>VLOOKUP(A35,Obs_Ridership!$B:$D,3,FALSE)</f>
        <v>Rte 95 Spring Hill Exp IB</v>
      </c>
      <c r="C35" t="str">
        <f t="shared" si="0"/>
        <v>Rte 95 Spring Hill Exp OB</v>
      </c>
      <c r="D35" t="str">
        <f t="shared" si="1"/>
        <v>Rte 95 Spring Hill Exp</v>
      </c>
      <c r="E35">
        <f t="shared" si="2"/>
        <v>6</v>
      </c>
      <c r="F35">
        <f t="shared" si="3"/>
        <v>81</v>
      </c>
      <c r="I35" s="112">
        <v>24</v>
      </c>
      <c r="J35" s="112" t="s">
        <v>163</v>
      </c>
      <c r="K35" s="112">
        <v>5</v>
      </c>
      <c r="L35" s="112">
        <v>6</v>
      </c>
      <c r="M35" s="112">
        <v>51</v>
      </c>
    </row>
    <row r="36" spans="1:13" x14ac:dyDescent="0.45">
      <c r="I36" s="112">
        <v>28</v>
      </c>
      <c r="J36" s="112" t="s">
        <v>104</v>
      </c>
      <c r="K36" s="112">
        <v>4</v>
      </c>
      <c r="L36" s="112">
        <v>1</v>
      </c>
      <c r="M36" s="112">
        <v>52</v>
      </c>
    </row>
    <row r="37" spans="1:13" x14ac:dyDescent="0.45">
      <c r="A37" s="112"/>
      <c r="B37" s="112"/>
      <c r="I37" s="112">
        <v>28</v>
      </c>
      <c r="J37" s="112" t="s">
        <v>164</v>
      </c>
      <c r="K37" s="112">
        <v>4</v>
      </c>
      <c r="L37" s="112">
        <v>1</v>
      </c>
      <c r="M37" s="112">
        <v>52</v>
      </c>
    </row>
    <row r="38" spans="1:13" x14ac:dyDescent="0.45">
      <c r="A38" s="112"/>
      <c r="B38" s="112"/>
      <c r="I38" s="112">
        <v>29</v>
      </c>
      <c r="J38" s="112" t="s">
        <v>105</v>
      </c>
      <c r="K38" s="112">
        <v>4</v>
      </c>
      <c r="L38" s="112">
        <v>1</v>
      </c>
      <c r="M38" s="112">
        <v>53</v>
      </c>
    </row>
    <row r="39" spans="1:13" x14ac:dyDescent="0.45">
      <c r="A39" s="112"/>
      <c r="B39" s="112"/>
      <c r="I39" s="112">
        <v>29</v>
      </c>
      <c r="J39" s="112" t="s">
        <v>165</v>
      </c>
      <c r="K39" s="112">
        <v>4</v>
      </c>
      <c r="L39" s="112">
        <v>1</v>
      </c>
      <c r="M39" s="112">
        <v>53</v>
      </c>
    </row>
    <row r="40" spans="1:13" x14ac:dyDescent="0.45">
      <c r="A40" s="112"/>
      <c r="B40" s="112"/>
      <c r="I40" s="112">
        <v>34</v>
      </c>
      <c r="J40" s="112" t="s">
        <v>106</v>
      </c>
      <c r="K40" s="112">
        <v>4</v>
      </c>
      <c r="L40" s="112">
        <v>1</v>
      </c>
      <c r="M40" s="112">
        <v>56</v>
      </c>
    </row>
    <row r="41" spans="1:13" x14ac:dyDescent="0.45">
      <c r="A41" s="112"/>
      <c r="B41" s="112"/>
      <c r="I41" s="112">
        <v>34</v>
      </c>
      <c r="J41" s="112" t="s">
        <v>166</v>
      </c>
      <c r="K41" s="112">
        <v>4</v>
      </c>
      <c r="L41" s="112">
        <v>1</v>
      </c>
      <c r="M41" s="112">
        <v>56</v>
      </c>
    </row>
    <row r="42" spans="1:13" x14ac:dyDescent="0.45">
      <c r="A42" s="112"/>
      <c r="B42" s="112"/>
      <c r="I42" s="112">
        <v>41</v>
      </c>
      <c r="J42" s="112" t="s">
        <v>167</v>
      </c>
      <c r="K42" s="112">
        <v>4</v>
      </c>
      <c r="L42" s="112">
        <v>1</v>
      </c>
      <c r="M42" s="112">
        <v>59</v>
      </c>
    </row>
    <row r="43" spans="1:13" x14ac:dyDescent="0.45">
      <c r="A43" s="112"/>
      <c r="B43" s="112"/>
      <c r="I43" s="112">
        <v>41</v>
      </c>
      <c r="J43" s="112" t="s">
        <v>107</v>
      </c>
      <c r="K43" s="112">
        <v>4</v>
      </c>
      <c r="L43" s="112">
        <v>1</v>
      </c>
      <c r="M43" s="112">
        <v>58</v>
      </c>
    </row>
    <row r="44" spans="1:13" x14ac:dyDescent="0.45">
      <c r="A44" s="112"/>
      <c r="B44" s="112"/>
      <c r="I44" s="112">
        <v>41</v>
      </c>
      <c r="J44" s="112" t="s">
        <v>168</v>
      </c>
      <c r="K44" s="112">
        <v>4</v>
      </c>
      <c r="L44" s="112">
        <v>1</v>
      </c>
      <c r="M44" s="112">
        <v>59</v>
      </c>
    </row>
    <row r="45" spans="1:13" x14ac:dyDescent="0.45">
      <c r="A45" s="112"/>
      <c r="B45" s="112"/>
      <c r="I45" s="112">
        <v>41</v>
      </c>
      <c r="J45" s="112" t="s">
        <v>169</v>
      </c>
      <c r="K45" s="112">
        <v>4</v>
      </c>
      <c r="L45" s="112">
        <v>1</v>
      </c>
      <c r="M45" s="112">
        <v>58</v>
      </c>
    </row>
    <row r="46" spans="1:13" x14ac:dyDescent="0.45">
      <c r="A46" s="111"/>
      <c r="B46" s="111"/>
      <c r="I46" s="112">
        <v>42</v>
      </c>
      <c r="J46" s="112" t="s">
        <v>108</v>
      </c>
      <c r="K46" s="112">
        <v>4</v>
      </c>
      <c r="L46" s="112">
        <v>1</v>
      </c>
      <c r="M46" s="112">
        <v>60</v>
      </c>
    </row>
    <row r="47" spans="1:13" x14ac:dyDescent="0.45">
      <c r="A47" s="111"/>
      <c r="B47" s="111"/>
      <c r="I47" s="112">
        <v>42</v>
      </c>
      <c r="J47" s="112" t="s">
        <v>170</v>
      </c>
      <c r="K47" s="112">
        <v>4</v>
      </c>
      <c r="L47" s="112">
        <v>1</v>
      </c>
      <c r="M47" s="112">
        <v>60</v>
      </c>
    </row>
    <row r="48" spans="1:13" x14ac:dyDescent="0.45">
      <c r="A48" s="111"/>
      <c r="B48" s="111"/>
      <c r="I48" s="112">
        <v>50</v>
      </c>
      <c r="J48" s="112" t="s">
        <v>171</v>
      </c>
      <c r="K48" s="112">
        <v>4</v>
      </c>
      <c r="L48" s="112">
        <v>1</v>
      </c>
      <c r="M48" s="112">
        <v>61</v>
      </c>
    </row>
    <row r="49" spans="1:13" x14ac:dyDescent="0.45">
      <c r="A49" s="111"/>
      <c r="B49" s="111"/>
      <c r="I49" s="112">
        <v>50</v>
      </c>
      <c r="J49" s="112" t="s">
        <v>109</v>
      </c>
      <c r="K49" s="112">
        <v>4</v>
      </c>
      <c r="L49" s="112">
        <v>1</v>
      </c>
      <c r="M49" s="112">
        <v>61</v>
      </c>
    </row>
    <row r="50" spans="1:13" x14ac:dyDescent="0.45">
      <c r="A50" s="111"/>
      <c r="B50" s="111"/>
      <c r="I50" s="112">
        <v>52</v>
      </c>
      <c r="J50" s="112" t="s">
        <v>172</v>
      </c>
      <c r="K50" s="112">
        <v>4</v>
      </c>
      <c r="L50" s="112">
        <v>1</v>
      </c>
      <c r="M50" s="112">
        <v>62</v>
      </c>
    </row>
    <row r="51" spans="1:13" x14ac:dyDescent="0.45">
      <c r="A51" s="111"/>
      <c r="B51" s="111"/>
      <c r="I51" s="112">
        <v>52</v>
      </c>
      <c r="J51" s="112" t="s">
        <v>110</v>
      </c>
      <c r="K51" s="112">
        <v>4</v>
      </c>
      <c r="L51" s="112">
        <v>1</v>
      </c>
      <c r="M51" s="112">
        <v>62</v>
      </c>
    </row>
    <row r="52" spans="1:13" x14ac:dyDescent="0.45">
      <c r="A52" s="111"/>
      <c r="B52" s="111"/>
      <c r="I52" s="112">
        <v>52</v>
      </c>
      <c r="J52" s="112" t="s">
        <v>173</v>
      </c>
      <c r="K52" s="112">
        <v>4</v>
      </c>
      <c r="L52" s="112">
        <v>1</v>
      </c>
      <c r="M52" s="112">
        <v>63</v>
      </c>
    </row>
    <row r="53" spans="1:13" x14ac:dyDescent="0.45">
      <c r="A53" s="111"/>
      <c r="B53" s="111"/>
      <c r="I53" s="112">
        <v>52</v>
      </c>
      <c r="J53" s="112" t="s">
        <v>174</v>
      </c>
      <c r="K53" s="112">
        <v>4</v>
      </c>
      <c r="L53" s="112">
        <v>1</v>
      </c>
      <c r="M53" s="112">
        <v>63</v>
      </c>
    </row>
    <row r="54" spans="1:13" x14ac:dyDescent="0.45">
      <c r="A54" s="111"/>
      <c r="B54" s="111"/>
      <c r="I54" s="112">
        <v>55</v>
      </c>
      <c r="J54" s="112" t="s">
        <v>175</v>
      </c>
      <c r="K54" s="112">
        <v>4</v>
      </c>
      <c r="L54" s="112">
        <v>1</v>
      </c>
      <c r="M54" s="112">
        <v>64</v>
      </c>
    </row>
    <row r="55" spans="1:13" x14ac:dyDescent="0.45">
      <c r="A55" s="111"/>
      <c r="B55" s="111"/>
      <c r="I55" s="112">
        <v>55</v>
      </c>
      <c r="J55" s="112" t="s">
        <v>111</v>
      </c>
      <c r="K55" s="112">
        <v>4</v>
      </c>
      <c r="L55" s="112">
        <v>1</v>
      </c>
      <c r="M55" s="112">
        <v>64</v>
      </c>
    </row>
    <row r="56" spans="1:13" x14ac:dyDescent="0.45">
      <c r="A56" s="111"/>
      <c r="B56" s="111"/>
      <c r="I56" s="112">
        <v>56</v>
      </c>
      <c r="J56" s="112" t="s">
        <v>176</v>
      </c>
      <c r="K56" s="112">
        <v>4</v>
      </c>
      <c r="L56" s="112">
        <v>1</v>
      </c>
      <c r="M56" s="112">
        <v>66</v>
      </c>
    </row>
    <row r="57" spans="1:13" x14ac:dyDescent="0.45">
      <c r="A57" s="111"/>
      <c r="B57" s="111"/>
      <c r="I57" s="112">
        <v>56</v>
      </c>
      <c r="J57" s="112" t="s">
        <v>177</v>
      </c>
      <c r="K57" s="112">
        <v>4</v>
      </c>
      <c r="L57" s="112">
        <v>1</v>
      </c>
      <c r="M57" s="112">
        <v>66</v>
      </c>
    </row>
    <row r="58" spans="1:13" x14ac:dyDescent="0.45">
      <c r="A58" s="111"/>
      <c r="B58" s="111"/>
      <c r="I58" s="112">
        <v>56</v>
      </c>
      <c r="J58" s="112" t="s">
        <v>178</v>
      </c>
      <c r="K58" s="112">
        <v>4</v>
      </c>
      <c r="L58" s="112">
        <v>8</v>
      </c>
      <c r="M58" s="112">
        <v>65</v>
      </c>
    </row>
    <row r="59" spans="1:13" x14ac:dyDescent="0.45">
      <c r="A59" s="111"/>
      <c r="B59" s="111"/>
      <c r="I59" s="112">
        <v>56</v>
      </c>
      <c r="J59" s="112" t="s">
        <v>112</v>
      </c>
      <c r="K59" s="112">
        <v>4</v>
      </c>
      <c r="L59" s="112">
        <v>8</v>
      </c>
      <c r="M59" s="112">
        <v>65</v>
      </c>
    </row>
    <row r="60" spans="1:13" x14ac:dyDescent="0.45">
      <c r="A60" s="111"/>
      <c r="B60" s="111"/>
      <c r="I60" s="112">
        <v>64</v>
      </c>
      <c r="J60" s="112" t="s">
        <v>113</v>
      </c>
      <c r="K60" s="112">
        <v>4</v>
      </c>
      <c r="L60" s="112">
        <v>11</v>
      </c>
      <c r="M60" s="112">
        <v>83</v>
      </c>
    </row>
    <row r="61" spans="1:13" x14ac:dyDescent="0.45">
      <c r="A61" s="111"/>
      <c r="B61" s="111"/>
      <c r="I61" s="112">
        <v>70</v>
      </c>
      <c r="J61" s="112" t="s">
        <v>179</v>
      </c>
      <c r="K61" s="112">
        <v>4</v>
      </c>
      <c r="L61" s="112">
        <v>1</v>
      </c>
      <c r="M61" s="112">
        <v>69</v>
      </c>
    </row>
    <row r="62" spans="1:13" x14ac:dyDescent="0.45">
      <c r="A62" s="111"/>
      <c r="B62" s="111"/>
      <c r="I62" s="112">
        <v>70</v>
      </c>
      <c r="J62" s="112" t="s">
        <v>114</v>
      </c>
      <c r="K62" s="112">
        <v>4</v>
      </c>
      <c r="L62" s="112">
        <v>1</v>
      </c>
      <c r="M62" s="112">
        <v>69</v>
      </c>
    </row>
    <row r="63" spans="1:13" x14ac:dyDescent="0.45">
      <c r="A63" s="111"/>
      <c r="B63" s="111"/>
      <c r="I63" s="112">
        <v>75</v>
      </c>
      <c r="J63" s="112" t="s">
        <v>180</v>
      </c>
      <c r="K63" s="112">
        <v>4</v>
      </c>
      <c r="L63" s="112">
        <v>1</v>
      </c>
      <c r="M63" s="112">
        <v>70</v>
      </c>
    </row>
    <row r="64" spans="1:13" x14ac:dyDescent="0.45">
      <c r="A64" s="111"/>
      <c r="B64" s="111"/>
      <c r="I64" s="112">
        <v>75</v>
      </c>
      <c r="J64" s="112" t="s">
        <v>115</v>
      </c>
      <c r="K64" s="112">
        <v>4</v>
      </c>
      <c r="L64" s="112">
        <v>1</v>
      </c>
      <c r="M64" s="112">
        <v>70</v>
      </c>
    </row>
    <row r="65" spans="1:13" x14ac:dyDescent="0.45">
      <c r="A65" s="111"/>
      <c r="B65" s="111"/>
      <c r="I65" s="112">
        <v>76</v>
      </c>
      <c r="J65" s="112" t="s">
        <v>116</v>
      </c>
      <c r="K65" s="112">
        <v>4</v>
      </c>
      <c r="L65" s="112">
        <v>1</v>
      </c>
      <c r="M65" s="112">
        <v>85</v>
      </c>
    </row>
    <row r="66" spans="1:13" x14ac:dyDescent="0.45">
      <c r="A66" s="111"/>
      <c r="B66" s="111"/>
      <c r="I66" s="112">
        <v>77</v>
      </c>
      <c r="J66" s="112" t="s">
        <v>117</v>
      </c>
      <c r="K66" s="112">
        <v>4</v>
      </c>
      <c r="L66" s="112">
        <v>1</v>
      </c>
      <c r="M66" s="112">
        <v>71</v>
      </c>
    </row>
    <row r="67" spans="1:13" x14ac:dyDescent="0.45">
      <c r="A67" s="111"/>
      <c r="B67" s="111"/>
      <c r="I67" s="112">
        <v>77</v>
      </c>
      <c r="J67" s="112" t="s">
        <v>181</v>
      </c>
      <c r="K67" s="112">
        <v>4</v>
      </c>
      <c r="L67" s="112">
        <v>1</v>
      </c>
      <c r="M67" s="112">
        <v>71</v>
      </c>
    </row>
    <row r="68" spans="1:13" x14ac:dyDescent="0.45">
      <c r="A68" s="111"/>
      <c r="B68" s="111"/>
      <c r="I68" s="112">
        <v>79</v>
      </c>
      <c r="J68" s="112" t="s">
        <v>118</v>
      </c>
      <c r="K68" s="112">
        <v>4</v>
      </c>
      <c r="L68" s="112">
        <v>1</v>
      </c>
      <c r="M68" s="112">
        <v>72</v>
      </c>
    </row>
    <row r="69" spans="1:13" x14ac:dyDescent="0.45">
      <c r="A69" s="111"/>
      <c r="B69" s="111"/>
      <c r="I69" s="112">
        <v>79</v>
      </c>
      <c r="J69" s="112" t="s">
        <v>182</v>
      </c>
      <c r="K69" s="112">
        <v>4</v>
      </c>
      <c r="L69" s="112">
        <v>1</v>
      </c>
      <c r="M69" s="112">
        <v>72</v>
      </c>
    </row>
    <row r="70" spans="1:13" x14ac:dyDescent="0.45">
      <c r="A70" s="111"/>
      <c r="B70" s="111"/>
      <c r="I70" s="112">
        <v>84</v>
      </c>
      <c r="J70" s="112" t="s">
        <v>183</v>
      </c>
      <c r="K70" s="112">
        <v>5</v>
      </c>
      <c r="L70" s="112">
        <v>6</v>
      </c>
      <c r="M70" s="112">
        <v>74</v>
      </c>
    </row>
    <row r="71" spans="1:13" x14ac:dyDescent="0.45">
      <c r="A71" s="111"/>
      <c r="B71" s="111"/>
      <c r="I71" s="112">
        <v>84</v>
      </c>
      <c r="J71" s="112" t="s">
        <v>119</v>
      </c>
      <c r="K71" s="112">
        <v>5</v>
      </c>
      <c r="L71" s="112">
        <v>6</v>
      </c>
      <c r="M71" s="112">
        <v>74</v>
      </c>
    </row>
    <row r="72" spans="1:13" x14ac:dyDescent="0.45">
      <c r="A72" s="111"/>
      <c r="B72" s="111"/>
      <c r="I72" s="112">
        <v>86</v>
      </c>
      <c r="J72" s="112" t="s">
        <v>184</v>
      </c>
      <c r="K72" s="112">
        <v>5</v>
      </c>
      <c r="L72" s="112">
        <v>6</v>
      </c>
      <c r="M72" s="112">
        <v>75</v>
      </c>
    </row>
    <row r="73" spans="1:13" x14ac:dyDescent="0.45">
      <c r="A73" s="111"/>
      <c r="B73" s="111"/>
      <c r="I73" s="112">
        <v>86</v>
      </c>
      <c r="J73" s="112" t="s">
        <v>120</v>
      </c>
      <c r="K73" s="112">
        <v>5</v>
      </c>
      <c r="L73" s="112">
        <v>6</v>
      </c>
      <c r="M73" s="112">
        <v>75</v>
      </c>
    </row>
    <row r="74" spans="1:13" x14ac:dyDescent="0.45">
      <c r="A74" s="111"/>
      <c r="B74" s="111"/>
      <c r="I74" s="112">
        <v>87</v>
      </c>
      <c r="J74" s="112" t="s">
        <v>185</v>
      </c>
      <c r="K74" s="112">
        <v>5</v>
      </c>
      <c r="L74" s="112">
        <v>7</v>
      </c>
      <c r="M74" s="112">
        <v>76</v>
      </c>
    </row>
    <row r="75" spans="1:13" x14ac:dyDescent="0.45">
      <c r="A75" s="111"/>
      <c r="B75" s="111"/>
      <c r="I75" s="112">
        <v>87</v>
      </c>
      <c r="J75" s="112" t="s">
        <v>121</v>
      </c>
      <c r="K75" s="112">
        <v>5</v>
      </c>
      <c r="L75" s="112">
        <v>7</v>
      </c>
      <c r="M75" s="112">
        <v>76</v>
      </c>
    </row>
    <row r="76" spans="1:13" x14ac:dyDescent="0.45">
      <c r="A76" s="111"/>
      <c r="B76" s="111"/>
      <c r="I76" s="112">
        <v>89</v>
      </c>
      <c r="J76" s="112" t="s">
        <v>122</v>
      </c>
      <c r="K76" s="112">
        <v>5</v>
      </c>
      <c r="L76" s="112">
        <v>6</v>
      </c>
      <c r="M76" s="112">
        <v>77</v>
      </c>
    </row>
    <row r="77" spans="1:13" x14ac:dyDescent="0.45">
      <c r="A77" s="111"/>
      <c r="B77" s="111"/>
      <c r="I77" s="112">
        <v>89</v>
      </c>
      <c r="J77" s="112" t="s">
        <v>186</v>
      </c>
      <c r="K77" s="112">
        <v>5</v>
      </c>
      <c r="L77" s="112">
        <v>6</v>
      </c>
      <c r="M77" s="112">
        <v>77</v>
      </c>
    </row>
    <row r="78" spans="1:13" x14ac:dyDescent="0.45">
      <c r="A78" s="111"/>
      <c r="B78" s="111"/>
      <c r="I78" s="112">
        <v>90</v>
      </c>
      <c r="J78" s="112" t="s">
        <v>187</v>
      </c>
      <c r="K78" s="112">
        <v>6</v>
      </c>
      <c r="L78" s="112">
        <v>12</v>
      </c>
      <c r="M78" s="112">
        <v>79</v>
      </c>
    </row>
    <row r="79" spans="1:13" x14ac:dyDescent="0.45">
      <c r="A79" s="111"/>
      <c r="B79" s="111"/>
      <c r="I79" s="112">
        <v>90</v>
      </c>
      <c r="J79" s="112" t="s">
        <v>123</v>
      </c>
      <c r="K79" s="112">
        <v>6</v>
      </c>
      <c r="L79" s="112">
        <v>12</v>
      </c>
      <c r="M79" s="112">
        <v>79</v>
      </c>
    </row>
    <row r="80" spans="1:13" x14ac:dyDescent="0.45">
      <c r="A80" s="111"/>
      <c r="B80" s="111"/>
      <c r="I80" s="112">
        <v>90</v>
      </c>
      <c r="J80" s="112" t="s">
        <v>188</v>
      </c>
      <c r="K80" s="112">
        <v>6</v>
      </c>
      <c r="L80" s="112">
        <v>12</v>
      </c>
      <c r="M80" s="112">
        <v>80</v>
      </c>
    </row>
    <row r="81" spans="1:13" x14ac:dyDescent="0.45">
      <c r="A81" s="111"/>
      <c r="B81" s="111"/>
      <c r="I81" s="112">
        <v>90</v>
      </c>
      <c r="J81" s="112" t="s">
        <v>189</v>
      </c>
      <c r="K81" s="112">
        <v>6</v>
      </c>
      <c r="L81" s="112">
        <v>12</v>
      </c>
      <c r="M81" s="112">
        <v>80</v>
      </c>
    </row>
    <row r="82" spans="1:13" x14ac:dyDescent="0.45">
      <c r="A82" s="111"/>
      <c r="B82" s="111"/>
      <c r="I82" s="112">
        <v>93</v>
      </c>
      <c r="J82" s="112" t="s">
        <v>124</v>
      </c>
      <c r="K82" s="112">
        <v>4</v>
      </c>
      <c r="L82" s="112">
        <v>11</v>
      </c>
      <c r="M82" s="112">
        <v>84</v>
      </c>
    </row>
    <row r="83" spans="1:13" x14ac:dyDescent="0.45">
      <c r="A83" s="111"/>
      <c r="B83" s="111"/>
      <c r="I83" s="112">
        <v>95</v>
      </c>
      <c r="J83" s="112" t="s">
        <v>190</v>
      </c>
      <c r="K83" s="112">
        <v>5</v>
      </c>
      <c r="L83" s="112">
        <v>6</v>
      </c>
      <c r="M83" s="112">
        <v>81</v>
      </c>
    </row>
    <row r="84" spans="1:13" x14ac:dyDescent="0.45">
      <c r="A84" s="111"/>
      <c r="B84" s="111"/>
      <c r="I84" s="112">
        <v>95</v>
      </c>
      <c r="J84" s="112" t="s">
        <v>125</v>
      </c>
      <c r="K84" s="112">
        <v>5</v>
      </c>
      <c r="L84" s="112">
        <v>6</v>
      </c>
      <c r="M84" s="112">
        <v>81</v>
      </c>
    </row>
    <row r="85" spans="1:13" x14ac:dyDescent="0.45">
      <c r="A85" s="111"/>
      <c r="B85" s="111"/>
      <c r="I85" s="112">
        <v>95</v>
      </c>
      <c r="J85" s="112" t="s">
        <v>191</v>
      </c>
      <c r="K85" s="112">
        <v>5</v>
      </c>
      <c r="L85" s="112">
        <v>6</v>
      </c>
      <c r="M85" s="112">
        <v>82</v>
      </c>
    </row>
    <row r="86" spans="1:13" x14ac:dyDescent="0.45">
      <c r="A86" s="111"/>
      <c r="B86" s="111"/>
      <c r="I86" s="112">
        <v>95</v>
      </c>
      <c r="J86" s="112" t="s">
        <v>192</v>
      </c>
      <c r="K86" s="112">
        <v>5</v>
      </c>
      <c r="L86" s="112">
        <v>6</v>
      </c>
      <c r="M86" s="112">
        <v>82</v>
      </c>
    </row>
    <row r="87" spans="1:13" x14ac:dyDescent="0.45">
      <c r="A87" s="111"/>
      <c r="B87" s="111"/>
      <c r="I87" s="112">
        <v>102</v>
      </c>
      <c r="J87" s="112" t="s">
        <v>193</v>
      </c>
      <c r="K87" s="112">
        <v>4</v>
      </c>
      <c r="L87" s="112">
        <v>2</v>
      </c>
      <c r="M87" s="112">
        <v>33</v>
      </c>
    </row>
    <row r="88" spans="1:13" x14ac:dyDescent="0.45">
      <c r="A88" s="111"/>
      <c r="B88" s="111"/>
      <c r="I88" s="112">
        <v>103</v>
      </c>
      <c r="J88" s="112" t="s">
        <v>194</v>
      </c>
      <c r="K88" s="112">
        <v>4</v>
      </c>
      <c r="L88" s="112">
        <v>2</v>
      </c>
      <c r="M88" s="112">
        <v>34</v>
      </c>
    </row>
    <row r="89" spans="1:13" x14ac:dyDescent="0.45">
      <c r="A89" s="111"/>
      <c r="B89" s="111"/>
      <c r="I89" s="112">
        <v>104</v>
      </c>
      <c r="J89" s="112" t="s">
        <v>195</v>
      </c>
      <c r="K89" s="112">
        <v>4</v>
      </c>
      <c r="L89" s="112">
        <v>2</v>
      </c>
      <c r="M89" s="112">
        <v>35</v>
      </c>
    </row>
    <row r="90" spans="1:13" x14ac:dyDescent="0.45">
      <c r="A90" s="111"/>
      <c r="B90" s="111"/>
      <c r="I90" s="112">
        <v>105</v>
      </c>
      <c r="J90" s="112" t="s">
        <v>196</v>
      </c>
      <c r="K90" s="112">
        <v>4</v>
      </c>
      <c r="L90" s="112">
        <v>2</v>
      </c>
      <c r="M90" s="112">
        <v>36</v>
      </c>
    </row>
    <row r="91" spans="1:13" x14ac:dyDescent="0.45">
      <c r="A91" s="111"/>
      <c r="B91" s="111"/>
      <c r="I91" s="112">
        <v>106</v>
      </c>
      <c r="J91" s="112" t="s">
        <v>197</v>
      </c>
      <c r="K91" s="112">
        <v>4</v>
      </c>
      <c r="L91" s="112">
        <v>2</v>
      </c>
      <c r="M91" s="112">
        <v>37</v>
      </c>
    </row>
    <row r="92" spans="1:13" x14ac:dyDescent="0.45">
      <c r="A92" s="111"/>
      <c r="B92" s="111"/>
      <c r="I92" s="112">
        <v>107</v>
      </c>
      <c r="J92" s="112" t="s">
        <v>198</v>
      </c>
      <c r="K92" s="112">
        <v>4</v>
      </c>
      <c r="L92" s="112">
        <v>2</v>
      </c>
      <c r="M92" s="112">
        <v>38</v>
      </c>
    </row>
    <row r="93" spans="1:13" x14ac:dyDescent="0.45">
      <c r="A93" s="111"/>
      <c r="B93" s="111"/>
      <c r="I93" s="112">
        <v>108</v>
      </c>
      <c r="J93" s="112" t="s">
        <v>199</v>
      </c>
      <c r="K93" s="112">
        <v>4</v>
      </c>
      <c r="L93" s="112">
        <v>2</v>
      </c>
      <c r="M93" s="112">
        <v>39</v>
      </c>
    </row>
    <row r="94" spans="1:13" x14ac:dyDescent="0.45">
      <c r="A94" s="111"/>
      <c r="B94" s="111"/>
      <c r="I94" s="112">
        <v>111</v>
      </c>
      <c r="J94" s="112" t="s">
        <v>200</v>
      </c>
      <c r="K94" s="112">
        <v>4</v>
      </c>
      <c r="L94" s="112">
        <v>3</v>
      </c>
      <c r="M94" s="112">
        <v>40</v>
      </c>
    </row>
    <row r="95" spans="1:13" x14ac:dyDescent="0.45">
      <c r="A95" s="111"/>
      <c r="B95" s="111"/>
      <c r="I95" s="112">
        <v>112</v>
      </c>
      <c r="J95" s="112" t="s">
        <v>201</v>
      </c>
      <c r="K95" s="112">
        <v>4</v>
      </c>
      <c r="L95" s="112">
        <v>3</v>
      </c>
      <c r="M95" s="112">
        <v>41</v>
      </c>
    </row>
    <row r="96" spans="1:13" x14ac:dyDescent="0.45">
      <c r="A96" s="111"/>
      <c r="B96" s="111"/>
      <c r="I96" s="112">
        <v>112</v>
      </c>
      <c r="J96" s="112" t="s">
        <v>202</v>
      </c>
      <c r="K96" s="112">
        <v>4</v>
      </c>
      <c r="L96" s="112">
        <v>3</v>
      </c>
      <c r="M96" s="112">
        <v>41</v>
      </c>
    </row>
    <row r="97" spans="10:13" x14ac:dyDescent="0.45">
      <c r="J97" s="112" t="s">
        <v>203</v>
      </c>
      <c r="K97" s="112">
        <v>4</v>
      </c>
      <c r="L97" s="112">
        <v>2</v>
      </c>
      <c r="M97" s="112">
        <v>25</v>
      </c>
    </row>
    <row r="98" spans="10:13" x14ac:dyDescent="0.45">
      <c r="J98" s="112" t="s">
        <v>204</v>
      </c>
      <c r="K98" s="112">
        <v>4</v>
      </c>
      <c r="L98" s="112">
        <v>2</v>
      </c>
      <c r="M98" s="112">
        <v>26</v>
      </c>
    </row>
    <row r="99" spans="10:13" x14ac:dyDescent="0.45">
      <c r="J99" s="112" t="s">
        <v>205</v>
      </c>
      <c r="K99" s="112">
        <v>4</v>
      </c>
      <c r="L99" s="112">
        <v>2</v>
      </c>
      <c r="M99" s="112">
        <v>27</v>
      </c>
    </row>
    <row r="100" spans="10:13" x14ac:dyDescent="0.45">
      <c r="J100" s="112" t="s">
        <v>206</v>
      </c>
      <c r="K100" s="112">
        <v>4</v>
      </c>
      <c r="L100" s="112">
        <v>2</v>
      </c>
      <c r="M100" s="112">
        <v>24</v>
      </c>
    </row>
    <row r="101" spans="10:13" x14ac:dyDescent="0.45">
      <c r="J101" s="112" t="s">
        <v>207</v>
      </c>
      <c r="K101" s="112">
        <v>4</v>
      </c>
      <c r="L101" s="112">
        <v>2</v>
      </c>
      <c r="M101" s="112">
        <v>18</v>
      </c>
    </row>
    <row r="102" spans="10:13" x14ac:dyDescent="0.45">
      <c r="J102" s="112" t="s">
        <v>208</v>
      </c>
      <c r="K102" s="112">
        <v>4</v>
      </c>
      <c r="L102" s="112">
        <v>2</v>
      </c>
      <c r="M102" s="112">
        <v>15</v>
      </c>
    </row>
    <row r="103" spans="10:13" x14ac:dyDescent="0.45">
      <c r="J103" s="112" t="s">
        <v>209</v>
      </c>
      <c r="K103" s="112">
        <v>4</v>
      </c>
      <c r="L103" s="112">
        <v>2</v>
      </c>
      <c r="M103" s="112">
        <v>16</v>
      </c>
    </row>
    <row r="104" spans="10:13" x14ac:dyDescent="0.45">
      <c r="J104" s="112" t="s">
        <v>210</v>
      </c>
      <c r="K104" s="112">
        <v>4</v>
      </c>
      <c r="L104" s="112">
        <v>2</v>
      </c>
      <c r="M104" s="112">
        <v>17</v>
      </c>
    </row>
    <row r="105" spans="10:13" x14ac:dyDescent="0.45">
      <c r="J105" s="112" t="s">
        <v>211</v>
      </c>
      <c r="K105" s="112">
        <v>4</v>
      </c>
      <c r="L105" s="112">
        <v>2</v>
      </c>
      <c r="M105" s="112">
        <v>19</v>
      </c>
    </row>
    <row r="106" spans="10:13" x14ac:dyDescent="0.45">
      <c r="J106" s="112" t="s">
        <v>212</v>
      </c>
      <c r="K106" s="112">
        <v>4</v>
      </c>
      <c r="L106" s="112">
        <v>2</v>
      </c>
      <c r="M106" s="112">
        <v>22</v>
      </c>
    </row>
    <row r="107" spans="10:13" x14ac:dyDescent="0.45">
      <c r="J107" s="112" t="s">
        <v>213</v>
      </c>
      <c r="K107" s="112">
        <v>4</v>
      </c>
      <c r="L107" s="112">
        <v>2</v>
      </c>
      <c r="M107" s="112">
        <v>21</v>
      </c>
    </row>
    <row r="108" spans="10:13" x14ac:dyDescent="0.45">
      <c r="J108" s="112" t="s">
        <v>214</v>
      </c>
      <c r="K108" s="112">
        <v>4</v>
      </c>
      <c r="L108" s="112">
        <v>2</v>
      </c>
      <c r="M108" s="112">
        <v>20</v>
      </c>
    </row>
    <row r="109" spans="10:13" x14ac:dyDescent="0.45">
      <c r="J109" s="112" t="s">
        <v>215</v>
      </c>
      <c r="K109" s="112">
        <v>4</v>
      </c>
      <c r="L109" s="112">
        <v>2</v>
      </c>
      <c r="M109" s="112">
        <v>23</v>
      </c>
    </row>
    <row r="110" spans="10:13" x14ac:dyDescent="0.45">
      <c r="J110" s="112" t="s">
        <v>216</v>
      </c>
      <c r="K110" s="112">
        <v>4</v>
      </c>
      <c r="L110" s="112">
        <v>2</v>
      </c>
      <c r="M110" s="112">
        <v>13</v>
      </c>
    </row>
    <row r="111" spans="10:13" x14ac:dyDescent="0.45">
      <c r="J111" s="112" t="s">
        <v>217</v>
      </c>
      <c r="K111" s="112">
        <v>4</v>
      </c>
      <c r="L111" s="112">
        <v>2</v>
      </c>
      <c r="M111" s="112">
        <v>14</v>
      </c>
    </row>
    <row r="112" spans="10:13" x14ac:dyDescent="0.45">
      <c r="J112" s="112" t="s">
        <v>218</v>
      </c>
      <c r="K112" s="112">
        <v>4</v>
      </c>
      <c r="L112" s="112">
        <v>2</v>
      </c>
      <c r="M112" s="112">
        <v>12</v>
      </c>
    </row>
    <row r="113" spans="10:13" x14ac:dyDescent="0.45">
      <c r="J113" s="112" t="s">
        <v>219</v>
      </c>
      <c r="K113" s="112">
        <v>7</v>
      </c>
      <c r="L113" s="112">
        <v>9</v>
      </c>
      <c r="M113" s="112">
        <v>10</v>
      </c>
    </row>
    <row r="114" spans="10:13" x14ac:dyDescent="0.45">
      <c r="J114" s="112" t="s">
        <v>220</v>
      </c>
      <c r="K114" s="112">
        <v>7</v>
      </c>
      <c r="L114" s="112">
        <v>9</v>
      </c>
      <c r="M114" s="112">
        <v>10</v>
      </c>
    </row>
    <row r="115" spans="10:13" x14ac:dyDescent="0.45">
      <c r="J115" s="112" t="s">
        <v>221</v>
      </c>
      <c r="K115" s="112">
        <v>7</v>
      </c>
      <c r="L115" s="112">
        <v>9</v>
      </c>
      <c r="M115" s="112">
        <v>4</v>
      </c>
    </row>
    <row r="116" spans="10:13" x14ac:dyDescent="0.45">
      <c r="J116" s="112" t="s">
        <v>222</v>
      </c>
      <c r="K116" s="112">
        <v>7</v>
      </c>
      <c r="L116" s="112">
        <v>9</v>
      </c>
      <c r="M116" s="112">
        <v>4</v>
      </c>
    </row>
    <row r="117" spans="10:13" x14ac:dyDescent="0.45">
      <c r="J117" s="112" t="s">
        <v>223</v>
      </c>
      <c r="K117" s="112">
        <v>7</v>
      </c>
      <c r="L117" s="112">
        <v>9</v>
      </c>
      <c r="M117" s="112">
        <v>5</v>
      </c>
    </row>
    <row r="118" spans="10:13" x14ac:dyDescent="0.45">
      <c r="J118" s="112" t="s">
        <v>224</v>
      </c>
      <c r="K118" s="112">
        <v>7</v>
      </c>
      <c r="L118" s="112">
        <v>9</v>
      </c>
      <c r="M118" s="112">
        <v>5</v>
      </c>
    </row>
    <row r="119" spans="10:13" x14ac:dyDescent="0.45">
      <c r="J119" s="112" t="s">
        <v>225</v>
      </c>
      <c r="K119" s="112">
        <v>7</v>
      </c>
      <c r="L119" s="112">
        <v>9</v>
      </c>
      <c r="M119" s="112">
        <v>7</v>
      </c>
    </row>
    <row r="120" spans="10:13" x14ac:dyDescent="0.45">
      <c r="J120" s="112" t="s">
        <v>226</v>
      </c>
      <c r="K120" s="112">
        <v>7</v>
      </c>
      <c r="L120" s="112">
        <v>9</v>
      </c>
      <c r="M120" s="112">
        <v>7</v>
      </c>
    </row>
    <row r="121" spans="10:13" x14ac:dyDescent="0.45">
      <c r="J121" s="112" t="s">
        <v>227</v>
      </c>
      <c r="K121" s="112">
        <v>7</v>
      </c>
      <c r="L121" s="112">
        <v>9</v>
      </c>
      <c r="M121" s="112">
        <v>6</v>
      </c>
    </row>
    <row r="122" spans="10:13" x14ac:dyDescent="0.45">
      <c r="J122" s="112" t="s">
        <v>228</v>
      </c>
      <c r="K122" s="112">
        <v>7</v>
      </c>
      <c r="L122" s="112">
        <v>9</v>
      </c>
      <c r="M122" s="112">
        <v>6</v>
      </c>
    </row>
    <row r="123" spans="10:13" x14ac:dyDescent="0.45">
      <c r="J123" s="112" t="s">
        <v>229</v>
      </c>
      <c r="K123" s="112">
        <v>7</v>
      </c>
      <c r="L123" s="112">
        <v>9</v>
      </c>
      <c r="M123" s="112">
        <v>9</v>
      </c>
    </row>
    <row r="124" spans="10:13" x14ac:dyDescent="0.45">
      <c r="J124" s="112" t="s">
        <v>230</v>
      </c>
      <c r="K124" s="112">
        <v>7</v>
      </c>
      <c r="L124" s="112">
        <v>9</v>
      </c>
      <c r="M124" s="112">
        <v>9</v>
      </c>
    </row>
    <row r="125" spans="10:13" x14ac:dyDescent="0.45">
      <c r="J125" s="112" t="s">
        <v>231</v>
      </c>
      <c r="K125" s="112">
        <v>7</v>
      </c>
      <c r="L125" s="112">
        <v>9</v>
      </c>
      <c r="M125" s="112">
        <v>11</v>
      </c>
    </row>
    <row r="126" spans="10:13" x14ac:dyDescent="0.45">
      <c r="J126" s="112" t="s">
        <v>232</v>
      </c>
      <c r="K126" s="112">
        <v>7</v>
      </c>
      <c r="L126" s="112">
        <v>9</v>
      </c>
      <c r="M126" s="112">
        <v>11</v>
      </c>
    </row>
    <row r="127" spans="10:13" x14ac:dyDescent="0.45">
      <c r="J127" s="112" t="s">
        <v>233</v>
      </c>
      <c r="K127" s="112">
        <v>7</v>
      </c>
      <c r="L127" s="112">
        <v>9</v>
      </c>
      <c r="M127" s="112">
        <v>1</v>
      </c>
    </row>
    <row r="128" spans="10:13" x14ac:dyDescent="0.45">
      <c r="J128" s="112" t="s">
        <v>234</v>
      </c>
      <c r="K128" s="112">
        <v>7</v>
      </c>
      <c r="L128" s="112">
        <v>9</v>
      </c>
      <c r="M128" s="112">
        <v>1</v>
      </c>
    </row>
    <row r="129" spans="10:13" x14ac:dyDescent="0.45">
      <c r="J129" s="112" t="s">
        <v>235</v>
      </c>
      <c r="K129" s="112">
        <v>7</v>
      </c>
      <c r="L129" s="112">
        <v>9</v>
      </c>
      <c r="M129" s="112">
        <v>2</v>
      </c>
    </row>
    <row r="130" spans="10:13" x14ac:dyDescent="0.45">
      <c r="J130" s="112" t="s">
        <v>236</v>
      </c>
      <c r="K130" s="112">
        <v>7</v>
      </c>
      <c r="L130" s="112">
        <v>9</v>
      </c>
      <c r="M130" s="112">
        <v>2</v>
      </c>
    </row>
    <row r="131" spans="10:13" x14ac:dyDescent="0.45">
      <c r="J131" s="112" t="s">
        <v>237</v>
      </c>
      <c r="K131" s="112">
        <v>6</v>
      </c>
      <c r="L131" s="112">
        <v>12</v>
      </c>
      <c r="M131" s="112">
        <v>30</v>
      </c>
    </row>
    <row r="132" spans="10:13" x14ac:dyDescent="0.45">
      <c r="J132" s="112" t="s">
        <v>238</v>
      </c>
      <c r="K132" s="112">
        <v>6</v>
      </c>
      <c r="L132" s="112">
        <v>12</v>
      </c>
      <c r="M132" s="112">
        <v>30</v>
      </c>
    </row>
    <row r="133" spans="10:13" x14ac:dyDescent="0.45">
      <c r="J133" s="112" t="s">
        <v>239</v>
      </c>
      <c r="K133" s="112">
        <v>6</v>
      </c>
      <c r="L133" s="112">
        <v>12</v>
      </c>
      <c r="M133" s="112">
        <v>31</v>
      </c>
    </row>
    <row r="134" spans="10:13" x14ac:dyDescent="0.45">
      <c r="J134" s="112" t="s">
        <v>240</v>
      </c>
      <c r="K134" s="112">
        <v>6</v>
      </c>
      <c r="L134" s="112">
        <v>12</v>
      </c>
      <c r="M134" s="112">
        <v>31</v>
      </c>
    </row>
    <row r="135" spans="10:13" x14ac:dyDescent="0.45">
      <c r="J135" s="112" t="s">
        <v>241</v>
      </c>
      <c r="K135" s="112">
        <v>6</v>
      </c>
      <c r="L135" s="112">
        <v>12</v>
      </c>
      <c r="M135" s="112">
        <v>32</v>
      </c>
    </row>
    <row r="136" spans="10:13" x14ac:dyDescent="0.45">
      <c r="J136" s="112" t="s">
        <v>242</v>
      </c>
      <c r="K136" s="112">
        <v>6</v>
      </c>
      <c r="L136" s="112">
        <v>12</v>
      </c>
      <c r="M136" s="112">
        <v>32</v>
      </c>
    </row>
    <row r="137" spans="10:13" x14ac:dyDescent="0.45">
      <c r="J137" s="112" t="s">
        <v>243</v>
      </c>
      <c r="K137" s="112">
        <v>6</v>
      </c>
      <c r="L137" s="112">
        <v>12</v>
      </c>
      <c r="M137" s="112">
        <v>28</v>
      </c>
    </row>
    <row r="138" spans="10:13" x14ac:dyDescent="0.45">
      <c r="J138" s="112" t="s">
        <v>244</v>
      </c>
      <c r="K138" s="112">
        <v>6</v>
      </c>
      <c r="L138" s="112">
        <v>12</v>
      </c>
      <c r="M138" s="112">
        <v>28</v>
      </c>
    </row>
    <row r="139" spans="10:13" x14ac:dyDescent="0.45">
      <c r="J139" s="112" t="s">
        <v>245</v>
      </c>
      <c r="K139" s="112">
        <v>6</v>
      </c>
      <c r="L139" s="112">
        <v>12</v>
      </c>
      <c r="M139" s="112">
        <v>29</v>
      </c>
    </row>
    <row r="140" spans="10:13" x14ac:dyDescent="0.45">
      <c r="J140" s="112" t="s">
        <v>246</v>
      </c>
      <c r="K140" s="112">
        <v>6</v>
      </c>
      <c r="L140" s="112">
        <v>12</v>
      </c>
      <c r="M140" s="112">
        <v>29</v>
      </c>
    </row>
    <row r="141" spans="10:13" x14ac:dyDescent="0.45">
      <c r="J141" s="112" t="s">
        <v>247</v>
      </c>
      <c r="K141" s="112">
        <v>7</v>
      </c>
      <c r="L141" s="112">
        <v>9</v>
      </c>
      <c r="M141" s="112">
        <v>8</v>
      </c>
    </row>
    <row r="142" spans="10:13" x14ac:dyDescent="0.45">
      <c r="J142" s="112" t="s">
        <v>248</v>
      </c>
      <c r="K142" s="112">
        <v>7</v>
      </c>
      <c r="L142" s="112">
        <v>9</v>
      </c>
      <c r="M142" s="112">
        <v>8</v>
      </c>
    </row>
    <row r="143" spans="10:13" x14ac:dyDescent="0.45">
      <c r="J143" s="112" t="s">
        <v>249</v>
      </c>
      <c r="K143" s="112">
        <v>7</v>
      </c>
      <c r="L143" s="112">
        <v>9</v>
      </c>
      <c r="M143" s="112">
        <v>3</v>
      </c>
    </row>
    <row r="144" spans="10:13" x14ac:dyDescent="0.45">
      <c r="J144" s="112" t="s">
        <v>250</v>
      </c>
      <c r="K144" s="112">
        <v>7</v>
      </c>
      <c r="L144" s="112">
        <v>9</v>
      </c>
      <c r="M144" s="112">
        <v>3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BoardingByRoute_All</vt:lpstr>
      <vt:lpstr>PrilimTable</vt:lpstr>
      <vt:lpstr>Aggregated_Transit_Final_V2</vt:lpstr>
      <vt:lpstr>TrnStat.asc</vt:lpstr>
      <vt:lpstr>Obs_Ridership</vt:lpstr>
      <vt:lpstr>BoardingByRoute_ABM</vt:lpstr>
      <vt:lpstr>OBS_RteName</vt:lpstr>
      <vt:lpstr>ABM_RteName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Nagendra Dhakar</dc:creator>
  <cp:lastModifiedBy>Nagendra Dhakar</cp:lastModifiedBy>
  <dcterms:created xsi:type="dcterms:W3CDTF">2015-08-26T21:05:32Z</dcterms:created>
  <dcterms:modified xsi:type="dcterms:W3CDTF">2025-01-14T15:24:35Z</dcterms:modified>
</cp:coreProperties>
</file>